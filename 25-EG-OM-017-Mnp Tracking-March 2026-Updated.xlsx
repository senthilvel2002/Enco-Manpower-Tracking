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anpower Tracking\Enco\"/>
    </mc:Choice>
  </mc:AlternateContent>
  <xr:revisionPtr revIDLastSave="0" documentId="13_ncr:1_{EE9E75FD-02F4-417A-BD8F-B2AE4547DB46}" xr6:coauthVersionLast="47" xr6:coauthVersionMax="47" xr10:uidLastSave="{00000000-0000-0000-0000-000000000000}"/>
  <bookViews>
    <workbookView xWindow="-108" yWindow="-108" windowWidth="23256" windowHeight="12456" firstSheet="1" activeTab="1" xr2:uid="{00000000-000D-0000-FFFF-FFFF00000000}"/>
  </bookViews>
  <sheets>
    <sheet name="Cumulative" sheetId="14" state="hidden" r:id="rId1"/>
    <sheet name="March 2026" sheetId="45" r:id="rId2"/>
    <sheet name="Tasks" sheetId="11" r:id="rId3"/>
    <sheet name="Manpower" sheetId="12" r:id="rId4"/>
    <sheet name="April 2026" sheetId="46" r:id="rId5"/>
  </sheets>
  <definedNames>
    <definedName name="_xlnm._FilterDatabase" localSheetId="4" hidden="1">'April 2026'!$A$1:$D$356</definedName>
    <definedName name="_xlnm._FilterDatabase" localSheetId="3" hidden="1">Manpower!$A$3:$H$302</definedName>
    <definedName name="_xlnm._FilterDatabase" localSheetId="1" hidden="1">'March 2026'!$A$1:$M$3970</definedName>
    <definedName name="ElectricalWorks">Tasks!$H2:$H99990</definedName>
    <definedName name="Finalization">Tasks!$K2:$K99990</definedName>
    <definedName name="GroutingWorks">Tasks!$F2:$F99990</definedName>
    <definedName name="HTML_CodePage" hidden="1">1252</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VAC" hidden="1">{"'8'!$B$1:$I$46"}</definedName>
    <definedName name="InstrumentationWorks">Tasks!$I2:$I999990</definedName>
    <definedName name="MaterialHandling">Tasks!$C$2:$C$37000</definedName>
    <definedName name="MobilizationPreparation">Tasks!$B$2:$B$900</definedName>
    <definedName name="PaintingCoating">Tasks!$J2:$J999990</definedName>
    <definedName name="PipingWorks">Tasks!$G$2:$G$1048576</definedName>
    <definedName name="portada" hidden="1">{"'8'!$B$1:$I$46"}</definedName>
    <definedName name="SSS" hidden="1">{"'8'!$B$1:$I$46"}</definedName>
    <definedName name="SteelStructureWorks">Tasks!$D2:$D9990</definedName>
    <definedName name="wrn.7538." hidden="1">{#N/A,#N/A,FALSE,"7538-PORT";#N/A,#N/A,FALSE,"7538-H0";#N/A,#N/A,FALSE,"7538-LISTA"}</definedName>
    <definedName name="wrn.7538_7539." hidden="1">{#N/A,#N/A,FALSE,"7538-PORT";#N/A,#N/A,FALSE,"7538-H0";#N/A,#N/A,FALSE,"7538-LISTA";#N/A,#N/A,FALSE,"7539-PORT";#N/A,#N/A,FALSE,"7539-H0";#N/A,#N/A,FALSE,"7539-LISTA"}</definedName>
    <definedName name="wrn.COMPLETO." hidden="1">{#N/A,#N/A,FALSE,"7538-H0";#N/A,#N/A,FALSE,"7538-H01";#N/A,#N/A,FALSE,"C1";#N/A,#N/A,FALSE,"C3";#N/A,#N/A,FALSE,"C5";#N/A,#N/A,FALSE,"C0";#N/A,#N/A,FALSE,"C8";#N/A,#N/A,FALSE,"C9";#N/A,#N/A,FALSE,"C10";#N/A,#N/A,FALSE,"7539-H0";#N/A,#N/A,FALSE,"7539-H01";#N/A,#N/A,FALSE,"C12"}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5" i="12" l="1"/>
  <c r="D256" i="12"/>
  <c r="D257" i="12"/>
  <c r="D258" i="12"/>
  <c r="D259" i="12"/>
  <c r="D260" i="12"/>
  <c r="D262" i="12"/>
  <c r="D263" i="12"/>
  <c r="D265" i="12"/>
  <c r="D266" i="12"/>
  <c r="F2" i="45"/>
  <c r="F3" i="45"/>
  <c r="F4" i="45"/>
  <c r="F5" i="45"/>
  <c r="F6" i="45"/>
  <c r="F7" i="45"/>
  <c r="F8" i="45"/>
  <c r="F9" i="45"/>
  <c r="F10" i="45"/>
  <c r="F11" i="45"/>
  <c r="F12" i="45"/>
  <c r="F13" i="45"/>
  <c r="F14" i="45"/>
  <c r="F15" i="45"/>
  <c r="F16" i="45"/>
  <c r="F17" i="45"/>
  <c r="F18" i="45"/>
  <c r="F19" i="45"/>
  <c r="F20" i="45"/>
  <c r="F21" i="45"/>
  <c r="F22" i="45"/>
  <c r="F23" i="45"/>
  <c r="F24" i="45"/>
  <c r="F25" i="45"/>
  <c r="F26" i="45"/>
  <c r="F27" i="45"/>
  <c r="F28" i="45"/>
  <c r="F29" i="45"/>
  <c r="F30" i="45"/>
  <c r="F31" i="45"/>
  <c r="F32" i="45"/>
  <c r="F33" i="45"/>
  <c r="F34" i="45"/>
  <c r="F35" i="45"/>
  <c r="F36" i="45"/>
  <c r="F37" i="45"/>
  <c r="F38" i="45"/>
  <c r="F39" i="45"/>
  <c r="F40" i="45"/>
  <c r="F41" i="45"/>
  <c r="F42" i="45"/>
  <c r="F43" i="45"/>
  <c r="F44" i="45"/>
  <c r="F45" i="45"/>
  <c r="F46" i="45"/>
  <c r="F47" i="45"/>
  <c r="F48" i="45"/>
  <c r="F49" i="45"/>
  <c r="F50" i="45"/>
  <c r="F51" i="45"/>
  <c r="F52" i="45"/>
  <c r="F53" i="45"/>
  <c r="F54" i="45"/>
  <c r="F55" i="45"/>
  <c r="F56" i="45"/>
  <c r="F57" i="45"/>
  <c r="F58" i="45"/>
  <c r="F59" i="45"/>
  <c r="F60" i="45"/>
  <c r="F61" i="45"/>
  <c r="F62" i="45"/>
  <c r="F63" i="45"/>
  <c r="F64" i="45"/>
  <c r="F65" i="45"/>
  <c r="F66" i="45"/>
  <c r="F67" i="45"/>
  <c r="F68" i="45"/>
  <c r="F69" i="45"/>
  <c r="F70" i="45"/>
  <c r="F71" i="45"/>
  <c r="F72" i="45"/>
  <c r="F73" i="45"/>
  <c r="F74" i="45"/>
  <c r="F75" i="45"/>
  <c r="F76" i="45"/>
  <c r="F77" i="45"/>
  <c r="F78" i="45"/>
  <c r="F79" i="45"/>
  <c r="F80" i="45"/>
  <c r="F81" i="45"/>
  <c r="F82" i="45"/>
  <c r="F83" i="45"/>
  <c r="F84" i="45"/>
  <c r="F85" i="45"/>
  <c r="F86" i="45"/>
  <c r="F87" i="45"/>
  <c r="F88" i="45"/>
  <c r="F89" i="45"/>
  <c r="F90" i="45"/>
  <c r="F91" i="45"/>
  <c r="F92" i="45"/>
  <c r="F93" i="45"/>
  <c r="F94" i="45"/>
  <c r="F95" i="45"/>
  <c r="F96" i="45"/>
  <c r="F97" i="45"/>
  <c r="F98" i="45"/>
  <c r="F99" i="45"/>
  <c r="F100" i="45"/>
  <c r="F101" i="45"/>
  <c r="F102" i="45"/>
  <c r="F103" i="45"/>
  <c r="F104" i="45"/>
  <c r="F105" i="45"/>
  <c r="F106" i="45"/>
  <c r="F107" i="45"/>
  <c r="F108" i="45"/>
  <c r="F109" i="45"/>
  <c r="F110" i="45"/>
  <c r="F111" i="45"/>
  <c r="F112" i="45"/>
  <c r="F113" i="45"/>
  <c r="F114" i="45"/>
  <c r="F115" i="45"/>
  <c r="F116" i="45"/>
  <c r="F117" i="45"/>
  <c r="F118" i="45"/>
  <c r="F119" i="45"/>
  <c r="F120" i="45"/>
  <c r="F121" i="45"/>
  <c r="F122" i="45"/>
  <c r="F123" i="45"/>
  <c r="F124" i="45"/>
  <c r="F125" i="45"/>
  <c r="F126" i="45"/>
  <c r="F127" i="45"/>
  <c r="F128" i="45"/>
  <c r="F129" i="45"/>
  <c r="F130" i="45"/>
  <c r="F131" i="45"/>
  <c r="F132" i="45"/>
  <c r="F133" i="45"/>
  <c r="F134" i="45"/>
  <c r="F135" i="45"/>
  <c r="F136" i="45"/>
  <c r="F137" i="45"/>
  <c r="F138" i="45"/>
  <c r="F139" i="45"/>
  <c r="F140" i="45"/>
  <c r="F141" i="45"/>
  <c r="F142" i="45"/>
  <c r="F143" i="45"/>
  <c r="F144" i="45"/>
  <c r="F145" i="45"/>
  <c r="F146" i="45"/>
  <c r="F147" i="45"/>
  <c r="F148" i="45"/>
  <c r="F149" i="45"/>
  <c r="F150" i="45"/>
  <c r="F151" i="45"/>
  <c r="F152" i="45"/>
  <c r="F153" i="45"/>
  <c r="F154" i="45"/>
  <c r="F155" i="45"/>
  <c r="F156" i="45"/>
  <c r="F157" i="45"/>
  <c r="F158" i="45"/>
  <c r="F159" i="45"/>
  <c r="F160" i="45"/>
  <c r="F161" i="45"/>
  <c r="F162" i="45"/>
  <c r="F163" i="45"/>
  <c r="F164" i="45"/>
  <c r="F165" i="45"/>
  <c r="F166" i="45"/>
  <c r="F167" i="45"/>
  <c r="F168" i="45"/>
  <c r="F169" i="45"/>
  <c r="F170" i="45"/>
  <c r="F171" i="45"/>
  <c r="F172" i="45"/>
  <c r="F173" i="45"/>
  <c r="F174" i="45"/>
  <c r="F175" i="45"/>
  <c r="F176" i="45"/>
  <c r="F177" i="45"/>
  <c r="F178" i="45"/>
  <c r="F179" i="45"/>
  <c r="F180" i="45"/>
  <c r="F181" i="45"/>
  <c r="F182" i="45"/>
  <c r="F183" i="45"/>
  <c r="F184" i="45"/>
  <c r="F185" i="45"/>
  <c r="F186" i="45"/>
  <c r="F187" i="45"/>
  <c r="F188" i="45"/>
  <c r="F189" i="45"/>
  <c r="F190" i="45"/>
  <c r="F191" i="45"/>
  <c r="F192" i="45"/>
  <c r="F193" i="45"/>
  <c r="F194" i="45"/>
  <c r="F195" i="45"/>
  <c r="F196" i="45"/>
  <c r="F197" i="45"/>
  <c r="F198" i="45"/>
  <c r="F199" i="45"/>
  <c r="F200" i="45"/>
  <c r="F201" i="45"/>
  <c r="F202" i="45"/>
  <c r="F203" i="45"/>
  <c r="F204" i="45"/>
  <c r="F205" i="45"/>
  <c r="F206" i="45"/>
  <c r="F207" i="45"/>
  <c r="F208" i="45"/>
  <c r="F209" i="45"/>
  <c r="F210" i="45"/>
  <c r="F211" i="45"/>
  <c r="F212" i="45"/>
  <c r="F213" i="45"/>
  <c r="F214" i="45"/>
  <c r="F215" i="45"/>
  <c r="F216" i="45"/>
  <c r="F217" i="45"/>
  <c r="F218" i="45"/>
  <c r="F219" i="45"/>
  <c r="F220" i="45"/>
  <c r="F221" i="45"/>
  <c r="F222" i="45"/>
  <c r="F223" i="45"/>
  <c r="F224" i="45"/>
  <c r="F225" i="45"/>
  <c r="F226" i="45"/>
  <c r="F227" i="45"/>
  <c r="F228" i="45"/>
  <c r="F229" i="45"/>
  <c r="F230" i="45"/>
  <c r="F231" i="45"/>
  <c r="F232" i="45"/>
  <c r="F233" i="45"/>
  <c r="F234" i="45"/>
  <c r="F235" i="45"/>
  <c r="F236" i="45"/>
  <c r="F237" i="45"/>
  <c r="F238" i="45"/>
  <c r="F239" i="45"/>
  <c r="F240" i="45"/>
  <c r="F241" i="45"/>
  <c r="F242" i="45"/>
  <c r="F243" i="45"/>
  <c r="F244" i="45"/>
  <c r="F245" i="45"/>
  <c r="F246" i="45"/>
  <c r="F247" i="45"/>
  <c r="F248" i="45"/>
  <c r="F249" i="45"/>
  <c r="F250" i="45"/>
  <c r="F251" i="45"/>
  <c r="F252" i="45"/>
  <c r="F253" i="45"/>
  <c r="F254" i="45"/>
  <c r="F255" i="45"/>
  <c r="F256" i="45"/>
  <c r="F257" i="45"/>
  <c r="F258" i="45"/>
  <c r="F259" i="45"/>
  <c r="F260" i="45"/>
  <c r="F261" i="45"/>
  <c r="F262" i="45"/>
  <c r="F263" i="45"/>
  <c r="F264" i="45"/>
  <c r="F265" i="45"/>
  <c r="F266" i="45"/>
  <c r="F267" i="45"/>
  <c r="F268" i="45"/>
  <c r="F269" i="45"/>
  <c r="F270" i="45"/>
  <c r="F271" i="45"/>
  <c r="F272" i="45"/>
  <c r="F273" i="45"/>
  <c r="F274" i="45"/>
  <c r="F275" i="45"/>
  <c r="F276" i="45"/>
  <c r="F277" i="45"/>
  <c r="F278" i="45"/>
  <c r="F279" i="45"/>
  <c r="F280" i="45"/>
  <c r="F281" i="45"/>
  <c r="F282" i="45"/>
  <c r="F283" i="45"/>
  <c r="F284" i="45"/>
  <c r="F285" i="45"/>
  <c r="F286" i="45"/>
  <c r="F287" i="45"/>
  <c r="F288" i="45"/>
  <c r="F289" i="45"/>
  <c r="F290" i="45"/>
  <c r="F291" i="45"/>
  <c r="F292" i="45"/>
  <c r="F293" i="45"/>
  <c r="F294" i="45"/>
  <c r="F295" i="45"/>
  <c r="F296" i="45"/>
  <c r="F297" i="45"/>
  <c r="F298" i="45"/>
  <c r="F299" i="45"/>
  <c r="F300" i="45"/>
  <c r="F301" i="45"/>
  <c r="F302" i="45"/>
  <c r="F303" i="45"/>
  <c r="F304" i="45"/>
  <c r="F305" i="45"/>
  <c r="F306" i="45"/>
  <c r="F307" i="45"/>
  <c r="F308" i="45"/>
  <c r="F309" i="45"/>
  <c r="F310" i="45"/>
  <c r="F311" i="45"/>
  <c r="F312" i="45"/>
  <c r="F313" i="45"/>
  <c r="F314" i="45"/>
  <c r="F315" i="45"/>
  <c r="F316" i="45"/>
  <c r="F317" i="45"/>
  <c r="F318" i="45"/>
  <c r="F319" i="45"/>
  <c r="F320" i="45"/>
  <c r="F321" i="45"/>
  <c r="F322" i="45"/>
  <c r="F323" i="45"/>
  <c r="F324" i="45"/>
  <c r="F325" i="45"/>
  <c r="F326" i="45"/>
  <c r="F327" i="45"/>
  <c r="F328" i="45"/>
  <c r="F329" i="45"/>
  <c r="F330" i="45"/>
  <c r="F331" i="45"/>
  <c r="F332" i="45"/>
  <c r="F333" i="45"/>
  <c r="F334" i="45"/>
  <c r="F335" i="45"/>
  <c r="F336" i="45"/>
  <c r="F337" i="45"/>
  <c r="F338" i="45"/>
  <c r="F339" i="45"/>
  <c r="F340" i="45"/>
  <c r="F341" i="45"/>
  <c r="F342" i="45"/>
  <c r="F343" i="45"/>
  <c r="F344" i="45"/>
  <c r="F345" i="45"/>
  <c r="F346" i="45"/>
  <c r="F347" i="45"/>
  <c r="F348" i="45"/>
  <c r="F349" i="45"/>
  <c r="F350" i="45"/>
  <c r="F351" i="45"/>
  <c r="F352" i="45"/>
  <c r="F353" i="45"/>
  <c r="F354" i="45"/>
  <c r="F355" i="45"/>
  <c r="F356" i="45"/>
  <c r="F357" i="45"/>
  <c r="F358" i="45"/>
  <c r="F359" i="45"/>
  <c r="F360" i="45"/>
  <c r="F361" i="45"/>
  <c r="F362" i="45"/>
  <c r="F363" i="45"/>
  <c r="F364" i="45"/>
  <c r="F365" i="45"/>
  <c r="F366" i="45"/>
  <c r="F367" i="45"/>
  <c r="F368" i="45"/>
  <c r="F369" i="45"/>
  <c r="F370" i="45"/>
  <c r="F371" i="45"/>
  <c r="F372" i="45"/>
  <c r="F373" i="45"/>
  <c r="F374" i="45"/>
  <c r="F375" i="45"/>
  <c r="F376" i="45"/>
  <c r="F377" i="45"/>
  <c r="F378" i="45"/>
  <c r="F379" i="45"/>
  <c r="F380" i="45"/>
  <c r="F381" i="45"/>
  <c r="F382" i="45"/>
  <c r="F383" i="45"/>
  <c r="F384" i="45"/>
  <c r="F385" i="45"/>
  <c r="F386" i="45"/>
  <c r="F387" i="45"/>
  <c r="F388" i="45"/>
  <c r="F389" i="45"/>
  <c r="F390" i="45"/>
  <c r="F391" i="45"/>
  <c r="F392" i="45"/>
  <c r="F393" i="45"/>
  <c r="F394" i="45"/>
  <c r="F395" i="45"/>
  <c r="F396" i="45"/>
  <c r="F397" i="45"/>
  <c r="F398" i="45"/>
  <c r="F399" i="45"/>
  <c r="F400" i="45"/>
  <c r="F401" i="45"/>
  <c r="F402" i="45"/>
  <c r="F403" i="45"/>
  <c r="F404" i="45"/>
  <c r="F405" i="45"/>
  <c r="F406" i="45"/>
  <c r="F407" i="45"/>
  <c r="F408" i="45"/>
  <c r="F409" i="45"/>
  <c r="F410" i="45"/>
  <c r="F411" i="45"/>
  <c r="F412" i="45"/>
  <c r="F413" i="45"/>
  <c r="F414" i="45"/>
  <c r="F415" i="45"/>
  <c r="F416" i="45"/>
  <c r="F417" i="45"/>
  <c r="F418" i="45"/>
  <c r="F419" i="45"/>
  <c r="F420" i="45"/>
  <c r="F421" i="45"/>
  <c r="F422" i="45"/>
  <c r="F423" i="45"/>
  <c r="F424" i="45"/>
  <c r="F425" i="45"/>
  <c r="F426" i="45"/>
  <c r="F427" i="45"/>
  <c r="F428" i="45"/>
  <c r="F429" i="45"/>
  <c r="F430" i="45"/>
  <c r="F431" i="45"/>
  <c r="F432" i="45"/>
  <c r="F433" i="45"/>
  <c r="F434" i="45"/>
  <c r="F435" i="45"/>
  <c r="F436" i="45"/>
  <c r="F437" i="45"/>
  <c r="F438" i="45"/>
  <c r="F439" i="45"/>
  <c r="F440" i="45"/>
  <c r="F441" i="45"/>
  <c r="F442" i="45"/>
  <c r="F443" i="45"/>
  <c r="F444" i="45"/>
  <c r="F445" i="45"/>
  <c r="F446" i="45"/>
  <c r="F447" i="45"/>
  <c r="F448" i="45"/>
  <c r="F449" i="45"/>
  <c r="F450" i="45"/>
  <c r="F451" i="45"/>
  <c r="F452" i="45"/>
  <c r="F453" i="45"/>
  <c r="F454" i="45"/>
  <c r="F455" i="45"/>
  <c r="F456" i="45"/>
  <c r="F457" i="45"/>
  <c r="F458" i="45"/>
  <c r="F459" i="45"/>
  <c r="F460" i="45"/>
  <c r="F461" i="45"/>
  <c r="F462" i="45"/>
  <c r="F463" i="45"/>
  <c r="F464" i="45"/>
  <c r="F465" i="45"/>
  <c r="F466" i="45"/>
  <c r="F467" i="45"/>
  <c r="F468" i="45"/>
  <c r="F469" i="45"/>
  <c r="F470" i="45"/>
  <c r="F471" i="45"/>
  <c r="F472" i="45"/>
  <c r="F473" i="45"/>
  <c r="F474" i="45"/>
  <c r="F475" i="45"/>
  <c r="F476" i="45"/>
  <c r="F477" i="45"/>
  <c r="F478" i="45"/>
  <c r="F479" i="45"/>
  <c r="F480" i="45"/>
  <c r="F481" i="45"/>
  <c r="F482" i="45"/>
  <c r="F483" i="45"/>
  <c r="F484" i="45"/>
  <c r="F485" i="45"/>
  <c r="F486" i="45"/>
  <c r="F487" i="45"/>
  <c r="F488" i="45"/>
  <c r="F489" i="45"/>
  <c r="F490" i="45"/>
  <c r="F491" i="45"/>
  <c r="F492" i="45"/>
  <c r="F493" i="45"/>
  <c r="F494" i="45"/>
  <c r="F495" i="45"/>
  <c r="F496" i="45"/>
  <c r="F497" i="45"/>
  <c r="F498" i="45"/>
  <c r="F499" i="45"/>
  <c r="F500" i="45"/>
  <c r="F501" i="45"/>
  <c r="F502" i="45"/>
  <c r="F503" i="45"/>
  <c r="F504" i="45"/>
  <c r="F505" i="45"/>
  <c r="F506" i="45"/>
  <c r="F507" i="45"/>
  <c r="F508" i="45"/>
  <c r="F509" i="45"/>
  <c r="F510" i="45"/>
  <c r="F511" i="45"/>
  <c r="F512" i="45"/>
  <c r="F513" i="45"/>
  <c r="F514" i="45"/>
  <c r="F515" i="45"/>
  <c r="F516" i="45"/>
  <c r="F517" i="45"/>
  <c r="F518" i="45"/>
  <c r="F519" i="45"/>
  <c r="F520" i="45"/>
  <c r="F521" i="45"/>
  <c r="F522" i="45"/>
  <c r="F523" i="45"/>
  <c r="F524" i="45"/>
  <c r="F525" i="45"/>
  <c r="F526" i="45"/>
  <c r="F527" i="45"/>
  <c r="F528" i="45"/>
  <c r="F529" i="45"/>
  <c r="F530" i="45"/>
  <c r="F531" i="45"/>
  <c r="F532" i="45"/>
  <c r="F533" i="45"/>
  <c r="F534" i="45"/>
  <c r="F535" i="45"/>
  <c r="F536" i="45"/>
  <c r="F537" i="45"/>
  <c r="F538" i="45"/>
  <c r="F539" i="45"/>
  <c r="F540" i="45"/>
  <c r="F541" i="45"/>
  <c r="F542" i="45"/>
  <c r="F543" i="45"/>
  <c r="F544" i="45"/>
  <c r="F545" i="45"/>
  <c r="F546" i="45"/>
  <c r="F547" i="45"/>
  <c r="F548" i="45"/>
  <c r="F549" i="45"/>
  <c r="F550" i="45"/>
  <c r="F551" i="45"/>
  <c r="F552" i="45"/>
  <c r="F553" i="45"/>
  <c r="F554" i="45"/>
  <c r="F555" i="45"/>
  <c r="F556" i="45"/>
  <c r="F557" i="45"/>
  <c r="F558" i="45"/>
  <c r="F559" i="45"/>
  <c r="F560" i="45"/>
  <c r="F561" i="45"/>
  <c r="F562" i="45"/>
  <c r="F563" i="45"/>
  <c r="F564" i="45"/>
  <c r="F565" i="45"/>
  <c r="F566" i="45"/>
  <c r="F567" i="45"/>
  <c r="F568" i="45"/>
  <c r="F569" i="45"/>
  <c r="F570" i="45"/>
  <c r="F571" i="45"/>
  <c r="F572" i="45"/>
  <c r="F573" i="45"/>
  <c r="F574" i="45"/>
  <c r="F575" i="45"/>
  <c r="F576" i="45"/>
  <c r="F577" i="45"/>
  <c r="F578" i="45"/>
  <c r="F579" i="45"/>
  <c r="F580" i="45"/>
  <c r="F581" i="45"/>
  <c r="F582" i="45"/>
  <c r="F583" i="45"/>
  <c r="F584" i="45"/>
  <c r="F585" i="45"/>
  <c r="F586" i="45"/>
  <c r="F587" i="45"/>
  <c r="F588" i="45"/>
  <c r="F589" i="45"/>
  <c r="F590" i="45"/>
  <c r="F591" i="45"/>
  <c r="F592" i="45"/>
  <c r="F593" i="45"/>
  <c r="F594" i="45"/>
  <c r="F595" i="45"/>
  <c r="F596" i="45"/>
  <c r="F597" i="45"/>
  <c r="F598" i="45"/>
  <c r="F599" i="45"/>
  <c r="F600" i="45"/>
  <c r="F601" i="45"/>
  <c r="F602" i="45"/>
  <c r="F603" i="45"/>
  <c r="F604" i="45"/>
  <c r="F605" i="45"/>
  <c r="F606" i="45"/>
  <c r="F607" i="45"/>
  <c r="F608" i="45"/>
  <c r="F609" i="45"/>
  <c r="F610" i="45"/>
  <c r="F611" i="45"/>
  <c r="F612" i="45"/>
  <c r="F613" i="45"/>
  <c r="F614" i="45"/>
  <c r="F615" i="45"/>
  <c r="F616" i="45"/>
  <c r="F617" i="45"/>
  <c r="F618" i="45"/>
  <c r="F619" i="45"/>
  <c r="F620" i="45"/>
  <c r="F621" i="45"/>
  <c r="F622" i="45"/>
  <c r="F623" i="45"/>
  <c r="F624" i="45"/>
  <c r="F625" i="45"/>
  <c r="F626" i="45"/>
  <c r="F627" i="45"/>
  <c r="F628" i="45"/>
  <c r="F629" i="45"/>
  <c r="F630" i="45"/>
  <c r="F631" i="45"/>
  <c r="F632" i="45"/>
  <c r="F633" i="45"/>
  <c r="F634" i="45"/>
  <c r="F635" i="45"/>
  <c r="F636" i="45"/>
  <c r="F637" i="45"/>
  <c r="F638" i="45"/>
  <c r="F639" i="45"/>
  <c r="F640" i="45"/>
  <c r="F641" i="45"/>
  <c r="F642" i="45"/>
  <c r="F643" i="45"/>
  <c r="F644" i="45"/>
  <c r="F645" i="45"/>
  <c r="F646" i="45"/>
  <c r="F647" i="45"/>
  <c r="F648" i="45"/>
  <c r="F649" i="45"/>
  <c r="F650" i="45"/>
  <c r="F651" i="45"/>
  <c r="F652" i="45"/>
  <c r="F653" i="45"/>
  <c r="F654" i="45"/>
  <c r="F655" i="45"/>
  <c r="F656" i="45"/>
  <c r="F657" i="45"/>
  <c r="F658" i="45"/>
  <c r="F659" i="45"/>
  <c r="F660" i="45"/>
  <c r="F661" i="45"/>
  <c r="F662" i="45"/>
  <c r="F663" i="45"/>
  <c r="F664" i="45"/>
  <c r="F665" i="45"/>
  <c r="F666" i="45"/>
  <c r="F667" i="45"/>
  <c r="F668" i="45"/>
  <c r="F669" i="45"/>
  <c r="F670" i="45"/>
  <c r="F671" i="45"/>
  <c r="F672" i="45"/>
  <c r="F673" i="45"/>
  <c r="F674" i="45"/>
  <c r="F675" i="45"/>
  <c r="F676" i="45"/>
  <c r="F677" i="45"/>
  <c r="F678" i="45"/>
  <c r="F679" i="45"/>
  <c r="F680" i="45"/>
  <c r="F681" i="45"/>
  <c r="F682" i="45"/>
  <c r="F683" i="45"/>
  <c r="F684" i="45"/>
  <c r="F685" i="45"/>
  <c r="F686" i="45"/>
  <c r="F687" i="45"/>
  <c r="F688" i="45"/>
  <c r="F689" i="45"/>
  <c r="F690" i="45"/>
  <c r="F691" i="45"/>
  <c r="F692" i="45"/>
  <c r="F693" i="45"/>
  <c r="F694" i="45"/>
  <c r="F695" i="45"/>
  <c r="F696" i="45"/>
  <c r="F697" i="45"/>
  <c r="F698" i="45"/>
  <c r="F699" i="45"/>
  <c r="F700" i="45"/>
  <c r="F701" i="45"/>
  <c r="F702" i="45"/>
  <c r="F703" i="45"/>
  <c r="F704" i="45"/>
  <c r="F705" i="45"/>
  <c r="F706" i="45"/>
  <c r="F707" i="45"/>
  <c r="F708" i="45"/>
  <c r="F709" i="45"/>
  <c r="F710" i="45"/>
  <c r="F711" i="45"/>
  <c r="F712" i="45"/>
  <c r="F713" i="45"/>
  <c r="F714" i="45"/>
  <c r="F715" i="45"/>
  <c r="F716" i="45"/>
  <c r="F717" i="45"/>
  <c r="F718" i="45"/>
  <c r="F719" i="45"/>
  <c r="F720" i="45"/>
  <c r="F721" i="45"/>
  <c r="F722" i="45"/>
  <c r="F723" i="45"/>
  <c r="F724" i="45"/>
  <c r="F725" i="45"/>
  <c r="F726" i="45"/>
  <c r="F727" i="45"/>
  <c r="F728" i="45"/>
  <c r="F729" i="45"/>
  <c r="F730" i="45"/>
  <c r="F731" i="45"/>
  <c r="F732" i="45"/>
  <c r="F733" i="45"/>
  <c r="F734" i="45"/>
  <c r="F735" i="45"/>
  <c r="F736" i="45"/>
  <c r="F737" i="45"/>
  <c r="F738" i="45"/>
  <c r="F739" i="45"/>
  <c r="F740" i="45"/>
  <c r="F741" i="45"/>
  <c r="F742" i="45"/>
  <c r="F743" i="45"/>
  <c r="F744" i="45"/>
  <c r="F745" i="45"/>
  <c r="F746" i="45"/>
  <c r="F747" i="45"/>
  <c r="F748" i="45"/>
  <c r="F749" i="45"/>
  <c r="F750" i="45"/>
  <c r="F751" i="45"/>
  <c r="F752" i="45"/>
  <c r="F753" i="45"/>
  <c r="F754" i="45"/>
  <c r="F755" i="45"/>
  <c r="F756" i="45"/>
  <c r="F757" i="45"/>
  <c r="F758" i="45"/>
  <c r="F759" i="45"/>
  <c r="F760" i="45"/>
  <c r="F761" i="45"/>
  <c r="F762" i="45"/>
  <c r="F763" i="45"/>
  <c r="F764" i="45"/>
  <c r="F765" i="45"/>
  <c r="F766" i="45"/>
  <c r="F767" i="45"/>
  <c r="F768" i="45"/>
  <c r="F769" i="45"/>
  <c r="F770" i="45"/>
  <c r="F771" i="45"/>
  <c r="F772" i="45"/>
  <c r="F773" i="45"/>
  <c r="F774" i="45"/>
  <c r="F775" i="45"/>
  <c r="F776" i="45"/>
  <c r="F777" i="45"/>
  <c r="F778" i="45"/>
  <c r="F779" i="45"/>
  <c r="F780" i="45"/>
  <c r="F781" i="45"/>
  <c r="F782" i="45"/>
  <c r="F783" i="45"/>
  <c r="F784" i="45"/>
  <c r="F785" i="45"/>
  <c r="F786" i="45"/>
  <c r="F787" i="45"/>
  <c r="F788" i="45"/>
  <c r="F789" i="45"/>
  <c r="F790" i="45"/>
  <c r="F791" i="45"/>
  <c r="F792" i="45"/>
  <c r="F793" i="45"/>
  <c r="F794" i="45"/>
  <c r="F795" i="45"/>
  <c r="F796" i="45"/>
  <c r="F797" i="45"/>
  <c r="F798" i="45"/>
  <c r="F799" i="45"/>
  <c r="F800" i="45"/>
  <c r="F801" i="45"/>
  <c r="F802" i="45"/>
  <c r="F803" i="45"/>
  <c r="F804" i="45"/>
  <c r="F805" i="45"/>
  <c r="F806" i="45"/>
  <c r="F807" i="45"/>
  <c r="F808" i="45"/>
  <c r="F809" i="45"/>
  <c r="F810" i="45"/>
  <c r="F811" i="45"/>
  <c r="F812" i="45"/>
  <c r="F813" i="45"/>
  <c r="F814" i="45"/>
  <c r="F815" i="45"/>
  <c r="F816" i="45"/>
  <c r="F817" i="45"/>
  <c r="F818" i="45"/>
  <c r="F819" i="45"/>
  <c r="F820" i="45"/>
  <c r="F821" i="45"/>
  <c r="F822" i="45"/>
  <c r="F823" i="45"/>
  <c r="F824" i="45"/>
  <c r="F825" i="45"/>
  <c r="F826" i="45"/>
  <c r="F827" i="45"/>
  <c r="F828" i="45"/>
  <c r="F829" i="45"/>
  <c r="F830" i="45"/>
  <c r="F831" i="45"/>
  <c r="F832" i="45"/>
  <c r="F833" i="45"/>
  <c r="F834" i="45"/>
  <c r="F835" i="45"/>
  <c r="F836" i="45"/>
  <c r="F837" i="45"/>
  <c r="F838" i="45"/>
  <c r="F839" i="45"/>
  <c r="F840" i="45"/>
  <c r="F841" i="45"/>
  <c r="F842" i="45"/>
  <c r="F843" i="45"/>
  <c r="F844" i="45"/>
  <c r="F845" i="45"/>
  <c r="F846" i="45"/>
  <c r="F847" i="45"/>
  <c r="F848" i="45"/>
  <c r="F849" i="45"/>
  <c r="F850" i="45"/>
  <c r="F851" i="45"/>
  <c r="F852" i="45"/>
  <c r="F853" i="45"/>
  <c r="F854" i="45"/>
  <c r="F855" i="45"/>
  <c r="F856" i="45"/>
  <c r="F857" i="45"/>
  <c r="F858" i="45"/>
  <c r="F859" i="45"/>
  <c r="F860" i="45"/>
  <c r="F861" i="45"/>
  <c r="F862" i="45"/>
  <c r="F863" i="45"/>
  <c r="F864" i="45"/>
  <c r="F865" i="45"/>
  <c r="F866" i="45"/>
  <c r="F867" i="45"/>
  <c r="F868" i="45"/>
  <c r="F869" i="45"/>
  <c r="F870" i="45"/>
  <c r="F871" i="45"/>
  <c r="F872" i="45"/>
  <c r="F873" i="45"/>
  <c r="F874" i="45"/>
  <c r="F875" i="45"/>
  <c r="F876" i="45"/>
  <c r="F877" i="45"/>
  <c r="F878" i="45"/>
  <c r="F879" i="45"/>
  <c r="F880" i="45"/>
  <c r="F881" i="45"/>
  <c r="F882" i="45"/>
  <c r="F883" i="45"/>
  <c r="F884" i="45"/>
  <c r="F885" i="45"/>
  <c r="F886" i="45"/>
  <c r="F887" i="45"/>
  <c r="F888" i="45"/>
  <c r="F889" i="45"/>
  <c r="F890" i="45"/>
  <c r="F891" i="45"/>
  <c r="F892" i="45"/>
  <c r="F893" i="45"/>
  <c r="F894" i="45"/>
  <c r="F895" i="45"/>
  <c r="F896" i="45"/>
  <c r="F897" i="45"/>
  <c r="F898" i="45"/>
  <c r="F899" i="45"/>
  <c r="F900" i="45"/>
  <c r="F901" i="45"/>
  <c r="F902" i="45"/>
  <c r="F903" i="45"/>
  <c r="F904" i="45"/>
  <c r="F905" i="45"/>
  <c r="F906" i="45"/>
  <c r="F907" i="45"/>
  <c r="F908" i="45"/>
  <c r="F909" i="45"/>
  <c r="F910" i="45"/>
  <c r="F911" i="45"/>
  <c r="F912" i="45"/>
  <c r="F913" i="45"/>
  <c r="F914" i="45"/>
  <c r="F915" i="45"/>
  <c r="F916" i="45"/>
  <c r="F917" i="45"/>
  <c r="F918" i="45"/>
  <c r="F919" i="45"/>
  <c r="F920" i="45"/>
  <c r="F921" i="45"/>
  <c r="F922" i="45"/>
  <c r="F923" i="45"/>
  <c r="F924" i="45"/>
  <c r="F925" i="45"/>
  <c r="F926" i="45"/>
  <c r="F927" i="45"/>
  <c r="F928" i="45"/>
  <c r="F929" i="45"/>
  <c r="F930" i="45"/>
  <c r="F931" i="45"/>
  <c r="F932" i="45"/>
  <c r="F933" i="45"/>
  <c r="F934" i="45"/>
  <c r="F935" i="45"/>
  <c r="F936" i="45"/>
  <c r="F937" i="45"/>
  <c r="F938" i="45"/>
  <c r="F939" i="45"/>
  <c r="F940" i="45"/>
  <c r="F941" i="45"/>
  <c r="F942" i="45"/>
  <c r="F943" i="45"/>
  <c r="F944" i="45"/>
  <c r="F945" i="45"/>
  <c r="F946" i="45"/>
  <c r="F947" i="45"/>
  <c r="F948" i="45"/>
  <c r="F949" i="45"/>
  <c r="F950" i="45"/>
  <c r="F951" i="45"/>
  <c r="F952" i="45"/>
  <c r="F953" i="45"/>
  <c r="F954" i="45"/>
  <c r="F955" i="45"/>
  <c r="F956" i="45"/>
  <c r="F957" i="45"/>
  <c r="F958" i="45"/>
  <c r="F959" i="45"/>
  <c r="F960" i="45"/>
  <c r="F961" i="45"/>
  <c r="F962" i="45"/>
  <c r="F963" i="45"/>
  <c r="F964" i="45"/>
  <c r="F965" i="45"/>
  <c r="F966" i="45"/>
  <c r="F967" i="45"/>
  <c r="F968" i="45"/>
  <c r="F969" i="45"/>
  <c r="F970" i="45"/>
  <c r="F971" i="45"/>
  <c r="F972" i="45"/>
  <c r="F973" i="45"/>
  <c r="F974" i="45"/>
  <c r="F975" i="45"/>
  <c r="F976" i="45"/>
  <c r="F977" i="45"/>
  <c r="F978" i="45"/>
  <c r="F979" i="45"/>
  <c r="F980" i="45"/>
  <c r="F981" i="45"/>
  <c r="F982" i="45"/>
  <c r="F983" i="45"/>
  <c r="F984" i="45"/>
  <c r="F985" i="45"/>
  <c r="F986" i="45"/>
  <c r="F987" i="45"/>
  <c r="F988" i="45"/>
  <c r="F989" i="45"/>
  <c r="F990" i="45"/>
  <c r="F991" i="45"/>
  <c r="F992" i="45"/>
  <c r="F993" i="45"/>
  <c r="F994" i="45"/>
  <c r="F995" i="45"/>
  <c r="F996" i="45"/>
  <c r="F997" i="45"/>
  <c r="F998" i="45"/>
  <c r="F999" i="45"/>
  <c r="F1000" i="45"/>
  <c r="F1001" i="45"/>
  <c r="F1002" i="45"/>
  <c r="F1003" i="45"/>
  <c r="F1004" i="45"/>
  <c r="F1005" i="45"/>
  <c r="F1006" i="45"/>
  <c r="F1007" i="45"/>
  <c r="F1008" i="45"/>
  <c r="F1009" i="45"/>
  <c r="F1010" i="45"/>
  <c r="F1011" i="45"/>
  <c r="F1012" i="45"/>
  <c r="F1013" i="45"/>
  <c r="F1014" i="45"/>
  <c r="F1015" i="45"/>
  <c r="F1016" i="45"/>
  <c r="F1017" i="45"/>
  <c r="F1018" i="45"/>
  <c r="F1019" i="45"/>
  <c r="F1020" i="45"/>
  <c r="F1021" i="45"/>
  <c r="F1022" i="45"/>
  <c r="F1023" i="45"/>
  <c r="F1024" i="45"/>
  <c r="F1025" i="45"/>
  <c r="F1026" i="45"/>
  <c r="F1027" i="45"/>
  <c r="F1028" i="45"/>
  <c r="F1029" i="45"/>
  <c r="F1030" i="45"/>
  <c r="F1031" i="45"/>
  <c r="F1032" i="45"/>
  <c r="F1033" i="45"/>
  <c r="F1034" i="45"/>
  <c r="F1035" i="45"/>
  <c r="F1036" i="45"/>
  <c r="F1037" i="45"/>
  <c r="F1038" i="45"/>
  <c r="F1039" i="45"/>
  <c r="F1040" i="45"/>
  <c r="F1041" i="45"/>
  <c r="F1042" i="45"/>
  <c r="F1043" i="45"/>
  <c r="F1044" i="45"/>
  <c r="F1045" i="45"/>
  <c r="F1046" i="45"/>
  <c r="F1047" i="45"/>
  <c r="F1048" i="45"/>
  <c r="F1049" i="45"/>
  <c r="F1050" i="45"/>
  <c r="F1051" i="45"/>
  <c r="F1052" i="45"/>
  <c r="F1053" i="45"/>
  <c r="F1054" i="45"/>
  <c r="F1055" i="45"/>
  <c r="F1056" i="45"/>
  <c r="F1057" i="45"/>
  <c r="F1058" i="45"/>
  <c r="F1059" i="45"/>
  <c r="F1060" i="45"/>
  <c r="F1061" i="45"/>
  <c r="F1062" i="45"/>
  <c r="F1063" i="45"/>
  <c r="F1064" i="45"/>
  <c r="F1065" i="45"/>
  <c r="F1066" i="45"/>
  <c r="F1067" i="45"/>
  <c r="F1068" i="45"/>
  <c r="F1069" i="45"/>
  <c r="F1070" i="45"/>
  <c r="F1071" i="45"/>
  <c r="F1072" i="45"/>
  <c r="F1073" i="45"/>
  <c r="F1074" i="45"/>
  <c r="F1075" i="45"/>
  <c r="F1076" i="45"/>
  <c r="F1077" i="45"/>
  <c r="F1078" i="45"/>
  <c r="F1079" i="45"/>
  <c r="F1080" i="45"/>
  <c r="F1081" i="45"/>
  <c r="F1082" i="45"/>
  <c r="F1083" i="45"/>
  <c r="F1084" i="45"/>
  <c r="F1085" i="45"/>
  <c r="F1086" i="45"/>
  <c r="F1087" i="45"/>
  <c r="F1088" i="45"/>
  <c r="F1089" i="45"/>
  <c r="F1090" i="45"/>
  <c r="F1091" i="45"/>
  <c r="F1092" i="45"/>
  <c r="F1093" i="45"/>
  <c r="F1094" i="45"/>
  <c r="F1095" i="45"/>
  <c r="F1096" i="45"/>
  <c r="F1097" i="45"/>
  <c r="F1098" i="45"/>
  <c r="F1099" i="45"/>
  <c r="F1100" i="45"/>
  <c r="F1101" i="45"/>
  <c r="F1102" i="45"/>
  <c r="F1103" i="45"/>
  <c r="F1104" i="45"/>
  <c r="F1105" i="45"/>
  <c r="F1106" i="45"/>
  <c r="F1107" i="45"/>
  <c r="F1108" i="45"/>
  <c r="F1109" i="45"/>
  <c r="F1110" i="45"/>
  <c r="F1111" i="45"/>
  <c r="F1112" i="45"/>
  <c r="F1113" i="45"/>
  <c r="F1114" i="45"/>
  <c r="F1115" i="45"/>
  <c r="F1116" i="45"/>
  <c r="F1117" i="45"/>
  <c r="F1118" i="45"/>
  <c r="F1119" i="45"/>
  <c r="F1120" i="45"/>
  <c r="F1121" i="45"/>
  <c r="F1122" i="45"/>
  <c r="F1123" i="45"/>
  <c r="F1124" i="45"/>
  <c r="F1125" i="45"/>
  <c r="F1126" i="45"/>
  <c r="F1127" i="45"/>
  <c r="F1128" i="45"/>
  <c r="F1129" i="45"/>
  <c r="F1130" i="45"/>
  <c r="F1131" i="45"/>
  <c r="F1132" i="45"/>
  <c r="F1133" i="45"/>
  <c r="F1134" i="45"/>
  <c r="F1135" i="45"/>
  <c r="F1136" i="45"/>
  <c r="F1137" i="45"/>
  <c r="F1138" i="45"/>
  <c r="F1139" i="45"/>
  <c r="F1140" i="45"/>
  <c r="F1141" i="45"/>
  <c r="F1142" i="45"/>
  <c r="F1143" i="45"/>
  <c r="F1144" i="45"/>
  <c r="F1145" i="45"/>
  <c r="F1146" i="45"/>
  <c r="F1147" i="45"/>
  <c r="F1148" i="45"/>
  <c r="F1149" i="45"/>
  <c r="F1150" i="45"/>
  <c r="F1151" i="45"/>
  <c r="F1152" i="45"/>
  <c r="F1153" i="45"/>
  <c r="F1154" i="45"/>
  <c r="F1155" i="45"/>
  <c r="F1156" i="45"/>
  <c r="F1157" i="45"/>
  <c r="F1158" i="45"/>
  <c r="F1159" i="45"/>
  <c r="F1160" i="45"/>
  <c r="F1161" i="45"/>
  <c r="F1162" i="45"/>
  <c r="F1163" i="45"/>
  <c r="F1164" i="45"/>
  <c r="F1165" i="45"/>
  <c r="F1166" i="45"/>
  <c r="F1167" i="45"/>
  <c r="F1168" i="45"/>
  <c r="F1169" i="45"/>
  <c r="F1170" i="45"/>
  <c r="F1171" i="45"/>
  <c r="F1172" i="45"/>
  <c r="F1173" i="45"/>
  <c r="F1174" i="45"/>
  <c r="F1175" i="45"/>
  <c r="F1176" i="45"/>
  <c r="F1177" i="45"/>
  <c r="F1178" i="45"/>
  <c r="F1179" i="45"/>
  <c r="F1180" i="45"/>
  <c r="F1181" i="45"/>
  <c r="F1182" i="45"/>
  <c r="F1183" i="45"/>
  <c r="F1184" i="45"/>
  <c r="F1185" i="45"/>
  <c r="F1186" i="45"/>
  <c r="F1187" i="45"/>
  <c r="F1188" i="45"/>
  <c r="F1189" i="45"/>
  <c r="F1190" i="45"/>
  <c r="F1191" i="45"/>
  <c r="F1192" i="45"/>
  <c r="F1193" i="45"/>
  <c r="F1194" i="45"/>
  <c r="F1195" i="45"/>
  <c r="F1196" i="45"/>
  <c r="F1197" i="45"/>
  <c r="F1198" i="45"/>
  <c r="F1199" i="45"/>
  <c r="F1200" i="45"/>
  <c r="F1201" i="45"/>
  <c r="F1202" i="45"/>
  <c r="F1203" i="45"/>
  <c r="F1204" i="45"/>
  <c r="F1205" i="45"/>
  <c r="F1206" i="45"/>
  <c r="F1207" i="45"/>
  <c r="F1208" i="45"/>
  <c r="F1209" i="45"/>
  <c r="F1210" i="45"/>
  <c r="F1211" i="45"/>
  <c r="F1212" i="45"/>
  <c r="F1213" i="45"/>
  <c r="F1214" i="45"/>
  <c r="F1215" i="45"/>
  <c r="F1216" i="45"/>
  <c r="F1217" i="45"/>
  <c r="F1218" i="45"/>
  <c r="F1219" i="45"/>
  <c r="F1220" i="45"/>
  <c r="F1221" i="45"/>
  <c r="F1222" i="45"/>
  <c r="F1223" i="45"/>
  <c r="F1224" i="45"/>
  <c r="F1225" i="45"/>
  <c r="F1226" i="45"/>
  <c r="F1227" i="45"/>
  <c r="F1228" i="45"/>
  <c r="F1229" i="45"/>
  <c r="F1230" i="45"/>
  <c r="F1231" i="45"/>
  <c r="F1232" i="45"/>
  <c r="F1233" i="45"/>
  <c r="F1234" i="45"/>
  <c r="F1235" i="45"/>
  <c r="F1236" i="45"/>
  <c r="F1237" i="45"/>
  <c r="F1238" i="45"/>
  <c r="F1239" i="45"/>
  <c r="F1240" i="45"/>
  <c r="F1241" i="45"/>
  <c r="F1242" i="45"/>
  <c r="F1243" i="45"/>
  <c r="F1244" i="45"/>
  <c r="F1245" i="45"/>
  <c r="F1246" i="45"/>
  <c r="F1247" i="45"/>
  <c r="F1248" i="45"/>
  <c r="F1249" i="45"/>
  <c r="F1250" i="45"/>
  <c r="F1251" i="45"/>
  <c r="F1252" i="45"/>
  <c r="F1253" i="45"/>
  <c r="F1254" i="45"/>
  <c r="F1255" i="45"/>
  <c r="F1256" i="45"/>
  <c r="F1257" i="45"/>
  <c r="F1258" i="45"/>
  <c r="F1259" i="45"/>
  <c r="F1260" i="45"/>
  <c r="F1261" i="45"/>
  <c r="F1262" i="45"/>
  <c r="F1263" i="45"/>
  <c r="F1264" i="45"/>
  <c r="F1265" i="45"/>
  <c r="F1266" i="45"/>
  <c r="F1267" i="45"/>
  <c r="F1268" i="45"/>
  <c r="F1269" i="45"/>
  <c r="F1270" i="45"/>
  <c r="F1271" i="45"/>
  <c r="F1272" i="45"/>
  <c r="F1273" i="45"/>
  <c r="F1274" i="45"/>
  <c r="F1275" i="45"/>
  <c r="F1276" i="45"/>
  <c r="F1277" i="45"/>
  <c r="F1278" i="45"/>
  <c r="F1279" i="45"/>
  <c r="F1280" i="45"/>
  <c r="F1281" i="45"/>
  <c r="F1282" i="45"/>
  <c r="F1283" i="45"/>
  <c r="F1284" i="45"/>
  <c r="F1285" i="45"/>
  <c r="F1286" i="45"/>
  <c r="F1287" i="45"/>
  <c r="F1288" i="45"/>
  <c r="F1289" i="45"/>
  <c r="F1290" i="45"/>
  <c r="F1291" i="45"/>
  <c r="F1292" i="45"/>
  <c r="F1293" i="45"/>
  <c r="F1294" i="45"/>
  <c r="F1295" i="45"/>
  <c r="F1296" i="45"/>
  <c r="F1297" i="45"/>
  <c r="F1298" i="45"/>
  <c r="F1299" i="45"/>
  <c r="F1300" i="45"/>
  <c r="F1301" i="45"/>
  <c r="F1302" i="45"/>
  <c r="F1303" i="45"/>
  <c r="F1304" i="45"/>
  <c r="F1305" i="45"/>
  <c r="F1306" i="45"/>
  <c r="F1307" i="45"/>
  <c r="F1308" i="45"/>
  <c r="F1309" i="45"/>
  <c r="F1310" i="45"/>
  <c r="F1311" i="45"/>
  <c r="F1312" i="45"/>
  <c r="F1313" i="45"/>
  <c r="F1314" i="45"/>
  <c r="F1315" i="45"/>
  <c r="F1316" i="45"/>
  <c r="F1317" i="45"/>
  <c r="F1318" i="45"/>
  <c r="F1319" i="45"/>
  <c r="F1320" i="45"/>
  <c r="F1321" i="45"/>
  <c r="F1322" i="45"/>
  <c r="F1323" i="45"/>
  <c r="F1324" i="45"/>
  <c r="F1325" i="45"/>
  <c r="F1326" i="45"/>
  <c r="F1327" i="45"/>
  <c r="F1328" i="45"/>
  <c r="F1329" i="45"/>
  <c r="F1330" i="45"/>
  <c r="F1331" i="45"/>
  <c r="F1332" i="45"/>
  <c r="F1333" i="45"/>
  <c r="F1334" i="45"/>
  <c r="F1335" i="45"/>
  <c r="F1336" i="45"/>
  <c r="F1337" i="45"/>
  <c r="F1338" i="45"/>
  <c r="F1339" i="45"/>
  <c r="F1340" i="45"/>
  <c r="F1341" i="45"/>
  <c r="F1342" i="45"/>
  <c r="F1343" i="45"/>
  <c r="F1344" i="45"/>
  <c r="F1345" i="45"/>
  <c r="F1346" i="45"/>
  <c r="F1347" i="45"/>
  <c r="F1348" i="45"/>
  <c r="F1349" i="45"/>
  <c r="F1350" i="45"/>
  <c r="F1351" i="45"/>
  <c r="F1352" i="45"/>
  <c r="F1353" i="45"/>
  <c r="F1354" i="45"/>
  <c r="F1355" i="45"/>
  <c r="F1356" i="45"/>
  <c r="F1357" i="45"/>
  <c r="F1358" i="45"/>
  <c r="F1359" i="45"/>
  <c r="F1360" i="45"/>
  <c r="F1361" i="45"/>
  <c r="F1362" i="45"/>
  <c r="F1363" i="45"/>
  <c r="F1364" i="45"/>
  <c r="F1365" i="45"/>
  <c r="F1366" i="45"/>
  <c r="F1367" i="45"/>
  <c r="F1368" i="45"/>
  <c r="F1369" i="45"/>
  <c r="F1370" i="45"/>
  <c r="F1371" i="45"/>
  <c r="F1372" i="45"/>
  <c r="F1373" i="45"/>
  <c r="F1374" i="45"/>
  <c r="F1375" i="45"/>
  <c r="F1376" i="45"/>
  <c r="F1377" i="45"/>
  <c r="F1378" i="45"/>
  <c r="F1379" i="45"/>
  <c r="F1380" i="45"/>
  <c r="F1381" i="45"/>
  <c r="F1382" i="45"/>
  <c r="F1383" i="45"/>
  <c r="F1384" i="45"/>
  <c r="F1385" i="45"/>
  <c r="F1386" i="45"/>
  <c r="F1387" i="45"/>
  <c r="F1388" i="45"/>
  <c r="F1389" i="45"/>
  <c r="F1390" i="45"/>
  <c r="F1391" i="45"/>
  <c r="F1392" i="45"/>
  <c r="F1393" i="45"/>
  <c r="F1394" i="45"/>
  <c r="F1395" i="45"/>
  <c r="F1396" i="45"/>
  <c r="F1397" i="45"/>
  <c r="F1398" i="45"/>
  <c r="F1399" i="45"/>
  <c r="F1400" i="45"/>
  <c r="F1401" i="45"/>
  <c r="F1402" i="45"/>
  <c r="F1403" i="45"/>
  <c r="F1404" i="45"/>
  <c r="F1405" i="45"/>
  <c r="F1406" i="45"/>
  <c r="F1407" i="45"/>
  <c r="F1408" i="45"/>
  <c r="F1409" i="45"/>
  <c r="F1410" i="45"/>
  <c r="F1411" i="45"/>
  <c r="F1412" i="45"/>
  <c r="F1413" i="45"/>
  <c r="F1414" i="45"/>
  <c r="F1415" i="45"/>
  <c r="F1416" i="45"/>
  <c r="F1417" i="45"/>
  <c r="F1418" i="45"/>
  <c r="F1419" i="45"/>
  <c r="F1420" i="45"/>
  <c r="F1421" i="45"/>
  <c r="F1422" i="45"/>
  <c r="F1423" i="45"/>
  <c r="F1424" i="45"/>
  <c r="F1425" i="45"/>
  <c r="F1426" i="45"/>
  <c r="F1427" i="45"/>
  <c r="F1428" i="45"/>
  <c r="F1429" i="45"/>
  <c r="F1430" i="45"/>
  <c r="F1431" i="45"/>
  <c r="F1432" i="45"/>
  <c r="F1433" i="45"/>
  <c r="F1434" i="45"/>
  <c r="F1435" i="45"/>
  <c r="F1436" i="45"/>
  <c r="F1437" i="45"/>
  <c r="F1438" i="45"/>
  <c r="F1439" i="45"/>
  <c r="F1440" i="45"/>
  <c r="F1441" i="45"/>
  <c r="F1442" i="45"/>
  <c r="F1443" i="45"/>
  <c r="F1444" i="45"/>
  <c r="F1445" i="45"/>
  <c r="F1446" i="45"/>
  <c r="F1447" i="45"/>
  <c r="F1448" i="45"/>
  <c r="F1449" i="45"/>
  <c r="F1450" i="45"/>
  <c r="F1451" i="45"/>
  <c r="F1452" i="45"/>
  <c r="F1453" i="45"/>
  <c r="F1454" i="45"/>
  <c r="F1455" i="45"/>
  <c r="F1456" i="45"/>
  <c r="F1457" i="45"/>
  <c r="F1458" i="45"/>
  <c r="F1459" i="45"/>
  <c r="F1460" i="45"/>
  <c r="F1461" i="45"/>
  <c r="F1462" i="45"/>
  <c r="F1463" i="45"/>
  <c r="F1464" i="45"/>
  <c r="F1465" i="45"/>
  <c r="F1466" i="45"/>
  <c r="F1467" i="45"/>
  <c r="F1468" i="45"/>
  <c r="F1469" i="45"/>
  <c r="F1470" i="45"/>
  <c r="F1471" i="45"/>
  <c r="F1472" i="45"/>
  <c r="F1473" i="45"/>
  <c r="F1474" i="45"/>
  <c r="F1475" i="45"/>
  <c r="F1476" i="45"/>
  <c r="F1477" i="45"/>
  <c r="F1478" i="45"/>
  <c r="F1479" i="45"/>
  <c r="F1480" i="45"/>
  <c r="F1481" i="45"/>
  <c r="F1482" i="45"/>
  <c r="F1483" i="45"/>
  <c r="F1484" i="45"/>
  <c r="F1485" i="45"/>
  <c r="F1486" i="45"/>
  <c r="F1487" i="45"/>
  <c r="F1488" i="45"/>
  <c r="F1489" i="45"/>
  <c r="F1490" i="45"/>
  <c r="F1491" i="45"/>
  <c r="F1492" i="45"/>
  <c r="F1493" i="45"/>
  <c r="F1494" i="45"/>
  <c r="F1495" i="45"/>
  <c r="F1496" i="45"/>
  <c r="F1497" i="45"/>
  <c r="F1498" i="45"/>
  <c r="F1499" i="45"/>
  <c r="F1500" i="45"/>
  <c r="F1501" i="45"/>
  <c r="F1502" i="45"/>
  <c r="F1503" i="45"/>
  <c r="F1504" i="45"/>
  <c r="F1505" i="45"/>
  <c r="F1506" i="45"/>
  <c r="F1507" i="45"/>
  <c r="F1508" i="45"/>
  <c r="F1509" i="45"/>
  <c r="F1510" i="45"/>
  <c r="F1511" i="45"/>
  <c r="F1512" i="45"/>
  <c r="F1513" i="45"/>
  <c r="F1514" i="45"/>
  <c r="F1515" i="45"/>
  <c r="F1516" i="45"/>
  <c r="F1517" i="45"/>
  <c r="F1518" i="45"/>
  <c r="F1519" i="45"/>
  <c r="F1520" i="45"/>
  <c r="F1521" i="45"/>
  <c r="F1522" i="45"/>
  <c r="F1523" i="45"/>
  <c r="F1524" i="45"/>
  <c r="F1525" i="45"/>
  <c r="F1526" i="45"/>
  <c r="F1527" i="45"/>
  <c r="F1528" i="45"/>
  <c r="F1529" i="45"/>
  <c r="F1530" i="45"/>
  <c r="F1531" i="45"/>
  <c r="F1532" i="45"/>
  <c r="F1533" i="45"/>
  <c r="F1534" i="45"/>
  <c r="F1535" i="45"/>
  <c r="F1536" i="45"/>
  <c r="F1537" i="45"/>
  <c r="F1538" i="45"/>
  <c r="F1539" i="45"/>
  <c r="F1540" i="45"/>
  <c r="F1541" i="45"/>
  <c r="F1542" i="45"/>
  <c r="F1543" i="45"/>
  <c r="F1544" i="45"/>
  <c r="F1545" i="45"/>
  <c r="F1546" i="45"/>
  <c r="F1547" i="45"/>
  <c r="F1548" i="45"/>
  <c r="F1549" i="45"/>
  <c r="F1550" i="45"/>
  <c r="F1551" i="45"/>
  <c r="F1552" i="45"/>
  <c r="F1553" i="45"/>
  <c r="F1554" i="45"/>
  <c r="F1555" i="45"/>
  <c r="F1556" i="45"/>
  <c r="F1557" i="45"/>
  <c r="F1558" i="45"/>
  <c r="F1559" i="45"/>
  <c r="F1560" i="45"/>
  <c r="F1561" i="45"/>
  <c r="F1562" i="45"/>
  <c r="F1563" i="45"/>
  <c r="F1564" i="45"/>
  <c r="F1565" i="45"/>
  <c r="F1566" i="45"/>
  <c r="F1567" i="45"/>
  <c r="F1568" i="45"/>
  <c r="F1569" i="45"/>
  <c r="F1570" i="45"/>
  <c r="F1571" i="45"/>
  <c r="F1572" i="45"/>
  <c r="F1573" i="45"/>
  <c r="F1574" i="45"/>
  <c r="F1575" i="45"/>
  <c r="F1576" i="45"/>
  <c r="F1577" i="45"/>
  <c r="F1578" i="45"/>
  <c r="F1579" i="45"/>
  <c r="F1580" i="45"/>
  <c r="F1581" i="45"/>
  <c r="F1582" i="45"/>
  <c r="F1583" i="45"/>
  <c r="F1584" i="45"/>
  <c r="F1585" i="45"/>
  <c r="F1586" i="45"/>
  <c r="F1587" i="45"/>
  <c r="F1588" i="45"/>
  <c r="F1589" i="45"/>
  <c r="F1590" i="45"/>
  <c r="F1591" i="45"/>
  <c r="F1592" i="45"/>
  <c r="F1593" i="45"/>
  <c r="F1594" i="45"/>
  <c r="F1595" i="45"/>
  <c r="F1596" i="45"/>
  <c r="F1597" i="45"/>
  <c r="F1598" i="45"/>
  <c r="F1599" i="45"/>
  <c r="F1600" i="45"/>
  <c r="F1601" i="45"/>
  <c r="F1602" i="45"/>
  <c r="F1603" i="45"/>
  <c r="F1604" i="45"/>
  <c r="F1605" i="45"/>
  <c r="F1606" i="45"/>
  <c r="F1607" i="45"/>
  <c r="F1608" i="45"/>
  <c r="F1609" i="45"/>
  <c r="F1610" i="45"/>
  <c r="F1611" i="45"/>
  <c r="F1612" i="45"/>
  <c r="F1613" i="45"/>
  <c r="F1614" i="45"/>
  <c r="F1615" i="45"/>
  <c r="F1616" i="45"/>
  <c r="F1617" i="45"/>
  <c r="F1618" i="45"/>
  <c r="F1619" i="45"/>
  <c r="F1620" i="45"/>
  <c r="F1621" i="45"/>
  <c r="F1622" i="45"/>
  <c r="F1623" i="45"/>
  <c r="F1624" i="45"/>
  <c r="F1625" i="45"/>
  <c r="F1626" i="45"/>
  <c r="F1627" i="45"/>
  <c r="F1628" i="45"/>
  <c r="F1629" i="45"/>
  <c r="F1630" i="45"/>
  <c r="F1631" i="45"/>
  <c r="F1632" i="45"/>
  <c r="F1633" i="45"/>
  <c r="F1634" i="45"/>
  <c r="F1635" i="45"/>
  <c r="F1636" i="45"/>
  <c r="F1637" i="45"/>
  <c r="F1638" i="45"/>
  <c r="F1639" i="45"/>
  <c r="F1640" i="45"/>
  <c r="F1641" i="45"/>
  <c r="F1642" i="45"/>
  <c r="F1643" i="45"/>
  <c r="F1644" i="45"/>
  <c r="F1645" i="45"/>
  <c r="F1646" i="45"/>
  <c r="F1647" i="45"/>
  <c r="F1648" i="45"/>
  <c r="F1649" i="45"/>
  <c r="F1650" i="45"/>
  <c r="F1651" i="45"/>
  <c r="F1652" i="45"/>
  <c r="F1653" i="45"/>
  <c r="F1654" i="45"/>
  <c r="F1655" i="45"/>
  <c r="F1656" i="45"/>
  <c r="F1657" i="45"/>
  <c r="F1658" i="45"/>
  <c r="F1659" i="45"/>
  <c r="F1660" i="45"/>
  <c r="F1661" i="45"/>
  <c r="F1662" i="45"/>
  <c r="F1663" i="45"/>
  <c r="F1664" i="45"/>
  <c r="F1665" i="45"/>
  <c r="F1666" i="45"/>
  <c r="F1667" i="45"/>
  <c r="F1668" i="45"/>
  <c r="F1669" i="45"/>
  <c r="F1670" i="45"/>
  <c r="F1671" i="45"/>
  <c r="F1672" i="45"/>
  <c r="F1673" i="45"/>
  <c r="F1674" i="45"/>
  <c r="F1675" i="45"/>
  <c r="F1676" i="45"/>
  <c r="F1677" i="45"/>
  <c r="F1678" i="45"/>
  <c r="F1679" i="45"/>
  <c r="F1680" i="45"/>
  <c r="F1681" i="45"/>
  <c r="F1682" i="45"/>
  <c r="F1683" i="45"/>
  <c r="F1684" i="45"/>
  <c r="F1685" i="45"/>
  <c r="F1686" i="45"/>
  <c r="F1687" i="45"/>
  <c r="F1688" i="45"/>
  <c r="F1689" i="45"/>
  <c r="F1690" i="45"/>
  <c r="F1691" i="45"/>
  <c r="F1692" i="45"/>
  <c r="F1693" i="45"/>
  <c r="F1694" i="45"/>
  <c r="F1695" i="45"/>
  <c r="F1696" i="45"/>
  <c r="F1697" i="45"/>
  <c r="F1698" i="45"/>
  <c r="F1699" i="45"/>
  <c r="F1700" i="45"/>
  <c r="F1701" i="45"/>
  <c r="F1702" i="45"/>
  <c r="F1703" i="45"/>
  <c r="F1704" i="45"/>
  <c r="F1705" i="45"/>
  <c r="F1706" i="45"/>
  <c r="F1707" i="45"/>
  <c r="F1708" i="45"/>
  <c r="F1709" i="45"/>
  <c r="F1710" i="45"/>
  <c r="F1711" i="45"/>
  <c r="F1712" i="45"/>
  <c r="F1713" i="45"/>
  <c r="F1714" i="45"/>
  <c r="F1715" i="45"/>
  <c r="F1716" i="45"/>
  <c r="F1717" i="45"/>
  <c r="F1718" i="45"/>
  <c r="F1719" i="45"/>
  <c r="F1720" i="45"/>
  <c r="F1721" i="45"/>
  <c r="F1722" i="45"/>
  <c r="F1723" i="45"/>
  <c r="F1724" i="45"/>
  <c r="F1725" i="45"/>
  <c r="F1726" i="45"/>
  <c r="F1727" i="45"/>
  <c r="F1728" i="45"/>
  <c r="F1729" i="45"/>
  <c r="F1730" i="45"/>
  <c r="F1731" i="45"/>
  <c r="F1732" i="45"/>
  <c r="F1733" i="45"/>
  <c r="F1734" i="45"/>
  <c r="F1735" i="45"/>
  <c r="F1736" i="45"/>
  <c r="F1737" i="45"/>
  <c r="F1738" i="45"/>
  <c r="F1739" i="45"/>
  <c r="F1740" i="45"/>
  <c r="F1741" i="45"/>
  <c r="F1742" i="45"/>
  <c r="F1743" i="45"/>
  <c r="F1744" i="45"/>
  <c r="F1745" i="45"/>
  <c r="F1746" i="45"/>
  <c r="F1747" i="45"/>
  <c r="F1748" i="45"/>
  <c r="F1749" i="45"/>
  <c r="F1750" i="45"/>
  <c r="F1751" i="45"/>
  <c r="F1752" i="45"/>
  <c r="F1753" i="45"/>
  <c r="F1754" i="45"/>
  <c r="F1755" i="45"/>
  <c r="F1756" i="45"/>
  <c r="F1757" i="45"/>
  <c r="F1758" i="45"/>
  <c r="F1759" i="45"/>
  <c r="F1760" i="45"/>
  <c r="F1761" i="45"/>
  <c r="F1762" i="45"/>
  <c r="F1763" i="45"/>
  <c r="F1764" i="45"/>
  <c r="F1765" i="45"/>
  <c r="F1766" i="45"/>
  <c r="F1767" i="45"/>
  <c r="F1768" i="45"/>
  <c r="F1769" i="45"/>
  <c r="F1770" i="45"/>
  <c r="F1771" i="45"/>
  <c r="F1772" i="45"/>
  <c r="F1773" i="45"/>
  <c r="F1774" i="45"/>
  <c r="F1775" i="45"/>
  <c r="F1776" i="45"/>
  <c r="F1777" i="45"/>
  <c r="F1778" i="45"/>
  <c r="F1779" i="45"/>
  <c r="F1780" i="45"/>
  <c r="F1781" i="45"/>
  <c r="F1782" i="45"/>
  <c r="F1783" i="45"/>
  <c r="F1784" i="45"/>
  <c r="F1785" i="45"/>
  <c r="F1786" i="45"/>
  <c r="F1787" i="45"/>
  <c r="F1788" i="45"/>
  <c r="F1789" i="45"/>
  <c r="F1790" i="45"/>
  <c r="F1791" i="45"/>
  <c r="F1792" i="45"/>
  <c r="F1793" i="45"/>
  <c r="F1794" i="45"/>
  <c r="F1795" i="45"/>
  <c r="F1796" i="45"/>
  <c r="F1797" i="45"/>
  <c r="F1798" i="45"/>
  <c r="F1799" i="45"/>
  <c r="F1800" i="45"/>
  <c r="F1801" i="45"/>
  <c r="F1802" i="45"/>
  <c r="F1803" i="45"/>
  <c r="F1804" i="45"/>
  <c r="F1805" i="45"/>
  <c r="F1806" i="45"/>
  <c r="F1807" i="45"/>
  <c r="F1808" i="45"/>
  <c r="F1809" i="45"/>
  <c r="F1810" i="45"/>
  <c r="F1811" i="45"/>
  <c r="F1812" i="45"/>
  <c r="F1813" i="45"/>
  <c r="F1814" i="45"/>
  <c r="F1815" i="45"/>
  <c r="F1816" i="45"/>
  <c r="F1817" i="45"/>
  <c r="F1818" i="45"/>
  <c r="F1819" i="45"/>
  <c r="F1820" i="45"/>
  <c r="F1821" i="45"/>
  <c r="F1822" i="45"/>
  <c r="F1823" i="45"/>
  <c r="F1824" i="45"/>
  <c r="F1825" i="45"/>
  <c r="F1826" i="45"/>
  <c r="F1827" i="45"/>
  <c r="F1828" i="45"/>
  <c r="F1829" i="45"/>
  <c r="F1830" i="45"/>
  <c r="F1831" i="45"/>
  <c r="F1832" i="45"/>
  <c r="F1833" i="45"/>
  <c r="F1834" i="45"/>
  <c r="F1835" i="45"/>
  <c r="F1836" i="45"/>
  <c r="F1837" i="45"/>
  <c r="F1838" i="45"/>
  <c r="F1839" i="45"/>
  <c r="F1840" i="45"/>
  <c r="F1841" i="45"/>
  <c r="F1842" i="45"/>
  <c r="F1843" i="45"/>
  <c r="F1844" i="45"/>
  <c r="F1845" i="45"/>
  <c r="F1846" i="45"/>
  <c r="F1847" i="45"/>
  <c r="F1848" i="45"/>
  <c r="F1849" i="45"/>
  <c r="F1850" i="45"/>
  <c r="F1851" i="45"/>
  <c r="F1852" i="45"/>
  <c r="F1853" i="45"/>
  <c r="F1854" i="45"/>
  <c r="F1855" i="45"/>
  <c r="F1856" i="45"/>
  <c r="F1857" i="45"/>
  <c r="F1858" i="45"/>
  <c r="F1859" i="45"/>
  <c r="F1860" i="45"/>
  <c r="F1861" i="45"/>
  <c r="F1862" i="45"/>
  <c r="F1863" i="45"/>
  <c r="F1864" i="45"/>
  <c r="F1865" i="45"/>
  <c r="F1866" i="45"/>
  <c r="F1867" i="45"/>
  <c r="F1868" i="45"/>
  <c r="F1869" i="45"/>
  <c r="F1870" i="45"/>
  <c r="F1871" i="45"/>
  <c r="F1872" i="45"/>
  <c r="F1873" i="45"/>
  <c r="F1874" i="45"/>
  <c r="F1875" i="45"/>
  <c r="F1876" i="45"/>
  <c r="F1877" i="45"/>
  <c r="F1878" i="45"/>
  <c r="F1879" i="45"/>
  <c r="F1880" i="45"/>
  <c r="F1881" i="45"/>
  <c r="F1882" i="45"/>
  <c r="F1883" i="45"/>
  <c r="F1884" i="45"/>
  <c r="F1885" i="45"/>
  <c r="F1886" i="45"/>
  <c r="F1887" i="45"/>
  <c r="F1888" i="45"/>
  <c r="F1889" i="45"/>
  <c r="F1890" i="45"/>
  <c r="F1891" i="45"/>
  <c r="F1892" i="45"/>
  <c r="F1893" i="45"/>
  <c r="F1894" i="45"/>
  <c r="F1895" i="45"/>
  <c r="F1896" i="45"/>
  <c r="F1897" i="45"/>
  <c r="F1898" i="45"/>
  <c r="F1899" i="45"/>
  <c r="F1900" i="45"/>
  <c r="F1901" i="45"/>
  <c r="F1902" i="45"/>
  <c r="F1903" i="45"/>
  <c r="F1904" i="45"/>
  <c r="F1905" i="45"/>
  <c r="F1906" i="45"/>
  <c r="F1907" i="45"/>
  <c r="F1908" i="45"/>
  <c r="F1909" i="45"/>
  <c r="F1910" i="45"/>
  <c r="F1911" i="45"/>
  <c r="F1912" i="45"/>
  <c r="F1913" i="45"/>
  <c r="F1914" i="45"/>
  <c r="F1915" i="45"/>
  <c r="F1916" i="45"/>
  <c r="F1917" i="45"/>
  <c r="F1918" i="45"/>
  <c r="F1919" i="45"/>
  <c r="F1920" i="45"/>
  <c r="F1921" i="45"/>
  <c r="F1922" i="45"/>
  <c r="F1923" i="45"/>
  <c r="F1924" i="45"/>
  <c r="F1925" i="45"/>
  <c r="F1926" i="45"/>
  <c r="F1927" i="45"/>
  <c r="F1928" i="45"/>
  <c r="F1929" i="45"/>
  <c r="F1930" i="45"/>
  <c r="F1931" i="45"/>
  <c r="F1932" i="45"/>
  <c r="F1933" i="45"/>
  <c r="F1934" i="45"/>
  <c r="F1935" i="45"/>
  <c r="F1936" i="45"/>
  <c r="F1937" i="45"/>
  <c r="F1938" i="45"/>
  <c r="F1939" i="45"/>
  <c r="F1940" i="45"/>
  <c r="F1941" i="45"/>
  <c r="F1942" i="45"/>
  <c r="F1943" i="45"/>
  <c r="F1944" i="45"/>
  <c r="F1945" i="45"/>
  <c r="F1946" i="45"/>
  <c r="F1947" i="45"/>
  <c r="F1948" i="45"/>
  <c r="F1949" i="45"/>
  <c r="F1950" i="45"/>
  <c r="F1951" i="45"/>
  <c r="F1952" i="45"/>
  <c r="F1953" i="45"/>
  <c r="F1954" i="45"/>
  <c r="F1955" i="45"/>
  <c r="F1956" i="45"/>
  <c r="F1957" i="45"/>
  <c r="F1958" i="45"/>
  <c r="F1959" i="45"/>
  <c r="F1960" i="45"/>
  <c r="F1961" i="45"/>
  <c r="F1962" i="45"/>
  <c r="F1963" i="45"/>
  <c r="F1964" i="45"/>
  <c r="F1965" i="45"/>
  <c r="F1966" i="45"/>
  <c r="F1967" i="45"/>
  <c r="F1968" i="45"/>
  <c r="F1969" i="45"/>
  <c r="F1970" i="45"/>
  <c r="F1971" i="45"/>
  <c r="F1972" i="45"/>
  <c r="F1973" i="45"/>
  <c r="F1974" i="45"/>
  <c r="F1975" i="45"/>
  <c r="F1976" i="45"/>
  <c r="F1977" i="45"/>
  <c r="F1978" i="45"/>
  <c r="F1979" i="45"/>
  <c r="F1980" i="45"/>
  <c r="F1981" i="45"/>
  <c r="F1982" i="45"/>
  <c r="F1983" i="45"/>
  <c r="F1984" i="45"/>
  <c r="F1985" i="45"/>
  <c r="F1986" i="45"/>
  <c r="F1987" i="45"/>
  <c r="F1988" i="45"/>
  <c r="F1989" i="45"/>
  <c r="F1990" i="45"/>
  <c r="F1991" i="45"/>
  <c r="F1992" i="45"/>
  <c r="F1993" i="45"/>
  <c r="F1994" i="45"/>
  <c r="F1995" i="45"/>
  <c r="F1996" i="45"/>
  <c r="F1997" i="45"/>
  <c r="F1998" i="45"/>
  <c r="F1999" i="45"/>
  <c r="F2000" i="45"/>
  <c r="F2001" i="45"/>
  <c r="F2002" i="45"/>
  <c r="F2003" i="45"/>
  <c r="F2004" i="45"/>
  <c r="F2005" i="45"/>
  <c r="F2006" i="45"/>
  <c r="F2007" i="45"/>
  <c r="F2008" i="45"/>
  <c r="F2009" i="45"/>
  <c r="F2010" i="45"/>
  <c r="F2011" i="45"/>
  <c r="F2012" i="45"/>
  <c r="F2013" i="45"/>
  <c r="F2014" i="45"/>
  <c r="F2015" i="45"/>
  <c r="F2016" i="45"/>
  <c r="F2017" i="45"/>
  <c r="F2018" i="45"/>
  <c r="F2019" i="45"/>
  <c r="F2020" i="45"/>
  <c r="F2021" i="45"/>
  <c r="F2022" i="45"/>
  <c r="F2023" i="45"/>
  <c r="F2024" i="45"/>
  <c r="F2025" i="45"/>
  <c r="F2026" i="45"/>
  <c r="F2027" i="45"/>
  <c r="F2028" i="45"/>
  <c r="F2029" i="45"/>
  <c r="F2030" i="45"/>
  <c r="F2031" i="45"/>
  <c r="F2032" i="45"/>
  <c r="F2033" i="45"/>
  <c r="F2034" i="45"/>
  <c r="F2035" i="45"/>
  <c r="F2036" i="45"/>
  <c r="F2037" i="45"/>
  <c r="F2038" i="45"/>
  <c r="F2039" i="45"/>
  <c r="F2040" i="45"/>
  <c r="F2041" i="45"/>
  <c r="F2042" i="45"/>
  <c r="F2043" i="45"/>
  <c r="F2044" i="45"/>
  <c r="F2045" i="45"/>
  <c r="F2046" i="45"/>
  <c r="F2047" i="45"/>
  <c r="F2048" i="45"/>
  <c r="F2049" i="45"/>
  <c r="F2050" i="45"/>
  <c r="F2051" i="45"/>
  <c r="F2052" i="45"/>
  <c r="F2053" i="45"/>
  <c r="F2054" i="45"/>
  <c r="F2055" i="45"/>
  <c r="F2056" i="45"/>
  <c r="F2057" i="45"/>
  <c r="F2058" i="45"/>
  <c r="F2059" i="45"/>
  <c r="F2060" i="45"/>
  <c r="F2061" i="45"/>
  <c r="F2062" i="45"/>
  <c r="F2063" i="45"/>
  <c r="F2064" i="45"/>
  <c r="F2065" i="45"/>
  <c r="F2066" i="45"/>
  <c r="F2067" i="45"/>
  <c r="F2068" i="45"/>
  <c r="F2069" i="45"/>
  <c r="F2070" i="45"/>
  <c r="F2071" i="45"/>
  <c r="F2072" i="45"/>
  <c r="F2073" i="45"/>
  <c r="F2074" i="45"/>
  <c r="F2075" i="45"/>
  <c r="F2076" i="45"/>
  <c r="F2077" i="45"/>
  <c r="F2078" i="45"/>
  <c r="F2079" i="45"/>
  <c r="F2080" i="45"/>
  <c r="F2081" i="45"/>
  <c r="F2082" i="45"/>
  <c r="F2083" i="45"/>
  <c r="F2084" i="45"/>
  <c r="F2085" i="45"/>
  <c r="F2086" i="45"/>
  <c r="F2087" i="45"/>
  <c r="F2088" i="45"/>
  <c r="F2089" i="45"/>
  <c r="F2090" i="45"/>
  <c r="F2091" i="45"/>
  <c r="F2092" i="45"/>
  <c r="F2093" i="45"/>
  <c r="F2094" i="45"/>
  <c r="F2095" i="45"/>
  <c r="F2096" i="45"/>
  <c r="F2097" i="45"/>
  <c r="F2098" i="45"/>
  <c r="F2099" i="45"/>
  <c r="F2100" i="45"/>
  <c r="F2101" i="45"/>
  <c r="F2102" i="45"/>
  <c r="F2103" i="45"/>
  <c r="F2104" i="45"/>
  <c r="F2105" i="45"/>
  <c r="F2106" i="45"/>
  <c r="F2107" i="45"/>
  <c r="F2108" i="45"/>
  <c r="F2109" i="45"/>
  <c r="F2110" i="45"/>
  <c r="F2111" i="45"/>
  <c r="F2112" i="45"/>
  <c r="F2113" i="45"/>
  <c r="F2114" i="45"/>
  <c r="F2115" i="45"/>
  <c r="F2116" i="45"/>
  <c r="F2117" i="45"/>
  <c r="F2118" i="45"/>
  <c r="F2119" i="45"/>
  <c r="F2120" i="45"/>
  <c r="F2121" i="45"/>
  <c r="F2122" i="45"/>
  <c r="F2123" i="45"/>
  <c r="F2124" i="45"/>
  <c r="F2125" i="45"/>
  <c r="F2126" i="45"/>
  <c r="F2127" i="45"/>
  <c r="F2128" i="45"/>
  <c r="F2129" i="45"/>
  <c r="F2130" i="45"/>
  <c r="F2131" i="45"/>
  <c r="F2132" i="45"/>
  <c r="F2133" i="45"/>
  <c r="F2134" i="45"/>
  <c r="F2135" i="45"/>
  <c r="F2136" i="45"/>
  <c r="F2137" i="45"/>
  <c r="F2138" i="45"/>
  <c r="F2139" i="45"/>
  <c r="F2140" i="45"/>
  <c r="F2141" i="45"/>
  <c r="F2142" i="45"/>
  <c r="F2143" i="45"/>
  <c r="F2144" i="45"/>
  <c r="F2145" i="45"/>
  <c r="F2146" i="45"/>
  <c r="F2147" i="45"/>
  <c r="F2148" i="45"/>
  <c r="F2149" i="45"/>
  <c r="F2150" i="45"/>
  <c r="F2151" i="45"/>
  <c r="F2152" i="45"/>
  <c r="F2153" i="45"/>
  <c r="F2154" i="45"/>
  <c r="F2155" i="45"/>
  <c r="F2156" i="45"/>
  <c r="F2157" i="45"/>
  <c r="F2158" i="45"/>
  <c r="F2159" i="45"/>
  <c r="F2160" i="45"/>
  <c r="F2161" i="45"/>
  <c r="F2162" i="45"/>
  <c r="F2163" i="45"/>
  <c r="F2164" i="45"/>
  <c r="F2165" i="45"/>
  <c r="F2166" i="45"/>
  <c r="F2167" i="45"/>
  <c r="F2168" i="45"/>
  <c r="F2169" i="45"/>
  <c r="F2170" i="45"/>
  <c r="F2171" i="45"/>
  <c r="F2172" i="45"/>
  <c r="F2173" i="45"/>
  <c r="F2174" i="45"/>
  <c r="F2175" i="45"/>
  <c r="F2176" i="45"/>
  <c r="F2177" i="45"/>
  <c r="F2178" i="45"/>
  <c r="F2179" i="45"/>
  <c r="F2180" i="45"/>
  <c r="F2181" i="45"/>
  <c r="F2182" i="45"/>
  <c r="F2183" i="45"/>
  <c r="F2184" i="45"/>
  <c r="F2185" i="45"/>
  <c r="F2186" i="45"/>
  <c r="F2187" i="45"/>
  <c r="F2188" i="45"/>
  <c r="F2189" i="45"/>
  <c r="F2190" i="45"/>
  <c r="F2191" i="45"/>
  <c r="F2192" i="45"/>
  <c r="F2193" i="45"/>
  <c r="F2194" i="45"/>
  <c r="F2195" i="45"/>
  <c r="F2196" i="45"/>
  <c r="F2197" i="45"/>
  <c r="F2198" i="45"/>
  <c r="F2199" i="45"/>
  <c r="F2200" i="45"/>
  <c r="F2201" i="45"/>
  <c r="F2202" i="45"/>
  <c r="F2203" i="45"/>
  <c r="F2204" i="45"/>
  <c r="F2205" i="45"/>
  <c r="F2206" i="45"/>
  <c r="F2207" i="45"/>
  <c r="F2208" i="45"/>
  <c r="F2209" i="45"/>
  <c r="F2210" i="45"/>
  <c r="F2211" i="45"/>
  <c r="F2212" i="45"/>
  <c r="F2213" i="45"/>
  <c r="F2214" i="45"/>
  <c r="F2215" i="45"/>
  <c r="F2216" i="45"/>
  <c r="F2217" i="45"/>
  <c r="F2218" i="45"/>
  <c r="F2219" i="45"/>
  <c r="F2220" i="45"/>
  <c r="F2221" i="45"/>
  <c r="F2222" i="45"/>
  <c r="F2223" i="45"/>
  <c r="F2224" i="45"/>
  <c r="F2225" i="45"/>
  <c r="F2226" i="45"/>
  <c r="F2227" i="45"/>
  <c r="F2228" i="45"/>
  <c r="F2229" i="45"/>
  <c r="F2230" i="45"/>
  <c r="F2231" i="45"/>
  <c r="F2232" i="45"/>
  <c r="F2233" i="45"/>
  <c r="F2234" i="45"/>
  <c r="F2235" i="45"/>
  <c r="F2236" i="45"/>
  <c r="F2237" i="45"/>
  <c r="F2238" i="45"/>
  <c r="F2239" i="45"/>
  <c r="F2240" i="45"/>
  <c r="F2241" i="45"/>
  <c r="F2242" i="45"/>
  <c r="F2243" i="45"/>
  <c r="F2244" i="45"/>
  <c r="F2245" i="45"/>
  <c r="F2246" i="45"/>
  <c r="F2247" i="45"/>
  <c r="F2248" i="45"/>
  <c r="F2249" i="45"/>
  <c r="F2250" i="45"/>
  <c r="F2251" i="45"/>
  <c r="F2252" i="45"/>
  <c r="F2253" i="45"/>
  <c r="F2254" i="45"/>
  <c r="F2255" i="45"/>
  <c r="F2256" i="45"/>
  <c r="F2257" i="45"/>
  <c r="F2258" i="45"/>
  <c r="F2259" i="45"/>
  <c r="F2260" i="45"/>
  <c r="F2261" i="45"/>
  <c r="F2262" i="45"/>
  <c r="F2263" i="45"/>
  <c r="F2264" i="45"/>
  <c r="F2265" i="45"/>
  <c r="F2266" i="45"/>
  <c r="F2267" i="45"/>
  <c r="F2268" i="45"/>
  <c r="F2269" i="45"/>
  <c r="F2270" i="45"/>
  <c r="F2271" i="45"/>
  <c r="F2272" i="45"/>
  <c r="F2273" i="45"/>
  <c r="F2274" i="45"/>
  <c r="F2275" i="45"/>
  <c r="F2276" i="45"/>
  <c r="F2277" i="45"/>
  <c r="F2278" i="45"/>
  <c r="F2279" i="45"/>
  <c r="F2280" i="45"/>
  <c r="F2281" i="45"/>
  <c r="F2282" i="45"/>
  <c r="F2283" i="45"/>
  <c r="F2284" i="45"/>
  <c r="F2285" i="45"/>
  <c r="F2286" i="45"/>
  <c r="F2287" i="45"/>
  <c r="F2288" i="45"/>
  <c r="F2289" i="45"/>
  <c r="F2290" i="45"/>
  <c r="F2291" i="45"/>
  <c r="F2292" i="45"/>
  <c r="F2293" i="45"/>
  <c r="F2294" i="45"/>
  <c r="F2295" i="45"/>
  <c r="F2296" i="45"/>
  <c r="F2297" i="45"/>
  <c r="F2298" i="45"/>
  <c r="F2299" i="45"/>
  <c r="F2300" i="45"/>
  <c r="F2301" i="45"/>
  <c r="F2302" i="45"/>
  <c r="F2303" i="45"/>
  <c r="F2304" i="45"/>
  <c r="F2305" i="45"/>
  <c r="F2306" i="45"/>
  <c r="F2307" i="45"/>
  <c r="F2308" i="45"/>
  <c r="F2309" i="45"/>
  <c r="F2310" i="45"/>
  <c r="F2311" i="45"/>
  <c r="F2312" i="45"/>
  <c r="F2313" i="45"/>
  <c r="F2314" i="45"/>
  <c r="F2315" i="45"/>
  <c r="F2316" i="45"/>
  <c r="F2317" i="45"/>
  <c r="F2318" i="45"/>
  <c r="F2319" i="45"/>
  <c r="F2320" i="45"/>
  <c r="F2321" i="45"/>
  <c r="F2322" i="45"/>
  <c r="F2323" i="45"/>
  <c r="F2324" i="45"/>
  <c r="F2325" i="45"/>
  <c r="F2326" i="45"/>
  <c r="F2327" i="45"/>
  <c r="F2328" i="45"/>
  <c r="F2329" i="45"/>
  <c r="F2330" i="45"/>
  <c r="F2331" i="45"/>
  <c r="F2332" i="45"/>
  <c r="F2333" i="45"/>
  <c r="F2334" i="45"/>
  <c r="F2335" i="45"/>
  <c r="F2336" i="45"/>
  <c r="F2337" i="45"/>
  <c r="F2338" i="45"/>
  <c r="F2339" i="45"/>
  <c r="F2340" i="45"/>
  <c r="F2341" i="45"/>
  <c r="F2342" i="45"/>
  <c r="F2343" i="45"/>
  <c r="F2344" i="45"/>
  <c r="F2345" i="45"/>
  <c r="F2346" i="45"/>
  <c r="F2347" i="45"/>
  <c r="F2348" i="45"/>
  <c r="F2349" i="45"/>
  <c r="F2350" i="45"/>
  <c r="F2351" i="45"/>
  <c r="F2352" i="45"/>
  <c r="F2353" i="45"/>
  <c r="F2354" i="45"/>
  <c r="F2355" i="45"/>
  <c r="F2356" i="45"/>
  <c r="F2357" i="45"/>
  <c r="F2358" i="45"/>
  <c r="F2359" i="45"/>
  <c r="F2360" i="45"/>
  <c r="F2361" i="45"/>
  <c r="F2362" i="45"/>
  <c r="F2363" i="45"/>
  <c r="F2364" i="45"/>
  <c r="F2365" i="45"/>
  <c r="F2366" i="45"/>
  <c r="F2367" i="45"/>
  <c r="F2368" i="45"/>
  <c r="F2369" i="45"/>
  <c r="F2370" i="45"/>
  <c r="F2371" i="45"/>
  <c r="F2372" i="45"/>
  <c r="F2373" i="45"/>
  <c r="F2374" i="45"/>
  <c r="F2375" i="45"/>
  <c r="F2376" i="45"/>
  <c r="F2377" i="45"/>
  <c r="F2378" i="45"/>
  <c r="F2379" i="45"/>
  <c r="F2380" i="45"/>
  <c r="F2381" i="45"/>
  <c r="F2382" i="45"/>
  <c r="F2383" i="45"/>
  <c r="F2384" i="45"/>
  <c r="F2385" i="45"/>
  <c r="F2386" i="45"/>
  <c r="F2387" i="45"/>
  <c r="F2388" i="45"/>
  <c r="F2389" i="45"/>
  <c r="F2390" i="45"/>
  <c r="F2391" i="45"/>
  <c r="F2392" i="45"/>
  <c r="F2393" i="45"/>
  <c r="F2394" i="45"/>
  <c r="F2395" i="45"/>
  <c r="F2396" i="45"/>
  <c r="F2397" i="45"/>
  <c r="F2398" i="45"/>
  <c r="F2399" i="45"/>
  <c r="F2400" i="45"/>
  <c r="F2401" i="45"/>
  <c r="F2402" i="45"/>
  <c r="F2403" i="45"/>
  <c r="F2404" i="45"/>
  <c r="F2405" i="45"/>
  <c r="F2406" i="45"/>
  <c r="F2407" i="45"/>
  <c r="F2408" i="45"/>
  <c r="F2409" i="45"/>
  <c r="F2410" i="45"/>
  <c r="F2411" i="45"/>
  <c r="F2412" i="45"/>
  <c r="F2413" i="45"/>
  <c r="F2414" i="45"/>
  <c r="F2415" i="45"/>
  <c r="F2416" i="45"/>
  <c r="F2417" i="45"/>
  <c r="F2418" i="45"/>
  <c r="F2419" i="45"/>
  <c r="F2420" i="45"/>
  <c r="F2421" i="45"/>
  <c r="F2422" i="45"/>
  <c r="F2423" i="45"/>
  <c r="F2424" i="45"/>
  <c r="F2425" i="45"/>
  <c r="F2426" i="45"/>
  <c r="F2427" i="45"/>
  <c r="F2428" i="45"/>
  <c r="F2429" i="45"/>
  <c r="F2430" i="45"/>
  <c r="F2431" i="45"/>
  <c r="F2432" i="45"/>
  <c r="F2433" i="45"/>
  <c r="F2434" i="45"/>
  <c r="F2435" i="45"/>
  <c r="F2436" i="45"/>
  <c r="F2437" i="45"/>
  <c r="F2438" i="45"/>
  <c r="F2439" i="45"/>
  <c r="F2440" i="45"/>
  <c r="F2441" i="45"/>
  <c r="F2442" i="45"/>
  <c r="F2443" i="45"/>
  <c r="F2444" i="45"/>
  <c r="F2445" i="45"/>
  <c r="F2446" i="45"/>
  <c r="F2447" i="45"/>
  <c r="F2448" i="45"/>
  <c r="F2449" i="45"/>
  <c r="F2450" i="45"/>
  <c r="F2451" i="45"/>
  <c r="F2452" i="45"/>
  <c r="F2453" i="45"/>
  <c r="F2454" i="45"/>
  <c r="F2455" i="45"/>
  <c r="F2456" i="45"/>
  <c r="F2457" i="45"/>
  <c r="F2458" i="45"/>
  <c r="F2459" i="45"/>
  <c r="F2460" i="45"/>
  <c r="F2461" i="45"/>
  <c r="F2462" i="45"/>
  <c r="F2463" i="45"/>
  <c r="F2464" i="45"/>
  <c r="F2465" i="45"/>
  <c r="F2466" i="45"/>
  <c r="F2467" i="45"/>
  <c r="F2468" i="45"/>
  <c r="F2469" i="45"/>
  <c r="F2470" i="45"/>
  <c r="F2471" i="45"/>
  <c r="F2472" i="45"/>
  <c r="F2473" i="45"/>
  <c r="F2474" i="45"/>
  <c r="F2475" i="45"/>
  <c r="F2476" i="45"/>
  <c r="F2477" i="45"/>
  <c r="F2478" i="45"/>
  <c r="F2479" i="45"/>
  <c r="F2480" i="45"/>
  <c r="F2481" i="45"/>
  <c r="F2482" i="45"/>
  <c r="F2483" i="45"/>
  <c r="F2484" i="45"/>
  <c r="F2485" i="45"/>
  <c r="F2486" i="45"/>
  <c r="F2487" i="45"/>
  <c r="F2488" i="45"/>
  <c r="F2489" i="45"/>
  <c r="F2490" i="45"/>
  <c r="F2491" i="45"/>
  <c r="F2492" i="45"/>
  <c r="F2493" i="45"/>
  <c r="F2494" i="45"/>
  <c r="F2495" i="45"/>
  <c r="F2496" i="45"/>
  <c r="F2497" i="45"/>
  <c r="F2498" i="45"/>
  <c r="F2499" i="45"/>
  <c r="F2500" i="45"/>
  <c r="F2501" i="45"/>
  <c r="F2502" i="45"/>
  <c r="F2503" i="45"/>
  <c r="F2504" i="45"/>
  <c r="F2505" i="45"/>
  <c r="F2506" i="45"/>
  <c r="F2507" i="45"/>
  <c r="F2508" i="45"/>
  <c r="F2509" i="45"/>
  <c r="F2510" i="45"/>
  <c r="F2511" i="45"/>
  <c r="F2512" i="45"/>
  <c r="F2513" i="45"/>
  <c r="F2514" i="45"/>
  <c r="F2515" i="45"/>
  <c r="F2516" i="45"/>
  <c r="F2517" i="45"/>
  <c r="F2518" i="45"/>
  <c r="F2519" i="45"/>
  <c r="F2520" i="45"/>
  <c r="F2521" i="45"/>
  <c r="F2522" i="45"/>
  <c r="F2523" i="45"/>
  <c r="F2524" i="45"/>
  <c r="F2525" i="45"/>
  <c r="F2526" i="45"/>
  <c r="F2527" i="45"/>
  <c r="F2528" i="45"/>
  <c r="F2529" i="45"/>
  <c r="F2530" i="45"/>
  <c r="F2531" i="45"/>
  <c r="F2532" i="45"/>
  <c r="F2533" i="45"/>
  <c r="F2534" i="45"/>
  <c r="F2535" i="45"/>
  <c r="F2536" i="45"/>
  <c r="F2537" i="45"/>
  <c r="F2538" i="45"/>
  <c r="F2539" i="45"/>
  <c r="F2540" i="45"/>
  <c r="F2541" i="45"/>
  <c r="F2542" i="45"/>
  <c r="F2543" i="45"/>
  <c r="F2544" i="45"/>
  <c r="F2545" i="45"/>
  <c r="F2546" i="45"/>
  <c r="F2547" i="45"/>
  <c r="F2548" i="45"/>
  <c r="F2549" i="45"/>
  <c r="F2550" i="45"/>
  <c r="F2551" i="45"/>
  <c r="F2552" i="45"/>
  <c r="F2553" i="45"/>
  <c r="F2554" i="45"/>
  <c r="F2555" i="45"/>
  <c r="F2556" i="45"/>
  <c r="F2557" i="45"/>
  <c r="F2558" i="45"/>
  <c r="F2559" i="45"/>
  <c r="F2560" i="45"/>
  <c r="F2561" i="45"/>
  <c r="F2562" i="45"/>
  <c r="F2563" i="45"/>
  <c r="F2564" i="45"/>
  <c r="F2565" i="45"/>
  <c r="F2566" i="45"/>
  <c r="F2567" i="45"/>
  <c r="F2568" i="45"/>
  <c r="F2569" i="45"/>
  <c r="F2570" i="45"/>
  <c r="F2571" i="45"/>
  <c r="F2572" i="45"/>
  <c r="F2573" i="45"/>
  <c r="F2574" i="45"/>
  <c r="F2575" i="45"/>
  <c r="F2576" i="45"/>
  <c r="F2577" i="45"/>
  <c r="F2578" i="45"/>
  <c r="F2579" i="45"/>
  <c r="F2580" i="45"/>
  <c r="F2581" i="45"/>
  <c r="F2582" i="45"/>
  <c r="F2583" i="45"/>
  <c r="F2584" i="45"/>
  <c r="F2585" i="45"/>
  <c r="F2586" i="45"/>
  <c r="F2587" i="45"/>
  <c r="F2588" i="45"/>
  <c r="F2589" i="45"/>
  <c r="F2590" i="45"/>
  <c r="F2591" i="45"/>
  <c r="F2592" i="45"/>
  <c r="F2593" i="45"/>
  <c r="F2594" i="45"/>
  <c r="F2595" i="45"/>
  <c r="F2596" i="45"/>
  <c r="F2597" i="45"/>
  <c r="F2598" i="45"/>
  <c r="F2599" i="45"/>
  <c r="F2600" i="45"/>
  <c r="F2601" i="45"/>
  <c r="F2602" i="45"/>
  <c r="F2603" i="45"/>
  <c r="F2604" i="45"/>
  <c r="F2605" i="45"/>
  <c r="F2606" i="45"/>
  <c r="F2607" i="45"/>
  <c r="F2608" i="45"/>
  <c r="F2609" i="45"/>
  <c r="F2610" i="45"/>
  <c r="F2611" i="45"/>
  <c r="F2612" i="45"/>
  <c r="F2613" i="45"/>
  <c r="F2614" i="45"/>
  <c r="F2615" i="45"/>
  <c r="F2616" i="45"/>
  <c r="F2617" i="45"/>
  <c r="F2618" i="45"/>
  <c r="F2619" i="45"/>
  <c r="F2620" i="45"/>
  <c r="F2621" i="45"/>
  <c r="F2622" i="45"/>
  <c r="F2623" i="45"/>
  <c r="F2624" i="45"/>
  <c r="F2625" i="45"/>
  <c r="F2626" i="45"/>
  <c r="F2627" i="45"/>
  <c r="F2628" i="45"/>
  <c r="F2629" i="45"/>
  <c r="F2630" i="45"/>
  <c r="F2631" i="45"/>
  <c r="F2632" i="45"/>
  <c r="F2633" i="45"/>
  <c r="F2634" i="45"/>
  <c r="F2635" i="45"/>
  <c r="F2636" i="45"/>
  <c r="F2637" i="45"/>
  <c r="F2638" i="45"/>
  <c r="F2639" i="45"/>
  <c r="F2640" i="45"/>
  <c r="F2641" i="45"/>
  <c r="F2642" i="45"/>
  <c r="F2643" i="45"/>
  <c r="F2644" i="45"/>
  <c r="F2645" i="45"/>
  <c r="F2646" i="45"/>
  <c r="F2647" i="45"/>
  <c r="F2648" i="45"/>
  <c r="F2649" i="45"/>
  <c r="F2650" i="45"/>
  <c r="F2651" i="45"/>
  <c r="F2652" i="45"/>
  <c r="F2653" i="45"/>
  <c r="F2654" i="45"/>
  <c r="F2655" i="45"/>
  <c r="F2656" i="45"/>
  <c r="F2657" i="45"/>
  <c r="F2658" i="45"/>
  <c r="F2659" i="45"/>
  <c r="F2660" i="45"/>
  <c r="F2661" i="45"/>
  <c r="F2662" i="45"/>
  <c r="F2663" i="45"/>
  <c r="F2664" i="45"/>
  <c r="F2665" i="45"/>
  <c r="F2666" i="45"/>
  <c r="F2667" i="45"/>
  <c r="F2668" i="45"/>
  <c r="F2669" i="45"/>
  <c r="F2670" i="45"/>
  <c r="F2671" i="45"/>
  <c r="F2672" i="45"/>
  <c r="F2673" i="45"/>
  <c r="F2674" i="45"/>
  <c r="F2675" i="45"/>
  <c r="F2676" i="45"/>
  <c r="F2677" i="45"/>
  <c r="F2678" i="45"/>
  <c r="F2679" i="45"/>
  <c r="F2680" i="45"/>
  <c r="F2681" i="45"/>
  <c r="F2682" i="45"/>
  <c r="F2683" i="45"/>
  <c r="F2684" i="45"/>
  <c r="F2685" i="45"/>
  <c r="F2686" i="45"/>
  <c r="F2687" i="45"/>
  <c r="F2688" i="45"/>
  <c r="F2689" i="45"/>
  <c r="F2690" i="45"/>
  <c r="F2691" i="45"/>
  <c r="F2692" i="45"/>
  <c r="F2693" i="45"/>
  <c r="F2694" i="45"/>
  <c r="F2695" i="45"/>
  <c r="F2696" i="45"/>
  <c r="F2697" i="45"/>
  <c r="F2698" i="45"/>
  <c r="F2699" i="45"/>
  <c r="F2700" i="45"/>
  <c r="F2701" i="45"/>
  <c r="F2702" i="45"/>
  <c r="F2703" i="45"/>
  <c r="F2704" i="45"/>
  <c r="F2705" i="45"/>
  <c r="F2706" i="45"/>
  <c r="F2707" i="45"/>
  <c r="F2708" i="45"/>
  <c r="F2709" i="45"/>
  <c r="F2710" i="45"/>
  <c r="F2711" i="45"/>
  <c r="F2712" i="45"/>
  <c r="F2713" i="45"/>
  <c r="F2714" i="45"/>
  <c r="F2715" i="45"/>
  <c r="F2716" i="45"/>
  <c r="F2717" i="45"/>
  <c r="F2718" i="45"/>
  <c r="F2719" i="45"/>
  <c r="F2720" i="45"/>
  <c r="F2721" i="45"/>
  <c r="F2722" i="45"/>
  <c r="F2723" i="45"/>
  <c r="F2724" i="45"/>
  <c r="F2725" i="45"/>
  <c r="F2726" i="45"/>
  <c r="F2727" i="45"/>
  <c r="F2728" i="45"/>
  <c r="F2729" i="45"/>
  <c r="F2730" i="45"/>
  <c r="F2731" i="45"/>
  <c r="F2732" i="45"/>
  <c r="F2733" i="45"/>
  <c r="F2734" i="45"/>
  <c r="F2735" i="45"/>
  <c r="F2736" i="45"/>
  <c r="F2737" i="45"/>
  <c r="F2738" i="45"/>
  <c r="F2739" i="45"/>
  <c r="F2740" i="45"/>
  <c r="F2741" i="45"/>
  <c r="F2742" i="45"/>
  <c r="F2743" i="45"/>
  <c r="F2744" i="45"/>
  <c r="F2745" i="45"/>
  <c r="F2746" i="45"/>
  <c r="F2747" i="45"/>
  <c r="F2748" i="45"/>
  <c r="F2749" i="45"/>
  <c r="F2750" i="45"/>
  <c r="F2751" i="45"/>
  <c r="F2752" i="45"/>
  <c r="F2753" i="45"/>
  <c r="F2754" i="45"/>
  <c r="F2755" i="45"/>
  <c r="F2756" i="45"/>
  <c r="F2757" i="45"/>
  <c r="F2758" i="45"/>
  <c r="F2759" i="45"/>
  <c r="F2760" i="45"/>
  <c r="F2761" i="45"/>
  <c r="F2762" i="45"/>
  <c r="F2763" i="45"/>
  <c r="F2764" i="45"/>
  <c r="F2765" i="45"/>
  <c r="F2766" i="45"/>
  <c r="F2767" i="45"/>
  <c r="F2768" i="45"/>
  <c r="F2769" i="45"/>
  <c r="F2770" i="45"/>
  <c r="F2771" i="45"/>
  <c r="F2772" i="45"/>
  <c r="F2773" i="45"/>
  <c r="F2774" i="45"/>
  <c r="F2775" i="45"/>
  <c r="F2776" i="45"/>
  <c r="F2777" i="45"/>
  <c r="F2778" i="45"/>
  <c r="F2779" i="45"/>
  <c r="F2780" i="45"/>
  <c r="F2781" i="45"/>
  <c r="F2782" i="45"/>
  <c r="F2783" i="45"/>
  <c r="F2784" i="45"/>
  <c r="F2785" i="45"/>
  <c r="F2786" i="45"/>
  <c r="F2787" i="45"/>
  <c r="F2788" i="45"/>
  <c r="F2789" i="45"/>
  <c r="F2790" i="45"/>
  <c r="F2791" i="45"/>
  <c r="F2792" i="45"/>
  <c r="F2793" i="45"/>
  <c r="F2794" i="45"/>
  <c r="F2795" i="45"/>
  <c r="F2796" i="45"/>
  <c r="F2797" i="45"/>
  <c r="F2798" i="45"/>
  <c r="F2799" i="45"/>
  <c r="F2800" i="45"/>
  <c r="F2801" i="45"/>
  <c r="F2802" i="45"/>
  <c r="F2803" i="45"/>
  <c r="F2804" i="45"/>
  <c r="F2805" i="45"/>
  <c r="F2806" i="45"/>
  <c r="F2807" i="45"/>
  <c r="F2808" i="45"/>
  <c r="F2809" i="45"/>
  <c r="F2810" i="45"/>
  <c r="F2811" i="45"/>
  <c r="F2812" i="45"/>
  <c r="F2813" i="45"/>
  <c r="F2814" i="45"/>
  <c r="F2815" i="45"/>
  <c r="F2816" i="45"/>
  <c r="F2817" i="45"/>
  <c r="F2818" i="45"/>
  <c r="F2819" i="45"/>
  <c r="F2820" i="45"/>
  <c r="F2821" i="45"/>
  <c r="F2822" i="45"/>
  <c r="F2823" i="45"/>
  <c r="F2824" i="45"/>
  <c r="F2825" i="45"/>
  <c r="F2826" i="45"/>
  <c r="F2827" i="45"/>
  <c r="F2828" i="45"/>
  <c r="F2829" i="45"/>
  <c r="F2830" i="45"/>
  <c r="F2831" i="45"/>
  <c r="F2832" i="45"/>
  <c r="F2833" i="45"/>
  <c r="F2834" i="45"/>
  <c r="F2835" i="45"/>
  <c r="F2836" i="45"/>
  <c r="F2837" i="45"/>
  <c r="F2838" i="45"/>
  <c r="F2839" i="45"/>
  <c r="F2840" i="45"/>
  <c r="F2841" i="45"/>
  <c r="F2842" i="45"/>
  <c r="F2843" i="45"/>
  <c r="F2844" i="45"/>
  <c r="F2845" i="45"/>
  <c r="F2846" i="45"/>
  <c r="F2847" i="45"/>
  <c r="F2848" i="45"/>
  <c r="F2849" i="45"/>
  <c r="F2850" i="45"/>
  <c r="F2851" i="45"/>
  <c r="F2852" i="45"/>
  <c r="F2853" i="45"/>
  <c r="F2854" i="45"/>
  <c r="F2855" i="45"/>
  <c r="F2856" i="45"/>
  <c r="F2857" i="45"/>
  <c r="F2858" i="45"/>
  <c r="F2859" i="45"/>
  <c r="F2860" i="45"/>
  <c r="F2861" i="45"/>
  <c r="F2862" i="45"/>
  <c r="F2863" i="45"/>
  <c r="F2864" i="45"/>
  <c r="F2865" i="45"/>
  <c r="F2866" i="45"/>
  <c r="F2867" i="45"/>
  <c r="F2868" i="45"/>
  <c r="F2869" i="45"/>
  <c r="F2870" i="45"/>
  <c r="F2871" i="45"/>
  <c r="F2872" i="45"/>
  <c r="F2873" i="45"/>
  <c r="F2874" i="45"/>
  <c r="F2875" i="45"/>
  <c r="F2876" i="45"/>
  <c r="F2877" i="45"/>
  <c r="F2878" i="45"/>
  <c r="F2879" i="45"/>
  <c r="F2880" i="45"/>
  <c r="F2881" i="45"/>
  <c r="F2882" i="45"/>
  <c r="F2883" i="45"/>
  <c r="F2884" i="45"/>
  <c r="F2885" i="45"/>
  <c r="F2886" i="45"/>
  <c r="F2887" i="45"/>
  <c r="F2888" i="45"/>
  <c r="F2889" i="45"/>
  <c r="F2890" i="45"/>
  <c r="F2891" i="45"/>
  <c r="F2892" i="45"/>
  <c r="F2893" i="45"/>
  <c r="F2894" i="45"/>
  <c r="F2895" i="45"/>
  <c r="F2896" i="45"/>
  <c r="F2897" i="45"/>
  <c r="F2898" i="45"/>
  <c r="F2899" i="45"/>
  <c r="F2900" i="45"/>
  <c r="F2901" i="45"/>
  <c r="F2902" i="45"/>
  <c r="F2903" i="45"/>
  <c r="F2904" i="45"/>
  <c r="F2905" i="45"/>
  <c r="F2906" i="45"/>
  <c r="F2907" i="45"/>
  <c r="F2908" i="45"/>
  <c r="F2909" i="45"/>
  <c r="F2910" i="45"/>
  <c r="F2911" i="45"/>
  <c r="F2912" i="45"/>
  <c r="F2913" i="45"/>
  <c r="F2914" i="45"/>
  <c r="F2915" i="45"/>
  <c r="F2916" i="45"/>
  <c r="F2917" i="45"/>
  <c r="F2918" i="45"/>
  <c r="F2919" i="45"/>
  <c r="F2920" i="45"/>
  <c r="F2921" i="45"/>
  <c r="F2922" i="45"/>
  <c r="F2923" i="45"/>
  <c r="F2924" i="45"/>
  <c r="F2925" i="45"/>
  <c r="F2926" i="45"/>
  <c r="F2927" i="45"/>
  <c r="F2928" i="45"/>
  <c r="F2929" i="45"/>
  <c r="F2930" i="45"/>
  <c r="F2931" i="45"/>
  <c r="F2932" i="45"/>
  <c r="F2933" i="45"/>
  <c r="F2934" i="45"/>
  <c r="F2935" i="45"/>
  <c r="F2936" i="45"/>
  <c r="F2937" i="45"/>
  <c r="F2938" i="45"/>
  <c r="F2939" i="45"/>
  <c r="F2940" i="45"/>
  <c r="F2941" i="45"/>
  <c r="F2942" i="45"/>
  <c r="F2943" i="45"/>
  <c r="F2944" i="45"/>
  <c r="F2945" i="45"/>
  <c r="F2946" i="45"/>
  <c r="F2947" i="45"/>
  <c r="F2948" i="45"/>
  <c r="F2949" i="45"/>
  <c r="F2950" i="45"/>
  <c r="F2951" i="45"/>
  <c r="F2952" i="45"/>
  <c r="F2953" i="45"/>
  <c r="F2954" i="45"/>
  <c r="F2955" i="45"/>
  <c r="F2956" i="45"/>
  <c r="F2957" i="45"/>
  <c r="F2958" i="45"/>
  <c r="F2959" i="45"/>
  <c r="F2960" i="45"/>
  <c r="F2961" i="45"/>
  <c r="F2962" i="45"/>
  <c r="F2963" i="45"/>
  <c r="F2964" i="45"/>
  <c r="F2965" i="45"/>
  <c r="F2966" i="45"/>
  <c r="F2967" i="45"/>
  <c r="F2968" i="45"/>
  <c r="F2969" i="45"/>
  <c r="F2970" i="45"/>
  <c r="F2971" i="45"/>
  <c r="F2972" i="45"/>
  <c r="F2973" i="45"/>
  <c r="F2974" i="45"/>
  <c r="F2975" i="45"/>
  <c r="F2976" i="45"/>
  <c r="F2977" i="45"/>
  <c r="F2978" i="45"/>
  <c r="F2979" i="45"/>
  <c r="F2980" i="45"/>
  <c r="F2981" i="45"/>
  <c r="F2982" i="45"/>
  <c r="F2983" i="45"/>
  <c r="F2984" i="45"/>
  <c r="F2985" i="45"/>
  <c r="F2986" i="45"/>
  <c r="F2987" i="45"/>
  <c r="F2988" i="45"/>
  <c r="F2989" i="45"/>
  <c r="F2990" i="45"/>
  <c r="F2991" i="45"/>
  <c r="F2992" i="45"/>
  <c r="F2993" i="45"/>
  <c r="F2994" i="45"/>
  <c r="F2995" i="45"/>
  <c r="F2996" i="45"/>
  <c r="F2997" i="45"/>
  <c r="F2998" i="45"/>
  <c r="F2999" i="45"/>
  <c r="F3000" i="45"/>
  <c r="F3001" i="45"/>
  <c r="F3002" i="45"/>
  <c r="F3003" i="45"/>
  <c r="F3004" i="45"/>
  <c r="F3005" i="45"/>
  <c r="F3006" i="45"/>
  <c r="F3007" i="45"/>
  <c r="F3008" i="45"/>
  <c r="F3009" i="45"/>
  <c r="F3010" i="45"/>
  <c r="F3011" i="45"/>
  <c r="F3012" i="45"/>
  <c r="F3013" i="45"/>
  <c r="F3014" i="45"/>
  <c r="F3015" i="45"/>
  <c r="F3016" i="45"/>
  <c r="F3017" i="45"/>
  <c r="F3018" i="45"/>
  <c r="F3019" i="45"/>
  <c r="F3020" i="45"/>
  <c r="F3021" i="45"/>
  <c r="F3022" i="45"/>
  <c r="F3023" i="45"/>
  <c r="F3024" i="45"/>
  <c r="F3025" i="45"/>
  <c r="F3026" i="45"/>
  <c r="F3027" i="45"/>
  <c r="F3028" i="45"/>
  <c r="F3029" i="45"/>
  <c r="F3030" i="45"/>
  <c r="F3031" i="45"/>
  <c r="F3032" i="45"/>
  <c r="F3033" i="45"/>
  <c r="F3034" i="45"/>
  <c r="F3035" i="45"/>
  <c r="F3036" i="45"/>
  <c r="F3037" i="45"/>
  <c r="F3038" i="45"/>
  <c r="F3039" i="45"/>
  <c r="F3040" i="45"/>
  <c r="F3041" i="45"/>
  <c r="F3042" i="45"/>
  <c r="F3043" i="45"/>
  <c r="F3044" i="45"/>
  <c r="F3045" i="45"/>
  <c r="F3046" i="45"/>
  <c r="F3047" i="45"/>
  <c r="F3048" i="45"/>
  <c r="F3049" i="45"/>
  <c r="F3050" i="45"/>
  <c r="F3051" i="45"/>
  <c r="F3052" i="45"/>
  <c r="F3053" i="45"/>
  <c r="F3054" i="45"/>
  <c r="F3055" i="45"/>
  <c r="F3056" i="45"/>
  <c r="F3057" i="45"/>
  <c r="F3058" i="45"/>
  <c r="F3059" i="45"/>
  <c r="F3060" i="45"/>
  <c r="F3061" i="45"/>
  <c r="F3062" i="45"/>
  <c r="F3063" i="45"/>
  <c r="F3064" i="45"/>
  <c r="F3065" i="45"/>
  <c r="F3066" i="45"/>
  <c r="F3067" i="45"/>
  <c r="F3068" i="45"/>
  <c r="F3069" i="45"/>
  <c r="F3070" i="45"/>
  <c r="F3071" i="45"/>
  <c r="F3072" i="45"/>
  <c r="F3073" i="45"/>
  <c r="F3074" i="45"/>
  <c r="F3075" i="45"/>
  <c r="F3076" i="45"/>
  <c r="F3077" i="45"/>
  <c r="F3078" i="45"/>
  <c r="F3079" i="45"/>
  <c r="F3080" i="45"/>
  <c r="F3081" i="45"/>
  <c r="F3082" i="45"/>
  <c r="F3083" i="45"/>
  <c r="F3084" i="45"/>
  <c r="F3085" i="45"/>
  <c r="F3086" i="45"/>
  <c r="F3087" i="45"/>
  <c r="F3088" i="45"/>
  <c r="F3089" i="45"/>
  <c r="F3090" i="45"/>
  <c r="F3091" i="45"/>
  <c r="F3092" i="45"/>
  <c r="F3093" i="45"/>
  <c r="F3094" i="45"/>
  <c r="F3095" i="45"/>
  <c r="F3096" i="45"/>
  <c r="F3097" i="45"/>
  <c r="F3098" i="45"/>
  <c r="F3099" i="45"/>
  <c r="F3100" i="45"/>
  <c r="F3101" i="45"/>
  <c r="F3102" i="45"/>
  <c r="F3103" i="45"/>
  <c r="F3104" i="45"/>
  <c r="F3105" i="45"/>
  <c r="F3106" i="45"/>
  <c r="F3107" i="45"/>
  <c r="F3108" i="45"/>
  <c r="F3109" i="45"/>
  <c r="F3110" i="45"/>
  <c r="F3111" i="45"/>
  <c r="F3112" i="45"/>
  <c r="F3113" i="45"/>
  <c r="F3114" i="45"/>
  <c r="F3115" i="45"/>
  <c r="F3116" i="45"/>
  <c r="F3117" i="45"/>
  <c r="F3118" i="45"/>
  <c r="F3119" i="45"/>
  <c r="F3120" i="45"/>
  <c r="F3121" i="45"/>
  <c r="F3122" i="45"/>
  <c r="F3123" i="45"/>
  <c r="F3124" i="45"/>
  <c r="F3125" i="45"/>
  <c r="F3126" i="45"/>
  <c r="F3127" i="45"/>
  <c r="F3128" i="45"/>
  <c r="F3129" i="45"/>
  <c r="F3130" i="45"/>
  <c r="F3131" i="45"/>
  <c r="F3132" i="45"/>
  <c r="F3133" i="45"/>
  <c r="F3134" i="45"/>
  <c r="F3135" i="45"/>
  <c r="F3136" i="45"/>
  <c r="F3137" i="45"/>
  <c r="F3138" i="45"/>
  <c r="F3139" i="45"/>
  <c r="F3140" i="45"/>
  <c r="F3141" i="45"/>
  <c r="F3142" i="45"/>
  <c r="F3143" i="45"/>
  <c r="F3144" i="45"/>
  <c r="F3145" i="45"/>
  <c r="F3146" i="45"/>
  <c r="F3147" i="45"/>
  <c r="F3148" i="45"/>
  <c r="F3149" i="45"/>
  <c r="F3150" i="45"/>
  <c r="F3151" i="45"/>
  <c r="F3152" i="45"/>
  <c r="F3153" i="45"/>
  <c r="F3154" i="45"/>
  <c r="F3155" i="45"/>
  <c r="F3156" i="45"/>
  <c r="F3157" i="45"/>
  <c r="F3158" i="45"/>
  <c r="F3159" i="45"/>
  <c r="F3160" i="45"/>
  <c r="F3161" i="45"/>
  <c r="F3162" i="45"/>
  <c r="F3163" i="45"/>
  <c r="F3164" i="45"/>
  <c r="F3165" i="45"/>
  <c r="F3166" i="45"/>
  <c r="F3167" i="45"/>
  <c r="F3168" i="45"/>
  <c r="F3169" i="45"/>
  <c r="F3170" i="45"/>
  <c r="F3171" i="45"/>
  <c r="F3172" i="45"/>
  <c r="F3173" i="45"/>
  <c r="F3174" i="45"/>
  <c r="F3175" i="45"/>
  <c r="F3176" i="45"/>
  <c r="F3177" i="45"/>
  <c r="F3178" i="45"/>
  <c r="F3179" i="45"/>
  <c r="F3180" i="45"/>
  <c r="F3181" i="45"/>
  <c r="F3182" i="45"/>
  <c r="F3183" i="45"/>
  <c r="F3184" i="45"/>
  <c r="F3185" i="45"/>
  <c r="F3186" i="45"/>
  <c r="F3187" i="45"/>
  <c r="F3188" i="45"/>
  <c r="F3189" i="45"/>
  <c r="F3190" i="45"/>
  <c r="F3191" i="45"/>
  <c r="F3192" i="45"/>
  <c r="F3193" i="45"/>
  <c r="F3194" i="45"/>
  <c r="F3195" i="45"/>
  <c r="F3196" i="45"/>
  <c r="F3197" i="45"/>
  <c r="F3198" i="45"/>
  <c r="F3199" i="45"/>
  <c r="F3200" i="45"/>
  <c r="F3201" i="45"/>
  <c r="F3202" i="45"/>
  <c r="F3203" i="45"/>
  <c r="F3204" i="45"/>
  <c r="F3205" i="45"/>
  <c r="F3206" i="45"/>
  <c r="F3207" i="45"/>
  <c r="F3208" i="45"/>
  <c r="F3209" i="45"/>
  <c r="F3210" i="45"/>
  <c r="F3211" i="45"/>
  <c r="F3212" i="45"/>
  <c r="F3213" i="45"/>
  <c r="F3214" i="45"/>
  <c r="F3215" i="45"/>
  <c r="F3216" i="45"/>
  <c r="F3217" i="45"/>
  <c r="F3218" i="45"/>
  <c r="F3219" i="45"/>
  <c r="F3220" i="45"/>
  <c r="F3221" i="45"/>
  <c r="F3222" i="45"/>
  <c r="F3223" i="45"/>
  <c r="F3224" i="45"/>
  <c r="F3225" i="45"/>
  <c r="F3226" i="45"/>
  <c r="F3227" i="45"/>
  <c r="F3228" i="45"/>
  <c r="F3229" i="45"/>
  <c r="F3230" i="45"/>
  <c r="F3231" i="45"/>
  <c r="F3232" i="45"/>
  <c r="F3233" i="45"/>
  <c r="F3234" i="45"/>
  <c r="F3235" i="45"/>
  <c r="F3236" i="45"/>
  <c r="F3237" i="45"/>
  <c r="F3238" i="45"/>
  <c r="F3239" i="45"/>
  <c r="F3240" i="45"/>
  <c r="F3241" i="45"/>
  <c r="F3242" i="45"/>
  <c r="F3243" i="45"/>
  <c r="F3244" i="45"/>
  <c r="F3245" i="45"/>
  <c r="F3246" i="45"/>
  <c r="F3247" i="45"/>
  <c r="F3248" i="45"/>
  <c r="F3249" i="45"/>
  <c r="F3250" i="45"/>
  <c r="F3251" i="45"/>
  <c r="F3252" i="45"/>
  <c r="F3253" i="45"/>
  <c r="F3254" i="45"/>
  <c r="F3255" i="45"/>
  <c r="F3256" i="45"/>
  <c r="F3257" i="45"/>
  <c r="F3258" i="45"/>
  <c r="F3259" i="45"/>
  <c r="F3260" i="45"/>
  <c r="F3261" i="45"/>
  <c r="F3262" i="45"/>
  <c r="F3263" i="45"/>
  <c r="F3264" i="45"/>
  <c r="F3265" i="45"/>
  <c r="F3266" i="45"/>
  <c r="F3267" i="45"/>
  <c r="F3268" i="45"/>
  <c r="F3269" i="45"/>
  <c r="F3270" i="45"/>
  <c r="F3271" i="45"/>
  <c r="F3272" i="45"/>
  <c r="F3273" i="45"/>
  <c r="F3274" i="45"/>
  <c r="F3275" i="45"/>
  <c r="F3276" i="45"/>
  <c r="F3277" i="45"/>
  <c r="F3278" i="45"/>
  <c r="F3279" i="45"/>
  <c r="F3280" i="45"/>
  <c r="F3281" i="45"/>
  <c r="F3282" i="45"/>
  <c r="F3283" i="45"/>
  <c r="F3284" i="45"/>
  <c r="F3285" i="45"/>
  <c r="F3286" i="45"/>
  <c r="F3287" i="45"/>
  <c r="F3288" i="45"/>
  <c r="F3289" i="45"/>
  <c r="F3290" i="45"/>
  <c r="F3291" i="45"/>
  <c r="F3292" i="45"/>
  <c r="F3293" i="45"/>
  <c r="F3294" i="45"/>
  <c r="F3295" i="45"/>
  <c r="F3296" i="45"/>
  <c r="F3297" i="45"/>
  <c r="F3298" i="45"/>
  <c r="F3299" i="45"/>
  <c r="F3300" i="45"/>
  <c r="F3301" i="45"/>
  <c r="F3302" i="45"/>
  <c r="F3303" i="45"/>
  <c r="F3304" i="45"/>
  <c r="F3305" i="45"/>
  <c r="F3306" i="45"/>
  <c r="F3307" i="45"/>
  <c r="F3308" i="45"/>
  <c r="F3309" i="45"/>
  <c r="F3310" i="45"/>
  <c r="F3311" i="45"/>
  <c r="F3312" i="45"/>
  <c r="F3313" i="45"/>
  <c r="F3314" i="45"/>
  <c r="F3315" i="45"/>
  <c r="F3316" i="45"/>
  <c r="F3317" i="45"/>
  <c r="F3318" i="45"/>
  <c r="F3319" i="45"/>
  <c r="F3320" i="45"/>
  <c r="F3321" i="45"/>
  <c r="F3322" i="45"/>
  <c r="F3323" i="45"/>
  <c r="F3324" i="45"/>
  <c r="F3325" i="45"/>
  <c r="F3326" i="45"/>
  <c r="F3327" i="45"/>
  <c r="F3328" i="45"/>
  <c r="F3329" i="45"/>
  <c r="F3330" i="45"/>
  <c r="F3331" i="45"/>
  <c r="F3332" i="45"/>
  <c r="F3333" i="45"/>
  <c r="F3334" i="45"/>
  <c r="F3335" i="45"/>
  <c r="F3336" i="45"/>
  <c r="F3337" i="45"/>
  <c r="F3338" i="45"/>
  <c r="F3339" i="45"/>
  <c r="F3340" i="45"/>
  <c r="F3341" i="45"/>
  <c r="F3342" i="45"/>
  <c r="F3343" i="45"/>
  <c r="F3344" i="45"/>
  <c r="F3345" i="45"/>
  <c r="F3346" i="45"/>
  <c r="F3347" i="45"/>
  <c r="F3348" i="45"/>
  <c r="F3349" i="45"/>
  <c r="F3350" i="45"/>
  <c r="F3351" i="45"/>
  <c r="F3352" i="45"/>
  <c r="F3353" i="45"/>
  <c r="F3354" i="45"/>
  <c r="F3355" i="45"/>
  <c r="F3356" i="45"/>
  <c r="F3357" i="45"/>
  <c r="F3358" i="45"/>
  <c r="F3359" i="45"/>
  <c r="F3360" i="45"/>
  <c r="F3361" i="45"/>
  <c r="F3362" i="45"/>
  <c r="F3363" i="45"/>
  <c r="F3364" i="45"/>
  <c r="F3365" i="45"/>
  <c r="F3366" i="45"/>
  <c r="F3367" i="45"/>
  <c r="F3368" i="45"/>
  <c r="F3369" i="45"/>
  <c r="F3370" i="45"/>
  <c r="F3371" i="45"/>
  <c r="F3372" i="45"/>
  <c r="F3373" i="45"/>
  <c r="F3374" i="45"/>
  <c r="F3375" i="45"/>
  <c r="F3376" i="45"/>
  <c r="F3377" i="45"/>
  <c r="F3378" i="45"/>
  <c r="F3379" i="45"/>
  <c r="F3380" i="45"/>
  <c r="F3381" i="45"/>
  <c r="F3382" i="45"/>
  <c r="F3383" i="45"/>
  <c r="F3384" i="45"/>
  <c r="F3385" i="45"/>
  <c r="F3386" i="45"/>
  <c r="F3387" i="45"/>
  <c r="F3388" i="45"/>
  <c r="F3389" i="45"/>
  <c r="F3390" i="45"/>
  <c r="F3391" i="45"/>
  <c r="F3392" i="45"/>
  <c r="F3393" i="45"/>
  <c r="F3394" i="45"/>
  <c r="F3395" i="45"/>
  <c r="F3396" i="45"/>
  <c r="F3397" i="45"/>
  <c r="F3398" i="45"/>
  <c r="F3399" i="45"/>
  <c r="F3400" i="45"/>
  <c r="F3401" i="45"/>
  <c r="F3402" i="45"/>
  <c r="F3403" i="45"/>
  <c r="F3404" i="45"/>
  <c r="F3405" i="45"/>
  <c r="F3406" i="45"/>
  <c r="F3407" i="45"/>
  <c r="F3408" i="45"/>
  <c r="F3409" i="45"/>
  <c r="F3410" i="45"/>
  <c r="F3411" i="45"/>
  <c r="F3412" i="45"/>
  <c r="F3413" i="45"/>
  <c r="F3414" i="45"/>
  <c r="F3415" i="45"/>
  <c r="F3416" i="45"/>
  <c r="F3417" i="45"/>
  <c r="F3418" i="45"/>
  <c r="F3419" i="45"/>
  <c r="F3420" i="45"/>
  <c r="F3421" i="45"/>
  <c r="F3422" i="45"/>
  <c r="F3423" i="45"/>
  <c r="F3424" i="45"/>
  <c r="F3425" i="45"/>
  <c r="F3426" i="45"/>
  <c r="F3427" i="45"/>
  <c r="F3428" i="45"/>
  <c r="F3429" i="45"/>
  <c r="F3430" i="45"/>
  <c r="F3431" i="45"/>
  <c r="F3432" i="45"/>
  <c r="F3433" i="45"/>
  <c r="F3434" i="45"/>
  <c r="F3435" i="45"/>
  <c r="F3436" i="45"/>
  <c r="F3437" i="45"/>
  <c r="F3438" i="45"/>
  <c r="F3439" i="45"/>
  <c r="F3440" i="45"/>
  <c r="F3441" i="45"/>
  <c r="F3442" i="45"/>
  <c r="F3443" i="45"/>
  <c r="F3444" i="45"/>
  <c r="F3445" i="45"/>
  <c r="F3446" i="45"/>
  <c r="F3447" i="45"/>
  <c r="F3448" i="45"/>
  <c r="F3449" i="45"/>
  <c r="F3450" i="45"/>
  <c r="F3451" i="45"/>
  <c r="F3452" i="45"/>
  <c r="F3453" i="45"/>
  <c r="F3454" i="45"/>
  <c r="F3455" i="45"/>
  <c r="F3456" i="45"/>
  <c r="F3457" i="45"/>
  <c r="F3458" i="45"/>
  <c r="F3459" i="45"/>
  <c r="F3460" i="45"/>
  <c r="F3461" i="45"/>
  <c r="F3462" i="45"/>
  <c r="F3463" i="45"/>
  <c r="F3464" i="45"/>
  <c r="F3465" i="45"/>
  <c r="F3466" i="45"/>
  <c r="F3467" i="45"/>
  <c r="F3468" i="45"/>
  <c r="F3469" i="45"/>
  <c r="F3470" i="45"/>
  <c r="F3471" i="45"/>
  <c r="F3472" i="45"/>
  <c r="F3473" i="45"/>
  <c r="F3474" i="45"/>
  <c r="F3475" i="45"/>
  <c r="F3476" i="45"/>
  <c r="F3477" i="45"/>
  <c r="F3478" i="45"/>
  <c r="F3479" i="45"/>
  <c r="F3480" i="45"/>
  <c r="F3481" i="45"/>
  <c r="F3482" i="45"/>
  <c r="F3483" i="45"/>
  <c r="F3484" i="45"/>
  <c r="F3485" i="45"/>
  <c r="F3486" i="45"/>
  <c r="F3487" i="45"/>
  <c r="F3488" i="45"/>
  <c r="F3489" i="45"/>
  <c r="F3490" i="45"/>
  <c r="F3491" i="45"/>
  <c r="F3492" i="45"/>
  <c r="F3493" i="45"/>
  <c r="F3494" i="45"/>
  <c r="F3495" i="45"/>
  <c r="F3496" i="45"/>
  <c r="F3497" i="45"/>
  <c r="F3498" i="45"/>
  <c r="F3499" i="45"/>
  <c r="F3500" i="45"/>
  <c r="F3501" i="45"/>
  <c r="F3502" i="45"/>
  <c r="F3503" i="45"/>
  <c r="F3504" i="45"/>
  <c r="F3505" i="45"/>
  <c r="F3506" i="45"/>
  <c r="F3507" i="45"/>
  <c r="F3508" i="45"/>
  <c r="F3509" i="45"/>
  <c r="F3510" i="45"/>
  <c r="F3511" i="45"/>
  <c r="F3512" i="45"/>
  <c r="F3513" i="45"/>
  <c r="F3514" i="45"/>
  <c r="F3515" i="45"/>
  <c r="F3516" i="45"/>
  <c r="F3517" i="45"/>
  <c r="F3518" i="45"/>
  <c r="F3519" i="45"/>
  <c r="F3520" i="45"/>
  <c r="F3521" i="45"/>
  <c r="F3522" i="45"/>
  <c r="F3523" i="45"/>
  <c r="F3524" i="45"/>
  <c r="F3525" i="45"/>
  <c r="F3526" i="45"/>
  <c r="F3527" i="45"/>
  <c r="F3528" i="45"/>
  <c r="F3529" i="45"/>
  <c r="F3530" i="45"/>
  <c r="F3531" i="45"/>
  <c r="F3532" i="45"/>
  <c r="F3533" i="45"/>
  <c r="F3534" i="45"/>
  <c r="F3535" i="45"/>
  <c r="F3536" i="45"/>
  <c r="F3537" i="45"/>
  <c r="F3538" i="45"/>
  <c r="F3539" i="45"/>
  <c r="F3540" i="45"/>
  <c r="F3541" i="45"/>
  <c r="F3542" i="45"/>
  <c r="F3543" i="45"/>
  <c r="F3544" i="45"/>
  <c r="F3545" i="45"/>
  <c r="F3546" i="45"/>
  <c r="F3547" i="45"/>
  <c r="F3548" i="45"/>
  <c r="F3549" i="45"/>
  <c r="F3550" i="45"/>
  <c r="F3551" i="45"/>
  <c r="F3552" i="45"/>
  <c r="F3553" i="45"/>
  <c r="F3554" i="45"/>
  <c r="F3555" i="45"/>
  <c r="F3556" i="45"/>
  <c r="F3557" i="45"/>
  <c r="F3558" i="45"/>
  <c r="F3559" i="45"/>
  <c r="F3560" i="45"/>
  <c r="F3561" i="45"/>
  <c r="F3562" i="45"/>
  <c r="F3563" i="45"/>
  <c r="F3564" i="45"/>
  <c r="F3565" i="45"/>
  <c r="F3566" i="45"/>
  <c r="F3567" i="45"/>
  <c r="F3568" i="45"/>
  <c r="F3569" i="45"/>
  <c r="F3570" i="45"/>
  <c r="F3571" i="45"/>
  <c r="F3572" i="45"/>
  <c r="F3573" i="45"/>
  <c r="F3574" i="45"/>
  <c r="F3575" i="45"/>
  <c r="F3576" i="45"/>
  <c r="F3577" i="45"/>
  <c r="F3578" i="45"/>
  <c r="F3579" i="45"/>
  <c r="F3580" i="45"/>
  <c r="F3581" i="45"/>
  <c r="F3582" i="45"/>
  <c r="F3583" i="45"/>
  <c r="F3584" i="45"/>
  <c r="F3585" i="45"/>
  <c r="F3586" i="45"/>
  <c r="F3587" i="45"/>
  <c r="F3588" i="45"/>
  <c r="F3589" i="45"/>
  <c r="F3590" i="45"/>
  <c r="F3591" i="45"/>
  <c r="F3592" i="45"/>
  <c r="F3593" i="45"/>
  <c r="F3594" i="45"/>
  <c r="F3595" i="45"/>
  <c r="F3596" i="45"/>
  <c r="F3597" i="45"/>
  <c r="F3598" i="45"/>
  <c r="F3599" i="45"/>
  <c r="F3600" i="45"/>
  <c r="F3601" i="45"/>
  <c r="F3602" i="45"/>
  <c r="F3603" i="45"/>
  <c r="F3604" i="45"/>
  <c r="F3605" i="45"/>
  <c r="F3606" i="45"/>
  <c r="F3607" i="45"/>
  <c r="F3608" i="45"/>
  <c r="F3609" i="45"/>
  <c r="F3610" i="45"/>
  <c r="F3611" i="45"/>
  <c r="F3612" i="45"/>
  <c r="F3613" i="45"/>
  <c r="F3614" i="45"/>
  <c r="F3615" i="45"/>
  <c r="F3616" i="45"/>
  <c r="F3617" i="45"/>
  <c r="F3618" i="45"/>
  <c r="F3619" i="45"/>
  <c r="F3620" i="45"/>
  <c r="F3621" i="45"/>
  <c r="F3622" i="45"/>
  <c r="F3623" i="45"/>
  <c r="F3624" i="45"/>
  <c r="F3625" i="45"/>
  <c r="F3626" i="45"/>
  <c r="F3627" i="45"/>
  <c r="F3628" i="45"/>
  <c r="F3629" i="45"/>
  <c r="F3630" i="45"/>
  <c r="F3631" i="45"/>
  <c r="F3632" i="45"/>
  <c r="F3633" i="45"/>
  <c r="F3634" i="45"/>
  <c r="F3635" i="45"/>
  <c r="F3636" i="45"/>
  <c r="F3637" i="45"/>
  <c r="F3638" i="45"/>
  <c r="F3639" i="45"/>
  <c r="F3640" i="45"/>
  <c r="F3641" i="45"/>
  <c r="F3642" i="45"/>
  <c r="F3643" i="45"/>
  <c r="F3644" i="45"/>
  <c r="F3645" i="45"/>
  <c r="F3646" i="45"/>
  <c r="F3647" i="45"/>
  <c r="F3648" i="45"/>
  <c r="F3649" i="45"/>
  <c r="F3650" i="45"/>
  <c r="F3651" i="45"/>
  <c r="F3652" i="45"/>
  <c r="F3653" i="45"/>
  <c r="F3654" i="45"/>
  <c r="F3655" i="45"/>
  <c r="F3656" i="45"/>
  <c r="F3657" i="45"/>
  <c r="F3658" i="45"/>
  <c r="F3659" i="45"/>
  <c r="F3660" i="45"/>
  <c r="F3661" i="45"/>
  <c r="F3662" i="45"/>
  <c r="F3663" i="45"/>
  <c r="F3664" i="45"/>
  <c r="F3665" i="45"/>
  <c r="F3666" i="45"/>
  <c r="F3667" i="45"/>
  <c r="F3668" i="45"/>
  <c r="F3669" i="45"/>
  <c r="F3670" i="45"/>
  <c r="F3671" i="45"/>
  <c r="F3672" i="45"/>
  <c r="F3673" i="45"/>
  <c r="F3674" i="45"/>
  <c r="F3675" i="45"/>
  <c r="F3676" i="45"/>
  <c r="F3677" i="45"/>
  <c r="F3678" i="45"/>
  <c r="F3679" i="45"/>
  <c r="F3680" i="45"/>
  <c r="F3681" i="45"/>
  <c r="F3682" i="45"/>
  <c r="F3683" i="45"/>
  <c r="F3684" i="45"/>
  <c r="F3685" i="45"/>
  <c r="F3686" i="45"/>
  <c r="F3687" i="45"/>
  <c r="F3688" i="45"/>
  <c r="F3689" i="45"/>
  <c r="F3690" i="45"/>
  <c r="F3691" i="45"/>
  <c r="F3692" i="45"/>
  <c r="F3693" i="45"/>
  <c r="F3694" i="45"/>
  <c r="F3695" i="45"/>
  <c r="F3696" i="45"/>
  <c r="F3697" i="45"/>
  <c r="F3698" i="45"/>
  <c r="F3699" i="45"/>
  <c r="F3700" i="45"/>
  <c r="F3701" i="45"/>
  <c r="F3702" i="45"/>
  <c r="F3703" i="45"/>
  <c r="F3704" i="45"/>
  <c r="F3705" i="45"/>
  <c r="F3706" i="45"/>
  <c r="F3707" i="45"/>
  <c r="F3708" i="45"/>
  <c r="F3709" i="45"/>
  <c r="F3710" i="45"/>
  <c r="F3711" i="45"/>
  <c r="F3712" i="45"/>
  <c r="F3713" i="45"/>
  <c r="F3714" i="45"/>
  <c r="F3715" i="45"/>
  <c r="F3716" i="45"/>
  <c r="F3717" i="45"/>
  <c r="F3718" i="45"/>
  <c r="F3719" i="45"/>
  <c r="F3720" i="45"/>
  <c r="F3721" i="45"/>
  <c r="F3722" i="45"/>
  <c r="F3723" i="45"/>
  <c r="F3724" i="45"/>
  <c r="F3725" i="45"/>
  <c r="F3726" i="45"/>
  <c r="F3727" i="45"/>
  <c r="F3728" i="45"/>
  <c r="F3729" i="45"/>
  <c r="F3730" i="45"/>
  <c r="F3731" i="45"/>
  <c r="F3732" i="45"/>
  <c r="F3733" i="45"/>
  <c r="F3734" i="45"/>
  <c r="F3735" i="45"/>
  <c r="F3736" i="45"/>
  <c r="F3737" i="45"/>
  <c r="F3738" i="45"/>
  <c r="F3739" i="45"/>
  <c r="F3740" i="45"/>
  <c r="F3741" i="45"/>
  <c r="F3742" i="45"/>
  <c r="F3743" i="45"/>
  <c r="F3744" i="45"/>
  <c r="F3745" i="45"/>
  <c r="F3746" i="45"/>
  <c r="F3747" i="45"/>
  <c r="F3748" i="45"/>
  <c r="F3749" i="45"/>
  <c r="F3750" i="45"/>
  <c r="F3751" i="45"/>
  <c r="F3752" i="45"/>
  <c r="F3753" i="45"/>
  <c r="F3754" i="45"/>
  <c r="F3755" i="45"/>
  <c r="F3756" i="45"/>
  <c r="F3757" i="45"/>
  <c r="F3758" i="45"/>
  <c r="F3759" i="45"/>
  <c r="F3760" i="45"/>
  <c r="F3761" i="45"/>
  <c r="F3762" i="45"/>
  <c r="F3763" i="45"/>
  <c r="F3764" i="45"/>
  <c r="F3765" i="45"/>
  <c r="F3766" i="45"/>
  <c r="F3767" i="45"/>
  <c r="F3768" i="45"/>
  <c r="F3769" i="45"/>
  <c r="F3770" i="45"/>
  <c r="F3771" i="45"/>
  <c r="F3772" i="45"/>
  <c r="F3773" i="45"/>
  <c r="F3774" i="45"/>
  <c r="F3775" i="45"/>
  <c r="F3776" i="45"/>
  <c r="F3777" i="45"/>
  <c r="F3778" i="45"/>
  <c r="F3779" i="45"/>
  <c r="F3780" i="45"/>
  <c r="F3781" i="45"/>
  <c r="F3782" i="45"/>
  <c r="F3783" i="45"/>
  <c r="F3784" i="45"/>
  <c r="F3785" i="45"/>
  <c r="F3786" i="45"/>
  <c r="F3787" i="45"/>
  <c r="F3788" i="45"/>
  <c r="F3789" i="45"/>
  <c r="F3790" i="45"/>
  <c r="F3791" i="45"/>
  <c r="F3792" i="45"/>
  <c r="F3793" i="45"/>
  <c r="F3794" i="45"/>
  <c r="F3795" i="45"/>
  <c r="F3796" i="45"/>
  <c r="F3797" i="45"/>
  <c r="F3798" i="45"/>
  <c r="F3799" i="45"/>
  <c r="F3800" i="45"/>
  <c r="F3801" i="45"/>
  <c r="F3802" i="45"/>
  <c r="F3803" i="45"/>
  <c r="F3804" i="45"/>
  <c r="F3805" i="45"/>
  <c r="F3806" i="45"/>
  <c r="F3807" i="45"/>
  <c r="F3808" i="45"/>
  <c r="F3809" i="45"/>
  <c r="F3810" i="45"/>
  <c r="F3811" i="45"/>
  <c r="F3812" i="45"/>
  <c r="F3813" i="45"/>
  <c r="F3814" i="45"/>
  <c r="F3815" i="45"/>
  <c r="F3816" i="45"/>
  <c r="F3817" i="45"/>
  <c r="F3818" i="45"/>
  <c r="F3819" i="45"/>
  <c r="F3820" i="45"/>
  <c r="F3821" i="45"/>
  <c r="F3822" i="45"/>
  <c r="F3823" i="45"/>
  <c r="F3824" i="45"/>
  <c r="F3825" i="45"/>
  <c r="F3826" i="45"/>
  <c r="F3827" i="45"/>
  <c r="F3828" i="45"/>
  <c r="F3829" i="45"/>
  <c r="F3830" i="45"/>
  <c r="F3831" i="45"/>
  <c r="F3832" i="45"/>
  <c r="F3833" i="45"/>
  <c r="F3834" i="45"/>
  <c r="F3835" i="45"/>
  <c r="F3836" i="45"/>
  <c r="F3837" i="45"/>
  <c r="F3838" i="45"/>
  <c r="F3839" i="45"/>
  <c r="F3840" i="45"/>
  <c r="F3841" i="45"/>
  <c r="F3842" i="45"/>
  <c r="F3843" i="45"/>
  <c r="F3844" i="45"/>
  <c r="F3845" i="45"/>
  <c r="F3846" i="45"/>
  <c r="F3847" i="45"/>
  <c r="F3848" i="45"/>
  <c r="F3849" i="45"/>
  <c r="F3850" i="45"/>
  <c r="F3851" i="45"/>
  <c r="F3852" i="45"/>
  <c r="F3853" i="45"/>
  <c r="F3854" i="45"/>
  <c r="F3855" i="45"/>
  <c r="F3856" i="45"/>
  <c r="F3857" i="45"/>
  <c r="F3858" i="45"/>
  <c r="F3859" i="45"/>
  <c r="F3860" i="45"/>
  <c r="F3861" i="45"/>
  <c r="F3862" i="45"/>
  <c r="F3863" i="45"/>
  <c r="F3864" i="45"/>
  <c r="F3865" i="45"/>
  <c r="F3866" i="45"/>
  <c r="F3867" i="45"/>
  <c r="F3868" i="45"/>
  <c r="F3869" i="45"/>
  <c r="F3870" i="45"/>
  <c r="F3871" i="45"/>
  <c r="F3872" i="45"/>
  <c r="F3873" i="45"/>
  <c r="F3874" i="45"/>
  <c r="F3875" i="45"/>
  <c r="F3876" i="45"/>
  <c r="F3877" i="45"/>
  <c r="F3878" i="45"/>
  <c r="F3879" i="45"/>
  <c r="F3880" i="45"/>
  <c r="F3881" i="45"/>
  <c r="F3882" i="45"/>
  <c r="F3883" i="45"/>
  <c r="F3884" i="45"/>
  <c r="F3885" i="45"/>
  <c r="F3886" i="45"/>
  <c r="F3887" i="45"/>
  <c r="F3888" i="45"/>
  <c r="F3889" i="45"/>
  <c r="F3890" i="45"/>
  <c r="F3891" i="45"/>
  <c r="F3892" i="45"/>
  <c r="F3893" i="45"/>
  <c r="F3894" i="45"/>
  <c r="F3895" i="45"/>
  <c r="F3896" i="45"/>
  <c r="F3897" i="45"/>
  <c r="F3898" i="45"/>
  <c r="F3899" i="45"/>
  <c r="F3900" i="45"/>
  <c r="F3901" i="45"/>
  <c r="F3902" i="45"/>
  <c r="F3903" i="45"/>
  <c r="F3904" i="45"/>
  <c r="F3905" i="45"/>
  <c r="F3906" i="45"/>
  <c r="F3907" i="45"/>
  <c r="F3908" i="45"/>
  <c r="F3909" i="45"/>
  <c r="F3910" i="45"/>
  <c r="F3911" i="45"/>
  <c r="F3912" i="45"/>
  <c r="F3913" i="45"/>
  <c r="F3914" i="45"/>
  <c r="F3915" i="45"/>
  <c r="F3916" i="45"/>
  <c r="F3917" i="45"/>
  <c r="F3918" i="45"/>
  <c r="F3919" i="45"/>
  <c r="F3920" i="45"/>
  <c r="F3921" i="45"/>
  <c r="F3922" i="45"/>
  <c r="F3923" i="45"/>
  <c r="F3924" i="45"/>
  <c r="F3925" i="45"/>
  <c r="F3926" i="45"/>
  <c r="F3927" i="45"/>
  <c r="F3928" i="45"/>
  <c r="F3929" i="45"/>
  <c r="F3930" i="45"/>
  <c r="F3931" i="45"/>
  <c r="F3932" i="45"/>
  <c r="F3933" i="45"/>
  <c r="F3934" i="45"/>
  <c r="F3935" i="45"/>
  <c r="F3936" i="45"/>
  <c r="F3937" i="45"/>
  <c r="F3938" i="45"/>
  <c r="F3939" i="45"/>
  <c r="F3940" i="45"/>
  <c r="F3941" i="45"/>
  <c r="F3942" i="45"/>
  <c r="F3943" i="45"/>
  <c r="F3944" i="45"/>
  <c r="F3945" i="45"/>
  <c r="F3946" i="45"/>
  <c r="F3947" i="45"/>
  <c r="F3948" i="45"/>
  <c r="F3949" i="45"/>
  <c r="F3950" i="45"/>
  <c r="F3951" i="45"/>
  <c r="F3952" i="45"/>
  <c r="F3953" i="45"/>
  <c r="F3954" i="45"/>
  <c r="F3955" i="45"/>
  <c r="F3956" i="45"/>
  <c r="F3957" i="45"/>
  <c r="F3958" i="45"/>
  <c r="F3959" i="45"/>
  <c r="F3960" i="45"/>
  <c r="F3961" i="45"/>
  <c r="F3962" i="45"/>
  <c r="F3963" i="45"/>
  <c r="F3964" i="45"/>
  <c r="F3965" i="45"/>
  <c r="F3966" i="45"/>
  <c r="F3967" i="45"/>
  <c r="F3968" i="45"/>
  <c r="F3969" i="45"/>
  <c r="F3970" i="45"/>
  <c r="G359" i="46"/>
  <c r="G358" i="46"/>
  <c r="G357" i="46"/>
  <c r="G313" i="46"/>
  <c r="G306" i="46"/>
  <c r="G302" i="46"/>
  <c r="G287" i="46"/>
  <c r="G249" i="46"/>
  <c r="G239" i="46"/>
  <c r="G226" i="46"/>
  <c r="G206" i="46"/>
  <c r="G190" i="46"/>
  <c r="G178" i="46"/>
  <c r="G176" i="46"/>
  <c r="G170" i="46"/>
  <c r="G153" i="46"/>
  <c r="G103" i="46"/>
  <c r="G45" i="46"/>
  <c r="D302" i="12" l="1"/>
  <c r="D301" i="12"/>
  <c r="D300" i="12"/>
  <c r="D299" i="12"/>
  <c r="D298" i="12"/>
  <c r="D297" i="12"/>
  <c r="D296" i="12"/>
  <c r="D295" i="12"/>
  <c r="D294" i="12"/>
  <c r="D293" i="12"/>
  <c r="D292" i="12"/>
  <c r="D291" i="12"/>
  <c r="D290" i="12"/>
  <c r="D289" i="12"/>
  <c r="D288" i="12"/>
  <c r="D287" i="12"/>
  <c r="D286" i="12"/>
  <c r="D285" i="12"/>
  <c r="D284" i="12"/>
  <c r="D283" i="12"/>
  <c r="D282" i="12"/>
  <c r="D281" i="12"/>
  <c r="D280" i="12"/>
  <c r="D279" i="12"/>
  <c r="D278" i="12"/>
  <c r="D277" i="12"/>
  <c r="D276" i="12"/>
  <c r="D275" i="12"/>
  <c r="D274" i="12"/>
  <c r="D273" i="12"/>
  <c r="D272" i="12"/>
  <c r="D271" i="12"/>
  <c r="D270" i="12"/>
  <c r="D269" i="12"/>
  <c r="D268" i="12"/>
  <c r="D267" i="12"/>
  <c r="D264" i="12"/>
  <c r="D261" i="12"/>
  <c r="D254" i="12"/>
  <c r="D253" i="12"/>
  <c r="D252" i="12"/>
  <c r="D250" i="12"/>
  <c r="D249" i="12"/>
  <c r="D248" i="12"/>
  <c r="D246" i="12"/>
  <c r="D245" i="12"/>
  <c r="D243" i="12"/>
  <c r="D242" i="12"/>
  <c r="D235" i="12"/>
  <c r="D232" i="12"/>
  <c r="D215" i="12"/>
  <c r="D214" i="12"/>
  <c r="D213" i="12"/>
  <c r="D209" i="12"/>
  <c r="D206" i="12"/>
  <c r="D201" i="12"/>
  <c r="D197" i="12"/>
  <c r="D196" i="12"/>
  <c r="D195" i="12"/>
  <c r="D193" i="12"/>
  <c r="D191" i="12"/>
  <c r="D180" i="12"/>
  <c r="D160" i="12"/>
  <c r="D156" i="12"/>
  <c r="D154" i="12"/>
  <c r="D150" i="12"/>
  <c r="D136" i="12"/>
  <c r="D134" i="12"/>
  <c r="D132" i="12"/>
  <c r="D127" i="12"/>
  <c r="D126" i="12"/>
  <c r="D125" i="12"/>
  <c r="D123" i="12"/>
  <c r="D114" i="12"/>
  <c r="D113" i="12"/>
  <c r="D112" i="12"/>
  <c r="D98" i="12"/>
  <c r="D95" i="12"/>
  <c r="D92" i="12"/>
  <c r="D90" i="12"/>
  <c r="D88" i="12"/>
  <c r="D81" i="12"/>
  <c r="D77" i="12"/>
  <c r="D76" i="12"/>
  <c r="D74" i="12"/>
  <c r="D73" i="12"/>
  <c r="D72" i="12"/>
  <c r="D70" i="12"/>
  <c r="D62" i="12"/>
  <c r="D61" i="12"/>
  <c r="D60" i="12"/>
  <c r="D59" i="12"/>
  <c r="D57" i="12"/>
  <c r="D56" i="12"/>
  <c r="D50" i="12"/>
  <c r="D49" i="12"/>
  <c r="D44" i="12"/>
  <c r="D36" i="12"/>
  <c r="D35" i="12"/>
  <c r="D34" i="12"/>
  <c r="D33" i="12"/>
  <c r="D28" i="12"/>
  <c r="D26" i="12"/>
  <c r="D25" i="12"/>
  <c r="D24" i="12"/>
  <c r="D20" i="12"/>
  <c r="D17" i="12"/>
  <c r="D14" i="12"/>
  <c r="D5" i="12"/>
  <c r="D6" i="12"/>
  <c r="D7" i="12"/>
  <c r="D8" i="12"/>
  <c r="D10" i="12"/>
  <c r="D11" i="12"/>
  <c r="D12" i="12"/>
  <c r="D21" i="12"/>
  <c r="D15" i="12"/>
  <c r="D16" i="12"/>
  <c r="D9" i="12"/>
  <c r="D19" i="12"/>
  <c r="D13" i="12"/>
  <c r="D22" i="12"/>
  <c r="D23" i="12"/>
  <c r="D124" i="12"/>
  <c r="D27" i="12"/>
  <c r="D29" i="12"/>
  <c r="D30" i="12"/>
  <c r="D31" i="12"/>
  <c r="D32" i="12"/>
  <c r="D37" i="12"/>
  <c r="D38" i="12"/>
  <c r="D39" i="12"/>
  <c r="D40" i="12"/>
  <c r="D41" i="12"/>
  <c r="D42" i="12"/>
  <c r="D43" i="12"/>
  <c r="D45" i="12"/>
  <c r="D46" i="12"/>
  <c r="D47" i="12"/>
  <c r="D48" i="12"/>
  <c r="D51" i="12"/>
  <c r="D52" i="12"/>
  <c r="D53" i="12"/>
  <c r="D54" i="12"/>
  <c r="D55" i="12"/>
  <c r="D58" i="12"/>
  <c r="D63" i="12"/>
  <c r="D64" i="12"/>
  <c r="D65" i="12"/>
  <c r="D66" i="12"/>
  <c r="D67" i="12"/>
  <c r="D68" i="12"/>
  <c r="D69" i="12"/>
  <c r="D131" i="12"/>
  <c r="D71" i="12"/>
  <c r="D75" i="12"/>
  <c r="D137" i="12"/>
  <c r="D78" i="12"/>
  <c r="D79" i="12"/>
  <c r="D80" i="12"/>
  <c r="D82" i="12"/>
  <c r="D83" i="12"/>
  <c r="D84" i="12"/>
  <c r="D85" i="12"/>
  <c r="D86" i="12"/>
  <c r="D87" i="12"/>
  <c r="D18" i="12"/>
  <c r="D91" i="12"/>
  <c r="D223" i="12"/>
  <c r="D93" i="12"/>
  <c r="D94" i="12"/>
  <c r="D96" i="12"/>
  <c r="D99" i="12"/>
  <c r="D100" i="12"/>
  <c r="D101" i="12"/>
  <c r="D151" i="12"/>
  <c r="D103" i="12"/>
  <c r="D104" i="12"/>
  <c r="D105" i="12"/>
  <c r="D106" i="12"/>
  <c r="D107" i="12"/>
  <c r="D108" i="12"/>
  <c r="D109" i="12"/>
  <c r="D110" i="12"/>
  <c r="D111" i="12"/>
  <c r="D115" i="12"/>
  <c r="D116" i="12"/>
  <c r="D117" i="12"/>
  <c r="D118" i="12"/>
  <c r="D119" i="12"/>
  <c r="D120" i="12"/>
  <c r="D121" i="12"/>
  <c r="D122" i="12"/>
  <c r="D89" i="12"/>
  <c r="D128" i="12"/>
  <c r="D129" i="12"/>
  <c r="D130" i="12"/>
  <c r="D133" i="12"/>
  <c r="D135" i="12"/>
  <c r="D138" i="12"/>
  <c r="D139" i="12"/>
  <c r="D140" i="12"/>
  <c r="D141" i="12"/>
  <c r="D142" i="12"/>
  <c r="D143" i="12"/>
  <c r="D144" i="12"/>
  <c r="D145" i="12"/>
  <c r="D146" i="12"/>
  <c r="D147" i="12"/>
  <c r="D148" i="12"/>
  <c r="D149" i="12"/>
  <c r="D152" i="12"/>
  <c r="D153" i="12"/>
  <c r="D155" i="12"/>
  <c r="D157" i="12"/>
  <c r="D158" i="12"/>
  <c r="D159" i="12"/>
  <c r="D161" i="12"/>
  <c r="D162" i="12"/>
  <c r="D163" i="12"/>
  <c r="D164" i="12"/>
  <c r="D165" i="12"/>
  <c r="D166" i="12"/>
  <c r="D167" i="12"/>
  <c r="D168" i="12"/>
  <c r="D169" i="12"/>
  <c r="D170" i="12"/>
  <c r="D171" i="12"/>
  <c r="D172" i="12"/>
  <c r="D173" i="12"/>
  <c r="D174" i="12"/>
  <c r="D175" i="12"/>
  <c r="D176" i="12"/>
  <c r="D177" i="12"/>
  <c r="D178" i="12"/>
  <c r="D179" i="12"/>
  <c r="D247" i="12"/>
  <c r="D181" i="12"/>
  <c r="D182" i="12"/>
  <c r="D183" i="12"/>
  <c r="D184" i="12"/>
  <c r="D185" i="12"/>
  <c r="D186" i="12"/>
  <c r="D187" i="12"/>
  <c r="D188" i="12"/>
  <c r="D189" i="12"/>
  <c r="D190" i="12"/>
  <c r="D192" i="12"/>
  <c r="D194" i="12"/>
  <c r="D198" i="12"/>
  <c r="D199" i="12"/>
  <c r="D200" i="12"/>
  <c r="D202" i="12"/>
  <c r="D203" i="12"/>
  <c r="D204" i="12"/>
  <c r="D205" i="12"/>
  <c r="D207" i="12"/>
  <c r="D208" i="12"/>
  <c r="D210" i="12"/>
  <c r="D211" i="12"/>
  <c r="D212" i="12"/>
  <c r="D216" i="12"/>
  <c r="D217" i="12"/>
  <c r="D218" i="12"/>
  <c r="D219" i="12"/>
  <c r="D220" i="12"/>
  <c r="D221" i="12"/>
  <c r="D222" i="12"/>
  <c r="D224" i="12"/>
  <c r="D225" i="12"/>
  <c r="D226" i="12"/>
  <c r="D227" i="12"/>
  <c r="D228" i="12"/>
  <c r="D229" i="12"/>
  <c r="D230" i="12"/>
  <c r="D231" i="12"/>
  <c r="D102" i="12"/>
  <c r="D233" i="12"/>
  <c r="D234" i="12"/>
  <c r="D97" i="12"/>
  <c r="D236" i="12"/>
  <c r="D237" i="12"/>
  <c r="D238" i="12"/>
  <c r="D239" i="12"/>
  <c r="D240" i="12"/>
  <c r="D241" i="12"/>
  <c r="D244" i="12"/>
  <c r="D251" i="12"/>
  <c r="D4" i="12"/>
  <c r="WZY1" i="46" l="1"/>
  <c r="D3886" i="45"/>
  <c r="G3886" i="45"/>
  <c r="H3886" i="45"/>
  <c r="I3886" i="45"/>
  <c r="D3887" i="45"/>
  <c r="G3887" i="45"/>
  <c r="H3887" i="45"/>
  <c r="I3887" i="45"/>
  <c r="D3888" i="45"/>
  <c r="G3888" i="45"/>
  <c r="H3888" i="45"/>
  <c r="I3888" i="45"/>
  <c r="D3692" i="45"/>
  <c r="G3692" i="45"/>
  <c r="H3692" i="45"/>
  <c r="I3692" i="45"/>
  <c r="D3693" i="45"/>
  <c r="G3693" i="45"/>
  <c r="H3693" i="45"/>
  <c r="I3693" i="45"/>
  <c r="D3694" i="45"/>
  <c r="G3694" i="45"/>
  <c r="H3694" i="45"/>
  <c r="I3694" i="45"/>
  <c r="D2129" i="45"/>
  <c r="G2129" i="45"/>
  <c r="H2129" i="45"/>
  <c r="I2129" i="45"/>
  <c r="D3824" i="45"/>
  <c r="G3824" i="45"/>
  <c r="H3824" i="45"/>
  <c r="I3824" i="45"/>
  <c r="D3823" i="45"/>
  <c r="G3823" i="45"/>
  <c r="H3823" i="45"/>
  <c r="I3823" i="45"/>
  <c r="D3631" i="45"/>
  <c r="G3631" i="45"/>
  <c r="H3631" i="45"/>
  <c r="I3631" i="45"/>
  <c r="D2102" i="45"/>
  <c r="G2102" i="45"/>
  <c r="H2102" i="45"/>
  <c r="I2102" i="45"/>
  <c r="D2133" i="45"/>
  <c r="G2133" i="45"/>
  <c r="H2133" i="45"/>
  <c r="I2133" i="45"/>
  <c r="D2134" i="45"/>
  <c r="G2134" i="45"/>
  <c r="H2134" i="45"/>
  <c r="I2134" i="45"/>
  <c r="D1250" i="45"/>
  <c r="G1250" i="45"/>
  <c r="H1250" i="45"/>
  <c r="I1250" i="45"/>
  <c r="D3917" i="45"/>
  <c r="G3917" i="45"/>
  <c r="H3917" i="45"/>
  <c r="I3917" i="45"/>
  <c r="D3755" i="45"/>
  <c r="G3755" i="45"/>
  <c r="H3755" i="45"/>
  <c r="I3755" i="45"/>
  <c r="D136" i="45"/>
  <c r="G136" i="45"/>
  <c r="H136" i="45"/>
  <c r="I136" i="45"/>
  <c r="D137" i="45"/>
  <c r="G137" i="45"/>
  <c r="H137" i="45"/>
  <c r="I137" i="45"/>
  <c r="D92" i="45"/>
  <c r="G92" i="45"/>
  <c r="H92" i="45"/>
  <c r="I92" i="45"/>
  <c r="D95" i="45"/>
  <c r="G95" i="45"/>
  <c r="H95" i="45"/>
  <c r="I95" i="45"/>
  <c r="D3677" i="45"/>
  <c r="G3677" i="45"/>
  <c r="H3677" i="45"/>
  <c r="I3677" i="45"/>
  <c r="D3678" i="45"/>
  <c r="G3678" i="45"/>
  <c r="H3678" i="45"/>
  <c r="I3678" i="45"/>
  <c r="D3871" i="45"/>
  <c r="G3871" i="45"/>
  <c r="H3871" i="45"/>
  <c r="I3871" i="45"/>
  <c r="D3872" i="45"/>
  <c r="G3872" i="45"/>
  <c r="H3872" i="45"/>
  <c r="I3872" i="45"/>
  <c r="D3873" i="45"/>
  <c r="G3873" i="45"/>
  <c r="H3873" i="45"/>
  <c r="I3873" i="45"/>
  <c r="D3874" i="45"/>
  <c r="G3874" i="45"/>
  <c r="H3874" i="45"/>
  <c r="I3874" i="45"/>
  <c r="D3753" i="45"/>
  <c r="G3753" i="45"/>
  <c r="H3753" i="45"/>
  <c r="I3753" i="45"/>
  <c r="D3095" i="45"/>
  <c r="G3095" i="45"/>
  <c r="H3095" i="45"/>
  <c r="I3095" i="45"/>
  <c r="D2760" i="45"/>
  <c r="G2760" i="45"/>
  <c r="H2760" i="45"/>
  <c r="I2760" i="45"/>
  <c r="D3933" i="45"/>
  <c r="G3933" i="45"/>
  <c r="H3933" i="45"/>
  <c r="I3933" i="45"/>
  <c r="D3936" i="45"/>
  <c r="G3936" i="45"/>
  <c r="H3936" i="45"/>
  <c r="I3936" i="45"/>
  <c r="D3921" i="45"/>
  <c r="G3921" i="45"/>
  <c r="H3921" i="45"/>
  <c r="I3921" i="45"/>
  <c r="D3940" i="45"/>
  <c r="G3940" i="45"/>
  <c r="H3940" i="45"/>
  <c r="I3940" i="45"/>
  <c r="D3939" i="45"/>
  <c r="G3939" i="45"/>
  <c r="H3939" i="45"/>
  <c r="I3939" i="45"/>
  <c r="D3934" i="45" l="1"/>
  <c r="D3935" i="45"/>
  <c r="G3934" i="45"/>
  <c r="G3935" i="45"/>
  <c r="H3934" i="45"/>
  <c r="H3935" i="45"/>
  <c r="I3934" i="45"/>
  <c r="I3935" i="45"/>
  <c r="D3937" i="45"/>
  <c r="G3937" i="45"/>
  <c r="H3937" i="45"/>
  <c r="I3937" i="45"/>
  <c r="D3938" i="45"/>
  <c r="G3938" i="45"/>
  <c r="H3938" i="45"/>
  <c r="I3938" i="45"/>
  <c r="D3969" i="45"/>
  <c r="G3969" i="45"/>
  <c r="H3969" i="45"/>
  <c r="I3969" i="45"/>
  <c r="D3906" i="45"/>
  <c r="G3906" i="45"/>
  <c r="H3906" i="45"/>
  <c r="I3906" i="45"/>
  <c r="D3748" i="45"/>
  <c r="G3748" i="45"/>
  <c r="H3748" i="45"/>
  <c r="I3748" i="45"/>
  <c r="D3747" i="45"/>
  <c r="G3747" i="45"/>
  <c r="H3747" i="45"/>
  <c r="I3747" i="45"/>
  <c r="D3746" i="45"/>
  <c r="G3746" i="45"/>
  <c r="H3746" i="45"/>
  <c r="I3746" i="45"/>
  <c r="D3710" i="45"/>
  <c r="G3710" i="45"/>
  <c r="H3710" i="45"/>
  <c r="I3710" i="45"/>
  <c r="D3559" i="45"/>
  <c r="G3559" i="45"/>
  <c r="H3559" i="45"/>
  <c r="I3559" i="45"/>
  <c r="D3536" i="45"/>
  <c r="G3536" i="45"/>
  <c r="H3536" i="45"/>
  <c r="I3536" i="45"/>
  <c r="D3070" i="45"/>
  <c r="G3070" i="45"/>
  <c r="H3070" i="45"/>
  <c r="I3070" i="45"/>
  <c r="D3069" i="45"/>
  <c r="G3069" i="45"/>
  <c r="H3069" i="45"/>
  <c r="I3069" i="45"/>
  <c r="A3100" i="45"/>
  <c r="D3100" i="45"/>
  <c r="G3100" i="45"/>
  <c r="H3100" i="45"/>
  <c r="I3100" i="45"/>
  <c r="D3036" i="45"/>
  <c r="G3036" i="45"/>
  <c r="H3036" i="45"/>
  <c r="I3036" i="45"/>
  <c r="D3035" i="45"/>
  <c r="G3035" i="45"/>
  <c r="H3035" i="45"/>
  <c r="I3035" i="45"/>
  <c r="D3057" i="45"/>
  <c r="G3057" i="45"/>
  <c r="H3057" i="45"/>
  <c r="I3057" i="45"/>
  <c r="D3058" i="45"/>
  <c r="G3058" i="45"/>
  <c r="H3058" i="45"/>
  <c r="I3058" i="45"/>
  <c r="D3056" i="45"/>
  <c r="G3056" i="45"/>
  <c r="H3056" i="45"/>
  <c r="I3056" i="45"/>
  <c r="D3099" i="45"/>
  <c r="G3099" i="45"/>
  <c r="H3099" i="45"/>
  <c r="I3099" i="45"/>
  <c r="D3098" i="45"/>
  <c r="G3098" i="45"/>
  <c r="H3098" i="45"/>
  <c r="I3098" i="45"/>
  <c r="D2906" i="45"/>
  <c r="G2906" i="45"/>
  <c r="H2906" i="45"/>
  <c r="I2906" i="45"/>
  <c r="D2749" i="45"/>
  <c r="G2749" i="45"/>
  <c r="H2749" i="45"/>
  <c r="I2749" i="45"/>
  <c r="D2748" i="45"/>
  <c r="G2748" i="45"/>
  <c r="H2748" i="45"/>
  <c r="I2748" i="45"/>
  <c r="D2750" i="45"/>
  <c r="G2750" i="45"/>
  <c r="H2750" i="45"/>
  <c r="I2750" i="45"/>
  <c r="D2747" i="45"/>
  <c r="G2747" i="45"/>
  <c r="H2747" i="45"/>
  <c r="I2747" i="45"/>
  <c r="D2761" i="45"/>
  <c r="G2761" i="45"/>
  <c r="H2761" i="45"/>
  <c r="I2761" i="45"/>
  <c r="D2762" i="45"/>
  <c r="G2762" i="45"/>
  <c r="H2762" i="45"/>
  <c r="I2762" i="45"/>
  <c r="D2746" i="45"/>
  <c r="G2746" i="45"/>
  <c r="H2746" i="45"/>
  <c r="I2746" i="45"/>
  <c r="D2876" i="45"/>
  <c r="G2876" i="45"/>
  <c r="H2876" i="45"/>
  <c r="I2876" i="45"/>
  <c r="D2930" i="45"/>
  <c r="G2930" i="45"/>
  <c r="H2930" i="45"/>
  <c r="I2930" i="45"/>
  <c r="D2875" i="45"/>
  <c r="G2875" i="45"/>
  <c r="H2875" i="45"/>
  <c r="I2875" i="45"/>
  <c r="D2903" i="45"/>
  <c r="G2903" i="45"/>
  <c r="H2903" i="45"/>
  <c r="I2903" i="45"/>
  <c r="D2939" i="45"/>
  <c r="G2939" i="45"/>
  <c r="H2939" i="45"/>
  <c r="I2939" i="45"/>
  <c r="D2582" i="45"/>
  <c r="G2582" i="45"/>
  <c r="H2582" i="45"/>
  <c r="I2582" i="45"/>
  <c r="D2581" i="45"/>
  <c r="G2581" i="45"/>
  <c r="H2581" i="45"/>
  <c r="I2581" i="45"/>
  <c r="D2580" i="45"/>
  <c r="G2580" i="45"/>
  <c r="H2580" i="45"/>
  <c r="I2580" i="45"/>
  <c r="D2579" i="45"/>
  <c r="G2579" i="45"/>
  <c r="H2579" i="45"/>
  <c r="I2579" i="45"/>
  <c r="D2254" i="45"/>
  <c r="D2255" i="45"/>
  <c r="D2256" i="45"/>
  <c r="D2257" i="45"/>
  <c r="G2254" i="45"/>
  <c r="G2255" i="45"/>
  <c r="G2256" i="45"/>
  <c r="G2257" i="45"/>
  <c r="H2254" i="45"/>
  <c r="H2255" i="45"/>
  <c r="H2256" i="45"/>
  <c r="H2257" i="45"/>
  <c r="I2254" i="45"/>
  <c r="I2255" i="45"/>
  <c r="I2256" i="45"/>
  <c r="I2257" i="45"/>
  <c r="D2258" i="45"/>
  <c r="D2259" i="45"/>
  <c r="G2258" i="45"/>
  <c r="G2259" i="45"/>
  <c r="H2258" i="45"/>
  <c r="H2259" i="45"/>
  <c r="I2258" i="45"/>
  <c r="I2259" i="45"/>
  <c r="D1825" i="45"/>
  <c r="G1825" i="45"/>
  <c r="H1825" i="45"/>
  <c r="I1825" i="45"/>
  <c r="D3779" i="45"/>
  <c r="G3779" i="45"/>
  <c r="H3779" i="45"/>
  <c r="I3779" i="45"/>
  <c r="D3590" i="45"/>
  <c r="G3590" i="45"/>
  <c r="H3590" i="45"/>
  <c r="I3590" i="45"/>
  <c r="D1542" i="45"/>
  <c r="G1542" i="45"/>
  <c r="H1542" i="45"/>
  <c r="I1542" i="45"/>
  <c r="D1408" i="45"/>
  <c r="G1408" i="45"/>
  <c r="H1408" i="45"/>
  <c r="I1408" i="45"/>
  <c r="D1345" i="45"/>
  <c r="G1345" i="45"/>
  <c r="H1345" i="45"/>
  <c r="I1345" i="45"/>
  <c r="D1346" i="45"/>
  <c r="G1346" i="45"/>
  <c r="H1346" i="45"/>
  <c r="I1346" i="45"/>
  <c r="D1394" i="45"/>
  <c r="G1394" i="45"/>
  <c r="H1394" i="45"/>
  <c r="I1394" i="45"/>
  <c r="D1393" i="45"/>
  <c r="G1393" i="45"/>
  <c r="H1393" i="45"/>
  <c r="I1393" i="45"/>
  <c r="D1193" i="45" l="1"/>
  <c r="G1193" i="45"/>
  <c r="H1193" i="45"/>
  <c r="I1193" i="45"/>
  <c r="D1255" i="45"/>
  <c r="G1255" i="45"/>
  <c r="H1255" i="45"/>
  <c r="I1255" i="45"/>
  <c r="D1254" i="45"/>
  <c r="G1254" i="45"/>
  <c r="H1254" i="45"/>
  <c r="I1254" i="45"/>
  <c r="D1256" i="45"/>
  <c r="G1256" i="45"/>
  <c r="H1256" i="45"/>
  <c r="I1256" i="45"/>
  <c r="D1113" i="45"/>
  <c r="G1113" i="45"/>
  <c r="H1113" i="45"/>
  <c r="I1113" i="45"/>
  <c r="D3783" i="45" l="1"/>
  <c r="G3783" i="45"/>
  <c r="H3783" i="45"/>
  <c r="I3783" i="45"/>
  <c r="D3777" i="45"/>
  <c r="G3777" i="45"/>
  <c r="H3777" i="45"/>
  <c r="I3777" i="45"/>
  <c r="D3775" i="45"/>
  <c r="D3776" i="45"/>
  <c r="G3775" i="45"/>
  <c r="G3776" i="45"/>
  <c r="H3775" i="45"/>
  <c r="H3776" i="45"/>
  <c r="I3775" i="45"/>
  <c r="I3776" i="45"/>
  <c r="D3778" i="45"/>
  <c r="G3778" i="45"/>
  <c r="H3778" i="45"/>
  <c r="I3778" i="45"/>
  <c r="D3780" i="45"/>
  <c r="G3780" i="45"/>
  <c r="H3780" i="45"/>
  <c r="I3780" i="45"/>
  <c r="D3781" i="45"/>
  <c r="G3781" i="45"/>
  <c r="H3781" i="45"/>
  <c r="I3781" i="45"/>
  <c r="D3782" i="45"/>
  <c r="G3782" i="45"/>
  <c r="H3782" i="45"/>
  <c r="I3782" i="45"/>
  <c r="D3586" i="45"/>
  <c r="G3586" i="45"/>
  <c r="H3586" i="45"/>
  <c r="I3586" i="45"/>
  <c r="D3593" i="45"/>
  <c r="G3593" i="45"/>
  <c r="H3593" i="45"/>
  <c r="I3593" i="45"/>
  <c r="D3592" i="45"/>
  <c r="G3592" i="45"/>
  <c r="H3592" i="45"/>
  <c r="I3592" i="45"/>
  <c r="D3591" i="45"/>
  <c r="G3591" i="45"/>
  <c r="H3591" i="45"/>
  <c r="I3591" i="45"/>
  <c r="D3587" i="45"/>
  <c r="G3587" i="45"/>
  <c r="H3587" i="45"/>
  <c r="I3587" i="45"/>
  <c r="D3588" i="45"/>
  <c r="G3588" i="45"/>
  <c r="H3588" i="45"/>
  <c r="I3588" i="45"/>
  <c r="D3589" i="45"/>
  <c r="G3589" i="45"/>
  <c r="H3589" i="45"/>
  <c r="I3589" i="45"/>
  <c r="D3414" i="45"/>
  <c r="G3414" i="45"/>
  <c r="H3414" i="45"/>
  <c r="I3414" i="45"/>
  <c r="D2954" i="45"/>
  <c r="G2954" i="45"/>
  <c r="H2954" i="45"/>
  <c r="I2954" i="45"/>
  <c r="D2948" i="45"/>
  <c r="D2949" i="45"/>
  <c r="G2948" i="45"/>
  <c r="G2949" i="45"/>
  <c r="H2948" i="45"/>
  <c r="H2949" i="45"/>
  <c r="I2948" i="45"/>
  <c r="I2949" i="45"/>
  <c r="D2950" i="45"/>
  <c r="D2951" i="45"/>
  <c r="G2950" i="45"/>
  <c r="G2951" i="45"/>
  <c r="H2950" i="45"/>
  <c r="H2951" i="45"/>
  <c r="I2950" i="45"/>
  <c r="I2951" i="45"/>
  <c r="D2952" i="45"/>
  <c r="G2952" i="45"/>
  <c r="H2952" i="45"/>
  <c r="I2952" i="45"/>
  <c r="D2953" i="45"/>
  <c r="G2953" i="45"/>
  <c r="H2953" i="45"/>
  <c r="I2953" i="45"/>
  <c r="D2790" i="45"/>
  <c r="G2790" i="45"/>
  <c r="H2790" i="45"/>
  <c r="I2790" i="45"/>
  <c r="D2784" i="45"/>
  <c r="D2785" i="45"/>
  <c r="G2784" i="45"/>
  <c r="G2785" i="45"/>
  <c r="H2784" i="45"/>
  <c r="H2785" i="45"/>
  <c r="I2784" i="45"/>
  <c r="I2785" i="45"/>
  <c r="D2786" i="45"/>
  <c r="D2787" i="45"/>
  <c r="G2786" i="45"/>
  <c r="G2787" i="45"/>
  <c r="H2786" i="45"/>
  <c r="H2787" i="45"/>
  <c r="I2786" i="45"/>
  <c r="I2787" i="45"/>
  <c r="D2788" i="45"/>
  <c r="G2788" i="45"/>
  <c r="H2788" i="45"/>
  <c r="I2788" i="45"/>
  <c r="D2789" i="45"/>
  <c r="G2789" i="45"/>
  <c r="H2789" i="45"/>
  <c r="I2789" i="45"/>
  <c r="D2608" i="45"/>
  <c r="D2609" i="45"/>
  <c r="G2608" i="45"/>
  <c r="G2609" i="45"/>
  <c r="H2608" i="45"/>
  <c r="H2609" i="45"/>
  <c r="I2608" i="45"/>
  <c r="I2609" i="45"/>
  <c r="D2607" i="45"/>
  <c r="G2607" i="45"/>
  <c r="H2607" i="45"/>
  <c r="I2607" i="45"/>
  <c r="D2610" i="45"/>
  <c r="G2610" i="45"/>
  <c r="H2610" i="45"/>
  <c r="I2610" i="45"/>
  <c r="D2611" i="45"/>
  <c r="G2611" i="45"/>
  <c r="H2611" i="45"/>
  <c r="I2611" i="45"/>
  <c r="D2612" i="45"/>
  <c r="G2612" i="45"/>
  <c r="H2612" i="45"/>
  <c r="I2612" i="45"/>
  <c r="D2613" i="45"/>
  <c r="G2613" i="45"/>
  <c r="H2613" i="45"/>
  <c r="I2613" i="45"/>
  <c r="D2454" i="45"/>
  <c r="G2454" i="45"/>
  <c r="H2454" i="45"/>
  <c r="I2454" i="45"/>
  <c r="D2451" i="45"/>
  <c r="G2451" i="45"/>
  <c r="H2451" i="45"/>
  <c r="I2451" i="45"/>
  <c r="D2452" i="45"/>
  <c r="G2452" i="45"/>
  <c r="H2452" i="45"/>
  <c r="I2452" i="45"/>
  <c r="D2453" i="45"/>
  <c r="G2453" i="45"/>
  <c r="H2453" i="45"/>
  <c r="I2453" i="45"/>
  <c r="D2455" i="45"/>
  <c r="G2455" i="45"/>
  <c r="H2455" i="45"/>
  <c r="I2455" i="45"/>
  <c r="D2147" i="45"/>
  <c r="G2147" i="45"/>
  <c r="H2147" i="45"/>
  <c r="I2147" i="45"/>
  <c r="D2300" i="45"/>
  <c r="G2300" i="45"/>
  <c r="H2300" i="45"/>
  <c r="I2300" i="45"/>
  <c r="D2301" i="45"/>
  <c r="G2301" i="45"/>
  <c r="H2301" i="45"/>
  <c r="I2301" i="45"/>
  <c r="D2302" i="45"/>
  <c r="G2302" i="45"/>
  <c r="H2302" i="45"/>
  <c r="I2302" i="45"/>
  <c r="D2303" i="45"/>
  <c r="G2303" i="45"/>
  <c r="H2303" i="45"/>
  <c r="I2303" i="45"/>
  <c r="D2145" i="45"/>
  <c r="G2145" i="45"/>
  <c r="H2145" i="45"/>
  <c r="I2145" i="45"/>
  <c r="D2146" i="45"/>
  <c r="G2146" i="45"/>
  <c r="H2146" i="45"/>
  <c r="I2146" i="45"/>
  <c r="D2148" i="45"/>
  <c r="G2148" i="45"/>
  <c r="H2148" i="45"/>
  <c r="I2148" i="45"/>
  <c r="D2149" i="45"/>
  <c r="G2149" i="45"/>
  <c r="H2149" i="45"/>
  <c r="I2149" i="45"/>
  <c r="D2150" i="45"/>
  <c r="G2150" i="45"/>
  <c r="H2150" i="45"/>
  <c r="I2150" i="45"/>
  <c r="D2141" i="45"/>
  <c r="G2141" i="45"/>
  <c r="H2141" i="45"/>
  <c r="I2141" i="45"/>
  <c r="D2144" i="45"/>
  <c r="G2144" i="45"/>
  <c r="H2144" i="45"/>
  <c r="I2144" i="45"/>
  <c r="D2143" i="45"/>
  <c r="G2143" i="45"/>
  <c r="H2143" i="45"/>
  <c r="I2143" i="45"/>
  <c r="D1855" i="45"/>
  <c r="D1856" i="45"/>
  <c r="D1857" i="45"/>
  <c r="G1855" i="45"/>
  <c r="G1856" i="45"/>
  <c r="G1857" i="45"/>
  <c r="H1855" i="45"/>
  <c r="H1856" i="45"/>
  <c r="H1857" i="45"/>
  <c r="I1855" i="45"/>
  <c r="I1856" i="45"/>
  <c r="I1857" i="45"/>
  <c r="D1853" i="45"/>
  <c r="G1853" i="45"/>
  <c r="H1853" i="45"/>
  <c r="I1853" i="45"/>
  <c r="D1851" i="45"/>
  <c r="D1852" i="45"/>
  <c r="D1854" i="45"/>
  <c r="G1851" i="45"/>
  <c r="G1852" i="45"/>
  <c r="G1854" i="45"/>
  <c r="H1851" i="45"/>
  <c r="H1852" i="45"/>
  <c r="H1854" i="45"/>
  <c r="I1851" i="45"/>
  <c r="I1852" i="45"/>
  <c r="I1854" i="45"/>
  <c r="D1858" i="45"/>
  <c r="G1858" i="45"/>
  <c r="H1858" i="45"/>
  <c r="I1858" i="45"/>
  <c r="D1708" i="45"/>
  <c r="G1708" i="45"/>
  <c r="H1708" i="45"/>
  <c r="I1708" i="45"/>
  <c r="D1709" i="45"/>
  <c r="G1709" i="45"/>
  <c r="H1709" i="45"/>
  <c r="I1709" i="45"/>
  <c r="D1706" i="45"/>
  <c r="G1706" i="45"/>
  <c r="H1706" i="45"/>
  <c r="I1706" i="45"/>
  <c r="D1705" i="45"/>
  <c r="G1705" i="45"/>
  <c r="H1705" i="45"/>
  <c r="I1705" i="45"/>
  <c r="D1707" i="45"/>
  <c r="G1707" i="45"/>
  <c r="H1707" i="45"/>
  <c r="I1707" i="45"/>
  <c r="I1704" i="45"/>
  <c r="H1704" i="45"/>
  <c r="G1704" i="45"/>
  <c r="D1704" i="45"/>
  <c r="D1703" i="45"/>
  <c r="G1703" i="45"/>
  <c r="H1703" i="45"/>
  <c r="I1703" i="45"/>
  <c r="D1701" i="45"/>
  <c r="G1701" i="45"/>
  <c r="H1701" i="45"/>
  <c r="I1701" i="45"/>
  <c r="D1700" i="45"/>
  <c r="G1700" i="45"/>
  <c r="H1700" i="45"/>
  <c r="I1700" i="45"/>
  <c r="D1429" i="45"/>
  <c r="G1429" i="45"/>
  <c r="H1429" i="45"/>
  <c r="I1429" i="45"/>
  <c r="D1428" i="45"/>
  <c r="G1428" i="45"/>
  <c r="H1428" i="45"/>
  <c r="I1428" i="45"/>
  <c r="D1422" i="45"/>
  <c r="G1422" i="45"/>
  <c r="H1422" i="45"/>
  <c r="I1422" i="45"/>
  <c r="D1426" i="45"/>
  <c r="G1426" i="45"/>
  <c r="H1426" i="45"/>
  <c r="I1426" i="45"/>
  <c r="D1271" i="45"/>
  <c r="G1271" i="45"/>
  <c r="H1271" i="45"/>
  <c r="I1271" i="45"/>
  <c r="D1269" i="45"/>
  <c r="G1269" i="45"/>
  <c r="H1269" i="45"/>
  <c r="I1269" i="45"/>
  <c r="D1274" i="45"/>
  <c r="G1274" i="45"/>
  <c r="H1274" i="45"/>
  <c r="I1274" i="45"/>
  <c r="D1273" i="45"/>
  <c r="G1273" i="45"/>
  <c r="H1273" i="45"/>
  <c r="I1273" i="45"/>
  <c r="D1272" i="45"/>
  <c r="G1272" i="45"/>
  <c r="H1272" i="45"/>
  <c r="I1272" i="45"/>
  <c r="D1128" i="45"/>
  <c r="G1128" i="45"/>
  <c r="H1128" i="45"/>
  <c r="I1128" i="45"/>
  <c r="D1126" i="45"/>
  <c r="G1126" i="45"/>
  <c r="H1126" i="45"/>
  <c r="I1126" i="45"/>
  <c r="D986" i="45"/>
  <c r="G986" i="45"/>
  <c r="H986" i="45"/>
  <c r="I986" i="45"/>
  <c r="D843" i="45"/>
  <c r="G843" i="45"/>
  <c r="H843" i="45"/>
  <c r="I843" i="45"/>
  <c r="D3829" i="45"/>
  <c r="G3829" i="45"/>
  <c r="H3829" i="45"/>
  <c r="I3829" i="45"/>
  <c r="I3970" i="45"/>
  <c r="H3970" i="45"/>
  <c r="G3970" i="45"/>
  <c r="D3970" i="45"/>
  <c r="I3968" i="45"/>
  <c r="H3968" i="45"/>
  <c r="G3968" i="45"/>
  <c r="D3968" i="45"/>
  <c r="I3967" i="45"/>
  <c r="H3967" i="45"/>
  <c r="G3967" i="45"/>
  <c r="D3967" i="45"/>
  <c r="I3966" i="45"/>
  <c r="H3966" i="45"/>
  <c r="G3966" i="45"/>
  <c r="D3966" i="45"/>
  <c r="I3965" i="45"/>
  <c r="H3965" i="45"/>
  <c r="G3965" i="45"/>
  <c r="D3965" i="45"/>
  <c r="I3964" i="45"/>
  <c r="H3964" i="45"/>
  <c r="G3964" i="45"/>
  <c r="D3964" i="45"/>
  <c r="I3963" i="45"/>
  <c r="H3963" i="45"/>
  <c r="G3963" i="45"/>
  <c r="D3963" i="45"/>
  <c r="I3962" i="45"/>
  <c r="H3962" i="45"/>
  <c r="G3962" i="45"/>
  <c r="D3962" i="45"/>
  <c r="I3961" i="45"/>
  <c r="H3961" i="45"/>
  <c r="G3961" i="45"/>
  <c r="D3961" i="45"/>
  <c r="I3960" i="45"/>
  <c r="H3960" i="45"/>
  <c r="G3960" i="45"/>
  <c r="D3960" i="45"/>
  <c r="I3959" i="45"/>
  <c r="H3959" i="45"/>
  <c r="G3959" i="45"/>
  <c r="D3959" i="45"/>
  <c r="I3958" i="45"/>
  <c r="H3958" i="45"/>
  <c r="G3958" i="45"/>
  <c r="D3958" i="45"/>
  <c r="I3957" i="45"/>
  <c r="H3957" i="45"/>
  <c r="G3957" i="45"/>
  <c r="D3957" i="45"/>
  <c r="I3956" i="45"/>
  <c r="H3956" i="45"/>
  <c r="G3956" i="45"/>
  <c r="D3956" i="45"/>
  <c r="I3955" i="45"/>
  <c r="H3955" i="45"/>
  <c r="G3955" i="45"/>
  <c r="D3955" i="45"/>
  <c r="I3954" i="45"/>
  <c r="H3954" i="45"/>
  <c r="G3954" i="45"/>
  <c r="D3954" i="45"/>
  <c r="I3953" i="45"/>
  <c r="H3953" i="45"/>
  <c r="G3953" i="45"/>
  <c r="D3953" i="45"/>
  <c r="I3952" i="45"/>
  <c r="H3952" i="45"/>
  <c r="G3952" i="45"/>
  <c r="D3952" i="45"/>
  <c r="I3951" i="45"/>
  <c r="H3951" i="45"/>
  <c r="G3951" i="45"/>
  <c r="D3951" i="45"/>
  <c r="I3950" i="45"/>
  <c r="H3950" i="45"/>
  <c r="G3950" i="45"/>
  <c r="D3950" i="45"/>
  <c r="I3949" i="45"/>
  <c r="H3949" i="45"/>
  <c r="G3949" i="45"/>
  <c r="D3949" i="45"/>
  <c r="I3948" i="45"/>
  <c r="H3948" i="45"/>
  <c r="G3948" i="45"/>
  <c r="D3948" i="45"/>
  <c r="I3947" i="45"/>
  <c r="H3947" i="45"/>
  <c r="G3947" i="45"/>
  <c r="D3947" i="45"/>
  <c r="I3946" i="45"/>
  <c r="H3946" i="45"/>
  <c r="G3946" i="45"/>
  <c r="D3946" i="45"/>
  <c r="I3945" i="45"/>
  <c r="H3945" i="45"/>
  <c r="G3945" i="45"/>
  <c r="D3945" i="45"/>
  <c r="I3944" i="45"/>
  <c r="H3944" i="45"/>
  <c r="G3944" i="45"/>
  <c r="D3944" i="45"/>
  <c r="I3943" i="45"/>
  <c r="H3943" i="45"/>
  <c r="G3943" i="45"/>
  <c r="D3943" i="45"/>
  <c r="I3942" i="45"/>
  <c r="H3942" i="45"/>
  <c r="G3942" i="45"/>
  <c r="D3942" i="45"/>
  <c r="I3941" i="45"/>
  <c r="H3941" i="45"/>
  <c r="G3941" i="45"/>
  <c r="D3941" i="45"/>
  <c r="I3932" i="45"/>
  <c r="H3932" i="45"/>
  <c r="G3932" i="45"/>
  <c r="D3932" i="45"/>
  <c r="I3931" i="45"/>
  <c r="H3931" i="45"/>
  <c r="G3931" i="45"/>
  <c r="D3931" i="45"/>
  <c r="I3930" i="45"/>
  <c r="H3930" i="45"/>
  <c r="G3930" i="45"/>
  <c r="D3930" i="45"/>
  <c r="I3929" i="45"/>
  <c r="H3929" i="45"/>
  <c r="G3929" i="45"/>
  <c r="D3929" i="45"/>
  <c r="I3928" i="45"/>
  <c r="H3928" i="45"/>
  <c r="G3928" i="45"/>
  <c r="D3928" i="45"/>
  <c r="I3927" i="45"/>
  <c r="H3927" i="45"/>
  <c r="G3927" i="45"/>
  <c r="D3927" i="45"/>
  <c r="I3926" i="45"/>
  <c r="H3926" i="45"/>
  <c r="G3926" i="45"/>
  <c r="D3926" i="45"/>
  <c r="I3925" i="45"/>
  <c r="H3925" i="45"/>
  <c r="G3925" i="45"/>
  <c r="D3925" i="45"/>
  <c r="I3924" i="45"/>
  <c r="H3924" i="45"/>
  <c r="G3924" i="45"/>
  <c r="D3924" i="45"/>
  <c r="I3923" i="45"/>
  <c r="H3923" i="45"/>
  <c r="G3923" i="45"/>
  <c r="D3923" i="45"/>
  <c r="I3922" i="45"/>
  <c r="H3922" i="45"/>
  <c r="G3922" i="45"/>
  <c r="D3922" i="45"/>
  <c r="I3920" i="45"/>
  <c r="H3920" i="45"/>
  <c r="G3920" i="45"/>
  <c r="D3920" i="45"/>
  <c r="I3919" i="45"/>
  <c r="H3919" i="45"/>
  <c r="G3919" i="45"/>
  <c r="D3919" i="45"/>
  <c r="I3918" i="45"/>
  <c r="H3918" i="45"/>
  <c r="G3918" i="45"/>
  <c r="D3918" i="45"/>
  <c r="I3916" i="45"/>
  <c r="H3916" i="45"/>
  <c r="G3916" i="45"/>
  <c r="D3916" i="45"/>
  <c r="I3915" i="45"/>
  <c r="H3915" i="45"/>
  <c r="G3915" i="45"/>
  <c r="D3915" i="45"/>
  <c r="I3914" i="45"/>
  <c r="H3914" i="45"/>
  <c r="G3914" i="45"/>
  <c r="D3914" i="45"/>
  <c r="I3913" i="45"/>
  <c r="H3913" i="45"/>
  <c r="G3913" i="45"/>
  <c r="D3913" i="45"/>
  <c r="I3912" i="45"/>
  <c r="H3912" i="45"/>
  <c r="G3912" i="45"/>
  <c r="D3912" i="45"/>
  <c r="I3911" i="45"/>
  <c r="H3911" i="45"/>
  <c r="G3911" i="45"/>
  <c r="D3911" i="45"/>
  <c r="I3910" i="45"/>
  <c r="H3910" i="45"/>
  <c r="G3910" i="45"/>
  <c r="D3910" i="45"/>
  <c r="I3909" i="45"/>
  <c r="H3909" i="45"/>
  <c r="G3909" i="45"/>
  <c r="D3909" i="45"/>
  <c r="I3908" i="45"/>
  <c r="H3908" i="45"/>
  <c r="G3908" i="45"/>
  <c r="D3908" i="45"/>
  <c r="I3907" i="45"/>
  <c r="H3907" i="45"/>
  <c r="G3907" i="45"/>
  <c r="D3907" i="45"/>
  <c r="I3905" i="45"/>
  <c r="H3905" i="45"/>
  <c r="G3905" i="45"/>
  <c r="D3905" i="45"/>
  <c r="I3904" i="45"/>
  <c r="H3904" i="45"/>
  <c r="G3904" i="45"/>
  <c r="D3904" i="45"/>
  <c r="I3903" i="45"/>
  <c r="H3903" i="45"/>
  <c r="G3903" i="45"/>
  <c r="D3903" i="45"/>
  <c r="I3902" i="45"/>
  <c r="H3902" i="45"/>
  <c r="G3902" i="45"/>
  <c r="D3902" i="45"/>
  <c r="I3901" i="45"/>
  <c r="H3901" i="45"/>
  <c r="G3901" i="45"/>
  <c r="D3901" i="45"/>
  <c r="I3900" i="45"/>
  <c r="H3900" i="45"/>
  <c r="G3900" i="45"/>
  <c r="D3900" i="45"/>
  <c r="I3899" i="45"/>
  <c r="H3899" i="45"/>
  <c r="G3899" i="45"/>
  <c r="D3899" i="45"/>
  <c r="I3898" i="45"/>
  <c r="H3898" i="45"/>
  <c r="G3898" i="45"/>
  <c r="D3898" i="45"/>
  <c r="I3897" i="45"/>
  <c r="H3897" i="45"/>
  <c r="G3897" i="45"/>
  <c r="D3897" i="45"/>
  <c r="I3896" i="45"/>
  <c r="H3896" i="45"/>
  <c r="G3896" i="45"/>
  <c r="D3896" i="45"/>
  <c r="I3895" i="45"/>
  <c r="H3895" i="45"/>
  <c r="G3895" i="45"/>
  <c r="D3895" i="45"/>
  <c r="I3894" i="45"/>
  <c r="H3894" i="45"/>
  <c r="G3894" i="45"/>
  <c r="D3894" i="45"/>
  <c r="I3893" i="45"/>
  <c r="H3893" i="45"/>
  <c r="G3893" i="45"/>
  <c r="D3893" i="45"/>
  <c r="I3892" i="45"/>
  <c r="H3892" i="45"/>
  <c r="G3892" i="45"/>
  <c r="D3892" i="45"/>
  <c r="I3891" i="45"/>
  <c r="H3891" i="45"/>
  <c r="G3891" i="45"/>
  <c r="D3891" i="45"/>
  <c r="I3890" i="45"/>
  <c r="H3890" i="45"/>
  <c r="G3890" i="45"/>
  <c r="D3890" i="45"/>
  <c r="I3889" i="45"/>
  <c r="H3889" i="45"/>
  <c r="G3889" i="45"/>
  <c r="D3889" i="45"/>
  <c r="I3885" i="45"/>
  <c r="H3885" i="45"/>
  <c r="G3885" i="45"/>
  <c r="D3885" i="45"/>
  <c r="I3884" i="45"/>
  <c r="H3884" i="45"/>
  <c r="G3884" i="45"/>
  <c r="D3884" i="45"/>
  <c r="I3883" i="45"/>
  <c r="H3883" i="45"/>
  <c r="G3883" i="45"/>
  <c r="D3883" i="45"/>
  <c r="I3882" i="45"/>
  <c r="H3882" i="45"/>
  <c r="G3882" i="45"/>
  <c r="D3882" i="45"/>
  <c r="I3881" i="45"/>
  <c r="H3881" i="45"/>
  <c r="G3881" i="45"/>
  <c r="D3881" i="45"/>
  <c r="I3880" i="45"/>
  <c r="H3880" i="45"/>
  <c r="G3880" i="45"/>
  <c r="D3880" i="45"/>
  <c r="I3879" i="45"/>
  <c r="H3879" i="45"/>
  <c r="G3879" i="45"/>
  <c r="D3879" i="45"/>
  <c r="I3878" i="45"/>
  <c r="H3878" i="45"/>
  <c r="G3878" i="45"/>
  <c r="D3878" i="45"/>
  <c r="I3877" i="45"/>
  <c r="H3877" i="45"/>
  <c r="G3877" i="45"/>
  <c r="D3877" i="45"/>
  <c r="I3876" i="45"/>
  <c r="H3876" i="45"/>
  <c r="G3876" i="45"/>
  <c r="D3876" i="45"/>
  <c r="I3875" i="45"/>
  <c r="H3875" i="45"/>
  <c r="G3875" i="45"/>
  <c r="D3875" i="45"/>
  <c r="I3870" i="45"/>
  <c r="H3870" i="45"/>
  <c r="G3870" i="45"/>
  <c r="D3870" i="45"/>
  <c r="I3869" i="45"/>
  <c r="H3869" i="45"/>
  <c r="G3869" i="45"/>
  <c r="D3869" i="45"/>
  <c r="I3868" i="45"/>
  <c r="H3868" i="45"/>
  <c r="G3868" i="45"/>
  <c r="D3868" i="45"/>
  <c r="I3867" i="45"/>
  <c r="H3867" i="45"/>
  <c r="G3867" i="45"/>
  <c r="D3867" i="45"/>
  <c r="I3866" i="45"/>
  <c r="H3866" i="45"/>
  <c r="G3866" i="45"/>
  <c r="D3866" i="45"/>
  <c r="I3865" i="45"/>
  <c r="H3865" i="45"/>
  <c r="G3865" i="45"/>
  <c r="D3865" i="45"/>
  <c r="I3864" i="45"/>
  <c r="H3864" i="45"/>
  <c r="G3864" i="45"/>
  <c r="D3864" i="45"/>
  <c r="I3863" i="45"/>
  <c r="H3863" i="45"/>
  <c r="G3863" i="45"/>
  <c r="D3863" i="45"/>
  <c r="I3862" i="45"/>
  <c r="H3862" i="45"/>
  <c r="G3862" i="45"/>
  <c r="D3862" i="45"/>
  <c r="I3861" i="45"/>
  <c r="H3861" i="45"/>
  <c r="G3861" i="45"/>
  <c r="D3861" i="45"/>
  <c r="I3860" i="45"/>
  <c r="H3860" i="45"/>
  <c r="G3860" i="45"/>
  <c r="D3860" i="45"/>
  <c r="I3859" i="45"/>
  <c r="H3859" i="45"/>
  <c r="G3859" i="45"/>
  <c r="D3859" i="45"/>
  <c r="I3858" i="45"/>
  <c r="H3858" i="45"/>
  <c r="G3858" i="45"/>
  <c r="D3858" i="45"/>
  <c r="I3857" i="45"/>
  <c r="H3857" i="45"/>
  <c r="G3857" i="45"/>
  <c r="D3857" i="45"/>
  <c r="I3856" i="45"/>
  <c r="H3856" i="45"/>
  <c r="G3856" i="45"/>
  <c r="D3856" i="45"/>
  <c r="I3855" i="45"/>
  <c r="H3855" i="45"/>
  <c r="G3855" i="45"/>
  <c r="D3855" i="45"/>
  <c r="I3854" i="45"/>
  <c r="H3854" i="45"/>
  <c r="G3854" i="45"/>
  <c r="D3854" i="45"/>
  <c r="I3853" i="45"/>
  <c r="H3853" i="45"/>
  <c r="G3853" i="45"/>
  <c r="D3853" i="45"/>
  <c r="I3852" i="45"/>
  <c r="H3852" i="45"/>
  <c r="G3852" i="45"/>
  <c r="D3852" i="45"/>
  <c r="I3851" i="45"/>
  <c r="H3851" i="45"/>
  <c r="G3851" i="45"/>
  <c r="D3851" i="45"/>
  <c r="I3850" i="45"/>
  <c r="H3850" i="45"/>
  <c r="G3850" i="45"/>
  <c r="D3850" i="45"/>
  <c r="I3849" i="45"/>
  <c r="H3849" i="45"/>
  <c r="G3849" i="45"/>
  <c r="D3849" i="45"/>
  <c r="I3848" i="45"/>
  <c r="H3848" i="45"/>
  <c r="G3848" i="45"/>
  <c r="D3848" i="45"/>
  <c r="I3847" i="45"/>
  <c r="H3847" i="45"/>
  <c r="G3847" i="45"/>
  <c r="D3847" i="45"/>
  <c r="I3846" i="45"/>
  <c r="H3846" i="45"/>
  <c r="G3846" i="45"/>
  <c r="D3846" i="45"/>
  <c r="I3845" i="45"/>
  <c r="H3845" i="45"/>
  <c r="G3845" i="45"/>
  <c r="D3845" i="45"/>
  <c r="I3844" i="45"/>
  <c r="H3844" i="45"/>
  <c r="G3844" i="45"/>
  <c r="D3844" i="45"/>
  <c r="I3843" i="45"/>
  <c r="H3843" i="45"/>
  <c r="G3843" i="45"/>
  <c r="D3843" i="45"/>
  <c r="I3842" i="45"/>
  <c r="H3842" i="45"/>
  <c r="G3842" i="45"/>
  <c r="D3842" i="45"/>
  <c r="I3841" i="45"/>
  <c r="H3841" i="45"/>
  <c r="G3841" i="45"/>
  <c r="D3841" i="45"/>
  <c r="I3840" i="45"/>
  <c r="H3840" i="45"/>
  <c r="G3840" i="45"/>
  <c r="D3840" i="45"/>
  <c r="I3839" i="45"/>
  <c r="H3839" i="45"/>
  <c r="G3839" i="45"/>
  <c r="D3839" i="45"/>
  <c r="I3838" i="45"/>
  <c r="H3838" i="45"/>
  <c r="G3838" i="45"/>
  <c r="D3838" i="45"/>
  <c r="I3837" i="45"/>
  <c r="H3837" i="45"/>
  <c r="G3837" i="45"/>
  <c r="D3837" i="45"/>
  <c r="I3836" i="45"/>
  <c r="H3836" i="45"/>
  <c r="G3836" i="45"/>
  <c r="D3836" i="45"/>
  <c r="I3835" i="45"/>
  <c r="H3835" i="45"/>
  <c r="G3835" i="45"/>
  <c r="D3835" i="45"/>
  <c r="I3834" i="45"/>
  <c r="H3834" i="45"/>
  <c r="G3834" i="45"/>
  <c r="D3834" i="45"/>
  <c r="I3833" i="45"/>
  <c r="H3833" i="45"/>
  <c r="G3833" i="45"/>
  <c r="D3833" i="45"/>
  <c r="I3832" i="45"/>
  <c r="H3832" i="45"/>
  <c r="G3832" i="45"/>
  <c r="D3832" i="45"/>
  <c r="I3831" i="45"/>
  <c r="H3831" i="45"/>
  <c r="G3831" i="45"/>
  <c r="D3831" i="45"/>
  <c r="I3830" i="45"/>
  <c r="H3830" i="45"/>
  <c r="G3830" i="45"/>
  <c r="D3830" i="45"/>
  <c r="I3828" i="45"/>
  <c r="H3828" i="45"/>
  <c r="G3828" i="45"/>
  <c r="D3828" i="45"/>
  <c r="I3827" i="45"/>
  <c r="H3827" i="45"/>
  <c r="G3827" i="45"/>
  <c r="D3827" i="45"/>
  <c r="I3826" i="45"/>
  <c r="H3826" i="45"/>
  <c r="G3826" i="45"/>
  <c r="D3826" i="45"/>
  <c r="I3825" i="45"/>
  <c r="H3825" i="45"/>
  <c r="G3825" i="45"/>
  <c r="D3825" i="45"/>
  <c r="I3822" i="45"/>
  <c r="H3822" i="45"/>
  <c r="G3822" i="45"/>
  <c r="D3822" i="45"/>
  <c r="I3821" i="45"/>
  <c r="H3821" i="45"/>
  <c r="G3821" i="45"/>
  <c r="D3821" i="45"/>
  <c r="I3820" i="45"/>
  <c r="H3820" i="45"/>
  <c r="G3820" i="45"/>
  <c r="D3820" i="45"/>
  <c r="I3819" i="45"/>
  <c r="H3819" i="45"/>
  <c r="G3819" i="45"/>
  <c r="D3819" i="45"/>
  <c r="I3818" i="45"/>
  <c r="H3818" i="45"/>
  <c r="G3818" i="45"/>
  <c r="D3818" i="45"/>
  <c r="I3817" i="45"/>
  <c r="H3817" i="45"/>
  <c r="G3817" i="45"/>
  <c r="D3817" i="45"/>
  <c r="I3816" i="45"/>
  <c r="H3816" i="45"/>
  <c r="G3816" i="45"/>
  <c r="D3816" i="45"/>
  <c r="I3815" i="45"/>
  <c r="H3815" i="45"/>
  <c r="G3815" i="45"/>
  <c r="D3815" i="45"/>
  <c r="I3814" i="45"/>
  <c r="H3814" i="45"/>
  <c r="G3814" i="45"/>
  <c r="D3814" i="45"/>
  <c r="I3813" i="45"/>
  <c r="H3813" i="45"/>
  <c r="G3813" i="45"/>
  <c r="D3813" i="45"/>
  <c r="I3812" i="45"/>
  <c r="H3812" i="45"/>
  <c r="G3812" i="45"/>
  <c r="D3812" i="45"/>
  <c r="I3811" i="45"/>
  <c r="H3811" i="45"/>
  <c r="G3811" i="45"/>
  <c r="D3811" i="45"/>
  <c r="I3810" i="45"/>
  <c r="H3810" i="45"/>
  <c r="G3810" i="45"/>
  <c r="D3810" i="45"/>
  <c r="I3809" i="45"/>
  <c r="H3809" i="45"/>
  <c r="G3809" i="45"/>
  <c r="D3809" i="45"/>
  <c r="I3808" i="45"/>
  <c r="H3808" i="45"/>
  <c r="G3808" i="45"/>
  <c r="D3808" i="45"/>
  <c r="I3807" i="45"/>
  <c r="H3807" i="45"/>
  <c r="G3807" i="45"/>
  <c r="D3807" i="45"/>
  <c r="I3806" i="45"/>
  <c r="H3806" i="45"/>
  <c r="G3806" i="45"/>
  <c r="D3806" i="45"/>
  <c r="I3805" i="45"/>
  <c r="H3805" i="45"/>
  <c r="G3805" i="45"/>
  <c r="D3805" i="45"/>
  <c r="I3804" i="45"/>
  <c r="H3804" i="45"/>
  <c r="G3804" i="45"/>
  <c r="D3804" i="45"/>
  <c r="I3803" i="45"/>
  <c r="H3803" i="45"/>
  <c r="G3803" i="45"/>
  <c r="D3803" i="45"/>
  <c r="I3802" i="45"/>
  <c r="H3802" i="45"/>
  <c r="G3802" i="45"/>
  <c r="D3802" i="45"/>
  <c r="I3801" i="45"/>
  <c r="H3801" i="45"/>
  <c r="G3801" i="45"/>
  <c r="D3801" i="45"/>
  <c r="I3800" i="45"/>
  <c r="H3800" i="45"/>
  <c r="G3800" i="45"/>
  <c r="D3800" i="45"/>
  <c r="I3799" i="45"/>
  <c r="H3799" i="45"/>
  <c r="G3799" i="45"/>
  <c r="D3799" i="45"/>
  <c r="I3798" i="45"/>
  <c r="H3798" i="45"/>
  <c r="G3798" i="45"/>
  <c r="D3798" i="45"/>
  <c r="I3797" i="45"/>
  <c r="H3797" i="45"/>
  <c r="G3797" i="45"/>
  <c r="D3797" i="45"/>
  <c r="I3796" i="45"/>
  <c r="H3796" i="45"/>
  <c r="G3796" i="45"/>
  <c r="D3796" i="45"/>
  <c r="I3795" i="45"/>
  <c r="H3795" i="45"/>
  <c r="G3795" i="45"/>
  <c r="D3795" i="45"/>
  <c r="I3794" i="45"/>
  <c r="H3794" i="45"/>
  <c r="G3794" i="45"/>
  <c r="D3794" i="45"/>
  <c r="I3793" i="45"/>
  <c r="H3793" i="45"/>
  <c r="G3793" i="45"/>
  <c r="D3793" i="45"/>
  <c r="I3792" i="45"/>
  <c r="H3792" i="45"/>
  <c r="G3792" i="45"/>
  <c r="D3792" i="45"/>
  <c r="I3791" i="45"/>
  <c r="H3791" i="45"/>
  <c r="G3791" i="45"/>
  <c r="D3791" i="45"/>
  <c r="I3790" i="45"/>
  <c r="H3790" i="45"/>
  <c r="G3790" i="45"/>
  <c r="D3790" i="45"/>
  <c r="I3789" i="45"/>
  <c r="H3789" i="45"/>
  <c r="G3789" i="45"/>
  <c r="D3789" i="45"/>
  <c r="I3788" i="45"/>
  <c r="H3788" i="45"/>
  <c r="G3788" i="45"/>
  <c r="D3788" i="45"/>
  <c r="I3787" i="45"/>
  <c r="H3787" i="45"/>
  <c r="G3787" i="45"/>
  <c r="D3787" i="45"/>
  <c r="I3786" i="45"/>
  <c r="H3786" i="45"/>
  <c r="G3786" i="45"/>
  <c r="D3786" i="45"/>
  <c r="I3785" i="45"/>
  <c r="H3785" i="45"/>
  <c r="G3785" i="45"/>
  <c r="D3785" i="45"/>
  <c r="I3784" i="45"/>
  <c r="H3784" i="45"/>
  <c r="G3784" i="45"/>
  <c r="D3784" i="45"/>
  <c r="I3774" i="45"/>
  <c r="H3774" i="45"/>
  <c r="G3774" i="45"/>
  <c r="D3774" i="45"/>
  <c r="I3773" i="45"/>
  <c r="H3773" i="45"/>
  <c r="G3773" i="45"/>
  <c r="D3773" i="45"/>
  <c r="I3772" i="45"/>
  <c r="H3772" i="45"/>
  <c r="G3772" i="45"/>
  <c r="D3772" i="45"/>
  <c r="I3771" i="45"/>
  <c r="H3771" i="45"/>
  <c r="G3771" i="45"/>
  <c r="D3771" i="45"/>
  <c r="I3770" i="45"/>
  <c r="H3770" i="45"/>
  <c r="G3770" i="45"/>
  <c r="D3770" i="45"/>
  <c r="I3769" i="45"/>
  <c r="H3769" i="45"/>
  <c r="G3769" i="45"/>
  <c r="D3769" i="45"/>
  <c r="D3282" i="45"/>
  <c r="G3282" i="45"/>
  <c r="H3282" i="45"/>
  <c r="I3282" i="45"/>
  <c r="D3441" i="45"/>
  <c r="G3441" i="45"/>
  <c r="H3441" i="45"/>
  <c r="I3441" i="45"/>
  <c r="D2980" i="45"/>
  <c r="G2980" i="45"/>
  <c r="H2980" i="45"/>
  <c r="I2980" i="45"/>
  <c r="D2979" i="45"/>
  <c r="G2979" i="45"/>
  <c r="H2979" i="45"/>
  <c r="I2979" i="45"/>
  <c r="D2815" i="45"/>
  <c r="G2815" i="45"/>
  <c r="H2815" i="45"/>
  <c r="I2815" i="45"/>
  <c r="D2801" i="45"/>
  <c r="G2801" i="45"/>
  <c r="H2801" i="45"/>
  <c r="I2801" i="45"/>
  <c r="D2816" i="45"/>
  <c r="G2816" i="45"/>
  <c r="H2816" i="45"/>
  <c r="I2816" i="45"/>
  <c r="D2817" i="45"/>
  <c r="G2817" i="45"/>
  <c r="H2817" i="45"/>
  <c r="I2817" i="45"/>
  <c r="D2639" i="45"/>
  <c r="G2639" i="45"/>
  <c r="H2639" i="45"/>
  <c r="I2639" i="45"/>
  <c r="D2640" i="45"/>
  <c r="G2640" i="45"/>
  <c r="H2640" i="45"/>
  <c r="I2640" i="45"/>
  <c r="D2638" i="45"/>
  <c r="G2638" i="45"/>
  <c r="H2638" i="45"/>
  <c r="I2638" i="45"/>
  <c r="D2634" i="45"/>
  <c r="G2634" i="45"/>
  <c r="H2634" i="45"/>
  <c r="I2634" i="45"/>
  <c r="D2632" i="45"/>
  <c r="G2632" i="45"/>
  <c r="H2632" i="45"/>
  <c r="I2632" i="45"/>
  <c r="D2633" i="45"/>
  <c r="G2633" i="45"/>
  <c r="H2633" i="45"/>
  <c r="I2633" i="45"/>
  <c r="D2635" i="45"/>
  <c r="G2635" i="45"/>
  <c r="H2635" i="45"/>
  <c r="I2635" i="45"/>
  <c r="D2636" i="45"/>
  <c r="G2636" i="45"/>
  <c r="H2636" i="45"/>
  <c r="I2636" i="45"/>
  <c r="D2637" i="45"/>
  <c r="G2637" i="45"/>
  <c r="H2637" i="45"/>
  <c r="I2637" i="45"/>
  <c r="D2481" i="45"/>
  <c r="G2481" i="45"/>
  <c r="H2481" i="45"/>
  <c r="I2481" i="45"/>
  <c r="D2497" i="45"/>
  <c r="G2497" i="45"/>
  <c r="H2497" i="45"/>
  <c r="I2497" i="45"/>
  <c r="D2477" i="45"/>
  <c r="G2477" i="45"/>
  <c r="H2477" i="45"/>
  <c r="I2477" i="45"/>
  <c r="D2478" i="45"/>
  <c r="G2478" i="45"/>
  <c r="H2478" i="45"/>
  <c r="I2478" i="45"/>
  <c r="D2479" i="45"/>
  <c r="G2479" i="45"/>
  <c r="H2479" i="45"/>
  <c r="I2479" i="45"/>
  <c r="D2480" i="45" l="1"/>
  <c r="G2480" i="45"/>
  <c r="H2480" i="45"/>
  <c r="I2480" i="45"/>
  <c r="D2182" i="45"/>
  <c r="G2182" i="45"/>
  <c r="H2182" i="45"/>
  <c r="I2182" i="45"/>
  <c r="D2183" i="45"/>
  <c r="G2183" i="45"/>
  <c r="H2183" i="45"/>
  <c r="I2183" i="45"/>
  <c r="D2329" i="45"/>
  <c r="G2329" i="45"/>
  <c r="H2329" i="45"/>
  <c r="I2329" i="45"/>
  <c r="D2328" i="45"/>
  <c r="G2328" i="45"/>
  <c r="H2328" i="45"/>
  <c r="I2328" i="45"/>
  <c r="D2327" i="45"/>
  <c r="G2327" i="45"/>
  <c r="H2327" i="45"/>
  <c r="I2327" i="45"/>
  <c r="D2326" i="45"/>
  <c r="G2326" i="45"/>
  <c r="H2326" i="45"/>
  <c r="I2326" i="45"/>
  <c r="D2325" i="45"/>
  <c r="G2325" i="45"/>
  <c r="H2325" i="45"/>
  <c r="I2325" i="45"/>
  <c r="D2324" i="45"/>
  <c r="G2324" i="45"/>
  <c r="H2324" i="45"/>
  <c r="I2324" i="45"/>
  <c r="D2181" i="45"/>
  <c r="G2181" i="45"/>
  <c r="H2181" i="45"/>
  <c r="I2181" i="45"/>
  <c r="D2179" i="45"/>
  <c r="G2179" i="45"/>
  <c r="H2179" i="45"/>
  <c r="I2179" i="45"/>
  <c r="D2178" i="45"/>
  <c r="G2178" i="45"/>
  <c r="H2178" i="45"/>
  <c r="I2178" i="45"/>
  <c r="D2180" i="45"/>
  <c r="G2180" i="45"/>
  <c r="H2180" i="45"/>
  <c r="I2180" i="45"/>
  <c r="D2019" i="45"/>
  <c r="G2019" i="45"/>
  <c r="H2019" i="45"/>
  <c r="I2019" i="45"/>
  <c r="D2016" i="45"/>
  <c r="G2016" i="45"/>
  <c r="H2016" i="45"/>
  <c r="I2016" i="45"/>
  <c r="D2017" i="45"/>
  <c r="G2017" i="45"/>
  <c r="H2017" i="45"/>
  <c r="I2017" i="45"/>
  <c r="D2015" i="45"/>
  <c r="G2015" i="45"/>
  <c r="H2015" i="45"/>
  <c r="I2015" i="45"/>
  <c r="D1884" i="45"/>
  <c r="G1884" i="45"/>
  <c r="H1884" i="45"/>
  <c r="I1884" i="45"/>
  <c r="D1883" i="45"/>
  <c r="G1883" i="45"/>
  <c r="H1883" i="45"/>
  <c r="I1883" i="45"/>
  <c r="D1882" i="45"/>
  <c r="G1882" i="45"/>
  <c r="H1882" i="45"/>
  <c r="I1882" i="45"/>
  <c r="D1881" i="45"/>
  <c r="G1881" i="45"/>
  <c r="H1881" i="45"/>
  <c r="I1881" i="45"/>
  <c r="D1880" i="45"/>
  <c r="G1880" i="45"/>
  <c r="H1880" i="45"/>
  <c r="I1880" i="45"/>
  <c r="D1879" i="45"/>
  <c r="G1879" i="45"/>
  <c r="H1879" i="45"/>
  <c r="I1879" i="45"/>
  <c r="D1878" i="45"/>
  <c r="G1878" i="45"/>
  <c r="H1878" i="45"/>
  <c r="I1878" i="45"/>
  <c r="D1877" i="45"/>
  <c r="G1877" i="45"/>
  <c r="H1877" i="45"/>
  <c r="I1877" i="45"/>
  <c r="D1876" i="45"/>
  <c r="G1876" i="45"/>
  <c r="H1876" i="45"/>
  <c r="I1876" i="45"/>
  <c r="D1730" i="45"/>
  <c r="G1730" i="45"/>
  <c r="H1730" i="45"/>
  <c r="I1730" i="45"/>
  <c r="D1729" i="45"/>
  <c r="G1729" i="45"/>
  <c r="H1729" i="45"/>
  <c r="I1729" i="45"/>
  <c r="D1728" i="45"/>
  <c r="G1728" i="45"/>
  <c r="H1728" i="45"/>
  <c r="I1728" i="45"/>
  <c r="D1727" i="45"/>
  <c r="G1727" i="45"/>
  <c r="H1727" i="45"/>
  <c r="I1727" i="45"/>
  <c r="D1451" i="45"/>
  <c r="G1451" i="45"/>
  <c r="H1451" i="45"/>
  <c r="I1451" i="45"/>
  <c r="D1454" i="45"/>
  <c r="G1454" i="45"/>
  <c r="H1454" i="45"/>
  <c r="I1454" i="45"/>
  <c r="D1453" i="45"/>
  <c r="G1453" i="45"/>
  <c r="H1453" i="45"/>
  <c r="I1453" i="45"/>
  <c r="D1452" i="45"/>
  <c r="G1452" i="45"/>
  <c r="H1452" i="45"/>
  <c r="I1452" i="45"/>
  <c r="D1006" i="45"/>
  <c r="G1006" i="45"/>
  <c r="H1006" i="45"/>
  <c r="I1006" i="45"/>
  <c r="D1004" i="45"/>
  <c r="G1004" i="45"/>
  <c r="H1004" i="45"/>
  <c r="I1004" i="45"/>
  <c r="D1005" i="45"/>
  <c r="G1005" i="45"/>
  <c r="H1005" i="45"/>
  <c r="I1005" i="45"/>
  <c r="D1298" i="45"/>
  <c r="G1298" i="45"/>
  <c r="H1298" i="45"/>
  <c r="I1298" i="45"/>
  <c r="D1292" i="45"/>
  <c r="G1292" i="45"/>
  <c r="H1292" i="45"/>
  <c r="I1292" i="45"/>
  <c r="D868" i="45" l="1"/>
  <c r="G868" i="45"/>
  <c r="H868" i="45"/>
  <c r="I868" i="45"/>
  <c r="D867" i="45"/>
  <c r="G867" i="45"/>
  <c r="H867" i="45"/>
  <c r="I867" i="45"/>
  <c r="D38" i="45" l="1"/>
  <c r="G38" i="45"/>
  <c r="H38" i="45"/>
  <c r="I38" i="45"/>
  <c r="D39" i="45"/>
  <c r="G39" i="45"/>
  <c r="H39" i="45"/>
  <c r="I39" i="45"/>
  <c r="D40" i="45"/>
  <c r="G40" i="45"/>
  <c r="H40" i="45"/>
  <c r="I40" i="45"/>
  <c r="D19" i="45"/>
  <c r="G19" i="45"/>
  <c r="H19" i="45"/>
  <c r="I19" i="45"/>
  <c r="D549" i="45" l="1"/>
  <c r="G549" i="45"/>
  <c r="H549" i="45"/>
  <c r="I549" i="45"/>
  <c r="I3768" i="45" l="1"/>
  <c r="H3768" i="45"/>
  <c r="G3768" i="45"/>
  <c r="D3768" i="45"/>
  <c r="I3767" i="45"/>
  <c r="H3767" i="45"/>
  <c r="G3767" i="45"/>
  <c r="D3767" i="45"/>
  <c r="I3766" i="45"/>
  <c r="H3766" i="45"/>
  <c r="G3766" i="45"/>
  <c r="D3766" i="45"/>
  <c r="I3765" i="45"/>
  <c r="H3765" i="45"/>
  <c r="G3765" i="45"/>
  <c r="D3765" i="45"/>
  <c r="I3764" i="45"/>
  <c r="H3764" i="45"/>
  <c r="G3764" i="45"/>
  <c r="D3764" i="45"/>
  <c r="I3763" i="45"/>
  <c r="H3763" i="45"/>
  <c r="G3763" i="45"/>
  <c r="D3763" i="45"/>
  <c r="I3762" i="45"/>
  <c r="H3762" i="45"/>
  <c r="G3762" i="45"/>
  <c r="D3762" i="45"/>
  <c r="I3761" i="45"/>
  <c r="H3761" i="45"/>
  <c r="G3761" i="45"/>
  <c r="D3761" i="45"/>
  <c r="I3760" i="45"/>
  <c r="H3760" i="45"/>
  <c r="G3760" i="45"/>
  <c r="D3760" i="45"/>
  <c r="I3759" i="45"/>
  <c r="H3759" i="45"/>
  <c r="G3759" i="45"/>
  <c r="D3759" i="45"/>
  <c r="I3758" i="45"/>
  <c r="H3758" i="45"/>
  <c r="G3758" i="45"/>
  <c r="D3758" i="45"/>
  <c r="I3757" i="45"/>
  <c r="H3757" i="45"/>
  <c r="G3757" i="45"/>
  <c r="D3757" i="45"/>
  <c r="I3756" i="45"/>
  <c r="H3756" i="45"/>
  <c r="G3756" i="45"/>
  <c r="D3756" i="45"/>
  <c r="I3754" i="45"/>
  <c r="H3754" i="45"/>
  <c r="G3754" i="45"/>
  <c r="D3754" i="45"/>
  <c r="I3752" i="45"/>
  <c r="H3752" i="45"/>
  <c r="G3752" i="45"/>
  <c r="D3752" i="45"/>
  <c r="I3751" i="45"/>
  <c r="H3751" i="45"/>
  <c r="G3751" i="45"/>
  <c r="D3751" i="45"/>
  <c r="I3750" i="45"/>
  <c r="H3750" i="45"/>
  <c r="G3750" i="45"/>
  <c r="D3750" i="45"/>
  <c r="I3749" i="45"/>
  <c r="H3749" i="45"/>
  <c r="G3749" i="45"/>
  <c r="D3749" i="45"/>
  <c r="I3745" i="45"/>
  <c r="H3745" i="45"/>
  <c r="G3745" i="45"/>
  <c r="D3745" i="45"/>
  <c r="I3744" i="45"/>
  <c r="H3744" i="45"/>
  <c r="G3744" i="45"/>
  <c r="D3744" i="45"/>
  <c r="I3743" i="45"/>
  <c r="H3743" i="45"/>
  <c r="G3743" i="45"/>
  <c r="D3743" i="45"/>
  <c r="I3742" i="45"/>
  <c r="H3742" i="45"/>
  <c r="G3742" i="45"/>
  <c r="D3742" i="45"/>
  <c r="I3741" i="45"/>
  <c r="H3741" i="45"/>
  <c r="G3741" i="45"/>
  <c r="D3741" i="45"/>
  <c r="I3740" i="45"/>
  <c r="H3740" i="45"/>
  <c r="G3740" i="45"/>
  <c r="D3740" i="45"/>
  <c r="I3739" i="45"/>
  <c r="H3739" i="45"/>
  <c r="G3739" i="45"/>
  <c r="D3739" i="45"/>
  <c r="I3738" i="45"/>
  <c r="H3738" i="45"/>
  <c r="G3738" i="45"/>
  <c r="D3738" i="45"/>
  <c r="I3737" i="45"/>
  <c r="H3737" i="45"/>
  <c r="G3737" i="45"/>
  <c r="D3737" i="45"/>
  <c r="I3736" i="45"/>
  <c r="H3736" i="45"/>
  <c r="G3736" i="45"/>
  <c r="D3736" i="45"/>
  <c r="I3735" i="45"/>
  <c r="H3735" i="45"/>
  <c r="G3735" i="45"/>
  <c r="D3735" i="45"/>
  <c r="I3734" i="45"/>
  <c r="H3734" i="45"/>
  <c r="G3734" i="45"/>
  <c r="D3734" i="45"/>
  <c r="I3733" i="45"/>
  <c r="H3733" i="45"/>
  <c r="G3733" i="45"/>
  <c r="D3733" i="45"/>
  <c r="I3732" i="45"/>
  <c r="H3732" i="45"/>
  <c r="G3732" i="45"/>
  <c r="D3732" i="45"/>
  <c r="I3731" i="45"/>
  <c r="H3731" i="45"/>
  <c r="G3731" i="45"/>
  <c r="D3731" i="45"/>
  <c r="I3730" i="45"/>
  <c r="H3730" i="45"/>
  <c r="G3730" i="45"/>
  <c r="D3730" i="45"/>
  <c r="I3729" i="45"/>
  <c r="H3729" i="45"/>
  <c r="G3729" i="45"/>
  <c r="D3729" i="45"/>
  <c r="I3728" i="45"/>
  <c r="H3728" i="45"/>
  <c r="G3728" i="45"/>
  <c r="D3728" i="45"/>
  <c r="I3727" i="45"/>
  <c r="H3727" i="45"/>
  <c r="G3727" i="45"/>
  <c r="D3727" i="45"/>
  <c r="I3726" i="45"/>
  <c r="H3726" i="45"/>
  <c r="G3726" i="45"/>
  <c r="D3726" i="45"/>
  <c r="I3725" i="45"/>
  <c r="H3725" i="45"/>
  <c r="G3725" i="45"/>
  <c r="D3725" i="45"/>
  <c r="I3724" i="45"/>
  <c r="H3724" i="45"/>
  <c r="G3724" i="45"/>
  <c r="D3724" i="45"/>
  <c r="I3723" i="45"/>
  <c r="H3723" i="45"/>
  <c r="G3723" i="45"/>
  <c r="D3723" i="45"/>
  <c r="I3722" i="45"/>
  <c r="H3722" i="45"/>
  <c r="G3722" i="45"/>
  <c r="D3722" i="45"/>
  <c r="I3721" i="45"/>
  <c r="H3721" i="45"/>
  <c r="G3721" i="45"/>
  <c r="D3721" i="45"/>
  <c r="I3720" i="45"/>
  <c r="H3720" i="45"/>
  <c r="G3720" i="45"/>
  <c r="D3720" i="45"/>
  <c r="I3719" i="45"/>
  <c r="H3719" i="45"/>
  <c r="G3719" i="45"/>
  <c r="D3719" i="45"/>
  <c r="I3718" i="45"/>
  <c r="H3718" i="45"/>
  <c r="G3718" i="45"/>
  <c r="D3718" i="45"/>
  <c r="I3717" i="45"/>
  <c r="H3717" i="45"/>
  <c r="G3717" i="45"/>
  <c r="D3717" i="45"/>
  <c r="I3716" i="45"/>
  <c r="H3716" i="45"/>
  <c r="G3716" i="45"/>
  <c r="D3716" i="45"/>
  <c r="I3715" i="45"/>
  <c r="H3715" i="45"/>
  <c r="G3715" i="45"/>
  <c r="D3715" i="45"/>
  <c r="I3714" i="45"/>
  <c r="H3714" i="45"/>
  <c r="G3714" i="45"/>
  <c r="D3714" i="45"/>
  <c r="I3713" i="45"/>
  <c r="H3713" i="45"/>
  <c r="G3713" i="45"/>
  <c r="D3713" i="45"/>
  <c r="I3712" i="45"/>
  <c r="H3712" i="45"/>
  <c r="G3712" i="45"/>
  <c r="D3712" i="45"/>
  <c r="I3711" i="45"/>
  <c r="H3711" i="45"/>
  <c r="G3711" i="45"/>
  <c r="D3711" i="45"/>
  <c r="I3709" i="45"/>
  <c r="H3709" i="45"/>
  <c r="G3709" i="45"/>
  <c r="D3709" i="45"/>
  <c r="I3708" i="45"/>
  <c r="H3708" i="45"/>
  <c r="G3708" i="45"/>
  <c r="D3708" i="45"/>
  <c r="I3707" i="45"/>
  <c r="H3707" i="45"/>
  <c r="G3707" i="45"/>
  <c r="D3707" i="45"/>
  <c r="I3706" i="45"/>
  <c r="H3706" i="45"/>
  <c r="G3706" i="45"/>
  <c r="D3706" i="45"/>
  <c r="I3705" i="45"/>
  <c r="H3705" i="45"/>
  <c r="G3705" i="45"/>
  <c r="D3705" i="45"/>
  <c r="I3704" i="45"/>
  <c r="H3704" i="45"/>
  <c r="G3704" i="45"/>
  <c r="D3704" i="45"/>
  <c r="I3703" i="45"/>
  <c r="H3703" i="45"/>
  <c r="G3703" i="45"/>
  <c r="D3703" i="45"/>
  <c r="I3702" i="45"/>
  <c r="H3702" i="45"/>
  <c r="G3702" i="45"/>
  <c r="D3702" i="45"/>
  <c r="I3701" i="45"/>
  <c r="H3701" i="45"/>
  <c r="G3701" i="45"/>
  <c r="D3701" i="45"/>
  <c r="I3700" i="45"/>
  <c r="H3700" i="45"/>
  <c r="G3700" i="45"/>
  <c r="D3700" i="45"/>
  <c r="I3699" i="45"/>
  <c r="H3699" i="45"/>
  <c r="G3699" i="45"/>
  <c r="D3699" i="45"/>
  <c r="I3698" i="45"/>
  <c r="H3698" i="45"/>
  <c r="G3698" i="45"/>
  <c r="D3698" i="45"/>
  <c r="I3697" i="45"/>
  <c r="H3697" i="45"/>
  <c r="G3697" i="45"/>
  <c r="D3697" i="45"/>
  <c r="I3696" i="45"/>
  <c r="H3696" i="45"/>
  <c r="G3696" i="45"/>
  <c r="D3696" i="45"/>
  <c r="I3695" i="45"/>
  <c r="H3695" i="45"/>
  <c r="G3695" i="45"/>
  <c r="D3695" i="45"/>
  <c r="I3691" i="45"/>
  <c r="H3691" i="45"/>
  <c r="G3691" i="45"/>
  <c r="D3691" i="45"/>
  <c r="I3690" i="45"/>
  <c r="H3690" i="45"/>
  <c r="G3690" i="45"/>
  <c r="D3690" i="45"/>
  <c r="I3689" i="45"/>
  <c r="H3689" i="45"/>
  <c r="G3689" i="45"/>
  <c r="D3689" i="45"/>
  <c r="I3688" i="45"/>
  <c r="H3688" i="45"/>
  <c r="G3688" i="45"/>
  <c r="D3688" i="45"/>
  <c r="I3687" i="45"/>
  <c r="H3687" i="45"/>
  <c r="G3687" i="45"/>
  <c r="D3687" i="45"/>
  <c r="I3686" i="45"/>
  <c r="H3686" i="45"/>
  <c r="G3686" i="45"/>
  <c r="D3686" i="45"/>
  <c r="I3685" i="45"/>
  <c r="H3685" i="45"/>
  <c r="G3685" i="45"/>
  <c r="D3685" i="45"/>
  <c r="I3684" i="45"/>
  <c r="H3684" i="45"/>
  <c r="G3684" i="45"/>
  <c r="D3684" i="45"/>
  <c r="I3683" i="45"/>
  <c r="H3683" i="45"/>
  <c r="G3683" i="45"/>
  <c r="D3683" i="45"/>
  <c r="I3682" i="45"/>
  <c r="H3682" i="45"/>
  <c r="G3682" i="45"/>
  <c r="D3682" i="45"/>
  <c r="I3681" i="45"/>
  <c r="H3681" i="45"/>
  <c r="G3681" i="45"/>
  <c r="D3681" i="45"/>
  <c r="I3680" i="45"/>
  <c r="H3680" i="45"/>
  <c r="G3680" i="45"/>
  <c r="D3680" i="45"/>
  <c r="I3679" i="45"/>
  <c r="H3679" i="45"/>
  <c r="G3679" i="45"/>
  <c r="D3679" i="45"/>
  <c r="I3676" i="45"/>
  <c r="H3676" i="45"/>
  <c r="G3676" i="45"/>
  <c r="D3676" i="45"/>
  <c r="I3675" i="45"/>
  <c r="H3675" i="45"/>
  <c r="G3675" i="45"/>
  <c r="D3675" i="45"/>
  <c r="I3674" i="45"/>
  <c r="H3674" i="45"/>
  <c r="G3674" i="45"/>
  <c r="D3674" i="45"/>
  <c r="I3673" i="45"/>
  <c r="H3673" i="45"/>
  <c r="G3673" i="45"/>
  <c r="D3673" i="45"/>
  <c r="I3672" i="45"/>
  <c r="H3672" i="45"/>
  <c r="G3672" i="45"/>
  <c r="D3672" i="45"/>
  <c r="I3671" i="45"/>
  <c r="H3671" i="45"/>
  <c r="G3671" i="45"/>
  <c r="D3671" i="45"/>
  <c r="I3670" i="45"/>
  <c r="H3670" i="45"/>
  <c r="G3670" i="45"/>
  <c r="D3670" i="45"/>
  <c r="I3669" i="45"/>
  <c r="H3669" i="45"/>
  <c r="G3669" i="45"/>
  <c r="D3669" i="45"/>
  <c r="I3668" i="45"/>
  <c r="H3668" i="45"/>
  <c r="G3668" i="45"/>
  <c r="D3668" i="45"/>
  <c r="I3667" i="45"/>
  <c r="H3667" i="45"/>
  <c r="G3667" i="45"/>
  <c r="D3667" i="45"/>
  <c r="I3666" i="45"/>
  <c r="H3666" i="45"/>
  <c r="G3666" i="45"/>
  <c r="D3666" i="45"/>
  <c r="I3665" i="45"/>
  <c r="H3665" i="45"/>
  <c r="G3665" i="45"/>
  <c r="D3665" i="45"/>
  <c r="I3664" i="45"/>
  <c r="H3664" i="45"/>
  <c r="G3664" i="45"/>
  <c r="D3664" i="45"/>
  <c r="I3663" i="45"/>
  <c r="H3663" i="45"/>
  <c r="G3663" i="45"/>
  <c r="D3663" i="45"/>
  <c r="I3662" i="45"/>
  <c r="H3662" i="45"/>
  <c r="G3662" i="45"/>
  <c r="D3662" i="45"/>
  <c r="I3661" i="45"/>
  <c r="H3661" i="45"/>
  <c r="G3661" i="45"/>
  <c r="D3661" i="45"/>
  <c r="I3660" i="45"/>
  <c r="H3660" i="45"/>
  <c r="G3660" i="45"/>
  <c r="D3660" i="45"/>
  <c r="I3659" i="45"/>
  <c r="H3659" i="45"/>
  <c r="G3659" i="45"/>
  <c r="D3659" i="45"/>
  <c r="I3658" i="45"/>
  <c r="H3658" i="45"/>
  <c r="G3658" i="45"/>
  <c r="D3658" i="45"/>
  <c r="I3657" i="45"/>
  <c r="H3657" i="45"/>
  <c r="G3657" i="45"/>
  <c r="D3657" i="45"/>
  <c r="I3656" i="45"/>
  <c r="H3656" i="45"/>
  <c r="G3656" i="45"/>
  <c r="D3656" i="45"/>
  <c r="I3655" i="45"/>
  <c r="H3655" i="45"/>
  <c r="G3655" i="45"/>
  <c r="D3655" i="45"/>
  <c r="I3654" i="45"/>
  <c r="H3654" i="45"/>
  <c r="G3654" i="45"/>
  <c r="D3654" i="45"/>
  <c r="I3653" i="45"/>
  <c r="H3653" i="45"/>
  <c r="G3653" i="45"/>
  <c r="D3653" i="45"/>
  <c r="I3652" i="45"/>
  <c r="H3652" i="45"/>
  <c r="G3652" i="45"/>
  <c r="D3652" i="45"/>
  <c r="I3651" i="45"/>
  <c r="H3651" i="45"/>
  <c r="G3651" i="45"/>
  <c r="D3651" i="45"/>
  <c r="I3650" i="45"/>
  <c r="H3650" i="45"/>
  <c r="G3650" i="45"/>
  <c r="D3650" i="45"/>
  <c r="I3649" i="45"/>
  <c r="H3649" i="45"/>
  <c r="G3649" i="45"/>
  <c r="D3649" i="45"/>
  <c r="I3648" i="45"/>
  <c r="H3648" i="45"/>
  <c r="G3648" i="45"/>
  <c r="D3648" i="45"/>
  <c r="I3647" i="45"/>
  <c r="H3647" i="45"/>
  <c r="G3647" i="45"/>
  <c r="D3647" i="45"/>
  <c r="I3646" i="45"/>
  <c r="H3646" i="45"/>
  <c r="G3646" i="45"/>
  <c r="D3646" i="45"/>
  <c r="I3645" i="45"/>
  <c r="H3645" i="45"/>
  <c r="G3645" i="45"/>
  <c r="D3645" i="45"/>
  <c r="I3644" i="45"/>
  <c r="H3644" i="45"/>
  <c r="G3644" i="45"/>
  <c r="D3644" i="45"/>
  <c r="I3643" i="45"/>
  <c r="H3643" i="45"/>
  <c r="G3643" i="45"/>
  <c r="D3643" i="45"/>
  <c r="I3642" i="45"/>
  <c r="H3642" i="45"/>
  <c r="G3642" i="45"/>
  <c r="D3642" i="45"/>
  <c r="I3641" i="45"/>
  <c r="H3641" i="45"/>
  <c r="G3641" i="45"/>
  <c r="D3641" i="45"/>
  <c r="I3640" i="45"/>
  <c r="H3640" i="45"/>
  <c r="G3640" i="45"/>
  <c r="D3640" i="45"/>
  <c r="I3639" i="45"/>
  <c r="H3639" i="45"/>
  <c r="G3639" i="45"/>
  <c r="D3639" i="45"/>
  <c r="I3638" i="45"/>
  <c r="H3638" i="45"/>
  <c r="G3638" i="45"/>
  <c r="D3638" i="45"/>
  <c r="I3637" i="45"/>
  <c r="H3637" i="45"/>
  <c r="G3637" i="45"/>
  <c r="D3637" i="45"/>
  <c r="I3636" i="45"/>
  <c r="H3636" i="45"/>
  <c r="G3636" i="45"/>
  <c r="D3636" i="45"/>
  <c r="I3635" i="45"/>
  <c r="H3635" i="45"/>
  <c r="G3635" i="45"/>
  <c r="D3635" i="45"/>
  <c r="I3634" i="45"/>
  <c r="H3634" i="45"/>
  <c r="G3634" i="45"/>
  <c r="D3634" i="45"/>
  <c r="I3633" i="45"/>
  <c r="H3633" i="45"/>
  <c r="G3633" i="45"/>
  <c r="D3633" i="45"/>
  <c r="I3632" i="45"/>
  <c r="H3632" i="45"/>
  <c r="G3632" i="45"/>
  <c r="D3632" i="45"/>
  <c r="I3630" i="45"/>
  <c r="H3630" i="45"/>
  <c r="G3630" i="45"/>
  <c r="D3630" i="45"/>
  <c r="I3629" i="45"/>
  <c r="H3629" i="45"/>
  <c r="G3629" i="45"/>
  <c r="D3629" i="45"/>
  <c r="I3628" i="45"/>
  <c r="H3628" i="45"/>
  <c r="G3628" i="45"/>
  <c r="D3628" i="45"/>
  <c r="I3627" i="45"/>
  <c r="H3627" i="45"/>
  <c r="G3627" i="45"/>
  <c r="D3627" i="45"/>
  <c r="I3626" i="45"/>
  <c r="H3626" i="45"/>
  <c r="G3626" i="45"/>
  <c r="D3626" i="45"/>
  <c r="I3625" i="45"/>
  <c r="H3625" i="45"/>
  <c r="G3625" i="45"/>
  <c r="D3625" i="45"/>
  <c r="I3624" i="45"/>
  <c r="H3624" i="45"/>
  <c r="G3624" i="45"/>
  <c r="D3624" i="45"/>
  <c r="I3623" i="45"/>
  <c r="H3623" i="45"/>
  <c r="G3623" i="45"/>
  <c r="D3623" i="45"/>
  <c r="I3622" i="45"/>
  <c r="H3622" i="45"/>
  <c r="G3622" i="45"/>
  <c r="D3622" i="45"/>
  <c r="I3621" i="45"/>
  <c r="H3621" i="45"/>
  <c r="G3621" i="45"/>
  <c r="D3621" i="45"/>
  <c r="I3620" i="45"/>
  <c r="H3620" i="45"/>
  <c r="G3620" i="45"/>
  <c r="D3620" i="45"/>
  <c r="I3619" i="45"/>
  <c r="H3619" i="45"/>
  <c r="G3619" i="45"/>
  <c r="D3619" i="45"/>
  <c r="I3618" i="45"/>
  <c r="H3618" i="45"/>
  <c r="G3618" i="45"/>
  <c r="D3618" i="45"/>
  <c r="I3617" i="45"/>
  <c r="H3617" i="45"/>
  <c r="G3617" i="45"/>
  <c r="D3617" i="45"/>
  <c r="I3616" i="45"/>
  <c r="H3616" i="45"/>
  <c r="G3616" i="45"/>
  <c r="D3616" i="45"/>
  <c r="I3615" i="45"/>
  <c r="H3615" i="45"/>
  <c r="G3615" i="45"/>
  <c r="D3615" i="45"/>
  <c r="I3614" i="45"/>
  <c r="H3614" i="45"/>
  <c r="G3614" i="45"/>
  <c r="D3614" i="45"/>
  <c r="I3613" i="45"/>
  <c r="H3613" i="45"/>
  <c r="G3613" i="45"/>
  <c r="D3613" i="45"/>
  <c r="I3612" i="45"/>
  <c r="H3612" i="45"/>
  <c r="G3612" i="45"/>
  <c r="D3612" i="45"/>
  <c r="I3611" i="45"/>
  <c r="H3611" i="45"/>
  <c r="G3611" i="45"/>
  <c r="D3611" i="45"/>
  <c r="I3610" i="45"/>
  <c r="H3610" i="45"/>
  <c r="G3610" i="45"/>
  <c r="D3610" i="45"/>
  <c r="I3609" i="45"/>
  <c r="H3609" i="45"/>
  <c r="G3609" i="45"/>
  <c r="D3609" i="45"/>
  <c r="I3608" i="45"/>
  <c r="H3608" i="45"/>
  <c r="G3608" i="45"/>
  <c r="D3608" i="45"/>
  <c r="I3607" i="45"/>
  <c r="H3607" i="45"/>
  <c r="G3607" i="45"/>
  <c r="D3607" i="45"/>
  <c r="I3606" i="45"/>
  <c r="H3606" i="45"/>
  <c r="G3606" i="45"/>
  <c r="D3606" i="45"/>
  <c r="I3605" i="45"/>
  <c r="H3605" i="45"/>
  <c r="G3605" i="45"/>
  <c r="D3605" i="45"/>
  <c r="I3604" i="45"/>
  <c r="H3604" i="45"/>
  <c r="G3604" i="45"/>
  <c r="D3604" i="45"/>
  <c r="I3603" i="45"/>
  <c r="H3603" i="45"/>
  <c r="G3603" i="45"/>
  <c r="D3603" i="45"/>
  <c r="I3602" i="45"/>
  <c r="H3602" i="45"/>
  <c r="G3602" i="45"/>
  <c r="D3602" i="45"/>
  <c r="I3601" i="45"/>
  <c r="H3601" i="45"/>
  <c r="G3601" i="45"/>
  <c r="D3601" i="45"/>
  <c r="I3600" i="45"/>
  <c r="H3600" i="45"/>
  <c r="G3600" i="45"/>
  <c r="D3600" i="45"/>
  <c r="I3599" i="45"/>
  <c r="H3599" i="45"/>
  <c r="G3599" i="45"/>
  <c r="D3599" i="45"/>
  <c r="I3598" i="45"/>
  <c r="H3598" i="45"/>
  <c r="G3598" i="45"/>
  <c r="D3598" i="45"/>
  <c r="I3597" i="45"/>
  <c r="H3597" i="45"/>
  <c r="G3597" i="45"/>
  <c r="D3597" i="45"/>
  <c r="I3596" i="45"/>
  <c r="H3596" i="45"/>
  <c r="G3596" i="45"/>
  <c r="D3596" i="45"/>
  <c r="I3595" i="45"/>
  <c r="H3595" i="45"/>
  <c r="G3595" i="45"/>
  <c r="D3595" i="45"/>
  <c r="I3594" i="45"/>
  <c r="H3594" i="45"/>
  <c r="G3594" i="45"/>
  <c r="D3594" i="45"/>
  <c r="I3585" i="45"/>
  <c r="H3585" i="45"/>
  <c r="G3585" i="45"/>
  <c r="D3585" i="45"/>
  <c r="I3584" i="45"/>
  <c r="H3584" i="45"/>
  <c r="G3584" i="45"/>
  <c r="D3584" i="45"/>
  <c r="I3583" i="45"/>
  <c r="H3583" i="45"/>
  <c r="G3583" i="45"/>
  <c r="D3583" i="45"/>
  <c r="I3582" i="45"/>
  <c r="H3582" i="45"/>
  <c r="G3582" i="45"/>
  <c r="D3582" i="45"/>
  <c r="I3581" i="45"/>
  <c r="H3581" i="45"/>
  <c r="G3581" i="45"/>
  <c r="D3581" i="45"/>
  <c r="I3580" i="45"/>
  <c r="H3580" i="45"/>
  <c r="G3580" i="45"/>
  <c r="D3580" i="45"/>
  <c r="I3579" i="45"/>
  <c r="H3579" i="45"/>
  <c r="G3579" i="45"/>
  <c r="D3579" i="45"/>
  <c r="I3578" i="45"/>
  <c r="H3578" i="45"/>
  <c r="G3578" i="45"/>
  <c r="D3578" i="45"/>
  <c r="I3577" i="45"/>
  <c r="H3577" i="45"/>
  <c r="G3577" i="45"/>
  <c r="D3577" i="45"/>
  <c r="D3503" i="45" l="1"/>
  <c r="G3503" i="45"/>
  <c r="H3503" i="45"/>
  <c r="I3503" i="45"/>
  <c r="D3505" i="45"/>
  <c r="G3505" i="45"/>
  <c r="H3505" i="45"/>
  <c r="I3505" i="45"/>
  <c r="D3502" i="45"/>
  <c r="G3502" i="45"/>
  <c r="H3502" i="45"/>
  <c r="I3502" i="45"/>
  <c r="D3574" i="45"/>
  <c r="G3574" i="45"/>
  <c r="H3574" i="45"/>
  <c r="I3574" i="45"/>
  <c r="D3572" i="45"/>
  <c r="G3572" i="45"/>
  <c r="H3572" i="45"/>
  <c r="I3572" i="45"/>
  <c r="D3570" i="45"/>
  <c r="G3570" i="45"/>
  <c r="H3570" i="45"/>
  <c r="I3570" i="45"/>
  <c r="D3571" i="45"/>
  <c r="G3571" i="45"/>
  <c r="H3571" i="45"/>
  <c r="I3571" i="45"/>
  <c r="D3573" i="45"/>
  <c r="G3573" i="45"/>
  <c r="H3573" i="45"/>
  <c r="I3573" i="45"/>
  <c r="D3569" i="45"/>
  <c r="G3569" i="45"/>
  <c r="H3569" i="45"/>
  <c r="I3569" i="45"/>
  <c r="D3493" i="45" l="1"/>
  <c r="G3493" i="45"/>
  <c r="H3493" i="45"/>
  <c r="I3493" i="45"/>
  <c r="D3490" i="45"/>
  <c r="G3490" i="45"/>
  <c r="H3490" i="45"/>
  <c r="I3490" i="45"/>
  <c r="D3491" i="45"/>
  <c r="G3491" i="45"/>
  <c r="H3491" i="45"/>
  <c r="I3491" i="45"/>
  <c r="D3492" i="45"/>
  <c r="G3492" i="45"/>
  <c r="H3492" i="45"/>
  <c r="I3492" i="45"/>
  <c r="D3489" i="45"/>
  <c r="G3489" i="45"/>
  <c r="H3489" i="45"/>
  <c r="I3489" i="45"/>
  <c r="D3495" i="45"/>
  <c r="G3495" i="45"/>
  <c r="H3495" i="45"/>
  <c r="I3495" i="45"/>
  <c r="D3494" i="45"/>
  <c r="G3494" i="45"/>
  <c r="H3494" i="45"/>
  <c r="I3494" i="45"/>
  <c r="D3488" i="45"/>
  <c r="G3488" i="45"/>
  <c r="H3488" i="45"/>
  <c r="I3488" i="45"/>
  <c r="D3487" i="45"/>
  <c r="G3487" i="45"/>
  <c r="H3487" i="45"/>
  <c r="I3487" i="45"/>
  <c r="D3486" i="45"/>
  <c r="G3486" i="45"/>
  <c r="H3486" i="45"/>
  <c r="I3486" i="45"/>
  <c r="D3485" i="45"/>
  <c r="G3485" i="45"/>
  <c r="H3485" i="45"/>
  <c r="I3485" i="45"/>
  <c r="I3443" i="45"/>
  <c r="H3443" i="45"/>
  <c r="G3443" i="45"/>
  <c r="D3443" i="45"/>
  <c r="I3444" i="45"/>
  <c r="H3444" i="45"/>
  <c r="G3444" i="45"/>
  <c r="D3444" i="45"/>
  <c r="I3445" i="45"/>
  <c r="H3445" i="45"/>
  <c r="G3445" i="45"/>
  <c r="D3445" i="45"/>
  <c r="I3442" i="45"/>
  <c r="H3442" i="45"/>
  <c r="G3442" i="45"/>
  <c r="D3442" i="45"/>
  <c r="I3413" i="45"/>
  <c r="H3413" i="45"/>
  <c r="G3413" i="45"/>
  <c r="D3413" i="45"/>
  <c r="D3555" i="45"/>
  <c r="G3555" i="45"/>
  <c r="H3555" i="45"/>
  <c r="I3555" i="45"/>
  <c r="D3556" i="45"/>
  <c r="G3556" i="45"/>
  <c r="H3556" i="45"/>
  <c r="I3556" i="45"/>
  <c r="D3557" i="45"/>
  <c r="G3557" i="45"/>
  <c r="H3557" i="45"/>
  <c r="I3557" i="45"/>
  <c r="D3558" i="45"/>
  <c r="G3558" i="45"/>
  <c r="H3558" i="45"/>
  <c r="I3558" i="45"/>
  <c r="D3560" i="45"/>
  <c r="G3560" i="45"/>
  <c r="H3560" i="45"/>
  <c r="I3560" i="45"/>
  <c r="D3561" i="45"/>
  <c r="G3561" i="45"/>
  <c r="H3561" i="45"/>
  <c r="I3561" i="45"/>
  <c r="D3562" i="45"/>
  <c r="G3562" i="45"/>
  <c r="H3562" i="45"/>
  <c r="I3562" i="45"/>
  <c r="D3563" i="45"/>
  <c r="G3563" i="45"/>
  <c r="H3563" i="45"/>
  <c r="I3563" i="45"/>
  <c r="D3564" i="45"/>
  <c r="G3564" i="45"/>
  <c r="H3564" i="45"/>
  <c r="I3564" i="45"/>
  <c r="D3565" i="45"/>
  <c r="G3565" i="45"/>
  <c r="H3565" i="45"/>
  <c r="I3565" i="45"/>
  <c r="D3566" i="45"/>
  <c r="G3566" i="45"/>
  <c r="H3566" i="45"/>
  <c r="I3566" i="45"/>
  <c r="D3567" i="45"/>
  <c r="G3567" i="45"/>
  <c r="H3567" i="45"/>
  <c r="I3567" i="45"/>
  <c r="D3568" i="45"/>
  <c r="G3568" i="45"/>
  <c r="H3568" i="45"/>
  <c r="I3568" i="45"/>
  <c r="D3575" i="45"/>
  <c r="G3575" i="45"/>
  <c r="H3575" i="45"/>
  <c r="I3575" i="45"/>
  <c r="D3576" i="45"/>
  <c r="G3576" i="45"/>
  <c r="H3576" i="45"/>
  <c r="I3576" i="45"/>
  <c r="D3366" i="45"/>
  <c r="G3366" i="45"/>
  <c r="H3366" i="45"/>
  <c r="I3366" i="45"/>
  <c r="D3365" i="45"/>
  <c r="G3365" i="45"/>
  <c r="H3365" i="45"/>
  <c r="I3365" i="45"/>
  <c r="D3364" i="45"/>
  <c r="G3364" i="45"/>
  <c r="H3364" i="45"/>
  <c r="I3364" i="45"/>
  <c r="D3020" i="45"/>
  <c r="G3020" i="45"/>
  <c r="H3020" i="45"/>
  <c r="I3020" i="45"/>
  <c r="D3004" i="45"/>
  <c r="G3004" i="45"/>
  <c r="H3004" i="45"/>
  <c r="I3004" i="45"/>
  <c r="D3021" i="45"/>
  <c r="G3021" i="45"/>
  <c r="H3021" i="45"/>
  <c r="I3021" i="45"/>
  <c r="D3019" i="45"/>
  <c r="G3019" i="45"/>
  <c r="H3019" i="45"/>
  <c r="I3019" i="45"/>
  <c r="D3018" i="45"/>
  <c r="G3018" i="45"/>
  <c r="H3018" i="45"/>
  <c r="I3018" i="45"/>
  <c r="D3017" i="45"/>
  <c r="G3017" i="45"/>
  <c r="H3017" i="45"/>
  <c r="I3017" i="45"/>
  <c r="D2846" i="45"/>
  <c r="G2846" i="45"/>
  <c r="H2846" i="45"/>
  <c r="I2846" i="45"/>
  <c r="D2845" i="45"/>
  <c r="G2845" i="45"/>
  <c r="H2845" i="45"/>
  <c r="I2845" i="45"/>
  <c r="D2844" i="45"/>
  <c r="G2844" i="45"/>
  <c r="H2844" i="45"/>
  <c r="I2844" i="45"/>
  <c r="D2843" i="45"/>
  <c r="G2843" i="45"/>
  <c r="H2843" i="45"/>
  <c r="I2843" i="45"/>
  <c r="D2842" i="45"/>
  <c r="G2842" i="45"/>
  <c r="H2842" i="45"/>
  <c r="I2842" i="45"/>
  <c r="D2841" i="45"/>
  <c r="G2841" i="45"/>
  <c r="H2841" i="45"/>
  <c r="I2841" i="45"/>
  <c r="D2840" i="45"/>
  <c r="G2840" i="45"/>
  <c r="H2840" i="45"/>
  <c r="I2840" i="45"/>
  <c r="D2674" i="45"/>
  <c r="G2674" i="45"/>
  <c r="H2674" i="45"/>
  <c r="I2674" i="45"/>
  <c r="D2673" i="45"/>
  <c r="G2673" i="45"/>
  <c r="H2673" i="45"/>
  <c r="I2673" i="45"/>
  <c r="D2672" i="45"/>
  <c r="G2672" i="45"/>
  <c r="H2672" i="45"/>
  <c r="I2672" i="45"/>
  <c r="D2671" i="45"/>
  <c r="G2671" i="45"/>
  <c r="H2671" i="45"/>
  <c r="I2671" i="45"/>
  <c r="D2675" i="45"/>
  <c r="G2675" i="45"/>
  <c r="H2675" i="45"/>
  <c r="I2675" i="45"/>
  <c r="D2670" i="45"/>
  <c r="G2670" i="45"/>
  <c r="H2670" i="45"/>
  <c r="I2670" i="45"/>
  <c r="D2669" i="45"/>
  <c r="G2669" i="45"/>
  <c r="H2669" i="45"/>
  <c r="I2669" i="45"/>
  <c r="D2668" i="45"/>
  <c r="G2668" i="45"/>
  <c r="H2668" i="45"/>
  <c r="I2668" i="45"/>
  <c r="D2065" i="45"/>
  <c r="G2065" i="45"/>
  <c r="H2065" i="45"/>
  <c r="I2065" i="45"/>
  <c r="D2054" i="45"/>
  <c r="G2054" i="45"/>
  <c r="H2054" i="45"/>
  <c r="I2054" i="45"/>
  <c r="D2039" i="45"/>
  <c r="G2039" i="45"/>
  <c r="H2039" i="45"/>
  <c r="I2039" i="45"/>
  <c r="D2036" i="45"/>
  <c r="G2036" i="45"/>
  <c r="H2036" i="45"/>
  <c r="I2036" i="45"/>
  <c r="D2038" i="45"/>
  <c r="G2038" i="45"/>
  <c r="H2038" i="45"/>
  <c r="I2038" i="45"/>
  <c r="D2037" i="45"/>
  <c r="G2037" i="45"/>
  <c r="H2037" i="45"/>
  <c r="I2037" i="45"/>
  <c r="D2064" i="45"/>
  <c r="G2064" i="45"/>
  <c r="H2064" i="45"/>
  <c r="I2064" i="45"/>
  <c r="D1913" i="45"/>
  <c r="G1913" i="45"/>
  <c r="H1913" i="45"/>
  <c r="I1913" i="45"/>
  <c r="D1912" i="45"/>
  <c r="G1912" i="45"/>
  <c r="H1912" i="45"/>
  <c r="I1912" i="45"/>
  <c r="D1914" i="45"/>
  <c r="G1914" i="45"/>
  <c r="H1914" i="45"/>
  <c r="I1914" i="45"/>
  <c r="D1911" i="45"/>
  <c r="G1911" i="45"/>
  <c r="H1911" i="45"/>
  <c r="I1911" i="45"/>
  <c r="D1910" i="45"/>
  <c r="G1910" i="45"/>
  <c r="H1910" i="45"/>
  <c r="I1910" i="45"/>
  <c r="D1762" i="45"/>
  <c r="G1762" i="45"/>
  <c r="H1762" i="45"/>
  <c r="I1762" i="45"/>
  <c r="I1763" i="45"/>
  <c r="H1763" i="45"/>
  <c r="G1763" i="45"/>
  <c r="D1763" i="45"/>
  <c r="I1761" i="45"/>
  <c r="H1761" i="45"/>
  <c r="G1761" i="45"/>
  <c r="D1761" i="45"/>
  <c r="D1760" i="45"/>
  <c r="G1760" i="45"/>
  <c r="H1760" i="45"/>
  <c r="I1760" i="45"/>
  <c r="D1756" i="45"/>
  <c r="G1756" i="45"/>
  <c r="H1756" i="45"/>
  <c r="I1756" i="45"/>
  <c r="D1757" i="45"/>
  <c r="G1757" i="45"/>
  <c r="H1757" i="45"/>
  <c r="I1757" i="45"/>
  <c r="D1758" i="45"/>
  <c r="G1758" i="45"/>
  <c r="H1758" i="45"/>
  <c r="I1758" i="45"/>
  <c r="D1478" i="45"/>
  <c r="G1478" i="45"/>
  <c r="H1478" i="45"/>
  <c r="I1478" i="45"/>
  <c r="D1477" i="45"/>
  <c r="G1477" i="45"/>
  <c r="H1477" i="45"/>
  <c r="I1477" i="45"/>
  <c r="D1479" i="45"/>
  <c r="G1479" i="45"/>
  <c r="H1479" i="45"/>
  <c r="I1479" i="45"/>
  <c r="D1476" i="45"/>
  <c r="G1476" i="45"/>
  <c r="H1476" i="45"/>
  <c r="I1476" i="45"/>
  <c r="D1172" i="45"/>
  <c r="G1172" i="45"/>
  <c r="H1172" i="45"/>
  <c r="I1172" i="45"/>
  <c r="D1173" i="45"/>
  <c r="G1173" i="45"/>
  <c r="H1173" i="45"/>
  <c r="I1173" i="45"/>
  <c r="D1175" i="45"/>
  <c r="G1175" i="45"/>
  <c r="H1175" i="45"/>
  <c r="I1175" i="45"/>
  <c r="D1176" i="45"/>
  <c r="G1176" i="45"/>
  <c r="H1176" i="45"/>
  <c r="I1176" i="45"/>
  <c r="D1319" i="45"/>
  <c r="G1319" i="45"/>
  <c r="H1319" i="45"/>
  <c r="I1319" i="45"/>
  <c r="D1320" i="45"/>
  <c r="G1320" i="45"/>
  <c r="H1320" i="45"/>
  <c r="I1320" i="45"/>
  <c r="D1321" i="45"/>
  <c r="G1321" i="45"/>
  <c r="H1321" i="45"/>
  <c r="I1321" i="45"/>
  <c r="D1322" i="45"/>
  <c r="G1322" i="45"/>
  <c r="H1322" i="45"/>
  <c r="I1322" i="45"/>
  <c r="D1323" i="45"/>
  <c r="G1323" i="45"/>
  <c r="H1323" i="45"/>
  <c r="I1323" i="45"/>
  <c r="D1326" i="45"/>
  <c r="G1326" i="45"/>
  <c r="H1326" i="45"/>
  <c r="I1326" i="45"/>
  <c r="D1325" i="45"/>
  <c r="G1325" i="45"/>
  <c r="H1325" i="45"/>
  <c r="I1325" i="45"/>
  <c r="D1047" i="45"/>
  <c r="G1047" i="45"/>
  <c r="H1047" i="45"/>
  <c r="I1047" i="45"/>
  <c r="D893" i="45" l="1"/>
  <c r="G893" i="45"/>
  <c r="H893" i="45"/>
  <c r="I893" i="45"/>
  <c r="D894" i="45"/>
  <c r="G894" i="45"/>
  <c r="H894" i="45"/>
  <c r="I894" i="45"/>
  <c r="D895" i="45"/>
  <c r="G895" i="45"/>
  <c r="H895" i="45"/>
  <c r="I895" i="45"/>
  <c r="D892" i="45"/>
  <c r="G892" i="45"/>
  <c r="H892" i="45"/>
  <c r="I892" i="45"/>
  <c r="D891" i="45"/>
  <c r="G891" i="45"/>
  <c r="H891" i="45"/>
  <c r="I891" i="45"/>
  <c r="D75" i="45"/>
  <c r="G75" i="45"/>
  <c r="H75" i="45"/>
  <c r="I75" i="45"/>
  <c r="I60" i="45"/>
  <c r="H60" i="45"/>
  <c r="G60" i="45"/>
  <c r="D60" i="45"/>
  <c r="D3193" i="45"/>
  <c r="G3193" i="45"/>
  <c r="H3193" i="45"/>
  <c r="I3193" i="45"/>
  <c r="D3339" i="45"/>
  <c r="G3339" i="45"/>
  <c r="H3339" i="45"/>
  <c r="I3339" i="45"/>
  <c r="D3039" i="45"/>
  <c r="G3039" i="45"/>
  <c r="H3039" i="45"/>
  <c r="I3039" i="45"/>
  <c r="D2878" i="45"/>
  <c r="G2878" i="45"/>
  <c r="H2878" i="45"/>
  <c r="I2878" i="45"/>
  <c r="D2707" i="45"/>
  <c r="G2707" i="45"/>
  <c r="H2707" i="45"/>
  <c r="I2707" i="45"/>
  <c r="D2540" i="45"/>
  <c r="G2540" i="45"/>
  <c r="H2540" i="45"/>
  <c r="I2540" i="45"/>
  <c r="D2380" i="45"/>
  <c r="G2380" i="45"/>
  <c r="H2380" i="45"/>
  <c r="I2380" i="45"/>
  <c r="D2222" i="45"/>
  <c r="G2222" i="45"/>
  <c r="H2222" i="45"/>
  <c r="I2222" i="45"/>
  <c r="D2072" i="45"/>
  <c r="G2072" i="45"/>
  <c r="H2072" i="45"/>
  <c r="I2072" i="45"/>
  <c r="D1930" i="45"/>
  <c r="G1930" i="45"/>
  <c r="H1930" i="45"/>
  <c r="I1930" i="45"/>
  <c r="D1778" i="45"/>
  <c r="G1778" i="45"/>
  <c r="H1778" i="45"/>
  <c r="I1778" i="45"/>
  <c r="D1628" i="45"/>
  <c r="G1628" i="45"/>
  <c r="H1628" i="45"/>
  <c r="I1628" i="45"/>
  <c r="D1494" i="45"/>
  <c r="G1494" i="45"/>
  <c r="H1494" i="45"/>
  <c r="I1494" i="45"/>
  <c r="D1341" i="45"/>
  <c r="G1341" i="45"/>
  <c r="H1341" i="45"/>
  <c r="I1341" i="45"/>
  <c r="D1191" i="45"/>
  <c r="G1191" i="45"/>
  <c r="H1191" i="45"/>
  <c r="I1191" i="45"/>
  <c r="D1050" i="45"/>
  <c r="G1050" i="45"/>
  <c r="H1050" i="45"/>
  <c r="I1050" i="45"/>
  <c r="D911" i="45"/>
  <c r="G911" i="45"/>
  <c r="H911" i="45"/>
  <c r="I911" i="45"/>
  <c r="D769" i="45"/>
  <c r="G769" i="45"/>
  <c r="H769" i="45"/>
  <c r="I769" i="45"/>
  <c r="D632" i="45"/>
  <c r="G632" i="45"/>
  <c r="H632" i="45"/>
  <c r="I632" i="45"/>
  <c r="D494" i="45"/>
  <c r="G494" i="45"/>
  <c r="H494" i="45"/>
  <c r="I494" i="45"/>
  <c r="D356" i="45"/>
  <c r="G356" i="45"/>
  <c r="H356" i="45"/>
  <c r="I356" i="45"/>
  <c r="D220" i="45"/>
  <c r="G220" i="45"/>
  <c r="H220" i="45"/>
  <c r="I220" i="45"/>
  <c r="D80" i="45"/>
  <c r="G80" i="45"/>
  <c r="H80" i="45"/>
  <c r="I80" i="45"/>
  <c r="D3333" i="45"/>
  <c r="G3333" i="45"/>
  <c r="H3333" i="45"/>
  <c r="I3333" i="45"/>
  <c r="D3187" i="45"/>
  <c r="G3187" i="45"/>
  <c r="H3187" i="45"/>
  <c r="I3187" i="45"/>
  <c r="D3031" i="45"/>
  <c r="G3031" i="45"/>
  <c r="H3031" i="45"/>
  <c r="I3031" i="45"/>
  <c r="D2870" i="45"/>
  <c r="G2870" i="45"/>
  <c r="H2870" i="45"/>
  <c r="I2870" i="45"/>
  <c r="D2699" i="45"/>
  <c r="G2699" i="45"/>
  <c r="H2699" i="45"/>
  <c r="I2699" i="45"/>
  <c r="D2532" i="45"/>
  <c r="G2532" i="45"/>
  <c r="H2532" i="45"/>
  <c r="I2532" i="45"/>
  <c r="D2374" i="45"/>
  <c r="G2374" i="45"/>
  <c r="H2374" i="45"/>
  <c r="I2374" i="45"/>
  <c r="D2216" i="45"/>
  <c r="G2216" i="45"/>
  <c r="H2216" i="45"/>
  <c r="I2216" i="45"/>
  <c r="D2067" i="45"/>
  <c r="G2067" i="45"/>
  <c r="H2067" i="45"/>
  <c r="I2067" i="45"/>
  <c r="D1927" i="45"/>
  <c r="G1927" i="45"/>
  <c r="H1927" i="45"/>
  <c r="I1927" i="45"/>
  <c r="D1775" i="45"/>
  <c r="G1775" i="45"/>
  <c r="H1775" i="45"/>
  <c r="I1775" i="45"/>
  <c r="D1625" i="45"/>
  <c r="G1625" i="45"/>
  <c r="H1625" i="45"/>
  <c r="I1625" i="45"/>
  <c r="D1491" i="45"/>
  <c r="G1491" i="45"/>
  <c r="H1491" i="45"/>
  <c r="I1491" i="45"/>
  <c r="D1338" i="45"/>
  <c r="G1338" i="45"/>
  <c r="H1338" i="45"/>
  <c r="I1338" i="45"/>
  <c r="D1188" i="45"/>
  <c r="G1188" i="45"/>
  <c r="H1188" i="45"/>
  <c r="I1188" i="45"/>
  <c r="D1046" i="45"/>
  <c r="G1046" i="45"/>
  <c r="H1046" i="45"/>
  <c r="I1046" i="45"/>
  <c r="D908" i="45"/>
  <c r="G908" i="45"/>
  <c r="H908" i="45"/>
  <c r="I908" i="45"/>
  <c r="D766" i="45"/>
  <c r="G766" i="45"/>
  <c r="H766" i="45"/>
  <c r="I766" i="45"/>
  <c r="D629" i="45"/>
  <c r="G629" i="45"/>
  <c r="H629" i="45"/>
  <c r="I629" i="45"/>
  <c r="D491" i="45"/>
  <c r="G491" i="45"/>
  <c r="H491" i="45"/>
  <c r="I491" i="45"/>
  <c r="D457" i="45"/>
  <c r="G457" i="45"/>
  <c r="H457" i="45"/>
  <c r="I457" i="45"/>
  <c r="I352" i="45"/>
  <c r="H352" i="45"/>
  <c r="G352" i="45"/>
  <c r="D352" i="45"/>
  <c r="I217" i="45"/>
  <c r="H217" i="45"/>
  <c r="G217" i="45"/>
  <c r="D217" i="45"/>
  <c r="D77" i="45"/>
  <c r="G77" i="45"/>
  <c r="H77" i="45"/>
  <c r="I77" i="45"/>
  <c r="I3385" i="45"/>
  <c r="H3385" i="45"/>
  <c r="G3385" i="45"/>
  <c r="I3236" i="45"/>
  <c r="H3236" i="45"/>
  <c r="G3236" i="45"/>
  <c r="I3087" i="45"/>
  <c r="H3087" i="45"/>
  <c r="G3087" i="45"/>
  <c r="I2923" i="45"/>
  <c r="H2923" i="45"/>
  <c r="G2923" i="45"/>
  <c r="I2755" i="45"/>
  <c r="H2755" i="45"/>
  <c r="G2755" i="45"/>
  <c r="I2586" i="45"/>
  <c r="H2586" i="45"/>
  <c r="G2586" i="45"/>
  <c r="D3385" i="45"/>
  <c r="D3236" i="45"/>
  <c r="D3087" i="45"/>
  <c r="D2923" i="45"/>
  <c r="D2755" i="45"/>
  <c r="D2586" i="45"/>
  <c r="I3383" i="45"/>
  <c r="H3383" i="45"/>
  <c r="G3383" i="45"/>
  <c r="I3382" i="45"/>
  <c r="H3382" i="45"/>
  <c r="G3382" i="45"/>
  <c r="I3234" i="45"/>
  <c r="H3234" i="45"/>
  <c r="G3234" i="45"/>
  <c r="I3233" i="45"/>
  <c r="H3233" i="45"/>
  <c r="G3233" i="45"/>
  <c r="I3085" i="45"/>
  <c r="H3085" i="45"/>
  <c r="G3085" i="45"/>
  <c r="I3084" i="45"/>
  <c r="H3084" i="45"/>
  <c r="G3084" i="45"/>
  <c r="I2921" i="45"/>
  <c r="H2921" i="45"/>
  <c r="G2921" i="45"/>
  <c r="I2920" i="45"/>
  <c r="H2920" i="45"/>
  <c r="G2920" i="45"/>
  <c r="I2753" i="45"/>
  <c r="H2753" i="45"/>
  <c r="G2753" i="45"/>
  <c r="I2752" i="45"/>
  <c r="H2752" i="45"/>
  <c r="G2752" i="45"/>
  <c r="I2427" i="45"/>
  <c r="H2427" i="45"/>
  <c r="G2427" i="45"/>
  <c r="I2426" i="45"/>
  <c r="H2426" i="45"/>
  <c r="G2426" i="45"/>
  <c r="D3382" i="45"/>
  <c r="D3383" i="45"/>
  <c r="D3233" i="45"/>
  <c r="D3234" i="45"/>
  <c r="D3084" i="45"/>
  <c r="D3085" i="45"/>
  <c r="D2920" i="45"/>
  <c r="D2921" i="45"/>
  <c r="D2752" i="45"/>
  <c r="D2753" i="45"/>
  <c r="D2426" i="45"/>
  <c r="D2427" i="45"/>
  <c r="D2276" i="45"/>
  <c r="G2276" i="45"/>
  <c r="H2276" i="45"/>
  <c r="I2276" i="45"/>
  <c r="D2277" i="45"/>
  <c r="G2277" i="45"/>
  <c r="H2277" i="45"/>
  <c r="I2277" i="45"/>
  <c r="D2274" i="45"/>
  <c r="G2274" i="45"/>
  <c r="H2274" i="45"/>
  <c r="I2274" i="45"/>
  <c r="D2273" i="45"/>
  <c r="G2273" i="45"/>
  <c r="H2273" i="45"/>
  <c r="I2273" i="45"/>
  <c r="D3384" i="45"/>
  <c r="G3384" i="45"/>
  <c r="H3384" i="45"/>
  <c r="I3384" i="45"/>
  <c r="D3235" i="45"/>
  <c r="G3235" i="45"/>
  <c r="H3235" i="45"/>
  <c r="I3235" i="45"/>
  <c r="D3086" i="45"/>
  <c r="G3086" i="45"/>
  <c r="H3086" i="45"/>
  <c r="I3086" i="45"/>
  <c r="D2922" i="45"/>
  <c r="G2922" i="45"/>
  <c r="H2922" i="45"/>
  <c r="I2922" i="45"/>
  <c r="D2754" i="45"/>
  <c r="G2754" i="45"/>
  <c r="H2754" i="45"/>
  <c r="I2754" i="45"/>
  <c r="D2428" i="45"/>
  <c r="G2428" i="45"/>
  <c r="H2428" i="45"/>
  <c r="I2428" i="45"/>
  <c r="D2429" i="45"/>
  <c r="G2429" i="45"/>
  <c r="H2429" i="45"/>
  <c r="I2429" i="45"/>
  <c r="D2279" i="45"/>
  <c r="G2279" i="45"/>
  <c r="H2279" i="45"/>
  <c r="I2279" i="45"/>
  <c r="D2278" i="45"/>
  <c r="G2278" i="45"/>
  <c r="H2278" i="45"/>
  <c r="I2278" i="45"/>
  <c r="I3401" i="45"/>
  <c r="H3401" i="45"/>
  <c r="G3401" i="45"/>
  <c r="D3401" i="45"/>
  <c r="I3400" i="45"/>
  <c r="H3400" i="45"/>
  <c r="G3400" i="45"/>
  <c r="D3400" i="45"/>
  <c r="I3399" i="45"/>
  <c r="H3399" i="45"/>
  <c r="G3399" i="45"/>
  <c r="D3399" i="45"/>
  <c r="I3398" i="45"/>
  <c r="H3398" i="45"/>
  <c r="G3398" i="45"/>
  <c r="D3398" i="45"/>
  <c r="I3397" i="45"/>
  <c r="H3397" i="45"/>
  <c r="G3397" i="45"/>
  <c r="D3397" i="45"/>
  <c r="I3396" i="45"/>
  <c r="H3396" i="45"/>
  <c r="G3396" i="45"/>
  <c r="D3396" i="45"/>
  <c r="I3395" i="45"/>
  <c r="H3395" i="45"/>
  <c r="G3395" i="45"/>
  <c r="D3395" i="45"/>
  <c r="I3394" i="45"/>
  <c r="H3394" i="45"/>
  <c r="G3394" i="45"/>
  <c r="D3394" i="45"/>
  <c r="I3393" i="45"/>
  <c r="H3393" i="45"/>
  <c r="G3393" i="45"/>
  <c r="D3393" i="45"/>
  <c r="I3392" i="45"/>
  <c r="H3392" i="45"/>
  <c r="G3392" i="45"/>
  <c r="D3392" i="45"/>
  <c r="I3391" i="45"/>
  <c r="H3391" i="45"/>
  <c r="G3391" i="45"/>
  <c r="D3391" i="45"/>
  <c r="I3390" i="45"/>
  <c r="H3390" i="45"/>
  <c r="G3390" i="45"/>
  <c r="D3390" i="45"/>
  <c r="I3389" i="45"/>
  <c r="H3389" i="45"/>
  <c r="G3389" i="45"/>
  <c r="D3389" i="45"/>
  <c r="I3388" i="45"/>
  <c r="H3388" i="45"/>
  <c r="G3388" i="45"/>
  <c r="D3388" i="45"/>
  <c r="I3387" i="45"/>
  <c r="H3387" i="45"/>
  <c r="G3387" i="45"/>
  <c r="D3387" i="45"/>
  <c r="I3386" i="45"/>
  <c r="H3386" i="45"/>
  <c r="G3386" i="45"/>
  <c r="D3386" i="45"/>
  <c r="I3381" i="45"/>
  <c r="H3381" i="45"/>
  <c r="G3381" i="45"/>
  <c r="D3381" i="45"/>
  <c r="I3380" i="45"/>
  <c r="H3380" i="45"/>
  <c r="G3380" i="45"/>
  <c r="D3380" i="45"/>
  <c r="I3379" i="45"/>
  <c r="H3379" i="45"/>
  <c r="G3379" i="45"/>
  <c r="D3379" i="45"/>
  <c r="I3378" i="45"/>
  <c r="H3378" i="45"/>
  <c r="G3378" i="45"/>
  <c r="D3378" i="45"/>
  <c r="I3377" i="45"/>
  <c r="H3377" i="45"/>
  <c r="G3377" i="45"/>
  <c r="D3377" i="45"/>
  <c r="I3376" i="45"/>
  <c r="H3376" i="45"/>
  <c r="G3376" i="45"/>
  <c r="D3376" i="45"/>
  <c r="I3375" i="45"/>
  <c r="H3375" i="45"/>
  <c r="G3375" i="45"/>
  <c r="D3375" i="45"/>
  <c r="I3374" i="45"/>
  <c r="H3374" i="45"/>
  <c r="G3374" i="45"/>
  <c r="D3374" i="45"/>
  <c r="I3373" i="45"/>
  <c r="H3373" i="45"/>
  <c r="G3373" i="45"/>
  <c r="D3373" i="45"/>
  <c r="I3372" i="45"/>
  <c r="H3372" i="45"/>
  <c r="G3372" i="45"/>
  <c r="D3372" i="45"/>
  <c r="I3371" i="45"/>
  <c r="H3371" i="45"/>
  <c r="G3371" i="45"/>
  <c r="D3371" i="45"/>
  <c r="I3370" i="45"/>
  <c r="H3370" i="45"/>
  <c r="G3370" i="45"/>
  <c r="D3370" i="45"/>
  <c r="I3369" i="45"/>
  <c r="H3369" i="45"/>
  <c r="G3369" i="45"/>
  <c r="D3369" i="45"/>
  <c r="I3368" i="45"/>
  <c r="H3368" i="45"/>
  <c r="G3368" i="45"/>
  <c r="D3368" i="45"/>
  <c r="I3367" i="45"/>
  <c r="H3367" i="45"/>
  <c r="G3367" i="45"/>
  <c r="D3367" i="45"/>
  <c r="I3363" i="45"/>
  <c r="H3363" i="45"/>
  <c r="G3363" i="45"/>
  <c r="D3363" i="45"/>
  <c r="I3362" i="45"/>
  <c r="H3362" i="45"/>
  <c r="G3362" i="45"/>
  <c r="D3362" i="45"/>
  <c r="I3361" i="45"/>
  <c r="H3361" i="45"/>
  <c r="G3361" i="45"/>
  <c r="D3361" i="45"/>
  <c r="I3360" i="45"/>
  <c r="H3360" i="45"/>
  <c r="G3360" i="45"/>
  <c r="D3360" i="45"/>
  <c r="I3359" i="45"/>
  <c r="H3359" i="45"/>
  <c r="G3359" i="45"/>
  <c r="D3359" i="45"/>
  <c r="I3358" i="45"/>
  <c r="H3358" i="45"/>
  <c r="G3358" i="45"/>
  <c r="D3358" i="45"/>
  <c r="I3357" i="45"/>
  <c r="H3357" i="45"/>
  <c r="G3357" i="45"/>
  <c r="D3357" i="45"/>
  <c r="I3356" i="45"/>
  <c r="H3356" i="45"/>
  <c r="G3356" i="45"/>
  <c r="D3356" i="45"/>
  <c r="I3355" i="45"/>
  <c r="H3355" i="45"/>
  <c r="G3355" i="45"/>
  <c r="D3355" i="45"/>
  <c r="I3354" i="45"/>
  <c r="H3354" i="45"/>
  <c r="G3354" i="45"/>
  <c r="D3354" i="45"/>
  <c r="I3353" i="45"/>
  <c r="H3353" i="45"/>
  <c r="G3353" i="45"/>
  <c r="D3353" i="45"/>
  <c r="I3352" i="45"/>
  <c r="H3352" i="45"/>
  <c r="G3352" i="45"/>
  <c r="D3352" i="45"/>
  <c r="I3351" i="45"/>
  <c r="H3351" i="45"/>
  <c r="G3351" i="45"/>
  <c r="D3351" i="45"/>
  <c r="I3350" i="45"/>
  <c r="H3350" i="45"/>
  <c r="G3350" i="45"/>
  <c r="D3350" i="45"/>
  <c r="I3349" i="45"/>
  <c r="H3349" i="45"/>
  <c r="G3349" i="45"/>
  <c r="D3349" i="45"/>
  <c r="I3348" i="45"/>
  <c r="H3348" i="45"/>
  <c r="G3348" i="45"/>
  <c r="D3348" i="45"/>
  <c r="I3347" i="45"/>
  <c r="H3347" i="45"/>
  <c r="G3347" i="45"/>
  <c r="D3347" i="45"/>
  <c r="I3346" i="45"/>
  <c r="H3346" i="45"/>
  <c r="G3346" i="45"/>
  <c r="D3346" i="45"/>
  <c r="I3345" i="45"/>
  <c r="H3345" i="45"/>
  <c r="G3345" i="45"/>
  <c r="D3345" i="45"/>
  <c r="I3344" i="45"/>
  <c r="H3344" i="45"/>
  <c r="G3344" i="45"/>
  <c r="D3344" i="45"/>
  <c r="I3343" i="45"/>
  <c r="H3343" i="45"/>
  <c r="G3343" i="45"/>
  <c r="D3343" i="45"/>
  <c r="I3342" i="45"/>
  <c r="H3342" i="45"/>
  <c r="G3342" i="45"/>
  <c r="D3342" i="45"/>
  <c r="I3341" i="45"/>
  <c r="H3341" i="45"/>
  <c r="G3341" i="45"/>
  <c r="D3341" i="45"/>
  <c r="I3340" i="45"/>
  <c r="H3340" i="45"/>
  <c r="G3340" i="45"/>
  <c r="D3340" i="45"/>
  <c r="I3338" i="45"/>
  <c r="H3338" i="45"/>
  <c r="G3338" i="45"/>
  <c r="D3338" i="45"/>
  <c r="I3337" i="45"/>
  <c r="H3337" i="45"/>
  <c r="G3337" i="45"/>
  <c r="D3337" i="45"/>
  <c r="I3336" i="45"/>
  <c r="H3336" i="45"/>
  <c r="G3336" i="45"/>
  <c r="D3336" i="45"/>
  <c r="I3335" i="45"/>
  <c r="H3335" i="45"/>
  <c r="G3335" i="45"/>
  <c r="D3335" i="45"/>
  <c r="I3334" i="45"/>
  <c r="H3334" i="45"/>
  <c r="G3334" i="45"/>
  <c r="D3334" i="45"/>
  <c r="I3332" i="45"/>
  <c r="H3332" i="45"/>
  <c r="G3332" i="45"/>
  <c r="D3332" i="45"/>
  <c r="I3331" i="45"/>
  <c r="H3331" i="45"/>
  <c r="G3331" i="45"/>
  <c r="D3331" i="45"/>
  <c r="I3330" i="45"/>
  <c r="H3330" i="45"/>
  <c r="G3330" i="45"/>
  <c r="D3330" i="45"/>
  <c r="I3329" i="45"/>
  <c r="H3329" i="45"/>
  <c r="G3329" i="45"/>
  <c r="D3329" i="45"/>
  <c r="I3328" i="45"/>
  <c r="H3328" i="45"/>
  <c r="G3328" i="45"/>
  <c r="D3328" i="45"/>
  <c r="I3327" i="45"/>
  <c r="H3327" i="45"/>
  <c r="G3327" i="45"/>
  <c r="D3327" i="45"/>
  <c r="I3326" i="45"/>
  <c r="H3326" i="45"/>
  <c r="G3326" i="45"/>
  <c r="D3326" i="45"/>
  <c r="I3325" i="45"/>
  <c r="H3325" i="45"/>
  <c r="G3325" i="45"/>
  <c r="D3325" i="45"/>
  <c r="I3324" i="45"/>
  <c r="H3324" i="45"/>
  <c r="G3324" i="45"/>
  <c r="D3324" i="45"/>
  <c r="I3323" i="45"/>
  <c r="H3323" i="45"/>
  <c r="G3323" i="45"/>
  <c r="D3323" i="45"/>
  <c r="I3322" i="45"/>
  <c r="H3322" i="45"/>
  <c r="G3322" i="45"/>
  <c r="D3322" i="45"/>
  <c r="I3321" i="45"/>
  <c r="H3321" i="45"/>
  <c r="G3321" i="45"/>
  <c r="D3321" i="45"/>
  <c r="I3320" i="45"/>
  <c r="H3320" i="45"/>
  <c r="G3320" i="45"/>
  <c r="D3320" i="45"/>
  <c r="I3319" i="45"/>
  <c r="H3319" i="45"/>
  <c r="G3319" i="45"/>
  <c r="D3319" i="45"/>
  <c r="I3318" i="45"/>
  <c r="H3318" i="45"/>
  <c r="G3318" i="45"/>
  <c r="D3318" i="45"/>
  <c r="I3317" i="45"/>
  <c r="H3317" i="45"/>
  <c r="G3317" i="45"/>
  <c r="D3317" i="45"/>
  <c r="I3316" i="45"/>
  <c r="H3316" i="45"/>
  <c r="G3316" i="45"/>
  <c r="D3316" i="45"/>
  <c r="I3315" i="45"/>
  <c r="H3315" i="45"/>
  <c r="G3315" i="45"/>
  <c r="D3315" i="45"/>
  <c r="I3314" i="45"/>
  <c r="H3314" i="45"/>
  <c r="G3314" i="45"/>
  <c r="D3314" i="45"/>
  <c r="I3313" i="45"/>
  <c r="H3313" i="45"/>
  <c r="G3313" i="45"/>
  <c r="D3313" i="45"/>
  <c r="I3312" i="45"/>
  <c r="H3312" i="45"/>
  <c r="G3312" i="45"/>
  <c r="D3312" i="45"/>
  <c r="I3311" i="45"/>
  <c r="H3311" i="45"/>
  <c r="G3311" i="45"/>
  <c r="D3311" i="45"/>
  <c r="I3310" i="45"/>
  <c r="H3310" i="45"/>
  <c r="G3310" i="45"/>
  <c r="D3310" i="45"/>
  <c r="I3309" i="45"/>
  <c r="H3309" i="45"/>
  <c r="G3309" i="45"/>
  <c r="D3309" i="45"/>
  <c r="I3308" i="45"/>
  <c r="H3308" i="45"/>
  <c r="G3308" i="45"/>
  <c r="D3308" i="45"/>
  <c r="I3307" i="45"/>
  <c r="H3307" i="45"/>
  <c r="G3307" i="45"/>
  <c r="D3307" i="45"/>
  <c r="I3306" i="45"/>
  <c r="H3306" i="45"/>
  <c r="G3306" i="45"/>
  <c r="D3306" i="45"/>
  <c r="I3305" i="45"/>
  <c r="H3305" i="45"/>
  <c r="G3305" i="45"/>
  <c r="D3305" i="45"/>
  <c r="I3304" i="45"/>
  <c r="H3304" i="45"/>
  <c r="G3304" i="45"/>
  <c r="D3304" i="45"/>
  <c r="I3303" i="45"/>
  <c r="H3303" i="45"/>
  <c r="G3303" i="45"/>
  <c r="D3303" i="45"/>
  <c r="I3302" i="45"/>
  <c r="H3302" i="45"/>
  <c r="G3302" i="45"/>
  <c r="D3302" i="45"/>
  <c r="I3301" i="45"/>
  <c r="H3301" i="45"/>
  <c r="G3301" i="45"/>
  <c r="D3301" i="45"/>
  <c r="I3300" i="45"/>
  <c r="H3300" i="45"/>
  <c r="G3300" i="45"/>
  <c r="D3300" i="45"/>
  <c r="I3299" i="45"/>
  <c r="H3299" i="45"/>
  <c r="G3299" i="45"/>
  <c r="D3299" i="45"/>
  <c r="I3298" i="45"/>
  <c r="H3298" i="45"/>
  <c r="G3298" i="45"/>
  <c r="D3298" i="45"/>
  <c r="I3297" i="45"/>
  <c r="H3297" i="45"/>
  <c r="G3297" i="45"/>
  <c r="D3297" i="45"/>
  <c r="I3296" i="45"/>
  <c r="H3296" i="45"/>
  <c r="G3296" i="45"/>
  <c r="D3296" i="45"/>
  <c r="I3295" i="45"/>
  <c r="H3295" i="45"/>
  <c r="G3295" i="45"/>
  <c r="D3295" i="45"/>
  <c r="I3294" i="45"/>
  <c r="H3294" i="45"/>
  <c r="G3294" i="45"/>
  <c r="D3294" i="45"/>
  <c r="I3293" i="45"/>
  <c r="H3293" i="45"/>
  <c r="G3293" i="45"/>
  <c r="D3293" i="45"/>
  <c r="I3292" i="45"/>
  <c r="H3292" i="45"/>
  <c r="G3292" i="45"/>
  <c r="D3292" i="45"/>
  <c r="I3291" i="45"/>
  <c r="H3291" i="45"/>
  <c r="G3291" i="45"/>
  <c r="D3291" i="45"/>
  <c r="I3290" i="45"/>
  <c r="H3290" i="45"/>
  <c r="G3290" i="45"/>
  <c r="D3290" i="45"/>
  <c r="I3289" i="45"/>
  <c r="H3289" i="45"/>
  <c r="G3289" i="45"/>
  <c r="D3289" i="45"/>
  <c r="I3288" i="45"/>
  <c r="H3288" i="45"/>
  <c r="G3288" i="45"/>
  <c r="D3288" i="45"/>
  <c r="I3287" i="45"/>
  <c r="H3287" i="45"/>
  <c r="G3287" i="45"/>
  <c r="D3287" i="45"/>
  <c r="I3286" i="45"/>
  <c r="H3286" i="45"/>
  <c r="G3286" i="45"/>
  <c r="D3286" i="45"/>
  <c r="I3285" i="45"/>
  <c r="H3285" i="45"/>
  <c r="G3285" i="45"/>
  <c r="D3285" i="45"/>
  <c r="I3284" i="45"/>
  <c r="H3284" i="45"/>
  <c r="G3284" i="45"/>
  <c r="D3284" i="45"/>
  <c r="I3283" i="45"/>
  <c r="H3283" i="45"/>
  <c r="G3283" i="45"/>
  <c r="D3283" i="45"/>
  <c r="I3281" i="45"/>
  <c r="H3281" i="45"/>
  <c r="G3281" i="45"/>
  <c r="D3281" i="45"/>
  <c r="I3280" i="45"/>
  <c r="H3280" i="45"/>
  <c r="G3280" i="45"/>
  <c r="D3280" i="45"/>
  <c r="I3279" i="45"/>
  <c r="H3279" i="45"/>
  <c r="G3279" i="45"/>
  <c r="D3279" i="45"/>
  <c r="I3278" i="45"/>
  <c r="H3278" i="45"/>
  <c r="G3278" i="45"/>
  <c r="D3278" i="45"/>
  <c r="I3277" i="45"/>
  <c r="H3277" i="45"/>
  <c r="G3277" i="45"/>
  <c r="D3277" i="45"/>
  <c r="I3276" i="45"/>
  <c r="H3276" i="45"/>
  <c r="G3276" i="45"/>
  <c r="D3276" i="45"/>
  <c r="I3275" i="45"/>
  <c r="H3275" i="45"/>
  <c r="G3275" i="45"/>
  <c r="D3275" i="45"/>
  <c r="I3274" i="45"/>
  <c r="H3274" i="45"/>
  <c r="G3274" i="45"/>
  <c r="D3274" i="45"/>
  <c r="I3273" i="45"/>
  <c r="H3273" i="45"/>
  <c r="G3273" i="45"/>
  <c r="D3273" i="45"/>
  <c r="I3272" i="45"/>
  <c r="H3272" i="45"/>
  <c r="G3272" i="45"/>
  <c r="D3272" i="45"/>
  <c r="I3271" i="45"/>
  <c r="H3271" i="45"/>
  <c r="G3271" i="45"/>
  <c r="D3271" i="45"/>
  <c r="I3270" i="45"/>
  <c r="H3270" i="45"/>
  <c r="G3270" i="45"/>
  <c r="D3270" i="45"/>
  <c r="I3269" i="45"/>
  <c r="H3269" i="45"/>
  <c r="G3269" i="45"/>
  <c r="D3269" i="45"/>
  <c r="I3268" i="45"/>
  <c r="H3268" i="45"/>
  <c r="G3268" i="45"/>
  <c r="D3268" i="45"/>
  <c r="I3267" i="45"/>
  <c r="H3267" i="45"/>
  <c r="G3267" i="45"/>
  <c r="D3267" i="45"/>
  <c r="I3266" i="45"/>
  <c r="H3266" i="45"/>
  <c r="G3266" i="45"/>
  <c r="D3266" i="45"/>
  <c r="I3265" i="45"/>
  <c r="H3265" i="45"/>
  <c r="G3265" i="45"/>
  <c r="D3265" i="45"/>
  <c r="I3264" i="45"/>
  <c r="H3264" i="45"/>
  <c r="G3264" i="45"/>
  <c r="D3264" i="45"/>
  <c r="I3263" i="45"/>
  <c r="H3263" i="45"/>
  <c r="G3263" i="45"/>
  <c r="D3263" i="45"/>
  <c r="I3262" i="45"/>
  <c r="H3262" i="45"/>
  <c r="G3262" i="45"/>
  <c r="D3262" i="45"/>
  <c r="I3261" i="45"/>
  <c r="H3261" i="45"/>
  <c r="G3261" i="45"/>
  <c r="D3261" i="45"/>
  <c r="I3260" i="45"/>
  <c r="H3260" i="45"/>
  <c r="G3260" i="45"/>
  <c r="D3260" i="45"/>
  <c r="I3259" i="45"/>
  <c r="H3259" i="45"/>
  <c r="G3259" i="45"/>
  <c r="D3259" i="45"/>
  <c r="I3258" i="45"/>
  <c r="H3258" i="45"/>
  <c r="G3258" i="45"/>
  <c r="D3258" i="45"/>
  <c r="I3257" i="45"/>
  <c r="H3257" i="45"/>
  <c r="G3257" i="45"/>
  <c r="D3257" i="45"/>
  <c r="I3256" i="45"/>
  <c r="H3256" i="45"/>
  <c r="G3256" i="45"/>
  <c r="D3256" i="45"/>
  <c r="I3255" i="45"/>
  <c r="H3255" i="45"/>
  <c r="G3255" i="45"/>
  <c r="D3255" i="45"/>
  <c r="I3254" i="45"/>
  <c r="H3254" i="45"/>
  <c r="G3254" i="45"/>
  <c r="D3254" i="45"/>
  <c r="I3253" i="45"/>
  <c r="H3253" i="45"/>
  <c r="G3253" i="45"/>
  <c r="D3253" i="45"/>
  <c r="D3402" i="45"/>
  <c r="G3402" i="45"/>
  <c r="H3402" i="45"/>
  <c r="I3402" i="45"/>
  <c r="D3403" i="45"/>
  <c r="G3403" i="45"/>
  <c r="H3403" i="45"/>
  <c r="I3403" i="45"/>
  <c r="D3404" i="45"/>
  <c r="G3404" i="45"/>
  <c r="H3404" i="45"/>
  <c r="I3404" i="45"/>
  <c r="D3405" i="45"/>
  <c r="G3405" i="45"/>
  <c r="H3405" i="45"/>
  <c r="I3405" i="45"/>
  <c r="D3406" i="45"/>
  <c r="G3406" i="45"/>
  <c r="H3406" i="45"/>
  <c r="I3406" i="45"/>
  <c r="D3407" i="45"/>
  <c r="G3407" i="45"/>
  <c r="H3407" i="45"/>
  <c r="I3407" i="45"/>
  <c r="D3408" i="45"/>
  <c r="G3408" i="45"/>
  <c r="H3408" i="45"/>
  <c r="I3408" i="45"/>
  <c r="D3409" i="45"/>
  <c r="G3409" i="45"/>
  <c r="H3409" i="45"/>
  <c r="I3409" i="45"/>
  <c r="D3410" i="45"/>
  <c r="G3410" i="45"/>
  <c r="H3410" i="45"/>
  <c r="I3410" i="45"/>
  <c r="D3411" i="45"/>
  <c r="G3411" i="45"/>
  <c r="H3411" i="45"/>
  <c r="I3411" i="45"/>
  <c r="D3412" i="45"/>
  <c r="G3412" i="45"/>
  <c r="H3412" i="45"/>
  <c r="I3412" i="45"/>
  <c r="D3415" i="45"/>
  <c r="G3415" i="45"/>
  <c r="H3415" i="45"/>
  <c r="I3415" i="45"/>
  <c r="D3416" i="45"/>
  <c r="G3416" i="45"/>
  <c r="H3416" i="45"/>
  <c r="I3416" i="45"/>
  <c r="D3417" i="45"/>
  <c r="G3417" i="45"/>
  <c r="H3417" i="45"/>
  <c r="I3417" i="45"/>
  <c r="D3418" i="45"/>
  <c r="G3418" i="45"/>
  <c r="H3418" i="45"/>
  <c r="I3418" i="45"/>
  <c r="D3419" i="45"/>
  <c r="G3419" i="45"/>
  <c r="H3419" i="45"/>
  <c r="I3419" i="45"/>
  <c r="D3420" i="45"/>
  <c r="G3420" i="45"/>
  <c r="H3420" i="45"/>
  <c r="I3420" i="45"/>
  <c r="D3421" i="45"/>
  <c r="G3421" i="45"/>
  <c r="H3421" i="45"/>
  <c r="I3421" i="45"/>
  <c r="D3422" i="45"/>
  <c r="G3422" i="45"/>
  <c r="H3422" i="45"/>
  <c r="I3422" i="45"/>
  <c r="D3423" i="45"/>
  <c r="G3423" i="45"/>
  <c r="H3423" i="45"/>
  <c r="I3423" i="45"/>
  <c r="D3424" i="45"/>
  <c r="G3424" i="45"/>
  <c r="H3424" i="45"/>
  <c r="I3424" i="45"/>
  <c r="D3425" i="45"/>
  <c r="G3425" i="45"/>
  <c r="H3425" i="45"/>
  <c r="I3425" i="45"/>
  <c r="D3426" i="45"/>
  <c r="G3426" i="45"/>
  <c r="H3426" i="45"/>
  <c r="I3426" i="45"/>
  <c r="D3427" i="45"/>
  <c r="G3427" i="45"/>
  <c r="H3427" i="45"/>
  <c r="I3427" i="45"/>
  <c r="D3428" i="45"/>
  <c r="G3428" i="45"/>
  <c r="H3428" i="45"/>
  <c r="I3428" i="45"/>
  <c r="D3429" i="45"/>
  <c r="G3429" i="45"/>
  <c r="H3429" i="45"/>
  <c r="I3429" i="45"/>
  <c r="D3430" i="45"/>
  <c r="G3430" i="45"/>
  <c r="H3430" i="45"/>
  <c r="I3430" i="45"/>
  <c r="D3431" i="45"/>
  <c r="G3431" i="45"/>
  <c r="H3431" i="45"/>
  <c r="I3431" i="45"/>
  <c r="D3432" i="45"/>
  <c r="G3432" i="45"/>
  <c r="H3432" i="45"/>
  <c r="I3432" i="45"/>
  <c r="D3433" i="45"/>
  <c r="G3433" i="45"/>
  <c r="H3433" i="45"/>
  <c r="I3433" i="45"/>
  <c r="D3434" i="45"/>
  <c r="G3434" i="45"/>
  <c r="H3434" i="45"/>
  <c r="I3434" i="45"/>
  <c r="D3435" i="45"/>
  <c r="G3435" i="45"/>
  <c r="H3435" i="45"/>
  <c r="I3435" i="45"/>
  <c r="D3436" i="45"/>
  <c r="G3436" i="45"/>
  <c r="H3436" i="45"/>
  <c r="I3436" i="45"/>
  <c r="D3437" i="45"/>
  <c r="G3437" i="45"/>
  <c r="H3437" i="45"/>
  <c r="I3437" i="45"/>
  <c r="D3438" i="45"/>
  <c r="G3438" i="45"/>
  <c r="H3438" i="45"/>
  <c r="I3438" i="45"/>
  <c r="D3439" i="45"/>
  <c r="G3439" i="45"/>
  <c r="H3439" i="45"/>
  <c r="I3439" i="45"/>
  <c r="D3440" i="45"/>
  <c r="G3440" i="45"/>
  <c r="H3440" i="45"/>
  <c r="I3440" i="45"/>
  <c r="D3446" i="45"/>
  <c r="G3446" i="45"/>
  <c r="H3446" i="45"/>
  <c r="I3446" i="45"/>
  <c r="D3447" i="45"/>
  <c r="G3447" i="45"/>
  <c r="H3447" i="45"/>
  <c r="I3447" i="45"/>
  <c r="D3448" i="45"/>
  <c r="G3448" i="45"/>
  <c r="H3448" i="45"/>
  <c r="I3448" i="45"/>
  <c r="D3449" i="45"/>
  <c r="G3449" i="45"/>
  <c r="H3449" i="45"/>
  <c r="I3449" i="45"/>
  <c r="D3450" i="45"/>
  <c r="G3450" i="45"/>
  <c r="H3450" i="45"/>
  <c r="I3450" i="45"/>
  <c r="D3451" i="45"/>
  <c r="G3451" i="45"/>
  <c r="H3451" i="45"/>
  <c r="I3451" i="45"/>
  <c r="D3452" i="45"/>
  <c r="G3452" i="45"/>
  <c r="H3452" i="45"/>
  <c r="I3452" i="45"/>
  <c r="D3453" i="45"/>
  <c r="G3453" i="45"/>
  <c r="H3453" i="45"/>
  <c r="I3453" i="45"/>
  <c r="D3454" i="45"/>
  <c r="G3454" i="45"/>
  <c r="H3454" i="45"/>
  <c r="I3454" i="45"/>
  <c r="D3455" i="45"/>
  <c r="G3455" i="45"/>
  <c r="H3455" i="45"/>
  <c r="I3455" i="45"/>
  <c r="D3456" i="45"/>
  <c r="G3456" i="45"/>
  <c r="H3456" i="45"/>
  <c r="I3456" i="45"/>
  <c r="D3457" i="45"/>
  <c r="G3457" i="45"/>
  <c r="H3457" i="45"/>
  <c r="I3457" i="45"/>
  <c r="D3458" i="45"/>
  <c r="G3458" i="45"/>
  <c r="H3458" i="45"/>
  <c r="I3458" i="45"/>
  <c r="D3459" i="45"/>
  <c r="G3459" i="45"/>
  <c r="H3459" i="45"/>
  <c r="I3459" i="45"/>
  <c r="D3460" i="45"/>
  <c r="G3460" i="45"/>
  <c r="H3460" i="45"/>
  <c r="I3460" i="45"/>
  <c r="D3461" i="45"/>
  <c r="G3461" i="45"/>
  <c r="H3461" i="45"/>
  <c r="I3461" i="45"/>
  <c r="D3462" i="45"/>
  <c r="G3462" i="45"/>
  <c r="H3462" i="45"/>
  <c r="I3462" i="45"/>
  <c r="D3463" i="45"/>
  <c r="G3463" i="45"/>
  <c r="H3463" i="45"/>
  <c r="I3463" i="45"/>
  <c r="D3464" i="45"/>
  <c r="G3464" i="45"/>
  <c r="H3464" i="45"/>
  <c r="I3464" i="45"/>
  <c r="D3465" i="45"/>
  <c r="G3465" i="45"/>
  <c r="H3465" i="45"/>
  <c r="I3465" i="45"/>
  <c r="D3466" i="45"/>
  <c r="G3466" i="45"/>
  <c r="H3466" i="45"/>
  <c r="I3466" i="45"/>
  <c r="D3467" i="45"/>
  <c r="G3467" i="45"/>
  <c r="H3467" i="45"/>
  <c r="I3467" i="45"/>
  <c r="D3468" i="45"/>
  <c r="G3468" i="45"/>
  <c r="H3468" i="45"/>
  <c r="I3468" i="45"/>
  <c r="D3469" i="45"/>
  <c r="G3469" i="45"/>
  <c r="H3469" i="45"/>
  <c r="I3469" i="45"/>
  <c r="D3470" i="45"/>
  <c r="G3470" i="45"/>
  <c r="H3470" i="45"/>
  <c r="I3470" i="45"/>
  <c r="D3471" i="45"/>
  <c r="G3471" i="45"/>
  <c r="H3471" i="45"/>
  <c r="I3471" i="45"/>
  <c r="D3472" i="45"/>
  <c r="G3472" i="45"/>
  <c r="H3472" i="45"/>
  <c r="I3472" i="45"/>
  <c r="D3473" i="45"/>
  <c r="G3473" i="45"/>
  <c r="H3473" i="45"/>
  <c r="I3473" i="45"/>
  <c r="D3474" i="45"/>
  <c r="G3474" i="45"/>
  <c r="H3474" i="45"/>
  <c r="I3474" i="45"/>
  <c r="D3475" i="45"/>
  <c r="G3475" i="45"/>
  <c r="H3475" i="45"/>
  <c r="I3475" i="45"/>
  <c r="D3476" i="45"/>
  <c r="G3476" i="45"/>
  <c r="H3476" i="45"/>
  <c r="I3476" i="45"/>
  <c r="D3477" i="45"/>
  <c r="G3477" i="45"/>
  <c r="H3477" i="45"/>
  <c r="I3477" i="45"/>
  <c r="D3478" i="45"/>
  <c r="G3478" i="45"/>
  <c r="H3478" i="45"/>
  <c r="I3478" i="45"/>
  <c r="D3479" i="45"/>
  <c r="G3479" i="45"/>
  <c r="H3479" i="45"/>
  <c r="I3479" i="45"/>
  <c r="D3480" i="45"/>
  <c r="G3480" i="45"/>
  <c r="H3480" i="45"/>
  <c r="I3480" i="45"/>
  <c r="D3481" i="45"/>
  <c r="G3481" i="45"/>
  <c r="H3481" i="45"/>
  <c r="I3481" i="45"/>
  <c r="D3482" i="45"/>
  <c r="G3482" i="45"/>
  <c r="H3482" i="45"/>
  <c r="I3482" i="45"/>
  <c r="D3483" i="45"/>
  <c r="G3483" i="45"/>
  <c r="H3483" i="45"/>
  <c r="I3483" i="45"/>
  <c r="D3484" i="45"/>
  <c r="G3484" i="45"/>
  <c r="H3484" i="45"/>
  <c r="I3484" i="45"/>
  <c r="D3496" i="45"/>
  <c r="G3496" i="45"/>
  <c r="H3496" i="45"/>
  <c r="I3496" i="45"/>
  <c r="D3497" i="45"/>
  <c r="G3497" i="45"/>
  <c r="H3497" i="45"/>
  <c r="I3497" i="45"/>
  <c r="D3498" i="45"/>
  <c r="G3498" i="45"/>
  <c r="H3498" i="45"/>
  <c r="I3498" i="45"/>
  <c r="D3499" i="45"/>
  <c r="G3499" i="45"/>
  <c r="H3499" i="45"/>
  <c r="I3499" i="45"/>
  <c r="D3500" i="45"/>
  <c r="G3500" i="45"/>
  <c r="H3500" i="45"/>
  <c r="I3500" i="45"/>
  <c r="D3501" i="45"/>
  <c r="G3501" i="45"/>
  <c r="H3501" i="45"/>
  <c r="I3501" i="45"/>
  <c r="D3504" i="45"/>
  <c r="G3504" i="45"/>
  <c r="H3504" i="45"/>
  <c r="I3504" i="45"/>
  <c r="D3506" i="45"/>
  <c r="G3506" i="45"/>
  <c r="H3506" i="45"/>
  <c r="I3506" i="45"/>
  <c r="D3507" i="45"/>
  <c r="G3507" i="45"/>
  <c r="H3507" i="45"/>
  <c r="I3507" i="45"/>
  <c r="D3508" i="45"/>
  <c r="G3508" i="45"/>
  <c r="H3508" i="45"/>
  <c r="I3508" i="45"/>
  <c r="D3509" i="45"/>
  <c r="G3509" i="45"/>
  <c r="H3509" i="45"/>
  <c r="I3509" i="45"/>
  <c r="D3510" i="45"/>
  <c r="G3510" i="45"/>
  <c r="H3510" i="45"/>
  <c r="I3510" i="45"/>
  <c r="D3511" i="45"/>
  <c r="G3511" i="45"/>
  <c r="H3511" i="45"/>
  <c r="I3511" i="45"/>
  <c r="D3512" i="45"/>
  <c r="G3512" i="45"/>
  <c r="H3512" i="45"/>
  <c r="I3512" i="45"/>
  <c r="D3513" i="45"/>
  <c r="G3513" i="45"/>
  <c r="H3513" i="45"/>
  <c r="I3513" i="45"/>
  <c r="D3514" i="45"/>
  <c r="G3514" i="45"/>
  <c r="H3514" i="45"/>
  <c r="I3514" i="45"/>
  <c r="D3515" i="45"/>
  <c r="G3515" i="45"/>
  <c r="H3515" i="45"/>
  <c r="I3515" i="45"/>
  <c r="D3516" i="45"/>
  <c r="G3516" i="45"/>
  <c r="H3516" i="45"/>
  <c r="I3516" i="45"/>
  <c r="D3517" i="45"/>
  <c r="G3517" i="45"/>
  <c r="H3517" i="45"/>
  <c r="I3517" i="45"/>
  <c r="D3518" i="45"/>
  <c r="G3518" i="45"/>
  <c r="H3518" i="45"/>
  <c r="I3518" i="45"/>
  <c r="D3519" i="45"/>
  <c r="G3519" i="45"/>
  <c r="H3519" i="45"/>
  <c r="I3519" i="45"/>
  <c r="D3520" i="45"/>
  <c r="G3520" i="45"/>
  <c r="H3520" i="45"/>
  <c r="I3520" i="45"/>
  <c r="D3521" i="45"/>
  <c r="G3521" i="45"/>
  <c r="H3521" i="45"/>
  <c r="I3521" i="45"/>
  <c r="D3522" i="45"/>
  <c r="G3522" i="45"/>
  <c r="H3522" i="45"/>
  <c r="I3522" i="45"/>
  <c r="D3523" i="45"/>
  <c r="G3523" i="45"/>
  <c r="H3523" i="45"/>
  <c r="I3523" i="45"/>
  <c r="D3524" i="45"/>
  <c r="G3524" i="45"/>
  <c r="H3524" i="45"/>
  <c r="I3524" i="45"/>
  <c r="D3525" i="45"/>
  <c r="G3525" i="45"/>
  <c r="H3525" i="45"/>
  <c r="I3525" i="45"/>
  <c r="D3526" i="45"/>
  <c r="G3526" i="45"/>
  <c r="H3526" i="45"/>
  <c r="I3526" i="45"/>
  <c r="D3527" i="45"/>
  <c r="G3527" i="45"/>
  <c r="H3527" i="45"/>
  <c r="I3527" i="45"/>
  <c r="D3528" i="45"/>
  <c r="G3528" i="45"/>
  <c r="H3528" i="45"/>
  <c r="I3528" i="45"/>
  <c r="D3529" i="45"/>
  <c r="G3529" i="45"/>
  <c r="H3529" i="45"/>
  <c r="I3529" i="45"/>
  <c r="D3530" i="45"/>
  <c r="G3530" i="45"/>
  <c r="H3530" i="45"/>
  <c r="I3530" i="45"/>
  <c r="D3531" i="45"/>
  <c r="G3531" i="45"/>
  <c r="H3531" i="45"/>
  <c r="I3531" i="45"/>
  <c r="D3532" i="45"/>
  <c r="G3532" i="45"/>
  <c r="H3532" i="45"/>
  <c r="I3532" i="45"/>
  <c r="D3533" i="45"/>
  <c r="G3533" i="45"/>
  <c r="H3533" i="45"/>
  <c r="I3533" i="45"/>
  <c r="D3534" i="45"/>
  <c r="G3534" i="45"/>
  <c r="H3534" i="45"/>
  <c r="I3534" i="45"/>
  <c r="D3535" i="45"/>
  <c r="G3535" i="45"/>
  <c r="H3535" i="45"/>
  <c r="I3535" i="45"/>
  <c r="D3537" i="45"/>
  <c r="G3537" i="45"/>
  <c r="H3537" i="45"/>
  <c r="I3537" i="45"/>
  <c r="D3538" i="45"/>
  <c r="G3538" i="45"/>
  <c r="H3538" i="45"/>
  <c r="I3538" i="45"/>
  <c r="D3539" i="45"/>
  <c r="G3539" i="45"/>
  <c r="H3539" i="45"/>
  <c r="I3539" i="45"/>
  <c r="D3540" i="45"/>
  <c r="G3540" i="45"/>
  <c r="H3540" i="45"/>
  <c r="I3540" i="45"/>
  <c r="D3541" i="45"/>
  <c r="G3541" i="45"/>
  <c r="H3541" i="45"/>
  <c r="I3541" i="45"/>
  <c r="D3542" i="45"/>
  <c r="G3542" i="45"/>
  <c r="H3542" i="45"/>
  <c r="I3542" i="45"/>
  <c r="D3543" i="45"/>
  <c r="G3543" i="45"/>
  <c r="H3543" i="45"/>
  <c r="I3543" i="45"/>
  <c r="D3544" i="45"/>
  <c r="G3544" i="45"/>
  <c r="H3544" i="45"/>
  <c r="I3544" i="45"/>
  <c r="D3545" i="45"/>
  <c r="G3545" i="45"/>
  <c r="H3545" i="45"/>
  <c r="I3545" i="45"/>
  <c r="D3546" i="45"/>
  <c r="G3546" i="45"/>
  <c r="H3546" i="45"/>
  <c r="I3546" i="45"/>
  <c r="D3547" i="45"/>
  <c r="G3547" i="45"/>
  <c r="H3547" i="45"/>
  <c r="I3547" i="45"/>
  <c r="D3548" i="45"/>
  <c r="G3548" i="45"/>
  <c r="H3548" i="45"/>
  <c r="I3548" i="45"/>
  <c r="D3549" i="45"/>
  <c r="G3549" i="45"/>
  <c r="H3549" i="45"/>
  <c r="I3549" i="45"/>
  <c r="D3550" i="45"/>
  <c r="G3550" i="45"/>
  <c r="H3550" i="45"/>
  <c r="I3550" i="45"/>
  <c r="D3551" i="45"/>
  <c r="G3551" i="45"/>
  <c r="H3551" i="45"/>
  <c r="I3551" i="45"/>
  <c r="D3552" i="45"/>
  <c r="G3552" i="45"/>
  <c r="H3552" i="45"/>
  <c r="I3552" i="45"/>
  <c r="D3553" i="45"/>
  <c r="G3553" i="45"/>
  <c r="H3553" i="45"/>
  <c r="I3553" i="45"/>
  <c r="D3554" i="45"/>
  <c r="G3554" i="45"/>
  <c r="H3554" i="45"/>
  <c r="I3554" i="45"/>
  <c r="I3128" i="45" l="1"/>
  <c r="H3128" i="45"/>
  <c r="G3128" i="45"/>
  <c r="D3128" i="45"/>
  <c r="I2968" i="45"/>
  <c r="H2968" i="45"/>
  <c r="G2968" i="45"/>
  <c r="D2968" i="45"/>
  <c r="I2804" i="45"/>
  <c r="H2804" i="45"/>
  <c r="G2804" i="45"/>
  <c r="D2804" i="45"/>
  <c r="I2627" i="45"/>
  <c r="H2627" i="45"/>
  <c r="G2627" i="45"/>
  <c r="D2627" i="45"/>
  <c r="I2471" i="45"/>
  <c r="H2471" i="45"/>
  <c r="G2471" i="45"/>
  <c r="D2471" i="45"/>
  <c r="I2319" i="45"/>
  <c r="H2319" i="45"/>
  <c r="G2319" i="45"/>
  <c r="D2319" i="45"/>
  <c r="I2165" i="45"/>
  <c r="H2165" i="45"/>
  <c r="G2165" i="45"/>
  <c r="D2165" i="45"/>
  <c r="I2004" i="45"/>
  <c r="H2004" i="45"/>
  <c r="G2004" i="45"/>
  <c r="D2004" i="45"/>
  <c r="I1870" i="45"/>
  <c r="H1870" i="45"/>
  <c r="G1870" i="45"/>
  <c r="D1870" i="45"/>
  <c r="I1722" i="45"/>
  <c r="H1722" i="45"/>
  <c r="G1722" i="45"/>
  <c r="D1722" i="45"/>
  <c r="I1584" i="45"/>
  <c r="H1584" i="45"/>
  <c r="G1584" i="45"/>
  <c r="D1584" i="45"/>
  <c r="I1442" i="45"/>
  <c r="H1442" i="45"/>
  <c r="G1442" i="45"/>
  <c r="D1442" i="45"/>
  <c r="I1287" i="45"/>
  <c r="H1287" i="45"/>
  <c r="G1287" i="45"/>
  <c r="D1287" i="45"/>
  <c r="I1139" i="45"/>
  <c r="H1139" i="45"/>
  <c r="G1139" i="45"/>
  <c r="D1139" i="45"/>
  <c r="I997" i="45"/>
  <c r="H997" i="45"/>
  <c r="G997" i="45"/>
  <c r="D997" i="45"/>
  <c r="I857" i="45"/>
  <c r="H857" i="45"/>
  <c r="G857" i="45"/>
  <c r="D857" i="45"/>
  <c r="I719" i="45"/>
  <c r="H719" i="45"/>
  <c r="G719" i="45"/>
  <c r="D719" i="45"/>
  <c r="I582" i="45"/>
  <c r="H582" i="45"/>
  <c r="G582" i="45"/>
  <c r="D582" i="45"/>
  <c r="I443" i="45"/>
  <c r="H443" i="45"/>
  <c r="G443" i="45"/>
  <c r="D443" i="45"/>
  <c r="I307" i="45"/>
  <c r="H307" i="45"/>
  <c r="G307" i="45"/>
  <c r="D307" i="45"/>
  <c r="I170" i="45"/>
  <c r="H170" i="45"/>
  <c r="G170" i="45"/>
  <c r="D170" i="45"/>
  <c r="D25" i="45"/>
  <c r="G25" i="45"/>
  <c r="H25" i="45"/>
  <c r="I25" i="45"/>
  <c r="I3154" i="45"/>
  <c r="H3154" i="45"/>
  <c r="G3154" i="45"/>
  <c r="D3154" i="45"/>
  <c r="I3153" i="45"/>
  <c r="H3153" i="45"/>
  <c r="G3153" i="45"/>
  <c r="D3153" i="45"/>
  <c r="I3152" i="45"/>
  <c r="H3152" i="45"/>
  <c r="G3152" i="45"/>
  <c r="D3152" i="45"/>
  <c r="I3151" i="45"/>
  <c r="H3151" i="45"/>
  <c r="G3151" i="45"/>
  <c r="D3151" i="45"/>
  <c r="I3150" i="45"/>
  <c r="H3150" i="45"/>
  <c r="G3150" i="45"/>
  <c r="D3150" i="45"/>
  <c r="I3149" i="45"/>
  <c r="H3149" i="45"/>
  <c r="G3149" i="45"/>
  <c r="D3149" i="45"/>
  <c r="I3148" i="45"/>
  <c r="H3148" i="45"/>
  <c r="G3148" i="45"/>
  <c r="D3148" i="45"/>
  <c r="I2994" i="45"/>
  <c r="H2994" i="45"/>
  <c r="G2994" i="45"/>
  <c r="D2994" i="45"/>
  <c r="I2993" i="45"/>
  <c r="H2993" i="45"/>
  <c r="G2993" i="45"/>
  <c r="D2993" i="45"/>
  <c r="I2992" i="45"/>
  <c r="H2992" i="45"/>
  <c r="G2992" i="45"/>
  <c r="D2992" i="45"/>
  <c r="I2991" i="45"/>
  <c r="H2991" i="45"/>
  <c r="G2991" i="45"/>
  <c r="D2991" i="45"/>
  <c r="I2990" i="45"/>
  <c r="H2990" i="45"/>
  <c r="G2990" i="45"/>
  <c r="D2990" i="45"/>
  <c r="I2989" i="45"/>
  <c r="H2989" i="45"/>
  <c r="G2989" i="45"/>
  <c r="D2989" i="45"/>
  <c r="I2988" i="45"/>
  <c r="H2988" i="45"/>
  <c r="G2988" i="45"/>
  <c r="D2988" i="45"/>
  <c r="D2832" i="45"/>
  <c r="G2832" i="45"/>
  <c r="H2832" i="45"/>
  <c r="I2832" i="45"/>
  <c r="I2831" i="45"/>
  <c r="H2831" i="45"/>
  <c r="G2831" i="45"/>
  <c r="D2831" i="45"/>
  <c r="I2830" i="45"/>
  <c r="H2830" i="45"/>
  <c r="G2830" i="45"/>
  <c r="D2830" i="45"/>
  <c r="I2829" i="45"/>
  <c r="H2829" i="45"/>
  <c r="G2829" i="45"/>
  <c r="D2829" i="45"/>
  <c r="I2828" i="45"/>
  <c r="H2828" i="45"/>
  <c r="G2828" i="45"/>
  <c r="D2828" i="45"/>
  <c r="I2827" i="45"/>
  <c r="H2827" i="45"/>
  <c r="G2827" i="45"/>
  <c r="D2827" i="45"/>
  <c r="I2826" i="45"/>
  <c r="H2826" i="45"/>
  <c r="G2826" i="45"/>
  <c r="D2826" i="45"/>
  <c r="I2660" i="45"/>
  <c r="H2660" i="45"/>
  <c r="G2660" i="45"/>
  <c r="D2660" i="45"/>
  <c r="I2659" i="45"/>
  <c r="H2659" i="45"/>
  <c r="G2659" i="45"/>
  <c r="D2659" i="45"/>
  <c r="I2658" i="45"/>
  <c r="H2658" i="45"/>
  <c r="G2658" i="45"/>
  <c r="D2658" i="45"/>
  <c r="I2657" i="45"/>
  <c r="H2657" i="45"/>
  <c r="G2657" i="45"/>
  <c r="D2657" i="45"/>
  <c r="I2656" i="45"/>
  <c r="H2656" i="45"/>
  <c r="G2656" i="45"/>
  <c r="D2656" i="45"/>
  <c r="I2655" i="45"/>
  <c r="H2655" i="45"/>
  <c r="G2655" i="45"/>
  <c r="D2655" i="45"/>
  <c r="D2499" i="45" l="1"/>
  <c r="G2499" i="45"/>
  <c r="H2499" i="45"/>
  <c r="I2499" i="45"/>
  <c r="D2500" i="45"/>
  <c r="G2500" i="45"/>
  <c r="H2500" i="45"/>
  <c r="I2500" i="45"/>
  <c r="D2501" i="45"/>
  <c r="G2501" i="45"/>
  <c r="H2501" i="45"/>
  <c r="I2501" i="45"/>
  <c r="D2502" i="45"/>
  <c r="G2502" i="45"/>
  <c r="H2502" i="45"/>
  <c r="I2502" i="45"/>
  <c r="D2503" i="45"/>
  <c r="G2503" i="45"/>
  <c r="H2503" i="45"/>
  <c r="I2503" i="45"/>
  <c r="D2504" i="45"/>
  <c r="G2504" i="45"/>
  <c r="H2504" i="45"/>
  <c r="I2504" i="45"/>
  <c r="D3168" i="45" l="1"/>
  <c r="G3168" i="45"/>
  <c r="H3168" i="45"/>
  <c r="I3168" i="45"/>
  <c r="D3162" i="45" l="1"/>
  <c r="G3162" i="45"/>
  <c r="H3162" i="45"/>
  <c r="I3162" i="45"/>
  <c r="I3252" i="45"/>
  <c r="H3252" i="45"/>
  <c r="G3252" i="45"/>
  <c r="D3252" i="45"/>
  <c r="I3251" i="45"/>
  <c r="H3251" i="45"/>
  <c r="G3251" i="45"/>
  <c r="D3251" i="45"/>
  <c r="I3250" i="45"/>
  <c r="H3250" i="45"/>
  <c r="G3250" i="45"/>
  <c r="D3250" i="45"/>
  <c r="I3249" i="45"/>
  <c r="H3249" i="45"/>
  <c r="G3249" i="45"/>
  <c r="D3249" i="45"/>
  <c r="I3248" i="45"/>
  <c r="H3248" i="45"/>
  <c r="G3248" i="45"/>
  <c r="D3248" i="45"/>
  <c r="I3247" i="45"/>
  <c r="H3247" i="45"/>
  <c r="G3247" i="45"/>
  <c r="D3247" i="45"/>
  <c r="I3246" i="45"/>
  <c r="H3246" i="45"/>
  <c r="G3246" i="45"/>
  <c r="D3246" i="45"/>
  <c r="I3245" i="45"/>
  <c r="H3245" i="45"/>
  <c r="G3245" i="45"/>
  <c r="D3245" i="45"/>
  <c r="I3244" i="45"/>
  <c r="H3244" i="45"/>
  <c r="G3244" i="45"/>
  <c r="D3244" i="45"/>
  <c r="I3243" i="45"/>
  <c r="H3243" i="45"/>
  <c r="G3243" i="45"/>
  <c r="D3243" i="45"/>
  <c r="I3242" i="45"/>
  <c r="H3242" i="45"/>
  <c r="G3242" i="45"/>
  <c r="D3242" i="45"/>
  <c r="I3241" i="45"/>
  <c r="H3241" i="45"/>
  <c r="G3241" i="45"/>
  <c r="D3241" i="45"/>
  <c r="I3240" i="45"/>
  <c r="H3240" i="45"/>
  <c r="G3240" i="45"/>
  <c r="D3240" i="45"/>
  <c r="I3239" i="45"/>
  <c r="H3239" i="45"/>
  <c r="G3239" i="45"/>
  <c r="D3239" i="45"/>
  <c r="I3238" i="45"/>
  <c r="H3238" i="45"/>
  <c r="G3238" i="45"/>
  <c r="D3238" i="45"/>
  <c r="I3237" i="45"/>
  <c r="H3237" i="45"/>
  <c r="G3237" i="45"/>
  <c r="D3237" i="45"/>
  <c r="I3232" i="45"/>
  <c r="H3232" i="45"/>
  <c r="G3232" i="45"/>
  <c r="D3232" i="45"/>
  <c r="I3231" i="45"/>
  <c r="H3231" i="45"/>
  <c r="G3231" i="45"/>
  <c r="D3231" i="45"/>
  <c r="I3230" i="45"/>
  <c r="H3230" i="45"/>
  <c r="G3230" i="45"/>
  <c r="D3230" i="45"/>
  <c r="I3229" i="45"/>
  <c r="H3229" i="45"/>
  <c r="G3229" i="45"/>
  <c r="D3229" i="45"/>
  <c r="I3228" i="45"/>
  <c r="H3228" i="45"/>
  <c r="G3228" i="45"/>
  <c r="D3228" i="45"/>
  <c r="I3227" i="45"/>
  <c r="H3227" i="45"/>
  <c r="G3227" i="45"/>
  <c r="D3227" i="45"/>
  <c r="I3226" i="45"/>
  <c r="H3226" i="45"/>
  <c r="G3226" i="45"/>
  <c r="D3226" i="45"/>
  <c r="I3225" i="45"/>
  <c r="H3225" i="45"/>
  <c r="G3225" i="45"/>
  <c r="D3225" i="45"/>
  <c r="I3224" i="45"/>
  <c r="H3224" i="45"/>
  <c r="G3224" i="45"/>
  <c r="D3224" i="45"/>
  <c r="I3223" i="45"/>
  <c r="H3223" i="45"/>
  <c r="G3223" i="45"/>
  <c r="D3223" i="45"/>
  <c r="I3222" i="45"/>
  <c r="H3222" i="45"/>
  <c r="G3222" i="45"/>
  <c r="D3222" i="45"/>
  <c r="I3221" i="45"/>
  <c r="H3221" i="45"/>
  <c r="G3221" i="45"/>
  <c r="D3221" i="45"/>
  <c r="I3220" i="45"/>
  <c r="H3220" i="45"/>
  <c r="G3220" i="45"/>
  <c r="D3220" i="45"/>
  <c r="I3219" i="45"/>
  <c r="H3219" i="45"/>
  <c r="G3219" i="45"/>
  <c r="D3219" i="45"/>
  <c r="I3218" i="45"/>
  <c r="H3218" i="45"/>
  <c r="G3218" i="45"/>
  <c r="D3218" i="45"/>
  <c r="I3217" i="45"/>
  <c r="H3217" i="45"/>
  <c r="G3217" i="45"/>
  <c r="D3217" i="45"/>
  <c r="I3216" i="45"/>
  <c r="H3216" i="45"/>
  <c r="G3216" i="45"/>
  <c r="D3216" i="45"/>
  <c r="I3215" i="45"/>
  <c r="H3215" i="45"/>
  <c r="G3215" i="45"/>
  <c r="D3215" i="45"/>
  <c r="I3214" i="45"/>
  <c r="H3214" i="45"/>
  <c r="G3214" i="45"/>
  <c r="D3214" i="45"/>
  <c r="I3213" i="45"/>
  <c r="H3213" i="45"/>
  <c r="G3213" i="45"/>
  <c r="D3213" i="45"/>
  <c r="I3212" i="45"/>
  <c r="H3212" i="45"/>
  <c r="G3212" i="45"/>
  <c r="D3212" i="45"/>
  <c r="I3211" i="45"/>
  <c r="H3211" i="45"/>
  <c r="G3211" i="45"/>
  <c r="D3211" i="45"/>
  <c r="I3210" i="45"/>
  <c r="H3210" i="45"/>
  <c r="G3210" i="45"/>
  <c r="D3210" i="45"/>
  <c r="I3209" i="45"/>
  <c r="H3209" i="45"/>
  <c r="G3209" i="45"/>
  <c r="D3209" i="45"/>
  <c r="I3208" i="45"/>
  <c r="H3208" i="45"/>
  <c r="G3208" i="45"/>
  <c r="D3208" i="45"/>
  <c r="I3207" i="45"/>
  <c r="H3207" i="45"/>
  <c r="G3207" i="45"/>
  <c r="D3207" i="45"/>
  <c r="I3206" i="45"/>
  <c r="H3206" i="45"/>
  <c r="G3206" i="45"/>
  <c r="D3206" i="45"/>
  <c r="I3205" i="45"/>
  <c r="H3205" i="45"/>
  <c r="G3205" i="45"/>
  <c r="D3205" i="45"/>
  <c r="I3204" i="45"/>
  <c r="H3204" i="45"/>
  <c r="G3204" i="45"/>
  <c r="D3204" i="45"/>
  <c r="I3203" i="45"/>
  <c r="H3203" i="45"/>
  <c r="G3203" i="45"/>
  <c r="D3203" i="45"/>
  <c r="I3202" i="45"/>
  <c r="H3202" i="45"/>
  <c r="G3202" i="45"/>
  <c r="D3202" i="45"/>
  <c r="I3201" i="45"/>
  <c r="H3201" i="45"/>
  <c r="G3201" i="45"/>
  <c r="D3201" i="45"/>
  <c r="I3200" i="45"/>
  <c r="H3200" i="45"/>
  <c r="G3200" i="45"/>
  <c r="D3200" i="45"/>
  <c r="I3199" i="45"/>
  <c r="H3199" i="45"/>
  <c r="G3199" i="45"/>
  <c r="D3199" i="45"/>
  <c r="I3198" i="45"/>
  <c r="H3198" i="45"/>
  <c r="G3198" i="45"/>
  <c r="D3198" i="45"/>
  <c r="I3197" i="45"/>
  <c r="H3197" i="45"/>
  <c r="G3197" i="45"/>
  <c r="D3197" i="45"/>
  <c r="I3196" i="45"/>
  <c r="H3196" i="45"/>
  <c r="G3196" i="45"/>
  <c r="D3196" i="45"/>
  <c r="I3195" i="45"/>
  <c r="H3195" i="45"/>
  <c r="G3195" i="45"/>
  <c r="D3195" i="45"/>
  <c r="I3194" i="45"/>
  <c r="H3194" i="45"/>
  <c r="G3194" i="45"/>
  <c r="D3194" i="45"/>
  <c r="I3192" i="45"/>
  <c r="H3192" i="45"/>
  <c r="G3192" i="45"/>
  <c r="D3192" i="45"/>
  <c r="I3191" i="45"/>
  <c r="H3191" i="45"/>
  <c r="G3191" i="45"/>
  <c r="D3191" i="45"/>
  <c r="I3190" i="45"/>
  <c r="H3190" i="45"/>
  <c r="G3190" i="45"/>
  <c r="D3190" i="45"/>
  <c r="I3189" i="45"/>
  <c r="H3189" i="45"/>
  <c r="G3189" i="45"/>
  <c r="D3189" i="45"/>
  <c r="I3188" i="45"/>
  <c r="H3188" i="45"/>
  <c r="G3188" i="45"/>
  <c r="D3188" i="45"/>
  <c r="I3186" i="45"/>
  <c r="H3186" i="45"/>
  <c r="G3186" i="45"/>
  <c r="D3186" i="45"/>
  <c r="I3185" i="45"/>
  <c r="H3185" i="45"/>
  <c r="G3185" i="45"/>
  <c r="D3185" i="45"/>
  <c r="I3184" i="45"/>
  <c r="H3184" i="45"/>
  <c r="G3184" i="45"/>
  <c r="D3184" i="45"/>
  <c r="I3183" i="45"/>
  <c r="H3183" i="45"/>
  <c r="G3183" i="45"/>
  <c r="D3183" i="45"/>
  <c r="I3182" i="45"/>
  <c r="H3182" i="45"/>
  <c r="G3182" i="45"/>
  <c r="D3182" i="45"/>
  <c r="I3181" i="45"/>
  <c r="H3181" i="45"/>
  <c r="G3181" i="45"/>
  <c r="D3181" i="45"/>
  <c r="I3180" i="45"/>
  <c r="H3180" i="45"/>
  <c r="G3180" i="45"/>
  <c r="D3180" i="45"/>
  <c r="I3179" i="45"/>
  <c r="H3179" i="45"/>
  <c r="G3179" i="45"/>
  <c r="D3179" i="45"/>
  <c r="I3178" i="45"/>
  <c r="H3178" i="45"/>
  <c r="G3178" i="45"/>
  <c r="D3178" i="45"/>
  <c r="I3177" i="45"/>
  <c r="H3177" i="45"/>
  <c r="G3177" i="45"/>
  <c r="D3177" i="45"/>
  <c r="I3176" i="45"/>
  <c r="H3176" i="45"/>
  <c r="G3176" i="45"/>
  <c r="D3176" i="45"/>
  <c r="I3175" i="45"/>
  <c r="H3175" i="45"/>
  <c r="G3175" i="45"/>
  <c r="D3175" i="45"/>
  <c r="I3174" i="45"/>
  <c r="H3174" i="45"/>
  <c r="G3174" i="45"/>
  <c r="D3174" i="45"/>
  <c r="I3173" i="45"/>
  <c r="H3173" i="45"/>
  <c r="G3173" i="45"/>
  <c r="D3173" i="45"/>
  <c r="I3172" i="45"/>
  <c r="H3172" i="45"/>
  <c r="G3172" i="45"/>
  <c r="D3172" i="45"/>
  <c r="I3171" i="45"/>
  <c r="H3171" i="45"/>
  <c r="G3171" i="45"/>
  <c r="D3171" i="45"/>
  <c r="I3170" i="45"/>
  <c r="H3170" i="45"/>
  <c r="G3170" i="45"/>
  <c r="D3170" i="45"/>
  <c r="I3169" i="45"/>
  <c r="H3169" i="45"/>
  <c r="G3169" i="45"/>
  <c r="D3169" i="45"/>
  <c r="I3167" i="45"/>
  <c r="H3167" i="45"/>
  <c r="G3167" i="45"/>
  <c r="D3167" i="45"/>
  <c r="I3166" i="45"/>
  <c r="H3166" i="45"/>
  <c r="G3166" i="45"/>
  <c r="D3166" i="45"/>
  <c r="I3165" i="45"/>
  <c r="H3165" i="45"/>
  <c r="G3165" i="45"/>
  <c r="D3165" i="45"/>
  <c r="I3164" i="45"/>
  <c r="H3164" i="45"/>
  <c r="G3164" i="45"/>
  <c r="D3164" i="45"/>
  <c r="I3163" i="45"/>
  <c r="H3163" i="45"/>
  <c r="G3163" i="45"/>
  <c r="D3163" i="45"/>
  <c r="I3161" i="45"/>
  <c r="H3161" i="45"/>
  <c r="G3161" i="45"/>
  <c r="D3161" i="45"/>
  <c r="I3160" i="45"/>
  <c r="H3160" i="45"/>
  <c r="G3160" i="45"/>
  <c r="D3160" i="45"/>
  <c r="I3159" i="45"/>
  <c r="H3159" i="45"/>
  <c r="G3159" i="45"/>
  <c r="D3159" i="45"/>
  <c r="I3158" i="45"/>
  <c r="H3158" i="45"/>
  <c r="G3158" i="45"/>
  <c r="D3158" i="45"/>
  <c r="I3157" i="45"/>
  <c r="H3157" i="45"/>
  <c r="G3157" i="45"/>
  <c r="D3157" i="45"/>
  <c r="I3156" i="45"/>
  <c r="H3156" i="45"/>
  <c r="G3156" i="45"/>
  <c r="D3156" i="45"/>
  <c r="I3155" i="45"/>
  <c r="H3155" i="45"/>
  <c r="G3155" i="45"/>
  <c r="D3155" i="45"/>
  <c r="I3147" i="45"/>
  <c r="H3147" i="45"/>
  <c r="G3147" i="45"/>
  <c r="D3147" i="45"/>
  <c r="I3146" i="45"/>
  <c r="H3146" i="45"/>
  <c r="G3146" i="45"/>
  <c r="D3146" i="45"/>
  <c r="I3145" i="45"/>
  <c r="H3145" i="45"/>
  <c r="G3145" i="45"/>
  <c r="D3145" i="45"/>
  <c r="I3144" i="45"/>
  <c r="H3144" i="45"/>
  <c r="G3144" i="45"/>
  <c r="D3144" i="45"/>
  <c r="I3143" i="45"/>
  <c r="H3143" i="45"/>
  <c r="G3143" i="45"/>
  <c r="D3143" i="45"/>
  <c r="I3142" i="45"/>
  <c r="H3142" i="45"/>
  <c r="G3142" i="45"/>
  <c r="D3142" i="45"/>
  <c r="I3141" i="45"/>
  <c r="H3141" i="45"/>
  <c r="G3141" i="45"/>
  <c r="D3141" i="45"/>
  <c r="I3140" i="45"/>
  <c r="H3140" i="45"/>
  <c r="G3140" i="45"/>
  <c r="D3140" i="45"/>
  <c r="I3139" i="45"/>
  <c r="H3139" i="45"/>
  <c r="G3139" i="45"/>
  <c r="D3139" i="45"/>
  <c r="I3138" i="45"/>
  <c r="H3138" i="45"/>
  <c r="G3138" i="45"/>
  <c r="D3138" i="45"/>
  <c r="I3137" i="45"/>
  <c r="H3137" i="45"/>
  <c r="G3137" i="45"/>
  <c r="D3137" i="45"/>
  <c r="I3136" i="45"/>
  <c r="H3136" i="45"/>
  <c r="G3136" i="45"/>
  <c r="D3136" i="45"/>
  <c r="I3135" i="45"/>
  <c r="H3135" i="45"/>
  <c r="G3135" i="45"/>
  <c r="D3135" i="45"/>
  <c r="I3134" i="45"/>
  <c r="H3134" i="45"/>
  <c r="G3134" i="45"/>
  <c r="D3134" i="45"/>
  <c r="I3133" i="45"/>
  <c r="H3133" i="45"/>
  <c r="G3133" i="45"/>
  <c r="D3133" i="45"/>
  <c r="I3132" i="45"/>
  <c r="H3132" i="45"/>
  <c r="G3132" i="45"/>
  <c r="D3132" i="45"/>
  <c r="I3131" i="45"/>
  <c r="H3131" i="45"/>
  <c r="G3131" i="45"/>
  <c r="D3131" i="45"/>
  <c r="I3130" i="45"/>
  <c r="H3130" i="45"/>
  <c r="G3130" i="45"/>
  <c r="D3130" i="45"/>
  <c r="I3129" i="45"/>
  <c r="H3129" i="45"/>
  <c r="G3129" i="45"/>
  <c r="D3129" i="45"/>
  <c r="I3127" i="45"/>
  <c r="H3127" i="45"/>
  <c r="G3127" i="45"/>
  <c r="D3127" i="45"/>
  <c r="I3126" i="45"/>
  <c r="H3126" i="45"/>
  <c r="G3126" i="45"/>
  <c r="D3126" i="45"/>
  <c r="I3125" i="45"/>
  <c r="H3125" i="45"/>
  <c r="G3125" i="45"/>
  <c r="D3125" i="45"/>
  <c r="I3124" i="45"/>
  <c r="H3124" i="45"/>
  <c r="G3124" i="45"/>
  <c r="D3124" i="45"/>
  <c r="I3123" i="45"/>
  <c r="H3123" i="45"/>
  <c r="G3123" i="45"/>
  <c r="D3123" i="45"/>
  <c r="I3122" i="45"/>
  <c r="H3122" i="45"/>
  <c r="G3122" i="45"/>
  <c r="D3122" i="45"/>
  <c r="I3121" i="45"/>
  <c r="H3121" i="45"/>
  <c r="G3121" i="45"/>
  <c r="D3121" i="45"/>
  <c r="I3120" i="45"/>
  <c r="H3120" i="45"/>
  <c r="G3120" i="45"/>
  <c r="D3120" i="45"/>
  <c r="I3119" i="45"/>
  <c r="H3119" i="45"/>
  <c r="G3119" i="45"/>
  <c r="D3119" i="45"/>
  <c r="I3118" i="45"/>
  <c r="H3118" i="45"/>
  <c r="G3118" i="45"/>
  <c r="D3118" i="45"/>
  <c r="I3117" i="45"/>
  <c r="H3117" i="45"/>
  <c r="G3117" i="45"/>
  <c r="D3117" i="45"/>
  <c r="I3116" i="45"/>
  <c r="H3116" i="45"/>
  <c r="G3116" i="45"/>
  <c r="D3116" i="45"/>
  <c r="I3115" i="45"/>
  <c r="H3115" i="45"/>
  <c r="G3115" i="45"/>
  <c r="D3115" i="45"/>
  <c r="I3114" i="45"/>
  <c r="H3114" i="45"/>
  <c r="G3114" i="45"/>
  <c r="D3114" i="45"/>
  <c r="I3113" i="45"/>
  <c r="H3113" i="45"/>
  <c r="G3113" i="45"/>
  <c r="D3113" i="45"/>
  <c r="I3112" i="45"/>
  <c r="H3112" i="45"/>
  <c r="G3112" i="45"/>
  <c r="D3112" i="45"/>
  <c r="I3111" i="45"/>
  <c r="H3111" i="45"/>
  <c r="G3111" i="45"/>
  <c r="D3111" i="45"/>
  <c r="I3110" i="45"/>
  <c r="H3110" i="45"/>
  <c r="G3110" i="45"/>
  <c r="D3110" i="45"/>
  <c r="I3109" i="45"/>
  <c r="H3109" i="45"/>
  <c r="G3109" i="45"/>
  <c r="D3109" i="45"/>
  <c r="I3108" i="45"/>
  <c r="H3108" i="45"/>
  <c r="G3108" i="45"/>
  <c r="D3108" i="45"/>
  <c r="D2947" i="45"/>
  <c r="G2947" i="45"/>
  <c r="H2947" i="45"/>
  <c r="I2947" i="45"/>
  <c r="I3107" i="45"/>
  <c r="H3107" i="45"/>
  <c r="G3107" i="45"/>
  <c r="D3107" i="45"/>
  <c r="I3106" i="45"/>
  <c r="H3106" i="45"/>
  <c r="G3106" i="45"/>
  <c r="D3106" i="45"/>
  <c r="I3105" i="45"/>
  <c r="H3105" i="45"/>
  <c r="G3105" i="45"/>
  <c r="D3105" i="45"/>
  <c r="I3104" i="45"/>
  <c r="H3104" i="45"/>
  <c r="G3104" i="45"/>
  <c r="D3104" i="45"/>
  <c r="I3103" i="45"/>
  <c r="H3103" i="45"/>
  <c r="G3103" i="45"/>
  <c r="D3103" i="45"/>
  <c r="I3102" i="45"/>
  <c r="H3102" i="45"/>
  <c r="G3102" i="45"/>
  <c r="D3102" i="45"/>
  <c r="I3101" i="45"/>
  <c r="H3101" i="45"/>
  <c r="G3101" i="45"/>
  <c r="D3101" i="45"/>
  <c r="I3097" i="45"/>
  <c r="H3097" i="45"/>
  <c r="G3097" i="45"/>
  <c r="D3097" i="45"/>
  <c r="I3096" i="45"/>
  <c r="H3096" i="45"/>
  <c r="G3096" i="45"/>
  <c r="D3096" i="45"/>
  <c r="I3094" i="45"/>
  <c r="H3094" i="45"/>
  <c r="G3094" i="45"/>
  <c r="D3094" i="45"/>
  <c r="I3093" i="45"/>
  <c r="H3093" i="45"/>
  <c r="G3093" i="45"/>
  <c r="D3093" i="45"/>
  <c r="I3092" i="45"/>
  <c r="H3092" i="45"/>
  <c r="G3092" i="45"/>
  <c r="D3092" i="45"/>
  <c r="I3091" i="45"/>
  <c r="H3091" i="45"/>
  <c r="G3091" i="45"/>
  <c r="D3091" i="45"/>
  <c r="I3090" i="45"/>
  <c r="H3090" i="45"/>
  <c r="G3090" i="45"/>
  <c r="D3090" i="45"/>
  <c r="I3089" i="45"/>
  <c r="H3089" i="45"/>
  <c r="G3089" i="45"/>
  <c r="D3089" i="45"/>
  <c r="I3088" i="45"/>
  <c r="H3088" i="45"/>
  <c r="G3088" i="45"/>
  <c r="D3088" i="45"/>
  <c r="I3083" i="45"/>
  <c r="H3083" i="45"/>
  <c r="G3083" i="45"/>
  <c r="D3083" i="45"/>
  <c r="I3082" i="45"/>
  <c r="H3082" i="45"/>
  <c r="G3082" i="45"/>
  <c r="D3082" i="45"/>
  <c r="I3081" i="45"/>
  <c r="H3081" i="45"/>
  <c r="G3081" i="45"/>
  <c r="D3081" i="45"/>
  <c r="I3080" i="45"/>
  <c r="H3080" i="45"/>
  <c r="G3080" i="45"/>
  <c r="D3080" i="45"/>
  <c r="I3079" i="45"/>
  <c r="H3079" i="45"/>
  <c r="G3079" i="45"/>
  <c r="D3079" i="45"/>
  <c r="I3078" i="45"/>
  <c r="H3078" i="45"/>
  <c r="G3078" i="45"/>
  <c r="D3078" i="45"/>
  <c r="I3077" i="45"/>
  <c r="H3077" i="45"/>
  <c r="G3077" i="45"/>
  <c r="D3077" i="45"/>
  <c r="I3076" i="45"/>
  <c r="H3076" i="45"/>
  <c r="G3076" i="45"/>
  <c r="D3076" i="45"/>
  <c r="I3075" i="45"/>
  <c r="H3075" i="45"/>
  <c r="G3075" i="45"/>
  <c r="D3075" i="45"/>
  <c r="I3074" i="45"/>
  <c r="H3074" i="45"/>
  <c r="G3074" i="45"/>
  <c r="D3074" i="45"/>
  <c r="I3073" i="45"/>
  <c r="H3073" i="45"/>
  <c r="G3073" i="45"/>
  <c r="D3073" i="45"/>
  <c r="I3072" i="45"/>
  <c r="H3072" i="45"/>
  <c r="G3072" i="45"/>
  <c r="D3072" i="45"/>
  <c r="I3071" i="45"/>
  <c r="H3071" i="45"/>
  <c r="G3071" i="45"/>
  <c r="D3071" i="45"/>
  <c r="I3068" i="45"/>
  <c r="H3068" i="45"/>
  <c r="G3068" i="45"/>
  <c r="D3068" i="45"/>
  <c r="I3067" i="45"/>
  <c r="H3067" i="45"/>
  <c r="G3067" i="45"/>
  <c r="D3067" i="45"/>
  <c r="I3066" i="45"/>
  <c r="H3066" i="45"/>
  <c r="G3066" i="45"/>
  <c r="D3066" i="45"/>
  <c r="I3065" i="45"/>
  <c r="H3065" i="45"/>
  <c r="G3065" i="45"/>
  <c r="D3065" i="45"/>
  <c r="I3064" i="45"/>
  <c r="H3064" i="45"/>
  <c r="G3064" i="45"/>
  <c r="D3064" i="45"/>
  <c r="I3063" i="45"/>
  <c r="H3063" i="45"/>
  <c r="G3063" i="45"/>
  <c r="D3063" i="45"/>
  <c r="I3062" i="45"/>
  <c r="H3062" i="45"/>
  <c r="G3062" i="45"/>
  <c r="D3062" i="45"/>
  <c r="I3061" i="45"/>
  <c r="H3061" i="45"/>
  <c r="G3061" i="45"/>
  <c r="D3061" i="45"/>
  <c r="I3060" i="45"/>
  <c r="H3060" i="45"/>
  <c r="G3060" i="45"/>
  <c r="D3060" i="45"/>
  <c r="I3059" i="45"/>
  <c r="H3059" i="45"/>
  <c r="G3059" i="45"/>
  <c r="D3059" i="45"/>
  <c r="I3055" i="45"/>
  <c r="H3055" i="45"/>
  <c r="G3055" i="45"/>
  <c r="D3055" i="45"/>
  <c r="I3054" i="45"/>
  <c r="H3054" i="45"/>
  <c r="G3054" i="45"/>
  <c r="D3054" i="45"/>
  <c r="I3053" i="45"/>
  <c r="H3053" i="45"/>
  <c r="G3053" i="45"/>
  <c r="D3053" i="45"/>
  <c r="I3052" i="45"/>
  <c r="H3052" i="45"/>
  <c r="G3052" i="45"/>
  <c r="D3052" i="45"/>
  <c r="I3051" i="45"/>
  <c r="H3051" i="45"/>
  <c r="G3051" i="45"/>
  <c r="D3051" i="45"/>
  <c r="I3050" i="45"/>
  <c r="H3050" i="45"/>
  <c r="G3050" i="45"/>
  <c r="D3050" i="45"/>
  <c r="I3049" i="45"/>
  <c r="H3049" i="45"/>
  <c r="G3049" i="45"/>
  <c r="D3049" i="45"/>
  <c r="I3048" i="45"/>
  <c r="H3048" i="45"/>
  <c r="G3048" i="45"/>
  <c r="D3048" i="45"/>
  <c r="I3047" i="45"/>
  <c r="H3047" i="45"/>
  <c r="G3047" i="45"/>
  <c r="D3047" i="45"/>
  <c r="I3046" i="45"/>
  <c r="H3046" i="45"/>
  <c r="G3046" i="45"/>
  <c r="D3046" i="45"/>
  <c r="I3045" i="45"/>
  <c r="H3045" i="45"/>
  <c r="G3045" i="45"/>
  <c r="D3045" i="45"/>
  <c r="I3044" i="45"/>
  <c r="H3044" i="45"/>
  <c r="G3044" i="45"/>
  <c r="D3044" i="45"/>
  <c r="I3043" i="45"/>
  <c r="H3043" i="45"/>
  <c r="G3043" i="45"/>
  <c r="D3043" i="45"/>
  <c r="I3042" i="45"/>
  <c r="H3042" i="45"/>
  <c r="G3042" i="45"/>
  <c r="D3042" i="45"/>
  <c r="I3041" i="45"/>
  <c r="H3041" i="45"/>
  <c r="G3041" i="45"/>
  <c r="D3041" i="45"/>
  <c r="I3040" i="45"/>
  <c r="H3040" i="45"/>
  <c r="G3040" i="45"/>
  <c r="D3040" i="45"/>
  <c r="I3038" i="45"/>
  <c r="H3038" i="45"/>
  <c r="G3038" i="45"/>
  <c r="D3038" i="45"/>
  <c r="I3037" i="45"/>
  <c r="H3037" i="45"/>
  <c r="G3037" i="45"/>
  <c r="D3037" i="45"/>
  <c r="I3034" i="45"/>
  <c r="H3034" i="45"/>
  <c r="G3034" i="45"/>
  <c r="D3034" i="45"/>
  <c r="I3033" i="45"/>
  <c r="H3033" i="45"/>
  <c r="G3033" i="45"/>
  <c r="D3033" i="45"/>
  <c r="I3032" i="45"/>
  <c r="H3032" i="45"/>
  <c r="G3032" i="45"/>
  <c r="D3032" i="45"/>
  <c r="I3030" i="45"/>
  <c r="H3030" i="45"/>
  <c r="G3030" i="45"/>
  <c r="D3030" i="45"/>
  <c r="I3029" i="45"/>
  <c r="H3029" i="45"/>
  <c r="G3029" i="45"/>
  <c r="D3029" i="45"/>
  <c r="I3028" i="45"/>
  <c r="H3028" i="45"/>
  <c r="G3028" i="45"/>
  <c r="D3028" i="45"/>
  <c r="I3027" i="45"/>
  <c r="H3027" i="45"/>
  <c r="G3027" i="45"/>
  <c r="D3027" i="45"/>
  <c r="I3026" i="45"/>
  <c r="H3026" i="45"/>
  <c r="G3026" i="45"/>
  <c r="D3026" i="45"/>
  <c r="I3025" i="45"/>
  <c r="H3025" i="45"/>
  <c r="G3025" i="45"/>
  <c r="D3025" i="45"/>
  <c r="I3024" i="45"/>
  <c r="H3024" i="45"/>
  <c r="G3024" i="45"/>
  <c r="D3024" i="45"/>
  <c r="I3023" i="45"/>
  <c r="H3023" i="45"/>
  <c r="G3023" i="45"/>
  <c r="D3023" i="45"/>
  <c r="I3022" i="45"/>
  <c r="H3022" i="45"/>
  <c r="G3022" i="45"/>
  <c r="D3022" i="45"/>
  <c r="I3016" i="45"/>
  <c r="H3016" i="45"/>
  <c r="G3016" i="45"/>
  <c r="D3016" i="45"/>
  <c r="I3015" i="45"/>
  <c r="H3015" i="45"/>
  <c r="G3015" i="45"/>
  <c r="D3015" i="45"/>
  <c r="I3014" i="45"/>
  <c r="H3014" i="45"/>
  <c r="G3014" i="45"/>
  <c r="D3014" i="45"/>
  <c r="I3013" i="45"/>
  <c r="H3013" i="45"/>
  <c r="G3013" i="45"/>
  <c r="D3013" i="45"/>
  <c r="I3012" i="45"/>
  <c r="H3012" i="45"/>
  <c r="G3012" i="45"/>
  <c r="D3012" i="45"/>
  <c r="I3011" i="45"/>
  <c r="H3011" i="45"/>
  <c r="G3011" i="45"/>
  <c r="D3011" i="45"/>
  <c r="I3010" i="45"/>
  <c r="H3010" i="45"/>
  <c r="G3010" i="45"/>
  <c r="D3010" i="45"/>
  <c r="I3009" i="45"/>
  <c r="H3009" i="45"/>
  <c r="G3009" i="45"/>
  <c r="D3009" i="45"/>
  <c r="I3008" i="45"/>
  <c r="H3008" i="45"/>
  <c r="G3008" i="45"/>
  <c r="D3008" i="45"/>
  <c r="I3007" i="45"/>
  <c r="H3007" i="45"/>
  <c r="G3007" i="45"/>
  <c r="D3007" i="45"/>
  <c r="I3006" i="45"/>
  <c r="H3006" i="45"/>
  <c r="G3006" i="45"/>
  <c r="D3006" i="45"/>
  <c r="I3005" i="45"/>
  <c r="H3005" i="45"/>
  <c r="G3005" i="45"/>
  <c r="D3005" i="45"/>
  <c r="I3003" i="45"/>
  <c r="H3003" i="45"/>
  <c r="G3003" i="45"/>
  <c r="D3003" i="45"/>
  <c r="I3002" i="45"/>
  <c r="H3002" i="45"/>
  <c r="G3002" i="45"/>
  <c r="D3002" i="45"/>
  <c r="I3001" i="45"/>
  <c r="H3001" i="45"/>
  <c r="G3001" i="45"/>
  <c r="D3001" i="45"/>
  <c r="I3000" i="45"/>
  <c r="H3000" i="45"/>
  <c r="G3000" i="45"/>
  <c r="D3000" i="45"/>
  <c r="I2999" i="45"/>
  <c r="H2999" i="45"/>
  <c r="G2999" i="45"/>
  <c r="D2999" i="45"/>
  <c r="I2998" i="45"/>
  <c r="H2998" i="45"/>
  <c r="G2998" i="45"/>
  <c r="D2998" i="45"/>
  <c r="I2997" i="45"/>
  <c r="H2997" i="45"/>
  <c r="G2997" i="45"/>
  <c r="D2997" i="45"/>
  <c r="I2996" i="45"/>
  <c r="H2996" i="45"/>
  <c r="G2996" i="45"/>
  <c r="D2996" i="45"/>
  <c r="I2995" i="45"/>
  <c r="H2995" i="45"/>
  <c r="G2995" i="45"/>
  <c r="D2995" i="45"/>
  <c r="I2987" i="45"/>
  <c r="H2987" i="45"/>
  <c r="G2987" i="45"/>
  <c r="D2987" i="45"/>
  <c r="I2986" i="45"/>
  <c r="H2986" i="45"/>
  <c r="G2986" i="45"/>
  <c r="D2986" i="45"/>
  <c r="I2985" i="45"/>
  <c r="H2985" i="45"/>
  <c r="G2985" i="45"/>
  <c r="D2985" i="45"/>
  <c r="I2984" i="45"/>
  <c r="H2984" i="45"/>
  <c r="G2984" i="45"/>
  <c r="D2984" i="45"/>
  <c r="I2983" i="45"/>
  <c r="H2983" i="45"/>
  <c r="G2983" i="45"/>
  <c r="D2983" i="45"/>
  <c r="I2982" i="45"/>
  <c r="H2982" i="45"/>
  <c r="G2982" i="45"/>
  <c r="D2982" i="45"/>
  <c r="I2981" i="45"/>
  <c r="H2981" i="45"/>
  <c r="G2981" i="45"/>
  <c r="D2981" i="45"/>
  <c r="I2978" i="45"/>
  <c r="H2978" i="45"/>
  <c r="G2978" i="45"/>
  <c r="D2978" i="45"/>
  <c r="I2977" i="45"/>
  <c r="H2977" i="45"/>
  <c r="G2977" i="45"/>
  <c r="D2977" i="45"/>
  <c r="I2976" i="45"/>
  <c r="H2976" i="45"/>
  <c r="G2976" i="45"/>
  <c r="D2976" i="45"/>
  <c r="I2975" i="45"/>
  <c r="H2975" i="45"/>
  <c r="G2975" i="45"/>
  <c r="D2975" i="45"/>
  <c r="I2974" i="45"/>
  <c r="H2974" i="45"/>
  <c r="G2974" i="45"/>
  <c r="D2974" i="45"/>
  <c r="I2973" i="45"/>
  <c r="H2973" i="45"/>
  <c r="G2973" i="45"/>
  <c r="D2973" i="45"/>
  <c r="I2972" i="45"/>
  <c r="H2972" i="45"/>
  <c r="G2972" i="45"/>
  <c r="D2972" i="45"/>
  <c r="I2971" i="45"/>
  <c r="H2971" i="45"/>
  <c r="G2971" i="45"/>
  <c r="D2971" i="45"/>
  <c r="I2970" i="45"/>
  <c r="H2970" i="45"/>
  <c r="G2970" i="45"/>
  <c r="D2970" i="45"/>
  <c r="I2969" i="45"/>
  <c r="H2969" i="45"/>
  <c r="G2969" i="45"/>
  <c r="D2969" i="45"/>
  <c r="I2967" i="45"/>
  <c r="H2967" i="45"/>
  <c r="G2967" i="45"/>
  <c r="D2967" i="45"/>
  <c r="I2966" i="45"/>
  <c r="H2966" i="45"/>
  <c r="G2966" i="45"/>
  <c r="D2966" i="45"/>
  <c r="I2965" i="45"/>
  <c r="H2965" i="45"/>
  <c r="G2965" i="45"/>
  <c r="D2965" i="45"/>
  <c r="I2964" i="45"/>
  <c r="H2964" i="45"/>
  <c r="G2964" i="45"/>
  <c r="D2964" i="45"/>
  <c r="I2963" i="45"/>
  <c r="H2963" i="45"/>
  <c r="G2963" i="45"/>
  <c r="D2963" i="45"/>
  <c r="I2962" i="45"/>
  <c r="H2962" i="45"/>
  <c r="G2962" i="45"/>
  <c r="D2962" i="45"/>
  <c r="I2961" i="45"/>
  <c r="H2961" i="45"/>
  <c r="G2961" i="45"/>
  <c r="D2961" i="45"/>
  <c r="I2960" i="45"/>
  <c r="H2960" i="45"/>
  <c r="G2960" i="45"/>
  <c r="D2960" i="45"/>
  <c r="I2959" i="45"/>
  <c r="H2959" i="45"/>
  <c r="G2959" i="45"/>
  <c r="D2959" i="45"/>
  <c r="I2958" i="45"/>
  <c r="H2958" i="45"/>
  <c r="G2958" i="45"/>
  <c r="D2958" i="45"/>
  <c r="I2957" i="45"/>
  <c r="H2957" i="45"/>
  <c r="G2957" i="45"/>
  <c r="D2957" i="45"/>
  <c r="I2956" i="45"/>
  <c r="H2956" i="45"/>
  <c r="G2956" i="45"/>
  <c r="D2956" i="45"/>
  <c r="I2955" i="45"/>
  <c r="H2955" i="45"/>
  <c r="G2955" i="45"/>
  <c r="D2955" i="45"/>
  <c r="I2946" i="45"/>
  <c r="H2946" i="45"/>
  <c r="G2946" i="45"/>
  <c r="D2946" i="45"/>
  <c r="I2945" i="45"/>
  <c r="H2945" i="45"/>
  <c r="G2945" i="45"/>
  <c r="D2945" i="45"/>
  <c r="I2944" i="45"/>
  <c r="H2944" i="45"/>
  <c r="G2944" i="45"/>
  <c r="D2944" i="45"/>
  <c r="I2943" i="45"/>
  <c r="H2943" i="45"/>
  <c r="G2943" i="45"/>
  <c r="D2943" i="45"/>
  <c r="I2942" i="45"/>
  <c r="H2942" i="45"/>
  <c r="G2942" i="45"/>
  <c r="D2942" i="45"/>
  <c r="D2818" i="45"/>
  <c r="G2818" i="45"/>
  <c r="H2818" i="45"/>
  <c r="I2818" i="45"/>
  <c r="D2795" i="45"/>
  <c r="G2795" i="45"/>
  <c r="H2795" i="45"/>
  <c r="I2795" i="45"/>
  <c r="D2792" i="45"/>
  <c r="G2792" i="45"/>
  <c r="H2792" i="45"/>
  <c r="I2792" i="45"/>
  <c r="D2866" i="45"/>
  <c r="G2866" i="45"/>
  <c r="H2866" i="45"/>
  <c r="I2866" i="45"/>
  <c r="D2782" i="45"/>
  <c r="G2782" i="45"/>
  <c r="H2782" i="45"/>
  <c r="I2782" i="45"/>
  <c r="D2778" i="45"/>
  <c r="G2778" i="45"/>
  <c r="H2778" i="45"/>
  <c r="I2778" i="45"/>
  <c r="I2941" i="45"/>
  <c r="H2941" i="45"/>
  <c r="G2941" i="45"/>
  <c r="D2941" i="45"/>
  <c r="I2940" i="45"/>
  <c r="H2940" i="45"/>
  <c r="G2940" i="45"/>
  <c r="D2940" i="45"/>
  <c r="I2938" i="45"/>
  <c r="H2938" i="45"/>
  <c r="G2938" i="45"/>
  <c r="D2938" i="45"/>
  <c r="I2937" i="45"/>
  <c r="H2937" i="45"/>
  <c r="G2937" i="45"/>
  <c r="D2937" i="45"/>
  <c r="I2936" i="45"/>
  <c r="H2936" i="45"/>
  <c r="G2936" i="45"/>
  <c r="D2936" i="45"/>
  <c r="I2935" i="45"/>
  <c r="H2935" i="45"/>
  <c r="G2935" i="45"/>
  <c r="D2935" i="45"/>
  <c r="I2934" i="45"/>
  <c r="H2934" i="45"/>
  <c r="G2934" i="45"/>
  <c r="D2934" i="45"/>
  <c r="I2933" i="45"/>
  <c r="H2933" i="45"/>
  <c r="G2933" i="45"/>
  <c r="D2933" i="45"/>
  <c r="I2932" i="45"/>
  <c r="H2932" i="45"/>
  <c r="G2932" i="45"/>
  <c r="D2932" i="45"/>
  <c r="I2931" i="45"/>
  <c r="H2931" i="45"/>
  <c r="G2931" i="45"/>
  <c r="D2931" i="45"/>
  <c r="I2929" i="45"/>
  <c r="H2929" i="45"/>
  <c r="G2929" i="45"/>
  <c r="D2929" i="45"/>
  <c r="I2928" i="45"/>
  <c r="H2928" i="45"/>
  <c r="G2928" i="45"/>
  <c r="D2928" i="45"/>
  <c r="I2927" i="45"/>
  <c r="H2927" i="45"/>
  <c r="G2927" i="45"/>
  <c r="D2927" i="45"/>
  <c r="I2926" i="45"/>
  <c r="H2926" i="45"/>
  <c r="G2926" i="45"/>
  <c r="D2926" i="45"/>
  <c r="I2925" i="45"/>
  <c r="H2925" i="45"/>
  <c r="G2925" i="45"/>
  <c r="D2925" i="45"/>
  <c r="I2924" i="45"/>
  <c r="H2924" i="45"/>
  <c r="G2924" i="45"/>
  <c r="D2924" i="45"/>
  <c r="I2919" i="45"/>
  <c r="H2919" i="45"/>
  <c r="G2919" i="45"/>
  <c r="D2919" i="45"/>
  <c r="I2918" i="45"/>
  <c r="H2918" i="45"/>
  <c r="G2918" i="45"/>
  <c r="D2918" i="45"/>
  <c r="I2917" i="45"/>
  <c r="H2917" i="45"/>
  <c r="G2917" i="45"/>
  <c r="D2917" i="45"/>
  <c r="I2916" i="45"/>
  <c r="H2916" i="45"/>
  <c r="G2916" i="45"/>
  <c r="D2916" i="45"/>
  <c r="I2915" i="45"/>
  <c r="H2915" i="45"/>
  <c r="G2915" i="45"/>
  <c r="D2915" i="45"/>
  <c r="I2914" i="45"/>
  <c r="H2914" i="45"/>
  <c r="G2914" i="45"/>
  <c r="D2914" i="45"/>
  <c r="I2913" i="45"/>
  <c r="H2913" i="45"/>
  <c r="G2913" i="45"/>
  <c r="D2913" i="45"/>
  <c r="I2912" i="45"/>
  <c r="H2912" i="45"/>
  <c r="G2912" i="45"/>
  <c r="D2912" i="45"/>
  <c r="I2911" i="45"/>
  <c r="H2911" i="45"/>
  <c r="G2911" i="45"/>
  <c r="D2911" i="45"/>
  <c r="I2910" i="45"/>
  <c r="H2910" i="45"/>
  <c r="G2910" i="45"/>
  <c r="D2910" i="45"/>
  <c r="I2909" i="45"/>
  <c r="H2909" i="45"/>
  <c r="G2909" i="45"/>
  <c r="D2909" i="45"/>
  <c r="I2908" i="45"/>
  <c r="H2908" i="45"/>
  <c r="G2908" i="45"/>
  <c r="D2908" i="45"/>
  <c r="I2907" i="45"/>
  <c r="H2907" i="45"/>
  <c r="G2907" i="45"/>
  <c r="D2907" i="45"/>
  <c r="I2905" i="45"/>
  <c r="H2905" i="45"/>
  <c r="G2905" i="45"/>
  <c r="D2905" i="45"/>
  <c r="I2904" i="45"/>
  <c r="H2904" i="45"/>
  <c r="G2904" i="45"/>
  <c r="D2904" i="45"/>
  <c r="I2902" i="45"/>
  <c r="H2902" i="45"/>
  <c r="G2902" i="45"/>
  <c r="D2902" i="45"/>
  <c r="I2901" i="45"/>
  <c r="H2901" i="45"/>
  <c r="G2901" i="45"/>
  <c r="D2901" i="45"/>
  <c r="I2900" i="45"/>
  <c r="H2900" i="45"/>
  <c r="G2900" i="45"/>
  <c r="D2900" i="45"/>
  <c r="I2899" i="45"/>
  <c r="H2899" i="45"/>
  <c r="G2899" i="45"/>
  <c r="D2899" i="45"/>
  <c r="I2898" i="45"/>
  <c r="H2898" i="45"/>
  <c r="G2898" i="45"/>
  <c r="D2898" i="45"/>
  <c r="I2897" i="45"/>
  <c r="H2897" i="45"/>
  <c r="G2897" i="45"/>
  <c r="D2897" i="45"/>
  <c r="I2896" i="45"/>
  <c r="H2896" i="45"/>
  <c r="G2896" i="45"/>
  <c r="D2896" i="45"/>
  <c r="I2895" i="45"/>
  <c r="H2895" i="45"/>
  <c r="G2895" i="45"/>
  <c r="D2895" i="45"/>
  <c r="I2894" i="45"/>
  <c r="H2894" i="45"/>
  <c r="G2894" i="45"/>
  <c r="D2894" i="45"/>
  <c r="I2893" i="45"/>
  <c r="H2893" i="45"/>
  <c r="G2893" i="45"/>
  <c r="D2893" i="45"/>
  <c r="I2892" i="45"/>
  <c r="H2892" i="45"/>
  <c r="G2892" i="45"/>
  <c r="D2892" i="45"/>
  <c r="I2891" i="45"/>
  <c r="H2891" i="45"/>
  <c r="G2891" i="45"/>
  <c r="D2891" i="45"/>
  <c r="I2890" i="45"/>
  <c r="H2890" i="45"/>
  <c r="G2890" i="45"/>
  <c r="D2890" i="45"/>
  <c r="I2889" i="45"/>
  <c r="H2889" i="45"/>
  <c r="G2889" i="45"/>
  <c r="D2889" i="45"/>
  <c r="I2888" i="45"/>
  <c r="H2888" i="45"/>
  <c r="G2888" i="45"/>
  <c r="D2888" i="45"/>
  <c r="I2887" i="45"/>
  <c r="H2887" i="45"/>
  <c r="G2887" i="45"/>
  <c r="D2887" i="45"/>
  <c r="I2886" i="45"/>
  <c r="H2886" i="45"/>
  <c r="G2886" i="45"/>
  <c r="D2886" i="45"/>
  <c r="I2885" i="45"/>
  <c r="H2885" i="45"/>
  <c r="G2885" i="45"/>
  <c r="D2885" i="45"/>
  <c r="I2884" i="45"/>
  <c r="H2884" i="45"/>
  <c r="G2884" i="45"/>
  <c r="D2884" i="45"/>
  <c r="I2883" i="45"/>
  <c r="H2883" i="45"/>
  <c r="G2883" i="45"/>
  <c r="D2883" i="45"/>
  <c r="I2882" i="45"/>
  <c r="H2882" i="45"/>
  <c r="G2882" i="45"/>
  <c r="D2882" i="45"/>
  <c r="I2881" i="45"/>
  <c r="H2881" i="45"/>
  <c r="G2881" i="45"/>
  <c r="D2881" i="45"/>
  <c r="I2880" i="45"/>
  <c r="H2880" i="45"/>
  <c r="G2880" i="45"/>
  <c r="D2880" i="45"/>
  <c r="I2879" i="45"/>
  <c r="H2879" i="45"/>
  <c r="G2879" i="45"/>
  <c r="D2879" i="45"/>
  <c r="I2877" i="45"/>
  <c r="H2877" i="45"/>
  <c r="G2877" i="45"/>
  <c r="D2877" i="45"/>
  <c r="I2874" i="45"/>
  <c r="H2874" i="45"/>
  <c r="G2874" i="45"/>
  <c r="D2874" i="45"/>
  <c r="I2873" i="45"/>
  <c r="H2873" i="45"/>
  <c r="G2873" i="45"/>
  <c r="D2873" i="45"/>
  <c r="I2872" i="45"/>
  <c r="H2872" i="45"/>
  <c r="G2872" i="45"/>
  <c r="D2872" i="45"/>
  <c r="I2871" i="45"/>
  <c r="H2871" i="45"/>
  <c r="G2871" i="45"/>
  <c r="D2871" i="45"/>
  <c r="I2869" i="45"/>
  <c r="H2869" i="45"/>
  <c r="G2869" i="45"/>
  <c r="D2869" i="45"/>
  <c r="I2868" i="45"/>
  <c r="H2868" i="45"/>
  <c r="G2868" i="45"/>
  <c r="D2868" i="45"/>
  <c r="I2867" i="45"/>
  <c r="H2867" i="45"/>
  <c r="G2867" i="45"/>
  <c r="D2867" i="45"/>
  <c r="I2865" i="45"/>
  <c r="H2865" i="45"/>
  <c r="G2865" i="45"/>
  <c r="D2865" i="45"/>
  <c r="I2864" i="45"/>
  <c r="H2864" i="45"/>
  <c r="G2864" i="45"/>
  <c r="D2864" i="45"/>
  <c r="I2863" i="45"/>
  <c r="H2863" i="45"/>
  <c r="G2863" i="45"/>
  <c r="D2863" i="45"/>
  <c r="I2862" i="45"/>
  <c r="H2862" i="45"/>
  <c r="G2862" i="45"/>
  <c r="D2862" i="45"/>
  <c r="I2861" i="45"/>
  <c r="H2861" i="45"/>
  <c r="G2861" i="45"/>
  <c r="D2861" i="45"/>
  <c r="I2860" i="45"/>
  <c r="H2860" i="45"/>
  <c r="G2860" i="45"/>
  <c r="D2860" i="45"/>
  <c r="I2859" i="45"/>
  <c r="H2859" i="45"/>
  <c r="G2859" i="45"/>
  <c r="D2859" i="45"/>
  <c r="I2858" i="45"/>
  <c r="H2858" i="45"/>
  <c r="G2858" i="45"/>
  <c r="D2858" i="45"/>
  <c r="I2857" i="45"/>
  <c r="H2857" i="45"/>
  <c r="G2857" i="45"/>
  <c r="D2857" i="45"/>
  <c r="I2856" i="45"/>
  <c r="H2856" i="45"/>
  <c r="G2856" i="45"/>
  <c r="D2856" i="45"/>
  <c r="I2855" i="45"/>
  <c r="H2855" i="45"/>
  <c r="G2855" i="45"/>
  <c r="D2855" i="45"/>
  <c r="I2854" i="45"/>
  <c r="H2854" i="45"/>
  <c r="G2854" i="45"/>
  <c r="D2854" i="45"/>
  <c r="I2853" i="45"/>
  <c r="H2853" i="45"/>
  <c r="G2853" i="45"/>
  <c r="D2853" i="45"/>
  <c r="I2852" i="45"/>
  <c r="H2852" i="45"/>
  <c r="G2852" i="45"/>
  <c r="D2852" i="45"/>
  <c r="I2851" i="45"/>
  <c r="H2851" i="45"/>
  <c r="G2851" i="45"/>
  <c r="D2851" i="45"/>
  <c r="I2850" i="45"/>
  <c r="H2850" i="45"/>
  <c r="G2850" i="45"/>
  <c r="D2850" i="45"/>
  <c r="I2849" i="45"/>
  <c r="H2849" i="45"/>
  <c r="G2849" i="45"/>
  <c r="D2849" i="45"/>
  <c r="I2848" i="45"/>
  <c r="H2848" i="45"/>
  <c r="G2848" i="45"/>
  <c r="D2848" i="45"/>
  <c r="I2847" i="45"/>
  <c r="H2847" i="45"/>
  <c r="G2847" i="45"/>
  <c r="D2847" i="45"/>
  <c r="I2839" i="45"/>
  <c r="H2839" i="45"/>
  <c r="G2839" i="45"/>
  <c r="D2839" i="45"/>
  <c r="I2838" i="45"/>
  <c r="H2838" i="45"/>
  <c r="G2838" i="45"/>
  <c r="D2838" i="45"/>
  <c r="I2837" i="45"/>
  <c r="H2837" i="45"/>
  <c r="G2837" i="45"/>
  <c r="D2837" i="45"/>
  <c r="I2836" i="45"/>
  <c r="H2836" i="45"/>
  <c r="G2836" i="45"/>
  <c r="D2836" i="45"/>
  <c r="I2835" i="45"/>
  <c r="H2835" i="45"/>
  <c r="G2835" i="45"/>
  <c r="D2835" i="45"/>
  <c r="I2834" i="45"/>
  <c r="H2834" i="45"/>
  <c r="G2834" i="45"/>
  <c r="D2834" i="45"/>
  <c r="I2833" i="45"/>
  <c r="H2833" i="45"/>
  <c r="G2833" i="45"/>
  <c r="D2833" i="45"/>
  <c r="I2825" i="45"/>
  <c r="H2825" i="45"/>
  <c r="G2825" i="45"/>
  <c r="D2825" i="45"/>
  <c r="I2824" i="45"/>
  <c r="H2824" i="45"/>
  <c r="G2824" i="45"/>
  <c r="D2824" i="45"/>
  <c r="I2823" i="45"/>
  <c r="H2823" i="45"/>
  <c r="G2823" i="45"/>
  <c r="D2823" i="45"/>
  <c r="I2822" i="45"/>
  <c r="H2822" i="45"/>
  <c r="G2822" i="45"/>
  <c r="D2822" i="45"/>
  <c r="I2821" i="45"/>
  <c r="H2821" i="45"/>
  <c r="G2821" i="45"/>
  <c r="D2821" i="45"/>
  <c r="I2820" i="45"/>
  <c r="H2820" i="45"/>
  <c r="G2820" i="45"/>
  <c r="D2820" i="45"/>
  <c r="I2819" i="45"/>
  <c r="H2819" i="45"/>
  <c r="G2819" i="45"/>
  <c r="D2819" i="45"/>
  <c r="I2814" i="45"/>
  <c r="H2814" i="45"/>
  <c r="G2814" i="45"/>
  <c r="D2814" i="45"/>
  <c r="I2813" i="45"/>
  <c r="H2813" i="45"/>
  <c r="G2813" i="45"/>
  <c r="D2813" i="45"/>
  <c r="I2812" i="45"/>
  <c r="H2812" i="45"/>
  <c r="G2812" i="45"/>
  <c r="D2812" i="45"/>
  <c r="I2811" i="45"/>
  <c r="H2811" i="45"/>
  <c r="G2811" i="45"/>
  <c r="D2811" i="45"/>
  <c r="I2810" i="45"/>
  <c r="H2810" i="45"/>
  <c r="G2810" i="45"/>
  <c r="D2810" i="45"/>
  <c r="I2809" i="45"/>
  <c r="H2809" i="45"/>
  <c r="G2809" i="45"/>
  <c r="D2809" i="45"/>
  <c r="I2808" i="45"/>
  <c r="H2808" i="45"/>
  <c r="G2808" i="45"/>
  <c r="D2808" i="45"/>
  <c r="I2807" i="45"/>
  <c r="H2807" i="45"/>
  <c r="G2807" i="45"/>
  <c r="D2807" i="45"/>
  <c r="I2806" i="45"/>
  <c r="H2806" i="45"/>
  <c r="G2806" i="45"/>
  <c r="D2806" i="45"/>
  <c r="I2805" i="45"/>
  <c r="H2805" i="45"/>
  <c r="G2805" i="45"/>
  <c r="D2805" i="45"/>
  <c r="I2803" i="45"/>
  <c r="H2803" i="45"/>
  <c r="G2803" i="45"/>
  <c r="D2803" i="45"/>
  <c r="I2802" i="45"/>
  <c r="H2802" i="45"/>
  <c r="G2802" i="45"/>
  <c r="D2802" i="45"/>
  <c r="I2800" i="45"/>
  <c r="H2800" i="45"/>
  <c r="G2800" i="45"/>
  <c r="D2800" i="45"/>
  <c r="I2799" i="45"/>
  <c r="H2799" i="45"/>
  <c r="G2799" i="45"/>
  <c r="D2799" i="45"/>
  <c r="I2798" i="45"/>
  <c r="H2798" i="45"/>
  <c r="G2798" i="45"/>
  <c r="D2798" i="45"/>
  <c r="I2797" i="45"/>
  <c r="H2797" i="45"/>
  <c r="G2797" i="45"/>
  <c r="D2797" i="45"/>
  <c r="I2796" i="45"/>
  <c r="H2796" i="45"/>
  <c r="G2796" i="45"/>
  <c r="D2796" i="45"/>
  <c r="I2794" i="45"/>
  <c r="H2794" i="45"/>
  <c r="G2794" i="45"/>
  <c r="D2794" i="45"/>
  <c r="I2793" i="45"/>
  <c r="H2793" i="45"/>
  <c r="G2793" i="45"/>
  <c r="D2793" i="45"/>
  <c r="I2791" i="45"/>
  <c r="H2791" i="45"/>
  <c r="G2791" i="45"/>
  <c r="D2791" i="45"/>
  <c r="I2783" i="45"/>
  <c r="H2783" i="45"/>
  <c r="G2783" i="45"/>
  <c r="D2783" i="45"/>
  <c r="I2781" i="45"/>
  <c r="H2781" i="45"/>
  <c r="G2781" i="45"/>
  <c r="D2781" i="45"/>
  <c r="I2780" i="45"/>
  <c r="H2780" i="45"/>
  <c r="G2780" i="45"/>
  <c r="D2780" i="45"/>
  <c r="I2779" i="45"/>
  <c r="H2779" i="45"/>
  <c r="G2779" i="45"/>
  <c r="D2779" i="45"/>
  <c r="I2777" i="45"/>
  <c r="H2777" i="45"/>
  <c r="G2777" i="45"/>
  <c r="D2777" i="45"/>
  <c r="I2776" i="45"/>
  <c r="H2776" i="45"/>
  <c r="G2776" i="45"/>
  <c r="D2776" i="45"/>
  <c r="D2686" i="45"/>
  <c r="G2686" i="45"/>
  <c r="H2686" i="45"/>
  <c r="I2686" i="45"/>
  <c r="D2685" i="45"/>
  <c r="G2685" i="45"/>
  <c r="H2685" i="45"/>
  <c r="I2685" i="45"/>
  <c r="D2679" i="45"/>
  <c r="G2679" i="45"/>
  <c r="H2679" i="45"/>
  <c r="I2679" i="45"/>
  <c r="D2729" i="45"/>
  <c r="G2729" i="45"/>
  <c r="H2729" i="45"/>
  <c r="I2729" i="45"/>
  <c r="D2568" i="45"/>
  <c r="G2568" i="45"/>
  <c r="H2568" i="45"/>
  <c r="I2568" i="45"/>
  <c r="D2569" i="45"/>
  <c r="G2569" i="45"/>
  <c r="H2569" i="45"/>
  <c r="I2569" i="45"/>
  <c r="D2757" i="45" l="1"/>
  <c r="G2757" i="45"/>
  <c r="H2757" i="45"/>
  <c r="I2757" i="45"/>
  <c r="D2727" i="45"/>
  <c r="G2727" i="45"/>
  <c r="H2727" i="45"/>
  <c r="I2727" i="45"/>
  <c r="D2644" i="45"/>
  <c r="G2644" i="45"/>
  <c r="H2644" i="45"/>
  <c r="I2644" i="45"/>
  <c r="D2648" i="45"/>
  <c r="G2648" i="45"/>
  <c r="H2648" i="45"/>
  <c r="I2648" i="45"/>
  <c r="I2775" i="45"/>
  <c r="H2775" i="45"/>
  <c r="G2775" i="45"/>
  <c r="D2775" i="45"/>
  <c r="I2774" i="45"/>
  <c r="H2774" i="45"/>
  <c r="G2774" i="45"/>
  <c r="D2774" i="45"/>
  <c r="I2773" i="45"/>
  <c r="H2773" i="45"/>
  <c r="G2773" i="45"/>
  <c r="D2773" i="45"/>
  <c r="I2772" i="45"/>
  <c r="H2772" i="45"/>
  <c r="G2772" i="45"/>
  <c r="D2772" i="45"/>
  <c r="I2771" i="45"/>
  <c r="H2771" i="45"/>
  <c r="G2771" i="45"/>
  <c r="D2771" i="45"/>
  <c r="I2770" i="45"/>
  <c r="H2770" i="45"/>
  <c r="G2770" i="45"/>
  <c r="D2770" i="45"/>
  <c r="I2769" i="45"/>
  <c r="H2769" i="45"/>
  <c r="G2769" i="45"/>
  <c r="D2769" i="45"/>
  <c r="I2768" i="45"/>
  <c r="H2768" i="45"/>
  <c r="G2768" i="45"/>
  <c r="D2768" i="45"/>
  <c r="I2767" i="45"/>
  <c r="H2767" i="45"/>
  <c r="G2767" i="45"/>
  <c r="D2767" i="45"/>
  <c r="I2766" i="45"/>
  <c r="H2766" i="45"/>
  <c r="G2766" i="45"/>
  <c r="D2766" i="45"/>
  <c r="I2765" i="45"/>
  <c r="H2765" i="45"/>
  <c r="G2765" i="45"/>
  <c r="D2765" i="45"/>
  <c r="I2764" i="45"/>
  <c r="H2764" i="45"/>
  <c r="G2764" i="45"/>
  <c r="D2764" i="45"/>
  <c r="I2763" i="45"/>
  <c r="H2763" i="45"/>
  <c r="G2763" i="45"/>
  <c r="D2763" i="45"/>
  <c r="I2759" i="45"/>
  <c r="H2759" i="45"/>
  <c r="G2759" i="45"/>
  <c r="D2759" i="45"/>
  <c r="I2758" i="45"/>
  <c r="H2758" i="45"/>
  <c r="G2758" i="45"/>
  <c r="D2758" i="45"/>
  <c r="I2756" i="45"/>
  <c r="H2756" i="45"/>
  <c r="G2756" i="45"/>
  <c r="D2756" i="45"/>
  <c r="I2751" i="45"/>
  <c r="H2751" i="45"/>
  <c r="G2751" i="45"/>
  <c r="D2751" i="45"/>
  <c r="I2745" i="45"/>
  <c r="H2745" i="45"/>
  <c r="G2745" i="45"/>
  <c r="D2745" i="45"/>
  <c r="I2744" i="45"/>
  <c r="H2744" i="45"/>
  <c r="G2744" i="45"/>
  <c r="D2744" i="45"/>
  <c r="I2743" i="45"/>
  <c r="H2743" i="45"/>
  <c r="G2743" i="45"/>
  <c r="D2743" i="45"/>
  <c r="I2742" i="45"/>
  <c r="H2742" i="45"/>
  <c r="G2742" i="45"/>
  <c r="D2742" i="45"/>
  <c r="I2741" i="45"/>
  <c r="H2741" i="45"/>
  <c r="G2741" i="45"/>
  <c r="D2741" i="45"/>
  <c r="I2740" i="45"/>
  <c r="H2740" i="45"/>
  <c r="G2740" i="45"/>
  <c r="D2740" i="45"/>
  <c r="I2739" i="45"/>
  <c r="H2739" i="45"/>
  <c r="G2739" i="45"/>
  <c r="D2739" i="45"/>
  <c r="I2738" i="45"/>
  <c r="H2738" i="45"/>
  <c r="G2738" i="45"/>
  <c r="D2738" i="45"/>
  <c r="I2737" i="45"/>
  <c r="H2737" i="45"/>
  <c r="G2737" i="45"/>
  <c r="D2737" i="45"/>
  <c r="I2736" i="45"/>
  <c r="H2736" i="45"/>
  <c r="G2736" i="45"/>
  <c r="D2736" i="45"/>
  <c r="I2735" i="45"/>
  <c r="H2735" i="45"/>
  <c r="G2735" i="45"/>
  <c r="D2735" i="45"/>
  <c r="I2734" i="45"/>
  <c r="H2734" i="45"/>
  <c r="G2734" i="45"/>
  <c r="D2734" i="45"/>
  <c r="I2733" i="45"/>
  <c r="H2733" i="45"/>
  <c r="G2733" i="45"/>
  <c r="D2733" i="45"/>
  <c r="I2732" i="45"/>
  <c r="H2732" i="45"/>
  <c r="G2732" i="45"/>
  <c r="D2732" i="45"/>
  <c r="I2731" i="45"/>
  <c r="H2731" i="45"/>
  <c r="G2731" i="45"/>
  <c r="D2731" i="45"/>
  <c r="I2730" i="45"/>
  <c r="H2730" i="45"/>
  <c r="G2730" i="45"/>
  <c r="D2730" i="45"/>
  <c r="I2728" i="45"/>
  <c r="H2728" i="45"/>
  <c r="G2728" i="45"/>
  <c r="D2728" i="45"/>
  <c r="I2726" i="45"/>
  <c r="H2726" i="45"/>
  <c r="G2726" i="45"/>
  <c r="D2726" i="45"/>
  <c r="I2725" i="45"/>
  <c r="H2725" i="45"/>
  <c r="G2725" i="45"/>
  <c r="D2725" i="45"/>
  <c r="I2724" i="45"/>
  <c r="H2724" i="45"/>
  <c r="G2724" i="45"/>
  <c r="D2724" i="45"/>
  <c r="I2723" i="45"/>
  <c r="H2723" i="45"/>
  <c r="G2723" i="45"/>
  <c r="D2723" i="45"/>
  <c r="I2722" i="45"/>
  <c r="H2722" i="45"/>
  <c r="G2722" i="45"/>
  <c r="D2722" i="45"/>
  <c r="I2721" i="45"/>
  <c r="H2721" i="45"/>
  <c r="G2721" i="45"/>
  <c r="D2721" i="45"/>
  <c r="I2720" i="45"/>
  <c r="H2720" i="45"/>
  <c r="G2720" i="45"/>
  <c r="D2720" i="45"/>
  <c r="I2719" i="45"/>
  <c r="H2719" i="45"/>
  <c r="G2719" i="45"/>
  <c r="D2719" i="45"/>
  <c r="I2718" i="45"/>
  <c r="H2718" i="45"/>
  <c r="G2718" i="45"/>
  <c r="D2718" i="45"/>
  <c r="I2717" i="45"/>
  <c r="H2717" i="45"/>
  <c r="G2717" i="45"/>
  <c r="D2717" i="45"/>
  <c r="I2716" i="45"/>
  <c r="H2716" i="45"/>
  <c r="G2716" i="45"/>
  <c r="D2716" i="45"/>
  <c r="I2715" i="45"/>
  <c r="H2715" i="45"/>
  <c r="G2715" i="45"/>
  <c r="D2715" i="45"/>
  <c r="I2714" i="45"/>
  <c r="H2714" i="45"/>
  <c r="G2714" i="45"/>
  <c r="D2714" i="45"/>
  <c r="I2713" i="45"/>
  <c r="H2713" i="45"/>
  <c r="G2713" i="45"/>
  <c r="D2713" i="45"/>
  <c r="I2712" i="45"/>
  <c r="H2712" i="45"/>
  <c r="G2712" i="45"/>
  <c r="D2712" i="45"/>
  <c r="I2711" i="45"/>
  <c r="H2711" i="45"/>
  <c r="G2711" i="45"/>
  <c r="D2711" i="45"/>
  <c r="I2710" i="45"/>
  <c r="H2710" i="45"/>
  <c r="G2710" i="45"/>
  <c r="D2710" i="45"/>
  <c r="I2709" i="45"/>
  <c r="H2709" i="45"/>
  <c r="G2709" i="45"/>
  <c r="D2709" i="45"/>
  <c r="I2708" i="45"/>
  <c r="H2708" i="45"/>
  <c r="G2708" i="45"/>
  <c r="D2708" i="45"/>
  <c r="I2706" i="45"/>
  <c r="H2706" i="45"/>
  <c r="G2706" i="45"/>
  <c r="D2706" i="45"/>
  <c r="I2705" i="45"/>
  <c r="H2705" i="45"/>
  <c r="G2705" i="45"/>
  <c r="D2705" i="45"/>
  <c r="I2704" i="45"/>
  <c r="H2704" i="45"/>
  <c r="G2704" i="45"/>
  <c r="D2704" i="45"/>
  <c r="I2703" i="45"/>
  <c r="H2703" i="45"/>
  <c r="G2703" i="45"/>
  <c r="D2703" i="45"/>
  <c r="I2702" i="45"/>
  <c r="H2702" i="45"/>
  <c r="G2702" i="45"/>
  <c r="D2702" i="45"/>
  <c r="I2701" i="45"/>
  <c r="H2701" i="45"/>
  <c r="G2701" i="45"/>
  <c r="D2701" i="45"/>
  <c r="I2700" i="45"/>
  <c r="H2700" i="45"/>
  <c r="G2700" i="45"/>
  <c r="D2700" i="45"/>
  <c r="I2698" i="45"/>
  <c r="H2698" i="45"/>
  <c r="G2698" i="45"/>
  <c r="D2698" i="45"/>
  <c r="I2697" i="45"/>
  <c r="H2697" i="45"/>
  <c r="G2697" i="45"/>
  <c r="D2697" i="45"/>
  <c r="I2696" i="45"/>
  <c r="H2696" i="45"/>
  <c r="G2696" i="45"/>
  <c r="D2696" i="45"/>
  <c r="I2695" i="45"/>
  <c r="H2695" i="45"/>
  <c r="G2695" i="45"/>
  <c r="D2695" i="45"/>
  <c r="I2694" i="45"/>
  <c r="H2694" i="45"/>
  <c r="G2694" i="45"/>
  <c r="D2694" i="45"/>
  <c r="I2693" i="45"/>
  <c r="H2693" i="45"/>
  <c r="G2693" i="45"/>
  <c r="D2693" i="45"/>
  <c r="I2692" i="45"/>
  <c r="H2692" i="45"/>
  <c r="G2692" i="45"/>
  <c r="D2692" i="45"/>
  <c r="I2691" i="45"/>
  <c r="H2691" i="45"/>
  <c r="G2691" i="45"/>
  <c r="D2691" i="45"/>
  <c r="I2690" i="45"/>
  <c r="H2690" i="45"/>
  <c r="G2690" i="45"/>
  <c r="D2690" i="45"/>
  <c r="I2689" i="45"/>
  <c r="H2689" i="45"/>
  <c r="G2689" i="45"/>
  <c r="D2689" i="45"/>
  <c r="I2688" i="45"/>
  <c r="H2688" i="45"/>
  <c r="G2688" i="45"/>
  <c r="D2688" i="45"/>
  <c r="I2687" i="45"/>
  <c r="H2687" i="45"/>
  <c r="G2687" i="45"/>
  <c r="D2687" i="45"/>
  <c r="I2684" i="45"/>
  <c r="H2684" i="45"/>
  <c r="G2684" i="45"/>
  <c r="D2684" i="45"/>
  <c r="I2683" i="45"/>
  <c r="H2683" i="45"/>
  <c r="G2683" i="45"/>
  <c r="D2683" i="45"/>
  <c r="I2682" i="45"/>
  <c r="H2682" i="45"/>
  <c r="G2682" i="45"/>
  <c r="D2682" i="45"/>
  <c r="I2681" i="45"/>
  <c r="H2681" i="45"/>
  <c r="G2681" i="45"/>
  <c r="D2681" i="45"/>
  <c r="I2680" i="45"/>
  <c r="H2680" i="45"/>
  <c r="G2680" i="45"/>
  <c r="D2680" i="45"/>
  <c r="I2678" i="45"/>
  <c r="H2678" i="45"/>
  <c r="G2678" i="45"/>
  <c r="D2678" i="45"/>
  <c r="I2677" i="45"/>
  <c r="H2677" i="45"/>
  <c r="G2677" i="45"/>
  <c r="D2677" i="45"/>
  <c r="I2676" i="45"/>
  <c r="H2676" i="45"/>
  <c r="G2676" i="45"/>
  <c r="D2676" i="45"/>
  <c r="I2667" i="45"/>
  <c r="H2667" i="45"/>
  <c r="G2667" i="45"/>
  <c r="D2667" i="45"/>
  <c r="I2666" i="45"/>
  <c r="H2666" i="45"/>
  <c r="G2666" i="45"/>
  <c r="D2666" i="45"/>
  <c r="I2665" i="45"/>
  <c r="H2665" i="45"/>
  <c r="G2665" i="45"/>
  <c r="D2665" i="45"/>
  <c r="I2664" i="45"/>
  <c r="H2664" i="45"/>
  <c r="G2664" i="45"/>
  <c r="D2664" i="45"/>
  <c r="I2663" i="45"/>
  <c r="H2663" i="45"/>
  <c r="G2663" i="45"/>
  <c r="D2663" i="45"/>
  <c r="I2662" i="45"/>
  <c r="H2662" i="45"/>
  <c r="G2662" i="45"/>
  <c r="D2662" i="45"/>
  <c r="I2661" i="45"/>
  <c r="H2661" i="45"/>
  <c r="G2661" i="45"/>
  <c r="D2661" i="45"/>
  <c r="I2654" i="45"/>
  <c r="H2654" i="45"/>
  <c r="G2654" i="45"/>
  <c r="D2654" i="45"/>
  <c r="I2653" i="45"/>
  <c r="H2653" i="45"/>
  <c r="G2653" i="45"/>
  <c r="D2653" i="45"/>
  <c r="I2652" i="45"/>
  <c r="H2652" i="45"/>
  <c r="G2652" i="45"/>
  <c r="D2652" i="45"/>
  <c r="I2651" i="45"/>
  <c r="H2651" i="45"/>
  <c r="G2651" i="45"/>
  <c r="D2651" i="45"/>
  <c r="I2650" i="45"/>
  <c r="H2650" i="45"/>
  <c r="G2650" i="45"/>
  <c r="D2650" i="45"/>
  <c r="I2649" i="45"/>
  <c r="H2649" i="45"/>
  <c r="G2649" i="45"/>
  <c r="D2649" i="45"/>
  <c r="I2647" i="45"/>
  <c r="H2647" i="45"/>
  <c r="G2647" i="45"/>
  <c r="D2647" i="45"/>
  <c r="I2646" i="45"/>
  <c r="H2646" i="45"/>
  <c r="G2646" i="45"/>
  <c r="D2646" i="45"/>
  <c r="I2645" i="45"/>
  <c r="H2645" i="45"/>
  <c r="G2645" i="45"/>
  <c r="D2645" i="45"/>
  <c r="I2643" i="45"/>
  <c r="H2643" i="45"/>
  <c r="G2643" i="45"/>
  <c r="D2643" i="45"/>
  <c r="I2642" i="45"/>
  <c r="H2642" i="45"/>
  <c r="G2642" i="45"/>
  <c r="D2642" i="45"/>
  <c r="I2641" i="45"/>
  <c r="H2641" i="45"/>
  <c r="G2641" i="45"/>
  <c r="D2641" i="45"/>
  <c r="I2631" i="45"/>
  <c r="H2631" i="45"/>
  <c r="G2631" i="45"/>
  <c r="D2631" i="45"/>
  <c r="I2630" i="45"/>
  <c r="H2630" i="45"/>
  <c r="G2630" i="45"/>
  <c r="D2630" i="45"/>
  <c r="I2629" i="45"/>
  <c r="H2629" i="45"/>
  <c r="G2629" i="45"/>
  <c r="D2629" i="45"/>
  <c r="I2628" i="45"/>
  <c r="H2628" i="45"/>
  <c r="G2628" i="45"/>
  <c r="D2628" i="45"/>
  <c r="I2626" i="45"/>
  <c r="H2626" i="45"/>
  <c r="G2626" i="45"/>
  <c r="D2626" i="45"/>
  <c r="I2625" i="45"/>
  <c r="H2625" i="45"/>
  <c r="G2625" i="45"/>
  <c r="D2625" i="45"/>
  <c r="I2624" i="45"/>
  <c r="H2624" i="45"/>
  <c r="G2624" i="45"/>
  <c r="D2624" i="45"/>
  <c r="I2623" i="45"/>
  <c r="H2623" i="45"/>
  <c r="G2623" i="45"/>
  <c r="D2623" i="45"/>
  <c r="I2622" i="45"/>
  <c r="H2622" i="45"/>
  <c r="G2622" i="45"/>
  <c r="D2622" i="45"/>
  <c r="I2621" i="45"/>
  <c r="H2621" i="45"/>
  <c r="G2621" i="45"/>
  <c r="D2621" i="45"/>
  <c r="I2620" i="45"/>
  <c r="H2620" i="45"/>
  <c r="G2620" i="45"/>
  <c r="D2620" i="45"/>
  <c r="I2619" i="45"/>
  <c r="H2619" i="45"/>
  <c r="G2619" i="45"/>
  <c r="D2619" i="45"/>
  <c r="I2618" i="45"/>
  <c r="H2618" i="45"/>
  <c r="G2618" i="45"/>
  <c r="D2618" i="45"/>
  <c r="I2617" i="45"/>
  <c r="H2617" i="45"/>
  <c r="G2617" i="45"/>
  <c r="D2617" i="45"/>
  <c r="I2616" i="45"/>
  <c r="H2616" i="45"/>
  <c r="G2616" i="45"/>
  <c r="D2616" i="45"/>
  <c r="I2615" i="45"/>
  <c r="H2615" i="45"/>
  <c r="G2615" i="45"/>
  <c r="D2615" i="45"/>
  <c r="I2614" i="45"/>
  <c r="H2614" i="45"/>
  <c r="G2614" i="45"/>
  <c r="D2614" i="45"/>
  <c r="I2606" i="45"/>
  <c r="H2606" i="45"/>
  <c r="G2606" i="45"/>
  <c r="D2606" i="45"/>
  <c r="I2605" i="45"/>
  <c r="H2605" i="45"/>
  <c r="G2605" i="45"/>
  <c r="D2605" i="45"/>
  <c r="I2604" i="45"/>
  <c r="H2604" i="45"/>
  <c r="G2604" i="45"/>
  <c r="D2604" i="45"/>
  <c r="I2603" i="45"/>
  <c r="H2603" i="45"/>
  <c r="G2603" i="45"/>
  <c r="D2603" i="45"/>
  <c r="I2602" i="45"/>
  <c r="H2602" i="45"/>
  <c r="G2602" i="45"/>
  <c r="D2602" i="45"/>
  <c r="I2601" i="45"/>
  <c r="H2601" i="45"/>
  <c r="G2601" i="45"/>
  <c r="D2601" i="45"/>
  <c r="I2600" i="45"/>
  <c r="H2600" i="45"/>
  <c r="G2600" i="45"/>
  <c r="D2600" i="45"/>
  <c r="I2599" i="45"/>
  <c r="H2599" i="45"/>
  <c r="G2599" i="45"/>
  <c r="D2599" i="45"/>
  <c r="I2598" i="45"/>
  <c r="H2598" i="45"/>
  <c r="G2598" i="45"/>
  <c r="D2598" i="45"/>
  <c r="I2597" i="45"/>
  <c r="H2597" i="45"/>
  <c r="G2597" i="45"/>
  <c r="D2597" i="45"/>
  <c r="I2596" i="45"/>
  <c r="H2596" i="45"/>
  <c r="G2596" i="45"/>
  <c r="D2596" i="45"/>
  <c r="I2595" i="45"/>
  <c r="H2595" i="45"/>
  <c r="G2595" i="45"/>
  <c r="D2595" i="45"/>
  <c r="I2594" i="45"/>
  <c r="H2594" i="45"/>
  <c r="G2594" i="45"/>
  <c r="D2594" i="45"/>
  <c r="I2593" i="45"/>
  <c r="H2593" i="45"/>
  <c r="G2593" i="45"/>
  <c r="D2593" i="45"/>
  <c r="I2592" i="45"/>
  <c r="H2592" i="45"/>
  <c r="G2592" i="45"/>
  <c r="D2592" i="45"/>
  <c r="I2591" i="45"/>
  <c r="H2591" i="45"/>
  <c r="G2591" i="45"/>
  <c r="D2591" i="45"/>
  <c r="I2590" i="45"/>
  <c r="H2590" i="45"/>
  <c r="G2590" i="45"/>
  <c r="D2590" i="45"/>
  <c r="I2589" i="45"/>
  <c r="H2589" i="45"/>
  <c r="G2589" i="45"/>
  <c r="D2589" i="45"/>
  <c r="I2588" i="45"/>
  <c r="H2588" i="45"/>
  <c r="G2588" i="45"/>
  <c r="D2588" i="45"/>
  <c r="I2587" i="45"/>
  <c r="H2587" i="45"/>
  <c r="G2587" i="45"/>
  <c r="D2587" i="45"/>
  <c r="I2585" i="45"/>
  <c r="H2585" i="45"/>
  <c r="G2585" i="45"/>
  <c r="D2585" i="45"/>
  <c r="I2584" i="45"/>
  <c r="H2584" i="45"/>
  <c r="G2584" i="45"/>
  <c r="D2584" i="45"/>
  <c r="I2583" i="45"/>
  <c r="H2583" i="45"/>
  <c r="G2583" i="45"/>
  <c r="D2583" i="45"/>
  <c r="I2578" i="45"/>
  <c r="H2578" i="45"/>
  <c r="G2578" i="45"/>
  <c r="D2578" i="45"/>
  <c r="I2577" i="45"/>
  <c r="H2577" i="45"/>
  <c r="G2577" i="45"/>
  <c r="D2577" i="45"/>
  <c r="I2576" i="45"/>
  <c r="H2576" i="45"/>
  <c r="G2576" i="45"/>
  <c r="D2576" i="45"/>
  <c r="I2575" i="45"/>
  <c r="H2575" i="45"/>
  <c r="G2575" i="45"/>
  <c r="D2575" i="45"/>
  <c r="I2574" i="45"/>
  <c r="H2574" i="45"/>
  <c r="G2574" i="45"/>
  <c r="D2574" i="45"/>
  <c r="I2573" i="45"/>
  <c r="H2573" i="45"/>
  <c r="G2573" i="45"/>
  <c r="D2573" i="45"/>
  <c r="I2572" i="45"/>
  <c r="H2572" i="45"/>
  <c r="G2572" i="45"/>
  <c r="D2572" i="45"/>
  <c r="I2571" i="45"/>
  <c r="H2571" i="45"/>
  <c r="G2571" i="45"/>
  <c r="D2571" i="45"/>
  <c r="I2570" i="45"/>
  <c r="H2570" i="45"/>
  <c r="G2570" i="45"/>
  <c r="D2570" i="45"/>
  <c r="I2567" i="45"/>
  <c r="H2567" i="45"/>
  <c r="G2567" i="45"/>
  <c r="D2567" i="45"/>
  <c r="I2566" i="45"/>
  <c r="H2566" i="45"/>
  <c r="G2566" i="45"/>
  <c r="D2566" i="45"/>
  <c r="I2565" i="45"/>
  <c r="H2565" i="45"/>
  <c r="G2565" i="45"/>
  <c r="D2565" i="45"/>
  <c r="I2564" i="45"/>
  <c r="H2564" i="45"/>
  <c r="G2564" i="45"/>
  <c r="D2564" i="45"/>
  <c r="I2563" i="45"/>
  <c r="H2563" i="45"/>
  <c r="G2563" i="45"/>
  <c r="D2563" i="45"/>
  <c r="I2562" i="45"/>
  <c r="H2562" i="45"/>
  <c r="G2562" i="45"/>
  <c r="D2562" i="45"/>
  <c r="I2561" i="45"/>
  <c r="H2561" i="45"/>
  <c r="G2561" i="45"/>
  <c r="D2561" i="45"/>
  <c r="I2560" i="45"/>
  <c r="H2560" i="45"/>
  <c r="G2560" i="45"/>
  <c r="D2560" i="45"/>
  <c r="I2559" i="45"/>
  <c r="H2559" i="45"/>
  <c r="G2559" i="45"/>
  <c r="D2559" i="45"/>
  <c r="I2558" i="45"/>
  <c r="H2558" i="45"/>
  <c r="G2558" i="45"/>
  <c r="D2558" i="45"/>
  <c r="I2557" i="45"/>
  <c r="H2557" i="45"/>
  <c r="G2557" i="45"/>
  <c r="D2557" i="45"/>
  <c r="I2556" i="45"/>
  <c r="H2556" i="45"/>
  <c r="G2556" i="45"/>
  <c r="D2556" i="45"/>
  <c r="I2555" i="45"/>
  <c r="H2555" i="45"/>
  <c r="G2555" i="45"/>
  <c r="D2555" i="45"/>
  <c r="I2554" i="45"/>
  <c r="H2554" i="45"/>
  <c r="G2554" i="45"/>
  <c r="D2554" i="45"/>
  <c r="I2553" i="45"/>
  <c r="H2553" i="45"/>
  <c r="G2553" i="45"/>
  <c r="D2553" i="45"/>
  <c r="I2552" i="45"/>
  <c r="H2552" i="45"/>
  <c r="G2552" i="45"/>
  <c r="D2552" i="45"/>
  <c r="I2551" i="45"/>
  <c r="H2551" i="45"/>
  <c r="G2551" i="45"/>
  <c r="D2551" i="45"/>
  <c r="I2550" i="45"/>
  <c r="H2550" i="45"/>
  <c r="G2550" i="45"/>
  <c r="D2550" i="45"/>
  <c r="I2549" i="45"/>
  <c r="H2549" i="45"/>
  <c r="G2549" i="45"/>
  <c r="D2549" i="45"/>
  <c r="I2548" i="45"/>
  <c r="H2548" i="45"/>
  <c r="G2548" i="45"/>
  <c r="D2548" i="45"/>
  <c r="I2547" i="45"/>
  <c r="H2547" i="45"/>
  <c r="G2547" i="45"/>
  <c r="D2547" i="45"/>
  <c r="I2546" i="45"/>
  <c r="H2546" i="45"/>
  <c r="G2546" i="45"/>
  <c r="D2546" i="45"/>
  <c r="I2545" i="45"/>
  <c r="H2545" i="45"/>
  <c r="G2545" i="45"/>
  <c r="D2545" i="45"/>
  <c r="I2544" i="45"/>
  <c r="H2544" i="45"/>
  <c r="G2544" i="45"/>
  <c r="D2544" i="45"/>
  <c r="I2543" i="45"/>
  <c r="H2543" i="45"/>
  <c r="G2543" i="45"/>
  <c r="D2543" i="45"/>
  <c r="I2542" i="45"/>
  <c r="H2542" i="45"/>
  <c r="G2542" i="45"/>
  <c r="D2542" i="45"/>
  <c r="I2541" i="45"/>
  <c r="H2541" i="45"/>
  <c r="G2541" i="45"/>
  <c r="D2541" i="45"/>
  <c r="I2539" i="45"/>
  <c r="H2539" i="45"/>
  <c r="G2539" i="45"/>
  <c r="D2539" i="45"/>
  <c r="I2538" i="45"/>
  <c r="H2538" i="45"/>
  <c r="G2538" i="45"/>
  <c r="D2538" i="45"/>
  <c r="I2537" i="45"/>
  <c r="H2537" i="45"/>
  <c r="G2537" i="45"/>
  <c r="D2537" i="45"/>
  <c r="I2536" i="45"/>
  <c r="H2536" i="45"/>
  <c r="G2536" i="45"/>
  <c r="D2536" i="45"/>
  <c r="I2535" i="45"/>
  <c r="H2535" i="45"/>
  <c r="G2535" i="45"/>
  <c r="D2535" i="45"/>
  <c r="I2534" i="45"/>
  <c r="H2534" i="45"/>
  <c r="G2534" i="45"/>
  <c r="D2534" i="45"/>
  <c r="I2533" i="45"/>
  <c r="H2533" i="45"/>
  <c r="G2533" i="45"/>
  <c r="D2533" i="45"/>
  <c r="I2531" i="45"/>
  <c r="H2531" i="45"/>
  <c r="G2531" i="45"/>
  <c r="D2531" i="45"/>
  <c r="I2530" i="45"/>
  <c r="H2530" i="45"/>
  <c r="G2530" i="45"/>
  <c r="D2530" i="45"/>
  <c r="I2529" i="45"/>
  <c r="H2529" i="45"/>
  <c r="G2529" i="45"/>
  <c r="D2529" i="45"/>
  <c r="I2528" i="45"/>
  <c r="H2528" i="45"/>
  <c r="G2528" i="45"/>
  <c r="D2528" i="45"/>
  <c r="I2527" i="45"/>
  <c r="H2527" i="45"/>
  <c r="G2527" i="45"/>
  <c r="D2527" i="45"/>
  <c r="I2526" i="45"/>
  <c r="H2526" i="45"/>
  <c r="G2526" i="45"/>
  <c r="D2526" i="45"/>
  <c r="I2525" i="45"/>
  <c r="H2525" i="45"/>
  <c r="G2525" i="45"/>
  <c r="D2525" i="45"/>
  <c r="I2524" i="45"/>
  <c r="H2524" i="45"/>
  <c r="G2524" i="45"/>
  <c r="D2524" i="45"/>
  <c r="I2523" i="45"/>
  <c r="H2523" i="45"/>
  <c r="G2523" i="45"/>
  <c r="D2523" i="45"/>
  <c r="I2522" i="45"/>
  <c r="H2522" i="45"/>
  <c r="G2522" i="45"/>
  <c r="D2522" i="45"/>
  <c r="I2521" i="45"/>
  <c r="H2521" i="45"/>
  <c r="G2521" i="45"/>
  <c r="D2521" i="45"/>
  <c r="I2520" i="45"/>
  <c r="H2520" i="45"/>
  <c r="G2520" i="45"/>
  <c r="D2520" i="45"/>
  <c r="I2519" i="45"/>
  <c r="H2519" i="45"/>
  <c r="G2519" i="45"/>
  <c r="D2519" i="45"/>
  <c r="I2518" i="45"/>
  <c r="H2518" i="45"/>
  <c r="G2518" i="45"/>
  <c r="D2518" i="45"/>
  <c r="I2517" i="45"/>
  <c r="H2517" i="45"/>
  <c r="G2517" i="45"/>
  <c r="D2517" i="45"/>
  <c r="I2516" i="45"/>
  <c r="H2516" i="45"/>
  <c r="G2516" i="45"/>
  <c r="D2516" i="45"/>
  <c r="I2515" i="45"/>
  <c r="H2515" i="45"/>
  <c r="G2515" i="45"/>
  <c r="D2515" i="45"/>
  <c r="I2514" i="45"/>
  <c r="H2514" i="45"/>
  <c r="G2514" i="45"/>
  <c r="D2514" i="45"/>
  <c r="I2513" i="45"/>
  <c r="H2513" i="45"/>
  <c r="G2513" i="45"/>
  <c r="D2513" i="45"/>
  <c r="I2512" i="45"/>
  <c r="H2512" i="45"/>
  <c r="G2512" i="45"/>
  <c r="D2512" i="45"/>
  <c r="I2511" i="45"/>
  <c r="H2511" i="45"/>
  <c r="G2511" i="45"/>
  <c r="D2511" i="45"/>
  <c r="I2510" i="45"/>
  <c r="H2510" i="45"/>
  <c r="G2510" i="45"/>
  <c r="D2510" i="45"/>
  <c r="I2509" i="45"/>
  <c r="H2509" i="45"/>
  <c r="G2509" i="45"/>
  <c r="D2509" i="45"/>
  <c r="I2508" i="45"/>
  <c r="H2508" i="45"/>
  <c r="G2508" i="45"/>
  <c r="D2508" i="45"/>
  <c r="I2507" i="45"/>
  <c r="H2507" i="45"/>
  <c r="G2507" i="45"/>
  <c r="D2507" i="45"/>
  <c r="I2506" i="45"/>
  <c r="H2506" i="45"/>
  <c r="G2506" i="45"/>
  <c r="D2506" i="45"/>
  <c r="I2505" i="45"/>
  <c r="H2505" i="45"/>
  <c r="G2505" i="45"/>
  <c r="D2505" i="45"/>
  <c r="I2498" i="45"/>
  <c r="H2498" i="45"/>
  <c r="G2498" i="45"/>
  <c r="D2498" i="45"/>
  <c r="I2496" i="45"/>
  <c r="H2496" i="45"/>
  <c r="G2496" i="45"/>
  <c r="D2496" i="45"/>
  <c r="I2495" i="45"/>
  <c r="H2495" i="45"/>
  <c r="G2495" i="45"/>
  <c r="D2495" i="45"/>
  <c r="I2494" i="45"/>
  <c r="H2494" i="45"/>
  <c r="G2494" i="45"/>
  <c r="D2494" i="45"/>
  <c r="I2493" i="45"/>
  <c r="H2493" i="45"/>
  <c r="G2493" i="45"/>
  <c r="D2493" i="45"/>
  <c r="I2492" i="45"/>
  <c r="H2492" i="45"/>
  <c r="G2492" i="45"/>
  <c r="D2492" i="45"/>
  <c r="I2491" i="45"/>
  <c r="H2491" i="45"/>
  <c r="G2491" i="45"/>
  <c r="D2491" i="45"/>
  <c r="I2490" i="45"/>
  <c r="H2490" i="45"/>
  <c r="G2490" i="45"/>
  <c r="D2490" i="45"/>
  <c r="I2489" i="45"/>
  <c r="H2489" i="45"/>
  <c r="G2489" i="45"/>
  <c r="D2489" i="45"/>
  <c r="I2488" i="45"/>
  <c r="H2488" i="45"/>
  <c r="G2488" i="45"/>
  <c r="D2488" i="45"/>
  <c r="I2487" i="45"/>
  <c r="H2487" i="45"/>
  <c r="G2487" i="45"/>
  <c r="D2487" i="45"/>
  <c r="I2486" i="45"/>
  <c r="H2486" i="45"/>
  <c r="G2486" i="45"/>
  <c r="D2486" i="45"/>
  <c r="I2485" i="45"/>
  <c r="H2485" i="45"/>
  <c r="G2485" i="45"/>
  <c r="D2485" i="45"/>
  <c r="I2484" i="45"/>
  <c r="H2484" i="45"/>
  <c r="G2484" i="45"/>
  <c r="D2484" i="45"/>
  <c r="I2483" i="45"/>
  <c r="H2483" i="45"/>
  <c r="G2483" i="45"/>
  <c r="D2483" i="45"/>
  <c r="I2482" i="45"/>
  <c r="H2482" i="45"/>
  <c r="G2482" i="45"/>
  <c r="D2482" i="45"/>
  <c r="I2476" i="45"/>
  <c r="H2476" i="45"/>
  <c r="G2476" i="45"/>
  <c r="D2476" i="45"/>
  <c r="I2475" i="45"/>
  <c r="H2475" i="45"/>
  <c r="G2475" i="45"/>
  <c r="D2475" i="45"/>
  <c r="I2474" i="45"/>
  <c r="H2474" i="45"/>
  <c r="G2474" i="45"/>
  <c r="D2474" i="45"/>
  <c r="I2473" i="45"/>
  <c r="H2473" i="45"/>
  <c r="G2473" i="45"/>
  <c r="D2473" i="45"/>
  <c r="I2472" i="45"/>
  <c r="H2472" i="45"/>
  <c r="G2472" i="45"/>
  <c r="D2472" i="45"/>
  <c r="I2470" i="45"/>
  <c r="H2470" i="45"/>
  <c r="G2470" i="45"/>
  <c r="D2470" i="45"/>
  <c r="I2469" i="45"/>
  <c r="H2469" i="45"/>
  <c r="G2469" i="45"/>
  <c r="D2469" i="45"/>
  <c r="I2468" i="45"/>
  <c r="H2468" i="45"/>
  <c r="G2468" i="45"/>
  <c r="D2468" i="45"/>
  <c r="I2467" i="45"/>
  <c r="H2467" i="45"/>
  <c r="G2467" i="45"/>
  <c r="D2467" i="45"/>
  <c r="I2466" i="45"/>
  <c r="H2466" i="45"/>
  <c r="G2466" i="45"/>
  <c r="D2466" i="45"/>
  <c r="I2465" i="45"/>
  <c r="H2465" i="45"/>
  <c r="G2465" i="45"/>
  <c r="D2465" i="45"/>
  <c r="I2464" i="45"/>
  <c r="H2464" i="45"/>
  <c r="G2464" i="45"/>
  <c r="D2464" i="45"/>
  <c r="I2463" i="45"/>
  <c r="H2463" i="45"/>
  <c r="G2463" i="45"/>
  <c r="D2463" i="45"/>
  <c r="I2462" i="45"/>
  <c r="H2462" i="45"/>
  <c r="G2462" i="45"/>
  <c r="D2462" i="45"/>
  <c r="I2461" i="45"/>
  <c r="H2461" i="45"/>
  <c r="G2461" i="45"/>
  <c r="D2461" i="45"/>
  <c r="I2460" i="45"/>
  <c r="H2460" i="45"/>
  <c r="G2460" i="45"/>
  <c r="D2460" i="45"/>
  <c r="I2459" i="45"/>
  <c r="H2459" i="45"/>
  <c r="G2459" i="45"/>
  <c r="D2459" i="45"/>
  <c r="I2458" i="45"/>
  <c r="H2458" i="45"/>
  <c r="G2458" i="45"/>
  <c r="D2458" i="45"/>
  <c r="I2457" i="45"/>
  <c r="H2457" i="45"/>
  <c r="G2457" i="45"/>
  <c r="D2457" i="45"/>
  <c r="I2456" i="45"/>
  <c r="H2456" i="45"/>
  <c r="G2456" i="45"/>
  <c r="D2456" i="45"/>
  <c r="I2450" i="45"/>
  <c r="H2450" i="45"/>
  <c r="G2450" i="45"/>
  <c r="D2450" i="45"/>
  <c r="I2449" i="45"/>
  <c r="H2449" i="45"/>
  <c r="G2449" i="45"/>
  <c r="D2449" i="45"/>
  <c r="I2448" i="45"/>
  <c r="H2448" i="45"/>
  <c r="G2448" i="45"/>
  <c r="D2448" i="45"/>
  <c r="I2447" i="45"/>
  <c r="H2447" i="45"/>
  <c r="G2447" i="45"/>
  <c r="D2447" i="45"/>
  <c r="I2446" i="45"/>
  <c r="H2446" i="45"/>
  <c r="G2446" i="45"/>
  <c r="D2446" i="45"/>
  <c r="D2389" i="45" l="1"/>
  <c r="G2389" i="45"/>
  <c r="H2389" i="45"/>
  <c r="I2389" i="45"/>
  <c r="D2388" i="45"/>
  <c r="G2388" i="45"/>
  <c r="H2388" i="45"/>
  <c r="I2388" i="45"/>
  <c r="D2231" i="45"/>
  <c r="G2231" i="45"/>
  <c r="H2231" i="45"/>
  <c r="I2231" i="45"/>
  <c r="D2230" i="45"/>
  <c r="G2230" i="45"/>
  <c r="H2230" i="45"/>
  <c r="I2230" i="45"/>
  <c r="D2081" i="45"/>
  <c r="G2081" i="45"/>
  <c r="H2081" i="45"/>
  <c r="I2081" i="45"/>
  <c r="D2080" i="45"/>
  <c r="G2080" i="45"/>
  <c r="H2080" i="45"/>
  <c r="I2080" i="45"/>
  <c r="D2217" i="45" l="1"/>
  <c r="G2217" i="45"/>
  <c r="H2217" i="45"/>
  <c r="I2217" i="45"/>
  <c r="D2375" i="45"/>
  <c r="G2375" i="45"/>
  <c r="H2375" i="45"/>
  <c r="I2375" i="45"/>
  <c r="G2361" i="45"/>
  <c r="H2361" i="45"/>
  <c r="I2361" i="45"/>
  <c r="G2362" i="45"/>
  <c r="H2362" i="45"/>
  <c r="I2362" i="45"/>
  <c r="G2363" i="45"/>
  <c r="H2363" i="45"/>
  <c r="I2363" i="45"/>
  <c r="G2364" i="45"/>
  <c r="H2364" i="45"/>
  <c r="I2364" i="45"/>
  <c r="G2365" i="45"/>
  <c r="H2365" i="45"/>
  <c r="I2365" i="45"/>
  <c r="G2366" i="45"/>
  <c r="H2366" i="45"/>
  <c r="I2366" i="45"/>
  <c r="D2412" i="45"/>
  <c r="G2412" i="45"/>
  <c r="H2412" i="45"/>
  <c r="I2412" i="45"/>
  <c r="D2365" i="45" l="1"/>
  <c r="D2366" i="45"/>
  <c r="D2331" i="45"/>
  <c r="G2331" i="45"/>
  <c r="H2331" i="45"/>
  <c r="I2331" i="45"/>
  <c r="D2299" i="45"/>
  <c r="G2299" i="45"/>
  <c r="D2336" i="45"/>
  <c r="G2336" i="45"/>
  <c r="H2336" i="45"/>
  <c r="I2336" i="45"/>
  <c r="D2298" i="45"/>
  <c r="G2298" i="45"/>
  <c r="H2298" i="45"/>
  <c r="I2298" i="45"/>
  <c r="D2308" i="45"/>
  <c r="G2308" i="45"/>
  <c r="H2308" i="45"/>
  <c r="I2308" i="45"/>
  <c r="I2445" i="45"/>
  <c r="H2445" i="45"/>
  <c r="G2445" i="45"/>
  <c r="D2445" i="45"/>
  <c r="I2444" i="45"/>
  <c r="H2444" i="45"/>
  <c r="G2444" i="45"/>
  <c r="D2444" i="45"/>
  <c r="I2443" i="45"/>
  <c r="H2443" i="45"/>
  <c r="G2443" i="45"/>
  <c r="D2443" i="45"/>
  <c r="I2442" i="45"/>
  <c r="H2442" i="45"/>
  <c r="G2442" i="45"/>
  <c r="D2442" i="45"/>
  <c r="I2441" i="45"/>
  <c r="H2441" i="45"/>
  <c r="G2441" i="45"/>
  <c r="D2441" i="45"/>
  <c r="I2440" i="45"/>
  <c r="H2440" i="45"/>
  <c r="G2440" i="45"/>
  <c r="D2440" i="45"/>
  <c r="I2439" i="45"/>
  <c r="H2439" i="45"/>
  <c r="G2439" i="45"/>
  <c r="D2439" i="45"/>
  <c r="I2438" i="45"/>
  <c r="H2438" i="45"/>
  <c r="G2438" i="45"/>
  <c r="D2438" i="45"/>
  <c r="I2437" i="45"/>
  <c r="H2437" i="45"/>
  <c r="G2437" i="45"/>
  <c r="D2437" i="45"/>
  <c r="I2436" i="45"/>
  <c r="H2436" i="45"/>
  <c r="G2436" i="45"/>
  <c r="D2436" i="45"/>
  <c r="I2435" i="45"/>
  <c r="H2435" i="45"/>
  <c r="G2435" i="45"/>
  <c r="D2435" i="45"/>
  <c r="I2434" i="45"/>
  <c r="H2434" i="45"/>
  <c r="G2434" i="45"/>
  <c r="D2434" i="45"/>
  <c r="I2433" i="45"/>
  <c r="H2433" i="45"/>
  <c r="G2433" i="45"/>
  <c r="D2433" i="45"/>
  <c r="I2432" i="45"/>
  <c r="H2432" i="45"/>
  <c r="G2432" i="45"/>
  <c r="D2432" i="45"/>
  <c r="I2431" i="45"/>
  <c r="H2431" i="45"/>
  <c r="G2431" i="45"/>
  <c r="D2431" i="45"/>
  <c r="I2430" i="45"/>
  <c r="H2430" i="45"/>
  <c r="G2430" i="45"/>
  <c r="D2430" i="45"/>
  <c r="I2425" i="45"/>
  <c r="H2425" i="45"/>
  <c r="G2425" i="45"/>
  <c r="D2425" i="45"/>
  <c r="I2424" i="45"/>
  <c r="H2424" i="45"/>
  <c r="G2424" i="45"/>
  <c r="D2424" i="45"/>
  <c r="I2423" i="45"/>
  <c r="H2423" i="45"/>
  <c r="G2423" i="45"/>
  <c r="D2423" i="45"/>
  <c r="I2422" i="45"/>
  <c r="H2422" i="45"/>
  <c r="G2422" i="45"/>
  <c r="D2422" i="45"/>
  <c r="I2421" i="45"/>
  <c r="H2421" i="45"/>
  <c r="G2421" i="45"/>
  <c r="D2421" i="45"/>
  <c r="I2420" i="45"/>
  <c r="H2420" i="45"/>
  <c r="G2420" i="45"/>
  <c r="D2420" i="45"/>
  <c r="I2419" i="45"/>
  <c r="H2419" i="45"/>
  <c r="G2419" i="45"/>
  <c r="D2419" i="45"/>
  <c r="I2418" i="45"/>
  <c r="H2418" i="45"/>
  <c r="G2418" i="45"/>
  <c r="D2418" i="45"/>
  <c r="I2417" i="45"/>
  <c r="H2417" i="45"/>
  <c r="G2417" i="45"/>
  <c r="D2417" i="45"/>
  <c r="I2416" i="45"/>
  <c r="H2416" i="45"/>
  <c r="G2416" i="45"/>
  <c r="D2416" i="45"/>
  <c r="I2415" i="45"/>
  <c r="H2415" i="45"/>
  <c r="G2415" i="45"/>
  <c r="D2415" i="45"/>
  <c r="I2414" i="45"/>
  <c r="H2414" i="45"/>
  <c r="G2414" i="45"/>
  <c r="D2414" i="45"/>
  <c r="I2413" i="45"/>
  <c r="H2413" i="45"/>
  <c r="G2413" i="45"/>
  <c r="D2413" i="45"/>
  <c r="I2411" i="45"/>
  <c r="H2411" i="45"/>
  <c r="G2411" i="45"/>
  <c r="D2411" i="45"/>
  <c r="I2410" i="45"/>
  <c r="H2410" i="45"/>
  <c r="G2410" i="45"/>
  <c r="D2410" i="45"/>
  <c r="I2409" i="45"/>
  <c r="H2409" i="45"/>
  <c r="G2409" i="45"/>
  <c r="D2409" i="45"/>
  <c r="I2408" i="45"/>
  <c r="H2408" i="45"/>
  <c r="G2408" i="45"/>
  <c r="D2408" i="45"/>
  <c r="I2407" i="45"/>
  <c r="H2407" i="45"/>
  <c r="G2407" i="45"/>
  <c r="D2407" i="45"/>
  <c r="I2406" i="45"/>
  <c r="H2406" i="45"/>
  <c r="G2406" i="45"/>
  <c r="D2406" i="45"/>
  <c r="I2405" i="45"/>
  <c r="H2405" i="45"/>
  <c r="G2405" i="45"/>
  <c r="D2405" i="45"/>
  <c r="I2404" i="45"/>
  <c r="H2404" i="45"/>
  <c r="G2404" i="45"/>
  <c r="D2404" i="45"/>
  <c r="I2403" i="45"/>
  <c r="H2403" i="45"/>
  <c r="G2403" i="45"/>
  <c r="D2403" i="45"/>
  <c r="I2402" i="45"/>
  <c r="H2402" i="45"/>
  <c r="G2402" i="45"/>
  <c r="D2402" i="45"/>
  <c r="I2401" i="45"/>
  <c r="H2401" i="45"/>
  <c r="G2401" i="45"/>
  <c r="D2401" i="45"/>
  <c r="I2400" i="45"/>
  <c r="H2400" i="45"/>
  <c r="G2400" i="45"/>
  <c r="D2400" i="45"/>
  <c r="I2399" i="45"/>
  <c r="H2399" i="45"/>
  <c r="G2399" i="45"/>
  <c r="D2399" i="45"/>
  <c r="I2398" i="45"/>
  <c r="H2398" i="45"/>
  <c r="G2398" i="45"/>
  <c r="D2398" i="45"/>
  <c r="I2397" i="45"/>
  <c r="H2397" i="45"/>
  <c r="G2397" i="45"/>
  <c r="D2397" i="45"/>
  <c r="I2396" i="45"/>
  <c r="H2396" i="45"/>
  <c r="G2396" i="45"/>
  <c r="D2396" i="45"/>
  <c r="I2395" i="45"/>
  <c r="H2395" i="45"/>
  <c r="G2395" i="45"/>
  <c r="D2395" i="45"/>
  <c r="I2394" i="45"/>
  <c r="H2394" i="45"/>
  <c r="G2394" i="45"/>
  <c r="D2394" i="45"/>
  <c r="I2393" i="45"/>
  <c r="H2393" i="45"/>
  <c r="G2393" i="45"/>
  <c r="D2393" i="45"/>
  <c r="I2392" i="45"/>
  <c r="H2392" i="45"/>
  <c r="G2392" i="45"/>
  <c r="D2392" i="45"/>
  <c r="I2391" i="45"/>
  <c r="H2391" i="45"/>
  <c r="G2391" i="45"/>
  <c r="D2391" i="45"/>
  <c r="I2390" i="45"/>
  <c r="H2390" i="45"/>
  <c r="G2390" i="45"/>
  <c r="D2390" i="45"/>
  <c r="I2387" i="45"/>
  <c r="H2387" i="45"/>
  <c r="G2387" i="45"/>
  <c r="D2387" i="45"/>
  <c r="I2386" i="45"/>
  <c r="H2386" i="45"/>
  <c r="G2386" i="45"/>
  <c r="D2386" i="45"/>
  <c r="I2385" i="45"/>
  <c r="H2385" i="45"/>
  <c r="G2385" i="45"/>
  <c r="D2385" i="45"/>
  <c r="I2384" i="45"/>
  <c r="H2384" i="45"/>
  <c r="G2384" i="45"/>
  <c r="D2384" i="45"/>
  <c r="I2383" i="45"/>
  <c r="H2383" i="45"/>
  <c r="G2383" i="45"/>
  <c r="D2383" i="45"/>
  <c r="I2382" i="45"/>
  <c r="H2382" i="45"/>
  <c r="G2382" i="45"/>
  <c r="D2382" i="45"/>
  <c r="I2381" i="45"/>
  <c r="H2381" i="45"/>
  <c r="G2381" i="45"/>
  <c r="D2381" i="45"/>
  <c r="I2379" i="45"/>
  <c r="H2379" i="45"/>
  <c r="G2379" i="45"/>
  <c r="D2379" i="45"/>
  <c r="I2378" i="45"/>
  <c r="H2378" i="45"/>
  <c r="G2378" i="45"/>
  <c r="D2378" i="45"/>
  <c r="I2377" i="45"/>
  <c r="H2377" i="45"/>
  <c r="G2377" i="45"/>
  <c r="D2377" i="45"/>
  <c r="I2376" i="45"/>
  <c r="H2376" i="45"/>
  <c r="G2376" i="45"/>
  <c r="D2376" i="45"/>
  <c r="I2373" i="45"/>
  <c r="H2373" i="45"/>
  <c r="G2373" i="45"/>
  <c r="D2373" i="45"/>
  <c r="I2372" i="45"/>
  <c r="H2372" i="45"/>
  <c r="G2372" i="45"/>
  <c r="D2372" i="45"/>
  <c r="I2371" i="45"/>
  <c r="H2371" i="45"/>
  <c r="G2371" i="45"/>
  <c r="D2371" i="45"/>
  <c r="I2370" i="45"/>
  <c r="H2370" i="45"/>
  <c r="G2370" i="45"/>
  <c r="D2370" i="45"/>
  <c r="I2369" i="45"/>
  <c r="H2369" i="45"/>
  <c r="G2369" i="45"/>
  <c r="D2369" i="45"/>
  <c r="I2368" i="45"/>
  <c r="H2368" i="45"/>
  <c r="G2368" i="45"/>
  <c r="D2368" i="45"/>
  <c r="I2367" i="45"/>
  <c r="H2367" i="45"/>
  <c r="G2367" i="45"/>
  <c r="D2367" i="45"/>
  <c r="D2364" i="45"/>
  <c r="D2363" i="45"/>
  <c r="D2362" i="45"/>
  <c r="D2361" i="45"/>
  <c r="I2360" i="45"/>
  <c r="H2360" i="45"/>
  <c r="G2360" i="45"/>
  <c r="D2360" i="45"/>
  <c r="I2359" i="45"/>
  <c r="H2359" i="45"/>
  <c r="G2359" i="45"/>
  <c r="D2359" i="45"/>
  <c r="I2358" i="45"/>
  <c r="H2358" i="45"/>
  <c r="G2358" i="45"/>
  <c r="D2358" i="45"/>
  <c r="I2357" i="45"/>
  <c r="H2357" i="45"/>
  <c r="G2357" i="45"/>
  <c r="D2357" i="45"/>
  <c r="I2356" i="45"/>
  <c r="H2356" i="45"/>
  <c r="G2356" i="45"/>
  <c r="D2356" i="45"/>
  <c r="I2355" i="45"/>
  <c r="H2355" i="45"/>
  <c r="G2355" i="45"/>
  <c r="D2355" i="45"/>
  <c r="I2354" i="45"/>
  <c r="H2354" i="45"/>
  <c r="G2354" i="45"/>
  <c r="D2354" i="45"/>
  <c r="I2353" i="45"/>
  <c r="H2353" i="45"/>
  <c r="G2353" i="45"/>
  <c r="D2353" i="45"/>
  <c r="I2352" i="45"/>
  <c r="H2352" i="45"/>
  <c r="G2352" i="45"/>
  <c r="D2352" i="45"/>
  <c r="I2351" i="45"/>
  <c r="H2351" i="45"/>
  <c r="G2351" i="45"/>
  <c r="D2351" i="45"/>
  <c r="I2350" i="45"/>
  <c r="H2350" i="45"/>
  <c r="G2350" i="45"/>
  <c r="D2350" i="45"/>
  <c r="I2349" i="45"/>
  <c r="H2349" i="45"/>
  <c r="G2349" i="45"/>
  <c r="D2349" i="45"/>
  <c r="I2348" i="45"/>
  <c r="H2348" i="45"/>
  <c r="G2348" i="45"/>
  <c r="D2348" i="45"/>
  <c r="I2347" i="45"/>
  <c r="H2347" i="45"/>
  <c r="G2347" i="45"/>
  <c r="D2347" i="45"/>
  <c r="I2346" i="45"/>
  <c r="H2346" i="45"/>
  <c r="G2346" i="45"/>
  <c r="D2346" i="45"/>
  <c r="I2345" i="45"/>
  <c r="H2345" i="45"/>
  <c r="G2345" i="45"/>
  <c r="D2345" i="45"/>
  <c r="I2344" i="45"/>
  <c r="H2344" i="45"/>
  <c r="G2344" i="45"/>
  <c r="D2344" i="45"/>
  <c r="I2343" i="45"/>
  <c r="H2343" i="45"/>
  <c r="G2343" i="45"/>
  <c r="D2343" i="45"/>
  <c r="I2342" i="45"/>
  <c r="H2342" i="45"/>
  <c r="G2342" i="45"/>
  <c r="D2342" i="45"/>
  <c r="I2341" i="45"/>
  <c r="H2341" i="45"/>
  <c r="G2341" i="45"/>
  <c r="D2341" i="45"/>
  <c r="I2340" i="45"/>
  <c r="H2340" i="45"/>
  <c r="G2340" i="45"/>
  <c r="D2340" i="45"/>
  <c r="G2339" i="45"/>
  <c r="D2339" i="45"/>
  <c r="I2338" i="45"/>
  <c r="H2338" i="45"/>
  <c r="G2338" i="45"/>
  <c r="D2338" i="45"/>
  <c r="I2337" i="45"/>
  <c r="H2337" i="45"/>
  <c r="G2337" i="45"/>
  <c r="D2337" i="45"/>
  <c r="I2335" i="45"/>
  <c r="H2335" i="45"/>
  <c r="G2335" i="45"/>
  <c r="D2335" i="45"/>
  <c r="I2334" i="45"/>
  <c r="H2334" i="45"/>
  <c r="G2334" i="45"/>
  <c r="D2334" i="45"/>
  <c r="I2333" i="45"/>
  <c r="H2333" i="45"/>
  <c r="G2333" i="45"/>
  <c r="D2333" i="45"/>
  <c r="I2332" i="45"/>
  <c r="H2332" i="45"/>
  <c r="G2332" i="45"/>
  <c r="D2332" i="45"/>
  <c r="I2330" i="45"/>
  <c r="H2330" i="45"/>
  <c r="G2330" i="45"/>
  <c r="D2330" i="45"/>
  <c r="I2323" i="45"/>
  <c r="H2323" i="45"/>
  <c r="G2323" i="45"/>
  <c r="D2323" i="45"/>
  <c r="I2322" i="45"/>
  <c r="H2322" i="45"/>
  <c r="G2322" i="45"/>
  <c r="D2322" i="45"/>
  <c r="I2321" i="45"/>
  <c r="H2321" i="45"/>
  <c r="G2321" i="45"/>
  <c r="D2321" i="45"/>
  <c r="G2320" i="45"/>
  <c r="D2320" i="45"/>
  <c r="I2318" i="45"/>
  <c r="H2318" i="45"/>
  <c r="G2318" i="45"/>
  <c r="D2318" i="45"/>
  <c r="I2317" i="45"/>
  <c r="H2317" i="45"/>
  <c r="G2317" i="45"/>
  <c r="D2317" i="45"/>
  <c r="I2316" i="45"/>
  <c r="H2316" i="45"/>
  <c r="G2316" i="45"/>
  <c r="D2316" i="45"/>
  <c r="I2315" i="45"/>
  <c r="H2315" i="45"/>
  <c r="G2315" i="45"/>
  <c r="D2315" i="45"/>
  <c r="I2314" i="45"/>
  <c r="H2314" i="45"/>
  <c r="G2314" i="45"/>
  <c r="D2314" i="45"/>
  <c r="I2313" i="45"/>
  <c r="H2313" i="45"/>
  <c r="G2313" i="45"/>
  <c r="D2313" i="45"/>
  <c r="I2312" i="45"/>
  <c r="H2312" i="45"/>
  <c r="G2312" i="45"/>
  <c r="D2312" i="45"/>
  <c r="I2311" i="45"/>
  <c r="H2311" i="45"/>
  <c r="G2311" i="45"/>
  <c r="D2311" i="45"/>
  <c r="I2310" i="45"/>
  <c r="H2310" i="45"/>
  <c r="G2310" i="45"/>
  <c r="D2310" i="45"/>
  <c r="I2309" i="45"/>
  <c r="H2309" i="45"/>
  <c r="G2309" i="45"/>
  <c r="D2309" i="45"/>
  <c r="I2307" i="45"/>
  <c r="H2307" i="45"/>
  <c r="G2307" i="45"/>
  <c r="D2307" i="45"/>
  <c r="I2306" i="45"/>
  <c r="H2306" i="45"/>
  <c r="G2306" i="45"/>
  <c r="D2306" i="45"/>
  <c r="I2305" i="45"/>
  <c r="H2305" i="45"/>
  <c r="G2305" i="45"/>
  <c r="D2305" i="45"/>
  <c r="I2304" i="45"/>
  <c r="H2304" i="45"/>
  <c r="G2304" i="45"/>
  <c r="D2304" i="45"/>
  <c r="G2297" i="45"/>
  <c r="D2297" i="45"/>
  <c r="I2296" i="45"/>
  <c r="H2296" i="45"/>
  <c r="G2296" i="45"/>
  <c r="D2296" i="45"/>
  <c r="D2239" i="45"/>
  <c r="G2239" i="45"/>
  <c r="H2239" i="45"/>
  <c r="I2239" i="45"/>
  <c r="D2240" i="45"/>
  <c r="G2240" i="45"/>
  <c r="H2240" i="45"/>
  <c r="I2240" i="45"/>
  <c r="D2142" i="45" l="1"/>
  <c r="G2142" i="45"/>
  <c r="H2142" i="45"/>
  <c r="I2142" i="45"/>
  <c r="D2140" i="45"/>
  <c r="G2140" i="45"/>
  <c r="H2140" i="45"/>
  <c r="I2140" i="45"/>
  <c r="D2156" i="45"/>
  <c r="G2156" i="45"/>
  <c r="H2156" i="45"/>
  <c r="I2156" i="45"/>
  <c r="D2155" i="45"/>
  <c r="G2155" i="45"/>
  <c r="H2155" i="45"/>
  <c r="I2155" i="45"/>
  <c r="D2154" i="45"/>
  <c r="G2154" i="45"/>
  <c r="H2154" i="45"/>
  <c r="I2154" i="45"/>
  <c r="D2157" i="45"/>
  <c r="G2157" i="45"/>
  <c r="H2157" i="45"/>
  <c r="I2157" i="45"/>
  <c r="D2171" i="45"/>
  <c r="G2171" i="45"/>
  <c r="H2171" i="45"/>
  <c r="I2171" i="45"/>
  <c r="I2295" i="45"/>
  <c r="H2295" i="45"/>
  <c r="G2295" i="45"/>
  <c r="D2295" i="45"/>
  <c r="I2294" i="45"/>
  <c r="H2294" i="45"/>
  <c r="G2294" i="45"/>
  <c r="D2294" i="45"/>
  <c r="I2293" i="45"/>
  <c r="H2293" i="45"/>
  <c r="G2293" i="45"/>
  <c r="D2293" i="45"/>
  <c r="I2292" i="45"/>
  <c r="H2292" i="45"/>
  <c r="G2292" i="45"/>
  <c r="D2292" i="45"/>
  <c r="I2291" i="45"/>
  <c r="H2291" i="45"/>
  <c r="G2291" i="45"/>
  <c r="D2291" i="45"/>
  <c r="I2290" i="45"/>
  <c r="H2290" i="45"/>
  <c r="G2290" i="45"/>
  <c r="D2290" i="45"/>
  <c r="I2289" i="45"/>
  <c r="H2289" i="45"/>
  <c r="G2289" i="45"/>
  <c r="D2289" i="45"/>
  <c r="I2288" i="45"/>
  <c r="H2288" i="45"/>
  <c r="G2288" i="45"/>
  <c r="D2288" i="45"/>
  <c r="I2287" i="45"/>
  <c r="H2287" i="45"/>
  <c r="G2287" i="45"/>
  <c r="D2287" i="45"/>
  <c r="I2286" i="45"/>
  <c r="H2286" i="45"/>
  <c r="G2286" i="45"/>
  <c r="D2286" i="45"/>
  <c r="I2285" i="45"/>
  <c r="H2285" i="45"/>
  <c r="G2285" i="45"/>
  <c r="D2285" i="45"/>
  <c r="I2284" i="45"/>
  <c r="H2284" i="45"/>
  <c r="G2284" i="45"/>
  <c r="D2284" i="45"/>
  <c r="I2283" i="45"/>
  <c r="H2283" i="45"/>
  <c r="G2283" i="45"/>
  <c r="D2283" i="45"/>
  <c r="I2282" i="45"/>
  <c r="H2282" i="45"/>
  <c r="G2282" i="45"/>
  <c r="D2282" i="45"/>
  <c r="I2281" i="45"/>
  <c r="H2281" i="45"/>
  <c r="G2281" i="45"/>
  <c r="D2281" i="45"/>
  <c r="I2280" i="45"/>
  <c r="H2280" i="45"/>
  <c r="G2280" i="45"/>
  <c r="D2280" i="45"/>
  <c r="I2275" i="45"/>
  <c r="H2275" i="45"/>
  <c r="G2275" i="45"/>
  <c r="D2275" i="45"/>
  <c r="I2272" i="45"/>
  <c r="H2272" i="45"/>
  <c r="G2272" i="45"/>
  <c r="D2272" i="45"/>
  <c r="I2271" i="45"/>
  <c r="H2271" i="45"/>
  <c r="G2271" i="45"/>
  <c r="D2271" i="45"/>
  <c r="I2270" i="45"/>
  <c r="H2270" i="45"/>
  <c r="G2270" i="45"/>
  <c r="D2270" i="45"/>
  <c r="I2269" i="45"/>
  <c r="H2269" i="45"/>
  <c r="G2269" i="45"/>
  <c r="D2269" i="45"/>
  <c r="I2268" i="45"/>
  <c r="H2268" i="45"/>
  <c r="G2268" i="45"/>
  <c r="D2268" i="45"/>
  <c r="I2267" i="45"/>
  <c r="H2267" i="45"/>
  <c r="G2267" i="45"/>
  <c r="D2267" i="45"/>
  <c r="I2266" i="45"/>
  <c r="H2266" i="45"/>
  <c r="G2266" i="45"/>
  <c r="D2266" i="45"/>
  <c r="I2265" i="45"/>
  <c r="H2265" i="45"/>
  <c r="G2265" i="45"/>
  <c r="D2265" i="45"/>
  <c r="I2264" i="45"/>
  <c r="H2264" i="45"/>
  <c r="G2264" i="45"/>
  <c r="D2264" i="45"/>
  <c r="I2263" i="45"/>
  <c r="H2263" i="45"/>
  <c r="G2263" i="45"/>
  <c r="D2263" i="45"/>
  <c r="I2262" i="45"/>
  <c r="H2262" i="45"/>
  <c r="G2262" i="45"/>
  <c r="D2262" i="45"/>
  <c r="I2261" i="45"/>
  <c r="H2261" i="45"/>
  <c r="G2261" i="45"/>
  <c r="D2261" i="45"/>
  <c r="I2260" i="45"/>
  <c r="H2260" i="45"/>
  <c r="G2260" i="45"/>
  <c r="D2260" i="45"/>
  <c r="I2253" i="45"/>
  <c r="H2253" i="45"/>
  <c r="G2253" i="45"/>
  <c r="D2253" i="45"/>
  <c r="I2252" i="45"/>
  <c r="H2252" i="45"/>
  <c r="G2252" i="45"/>
  <c r="D2252" i="45"/>
  <c r="I2251" i="45"/>
  <c r="H2251" i="45"/>
  <c r="G2251" i="45"/>
  <c r="D2251" i="45"/>
  <c r="I2250" i="45"/>
  <c r="H2250" i="45"/>
  <c r="G2250" i="45"/>
  <c r="D2250" i="45"/>
  <c r="I2249" i="45"/>
  <c r="H2249" i="45"/>
  <c r="G2249" i="45"/>
  <c r="D2249" i="45"/>
  <c r="I2248" i="45"/>
  <c r="H2248" i="45"/>
  <c r="G2248" i="45"/>
  <c r="D2248" i="45"/>
  <c r="I2247" i="45"/>
  <c r="H2247" i="45"/>
  <c r="G2247" i="45"/>
  <c r="D2247" i="45"/>
  <c r="I2246" i="45"/>
  <c r="H2246" i="45"/>
  <c r="G2246" i="45"/>
  <c r="D2246" i="45"/>
  <c r="I2245" i="45"/>
  <c r="H2245" i="45"/>
  <c r="G2245" i="45"/>
  <c r="D2245" i="45"/>
  <c r="I2244" i="45"/>
  <c r="H2244" i="45"/>
  <c r="G2244" i="45"/>
  <c r="D2244" i="45"/>
  <c r="I2243" i="45"/>
  <c r="H2243" i="45"/>
  <c r="G2243" i="45"/>
  <c r="D2243" i="45"/>
  <c r="I2242" i="45"/>
  <c r="H2242" i="45"/>
  <c r="G2242" i="45"/>
  <c r="D2242" i="45"/>
  <c r="I2241" i="45"/>
  <c r="H2241" i="45"/>
  <c r="G2241" i="45"/>
  <c r="D2241" i="45"/>
  <c r="I2238" i="45"/>
  <c r="H2238" i="45"/>
  <c r="G2238" i="45"/>
  <c r="D2238" i="45"/>
  <c r="I2237" i="45"/>
  <c r="H2237" i="45"/>
  <c r="G2237" i="45"/>
  <c r="D2237" i="45"/>
  <c r="I2236" i="45"/>
  <c r="H2236" i="45"/>
  <c r="G2236" i="45"/>
  <c r="D2236" i="45"/>
  <c r="I2235" i="45"/>
  <c r="H2235" i="45"/>
  <c r="G2235" i="45"/>
  <c r="D2235" i="45"/>
  <c r="I2234" i="45"/>
  <c r="H2234" i="45"/>
  <c r="G2234" i="45"/>
  <c r="D2234" i="45"/>
  <c r="I2233" i="45"/>
  <c r="H2233" i="45"/>
  <c r="G2233" i="45"/>
  <c r="D2233" i="45"/>
  <c r="I2232" i="45"/>
  <c r="H2232" i="45"/>
  <c r="G2232" i="45"/>
  <c r="D2232" i="45"/>
  <c r="I2229" i="45"/>
  <c r="H2229" i="45"/>
  <c r="G2229" i="45"/>
  <c r="D2229" i="45"/>
  <c r="I2228" i="45"/>
  <c r="H2228" i="45"/>
  <c r="G2228" i="45"/>
  <c r="D2228" i="45"/>
  <c r="I2227" i="45"/>
  <c r="H2227" i="45"/>
  <c r="G2227" i="45"/>
  <c r="D2227" i="45"/>
  <c r="I2226" i="45"/>
  <c r="H2226" i="45"/>
  <c r="G2226" i="45"/>
  <c r="D2226" i="45"/>
  <c r="I2225" i="45"/>
  <c r="H2225" i="45"/>
  <c r="G2225" i="45"/>
  <c r="D2225" i="45"/>
  <c r="I2224" i="45"/>
  <c r="H2224" i="45"/>
  <c r="G2224" i="45"/>
  <c r="D2224" i="45"/>
  <c r="I2223" i="45"/>
  <c r="H2223" i="45"/>
  <c r="G2223" i="45"/>
  <c r="D2223" i="45"/>
  <c r="I2221" i="45"/>
  <c r="H2221" i="45"/>
  <c r="G2221" i="45"/>
  <c r="D2221" i="45"/>
  <c r="I2220" i="45"/>
  <c r="H2220" i="45"/>
  <c r="G2220" i="45"/>
  <c r="D2220" i="45"/>
  <c r="I2219" i="45"/>
  <c r="H2219" i="45"/>
  <c r="G2219" i="45"/>
  <c r="D2219" i="45"/>
  <c r="I2218" i="45"/>
  <c r="H2218" i="45"/>
  <c r="G2218" i="45"/>
  <c r="D2218" i="45"/>
  <c r="I2215" i="45"/>
  <c r="H2215" i="45"/>
  <c r="G2215" i="45"/>
  <c r="D2215" i="45"/>
  <c r="I2214" i="45"/>
  <c r="H2214" i="45"/>
  <c r="G2214" i="45"/>
  <c r="D2214" i="45"/>
  <c r="I2213" i="45"/>
  <c r="H2213" i="45"/>
  <c r="G2213" i="45"/>
  <c r="D2213" i="45"/>
  <c r="I2212" i="45"/>
  <c r="H2212" i="45"/>
  <c r="G2212" i="45"/>
  <c r="D2212" i="45"/>
  <c r="I2211" i="45"/>
  <c r="H2211" i="45"/>
  <c r="G2211" i="45"/>
  <c r="D2211" i="45"/>
  <c r="I2210" i="45"/>
  <c r="H2210" i="45"/>
  <c r="G2210" i="45"/>
  <c r="D2210" i="45"/>
  <c r="I2209" i="45"/>
  <c r="H2209" i="45"/>
  <c r="G2209" i="45"/>
  <c r="D2209" i="45"/>
  <c r="I2208" i="45"/>
  <c r="H2208" i="45"/>
  <c r="G2208" i="45"/>
  <c r="D2208" i="45"/>
  <c r="I2207" i="45"/>
  <c r="H2207" i="45"/>
  <c r="G2207" i="45"/>
  <c r="D2207" i="45"/>
  <c r="I2206" i="45"/>
  <c r="H2206" i="45"/>
  <c r="G2206" i="45"/>
  <c r="D2206" i="45"/>
  <c r="I2205" i="45"/>
  <c r="H2205" i="45"/>
  <c r="G2205" i="45"/>
  <c r="D2205" i="45"/>
  <c r="I2204" i="45"/>
  <c r="H2204" i="45"/>
  <c r="G2204" i="45"/>
  <c r="D2204" i="45"/>
  <c r="I2203" i="45"/>
  <c r="H2203" i="45"/>
  <c r="G2203" i="45"/>
  <c r="D2203" i="45"/>
  <c r="I2202" i="45"/>
  <c r="H2202" i="45"/>
  <c r="G2202" i="45"/>
  <c r="D2202" i="45"/>
  <c r="I2201" i="45"/>
  <c r="H2201" i="45"/>
  <c r="G2201" i="45"/>
  <c r="D2201" i="45"/>
  <c r="I2200" i="45"/>
  <c r="H2200" i="45"/>
  <c r="G2200" i="45"/>
  <c r="D2200" i="45"/>
  <c r="I2199" i="45"/>
  <c r="H2199" i="45"/>
  <c r="G2199" i="45"/>
  <c r="D2199" i="45"/>
  <c r="I2198" i="45"/>
  <c r="H2198" i="45"/>
  <c r="G2198" i="45"/>
  <c r="D2198" i="45"/>
  <c r="I2197" i="45"/>
  <c r="H2197" i="45"/>
  <c r="G2197" i="45"/>
  <c r="D2197" i="45"/>
  <c r="I2196" i="45"/>
  <c r="H2196" i="45"/>
  <c r="G2196" i="45"/>
  <c r="D2196" i="45"/>
  <c r="I2195" i="45"/>
  <c r="H2195" i="45"/>
  <c r="G2195" i="45"/>
  <c r="D2195" i="45"/>
  <c r="I2194" i="45"/>
  <c r="H2194" i="45"/>
  <c r="G2194" i="45"/>
  <c r="D2194" i="45"/>
  <c r="I2193" i="45"/>
  <c r="H2193" i="45"/>
  <c r="G2193" i="45"/>
  <c r="D2193" i="45"/>
  <c r="I2192" i="45"/>
  <c r="H2192" i="45"/>
  <c r="G2192" i="45"/>
  <c r="D2192" i="45"/>
  <c r="I2191" i="45"/>
  <c r="H2191" i="45"/>
  <c r="G2191" i="45"/>
  <c r="D2191" i="45"/>
  <c r="I2190" i="45"/>
  <c r="H2190" i="45"/>
  <c r="G2190" i="45"/>
  <c r="D2190" i="45"/>
  <c r="I2189" i="45"/>
  <c r="H2189" i="45"/>
  <c r="G2189" i="45"/>
  <c r="D2189" i="45"/>
  <c r="I2188" i="45"/>
  <c r="H2188" i="45"/>
  <c r="G2188" i="45"/>
  <c r="D2188" i="45"/>
  <c r="I2187" i="45"/>
  <c r="H2187" i="45"/>
  <c r="G2187" i="45"/>
  <c r="D2187" i="45"/>
  <c r="I2186" i="45"/>
  <c r="H2186" i="45"/>
  <c r="G2186" i="45"/>
  <c r="D2186" i="45"/>
  <c r="I2185" i="45"/>
  <c r="H2185" i="45"/>
  <c r="G2185" i="45"/>
  <c r="D2185" i="45"/>
  <c r="I2184" i="45"/>
  <c r="H2184" i="45"/>
  <c r="G2184" i="45"/>
  <c r="D2184" i="45"/>
  <c r="I2177" i="45"/>
  <c r="H2177" i="45"/>
  <c r="G2177" i="45"/>
  <c r="D2177" i="45"/>
  <c r="I2176" i="45"/>
  <c r="H2176" i="45"/>
  <c r="G2176" i="45"/>
  <c r="D2176" i="45"/>
  <c r="I2175" i="45"/>
  <c r="H2175" i="45"/>
  <c r="G2175" i="45"/>
  <c r="D2175" i="45"/>
  <c r="I2174" i="45"/>
  <c r="H2174" i="45"/>
  <c r="G2174" i="45"/>
  <c r="D2174" i="45"/>
  <c r="I2173" i="45"/>
  <c r="H2173" i="45"/>
  <c r="G2173" i="45"/>
  <c r="D2173" i="45"/>
  <c r="I2172" i="45"/>
  <c r="H2172" i="45"/>
  <c r="G2172" i="45"/>
  <c r="D2172" i="45"/>
  <c r="I2170" i="45"/>
  <c r="H2170" i="45"/>
  <c r="G2170" i="45"/>
  <c r="D2170" i="45"/>
  <c r="I2169" i="45"/>
  <c r="H2169" i="45"/>
  <c r="G2169" i="45"/>
  <c r="D2169" i="45"/>
  <c r="I2168" i="45"/>
  <c r="H2168" i="45"/>
  <c r="G2168" i="45"/>
  <c r="D2168" i="45"/>
  <c r="I2167" i="45"/>
  <c r="H2167" i="45"/>
  <c r="G2167" i="45"/>
  <c r="D2167" i="45"/>
  <c r="I2166" i="45"/>
  <c r="H2166" i="45"/>
  <c r="G2166" i="45"/>
  <c r="D2166" i="45"/>
  <c r="I2164" i="45"/>
  <c r="H2164" i="45"/>
  <c r="G2164" i="45"/>
  <c r="D2164" i="45"/>
  <c r="I2163" i="45"/>
  <c r="H2163" i="45"/>
  <c r="G2163" i="45"/>
  <c r="D2163" i="45"/>
  <c r="I2162" i="45"/>
  <c r="H2162" i="45"/>
  <c r="G2162" i="45"/>
  <c r="D2162" i="45"/>
  <c r="I2161" i="45"/>
  <c r="H2161" i="45"/>
  <c r="G2161" i="45"/>
  <c r="D2161" i="45"/>
  <c r="I2160" i="45"/>
  <c r="H2160" i="45"/>
  <c r="G2160" i="45"/>
  <c r="D2160" i="45"/>
  <c r="I2159" i="45"/>
  <c r="H2159" i="45"/>
  <c r="G2159" i="45"/>
  <c r="D2159" i="45"/>
  <c r="I2158" i="45"/>
  <c r="H2158" i="45"/>
  <c r="G2158" i="45"/>
  <c r="D2158" i="45"/>
  <c r="I2153" i="45"/>
  <c r="H2153" i="45"/>
  <c r="G2153" i="45"/>
  <c r="D2153" i="45"/>
  <c r="I2152" i="45"/>
  <c r="H2152" i="45"/>
  <c r="G2152" i="45"/>
  <c r="D2152" i="45"/>
  <c r="I2151" i="45"/>
  <c r="H2151" i="45"/>
  <c r="G2151" i="45"/>
  <c r="D2151" i="45"/>
  <c r="D2106" i="45"/>
  <c r="G2106" i="45"/>
  <c r="H2106" i="45"/>
  <c r="I2106" i="45"/>
  <c r="D2135" i="45"/>
  <c r="G2135" i="45"/>
  <c r="H2135" i="45"/>
  <c r="I2135" i="45"/>
  <c r="D2136" i="45"/>
  <c r="G2136" i="45"/>
  <c r="H2136" i="45"/>
  <c r="I2136" i="45"/>
  <c r="D2033" i="45"/>
  <c r="G2033" i="45"/>
  <c r="H2033" i="45"/>
  <c r="I2033" i="45"/>
  <c r="D2035" i="45"/>
  <c r="G2035" i="45"/>
  <c r="H2035" i="45"/>
  <c r="I2035" i="45"/>
  <c r="D2034" i="45"/>
  <c r="G2034" i="45"/>
  <c r="H2034" i="45"/>
  <c r="I2034" i="45"/>
  <c r="D2070" i="45"/>
  <c r="G2070" i="45"/>
  <c r="H2070" i="45"/>
  <c r="I2070" i="45"/>
  <c r="D2069" i="45"/>
  <c r="G2069" i="45"/>
  <c r="H2069" i="45"/>
  <c r="I2069" i="45"/>
  <c r="D2107" i="45"/>
  <c r="G2107" i="45"/>
  <c r="H2107" i="45"/>
  <c r="I2107" i="45"/>
  <c r="D2105" i="45"/>
  <c r="G2105" i="45"/>
  <c r="H2105" i="45"/>
  <c r="I2105" i="45"/>
  <c r="D2009" i="45" l="1"/>
  <c r="G2009" i="45"/>
  <c r="H2009" i="45"/>
  <c r="I2009" i="45"/>
  <c r="D2010" i="45"/>
  <c r="G2010" i="45"/>
  <c r="H2010" i="45"/>
  <c r="I2010" i="45"/>
  <c r="D2011" i="45"/>
  <c r="G2011" i="45"/>
  <c r="H2011" i="45"/>
  <c r="I2011" i="45"/>
  <c r="D2012" i="45"/>
  <c r="G2012" i="45"/>
  <c r="H2012" i="45"/>
  <c r="I2012" i="45"/>
  <c r="D2013" i="45"/>
  <c r="G2013" i="45"/>
  <c r="H2013" i="45"/>
  <c r="I2013" i="45"/>
  <c r="D2014" i="45"/>
  <c r="G2014" i="45"/>
  <c r="H2014" i="45"/>
  <c r="I2014" i="45"/>
  <c r="D2018" i="45"/>
  <c r="G2018" i="45"/>
  <c r="H2018" i="45"/>
  <c r="I2018" i="45"/>
  <c r="I2139" i="45"/>
  <c r="H2139" i="45"/>
  <c r="G2139" i="45"/>
  <c r="D2139" i="45"/>
  <c r="I2138" i="45"/>
  <c r="H2138" i="45"/>
  <c r="G2138" i="45"/>
  <c r="D2138" i="45"/>
  <c r="I2137" i="45"/>
  <c r="H2137" i="45"/>
  <c r="G2137" i="45"/>
  <c r="D2137" i="45"/>
  <c r="I2132" i="45"/>
  <c r="H2132" i="45"/>
  <c r="G2132" i="45"/>
  <c r="D2132" i="45"/>
  <c r="I2131" i="45"/>
  <c r="H2131" i="45"/>
  <c r="G2131" i="45"/>
  <c r="D2131" i="45"/>
  <c r="I2130" i="45"/>
  <c r="H2130" i="45"/>
  <c r="G2130" i="45"/>
  <c r="D2130" i="45"/>
  <c r="I2128" i="45"/>
  <c r="H2128" i="45"/>
  <c r="G2128" i="45"/>
  <c r="D2128" i="45"/>
  <c r="I2127" i="45"/>
  <c r="H2127" i="45"/>
  <c r="G2127" i="45"/>
  <c r="D2127" i="45"/>
  <c r="I2126" i="45"/>
  <c r="H2126" i="45"/>
  <c r="G2126" i="45"/>
  <c r="D2126" i="45"/>
  <c r="I2125" i="45"/>
  <c r="H2125" i="45"/>
  <c r="G2125" i="45"/>
  <c r="D2125" i="45"/>
  <c r="I2124" i="45"/>
  <c r="H2124" i="45"/>
  <c r="G2124" i="45"/>
  <c r="D2124" i="45"/>
  <c r="I2123" i="45"/>
  <c r="H2123" i="45"/>
  <c r="G2123" i="45"/>
  <c r="D2123" i="45"/>
  <c r="I2122" i="45"/>
  <c r="H2122" i="45"/>
  <c r="G2122" i="45"/>
  <c r="D2122" i="45"/>
  <c r="I2121" i="45"/>
  <c r="H2121" i="45"/>
  <c r="G2121" i="45"/>
  <c r="D2121" i="45"/>
  <c r="I2120" i="45"/>
  <c r="H2120" i="45"/>
  <c r="G2120" i="45"/>
  <c r="D2120" i="45"/>
  <c r="I2119" i="45"/>
  <c r="H2119" i="45"/>
  <c r="G2119" i="45"/>
  <c r="D2119" i="45"/>
  <c r="I2118" i="45"/>
  <c r="H2118" i="45"/>
  <c r="G2118" i="45"/>
  <c r="D2118" i="45"/>
  <c r="I2117" i="45"/>
  <c r="H2117" i="45"/>
  <c r="G2117" i="45"/>
  <c r="D2117" i="45"/>
  <c r="I2116" i="45"/>
  <c r="H2116" i="45"/>
  <c r="G2116" i="45"/>
  <c r="D2116" i="45"/>
  <c r="I2115" i="45"/>
  <c r="H2115" i="45"/>
  <c r="G2115" i="45"/>
  <c r="D2115" i="45"/>
  <c r="I2114" i="45"/>
  <c r="H2114" i="45"/>
  <c r="G2114" i="45"/>
  <c r="D2114" i="45"/>
  <c r="I2113" i="45"/>
  <c r="H2113" i="45"/>
  <c r="G2113" i="45"/>
  <c r="D2113" i="45"/>
  <c r="I2112" i="45"/>
  <c r="H2112" i="45"/>
  <c r="G2112" i="45"/>
  <c r="D2112" i="45"/>
  <c r="I2111" i="45"/>
  <c r="H2111" i="45"/>
  <c r="G2111" i="45"/>
  <c r="D2111" i="45"/>
  <c r="I2110" i="45"/>
  <c r="H2110" i="45"/>
  <c r="G2110" i="45"/>
  <c r="D2110" i="45"/>
  <c r="I2109" i="45"/>
  <c r="H2109" i="45"/>
  <c r="G2109" i="45"/>
  <c r="D2109" i="45"/>
  <c r="I2108" i="45"/>
  <c r="H2108" i="45"/>
  <c r="G2108" i="45"/>
  <c r="D2108" i="45"/>
  <c r="I2104" i="45"/>
  <c r="H2104" i="45"/>
  <c r="G2104" i="45"/>
  <c r="D2104" i="45"/>
  <c r="I2103" i="45"/>
  <c r="H2103" i="45"/>
  <c r="G2103" i="45"/>
  <c r="D2103" i="45"/>
  <c r="I2101" i="45"/>
  <c r="H2101" i="45"/>
  <c r="G2101" i="45"/>
  <c r="D2101" i="45"/>
  <c r="I2100" i="45"/>
  <c r="H2100" i="45"/>
  <c r="G2100" i="45"/>
  <c r="D2100" i="45"/>
  <c r="I2099" i="45"/>
  <c r="H2099" i="45"/>
  <c r="G2099" i="45"/>
  <c r="D2099" i="45"/>
  <c r="I2098" i="45"/>
  <c r="H2098" i="45"/>
  <c r="G2098" i="45"/>
  <c r="D2098" i="45"/>
  <c r="I2097" i="45"/>
  <c r="H2097" i="45"/>
  <c r="G2097" i="45"/>
  <c r="D2097" i="45"/>
  <c r="I2096" i="45"/>
  <c r="H2096" i="45"/>
  <c r="G2096" i="45"/>
  <c r="D2096" i="45"/>
  <c r="I2095" i="45"/>
  <c r="H2095" i="45"/>
  <c r="G2095" i="45"/>
  <c r="D2095" i="45"/>
  <c r="I2094" i="45"/>
  <c r="H2094" i="45"/>
  <c r="G2094" i="45"/>
  <c r="D2094" i="45"/>
  <c r="I2093" i="45"/>
  <c r="H2093" i="45"/>
  <c r="G2093" i="45"/>
  <c r="D2093" i="45"/>
  <c r="I2092" i="45"/>
  <c r="H2092" i="45"/>
  <c r="G2092" i="45"/>
  <c r="D2092" i="45"/>
  <c r="I2091" i="45"/>
  <c r="H2091" i="45"/>
  <c r="G2091" i="45"/>
  <c r="D2091" i="45"/>
  <c r="I2090" i="45"/>
  <c r="H2090" i="45"/>
  <c r="G2090" i="45"/>
  <c r="D2090" i="45"/>
  <c r="I2089" i="45"/>
  <c r="H2089" i="45"/>
  <c r="G2089" i="45"/>
  <c r="D2089" i="45"/>
  <c r="I2088" i="45"/>
  <c r="H2088" i="45"/>
  <c r="G2088" i="45"/>
  <c r="D2088" i="45"/>
  <c r="I2087" i="45"/>
  <c r="H2087" i="45"/>
  <c r="G2087" i="45"/>
  <c r="D2087" i="45"/>
  <c r="I2086" i="45"/>
  <c r="H2086" i="45"/>
  <c r="G2086" i="45"/>
  <c r="D2086" i="45"/>
  <c r="I2085" i="45"/>
  <c r="H2085" i="45"/>
  <c r="G2085" i="45"/>
  <c r="D2085" i="45"/>
  <c r="I2084" i="45"/>
  <c r="H2084" i="45"/>
  <c r="G2084" i="45"/>
  <c r="D2084" i="45"/>
  <c r="I2083" i="45"/>
  <c r="H2083" i="45"/>
  <c r="G2083" i="45"/>
  <c r="D2083" i="45"/>
  <c r="I2082" i="45"/>
  <c r="H2082" i="45"/>
  <c r="G2082" i="45"/>
  <c r="D2082" i="45"/>
  <c r="I2079" i="45"/>
  <c r="H2079" i="45"/>
  <c r="G2079" i="45"/>
  <c r="D2079" i="45"/>
  <c r="I2078" i="45"/>
  <c r="H2078" i="45"/>
  <c r="G2078" i="45"/>
  <c r="D2078" i="45"/>
  <c r="I2077" i="45"/>
  <c r="H2077" i="45"/>
  <c r="G2077" i="45"/>
  <c r="D2077" i="45"/>
  <c r="I2076" i="45"/>
  <c r="H2076" i="45"/>
  <c r="G2076" i="45"/>
  <c r="D2076" i="45"/>
  <c r="I2075" i="45"/>
  <c r="H2075" i="45"/>
  <c r="G2075" i="45"/>
  <c r="D2075" i="45"/>
  <c r="I2074" i="45"/>
  <c r="H2074" i="45"/>
  <c r="G2074" i="45"/>
  <c r="D2074" i="45"/>
  <c r="I2073" i="45"/>
  <c r="H2073" i="45"/>
  <c r="G2073" i="45"/>
  <c r="D2073" i="45"/>
  <c r="I2071" i="45"/>
  <c r="H2071" i="45"/>
  <c r="G2071" i="45"/>
  <c r="D2071" i="45"/>
  <c r="I2068" i="45"/>
  <c r="H2068" i="45"/>
  <c r="G2068" i="45"/>
  <c r="D2068" i="45"/>
  <c r="I2066" i="45"/>
  <c r="H2066" i="45"/>
  <c r="G2066" i="45"/>
  <c r="D2066" i="45"/>
  <c r="I2063" i="45"/>
  <c r="H2063" i="45"/>
  <c r="G2063" i="45"/>
  <c r="D2063" i="45"/>
  <c r="I2062" i="45"/>
  <c r="H2062" i="45"/>
  <c r="G2062" i="45"/>
  <c r="D2062" i="45"/>
  <c r="I2061" i="45"/>
  <c r="H2061" i="45"/>
  <c r="G2061" i="45"/>
  <c r="D2061" i="45"/>
  <c r="I2060" i="45"/>
  <c r="H2060" i="45"/>
  <c r="G2060" i="45"/>
  <c r="D2060" i="45"/>
  <c r="I2059" i="45"/>
  <c r="H2059" i="45"/>
  <c r="G2059" i="45"/>
  <c r="D2059" i="45"/>
  <c r="I2058" i="45"/>
  <c r="H2058" i="45"/>
  <c r="G2058" i="45"/>
  <c r="D2058" i="45"/>
  <c r="I2057" i="45"/>
  <c r="H2057" i="45"/>
  <c r="G2057" i="45"/>
  <c r="D2057" i="45"/>
  <c r="I2056" i="45"/>
  <c r="H2056" i="45"/>
  <c r="G2056" i="45"/>
  <c r="D2056" i="45"/>
  <c r="I2055" i="45"/>
  <c r="H2055" i="45"/>
  <c r="G2055" i="45"/>
  <c r="D2055" i="45"/>
  <c r="I2053" i="45"/>
  <c r="H2053" i="45"/>
  <c r="G2053" i="45"/>
  <c r="D2053" i="45"/>
  <c r="I2052" i="45"/>
  <c r="H2052" i="45"/>
  <c r="G2052" i="45"/>
  <c r="D2052" i="45"/>
  <c r="I2051" i="45"/>
  <c r="H2051" i="45"/>
  <c r="G2051" i="45"/>
  <c r="D2051" i="45"/>
  <c r="I2050" i="45"/>
  <c r="H2050" i="45"/>
  <c r="G2050" i="45"/>
  <c r="D2050" i="45"/>
  <c r="I2049" i="45"/>
  <c r="H2049" i="45"/>
  <c r="G2049" i="45"/>
  <c r="D2049" i="45"/>
  <c r="I2048" i="45"/>
  <c r="H2048" i="45"/>
  <c r="G2048" i="45"/>
  <c r="D2048" i="45"/>
  <c r="I2047" i="45"/>
  <c r="H2047" i="45"/>
  <c r="G2047" i="45"/>
  <c r="D2047" i="45"/>
  <c r="I2046" i="45"/>
  <c r="H2046" i="45"/>
  <c r="G2046" i="45"/>
  <c r="D2046" i="45"/>
  <c r="I2045" i="45"/>
  <c r="H2045" i="45"/>
  <c r="G2045" i="45"/>
  <c r="D2045" i="45"/>
  <c r="I2044" i="45"/>
  <c r="H2044" i="45"/>
  <c r="G2044" i="45"/>
  <c r="D2044" i="45"/>
  <c r="I2043" i="45"/>
  <c r="H2043" i="45"/>
  <c r="G2043" i="45"/>
  <c r="D2043" i="45"/>
  <c r="I2042" i="45"/>
  <c r="H2042" i="45"/>
  <c r="G2042" i="45"/>
  <c r="D2042" i="45"/>
  <c r="I2041" i="45"/>
  <c r="H2041" i="45"/>
  <c r="G2041" i="45"/>
  <c r="D2041" i="45"/>
  <c r="I2040" i="45"/>
  <c r="H2040" i="45"/>
  <c r="G2040" i="45"/>
  <c r="D2040" i="45"/>
  <c r="I2032" i="45"/>
  <c r="H2032" i="45"/>
  <c r="G2032" i="45"/>
  <c r="D2032" i="45"/>
  <c r="I2031" i="45"/>
  <c r="H2031" i="45"/>
  <c r="G2031" i="45"/>
  <c r="D2031" i="45"/>
  <c r="I2030" i="45"/>
  <c r="H2030" i="45"/>
  <c r="G2030" i="45"/>
  <c r="D2030" i="45"/>
  <c r="I2029" i="45"/>
  <c r="H2029" i="45"/>
  <c r="G2029" i="45"/>
  <c r="D2029" i="45"/>
  <c r="I2028" i="45"/>
  <c r="H2028" i="45"/>
  <c r="G2028" i="45"/>
  <c r="D2028" i="45"/>
  <c r="I2027" i="45"/>
  <c r="H2027" i="45"/>
  <c r="G2027" i="45"/>
  <c r="D2027" i="45"/>
  <c r="I2026" i="45"/>
  <c r="H2026" i="45"/>
  <c r="G2026" i="45"/>
  <c r="D2026" i="45"/>
  <c r="G2025" i="45"/>
  <c r="D2025" i="45"/>
  <c r="I2024" i="45"/>
  <c r="H2024" i="45"/>
  <c r="G2024" i="45"/>
  <c r="D2024" i="45"/>
  <c r="I2023" i="45"/>
  <c r="H2023" i="45"/>
  <c r="G2023" i="45"/>
  <c r="D2023" i="45"/>
  <c r="I2022" i="45"/>
  <c r="H2022" i="45"/>
  <c r="G2022" i="45"/>
  <c r="D2022" i="45"/>
  <c r="I2021" i="45"/>
  <c r="H2021" i="45"/>
  <c r="G2021" i="45"/>
  <c r="D2021" i="45"/>
  <c r="I2020" i="45"/>
  <c r="H2020" i="45"/>
  <c r="G2020" i="45"/>
  <c r="D2020" i="45"/>
  <c r="I2008" i="45"/>
  <c r="H2008" i="45"/>
  <c r="G2008" i="45"/>
  <c r="D2008" i="45"/>
  <c r="I2007" i="45"/>
  <c r="H2007" i="45"/>
  <c r="G2007" i="45"/>
  <c r="D2007" i="45"/>
  <c r="I2006" i="45"/>
  <c r="H2006" i="45"/>
  <c r="G2006" i="45"/>
  <c r="D2006" i="45"/>
  <c r="G2005" i="45"/>
  <c r="D2005" i="45"/>
  <c r="I2003" i="45"/>
  <c r="H2003" i="45"/>
  <c r="G2003" i="45"/>
  <c r="D2003" i="45"/>
  <c r="I2002" i="45"/>
  <c r="H2002" i="45"/>
  <c r="G2002" i="45"/>
  <c r="D2002" i="45"/>
  <c r="I2001" i="45"/>
  <c r="H2001" i="45"/>
  <c r="G2001" i="45"/>
  <c r="D2001" i="45"/>
  <c r="I2000" i="45"/>
  <c r="H2000" i="45"/>
  <c r="G2000" i="45"/>
  <c r="D2000" i="45"/>
  <c r="I1999" i="45"/>
  <c r="H1999" i="45"/>
  <c r="G1999" i="45"/>
  <c r="D1999" i="45"/>
  <c r="I1998" i="45"/>
  <c r="H1998" i="45"/>
  <c r="G1998" i="45"/>
  <c r="D1998" i="45"/>
  <c r="I1997" i="45"/>
  <c r="H1997" i="45"/>
  <c r="G1997" i="45"/>
  <c r="D1997" i="45"/>
  <c r="I1996" i="45"/>
  <c r="H1996" i="45"/>
  <c r="G1996" i="45"/>
  <c r="D1996" i="45"/>
  <c r="I1995" i="45"/>
  <c r="H1995" i="45"/>
  <c r="G1995" i="45"/>
  <c r="D1995" i="45"/>
  <c r="I1994" i="45"/>
  <c r="H1994" i="45"/>
  <c r="G1994" i="45"/>
  <c r="D1994" i="45"/>
  <c r="I1993" i="45"/>
  <c r="H1993" i="45"/>
  <c r="G1993" i="45"/>
  <c r="D1993" i="45"/>
  <c r="I1992" i="45"/>
  <c r="H1992" i="45"/>
  <c r="G1992" i="45"/>
  <c r="D1992" i="45"/>
  <c r="I1991" i="45"/>
  <c r="H1991" i="45"/>
  <c r="G1991" i="45"/>
  <c r="D1991" i="45"/>
  <c r="I1990" i="45"/>
  <c r="H1990" i="45"/>
  <c r="G1990" i="45"/>
  <c r="D1990" i="45"/>
  <c r="D1918" i="45"/>
  <c r="G1918" i="45"/>
  <c r="H1918" i="45"/>
  <c r="I1918" i="45"/>
  <c r="D1936" i="45"/>
  <c r="G1936" i="45"/>
  <c r="H1936" i="45"/>
  <c r="I1936" i="45"/>
  <c r="D1932" i="45"/>
  <c r="G1932" i="45"/>
  <c r="H1932" i="45"/>
  <c r="I1932" i="45"/>
  <c r="D1839" i="45" l="1"/>
  <c r="D1840" i="45"/>
  <c r="D1841" i="45"/>
  <c r="D1842" i="45"/>
  <c r="D1843" i="45"/>
  <c r="D1844" i="45"/>
  <c r="D1845" i="45"/>
  <c r="D1846" i="45"/>
  <c r="D1847" i="45"/>
  <c r="D1848" i="45"/>
  <c r="D1849" i="45"/>
  <c r="D1850" i="45"/>
  <c r="D1859" i="45"/>
  <c r="D1860" i="45"/>
  <c r="D1861" i="45"/>
  <c r="D1862" i="45"/>
  <c r="D1863" i="45"/>
  <c r="D1864" i="45"/>
  <c r="D1865" i="45"/>
  <c r="D1866" i="45"/>
  <c r="D1867" i="45"/>
  <c r="D1868" i="45"/>
  <c r="D1869" i="45"/>
  <c r="D1871" i="45"/>
  <c r="D1872" i="45"/>
  <c r="D1873" i="45"/>
  <c r="D1874" i="45"/>
  <c r="D1875" i="45"/>
  <c r="D1885" i="45"/>
  <c r="D1886" i="45"/>
  <c r="D1887" i="45"/>
  <c r="D1888" i="45"/>
  <c r="D1889" i="45"/>
  <c r="D1890" i="45"/>
  <c r="D1891" i="45"/>
  <c r="D1892" i="45"/>
  <c r="D1893" i="45"/>
  <c r="D1894" i="45"/>
  <c r="D1895" i="45"/>
  <c r="D1896" i="45"/>
  <c r="D1897" i="45"/>
  <c r="D1898" i="45"/>
  <c r="D1899" i="45"/>
  <c r="D1900" i="45"/>
  <c r="D1901" i="45"/>
  <c r="D1902" i="45"/>
  <c r="D1903" i="45"/>
  <c r="D1904" i="45"/>
  <c r="D1905" i="45"/>
  <c r="D1906" i="45"/>
  <c r="D1907" i="45"/>
  <c r="D1908" i="45"/>
  <c r="D1909" i="45"/>
  <c r="D1915" i="45"/>
  <c r="D1916" i="45"/>
  <c r="D1917" i="45"/>
  <c r="D1919" i="45"/>
  <c r="D1920" i="45"/>
  <c r="D1921" i="45"/>
  <c r="D1922" i="45"/>
  <c r="D1923" i="45"/>
  <c r="D1924" i="45"/>
  <c r="D1925" i="45"/>
  <c r="D1926" i="45"/>
  <c r="D1928" i="45"/>
  <c r="D1929" i="45"/>
  <c r="D1931" i="45"/>
  <c r="D1933" i="45"/>
  <c r="D1934" i="45"/>
  <c r="D1935" i="45"/>
  <c r="D1937" i="45"/>
  <c r="D1938" i="45"/>
  <c r="D1939" i="45"/>
  <c r="D1940" i="45"/>
  <c r="D1941" i="45"/>
  <c r="D1942" i="45"/>
  <c r="D1943" i="45"/>
  <c r="D1944" i="45"/>
  <c r="D1945" i="45"/>
  <c r="D1946" i="45"/>
  <c r="D1947" i="45"/>
  <c r="D1948" i="45"/>
  <c r="D1949" i="45"/>
  <c r="D1950" i="45"/>
  <c r="D1951" i="45"/>
  <c r="D1952" i="45"/>
  <c r="D1953" i="45"/>
  <c r="D1954" i="45"/>
  <c r="D1955" i="45"/>
  <c r="D1956" i="45"/>
  <c r="D1957" i="45"/>
  <c r="D1958" i="45"/>
  <c r="D1959" i="45"/>
  <c r="D1960" i="45"/>
  <c r="D1961" i="45"/>
  <c r="D1962" i="45"/>
  <c r="D1963" i="45"/>
  <c r="D1964" i="45"/>
  <c r="D1965" i="45"/>
  <c r="D1966" i="45"/>
  <c r="D1967" i="45"/>
  <c r="D1968" i="45"/>
  <c r="D1969" i="45"/>
  <c r="D1970" i="45"/>
  <c r="D1971" i="45"/>
  <c r="D1972" i="45"/>
  <c r="D1973" i="45"/>
  <c r="D1974" i="45"/>
  <c r="D1975" i="45"/>
  <c r="D1976" i="45"/>
  <c r="D1977" i="45"/>
  <c r="D1978" i="45"/>
  <c r="D1979" i="45"/>
  <c r="D1980" i="45"/>
  <c r="D1981" i="45"/>
  <c r="D1982" i="45"/>
  <c r="D1983" i="45"/>
  <c r="D1984" i="45"/>
  <c r="D1985" i="45"/>
  <c r="D1986" i="45"/>
  <c r="D1987" i="45"/>
  <c r="D1988" i="45"/>
  <c r="D1989" i="45"/>
  <c r="G1839" i="45"/>
  <c r="G1840" i="45"/>
  <c r="G1841" i="45"/>
  <c r="G1842" i="45"/>
  <c r="G1843" i="45"/>
  <c r="G1844" i="45"/>
  <c r="G1845" i="45"/>
  <c r="G1846" i="45"/>
  <c r="G1847" i="45"/>
  <c r="G1848" i="45"/>
  <c r="G1849" i="45"/>
  <c r="G1850" i="45"/>
  <c r="G1859" i="45"/>
  <c r="G1860" i="45"/>
  <c r="G1861" i="45"/>
  <c r="G1862" i="45"/>
  <c r="G1863" i="45"/>
  <c r="G1864" i="45"/>
  <c r="G1865" i="45"/>
  <c r="G1866" i="45"/>
  <c r="G1867" i="45"/>
  <c r="G1868" i="45"/>
  <c r="G1869" i="45"/>
  <c r="G1871" i="45"/>
  <c r="G1872" i="45"/>
  <c r="G1873" i="45"/>
  <c r="G1874" i="45"/>
  <c r="G1875" i="45"/>
  <c r="G1885" i="45"/>
  <c r="G1886" i="45"/>
  <c r="G1887" i="45"/>
  <c r="G1888" i="45"/>
  <c r="G1889" i="45"/>
  <c r="G1890" i="45"/>
  <c r="G1891" i="45"/>
  <c r="G1892" i="45"/>
  <c r="G1893" i="45"/>
  <c r="G1894" i="45"/>
  <c r="G1895" i="45"/>
  <c r="G1896" i="45"/>
  <c r="G1897" i="45"/>
  <c r="G1898" i="45"/>
  <c r="G1899" i="45"/>
  <c r="G1900" i="45"/>
  <c r="G1901" i="45"/>
  <c r="G1902" i="45"/>
  <c r="G1903" i="45"/>
  <c r="G1904" i="45"/>
  <c r="G1905" i="45"/>
  <c r="G1906" i="45"/>
  <c r="G1907" i="45"/>
  <c r="G1908" i="45"/>
  <c r="G1909" i="45"/>
  <c r="G1915" i="45"/>
  <c r="G1916" i="45"/>
  <c r="G1917" i="45"/>
  <c r="G1919" i="45"/>
  <c r="G1920" i="45"/>
  <c r="G1921" i="45"/>
  <c r="G1922" i="45"/>
  <c r="G1923" i="45"/>
  <c r="G1924" i="45"/>
  <c r="G1925" i="45"/>
  <c r="G1926" i="45"/>
  <c r="G1928" i="45"/>
  <c r="G1929" i="45"/>
  <c r="G1931" i="45"/>
  <c r="G1933" i="45"/>
  <c r="G1934" i="45"/>
  <c r="G1935" i="45"/>
  <c r="G1937" i="45"/>
  <c r="G1938" i="45"/>
  <c r="G1939" i="45"/>
  <c r="G1940" i="45"/>
  <c r="G1941" i="45"/>
  <c r="G1942" i="45"/>
  <c r="G1943" i="45"/>
  <c r="G1944" i="45"/>
  <c r="G1945" i="45"/>
  <c r="G1946" i="45"/>
  <c r="G1947" i="45"/>
  <c r="G1948" i="45"/>
  <c r="G1949" i="45"/>
  <c r="G1950" i="45"/>
  <c r="G1951" i="45"/>
  <c r="G1952" i="45"/>
  <c r="G1953" i="45"/>
  <c r="G1954" i="45"/>
  <c r="G1955" i="45"/>
  <c r="G1956" i="45"/>
  <c r="G1957" i="45"/>
  <c r="G1958" i="45"/>
  <c r="G1959" i="45"/>
  <c r="G1960" i="45"/>
  <c r="G1961" i="45"/>
  <c r="G1962" i="45"/>
  <c r="G1963" i="45"/>
  <c r="G1964" i="45"/>
  <c r="G1965" i="45"/>
  <c r="G1966" i="45"/>
  <c r="G1967" i="45"/>
  <c r="G1968" i="45"/>
  <c r="G1969" i="45"/>
  <c r="G1970" i="45"/>
  <c r="G1971" i="45"/>
  <c r="G1972" i="45"/>
  <c r="G1973" i="45"/>
  <c r="G1974" i="45"/>
  <c r="G1975" i="45"/>
  <c r="G1976" i="45"/>
  <c r="G1977" i="45"/>
  <c r="G1978" i="45"/>
  <c r="G1979" i="45"/>
  <c r="G1980" i="45"/>
  <c r="G1981" i="45"/>
  <c r="G1982" i="45"/>
  <c r="G1983" i="45"/>
  <c r="G1984" i="45"/>
  <c r="G1985" i="45"/>
  <c r="G1986" i="45"/>
  <c r="G1987" i="45"/>
  <c r="G1988" i="45"/>
  <c r="G1989" i="45"/>
  <c r="H1839" i="45"/>
  <c r="H1840" i="45"/>
  <c r="H1841" i="45"/>
  <c r="H1842" i="45"/>
  <c r="H1843" i="45"/>
  <c r="H1844" i="45"/>
  <c r="H1845" i="45"/>
  <c r="H1846" i="45"/>
  <c r="H1847" i="45"/>
  <c r="H1848" i="45"/>
  <c r="H1849" i="45"/>
  <c r="H1850" i="45"/>
  <c r="H1859" i="45"/>
  <c r="H1860" i="45"/>
  <c r="H1861" i="45"/>
  <c r="H1862" i="45"/>
  <c r="H1863" i="45"/>
  <c r="H1864" i="45"/>
  <c r="H1865" i="45"/>
  <c r="H1866" i="45"/>
  <c r="H1867" i="45"/>
  <c r="H1868" i="45"/>
  <c r="H1869" i="45"/>
  <c r="H1872" i="45"/>
  <c r="H1873" i="45"/>
  <c r="H1874" i="45"/>
  <c r="H1875" i="45"/>
  <c r="H1885" i="45"/>
  <c r="H1886" i="45"/>
  <c r="H1887" i="45"/>
  <c r="H1888" i="45"/>
  <c r="H1890" i="45"/>
  <c r="H1891" i="45"/>
  <c r="H1892" i="45"/>
  <c r="H1893" i="45"/>
  <c r="H1894" i="45"/>
  <c r="H1895" i="45"/>
  <c r="H1896" i="45"/>
  <c r="H1897" i="45"/>
  <c r="H1898" i="45"/>
  <c r="H1899" i="45"/>
  <c r="H1900" i="45"/>
  <c r="H1901" i="45"/>
  <c r="H1902" i="45"/>
  <c r="H1903" i="45"/>
  <c r="H1904" i="45"/>
  <c r="H1905" i="45"/>
  <c r="H1906" i="45"/>
  <c r="H1907" i="45"/>
  <c r="H1908" i="45"/>
  <c r="H1909" i="45"/>
  <c r="H1915" i="45"/>
  <c r="H1916" i="45"/>
  <c r="H1917" i="45"/>
  <c r="H1919" i="45"/>
  <c r="H1920" i="45"/>
  <c r="H1921" i="45"/>
  <c r="H1922" i="45"/>
  <c r="H1923" i="45"/>
  <c r="H1924" i="45"/>
  <c r="H1925" i="45"/>
  <c r="H1926" i="45"/>
  <c r="H1928" i="45"/>
  <c r="H1929" i="45"/>
  <c r="H1931" i="45"/>
  <c r="H1933" i="45"/>
  <c r="H1934" i="45"/>
  <c r="H1935" i="45"/>
  <c r="H1937" i="45"/>
  <c r="H1938" i="45"/>
  <c r="H1939" i="45"/>
  <c r="H1940" i="45"/>
  <c r="H1941" i="45"/>
  <c r="H1942" i="45"/>
  <c r="H1943" i="45"/>
  <c r="H1944" i="45"/>
  <c r="H1945" i="45"/>
  <c r="H1946" i="45"/>
  <c r="H1947" i="45"/>
  <c r="H1948" i="45"/>
  <c r="H1949" i="45"/>
  <c r="H1950" i="45"/>
  <c r="H1951" i="45"/>
  <c r="H1952" i="45"/>
  <c r="H1953" i="45"/>
  <c r="H1954" i="45"/>
  <c r="H1955" i="45"/>
  <c r="H1956" i="45"/>
  <c r="H1957" i="45"/>
  <c r="H1958" i="45"/>
  <c r="H1959" i="45"/>
  <c r="H1960" i="45"/>
  <c r="H1961" i="45"/>
  <c r="H1962" i="45"/>
  <c r="H1963" i="45"/>
  <c r="H1964" i="45"/>
  <c r="H1965" i="45"/>
  <c r="H1966" i="45"/>
  <c r="H1967" i="45"/>
  <c r="H1968" i="45"/>
  <c r="H1969" i="45"/>
  <c r="H1970" i="45"/>
  <c r="H1971" i="45"/>
  <c r="H1972" i="45"/>
  <c r="H1973" i="45"/>
  <c r="H1974" i="45"/>
  <c r="H1975" i="45"/>
  <c r="H1976" i="45"/>
  <c r="H1977" i="45"/>
  <c r="H1978" i="45"/>
  <c r="H1979" i="45"/>
  <c r="H1980" i="45"/>
  <c r="H1981" i="45"/>
  <c r="H1982" i="45"/>
  <c r="H1983" i="45"/>
  <c r="H1984" i="45"/>
  <c r="H1985" i="45"/>
  <c r="H1986" i="45"/>
  <c r="H1987" i="45"/>
  <c r="H1988" i="45"/>
  <c r="H1989" i="45"/>
  <c r="I1839" i="45"/>
  <c r="I1840" i="45"/>
  <c r="I1841" i="45"/>
  <c r="I1842" i="45"/>
  <c r="I1843" i="45"/>
  <c r="I1844" i="45"/>
  <c r="I1845" i="45"/>
  <c r="I1846" i="45"/>
  <c r="I1847" i="45"/>
  <c r="I1848" i="45"/>
  <c r="I1849" i="45"/>
  <c r="I1850" i="45"/>
  <c r="I1859" i="45"/>
  <c r="I1860" i="45"/>
  <c r="I1861" i="45"/>
  <c r="I1862" i="45"/>
  <c r="I1863" i="45"/>
  <c r="I1864" i="45"/>
  <c r="I1865" i="45"/>
  <c r="I1866" i="45"/>
  <c r="I1867" i="45"/>
  <c r="I1868" i="45"/>
  <c r="I1869" i="45"/>
  <c r="I1872" i="45"/>
  <c r="I1873" i="45"/>
  <c r="I1874" i="45"/>
  <c r="I1875" i="45"/>
  <c r="I1885" i="45"/>
  <c r="I1886" i="45"/>
  <c r="I1887" i="45"/>
  <c r="I1888" i="45"/>
  <c r="I1890" i="45"/>
  <c r="I1891" i="45"/>
  <c r="I1892" i="45"/>
  <c r="I1893" i="45"/>
  <c r="I1894" i="45"/>
  <c r="I1895" i="45"/>
  <c r="I1896" i="45"/>
  <c r="I1897" i="45"/>
  <c r="I1898" i="45"/>
  <c r="I1899" i="45"/>
  <c r="I1900" i="45"/>
  <c r="I1901" i="45"/>
  <c r="I1902" i="45"/>
  <c r="I1903" i="45"/>
  <c r="I1904" i="45"/>
  <c r="I1905" i="45"/>
  <c r="I1906" i="45"/>
  <c r="I1907" i="45"/>
  <c r="I1908" i="45"/>
  <c r="I1909" i="45"/>
  <c r="I1915" i="45"/>
  <c r="I1916" i="45"/>
  <c r="I1917" i="45"/>
  <c r="I1919" i="45"/>
  <c r="I1920" i="45"/>
  <c r="I1921" i="45"/>
  <c r="I1922" i="45"/>
  <c r="I1923" i="45"/>
  <c r="I1924" i="45"/>
  <c r="I1925" i="45"/>
  <c r="I1926" i="45"/>
  <c r="I1928" i="45"/>
  <c r="I1929" i="45"/>
  <c r="I1931" i="45"/>
  <c r="I1933" i="45"/>
  <c r="I1934" i="45"/>
  <c r="I1935" i="45"/>
  <c r="I1937" i="45"/>
  <c r="I1938" i="45"/>
  <c r="I1939" i="45"/>
  <c r="I1940" i="45"/>
  <c r="I1941" i="45"/>
  <c r="I1942" i="45"/>
  <c r="I1943" i="45"/>
  <c r="I1944" i="45"/>
  <c r="I1945" i="45"/>
  <c r="I1946" i="45"/>
  <c r="I1947" i="45"/>
  <c r="I1948" i="45"/>
  <c r="I1949" i="45"/>
  <c r="I1950" i="45"/>
  <c r="I1951" i="45"/>
  <c r="I1952" i="45"/>
  <c r="I1953" i="45"/>
  <c r="I1954" i="45"/>
  <c r="I1955" i="45"/>
  <c r="I1956" i="45"/>
  <c r="I1957" i="45"/>
  <c r="I1958" i="45"/>
  <c r="I1959" i="45"/>
  <c r="I1960" i="45"/>
  <c r="I1961" i="45"/>
  <c r="I1962" i="45"/>
  <c r="I1963" i="45"/>
  <c r="I1964" i="45"/>
  <c r="I1965" i="45"/>
  <c r="I1966" i="45"/>
  <c r="I1967" i="45"/>
  <c r="I1968" i="45"/>
  <c r="I1969" i="45"/>
  <c r="I1970" i="45"/>
  <c r="I1971" i="45"/>
  <c r="I1972" i="45"/>
  <c r="I1973" i="45"/>
  <c r="I1974" i="45"/>
  <c r="I1975" i="45"/>
  <c r="I1976" i="45"/>
  <c r="I1977" i="45"/>
  <c r="I1978" i="45"/>
  <c r="I1979" i="45"/>
  <c r="I1980" i="45"/>
  <c r="I1981" i="45"/>
  <c r="I1982" i="45"/>
  <c r="I1983" i="45"/>
  <c r="I1984" i="45"/>
  <c r="I1985" i="45"/>
  <c r="I1986" i="45"/>
  <c r="I1987" i="45"/>
  <c r="I1988" i="45"/>
  <c r="I1989" i="45"/>
  <c r="D697" i="45"/>
  <c r="G697" i="45"/>
  <c r="H697" i="45"/>
  <c r="I697" i="45"/>
  <c r="D560" i="45"/>
  <c r="G560" i="45"/>
  <c r="H560" i="45"/>
  <c r="I560" i="45"/>
  <c r="D421" i="45"/>
  <c r="G421" i="45"/>
  <c r="H421" i="45"/>
  <c r="I421" i="45"/>
  <c r="D285" i="45"/>
  <c r="G285" i="45"/>
  <c r="H285" i="45"/>
  <c r="I285" i="45"/>
  <c r="D148" i="45"/>
  <c r="G148" i="45"/>
  <c r="H148" i="45"/>
  <c r="I148" i="45"/>
  <c r="D1834" i="45" l="1"/>
  <c r="G1834" i="45"/>
  <c r="H1834" i="45"/>
  <c r="I1834" i="45"/>
  <c r="D1733" i="45"/>
  <c r="G1733" i="45"/>
  <c r="H1733" i="45"/>
  <c r="I1733" i="45"/>
  <c r="D1734" i="45"/>
  <c r="G1734" i="45"/>
  <c r="H1734" i="45"/>
  <c r="I1734" i="45"/>
  <c r="D1590" i="45"/>
  <c r="G1590" i="45"/>
  <c r="H1590" i="45"/>
  <c r="I1590" i="45"/>
  <c r="D1591" i="45"/>
  <c r="G1591" i="45"/>
  <c r="H1591" i="45"/>
  <c r="I1591" i="45"/>
  <c r="D1448" i="45"/>
  <c r="G1448" i="45"/>
  <c r="H1448" i="45"/>
  <c r="I1448" i="45"/>
  <c r="D1449" i="45"/>
  <c r="G1449" i="45"/>
  <c r="H1449" i="45"/>
  <c r="I1449" i="45"/>
  <c r="D1293" i="45"/>
  <c r="G1293" i="45"/>
  <c r="H1293" i="45"/>
  <c r="I1293" i="45"/>
  <c r="D1294" i="45"/>
  <c r="G1294" i="45"/>
  <c r="H1294" i="45"/>
  <c r="I1294" i="45"/>
  <c r="D1144" i="45"/>
  <c r="G1144" i="45"/>
  <c r="H1144" i="45"/>
  <c r="I1144" i="45"/>
  <c r="D1145" i="45"/>
  <c r="G1145" i="45"/>
  <c r="H1145" i="45"/>
  <c r="I1145" i="45"/>
  <c r="D1003" i="45"/>
  <c r="G1003" i="45"/>
  <c r="H1003" i="45"/>
  <c r="I1003" i="45"/>
  <c r="D1002" i="45"/>
  <c r="G1002" i="45"/>
  <c r="H1002" i="45"/>
  <c r="I1002" i="45"/>
  <c r="D854" i="45"/>
  <c r="G854" i="45"/>
  <c r="H854" i="45"/>
  <c r="I854" i="45"/>
  <c r="D1724" i="45"/>
  <c r="G1724" i="45"/>
  <c r="H1724" i="45"/>
  <c r="I1724" i="45"/>
  <c r="D1717" i="45"/>
  <c r="G1717" i="45"/>
  <c r="H1717" i="45"/>
  <c r="I1717" i="45"/>
  <c r="D1702" i="45"/>
  <c r="G1702" i="45"/>
  <c r="H1702" i="45"/>
  <c r="I1702" i="45"/>
  <c r="I1838" i="45"/>
  <c r="H1838" i="45"/>
  <c r="G1838" i="45"/>
  <c r="D1838" i="45"/>
  <c r="I1837" i="45"/>
  <c r="H1837" i="45"/>
  <c r="G1837" i="45"/>
  <c r="D1837" i="45"/>
  <c r="I1836" i="45"/>
  <c r="H1836" i="45"/>
  <c r="G1836" i="45"/>
  <c r="D1836" i="45"/>
  <c r="I1835" i="45"/>
  <c r="H1835" i="45"/>
  <c r="G1835" i="45"/>
  <c r="D1835" i="45"/>
  <c r="I1833" i="45"/>
  <c r="H1833" i="45"/>
  <c r="G1833" i="45"/>
  <c r="D1833" i="45"/>
  <c r="I1832" i="45"/>
  <c r="H1832" i="45"/>
  <c r="G1832" i="45"/>
  <c r="D1832" i="45"/>
  <c r="I1831" i="45"/>
  <c r="H1831" i="45"/>
  <c r="G1831" i="45"/>
  <c r="D1831" i="45"/>
  <c r="I1830" i="45"/>
  <c r="H1830" i="45"/>
  <c r="G1830" i="45"/>
  <c r="D1830" i="45"/>
  <c r="I1829" i="45"/>
  <c r="H1829" i="45"/>
  <c r="G1829" i="45"/>
  <c r="D1829" i="45"/>
  <c r="I1828" i="45"/>
  <c r="H1828" i="45"/>
  <c r="G1828" i="45"/>
  <c r="D1828" i="45"/>
  <c r="I1827" i="45"/>
  <c r="H1827" i="45"/>
  <c r="G1827" i="45"/>
  <c r="D1827" i="45"/>
  <c r="I1826" i="45"/>
  <c r="H1826" i="45"/>
  <c r="G1826" i="45"/>
  <c r="D1826" i="45"/>
  <c r="I1824" i="45"/>
  <c r="H1824" i="45"/>
  <c r="G1824" i="45"/>
  <c r="D1824" i="45"/>
  <c r="I1823" i="45"/>
  <c r="H1823" i="45"/>
  <c r="G1823" i="45"/>
  <c r="D1823" i="45"/>
  <c r="I1822" i="45"/>
  <c r="H1822" i="45"/>
  <c r="G1822" i="45"/>
  <c r="D1822" i="45"/>
  <c r="I1821" i="45"/>
  <c r="H1821" i="45"/>
  <c r="G1821" i="45"/>
  <c r="D1821" i="45"/>
  <c r="I1820" i="45"/>
  <c r="H1820" i="45"/>
  <c r="G1820" i="45"/>
  <c r="D1820" i="45"/>
  <c r="I1819" i="45"/>
  <c r="H1819" i="45"/>
  <c r="G1819" i="45"/>
  <c r="D1819" i="45"/>
  <c r="I1818" i="45"/>
  <c r="H1818" i="45"/>
  <c r="G1818" i="45"/>
  <c r="D1818" i="45"/>
  <c r="I1817" i="45"/>
  <c r="H1817" i="45"/>
  <c r="G1817" i="45"/>
  <c r="D1817" i="45"/>
  <c r="I1816" i="45"/>
  <c r="H1816" i="45"/>
  <c r="G1816" i="45"/>
  <c r="D1816" i="45"/>
  <c r="I1815" i="45"/>
  <c r="H1815" i="45"/>
  <c r="G1815" i="45"/>
  <c r="D1815" i="45"/>
  <c r="I1814" i="45"/>
  <c r="H1814" i="45"/>
  <c r="G1814" i="45"/>
  <c r="D1814" i="45"/>
  <c r="I1813" i="45"/>
  <c r="H1813" i="45"/>
  <c r="G1813" i="45"/>
  <c r="D1813" i="45"/>
  <c r="I1812" i="45"/>
  <c r="H1812" i="45"/>
  <c r="G1812" i="45"/>
  <c r="D1812" i="45"/>
  <c r="I1811" i="45"/>
  <c r="H1811" i="45"/>
  <c r="G1811" i="45"/>
  <c r="D1811" i="45"/>
  <c r="I1810" i="45"/>
  <c r="H1810" i="45"/>
  <c r="G1810" i="45"/>
  <c r="D1810" i="45"/>
  <c r="I1809" i="45"/>
  <c r="H1809" i="45"/>
  <c r="G1809" i="45"/>
  <c r="D1809" i="45"/>
  <c r="I1808" i="45"/>
  <c r="H1808" i="45"/>
  <c r="G1808" i="45"/>
  <c r="D1808" i="45"/>
  <c r="I1807" i="45"/>
  <c r="H1807" i="45"/>
  <c r="G1807" i="45"/>
  <c r="D1807" i="45"/>
  <c r="I1806" i="45"/>
  <c r="H1806" i="45"/>
  <c r="G1806" i="45"/>
  <c r="D1806" i="45"/>
  <c r="I1805" i="45"/>
  <c r="H1805" i="45"/>
  <c r="G1805" i="45"/>
  <c r="D1805" i="45"/>
  <c r="I1804" i="45"/>
  <c r="H1804" i="45"/>
  <c r="G1804" i="45"/>
  <c r="D1804" i="45"/>
  <c r="I1803" i="45"/>
  <c r="H1803" i="45"/>
  <c r="G1803" i="45"/>
  <c r="D1803" i="45"/>
  <c r="I1802" i="45"/>
  <c r="H1802" i="45"/>
  <c r="G1802" i="45"/>
  <c r="D1802" i="45"/>
  <c r="I1801" i="45"/>
  <c r="H1801" i="45"/>
  <c r="G1801" i="45"/>
  <c r="D1801" i="45"/>
  <c r="I1800" i="45"/>
  <c r="H1800" i="45"/>
  <c r="G1800" i="45"/>
  <c r="D1800" i="45"/>
  <c r="I1799" i="45"/>
  <c r="H1799" i="45"/>
  <c r="G1799" i="45"/>
  <c r="D1799" i="45"/>
  <c r="I1798" i="45"/>
  <c r="H1798" i="45"/>
  <c r="G1798" i="45"/>
  <c r="D1798" i="45"/>
  <c r="I1797" i="45"/>
  <c r="H1797" i="45"/>
  <c r="G1797" i="45"/>
  <c r="D1797" i="45"/>
  <c r="I1796" i="45"/>
  <c r="H1796" i="45"/>
  <c r="G1796" i="45"/>
  <c r="D1796" i="45"/>
  <c r="I1795" i="45"/>
  <c r="H1795" i="45"/>
  <c r="G1795" i="45"/>
  <c r="D1795" i="45"/>
  <c r="I1794" i="45"/>
  <c r="H1794" i="45"/>
  <c r="G1794" i="45"/>
  <c r="D1794" i="45"/>
  <c r="I1793" i="45"/>
  <c r="H1793" i="45"/>
  <c r="G1793" i="45"/>
  <c r="D1793" i="45"/>
  <c r="I1792" i="45"/>
  <c r="H1792" i="45"/>
  <c r="G1792" i="45"/>
  <c r="D1792" i="45"/>
  <c r="I1791" i="45"/>
  <c r="H1791" i="45"/>
  <c r="G1791" i="45"/>
  <c r="D1791" i="45"/>
  <c r="I1790" i="45"/>
  <c r="H1790" i="45"/>
  <c r="G1790" i="45"/>
  <c r="D1790" i="45"/>
  <c r="I1789" i="45"/>
  <c r="H1789" i="45"/>
  <c r="G1789" i="45"/>
  <c r="D1789" i="45"/>
  <c r="I1788" i="45"/>
  <c r="H1788" i="45"/>
  <c r="G1788" i="45"/>
  <c r="D1788" i="45"/>
  <c r="I1787" i="45"/>
  <c r="H1787" i="45"/>
  <c r="G1787" i="45"/>
  <c r="D1787" i="45"/>
  <c r="I1786" i="45"/>
  <c r="H1786" i="45"/>
  <c r="G1786" i="45"/>
  <c r="D1786" i="45"/>
  <c r="I1785" i="45"/>
  <c r="H1785" i="45"/>
  <c r="G1785" i="45"/>
  <c r="D1785" i="45"/>
  <c r="I1784" i="45"/>
  <c r="H1784" i="45"/>
  <c r="G1784" i="45"/>
  <c r="D1784" i="45"/>
  <c r="I1783" i="45"/>
  <c r="H1783" i="45"/>
  <c r="G1783" i="45"/>
  <c r="D1783" i="45"/>
  <c r="I1782" i="45"/>
  <c r="H1782" i="45"/>
  <c r="G1782" i="45"/>
  <c r="D1782" i="45"/>
  <c r="I1781" i="45"/>
  <c r="H1781" i="45"/>
  <c r="G1781" i="45"/>
  <c r="D1781" i="45"/>
  <c r="I1780" i="45"/>
  <c r="H1780" i="45"/>
  <c r="G1780" i="45"/>
  <c r="D1780" i="45"/>
  <c r="I1779" i="45"/>
  <c r="H1779" i="45"/>
  <c r="G1779" i="45"/>
  <c r="D1779" i="45"/>
  <c r="I1777" i="45"/>
  <c r="H1777" i="45"/>
  <c r="G1777" i="45"/>
  <c r="D1777" i="45"/>
  <c r="I1776" i="45"/>
  <c r="H1776" i="45"/>
  <c r="G1776" i="45"/>
  <c r="D1776" i="45"/>
  <c r="I1774" i="45"/>
  <c r="H1774" i="45"/>
  <c r="G1774" i="45"/>
  <c r="D1774" i="45"/>
  <c r="I1773" i="45"/>
  <c r="H1773" i="45"/>
  <c r="G1773" i="45"/>
  <c r="D1773" i="45"/>
  <c r="I1772" i="45"/>
  <c r="H1772" i="45"/>
  <c r="G1772" i="45"/>
  <c r="D1772" i="45"/>
  <c r="I1771" i="45"/>
  <c r="H1771" i="45"/>
  <c r="G1771" i="45"/>
  <c r="D1771" i="45"/>
  <c r="I1770" i="45"/>
  <c r="H1770" i="45"/>
  <c r="G1770" i="45"/>
  <c r="D1770" i="45"/>
  <c r="I1769" i="45"/>
  <c r="H1769" i="45"/>
  <c r="G1769" i="45"/>
  <c r="D1769" i="45"/>
  <c r="I1768" i="45"/>
  <c r="H1768" i="45"/>
  <c r="G1768" i="45"/>
  <c r="D1768" i="45"/>
  <c r="I1767" i="45"/>
  <c r="H1767" i="45"/>
  <c r="G1767" i="45"/>
  <c r="D1767" i="45"/>
  <c r="I1766" i="45"/>
  <c r="H1766" i="45"/>
  <c r="G1766" i="45"/>
  <c r="D1766" i="45"/>
  <c r="I1765" i="45"/>
  <c r="H1765" i="45"/>
  <c r="G1765" i="45"/>
  <c r="D1765" i="45"/>
  <c r="I1764" i="45"/>
  <c r="H1764" i="45"/>
  <c r="G1764" i="45"/>
  <c r="D1764" i="45"/>
  <c r="I1759" i="45"/>
  <c r="H1759" i="45"/>
  <c r="G1759" i="45"/>
  <c r="D1759" i="45"/>
  <c r="I1755" i="45"/>
  <c r="H1755" i="45"/>
  <c r="G1755" i="45"/>
  <c r="D1755" i="45"/>
  <c r="I1754" i="45"/>
  <c r="H1754" i="45"/>
  <c r="G1754" i="45"/>
  <c r="D1754" i="45"/>
  <c r="I1753" i="45"/>
  <c r="H1753" i="45"/>
  <c r="G1753" i="45"/>
  <c r="D1753" i="45"/>
  <c r="I1752" i="45"/>
  <c r="H1752" i="45"/>
  <c r="G1752" i="45"/>
  <c r="D1752" i="45"/>
  <c r="I1751" i="45"/>
  <c r="H1751" i="45"/>
  <c r="G1751" i="45"/>
  <c r="D1751" i="45"/>
  <c r="I1750" i="45"/>
  <c r="H1750" i="45"/>
  <c r="G1750" i="45"/>
  <c r="D1750" i="45"/>
  <c r="I1749" i="45"/>
  <c r="H1749" i="45"/>
  <c r="G1749" i="45"/>
  <c r="D1749" i="45"/>
  <c r="I1748" i="45"/>
  <c r="H1748" i="45"/>
  <c r="G1748" i="45"/>
  <c r="D1748" i="45"/>
  <c r="I1747" i="45"/>
  <c r="H1747" i="45"/>
  <c r="G1747" i="45"/>
  <c r="D1747" i="45"/>
  <c r="I1746" i="45"/>
  <c r="H1746" i="45"/>
  <c r="G1746" i="45"/>
  <c r="D1746" i="45"/>
  <c r="I1745" i="45"/>
  <c r="H1745" i="45"/>
  <c r="G1745" i="45"/>
  <c r="D1745" i="45"/>
  <c r="I1744" i="45"/>
  <c r="H1744" i="45"/>
  <c r="G1744" i="45"/>
  <c r="D1744" i="45"/>
  <c r="I1743" i="45"/>
  <c r="H1743" i="45"/>
  <c r="G1743" i="45"/>
  <c r="D1743" i="45"/>
  <c r="I1742" i="45"/>
  <c r="H1742" i="45"/>
  <c r="G1742" i="45"/>
  <c r="D1742" i="45"/>
  <c r="I1741" i="45"/>
  <c r="H1741" i="45"/>
  <c r="G1741" i="45"/>
  <c r="D1741" i="45"/>
  <c r="I1740" i="45"/>
  <c r="H1740" i="45"/>
  <c r="G1740" i="45"/>
  <c r="D1740" i="45"/>
  <c r="I1739" i="45"/>
  <c r="H1739" i="45"/>
  <c r="G1739" i="45"/>
  <c r="D1739" i="45"/>
  <c r="I1738" i="45"/>
  <c r="H1738" i="45"/>
  <c r="G1738" i="45"/>
  <c r="D1738" i="45"/>
  <c r="I1737" i="45"/>
  <c r="H1737" i="45"/>
  <c r="G1737" i="45"/>
  <c r="D1737" i="45"/>
  <c r="G1736" i="45"/>
  <c r="D1736" i="45"/>
  <c r="I1735" i="45"/>
  <c r="H1735" i="45"/>
  <c r="G1735" i="45"/>
  <c r="D1735" i="45"/>
  <c r="I1732" i="45"/>
  <c r="H1732" i="45"/>
  <c r="G1732" i="45"/>
  <c r="D1732" i="45"/>
  <c r="I1731" i="45"/>
  <c r="H1731" i="45"/>
  <c r="G1731" i="45"/>
  <c r="D1731" i="45"/>
  <c r="I1726" i="45"/>
  <c r="H1726" i="45"/>
  <c r="G1726" i="45"/>
  <c r="D1726" i="45"/>
  <c r="I1725" i="45"/>
  <c r="H1725" i="45"/>
  <c r="G1725" i="45"/>
  <c r="D1725" i="45"/>
  <c r="G1723" i="45"/>
  <c r="D1723" i="45"/>
  <c r="I1721" i="45"/>
  <c r="H1721" i="45"/>
  <c r="G1721" i="45"/>
  <c r="D1721" i="45"/>
  <c r="I1720" i="45"/>
  <c r="H1720" i="45"/>
  <c r="G1720" i="45"/>
  <c r="D1720" i="45"/>
  <c r="I1719" i="45"/>
  <c r="H1719" i="45"/>
  <c r="G1719" i="45"/>
  <c r="D1719" i="45"/>
  <c r="I1718" i="45"/>
  <c r="H1718" i="45"/>
  <c r="G1718" i="45"/>
  <c r="D1718" i="45"/>
  <c r="I1716" i="45"/>
  <c r="H1716" i="45"/>
  <c r="G1716" i="45"/>
  <c r="D1716" i="45"/>
  <c r="I1715" i="45"/>
  <c r="H1715" i="45"/>
  <c r="G1715" i="45"/>
  <c r="D1715" i="45"/>
  <c r="I1714" i="45"/>
  <c r="H1714" i="45"/>
  <c r="G1714" i="45"/>
  <c r="D1714" i="45"/>
  <c r="I1713" i="45"/>
  <c r="H1713" i="45"/>
  <c r="G1713" i="45"/>
  <c r="D1713" i="45"/>
  <c r="I1712" i="45"/>
  <c r="H1712" i="45"/>
  <c r="G1712" i="45"/>
  <c r="D1712" i="45"/>
  <c r="I1711" i="45"/>
  <c r="H1711" i="45"/>
  <c r="G1711" i="45"/>
  <c r="D1711" i="45"/>
  <c r="I1710" i="45"/>
  <c r="H1710" i="45"/>
  <c r="G1710" i="45"/>
  <c r="D1710" i="45"/>
  <c r="I1699" i="45"/>
  <c r="H1699" i="45"/>
  <c r="G1699" i="45"/>
  <c r="D1699" i="45"/>
  <c r="I1698" i="45"/>
  <c r="H1698" i="45"/>
  <c r="G1698" i="45"/>
  <c r="D1698" i="45"/>
  <c r="I1697" i="45"/>
  <c r="H1697" i="45"/>
  <c r="G1697" i="45"/>
  <c r="D1697" i="45"/>
  <c r="I1696" i="45"/>
  <c r="H1696" i="45"/>
  <c r="G1696" i="45"/>
  <c r="D1696" i="45"/>
  <c r="I1695" i="45"/>
  <c r="H1695" i="45"/>
  <c r="G1695" i="45"/>
  <c r="D1695" i="45"/>
  <c r="I1694" i="45"/>
  <c r="H1694" i="45"/>
  <c r="G1694" i="45"/>
  <c r="D1694" i="45"/>
  <c r="I1693" i="45"/>
  <c r="H1693" i="45"/>
  <c r="G1693" i="45"/>
  <c r="D1693" i="45"/>
  <c r="I1692" i="45"/>
  <c r="H1692" i="45"/>
  <c r="G1692" i="45"/>
  <c r="D1692" i="45"/>
  <c r="I1691" i="45"/>
  <c r="H1691" i="45"/>
  <c r="G1691" i="45"/>
  <c r="D1691" i="45"/>
  <c r="I1690" i="45"/>
  <c r="H1690" i="45"/>
  <c r="G1690" i="45"/>
  <c r="D1690" i="45"/>
  <c r="D1557" i="45" l="1"/>
  <c r="G1557" i="45"/>
  <c r="H1557" i="45"/>
  <c r="I1557" i="45"/>
  <c r="D1558" i="45"/>
  <c r="G1558" i="45"/>
  <c r="H1558" i="45"/>
  <c r="I1558" i="45"/>
  <c r="D1559" i="45"/>
  <c r="G1559" i="45"/>
  <c r="H1559" i="45"/>
  <c r="I1559" i="45"/>
  <c r="D1560" i="45"/>
  <c r="G1560" i="45"/>
  <c r="H1560" i="45"/>
  <c r="I1560" i="45"/>
  <c r="D1561" i="45"/>
  <c r="G1561" i="45"/>
  <c r="H1561" i="45"/>
  <c r="I1561" i="45"/>
  <c r="D1562" i="45"/>
  <c r="G1562" i="45"/>
  <c r="H1562" i="45"/>
  <c r="I1562" i="45"/>
  <c r="D1563" i="45"/>
  <c r="G1563" i="45"/>
  <c r="H1563" i="45"/>
  <c r="I1563" i="45"/>
  <c r="D1564" i="45"/>
  <c r="G1564" i="45"/>
  <c r="H1564" i="45"/>
  <c r="I1564" i="45"/>
  <c r="D1565" i="45"/>
  <c r="G1565" i="45"/>
  <c r="H1565" i="45"/>
  <c r="I1565" i="45"/>
  <c r="D1566" i="45"/>
  <c r="G1566" i="45"/>
  <c r="H1566" i="45"/>
  <c r="I1566" i="45"/>
  <c r="D1567" i="45"/>
  <c r="G1567" i="45"/>
  <c r="H1567" i="45"/>
  <c r="I1567" i="45"/>
  <c r="D1568" i="45"/>
  <c r="G1568" i="45"/>
  <c r="H1568" i="45"/>
  <c r="I1568" i="45"/>
  <c r="D1569" i="45"/>
  <c r="G1569" i="45"/>
  <c r="H1569" i="45"/>
  <c r="I1569" i="45"/>
  <c r="D1570" i="45"/>
  <c r="G1570" i="45"/>
  <c r="H1570" i="45"/>
  <c r="I1570" i="45"/>
  <c r="D1571" i="45"/>
  <c r="G1571" i="45"/>
  <c r="H1571" i="45"/>
  <c r="I1571" i="45"/>
  <c r="D1572" i="45"/>
  <c r="G1572" i="45"/>
  <c r="H1572" i="45"/>
  <c r="I1572" i="45"/>
  <c r="D1573" i="45"/>
  <c r="G1573" i="45"/>
  <c r="H1573" i="45"/>
  <c r="I1573" i="45"/>
  <c r="D1574" i="45"/>
  <c r="G1574" i="45"/>
  <c r="H1574" i="45"/>
  <c r="I1574" i="45"/>
  <c r="D1575" i="45"/>
  <c r="G1575" i="45"/>
  <c r="H1575" i="45"/>
  <c r="I1575" i="45"/>
  <c r="D1576" i="45"/>
  <c r="G1576" i="45"/>
  <c r="H1576" i="45"/>
  <c r="I1576" i="45"/>
  <c r="D1577" i="45"/>
  <c r="G1577" i="45"/>
  <c r="H1577" i="45"/>
  <c r="I1577" i="45"/>
  <c r="D1578" i="45"/>
  <c r="G1578" i="45"/>
  <c r="H1578" i="45"/>
  <c r="I1578" i="45"/>
  <c r="D1579" i="45"/>
  <c r="G1579" i="45"/>
  <c r="H1579" i="45"/>
  <c r="I1579" i="45"/>
  <c r="D1580" i="45"/>
  <c r="G1580" i="45"/>
  <c r="H1580" i="45"/>
  <c r="I1580" i="45"/>
  <c r="D1581" i="45"/>
  <c r="G1581" i="45"/>
  <c r="H1581" i="45"/>
  <c r="I1581" i="45"/>
  <c r="D1582" i="45"/>
  <c r="G1582" i="45"/>
  <c r="H1582" i="45"/>
  <c r="I1582" i="45"/>
  <c r="D1583" i="45"/>
  <c r="G1583" i="45"/>
  <c r="H1583" i="45"/>
  <c r="I1583" i="45"/>
  <c r="D1585" i="45"/>
  <c r="G1585" i="45"/>
  <c r="H1585" i="45"/>
  <c r="I1585" i="45"/>
  <c r="D1586" i="45"/>
  <c r="G1586" i="45"/>
  <c r="H1586" i="45"/>
  <c r="I1586" i="45"/>
  <c r="D1587" i="45"/>
  <c r="G1587" i="45"/>
  <c r="H1587" i="45"/>
  <c r="I1587" i="45"/>
  <c r="D1588" i="45"/>
  <c r="G1588" i="45"/>
  <c r="H1588" i="45"/>
  <c r="I1588" i="45"/>
  <c r="D1589" i="45"/>
  <c r="G1589" i="45"/>
  <c r="H1589" i="45"/>
  <c r="I1589" i="45"/>
  <c r="D1592" i="45"/>
  <c r="G1592" i="45"/>
  <c r="H1592" i="45"/>
  <c r="I1592" i="45"/>
  <c r="D1593" i="45"/>
  <c r="G1593" i="45"/>
  <c r="H1593" i="45"/>
  <c r="I1593" i="45"/>
  <c r="D1594" i="45"/>
  <c r="G1594" i="45"/>
  <c r="H1594" i="45"/>
  <c r="I1594" i="45"/>
  <c r="D1595" i="45"/>
  <c r="G1595" i="45"/>
  <c r="H1595" i="45"/>
  <c r="I1595" i="45"/>
  <c r="D1596" i="45"/>
  <c r="G1596" i="45"/>
  <c r="H1596" i="45"/>
  <c r="I1596" i="45"/>
  <c r="D1597" i="45"/>
  <c r="G1597" i="45"/>
  <c r="H1597" i="45"/>
  <c r="I1597" i="45"/>
  <c r="D1598" i="45"/>
  <c r="G1598" i="45"/>
  <c r="H1598" i="45"/>
  <c r="I1598" i="45"/>
  <c r="D1599" i="45"/>
  <c r="G1599" i="45"/>
  <c r="H1599" i="45"/>
  <c r="I1599" i="45"/>
  <c r="D1600" i="45"/>
  <c r="G1600" i="45"/>
  <c r="H1600" i="45"/>
  <c r="I1600" i="45"/>
  <c r="D1601" i="45"/>
  <c r="G1601" i="45"/>
  <c r="H1601" i="45"/>
  <c r="I1601" i="45"/>
  <c r="D1602" i="45"/>
  <c r="G1602" i="45"/>
  <c r="H1602" i="45"/>
  <c r="I1602" i="45"/>
  <c r="D1603" i="45"/>
  <c r="G1603" i="45"/>
  <c r="H1603" i="45"/>
  <c r="I1603" i="45"/>
  <c r="D1604" i="45"/>
  <c r="G1604" i="45"/>
  <c r="H1604" i="45"/>
  <c r="I1604" i="45"/>
  <c r="D1605" i="45"/>
  <c r="G1605" i="45"/>
  <c r="H1605" i="45"/>
  <c r="I1605" i="45"/>
  <c r="D1606" i="45"/>
  <c r="G1606" i="45"/>
  <c r="H1606" i="45"/>
  <c r="I1606" i="45"/>
  <c r="D1607" i="45"/>
  <c r="G1607" i="45"/>
  <c r="H1607" i="45"/>
  <c r="I1607" i="45"/>
  <c r="D1608" i="45"/>
  <c r="G1608" i="45"/>
  <c r="H1608" i="45"/>
  <c r="I1608" i="45"/>
  <c r="D1609" i="45"/>
  <c r="G1609" i="45"/>
  <c r="H1609" i="45"/>
  <c r="I1609" i="45"/>
  <c r="D1610" i="45"/>
  <c r="G1610" i="45"/>
  <c r="H1610" i="45"/>
  <c r="I1610" i="45"/>
  <c r="D1611" i="45"/>
  <c r="G1611" i="45"/>
  <c r="H1611" i="45"/>
  <c r="I1611" i="45"/>
  <c r="D1612" i="45"/>
  <c r="G1612" i="45"/>
  <c r="H1612" i="45"/>
  <c r="I1612" i="45"/>
  <c r="D1613" i="45"/>
  <c r="G1613" i="45"/>
  <c r="H1613" i="45"/>
  <c r="I1613" i="45"/>
  <c r="D1614" i="45"/>
  <c r="G1614" i="45"/>
  <c r="H1614" i="45"/>
  <c r="I1614" i="45"/>
  <c r="D1615" i="45"/>
  <c r="G1615" i="45"/>
  <c r="H1615" i="45"/>
  <c r="I1615" i="45"/>
  <c r="D1616" i="45"/>
  <c r="G1616" i="45"/>
  <c r="H1616" i="45"/>
  <c r="I1616" i="45"/>
  <c r="D1617" i="45"/>
  <c r="G1617" i="45"/>
  <c r="H1617" i="45"/>
  <c r="I1617" i="45"/>
  <c r="D1618" i="45"/>
  <c r="G1618" i="45"/>
  <c r="H1618" i="45"/>
  <c r="I1618" i="45"/>
  <c r="D1619" i="45"/>
  <c r="G1619" i="45"/>
  <c r="H1619" i="45"/>
  <c r="I1619" i="45"/>
  <c r="D1620" i="45"/>
  <c r="G1620" i="45"/>
  <c r="H1620" i="45"/>
  <c r="I1620" i="45"/>
  <c r="D1621" i="45"/>
  <c r="G1621" i="45"/>
  <c r="H1621" i="45"/>
  <c r="I1621" i="45"/>
  <c r="D1622" i="45"/>
  <c r="G1622" i="45"/>
  <c r="H1622" i="45"/>
  <c r="I1622" i="45"/>
  <c r="D1623" i="45"/>
  <c r="G1623" i="45"/>
  <c r="H1623" i="45"/>
  <c r="I1623" i="45"/>
  <c r="D1624" i="45"/>
  <c r="G1624" i="45"/>
  <c r="H1624" i="45"/>
  <c r="I1624" i="45"/>
  <c r="D1626" i="45"/>
  <c r="G1626" i="45"/>
  <c r="H1626" i="45"/>
  <c r="I1626" i="45"/>
  <c r="D1627" i="45"/>
  <c r="G1627" i="45"/>
  <c r="H1627" i="45"/>
  <c r="I1627" i="45"/>
  <c r="D1629" i="45"/>
  <c r="G1629" i="45"/>
  <c r="H1629" i="45"/>
  <c r="I1629" i="45"/>
  <c r="D1630" i="45"/>
  <c r="G1630" i="45"/>
  <c r="H1630" i="45"/>
  <c r="I1630" i="45"/>
  <c r="D1631" i="45"/>
  <c r="G1631" i="45"/>
  <c r="H1631" i="45"/>
  <c r="I1631" i="45"/>
  <c r="D1632" i="45"/>
  <c r="G1632" i="45"/>
  <c r="H1632" i="45"/>
  <c r="I1632" i="45"/>
  <c r="D1633" i="45"/>
  <c r="G1633" i="45"/>
  <c r="H1633" i="45"/>
  <c r="I1633" i="45"/>
  <c r="D1634" i="45"/>
  <c r="G1634" i="45"/>
  <c r="H1634" i="45"/>
  <c r="I1634" i="45"/>
  <c r="D1635" i="45"/>
  <c r="G1635" i="45"/>
  <c r="H1635" i="45"/>
  <c r="I1635" i="45"/>
  <c r="D1636" i="45"/>
  <c r="G1636" i="45"/>
  <c r="H1636" i="45"/>
  <c r="I1636" i="45"/>
  <c r="D1637" i="45"/>
  <c r="G1637" i="45"/>
  <c r="H1637" i="45"/>
  <c r="I1637" i="45"/>
  <c r="D1638" i="45"/>
  <c r="G1638" i="45"/>
  <c r="H1638" i="45"/>
  <c r="I1638" i="45"/>
  <c r="D1639" i="45"/>
  <c r="G1639" i="45"/>
  <c r="H1639" i="45"/>
  <c r="I1639" i="45"/>
  <c r="D1640" i="45"/>
  <c r="G1640" i="45"/>
  <c r="H1640" i="45"/>
  <c r="I1640" i="45"/>
  <c r="D1641" i="45"/>
  <c r="G1641" i="45"/>
  <c r="H1641" i="45"/>
  <c r="I1641" i="45"/>
  <c r="D1642" i="45"/>
  <c r="G1642" i="45"/>
  <c r="H1642" i="45"/>
  <c r="I1642" i="45"/>
  <c r="D1643" i="45"/>
  <c r="G1643" i="45"/>
  <c r="H1643" i="45"/>
  <c r="I1643" i="45"/>
  <c r="D1644" i="45"/>
  <c r="G1644" i="45"/>
  <c r="H1644" i="45"/>
  <c r="I1644" i="45"/>
  <c r="D1645" i="45"/>
  <c r="G1645" i="45"/>
  <c r="H1645" i="45"/>
  <c r="I1645" i="45"/>
  <c r="D1646" i="45"/>
  <c r="G1646" i="45"/>
  <c r="H1646" i="45"/>
  <c r="I1646" i="45"/>
  <c r="D1647" i="45"/>
  <c r="G1647" i="45"/>
  <c r="H1647" i="45"/>
  <c r="I1647" i="45"/>
  <c r="D1648" i="45"/>
  <c r="G1648" i="45"/>
  <c r="H1648" i="45"/>
  <c r="I1648" i="45"/>
  <c r="D1649" i="45"/>
  <c r="G1649" i="45"/>
  <c r="H1649" i="45"/>
  <c r="I1649" i="45"/>
  <c r="D1650" i="45"/>
  <c r="G1650" i="45"/>
  <c r="H1650" i="45"/>
  <c r="I1650" i="45"/>
  <c r="D1651" i="45"/>
  <c r="G1651" i="45"/>
  <c r="H1651" i="45"/>
  <c r="I1651" i="45"/>
  <c r="D1652" i="45"/>
  <c r="G1652" i="45"/>
  <c r="H1652" i="45"/>
  <c r="I1652" i="45"/>
  <c r="D1653" i="45"/>
  <c r="G1653" i="45"/>
  <c r="H1653" i="45"/>
  <c r="I1653" i="45"/>
  <c r="D1654" i="45"/>
  <c r="G1654" i="45"/>
  <c r="H1654" i="45"/>
  <c r="I1654" i="45"/>
  <c r="D1655" i="45"/>
  <c r="G1655" i="45"/>
  <c r="H1655" i="45"/>
  <c r="I1655" i="45"/>
  <c r="D1656" i="45"/>
  <c r="G1656" i="45"/>
  <c r="H1656" i="45"/>
  <c r="I1656" i="45"/>
  <c r="D1657" i="45"/>
  <c r="G1657" i="45"/>
  <c r="H1657" i="45"/>
  <c r="I1657" i="45"/>
  <c r="D1658" i="45"/>
  <c r="G1658" i="45"/>
  <c r="H1658" i="45"/>
  <c r="I1658" i="45"/>
  <c r="D1659" i="45"/>
  <c r="G1659" i="45"/>
  <c r="H1659" i="45"/>
  <c r="I1659" i="45"/>
  <c r="D1660" i="45"/>
  <c r="G1660" i="45"/>
  <c r="H1660" i="45"/>
  <c r="I1660" i="45"/>
  <c r="D1661" i="45"/>
  <c r="G1661" i="45"/>
  <c r="H1661" i="45"/>
  <c r="I1661" i="45"/>
  <c r="D1662" i="45"/>
  <c r="G1662" i="45"/>
  <c r="H1662" i="45"/>
  <c r="I1662" i="45"/>
  <c r="D1663" i="45"/>
  <c r="G1663" i="45"/>
  <c r="H1663" i="45"/>
  <c r="I1663" i="45"/>
  <c r="D1664" i="45"/>
  <c r="G1664" i="45"/>
  <c r="H1664" i="45"/>
  <c r="I1664" i="45"/>
  <c r="D1665" i="45"/>
  <c r="G1665" i="45"/>
  <c r="H1665" i="45"/>
  <c r="I1665" i="45"/>
  <c r="D1666" i="45"/>
  <c r="G1666" i="45"/>
  <c r="H1666" i="45"/>
  <c r="I1666" i="45"/>
  <c r="D1667" i="45"/>
  <c r="G1667" i="45"/>
  <c r="H1667" i="45"/>
  <c r="I1667" i="45"/>
  <c r="D1668" i="45"/>
  <c r="G1668" i="45"/>
  <c r="H1668" i="45"/>
  <c r="I1668" i="45"/>
  <c r="D1669" i="45"/>
  <c r="G1669" i="45"/>
  <c r="H1669" i="45"/>
  <c r="I1669" i="45"/>
  <c r="D1670" i="45"/>
  <c r="G1670" i="45"/>
  <c r="H1670" i="45"/>
  <c r="I1670" i="45"/>
  <c r="D1671" i="45"/>
  <c r="G1671" i="45"/>
  <c r="H1671" i="45"/>
  <c r="I1671" i="45"/>
  <c r="D1672" i="45"/>
  <c r="G1672" i="45"/>
  <c r="H1672" i="45"/>
  <c r="I1672" i="45"/>
  <c r="D1673" i="45"/>
  <c r="G1673" i="45"/>
  <c r="H1673" i="45"/>
  <c r="I1673" i="45"/>
  <c r="D1674" i="45"/>
  <c r="G1674" i="45"/>
  <c r="H1674" i="45"/>
  <c r="I1674" i="45"/>
  <c r="D1675" i="45"/>
  <c r="G1675" i="45"/>
  <c r="H1675" i="45"/>
  <c r="I1675" i="45"/>
  <c r="D1676" i="45"/>
  <c r="G1676" i="45"/>
  <c r="H1676" i="45"/>
  <c r="I1676" i="45"/>
  <c r="D1677" i="45"/>
  <c r="G1677" i="45"/>
  <c r="H1677" i="45"/>
  <c r="I1677" i="45"/>
  <c r="D1678" i="45"/>
  <c r="G1678" i="45"/>
  <c r="H1678" i="45"/>
  <c r="I1678" i="45"/>
  <c r="D1679" i="45"/>
  <c r="G1679" i="45"/>
  <c r="H1679" i="45"/>
  <c r="I1679" i="45"/>
  <c r="D1680" i="45"/>
  <c r="G1680" i="45"/>
  <c r="H1680" i="45"/>
  <c r="I1680" i="45"/>
  <c r="D1681" i="45"/>
  <c r="G1681" i="45"/>
  <c r="H1681" i="45"/>
  <c r="I1681" i="45"/>
  <c r="D1682" i="45"/>
  <c r="G1682" i="45"/>
  <c r="H1682" i="45"/>
  <c r="I1682" i="45"/>
  <c r="D1683" i="45"/>
  <c r="G1683" i="45"/>
  <c r="H1683" i="45"/>
  <c r="I1683" i="45"/>
  <c r="D1684" i="45"/>
  <c r="G1684" i="45"/>
  <c r="H1684" i="45"/>
  <c r="I1684" i="45"/>
  <c r="D1685" i="45"/>
  <c r="G1685" i="45"/>
  <c r="H1685" i="45"/>
  <c r="I1685" i="45"/>
  <c r="D1686" i="45"/>
  <c r="G1686" i="45"/>
  <c r="H1686" i="45"/>
  <c r="I1686" i="45"/>
  <c r="D1687" i="45"/>
  <c r="G1687" i="45"/>
  <c r="H1687" i="45"/>
  <c r="I1687" i="45"/>
  <c r="D1688" i="45"/>
  <c r="G1688" i="45"/>
  <c r="H1688" i="45"/>
  <c r="I1688" i="45"/>
  <c r="D1689" i="45"/>
  <c r="G1689" i="45"/>
  <c r="H1689" i="45"/>
  <c r="I1689" i="45"/>
  <c r="D1375" i="45"/>
  <c r="G1375" i="45"/>
  <c r="H1375" i="45"/>
  <c r="I1375" i="45"/>
  <c r="D1432" i="45"/>
  <c r="G1432" i="45"/>
  <c r="H1432" i="45"/>
  <c r="I1432" i="45"/>
  <c r="D1554" i="45"/>
  <c r="G1554" i="45"/>
  <c r="H1554" i="45"/>
  <c r="I1554" i="45"/>
  <c r="D1419" i="45" l="1"/>
  <c r="G1419" i="45"/>
  <c r="H1419" i="45"/>
  <c r="I1419" i="45"/>
  <c r="D1413" i="45"/>
  <c r="G1413" i="45"/>
  <c r="H1413" i="45"/>
  <c r="I1413" i="45"/>
  <c r="D1427" i="45"/>
  <c r="G1427" i="45"/>
  <c r="D1412" i="45"/>
  <c r="G1412" i="45"/>
  <c r="H1412" i="45"/>
  <c r="I1412" i="45"/>
  <c r="D1497" i="45"/>
  <c r="D1498" i="45"/>
  <c r="D1499" i="45"/>
  <c r="D1500" i="45"/>
  <c r="D1501" i="45"/>
  <c r="D1502" i="45"/>
  <c r="D1503" i="45"/>
  <c r="D1504" i="45"/>
  <c r="D1505" i="45"/>
  <c r="D1506" i="45"/>
  <c r="D1507" i="45"/>
  <c r="D1508" i="45"/>
  <c r="D1509" i="45"/>
  <c r="D1510" i="45"/>
  <c r="D1511" i="45"/>
  <c r="D1512" i="45"/>
  <c r="D1513" i="45"/>
  <c r="D1514" i="45"/>
  <c r="D1515" i="45"/>
  <c r="D1516" i="45"/>
  <c r="D1517" i="45"/>
  <c r="D1518" i="45"/>
  <c r="D1519" i="45"/>
  <c r="D1520" i="45"/>
  <c r="D1521" i="45"/>
  <c r="D1522" i="45"/>
  <c r="D1523" i="45"/>
  <c r="D1524" i="45"/>
  <c r="D1525" i="45"/>
  <c r="D1526" i="45"/>
  <c r="D1527" i="45"/>
  <c r="D1528" i="45"/>
  <c r="D1529" i="45"/>
  <c r="D1530" i="45"/>
  <c r="D1531" i="45"/>
  <c r="D1532" i="45"/>
  <c r="D1533" i="45"/>
  <c r="D1534" i="45"/>
  <c r="D1535" i="45"/>
  <c r="D1536" i="45"/>
  <c r="D1537" i="45"/>
  <c r="D1538" i="45"/>
  <c r="D1539" i="45"/>
  <c r="D1540" i="45"/>
  <c r="D1541" i="45"/>
  <c r="D1543" i="45"/>
  <c r="D1544" i="45"/>
  <c r="D1545" i="45"/>
  <c r="D1546" i="45"/>
  <c r="D1547" i="45"/>
  <c r="D1548" i="45"/>
  <c r="D1549" i="45"/>
  <c r="D1550" i="45"/>
  <c r="D1551" i="45"/>
  <c r="D1552" i="45"/>
  <c r="D1553" i="45"/>
  <c r="D1555" i="45"/>
  <c r="D1556" i="45"/>
  <c r="G1497" i="45"/>
  <c r="G1498" i="45"/>
  <c r="G1499" i="45"/>
  <c r="G1500" i="45"/>
  <c r="G1501" i="45"/>
  <c r="G1502" i="45"/>
  <c r="G1503" i="45"/>
  <c r="G1504" i="45"/>
  <c r="G1505" i="45"/>
  <c r="G1506" i="45"/>
  <c r="G1507" i="45"/>
  <c r="G1508" i="45"/>
  <c r="G1509" i="45"/>
  <c r="G1510" i="45"/>
  <c r="G1511" i="45"/>
  <c r="G1512" i="45"/>
  <c r="G1513" i="45"/>
  <c r="G1514" i="45"/>
  <c r="G1515" i="45"/>
  <c r="G1516" i="45"/>
  <c r="G1517" i="45"/>
  <c r="G1518" i="45"/>
  <c r="G1519" i="45"/>
  <c r="G1520" i="45"/>
  <c r="G1521" i="45"/>
  <c r="G1522" i="45"/>
  <c r="G1523" i="45"/>
  <c r="G1524" i="45"/>
  <c r="G1525" i="45"/>
  <c r="G1526" i="45"/>
  <c r="G1527" i="45"/>
  <c r="G1528" i="45"/>
  <c r="G1529" i="45"/>
  <c r="G1530" i="45"/>
  <c r="G1531" i="45"/>
  <c r="G1532" i="45"/>
  <c r="G1533" i="45"/>
  <c r="G1534" i="45"/>
  <c r="G1535" i="45"/>
  <c r="G1536" i="45"/>
  <c r="G1537" i="45"/>
  <c r="G1538" i="45"/>
  <c r="G1539" i="45"/>
  <c r="G1540" i="45"/>
  <c r="G1541" i="45"/>
  <c r="G1543" i="45"/>
  <c r="G1544" i="45"/>
  <c r="G1545" i="45"/>
  <c r="G1546" i="45"/>
  <c r="G1547" i="45"/>
  <c r="G1548" i="45"/>
  <c r="G1549" i="45"/>
  <c r="G1550" i="45"/>
  <c r="G1551" i="45"/>
  <c r="G1552" i="45"/>
  <c r="G1553" i="45"/>
  <c r="G1555" i="45"/>
  <c r="G1556" i="45"/>
  <c r="H1497" i="45"/>
  <c r="H1498" i="45"/>
  <c r="H1499" i="45"/>
  <c r="H1500" i="45"/>
  <c r="H1501" i="45"/>
  <c r="H1502" i="45"/>
  <c r="H1503" i="45"/>
  <c r="H1504" i="45"/>
  <c r="H1505" i="45"/>
  <c r="H1506" i="45"/>
  <c r="H1507" i="45"/>
  <c r="H1508" i="45"/>
  <c r="H1509" i="45"/>
  <c r="H1510" i="45"/>
  <c r="H1511" i="45"/>
  <c r="H1512" i="45"/>
  <c r="H1513" i="45"/>
  <c r="H1514" i="45"/>
  <c r="H1515" i="45"/>
  <c r="H1516" i="45"/>
  <c r="H1517" i="45"/>
  <c r="H1518" i="45"/>
  <c r="H1519" i="45"/>
  <c r="H1520" i="45"/>
  <c r="H1521" i="45"/>
  <c r="H1522" i="45"/>
  <c r="H1523" i="45"/>
  <c r="H1524" i="45"/>
  <c r="H1525" i="45"/>
  <c r="H1526" i="45"/>
  <c r="H1527" i="45"/>
  <c r="H1528" i="45"/>
  <c r="H1529" i="45"/>
  <c r="H1530" i="45"/>
  <c r="H1531" i="45"/>
  <c r="H1532" i="45"/>
  <c r="H1533" i="45"/>
  <c r="H1534" i="45"/>
  <c r="H1535" i="45"/>
  <c r="H1536" i="45"/>
  <c r="H1537" i="45"/>
  <c r="H1538" i="45"/>
  <c r="H1539" i="45"/>
  <c r="H1540" i="45"/>
  <c r="H1541" i="45"/>
  <c r="H1543" i="45"/>
  <c r="H1544" i="45"/>
  <c r="H1545" i="45"/>
  <c r="H1546" i="45"/>
  <c r="H1547" i="45"/>
  <c r="H1548" i="45"/>
  <c r="H1549" i="45"/>
  <c r="H1550" i="45"/>
  <c r="H1551" i="45"/>
  <c r="H1552" i="45"/>
  <c r="H1553" i="45"/>
  <c r="H1555" i="45"/>
  <c r="H1556" i="45"/>
  <c r="I1497" i="45"/>
  <c r="I1498" i="45"/>
  <c r="I1499" i="45"/>
  <c r="I1500" i="45"/>
  <c r="I1501" i="45"/>
  <c r="I1502" i="45"/>
  <c r="I1503" i="45"/>
  <c r="I1504" i="45"/>
  <c r="I1505" i="45"/>
  <c r="I1506" i="45"/>
  <c r="I1507" i="45"/>
  <c r="I1508" i="45"/>
  <c r="I1509" i="45"/>
  <c r="I1510" i="45"/>
  <c r="I1511" i="45"/>
  <c r="I1512" i="45"/>
  <c r="I1513" i="45"/>
  <c r="I1514" i="45"/>
  <c r="I1515" i="45"/>
  <c r="I1516" i="45"/>
  <c r="I1517" i="45"/>
  <c r="I1518" i="45"/>
  <c r="I1519" i="45"/>
  <c r="I1520" i="45"/>
  <c r="I1521" i="45"/>
  <c r="I1522" i="45"/>
  <c r="I1523" i="45"/>
  <c r="I1524" i="45"/>
  <c r="I1525" i="45"/>
  <c r="I1526" i="45"/>
  <c r="I1527" i="45"/>
  <c r="I1528" i="45"/>
  <c r="I1529" i="45"/>
  <c r="I1530" i="45"/>
  <c r="I1531" i="45"/>
  <c r="I1532" i="45"/>
  <c r="I1533" i="45"/>
  <c r="I1534" i="45"/>
  <c r="I1535" i="45"/>
  <c r="I1536" i="45"/>
  <c r="I1537" i="45"/>
  <c r="I1538" i="45"/>
  <c r="I1539" i="45"/>
  <c r="I1540" i="45"/>
  <c r="I1541" i="45"/>
  <c r="I1543" i="45"/>
  <c r="I1544" i="45"/>
  <c r="I1545" i="45"/>
  <c r="I1546" i="45"/>
  <c r="I1547" i="45"/>
  <c r="I1548" i="45"/>
  <c r="I1549" i="45"/>
  <c r="I1550" i="45"/>
  <c r="I1551" i="45"/>
  <c r="I1552" i="45"/>
  <c r="I1553" i="45"/>
  <c r="I1555" i="45"/>
  <c r="I1556" i="45"/>
  <c r="D1411" i="45"/>
  <c r="G1411" i="45"/>
  <c r="H1411" i="45"/>
  <c r="I1411" i="45"/>
  <c r="D1414" i="45"/>
  <c r="G1414" i="45"/>
  <c r="H1414" i="45"/>
  <c r="I1414" i="45"/>
  <c r="D1415" i="45"/>
  <c r="G1415" i="45"/>
  <c r="H1415" i="45"/>
  <c r="I1415" i="45"/>
  <c r="D1416" i="45"/>
  <c r="G1416" i="45"/>
  <c r="H1416" i="45"/>
  <c r="I1416" i="45"/>
  <c r="D1417" i="45"/>
  <c r="G1417" i="45"/>
  <c r="H1417" i="45"/>
  <c r="I1417" i="45"/>
  <c r="D1418" i="45"/>
  <c r="G1418" i="45"/>
  <c r="H1418" i="45"/>
  <c r="I1418" i="45"/>
  <c r="D1420" i="45"/>
  <c r="G1420" i="45"/>
  <c r="H1420" i="45"/>
  <c r="I1420" i="45"/>
  <c r="D1421" i="45"/>
  <c r="G1421" i="45"/>
  <c r="H1421" i="45"/>
  <c r="I1421" i="45"/>
  <c r="D1423" i="45"/>
  <c r="G1423" i="45"/>
  <c r="H1423" i="45"/>
  <c r="I1423" i="45"/>
  <c r="D1424" i="45"/>
  <c r="G1424" i="45"/>
  <c r="H1424" i="45"/>
  <c r="I1424" i="45"/>
  <c r="D1425" i="45"/>
  <c r="G1425" i="45"/>
  <c r="D1430" i="45"/>
  <c r="G1430" i="45"/>
  <c r="H1430" i="45"/>
  <c r="I1430" i="45"/>
  <c r="D1431" i="45"/>
  <c r="G1431" i="45"/>
  <c r="H1431" i="45"/>
  <c r="I1431" i="45"/>
  <c r="D1433" i="45"/>
  <c r="G1433" i="45"/>
  <c r="H1433" i="45"/>
  <c r="I1433" i="45"/>
  <c r="D1434" i="45"/>
  <c r="G1434" i="45"/>
  <c r="H1434" i="45"/>
  <c r="I1434" i="45"/>
  <c r="D1435" i="45"/>
  <c r="G1435" i="45"/>
  <c r="H1435" i="45"/>
  <c r="I1435" i="45"/>
  <c r="D1436" i="45"/>
  <c r="G1436" i="45"/>
  <c r="H1436" i="45"/>
  <c r="I1436" i="45"/>
  <c r="D1437" i="45"/>
  <c r="G1437" i="45"/>
  <c r="H1437" i="45"/>
  <c r="I1437" i="45"/>
  <c r="D1438" i="45"/>
  <c r="G1438" i="45"/>
  <c r="H1438" i="45"/>
  <c r="I1438" i="45"/>
  <c r="D1439" i="45"/>
  <c r="G1439" i="45"/>
  <c r="H1439" i="45"/>
  <c r="I1439" i="45"/>
  <c r="D1440" i="45"/>
  <c r="G1440" i="45"/>
  <c r="H1440" i="45"/>
  <c r="I1440" i="45"/>
  <c r="D1441" i="45"/>
  <c r="G1441" i="45"/>
  <c r="H1441" i="45"/>
  <c r="I1441" i="45"/>
  <c r="D1443" i="45"/>
  <c r="G1443" i="45"/>
  <c r="H1443" i="45"/>
  <c r="I1443" i="45"/>
  <c r="D1444" i="45"/>
  <c r="G1444" i="45"/>
  <c r="H1444" i="45"/>
  <c r="I1444" i="45"/>
  <c r="D1445" i="45"/>
  <c r="G1445" i="45"/>
  <c r="H1445" i="45"/>
  <c r="I1445" i="45"/>
  <c r="D1446" i="45"/>
  <c r="G1446" i="45"/>
  <c r="H1446" i="45"/>
  <c r="I1446" i="45"/>
  <c r="D1447" i="45"/>
  <c r="G1447" i="45"/>
  <c r="H1447" i="45"/>
  <c r="I1447" i="45"/>
  <c r="D1450" i="45"/>
  <c r="G1450" i="45"/>
  <c r="H1450" i="45"/>
  <c r="I1450" i="45"/>
  <c r="D1455" i="45"/>
  <c r="G1455" i="45"/>
  <c r="H1455" i="45"/>
  <c r="I1455" i="45"/>
  <c r="D1456" i="45"/>
  <c r="G1456" i="45"/>
  <c r="H1456" i="45"/>
  <c r="I1456" i="45"/>
  <c r="D1457" i="45"/>
  <c r="G1457" i="45"/>
  <c r="H1457" i="45"/>
  <c r="I1457" i="45"/>
  <c r="D1458" i="45"/>
  <c r="G1458" i="45"/>
  <c r="H1458" i="45"/>
  <c r="I1458" i="45"/>
  <c r="D1459" i="45"/>
  <c r="G1459" i="45"/>
  <c r="H1459" i="45"/>
  <c r="I1459" i="45"/>
  <c r="D1460" i="45"/>
  <c r="G1460" i="45"/>
  <c r="H1460" i="45"/>
  <c r="I1460" i="45"/>
  <c r="D1461" i="45"/>
  <c r="G1461" i="45"/>
  <c r="H1461" i="45"/>
  <c r="I1461" i="45"/>
  <c r="D1462" i="45"/>
  <c r="G1462" i="45"/>
  <c r="H1462" i="45"/>
  <c r="I1462" i="45"/>
  <c r="D1463" i="45"/>
  <c r="G1463" i="45"/>
  <c r="H1463" i="45"/>
  <c r="I1463" i="45"/>
  <c r="D1464" i="45"/>
  <c r="G1464" i="45"/>
  <c r="H1464" i="45"/>
  <c r="I1464" i="45"/>
  <c r="D1465" i="45"/>
  <c r="G1465" i="45"/>
  <c r="H1465" i="45"/>
  <c r="I1465" i="45"/>
  <c r="D1466" i="45"/>
  <c r="G1466" i="45"/>
  <c r="H1466" i="45"/>
  <c r="I1466" i="45"/>
  <c r="D1467" i="45"/>
  <c r="G1467" i="45"/>
  <c r="H1467" i="45"/>
  <c r="I1467" i="45"/>
  <c r="D1468" i="45"/>
  <c r="G1468" i="45"/>
  <c r="H1468" i="45"/>
  <c r="I1468" i="45"/>
  <c r="D1469" i="45"/>
  <c r="G1469" i="45"/>
  <c r="H1469" i="45"/>
  <c r="I1469" i="45"/>
  <c r="D1470" i="45"/>
  <c r="G1470" i="45"/>
  <c r="H1470" i="45"/>
  <c r="I1470" i="45"/>
  <c r="D1471" i="45"/>
  <c r="G1471" i="45"/>
  <c r="H1471" i="45"/>
  <c r="I1471" i="45"/>
  <c r="D1472" i="45"/>
  <c r="G1472" i="45"/>
  <c r="H1472" i="45"/>
  <c r="I1472" i="45"/>
  <c r="D1473" i="45"/>
  <c r="G1473" i="45"/>
  <c r="H1473" i="45"/>
  <c r="I1473" i="45"/>
  <c r="D1474" i="45"/>
  <c r="G1474" i="45"/>
  <c r="H1474" i="45"/>
  <c r="I1474" i="45"/>
  <c r="D1475" i="45"/>
  <c r="G1475" i="45"/>
  <c r="H1475" i="45"/>
  <c r="I1475" i="45"/>
  <c r="D1480" i="45"/>
  <c r="G1480" i="45"/>
  <c r="H1480" i="45"/>
  <c r="I1480" i="45"/>
  <c r="D1481" i="45"/>
  <c r="G1481" i="45"/>
  <c r="H1481" i="45"/>
  <c r="I1481" i="45"/>
  <c r="D1482" i="45"/>
  <c r="G1482" i="45"/>
  <c r="H1482" i="45"/>
  <c r="I1482" i="45"/>
  <c r="D1483" i="45"/>
  <c r="G1483" i="45"/>
  <c r="H1483" i="45"/>
  <c r="I1483" i="45"/>
  <c r="D1484" i="45"/>
  <c r="G1484" i="45"/>
  <c r="H1484" i="45"/>
  <c r="I1484" i="45"/>
  <c r="D1485" i="45"/>
  <c r="G1485" i="45"/>
  <c r="H1485" i="45"/>
  <c r="I1485" i="45"/>
  <c r="D1486" i="45"/>
  <c r="G1486" i="45"/>
  <c r="H1486" i="45"/>
  <c r="I1486" i="45"/>
  <c r="D1487" i="45"/>
  <c r="G1487" i="45"/>
  <c r="H1487" i="45"/>
  <c r="I1487" i="45"/>
  <c r="D1488" i="45"/>
  <c r="G1488" i="45"/>
  <c r="H1488" i="45"/>
  <c r="I1488" i="45"/>
  <c r="D1489" i="45"/>
  <c r="G1489" i="45"/>
  <c r="H1489" i="45"/>
  <c r="I1489" i="45"/>
  <c r="D1490" i="45"/>
  <c r="G1490" i="45"/>
  <c r="H1490" i="45"/>
  <c r="I1490" i="45"/>
  <c r="D1492" i="45"/>
  <c r="G1492" i="45"/>
  <c r="H1492" i="45"/>
  <c r="I1492" i="45"/>
  <c r="D1493" i="45"/>
  <c r="G1493" i="45"/>
  <c r="H1493" i="45"/>
  <c r="I1493" i="45"/>
  <c r="D1495" i="45"/>
  <c r="G1495" i="45"/>
  <c r="H1495" i="45"/>
  <c r="I1495" i="45"/>
  <c r="D1496" i="45"/>
  <c r="G1496" i="45"/>
  <c r="H1496" i="45"/>
  <c r="I1496" i="45"/>
  <c r="I2" i="45"/>
  <c r="I734" i="45"/>
  <c r="I735" i="45"/>
  <c r="I736" i="45"/>
  <c r="I737" i="45"/>
  <c r="I738" i="45"/>
  <c r="I739" i="45"/>
  <c r="I740" i="45"/>
  <c r="I741" i="45"/>
  <c r="I742" i="45"/>
  <c r="I744" i="45"/>
  <c r="I745" i="45"/>
  <c r="I746" i="45"/>
  <c r="I747" i="45"/>
  <c r="I748" i="45"/>
  <c r="I749" i="45"/>
  <c r="I750" i="45"/>
  <c r="I751" i="45"/>
  <c r="I752" i="45"/>
  <c r="I753" i="45"/>
  <c r="I754" i="45"/>
  <c r="I755" i="45"/>
  <c r="I756" i="45"/>
  <c r="I757" i="45"/>
  <c r="I758" i="45"/>
  <c r="I759" i="45"/>
  <c r="I760" i="45"/>
  <c r="I761" i="45"/>
  <c r="I762" i="45"/>
  <c r="I763" i="45"/>
  <c r="I764" i="45"/>
  <c r="I765" i="45"/>
  <c r="I767" i="45"/>
  <c r="I768" i="45"/>
  <c r="I770" i="45"/>
  <c r="I771" i="45"/>
  <c r="I772" i="45"/>
  <c r="I773" i="45"/>
  <c r="I774" i="45"/>
  <c r="I775" i="45"/>
  <c r="I776" i="45"/>
  <c r="I777" i="45"/>
  <c r="I778" i="45"/>
  <c r="I781" i="45"/>
  <c r="I782" i="45"/>
  <c r="I783" i="45"/>
  <c r="I784" i="45"/>
  <c r="I785" i="45"/>
  <c r="I786" i="45"/>
  <c r="I787" i="45"/>
  <c r="I788" i="45"/>
  <c r="I789" i="45"/>
  <c r="I790" i="45"/>
  <c r="I791" i="45"/>
  <c r="I792" i="45"/>
  <c r="I793" i="45"/>
  <c r="I794" i="45"/>
  <c r="I795" i="45"/>
  <c r="I796" i="45"/>
  <c r="I797" i="45"/>
  <c r="I798" i="45"/>
  <c r="I799" i="45"/>
  <c r="I800" i="45"/>
  <c r="I801" i="45"/>
  <c r="I802" i="45"/>
  <c r="I803" i="45"/>
  <c r="I804" i="45"/>
  <c r="I805" i="45"/>
  <c r="I806" i="45"/>
  <c r="I807" i="45"/>
  <c r="I808" i="45"/>
  <c r="I809" i="45"/>
  <c r="I810" i="45"/>
  <c r="I811" i="45"/>
  <c r="I812" i="45"/>
  <c r="I813" i="45"/>
  <c r="I814" i="45"/>
  <c r="I815" i="45"/>
  <c r="I816" i="45"/>
  <c r="I817" i="45"/>
  <c r="I818" i="45"/>
  <c r="I819" i="45"/>
  <c r="I820" i="45"/>
  <c r="I821" i="45"/>
  <c r="I822" i="45"/>
  <c r="I824" i="45"/>
  <c r="I825" i="45"/>
  <c r="I826" i="45"/>
  <c r="I827" i="45"/>
  <c r="I828" i="45"/>
  <c r="I829" i="45"/>
  <c r="I830" i="45"/>
  <c r="I831" i="45"/>
  <c r="I832" i="45"/>
  <c r="I833" i="45"/>
  <c r="I834" i="45"/>
  <c r="I835" i="45"/>
  <c r="I836" i="45"/>
  <c r="I837" i="45"/>
  <c r="I838" i="45"/>
  <c r="I839" i="45"/>
  <c r="I840" i="45"/>
  <c r="I841" i="45"/>
  <c r="I842" i="45"/>
  <c r="I845" i="45"/>
  <c r="I846" i="45"/>
  <c r="I847" i="45"/>
  <c r="I848" i="45"/>
  <c r="I849" i="45"/>
  <c r="I850" i="45"/>
  <c r="I851" i="45"/>
  <c r="I852" i="45"/>
  <c r="I853" i="45"/>
  <c r="I855" i="45"/>
  <c r="I856" i="45"/>
  <c r="I859" i="45"/>
  <c r="I860" i="45"/>
  <c r="I861" i="45"/>
  <c r="I862" i="45"/>
  <c r="I863" i="45"/>
  <c r="I864" i="45"/>
  <c r="I866" i="45"/>
  <c r="I869" i="45"/>
  <c r="I870" i="45"/>
  <c r="I871" i="45"/>
  <c r="I872" i="45"/>
  <c r="I873" i="45"/>
  <c r="I874" i="45"/>
  <c r="I875" i="45"/>
  <c r="I876" i="45"/>
  <c r="I877" i="45"/>
  <c r="I878" i="45"/>
  <c r="I879" i="45"/>
  <c r="I880" i="45"/>
  <c r="I881" i="45"/>
  <c r="I882" i="45"/>
  <c r="I884" i="45"/>
  <c r="I885" i="45"/>
  <c r="I886" i="45"/>
  <c r="I887" i="45"/>
  <c r="I888" i="45"/>
  <c r="I889" i="45"/>
  <c r="I890" i="45"/>
  <c r="I896" i="45"/>
  <c r="I897" i="45"/>
  <c r="I898" i="45"/>
  <c r="I899" i="45"/>
  <c r="I900" i="45"/>
  <c r="I901" i="45"/>
  <c r="I902" i="45"/>
  <c r="I903" i="45"/>
  <c r="I904" i="45"/>
  <c r="I905" i="45"/>
  <c r="I906" i="45"/>
  <c r="I907" i="45"/>
  <c r="I909" i="45"/>
  <c r="I910" i="45"/>
  <c r="I912" i="45"/>
  <c r="I913" i="45"/>
  <c r="I914" i="45"/>
  <c r="I915" i="45"/>
  <c r="I916" i="45"/>
  <c r="I917" i="45"/>
  <c r="I918" i="45"/>
  <c r="I919" i="45"/>
  <c r="I920" i="45"/>
  <c r="I922" i="45"/>
  <c r="I923" i="45"/>
  <c r="I924" i="45"/>
  <c r="I925" i="45"/>
  <c r="I926" i="45"/>
  <c r="I927" i="45"/>
  <c r="I928" i="45"/>
  <c r="I929" i="45"/>
  <c r="I930" i="45"/>
  <c r="I931" i="45"/>
  <c r="I932" i="45"/>
  <c r="I933" i="45"/>
  <c r="I934" i="45"/>
  <c r="I935" i="45"/>
  <c r="I936" i="45"/>
  <c r="I937" i="45"/>
  <c r="I938" i="45"/>
  <c r="I939" i="45"/>
  <c r="I940" i="45"/>
  <c r="I941" i="45"/>
  <c r="I942" i="45"/>
  <c r="I943" i="45"/>
  <c r="I944" i="45"/>
  <c r="I945" i="45"/>
  <c r="I946" i="45"/>
  <c r="I947" i="45"/>
  <c r="I948" i="45"/>
  <c r="I949" i="45"/>
  <c r="I950" i="45"/>
  <c r="I951" i="45"/>
  <c r="I952" i="45"/>
  <c r="I953" i="45"/>
  <c r="I954" i="45"/>
  <c r="I955" i="45"/>
  <c r="I956" i="45"/>
  <c r="I957" i="45"/>
  <c r="I958" i="45"/>
  <c r="I959" i="45"/>
  <c r="I960" i="45"/>
  <c r="I962" i="45"/>
  <c r="I963" i="45"/>
  <c r="I964" i="45"/>
  <c r="I965" i="45"/>
  <c r="I966" i="45"/>
  <c r="I967" i="45"/>
  <c r="I968" i="45"/>
  <c r="I969" i="45"/>
  <c r="I970" i="45"/>
  <c r="I971" i="45"/>
  <c r="I972" i="45"/>
  <c r="I973" i="45"/>
  <c r="I974" i="45"/>
  <c r="I975" i="45"/>
  <c r="I976" i="45"/>
  <c r="I977" i="45"/>
  <c r="I978" i="45"/>
  <c r="I979" i="45"/>
  <c r="I980" i="45"/>
  <c r="I981" i="45"/>
  <c r="I982" i="45"/>
  <c r="I983" i="45"/>
  <c r="I984" i="45"/>
  <c r="I987" i="45"/>
  <c r="I988" i="45"/>
  <c r="I989" i="45"/>
  <c r="I990" i="45"/>
  <c r="I991" i="45"/>
  <c r="I992" i="45"/>
  <c r="I993" i="45"/>
  <c r="I994" i="45"/>
  <c r="I995" i="45"/>
  <c r="I996" i="45"/>
  <c r="I999" i="45"/>
  <c r="I1000" i="45"/>
  <c r="I1001" i="45"/>
  <c r="I1007" i="45"/>
  <c r="I1008" i="45"/>
  <c r="I1009" i="45"/>
  <c r="I1011" i="45"/>
  <c r="I1012" i="45"/>
  <c r="I1013" i="45"/>
  <c r="I1014" i="45"/>
  <c r="I1015" i="45"/>
  <c r="I1016" i="45"/>
  <c r="I1017" i="45"/>
  <c r="I1018" i="45"/>
  <c r="I1019" i="45"/>
  <c r="I1020" i="45"/>
  <c r="I1021" i="45"/>
  <c r="I1022" i="45"/>
  <c r="I1023" i="45"/>
  <c r="I1024" i="45"/>
  <c r="I1025" i="45"/>
  <c r="I1027" i="45"/>
  <c r="I1028" i="45"/>
  <c r="I1029" i="45"/>
  <c r="I1030" i="45"/>
  <c r="I1031" i="45"/>
  <c r="I1032" i="45"/>
  <c r="I1033" i="45"/>
  <c r="I1034" i="45"/>
  <c r="I1035" i="45"/>
  <c r="I1036" i="45"/>
  <c r="I1037" i="45"/>
  <c r="I1038" i="45"/>
  <c r="I1039" i="45"/>
  <c r="I1040" i="45"/>
  <c r="I1041" i="45"/>
  <c r="I1042" i="45"/>
  <c r="I1043" i="45"/>
  <c r="I1044" i="45"/>
  <c r="I1045" i="45"/>
  <c r="I1048" i="45"/>
  <c r="I1049" i="45"/>
  <c r="I1051" i="45"/>
  <c r="I1052" i="45"/>
  <c r="I1053" i="45"/>
  <c r="I1054" i="45"/>
  <c r="I1055" i="45"/>
  <c r="I1056" i="45"/>
  <c r="I1057" i="45"/>
  <c r="I1058" i="45"/>
  <c r="I1059" i="45"/>
  <c r="I1060" i="45"/>
  <c r="I1061" i="45"/>
  <c r="I1062" i="45"/>
  <c r="I1063" i="45"/>
  <c r="I1064" i="45"/>
  <c r="I1065" i="45"/>
  <c r="I1066" i="45"/>
  <c r="I1067" i="45"/>
  <c r="I1068" i="45"/>
  <c r="I1069" i="45"/>
  <c r="I1070" i="45"/>
  <c r="I1071" i="45"/>
  <c r="I1072" i="45"/>
  <c r="I1073" i="45"/>
  <c r="I1074" i="45"/>
  <c r="I1075" i="45"/>
  <c r="I1076" i="45"/>
  <c r="I1077" i="45"/>
  <c r="I1078" i="45"/>
  <c r="I1079" i="45"/>
  <c r="I1080" i="45"/>
  <c r="I1081" i="45"/>
  <c r="I1082" i="45"/>
  <c r="I1083" i="45"/>
  <c r="I1084" i="45"/>
  <c r="I1085" i="45"/>
  <c r="I1086" i="45"/>
  <c r="I1087" i="45"/>
  <c r="I1088" i="45"/>
  <c r="I1089" i="45"/>
  <c r="I1090" i="45"/>
  <c r="I1091" i="45"/>
  <c r="I1092" i="45"/>
  <c r="I1093" i="45"/>
  <c r="I1094" i="45"/>
  <c r="I1095" i="45"/>
  <c r="I1096" i="45"/>
  <c r="I1097" i="45"/>
  <c r="I1098" i="45"/>
  <c r="I1099" i="45"/>
  <c r="I1100" i="45"/>
  <c r="I1101" i="45"/>
  <c r="I1102" i="45"/>
  <c r="I1103" i="45"/>
  <c r="I1104" i="45"/>
  <c r="I1105" i="45"/>
  <c r="I1106" i="45"/>
  <c r="I1107" i="45"/>
  <c r="I1108" i="45"/>
  <c r="I1109" i="45"/>
  <c r="I1110" i="45"/>
  <c r="I1111" i="45"/>
  <c r="I1112" i="45"/>
  <c r="I1114" i="45"/>
  <c r="I1115" i="45"/>
  <c r="I1116" i="45"/>
  <c r="I1117" i="45"/>
  <c r="I1118" i="45"/>
  <c r="I1119" i="45"/>
  <c r="I1120" i="45"/>
  <c r="I1121" i="45"/>
  <c r="I1122" i="45"/>
  <c r="I1123" i="45"/>
  <c r="I1124" i="45"/>
  <c r="I1125" i="45"/>
  <c r="I1127" i="45"/>
  <c r="I1129" i="45"/>
  <c r="I1130" i="45"/>
  <c r="I1131" i="45"/>
  <c r="I1132" i="45"/>
  <c r="I1133" i="45"/>
  <c r="I1134" i="45"/>
  <c r="I1135" i="45"/>
  <c r="I1136" i="45"/>
  <c r="I1137" i="45"/>
  <c r="I1138" i="45"/>
  <c r="I1140" i="45"/>
  <c r="I1141" i="45"/>
  <c r="I1142" i="45"/>
  <c r="I1143" i="45"/>
  <c r="I1146" i="45"/>
  <c r="I1147" i="45"/>
  <c r="I1148" i="45"/>
  <c r="I1149" i="45"/>
  <c r="I1150" i="45"/>
  <c r="I1151" i="45"/>
  <c r="I1152" i="45"/>
  <c r="I1153" i="45"/>
  <c r="I1154" i="45"/>
  <c r="I1155" i="45"/>
  <c r="I1156" i="45"/>
  <c r="I1157" i="45"/>
  <c r="I1158" i="45"/>
  <c r="I1159" i="45"/>
  <c r="I1160" i="45"/>
  <c r="I1161" i="45"/>
  <c r="I1162" i="45"/>
  <c r="I1163" i="45"/>
  <c r="I1165" i="45"/>
  <c r="I1166" i="45"/>
  <c r="I1167" i="45"/>
  <c r="I1168" i="45"/>
  <c r="I1169" i="45"/>
  <c r="I1170" i="45"/>
  <c r="I1171" i="45"/>
  <c r="I1174" i="45"/>
  <c r="I1177" i="45"/>
  <c r="I1178" i="45"/>
  <c r="I1179" i="45"/>
  <c r="I1180" i="45"/>
  <c r="I1181" i="45"/>
  <c r="I1182" i="45"/>
  <c r="I1183" i="45"/>
  <c r="I1184" i="45"/>
  <c r="I1185" i="45"/>
  <c r="I1186" i="45"/>
  <c r="I1187" i="45"/>
  <c r="I1189" i="45"/>
  <c r="I1190" i="45"/>
  <c r="I1192" i="45"/>
  <c r="I1194" i="45"/>
  <c r="I1195" i="45"/>
  <c r="I1196" i="45"/>
  <c r="I1197" i="45"/>
  <c r="I1198" i="45"/>
  <c r="I1199" i="45"/>
  <c r="I1200" i="45"/>
  <c r="I1201" i="45"/>
  <c r="I1202" i="45"/>
  <c r="I1203" i="45"/>
  <c r="I1204" i="45"/>
  <c r="I1205" i="45"/>
  <c r="I1206" i="45"/>
  <c r="I1207" i="45"/>
  <c r="I1208" i="45"/>
  <c r="I1209" i="45"/>
  <c r="I1210" i="45"/>
  <c r="I1211" i="45"/>
  <c r="I1212" i="45"/>
  <c r="I1213" i="45"/>
  <c r="I1214" i="45"/>
  <c r="I1215" i="45"/>
  <c r="I1216" i="45"/>
  <c r="I1217" i="45"/>
  <c r="I1218" i="45"/>
  <c r="I1219" i="45"/>
  <c r="I1220" i="45"/>
  <c r="I1221" i="45"/>
  <c r="I1222" i="45"/>
  <c r="I1223" i="45"/>
  <c r="I1224" i="45"/>
  <c r="I1225" i="45"/>
  <c r="I1226" i="45"/>
  <c r="I1227" i="45"/>
  <c r="I1228" i="45"/>
  <c r="I1229" i="45"/>
  <c r="I1230" i="45"/>
  <c r="I1231" i="45"/>
  <c r="I1232" i="45"/>
  <c r="I1233" i="45"/>
  <c r="I1234" i="45"/>
  <c r="I1235" i="45"/>
  <c r="I1236" i="45"/>
  <c r="I1237" i="45"/>
  <c r="I1238" i="45"/>
  <c r="I1239" i="45"/>
  <c r="I1240" i="45"/>
  <c r="I1241" i="45"/>
  <c r="I1242" i="45"/>
  <c r="I1243" i="45"/>
  <c r="I1244" i="45"/>
  <c r="I1245" i="45"/>
  <c r="I1246" i="45"/>
  <c r="I1247" i="45"/>
  <c r="I1248" i="45"/>
  <c r="I1249" i="45"/>
  <c r="I1251" i="45"/>
  <c r="I1252" i="45"/>
  <c r="I1253" i="45"/>
  <c r="I1257" i="45"/>
  <c r="I1258" i="45"/>
  <c r="I1259" i="45"/>
  <c r="I1260" i="45"/>
  <c r="I1261" i="45"/>
  <c r="I1262" i="45"/>
  <c r="I1263" i="45"/>
  <c r="I1264" i="45"/>
  <c r="I1265" i="45"/>
  <c r="I1266" i="45"/>
  <c r="I1267" i="45"/>
  <c r="I1268" i="45"/>
  <c r="I1270" i="45"/>
  <c r="I1275" i="45"/>
  <c r="I1276" i="45"/>
  <c r="I1277" i="45"/>
  <c r="I1278" i="45"/>
  <c r="I1279" i="45"/>
  <c r="I1280" i="45"/>
  <c r="I1281" i="45"/>
  <c r="I1282" i="45"/>
  <c r="I1283" i="45"/>
  <c r="I1284" i="45"/>
  <c r="I1285" i="45"/>
  <c r="I1286" i="45"/>
  <c r="I1289" i="45"/>
  <c r="I1290" i="45"/>
  <c r="I1291" i="45"/>
  <c r="I1295" i="45"/>
  <c r="I1296" i="45"/>
  <c r="I1297" i="45"/>
  <c r="I1300" i="45"/>
  <c r="I1301" i="45"/>
  <c r="I1302" i="45"/>
  <c r="I1303" i="45"/>
  <c r="I1304" i="45"/>
  <c r="I1305" i="45"/>
  <c r="I1306" i="45"/>
  <c r="I1307" i="45"/>
  <c r="I1308" i="45"/>
  <c r="I1309" i="45"/>
  <c r="I1310" i="45"/>
  <c r="I1311" i="45"/>
  <c r="I1312" i="45"/>
  <c r="I1313" i="45"/>
  <c r="I1314" i="45"/>
  <c r="I1315" i="45"/>
  <c r="I1316" i="45"/>
  <c r="I1317" i="45"/>
  <c r="I1318" i="45"/>
  <c r="I1324" i="45"/>
  <c r="I1327" i="45"/>
  <c r="I1328" i="45"/>
  <c r="I1329" i="45"/>
  <c r="I1330" i="45"/>
  <c r="I1331" i="45"/>
  <c r="I1332" i="45"/>
  <c r="I1333" i="45"/>
  <c r="I1334" i="45"/>
  <c r="I1335" i="45"/>
  <c r="I1336" i="45"/>
  <c r="I1337" i="45"/>
  <c r="I1339" i="45"/>
  <c r="I1340" i="45"/>
  <c r="I1342" i="45"/>
  <c r="I1343" i="45"/>
  <c r="I1344" i="45"/>
  <c r="I1347" i="45"/>
  <c r="I1348" i="45"/>
  <c r="I1349" i="45"/>
  <c r="I1350" i="45"/>
  <c r="I1351" i="45"/>
  <c r="I1352" i="45"/>
  <c r="I1353" i="45"/>
  <c r="I1354" i="45"/>
  <c r="I1355" i="45"/>
  <c r="I1356" i="45"/>
  <c r="I1357" i="45"/>
  <c r="I1358" i="45"/>
  <c r="I1359" i="45"/>
  <c r="I1360" i="45"/>
  <c r="I1361" i="45"/>
  <c r="I1362" i="45"/>
  <c r="I1363" i="45"/>
  <c r="I1364" i="45"/>
  <c r="I1365" i="45"/>
  <c r="I1366" i="45"/>
  <c r="I1367" i="45"/>
  <c r="I1368" i="45"/>
  <c r="I1369" i="45"/>
  <c r="I1370" i="45"/>
  <c r="I1371" i="45"/>
  <c r="I1372" i="45"/>
  <c r="I1373" i="45"/>
  <c r="I1374" i="45"/>
  <c r="I1376" i="45"/>
  <c r="I1377" i="45"/>
  <c r="I1378" i="45"/>
  <c r="I1379" i="45"/>
  <c r="I1380" i="45"/>
  <c r="I1381" i="45"/>
  <c r="I1382" i="45"/>
  <c r="I1383" i="45"/>
  <c r="I1384" i="45"/>
  <c r="I1385" i="45"/>
  <c r="I1386" i="45"/>
  <c r="I1387" i="45"/>
  <c r="I1388" i="45"/>
  <c r="I1389" i="45"/>
  <c r="I1390" i="45"/>
  <c r="I1391" i="45"/>
  <c r="I1392" i="45"/>
  <c r="I1395" i="45"/>
  <c r="I1396" i="45"/>
  <c r="I1397" i="45"/>
  <c r="I1398" i="45"/>
  <c r="I1399" i="45"/>
  <c r="I1400" i="45"/>
  <c r="I1401" i="45"/>
  <c r="I1402" i="45"/>
  <c r="I1403" i="45"/>
  <c r="I1404" i="45"/>
  <c r="I1405" i="45"/>
  <c r="I1406" i="45"/>
  <c r="I1407" i="45"/>
  <c r="I1409" i="45"/>
  <c r="I1410" i="45"/>
  <c r="I731" i="45"/>
  <c r="I732" i="45"/>
  <c r="I733" i="45"/>
  <c r="I21" i="45"/>
  <c r="I22" i="45"/>
  <c r="I23" i="45"/>
  <c r="I24" i="45"/>
  <c r="I26" i="45"/>
  <c r="I27" i="45"/>
  <c r="I28" i="45"/>
  <c r="I29" i="45"/>
  <c r="I30" i="45"/>
  <c r="I31" i="45"/>
  <c r="I32" i="45"/>
  <c r="I33" i="45"/>
  <c r="I34" i="45"/>
  <c r="I35" i="45"/>
  <c r="I36" i="45"/>
  <c r="I37" i="45"/>
  <c r="I41" i="45"/>
  <c r="I42" i="45"/>
  <c r="I43" i="45"/>
  <c r="I44" i="45"/>
  <c r="I45" i="45"/>
  <c r="I46" i="45"/>
  <c r="I47" i="45"/>
  <c r="I48" i="45"/>
  <c r="I49" i="45"/>
  <c r="I50" i="45"/>
  <c r="I51" i="45"/>
  <c r="I53" i="45"/>
  <c r="I54" i="45"/>
  <c r="I55" i="45"/>
  <c r="I56" i="45"/>
  <c r="I57" i="45"/>
  <c r="I58" i="45"/>
  <c r="I59" i="45"/>
  <c r="I61" i="45"/>
  <c r="I62" i="45"/>
  <c r="I63" i="45"/>
  <c r="I64" i="45"/>
  <c r="I65" i="45"/>
  <c r="I66" i="45"/>
  <c r="I67" i="45"/>
  <c r="I68" i="45"/>
  <c r="I69" i="45"/>
  <c r="I70" i="45"/>
  <c r="I71" i="45"/>
  <c r="I72" i="45"/>
  <c r="I73" i="45"/>
  <c r="I74" i="45"/>
  <c r="I76" i="45"/>
  <c r="I78" i="45"/>
  <c r="I79" i="45"/>
  <c r="I81" i="45"/>
  <c r="I82" i="45"/>
  <c r="I83" i="45"/>
  <c r="I84" i="45"/>
  <c r="I85" i="45"/>
  <c r="I86" i="45"/>
  <c r="I87" i="45"/>
  <c r="I88" i="45"/>
  <c r="I89" i="45"/>
  <c r="I93" i="45"/>
  <c r="I94" i="45"/>
  <c r="I96" i="45"/>
  <c r="I97" i="45"/>
  <c r="I98" i="45"/>
  <c r="I99" i="45"/>
  <c r="I100" i="45"/>
  <c r="I101" i="45"/>
  <c r="I102" i="45"/>
  <c r="I103" i="45"/>
  <c r="I104" i="45"/>
  <c r="I105" i="45"/>
  <c r="I106" i="45"/>
  <c r="I107" i="45"/>
  <c r="I108" i="45"/>
  <c r="I109" i="45"/>
  <c r="I110" i="45"/>
  <c r="I111" i="45"/>
  <c r="I112" i="45"/>
  <c r="I113" i="45"/>
  <c r="I114" i="45"/>
  <c r="I115" i="45"/>
  <c r="I116" i="45"/>
  <c r="I117" i="45"/>
  <c r="I118" i="45"/>
  <c r="I119" i="45"/>
  <c r="I120" i="45"/>
  <c r="I121" i="45"/>
  <c r="I122" i="45"/>
  <c r="I123" i="45"/>
  <c r="I124" i="45"/>
  <c r="I125" i="45"/>
  <c r="I126" i="45"/>
  <c r="I127" i="45"/>
  <c r="I128" i="45"/>
  <c r="I129" i="45"/>
  <c r="I130" i="45"/>
  <c r="I131" i="45"/>
  <c r="I132" i="45"/>
  <c r="I133" i="45"/>
  <c r="I134" i="45"/>
  <c r="I138" i="45"/>
  <c r="I139" i="45"/>
  <c r="I140" i="45"/>
  <c r="I141" i="45"/>
  <c r="I142" i="45"/>
  <c r="I143" i="45"/>
  <c r="I144" i="45"/>
  <c r="I145" i="45"/>
  <c r="I146" i="45"/>
  <c r="I147" i="45"/>
  <c r="I149" i="45"/>
  <c r="I150" i="45"/>
  <c r="I151" i="45"/>
  <c r="I152" i="45"/>
  <c r="I153" i="45"/>
  <c r="I154" i="45"/>
  <c r="I155" i="45"/>
  <c r="I156" i="45"/>
  <c r="I157" i="45"/>
  <c r="I159" i="45"/>
  <c r="I160" i="45"/>
  <c r="I161" i="45"/>
  <c r="I162" i="45"/>
  <c r="I163" i="45"/>
  <c r="I164" i="45"/>
  <c r="I165" i="45"/>
  <c r="I166" i="45"/>
  <c r="I167" i="45"/>
  <c r="I168" i="45"/>
  <c r="I169" i="45"/>
  <c r="I172" i="45"/>
  <c r="I173" i="45"/>
  <c r="I174" i="45"/>
  <c r="I175" i="45"/>
  <c r="I176" i="45"/>
  <c r="I177" i="45"/>
  <c r="I179" i="45"/>
  <c r="I180" i="45"/>
  <c r="I181" i="45"/>
  <c r="I182" i="45"/>
  <c r="I183" i="45"/>
  <c r="I184" i="45"/>
  <c r="I185" i="45"/>
  <c r="I186" i="45"/>
  <c r="I187" i="45"/>
  <c r="I188" i="45"/>
  <c r="I189" i="45"/>
  <c r="I190" i="45"/>
  <c r="I191" i="45"/>
  <c r="I192" i="45"/>
  <c r="I193" i="45"/>
  <c r="I195" i="45"/>
  <c r="I196" i="45"/>
  <c r="I197" i="45"/>
  <c r="I198" i="45"/>
  <c r="I199" i="45"/>
  <c r="I200" i="45"/>
  <c r="I201" i="45"/>
  <c r="I202" i="45"/>
  <c r="I203" i="45"/>
  <c r="I204" i="45"/>
  <c r="I205" i="45"/>
  <c r="I206" i="45"/>
  <c r="I207" i="45"/>
  <c r="I208" i="45"/>
  <c r="I209" i="45"/>
  <c r="I210" i="45"/>
  <c r="I211" i="45"/>
  <c r="I212" i="45"/>
  <c r="I213" i="45"/>
  <c r="I214" i="45"/>
  <c r="I215" i="45"/>
  <c r="I216" i="45"/>
  <c r="I218" i="45"/>
  <c r="I219" i="45"/>
  <c r="I221" i="45"/>
  <c r="I222" i="45"/>
  <c r="I223" i="45"/>
  <c r="I224" i="45"/>
  <c r="I225" i="45"/>
  <c r="I226" i="45"/>
  <c r="I227" i="45"/>
  <c r="I228" i="45"/>
  <c r="I229" i="45"/>
  <c r="I232" i="45"/>
  <c r="I233" i="45"/>
  <c r="I234" i="45"/>
  <c r="I235" i="45"/>
  <c r="I236" i="45"/>
  <c r="I237" i="45"/>
  <c r="I238" i="45"/>
  <c r="I239" i="45"/>
  <c r="I240" i="45"/>
  <c r="I241" i="45"/>
  <c r="I242" i="45"/>
  <c r="I243" i="45"/>
  <c r="I244" i="45"/>
  <c r="I245" i="45"/>
  <c r="I246" i="45"/>
  <c r="I247" i="45"/>
  <c r="I248" i="45"/>
  <c r="I249" i="45"/>
  <c r="I250" i="45"/>
  <c r="I251" i="45"/>
  <c r="I252" i="45"/>
  <c r="I253" i="45"/>
  <c r="I254" i="45"/>
  <c r="I255" i="45"/>
  <c r="I256" i="45"/>
  <c r="I257" i="45"/>
  <c r="I258" i="45"/>
  <c r="I259" i="45"/>
  <c r="I260" i="45"/>
  <c r="I261" i="45"/>
  <c r="I262" i="45"/>
  <c r="I263" i="45"/>
  <c r="I264" i="45"/>
  <c r="I265" i="45"/>
  <c r="I266" i="45"/>
  <c r="I267" i="45"/>
  <c r="I268" i="45"/>
  <c r="I269" i="45"/>
  <c r="I270" i="45"/>
  <c r="I271" i="45"/>
  <c r="I272" i="45"/>
  <c r="I273" i="45"/>
  <c r="I275" i="45"/>
  <c r="I276" i="45"/>
  <c r="I277" i="45"/>
  <c r="I278" i="45"/>
  <c r="I279" i="45"/>
  <c r="I280" i="45"/>
  <c r="I281" i="45"/>
  <c r="I282" i="45"/>
  <c r="I283" i="45"/>
  <c r="I284" i="45"/>
  <c r="I286" i="45"/>
  <c r="I287" i="45"/>
  <c r="I288" i="45"/>
  <c r="I289" i="45"/>
  <c r="I290" i="45"/>
  <c r="I291" i="45"/>
  <c r="I292" i="45"/>
  <c r="I293" i="45"/>
  <c r="I294" i="45"/>
  <c r="I295" i="45"/>
  <c r="I296" i="45"/>
  <c r="I297" i="45"/>
  <c r="I298" i="45"/>
  <c r="I299" i="45"/>
  <c r="I300" i="45"/>
  <c r="I301" i="45"/>
  <c r="I302" i="45"/>
  <c r="I303" i="45"/>
  <c r="I304" i="45"/>
  <c r="I305" i="45"/>
  <c r="I306" i="45"/>
  <c r="I309" i="45"/>
  <c r="I310" i="45"/>
  <c r="I311" i="45"/>
  <c r="I312" i="45"/>
  <c r="I313" i="45"/>
  <c r="I314" i="45"/>
  <c r="I316" i="45"/>
  <c r="I317" i="45"/>
  <c r="I318" i="45"/>
  <c r="I319" i="45"/>
  <c r="I320" i="45"/>
  <c r="I321" i="45"/>
  <c r="I322" i="45"/>
  <c r="I323" i="45"/>
  <c r="I324" i="45"/>
  <c r="I325" i="45"/>
  <c r="I326" i="45"/>
  <c r="I327" i="45"/>
  <c r="I328" i="45"/>
  <c r="I329" i="45"/>
  <c r="I330" i="45"/>
  <c r="I332" i="45"/>
  <c r="I333" i="45"/>
  <c r="I334" i="45"/>
  <c r="I335" i="45"/>
  <c r="I336" i="45"/>
  <c r="I337" i="45"/>
  <c r="I338" i="45"/>
  <c r="I339" i="45"/>
  <c r="I340" i="45"/>
  <c r="I341" i="45"/>
  <c r="I342" i="45"/>
  <c r="I343" i="45"/>
  <c r="I344" i="45"/>
  <c r="I345" i="45"/>
  <c r="I346" i="45"/>
  <c r="I347" i="45"/>
  <c r="I348" i="45"/>
  <c r="I349" i="45"/>
  <c r="I350" i="45"/>
  <c r="I351" i="45"/>
  <c r="I353" i="45"/>
  <c r="I354" i="45"/>
  <c r="I355" i="45"/>
  <c r="I357" i="45"/>
  <c r="I358" i="45"/>
  <c r="I359" i="45"/>
  <c r="I360" i="45"/>
  <c r="I361" i="45"/>
  <c r="I362" i="45"/>
  <c r="I363" i="45"/>
  <c r="I364" i="45"/>
  <c r="I365" i="45"/>
  <c r="I368" i="45"/>
  <c r="I369" i="45"/>
  <c r="I370" i="45"/>
  <c r="I371" i="45"/>
  <c r="I372" i="45"/>
  <c r="I373" i="45"/>
  <c r="I374" i="45"/>
  <c r="I375" i="45"/>
  <c r="I376" i="45"/>
  <c r="I377" i="45"/>
  <c r="I378" i="45"/>
  <c r="I379" i="45"/>
  <c r="I380" i="45"/>
  <c r="I381" i="45"/>
  <c r="I382" i="45"/>
  <c r="I383" i="45"/>
  <c r="I384" i="45"/>
  <c r="I385" i="45"/>
  <c r="I386" i="45"/>
  <c r="I387" i="45"/>
  <c r="I388" i="45"/>
  <c r="I389" i="45"/>
  <c r="I390" i="45"/>
  <c r="I391" i="45"/>
  <c r="I392" i="45"/>
  <c r="I393" i="45"/>
  <c r="I394" i="45"/>
  <c r="I395" i="45"/>
  <c r="I396" i="45"/>
  <c r="I397" i="45"/>
  <c r="I398" i="45"/>
  <c r="I399" i="45"/>
  <c r="I400" i="45"/>
  <c r="I401" i="45"/>
  <c r="I402" i="45"/>
  <c r="I403" i="45"/>
  <c r="I404" i="45"/>
  <c r="I405" i="45"/>
  <c r="I406" i="45"/>
  <c r="I407" i="45"/>
  <c r="I408" i="45"/>
  <c r="I409" i="45"/>
  <c r="I411" i="45"/>
  <c r="I412" i="45"/>
  <c r="I413" i="45"/>
  <c r="I414" i="45"/>
  <c r="I415" i="45"/>
  <c r="I416" i="45"/>
  <c r="I417" i="45"/>
  <c r="I418" i="45"/>
  <c r="I419" i="45"/>
  <c r="I420" i="45"/>
  <c r="I422" i="45"/>
  <c r="I423" i="45"/>
  <c r="I424" i="45"/>
  <c r="I425" i="45"/>
  <c r="I426" i="45"/>
  <c r="I427" i="45"/>
  <c r="I428" i="45"/>
  <c r="I429" i="45"/>
  <c r="I430" i="45"/>
  <c r="I432" i="45"/>
  <c r="I433" i="45"/>
  <c r="I434" i="45"/>
  <c r="I435" i="45"/>
  <c r="I436" i="45"/>
  <c r="I437" i="45"/>
  <c r="I438" i="45"/>
  <c r="I439" i="45"/>
  <c r="I440" i="45"/>
  <c r="I441" i="45"/>
  <c r="I442" i="45"/>
  <c r="I445" i="45"/>
  <c r="I446" i="45"/>
  <c r="I447" i="45"/>
  <c r="I448" i="45"/>
  <c r="I449" i="45"/>
  <c r="I450" i="45"/>
  <c r="I452" i="45"/>
  <c r="I453" i="45"/>
  <c r="I454" i="45"/>
  <c r="I455" i="45"/>
  <c r="I456" i="45"/>
  <c r="I458" i="45"/>
  <c r="I459" i="45"/>
  <c r="I460" i="45"/>
  <c r="I461" i="45"/>
  <c r="I462" i="45"/>
  <c r="I463" i="45"/>
  <c r="I464" i="45"/>
  <c r="I465" i="45"/>
  <c r="I466" i="45"/>
  <c r="I467" i="45"/>
  <c r="I469" i="45"/>
  <c r="I470" i="45"/>
  <c r="I471" i="45"/>
  <c r="I472" i="45"/>
  <c r="I473" i="45"/>
  <c r="I474" i="45"/>
  <c r="I475" i="45"/>
  <c r="I476" i="45"/>
  <c r="I477" i="45"/>
  <c r="I478" i="45"/>
  <c r="I479" i="45"/>
  <c r="I480" i="45"/>
  <c r="I481" i="45"/>
  <c r="I482" i="45"/>
  <c r="I483" i="45"/>
  <c r="I484" i="45"/>
  <c r="I485" i="45"/>
  <c r="I486" i="45"/>
  <c r="I487" i="45"/>
  <c r="I488" i="45"/>
  <c r="I489" i="45"/>
  <c r="I490" i="45"/>
  <c r="I492" i="45"/>
  <c r="I493" i="45"/>
  <c r="I495" i="45"/>
  <c r="I496" i="45"/>
  <c r="I497" i="45"/>
  <c r="I498" i="45"/>
  <c r="I499" i="45"/>
  <c r="I500" i="45"/>
  <c r="I501" i="45"/>
  <c r="I502" i="45"/>
  <c r="I503" i="45"/>
  <c r="I506" i="45"/>
  <c r="I507" i="45"/>
  <c r="I508" i="45"/>
  <c r="I509" i="45"/>
  <c r="I510" i="45"/>
  <c r="I511" i="45"/>
  <c r="I512" i="45"/>
  <c r="I513" i="45"/>
  <c r="I514" i="45"/>
  <c r="I515" i="45"/>
  <c r="I516" i="45"/>
  <c r="I517" i="45"/>
  <c r="I518" i="45"/>
  <c r="I519" i="45"/>
  <c r="I520" i="45"/>
  <c r="I521" i="45"/>
  <c r="I522" i="45"/>
  <c r="I523" i="45"/>
  <c r="I524" i="45"/>
  <c r="I525" i="45"/>
  <c r="I526" i="45"/>
  <c r="I527" i="45"/>
  <c r="I528" i="45"/>
  <c r="I529" i="45"/>
  <c r="I530" i="45"/>
  <c r="I531" i="45"/>
  <c r="I532" i="45"/>
  <c r="I533" i="45"/>
  <c r="I534" i="45"/>
  <c r="I535" i="45"/>
  <c r="I536" i="45"/>
  <c r="I537" i="45"/>
  <c r="I538" i="45"/>
  <c r="I539" i="45"/>
  <c r="I540" i="45"/>
  <c r="I541" i="45"/>
  <c r="I542" i="45"/>
  <c r="I543" i="45"/>
  <c r="I544" i="45"/>
  <c r="I545" i="45"/>
  <c r="I546" i="45"/>
  <c r="I547" i="45"/>
  <c r="I550" i="45"/>
  <c r="I551" i="45"/>
  <c r="I552" i="45"/>
  <c r="I553" i="45"/>
  <c r="I554" i="45"/>
  <c r="I555" i="45"/>
  <c r="I556" i="45"/>
  <c r="I557" i="45"/>
  <c r="I558" i="45"/>
  <c r="I559" i="45"/>
  <c r="I561" i="45"/>
  <c r="I562" i="45"/>
  <c r="I563" i="45"/>
  <c r="I564" i="45"/>
  <c r="I565" i="45"/>
  <c r="I566" i="45"/>
  <c r="I567" i="45"/>
  <c r="I568" i="45"/>
  <c r="I569" i="45"/>
  <c r="I571" i="45"/>
  <c r="I572" i="45"/>
  <c r="I573" i="45"/>
  <c r="I574" i="45"/>
  <c r="I575" i="45"/>
  <c r="I576" i="45"/>
  <c r="I577" i="45"/>
  <c r="I578" i="45"/>
  <c r="I579" i="45"/>
  <c r="I580" i="45"/>
  <c r="I581" i="45"/>
  <c r="I584" i="45"/>
  <c r="I585" i="45"/>
  <c r="I586" i="45"/>
  <c r="I587" i="45"/>
  <c r="I588" i="45"/>
  <c r="I589" i="45"/>
  <c r="I591" i="45"/>
  <c r="I592" i="45"/>
  <c r="I593" i="45"/>
  <c r="I594" i="45"/>
  <c r="I595" i="45"/>
  <c r="I596" i="45"/>
  <c r="I597" i="45"/>
  <c r="I598" i="45"/>
  <c r="I599" i="45"/>
  <c r="I600" i="45"/>
  <c r="I601" i="45"/>
  <c r="I602" i="45"/>
  <c r="I603" i="45"/>
  <c r="I604" i="45"/>
  <c r="I605" i="45"/>
  <c r="I607" i="45"/>
  <c r="I608" i="45"/>
  <c r="I609" i="45"/>
  <c r="I610" i="45"/>
  <c r="I611" i="45"/>
  <c r="I612" i="45"/>
  <c r="I613" i="45"/>
  <c r="I614" i="45"/>
  <c r="I615" i="45"/>
  <c r="I616" i="45"/>
  <c r="I617" i="45"/>
  <c r="I618" i="45"/>
  <c r="I619" i="45"/>
  <c r="I620" i="45"/>
  <c r="I621" i="45"/>
  <c r="I622" i="45"/>
  <c r="I623" i="45"/>
  <c r="I624" i="45"/>
  <c r="I625" i="45"/>
  <c r="I626" i="45"/>
  <c r="I627" i="45"/>
  <c r="I628" i="45"/>
  <c r="I630" i="45"/>
  <c r="I631" i="45"/>
  <c r="I633" i="45"/>
  <c r="I634" i="45"/>
  <c r="I635" i="45"/>
  <c r="I636" i="45"/>
  <c r="I637" i="45"/>
  <c r="I638" i="45"/>
  <c r="I639" i="45"/>
  <c r="I640" i="45"/>
  <c r="I641" i="45"/>
  <c r="I644" i="45"/>
  <c r="I645" i="45"/>
  <c r="I646" i="45"/>
  <c r="I647" i="45"/>
  <c r="I648" i="45"/>
  <c r="I649" i="45"/>
  <c r="I650" i="45"/>
  <c r="I651" i="45"/>
  <c r="I652" i="45"/>
  <c r="I653" i="45"/>
  <c r="I654" i="45"/>
  <c r="I655" i="45"/>
  <c r="I656" i="45"/>
  <c r="I657" i="45"/>
  <c r="I658" i="45"/>
  <c r="I659" i="45"/>
  <c r="I660" i="45"/>
  <c r="I661" i="45"/>
  <c r="I662" i="45"/>
  <c r="I663" i="45"/>
  <c r="I664" i="45"/>
  <c r="I665" i="45"/>
  <c r="I666" i="45"/>
  <c r="I667" i="45"/>
  <c r="I668" i="45"/>
  <c r="I669" i="45"/>
  <c r="I670" i="45"/>
  <c r="I671" i="45"/>
  <c r="I672" i="45"/>
  <c r="I673" i="45"/>
  <c r="I674" i="45"/>
  <c r="I675" i="45"/>
  <c r="I676" i="45"/>
  <c r="I677" i="45"/>
  <c r="I678" i="45"/>
  <c r="I679" i="45"/>
  <c r="I680" i="45"/>
  <c r="I681" i="45"/>
  <c r="I682" i="45"/>
  <c r="I683" i="45"/>
  <c r="I684" i="45"/>
  <c r="I685" i="45"/>
  <c r="I687" i="45"/>
  <c r="I688" i="45"/>
  <c r="I689" i="45"/>
  <c r="I690" i="45"/>
  <c r="I691" i="45"/>
  <c r="I692" i="45"/>
  <c r="I693" i="45"/>
  <c r="I694" i="45"/>
  <c r="I695" i="45"/>
  <c r="I696" i="45"/>
  <c r="I698" i="45"/>
  <c r="I699" i="45"/>
  <c r="I700" i="45"/>
  <c r="I701" i="45"/>
  <c r="I702" i="45"/>
  <c r="I703" i="45"/>
  <c r="I704" i="45"/>
  <c r="I705" i="45"/>
  <c r="I706" i="45"/>
  <c r="I708" i="45"/>
  <c r="I709" i="45"/>
  <c r="I710" i="45"/>
  <c r="I711" i="45"/>
  <c r="I712" i="45"/>
  <c r="I713" i="45"/>
  <c r="I714" i="45"/>
  <c r="I715" i="45"/>
  <c r="I716" i="45"/>
  <c r="I717" i="45"/>
  <c r="I718" i="45"/>
  <c r="I721" i="45"/>
  <c r="I722" i="45"/>
  <c r="I723" i="45"/>
  <c r="I724" i="45"/>
  <c r="I725" i="45"/>
  <c r="I726" i="45"/>
  <c r="I728" i="45"/>
  <c r="I729" i="45"/>
  <c r="I730" i="45"/>
  <c r="I3" i="45"/>
  <c r="I4" i="45"/>
  <c r="I5" i="45"/>
  <c r="I6" i="45"/>
  <c r="I7" i="45"/>
  <c r="I8" i="45"/>
  <c r="I9" i="45"/>
  <c r="I10" i="45"/>
  <c r="I11" i="45"/>
  <c r="I13" i="45"/>
  <c r="I14" i="45"/>
  <c r="I16" i="45"/>
  <c r="I17" i="45"/>
  <c r="I18" i="45"/>
  <c r="I20" i="45"/>
  <c r="D1396" i="45"/>
  <c r="G1396" i="45"/>
  <c r="H1396" i="45"/>
  <c r="D1344" i="45"/>
  <c r="G1344" i="45"/>
  <c r="H1344" i="45"/>
  <c r="D1395" i="45"/>
  <c r="G1395" i="45"/>
  <c r="H1395" i="45"/>
  <c r="D1277" i="45"/>
  <c r="G1277" i="45"/>
  <c r="H1277" i="45"/>
  <c r="D1276" i="45"/>
  <c r="G1276" i="45"/>
  <c r="H1276" i="45"/>
  <c r="D1258" i="45"/>
  <c r="G1258" i="45"/>
  <c r="H1258" i="45"/>
  <c r="D1268" i="45"/>
  <c r="G1268" i="45"/>
  <c r="H1268" i="45"/>
  <c r="H1410" i="45" l="1"/>
  <c r="G1410" i="45"/>
  <c r="D1410" i="45"/>
  <c r="H1409" i="45"/>
  <c r="G1409" i="45"/>
  <c r="D1409" i="45"/>
  <c r="H1407" i="45"/>
  <c r="G1407" i="45"/>
  <c r="D1407" i="45"/>
  <c r="H1406" i="45"/>
  <c r="G1406" i="45"/>
  <c r="D1406" i="45"/>
  <c r="H1405" i="45"/>
  <c r="G1405" i="45"/>
  <c r="D1405" i="45"/>
  <c r="H1404" i="45"/>
  <c r="G1404" i="45"/>
  <c r="D1404" i="45"/>
  <c r="H1403" i="45"/>
  <c r="G1403" i="45"/>
  <c r="D1403" i="45"/>
  <c r="H1402" i="45"/>
  <c r="G1402" i="45"/>
  <c r="D1402" i="45"/>
  <c r="H1401" i="45"/>
  <c r="G1401" i="45"/>
  <c r="D1401" i="45"/>
  <c r="H1400" i="45"/>
  <c r="G1400" i="45"/>
  <c r="D1400" i="45"/>
  <c r="H1399" i="45"/>
  <c r="G1399" i="45"/>
  <c r="D1399" i="45"/>
  <c r="H1398" i="45"/>
  <c r="G1398" i="45"/>
  <c r="D1398" i="45"/>
  <c r="H1397" i="45"/>
  <c r="G1397" i="45"/>
  <c r="D1397" i="45"/>
  <c r="H1392" i="45"/>
  <c r="G1392" i="45"/>
  <c r="D1392" i="45"/>
  <c r="H1391" i="45"/>
  <c r="G1391" i="45"/>
  <c r="D1391" i="45"/>
  <c r="H1390" i="45"/>
  <c r="G1390" i="45"/>
  <c r="D1390" i="45"/>
  <c r="H1389" i="45"/>
  <c r="G1389" i="45"/>
  <c r="D1389" i="45"/>
  <c r="H1388" i="45"/>
  <c r="G1388" i="45"/>
  <c r="D1388" i="45"/>
  <c r="H1387" i="45"/>
  <c r="G1387" i="45"/>
  <c r="D1387" i="45"/>
  <c r="H1386" i="45"/>
  <c r="G1386" i="45"/>
  <c r="D1386" i="45"/>
  <c r="H1385" i="45"/>
  <c r="G1385" i="45"/>
  <c r="D1385" i="45"/>
  <c r="H1384" i="45"/>
  <c r="G1384" i="45"/>
  <c r="D1384" i="45"/>
  <c r="H1383" i="45"/>
  <c r="G1383" i="45"/>
  <c r="D1383" i="45"/>
  <c r="H1382" i="45"/>
  <c r="G1382" i="45"/>
  <c r="D1382" i="45"/>
  <c r="H1381" i="45"/>
  <c r="G1381" i="45"/>
  <c r="D1381" i="45"/>
  <c r="H1380" i="45"/>
  <c r="G1380" i="45"/>
  <c r="D1380" i="45"/>
  <c r="H1379" i="45"/>
  <c r="G1379" i="45"/>
  <c r="D1379" i="45"/>
  <c r="H1378" i="45"/>
  <c r="G1378" i="45"/>
  <c r="D1378" i="45"/>
  <c r="H1377" i="45"/>
  <c r="G1377" i="45"/>
  <c r="D1377" i="45"/>
  <c r="H1376" i="45"/>
  <c r="G1376" i="45"/>
  <c r="D1376" i="45"/>
  <c r="H1374" i="45"/>
  <c r="G1374" i="45"/>
  <c r="D1374" i="45"/>
  <c r="H1373" i="45"/>
  <c r="G1373" i="45"/>
  <c r="D1373" i="45"/>
  <c r="H1372" i="45"/>
  <c r="G1372" i="45"/>
  <c r="D1372" i="45"/>
  <c r="H1371" i="45"/>
  <c r="G1371" i="45"/>
  <c r="D1371" i="45"/>
  <c r="H1370" i="45"/>
  <c r="G1370" i="45"/>
  <c r="D1370" i="45"/>
  <c r="H1369" i="45"/>
  <c r="G1369" i="45"/>
  <c r="D1369" i="45"/>
  <c r="H1368" i="45"/>
  <c r="G1368" i="45"/>
  <c r="D1368" i="45"/>
  <c r="H1367" i="45"/>
  <c r="G1367" i="45"/>
  <c r="D1367" i="45"/>
  <c r="H1366" i="45"/>
  <c r="G1366" i="45"/>
  <c r="D1366" i="45"/>
  <c r="H1365" i="45"/>
  <c r="G1365" i="45"/>
  <c r="D1365" i="45"/>
  <c r="H1364" i="45"/>
  <c r="G1364" i="45"/>
  <c r="D1364" i="45"/>
  <c r="H1363" i="45"/>
  <c r="G1363" i="45"/>
  <c r="D1363" i="45"/>
  <c r="H1362" i="45"/>
  <c r="G1362" i="45"/>
  <c r="D1362" i="45"/>
  <c r="H1361" i="45"/>
  <c r="G1361" i="45"/>
  <c r="D1361" i="45"/>
  <c r="H1360" i="45"/>
  <c r="G1360" i="45"/>
  <c r="D1360" i="45"/>
  <c r="H1359" i="45"/>
  <c r="G1359" i="45"/>
  <c r="D1359" i="45"/>
  <c r="H1358" i="45"/>
  <c r="G1358" i="45"/>
  <c r="D1358" i="45"/>
  <c r="H1357" i="45"/>
  <c r="G1357" i="45"/>
  <c r="D1357" i="45"/>
  <c r="H1356" i="45"/>
  <c r="G1356" i="45"/>
  <c r="D1356" i="45"/>
  <c r="H1355" i="45"/>
  <c r="G1355" i="45"/>
  <c r="D1355" i="45"/>
  <c r="H1354" i="45"/>
  <c r="G1354" i="45"/>
  <c r="D1354" i="45"/>
  <c r="H1353" i="45"/>
  <c r="G1353" i="45"/>
  <c r="D1353" i="45"/>
  <c r="H1352" i="45"/>
  <c r="G1352" i="45"/>
  <c r="D1352" i="45"/>
  <c r="H1351" i="45"/>
  <c r="G1351" i="45"/>
  <c r="D1351" i="45"/>
  <c r="H1350" i="45"/>
  <c r="G1350" i="45"/>
  <c r="D1350" i="45"/>
  <c r="H1349" i="45"/>
  <c r="G1349" i="45"/>
  <c r="D1349" i="45"/>
  <c r="H1348" i="45"/>
  <c r="G1348" i="45"/>
  <c r="D1348" i="45"/>
  <c r="H1347" i="45"/>
  <c r="G1347" i="45"/>
  <c r="D1347" i="45"/>
  <c r="H1343" i="45"/>
  <c r="G1343" i="45"/>
  <c r="D1343" i="45"/>
  <c r="H1342" i="45"/>
  <c r="G1342" i="45"/>
  <c r="D1342" i="45"/>
  <c r="H1340" i="45"/>
  <c r="G1340" i="45"/>
  <c r="D1340" i="45"/>
  <c r="H1339" i="45"/>
  <c r="G1339" i="45"/>
  <c r="D1339" i="45"/>
  <c r="H1337" i="45"/>
  <c r="G1337" i="45"/>
  <c r="D1337" i="45"/>
  <c r="H1336" i="45"/>
  <c r="G1336" i="45"/>
  <c r="D1336" i="45"/>
  <c r="H1335" i="45"/>
  <c r="G1335" i="45"/>
  <c r="D1335" i="45"/>
  <c r="H1334" i="45"/>
  <c r="G1334" i="45"/>
  <c r="D1334" i="45"/>
  <c r="H1333" i="45"/>
  <c r="G1333" i="45"/>
  <c r="D1333" i="45"/>
  <c r="H1332" i="45"/>
  <c r="G1332" i="45"/>
  <c r="D1332" i="45"/>
  <c r="H1331" i="45"/>
  <c r="G1331" i="45"/>
  <c r="D1331" i="45"/>
  <c r="H1330" i="45"/>
  <c r="G1330" i="45"/>
  <c r="D1330" i="45"/>
  <c r="H1329" i="45"/>
  <c r="G1329" i="45"/>
  <c r="D1329" i="45"/>
  <c r="H1328" i="45"/>
  <c r="G1328" i="45"/>
  <c r="D1328" i="45"/>
  <c r="H1327" i="45"/>
  <c r="G1327" i="45"/>
  <c r="D1327" i="45"/>
  <c r="H1324" i="45"/>
  <c r="G1324" i="45"/>
  <c r="D1324" i="45"/>
  <c r="H1318" i="45"/>
  <c r="G1318" i="45"/>
  <c r="D1318" i="45"/>
  <c r="H1317" i="45"/>
  <c r="G1317" i="45"/>
  <c r="D1317" i="45"/>
  <c r="H1316" i="45"/>
  <c r="G1316" i="45"/>
  <c r="D1316" i="45"/>
  <c r="H1315" i="45"/>
  <c r="G1315" i="45"/>
  <c r="D1315" i="45"/>
  <c r="H1314" i="45"/>
  <c r="G1314" i="45"/>
  <c r="D1314" i="45"/>
  <c r="H1313" i="45"/>
  <c r="G1313" i="45"/>
  <c r="D1313" i="45"/>
  <c r="H1312" i="45"/>
  <c r="G1312" i="45"/>
  <c r="D1312" i="45"/>
  <c r="H1311" i="45"/>
  <c r="G1311" i="45"/>
  <c r="D1311" i="45"/>
  <c r="H1310" i="45"/>
  <c r="G1310" i="45"/>
  <c r="D1310" i="45"/>
  <c r="H1309" i="45"/>
  <c r="G1309" i="45"/>
  <c r="D1309" i="45"/>
  <c r="H1308" i="45"/>
  <c r="G1308" i="45"/>
  <c r="D1308" i="45"/>
  <c r="H1307" i="45"/>
  <c r="G1307" i="45"/>
  <c r="D1307" i="45"/>
  <c r="H1306" i="45"/>
  <c r="G1306" i="45"/>
  <c r="D1306" i="45"/>
  <c r="H1305" i="45"/>
  <c r="G1305" i="45"/>
  <c r="D1305" i="45"/>
  <c r="H1304" i="45"/>
  <c r="G1304" i="45"/>
  <c r="D1304" i="45"/>
  <c r="H1303" i="45"/>
  <c r="G1303" i="45"/>
  <c r="D1303" i="45"/>
  <c r="H1302" i="45"/>
  <c r="G1302" i="45"/>
  <c r="D1302" i="45"/>
  <c r="H1301" i="45"/>
  <c r="G1301" i="45"/>
  <c r="D1301" i="45"/>
  <c r="H1300" i="45"/>
  <c r="G1300" i="45"/>
  <c r="D1300" i="45"/>
  <c r="G1299" i="45"/>
  <c r="D1299" i="45"/>
  <c r="H1297" i="45"/>
  <c r="G1297" i="45"/>
  <c r="D1297" i="45"/>
  <c r="H1296" i="45"/>
  <c r="G1296" i="45"/>
  <c r="D1296" i="45"/>
  <c r="H1295" i="45"/>
  <c r="G1295" i="45"/>
  <c r="D1295" i="45"/>
  <c r="H1291" i="45"/>
  <c r="G1291" i="45"/>
  <c r="D1291" i="45"/>
  <c r="H1290" i="45"/>
  <c r="G1290" i="45"/>
  <c r="D1290" i="45"/>
  <c r="H1289" i="45"/>
  <c r="G1289" i="45"/>
  <c r="D1289" i="45"/>
  <c r="G1288" i="45"/>
  <c r="D1288" i="45"/>
  <c r="H1286" i="45"/>
  <c r="G1286" i="45"/>
  <c r="D1286" i="45"/>
  <c r="H1285" i="45"/>
  <c r="G1285" i="45"/>
  <c r="D1285" i="45"/>
  <c r="H1284" i="45"/>
  <c r="G1284" i="45"/>
  <c r="D1284" i="45"/>
  <c r="H1283" i="45"/>
  <c r="G1283" i="45"/>
  <c r="D1283" i="45"/>
  <c r="H1282" i="45"/>
  <c r="G1282" i="45"/>
  <c r="D1282" i="45"/>
  <c r="H1281" i="45"/>
  <c r="G1281" i="45"/>
  <c r="D1281" i="45"/>
  <c r="H1280" i="45"/>
  <c r="G1280" i="45"/>
  <c r="D1280" i="45"/>
  <c r="H1279" i="45"/>
  <c r="G1279" i="45"/>
  <c r="D1279" i="45"/>
  <c r="H1278" i="45"/>
  <c r="G1278" i="45"/>
  <c r="D1278" i="45"/>
  <c r="H1275" i="45"/>
  <c r="G1275" i="45"/>
  <c r="D1275" i="45"/>
  <c r="H1270" i="45"/>
  <c r="G1270" i="45"/>
  <c r="D1270" i="45"/>
  <c r="H1267" i="45"/>
  <c r="G1267" i="45"/>
  <c r="D1267" i="45"/>
  <c r="H1266" i="45"/>
  <c r="G1266" i="45"/>
  <c r="D1266" i="45"/>
  <c r="H1265" i="45"/>
  <c r="G1265" i="45"/>
  <c r="D1265" i="45"/>
  <c r="H1264" i="45"/>
  <c r="G1264" i="45"/>
  <c r="D1264" i="45"/>
  <c r="H1263" i="45"/>
  <c r="G1263" i="45"/>
  <c r="D1263" i="45"/>
  <c r="H1262" i="45"/>
  <c r="G1262" i="45"/>
  <c r="D1262" i="45"/>
  <c r="H1261" i="45"/>
  <c r="G1261" i="45"/>
  <c r="D1261" i="45"/>
  <c r="H1260" i="45"/>
  <c r="G1260" i="45"/>
  <c r="D1260" i="45"/>
  <c r="H1259" i="45"/>
  <c r="G1259" i="45"/>
  <c r="D1259" i="45"/>
  <c r="D1233" i="45"/>
  <c r="G1233" i="45"/>
  <c r="H1233" i="45"/>
  <c r="D1225" i="45"/>
  <c r="G1225" i="45"/>
  <c r="H1225" i="45"/>
  <c r="D1168" i="45"/>
  <c r="G1168" i="45"/>
  <c r="H1168" i="45"/>
  <c r="D1120" i="45"/>
  <c r="G1120" i="45"/>
  <c r="H1120" i="45"/>
  <c r="D1179" i="45"/>
  <c r="G1179" i="45"/>
  <c r="H1179" i="45"/>
  <c r="D1180" i="45"/>
  <c r="G1180" i="45"/>
  <c r="H1180" i="45"/>
  <c r="D1123" i="45"/>
  <c r="G1123" i="45"/>
  <c r="H1123" i="45"/>
  <c r="G149" i="45" l="1"/>
  <c r="H149" i="45"/>
  <c r="D149" i="45" l="1"/>
  <c r="D150" i="45"/>
  <c r="D151" i="45"/>
  <c r="D152" i="45"/>
  <c r="D153" i="45"/>
  <c r="D154" i="45"/>
  <c r="D155" i="45"/>
  <c r="D156" i="45"/>
  <c r="D157" i="45"/>
  <c r="D158" i="45"/>
  <c r="D159" i="45"/>
  <c r="D160" i="45"/>
  <c r="D161" i="45"/>
  <c r="D162" i="45"/>
  <c r="D163" i="45"/>
  <c r="D164" i="45"/>
  <c r="D165" i="45"/>
  <c r="D166" i="45"/>
  <c r="D167" i="45"/>
  <c r="D168" i="45"/>
  <c r="D169" i="45"/>
  <c r="D171" i="45"/>
  <c r="D172" i="45"/>
  <c r="D173" i="45"/>
  <c r="D174" i="45"/>
  <c r="D175" i="45"/>
  <c r="D176" i="45"/>
  <c r="D177" i="45"/>
  <c r="D178" i="45"/>
  <c r="D179" i="45"/>
  <c r="D180" i="45"/>
  <c r="D181" i="45"/>
  <c r="D182" i="45"/>
  <c r="D183" i="45"/>
  <c r="D184" i="45"/>
  <c r="D185" i="45"/>
  <c r="D186" i="45"/>
  <c r="D187" i="45"/>
  <c r="D188" i="45"/>
  <c r="D189" i="45"/>
  <c r="D190" i="45"/>
  <c r="D191" i="45"/>
  <c r="D192" i="45"/>
  <c r="D193" i="45"/>
  <c r="D194" i="45"/>
  <c r="D195" i="45"/>
  <c r="D196" i="45"/>
  <c r="D197" i="45"/>
  <c r="D198" i="45"/>
  <c r="D199" i="45"/>
  <c r="D200" i="45"/>
  <c r="D201" i="45"/>
  <c r="D202" i="45"/>
  <c r="D203" i="45"/>
  <c r="D204" i="45"/>
  <c r="D205" i="45"/>
  <c r="D206" i="45"/>
  <c r="D207" i="45"/>
  <c r="D208" i="45"/>
  <c r="D209" i="45"/>
  <c r="D210" i="45"/>
  <c r="D211" i="45"/>
  <c r="D212" i="45"/>
  <c r="D213" i="45"/>
  <c r="D214" i="45"/>
  <c r="D215" i="45"/>
  <c r="D216" i="45"/>
  <c r="D218" i="45"/>
  <c r="D219" i="45"/>
  <c r="D221" i="45"/>
  <c r="D222" i="45"/>
  <c r="D223" i="45"/>
  <c r="D224" i="45"/>
  <c r="D225" i="45"/>
  <c r="D226" i="45"/>
  <c r="D227" i="45"/>
  <c r="D228" i="45"/>
  <c r="D229" i="45"/>
  <c r="D230" i="45"/>
  <c r="D231" i="45"/>
  <c r="D232" i="45"/>
  <c r="D233" i="45"/>
  <c r="D234" i="45"/>
  <c r="D235" i="45"/>
  <c r="D236" i="45"/>
  <c r="D237" i="45"/>
  <c r="D238" i="45"/>
  <c r="D239" i="45"/>
  <c r="D240" i="45"/>
  <c r="D241" i="45"/>
  <c r="D242" i="45"/>
  <c r="D243" i="45"/>
  <c r="D244" i="45"/>
  <c r="D245" i="45"/>
  <c r="D246" i="45"/>
  <c r="D247" i="45"/>
  <c r="D248" i="45"/>
  <c r="D249" i="45"/>
  <c r="D250" i="45"/>
  <c r="D251" i="45"/>
  <c r="D252" i="45"/>
  <c r="D253" i="45"/>
  <c r="D254" i="45"/>
  <c r="D255" i="45"/>
  <c r="D256" i="45"/>
  <c r="D257" i="45"/>
  <c r="D258" i="45"/>
  <c r="D259" i="45"/>
  <c r="D260" i="45"/>
  <c r="D261" i="45"/>
  <c r="D262" i="45"/>
  <c r="D263" i="45"/>
  <c r="D264" i="45"/>
  <c r="D265" i="45"/>
  <c r="D266" i="45"/>
  <c r="D267" i="45"/>
  <c r="D268" i="45"/>
  <c r="D269" i="45"/>
  <c r="D270" i="45"/>
  <c r="D271" i="45"/>
  <c r="D272" i="45"/>
  <c r="D273" i="45"/>
  <c r="D274" i="45"/>
  <c r="D275" i="45"/>
  <c r="D276" i="45"/>
  <c r="D277" i="45"/>
  <c r="D278" i="45"/>
  <c r="D279" i="45"/>
  <c r="D280" i="45"/>
  <c r="D281" i="45"/>
  <c r="D282" i="45"/>
  <c r="D283" i="45"/>
  <c r="D284" i="45"/>
  <c r="D286" i="45"/>
  <c r="D287" i="45"/>
  <c r="D288" i="45"/>
  <c r="D289" i="45"/>
  <c r="D290" i="45"/>
  <c r="D291" i="45"/>
  <c r="D292" i="45"/>
  <c r="D293" i="45"/>
  <c r="D294" i="45"/>
  <c r="D295" i="45"/>
  <c r="D296" i="45"/>
  <c r="D297" i="45"/>
  <c r="D298" i="45"/>
  <c r="D299" i="45"/>
  <c r="D300" i="45"/>
  <c r="D301" i="45"/>
  <c r="D302" i="45"/>
  <c r="D303" i="45"/>
  <c r="D304" i="45"/>
  <c r="D305" i="45"/>
  <c r="D306" i="45"/>
  <c r="D308" i="45"/>
  <c r="D309" i="45"/>
  <c r="D310" i="45"/>
  <c r="D311" i="45"/>
  <c r="D312" i="45"/>
  <c r="D313" i="45"/>
  <c r="D314" i="45"/>
  <c r="D315" i="45"/>
  <c r="D316" i="45"/>
  <c r="D317" i="45"/>
  <c r="D318" i="45"/>
  <c r="D319" i="45"/>
  <c r="D320" i="45"/>
  <c r="D321" i="45"/>
  <c r="D322" i="45"/>
  <c r="D323" i="45"/>
  <c r="D324" i="45"/>
  <c r="D325" i="45"/>
  <c r="D326" i="45"/>
  <c r="D327" i="45"/>
  <c r="D328" i="45"/>
  <c r="D329" i="45"/>
  <c r="D330" i="45"/>
  <c r="D331" i="45"/>
  <c r="D332" i="45"/>
  <c r="D333" i="45"/>
  <c r="D334" i="45"/>
  <c r="D335" i="45"/>
  <c r="D336" i="45"/>
  <c r="D337" i="45"/>
  <c r="D338" i="45"/>
  <c r="D339" i="45"/>
  <c r="D340" i="45"/>
  <c r="D341" i="45"/>
  <c r="D342" i="45"/>
  <c r="D343" i="45"/>
  <c r="D344" i="45"/>
  <c r="D345" i="45"/>
  <c r="D346" i="45"/>
  <c r="D347" i="45"/>
  <c r="D348" i="45"/>
  <c r="D349" i="45"/>
  <c r="D350" i="45"/>
  <c r="D351" i="45"/>
  <c r="D353" i="45"/>
  <c r="D354" i="45"/>
  <c r="D355" i="45"/>
  <c r="D357" i="45"/>
  <c r="D358" i="45"/>
  <c r="D359" i="45"/>
  <c r="D360" i="45"/>
  <c r="D361" i="45"/>
  <c r="D362" i="45"/>
  <c r="D363" i="45"/>
  <c r="D364" i="45"/>
  <c r="D365" i="45"/>
  <c r="D366" i="45"/>
  <c r="D367" i="45"/>
  <c r="D368" i="45"/>
  <c r="D369" i="45"/>
  <c r="D370" i="45"/>
  <c r="D371" i="45"/>
  <c r="D372" i="45"/>
  <c r="D373" i="45"/>
  <c r="D374" i="45"/>
  <c r="D375" i="45"/>
  <c r="D376" i="45"/>
  <c r="D377" i="45"/>
  <c r="D378" i="45"/>
  <c r="D379" i="45"/>
  <c r="D380" i="45"/>
  <c r="D381" i="45"/>
  <c r="D382" i="45"/>
  <c r="D383" i="45"/>
  <c r="D384" i="45"/>
  <c r="D385" i="45"/>
  <c r="D386" i="45"/>
  <c r="D387" i="45"/>
  <c r="D388" i="45"/>
  <c r="D389" i="45"/>
  <c r="D390" i="45"/>
  <c r="D391" i="45"/>
  <c r="D392" i="45"/>
  <c r="D393" i="45"/>
  <c r="D394" i="45"/>
  <c r="D395" i="45"/>
  <c r="D396" i="45"/>
  <c r="D397" i="45"/>
  <c r="D398" i="45"/>
  <c r="D399" i="45"/>
  <c r="D400" i="45"/>
  <c r="D401" i="45"/>
  <c r="D402" i="45"/>
  <c r="D403" i="45"/>
  <c r="D404" i="45"/>
  <c r="D405" i="45"/>
  <c r="D406" i="45"/>
  <c r="D407" i="45"/>
  <c r="D408" i="45"/>
  <c r="D409" i="45"/>
  <c r="D410" i="45"/>
  <c r="D411" i="45"/>
  <c r="D412" i="45"/>
  <c r="D413" i="45"/>
  <c r="D414" i="45"/>
  <c r="D415" i="45"/>
  <c r="D416" i="45"/>
  <c r="D417" i="45"/>
  <c r="D418" i="45"/>
  <c r="D419" i="45"/>
  <c r="D420" i="45"/>
  <c r="D422" i="45"/>
  <c r="D423" i="45"/>
  <c r="D424" i="45"/>
  <c r="D425" i="45"/>
  <c r="D426" i="45"/>
  <c r="D427" i="45"/>
  <c r="D428" i="45"/>
  <c r="D429" i="45"/>
  <c r="D430" i="45"/>
  <c r="D431" i="45"/>
  <c r="D432" i="45"/>
  <c r="D433" i="45"/>
  <c r="D434" i="45"/>
  <c r="D435" i="45"/>
  <c r="D436" i="45"/>
  <c r="D437" i="45"/>
  <c r="D438" i="45"/>
  <c r="D439" i="45"/>
  <c r="D440" i="45"/>
  <c r="D441" i="45"/>
  <c r="D442" i="45"/>
  <c r="D444" i="45"/>
  <c r="D445" i="45"/>
  <c r="D446" i="45"/>
  <c r="D447" i="45"/>
  <c r="D448" i="45"/>
  <c r="D449" i="45"/>
  <c r="D450" i="45"/>
  <c r="D451" i="45"/>
  <c r="D452" i="45"/>
  <c r="D453" i="45"/>
  <c r="D454" i="45"/>
  <c r="D455" i="45"/>
  <c r="D456" i="45"/>
  <c r="D458" i="45"/>
  <c r="D459" i="45"/>
  <c r="D460" i="45"/>
  <c r="D461" i="45"/>
  <c r="D462" i="45"/>
  <c r="D463" i="45"/>
  <c r="D464" i="45"/>
  <c r="D465" i="45"/>
  <c r="D466" i="45"/>
  <c r="D467" i="45"/>
  <c r="D468" i="45"/>
  <c r="D469" i="45"/>
  <c r="D470" i="45"/>
  <c r="D471" i="45"/>
  <c r="D472" i="45"/>
  <c r="D473" i="45"/>
  <c r="D474" i="45"/>
  <c r="D475" i="45"/>
  <c r="D476" i="45"/>
  <c r="D477" i="45"/>
  <c r="D478" i="45"/>
  <c r="D479" i="45"/>
  <c r="D480" i="45"/>
  <c r="D481" i="45"/>
  <c r="D482" i="45"/>
  <c r="D483" i="45"/>
  <c r="D484" i="45"/>
  <c r="D485" i="45"/>
  <c r="D486" i="45"/>
  <c r="D487" i="45"/>
  <c r="D488" i="45"/>
  <c r="D489" i="45"/>
  <c r="D490" i="45"/>
  <c r="D492" i="45"/>
  <c r="D493" i="45"/>
  <c r="D495" i="45"/>
  <c r="D496" i="45"/>
  <c r="D497" i="45"/>
  <c r="D498" i="45"/>
  <c r="D499" i="45"/>
  <c r="D500" i="45"/>
  <c r="D501" i="45"/>
  <c r="D502" i="45"/>
  <c r="D503" i="45"/>
  <c r="D504" i="45"/>
  <c r="D505" i="45"/>
  <c r="D506" i="45"/>
  <c r="D507" i="45"/>
  <c r="D508" i="45"/>
  <c r="D509" i="45"/>
  <c r="D510" i="45"/>
  <c r="D511" i="45"/>
  <c r="D512" i="45"/>
  <c r="D513" i="45"/>
  <c r="D514" i="45"/>
  <c r="D515" i="45"/>
  <c r="D516" i="45"/>
  <c r="D517" i="45"/>
  <c r="D518" i="45"/>
  <c r="D519" i="45"/>
  <c r="D520" i="45"/>
  <c r="D521" i="45"/>
  <c r="D522" i="45"/>
  <c r="D523" i="45"/>
  <c r="D524" i="45"/>
  <c r="D525" i="45"/>
  <c r="D526" i="45"/>
  <c r="D527" i="45"/>
  <c r="D528" i="45"/>
  <c r="D529" i="45"/>
  <c r="D530" i="45"/>
  <c r="D531" i="45"/>
  <c r="D532" i="45"/>
  <c r="D533" i="45"/>
  <c r="D534" i="45"/>
  <c r="D535" i="45"/>
  <c r="D536" i="45"/>
  <c r="D537" i="45"/>
  <c r="D538" i="45"/>
  <c r="D539" i="45"/>
  <c r="D540" i="45"/>
  <c r="D541" i="45"/>
  <c r="D542" i="45"/>
  <c r="D543" i="45"/>
  <c r="D544" i="45"/>
  <c r="D545" i="45"/>
  <c r="D546" i="45"/>
  <c r="D547" i="45"/>
  <c r="D548" i="45"/>
  <c r="D550" i="45"/>
  <c r="D551" i="45"/>
  <c r="D552" i="45"/>
  <c r="D553" i="45"/>
  <c r="D554" i="45"/>
  <c r="D555" i="45"/>
  <c r="D556" i="45"/>
  <c r="D557" i="45"/>
  <c r="D558" i="45"/>
  <c r="D559" i="45"/>
  <c r="D561" i="45"/>
  <c r="D562" i="45"/>
  <c r="D563" i="45"/>
  <c r="D564" i="45"/>
  <c r="D565" i="45"/>
  <c r="D566" i="45"/>
  <c r="D567" i="45"/>
  <c r="D568" i="45"/>
  <c r="D569" i="45"/>
  <c r="D570" i="45"/>
  <c r="D571" i="45"/>
  <c r="D572" i="45"/>
  <c r="D573" i="45"/>
  <c r="D574" i="45"/>
  <c r="D575" i="45"/>
  <c r="D576" i="45"/>
  <c r="D577" i="45"/>
  <c r="D578" i="45"/>
  <c r="D579" i="45"/>
  <c r="D580" i="45"/>
  <c r="D581" i="45"/>
  <c r="D583" i="45"/>
  <c r="D584" i="45"/>
  <c r="D585" i="45"/>
  <c r="D586" i="45"/>
  <c r="D587" i="45"/>
  <c r="D588" i="45"/>
  <c r="D589" i="45"/>
  <c r="D590" i="45"/>
  <c r="D591" i="45"/>
  <c r="D592" i="45"/>
  <c r="D593" i="45"/>
  <c r="D594" i="45"/>
  <c r="D595" i="45"/>
  <c r="D596" i="45"/>
  <c r="D597" i="45"/>
  <c r="D598" i="45"/>
  <c r="D599" i="45"/>
  <c r="D600" i="45"/>
  <c r="D601" i="45"/>
  <c r="D602" i="45"/>
  <c r="D603" i="45"/>
  <c r="D604" i="45"/>
  <c r="D605" i="45"/>
  <c r="D606" i="45"/>
  <c r="D607" i="45"/>
  <c r="D608" i="45"/>
  <c r="D609" i="45"/>
  <c r="D610" i="45"/>
  <c r="D611" i="45"/>
  <c r="D612" i="45"/>
  <c r="D613" i="45"/>
  <c r="D614" i="45"/>
  <c r="D615" i="45"/>
  <c r="D616" i="45"/>
  <c r="D617" i="45"/>
  <c r="D618" i="45"/>
  <c r="D619" i="45"/>
  <c r="D620" i="45"/>
  <c r="D621" i="45"/>
  <c r="D622" i="45"/>
  <c r="D623" i="45"/>
  <c r="D624" i="45"/>
  <c r="D625" i="45"/>
  <c r="D626" i="45"/>
  <c r="D627" i="45"/>
  <c r="D628" i="45"/>
  <c r="D630" i="45"/>
  <c r="D631" i="45"/>
  <c r="D633" i="45"/>
  <c r="D634" i="45"/>
  <c r="D635" i="45"/>
  <c r="D636" i="45"/>
  <c r="D637" i="45"/>
  <c r="D638" i="45"/>
  <c r="D639" i="45"/>
  <c r="D640" i="45"/>
  <c r="D641" i="45"/>
  <c r="D642" i="45"/>
  <c r="D643" i="45"/>
  <c r="D644" i="45"/>
  <c r="D645" i="45"/>
  <c r="D646" i="45"/>
  <c r="D647" i="45"/>
  <c r="D648" i="45"/>
  <c r="D649" i="45"/>
  <c r="D650" i="45"/>
  <c r="D651" i="45"/>
  <c r="D652" i="45"/>
  <c r="D653" i="45"/>
  <c r="D654" i="45"/>
  <c r="D655" i="45"/>
  <c r="D656" i="45"/>
  <c r="D657" i="45"/>
  <c r="D658" i="45"/>
  <c r="D659" i="45"/>
  <c r="D660" i="45"/>
  <c r="D661" i="45"/>
  <c r="D662" i="45"/>
  <c r="D663" i="45"/>
  <c r="D664" i="45"/>
  <c r="D665" i="45"/>
  <c r="D666" i="45"/>
  <c r="D667" i="45"/>
  <c r="D668" i="45"/>
  <c r="D669" i="45"/>
  <c r="D670" i="45"/>
  <c r="D671" i="45"/>
  <c r="D672" i="45"/>
  <c r="D673" i="45"/>
  <c r="D674" i="45"/>
  <c r="D675" i="45"/>
  <c r="D676" i="45"/>
  <c r="D677" i="45"/>
  <c r="D678" i="45"/>
  <c r="D679" i="45"/>
  <c r="D680" i="45"/>
  <c r="D681" i="45"/>
  <c r="D682" i="45"/>
  <c r="D683" i="45"/>
  <c r="D684" i="45"/>
  <c r="D685" i="45"/>
  <c r="D686" i="45"/>
  <c r="D687" i="45"/>
  <c r="D688" i="45"/>
  <c r="D689" i="45"/>
  <c r="D690" i="45"/>
  <c r="D691" i="45"/>
  <c r="D692" i="45"/>
  <c r="D693" i="45"/>
  <c r="D694" i="45"/>
  <c r="D695" i="45"/>
  <c r="D696" i="45"/>
  <c r="D698" i="45"/>
  <c r="D699" i="45"/>
  <c r="D700" i="45"/>
  <c r="D701" i="45"/>
  <c r="D702" i="45"/>
  <c r="D703" i="45"/>
  <c r="D704" i="45"/>
  <c r="D705" i="45"/>
  <c r="D706" i="45"/>
  <c r="D707" i="45"/>
  <c r="D708" i="45"/>
  <c r="D709" i="45"/>
  <c r="D710" i="45"/>
  <c r="D711" i="45"/>
  <c r="D712" i="45"/>
  <c r="D713" i="45"/>
  <c r="D714" i="45"/>
  <c r="D715" i="45"/>
  <c r="D716" i="45"/>
  <c r="D717" i="45"/>
  <c r="D718" i="45"/>
  <c r="D720" i="45"/>
  <c r="D721" i="45"/>
  <c r="D722" i="45"/>
  <c r="D723" i="45"/>
  <c r="D724" i="45"/>
  <c r="D725" i="45"/>
  <c r="D726" i="45"/>
  <c r="D727" i="45"/>
  <c r="D728" i="45"/>
  <c r="D729" i="45"/>
  <c r="D730" i="45"/>
  <c r="D731" i="45"/>
  <c r="D732" i="45"/>
  <c r="D733" i="45"/>
  <c r="D734" i="45"/>
  <c r="D735" i="45"/>
  <c r="D736" i="45"/>
  <c r="D737" i="45"/>
  <c r="D738" i="45"/>
  <c r="D739" i="45"/>
  <c r="D740" i="45"/>
  <c r="D741" i="45"/>
  <c r="D742" i="45"/>
  <c r="D743" i="45"/>
  <c r="D744" i="45"/>
  <c r="D745" i="45"/>
  <c r="D746" i="45"/>
  <c r="D747" i="45"/>
  <c r="D748" i="45"/>
  <c r="D749" i="45"/>
  <c r="D750" i="45"/>
  <c r="D751" i="45"/>
  <c r="D752" i="45"/>
  <c r="D753" i="45"/>
  <c r="D754" i="45"/>
  <c r="D755" i="45"/>
  <c r="D756" i="45"/>
  <c r="D757" i="45"/>
  <c r="D758" i="45"/>
  <c r="D759" i="45"/>
  <c r="D760" i="45"/>
  <c r="D761" i="45"/>
  <c r="D762" i="45"/>
  <c r="D763" i="45"/>
  <c r="D764" i="45"/>
  <c r="D765" i="45"/>
  <c r="D767" i="45"/>
  <c r="D768" i="45"/>
  <c r="D770" i="45"/>
  <c r="D771" i="45"/>
  <c r="D772" i="45"/>
  <c r="D773" i="45"/>
  <c r="D774" i="45"/>
  <c r="D775" i="45"/>
  <c r="D776" i="45"/>
  <c r="D777" i="45"/>
  <c r="D778" i="45"/>
  <c r="D779" i="45"/>
  <c r="D780" i="45"/>
  <c r="D781" i="45"/>
  <c r="D782" i="45"/>
  <c r="D783" i="45"/>
  <c r="D784" i="45"/>
  <c r="D785" i="45"/>
  <c r="D786" i="45"/>
  <c r="D787" i="45"/>
  <c r="D788" i="45"/>
  <c r="D789" i="45"/>
  <c r="D790" i="45"/>
  <c r="D791" i="45"/>
  <c r="D792" i="45"/>
  <c r="D793" i="45"/>
  <c r="D794" i="45"/>
  <c r="D795" i="45"/>
  <c r="D796" i="45"/>
  <c r="D797" i="45"/>
  <c r="D798" i="45"/>
  <c r="D799" i="45"/>
  <c r="D800" i="45"/>
  <c r="D801" i="45"/>
  <c r="D802" i="45"/>
  <c r="D803" i="45"/>
  <c r="D804" i="45"/>
  <c r="D805" i="45"/>
  <c r="D806" i="45"/>
  <c r="D807" i="45"/>
  <c r="D808" i="45"/>
  <c r="D809" i="45"/>
  <c r="D810" i="45"/>
  <c r="D811" i="45"/>
  <c r="D812" i="45"/>
  <c r="D813" i="45"/>
  <c r="D814" i="45"/>
  <c r="D815" i="45"/>
  <c r="D816" i="45"/>
  <c r="D817" i="45"/>
  <c r="D818" i="45"/>
  <c r="D819" i="45"/>
  <c r="D820" i="45"/>
  <c r="D821" i="45"/>
  <c r="D822" i="45"/>
  <c r="D823" i="45"/>
  <c r="D824" i="45"/>
  <c r="D825" i="45"/>
  <c r="D826" i="45"/>
  <c r="D827" i="45"/>
  <c r="D828" i="45"/>
  <c r="D829" i="45"/>
  <c r="D830" i="45"/>
  <c r="D831" i="45"/>
  <c r="D832" i="45"/>
  <c r="D833" i="45"/>
  <c r="D834" i="45"/>
  <c r="D835" i="45"/>
  <c r="D836" i="45"/>
  <c r="D837" i="45"/>
  <c r="D838" i="45"/>
  <c r="D839" i="45"/>
  <c r="D840" i="45"/>
  <c r="D841" i="45"/>
  <c r="D842" i="45"/>
  <c r="D844" i="45"/>
  <c r="D845" i="45"/>
  <c r="D846" i="45"/>
  <c r="D847" i="45"/>
  <c r="D848" i="45"/>
  <c r="D849" i="45"/>
  <c r="D850" i="45"/>
  <c r="D851" i="45"/>
  <c r="D852" i="45"/>
  <c r="D853" i="45"/>
  <c r="D855" i="45"/>
  <c r="D856" i="45"/>
  <c r="D858" i="45"/>
  <c r="D859" i="45"/>
  <c r="D860" i="45"/>
  <c r="D861" i="45"/>
  <c r="D862" i="45"/>
  <c r="D863" i="45"/>
  <c r="D864" i="45"/>
  <c r="D865" i="45"/>
  <c r="D866" i="45"/>
  <c r="D869" i="45"/>
  <c r="D870" i="45"/>
  <c r="D871" i="45"/>
  <c r="D872" i="45"/>
  <c r="D873" i="45"/>
  <c r="D874" i="45"/>
  <c r="D875" i="45"/>
  <c r="D876" i="45"/>
  <c r="D877" i="45"/>
  <c r="D878" i="45"/>
  <c r="D879" i="45"/>
  <c r="D880" i="45"/>
  <c r="D881" i="45"/>
  <c r="D882" i="45"/>
  <c r="D883" i="45"/>
  <c r="D884" i="45"/>
  <c r="D885" i="45"/>
  <c r="D886" i="45"/>
  <c r="D887" i="45"/>
  <c r="D888" i="45"/>
  <c r="D889" i="45"/>
  <c r="D890" i="45"/>
  <c r="D896" i="45"/>
  <c r="D897" i="45"/>
  <c r="D898" i="45"/>
  <c r="D899" i="45"/>
  <c r="D900" i="45"/>
  <c r="D901" i="45"/>
  <c r="D902" i="45"/>
  <c r="D903" i="45"/>
  <c r="D904" i="45"/>
  <c r="D905" i="45"/>
  <c r="D906" i="45"/>
  <c r="D907" i="45"/>
  <c r="D909" i="45"/>
  <c r="D910" i="45"/>
  <c r="D912" i="45"/>
  <c r="D913" i="45"/>
  <c r="D914" i="45"/>
  <c r="D915" i="45"/>
  <c r="D916" i="45"/>
  <c r="D917" i="45"/>
  <c r="D918" i="45"/>
  <c r="D919" i="45"/>
  <c r="D920" i="45"/>
  <c r="D921" i="45"/>
  <c r="D922" i="45"/>
  <c r="D923" i="45"/>
  <c r="D924" i="45"/>
  <c r="D925" i="45"/>
  <c r="D926" i="45"/>
  <c r="D927" i="45"/>
  <c r="D928" i="45"/>
  <c r="D929" i="45"/>
  <c r="D930" i="45"/>
  <c r="D931" i="45"/>
  <c r="D932" i="45"/>
  <c r="D933" i="45"/>
  <c r="D934" i="45"/>
  <c r="D935" i="45"/>
  <c r="D936" i="45"/>
  <c r="D937" i="45"/>
  <c r="D938" i="45"/>
  <c r="D939" i="45"/>
  <c r="D940" i="45"/>
  <c r="D941" i="45"/>
  <c r="D942" i="45"/>
  <c r="D943" i="45"/>
  <c r="D944" i="45"/>
  <c r="D945" i="45"/>
  <c r="D946" i="45"/>
  <c r="D947" i="45"/>
  <c r="D948" i="45"/>
  <c r="D949" i="45"/>
  <c r="D950" i="45"/>
  <c r="D951" i="45"/>
  <c r="D952" i="45"/>
  <c r="D953" i="45"/>
  <c r="D954" i="45"/>
  <c r="D955" i="45"/>
  <c r="D956" i="45"/>
  <c r="D957" i="45"/>
  <c r="D958" i="45"/>
  <c r="D959" i="45"/>
  <c r="D960" i="45"/>
  <c r="D961" i="45"/>
  <c r="D962" i="45"/>
  <c r="D963" i="45"/>
  <c r="D964" i="45"/>
  <c r="D965" i="45"/>
  <c r="D966" i="45"/>
  <c r="D967" i="45"/>
  <c r="D968" i="45"/>
  <c r="D969" i="45"/>
  <c r="D970" i="45"/>
  <c r="D971" i="45"/>
  <c r="D972" i="45"/>
  <c r="D973" i="45"/>
  <c r="D974" i="45"/>
  <c r="D975" i="45"/>
  <c r="D976" i="45"/>
  <c r="D977" i="45"/>
  <c r="D978" i="45"/>
  <c r="D979" i="45"/>
  <c r="D980" i="45"/>
  <c r="D981" i="45"/>
  <c r="D982" i="45"/>
  <c r="D983" i="45"/>
  <c r="D984" i="45"/>
  <c r="D985" i="45"/>
  <c r="D987" i="45"/>
  <c r="D988" i="45"/>
  <c r="D989" i="45"/>
  <c r="D990" i="45"/>
  <c r="D991" i="45"/>
  <c r="D992" i="45"/>
  <c r="D993" i="45"/>
  <c r="D994" i="45"/>
  <c r="D995" i="45"/>
  <c r="D996" i="45"/>
  <c r="D998" i="45"/>
  <c r="D999" i="45"/>
  <c r="D1000" i="45"/>
  <c r="D1001" i="45"/>
  <c r="D1007" i="45"/>
  <c r="D1008" i="45"/>
  <c r="D1009" i="45"/>
  <c r="D1010" i="45"/>
  <c r="D1011" i="45"/>
  <c r="D1012" i="45"/>
  <c r="D1013" i="45"/>
  <c r="D1014" i="45"/>
  <c r="D1015" i="45"/>
  <c r="D1016" i="45"/>
  <c r="D1017" i="45"/>
  <c r="D1018" i="45"/>
  <c r="D1019" i="45"/>
  <c r="D1020" i="45"/>
  <c r="D1021" i="45"/>
  <c r="D1022" i="45"/>
  <c r="D1023" i="45"/>
  <c r="D1024" i="45"/>
  <c r="D1025" i="45"/>
  <c r="D1026" i="45"/>
  <c r="D1027" i="45"/>
  <c r="D1028" i="45"/>
  <c r="D1029" i="45"/>
  <c r="D1030" i="45"/>
  <c r="D1031" i="45"/>
  <c r="D1032" i="45"/>
  <c r="D1033" i="45"/>
  <c r="D1034" i="45"/>
  <c r="D1035" i="45"/>
  <c r="D1036" i="45"/>
  <c r="D1037" i="45"/>
  <c r="D1038" i="45"/>
  <c r="D1039" i="45"/>
  <c r="D1040" i="45"/>
  <c r="D1041" i="45"/>
  <c r="D1042" i="45"/>
  <c r="D1043" i="45"/>
  <c r="D1044" i="45"/>
  <c r="D1045" i="45"/>
  <c r="D1048" i="45"/>
  <c r="D1049" i="45"/>
  <c r="D1051" i="45"/>
  <c r="D1052" i="45"/>
  <c r="D1053" i="45"/>
  <c r="D1054" i="45"/>
  <c r="D1055" i="45"/>
  <c r="D1056" i="45"/>
  <c r="D1057" i="45"/>
  <c r="D1058" i="45"/>
  <c r="D1059" i="45"/>
  <c r="D1060" i="45"/>
  <c r="D1061" i="45"/>
  <c r="D1062" i="45"/>
  <c r="D1063" i="45"/>
  <c r="D1064" i="45"/>
  <c r="D1065" i="45"/>
  <c r="D1066" i="45"/>
  <c r="D1067" i="45"/>
  <c r="D1068" i="45"/>
  <c r="D1069" i="45"/>
  <c r="D1070" i="45"/>
  <c r="D1071" i="45"/>
  <c r="D1072" i="45"/>
  <c r="D1073" i="45"/>
  <c r="D1074" i="45"/>
  <c r="D1075" i="45"/>
  <c r="D1076" i="45"/>
  <c r="D1077" i="45"/>
  <c r="D1078" i="45"/>
  <c r="D1079" i="45"/>
  <c r="D1080" i="45"/>
  <c r="D1081" i="45"/>
  <c r="D1082" i="45"/>
  <c r="D1083" i="45"/>
  <c r="D1084" i="45"/>
  <c r="D1085" i="45"/>
  <c r="D1086" i="45"/>
  <c r="D1087" i="45"/>
  <c r="D1088" i="45"/>
  <c r="D1089" i="45"/>
  <c r="D1090" i="45"/>
  <c r="D1091" i="45"/>
  <c r="D1092" i="45"/>
  <c r="D1093" i="45"/>
  <c r="D1094" i="45"/>
  <c r="D1095" i="45"/>
  <c r="D1096" i="45"/>
  <c r="D1097" i="45"/>
  <c r="D1098" i="45"/>
  <c r="D1099" i="45"/>
  <c r="D1100" i="45"/>
  <c r="D1101" i="45"/>
  <c r="D1102" i="45"/>
  <c r="D1103" i="45"/>
  <c r="D1104" i="45"/>
  <c r="D1105" i="45"/>
  <c r="D1106" i="45"/>
  <c r="D1107" i="45"/>
  <c r="D1108" i="45"/>
  <c r="D1109" i="45"/>
  <c r="D1110" i="45"/>
  <c r="D1111" i="45"/>
  <c r="D1112" i="45"/>
  <c r="D1114" i="45"/>
  <c r="D1115" i="45"/>
  <c r="D1116" i="45"/>
  <c r="D1117" i="45"/>
  <c r="D1118" i="45"/>
  <c r="D1119" i="45"/>
  <c r="D1121" i="45"/>
  <c r="D1122" i="45"/>
  <c r="D1124" i="45"/>
  <c r="D1125" i="45"/>
  <c r="D1127" i="45"/>
  <c r="D1129" i="45"/>
  <c r="D1130" i="45"/>
  <c r="D1131" i="45"/>
  <c r="D1132" i="45"/>
  <c r="D1133" i="45"/>
  <c r="D1134" i="45"/>
  <c r="D1135" i="45"/>
  <c r="D1136" i="45"/>
  <c r="D1137" i="45"/>
  <c r="D1138" i="45"/>
  <c r="D1140" i="45"/>
  <c r="D1141" i="45"/>
  <c r="D1142" i="45"/>
  <c r="D1143" i="45"/>
  <c r="D1146" i="45"/>
  <c r="D1147" i="45"/>
  <c r="D1148" i="45"/>
  <c r="D1149" i="45"/>
  <c r="D1150" i="45"/>
  <c r="D1151" i="45"/>
  <c r="D1152" i="45"/>
  <c r="D1153" i="45"/>
  <c r="D1154" i="45"/>
  <c r="D1155" i="45"/>
  <c r="D1156" i="45"/>
  <c r="D1157" i="45"/>
  <c r="D1158" i="45"/>
  <c r="D1159" i="45"/>
  <c r="D1160" i="45"/>
  <c r="D1161" i="45"/>
  <c r="D1162" i="45"/>
  <c r="D1163" i="45"/>
  <c r="D1164" i="45"/>
  <c r="D1165" i="45"/>
  <c r="D1166" i="45"/>
  <c r="D1167" i="45"/>
  <c r="D1169" i="45"/>
  <c r="D1170" i="45"/>
  <c r="D1171" i="45"/>
  <c r="D1174" i="45"/>
  <c r="D1177" i="45"/>
  <c r="D1178" i="45"/>
  <c r="D1181" i="45"/>
  <c r="D1182" i="45"/>
  <c r="D1183" i="45"/>
  <c r="D1184" i="45"/>
  <c r="D1185" i="45"/>
  <c r="D1186" i="45"/>
  <c r="D1187" i="45"/>
  <c r="D1189" i="45"/>
  <c r="D1190" i="45"/>
  <c r="D1192" i="45"/>
  <c r="D1194" i="45"/>
  <c r="D1195" i="45"/>
  <c r="D1196" i="45"/>
  <c r="D1197" i="45"/>
  <c r="D1198" i="45"/>
  <c r="D1199" i="45"/>
  <c r="D1200" i="45"/>
  <c r="D1201" i="45"/>
  <c r="D1202" i="45"/>
  <c r="D1203" i="45"/>
  <c r="D1204" i="45"/>
  <c r="D1205" i="45"/>
  <c r="D1206" i="45"/>
  <c r="D1207" i="45"/>
  <c r="D1208" i="45"/>
  <c r="D1209" i="45"/>
  <c r="D1210" i="45"/>
  <c r="D1211" i="45"/>
  <c r="D1212" i="45"/>
  <c r="D1213" i="45"/>
  <c r="D1214" i="45"/>
  <c r="D1215" i="45"/>
  <c r="D1216" i="45"/>
  <c r="D1217" i="45"/>
  <c r="D1218" i="45"/>
  <c r="D1219" i="45"/>
  <c r="D1220" i="45"/>
  <c r="D1221" i="45"/>
  <c r="D1222" i="45"/>
  <c r="D1223" i="45"/>
  <c r="D1224" i="45"/>
  <c r="D1226" i="45"/>
  <c r="D1227" i="45"/>
  <c r="D1228" i="45"/>
  <c r="D1229" i="45"/>
  <c r="D1230" i="45"/>
  <c r="D1231" i="45"/>
  <c r="D1232" i="45"/>
  <c r="D1234" i="45"/>
  <c r="D1235" i="45"/>
  <c r="D1236" i="45"/>
  <c r="D1237" i="45"/>
  <c r="D1238" i="45"/>
  <c r="D1239" i="45"/>
  <c r="D1240" i="45"/>
  <c r="D1241" i="45"/>
  <c r="D1242" i="45"/>
  <c r="D1243" i="45"/>
  <c r="D1244" i="45"/>
  <c r="D1245" i="45"/>
  <c r="D1246" i="45"/>
  <c r="D1247" i="45"/>
  <c r="D1248" i="45"/>
  <c r="D1249" i="45"/>
  <c r="D1251" i="45"/>
  <c r="D1252" i="45"/>
  <c r="D1253" i="45"/>
  <c r="D1257" i="45"/>
  <c r="G150" i="45"/>
  <c r="G151" i="45"/>
  <c r="G152" i="45"/>
  <c r="G153" i="45"/>
  <c r="G154" i="45"/>
  <c r="G155" i="45"/>
  <c r="G156" i="45"/>
  <c r="G157" i="45"/>
  <c r="G158" i="45"/>
  <c r="G159" i="45"/>
  <c r="G160" i="45"/>
  <c r="G161" i="45"/>
  <c r="G162" i="45"/>
  <c r="G163" i="45"/>
  <c r="G164" i="45"/>
  <c r="G165" i="45"/>
  <c r="G166" i="45"/>
  <c r="G167" i="45"/>
  <c r="G168" i="45"/>
  <c r="G169" i="45"/>
  <c r="G171" i="45"/>
  <c r="G172" i="45"/>
  <c r="G173" i="45"/>
  <c r="G174" i="45"/>
  <c r="G175" i="45"/>
  <c r="G176" i="45"/>
  <c r="G177" i="45"/>
  <c r="G178" i="45"/>
  <c r="G179" i="45"/>
  <c r="G180" i="45"/>
  <c r="G181" i="45"/>
  <c r="G182" i="45"/>
  <c r="G183" i="45"/>
  <c r="G184" i="45"/>
  <c r="G185" i="45"/>
  <c r="G186" i="45"/>
  <c r="G187" i="45"/>
  <c r="G188" i="45"/>
  <c r="G189" i="45"/>
  <c r="G190" i="45"/>
  <c r="G191" i="45"/>
  <c r="G192" i="45"/>
  <c r="G193" i="45"/>
  <c r="G194" i="45"/>
  <c r="G195" i="45"/>
  <c r="G196" i="45"/>
  <c r="G197" i="45"/>
  <c r="G198" i="45"/>
  <c r="G199" i="45"/>
  <c r="G200" i="45"/>
  <c r="G201" i="45"/>
  <c r="G202" i="45"/>
  <c r="G203" i="45"/>
  <c r="G204" i="45"/>
  <c r="G205" i="45"/>
  <c r="G206" i="45"/>
  <c r="G207" i="45"/>
  <c r="G208" i="45"/>
  <c r="G209" i="45"/>
  <c r="G210" i="45"/>
  <c r="G211" i="45"/>
  <c r="G212" i="45"/>
  <c r="G213" i="45"/>
  <c r="G214" i="45"/>
  <c r="G215" i="45"/>
  <c r="G216" i="45"/>
  <c r="G218" i="45"/>
  <c r="G219" i="45"/>
  <c r="G221" i="45"/>
  <c r="G222" i="45"/>
  <c r="G223" i="45"/>
  <c r="G224" i="45"/>
  <c r="G225" i="45"/>
  <c r="G226" i="45"/>
  <c r="G227" i="45"/>
  <c r="G228" i="45"/>
  <c r="G229" i="45"/>
  <c r="G230" i="45"/>
  <c r="G231" i="45"/>
  <c r="G232" i="45"/>
  <c r="G233" i="45"/>
  <c r="G234" i="45"/>
  <c r="G235" i="45"/>
  <c r="G236" i="45"/>
  <c r="G237" i="45"/>
  <c r="G238" i="45"/>
  <c r="G239" i="45"/>
  <c r="G240" i="45"/>
  <c r="G241" i="45"/>
  <c r="G242" i="45"/>
  <c r="G243" i="45"/>
  <c r="G244" i="45"/>
  <c r="G245" i="45"/>
  <c r="G246" i="45"/>
  <c r="G247" i="45"/>
  <c r="G248" i="45"/>
  <c r="G249" i="45"/>
  <c r="G250" i="45"/>
  <c r="G251" i="45"/>
  <c r="G252" i="45"/>
  <c r="G253" i="45"/>
  <c r="G254" i="45"/>
  <c r="G255" i="45"/>
  <c r="G256" i="45"/>
  <c r="G257" i="45"/>
  <c r="G258" i="45"/>
  <c r="G259" i="45"/>
  <c r="G260" i="45"/>
  <c r="G261" i="45"/>
  <c r="G262" i="45"/>
  <c r="G263" i="45"/>
  <c r="G264" i="45"/>
  <c r="G265" i="45"/>
  <c r="G266" i="45"/>
  <c r="G267" i="45"/>
  <c r="G268" i="45"/>
  <c r="G269" i="45"/>
  <c r="G270" i="45"/>
  <c r="G271" i="45"/>
  <c r="G272" i="45"/>
  <c r="G273" i="45"/>
  <c r="G274" i="45"/>
  <c r="G275" i="45"/>
  <c r="G276" i="45"/>
  <c r="G277" i="45"/>
  <c r="G278" i="45"/>
  <c r="G279" i="45"/>
  <c r="G280" i="45"/>
  <c r="G281" i="45"/>
  <c r="G282" i="45"/>
  <c r="G283" i="45"/>
  <c r="G284" i="45"/>
  <c r="G286" i="45"/>
  <c r="G287" i="45"/>
  <c r="G288" i="45"/>
  <c r="G289" i="45"/>
  <c r="G290" i="45"/>
  <c r="G291" i="45"/>
  <c r="G292" i="45"/>
  <c r="G293" i="45"/>
  <c r="G294" i="45"/>
  <c r="G295" i="45"/>
  <c r="G296" i="45"/>
  <c r="G297" i="45"/>
  <c r="G298" i="45"/>
  <c r="G299" i="45"/>
  <c r="G300" i="45"/>
  <c r="G301" i="45"/>
  <c r="G302" i="45"/>
  <c r="G303" i="45"/>
  <c r="G304" i="45"/>
  <c r="G305" i="45"/>
  <c r="G306" i="45"/>
  <c r="G308" i="45"/>
  <c r="G309" i="45"/>
  <c r="G310" i="45"/>
  <c r="G311" i="45"/>
  <c r="G312" i="45"/>
  <c r="G313" i="45"/>
  <c r="G314" i="45"/>
  <c r="G315" i="45"/>
  <c r="G316" i="45"/>
  <c r="G317" i="45"/>
  <c r="G318" i="45"/>
  <c r="G319" i="45"/>
  <c r="G320" i="45"/>
  <c r="G321" i="45"/>
  <c r="G322" i="45"/>
  <c r="G323" i="45"/>
  <c r="G324" i="45"/>
  <c r="G325" i="45"/>
  <c r="G326" i="45"/>
  <c r="G327" i="45"/>
  <c r="G328" i="45"/>
  <c r="G329" i="45"/>
  <c r="G330" i="45"/>
  <c r="G331" i="45"/>
  <c r="G332" i="45"/>
  <c r="G333" i="45"/>
  <c r="G334" i="45"/>
  <c r="G335" i="45"/>
  <c r="G336" i="45"/>
  <c r="G337" i="45"/>
  <c r="G338" i="45"/>
  <c r="G339" i="45"/>
  <c r="G340" i="45"/>
  <c r="G341" i="45"/>
  <c r="G342" i="45"/>
  <c r="G343" i="45"/>
  <c r="G344" i="45"/>
  <c r="G345" i="45"/>
  <c r="G346" i="45"/>
  <c r="G347" i="45"/>
  <c r="G348" i="45"/>
  <c r="G349" i="45"/>
  <c r="G350" i="45"/>
  <c r="G351" i="45"/>
  <c r="G353" i="45"/>
  <c r="G354" i="45"/>
  <c r="G355" i="45"/>
  <c r="G357" i="45"/>
  <c r="G358" i="45"/>
  <c r="G359" i="45"/>
  <c r="G360" i="45"/>
  <c r="G361" i="45"/>
  <c r="G362" i="45"/>
  <c r="G363" i="45"/>
  <c r="G364" i="45"/>
  <c r="G365" i="45"/>
  <c r="G366" i="45"/>
  <c r="G367" i="45"/>
  <c r="G368" i="45"/>
  <c r="G369" i="45"/>
  <c r="G370" i="45"/>
  <c r="G371" i="45"/>
  <c r="G372" i="45"/>
  <c r="G373" i="45"/>
  <c r="G374" i="45"/>
  <c r="G375" i="45"/>
  <c r="G376" i="45"/>
  <c r="G377" i="45"/>
  <c r="G378" i="45"/>
  <c r="G379" i="45"/>
  <c r="G380" i="45"/>
  <c r="G381" i="45"/>
  <c r="G382" i="45"/>
  <c r="G383" i="45"/>
  <c r="G384" i="45"/>
  <c r="G385" i="45"/>
  <c r="G386" i="45"/>
  <c r="G387" i="45"/>
  <c r="G388" i="45"/>
  <c r="G389" i="45"/>
  <c r="G390" i="45"/>
  <c r="G391" i="45"/>
  <c r="G392" i="45"/>
  <c r="G393" i="45"/>
  <c r="G394" i="45"/>
  <c r="G395" i="45"/>
  <c r="G396" i="45"/>
  <c r="G397" i="45"/>
  <c r="G398" i="45"/>
  <c r="G399" i="45"/>
  <c r="G400" i="45"/>
  <c r="G401" i="45"/>
  <c r="G402" i="45"/>
  <c r="G403" i="45"/>
  <c r="G404" i="45"/>
  <c r="G405" i="45"/>
  <c r="G406" i="45"/>
  <c r="G407" i="45"/>
  <c r="G408" i="45"/>
  <c r="G409" i="45"/>
  <c r="G410" i="45"/>
  <c r="G411" i="45"/>
  <c r="G412" i="45"/>
  <c r="G413" i="45"/>
  <c r="G414" i="45"/>
  <c r="G415" i="45"/>
  <c r="G416" i="45"/>
  <c r="G417" i="45"/>
  <c r="G418" i="45"/>
  <c r="G419" i="45"/>
  <c r="G420" i="45"/>
  <c r="G422" i="45"/>
  <c r="G423" i="45"/>
  <c r="G424" i="45"/>
  <c r="G425" i="45"/>
  <c r="G426" i="45"/>
  <c r="G427" i="45"/>
  <c r="G428" i="45"/>
  <c r="G429" i="45"/>
  <c r="G430" i="45"/>
  <c r="G431" i="45"/>
  <c r="G432" i="45"/>
  <c r="G433" i="45"/>
  <c r="G434" i="45"/>
  <c r="G435" i="45"/>
  <c r="G436" i="45"/>
  <c r="G437" i="45"/>
  <c r="G438" i="45"/>
  <c r="G439" i="45"/>
  <c r="G440" i="45"/>
  <c r="G441" i="45"/>
  <c r="G442" i="45"/>
  <c r="G444" i="45"/>
  <c r="G445" i="45"/>
  <c r="G446" i="45"/>
  <c r="G447" i="45"/>
  <c r="G448" i="45"/>
  <c r="G449" i="45"/>
  <c r="G450" i="45"/>
  <c r="G451" i="45"/>
  <c r="G452" i="45"/>
  <c r="G453" i="45"/>
  <c r="G454" i="45"/>
  <c r="G455" i="45"/>
  <c r="G456" i="45"/>
  <c r="G458" i="45"/>
  <c r="G459" i="45"/>
  <c r="G460" i="45"/>
  <c r="G461" i="45"/>
  <c r="G462" i="45"/>
  <c r="G463" i="45"/>
  <c r="G464" i="45"/>
  <c r="G465" i="45"/>
  <c r="G466" i="45"/>
  <c r="G467" i="45"/>
  <c r="G468" i="45"/>
  <c r="G469" i="45"/>
  <c r="G470" i="45"/>
  <c r="G471" i="45"/>
  <c r="G472" i="45"/>
  <c r="G473" i="45"/>
  <c r="G474" i="45"/>
  <c r="G475" i="45"/>
  <c r="G476" i="45"/>
  <c r="G477" i="45"/>
  <c r="G478" i="45"/>
  <c r="G479" i="45"/>
  <c r="G480" i="45"/>
  <c r="G481" i="45"/>
  <c r="G482" i="45"/>
  <c r="G483" i="45"/>
  <c r="G484" i="45"/>
  <c r="G485" i="45"/>
  <c r="G486" i="45"/>
  <c r="G487" i="45"/>
  <c r="G488" i="45"/>
  <c r="G489" i="45"/>
  <c r="G490" i="45"/>
  <c r="G492" i="45"/>
  <c r="G493" i="45"/>
  <c r="G495" i="45"/>
  <c r="G496" i="45"/>
  <c r="G497" i="45"/>
  <c r="G498" i="45"/>
  <c r="G499" i="45"/>
  <c r="G500" i="45"/>
  <c r="G501" i="45"/>
  <c r="G502" i="45"/>
  <c r="G503" i="45"/>
  <c r="G504" i="45"/>
  <c r="G505" i="45"/>
  <c r="G506" i="45"/>
  <c r="G507" i="45"/>
  <c r="G508" i="45"/>
  <c r="G509" i="45"/>
  <c r="G510" i="45"/>
  <c r="G511" i="45"/>
  <c r="G512" i="45"/>
  <c r="G513" i="45"/>
  <c r="G514" i="45"/>
  <c r="G515" i="45"/>
  <c r="G516" i="45"/>
  <c r="G517" i="45"/>
  <c r="G518" i="45"/>
  <c r="G519" i="45"/>
  <c r="G520" i="45"/>
  <c r="G521" i="45"/>
  <c r="G522" i="45"/>
  <c r="G523" i="45"/>
  <c r="G524" i="45"/>
  <c r="G525" i="45"/>
  <c r="G526" i="45"/>
  <c r="G527" i="45"/>
  <c r="G528" i="45"/>
  <c r="G529" i="45"/>
  <c r="G530" i="45"/>
  <c r="G531" i="45"/>
  <c r="G532" i="45"/>
  <c r="G533" i="45"/>
  <c r="G534" i="45"/>
  <c r="G535" i="45"/>
  <c r="G536" i="45"/>
  <c r="G537" i="45"/>
  <c r="G538" i="45"/>
  <c r="G539" i="45"/>
  <c r="G540" i="45"/>
  <c r="G541" i="45"/>
  <c r="G542" i="45"/>
  <c r="G543" i="45"/>
  <c r="G544" i="45"/>
  <c r="G545" i="45"/>
  <c r="G546" i="45"/>
  <c r="G547" i="45"/>
  <c r="G548" i="45"/>
  <c r="G550" i="45"/>
  <c r="G551" i="45"/>
  <c r="G552" i="45"/>
  <c r="G553" i="45"/>
  <c r="G554" i="45"/>
  <c r="G555" i="45"/>
  <c r="G556" i="45"/>
  <c r="G557" i="45"/>
  <c r="G558" i="45"/>
  <c r="G559" i="45"/>
  <c r="G561" i="45"/>
  <c r="G562" i="45"/>
  <c r="G563" i="45"/>
  <c r="G564" i="45"/>
  <c r="G565" i="45"/>
  <c r="G566" i="45"/>
  <c r="G567" i="45"/>
  <c r="G568" i="45"/>
  <c r="G569" i="45"/>
  <c r="G570" i="45"/>
  <c r="G571" i="45"/>
  <c r="G572" i="45"/>
  <c r="G573" i="45"/>
  <c r="G574" i="45"/>
  <c r="G575" i="45"/>
  <c r="G576" i="45"/>
  <c r="G577" i="45"/>
  <c r="G578" i="45"/>
  <c r="G579" i="45"/>
  <c r="G580" i="45"/>
  <c r="G581" i="45"/>
  <c r="G583" i="45"/>
  <c r="G584" i="45"/>
  <c r="G585" i="45"/>
  <c r="G586" i="45"/>
  <c r="G587" i="45"/>
  <c r="G588" i="45"/>
  <c r="G589" i="45"/>
  <c r="G590" i="45"/>
  <c r="G591" i="45"/>
  <c r="G592" i="45"/>
  <c r="G593" i="45"/>
  <c r="G594" i="45"/>
  <c r="G595" i="45"/>
  <c r="G596" i="45"/>
  <c r="G597" i="45"/>
  <c r="G598" i="45"/>
  <c r="G599" i="45"/>
  <c r="G600" i="45"/>
  <c r="G601" i="45"/>
  <c r="G602" i="45"/>
  <c r="G603" i="45"/>
  <c r="G604" i="45"/>
  <c r="G605" i="45"/>
  <c r="G606" i="45"/>
  <c r="G607" i="45"/>
  <c r="G608" i="45"/>
  <c r="G609" i="45"/>
  <c r="G610" i="45"/>
  <c r="G611" i="45"/>
  <c r="G612" i="45"/>
  <c r="G613" i="45"/>
  <c r="G614" i="45"/>
  <c r="G615" i="45"/>
  <c r="G616" i="45"/>
  <c r="G617" i="45"/>
  <c r="G618" i="45"/>
  <c r="G619" i="45"/>
  <c r="G620" i="45"/>
  <c r="G621" i="45"/>
  <c r="G622" i="45"/>
  <c r="G623" i="45"/>
  <c r="G624" i="45"/>
  <c r="G625" i="45"/>
  <c r="G626" i="45"/>
  <c r="G627" i="45"/>
  <c r="G628" i="45"/>
  <c r="G630" i="45"/>
  <c r="G631" i="45"/>
  <c r="G633" i="45"/>
  <c r="G634" i="45"/>
  <c r="G635" i="45"/>
  <c r="G636" i="45"/>
  <c r="G637" i="45"/>
  <c r="G638" i="45"/>
  <c r="G639" i="45"/>
  <c r="G640" i="45"/>
  <c r="G641" i="45"/>
  <c r="G642" i="45"/>
  <c r="G643" i="45"/>
  <c r="G644" i="45"/>
  <c r="G645" i="45"/>
  <c r="G646" i="45"/>
  <c r="G647" i="45"/>
  <c r="G648" i="45"/>
  <c r="G649" i="45"/>
  <c r="G650" i="45"/>
  <c r="G651" i="45"/>
  <c r="G652" i="45"/>
  <c r="G653" i="45"/>
  <c r="G654" i="45"/>
  <c r="G655" i="45"/>
  <c r="G656" i="45"/>
  <c r="G657" i="45"/>
  <c r="G658" i="45"/>
  <c r="G659" i="45"/>
  <c r="G660" i="45"/>
  <c r="G661" i="45"/>
  <c r="G662" i="45"/>
  <c r="G663" i="45"/>
  <c r="G664" i="45"/>
  <c r="G665" i="45"/>
  <c r="G666" i="45"/>
  <c r="G667" i="45"/>
  <c r="G668" i="45"/>
  <c r="G669" i="45"/>
  <c r="G670" i="45"/>
  <c r="G671" i="45"/>
  <c r="G672" i="45"/>
  <c r="G673" i="45"/>
  <c r="G674" i="45"/>
  <c r="G675" i="45"/>
  <c r="G676" i="45"/>
  <c r="G677" i="45"/>
  <c r="G678" i="45"/>
  <c r="G679" i="45"/>
  <c r="G680" i="45"/>
  <c r="G681" i="45"/>
  <c r="G682" i="45"/>
  <c r="G683" i="45"/>
  <c r="G684" i="45"/>
  <c r="G685" i="45"/>
  <c r="G686" i="45"/>
  <c r="G687" i="45"/>
  <c r="G688" i="45"/>
  <c r="G689" i="45"/>
  <c r="G690" i="45"/>
  <c r="G691" i="45"/>
  <c r="G692" i="45"/>
  <c r="G693" i="45"/>
  <c r="G694" i="45"/>
  <c r="G695" i="45"/>
  <c r="G696" i="45"/>
  <c r="G698" i="45"/>
  <c r="G699" i="45"/>
  <c r="G700" i="45"/>
  <c r="G701" i="45"/>
  <c r="G702" i="45"/>
  <c r="G703" i="45"/>
  <c r="G704" i="45"/>
  <c r="G705" i="45"/>
  <c r="G706" i="45"/>
  <c r="G707" i="45"/>
  <c r="G708" i="45"/>
  <c r="G709" i="45"/>
  <c r="G710" i="45"/>
  <c r="G711" i="45"/>
  <c r="G712" i="45"/>
  <c r="G713" i="45"/>
  <c r="G714" i="45"/>
  <c r="G715" i="45"/>
  <c r="G716" i="45"/>
  <c r="G717" i="45"/>
  <c r="G718" i="45"/>
  <c r="G720" i="45"/>
  <c r="G721" i="45"/>
  <c r="G722" i="45"/>
  <c r="G723" i="45"/>
  <c r="G724" i="45"/>
  <c r="G725" i="45"/>
  <c r="G726" i="45"/>
  <c r="G727" i="45"/>
  <c r="G728" i="45"/>
  <c r="G729" i="45"/>
  <c r="G730" i="45"/>
  <c r="G731" i="45"/>
  <c r="G732" i="45"/>
  <c r="G733" i="45"/>
  <c r="G734" i="45"/>
  <c r="G735" i="45"/>
  <c r="G736" i="45"/>
  <c r="G737" i="45"/>
  <c r="G738" i="45"/>
  <c r="G739" i="45"/>
  <c r="G740" i="45"/>
  <c r="G741" i="45"/>
  <c r="G742" i="45"/>
  <c r="G743" i="45"/>
  <c r="G744" i="45"/>
  <c r="G745" i="45"/>
  <c r="G746" i="45"/>
  <c r="G747" i="45"/>
  <c r="G748" i="45"/>
  <c r="G749" i="45"/>
  <c r="G750" i="45"/>
  <c r="G751" i="45"/>
  <c r="G752" i="45"/>
  <c r="G753" i="45"/>
  <c r="G754" i="45"/>
  <c r="G755" i="45"/>
  <c r="G756" i="45"/>
  <c r="G757" i="45"/>
  <c r="G758" i="45"/>
  <c r="G759" i="45"/>
  <c r="G760" i="45"/>
  <c r="G761" i="45"/>
  <c r="G762" i="45"/>
  <c r="G763" i="45"/>
  <c r="G764" i="45"/>
  <c r="G765" i="45"/>
  <c r="G767" i="45"/>
  <c r="G768" i="45"/>
  <c r="G770" i="45"/>
  <c r="G771" i="45"/>
  <c r="G772" i="45"/>
  <c r="G773" i="45"/>
  <c r="G774" i="45"/>
  <c r="G775" i="45"/>
  <c r="G776" i="45"/>
  <c r="G777" i="45"/>
  <c r="G778" i="45"/>
  <c r="G779" i="45"/>
  <c r="G780" i="45"/>
  <c r="G781" i="45"/>
  <c r="G782" i="45"/>
  <c r="G783" i="45"/>
  <c r="G784" i="45"/>
  <c r="G785" i="45"/>
  <c r="G786" i="45"/>
  <c r="G787" i="45"/>
  <c r="G788" i="45"/>
  <c r="G789" i="45"/>
  <c r="G790" i="45"/>
  <c r="G791" i="45"/>
  <c r="G792" i="45"/>
  <c r="G793" i="45"/>
  <c r="G794" i="45"/>
  <c r="G795" i="45"/>
  <c r="G796" i="45"/>
  <c r="G797" i="45"/>
  <c r="G798" i="45"/>
  <c r="G799" i="45"/>
  <c r="G800" i="45"/>
  <c r="G801" i="45"/>
  <c r="G802" i="45"/>
  <c r="G803" i="45"/>
  <c r="G804" i="45"/>
  <c r="G805" i="45"/>
  <c r="G806" i="45"/>
  <c r="G807" i="45"/>
  <c r="G808" i="45"/>
  <c r="G809" i="45"/>
  <c r="G810" i="45"/>
  <c r="G811" i="45"/>
  <c r="G812" i="45"/>
  <c r="G813" i="45"/>
  <c r="G814" i="45"/>
  <c r="G815" i="45"/>
  <c r="G816" i="45"/>
  <c r="G817" i="45"/>
  <c r="G818" i="45"/>
  <c r="G819" i="45"/>
  <c r="G820" i="45"/>
  <c r="G821" i="45"/>
  <c r="G822" i="45"/>
  <c r="G823" i="45"/>
  <c r="G824" i="45"/>
  <c r="G825" i="45"/>
  <c r="G826" i="45"/>
  <c r="G827" i="45"/>
  <c r="G828" i="45"/>
  <c r="G829" i="45"/>
  <c r="G830" i="45"/>
  <c r="G831" i="45"/>
  <c r="G832" i="45"/>
  <c r="G833" i="45"/>
  <c r="G834" i="45"/>
  <c r="G835" i="45"/>
  <c r="G836" i="45"/>
  <c r="G837" i="45"/>
  <c r="G838" i="45"/>
  <c r="G839" i="45"/>
  <c r="G840" i="45"/>
  <c r="G841" i="45"/>
  <c r="G842" i="45"/>
  <c r="G844" i="45"/>
  <c r="G845" i="45"/>
  <c r="G846" i="45"/>
  <c r="G847" i="45"/>
  <c r="G848" i="45"/>
  <c r="G849" i="45"/>
  <c r="G850" i="45"/>
  <c r="G851" i="45"/>
  <c r="G852" i="45"/>
  <c r="G853" i="45"/>
  <c r="G855" i="45"/>
  <c r="G856" i="45"/>
  <c r="G858" i="45"/>
  <c r="G859" i="45"/>
  <c r="G860" i="45"/>
  <c r="G861" i="45"/>
  <c r="G862" i="45"/>
  <c r="G863" i="45"/>
  <c r="G864" i="45"/>
  <c r="G865" i="45"/>
  <c r="G866" i="45"/>
  <c r="G869" i="45"/>
  <c r="G870" i="45"/>
  <c r="G871" i="45"/>
  <c r="G872" i="45"/>
  <c r="G873" i="45"/>
  <c r="G874" i="45"/>
  <c r="G875" i="45"/>
  <c r="G876" i="45"/>
  <c r="G877" i="45"/>
  <c r="G878" i="45"/>
  <c r="G879" i="45"/>
  <c r="G880" i="45"/>
  <c r="G881" i="45"/>
  <c r="G882" i="45"/>
  <c r="G883" i="45"/>
  <c r="G884" i="45"/>
  <c r="G885" i="45"/>
  <c r="G886" i="45"/>
  <c r="G887" i="45"/>
  <c r="G888" i="45"/>
  <c r="G889" i="45"/>
  <c r="G890" i="45"/>
  <c r="G896" i="45"/>
  <c r="G897" i="45"/>
  <c r="G898" i="45"/>
  <c r="G899" i="45"/>
  <c r="G900" i="45"/>
  <c r="G901" i="45"/>
  <c r="G902" i="45"/>
  <c r="G903" i="45"/>
  <c r="G904" i="45"/>
  <c r="G905" i="45"/>
  <c r="G906" i="45"/>
  <c r="G907" i="45"/>
  <c r="G909" i="45"/>
  <c r="G910" i="45"/>
  <c r="G912" i="45"/>
  <c r="G913" i="45"/>
  <c r="G914" i="45"/>
  <c r="G915" i="45"/>
  <c r="G916" i="45"/>
  <c r="G917" i="45"/>
  <c r="G918" i="45"/>
  <c r="G919" i="45"/>
  <c r="G920" i="45"/>
  <c r="G921" i="45"/>
  <c r="G922" i="45"/>
  <c r="G923" i="45"/>
  <c r="G924" i="45"/>
  <c r="G925" i="45"/>
  <c r="G926" i="45"/>
  <c r="G927" i="45"/>
  <c r="G928" i="45"/>
  <c r="G929" i="45"/>
  <c r="G930" i="45"/>
  <c r="G931" i="45"/>
  <c r="G932" i="45"/>
  <c r="G933" i="45"/>
  <c r="G934" i="45"/>
  <c r="G935" i="45"/>
  <c r="G936" i="45"/>
  <c r="G937" i="45"/>
  <c r="G938" i="45"/>
  <c r="G939" i="45"/>
  <c r="G940" i="45"/>
  <c r="G941" i="45"/>
  <c r="G942" i="45"/>
  <c r="G943" i="45"/>
  <c r="G944" i="45"/>
  <c r="G945" i="45"/>
  <c r="G946" i="45"/>
  <c r="G947" i="45"/>
  <c r="G948" i="45"/>
  <c r="G949" i="45"/>
  <c r="G950" i="45"/>
  <c r="G951" i="45"/>
  <c r="G952" i="45"/>
  <c r="G953" i="45"/>
  <c r="G954" i="45"/>
  <c r="G955" i="45"/>
  <c r="G956" i="45"/>
  <c r="G957" i="45"/>
  <c r="G958" i="45"/>
  <c r="G959" i="45"/>
  <c r="G960" i="45"/>
  <c r="G961" i="45"/>
  <c r="G962" i="45"/>
  <c r="G963" i="45"/>
  <c r="G964" i="45"/>
  <c r="G965" i="45"/>
  <c r="G966" i="45"/>
  <c r="G967" i="45"/>
  <c r="G968" i="45"/>
  <c r="G969" i="45"/>
  <c r="G970" i="45"/>
  <c r="G971" i="45"/>
  <c r="G972" i="45"/>
  <c r="G973" i="45"/>
  <c r="G974" i="45"/>
  <c r="G975" i="45"/>
  <c r="G976" i="45"/>
  <c r="G977" i="45"/>
  <c r="G978" i="45"/>
  <c r="G979" i="45"/>
  <c r="G980" i="45"/>
  <c r="G981" i="45"/>
  <c r="G982" i="45"/>
  <c r="G983" i="45"/>
  <c r="G984" i="45"/>
  <c r="G985" i="45"/>
  <c r="G987" i="45"/>
  <c r="G988" i="45"/>
  <c r="G989" i="45"/>
  <c r="G990" i="45"/>
  <c r="G991" i="45"/>
  <c r="G992" i="45"/>
  <c r="G993" i="45"/>
  <c r="G994" i="45"/>
  <c r="G995" i="45"/>
  <c r="G996" i="45"/>
  <c r="G998" i="45"/>
  <c r="G999" i="45"/>
  <c r="G1000" i="45"/>
  <c r="G1001" i="45"/>
  <c r="G1007" i="45"/>
  <c r="G1008" i="45"/>
  <c r="G1009" i="45"/>
  <c r="G1010" i="45"/>
  <c r="G1011" i="45"/>
  <c r="G1012" i="45"/>
  <c r="G1013" i="45"/>
  <c r="G1014" i="45"/>
  <c r="G1015" i="45"/>
  <c r="G1016" i="45"/>
  <c r="G1017" i="45"/>
  <c r="G1018" i="45"/>
  <c r="G1019" i="45"/>
  <c r="G1020" i="45"/>
  <c r="G1021" i="45"/>
  <c r="G1022" i="45"/>
  <c r="G1023" i="45"/>
  <c r="G1024" i="45"/>
  <c r="G1025" i="45"/>
  <c r="G1026" i="45"/>
  <c r="G1027" i="45"/>
  <c r="G1028" i="45"/>
  <c r="G1029" i="45"/>
  <c r="G1030" i="45"/>
  <c r="G1031" i="45"/>
  <c r="G1032" i="45"/>
  <c r="G1033" i="45"/>
  <c r="G1034" i="45"/>
  <c r="G1035" i="45"/>
  <c r="G1036" i="45"/>
  <c r="G1037" i="45"/>
  <c r="G1038" i="45"/>
  <c r="G1039" i="45"/>
  <c r="G1040" i="45"/>
  <c r="G1041" i="45"/>
  <c r="G1042" i="45"/>
  <c r="G1043" i="45"/>
  <c r="G1044" i="45"/>
  <c r="G1045" i="45"/>
  <c r="G1048" i="45"/>
  <c r="G1049" i="45"/>
  <c r="G1051" i="45"/>
  <c r="G1052" i="45"/>
  <c r="G1053" i="45"/>
  <c r="G1054" i="45"/>
  <c r="G1055" i="45"/>
  <c r="G1056" i="45"/>
  <c r="G1057" i="45"/>
  <c r="G1058" i="45"/>
  <c r="G1059" i="45"/>
  <c r="G1060" i="45"/>
  <c r="G1061" i="45"/>
  <c r="G1062" i="45"/>
  <c r="G1063" i="45"/>
  <c r="G1064" i="45"/>
  <c r="G1065" i="45"/>
  <c r="G1066" i="45"/>
  <c r="G1067" i="45"/>
  <c r="G1068" i="45"/>
  <c r="G1069" i="45"/>
  <c r="G1070" i="45"/>
  <c r="G1071" i="45"/>
  <c r="G1072" i="45"/>
  <c r="G1073" i="45"/>
  <c r="G1074" i="45"/>
  <c r="G1075" i="45"/>
  <c r="G1076" i="45"/>
  <c r="G1077" i="45"/>
  <c r="G1078" i="45"/>
  <c r="G1079" i="45"/>
  <c r="G1080" i="45"/>
  <c r="G1081" i="45"/>
  <c r="G1082" i="45"/>
  <c r="G1083" i="45"/>
  <c r="G1084" i="45"/>
  <c r="G1085" i="45"/>
  <c r="G1086" i="45"/>
  <c r="G1087" i="45"/>
  <c r="G1088" i="45"/>
  <c r="G1089" i="45"/>
  <c r="G1090" i="45"/>
  <c r="G1091" i="45"/>
  <c r="G1092" i="45"/>
  <c r="G1093" i="45"/>
  <c r="G1094" i="45"/>
  <c r="G1095" i="45"/>
  <c r="G1096" i="45"/>
  <c r="G1097" i="45"/>
  <c r="G1098" i="45"/>
  <c r="G1099" i="45"/>
  <c r="G1100" i="45"/>
  <c r="G1101" i="45"/>
  <c r="G1102" i="45"/>
  <c r="G1103" i="45"/>
  <c r="G1104" i="45"/>
  <c r="G1105" i="45"/>
  <c r="G1106" i="45"/>
  <c r="G1107" i="45"/>
  <c r="G1108" i="45"/>
  <c r="G1109" i="45"/>
  <c r="G1110" i="45"/>
  <c r="G1111" i="45"/>
  <c r="G1112" i="45"/>
  <c r="G1114" i="45"/>
  <c r="G1115" i="45"/>
  <c r="G1116" i="45"/>
  <c r="G1117" i="45"/>
  <c r="G1118" i="45"/>
  <c r="G1119" i="45"/>
  <c r="G1121" i="45"/>
  <c r="G1122" i="45"/>
  <c r="G1124" i="45"/>
  <c r="G1125" i="45"/>
  <c r="G1127" i="45"/>
  <c r="G1129" i="45"/>
  <c r="G1130" i="45"/>
  <c r="G1131" i="45"/>
  <c r="G1132" i="45"/>
  <c r="G1133" i="45"/>
  <c r="G1134" i="45"/>
  <c r="G1135" i="45"/>
  <c r="G1136" i="45"/>
  <c r="G1137" i="45"/>
  <c r="G1138" i="45"/>
  <c r="G1140" i="45"/>
  <c r="G1141" i="45"/>
  <c r="G1142" i="45"/>
  <c r="G1143" i="45"/>
  <c r="G1146" i="45"/>
  <c r="G1147" i="45"/>
  <c r="G1148" i="45"/>
  <c r="G1149" i="45"/>
  <c r="G1150" i="45"/>
  <c r="G1151" i="45"/>
  <c r="G1152" i="45"/>
  <c r="G1153" i="45"/>
  <c r="G1154" i="45"/>
  <c r="G1155" i="45"/>
  <c r="G1156" i="45"/>
  <c r="G1157" i="45"/>
  <c r="G1158" i="45"/>
  <c r="G1159" i="45"/>
  <c r="G1160" i="45"/>
  <c r="G1161" i="45"/>
  <c r="G1162" i="45"/>
  <c r="G1163" i="45"/>
  <c r="G1164" i="45"/>
  <c r="G1165" i="45"/>
  <c r="G1166" i="45"/>
  <c r="G1167" i="45"/>
  <c r="G1169" i="45"/>
  <c r="G1170" i="45"/>
  <c r="G1171" i="45"/>
  <c r="G1174" i="45"/>
  <c r="G1177" i="45"/>
  <c r="G1178" i="45"/>
  <c r="G1181" i="45"/>
  <c r="G1182" i="45"/>
  <c r="G1183" i="45"/>
  <c r="G1184" i="45"/>
  <c r="G1185" i="45"/>
  <c r="G1186" i="45"/>
  <c r="G1187" i="45"/>
  <c r="G1189" i="45"/>
  <c r="G1190" i="45"/>
  <c r="G1192" i="45"/>
  <c r="G1194" i="45"/>
  <c r="G1195" i="45"/>
  <c r="G1196" i="45"/>
  <c r="G1197" i="45"/>
  <c r="G1198" i="45"/>
  <c r="G1199" i="45"/>
  <c r="G1200" i="45"/>
  <c r="G1201" i="45"/>
  <c r="G1202" i="45"/>
  <c r="G1203" i="45"/>
  <c r="G1204" i="45"/>
  <c r="G1205" i="45"/>
  <c r="G1206" i="45"/>
  <c r="G1207" i="45"/>
  <c r="G1208" i="45"/>
  <c r="G1209" i="45"/>
  <c r="G1210" i="45"/>
  <c r="G1211" i="45"/>
  <c r="G1212" i="45"/>
  <c r="G1213" i="45"/>
  <c r="G1214" i="45"/>
  <c r="G1215" i="45"/>
  <c r="G1216" i="45"/>
  <c r="G1217" i="45"/>
  <c r="G1218" i="45"/>
  <c r="G1219" i="45"/>
  <c r="G1220" i="45"/>
  <c r="G1221" i="45"/>
  <c r="G1222" i="45"/>
  <c r="G1223" i="45"/>
  <c r="G1224" i="45"/>
  <c r="G1226" i="45"/>
  <c r="G1227" i="45"/>
  <c r="G1228" i="45"/>
  <c r="G1229" i="45"/>
  <c r="G1230" i="45"/>
  <c r="G1231" i="45"/>
  <c r="G1232" i="45"/>
  <c r="G1234" i="45"/>
  <c r="G1235" i="45"/>
  <c r="G1236" i="45"/>
  <c r="G1237" i="45"/>
  <c r="G1238" i="45"/>
  <c r="G1239" i="45"/>
  <c r="G1240" i="45"/>
  <c r="G1241" i="45"/>
  <c r="G1242" i="45"/>
  <c r="G1243" i="45"/>
  <c r="G1244" i="45"/>
  <c r="G1245" i="45"/>
  <c r="G1246" i="45"/>
  <c r="G1247" i="45"/>
  <c r="G1248" i="45"/>
  <c r="G1249" i="45"/>
  <c r="G1251" i="45"/>
  <c r="G1252" i="45"/>
  <c r="G1253" i="45"/>
  <c r="G1257" i="45"/>
  <c r="H150" i="45"/>
  <c r="H151" i="45"/>
  <c r="H152" i="45"/>
  <c r="H153" i="45"/>
  <c r="H154" i="45"/>
  <c r="H155" i="45"/>
  <c r="H156" i="45"/>
  <c r="H157" i="45"/>
  <c r="H159" i="45"/>
  <c r="H160" i="45"/>
  <c r="H161" i="45"/>
  <c r="H162" i="45"/>
  <c r="H163" i="45"/>
  <c r="H164" i="45"/>
  <c r="H165" i="45"/>
  <c r="H166" i="45"/>
  <c r="H167" i="45"/>
  <c r="H168" i="45"/>
  <c r="H169" i="45"/>
  <c r="H172" i="45"/>
  <c r="H173" i="45"/>
  <c r="H174" i="45"/>
  <c r="H175" i="45"/>
  <c r="H176" i="45"/>
  <c r="H177" i="45"/>
  <c r="H179" i="45"/>
  <c r="H180" i="45"/>
  <c r="H181" i="45"/>
  <c r="H182" i="45"/>
  <c r="H183" i="45"/>
  <c r="H184" i="45"/>
  <c r="H185" i="45"/>
  <c r="H186" i="45"/>
  <c r="H187" i="45"/>
  <c r="H188" i="45"/>
  <c r="H189" i="45"/>
  <c r="H190" i="45"/>
  <c r="H191" i="45"/>
  <c r="H192" i="45"/>
  <c r="H193" i="45"/>
  <c r="H195" i="45"/>
  <c r="H196" i="45"/>
  <c r="H197" i="45"/>
  <c r="H198" i="45"/>
  <c r="H199" i="45"/>
  <c r="H200" i="45"/>
  <c r="H201" i="45"/>
  <c r="H202" i="45"/>
  <c r="H203" i="45"/>
  <c r="H204" i="45"/>
  <c r="H205" i="45"/>
  <c r="H206" i="45"/>
  <c r="H207" i="45"/>
  <c r="H208" i="45"/>
  <c r="H209" i="45"/>
  <c r="H210" i="45"/>
  <c r="H211" i="45"/>
  <c r="H212" i="45"/>
  <c r="H213" i="45"/>
  <c r="H214" i="45"/>
  <c r="H215" i="45"/>
  <c r="H216" i="45"/>
  <c r="H218" i="45"/>
  <c r="H219" i="45"/>
  <c r="H221" i="45"/>
  <c r="H222" i="45"/>
  <c r="H223" i="45"/>
  <c r="H224" i="45"/>
  <c r="H225" i="45"/>
  <c r="H226" i="45"/>
  <c r="H227" i="45"/>
  <c r="H228" i="45"/>
  <c r="H229" i="45"/>
  <c r="H232" i="45"/>
  <c r="H233" i="45"/>
  <c r="H234" i="45"/>
  <c r="H235" i="45"/>
  <c r="H236" i="45"/>
  <c r="H237" i="45"/>
  <c r="H238" i="45"/>
  <c r="H239" i="45"/>
  <c r="H240" i="45"/>
  <c r="H241" i="45"/>
  <c r="H242" i="45"/>
  <c r="H243" i="45"/>
  <c r="H244" i="45"/>
  <c r="H245" i="45"/>
  <c r="H246" i="45"/>
  <c r="H247" i="45"/>
  <c r="H248" i="45"/>
  <c r="H249" i="45"/>
  <c r="H250" i="45"/>
  <c r="H251" i="45"/>
  <c r="H252" i="45"/>
  <c r="H253" i="45"/>
  <c r="H254" i="45"/>
  <c r="H255" i="45"/>
  <c r="H256" i="45"/>
  <c r="H257" i="45"/>
  <c r="H258" i="45"/>
  <c r="H259" i="45"/>
  <c r="H260" i="45"/>
  <c r="H261" i="45"/>
  <c r="H262" i="45"/>
  <c r="H263" i="45"/>
  <c r="H264" i="45"/>
  <c r="H265" i="45"/>
  <c r="H266" i="45"/>
  <c r="H267" i="45"/>
  <c r="H268" i="45"/>
  <c r="H269" i="45"/>
  <c r="H270" i="45"/>
  <c r="H271" i="45"/>
  <c r="H272" i="45"/>
  <c r="H273" i="45"/>
  <c r="H275" i="45"/>
  <c r="H276" i="45"/>
  <c r="H277" i="45"/>
  <c r="H278" i="45"/>
  <c r="H279" i="45"/>
  <c r="H280" i="45"/>
  <c r="H281" i="45"/>
  <c r="H282" i="45"/>
  <c r="H283" i="45"/>
  <c r="H284" i="45"/>
  <c r="H286" i="45"/>
  <c r="H287" i="45"/>
  <c r="H288" i="45"/>
  <c r="H289" i="45"/>
  <c r="H290" i="45"/>
  <c r="H291" i="45"/>
  <c r="H292" i="45"/>
  <c r="H293" i="45"/>
  <c r="H294" i="45"/>
  <c r="H295" i="45"/>
  <c r="H296" i="45"/>
  <c r="H297" i="45"/>
  <c r="H298" i="45"/>
  <c r="H299" i="45"/>
  <c r="H300" i="45"/>
  <c r="H301" i="45"/>
  <c r="H302" i="45"/>
  <c r="H303" i="45"/>
  <c r="H304" i="45"/>
  <c r="H305" i="45"/>
  <c r="H306" i="45"/>
  <c r="H309" i="45"/>
  <c r="H310" i="45"/>
  <c r="H311" i="45"/>
  <c r="H312" i="45"/>
  <c r="H313" i="45"/>
  <c r="H314" i="45"/>
  <c r="H316" i="45"/>
  <c r="H317" i="45"/>
  <c r="H318" i="45"/>
  <c r="H319" i="45"/>
  <c r="H320" i="45"/>
  <c r="H321" i="45"/>
  <c r="H322" i="45"/>
  <c r="H323" i="45"/>
  <c r="H324" i="45"/>
  <c r="H325" i="45"/>
  <c r="H326" i="45"/>
  <c r="H327" i="45"/>
  <c r="H328" i="45"/>
  <c r="H329" i="45"/>
  <c r="H330" i="45"/>
  <c r="H332" i="45"/>
  <c r="H333" i="45"/>
  <c r="H334" i="45"/>
  <c r="H335" i="45"/>
  <c r="H336" i="45"/>
  <c r="H337" i="45"/>
  <c r="H338" i="45"/>
  <c r="H339" i="45"/>
  <c r="H340" i="45"/>
  <c r="H341" i="45"/>
  <c r="H342" i="45"/>
  <c r="H343" i="45"/>
  <c r="H344" i="45"/>
  <c r="H345" i="45"/>
  <c r="H346" i="45"/>
  <c r="H347" i="45"/>
  <c r="H348" i="45"/>
  <c r="H349" i="45"/>
  <c r="H350" i="45"/>
  <c r="H351" i="45"/>
  <c r="H353" i="45"/>
  <c r="H354" i="45"/>
  <c r="H355" i="45"/>
  <c r="H357" i="45"/>
  <c r="H358" i="45"/>
  <c r="H359" i="45"/>
  <c r="H360" i="45"/>
  <c r="H361" i="45"/>
  <c r="H362" i="45"/>
  <c r="H363" i="45"/>
  <c r="H364" i="45"/>
  <c r="H365" i="45"/>
  <c r="H368" i="45"/>
  <c r="H369" i="45"/>
  <c r="H370" i="45"/>
  <c r="H371" i="45"/>
  <c r="H372" i="45"/>
  <c r="H373" i="45"/>
  <c r="H374" i="45"/>
  <c r="H375" i="45"/>
  <c r="H376" i="45"/>
  <c r="H377" i="45"/>
  <c r="H378" i="45"/>
  <c r="H379" i="45"/>
  <c r="H380" i="45"/>
  <c r="H381" i="45"/>
  <c r="H382" i="45"/>
  <c r="H383" i="45"/>
  <c r="H384" i="45"/>
  <c r="H385" i="45"/>
  <c r="H386" i="45"/>
  <c r="H387" i="45"/>
  <c r="H388" i="45"/>
  <c r="H389" i="45"/>
  <c r="H390" i="45"/>
  <c r="H391" i="45"/>
  <c r="H392" i="45"/>
  <c r="H393" i="45"/>
  <c r="H394" i="45"/>
  <c r="H395" i="45"/>
  <c r="H396" i="45"/>
  <c r="H397" i="45"/>
  <c r="H398" i="45"/>
  <c r="H399" i="45"/>
  <c r="H400" i="45"/>
  <c r="H401" i="45"/>
  <c r="H402" i="45"/>
  <c r="H403" i="45"/>
  <c r="H404" i="45"/>
  <c r="H405" i="45"/>
  <c r="H406" i="45"/>
  <c r="H407" i="45"/>
  <c r="H408" i="45"/>
  <c r="H409" i="45"/>
  <c r="H411" i="45"/>
  <c r="H412" i="45"/>
  <c r="H413" i="45"/>
  <c r="H414" i="45"/>
  <c r="H415" i="45"/>
  <c r="H416" i="45"/>
  <c r="H417" i="45"/>
  <c r="H418" i="45"/>
  <c r="H419" i="45"/>
  <c r="H420" i="45"/>
  <c r="H422" i="45"/>
  <c r="H423" i="45"/>
  <c r="H424" i="45"/>
  <c r="H425" i="45"/>
  <c r="H426" i="45"/>
  <c r="H427" i="45"/>
  <c r="H428" i="45"/>
  <c r="H429" i="45"/>
  <c r="H430" i="45"/>
  <c r="H432" i="45"/>
  <c r="H433" i="45"/>
  <c r="H434" i="45"/>
  <c r="H435" i="45"/>
  <c r="H436" i="45"/>
  <c r="H437" i="45"/>
  <c r="H438" i="45"/>
  <c r="H439" i="45"/>
  <c r="H440" i="45"/>
  <c r="H441" i="45"/>
  <c r="H442" i="45"/>
  <c r="H445" i="45"/>
  <c r="H446" i="45"/>
  <c r="H447" i="45"/>
  <c r="H448" i="45"/>
  <c r="H449" i="45"/>
  <c r="H450" i="45"/>
  <c r="H452" i="45"/>
  <c r="H453" i="45"/>
  <c r="H454" i="45"/>
  <c r="H455" i="45"/>
  <c r="H456" i="45"/>
  <c r="H458" i="45"/>
  <c r="H459" i="45"/>
  <c r="H460" i="45"/>
  <c r="H461" i="45"/>
  <c r="H462" i="45"/>
  <c r="H463" i="45"/>
  <c r="H464" i="45"/>
  <c r="H465" i="45"/>
  <c r="H466" i="45"/>
  <c r="H467" i="45"/>
  <c r="H469" i="45"/>
  <c r="H470" i="45"/>
  <c r="H471" i="45"/>
  <c r="H472" i="45"/>
  <c r="H473" i="45"/>
  <c r="H474" i="45"/>
  <c r="H475" i="45"/>
  <c r="H476" i="45"/>
  <c r="H477" i="45"/>
  <c r="H478" i="45"/>
  <c r="H479" i="45"/>
  <c r="H480" i="45"/>
  <c r="H481" i="45"/>
  <c r="H482" i="45"/>
  <c r="H483" i="45"/>
  <c r="H484" i="45"/>
  <c r="H485" i="45"/>
  <c r="H486" i="45"/>
  <c r="H487" i="45"/>
  <c r="H488" i="45"/>
  <c r="H489" i="45"/>
  <c r="H490" i="45"/>
  <c r="H492" i="45"/>
  <c r="H493" i="45"/>
  <c r="H495" i="45"/>
  <c r="H496" i="45"/>
  <c r="H497" i="45"/>
  <c r="H498" i="45"/>
  <c r="H499" i="45"/>
  <c r="H500" i="45"/>
  <c r="H501" i="45"/>
  <c r="H502" i="45"/>
  <c r="H503" i="45"/>
  <c r="H506" i="45"/>
  <c r="H507" i="45"/>
  <c r="H508" i="45"/>
  <c r="H509" i="45"/>
  <c r="H510" i="45"/>
  <c r="H511" i="45"/>
  <c r="H512" i="45"/>
  <c r="H513" i="45"/>
  <c r="H514" i="45"/>
  <c r="H515" i="45"/>
  <c r="H516" i="45"/>
  <c r="H517" i="45"/>
  <c r="H518" i="45"/>
  <c r="H519" i="45"/>
  <c r="H520" i="45"/>
  <c r="H521" i="45"/>
  <c r="H522" i="45"/>
  <c r="H523" i="45"/>
  <c r="H524" i="45"/>
  <c r="H525" i="45"/>
  <c r="H526" i="45"/>
  <c r="H527" i="45"/>
  <c r="H528" i="45"/>
  <c r="H529" i="45"/>
  <c r="H530" i="45"/>
  <c r="H531" i="45"/>
  <c r="H532" i="45"/>
  <c r="H533" i="45"/>
  <c r="H534" i="45"/>
  <c r="H535" i="45"/>
  <c r="H536" i="45"/>
  <c r="H537" i="45"/>
  <c r="H538" i="45"/>
  <c r="H539" i="45"/>
  <c r="H540" i="45"/>
  <c r="H541" i="45"/>
  <c r="H542" i="45"/>
  <c r="H543" i="45"/>
  <c r="H544" i="45"/>
  <c r="H545" i="45"/>
  <c r="H546" i="45"/>
  <c r="H547" i="45"/>
  <c r="H550" i="45"/>
  <c r="H551" i="45"/>
  <c r="H552" i="45"/>
  <c r="H553" i="45"/>
  <c r="H554" i="45"/>
  <c r="H555" i="45"/>
  <c r="H556" i="45"/>
  <c r="H557" i="45"/>
  <c r="H558" i="45"/>
  <c r="H559" i="45"/>
  <c r="H561" i="45"/>
  <c r="H562" i="45"/>
  <c r="H563" i="45"/>
  <c r="H564" i="45"/>
  <c r="H565" i="45"/>
  <c r="H566" i="45"/>
  <c r="H567" i="45"/>
  <c r="H568" i="45"/>
  <c r="H569" i="45"/>
  <c r="H571" i="45"/>
  <c r="H572" i="45"/>
  <c r="H573" i="45"/>
  <c r="H574" i="45"/>
  <c r="H575" i="45"/>
  <c r="H576" i="45"/>
  <c r="H577" i="45"/>
  <c r="H578" i="45"/>
  <c r="H579" i="45"/>
  <c r="H580" i="45"/>
  <c r="H581" i="45"/>
  <c r="H584" i="45"/>
  <c r="H585" i="45"/>
  <c r="H586" i="45"/>
  <c r="H587" i="45"/>
  <c r="H588" i="45"/>
  <c r="H589" i="45"/>
  <c r="H591" i="45"/>
  <c r="H592" i="45"/>
  <c r="H593" i="45"/>
  <c r="H594" i="45"/>
  <c r="H595" i="45"/>
  <c r="H596" i="45"/>
  <c r="H597" i="45"/>
  <c r="H598" i="45"/>
  <c r="H599" i="45"/>
  <c r="H600" i="45"/>
  <c r="H601" i="45"/>
  <c r="H602" i="45"/>
  <c r="H603" i="45"/>
  <c r="H604" i="45"/>
  <c r="H605" i="45"/>
  <c r="H607" i="45"/>
  <c r="H608" i="45"/>
  <c r="H609" i="45"/>
  <c r="H610" i="45"/>
  <c r="H611" i="45"/>
  <c r="H612" i="45"/>
  <c r="H613" i="45"/>
  <c r="H614" i="45"/>
  <c r="H615" i="45"/>
  <c r="H616" i="45"/>
  <c r="H617" i="45"/>
  <c r="H618" i="45"/>
  <c r="H619" i="45"/>
  <c r="H620" i="45"/>
  <c r="H621" i="45"/>
  <c r="H622" i="45"/>
  <c r="H623" i="45"/>
  <c r="H624" i="45"/>
  <c r="H625" i="45"/>
  <c r="H626" i="45"/>
  <c r="H627" i="45"/>
  <c r="H628" i="45"/>
  <c r="H630" i="45"/>
  <c r="H631" i="45"/>
  <c r="H633" i="45"/>
  <c r="H634" i="45"/>
  <c r="H635" i="45"/>
  <c r="H636" i="45"/>
  <c r="H637" i="45"/>
  <c r="H638" i="45"/>
  <c r="H639" i="45"/>
  <c r="H640" i="45"/>
  <c r="H641" i="45"/>
  <c r="H644" i="45"/>
  <c r="H645" i="45"/>
  <c r="H646" i="45"/>
  <c r="H647" i="45"/>
  <c r="H648" i="45"/>
  <c r="H649" i="45"/>
  <c r="H650" i="45"/>
  <c r="H651" i="45"/>
  <c r="H652" i="45"/>
  <c r="H653" i="45"/>
  <c r="H654" i="45"/>
  <c r="H655" i="45"/>
  <c r="H656" i="45"/>
  <c r="H657" i="45"/>
  <c r="H658" i="45"/>
  <c r="H659" i="45"/>
  <c r="H660" i="45"/>
  <c r="H661" i="45"/>
  <c r="H662" i="45"/>
  <c r="H663" i="45"/>
  <c r="H664" i="45"/>
  <c r="H665" i="45"/>
  <c r="H666" i="45"/>
  <c r="H667" i="45"/>
  <c r="H668" i="45"/>
  <c r="H669" i="45"/>
  <c r="H670" i="45"/>
  <c r="H671" i="45"/>
  <c r="H672" i="45"/>
  <c r="H673" i="45"/>
  <c r="H674" i="45"/>
  <c r="H675" i="45"/>
  <c r="H676" i="45"/>
  <c r="H677" i="45"/>
  <c r="H678" i="45"/>
  <c r="H679" i="45"/>
  <c r="H680" i="45"/>
  <c r="H681" i="45"/>
  <c r="H682" i="45"/>
  <c r="H683" i="45"/>
  <c r="H684" i="45"/>
  <c r="H685" i="45"/>
  <c r="H687" i="45"/>
  <c r="H688" i="45"/>
  <c r="H689" i="45"/>
  <c r="H690" i="45"/>
  <c r="H691" i="45"/>
  <c r="H692" i="45"/>
  <c r="H693" i="45"/>
  <c r="H694" i="45"/>
  <c r="H695" i="45"/>
  <c r="H696" i="45"/>
  <c r="H698" i="45"/>
  <c r="H699" i="45"/>
  <c r="H700" i="45"/>
  <c r="H701" i="45"/>
  <c r="H702" i="45"/>
  <c r="H703" i="45"/>
  <c r="H704" i="45"/>
  <c r="H705" i="45"/>
  <c r="H706" i="45"/>
  <c r="H708" i="45"/>
  <c r="H709" i="45"/>
  <c r="H710" i="45"/>
  <c r="H711" i="45"/>
  <c r="H712" i="45"/>
  <c r="H713" i="45"/>
  <c r="H714" i="45"/>
  <c r="H715" i="45"/>
  <c r="H716" i="45"/>
  <c r="H717" i="45"/>
  <c r="H718" i="45"/>
  <c r="H721" i="45"/>
  <c r="H722" i="45"/>
  <c r="H723" i="45"/>
  <c r="H724" i="45"/>
  <c r="H725" i="45"/>
  <c r="H726" i="45"/>
  <c r="H728" i="45"/>
  <c r="H729" i="45"/>
  <c r="H730" i="45"/>
  <c r="H731" i="45"/>
  <c r="H732" i="45"/>
  <c r="H733" i="45"/>
  <c r="H734" i="45"/>
  <c r="H735" i="45"/>
  <c r="H736" i="45"/>
  <c r="H737" i="45"/>
  <c r="H738" i="45"/>
  <c r="H739" i="45"/>
  <c r="H740" i="45"/>
  <c r="H741" i="45"/>
  <c r="H742" i="45"/>
  <c r="H744" i="45"/>
  <c r="H745" i="45"/>
  <c r="H746" i="45"/>
  <c r="H747" i="45"/>
  <c r="H748" i="45"/>
  <c r="H749" i="45"/>
  <c r="H750" i="45"/>
  <c r="H751" i="45"/>
  <c r="H752" i="45"/>
  <c r="H753" i="45"/>
  <c r="H754" i="45"/>
  <c r="H755" i="45"/>
  <c r="H756" i="45"/>
  <c r="H757" i="45"/>
  <c r="H758" i="45"/>
  <c r="H759" i="45"/>
  <c r="H760" i="45"/>
  <c r="H761" i="45"/>
  <c r="H762" i="45"/>
  <c r="H763" i="45"/>
  <c r="H764" i="45"/>
  <c r="H765" i="45"/>
  <c r="H767" i="45"/>
  <c r="H768" i="45"/>
  <c r="H770" i="45"/>
  <c r="H771" i="45"/>
  <c r="H772" i="45"/>
  <c r="H773" i="45"/>
  <c r="H774" i="45"/>
  <c r="H775" i="45"/>
  <c r="H776" i="45"/>
  <c r="H777" i="45"/>
  <c r="H778" i="45"/>
  <c r="H781" i="45"/>
  <c r="H782" i="45"/>
  <c r="H783" i="45"/>
  <c r="H784" i="45"/>
  <c r="H785" i="45"/>
  <c r="H786" i="45"/>
  <c r="H787" i="45"/>
  <c r="H788" i="45"/>
  <c r="H789" i="45"/>
  <c r="H790" i="45"/>
  <c r="H791" i="45"/>
  <c r="H792" i="45"/>
  <c r="H793" i="45"/>
  <c r="H794" i="45"/>
  <c r="H795" i="45"/>
  <c r="H796" i="45"/>
  <c r="H797" i="45"/>
  <c r="H798" i="45"/>
  <c r="H799" i="45"/>
  <c r="H800" i="45"/>
  <c r="H801" i="45"/>
  <c r="H802" i="45"/>
  <c r="H803" i="45"/>
  <c r="H804" i="45"/>
  <c r="H805" i="45"/>
  <c r="H806" i="45"/>
  <c r="H807" i="45"/>
  <c r="H808" i="45"/>
  <c r="H809" i="45"/>
  <c r="H810" i="45"/>
  <c r="H811" i="45"/>
  <c r="H812" i="45"/>
  <c r="H813" i="45"/>
  <c r="H814" i="45"/>
  <c r="H815" i="45"/>
  <c r="H816" i="45"/>
  <c r="H817" i="45"/>
  <c r="H818" i="45"/>
  <c r="H819" i="45"/>
  <c r="H820" i="45"/>
  <c r="H821" i="45"/>
  <c r="H822" i="45"/>
  <c r="H824" i="45"/>
  <c r="H825" i="45"/>
  <c r="H826" i="45"/>
  <c r="H827" i="45"/>
  <c r="H828" i="45"/>
  <c r="H829" i="45"/>
  <c r="H830" i="45"/>
  <c r="H831" i="45"/>
  <c r="H832" i="45"/>
  <c r="H833" i="45"/>
  <c r="H834" i="45"/>
  <c r="H835" i="45"/>
  <c r="H836" i="45"/>
  <c r="H837" i="45"/>
  <c r="H838" i="45"/>
  <c r="H839" i="45"/>
  <c r="H840" i="45"/>
  <c r="H841" i="45"/>
  <c r="H842" i="45"/>
  <c r="H845" i="45"/>
  <c r="H846" i="45"/>
  <c r="H847" i="45"/>
  <c r="H848" i="45"/>
  <c r="H849" i="45"/>
  <c r="H850" i="45"/>
  <c r="H851" i="45"/>
  <c r="H852" i="45"/>
  <c r="H853" i="45"/>
  <c r="H855" i="45"/>
  <c r="H856" i="45"/>
  <c r="H859" i="45"/>
  <c r="H860" i="45"/>
  <c r="H861" i="45"/>
  <c r="H862" i="45"/>
  <c r="H863" i="45"/>
  <c r="H864" i="45"/>
  <c r="H866" i="45"/>
  <c r="H869" i="45"/>
  <c r="H870" i="45"/>
  <c r="H871" i="45"/>
  <c r="H872" i="45"/>
  <c r="H873" i="45"/>
  <c r="H874" i="45"/>
  <c r="H875" i="45"/>
  <c r="H876" i="45"/>
  <c r="H877" i="45"/>
  <c r="H878" i="45"/>
  <c r="H879" i="45"/>
  <c r="H880" i="45"/>
  <c r="H881" i="45"/>
  <c r="H882" i="45"/>
  <c r="H884" i="45"/>
  <c r="H885" i="45"/>
  <c r="H886" i="45"/>
  <c r="H887" i="45"/>
  <c r="H888" i="45"/>
  <c r="H889" i="45"/>
  <c r="H890" i="45"/>
  <c r="H896" i="45"/>
  <c r="H897" i="45"/>
  <c r="H898" i="45"/>
  <c r="H899" i="45"/>
  <c r="H900" i="45"/>
  <c r="H901" i="45"/>
  <c r="H902" i="45"/>
  <c r="H903" i="45"/>
  <c r="H904" i="45"/>
  <c r="H905" i="45"/>
  <c r="H906" i="45"/>
  <c r="H907" i="45"/>
  <c r="H909" i="45"/>
  <c r="H910" i="45"/>
  <c r="H912" i="45"/>
  <c r="H913" i="45"/>
  <c r="H914" i="45"/>
  <c r="H915" i="45"/>
  <c r="H916" i="45"/>
  <c r="H917" i="45"/>
  <c r="H918" i="45"/>
  <c r="H919" i="45"/>
  <c r="H920" i="45"/>
  <c r="H922" i="45"/>
  <c r="H923" i="45"/>
  <c r="H924" i="45"/>
  <c r="H925" i="45"/>
  <c r="H926" i="45"/>
  <c r="H927" i="45"/>
  <c r="H928" i="45"/>
  <c r="H929" i="45"/>
  <c r="H930" i="45"/>
  <c r="H931" i="45"/>
  <c r="H932" i="45"/>
  <c r="H933" i="45"/>
  <c r="H934" i="45"/>
  <c r="H935" i="45"/>
  <c r="H936" i="45"/>
  <c r="H937" i="45"/>
  <c r="H938" i="45"/>
  <c r="H939" i="45"/>
  <c r="H940" i="45"/>
  <c r="H941" i="45"/>
  <c r="H942" i="45"/>
  <c r="H943" i="45"/>
  <c r="H944" i="45"/>
  <c r="H945" i="45"/>
  <c r="H946" i="45"/>
  <c r="H947" i="45"/>
  <c r="H948" i="45"/>
  <c r="H949" i="45"/>
  <c r="H950" i="45"/>
  <c r="H951" i="45"/>
  <c r="H952" i="45"/>
  <c r="H953" i="45"/>
  <c r="H954" i="45"/>
  <c r="H955" i="45"/>
  <c r="H956" i="45"/>
  <c r="H957" i="45"/>
  <c r="H958" i="45"/>
  <c r="H959" i="45"/>
  <c r="H960" i="45"/>
  <c r="H962" i="45"/>
  <c r="H963" i="45"/>
  <c r="H964" i="45"/>
  <c r="H965" i="45"/>
  <c r="H966" i="45"/>
  <c r="H967" i="45"/>
  <c r="H968" i="45"/>
  <c r="H969" i="45"/>
  <c r="H970" i="45"/>
  <c r="H971" i="45"/>
  <c r="H972" i="45"/>
  <c r="H973" i="45"/>
  <c r="H974" i="45"/>
  <c r="H975" i="45"/>
  <c r="H976" i="45"/>
  <c r="H977" i="45"/>
  <c r="H978" i="45"/>
  <c r="H979" i="45"/>
  <c r="H980" i="45"/>
  <c r="H981" i="45"/>
  <c r="H982" i="45"/>
  <c r="H983" i="45"/>
  <c r="H984" i="45"/>
  <c r="H987" i="45"/>
  <c r="H988" i="45"/>
  <c r="H989" i="45"/>
  <c r="H990" i="45"/>
  <c r="H991" i="45"/>
  <c r="H992" i="45"/>
  <c r="H993" i="45"/>
  <c r="H994" i="45"/>
  <c r="H995" i="45"/>
  <c r="H996" i="45"/>
  <c r="H999" i="45"/>
  <c r="H1000" i="45"/>
  <c r="H1001" i="45"/>
  <c r="H1007" i="45"/>
  <c r="H1008" i="45"/>
  <c r="H1009" i="45"/>
  <c r="H1011" i="45"/>
  <c r="H1012" i="45"/>
  <c r="H1013" i="45"/>
  <c r="H1014" i="45"/>
  <c r="H1015" i="45"/>
  <c r="H1016" i="45"/>
  <c r="H1017" i="45"/>
  <c r="H1018" i="45"/>
  <c r="H1019" i="45"/>
  <c r="H1020" i="45"/>
  <c r="H1021" i="45"/>
  <c r="H1022" i="45"/>
  <c r="H1023" i="45"/>
  <c r="H1024" i="45"/>
  <c r="H1025" i="45"/>
  <c r="H1027" i="45"/>
  <c r="H1028" i="45"/>
  <c r="H1029" i="45"/>
  <c r="H1030" i="45"/>
  <c r="H1031" i="45"/>
  <c r="H1032" i="45"/>
  <c r="H1033" i="45"/>
  <c r="H1034" i="45"/>
  <c r="H1035" i="45"/>
  <c r="H1036" i="45"/>
  <c r="H1037" i="45"/>
  <c r="H1038" i="45"/>
  <c r="H1039" i="45"/>
  <c r="H1040" i="45"/>
  <c r="H1041" i="45"/>
  <c r="H1042" i="45"/>
  <c r="H1043" i="45"/>
  <c r="H1044" i="45"/>
  <c r="H1045" i="45"/>
  <c r="H1048" i="45"/>
  <c r="H1049" i="45"/>
  <c r="H1051" i="45"/>
  <c r="H1052" i="45"/>
  <c r="H1053" i="45"/>
  <c r="H1054" i="45"/>
  <c r="H1055" i="45"/>
  <c r="H1056" i="45"/>
  <c r="H1057" i="45"/>
  <c r="H1058" i="45"/>
  <c r="H1059" i="45"/>
  <c r="H1060" i="45"/>
  <c r="H1061" i="45"/>
  <c r="H1062" i="45"/>
  <c r="H1063" i="45"/>
  <c r="H1064" i="45"/>
  <c r="H1065" i="45"/>
  <c r="H1066" i="45"/>
  <c r="H1067" i="45"/>
  <c r="H1068" i="45"/>
  <c r="H1069" i="45"/>
  <c r="H1070" i="45"/>
  <c r="H1071" i="45"/>
  <c r="H1072" i="45"/>
  <c r="H1073" i="45"/>
  <c r="H1074" i="45"/>
  <c r="H1075" i="45"/>
  <c r="H1076" i="45"/>
  <c r="H1077" i="45"/>
  <c r="H1078" i="45"/>
  <c r="H1079" i="45"/>
  <c r="H1080" i="45"/>
  <c r="H1081" i="45"/>
  <c r="H1082" i="45"/>
  <c r="H1083" i="45"/>
  <c r="H1084" i="45"/>
  <c r="H1085" i="45"/>
  <c r="H1086" i="45"/>
  <c r="H1087" i="45"/>
  <c r="H1088" i="45"/>
  <c r="H1089" i="45"/>
  <c r="H1090" i="45"/>
  <c r="H1091" i="45"/>
  <c r="H1092" i="45"/>
  <c r="H1093" i="45"/>
  <c r="H1094" i="45"/>
  <c r="H1095" i="45"/>
  <c r="H1096" i="45"/>
  <c r="H1097" i="45"/>
  <c r="H1098" i="45"/>
  <c r="H1099" i="45"/>
  <c r="H1100" i="45"/>
  <c r="H1101" i="45"/>
  <c r="H1102" i="45"/>
  <c r="H1103" i="45"/>
  <c r="H1104" i="45"/>
  <c r="H1105" i="45"/>
  <c r="H1106" i="45"/>
  <c r="H1107" i="45"/>
  <c r="H1108" i="45"/>
  <c r="H1109" i="45"/>
  <c r="H1110" i="45"/>
  <c r="H1111" i="45"/>
  <c r="H1112" i="45"/>
  <c r="H1114" i="45"/>
  <c r="H1115" i="45"/>
  <c r="H1116" i="45"/>
  <c r="H1117" i="45"/>
  <c r="H1118" i="45"/>
  <c r="H1119" i="45"/>
  <c r="H1121" i="45"/>
  <c r="H1122" i="45"/>
  <c r="H1124" i="45"/>
  <c r="H1125" i="45"/>
  <c r="H1127" i="45"/>
  <c r="H1129" i="45"/>
  <c r="H1130" i="45"/>
  <c r="H1131" i="45"/>
  <c r="H1132" i="45"/>
  <c r="H1133" i="45"/>
  <c r="H1134" i="45"/>
  <c r="H1135" i="45"/>
  <c r="H1136" i="45"/>
  <c r="H1137" i="45"/>
  <c r="H1138" i="45"/>
  <c r="H1140" i="45"/>
  <c r="H1141" i="45"/>
  <c r="H1142" i="45"/>
  <c r="H1143" i="45"/>
  <c r="H1146" i="45"/>
  <c r="H1147" i="45"/>
  <c r="H1148" i="45"/>
  <c r="H1149" i="45"/>
  <c r="H1150" i="45"/>
  <c r="H1151" i="45"/>
  <c r="H1152" i="45"/>
  <c r="H1153" i="45"/>
  <c r="H1154" i="45"/>
  <c r="H1155" i="45"/>
  <c r="H1156" i="45"/>
  <c r="H1157" i="45"/>
  <c r="H1158" i="45"/>
  <c r="H1159" i="45"/>
  <c r="H1160" i="45"/>
  <c r="H1161" i="45"/>
  <c r="H1162" i="45"/>
  <c r="H1163" i="45"/>
  <c r="H1165" i="45"/>
  <c r="H1166" i="45"/>
  <c r="H1167" i="45"/>
  <c r="H1169" i="45"/>
  <c r="H1170" i="45"/>
  <c r="H1171" i="45"/>
  <c r="H1174" i="45"/>
  <c r="H1177" i="45"/>
  <c r="H1178" i="45"/>
  <c r="H1181" i="45"/>
  <c r="H1182" i="45"/>
  <c r="H1183" i="45"/>
  <c r="H1184" i="45"/>
  <c r="H1185" i="45"/>
  <c r="H1186" i="45"/>
  <c r="H1187" i="45"/>
  <c r="H1189" i="45"/>
  <c r="H1190" i="45"/>
  <c r="H1192" i="45"/>
  <c r="H1194" i="45"/>
  <c r="H1195" i="45"/>
  <c r="H1196" i="45"/>
  <c r="H1197" i="45"/>
  <c r="H1198" i="45"/>
  <c r="H1199" i="45"/>
  <c r="H1200" i="45"/>
  <c r="H1201" i="45"/>
  <c r="H1202" i="45"/>
  <c r="H1203" i="45"/>
  <c r="H1204" i="45"/>
  <c r="H1205" i="45"/>
  <c r="H1206" i="45"/>
  <c r="H1207" i="45"/>
  <c r="H1208" i="45"/>
  <c r="H1209" i="45"/>
  <c r="H1210" i="45"/>
  <c r="H1211" i="45"/>
  <c r="H1212" i="45"/>
  <c r="H1213" i="45"/>
  <c r="H1214" i="45"/>
  <c r="H1215" i="45"/>
  <c r="H1216" i="45"/>
  <c r="H1217" i="45"/>
  <c r="H1218" i="45"/>
  <c r="H1219" i="45"/>
  <c r="H1220" i="45"/>
  <c r="H1221" i="45"/>
  <c r="H1222" i="45"/>
  <c r="H1223" i="45"/>
  <c r="H1224" i="45"/>
  <c r="H1226" i="45"/>
  <c r="H1227" i="45"/>
  <c r="H1228" i="45"/>
  <c r="H1229" i="45"/>
  <c r="H1230" i="45"/>
  <c r="H1231" i="45"/>
  <c r="H1232" i="45"/>
  <c r="H1234" i="45"/>
  <c r="H1235" i="45"/>
  <c r="H1236" i="45"/>
  <c r="H1237" i="45"/>
  <c r="H1238" i="45"/>
  <c r="H1239" i="45"/>
  <c r="H1240" i="45"/>
  <c r="H1241" i="45"/>
  <c r="H1242" i="45"/>
  <c r="H1243" i="45"/>
  <c r="H1244" i="45"/>
  <c r="H1245" i="45"/>
  <c r="H1246" i="45"/>
  <c r="H1247" i="45"/>
  <c r="H1248" i="45"/>
  <c r="H1249" i="45"/>
  <c r="H1251" i="45"/>
  <c r="H1252" i="45"/>
  <c r="H1253" i="45"/>
  <c r="H1257" i="45"/>
  <c r="D147" i="45"/>
  <c r="D2" i="45"/>
  <c r="D3" i="45"/>
  <c r="D4" i="45"/>
  <c r="D5" i="45"/>
  <c r="D6" i="45"/>
  <c r="D7" i="45"/>
  <c r="D8" i="45"/>
  <c r="D9" i="45"/>
  <c r="D10" i="45"/>
  <c r="D11" i="45"/>
  <c r="D12" i="45"/>
  <c r="D13" i="45"/>
  <c r="D14" i="45"/>
  <c r="D15" i="45"/>
  <c r="D16" i="45"/>
  <c r="D17" i="45"/>
  <c r="D18" i="45"/>
  <c r="D20" i="45"/>
  <c r="D21" i="45"/>
  <c r="D22" i="45"/>
  <c r="D23" i="45"/>
  <c r="D24" i="45"/>
  <c r="D26" i="45"/>
  <c r="D27" i="45"/>
  <c r="D28" i="45"/>
  <c r="D29" i="45"/>
  <c r="D30" i="45"/>
  <c r="D31" i="45"/>
  <c r="D32" i="45"/>
  <c r="D33" i="45"/>
  <c r="D34" i="45"/>
  <c r="D35" i="45"/>
  <c r="D36" i="45"/>
  <c r="D37" i="45"/>
  <c r="D41" i="45"/>
  <c r="D42" i="45"/>
  <c r="D43" i="45"/>
  <c r="D44" i="45"/>
  <c r="D45" i="45"/>
  <c r="D46" i="45"/>
  <c r="D47" i="45"/>
  <c r="D48" i="45"/>
  <c r="D49" i="45"/>
  <c r="D50" i="45"/>
  <c r="D51" i="45"/>
  <c r="D52" i="45"/>
  <c r="D53" i="45"/>
  <c r="D54" i="45"/>
  <c r="D55" i="45"/>
  <c r="D56" i="45"/>
  <c r="D57" i="45"/>
  <c r="D58" i="45"/>
  <c r="D59" i="45"/>
  <c r="D61" i="45"/>
  <c r="D62" i="45"/>
  <c r="D63" i="45"/>
  <c r="D64" i="45"/>
  <c r="D65" i="45"/>
  <c r="D66" i="45"/>
  <c r="D67" i="45"/>
  <c r="D68" i="45"/>
  <c r="D69" i="45"/>
  <c r="D70" i="45"/>
  <c r="D71" i="45"/>
  <c r="D72" i="45"/>
  <c r="D73" i="45"/>
  <c r="D74" i="45"/>
  <c r="D76" i="45"/>
  <c r="D78" i="45"/>
  <c r="D79" i="45"/>
  <c r="D81" i="45"/>
  <c r="D82" i="45"/>
  <c r="D83" i="45"/>
  <c r="D84" i="45"/>
  <c r="D85" i="45"/>
  <c r="D86" i="45"/>
  <c r="D87" i="45"/>
  <c r="D88" i="45"/>
  <c r="D89" i="45"/>
  <c r="D90" i="45"/>
  <c r="D91" i="45"/>
  <c r="D93" i="45"/>
  <c r="D94" i="45"/>
  <c r="D96" i="45"/>
  <c r="D97" i="45"/>
  <c r="D98" i="45"/>
  <c r="D99" i="45"/>
  <c r="D100" i="45"/>
  <c r="D101" i="45"/>
  <c r="D102" i="45"/>
  <c r="D103" i="45"/>
  <c r="D104" i="45"/>
  <c r="D105" i="45"/>
  <c r="D106" i="45"/>
  <c r="D107" i="45"/>
  <c r="D108" i="45"/>
  <c r="D109" i="45"/>
  <c r="D110" i="45"/>
  <c r="D111" i="45"/>
  <c r="D112" i="45"/>
  <c r="D113" i="45"/>
  <c r="D114" i="45"/>
  <c r="D115" i="45"/>
  <c r="D116" i="45"/>
  <c r="D117" i="45"/>
  <c r="D118" i="45"/>
  <c r="D119" i="45"/>
  <c r="D120" i="45"/>
  <c r="D121" i="45"/>
  <c r="D122" i="45"/>
  <c r="D123" i="45"/>
  <c r="D124" i="45"/>
  <c r="D125" i="45"/>
  <c r="D126" i="45"/>
  <c r="D127" i="45"/>
  <c r="D128" i="45"/>
  <c r="D129" i="45"/>
  <c r="D130" i="45"/>
  <c r="D131" i="45"/>
  <c r="D132" i="45"/>
  <c r="D133" i="45"/>
  <c r="D134" i="45"/>
  <c r="D135" i="45"/>
  <c r="D138" i="45"/>
  <c r="D139" i="45"/>
  <c r="D140" i="45"/>
  <c r="D141" i="45"/>
  <c r="D142" i="45"/>
  <c r="D143" i="45"/>
  <c r="D144" i="45"/>
  <c r="D145" i="45"/>
  <c r="D146" i="45"/>
  <c r="G2" i="45"/>
  <c r="G3" i="45"/>
  <c r="G4" i="45"/>
  <c r="G5" i="45"/>
  <c r="G6" i="45"/>
  <c r="G7" i="45"/>
  <c r="G8" i="45"/>
  <c r="G9" i="45"/>
  <c r="G10" i="45"/>
  <c r="G11" i="45"/>
  <c r="G12" i="45"/>
  <c r="G13" i="45"/>
  <c r="G14" i="45"/>
  <c r="G15" i="45"/>
  <c r="G16" i="45"/>
  <c r="G17" i="45"/>
  <c r="G18" i="45"/>
  <c r="G20" i="45"/>
  <c r="G21" i="45"/>
  <c r="G22" i="45"/>
  <c r="G23" i="45"/>
  <c r="G24" i="45"/>
  <c r="G26" i="45"/>
  <c r="G27" i="45"/>
  <c r="G28" i="45"/>
  <c r="G29" i="45"/>
  <c r="G30" i="45"/>
  <c r="G31" i="45"/>
  <c r="G32" i="45"/>
  <c r="G33" i="45"/>
  <c r="G34" i="45"/>
  <c r="G35" i="45"/>
  <c r="G36" i="45"/>
  <c r="G37" i="45"/>
  <c r="G41" i="45"/>
  <c r="G42" i="45"/>
  <c r="G43" i="45"/>
  <c r="G44" i="45"/>
  <c r="G45" i="45"/>
  <c r="G46" i="45"/>
  <c r="G47" i="45"/>
  <c r="G48" i="45"/>
  <c r="G49" i="45"/>
  <c r="G50" i="45"/>
  <c r="G51" i="45"/>
  <c r="G52" i="45"/>
  <c r="G53" i="45"/>
  <c r="G54" i="45"/>
  <c r="G55" i="45"/>
  <c r="G56" i="45"/>
  <c r="G57" i="45"/>
  <c r="G58" i="45"/>
  <c r="G59" i="45"/>
  <c r="G61" i="45"/>
  <c r="G62" i="45"/>
  <c r="G63" i="45"/>
  <c r="G64" i="45"/>
  <c r="G65" i="45"/>
  <c r="G66" i="45"/>
  <c r="G67" i="45"/>
  <c r="G68" i="45"/>
  <c r="G69" i="45"/>
  <c r="G70" i="45"/>
  <c r="G71" i="45"/>
  <c r="G72" i="45"/>
  <c r="G73" i="45"/>
  <c r="G74" i="45"/>
  <c r="G76" i="45"/>
  <c r="G78" i="45"/>
  <c r="G79" i="45"/>
  <c r="G81" i="45"/>
  <c r="G82" i="45"/>
  <c r="G83" i="45"/>
  <c r="G84" i="45"/>
  <c r="G85" i="45"/>
  <c r="G86" i="45"/>
  <c r="G87" i="45"/>
  <c r="G88" i="45"/>
  <c r="G89" i="45"/>
  <c r="G90" i="45"/>
  <c r="G91" i="45"/>
  <c r="G93" i="45"/>
  <c r="G94" i="45"/>
  <c r="G96" i="45"/>
  <c r="G97" i="45"/>
  <c r="G98" i="45"/>
  <c r="G99" i="45"/>
  <c r="G100" i="45"/>
  <c r="G101" i="45"/>
  <c r="G102" i="45"/>
  <c r="G103" i="45"/>
  <c r="G104" i="45"/>
  <c r="G105" i="45"/>
  <c r="G106" i="45"/>
  <c r="G107" i="45"/>
  <c r="G108" i="45"/>
  <c r="G109" i="45"/>
  <c r="G110" i="45"/>
  <c r="G111" i="45"/>
  <c r="G112" i="45"/>
  <c r="G113" i="45"/>
  <c r="G114" i="45"/>
  <c r="G115" i="45"/>
  <c r="G116" i="45"/>
  <c r="G117" i="45"/>
  <c r="G118" i="45"/>
  <c r="G119" i="45"/>
  <c r="G120" i="45"/>
  <c r="G121" i="45"/>
  <c r="G122" i="45"/>
  <c r="G123" i="45"/>
  <c r="G124" i="45"/>
  <c r="G125" i="45"/>
  <c r="G126" i="45"/>
  <c r="G127" i="45"/>
  <c r="G128" i="45"/>
  <c r="G129" i="45"/>
  <c r="G130" i="45"/>
  <c r="G131" i="45"/>
  <c r="G132" i="45"/>
  <c r="G133" i="45"/>
  <c r="G134" i="45"/>
  <c r="G135" i="45"/>
  <c r="G138" i="45"/>
  <c r="G139" i="45"/>
  <c r="G140" i="45"/>
  <c r="G141" i="45"/>
  <c r="G142" i="45"/>
  <c r="G143" i="45"/>
  <c r="G144" i="45"/>
  <c r="G145" i="45"/>
  <c r="G146" i="45"/>
  <c r="G147" i="45"/>
  <c r="H2" i="45"/>
  <c r="H3" i="45"/>
  <c r="H4" i="45"/>
  <c r="H5" i="45"/>
  <c r="H6" i="45"/>
  <c r="H7" i="45"/>
  <c r="H8" i="45"/>
  <c r="H9" i="45"/>
  <c r="H10" i="45"/>
  <c r="H11" i="45"/>
  <c r="H13" i="45"/>
  <c r="H14" i="45"/>
  <c r="H16" i="45"/>
  <c r="H17" i="45"/>
  <c r="H18" i="45"/>
  <c r="H20" i="45"/>
  <c r="H21" i="45"/>
  <c r="H22" i="45"/>
  <c r="H23" i="45"/>
  <c r="H24" i="45"/>
  <c r="H26" i="45"/>
  <c r="H27" i="45"/>
  <c r="H28" i="45"/>
  <c r="H29" i="45"/>
  <c r="H30" i="45"/>
  <c r="H31" i="45"/>
  <c r="H32" i="45"/>
  <c r="H34" i="45"/>
  <c r="H35" i="45"/>
  <c r="H36" i="45"/>
  <c r="H37" i="45"/>
  <c r="H41" i="45"/>
  <c r="H42" i="45"/>
  <c r="H43" i="45"/>
  <c r="H44" i="45"/>
  <c r="H45" i="45"/>
  <c r="H46" i="45"/>
  <c r="H47" i="45"/>
  <c r="H48" i="45"/>
  <c r="H49" i="45"/>
  <c r="H50" i="45"/>
  <c r="H51" i="45"/>
  <c r="H53" i="45"/>
  <c r="H54" i="45"/>
  <c r="H55" i="45"/>
  <c r="H56" i="45"/>
  <c r="H57" i="45"/>
  <c r="H58" i="45"/>
  <c r="H59" i="45"/>
  <c r="H61" i="45"/>
  <c r="H62" i="45"/>
  <c r="H63" i="45"/>
  <c r="H64" i="45"/>
  <c r="H65" i="45"/>
  <c r="H66" i="45"/>
  <c r="H67" i="45"/>
  <c r="H68" i="45"/>
  <c r="H69" i="45"/>
  <c r="H70" i="45"/>
  <c r="H71" i="45"/>
  <c r="H72" i="45"/>
  <c r="H73" i="45"/>
  <c r="H74" i="45"/>
  <c r="H76" i="45"/>
  <c r="H78" i="45"/>
  <c r="H79" i="45"/>
  <c r="H81" i="45"/>
  <c r="H82" i="45"/>
  <c r="H83" i="45"/>
  <c r="H84" i="45"/>
  <c r="H85" i="45"/>
  <c r="H86" i="45"/>
  <c r="H87" i="45"/>
  <c r="H88" i="45"/>
  <c r="H89" i="45"/>
  <c r="H93" i="45"/>
  <c r="H94" i="45"/>
  <c r="H96" i="45"/>
  <c r="H97" i="45"/>
  <c r="H98" i="45"/>
  <c r="H99" i="45"/>
  <c r="H100" i="45"/>
  <c r="H101" i="45"/>
  <c r="H102" i="45"/>
  <c r="H103" i="45"/>
  <c r="H104" i="45"/>
  <c r="H105" i="45"/>
  <c r="H106" i="45"/>
  <c r="H107" i="45"/>
  <c r="H108" i="45"/>
  <c r="H109" i="45"/>
  <c r="H110" i="45"/>
  <c r="H111" i="45"/>
  <c r="H112" i="45"/>
  <c r="H113" i="45"/>
  <c r="H114" i="45"/>
  <c r="H115" i="45"/>
  <c r="H116" i="45"/>
  <c r="H117" i="45"/>
  <c r="H118" i="45"/>
  <c r="H119" i="45"/>
  <c r="H120" i="45"/>
  <c r="H121" i="45"/>
  <c r="H122" i="45"/>
  <c r="H123" i="45"/>
  <c r="H124" i="45"/>
  <c r="H125" i="45"/>
  <c r="H126" i="45"/>
  <c r="H127" i="45"/>
  <c r="H128" i="45"/>
  <c r="H129" i="45"/>
  <c r="H130" i="45"/>
  <c r="H131" i="45"/>
  <c r="H132" i="45"/>
  <c r="H133" i="45"/>
  <c r="H134" i="45"/>
  <c r="H138" i="45"/>
  <c r="H139" i="45"/>
  <c r="H140" i="45"/>
  <c r="H141" i="45"/>
  <c r="H142" i="45"/>
  <c r="H143" i="45"/>
  <c r="H144" i="45"/>
  <c r="H145" i="45"/>
  <c r="H146" i="45"/>
  <c r="H147" i="45"/>
  <c r="A2" i="45" l="1"/>
  <c r="A3" i="45" l="1"/>
  <c r="A4" i="45" l="1"/>
  <c r="A5" i="45" l="1"/>
  <c r="A6" i="45" l="1"/>
  <c r="A7" i="45" l="1"/>
  <c r="A8" i="45" l="1"/>
  <c r="A9" i="45" l="1"/>
  <c r="A10" i="45" l="1"/>
  <c r="A11" i="45" s="1"/>
  <c r="A12" i="45" s="1"/>
  <c r="A13" i="45" s="1"/>
  <c r="A14" i="45" s="1"/>
  <c r="A15" i="45" s="1"/>
  <c r="A16" i="45" s="1"/>
  <c r="A17" i="45" s="1"/>
  <c r="A18" i="45" s="1"/>
  <c r="A20" i="45" l="1"/>
  <c r="A19" i="45"/>
  <c r="A21" i="45" l="1"/>
  <c r="A22" i="45" s="1"/>
  <c r="A23" i="45" s="1"/>
  <c r="A24" i="45" s="1"/>
  <c r="A25" i="45" l="1"/>
  <c r="A26" i="45"/>
  <c r="A27" i="45" l="1"/>
  <c r="A28" i="45" s="1"/>
  <c r="A29" i="45" s="1"/>
  <c r="A30" i="45" l="1"/>
  <c r="A31" i="45" l="1"/>
  <c r="A32" i="45" l="1"/>
  <c r="A33" i="45" l="1"/>
  <c r="A34" i="45" l="1"/>
  <c r="A35" i="45" l="1"/>
  <c r="A36" i="45" l="1"/>
  <c r="A37" i="45" l="1"/>
  <c r="A38" i="45" l="1"/>
  <c r="A40" i="45"/>
  <c r="A39" i="45"/>
  <c r="A41" i="45"/>
  <c r="A42" i="45" l="1"/>
  <c r="A43" i="45" l="1"/>
  <c r="A44" i="45" l="1"/>
  <c r="A45" i="45" l="1"/>
  <c r="A46" i="45" l="1"/>
  <c r="A47" i="45" l="1"/>
  <c r="A48" i="45" l="1"/>
  <c r="A49" i="45" l="1"/>
  <c r="A50" i="45" l="1"/>
  <c r="A51" i="45" l="1"/>
  <c r="A52" i="45" l="1"/>
  <c r="A53" i="45" l="1"/>
  <c r="A54" i="45" l="1"/>
  <c r="A55" i="45" l="1"/>
  <c r="A56" i="45" l="1"/>
  <c r="A57" i="45" l="1"/>
  <c r="A58" i="45" l="1"/>
  <c r="A59" i="45" l="1"/>
  <c r="A60" i="45" s="1"/>
  <c r="A61" i="45" l="1"/>
  <c r="A62" i="45" l="1"/>
  <c r="A63" i="45" l="1"/>
  <c r="A64" i="45" l="1"/>
  <c r="A65" i="45" l="1"/>
  <c r="A66" i="45" l="1"/>
  <c r="A67" i="45" l="1"/>
  <c r="A68" i="45" l="1"/>
  <c r="A69" i="45" l="1"/>
  <c r="A70" i="45" l="1"/>
  <c r="A71" i="45" l="1"/>
  <c r="A72" i="45" l="1"/>
  <c r="A73" i="45" l="1"/>
  <c r="A74" i="45" l="1"/>
  <c r="A75" i="45" s="1"/>
  <c r="A76" i="45" l="1"/>
  <c r="A77" i="45" s="1"/>
  <c r="A78" i="45" l="1"/>
  <c r="A79" i="45" l="1"/>
  <c r="A80" i="45" s="1"/>
  <c r="A81" i="45" l="1"/>
  <c r="A82" i="45" l="1"/>
  <c r="A83" i="45" l="1"/>
  <c r="A84" i="45" l="1"/>
  <c r="A85" i="45" l="1"/>
  <c r="A86" i="45" l="1"/>
  <c r="A87" i="45" l="1"/>
  <c r="A88" i="45" l="1"/>
  <c r="A89" i="45" l="1"/>
  <c r="A90" i="45" l="1"/>
  <c r="A91" i="45" l="1"/>
  <c r="A92" i="45" s="1"/>
  <c r="A93" i="45" l="1"/>
  <c r="A94" i="45" l="1"/>
  <c r="A95" i="45" s="1"/>
  <c r="A96" i="45" l="1"/>
  <c r="A97" i="45" l="1"/>
  <c r="A98" i="45" l="1"/>
  <c r="A99" i="45" l="1"/>
  <c r="A100" i="45" s="1"/>
  <c r="A101" i="45" s="1"/>
  <c r="A102" i="45" s="1"/>
  <c r="A103" i="45" s="1"/>
  <c r="A104" i="45" s="1"/>
  <c r="A105" i="45" s="1"/>
  <c r="A106" i="45" s="1"/>
  <c r="A107" i="45" s="1"/>
  <c r="A108" i="45" s="1"/>
  <c r="A109" i="45" s="1"/>
  <c r="A110" i="45" s="1"/>
  <c r="A111" i="45" s="1"/>
  <c r="A112" i="45" s="1"/>
  <c r="A113" i="45" s="1"/>
  <c r="A114" i="45" s="1"/>
  <c r="A115" i="45" s="1"/>
  <c r="A116" i="45" s="1"/>
  <c r="A117" i="45" s="1"/>
  <c r="A118" i="45" s="1"/>
  <c r="A119" i="45" s="1"/>
  <c r="A120" i="45" s="1"/>
  <c r="A121" i="45" s="1"/>
  <c r="A122" i="45" s="1"/>
  <c r="A123" i="45" s="1"/>
  <c r="A124" i="45" s="1"/>
  <c r="A125" i="45" s="1"/>
  <c r="A126" i="45" s="1"/>
  <c r="A127" i="45" s="1"/>
  <c r="A128" i="45" s="1"/>
  <c r="A129" i="45" s="1"/>
  <c r="A130" i="45" s="1"/>
  <c r="A131" i="45" s="1"/>
  <c r="A132" i="45" s="1"/>
  <c r="A133" i="45" s="1"/>
  <c r="A134" i="45" s="1"/>
  <c r="A135" i="45" s="1"/>
  <c r="A138" i="45" l="1"/>
  <c r="A136" i="45"/>
  <c r="A137" i="45"/>
  <c r="A139" i="45" l="1"/>
  <c r="A140" i="45" l="1"/>
  <c r="A141" i="45" s="1"/>
  <c r="A142" i="45" l="1"/>
  <c r="A143" i="45" l="1"/>
  <c r="A144" i="45" l="1"/>
  <c r="A145" i="45" l="1"/>
  <c r="A146" i="45" l="1"/>
  <c r="A147" i="45" l="1"/>
  <c r="A148" i="45" l="1"/>
  <c r="A149" i="45" l="1"/>
  <c r="A150" i="45" s="1"/>
  <c r="A151" i="45" s="1"/>
  <c r="A152" i="45" l="1"/>
  <c r="A153" i="45" l="1"/>
  <c r="A154" i="45" l="1"/>
  <c r="A155" i="45" l="1"/>
  <c r="A156" i="45" l="1"/>
  <c r="A157" i="45" l="1"/>
  <c r="A158" i="45" s="1"/>
  <c r="A159" i="45" l="1"/>
  <c r="A160" i="45" l="1"/>
  <c r="A161" i="45" s="1"/>
  <c r="A162" i="45" l="1"/>
  <c r="A163" i="45" l="1"/>
  <c r="A164" i="45" s="1"/>
  <c r="A165" i="45" l="1"/>
  <c r="A166" i="45" s="1"/>
  <c r="A167" i="45" s="1"/>
  <c r="A168" i="45" l="1"/>
  <c r="A169" i="45" l="1"/>
  <c r="A170" i="45" l="1"/>
  <c r="A171" i="45"/>
  <c r="A172" i="45" l="1"/>
  <c r="A173" i="45" s="1"/>
  <c r="A174" i="45" l="1"/>
  <c r="A175" i="45" l="1"/>
  <c r="A176" i="45" l="1"/>
  <c r="A177" i="45" s="1"/>
  <c r="A178" i="45" l="1"/>
  <c r="A179" i="45" s="1"/>
  <c r="A180" i="45" l="1"/>
  <c r="A181" i="45" s="1"/>
  <c r="A182" i="45" s="1"/>
  <c r="A183" i="45" l="1"/>
  <c r="A184" i="45" s="1"/>
  <c r="A185" i="45" s="1"/>
  <c r="A186" i="45" l="1"/>
  <c r="A187" i="45" l="1"/>
  <c r="A188" i="45" s="1"/>
  <c r="A189" i="45" s="1"/>
  <c r="A190" i="45" s="1"/>
  <c r="A191" i="45" l="1"/>
  <c r="A192" i="45" l="1"/>
  <c r="A193" i="45" l="1"/>
  <c r="A194" i="45" s="1"/>
  <c r="A195" i="45" l="1"/>
  <c r="A196" i="45" l="1"/>
  <c r="A197" i="45" l="1"/>
  <c r="A198" i="45" l="1"/>
  <c r="A199" i="45" l="1"/>
  <c r="A200" i="45" l="1"/>
  <c r="A201" i="45" s="1"/>
  <c r="A202" i="45" s="1"/>
  <c r="A203" i="45" s="1"/>
  <c r="A204" i="45" s="1"/>
  <c r="A205" i="45" l="1"/>
  <c r="A206" i="45" l="1"/>
  <c r="A207" i="45" s="1"/>
  <c r="A208" i="45" s="1"/>
  <c r="A209" i="45" s="1"/>
  <c r="A210" i="45" l="1"/>
  <c r="A211" i="45" l="1"/>
  <c r="A212" i="45" l="1"/>
  <c r="A213" i="45" l="1"/>
  <c r="A214" i="45" l="1"/>
  <c r="A215" i="45" l="1"/>
  <c r="A216" i="45" l="1"/>
  <c r="A218" i="45" l="1"/>
  <c r="A217" i="45"/>
  <c r="A219" i="45" l="1"/>
  <c r="A220" i="45" l="1"/>
  <c r="A221" i="45"/>
  <c r="A222" i="45" l="1"/>
  <c r="A223" i="45" s="1"/>
  <c r="A224" i="45" s="1"/>
  <c r="A225" i="45" s="1"/>
  <c r="A226" i="45" s="1"/>
  <c r="A227" i="45" s="1"/>
  <c r="A228" i="45" s="1"/>
  <c r="A229" i="45" s="1"/>
  <c r="A230" i="45" s="1"/>
  <c r="A231" i="45" s="1"/>
  <c r="A232" i="45" s="1"/>
  <c r="A233" i="45" s="1"/>
  <c r="A234" i="45" l="1"/>
  <c r="A235" i="45" l="1"/>
  <c r="A236" i="45" l="1"/>
  <c r="A237" i="45" l="1"/>
  <c r="A238" i="45" s="1"/>
  <c r="A239" i="45" s="1"/>
  <c r="A240" i="45" s="1"/>
  <c r="A241" i="45" s="1"/>
  <c r="A242" i="45" s="1"/>
  <c r="A243" i="45" s="1"/>
  <c r="A244" i="45" s="1"/>
  <c r="A245" i="45" s="1"/>
  <c r="A246" i="45" s="1"/>
  <c r="A247" i="45" s="1"/>
  <c r="A248" i="45" s="1"/>
  <c r="A249" i="45" s="1"/>
  <c r="A250" i="45" s="1"/>
  <c r="A251" i="45" s="1"/>
  <c r="A252" i="45" s="1"/>
  <c r="A253" i="45" s="1"/>
  <c r="A254" i="45" l="1"/>
  <c r="A255" i="45" s="1"/>
  <c r="A256" i="45" l="1"/>
  <c r="A257" i="45" l="1"/>
  <c r="A258" i="45" l="1"/>
  <c r="A259" i="45" l="1"/>
  <c r="A260" i="45" s="1"/>
  <c r="A261" i="45" s="1"/>
  <c r="A262" i="45" l="1"/>
  <c r="A263" i="45" l="1"/>
  <c r="A264" i="45" l="1"/>
  <c r="A265" i="45" l="1"/>
  <c r="A266" i="45" s="1"/>
  <c r="A267" i="45" s="1"/>
  <c r="A268" i="45" l="1"/>
  <c r="A269" i="45" l="1"/>
  <c r="A270" i="45" l="1"/>
  <c r="A271" i="45" l="1"/>
  <c r="A272" i="45" l="1"/>
  <c r="A273" i="45" l="1"/>
  <c r="A274" i="45" s="1"/>
  <c r="A275" i="45" s="1"/>
  <c r="A276" i="45" s="1"/>
  <c r="A277" i="45" s="1"/>
  <c r="A278" i="45" s="1"/>
  <c r="A279" i="45" s="1"/>
  <c r="A280" i="45" s="1"/>
  <c r="A281" i="45" l="1"/>
  <c r="A282" i="45" l="1"/>
  <c r="A283" i="45" s="1"/>
  <c r="A284" i="45" l="1"/>
  <c r="A285" i="45" l="1"/>
  <c r="A286" i="45" s="1"/>
  <c r="A287" i="45" s="1"/>
  <c r="A288" i="45" l="1"/>
  <c r="A289" i="45" s="1"/>
  <c r="A290" i="45" l="1"/>
  <c r="A291" i="45" s="1"/>
  <c r="A292" i="45" l="1"/>
  <c r="A293" i="45" s="1"/>
  <c r="A294" i="45" l="1"/>
  <c r="A295" i="45" s="1"/>
  <c r="A296" i="45" s="1"/>
  <c r="A297" i="45" l="1"/>
  <c r="A298" i="45" s="1"/>
  <c r="A299" i="45" l="1"/>
  <c r="A300" i="45" l="1"/>
  <c r="A301" i="45" s="1"/>
  <c r="A302" i="45" s="1"/>
  <c r="A303" i="45" l="1"/>
  <c r="A304" i="45" l="1"/>
  <c r="A305" i="45" l="1"/>
  <c r="A306" i="45" l="1"/>
  <c r="A308" i="45" l="1"/>
  <c r="A307" i="45"/>
  <c r="A309" i="45" l="1"/>
  <c r="A310" i="45" l="1"/>
  <c r="A311" i="45" l="1"/>
  <c r="A312" i="45" l="1"/>
  <c r="A313" i="45" l="1"/>
  <c r="A314" i="45" l="1"/>
  <c r="A315" i="45" l="1"/>
  <c r="A316" i="45" l="1"/>
  <c r="A317" i="45" l="1"/>
  <c r="A318" i="45" l="1"/>
  <c r="A319" i="45" l="1"/>
  <c r="A320" i="45" l="1"/>
  <c r="A321" i="45" l="1"/>
  <c r="A322" i="45" l="1"/>
  <c r="A323" i="45" l="1"/>
  <c r="A324" i="45" l="1"/>
  <c r="A325" i="45" l="1"/>
  <c r="A326" i="45" l="1"/>
  <c r="A327" i="45" l="1"/>
  <c r="A328" i="45" l="1"/>
  <c r="A329" i="45" l="1"/>
  <c r="A330" i="45" l="1"/>
  <c r="A331" i="45" l="1"/>
  <c r="A332" i="45" l="1"/>
  <c r="A333" i="45" l="1"/>
  <c r="A334" i="45" l="1"/>
  <c r="A335" i="45" l="1"/>
  <c r="A336" i="45" l="1"/>
  <c r="A337" i="45" l="1"/>
  <c r="A338" i="45" l="1"/>
  <c r="A339" i="45" l="1"/>
  <c r="A340" i="45" l="1"/>
  <c r="A341" i="45" l="1"/>
  <c r="A342" i="45" l="1"/>
  <c r="A343" i="45" l="1"/>
  <c r="A344" i="45" l="1"/>
  <c r="A345" i="45" l="1"/>
  <c r="A346" i="45" l="1"/>
  <c r="A347" i="45" l="1"/>
  <c r="A348" i="45" l="1"/>
  <c r="A349" i="45" l="1"/>
  <c r="A350" i="45" l="1"/>
  <c r="A351" i="45" l="1"/>
  <c r="A352" i="45" s="1"/>
  <c r="A353" i="45" l="1"/>
  <c r="A354" i="45" l="1"/>
  <c r="A355" i="45" l="1"/>
  <c r="A356" i="45" s="1"/>
  <c r="A357" i="45" l="1"/>
  <c r="A358" i="45" l="1"/>
  <c r="A359" i="45" l="1"/>
  <c r="A360" i="45" l="1"/>
  <c r="A361" i="45" l="1"/>
  <c r="A362" i="45" l="1"/>
  <c r="A363" i="45" l="1"/>
  <c r="A364" i="45" l="1"/>
  <c r="A365" i="45" l="1"/>
  <c r="A366" i="45" l="1"/>
  <c r="A367" i="45" l="1"/>
  <c r="A368" i="45" l="1"/>
  <c r="A369" i="45" l="1"/>
  <c r="A370" i="45" l="1"/>
  <c r="A371" i="45" l="1"/>
  <c r="A372" i="45" l="1"/>
  <c r="A373" i="45" l="1"/>
  <c r="A374" i="45" l="1"/>
  <c r="A375" i="45" l="1"/>
  <c r="A376" i="45" l="1"/>
  <c r="A377" i="45" l="1"/>
  <c r="A378" i="45" l="1"/>
  <c r="A379" i="45" l="1"/>
  <c r="A380" i="45" l="1"/>
  <c r="A381" i="45" l="1"/>
  <c r="A382" i="45" l="1"/>
  <c r="A383" i="45" l="1"/>
  <c r="A384" i="45" l="1"/>
  <c r="A385" i="45" l="1"/>
  <c r="A386" i="45" l="1"/>
  <c r="A387" i="45" l="1"/>
  <c r="A388" i="45" l="1"/>
  <c r="A389" i="45" l="1"/>
  <c r="A390" i="45" l="1"/>
  <c r="A391" i="45" l="1"/>
  <c r="A392" i="45" l="1"/>
  <c r="A393" i="45" l="1"/>
  <c r="A394" i="45" l="1"/>
  <c r="A395" i="45" l="1"/>
  <c r="A396" i="45" l="1"/>
  <c r="A397" i="45" l="1"/>
  <c r="A398" i="45" l="1"/>
  <c r="A399" i="45" l="1"/>
  <c r="A400" i="45" l="1"/>
  <c r="A401" i="45" l="1"/>
  <c r="A402" i="45" l="1"/>
  <c r="A403" i="45" l="1"/>
  <c r="A404" i="45" l="1"/>
  <c r="A405" i="45" l="1"/>
  <c r="A406" i="45" l="1"/>
  <c r="A407" i="45" l="1"/>
  <c r="A408" i="45" l="1"/>
  <c r="A409" i="45" l="1"/>
  <c r="A410" i="45" l="1"/>
  <c r="A411" i="45" l="1"/>
  <c r="A412" i="45" l="1"/>
  <c r="A413" i="45" l="1"/>
  <c r="A414" i="45" l="1"/>
  <c r="A415" i="45" l="1"/>
  <c r="A416" i="45" l="1"/>
  <c r="A417" i="45" l="1"/>
  <c r="A418" i="45" l="1"/>
  <c r="A419" i="45" l="1"/>
  <c r="A420" i="45" l="1"/>
  <c r="A421" i="45" l="1"/>
  <c r="A422" i="45" l="1"/>
  <c r="A423" i="45" l="1"/>
  <c r="A424" i="45" l="1"/>
  <c r="A425" i="45" l="1"/>
  <c r="A426" i="45" l="1"/>
  <c r="A427" i="45" l="1"/>
  <c r="A428" i="45" l="1"/>
  <c r="A429" i="45" l="1"/>
  <c r="A430" i="45" l="1"/>
  <c r="A431" i="45" l="1"/>
  <c r="A432" i="45" l="1"/>
  <c r="A433" i="45" l="1"/>
  <c r="A434" i="45" l="1"/>
  <c r="A435" i="45" l="1"/>
  <c r="A436" i="45" l="1"/>
  <c r="A437" i="45" l="1"/>
  <c r="A438" i="45" l="1"/>
  <c r="A439" i="45" l="1"/>
  <c r="A440" i="45" l="1"/>
  <c r="A441" i="45" l="1"/>
  <c r="A442" i="45" l="1"/>
  <c r="A444" i="45" l="1"/>
  <c r="A443" i="45"/>
  <c r="A445" i="45" l="1"/>
  <c r="A446" i="45" l="1"/>
  <c r="A447" i="45" l="1"/>
  <c r="A448" i="45" l="1"/>
  <c r="A449" i="45" l="1"/>
  <c r="A450" i="45" l="1"/>
  <c r="A451" i="45" l="1"/>
  <c r="A452" i="45" l="1"/>
  <c r="A453" i="45" l="1"/>
  <c r="A454" i="45" l="1"/>
  <c r="A455" i="45" s="1"/>
  <c r="A456" i="45" s="1"/>
  <c r="A458" i="45" l="1"/>
  <c r="A457" i="45"/>
  <c r="A459" i="45" l="1"/>
  <c r="A460" i="45" s="1"/>
  <c r="A461" i="45" s="1"/>
  <c r="A462" i="45" s="1"/>
  <c r="A463" i="45" s="1"/>
  <c r="A464" i="45" s="1"/>
  <c r="A465" i="45" s="1"/>
  <c r="A466" i="45" s="1"/>
  <c r="A467" i="45" s="1"/>
  <c r="A468" i="45" s="1"/>
  <c r="A469" i="45" s="1"/>
  <c r="A470" i="45" s="1"/>
  <c r="A471" i="45" s="1"/>
  <c r="A472" i="45" s="1"/>
  <c r="A473" i="45" s="1"/>
  <c r="A474" i="45" s="1"/>
  <c r="A475" i="45" s="1"/>
  <c r="A476" i="45" s="1"/>
  <c r="A477" i="45" s="1"/>
  <c r="A478" i="45" s="1"/>
  <c r="A479" i="45" s="1"/>
  <c r="A480" i="45" s="1"/>
  <c r="A481" i="45" s="1"/>
  <c r="A482" i="45" s="1"/>
  <c r="A483" i="45" s="1"/>
  <c r="A484" i="45" s="1"/>
  <c r="A485" i="45" s="1"/>
  <c r="A486" i="45" s="1"/>
  <c r="A487" i="45" s="1"/>
  <c r="A488" i="45" s="1"/>
  <c r="A489" i="45" s="1"/>
  <c r="A490" i="45" s="1"/>
  <c r="A492" i="45" s="1"/>
  <c r="A491" i="45" l="1"/>
  <c r="A493" i="45" s="1"/>
  <c r="A494" i="45" s="1"/>
  <c r="A495" i="45" l="1"/>
  <c r="A496" i="45" l="1"/>
  <c r="A497" i="45" l="1"/>
  <c r="A498" i="45" s="1"/>
  <c r="A499" i="45" s="1"/>
  <c r="A500" i="45" s="1"/>
  <c r="A501" i="45" s="1"/>
  <c r="A502" i="45" s="1"/>
  <c r="A503" i="45" s="1"/>
  <c r="A504" i="45" s="1"/>
  <c r="A505" i="45" s="1"/>
  <c r="A506" i="45" s="1"/>
  <c r="A507" i="45" s="1"/>
  <c r="A508" i="45" s="1"/>
  <c r="A509" i="45" s="1"/>
  <c r="A510" i="45" s="1"/>
  <c r="A511" i="45" s="1"/>
  <c r="A512" i="45" s="1"/>
  <c r="A513" i="45" s="1"/>
  <c r="A514" i="45" s="1"/>
  <c r="A515" i="45" s="1"/>
  <c r="A516" i="45" s="1"/>
  <c r="A517" i="45" s="1"/>
  <c r="A518" i="45" s="1"/>
  <c r="A519" i="45" s="1"/>
  <c r="A520" i="45" s="1"/>
  <c r="A521" i="45" s="1"/>
  <c r="A522" i="45" s="1"/>
  <c r="A523" i="45" s="1"/>
  <c r="A524" i="45" s="1"/>
  <c r="A525" i="45" s="1"/>
  <c r="A526" i="45" s="1"/>
  <c r="A527" i="45" s="1"/>
  <c r="A528" i="45" s="1"/>
  <c r="A529" i="45" s="1"/>
  <c r="A530" i="45" s="1"/>
  <c r="A531" i="45" s="1"/>
  <c r="A532" i="45" s="1"/>
  <c r="A533" i="45" s="1"/>
  <c r="A534" i="45" s="1"/>
  <c r="A535" i="45" s="1"/>
  <c r="A536" i="45" s="1"/>
  <c r="A537" i="45" s="1"/>
  <c r="A538" i="45" s="1"/>
  <c r="A539" i="45" s="1"/>
  <c r="A540" i="45" s="1"/>
  <c r="A541" i="45" s="1"/>
  <c r="A542" i="45" s="1"/>
  <c r="A543" i="45" s="1"/>
  <c r="A544" i="45" s="1"/>
  <c r="A545" i="45" s="1"/>
  <c r="A546" i="45" s="1"/>
  <c r="A547" i="45" s="1"/>
  <c r="A548" i="45" s="1"/>
  <c r="A550" i="45" l="1"/>
  <c r="A549" i="45"/>
  <c r="A551" i="45" l="1"/>
  <c r="A552" i="45" s="1"/>
  <c r="A553" i="45" s="1"/>
  <c r="A554" i="45" s="1"/>
  <c r="A555" i="45" s="1"/>
  <c r="A556" i="45" s="1"/>
  <c r="A557" i="45" s="1"/>
  <c r="A558" i="45" s="1"/>
  <c r="A559" i="45" s="1"/>
  <c r="A560" i="45" s="1"/>
  <c r="A561" i="45" s="1"/>
  <c r="A562" i="45" s="1"/>
  <c r="A563" i="45" s="1"/>
  <c r="A564" i="45" s="1"/>
  <c r="A565" i="45" s="1"/>
  <c r="A566" i="45" s="1"/>
  <c r="A567" i="45" s="1"/>
  <c r="A568" i="45" s="1"/>
  <c r="A569" i="45" s="1"/>
  <c r="A570" i="45" s="1"/>
  <c r="A571" i="45" s="1"/>
  <c r="A572" i="45" s="1"/>
  <c r="A573" i="45" s="1"/>
  <c r="A574" i="45" s="1"/>
  <c r="A575" i="45" s="1"/>
  <c r="A576" i="45" s="1"/>
  <c r="A577" i="45" s="1"/>
  <c r="A578" i="45" s="1"/>
  <c r="A579" i="45" s="1"/>
  <c r="A580" i="45" s="1"/>
  <c r="A581" i="45" s="1"/>
  <c r="A583" i="45" s="1"/>
  <c r="A582" i="45" l="1"/>
  <c r="A584" i="45" s="1"/>
  <c r="A585" i="45" s="1"/>
  <c r="A586" i="45" s="1"/>
  <c r="A587" i="45" s="1"/>
  <c r="A588" i="45" s="1"/>
  <c r="A589" i="45" s="1"/>
  <c r="A590" i="45" s="1"/>
  <c r="A591" i="45" s="1"/>
  <c r="A592" i="45" s="1"/>
  <c r="A593" i="45" s="1"/>
  <c r="A594" i="45" s="1"/>
  <c r="A595" i="45" s="1"/>
  <c r="A596" i="45" s="1"/>
  <c r="A597" i="45" s="1"/>
  <c r="A598" i="45" s="1"/>
  <c r="A599" i="45" s="1"/>
  <c r="A600" i="45" s="1"/>
  <c r="A601" i="45" s="1"/>
  <c r="A602" i="45" s="1"/>
  <c r="A603" i="45" s="1"/>
  <c r="A604" i="45" s="1"/>
  <c r="A605" i="45" s="1"/>
  <c r="A606" i="45" s="1"/>
  <c r="A607" i="45" s="1"/>
  <c r="A608" i="45" s="1"/>
  <c r="A609" i="45" s="1"/>
  <c r="A610" i="45" s="1"/>
  <c r="A611" i="45" s="1"/>
  <c r="A612" i="45" s="1"/>
  <c r="A613" i="45" s="1"/>
  <c r="A614" i="45" s="1"/>
  <c r="A615" i="45" s="1"/>
  <c r="A616" i="45" s="1"/>
  <c r="A617" i="45" s="1"/>
  <c r="A618" i="45" s="1"/>
  <c r="A619" i="45" s="1"/>
  <c r="A620" i="45" s="1"/>
  <c r="A621" i="45" s="1"/>
  <c r="A622" i="45" s="1"/>
  <c r="A623" i="45" s="1"/>
  <c r="A624" i="45" s="1"/>
  <c r="A625" i="45" s="1"/>
  <c r="A626" i="45" s="1"/>
  <c r="A627" i="45" s="1"/>
  <c r="A628" i="45" s="1"/>
  <c r="A629" i="45" l="1"/>
  <c r="A630" i="45"/>
  <c r="A631" i="45" l="1"/>
  <c r="A633" i="45" s="1"/>
  <c r="A632" i="45" l="1"/>
  <c r="A634" i="45" s="1"/>
  <c r="A635" i="45" s="1"/>
  <c r="A636" i="45" s="1"/>
  <c r="A637" i="45" s="1"/>
  <c r="A638" i="45" s="1"/>
  <c r="A639" i="45" s="1"/>
  <c r="A640" i="45" s="1"/>
  <c r="A641" i="45" s="1"/>
  <c r="A642" i="45" s="1"/>
  <c r="A643" i="45" s="1"/>
  <c r="A644" i="45" s="1"/>
  <c r="A645" i="45" s="1"/>
  <c r="A646" i="45" s="1"/>
  <c r="A647" i="45" s="1"/>
  <c r="A648" i="45" s="1"/>
  <c r="A649" i="45" s="1"/>
  <c r="A650" i="45" s="1"/>
  <c r="A651" i="45" s="1"/>
  <c r="A652" i="45" s="1"/>
  <c r="A653" i="45" s="1"/>
  <c r="A654" i="45" s="1"/>
  <c r="A655" i="45" s="1"/>
  <c r="A656" i="45" s="1"/>
  <c r="A657" i="45" s="1"/>
  <c r="A658" i="45" s="1"/>
  <c r="A659" i="45" s="1"/>
  <c r="A660" i="45" s="1"/>
  <c r="A661" i="45" s="1"/>
  <c r="A662" i="45" s="1"/>
  <c r="A663" i="45" s="1"/>
  <c r="A664" i="45" s="1"/>
  <c r="A665" i="45" s="1"/>
  <c r="A666" i="45" s="1"/>
  <c r="A667" i="45" s="1"/>
  <c r="A668" i="45" s="1"/>
  <c r="A669" i="45" s="1"/>
  <c r="A670" i="45" s="1"/>
  <c r="A671" i="45" s="1"/>
  <c r="A672" i="45" s="1"/>
  <c r="A673" i="45" s="1"/>
  <c r="A674" i="45" s="1"/>
  <c r="A675" i="45" s="1"/>
  <c r="A676" i="45" s="1"/>
  <c r="A677" i="45" s="1"/>
  <c r="A678" i="45" s="1"/>
  <c r="A679" i="45" s="1"/>
  <c r="A680" i="45" s="1"/>
  <c r="A681" i="45" s="1"/>
  <c r="A682" i="45" s="1"/>
  <c r="A683" i="45" s="1"/>
  <c r="A684" i="45" s="1"/>
  <c r="A685" i="45" s="1"/>
  <c r="A686" i="45" s="1"/>
  <c r="A687" i="45" s="1"/>
  <c r="A688" i="45" s="1"/>
  <c r="A689" i="45" s="1"/>
  <c r="A690" i="45" s="1"/>
  <c r="A691" i="45" s="1"/>
  <c r="A692" i="45" s="1"/>
  <c r="A693" i="45" s="1"/>
  <c r="A694" i="45" s="1"/>
  <c r="A695" i="45" s="1"/>
  <c r="A696" i="45" s="1"/>
  <c r="A697" i="45" s="1"/>
  <c r="A698" i="45" s="1"/>
  <c r="A699" i="45" s="1"/>
  <c r="A700" i="45" s="1"/>
  <c r="A701" i="45" s="1"/>
  <c r="A702" i="45" s="1"/>
  <c r="A703" i="45" s="1"/>
  <c r="A704" i="45" s="1"/>
  <c r="A705" i="45" s="1"/>
  <c r="A706" i="45" s="1"/>
  <c r="A707" i="45" s="1"/>
  <c r="A708" i="45" s="1"/>
  <c r="A709" i="45" s="1"/>
  <c r="A710" i="45" s="1"/>
  <c r="A711" i="45" s="1"/>
  <c r="A712" i="45" s="1"/>
  <c r="A713" i="45" s="1"/>
  <c r="A714" i="45" s="1"/>
  <c r="A715" i="45" s="1"/>
  <c r="A716" i="45" s="1"/>
  <c r="A717" i="45" s="1"/>
  <c r="A718" i="45" s="1"/>
  <c r="A720" i="45" s="1"/>
  <c r="A719" i="45" l="1"/>
  <c r="A721" i="45" l="1"/>
  <c r="A722" i="45" l="1"/>
  <c r="A723" i="45" s="1"/>
  <c r="A724" i="45" s="1"/>
  <c r="A725" i="45" s="1"/>
  <c r="A726" i="45" l="1"/>
  <c r="A727" i="45" l="1"/>
  <c r="A728" i="45" l="1"/>
  <c r="A729" i="45" l="1"/>
  <c r="A730" i="45" l="1"/>
  <c r="A731" i="45" l="1"/>
  <c r="A732" i="45" l="1"/>
  <c r="A733" i="45" l="1"/>
  <c r="A734" i="45" l="1"/>
  <c r="A735" i="45" l="1"/>
  <c r="A736" i="45" l="1"/>
  <c r="A737" i="45" l="1"/>
  <c r="A738" i="45" l="1"/>
  <c r="A739" i="45" l="1"/>
  <c r="A740" i="45" l="1"/>
  <c r="A741" i="45" l="1"/>
  <c r="A742" i="45" l="1"/>
  <c r="A743" i="45" l="1"/>
  <c r="A744" i="45" l="1"/>
  <c r="A745" i="45" l="1"/>
  <c r="A746" i="45" l="1"/>
  <c r="A747" i="45" l="1"/>
  <c r="A748" i="45" l="1"/>
  <c r="A749" i="45" l="1"/>
  <c r="A750" i="45" l="1"/>
  <c r="A751" i="45" l="1"/>
  <c r="A752" i="45" l="1"/>
  <c r="A753" i="45" l="1"/>
  <c r="A754" i="45" l="1"/>
  <c r="A755" i="45" l="1"/>
  <c r="A756" i="45" l="1"/>
  <c r="A757" i="45" l="1"/>
  <c r="A758" i="45" l="1"/>
  <c r="A759" i="45" l="1"/>
  <c r="A760" i="45" l="1"/>
  <c r="A761" i="45" l="1"/>
  <c r="A762" i="45" l="1"/>
  <c r="A763" i="45" l="1"/>
  <c r="A764" i="45" l="1"/>
  <c r="A765" i="45" l="1"/>
  <c r="A766" i="45" s="1"/>
  <c r="A767" i="45" l="1"/>
  <c r="A768" i="45" l="1"/>
  <c r="A769" i="45" s="1"/>
  <c r="A770" i="45" l="1"/>
  <c r="A771" i="45" l="1"/>
  <c r="A772" i="45" l="1"/>
  <c r="A773" i="45" l="1"/>
  <c r="A774" i="45" l="1"/>
  <c r="A775" i="45" l="1"/>
  <c r="A776" i="45" l="1"/>
  <c r="A777" i="45" l="1"/>
  <c r="A778" i="45" l="1"/>
  <c r="A779" i="45" l="1"/>
  <c r="A780" i="45" l="1"/>
  <c r="A781" i="45" l="1"/>
  <c r="A782" i="45" l="1"/>
  <c r="A783" i="45" l="1"/>
  <c r="A784" i="45" l="1"/>
  <c r="A785" i="45" l="1"/>
  <c r="A786" i="45" l="1"/>
  <c r="A787" i="45" l="1"/>
  <c r="A788" i="45" l="1"/>
  <c r="A789" i="45" l="1"/>
  <c r="A790" i="45" l="1"/>
  <c r="A791" i="45" l="1"/>
  <c r="A792" i="45" l="1"/>
  <c r="A793" i="45" l="1"/>
  <c r="A794" i="45" l="1"/>
  <c r="A795" i="45" l="1"/>
  <c r="A796" i="45" l="1"/>
  <c r="A797" i="45" l="1"/>
  <c r="A798" i="45" l="1"/>
  <c r="A799" i="45" l="1"/>
  <c r="A800" i="45" l="1"/>
  <c r="A801" i="45" l="1"/>
  <c r="A802" i="45" l="1"/>
  <c r="A803" i="45" l="1"/>
  <c r="A804" i="45" l="1"/>
  <c r="A805" i="45" l="1"/>
  <c r="A806" i="45" l="1"/>
  <c r="A807" i="45" l="1"/>
  <c r="A808" i="45" l="1"/>
  <c r="A809" i="45" l="1"/>
  <c r="A810" i="45" l="1"/>
  <c r="A811" i="45" l="1"/>
  <c r="A812" i="45" l="1"/>
  <c r="A813" i="45" l="1"/>
  <c r="A814" i="45" l="1"/>
  <c r="A815" i="45" l="1"/>
  <c r="A816" i="45" l="1"/>
  <c r="A817" i="45" l="1"/>
  <c r="A818" i="45" l="1"/>
  <c r="A819" i="45" l="1"/>
  <c r="A820" i="45" l="1"/>
  <c r="A821" i="45" l="1"/>
  <c r="A822" i="45" l="1"/>
  <c r="A823" i="45" l="1"/>
  <c r="A824" i="45" l="1"/>
  <c r="A825" i="45" l="1"/>
  <c r="A826" i="45" l="1"/>
  <c r="A827" i="45" l="1"/>
  <c r="A828" i="45" l="1"/>
  <c r="A829" i="45" l="1"/>
  <c r="A830" i="45" l="1"/>
  <c r="A831" i="45" l="1"/>
  <c r="A832" i="45" l="1"/>
  <c r="A833" i="45" l="1"/>
  <c r="A834" i="45" l="1"/>
  <c r="A835" i="45" l="1"/>
  <c r="A836" i="45" l="1"/>
  <c r="A837" i="45" l="1"/>
  <c r="A838" i="45" l="1"/>
  <c r="A839" i="45" l="1"/>
  <c r="A840" i="45" l="1"/>
  <c r="A841" i="45" l="1"/>
  <c r="A842" i="45" l="1"/>
  <c r="A844" i="45" l="1"/>
  <c r="A845" i="45" l="1"/>
  <c r="A846" i="45" l="1"/>
  <c r="A847" i="45" l="1"/>
  <c r="A848" i="45" l="1"/>
  <c r="A849" i="45" l="1"/>
  <c r="A850" i="45" l="1"/>
  <c r="A851" i="45" l="1"/>
  <c r="A852" i="45" l="1"/>
  <c r="A853" i="45" l="1"/>
  <c r="A854" i="45" l="1"/>
  <c r="A855" i="45" l="1"/>
  <c r="A856" i="45" l="1"/>
  <c r="A858" i="45" l="1"/>
  <c r="A857" i="45"/>
  <c r="A859" i="45" l="1"/>
  <c r="A860" i="45" l="1"/>
  <c r="A861" i="45" l="1"/>
  <c r="A862" i="45" l="1"/>
  <c r="A863" i="45" l="1"/>
  <c r="A864" i="45" l="1"/>
  <c r="A865" i="45" l="1"/>
  <c r="A866" i="45" l="1"/>
  <c r="A867" i="45" s="1"/>
  <c r="A868" i="45" s="1"/>
  <c r="A869" i="45" l="1"/>
  <c r="A870" i="45" l="1"/>
  <c r="A871" i="45" l="1"/>
  <c r="A872" i="45" l="1"/>
  <c r="A873" i="45" l="1"/>
  <c r="A874" i="45" l="1"/>
  <c r="A875" i="45" l="1"/>
  <c r="A876" i="45" l="1"/>
  <c r="A877" i="45" l="1"/>
  <c r="A878" i="45" l="1"/>
  <c r="A879" i="45" l="1"/>
  <c r="A880" i="45" l="1"/>
  <c r="A881" i="45" l="1"/>
  <c r="A882" i="45" l="1"/>
  <c r="A883" i="45" l="1"/>
  <c r="A884" i="45" l="1"/>
  <c r="A885" i="45" l="1"/>
  <c r="A886" i="45" l="1"/>
  <c r="A887" i="45" l="1"/>
  <c r="A888" i="45" l="1"/>
  <c r="A889" i="45" l="1"/>
  <c r="A890" i="45" l="1"/>
  <c r="A891" i="45" s="1"/>
  <c r="A892" i="45" l="1"/>
  <c r="A896" i="45"/>
  <c r="A894" i="45" l="1"/>
  <c r="A895" i="45"/>
  <c r="A893" i="45"/>
  <c r="A897" i="45" l="1"/>
  <c r="A898" i="45" s="1"/>
  <c r="A899" i="45" l="1"/>
  <c r="A900" i="45" l="1"/>
  <c r="A901" i="45" l="1"/>
  <c r="A902" i="45" l="1"/>
  <c r="A903" i="45" l="1"/>
  <c r="A904" i="45" l="1"/>
  <c r="A905" i="45" l="1"/>
  <c r="A906" i="45" l="1"/>
  <c r="A907" i="45" l="1"/>
  <c r="A908" i="45" s="1"/>
  <c r="A909" i="45" l="1"/>
  <c r="A910" i="45" l="1"/>
  <c r="A911" i="45" s="1"/>
  <c r="A912" i="45" l="1"/>
  <c r="A913" i="45" l="1"/>
  <c r="A914" i="45" l="1"/>
  <c r="A915" i="45" l="1"/>
  <c r="A916" i="45" l="1"/>
  <c r="A917" i="45" l="1"/>
  <c r="A918" i="45" l="1"/>
  <c r="A919" i="45" l="1"/>
  <c r="A920" i="45" l="1"/>
  <c r="A921" i="45" l="1"/>
  <c r="A922" i="45" l="1"/>
  <c r="A923" i="45" l="1"/>
  <c r="A924" i="45" l="1"/>
  <c r="A925" i="45" l="1"/>
  <c r="A926" i="45" l="1"/>
  <c r="A927" i="45" l="1"/>
  <c r="A928" i="45" l="1"/>
  <c r="A929" i="45" l="1"/>
  <c r="A930" i="45" l="1"/>
  <c r="A931" i="45" l="1"/>
  <c r="A932" i="45" l="1"/>
  <c r="A933" i="45" l="1"/>
  <c r="A934" i="45" l="1"/>
  <c r="A935" i="45" l="1"/>
  <c r="A936" i="45" l="1"/>
  <c r="A937" i="45" l="1"/>
  <c r="A938" i="45" l="1"/>
  <c r="A939" i="45" l="1"/>
  <c r="A940" i="45" l="1"/>
  <c r="A941" i="45" l="1"/>
  <c r="A942" i="45" l="1"/>
  <c r="A943" i="45" l="1"/>
  <c r="A944" i="45" l="1"/>
  <c r="A945" i="45" l="1"/>
  <c r="A946" i="45" l="1"/>
  <c r="A947" i="45" l="1"/>
  <c r="A948" i="45" l="1"/>
  <c r="A949" i="45" l="1"/>
  <c r="A950" i="45" l="1"/>
  <c r="A951" i="45" l="1"/>
  <c r="A952" i="45" l="1"/>
  <c r="A953" i="45" l="1"/>
  <c r="A954" i="45" l="1"/>
  <c r="A955" i="45" l="1"/>
  <c r="A956" i="45" l="1"/>
  <c r="A957" i="45" l="1"/>
  <c r="A958" i="45" l="1"/>
  <c r="A959" i="45" l="1"/>
  <c r="A960" i="45" l="1"/>
  <c r="A961" i="45" l="1"/>
  <c r="A962" i="45" l="1"/>
  <c r="A963" i="45" l="1"/>
  <c r="A964" i="45" l="1"/>
  <c r="A965" i="45" l="1"/>
  <c r="A966" i="45" l="1"/>
  <c r="A967" i="45" l="1"/>
  <c r="A968" i="45" l="1"/>
  <c r="A969" i="45" l="1"/>
  <c r="A970" i="45" l="1"/>
  <c r="A971" i="45" l="1"/>
  <c r="A972" i="45" l="1"/>
  <c r="A973" i="45" l="1"/>
  <c r="A974" i="45" l="1"/>
  <c r="A975" i="45" l="1"/>
  <c r="A976" i="45" l="1"/>
  <c r="A977" i="45" l="1"/>
  <c r="A978" i="45" l="1"/>
  <c r="A979" i="45" l="1"/>
  <c r="A980" i="45" l="1"/>
  <c r="A981" i="45" l="1"/>
  <c r="A982" i="45" l="1"/>
  <c r="A983" i="45" l="1"/>
  <c r="A984" i="45" l="1"/>
  <c r="A985" i="45" l="1"/>
  <c r="A986" i="45" s="1"/>
  <c r="A987" i="45" l="1"/>
  <c r="A988" i="45" l="1"/>
  <c r="A989" i="45" l="1"/>
  <c r="A990" i="45" l="1"/>
  <c r="A991" i="45" l="1"/>
  <c r="A992" i="45" l="1"/>
  <c r="A993" i="45" l="1"/>
  <c r="A994" i="45" l="1"/>
  <c r="A995" i="45" l="1"/>
  <c r="A996" i="45" l="1"/>
  <c r="A998" i="45" l="1"/>
  <c r="A997" i="45"/>
  <c r="A999" i="45" l="1"/>
  <c r="A1000" i="45" s="1"/>
  <c r="A1001" i="45" s="1"/>
  <c r="A1002" i="45" s="1"/>
  <c r="A1003" i="45" s="1"/>
  <c r="A1007" i="45" l="1"/>
  <c r="A1004" i="45"/>
  <c r="A1005" i="45"/>
  <c r="A1006" i="45" l="1"/>
  <c r="A1008" i="45" s="1"/>
  <c r="A1009" i="45" s="1"/>
  <c r="A1010" i="45" s="1"/>
  <c r="A1011" i="45" s="1"/>
  <c r="A1012" i="45" s="1"/>
  <c r="A1013" i="45" s="1"/>
  <c r="A1014" i="45" s="1"/>
  <c r="A1015" i="45" s="1"/>
  <c r="A1016" i="45" s="1"/>
  <c r="A1017" i="45" s="1"/>
  <c r="A1018" i="45" s="1"/>
  <c r="A1019" i="45" s="1"/>
  <c r="A1020" i="45" s="1"/>
  <c r="A1021" i="45" s="1"/>
  <c r="A1022" i="45" s="1"/>
  <c r="A1023" i="45" s="1"/>
  <c r="A1024" i="45" s="1"/>
  <c r="A1025" i="45" s="1"/>
  <c r="A1026" i="45" s="1"/>
  <c r="A1027" i="45" s="1"/>
  <c r="A1028" i="45" s="1"/>
  <c r="A1029" i="45" s="1"/>
  <c r="A1030" i="45" s="1"/>
  <c r="A1031" i="45" s="1"/>
  <c r="A1032" i="45" s="1"/>
  <c r="A1033" i="45" s="1"/>
  <c r="A1034" i="45" s="1"/>
  <c r="A1035" i="45" s="1"/>
  <c r="A1036" i="45" s="1"/>
  <c r="A1037" i="45" s="1"/>
  <c r="A1038" i="45" s="1"/>
  <c r="A1039" i="45" s="1"/>
  <c r="A1040" i="45" s="1"/>
  <c r="A1041" i="45" s="1"/>
  <c r="A1042" i="45" s="1"/>
  <c r="A1043" i="45" s="1"/>
  <c r="A1044" i="45" s="1"/>
  <c r="A1045" i="45" s="1"/>
  <c r="A1048" i="45" l="1"/>
  <c r="A1046" i="45"/>
  <c r="A1047" i="45" s="1"/>
  <c r="A1049" i="45" l="1"/>
  <c r="A1050" i="45" s="1"/>
  <c r="A1051" i="45" l="1"/>
  <c r="A1052" i="45" s="1"/>
  <c r="A1053" i="45" s="1"/>
  <c r="A1054" i="45" l="1"/>
  <c r="A1055" i="45" l="1"/>
  <c r="A1056" i="45" l="1"/>
  <c r="A1057" i="45" l="1"/>
  <c r="A1058" i="45" l="1"/>
  <c r="A1059" i="45" l="1"/>
  <c r="A1060" i="45" l="1"/>
  <c r="A1061" i="45" l="1"/>
  <c r="A1062" i="45" l="1"/>
  <c r="A1063" i="45" l="1"/>
  <c r="A1064" i="45" l="1"/>
  <c r="A1065" i="45" l="1"/>
  <c r="A1066" i="45" l="1"/>
  <c r="A1067" i="45" l="1"/>
  <c r="A1068" i="45" l="1"/>
  <c r="A1069" i="45" l="1"/>
  <c r="A1070" i="45" l="1"/>
  <c r="A1071" i="45" l="1"/>
  <c r="A1072" i="45" l="1"/>
  <c r="A1073" i="45" l="1"/>
  <c r="A1074" i="45" l="1"/>
  <c r="A1075" i="45" l="1"/>
  <c r="A1076" i="45" l="1"/>
  <c r="A1077" i="45" l="1"/>
  <c r="A1078" i="45" l="1"/>
  <c r="A1079" i="45" l="1"/>
  <c r="A1080" i="45" l="1"/>
  <c r="A1081" i="45" l="1"/>
  <c r="A1082" i="45" l="1"/>
  <c r="A1083" i="45" l="1"/>
  <c r="A1084" i="45" l="1"/>
  <c r="A1085" i="45" l="1"/>
  <c r="A1086" i="45" l="1"/>
  <c r="A1087" i="45" l="1"/>
  <c r="A1088" i="45" l="1"/>
  <c r="A1089" i="45" l="1"/>
  <c r="A1090" i="45" l="1"/>
  <c r="A1091" i="45" l="1"/>
  <c r="A1092" i="45" l="1"/>
  <c r="A1093" i="45" l="1"/>
  <c r="A1094" i="45" l="1"/>
  <c r="A1095" i="45" l="1"/>
  <c r="A1096" i="45" l="1"/>
  <c r="A1097" i="45" l="1"/>
  <c r="A1098" i="45" l="1"/>
  <c r="A1099" i="45" l="1"/>
  <c r="A1100" i="45" l="1"/>
  <c r="A1101" i="45" l="1"/>
  <c r="A1102" i="45" l="1"/>
  <c r="A1103" i="45" l="1"/>
  <c r="A1104" i="45" l="1"/>
  <c r="A1105" i="45" l="1"/>
  <c r="A1106" i="45" l="1"/>
  <c r="A1107" i="45" l="1"/>
  <c r="A1108" i="45" l="1"/>
  <c r="A1109" i="45" l="1"/>
  <c r="A1110" i="45" l="1"/>
  <c r="A1111" i="45" l="1"/>
  <c r="A1112" i="45" l="1"/>
  <c r="A1113" i="45" s="1"/>
  <c r="A1114" i="45" l="1"/>
  <c r="A1115" i="45" l="1"/>
  <c r="A1116" i="45" l="1"/>
  <c r="A1117" i="45" l="1"/>
  <c r="A1118" i="45" l="1"/>
  <c r="A1119" i="45" l="1"/>
  <c r="A1120" i="45" l="1"/>
  <c r="A1121" i="45" l="1"/>
  <c r="A1122" i="45" l="1"/>
  <c r="A1123" i="45" l="1"/>
  <c r="A1124" i="45" l="1"/>
  <c r="A1125" i="45" l="1"/>
  <c r="A1126" i="45" s="1"/>
  <c r="A1127" i="45" l="1"/>
  <c r="A1128" i="45" s="1"/>
  <c r="A1129" i="45" l="1"/>
  <c r="A1130" i="45" l="1"/>
  <c r="A1131" i="45" l="1"/>
  <c r="A1132" i="45" l="1"/>
  <c r="A1133" i="45" l="1"/>
  <c r="A1134" i="45" l="1"/>
  <c r="A1135" i="45" l="1"/>
  <c r="A1136" i="45" l="1"/>
  <c r="A1137" i="45" l="1"/>
  <c r="A1138" i="45" l="1"/>
  <c r="A1139" i="45" l="1"/>
  <c r="A1140" i="45"/>
  <c r="A1141" i="45" l="1"/>
  <c r="A1142" i="45" l="1"/>
  <c r="A1143" i="45" l="1"/>
  <c r="A1144" i="45" l="1"/>
  <c r="A1145" i="45" l="1"/>
  <c r="A1146" i="45" l="1"/>
  <c r="A1147" i="45" l="1"/>
  <c r="A1148" i="45" l="1"/>
  <c r="A1149" i="45" l="1"/>
  <c r="A1150" i="45" l="1"/>
  <c r="A1151" i="45" l="1"/>
  <c r="A1152" i="45" l="1"/>
  <c r="A1153" i="45" l="1"/>
  <c r="A1154" i="45" s="1"/>
  <c r="A1155" i="45" l="1"/>
  <c r="A1156" i="45" l="1"/>
  <c r="A1157" i="45" l="1"/>
  <c r="A1158" i="45" l="1"/>
  <c r="A1159" i="45" l="1"/>
  <c r="A1160" i="45" l="1"/>
  <c r="A1161" i="45" l="1"/>
  <c r="A1162" i="45" l="1"/>
  <c r="A1163" i="45" l="1"/>
  <c r="A1164" i="45" s="1"/>
  <c r="A1165" i="45" l="1"/>
  <c r="A1166" i="45" l="1"/>
  <c r="A1167" i="45" s="1"/>
  <c r="A1168" i="45" l="1"/>
  <c r="A1169" i="45" l="1"/>
  <c r="A1170" i="45" l="1"/>
  <c r="A1171" i="45" l="1"/>
  <c r="A1173" i="45" l="1"/>
  <c r="A1172" i="45"/>
  <c r="A1174" i="45"/>
  <c r="A1176" i="45" l="1"/>
  <c r="A1175" i="45"/>
  <c r="A1177" i="45"/>
  <c r="A1178" i="45" l="1"/>
  <c r="A1179" i="45" l="1"/>
  <c r="A1180" i="45" l="1"/>
  <c r="A1181" i="45" l="1"/>
  <c r="A1182" i="45" l="1"/>
  <c r="A1183" i="45" l="1"/>
  <c r="A1184" i="45" l="1"/>
  <c r="A1185" i="45" l="1"/>
  <c r="A1186" i="45" l="1"/>
  <c r="A1187" i="45" l="1"/>
  <c r="A1188" i="45" l="1"/>
  <c r="A1189" i="45"/>
  <c r="A1190" i="45" l="1"/>
  <c r="A1191" i="45" l="1"/>
  <c r="A1192" i="45"/>
  <c r="A1193" i="45" l="1"/>
  <c r="A1194" i="45"/>
  <c r="A1195" i="45" l="1"/>
  <c r="A1196" i="45" s="1"/>
  <c r="A1197" i="45" s="1"/>
  <c r="A1198" i="45" l="1"/>
  <c r="A1199" i="45" l="1"/>
  <c r="A1200" i="45" s="1"/>
  <c r="A1201" i="45" s="1"/>
  <c r="A1202" i="45" s="1"/>
  <c r="A1203" i="45" l="1"/>
  <c r="A1204" i="45" s="1"/>
  <c r="A1205" i="45" l="1"/>
  <c r="A1206" i="45" l="1"/>
  <c r="A1207" i="45" s="1"/>
  <c r="A1208" i="45" l="1"/>
  <c r="A1209" i="45" l="1"/>
  <c r="A1210" i="45" s="1"/>
  <c r="A1211" i="45" l="1"/>
  <c r="A1212" i="45" l="1"/>
  <c r="A1213" i="45" s="1"/>
  <c r="A1214" i="45" l="1"/>
  <c r="A1215" i="45" l="1"/>
  <c r="A1216" i="45" s="1"/>
  <c r="A1217" i="45" l="1"/>
  <c r="A1218" i="45" l="1"/>
  <c r="A1219" i="45" l="1"/>
  <c r="A1220" i="45" s="1"/>
  <c r="A1221" i="45" l="1"/>
  <c r="A1222" i="45" l="1"/>
  <c r="A1223" i="45" l="1"/>
  <c r="A1224" i="45" s="1"/>
  <c r="A1225" i="45" l="1"/>
  <c r="A1226" i="45" s="1"/>
  <c r="A1227" i="45" l="1"/>
  <c r="A1228" i="45" s="1"/>
  <c r="A1229" i="45" l="1"/>
  <c r="A1230" i="45" l="1"/>
  <c r="A1231" i="45" l="1"/>
  <c r="A1232" i="45" l="1"/>
  <c r="A1233" i="45" l="1"/>
  <c r="A1234" i="45" l="1"/>
  <c r="A1235" i="45" s="1"/>
  <c r="A1236" i="45" s="1"/>
  <c r="A1237" i="45" s="1"/>
  <c r="A1238" i="45" s="1"/>
  <c r="A1239" i="45" s="1"/>
  <c r="A1240" i="45" s="1"/>
  <c r="A1241" i="45" s="1"/>
  <c r="A1242" i="45" s="1"/>
  <c r="A1243" i="45" s="1"/>
  <c r="A1244" i="45" s="1"/>
  <c r="A1245" i="45" s="1"/>
  <c r="A1246" i="45" s="1"/>
  <c r="A1247" i="45" s="1"/>
  <c r="A1248" i="45" s="1"/>
  <c r="A1249" i="45" s="1"/>
  <c r="A1251" i="45" l="1"/>
  <c r="A1250" i="45"/>
  <c r="A1252" i="45" l="1"/>
  <c r="A1253" i="45" s="1"/>
  <c r="A1254" i="45" s="1"/>
  <c r="A1255" i="45" s="1"/>
  <c r="A1257" i="45" l="1"/>
  <c r="A1256" i="45"/>
  <c r="A1258" i="45" s="1"/>
  <c r="A1259" i="45" l="1"/>
  <c r="A1260" i="45" s="1"/>
  <c r="A1261" i="45" s="1"/>
  <c r="A1262" i="45" s="1"/>
  <c r="A1263" i="45" s="1"/>
  <c r="A1264" i="45" s="1"/>
  <c r="A1265" i="45" s="1"/>
  <c r="A1266" i="45" s="1"/>
  <c r="A1267" i="45" s="1"/>
  <c r="A1268" i="45" s="1"/>
  <c r="A1269" i="45" l="1"/>
  <c r="A1270" i="45"/>
  <c r="A1271" i="45" l="1"/>
  <c r="A1272" i="45"/>
  <c r="A1273" i="45" s="1"/>
  <c r="A1274" i="45" s="1"/>
  <c r="A1275" i="45"/>
  <c r="A1276" i="45" l="1"/>
  <c r="A1277" i="45" l="1"/>
  <c r="A1278" i="45" l="1"/>
  <c r="A1279" i="45" s="1"/>
  <c r="A1280" i="45" l="1"/>
  <c r="A1281" i="45" l="1"/>
  <c r="A1282" i="45" l="1"/>
  <c r="A1283" i="45" l="1"/>
  <c r="A1284" i="45" l="1"/>
  <c r="A1285" i="45" l="1"/>
  <c r="A1286" i="45" l="1"/>
  <c r="A1288" i="45" l="1"/>
  <c r="A1287" i="45"/>
  <c r="A1289" i="45" l="1"/>
  <c r="A1290" i="45" s="1"/>
  <c r="A1291" i="45" l="1"/>
  <c r="A1292" i="45" l="1"/>
  <c r="A1293" i="45"/>
  <c r="A1294" i="45" l="1"/>
  <c r="A1295" i="45" s="1"/>
  <c r="A1296" i="45" s="1"/>
  <c r="A1297" i="45" l="1"/>
  <c r="A1299" i="45" s="1"/>
  <c r="A1298" i="45" l="1"/>
  <c r="A1300" i="45" s="1"/>
  <c r="A1301" i="45" s="1"/>
  <c r="A1302" i="45" l="1"/>
  <c r="A1303" i="45" s="1"/>
  <c r="A1304" i="45" l="1"/>
  <c r="A1305" i="45" s="1"/>
  <c r="A1306" i="45" s="1"/>
  <c r="A1307" i="45" s="1"/>
  <c r="A1308" i="45" l="1"/>
  <c r="A1309" i="45" l="1"/>
  <c r="A1310" i="45" s="1"/>
  <c r="A1311" i="45" l="1"/>
  <c r="A1312" i="45" s="1"/>
  <c r="A1313" i="45" s="1"/>
  <c r="A1314" i="45" s="1"/>
  <c r="A1315" i="45" s="1"/>
  <c r="A1316" i="45" l="1"/>
  <c r="A1317" i="45" s="1"/>
  <c r="A1318" i="45" l="1"/>
  <c r="A1322" i="45" l="1"/>
  <c r="A1321" i="45"/>
  <c r="A1324" i="45"/>
  <c r="A1320" i="45"/>
  <c r="A1319" i="45"/>
  <c r="A1323" i="45"/>
  <c r="A1325" i="45" l="1"/>
  <c r="A1326" i="45" s="1"/>
  <c r="A1327" i="45"/>
  <c r="A1328" i="45" l="1"/>
  <c r="A1329" i="45" l="1"/>
  <c r="A1330" i="45" s="1"/>
  <c r="A1331" i="45" s="1"/>
  <c r="A1332" i="45" s="1"/>
  <c r="A1333" i="45" s="1"/>
  <c r="A1334" i="45" l="1"/>
  <c r="A1335" i="45" l="1"/>
  <c r="A1336" i="45" l="1"/>
  <c r="A1337" i="45" l="1"/>
  <c r="A1338" i="45" l="1"/>
  <c r="A1339" i="45"/>
  <c r="A1340" i="45" l="1"/>
  <c r="A1341" i="45" l="1"/>
  <c r="A1342" i="45"/>
  <c r="A1343" i="45" l="1"/>
  <c r="A1344" i="45" l="1"/>
  <c r="A1345" i="45" l="1"/>
  <c r="A1346" i="45"/>
  <c r="A1347" i="45"/>
  <c r="A1348" i="45" l="1"/>
  <c r="A1349" i="45" l="1"/>
  <c r="A1350" i="45" l="1"/>
  <c r="A1351" i="45" l="1"/>
  <c r="A1352" i="45" l="1"/>
  <c r="A1353" i="45" l="1"/>
  <c r="A1354" i="45" l="1"/>
  <c r="A1355" i="45" l="1"/>
  <c r="A1356" i="45" l="1"/>
  <c r="A1357" i="45" s="1"/>
  <c r="A1358" i="45" l="1"/>
  <c r="A1359" i="45" l="1"/>
  <c r="A1360" i="45" s="1"/>
  <c r="A1361" i="45" l="1"/>
  <c r="A1362" i="45" s="1"/>
  <c r="A1363" i="45" l="1"/>
  <c r="A1364" i="45" l="1"/>
  <c r="A1365" i="45" l="1"/>
  <c r="A1366" i="45" l="1"/>
  <c r="A1367" i="45" l="1"/>
  <c r="A1368" i="45" l="1"/>
  <c r="A1369" i="45" l="1"/>
  <c r="A1370" i="45" l="1"/>
  <c r="A1371" i="45" l="1"/>
  <c r="A1372" i="45" l="1"/>
  <c r="A1373" i="45" l="1"/>
  <c r="A1374" i="45" s="1"/>
  <c r="A1375" i="45" s="1"/>
  <c r="A1376" i="45" l="1"/>
  <c r="A1377" i="45" s="1"/>
  <c r="A1378" i="45" l="1"/>
  <c r="A1379" i="45" l="1"/>
  <c r="A1380" i="45" s="1"/>
  <c r="A1381" i="45" s="1"/>
  <c r="A1382" i="45" l="1"/>
  <c r="A1383" i="45" s="1"/>
  <c r="A1384" i="45" s="1"/>
  <c r="A1385" i="45" l="1"/>
  <c r="A1386" i="45" s="1"/>
  <c r="A1387" i="45" l="1"/>
  <c r="A1388" i="45" s="1"/>
  <c r="A1389" i="45" l="1"/>
  <c r="A1390" i="45" s="1"/>
  <c r="A1391" i="45" l="1"/>
  <c r="A1392" i="45" s="1"/>
  <c r="A1395" i="45" s="1"/>
  <c r="A1393" i="45" l="1"/>
  <c r="A1394" i="45" l="1"/>
  <c r="A1396" i="45" l="1"/>
  <c r="A1397" i="45" s="1"/>
  <c r="A1398" i="45" s="1"/>
  <c r="A1399" i="45" l="1"/>
  <c r="A1400" i="45" s="1"/>
  <c r="A1401" i="45" l="1"/>
  <c r="A1402" i="45" l="1"/>
  <c r="A1403" i="45" s="1"/>
  <c r="A1404" i="45" l="1"/>
  <c r="A1405" i="45" s="1"/>
  <c r="A1406" i="45" l="1"/>
  <c r="A1407" i="45" s="1"/>
  <c r="A1409" i="45" l="1"/>
  <c r="A1408" i="45"/>
  <c r="A1410" i="45" l="1"/>
  <c r="A1411" i="45" l="1"/>
  <c r="A1412" i="45" s="1"/>
  <c r="A1413" i="45" s="1"/>
  <c r="A1414" i="45" l="1"/>
  <c r="A1415" i="45" l="1"/>
  <c r="A1416" i="45" l="1"/>
  <c r="A1417" i="45" l="1"/>
  <c r="A1418" i="45" l="1"/>
  <c r="A1419" i="45" l="1"/>
  <c r="A1420" i="45" l="1"/>
  <c r="A1421" i="45" l="1"/>
  <c r="A1423" i="45" l="1"/>
  <c r="A1422" i="45"/>
  <c r="A1424" i="45" l="1"/>
  <c r="A1425" i="45" l="1"/>
  <c r="A1426" i="45" l="1"/>
  <c r="A1427" i="45"/>
  <c r="A1430" i="45" l="1"/>
  <c r="A1428" i="45"/>
  <c r="A1429" i="45" l="1"/>
  <c r="A1431" i="45" l="1"/>
  <c r="A1432" i="45" s="1"/>
  <c r="A1433" i="45" s="1"/>
  <c r="A1434" i="45" s="1"/>
  <c r="A1435" i="45" s="1"/>
  <c r="A1436" i="45" s="1"/>
  <c r="A1437" i="45" s="1"/>
  <c r="A1438" i="45" s="1"/>
  <c r="A1439" i="45" s="1"/>
  <c r="A1440" i="45" s="1"/>
  <c r="A1441" i="45" s="1"/>
  <c r="A1443" i="45" l="1"/>
  <c r="A1442" i="45"/>
  <c r="A1444" i="45" l="1"/>
  <c r="A1445" i="45" s="1"/>
  <c r="A1446" i="45" s="1"/>
  <c r="A1447" i="45" l="1"/>
  <c r="A1448" i="45" l="1"/>
  <c r="A1449" i="45" l="1"/>
  <c r="A1450" i="45" l="1"/>
  <c r="A1451" i="45" l="1"/>
  <c r="A1452" i="45"/>
  <c r="A1455" i="45"/>
  <c r="A1453" i="45" l="1"/>
  <c r="A1454" i="45" s="1"/>
  <c r="A1456" i="45" l="1"/>
  <c r="A1457" i="45" l="1"/>
  <c r="A1458" i="45" s="1"/>
  <c r="A1459" i="45" l="1"/>
  <c r="A1460" i="45" l="1"/>
  <c r="A1461" i="45" l="1"/>
  <c r="A1462" i="45" l="1"/>
  <c r="A1463" i="45" s="1"/>
  <c r="A1464" i="45" l="1"/>
  <c r="A1465" i="45" l="1"/>
  <c r="A1466" i="45" l="1"/>
  <c r="A1467" i="45" l="1"/>
  <c r="A1468" i="45" l="1"/>
  <c r="A1469" i="45" l="1"/>
  <c r="A1470" i="45" l="1"/>
  <c r="A1471" i="45" s="1"/>
  <c r="A1472" i="45" s="1"/>
  <c r="A1473" i="45" l="1"/>
  <c r="A1474" i="45" l="1"/>
  <c r="A1475" i="45" l="1"/>
  <c r="A1476" i="45" s="1"/>
  <c r="A1477" i="45" s="1"/>
  <c r="A1478" i="45" l="1"/>
  <c r="A1480" i="45"/>
  <c r="A1481" i="45" l="1"/>
  <c r="A1482" i="45" l="1"/>
  <c r="A1483" i="45" l="1"/>
  <c r="A1484" i="45" s="1"/>
  <c r="A1485" i="45" l="1"/>
  <c r="A1486" i="45" l="1"/>
  <c r="A1487" i="45" l="1"/>
  <c r="A1488" i="45" l="1"/>
  <c r="A1489" i="45" l="1"/>
  <c r="A1490" i="45" l="1"/>
  <c r="A1491" i="45" l="1"/>
  <c r="A1492" i="45"/>
  <c r="A1493" i="45" l="1"/>
  <c r="A1494" i="45" l="1"/>
  <c r="A1495" i="45"/>
  <c r="A1496" i="45" l="1"/>
  <c r="A1498" i="45" s="1"/>
  <c r="A1499" i="45" s="1"/>
  <c r="A1500" i="45" l="1"/>
  <c r="A1501" i="45" s="1"/>
  <c r="A1502" i="45" l="1"/>
  <c r="A1503" i="45" s="1"/>
  <c r="A1504" i="45" l="1"/>
  <c r="A1505" i="45" s="1"/>
  <c r="A1506" i="45" s="1"/>
  <c r="A1507" i="45" l="1"/>
  <c r="A1508" i="45" l="1"/>
  <c r="A1509" i="45" s="1"/>
  <c r="A1510" i="45" l="1"/>
  <c r="A1511" i="45" s="1"/>
  <c r="A1512" i="45" l="1"/>
  <c r="A1513" i="45" l="1"/>
  <c r="A1514" i="45" s="1"/>
  <c r="A1515" i="45" s="1"/>
  <c r="A1516" i="45" l="1"/>
  <c r="A1517" i="45" l="1"/>
  <c r="A1518" i="45" s="1"/>
  <c r="A1519" i="45" l="1"/>
  <c r="A1520" i="45" l="1"/>
  <c r="A1521" i="45" l="1"/>
  <c r="A1522" i="45" l="1"/>
  <c r="A1523" i="45" l="1"/>
  <c r="A1524" i="45" l="1"/>
  <c r="A1525" i="45" l="1"/>
  <c r="A1526" i="45" s="1"/>
  <c r="A1527" i="45" l="1"/>
  <c r="A1528" i="45" l="1"/>
  <c r="A1529" i="45" s="1"/>
  <c r="A1530" i="45" s="1"/>
  <c r="A1531" i="45" s="1"/>
  <c r="A1532" i="45" l="1"/>
  <c r="A1533" i="45" s="1"/>
  <c r="A1534" i="45" s="1"/>
  <c r="A1535" i="45" s="1"/>
  <c r="A1536" i="45" s="1"/>
  <c r="A1537" i="45" l="1"/>
  <c r="A1538" i="45" l="1"/>
  <c r="A1539" i="45" l="1"/>
  <c r="A1540" i="45" l="1"/>
  <c r="A1541" i="45" l="1"/>
  <c r="A1543" i="45" l="1"/>
  <c r="A1542" i="45"/>
  <c r="A1544" i="45" l="1"/>
  <c r="A1545" i="45" l="1"/>
  <c r="A1546" i="45" l="1"/>
  <c r="A1547" i="45" l="1"/>
  <c r="A1548" i="45" s="1"/>
  <c r="A1549" i="45" l="1"/>
  <c r="A1550" i="45" s="1"/>
  <c r="A1551" i="45" l="1"/>
  <c r="A1552" i="45" s="1"/>
  <c r="A1553" i="45" s="1"/>
  <c r="A1554" i="45" s="1"/>
  <c r="A1555" i="45" s="1"/>
  <c r="A1556" i="45" s="1"/>
  <c r="A1557" i="45" s="1"/>
  <c r="A1558" i="45" s="1"/>
  <c r="A1559" i="45" l="1"/>
  <c r="A1560" i="45" l="1"/>
  <c r="A1561" i="45" l="1"/>
  <c r="A1562" i="45" l="1"/>
  <c r="A1563" i="45" l="1"/>
  <c r="A1564" i="45" s="1"/>
  <c r="A1565" i="45" l="1"/>
  <c r="A1566" i="45" s="1"/>
  <c r="A1567" i="45" l="1"/>
  <c r="A1568" i="45" l="1"/>
  <c r="A1569" i="45" l="1"/>
  <c r="A1570" i="45" s="1"/>
  <c r="A1571" i="45" l="1"/>
  <c r="A1572" i="45" l="1"/>
  <c r="A1573" i="45" l="1"/>
  <c r="A1574" i="45" l="1"/>
  <c r="A1575" i="45" s="1"/>
  <c r="A1576" i="45" s="1"/>
  <c r="A1577" i="45" s="1"/>
  <c r="A1578" i="45" s="1"/>
  <c r="A1579" i="45" s="1"/>
  <c r="A1580" i="45" s="1"/>
  <c r="A1581" i="45" s="1"/>
  <c r="A1582" i="45" s="1"/>
  <c r="A1583" i="45" s="1"/>
  <c r="A1585" i="45" l="1"/>
  <c r="A1584" i="45"/>
  <c r="A1586" i="45" l="1"/>
  <c r="A1587" i="45" s="1"/>
  <c r="A1588" i="45" s="1"/>
  <c r="A1589" i="45" l="1"/>
  <c r="A1590" i="45" s="1"/>
  <c r="A1591" i="45" l="1"/>
  <c r="A1592" i="45" s="1"/>
  <c r="A1593" i="45" s="1"/>
  <c r="A1594" i="45" l="1"/>
  <c r="A1595" i="45" s="1"/>
  <c r="A1596" i="45" s="1"/>
  <c r="A1597" i="45" l="1"/>
  <c r="A1598" i="45" l="1"/>
  <c r="A1599" i="45" s="1"/>
  <c r="A1600" i="45" s="1"/>
  <c r="A1601" i="45" s="1"/>
  <c r="A1602" i="45" s="1"/>
  <c r="A1603" i="45" s="1"/>
  <c r="A1604" i="45" s="1"/>
  <c r="A1605" i="45" s="1"/>
  <c r="A1606" i="45" s="1"/>
  <c r="A1607" i="45" s="1"/>
  <c r="A1608" i="45" s="1"/>
  <c r="A1609" i="45" s="1"/>
  <c r="A1610" i="45" s="1"/>
  <c r="A1611" i="45" s="1"/>
  <c r="A1612" i="45" s="1"/>
  <c r="A1613" i="45" s="1"/>
  <c r="A1614" i="45" s="1"/>
  <c r="A1615" i="45" s="1"/>
  <c r="A1616" i="45" s="1"/>
  <c r="A1617" i="45" s="1"/>
  <c r="A1618" i="45" s="1"/>
  <c r="A1619" i="45" s="1"/>
  <c r="A1620" i="45" s="1"/>
  <c r="A1621" i="45" s="1"/>
  <c r="A1622" i="45" s="1"/>
  <c r="A1623" i="45" s="1"/>
  <c r="A1624" i="45" s="1"/>
  <c r="A1626" i="45" l="1"/>
  <c r="A1625" i="45"/>
  <c r="A1627" i="45" l="1"/>
  <c r="A1629" i="45" l="1"/>
  <c r="A1628" i="45"/>
  <c r="A1630" i="45" l="1"/>
  <c r="A1631" i="45" l="1"/>
  <c r="A1632" i="45" l="1"/>
  <c r="A1633" i="45" l="1"/>
  <c r="A1634" i="45" s="1"/>
  <c r="A1635" i="45" l="1"/>
  <c r="A1636" i="45" s="1"/>
  <c r="A1637" i="45" s="1"/>
  <c r="A1638" i="45" l="1"/>
  <c r="A1639" i="45" l="1"/>
  <c r="A1640" i="45" l="1"/>
  <c r="A1641" i="45" l="1"/>
  <c r="A1642" i="45" l="1"/>
  <c r="A1643" i="45" l="1"/>
  <c r="A1644" i="45" l="1"/>
  <c r="A1645" i="45" l="1"/>
  <c r="A1646" i="45" l="1"/>
  <c r="A1647" i="45" s="1"/>
  <c r="A1648" i="45" l="1"/>
  <c r="A1649" i="45" l="1"/>
  <c r="A1650" i="45" l="1"/>
  <c r="A1651" i="45" s="1"/>
  <c r="A1652" i="45" s="1"/>
  <c r="A1653" i="45" l="1"/>
  <c r="A1654" i="45" l="1"/>
  <c r="A1655" i="45" l="1"/>
  <c r="A1656" i="45" l="1"/>
  <c r="A1657" i="45" l="1"/>
  <c r="A1658" i="45" l="1"/>
  <c r="A1659" i="45" l="1"/>
  <c r="A1660" i="45" l="1"/>
  <c r="A1661" i="45" l="1"/>
  <c r="A1662" i="45" s="1"/>
  <c r="A1663" i="45" l="1"/>
  <c r="A1664" i="45" l="1"/>
  <c r="A1665" i="45" l="1"/>
  <c r="A1666" i="45" l="1"/>
  <c r="A1667" i="45" l="1"/>
  <c r="A1668" i="45" l="1"/>
  <c r="A1669" i="45" l="1"/>
  <c r="A1670" i="45" l="1"/>
  <c r="A1671" i="45" s="1"/>
  <c r="A1672" i="45" l="1"/>
  <c r="A1673" i="45" l="1"/>
  <c r="A1674" i="45" l="1"/>
  <c r="A1675" i="45" l="1"/>
  <c r="A1676" i="45" l="1"/>
  <c r="A1677" i="45" s="1"/>
  <c r="A1678" i="45" l="1"/>
  <c r="A1679" i="45" l="1"/>
  <c r="A1680" i="45" l="1"/>
  <c r="A1681" i="45" l="1"/>
  <c r="A1682" i="45" l="1"/>
  <c r="A1683" i="45" l="1"/>
  <c r="A1684" i="45" l="1"/>
  <c r="A1685" i="45" l="1"/>
  <c r="A1686" i="45" l="1"/>
  <c r="A1687" i="45" l="1"/>
  <c r="A1688" i="45" l="1"/>
  <c r="A1689" i="45" l="1"/>
  <c r="A1690" i="45" l="1"/>
  <c r="A1691" i="45" l="1"/>
  <c r="A1692" i="45" l="1"/>
  <c r="A1693" i="45" s="1"/>
  <c r="A1694" i="45" s="1"/>
  <c r="A1695" i="45" s="1"/>
  <c r="A1696" i="45" l="1"/>
  <c r="A1697" i="45" s="1"/>
  <c r="A1698" i="45" l="1"/>
  <c r="A1699" i="45" l="1"/>
  <c r="A1702" i="45" l="1"/>
  <c r="A1700" i="45"/>
  <c r="A1701" i="45" l="1"/>
  <c r="A1710" i="45" s="1"/>
  <c r="A1703" i="45" l="1"/>
  <c r="A1704" i="45" s="1"/>
  <c r="A1707" i="45" l="1"/>
  <c r="A1705" i="45"/>
  <c r="A1709" i="45" l="1"/>
  <c r="A1708" i="45"/>
  <c r="A1711" i="45" l="1"/>
  <c r="A1712" i="45" s="1"/>
  <c r="A1713" i="45" l="1"/>
  <c r="A1714" i="45" l="1"/>
  <c r="A1715" i="45" l="1"/>
  <c r="A1716" i="45" l="1"/>
  <c r="A1717" i="45" l="1"/>
  <c r="A1718" i="45" s="1"/>
  <c r="A1719" i="45" l="1"/>
  <c r="A1720" i="45" l="1"/>
  <c r="A1721" i="45" l="1"/>
  <c r="A1723" i="45" l="1"/>
  <c r="A1722" i="45"/>
  <c r="A1724" i="45" l="1"/>
  <c r="A1725" i="45" l="1"/>
  <c r="A1726" i="45" l="1"/>
  <c r="A1731" i="45" l="1"/>
  <c r="A1727" i="45"/>
  <c r="A1728" i="45" s="1"/>
  <c r="A1729" i="45" s="1"/>
  <c r="A1730" i="45" l="1"/>
  <c r="A1732" i="45" l="1"/>
  <c r="A1733" i="45" l="1"/>
  <c r="A1734" i="45" s="1"/>
  <c r="A1735" i="45" l="1"/>
  <c r="A1736" i="45" s="1"/>
  <c r="A1737" i="45" l="1"/>
  <c r="A1738" i="45" s="1"/>
  <c r="A1739" i="45" l="1"/>
  <c r="A1740" i="45" s="1"/>
  <c r="A1741" i="45" s="1"/>
  <c r="A1742" i="45" l="1"/>
  <c r="A1743" i="45" l="1"/>
  <c r="A1744" i="45" l="1"/>
  <c r="A1745" i="45" l="1"/>
  <c r="A1746" i="45" l="1"/>
  <c r="A1747" i="45" l="1"/>
  <c r="A1748" i="45" l="1"/>
  <c r="A1749" i="45" l="1"/>
  <c r="A1750" i="45" l="1"/>
  <c r="A1751" i="45" l="1"/>
  <c r="A1752" i="45" l="1"/>
  <c r="A1753" i="45" l="1"/>
  <c r="A1754" i="45" l="1"/>
  <c r="A1755" i="45" l="1"/>
  <c r="A1756" i="45" l="1"/>
  <c r="A1759" i="45"/>
  <c r="A1757" i="45"/>
  <c r="A1758" i="45"/>
  <c r="A1764" i="45" l="1"/>
  <c r="A1760" i="45"/>
  <c r="A1761" i="45" l="1"/>
  <c r="A1763" i="45" l="1"/>
  <c r="A1762" i="45"/>
  <c r="A1765" i="45" l="1"/>
  <c r="A1766" i="45" l="1"/>
  <c r="A1767" i="45" l="1"/>
  <c r="A1768" i="45" l="1"/>
  <c r="A1769" i="45" l="1"/>
  <c r="A1770" i="45" s="1"/>
  <c r="A1771" i="45" s="1"/>
  <c r="A1772" i="45" s="1"/>
  <c r="A1773" i="45" s="1"/>
  <c r="A1774" i="45" s="1"/>
  <c r="A1776" i="45" l="1"/>
  <c r="A1775" i="45"/>
  <c r="A1777" i="45" l="1"/>
  <c r="A1778" i="45" s="1"/>
  <c r="A1779" i="45" l="1"/>
  <c r="A1780" i="45" s="1"/>
  <c r="A1781" i="45" l="1"/>
  <c r="A1782" i="45" s="1"/>
  <c r="A1783" i="45" s="1"/>
  <c r="A1784" i="45" s="1"/>
  <c r="A1785" i="45" s="1"/>
  <c r="A1786" i="45" s="1"/>
  <c r="A1787" i="45" s="1"/>
  <c r="A1788" i="45" s="1"/>
  <c r="A1789" i="45" s="1"/>
  <c r="A1790" i="45" s="1"/>
  <c r="A1791" i="45" s="1"/>
  <c r="A1792" i="45" s="1"/>
  <c r="A1793" i="45" s="1"/>
  <c r="A1794" i="45" s="1"/>
  <c r="A1795" i="45" s="1"/>
  <c r="A1796" i="45" s="1"/>
  <c r="A1797" i="45" s="1"/>
  <c r="A1798" i="45" s="1"/>
  <c r="A1799" i="45" s="1"/>
  <c r="A1800" i="45" s="1"/>
  <c r="A1801" i="45" s="1"/>
  <c r="A1802" i="45" s="1"/>
  <c r="A1803" i="45" s="1"/>
  <c r="A1804" i="45" s="1"/>
  <c r="A1805" i="45" s="1"/>
  <c r="A1806" i="45" l="1"/>
  <c r="A1807" i="45" l="1"/>
  <c r="A1808" i="45" l="1"/>
  <c r="A1809" i="45" l="1"/>
  <c r="A1810" i="45" l="1"/>
  <c r="A1811" i="45" l="1"/>
  <c r="A1812" i="45" l="1"/>
  <c r="A1813" i="45" l="1"/>
  <c r="A1814" i="45" l="1"/>
  <c r="A1815" i="45" l="1"/>
  <c r="A1816" i="45" s="1"/>
  <c r="A1817" i="45" s="1"/>
  <c r="A1818" i="45" s="1"/>
  <c r="A1819" i="45" s="1"/>
  <c r="A1820" i="45" s="1"/>
  <c r="A1821" i="45" s="1"/>
  <c r="A1822" i="45" s="1"/>
  <c r="A1823" i="45" s="1"/>
  <c r="A1824" i="45" s="1"/>
  <c r="A1826" i="45" l="1"/>
  <c r="A1825" i="45"/>
  <c r="A1827" i="45" l="1"/>
  <c r="A1828" i="45" l="1"/>
  <c r="A1829" i="45" l="1"/>
  <c r="A1830" i="45" s="1"/>
  <c r="A1831" i="45" l="1"/>
  <c r="A1832" i="45" l="1"/>
  <c r="A1833" i="45" l="1"/>
  <c r="A1834" i="45" l="1"/>
  <c r="A1835" i="45" l="1"/>
  <c r="A1836" i="45" s="1"/>
  <c r="A1837" i="45" s="1"/>
  <c r="A1838" i="45" s="1"/>
  <c r="A1839" i="45" l="1"/>
  <c r="A1840" i="45" l="1"/>
  <c r="A1841" i="45" l="1"/>
  <c r="A1842" i="45" l="1"/>
  <c r="A1843" i="45" l="1"/>
  <c r="A1844" i="45" l="1"/>
  <c r="A1845" i="45" s="1"/>
  <c r="A1846" i="45" l="1"/>
  <c r="A1847" i="45" s="1"/>
  <c r="A1848" i="45" s="1"/>
  <c r="A1849" i="45" s="1"/>
  <c r="A1850" i="45" s="1"/>
  <c r="A1851" i="45" l="1"/>
  <c r="A1858" i="45"/>
  <c r="A1859" i="45"/>
  <c r="A1852" i="45" l="1"/>
  <c r="A1854" i="45" l="1"/>
  <c r="A1853" i="45"/>
  <c r="A1855" i="45" l="1"/>
  <c r="A1856" i="45" s="1"/>
  <c r="A1857" i="45" l="1"/>
  <c r="A1860" i="45" l="1"/>
  <c r="A1861" i="45" l="1"/>
  <c r="A1862" i="45" s="1"/>
  <c r="A1863" i="45" s="1"/>
  <c r="A1864" i="45" s="1"/>
  <c r="A1865" i="45" l="1"/>
  <c r="A1866" i="45" l="1"/>
  <c r="A1867" i="45" l="1"/>
  <c r="A1868" i="45" l="1"/>
  <c r="A1869" i="45" l="1"/>
  <c r="A1871" i="45" l="1"/>
  <c r="A1870" i="45"/>
  <c r="A1872" i="45" l="1"/>
  <c r="A1873" i="45" s="1"/>
  <c r="A1874" i="45" s="1"/>
  <c r="A1875" i="45" s="1"/>
  <c r="A1876" i="45" l="1"/>
  <c r="A1885" i="45"/>
  <c r="A1877" i="45" l="1"/>
  <c r="A1878" i="45" l="1"/>
  <c r="A1879" i="45" l="1"/>
  <c r="A1880" i="45" l="1"/>
  <c r="A1881" i="45" l="1"/>
  <c r="A1882" i="45" l="1"/>
  <c r="A1883" i="45" s="1"/>
  <c r="A1884" i="45" l="1"/>
  <c r="A1886" i="45" l="1"/>
  <c r="A1887" i="45" l="1"/>
  <c r="A1888" i="45" l="1"/>
  <c r="A1889" i="45" l="1"/>
  <c r="A1890" i="45" l="1"/>
  <c r="A1891" i="45" l="1"/>
  <c r="A1892" i="45" l="1"/>
  <c r="A1893" i="45" l="1"/>
  <c r="A1894" i="45" s="1"/>
  <c r="A1895" i="45" l="1"/>
  <c r="A1896" i="45" l="1"/>
  <c r="A1897" i="45" l="1"/>
  <c r="A1898" i="45" l="1"/>
  <c r="A1899" i="45" s="1"/>
  <c r="A1900" i="45" s="1"/>
  <c r="A1901" i="45" s="1"/>
  <c r="A1902" i="45" s="1"/>
  <c r="A1903" i="45" s="1"/>
  <c r="A1904" i="45" s="1"/>
  <c r="A1905" i="45" s="1"/>
  <c r="A1906" i="45" s="1"/>
  <c r="A1907" i="45" s="1"/>
  <c r="A1908" i="45" s="1"/>
  <c r="A1909" i="45" s="1"/>
  <c r="A1915" i="45" l="1"/>
  <c r="A1910" i="45"/>
  <c r="A1911" i="45" l="1"/>
  <c r="A1912" i="45" l="1"/>
  <c r="A1914" i="45"/>
  <c r="A1913" i="45" l="1"/>
  <c r="A1916" i="45" l="1"/>
  <c r="A1917" i="45" l="1"/>
  <c r="A1918" i="45" l="1"/>
  <c r="A1919" i="45" l="1"/>
  <c r="A1920" i="45" l="1"/>
  <c r="A1921" i="45" l="1"/>
  <c r="A1922" i="45" l="1"/>
  <c r="A1923" i="45" l="1"/>
  <c r="A1924" i="45" s="1"/>
  <c r="A1925" i="45" s="1"/>
  <c r="A1926" i="45" s="1"/>
  <c r="A1927" i="45" l="1"/>
  <c r="A1928" i="45"/>
  <c r="A1929" i="45" l="1"/>
  <c r="A1931" i="45" l="1"/>
  <c r="A1930" i="45"/>
  <c r="A1932" i="45" l="1"/>
  <c r="A1933" i="45"/>
  <c r="A1934" i="45" s="1"/>
  <c r="A1935" i="45" s="1"/>
  <c r="A1936" i="45" s="1"/>
  <c r="A1937" i="45" s="1"/>
  <c r="A1938" i="45" s="1"/>
  <c r="A1939" i="45" s="1"/>
  <c r="A1940" i="45" s="1"/>
  <c r="A1941" i="45" s="1"/>
  <c r="A1942" i="45" s="1"/>
  <c r="A1943" i="45" s="1"/>
  <c r="A1944" i="45" s="1"/>
  <c r="A1945" i="45" s="1"/>
  <c r="A1946" i="45" s="1"/>
  <c r="A1947" i="45" s="1"/>
  <c r="A1948" i="45" s="1"/>
  <c r="A1949" i="45" s="1"/>
  <c r="A1950" i="45" s="1"/>
  <c r="A1951" i="45" s="1"/>
  <c r="A1952" i="45" l="1"/>
  <c r="A1953" i="45" l="1"/>
  <c r="A1954" i="45" l="1"/>
  <c r="A1955" i="45" l="1"/>
  <c r="A1956" i="45" s="1"/>
  <c r="A1957" i="45" s="1"/>
  <c r="A1958" i="45" s="1"/>
  <c r="A1959" i="45" l="1"/>
  <c r="A1960" i="45" l="1"/>
  <c r="A1961" i="45" l="1"/>
  <c r="A1962" i="45" s="1"/>
  <c r="A1963" i="45" l="1"/>
  <c r="A1964" i="45" s="1"/>
  <c r="A1965" i="45" s="1"/>
  <c r="A1966" i="45" l="1"/>
  <c r="A1967" i="45" s="1"/>
  <c r="A1968" i="45" l="1"/>
  <c r="A1969" i="45" s="1"/>
  <c r="A1970" i="45" s="1"/>
  <c r="A1971" i="45" s="1"/>
  <c r="A1972" i="45" l="1"/>
  <c r="A1973" i="45" l="1"/>
  <c r="A1974" i="45" s="1"/>
  <c r="A1975" i="45" s="1"/>
  <c r="A1976" i="45" s="1"/>
  <c r="A1977" i="45" s="1"/>
  <c r="A1978" i="45" s="1"/>
  <c r="A1979" i="45" s="1"/>
  <c r="A1980" i="45" s="1"/>
  <c r="A1981" i="45" s="1"/>
  <c r="A1982" i="45" s="1"/>
  <c r="A1983" i="45" s="1"/>
  <c r="A1984" i="45" s="1"/>
  <c r="A1985" i="45" s="1"/>
  <c r="A1986" i="45" s="1"/>
  <c r="A1987" i="45" s="1"/>
  <c r="A1988" i="45" s="1"/>
  <c r="A1989" i="45" s="1"/>
  <c r="A1990" i="45" s="1"/>
  <c r="A1991" i="45" s="1"/>
  <c r="A1992" i="45" s="1"/>
  <c r="A1993" i="45" s="1"/>
  <c r="A1994" i="45" s="1"/>
  <c r="A1995" i="45" s="1"/>
  <c r="A1996" i="45" s="1"/>
  <c r="A1997" i="45" s="1"/>
  <c r="A1998" i="45" s="1"/>
  <c r="A1999" i="45" s="1"/>
  <c r="A2000" i="45" s="1"/>
  <c r="A2001" i="45" s="1"/>
  <c r="A2002" i="45" s="1"/>
  <c r="A2003" i="45" s="1"/>
  <c r="A2004" i="45" l="1"/>
  <c r="A2005" i="45"/>
  <c r="A2006" i="45" l="1"/>
  <c r="A2007" i="45" l="1"/>
  <c r="A2008" i="45" l="1"/>
  <c r="A2009" i="45" l="1"/>
  <c r="A2010" i="45" l="1"/>
  <c r="A2011" i="45" l="1"/>
  <c r="A2012" i="45" l="1"/>
  <c r="A2013" i="45" l="1"/>
  <c r="A2014" i="45" l="1"/>
  <c r="A2018" i="45" l="1"/>
  <c r="A2015" i="45"/>
  <c r="A2016" i="45" l="1"/>
  <c r="A2017" i="45"/>
  <c r="A2019" i="45" l="1"/>
  <c r="A2020" i="45"/>
  <c r="A2021" i="45" l="1"/>
  <c r="A2022" i="45" l="1"/>
  <c r="A2023" i="45" l="1"/>
  <c r="A2024" i="45" l="1"/>
  <c r="A2025" i="45" l="1"/>
  <c r="A2026" i="45" l="1"/>
  <c r="A2027" i="45" l="1"/>
  <c r="A2028" i="45" s="1"/>
  <c r="A2029" i="45" s="1"/>
  <c r="A2030" i="45" s="1"/>
  <c r="A2031" i="45" s="1"/>
  <c r="A2032" i="45" s="1"/>
  <c r="A2033" i="45" s="1"/>
  <c r="A2034" i="45" s="1"/>
  <c r="A2035" i="45" s="1"/>
  <c r="A2040" i="45" l="1"/>
  <c r="A2037" i="45"/>
  <c r="A2036" i="45"/>
  <c r="A2038" i="45" l="1"/>
  <c r="A2039" i="45" l="1"/>
  <c r="A2041" i="45" s="1"/>
  <c r="A2042" i="45" l="1"/>
  <c r="A2043" i="45" l="1"/>
  <c r="A2044" i="45" l="1"/>
  <c r="A2045" i="45" l="1"/>
  <c r="A2046" i="45" l="1"/>
  <c r="A2047" i="45" s="1"/>
  <c r="A2048" i="45" s="1"/>
  <c r="A2049" i="45" s="1"/>
  <c r="A2050" i="45" s="1"/>
  <c r="A2051" i="45" s="1"/>
  <c r="A2052" i="45" s="1"/>
  <c r="A2053" i="45" s="1"/>
  <c r="A2055" i="45" l="1"/>
  <c r="A2054" i="45"/>
  <c r="A2056" i="45" l="1"/>
  <c r="A2057" i="45" s="1"/>
  <c r="A2058" i="45" s="1"/>
  <c r="A2059" i="45" s="1"/>
  <c r="A2060" i="45" s="1"/>
  <c r="A2061" i="45" s="1"/>
  <c r="A2062" i="45" s="1"/>
  <c r="A2063" i="45" s="1"/>
  <c r="A2066" i="45" l="1"/>
  <c r="A2064" i="45"/>
  <c r="A2065" i="45" l="1"/>
  <c r="A2067" i="45" s="1"/>
  <c r="A2068" i="45" l="1"/>
  <c r="A2069" i="45" l="1"/>
  <c r="A2070" i="45" l="1"/>
  <c r="A2071" i="45" l="1"/>
  <c r="A2072" i="45" l="1"/>
  <c r="A2073" i="45"/>
  <c r="A2074" i="45" l="1"/>
  <c r="A2075" i="45" s="1"/>
  <c r="A2076" i="45" s="1"/>
  <c r="A2077" i="45" l="1"/>
  <c r="A2078" i="45" l="1"/>
  <c r="A2079" i="45" s="1"/>
  <c r="A2080" i="45" l="1"/>
  <c r="A2081" i="45" s="1"/>
  <c r="A2082" i="45" l="1"/>
  <c r="A2083" i="45" l="1"/>
  <c r="A2084" i="45" s="1"/>
  <c r="A2085" i="45" l="1"/>
  <c r="A2086" i="45" l="1"/>
  <c r="A2087" i="45" l="1"/>
  <c r="A2088" i="45" s="1"/>
  <c r="A2089" i="45" s="1"/>
  <c r="A2090" i="45" l="1"/>
  <c r="A2091" i="45" l="1"/>
  <c r="A2092" i="45" s="1"/>
  <c r="A2093" i="45" s="1"/>
  <c r="A2094" i="45" l="1"/>
  <c r="A2095" i="45" l="1"/>
  <c r="A2096" i="45" l="1"/>
  <c r="A2097" i="45" l="1"/>
  <c r="A2098" i="45" l="1"/>
  <c r="A2099" i="45" l="1"/>
  <c r="A2100" i="45" l="1"/>
  <c r="A2101" i="45" l="1"/>
  <c r="A2103" i="45" l="1"/>
  <c r="A2102" i="45"/>
  <c r="A2104" i="45" l="1"/>
  <c r="A2105" i="45" s="1"/>
  <c r="A2106" i="45" s="1"/>
  <c r="A2107" i="45" s="1"/>
  <c r="A2108" i="45" s="1"/>
  <c r="A2109" i="45" s="1"/>
  <c r="A2110" i="45" s="1"/>
  <c r="A2111" i="45" s="1"/>
  <c r="A2112" i="45" s="1"/>
  <c r="A2113" i="45" s="1"/>
  <c r="A2114" i="45" s="1"/>
  <c r="A2115" i="45" s="1"/>
  <c r="A2116" i="45" s="1"/>
  <c r="A2117" i="45" s="1"/>
  <c r="A2118" i="45" l="1"/>
  <c r="A2119" i="45" s="1"/>
  <c r="A2120" i="45"/>
  <c r="A2121" i="45" l="1"/>
  <c r="A2122" i="45" s="1"/>
  <c r="A2123" i="45" s="1"/>
  <c r="A2124" i="45" s="1"/>
  <c r="A2125" i="45" s="1"/>
  <c r="A2126" i="45" s="1"/>
  <c r="A2127" i="45" s="1"/>
  <c r="A2128" i="45" s="1"/>
  <c r="A2130" i="45" l="1"/>
  <c r="A2129" i="45"/>
  <c r="A2131" i="45" s="1"/>
  <c r="A2132" i="45" l="1"/>
  <c r="A2133" i="45" l="1"/>
  <c r="A2134" i="45"/>
  <c r="A2135" i="45"/>
  <c r="A2136" i="45" s="1"/>
  <c r="A2137" i="45" l="1"/>
  <c r="A2138" i="45" l="1"/>
  <c r="A2139" i="45" l="1"/>
  <c r="A2140" i="45" l="1"/>
  <c r="A2141" i="45" l="1"/>
  <c r="A2142" i="45"/>
  <c r="A2151" i="45" l="1"/>
  <c r="A2143" i="45"/>
  <c r="A2144" i="45" s="1"/>
  <c r="A2149" i="45" l="1"/>
  <c r="A2145" i="45"/>
  <c r="A2146" i="45"/>
  <c r="A2150" i="45"/>
  <c r="A2148" i="45"/>
  <c r="A2147" i="45" l="1"/>
  <c r="A2152" i="45" s="1"/>
  <c r="A2153" i="45" l="1"/>
  <c r="A2154" i="45" s="1"/>
  <c r="A2155" i="45" s="1"/>
  <c r="A2156" i="45" l="1"/>
  <c r="A2157" i="45" s="1"/>
  <c r="A2158" i="45" s="1"/>
  <c r="A2159" i="45" l="1"/>
  <c r="A2160" i="45" s="1"/>
  <c r="A2161" i="45" l="1"/>
  <c r="A2162" i="45" s="1"/>
  <c r="A2163" i="45" l="1"/>
  <c r="A2164" i="45" l="1"/>
  <c r="A2165" i="45" l="1"/>
  <c r="A2166" i="45"/>
  <c r="A2167" i="45" l="1"/>
  <c r="A2168" i="45" s="1"/>
  <c r="A2169" i="45" l="1"/>
  <c r="A2170" i="45" s="1"/>
  <c r="A2171" i="45" l="1"/>
  <c r="A2172" i="45" l="1"/>
  <c r="A2173" i="45" s="1"/>
  <c r="A2174" i="45" l="1"/>
  <c r="A2175" i="45" l="1"/>
  <c r="A2176" i="45" l="1"/>
  <c r="A2177" i="45" l="1"/>
  <c r="A2178" i="45" s="1"/>
  <c r="A2180" i="45" l="1"/>
  <c r="A2184" i="45"/>
  <c r="A2179" i="45"/>
  <c r="A2181" i="45" l="1"/>
  <c r="A2182" i="45" l="1"/>
  <c r="A2183" i="45"/>
  <c r="A2185" i="45" l="1"/>
  <c r="A2186" i="45" s="1"/>
  <c r="A2187" i="45" l="1"/>
  <c r="A2188" i="45" l="1"/>
  <c r="A2189" i="45" l="1"/>
  <c r="A2190" i="45" s="1"/>
  <c r="A2191" i="45" s="1"/>
  <c r="A2192" i="45" s="1"/>
  <c r="A2193" i="45" l="1"/>
  <c r="A2194" i="45" s="1"/>
  <c r="A2195" i="45" s="1"/>
  <c r="A2196" i="45" l="1"/>
  <c r="A2197" i="45" l="1"/>
  <c r="A2198" i="45" l="1"/>
  <c r="A2199" i="45" s="1"/>
  <c r="A2200" i="45" l="1"/>
  <c r="A2201" i="45" l="1"/>
  <c r="A2202" i="45" s="1"/>
  <c r="A2203" i="45" s="1"/>
  <c r="A2204" i="45" s="1"/>
  <c r="A2205" i="45" l="1"/>
  <c r="A2206" i="45" l="1"/>
  <c r="A2207" i="45" s="1"/>
  <c r="A2208" i="45" l="1"/>
  <c r="A2209" i="45" l="1"/>
  <c r="A2210" i="45" l="1"/>
  <c r="A2211" i="45" s="1"/>
  <c r="A2212" i="45" s="1"/>
  <c r="A2213" i="45" s="1"/>
  <c r="A2214" i="45" s="1"/>
  <c r="A2215" i="45" s="1"/>
  <c r="A2217" i="45" l="1"/>
  <c r="A2216" i="45"/>
  <c r="A2218" i="45" l="1"/>
  <c r="A2219" i="45" s="1"/>
  <c r="A2220" i="45" l="1"/>
  <c r="A2221" i="45" s="1"/>
  <c r="A2223" i="45" l="1"/>
  <c r="A2222" i="45"/>
  <c r="A2224" i="45" l="1"/>
  <c r="A2225" i="45" l="1"/>
  <c r="A2226" i="45" s="1"/>
  <c r="A2227" i="45" s="1"/>
  <c r="A2228" i="45" l="1"/>
  <c r="A2229" i="45" s="1"/>
  <c r="A2230" i="45" l="1"/>
  <c r="A2231" i="45" l="1"/>
  <c r="A2232" i="45" l="1"/>
  <c r="A2233" i="45" l="1"/>
  <c r="A2234" i="45" s="1"/>
  <c r="A2235" i="45" l="1"/>
  <c r="A2236" i="45" s="1"/>
  <c r="A2237" i="45" s="1"/>
  <c r="A2238" i="45" s="1"/>
  <c r="A2239" i="45" l="1"/>
  <c r="A2240" i="45" s="1"/>
  <c r="A2241" i="45" l="1"/>
  <c r="A2242" i="45" s="1"/>
  <c r="A2243" i="45" l="1"/>
  <c r="A2244" i="45" l="1"/>
  <c r="A2245" i="45" l="1"/>
  <c r="A2246" i="45" l="1"/>
  <c r="A2247" i="45" l="1"/>
  <c r="A2248" i="45" s="1"/>
  <c r="A2249" i="45" s="1"/>
  <c r="A2250" i="45" l="1"/>
  <c r="A2251" i="45" s="1"/>
  <c r="A2252" i="45" s="1"/>
  <c r="A2253" i="45" l="1"/>
  <c r="A2258" i="45" s="1"/>
  <c r="A2260" i="45" l="1"/>
  <c r="A2254" i="45"/>
  <c r="A2255" i="45" l="1"/>
  <c r="A2256" i="45" l="1"/>
  <c r="A2257" i="45" l="1"/>
  <c r="A2259" i="45" l="1"/>
  <c r="A2261" i="45" l="1"/>
  <c r="A2262" i="45" l="1"/>
  <c r="A2263" i="45" l="1"/>
  <c r="A2264" i="45" l="1"/>
  <c r="A2265" i="45" s="1"/>
  <c r="A2266" i="45" s="1"/>
  <c r="A2267" i="45" l="1"/>
  <c r="A2268" i="45" s="1"/>
  <c r="A2269" i="45" s="1"/>
  <c r="A2270" i="45" l="1"/>
  <c r="A2271" i="45" l="1"/>
  <c r="A2272" i="45" l="1"/>
  <c r="A2273" i="45" l="1"/>
  <c r="A2275" i="45"/>
  <c r="A2274" i="45" l="1"/>
  <c r="A2277" i="45" l="1"/>
  <c r="A2280" i="45"/>
  <c r="A2276" i="45"/>
  <c r="A2278" i="45"/>
  <c r="A2279" i="45" s="1"/>
  <c r="A2281" i="45" l="1"/>
  <c r="A2282" i="45" s="1"/>
  <c r="A2283" i="45" l="1"/>
  <c r="A2284" i="45" l="1"/>
  <c r="A2285" i="45" l="1"/>
  <c r="A2286" i="45" l="1"/>
  <c r="A2287" i="45" l="1"/>
  <c r="A2288" i="45" s="1"/>
  <c r="A2289" i="45" s="1"/>
  <c r="A2290" i="45" l="1"/>
  <c r="A2291" i="45" l="1"/>
  <c r="A2292" i="45" s="1"/>
  <c r="A2293" i="45" l="1"/>
  <c r="A2294" i="45" l="1"/>
  <c r="A2295" i="45" l="1"/>
  <c r="A2296" i="45" s="1"/>
  <c r="A2297" i="45" s="1"/>
  <c r="A2298" i="45" l="1"/>
  <c r="A2299" i="45" s="1"/>
  <c r="A2303" i="45" l="1"/>
  <c r="A2304" i="45"/>
  <c r="A2302" i="45"/>
  <c r="A2300" i="45"/>
  <c r="A2301" i="45"/>
  <c r="A2305" i="45" s="1"/>
  <c r="A2306" i="45" s="1"/>
  <c r="A2307" i="45" l="1"/>
  <c r="A2308" i="45" l="1"/>
  <c r="A2309" i="45" l="1"/>
  <c r="A2310" i="45" l="1"/>
  <c r="A2311" i="45" l="1"/>
  <c r="A2312" i="45" s="1"/>
  <c r="A2313" i="45" l="1"/>
  <c r="A2314" i="45" l="1"/>
  <c r="A2315" i="45" s="1"/>
  <c r="A2316" i="45" s="1"/>
  <c r="A2317" i="45" l="1"/>
  <c r="A2318" i="45" l="1"/>
  <c r="A2319" i="45" s="1"/>
  <c r="A2320" i="45" l="1"/>
  <c r="A2321" i="45" l="1"/>
  <c r="A2322" i="45" l="1"/>
  <c r="A2323" i="45" l="1"/>
  <c r="A2324" i="45" l="1"/>
  <c r="A2330" i="45"/>
  <c r="A2325" i="45" l="1"/>
  <c r="A2326" i="45" l="1"/>
  <c r="A2327" i="45" l="1"/>
  <c r="A2328" i="45" s="1"/>
  <c r="A2329" i="45" s="1"/>
  <c r="A2331" i="45" l="1"/>
  <c r="A2332" i="45" l="1"/>
  <c r="A2333" i="45" l="1"/>
  <c r="A2334" i="45" l="1"/>
  <c r="A2335" i="45" l="1"/>
  <c r="A2336" i="45" l="1"/>
  <c r="A2337" i="45" l="1"/>
  <c r="A2338" i="45" l="1"/>
  <c r="A2339" i="45" s="1"/>
  <c r="A2340" i="45" s="1"/>
  <c r="A2341" i="45" s="1"/>
  <c r="A2342" i="45" s="1"/>
  <c r="A2343" i="45" s="1"/>
  <c r="A2344" i="45" s="1"/>
  <c r="A2345" i="45" s="1"/>
  <c r="A2346" i="45" s="1"/>
  <c r="A2347" i="45" s="1"/>
  <c r="A2348" i="45" s="1"/>
  <c r="A2349" i="45" s="1"/>
  <c r="A2350" i="45" l="1"/>
  <c r="A2351" i="45" l="1"/>
  <c r="A2352" i="45" l="1"/>
  <c r="A2353" i="45" l="1"/>
  <c r="A2354" i="45" l="1"/>
  <c r="A2355" i="45" l="1"/>
  <c r="A2356" i="45" l="1"/>
  <c r="A2357" i="45" s="1"/>
  <c r="A2358" i="45" l="1"/>
  <c r="A2359" i="45" s="1"/>
  <c r="A2360" i="45" s="1"/>
  <c r="A2361" i="45" l="1"/>
  <c r="A2362" i="45" l="1"/>
  <c r="A2363" i="45" l="1"/>
  <c r="A2364" i="45" l="1"/>
  <c r="A2365" i="45" l="1"/>
  <c r="A2366" i="45" l="1"/>
  <c r="A2367" i="45" l="1"/>
  <c r="A2368" i="45" l="1"/>
  <c r="A2369" i="45" l="1"/>
  <c r="A2370" i="45" l="1"/>
  <c r="A2371" i="45" l="1"/>
  <c r="A2372" i="45" l="1"/>
  <c r="A2373" i="45" l="1"/>
  <c r="A2374" i="45" l="1"/>
  <c r="A2375" i="45"/>
  <c r="A2376" i="45" l="1"/>
  <c r="A2377" i="45" s="1"/>
  <c r="A2378" i="45" s="1"/>
  <c r="A2379" i="45" s="1"/>
  <c r="A2381" i="45" l="1"/>
  <c r="A2380" i="45"/>
  <c r="A2382" i="45" l="1"/>
  <c r="A2383" i="45" s="1"/>
  <c r="A2384" i="45" s="1"/>
  <c r="A2385" i="45" s="1"/>
  <c r="A2386" i="45" s="1"/>
  <c r="A2387" i="45" s="1"/>
  <c r="A2388" i="45" s="1"/>
  <c r="A2389" i="45" s="1"/>
  <c r="A2390" i="45" s="1"/>
  <c r="A2391" i="45" s="1"/>
  <c r="A2392" i="45" l="1"/>
  <c r="A2393" i="45"/>
  <c r="A2394" i="45" l="1"/>
  <c r="A2395" i="45" l="1"/>
  <c r="A2396" i="45" l="1"/>
  <c r="A2397" i="45" s="1"/>
  <c r="A2398" i="45" s="1"/>
  <c r="A2399" i="45" s="1"/>
  <c r="A2400" i="45" s="1"/>
  <c r="A2401" i="45" s="1"/>
  <c r="A2402" i="45" s="1"/>
  <c r="A2403" i="45" s="1"/>
  <c r="A2404" i="45" s="1"/>
  <c r="A2405" i="45" s="1"/>
  <c r="A2406" i="45" s="1"/>
  <c r="A2407" i="45" s="1"/>
  <c r="A2408" i="45" s="1"/>
  <c r="A2409" i="45" s="1"/>
  <c r="A2410" i="45" s="1"/>
  <c r="A2411" i="45" s="1"/>
  <c r="A2412" i="45" s="1"/>
  <c r="A2413" i="45" s="1"/>
  <c r="A2414" i="45" s="1"/>
  <c r="A2415" i="45" s="1"/>
  <c r="A2416" i="45" s="1"/>
  <c r="A2417" i="45" s="1"/>
  <c r="A2418" i="45" s="1"/>
  <c r="A2419" i="45" s="1"/>
  <c r="A2420" i="45" s="1"/>
  <c r="A2421" i="45" s="1"/>
  <c r="A2422" i="45" s="1"/>
  <c r="A2423" i="45" s="1"/>
  <c r="A2424" i="45" s="1"/>
  <c r="A2425" i="45" s="1"/>
  <c r="A2428" i="45" l="1"/>
  <c r="A2427" i="45"/>
  <c r="A2426" i="45"/>
  <c r="A2429" i="45"/>
  <c r="A2430" i="45"/>
  <c r="A2431" i="45" l="1"/>
  <c r="A2432" i="45" s="1"/>
  <c r="A2433" i="45" s="1"/>
  <c r="A2434" i="45" l="1"/>
  <c r="A2435" i="45" l="1"/>
  <c r="A2436" i="45" l="1"/>
  <c r="A2437" i="45" l="1"/>
  <c r="A2438" i="45" l="1"/>
  <c r="A2439" i="45" l="1"/>
  <c r="A2440" i="45" l="1"/>
  <c r="A2441" i="45" l="1"/>
  <c r="A2442" i="45" s="1"/>
  <c r="A2443" i="45" l="1"/>
  <c r="A2444" i="45" s="1"/>
  <c r="A2445" i="45" s="1"/>
  <c r="A2446" i="45" s="1"/>
  <c r="A2447" i="45" s="1"/>
  <c r="A2448" i="45" l="1"/>
  <c r="A2449" i="45" l="1"/>
  <c r="A2450" i="45" l="1"/>
  <c r="A2455" i="45" l="1"/>
  <c r="A2456" i="45"/>
  <c r="A2453" i="45"/>
  <c r="A2452" i="45"/>
  <c r="A2451" i="45"/>
  <c r="A2454" i="45" l="1"/>
  <c r="A2457" i="45" l="1"/>
  <c r="A2458" i="45" s="1"/>
  <c r="A2459" i="45" l="1"/>
  <c r="A2460" i="45" s="1"/>
  <c r="A2461" i="45" l="1"/>
  <c r="A2462" i="45" l="1"/>
  <c r="A2463" i="45" s="1"/>
  <c r="A2464" i="45" s="1"/>
  <c r="A2465" i="45" l="1"/>
  <c r="A2466" i="45" l="1"/>
  <c r="A2467" i="45" l="1"/>
  <c r="A2468" i="45" l="1"/>
  <c r="A2469" i="45" l="1"/>
  <c r="A2470" i="45" l="1"/>
  <c r="A2472" i="45" l="1"/>
  <c r="A2471" i="45"/>
  <c r="A2473" i="45" l="1"/>
  <c r="A2474" i="45" l="1"/>
  <c r="A2475" i="45" l="1"/>
  <c r="A2476" i="45" s="1"/>
  <c r="A2480" i="45" l="1"/>
  <c r="A2479" i="45"/>
  <c r="A2478" i="45"/>
  <c r="A2477" i="45"/>
  <c r="A2482" i="45"/>
  <c r="A2481" i="45" l="1"/>
  <c r="A2483" i="45" l="1"/>
  <c r="A2484" i="45" l="1"/>
  <c r="A2485" i="45" l="1"/>
  <c r="A2486" i="45" l="1"/>
  <c r="A2487" i="45" l="1"/>
  <c r="A2489" i="45" l="1"/>
  <c r="A2490" i="45" l="1"/>
  <c r="A2491" i="45" l="1"/>
  <c r="A2492" i="45" l="1"/>
  <c r="A2493" i="45" s="1"/>
  <c r="A2494" i="45" l="1"/>
  <c r="A2495" i="45" l="1"/>
  <c r="A2496" i="45" s="1"/>
  <c r="A2497" i="45" l="1"/>
  <c r="A2498" i="45"/>
  <c r="A2504" i="45" l="1"/>
  <c r="A2503" i="45"/>
  <c r="A2502" i="45"/>
  <c r="A2505" i="45"/>
  <c r="A2499" i="45"/>
  <c r="A2500" i="45"/>
  <c r="A2501" i="45"/>
  <c r="A2506" i="45" l="1"/>
  <c r="A2507" i="45" l="1"/>
  <c r="A2508" i="45" l="1"/>
  <c r="A2509" i="45" s="1"/>
  <c r="A2510" i="45" s="1"/>
  <c r="A2511" i="45" l="1"/>
  <c r="A2512" i="45" l="1"/>
  <c r="A2513" i="45" l="1"/>
  <c r="A2514" i="45" s="1"/>
  <c r="A2515" i="45" s="1"/>
  <c r="A2516" i="45" s="1"/>
  <c r="A2517" i="45" s="1"/>
  <c r="A2518" i="45" s="1"/>
  <c r="A2519" i="45" s="1"/>
  <c r="A2520" i="45" l="1"/>
  <c r="A2521" i="45" l="1"/>
  <c r="A2522" i="45" l="1"/>
  <c r="A2523" i="45" l="1"/>
  <c r="A2524" i="45" l="1"/>
  <c r="A2525" i="45" l="1"/>
  <c r="A2526" i="45" l="1"/>
  <c r="A2527" i="45" l="1"/>
  <c r="A2528" i="45" l="1"/>
  <c r="A2529" i="45" l="1"/>
  <c r="A2530" i="45" l="1"/>
  <c r="A2531" i="45" l="1"/>
  <c r="A2532" i="45" l="1"/>
  <c r="A2533" i="45"/>
  <c r="A2534" i="45" l="1"/>
  <c r="A2535" i="45" s="1"/>
  <c r="A2536" i="45" s="1"/>
  <c r="A2537" i="45" s="1"/>
  <c r="A2538" i="45" s="1"/>
  <c r="A2539" i="45" s="1"/>
  <c r="A2541" i="45" l="1"/>
  <c r="A2540" i="45"/>
  <c r="A2542" i="45" l="1"/>
  <c r="A2543" i="45" s="1"/>
  <c r="A2544" i="45" s="1"/>
  <c r="A2545" i="45" l="1"/>
  <c r="A2546" i="45" s="1"/>
  <c r="A2547" i="45" l="1"/>
  <c r="A2548" i="45" l="1"/>
  <c r="A2549" i="45" s="1"/>
  <c r="A2550" i="45" l="1"/>
  <c r="A2551" i="45" l="1"/>
  <c r="A2552" i="45" s="1"/>
  <c r="A2553" i="45" l="1"/>
  <c r="A2554" i="45" s="1"/>
  <c r="A2555" i="45" s="1"/>
  <c r="A2556" i="45" s="1"/>
  <c r="A2557" i="45" l="1"/>
  <c r="A2558" i="45" l="1"/>
  <c r="A2559" i="45" s="1"/>
  <c r="A2560" i="45" l="1"/>
  <c r="A2561" i="45" l="1"/>
  <c r="A2562" i="45" l="1"/>
  <c r="A2563" i="45" l="1"/>
  <c r="A2564" i="45" l="1"/>
  <c r="A2565" i="45" s="1"/>
  <c r="A2566" i="45" l="1"/>
  <c r="A2567" i="45" s="1"/>
  <c r="A2568" i="45" s="1"/>
  <c r="A2569" i="45" s="1"/>
  <c r="A2570" i="45" s="1"/>
  <c r="A2571" i="45" s="1"/>
  <c r="A2572" i="45" s="1"/>
  <c r="A2573" i="45" s="1"/>
  <c r="A2574" i="45" s="1"/>
  <c r="A2575" i="45" s="1"/>
  <c r="A2576" i="45" s="1"/>
  <c r="A2577" i="45" s="1"/>
  <c r="A2578" i="45" s="1"/>
  <c r="A2579" i="45" l="1"/>
  <c r="A2583" i="45"/>
  <c r="A2580" i="45" l="1"/>
  <c r="A2581" i="45" l="1"/>
  <c r="A2582" i="45" l="1"/>
  <c r="A2584" i="45" l="1"/>
  <c r="A2585" i="45" l="1"/>
  <c r="A2586" i="45" l="1"/>
  <c r="A2587" i="45"/>
  <c r="A2588" i="45" s="1"/>
  <c r="A2589" i="45" l="1"/>
  <c r="A2590" i="45" l="1"/>
  <c r="A2591" i="45" l="1"/>
  <c r="A2592" i="45" l="1"/>
  <c r="A2593" i="45" l="1"/>
  <c r="A2594" i="45" l="1"/>
  <c r="A2595" i="45" l="1"/>
  <c r="A2596" i="45" l="1"/>
  <c r="A2597" i="45" l="1"/>
  <c r="A2598" i="45" l="1"/>
  <c r="A2599" i="45" l="1"/>
  <c r="A2600" i="45" l="1"/>
  <c r="A2601" i="45" l="1"/>
  <c r="A2602" i="45" l="1"/>
  <c r="A2603" i="45" l="1"/>
  <c r="A2604" i="45" l="1"/>
  <c r="A2605" i="45" l="1"/>
  <c r="A2606" i="45" l="1"/>
  <c r="A2614" i="45" s="1"/>
  <c r="A2612" i="45" l="1"/>
  <c r="A2610" i="45"/>
  <c r="A2607" i="45"/>
  <c r="A2611" i="45"/>
  <c r="A2613" i="45"/>
  <c r="A2608" i="45" l="1"/>
  <c r="A2609" i="45" s="1"/>
  <c r="A2615" i="45" l="1"/>
  <c r="A2616" i="45" l="1"/>
  <c r="A2617" i="45" l="1"/>
  <c r="A2618" i="45" l="1"/>
  <c r="A2619" i="45" l="1"/>
  <c r="A2620" i="45" l="1"/>
  <c r="A2621" i="45" l="1"/>
  <c r="A2622" i="45" l="1"/>
  <c r="A2623" i="45" l="1"/>
  <c r="A2624" i="45" l="1"/>
  <c r="A2625" i="45" l="1"/>
  <c r="A2626" i="45" l="1"/>
  <c r="A2627" i="45" l="1"/>
  <c r="A2628" i="45"/>
  <c r="A2629" i="45" s="1"/>
  <c r="A2630" i="45" l="1"/>
  <c r="A2631" i="45" l="1"/>
  <c r="A2636" i="45" s="1"/>
  <c r="A2632" i="45" l="1"/>
  <c r="A2635" i="45"/>
  <c r="A2637" i="45"/>
  <c r="A2633" i="45"/>
  <c r="A2634" i="45" s="1"/>
  <c r="A2641" i="45"/>
  <c r="A2638" i="45" l="1"/>
  <c r="A2640" i="45" l="1"/>
  <c r="A2639" i="45"/>
  <c r="A2642" i="45" s="1"/>
  <c r="A2643" i="45" s="1"/>
  <c r="A2644" i="45" s="1"/>
  <c r="A2645" i="45" s="1"/>
  <c r="A2646" i="45" s="1"/>
  <c r="A2647" i="45" s="1"/>
  <c r="A2648" i="45" s="1"/>
  <c r="A2649" i="45" l="1"/>
  <c r="A2650" i="45" s="1"/>
  <c r="A2651" i="45" l="1"/>
  <c r="A2652" i="45" s="1"/>
  <c r="A2653" i="45" l="1"/>
  <c r="A2654" i="45" s="1"/>
  <c r="A2655" i="45" l="1"/>
  <c r="A2660" i="45"/>
  <c r="A2659" i="45"/>
  <c r="A2657" i="45"/>
  <c r="A2656" i="45"/>
  <c r="A2661" i="45"/>
  <c r="A2658" i="45" l="1"/>
  <c r="A2662" i="45" s="1"/>
  <c r="A2663" i="45" s="1"/>
  <c r="A2664" i="45" l="1"/>
  <c r="A2665" i="45" s="1"/>
  <c r="A2666" i="45" l="1"/>
  <c r="A2667" i="45" l="1"/>
  <c r="A2676" i="45" s="1"/>
  <c r="A2668" i="45" l="1"/>
  <c r="A2669" i="45" l="1"/>
  <c r="A2670" i="45" l="1"/>
  <c r="A2671" i="45" s="1"/>
  <c r="A2672" i="45" s="1"/>
  <c r="A2673" i="45" l="1"/>
  <c r="A2675" i="45"/>
  <c r="A2674" i="45" l="1"/>
  <c r="A2677" i="45" l="1"/>
  <c r="A2678" i="45" l="1"/>
  <c r="A2680" i="45" l="1"/>
  <c r="A2679" i="45"/>
  <c r="A2681" i="45" l="1"/>
  <c r="A2682" i="45" s="1"/>
  <c r="A2683" i="45" s="1"/>
  <c r="A2684" i="45" s="1"/>
  <c r="A2687" i="45" s="1"/>
  <c r="A2685" i="45" l="1"/>
  <c r="A2686" i="45" s="1"/>
  <c r="A2688" i="45" l="1"/>
  <c r="A2689" i="45" s="1"/>
  <c r="A2690" i="45" l="1"/>
  <c r="A2691" i="45" s="1"/>
  <c r="A2692" i="45" l="1"/>
  <c r="A2693" i="45" s="1"/>
  <c r="A2694" i="45" s="1"/>
  <c r="A2695" i="45" s="1"/>
  <c r="A2696" i="45" s="1"/>
  <c r="A2697" i="45" s="1"/>
  <c r="A2698" i="45" s="1"/>
  <c r="A2700" i="45" l="1"/>
  <c r="A2699" i="45"/>
  <c r="A2701" i="45" l="1"/>
  <c r="A2702" i="45" s="1"/>
  <c r="A2703" i="45" s="1"/>
  <c r="A2704" i="45" s="1"/>
  <c r="A2705" i="45" s="1"/>
  <c r="A2706" i="45" s="1"/>
  <c r="A2707" i="45" s="1"/>
  <c r="A2708" i="45" l="1"/>
  <c r="A2709" i="45" s="1"/>
  <c r="A2710" i="45" s="1"/>
  <c r="A2711" i="45" s="1"/>
  <c r="A2712" i="45" s="1"/>
  <c r="A2713" i="45" s="1"/>
  <c r="A2714" i="45" l="1"/>
  <c r="A2715" i="45" s="1"/>
  <c r="A2716" i="45" s="1"/>
  <c r="A2717" i="45" s="1"/>
  <c r="A2718" i="45" s="1"/>
  <c r="A2719" i="45" s="1"/>
  <c r="A2720" i="45" s="1"/>
  <c r="A2721" i="45" s="1"/>
  <c r="A2722" i="45" s="1"/>
  <c r="A2723" i="45" s="1"/>
  <c r="A2724" i="45" s="1"/>
  <c r="A2725" i="45" l="1"/>
  <c r="A2726" i="45" s="1"/>
  <c r="A2727" i="45" l="1"/>
  <c r="A2728" i="45" s="1"/>
  <c r="A2729" i="45" l="1"/>
  <c r="A2730" i="45" s="1"/>
  <c r="A2731" i="45" s="1"/>
  <c r="A2732" i="45" s="1"/>
  <c r="A2733" i="45" s="1"/>
  <c r="A2734" i="45" s="1"/>
  <c r="A2735" i="45" l="1"/>
  <c r="A2736" i="45" s="1"/>
  <c r="A2737" i="45" l="1"/>
  <c r="A2738" i="45" s="1"/>
  <c r="A2739" i="45" l="1"/>
  <c r="A2740" i="45" s="1"/>
  <c r="A2741" i="45" s="1"/>
  <c r="A2742" i="45" s="1"/>
  <c r="A2743" i="45" s="1"/>
  <c r="A2744" i="45" l="1"/>
  <c r="A2745" i="45" s="1"/>
  <c r="A2751" i="45" l="1"/>
  <c r="A2746" i="45"/>
  <c r="A2747" i="45" s="1"/>
  <c r="A2748" i="45" l="1"/>
  <c r="A2749" i="45" s="1"/>
  <c r="A2754" i="45" l="1"/>
  <c r="A2756" i="45"/>
  <c r="A2753" i="45"/>
  <c r="A2752" i="45"/>
  <c r="A2755" i="45" l="1"/>
  <c r="A2757" i="45" l="1"/>
  <c r="A2758" i="45" l="1"/>
  <c r="A2759" i="45" l="1"/>
  <c r="A2762" i="45" s="1"/>
  <c r="A2760" i="45" l="1"/>
  <c r="A2761" i="45"/>
  <c r="A2763" i="45"/>
  <c r="A2764" i="45" l="1"/>
  <c r="A2765" i="45" l="1"/>
  <c r="A2766" i="45" l="1"/>
  <c r="A2767" i="45" s="1"/>
  <c r="A2768" i="45" s="1"/>
  <c r="A2769" i="45" l="1"/>
  <c r="A2770" i="45" s="1"/>
  <c r="A2771" i="45" l="1"/>
  <c r="A2772" i="45" s="1"/>
  <c r="A2773" i="45" l="1"/>
  <c r="A2774" i="45" l="1"/>
  <c r="A2775" i="45" l="1"/>
  <c r="A2776" i="45" l="1"/>
  <c r="A2777" i="45" l="1"/>
  <c r="A2778" i="45" l="1"/>
  <c r="A2779" i="45" l="1"/>
  <c r="A2780" i="45" l="1"/>
  <c r="A2781" i="45" s="1"/>
  <c r="A2782" i="45" l="1"/>
  <c r="A2783" i="45" l="1"/>
  <c r="A2784" i="45" l="1"/>
  <c r="A2786" i="45"/>
  <c r="A2788" i="45"/>
  <c r="A2791" i="45"/>
  <c r="A2789" i="45"/>
  <c r="A2785" i="45" l="1"/>
  <c r="A2787" i="45" l="1"/>
  <c r="A2790" i="45" l="1"/>
  <c r="A2793" i="45" l="1"/>
  <c r="A2792" i="45"/>
  <c r="A2794" i="45" l="1"/>
  <c r="A2795" i="45" s="1"/>
  <c r="A2796" i="45" s="1"/>
  <c r="A2797" i="45" s="1"/>
  <c r="A2798" i="45" s="1"/>
  <c r="A2799" i="45" l="1"/>
  <c r="A2800" i="45" l="1"/>
  <c r="A2802" i="45" l="1"/>
  <c r="A2801" i="45"/>
  <c r="A2803" i="45" l="1"/>
  <c r="A2805" i="45" l="1"/>
  <c r="A2804" i="45"/>
  <c r="A2806" i="45" l="1"/>
  <c r="A2807" i="45"/>
  <c r="A2808" i="45" l="1"/>
  <c r="A2809" i="45" l="1"/>
  <c r="A2810" i="45" l="1"/>
  <c r="A2811" i="45" l="1"/>
  <c r="A2812" i="45" s="1"/>
  <c r="A2813" i="45" s="1"/>
  <c r="A2814" i="45" s="1"/>
  <c r="A2816" i="45" l="1"/>
  <c r="A2817" i="45"/>
  <c r="A2815" i="45"/>
  <c r="A2818" i="45"/>
  <c r="A2819" i="45"/>
  <c r="A2820" i="45" l="1"/>
  <c r="A2821" i="45" s="1"/>
  <c r="A2822" i="45" l="1"/>
  <c r="A2823" i="45" l="1"/>
  <c r="A2824" i="45" l="1"/>
  <c r="A2825" i="45" s="1"/>
  <c r="A2827" i="45" l="1"/>
  <c r="A2830" i="45"/>
  <c r="A2833" i="45"/>
  <c r="A2828" i="45"/>
  <c r="A2826" i="45"/>
  <c r="A2831" i="45"/>
  <c r="A2829" i="45" l="1"/>
  <c r="A2832" i="45" s="1"/>
  <c r="A2834" i="45" l="1"/>
  <c r="A2835" i="45" l="1"/>
  <c r="A2836" i="45" l="1"/>
  <c r="A2837" i="45" l="1"/>
  <c r="A2838" i="45" s="1"/>
  <c r="A2839" i="45" l="1"/>
  <c r="A2840" i="45" l="1"/>
  <c r="A2847" i="45"/>
  <c r="A2841" i="45" l="1"/>
  <c r="A2842" i="45" l="1"/>
  <c r="A2843" i="45" l="1"/>
  <c r="A2844" i="45" l="1"/>
  <c r="A2845" i="45" l="1"/>
  <c r="A2846" i="45" l="1"/>
  <c r="A2848" i="45" l="1"/>
  <c r="A2849" i="45" l="1"/>
  <c r="A2850" i="45" l="1"/>
  <c r="A2851" i="45" l="1"/>
  <c r="A2852" i="45" l="1"/>
  <c r="A2853" i="45" l="1"/>
  <c r="A2854" i="45" l="1"/>
  <c r="A2855" i="45" l="1"/>
  <c r="A2856" i="45" s="1"/>
  <c r="A2857" i="45" s="1"/>
  <c r="A2858" i="45" s="1"/>
  <c r="A2859" i="45" s="1"/>
  <c r="A2860" i="45" s="1"/>
  <c r="A2861" i="45" s="1"/>
  <c r="A2862" i="45" s="1"/>
  <c r="A2863" i="45" s="1"/>
  <c r="A2864" i="45" s="1"/>
  <c r="A2865" i="45" s="1"/>
  <c r="A2867" i="45" l="1"/>
  <c r="A2866" i="45"/>
  <c r="A2868" i="45" l="1"/>
  <c r="A2869" i="45" s="1"/>
  <c r="A2871" i="45" s="1"/>
  <c r="A2870" i="45" l="1"/>
  <c r="A2872" i="45" s="1"/>
  <c r="A2873" i="45" s="1"/>
  <c r="A2874" i="45" s="1"/>
  <c r="A2877" i="45" l="1"/>
  <c r="A2875" i="45"/>
  <c r="A2876" i="45" l="1"/>
  <c r="A2878" i="45" l="1"/>
  <c r="A2879" i="45"/>
  <c r="A2880" i="45" l="1"/>
  <c r="A2881" i="45" s="1"/>
  <c r="A2882" i="45" l="1"/>
  <c r="A2883" i="45" l="1"/>
  <c r="A2884" i="45" l="1"/>
  <c r="A2885" i="45" l="1"/>
  <c r="A2886" i="45" l="1"/>
  <c r="A2887" i="45" s="1"/>
  <c r="A2888" i="45" l="1"/>
  <c r="A2889" i="45" s="1"/>
  <c r="A2890" i="45" s="1"/>
  <c r="A2891" i="45" l="1"/>
  <c r="A2892" i="45" l="1"/>
  <c r="A2893" i="45" l="1"/>
  <c r="A2894" i="45" l="1"/>
  <c r="A2895" i="45" l="1"/>
  <c r="A2896" i="45" l="1"/>
  <c r="A2897" i="45" l="1"/>
  <c r="A2898" i="45" l="1"/>
  <c r="A2899" i="45" l="1"/>
  <c r="A2900" i="45" l="1"/>
  <c r="A2901" i="45" l="1"/>
  <c r="A2902" i="45" l="1"/>
  <c r="A2903" i="45" l="1"/>
  <c r="A2904" i="45"/>
  <c r="A2905" i="45" l="1"/>
  <c r="A2906" i="45" l="1"/>
  <c r="A2907" i="45"/>
  <c r="A2908" i="45" l="1"/>
  <c r="A2909" i="45" s="1"/>
  <c r="A2910" i="45"/>
  <c r="A2911" i="45" l="1"/>
  <c r="A2912" i="45" l="1"/>
  <c r="A2913" i="45" l="1"/>
  <c r="A2914" i="45" s="1"/>
  <c r="A2915" i="45" l="1"/>
  <c r="A2916" i="45" s="1"/>
  <c r="A2917" i="45" l="1"/>
  <c r="A2918" i="45" s="1"/>
  <c r="A2919" i="45" s="1"/>
  <c r="A2924" i="45" l="1"/>
  <c r="A2922" i="45"/>
  <c r="A2921" i="45"/>
  <c r="A2920" i="45"/>
  <c r="A2923" i="45" s="1"/>
  <c r="A2925" i="45" l="1"/>
  <c r="A2926" i="45" s="1"/>
  <c r="A2927" i="45" s="1"/>
  <c r="A2928" i="45" l="1"/>
  <c r="A2929" i="45" s="1"/>
  <c r="A2930" i="45" l="1"/>
  <c r="A2931" i="45"/>
  <c r="A2932" i="45" l="1"/>
  <c r="A2933" i="45" s="1"/>
  <c r="A2934" i="45" s="1"/>
  <c r="A2935" i="45" s="1"/>
  <c r="A2936" i="45" s="1"/>
  <c r="A2937" i="45" s="1"/>
  <c r="A2938" i="45" l="1"/>
  <c r="A2940" i="45" s="1"/>
  <c r="A2939" i="45" l="1"/>
  <c r="A2941" i="45" l="1"/>
  <c r="A2942" i="45" l="1"/>
  <c r="A2943" i="45" s="1"/>
  <c r="A2944" i="45" l="1"/>
  <c r="A2945" i="45" s="1"/>
  <c r="A2946" i="45" s="1"/>
  <c r="A2947" i="45" s="1"/>
  <c r="A2955" i="45" l="1"/>
  <c r="A2953" i="45"/>
  <c r="A2952" i="45"/>
  <c r="A2950" i="45"/>
  <c r="A2948" i="45"/>
  <c r="A2949" i="45" l="1"/>
  <c r="A2951" i="45" l="1"/>
  <c r="A2954" i="45" s="1"/>
  <c r="A2956" i="45" l="1"/>
  <c r="A2957" i="45" l="1"/>
  <c r="A2958" i="45" l="1"/>
  <c r="A2959" i="45" l="1"/>
  <c r="A2960" i="45" l="1"/>
  <c r="A2961" i="45" s="1"/>
  <c r="A2962" i="45" s="1"/>
  <c r="A2963" i="45" l="1"/>
  <c r="A2964" i="45" s="1"/>
  <c r="A2965" i="45" s="1"/>
  <c r="A2966" i="45" s="1"/>
  <c r="A2967" i="45" s="1"/>
  <c r="A2969" i="45" l="1"/>
  <c r="A2968" i="45"/>
  <c r="A2970" i="45" l="1"/>
  <c r="A2971" i="45" l="1"/>
  <c r="A2972" i="45" l="1"/>
  <c r="A2973" i="45" l="1"/>
  <c r="A2974" i="45" l="1"/>
  <c r="A2975" i="45" l="1"/>
  <c r="A2976" i="45" s="1"/>
  <c r="A2977" i="45" s="1"/>
  <c r="A2978" i="45" l="1"/>
  <c r="A2979" i="45" s="1"/>
  <c r="A2980" i="45" l="1"/>
  <c r="A2981" i="45"/>
  <c r="A2982" i="45" l="1"/>
  <c r="A2983" i="45"/>
  <c r="A2984" i="45" s="1"/>
  <c r="A2985" i="45" l="1"/>
  <c r="A2986" i="45" l="1"/>
  <c r="A2987" i="45" l="1"/>
  <c r="A2994" i="45" s="1"/>
  <c r="A2991" i="45" l="1"/>
  <c r="A2988" i="45"/>
  <c r="A2995" i="45"/>
  <c r="A2993" i="45"/>
  <c r="A2989" i="45"/>
  <c r="A2990" i="45" l="1"/>
  <c r="A2992" i="45" l="1"/>
  <c r="A2996" i="45" l="1"/>
  <c r="A2997" i="45" s="1"/>
  <c r="A2998" i="45" l="1"/>
  <c r="A2999" i="45" s="1"/>
  <c r="A3000" i="45" l="1"/>
  <c r="A3001" i="45" s="1"/>
  <c r="A3002" i="45" s="1"/>
  <c r="A3003" i="45" l="1"/>
  <c r="A3005" i="45" l="1"/>
  <c r="A3004" i="45"/>
  <c r="A3006" i="45" l="1"/>
  <c r="A3007" i="45" s="1"/>
  <c r="A3008" i="45" s="1"/>
  <c r="A3009" i="45" s="1"/>
  <c r="A3010" i="45" s="1"/>
  <c r="A3011" i="45" s="1"/>
  <c r="A3012" i="45" s="1"/>
  <c r="A3013" i="45" s="1"/>
  <c r="A3014" i="45" s="1"/>
  <c r="A3015" i="45" s="1"/>
  <c r="A3016" i="45" s="1"/>
  <c r="A3017" i="45" l="1"/>
  <c r="A3022" i="45"/>
  <c r="A3018" i="45" l="1"/>
  <c r="A3019" i="45" l="1"/>
  <c r="A3021" i="45" l="1"/>
  <c r="A3020" i="45"/>
  <c r="A3023" i="45" l="1"/>
  <c r="A3024" i="45" l="1"/>
  <c r="A3025" i="45" l="1"/>
  <c r="A3026" i="45" s="1"/>
  <c r="A3027" i="45" s="1"/>
  <c r="A3028" i="45" s="1"/>
  <c r="A3029" i="45" s="1"/>
  <c r="A3030" i="45" s="1"/>
  <c r="A3032" i="45" l="1"/>
  <c r="A3031" i="45"/>
  <c r="A3033" i="45" l="1"/>
  <c r="A3034" i="45" s="1"/>
  <c r="A3037" i="45" l="1"/>
  <c r="A3035" i="45"/>
  <c r="A3036" i="45" l="1"/>
  <c r="A3038" i="45" l="1"/>
  <c r="A3039" i="45" l="1"/>
  <c r="A3040" i="45"/>
  <c r="A3041" i="45" l="1"/>
  <c r="A3042" i="45" l="1"/>
  <c r="A3043" i="45" s="1"/>
  <c r="A3044" i="45" s="1"/>
  <c r="A3045" i="45" s="1"/>
  <c r="A3046" i="45" s="1"/>
  <c r="A3047" i="45" s="1"/>
  <c r="A3048" i="45" s="1"/>
  <c r="A3049" i="45" l="1"/>
  <c r="A3050" i="45" s="1"/>
  <c r="A3051" i="45" s="1"/>
  <c r="A3052" i="45" s="1"/>
  <c r="A3053" i="45" l="1"/>
  <c r="A3054" i="45" l="1"/>
  <c r="A3055" i="45" l="1"/>
  <c r="A3059" i="45" l="1"/>
  <c r="A3056" i="45"/>
  <c r="A3057" i="45" l="1"/>
  <c r="A3058" i="45"/>
  <c r="A3060" i="45" l="1"/>
  <c r="A3061" i="45" l="1"/>
  <c r="A3062" i="45" l="1"/>
  <c r="A3063" i="45" s="1"/>
  <c r="A3064" i="45" s="1"/>
  <c r="A3065" i="45" l="1"/>
  <c r="A3066" i="45" s="1"/>
  <c r="A3067" i="45" l="1"/>
  <c r="A3068" i="45" l="1"/>
  <c r="A3071" i="45" l="1"/>
  <c r="A3069" i="45"/>
  <c r="A3070" i="45" l="1"/>
  <c r="A3072" i="45" l="1"/>
  <c r="A3073" i="45" l="1"/>
  <c r="A3074" i="45" l="1"/>
  <c r="A3075" i="45" l="1"/>
  <c r="A3076" i="45" l="1"/>
  <c r="A3077" i="45" l="1"/>
  <c r="A3078" i="45" l="1"/>
  <c r="A3079" i="45" l="1"/>
  <c r="A3080" i="45" l="1"/>
  <c r="A3081" i="45" l="1"/>
  <c r="A3082" i="45" s="1"/>
  <c r="A3083" i="45" s="1"/>
  <c r="A3084" i="45" l="1"/>
  <c r="A3088" i="45"/>
  <c r="A3085" i="45"/>
  <c r="A3086" i="45"/>
  <c r="A3087" i="45" l="1"/>
  <c r="A3089" i="45" l="1"/>
  <c r="A3090" i="45" l="1"/>
  <c r="A3091" i="45" l="1"/>
  <c r="A3092" i="45" l="1"/>
  <c r="A3093" i="45" s="1"/>
  <c r="A3094" i="45" l="1"/>
  <c r="A3095" i="45" l="1"/>
  <c r="A3096" i="45"/>
  <c r="A3097" i="45" l="1"/>
  <c r="A3101" i="45" l="1"/>
  <c r="A3098" i="45"/>
  <c r="A3099" i="45" l="1"/>
  <c r="A3102" i="45" l="1"/>
  <c r="A3103" i="45" l="1"/>
  <c r="A3104" i="45" l="1"/>
  <c r="A3105" i="45" l="1"/>
  <c r="A3106" i="45" l="1"/>
  <c r="A3107" i="45" s="1"/>
  <c r="A3108" i="45" l="1"/>
  <c r="A3109" i="45" l="1"/>
  <c r="A3110" i="45" s="1"/>
  <c r="A3111" i="45" s="1"/>
  <c r="A3112" i="45" s="1"/>
  <c r="A3113" i="45" s="1"/>
  <c r="A3114" i="45" s="1"/>
  <c r="A3115" i="45" s="1"/>
  <c r="A3116" i="45" s="1"/>
  <c r="A3117" i="45" s="1"/>
  <c r="A3118" i="45" s="1"/>
  <c r="A3119" i="45" s="1"/>
  <c r="A3120" i="45" s="1"/>
  <c r="A3121" i="45" s="1"/>
  <c r="A3122" i="45" s="1"/>
  <c r="A3123" i="45" s="1"/>
  <c r="A3124" i="45" s="1"/>
  <c r="A3125" i="45" s="1"/>
  <c r="A3126" i="45" s="1"/>
  <c r="A3127" i="45" s="1"/>
  <c r="A3128" i="45" l="1"/>
  <c r="A3129" i="45"/>
  <c r="A3130" i="45" l="1"/>
  <c r="A3131" i="45" s="1"/>
  <c r="A3132" i="45" s="1"/>
  <c r="A3133" i="45" s="1"/>
  <c r="A3134" i="45" s="1"/>
  <c r="A3135" i="45" l="1"/>
  <c r="A3136" i="45" s="1"/>
  <c r="A3137" i="45" s="1"/>
  <c r="A3138" i="45" l="1"/>
  <c r="A3139" i="45" l="1"/>
  <c r="A3140" i="45" s="1"/>
  <c r="A3141" i="45" s="1"/>
  <c r="A3142" i="45" s="1"/>
  <c r="A3143" i="45" l="1"/>
  <c r="A3144" i="45" l="1"/>
  <c r="A3145" i="45" l="1"/>
  <c r="A3146" i="45" l="1"/>
  <c r="A3147" i="45" l="1"/>
  <c r="A3151" i="45" l="1"/>
  <c r="A3155" i="45"/>
  <c r="A3154" i="45"/>
  <c r="A3149" i="45"/>
  <c r="A3153" i="45"/>
  <c r="A3148" i="45"/>
  <c r="A3150" i="45" l="1"/>
  <c r="A3152" i="45" s="1"/>
  <c r="A3156" i="45" l="1"/>
  <c r="A3157" i="45" l="1"/>
  <c r="A3158" i="45" l="1"/>
  <c r="A3159" i="45" s="1"/>
  <c r="A3160" i="45" s="1"/>
  <c r="A3161" i="45" s="1"/>
  <c r="A3162" i="45" l="1"/>
  <c r="A3163" i="45"/>
  <c r="A3164" i="45" l="1"/>
  <c r="A3165" i="45" s="1"/>
  <c r="A3166" i="45" s="1"/>
  <c r="A3167" i="45" s="1"/>
  <c r="A3169" i="45" l="1"/>
  <c r="A3168" i="45"/>
  <c r="A3170" i="45" l="1"/>
  <c r="A3171" i="45" s="1"/>
  <c r="A3172" i="45" l="1"/>
  <c r="A3173" i="45" l="1"/>
  <c r="A3174" i="45" s="1"/>
  <c r="A3175" i="45" s="1"/>
  <c r="A3176" i="45" l="1"/>
  <c r="A3177" i="45" l="1"/>
  <c r="A3178" i="45" s="1"/>
  <c r="A3179" i="45" l="1"/>
  <c r="A3180" i="45" l="1"/>
  <c r="A3181" i="45" s="1"/>
  <c r="A3182" i="45" l="1"/>
  <c r="A3183" i="45" l="1"/>
  <c r="A3184" i="45" l="1"/>
  <c r="A3185" i="45" s="1"/>
  <c r="A3186" i="45" l="1"/>
  <c r="A3188" i="45" l="1"/>
  <c r="A3187" i="45"/>
  <c r="A3189" i="45" l="1"/>
  <c r="A3190" i="45" l="1"/>
  <c r="A3191" i="45" s="1"/>
  <c r="A3192" i="45" s="1"/>
  <c r="A3193" i="45" l="1"/>
  <c r="A3194" i="45"/>
  <c r="A3195" i="45" l="1"/>
  <c r="A3196" i="45" l="1"/>
  <c r="A3197" i="45" s="1"/>
  <c r="A3198" i="45" s="1"/>
  <c r="A3199" i="45" s="1"/>
  <c r="A3200" i="45" l="1"/>
  <c r="A3201" i="45" l="1"/>
  <c r="A3202" i="45" l="1"/>
  <c r="A3203" i="45" l="1"/>
  <c r="A3204" i="45" l="1"/>
  <c r="A3205" i="45" l="1"/>
  <c r="A3206" i="45" l="1"/>
  <c r="A3207" i="45" l="1"/>
  <c r="A3208" i="45" s="1"/>
  <c r="A3209" i="45" s="1"/>
  <c r="A3210" i="45" s="1"/>
  <c r="A3211" i="45" s="1"/>
  <c r="A3212" i="45" s="1"/>
  <c r="A3213" i="45" l="1"/>
  <c r="A3214" i="45" l="1"/>
  <c r="A3215" i="45" l="1"/>
  <c r="A3216" i="45" s="1"/>
  <c r="A3217" i="45" l="1"/>
  <c r="A3218" i="45" l="1"/>
  <c r="A3219" i="45" l="1"/>
  <c r="A3220" i="45" l="1"/>
  <c r="A3221" i="45" l="1"/>
  <c r="A3222" i="45" l="1"/>
  <c r="A3223" i="45" l="1"/>
  <c r="A3224" i="45" l="1"/>
  <c r="A3225" i="45" s="1"/>
  <c r="A3226" i="45" s="1"/>
  <c r="A3227" i="45" s="1"/>
  <c r="A3228" i="45" s="1"/>
  <c r="A3229" i="45" s="1"/>
  <c r="A3230" i="45" s="1"/>
  <c r="A3231" i="45" s="1"/>
  <c r="A3232" i="45" s="1"/>
  <c r="A3237" i="45" l="1"/>
  <c r="A3235" i="45"/>
  <c r="A3233" i="45"/>
  <c r="A3234" i="45"/>
  <c r="A3236" i="45" l="1"/>
  <c r="A3238" i="45" s="1"/>
  <c r="A3239" i="45" l="1"/>
  <c r="A3240" i="45" l="1"/>
  <c r="A3241" i="45" l="1"/>
  <c r="A3242" i="45" l="1"/>
  <c r="A3243" i="45" l="1"/>
  <c r="A3244" i="45" l="1"/>
  <c r="A3245" i="45" s="1"/>
  <c r="A3246" i="45" l="1"/>
  <c r="A3247" i="45" l="1"/>
  <c r="A3248" i="45" l="1"/>
  <c r="A3249" i="45" s="1"/>
  <c r="A3250" i="45" s="1"/>
  <c r="A3251" i="45" s="1"/>
  <c r="A3252" i="45" s="1"/>
  <c r="A3253" i="45" s="1"/>
  <c r="A3254" i="45" s="1"/>
  <c r="A3255" i="45" s="1"/>
  <c r="A3256" i="45" s="1"/>
  <c r="A3257" i="45" s="1"/>
  <c r="A3258" i="45" s="1"/>
  <c r="A3259" i="45" s="1"/>
  <c r="A3260" i="45" s="1"/>
  <c r="A3261" i="45" s="1"/>
  <c r="A3262" i="45" s="1"/>
  <c r="A3263" i="45" s="1"/>
  <c r="A3264" i="45" s="1"/>
  <c r="A3265" i="45" s="1"/>
  <c r="A3266" i="45" s="1"/>
  <c r="A3267" i="45" s="1"/>
  <c r="A3268" i="45" s="1"/>
  <c r="A3269" i="45" s="1"/>
  <c r="A3270" i="45" s="1"/>
  <c r="A3271" i="45" s="1"/>
  <c r="A3272" i="45" l="1"/>
  <c r="A3273" i="45" s="1"/>
  <c r="A3274" i="45" s="1"/>
  <c r="A3275" i="45" l="1"/>
  <c r="A3276" i="45" s="1"/>
  <c r="A3277" i="45" l="1"/>
  <c r="A3278" i="45" s="1"/>
  <c r="A3279" i="45" l="1"/>
  <c r="A3280" i="45" s="1"/>
  <c r="A3281" i="45" s="1"/>
  <c r="A3282" i="45" s="1"/>
  <c r="A3283" i="45" l="1"/>
  <c r="A3284" i="45" s="1"/>
  <c r="A3285" i="45" s="1"/>
  <c r="A3286" i="45" l="1"/>
  <c r="A3287" i="45" l="1"/>
  <c r="A3288" i="45" l="1"/>
  <c r="A3289" i="45" l="1"/>
  <c r="A3290" i="45" l="1"/>
  <c r="A3291" i="45" l="1"/>
  <c r="A3292" i="45" l="1"/>
  <c r="A3293" i="45" l="1"/>
  <c r="A3294" i="45" l="1"/>
  <c r="A3295" i="45" l="1"/>
  <c r="A3296" i="45" l="1"/>
  <c r="A3297" i="45" l="1"/>
  <c r="A3298" i="45" l="1"/>
  <c r="A3299" i="45" l="1"/>
  <c r="A3300" i="45" l="1"/>
  <c r="A3301" i="45" l="1"/>
  <c r="A3302" i="45" l="1"/>
  <c r="A3303" i="45" l="1"/>
  <c r="A3304" i="45" s="1"/>
  <c r="A3305" i="45" s="1"/>
  <c r="A3306" i="45" s="1"/>
  <c r="A3307" i="45" s="1"/>
  <c r="A3308" i="45" s="1"/>
  <c r="A3309" i="45" s="1"/>
  <c r="A3310" i="45" s="1"/>
  <c r="A3311" i="45" s="1"/>
  <c r="A3312" i="45" s="1"/>
  <c r="A3313" i="45" s="1"/>
  <c r="A3314" i="45" s="1"/>
  <c r="A3315" i="45" s="1"/>
  <c r="A3316" i="45" s="1"/>
  <c r="A3317" i="45" s="1"/>
  <c r="A3318" i="45" l="1"/>
  <c r="A3319" i="45" l="1"/>
  <c r="A3320" i="45" l="1"/>
  <c r="A3321" i="45" l="1"/>
  <c r="A3322" i="45" l="1"/>
  <c r="A3323" i="45" l="1"/>
  <c r="A3324" i="45" l="1"/>
  <c r="A3325" i="45" l="1"/>
  <c r="A3326" i="45" l="1"/>
  <c r="A3327" i="45" l="1"/>
  <c r="A3328" i="45" l="1"/>
  <c r="A3329" i="45" l="1"/>
  <c r="A3330" i="45" s="1"/>
  <c r="A3331" i="45" l="1"/>
  <c r="A3332" i="45" l="1"/>
  <c r="A3334" i="45" l="1"/>
  <c r="A3333" i="45"/>
  <c r="A3335" i="45" l="1"/>
  <c r="A3336" i="45" s="1"/>
  <c r="A3337" i="45" s="1"/>
  <c r="A3338" i="45" s="1"/>
  <c r="A3339" i="45" l="1"/>
  <c r="A3340" i="45"/>
  <c r="A3341" i="45" l="1"/>
  <c r="A3342" i="45" l="1"/>
  <c r="A3343" i="45" s="1"/>
  <c r="A3344" i="45" s="1"/>
  <c r="A3345" i="45" s="1"/>
  <c r="A3346" i="45" s="1"/>
  <c r="A3347" i="45" s="1"/>
  <c r="A3348" i="45" l="1"/>
  <c r="A3349" i="45" s="1"/>
  <c r="A3350" i="45" l="1"/>
  <c r="A3351" i="45" s="1"/>
  <c r="A3352" i="45" s="1"/>
  <c r="A3353" i="45" l="1"/>
  <c r="A3354" i="45" l="1"/>
  <c r="A3355" i="45" l="1"/>
  <c r="A3356" i="45" s="1"/>
  <c r="A3357" i="45" s="1"/>
  <c r="A3358" i="45" s="1"/>
  <c r="A3359" i="45" l="1"/>
  <c r="A3360" i="45" l="1"/>
  <c r="A3361" i="45" l="1"/>
  <c r="A3362" i="45" l="1"/>
  <c r="A3363" i="45" s="1"/>
  <c r="A3367" i="45" l="1"/>
  <c r="A3364" i="45"/>
  <c r="A3365" i="45" l="1"/>
  <c r="A3366" i="45" s="1"/>
  <c r="A3368" i="45" s="1"/>
  <c r="A3369" i="45" l="1"/>
  <c r="A3370" i="45" s="1"/>
  <c r="A3371" i="45" s="1"/>
  <c r="A3372" i="45" s="1"/>
  <c r="A3373" i="45" l="1"/>
  <c r="A3374" i="45" s="1"/>
  <c r="A3375" i="45" s="1"/>
  <c r="A3376" i="45" s="1"/>
  <c r="A3377" i="45" l="1"/>
  <c r="A3378" i="45" l="1"/>
  <c r="A3379" i="45" l="1"/>
  <c r="A3380" i="45" s="1"/>
  <c r="A3381" i="45" l="1"/>
  <c r="A3383" i="45" s="1"/>
  <c r="A3384" i="45" l="1"/>
  <c r="A3386" i="45"/>
  <c r="A3382" i="45"/>
  <c r="A3385" i="45" l="1"/>
  <c r="A3387" i="45" s="1"/>
  <c r="A3388" i="45" l="1"/>
  <c r="A3389" i="45" l="1"/>
  <c r="A3390" i="45" l="1"/>
  <c r="A3391" i="45" l="1"/>
  <c r="A3392" i="45" s="1"/>
  <c r="A3393" i="45" l="1"/>
  <c r="A3394" i="45" l="1"/>
  <c r="A3395" i="45" l="1"/>
  <c r="A3396" i="45" l="1"/>
  <c r="A3397" i="45" s="1"/>
  <c r="A3398" i="45" s="1"/>
  <c r="A3399" i="45" s="1"/>
  <c r="A3400" i="45" s="1"/>
  <c r="A3401" i="45" s="1"/>
  <c r="A3402" i="45" s="1"/>
  <c r="A3403" i="45" s="1"/>
  <c r="A3404" i="45" s="1"/>
  <c r="A3405" i="45" s="1"/>
  <c r="A3406" i="45" s="1"/>
  <c r="A3407" i="45" s="1"/>
  <c r="A3408" i="45" s="1"/>
  <c r="A3409" i="45" s="1"/>
  <c r="A3410" i="45" s="1"/>
  <c r="A3411" i="45" s="1"/>
  <c r="A3412" i="45" s="1"/>
  <c r="A3415" i="45" l="1"/>
  <c r="A3413" i="45"/>
  <c r="A3414" i="45" s="1"/>
  <c r="A3416" i="45" l="1"/>
  <c r="A3417" i="45" s="1"/>
  <c r="A3418" i="45" l="1"/>
  <c r="A3419" i="45" s="1"/>
  <c r="A3420" i="45" s="1"/>
  <c r="A3421" i="45" s="1"/>
  <c r="A3422" i="45" s="1"/>
  <c r="A3423" i="45" l="1"/>
  <c r="A3424" i="45" s="1"/>
  <c r="A3425" i="45" l="1"/>
  <c r="A3426" i="45" l="1"/>
  <c r="A3427" i="45" s="1"/>
  <c r="A3428" i="45" s="1"/>
  <c r="A3429" i="45" l="1"/>
  <c r="A3430" i="45" s="1"/>
  <c r="A3431" i="45" s="1"/>
  <c r="A3432" i="45" s="1"/>
  <c r="A3433" i="45" s="1"/>
  <c r="A3434" i="45" s="1"/>
  <c r="A3435" i="45" s="1"/>
  <c r="A3436" i="45" s="1"/>
  <c r="A3437" i="45" s="1"/>
  <c r="A3438" i="45" s="1"/>
  <c r="A3439" i="45" s="1"/>
  <c r="A3440" i="45" s="1"/>
  <c r="A3446" i="45" l="1"/>
  <c r="A3441" i="45"/>
  <c r="A3442" i="45"/>
  <c r="A3445" i="45" l="1"/>
  <c r="A3444" i="45"/>
  <c r="A3443" i="45"/>
  <c r="A3447" i="45" l="1"/>
  <c r="A3448" i="45" s="1"/>
  <c r="A3449" i="45" s="1"/>
  <c r="A3450" i="45" l="1"/>
  <c r="A3451" i="45" s="1"/>
  <c r="A3452" i="45" l="1"/>
  <c r="A3453" i="45" s="1"/>
  <c r="A3454" i="45" s="1"/>
  <c r="A3455" i="45" s="1"/>
  <c r="A3456" i="45" l="1"/>
  <c r="A3457" i="45" s="1"/>
  <c r="A3458" i="45" s="1"/>
  <c r="A3459" i="45" s="1"/>
  <c r="A3460" i="45" s="1"/>
  <c r="A3461" i="45" s="1"/>
  <c r="A3462" i="45" s="1"/>
  <c r="A3463" i="45" s="1"/>
  <c r="A3464" i="45" s="1"/>
  <c r="A3465" i="45" s="1"/>
  <c r="A3466" i="45" s="1"/>
  <c r="A3467" i="45" s="1"/>
  <c r="A3468" i="45" s="1"/>
  <c r="A3469" i="45" s="1"/>
  <c r="A3470" i="45" s="1"/>
  <c r="A3471" i="45" s="1"/>
  <c r="A3472" i="45" s="1"/>
  <c r="A3473" i="45" s="1"/>
  <c r="A3474" i="45" s="1"/>
  <c r="A3475" i="45" s="1"/>
  <c r="A3476" i="45" s="1"/>
  <c r="A3477" i="45" s="1"/>
  <c r="A3478" i="45" l="1"/>
  <c r="A3479" i="45" s="1"/>
  <c r="A3480" i="45" s="1"/>
  <c r="A3481" i="45" l="1"/>
  <c r="A3482" i="45" l="1"/>
  <c r="A3483" i="45" l="1"/>
  <c r="A3484" i="45" l="1"/>
  <c r="A3485" i="45" s="1"/>
  <c r="A3496" i="45" l="1"/>
  <c r="A3486" i="45"/>
  <c r="A3487" i="45" s="1"/>
  <c r="A3488" i="45" l="1"/>
  <c r="A3494" i="45" l="1"/>
  <c r="A3489" i="45"/>
  <c r="A3492" i="45" s="1"/>
  <c r="A3490" i="45" l="1"/>
  <c r="A3491" i="45"/>
  <c r="A3493" i="45" l="1"/>
  <c r="A3495" i="45" l="1"/>
  <c r="A3497" i="45" l="1"/>
  <c r="A3498" i="45" s="1"/>
  <c r="A3499" i="45" l="1"/>
  <c r="A3500" i="45" l="1"/>
  <c r="A3501" i="45" l="1"/>
  <c r="A3504" i="45" l="1"/>
  <c r="A3502" i="45"/>
  <c r="A3503" i="45" s="1"/>
  <c r="A3506" i="45" l="1"/>
  <c r="A3505" i="45"/>
  <c r="A3507" i="45" l="1"/>
  <c r="A3508" i="45" s="1"/>
  <c r="A3509" i="45" s="1"/>
  <c r="A3510" i="45" l="1"/>
  <c r="A3511" i="45" s="1"/>
  <c r="A3512" i="45" s="1"/>
  <c r="A3513" i="45" s="1"/>
  <c r="A3514" i="45" s="1"/>
  <c r="A3515" i="45" l="1"/>
  <c r="A3516" i="45" s="1"/>
  <c r="A3517" i="45" s="1"/>
  <c r="A3518" i="45" s="1"/>
  <c r="A3519" i="45" s="1"/>
  <c r="A3520" i="45" s="1"/>
  <c r="A3521" i="45" l="1"/>
  <c r="A3522" i="45" l="1"/>
  <c r="A3523" i="45" l="1"/>
  <c r="A3524" i="45" s="1"/>
  <c r="A3525" i="45" s="1"/>
  <c r="A3526" i="45" s="1"/>
  <c r="A3527" i="45" s="1"/>
  <c r="A3528" i="45" s="1"/>
  <c r="A3529" i="45" s="1"/>
  <c r="A3530" i="45" s="1"/>
  <c r="A3531" i="45" s="1"/>
  <c r="A3532" i="45" s="1"/>
  <c r="A3533" i="45" s="1"/>
  <c r="A3534" i="45" s="1"/>
  <c r="A3535" i="45" s="1"/>
  <c r="A3536" i="45" l="1"/>
  <c r="A3537" i="45"/>
  <c r="A3538" i="45" l="1"/>
  <c r="A3539" i="45" l="1"/>
  <c r="A3540" i="45" l="1"/>
  <c r="A3541" i="45" l="1"/>
  <c r="A3542" i="45" l="1"/>
  <c r="A3543" i="45" s="1"/>
  <c r="A3544" i="45" l="1"/>
  <c r="A3545" i="45" l="1"/>
  <c r="A3546" i="45" l="1"/>
  <c r="A3547" i="45" l="1"/>
  <c r="A3548" i="45" l="1"/>
  <c r="A3549" i="45" l="1"/>
  <c r="A3550" i="45" l="1"/>
  <c r="A3551" i="45" l="1"/>
  <c r="A3552" i="45" s="1"/>
  <c r="A3553" i="45" s="1"/>
  <c r="A3554" i="45" s="1"/>
  <c r="A3555" i="45" l="1"/>
  <c r="A3556" i="45" l="1"/>
  <c r="A3557" i="45" l="1"/>
  <c r="A3558" i="45" l="1"/>
  <c r="A3560" i="45" l="1"/>
  <c r="A3559" i="45"/>
  <c r="A3561" i="45" l="1"/>
  <c r="A3562" i="45" l="1"/>
  <c r="A3563" i="45" l="1"/>
  <c r="A3564" i="45" l="1"/>
  <c r="A3565" i="45" l="1"/>
  <c r="A3566" i="45" s="1"/>
  <c r="A3567" i="45" s="1"/>
  <c r="A3568" i="45" s="1"/>
  <c r="A3569" i="45" l="1"/>
  <c r="A3575" i="45"/>
  <c r="A3571" i="45" l="1"/>
  <c r="A3572" i="45" s="1"/>
  <c r="A3570" i="45"/>
  <c r="A3573" i="45"/>
  <c r="A3574" i="45" l="1"/>
  <c r="A3576" i="45" l="1"/>
  <c r="A3577" i="45" s="1"/>
  <c r="A3578" i="45" s="1"/>
  <c r="A3579" i="45" s="1"/>
  <c r="A3580" i="45" s="1"/>
  <c r="A3581" i="45" l="1"/>
  <c r="A3582" i="45" l="1"/>
  <c r="A3583" i="45" l="1"/>
  <c r="A3584" i="45" l="1"/>
  <c r="A3585" i="45" l="1"/>
  <c r="A3588" i="45" l="1"/>
  <c r="A3589" i="45"/>
  <c r="A3586" i="45"/>
  <c r="A3594" i="45"/>
  <c r="A3587" i="45"/>
  <c r="A3591" i="45" l="1"/>
  <c r="A3590" i="45"/>
  <c r="A3592" i="45" l="1"/>
  <c r="A3593" i="45" l="1"/>
  <c r="A3595" i="45" s="1"/>
  <c r="A3596" i="45" l="1"/>
  <c r="A3597" i="45" l="1"/>
  <c r="A3598" i="45" l="1"/>
  <c r="A3599" i="45" s="1"/>
  <c r="A3600" i="45" s="1"/>
  <c r="A3601" i="45" s="1"/>
  <c r="A3602" i="45" s="1"/>
  <c r="A3603" i="45" s="1"/>
  <c r="A3604" i="45" s="1"/>
  <c r="A3605" i="45" s="1"/>
  <c r="A3606" i="45" s="1"/>
  <c r="A3607" i="45" s="1"/>
  <c r="A3608" i="45" s="1"/>
  <c r="A3609" i="45" s="1"/>
  <c r="A3610" i="45" l="1"/>
  <c r="A3611" i="45" s="1"/>
  <c r="A3612" i="45" s="1"/>
  <c r="A3613" i="45" s="1"/>
  <c r="A3614" i="45" l="1"/>
  <c r="A3615" i="45" l="1"/>
  <c r="A3616" i="45" l="1"/>
  <c r="A3617" i="45" l="1"/>
  <c r="A3618" i="45" l="1"/>
  <c r="A3619" i="45" s="1"/>
  <c r="A3620" i="45" l="1"/>
  <c r="A3621" i="45" s="1"/>
  <c r="A3622" i="45" l="1"/>
  <c r="A3623" i="45" s="1"/>
  <c r="A3624" i="45" l="1"/>
  <c r="A3625" i="45" l="1"/>
  <c r="A3626" i="45" l="1"/>
  <c r="A3627" i="45" l="1"/>
  <c r="A3628" i="45" l="1"/>
  <c r="A3629" i="45" l="1"/>
  <c r="A3630" i="45" l="1"/>
  <c r="A3631" i="45" s="1"/>
  <c r="A3632" i="45" l="1"/>
  <c r="A3633" i="45" l="1"/>
  <c r="A3634" i="45" l="1"/>
  <c r="A3635" i="45" s="1"/>
  <c r="A3636" i="45" s="1"/>
  <c r="A3637" i="45" s="1"/>
  <c r="A3638" i="45" s="1"/>
  <c r="A3639" i="45" s="1"/>
  <c r="A3640" i="45" s="1"/>
  <c r="A3641" i="45" s="1"/>
  <c r="A3642" i="45" s="1"/>
  <c r="A3643" i="45" s="1"/>
  <c r="A3644" i="45" s="1"/>
  <c r="A3645" i="45" s="1"/>
  <c r="A3646" i="45" s="1"/>
  <c r="A3647" i="45" s="1"/>
  <c r="A3648" i="45" s="1"/>
  <c r="A3649" i="45" s="1"/>
  <c r="A3650" i="45" s="1"/>
  <c r="A3651" i="45" s="1"/>
  <c r="A3652" i="45" s="1"/>
  <c r="A3653" i="45" s="1"/>
  <c r="A3654" i="45" s="1"/>
  <c r="A3655" i="45" s="1"/>
  <c r="A3656" i="45" s="1"/>
  <c r="A3657" i="45" s="1"/>
  <c r="A3658" i="45" s="1"/>
  <c r="A3659" i="45" s="1"/>
  <c r="A3660" i="45" s="1"/>
  <c r="A3661" i="45" s="1"/>
  <c r="A3662" i="45" s="1"/>
  <c r="A3663" i="45" s="1"/>
  <c r="A3664" i="45" s="1"/>
  <c r="A3665" i="45" s="1"/>
  <c r="A3666" i="45" s="1"/>
  <c r="A3667" i="45" s="1"/>
  <c r="A3668" i="45" s="1"/>
  <c r="A3669" i="45" s="1"/>
  <c r="A3670" i="45" s="1"/>
  <c r="A3671" i="45" s="1"/>
  <c r="A3672" i="45" s="1"/>
  <c r="A3673" i="45" s="1"/>
  <c r="A3674" i="45" s="1"/>
  <c r="A3675" i="45" s="1"/>
  <c r="A3676" i="45" s="1"/>
  <c r="A3678" i="45" l="1"/>
  <c r="A3679" i="45"/>
  <c r="A3677" i="45"/>
  <c r="A3680" i="45" s="1"/>
  <c r="A3681" i="45" s="1"/>
  <c r="A3682" i="45" l="1"/>
  <c r="A3683" i="45" l="1"/>
  <c r="A3684" i="45" l="1"/>
  <c r="A3685" i="45" s="1"/>
  <c r="A3686" i="45" l="1"/>
  <c r="A3687" i="45" l="1"/>
  <c r="A3688" i="45" s="1"/>
  <c r="A3689" i="45" s="1"/>
  <c r="A3690" i="45" l="1"/>
  <c r="A3691" i="45" s="1"/>
  <c r="A3693" i="45" l="1"/>
  <c r="A3692" i="45"/>
  <c r="A3694" i="45"/>
  <c r="A3695" i="45"/>
  <c r="A3696" i="45" l="1"/>
  <c r="A3697" i="45" s="1"/>
  <c r="A3698" i="45" l="1"/>
  <c r="A3699" i="45" l="1"/>
  <c r="A3700" i="45" s="1"/>
  <c r="A3701" i="45" l="1"/>
  <c r="A3702" i="45" s="1"/>
  <c r="A3703" i="45" l="1"/>
  <c r="A3704" i="45" l="1"/>
  <c r="A3705" i="45" l="1"/>
  <c r="A3706" i="45" s="1"/>
  <c r="A3707" i="45" l="1"/>
  <c r="A3708" i="45" s="1"/>
  <c r="A3709" i="45" l="1"/>
  <c r="A3711" i="45" s="1"/>
  <c r="A3710" i="45" l="1"/>
  <c r="A3712" i="45" s="1"/>
  <c r="A3713" i="45" l="1"/>
  <c r="A3714" i="45" s="1"/>
  <c r="A3715" i="45" s="1"/>
  <c r="A3716" i="45" l="1"/>
  <c r="A3717" i="45" s="1"/>
  <c r="A3718" i="45" l="1"/>
  <c r="A3719" i="45" s="1"/>
  <c r="A3720" i="45" l="1"/>
  <c r="A3721" i="45" s="1"/>
  <c r="A3722" i="45" l="1"/>
  <c r="A3723" i="45" s="1"/>
  <c r="A3724" i="45" s="1"/>
  <c r="A3725" i="45" l="1"/>
  <c r="A3726" i="45" l="1"/>
  <c r="A3727" i="45" l="1"/>
  <c r="A3728" i="45" l="1"/>
  <c r="A3729" i="45" l="1"/>
  <c r="A3730" i="45" l="1"/>
  <c r="A3731" i="45" s="1"/>
  <c r="A3732" i="45" l="1"/>
  <c r="A3733" i="45" s="1"/>
  <c r="A3734" i="45" s="1"/>
  <c r="A3735" i="45" s="1"/>
  <c r="A3736" i="45" s="1"/>
  <c r="A3737" i="45" s="1"/>
  <c r="A3738" i="45" s="1"/>
  <c r="A3739" i="45" s="1"/>
  <c r="A3740" i="45" s="1"/>
  <c r="A3741" i="45" s="1"/>
  <c r="A3742" i="45" s="1"/>
  <c r="A3743" i="45" s="1"/>
  <c r="A3744" i="45" s="1"/>
  <c r="A3745" i="45" s="1"/>
  <c r="A3749" i="45" l="1"/>
  <c r="A3746" i="45"/>
  <c r="A3747" i="45" s="1"/>
  <c r="A3748" i="45" l="1"/>
  <c r="A3750" i="45" s="1"/>
  <c r="A3751" i="45" l="1"/>
  <c r="A3752" i="45" l="1"/>
  <c r="A3753" i="45" l="1"/>
  <c r="A3754" i="45"/>
  <c r="A3755" i="45" l="1"/>
  <c r="A3756" i="45"/>
  <c r="A3757" i="45" l="1"/>
  <c r="A3758" i="45" s="1"/>
  <c r="A3759" i="45" s="1"/>
  <c r="A3760" i="45" s="1"/>
  <c r="A3761" i="45" s="1"/>
  <c r="A3762" i="45" s="1"/>
  <c r="A3763" i="45" s="1"/>
  <c r="A3764" i="45" s="1"/>
  <c r="A3765" i="45" s="1"/>
  <c r="A3766" i="45" s="1"/>
  <c r="A3767" i="45" s="1"/>
  <c r="A3768" i="45" s="1"/>
  <c r="A3769" i="45" s="1"/>
  <c r="A3770" i="45" s="1"/>
  <c r="A3771" i="45" s="1"/>
  <c r="A3772" i="45" s="1"/>
  <c r="A3773" i="45" s="1"/>
  <c r="A3774" i="45" s="1"/>
  <c r="A3784" i="45" l="1"/>
  <c r="A3781" i="45"/>
  <c r="A3780" i="45"/>
  <c r="A3775" i="45"/>
  <c r="A3776" i="45" s="1"/>
  <c r="A3777" i="45" s="1"/>
  <c r="A3779" i="45" s="1"/>
  <c r="A3783" i="45" s="1"/>
  <c r="A3782" i="45"/>
  <c r="A3778" i="45"/>
  <c r="A3785" i="45" l="1"/>
  <c r="A3786" i="45" l="1"/>
  <c r="A3787" i="45" l="1"/>
  <c r="A3788" i="45" l="1"/>
  <c r="A3789" i="45" l="1"/>
  <c r="A3790" i="45" l="1"/>
  <c r="A3791" i="45" l="1"/>
  <c r="A3792" i="45" l="1"/>
  <c r="A3793" i="45" l="1"/>
  <c r="A3794" i="45" l="1"/>
  <c r="A3795" i="45" s="1"/>
  <c r="A3796" i="45" s="1"/>
  <c r="A3797" i="45" s="1"/>
  <c r="A3798" i="45" s="1"/>
  <c r="A3799" i="45" s="1"/>
  <c r="A3800" i="45" s="1"/>
  <c r="A3801" i="45" s="1"/>
  <c r="A3802" i="45" s="1"/>
  <c r="A3803" i="45" s="1"/>
  <c r="A3804" i="45" s="1"/>
  <c r="A3805" i="45" s="1"/>
  <c r="A3806" i="45" s="1"/>
  <c r="A3807" i="45" s="1"/>
  <c r="A3808" i="45" s="1"/>
  <c r="A3809" i="45" s="1"/>
  <c r="A3810" i="45" s="1"/>
  <c r="A3811" i="45" s="1"/>
  <c r="A3812" i="45" s="1"/>
  <c r="A3813" i="45" s="1"/>
  <c r="A3814" i="45" s="1"/>
  <c r="A3815" i="45" s="1"/>
  <c r="A3816" i="45" s="1"/>
  <c r="A3817" i="45" s="1"/>
  <c r="A3818" i="45" s="1"/>
  <c r="A3819" i="45" s="1"/>
  <c r="A3820" i="45" s="1"/>
  <c r="A3821" i="45" s="1"/>
  <c r="A3822" i="45" s="1"/>
  <c r="A3825" i="45" l="1"/>
  <c r="A3823" i="45"/>
  <c r="A3824" i="45" s="1"/>
  <c r="A3826" i="45" l="1"/>
  <c r="A3827" i="45" l="1"/>
  <c r="A3828" i="45" l="1"/>
  <c r="A3829" i="45" l="1"/>
  <c r="A3830" i="45"/>
  <c r="A3831" i="45" l="1"/>
  <c r="A3832" i="45" s="1"/>
  <c r="A3833" i="45" l="1"/>
  <c r="A3834" i="45" l="1"/>
  <c r="A3835" i="45" l="1"/>
  <c r="A3836" i="45" s="1"/>
  <c r="A3837" i="45" l="1"/>
  <c r="A3838" i="45" s="1"/>
  <c r="A3839" i="45" s="1"/>
  <c r="A3840" i="45" s="1"/>
  <c r="A3841" i="45" s="1"/>
  <c r="A3842" i="45" l="1"/>
  <c r="A3843" i="45" s="1"/>
  <c r="A3844" i="45" l="1"/>
  <c r="A3845" i="45" s="1"/>
  <c r="A3846" i="45" l="1"/>
  <c r="A3847" i="45" s="1"/>
  <c r="A3848" i="45" l="1"/>
  <c r="A3849" i="45" s="1"/>
  <c r="A3850" i="45" s="1"/>
  <c r="A3851" i="45" l="1"/>
  <c r="A3852" i="45" s="1"/>
  <c r="A3853" i="45" s="1"/>
  <c r="A3854" i="45" s="1"/>
  <c r="A3855" i="45" s="1"/>
  <c r="A3856" i="45" l="1"/>
  <c r="A3857" i="45" s="1"/>
  <c r="A3858" i="45" s="1"/>
  <c r="A3859" i="45" l="1"/>
  <c r="A3860" i="45" s="1"/>
  <c r="A3861" i="45" s="1"/>
  <c r="A3862" i="45" l="1"/>
  <c r="A3863" i="45" l="1"/>
  <c r="A3864" i="45" l="1"/>
  <c r="A3865" i="45" l="1"/>
  <c r="A3866" i="45" l="1"/>
  <c r="A3867" i="45" l="1"/>
  <c r="A3868" i="45" l="1"/>
  <c r="A3869" i="45" l="1"/>
  <c r="A3870" i="45" l="1"/>
  <c r="A3874" i="45" l="1"/>
  <c r="A3875" i="45"/>
  <c r="A3872" i="45"/>
  <c r="A3871" i="45"/>
  <c r="A3873" i="45"/>
  <c r="A3876" i="45" s="1"/>
  <c r="A3877" i="45" s="1"/>
  <c r="A3878" i="45" s="1"/>
  <c r="A3879" i="45" s="1"/>
  <c r="A3880" i="45" s="1"/>
  <c r="A3881" i="45" s="1"/>
  <c r="A3882" i="45" s="1"/>
  <c r="A3883" i="45" s="1"/>
  <c r="A3884" i="45" s="1"/>
  <c r="A3885" i="45" s="1"/>
  <c r="A3886" i="45" l="1"/>
  <c r="A3887" i="45"/>
  <c r="A3888" i="45"/>
  <c r="A3889" i="45"/>
  <c r="A3890" i="45" s="1"/>
  <c r="A3891" i="45" l="1"/>
  <c r="A3892" i="45" s="1"/>
  <c r="A3893" i="45" s="1"/>
  <c r="A3894" i="45" l="1"/>
  <c r="A3895" i="45" l="1"/>
  <c r="A3896" i="45" s="1"/>
  <c r="A3897" i="45" s="1"/>
  <c r="A3898" i="45" s="1"/>
  <c r="A3899" i="45" s="1"/>
  <c r="A3900" i="45" s="1"/>
  <c r="A3901" i="45" s="1"/>
  <c r="A3902" i="45" s="1"/>
  <c r="A3903" i="45" s="1"/>
  <c r="A3904" i="45" s="1"/>
  <c r="A3905" i="45" s="1"/>
  <c r="A3907" i="45" l="1"/>
  <c r="A3906" i="45"/>
  <c r="A3908" i="45" l="1"/>
  <c r="A3909" i="45" l="1"/>
  <c r="A3910" i="45" l="1"/>
  <c r="A3911" i="45" s="1"/>
  <c r="A3912" i="45" s="1"/>
  <c r="A3913" i="45" l="1"/>
  <c r="A3914" i="45" l="1"/>
  <c r="A3915" i="45" l="1"/>
  <c r="A3916" i="45" l="1"/>
  <c r="A3918" i="45" l="1"/>
  <c r="A3919" i="45" s="1"/>
  <c r="A3920" i="45" s="1"/>
  <c r="A3921" i="45" s="1"/>
  <c r="A3917" i="45"/>
  <c r="A3922" i="45" l="1"/>
  <c r="A3923" i="45" s="1"/>
  <c r="A3924" i="45" s="1"/>
  <c r="A3925" i="45" l="1"/>
  <c r="A3926" i="45" s="1"/>
  <c r="A3927" i="45" s="1"/>
  <c r="A3928" i="45" s="1"/>
  <c r="A3929" i="45" l="1"/>
  <c r="A3930" i="45" s="1"/>
  <c r="A3931" i="45" s="1"/>
  <c r="A3932" i="45" l="1"/>
  <c r="A3941" i="45" s="1"/>
  <c r="A3933" i="45" l="1"/>
  <c r="A3934" i="45" l="1"/>
  <c r="A3938" i="45"/>
  <c r="A3937" i="45"/>
  <c r="A3935" i="45" l="1"/>
  <c r="A3936" i="45" l="1"/>
  <c r="A3939" i="45" s="1"/>
  <c r="A3940" i="45" s="1"/>
  <c r="A3942" i="45" l="1"/>
  <c r="A3943" i="45" s="1"/>
  <c r="A3944" i="45" s="1"/>
  <c r="A3945" i="45" s="1"/>
  <c r="A3946" i="45" l="1"/>
  <c r="A3947" i="45" s="1"/>
  <c r="A3948" i="45" l="1"/>
  <c r="A3949" i="45" l="1"/>
  <c r="A3950" i="45" l="1"/>
  <c r="A3951" i="45" l="1"/>
  <c r="A3952" i="45" l="1"/>
  <c r="A3953" i="45" l="1"/>
  <c r="A3959" i="45"/>
  <c r="A3968" i="45"/>
  <c r="A3965" i="45"/>
  <c r="A3970" i="45"/>
  <c r="A3966" i="45"/>
  <c r="A3961" i="45"/>
  <c r="A3958" i="45"/>
  <c r="A3955" i="45"/>
  <c r="A3956" i="45"/>
  <c r="A3962" i="45"/>
  <c r="A3969" i="45"/>
  <c r="A3967" i="45"/>
  <c r="A3957" i="45"/>
  <c r="A3964" i="45"/>
  <c r="A3960" i="45"/>
  <c r="A3954" i="45"/>
  <c r="A3963" i="45"/>
</calcChain>
</file>

<file path=xl/sharedStrings.xml><?xml version="1.0" encoding="utf-8"?>
<sst xmlns="http://schemas.openxmlformats.org/spreadsheetml/2006/main" count="38731" uniqueCount="971">
  <si>
    <t>No</t>
  </si>
  <si>
    <t>Filled By</t>
  </si>
  <si>
    <t>Date</t>
  </si>
  <si>
    <t>Company</t>
  </si>
  <si>
    <t>Name Surname</t>
  </si>
  <si>
    <t>Column1</t>
  </si>
  <si>
    <t>Designation</t>
  </si>
  <si>
    <t>Man/Equ</t>
  </si>
  <si>
    <t>Category</t>
  </si>
  <si>
    <t>Area</t>
  </si>
  <si>
    <t>Reference</t>
  </si>
  <si>
    <t>Item Tag</t>
  </si>
  <si>
    <t>Shift</t>
  </si>
  <si>
    <t>Manhours</t>
  </si>
  <si>
    <t>Main Activity</t>
  </si>
  <si>
    <t>Sub Act</t>
  </si>
  <si>
    <t>Sub-Sub Act</t>
  </si>
  <si>
    <t>Note</t>
  </si>
  <si>
    <t>JSA LOCATION</t>
  </si>
  <si>
    <t>Ebin</t>
  </si>
  <si>
    <t>100T TELESCOPIC CRANE (RENTAL)-ZL</t>
  </si>
  <si>
    <t>Yard 3</t>
  </si>
  <si>
    <t>Dismantling</t>
  </si>
  <si>
    <t>DBD Bld</t>
  </si>
  <si>
    <t>Day</t>
  </si>
  <si>
    <t>Steel Structure Works</t>
  </si>
  <si>
    <t>_</t>
  </si>
  <si>
    <t>Ashwini Kumar</t>
  </si>
  <si>
    <t>Electrical Works</t>
  </si>
  <si>
    <t>Atif Rasheed</t>
  </si>
  <si>
    <t>Ebin Ben</t>
  </si>
  <si>
    <t>Khundrakpam Shyamsan Singh</t>
  </si>
  <si>
    <t>Lav Kansaraj</t>
  </si>
  <si>
    <t>Rajesh Thakur</t>
  </si>
  <si>
    <t>Pradip Rai</t>
  </si>
  <si>
    <t>Parking Area</t>
  </si>
  <si>
    <t>Md Tarek Hossain</t>
  </si>
  <si>
    <t>Ranaanand Kumar</t>
  </si>
  <si>
    <t>Shahzad Latif</t>
  </si>
  <si>
    <t>Manpower</t>
  </si>
  <si>
    <t>Material Handling</t>
  </si>
  <si>
    <t>Strucutre Pre-Assembly</t>
  </si>
  <si>
    <t>Material unloading by crane</t>
  </si>
  <si>
    <t>Crane Operator</t>
  </si>
  <si>
    <t>Shyam Dhani</t>
  </si>
  <si>
    <t>YARD 3</t>
  </si>
  <si>
    <t>Verendra Kumar Hari Lal</t>
  </si>
  <si>
    <t>100T TELESCOPIC CRANE (RENTAL)-Sany</t>
  </si>
  <si>
    <t>Yard 2</t>
  </si>
  <si>
    <t>CT-1010-02</t>
  </si>
  <si>
    <t>Structural material segregation, offloading of materials from yard-3 to yard-2, pre-assembly&amp;erection on temporary support installation</t>
  </si>
  <si>
    <t>150T CRAWLER CRANE (RENTAL)-Sany</t>
  </si>
  <si>
    <t>150T crawler crane handed over to Bashaer Projects for their own work for the day</t>
  </si>
  <si>
    <t>22M LCMG MANLIFT</t>
  </si>
  <si>
    <t>28M LCMG MANLIFT</t>
  </si>
  <si>
    <t>Idle</t>
  </si>
  <si>
    <t>No usage</t>
  </si>
  <si>
    <t>Ajithkumar Aravindakshanpillai</t>
  </si>
  <si>
    <t>Electrical testing</t>
  </si>
  <si>
    <t>Clyde Abrazaldo</t>
  </si>
  <si>
    <t>Ground pre-assembly</t>
  </si>
  <si>
    <t>Daniel Jr Mosiquira</t>
  </si>
  <si>
    <t>Dharmvir Upadhyay</t>
  </si>
  <si>
    <t>22KVA GENERATOR</t>
  </si>
  <si>
    <t>Gurtirath Singh</t>
  </si>
  <si>
    <t>MD Ayub Ali</t>
  </si>
  <si>
    <t>Md Hasan Howlader</t>
  </si>
  <si>
    <t>Pappu Kumar Yadaw</t>
  </si>
  <si>
    <t>Rabih Rifai</t>
  </si>
  <si>
    <t>Rogie Jr Mabilog</t>
  </si>
  <si>
    <t>Shivam Yadhav</t>
  </si>
  <si>
    <t>Siyaram Yadav</t>
  </si>
  <si>
    <t>Sonu Kumar Pandey</t>
  </si>
  <si>
    <t>Tamoor Ali Khan</t>
  </si>
  <si>
    <t>Tej Pradap Sharma</t>
  </si>
  <si>
    <t>Vinay Chaudhary</t>
  </si>
  <si>
    <t>Arunkumar Surendran</t>
  </si>
  <si>
    <t>Torque tightening</t>
  </si>
  <si>
    <t>Wesley Jan Estandarte</t>
  </si>
  <si>
    <t>Tamil</t>
  </si>
  <si>
    <t>22M HAULOTTE MANLIFT-1</t>
  </si>
  <si>
    <t>Tower-5&amp;3</t>
  </si>
  <si>
    <t>TR-1010-26</t>
  </si>
  <si>
    <t>Pre-assembly of Tower- 03</t>
  </si>
  <si>
    <t>22M HAULOTTE MANLIFT-2</t>
  </si>
  <si>
    <t>Bolt Torquing  of Tower- 05</t>
  </si>
  <si>
    <t>70T TELESCOPIC CRANE-01 (RENTAL)-Liebherr</t>
  </si>
  <si>
    <t>Afaaq Hussain</t>
  </si>
  <si>
    <t>Tower-6</t>
  </si>
  <si>
    <t>Alignment of surveyor</t>
  </si>
  <si>
    <t>Alignment of tower 6</t>
  </si>
  <si>
    <t>Ahmad Kerbaj</t>
  </si>
  <si>
    <t>Ajin Paramesvaran</t>
  </si>
  <si>
    <t>Tower-7</t>
  </si>
  <si>
    <t>Painting Coating</t>
  </si>
  <si>
    <t>Surface cleaning</t>
  </si>
  <si>
    <t>Painting touch-up- tower 7&amp;columns</t>
  </si>
  <si>
    <t>Akhilesh Kumar</t>
  </si>
  <si>
    <t>Tower-5</t>
  </si>
  <si>
    <t>Dipu Sing</t>
  </si>
  <si>
    <t>Signal-Man</t>
  </si>
  <si>
    <t>Erick Atienza</t>
  </si>
  <si>
    <t>Gulshan Gautham</t>
  </si>
  <si>
    <t>Gulzar Singh</t>
  </si>
  <si>
    <t>Tower-3</t>
  </si>
  <si>
    <t>Hadi Moussa</t>
  </si>
  <si>
    <t>Jaison Vijay Menezes</t>
  </si>
  <si>
    <t>Mahmoud Mohamad Moussa</t>
  </si>
  <si>
    <t>Pre-assembly of Tower- 03, bolt torquing of tower 5, painting touch up</t>
  </si>
  <si>
    <t>Md Siddiqur Rahaman Md Ramizuddin</t>
  </si>
  <si>
    <t>Mohammad Shoaib Akhtar</t>
  </si>
  <si>
    <t>Muhammad Bilal Hussain Al Taf</t>
  </si>
  <si>
    <t>Md Rashed Mohmed</t>
  </si>
  <si>
    <t>Tower 7</t>
  </si>
  <si>
    <t>Touch-up painting</t>
  </si>
  <si>
    <t>Mathan Kumar</t>
  </si>
  <si>
    <t xml:space="preserve">Bittu Kumar </t>
  </si>
  <si>
    <t>Amit Gupta</t>
  </si>
  <si>
    <t>Jitendra Kumar Yadav</t>
  </si>
  <si>
    <t>Kadir Ansari</t>
  </si>
  <si>
    <t>Sanjay Kumar Suresh Ram</t>
  </si>
  <si>
    <t>Suresh Selvam</t>
  </si>
  <si>
    <t>Rejin Rebi</t>
  </si>
  <si>
    <t>Bolt Torquing Tower- 05</t>
  </si>
  <si>
    <t>Reymond Cruz</t>
  </si>
  <si>
    <t>Ryan Batuto</t>
  </si>
  <si>
    <t>Sajith Saji Kanagam</t>
  </si>
  <si>
    <t>Storekeeper</t>
  </si>
  <si>
    <t>Material storage &amp; preservation</t>
  </si>
  <si>
    <t>StoreKeeper</t>
  </si>
  <si>
    <t>Sakhawat Hussain Muhammad Hussain</t>
  </si>
  <si>
    <t>Saqib Ali</t>
  </si>
  <si>
    <t>Shoib Akhtar</t>
  </si>
  <si>
    <t>Surajit Maity</t>
  </si>
  <si>
    <t>Mustafa Moosa Ahned Al Balushi</t>
  </si>
  <si>
    <t>Common Area</t>
  </si>
  <si>
    <t>Tamilselvan Tamilmani</t>
  </si>
  <si>
    <t>55 SEAT BUS</t>
  </si>
  <si>
    <t>Enco Interenal Transportation</t>
  </si>
  <si>
    <t>TOWER LIGHT -4</t>
  </si>
  <si>
    <t>Enco Internal Utilities</t>
  </si>
  <si>
    <t>Shijo</t>
  </si>
  <si>
    <t>13 SEAT BUS 4546MH</t>
  </si>
  <si>
    <t>Laydown</t>
  </si>
  <si>
    <t>Offloading</t>
  </si>
  <si>
    <t>15 SEAT BUS 9405YR</t>
  </si>
  <si>
    <t>130T CRAWLER CRANE (RENTAL)-Liebherr</t>
  </si>
  <si>
    <t>130T crawler crane dis-mantling started</t>
  </si>
  <si>
    <t>70T TELESCOPIC CRANE-02 (RENTAL)-Liebherr</t>
  </si>
  <si>
    <t>Loading of CT1010-02 materials and 150T crawler crane dis-mantling works</t>
  </si>
  <si>
    <t>14T FORKLIFT 2088LD</t>
  </si>
  <si>
    <t>150T CRAWLER CRANE (RENTAL)-Hitachi</t>
  </si>
  <si>
    <t>150T crawler crane dis-mantling completed</t>
  </si>
  <si>
    <t>22 SEAT BUS 2498YD</t>
  </si>
  <si>
    <t>22 SEAT BUS 8028WA</t>
  </si>
  <si>
    <t>300/330KVA CUMMINS GENERATOR</t>
  </si>
  <si>
    <t>35/40KVA CUMMINS GENERATOR</t>
  </si>
  <si>
    <t>Abhishek Kumar Tiwari</t>
  </si>
  <si>
    <t>Site Office</t>
  </si>
  <si>
    <t>Piping Works</t>
  </si>
  <si>
    <t>Fit-up</t>
  </si>
  <si>
    <t>TSF works</t>
  </si>
  <si>
    <t>Harpreet Singh</t>
  </si>
  <si>
    <t>Dis-assembly of crane-150T crawler</t>
  </si>
  <si>
    <t>Abid Hussain</t>
  </si>
  <si>
    <t>Sawar Khan</t>
  </si>
  <si>
    <t>Akhilesh Kumar-Welder</t>
  </si>
  <si>
    <t>Ameer Ali</t>
  </si>
  <si>
    <t>Umesh Singh</t>
  </si>
  <si>
    <t>Arifur Rahman</t>
  </si>
  <si>
    <t>Preservation</t>
  </si>
  <si>
    <t>Inspection&amp;Preservation of idler rollers&amp; Material segregation</t>
  </si>
  <si>
    <t>Arunbhai Balubhai</t>
  </si>
  <si>
    <t>Balister Yadhav</t>
  </si>
  <si>
    <t>parking area</t>
  </si>
  <si>
    <t>Deepak Kumar</t>
  </si>
  <si>
    <t>Ghulam Qadir Muhammad Yousaf</t>
  </si>
  <si>
    <t>Gyenendra Kumar Gupta</t>
  </si>
  <si>
    <t>Haleem Ansari</t>
  </si>
  <si>
    <t>7T HI-UP 1077DS</t>
  </si>
  <si>
    <t>Ibrahim Rashid Mubarak Al-Abri</t>
  </si>
  <si>
    <t>HIAB driver</t>
  </si>
  <si>
    <t>Irfan Ansari</t>
  </si>
  <si>
    <t>Ismail Moussa</t>
  </si>
  <si>
    <t>Jitu Kumar</t>
  </si>
  <si>
    <t>Kamal Kumar Sharma</t>
  </si>
  <si>
    <t>Lokesh Gupta</t>
  </si>
  <si>
    <t>Mahmoud Khodr Hassan</t>
  </si>
  <si>
    <t>Manjesh Bharti</t>
  </si>
  <si>
    <t>Mohamed Irfan</t>
  </si>
  <si>
    <t>Mohammad Jehangir Alam</t>
  </si>
  <si>
    <t>Mohammad Shahadat Hossain Sikdar</t>
  </si>
  <si>
    <t>Mohammed Gias Uddin</t>
  </si>
  <si>
    <t>Mohammed Rokan Mia</t>
  </si>
  <si>
    <t>Muhammed Rafi</t>
  </si>
  <si>
    <t>Fork-lift operator</t>
  </si>
  <si>
    <t>Neeraj Gautham</t>
  </si>
  <si>
    <t>Omar Faruk Sarafat Ali</t>
  </si>
  <si>
    <t>PICK-UP 15BM (RENTAL)</t>
  </si>
  <si>
    <t>PICK-UP 2819DA (RENTAL)</t>
  </si>
  <si>
    <t>PICK-UP 4265BM (RENTAL)</t>
  </si>
  <si>
    <t>PICK-UP 569WA (RENTAL)</t>
  </si>
  <si>
    <t>Prabin Brnnet Rani</t>
  </si>
  <si>
    <t>Prakash Pandey</t>
  </si>
  <si>
    <t>Pravesh Kumar</t>
  </si>
  <si>
    <t>Mobilization Preparation</t>
  </si>
  <si>
    <t>Priyaranjan Kumar</t>
  </si>
  <si>
    <t>Rajeev Kumar Sah</t>
  </si>
  <si>
    <t>Rajkumar Dubey</t>
  </si>
  <si>
    <t>Ravi Yadav</t>
  </si>
  <si>
    <t>Renault FLATBED TRAILER 3576MD (RENTAL)</t>
  </si>
  <si>
    <t>Rijo Pappachan Thankachan</t>
  </si>
  <si>
    <t>Ripon Tofayel Ahmmad</t>
  </si>
  <si>
    <t>Samanta Soumitra</t>
  </si>
  <si>
    <t>Shinu S</t>
  </si>
  <si>
    <t>Rampratap Chauhan</t>
  </si>
  <si>
    <t>Padmanaban Sevu</t>
  </si>
  <si>
    <t>Sujeet Kumar</t>
  </si>
  <si>
    <t>Suman Kumar Mandal</t>
  </si>
  <si>
    <t>TOWER LIGHT-1</t>
  </si>
  <si>
    <t>TOWER LIGHT-2</t>
  </si>
  <si>
    <t>Md Totul</t>
  </si>
  <si>
    <t>Vinod Kumar</t>
  </si>
  <si>
    <t>Vivek Kumar</t>
  </si>
  <si>
    <t>Yogendra Kumar Rupachand</t>
  </si>
  <si>
    <t>Zain Ul Abdin</t>
  </si>
  <si>
    <t>Trailer driver</t>
  </si>
  <si>
    <t>Work suspended due to site blockage as per Vale e-mail dated 01 March- "Notification to Contractors for 24th Site Blockage", due to escalating geopolitical tensions in the region.</t>
  </si>
  <si>
    <t>Dharmendra Kumar</t>
  </si>
  <si>
    <t>HIAB</t>
  </si>
  <si>
    <t>LAYDOWN</t>
  </si>
  <si>
    <t>Chassis Assembly</t>
  </si>
  <si>
    <t>Pre-assembly of Tower- 03, Bolt torquing of tower 3</t>
  </si>
  <si>
    <t>Alignment of tower 5</t>
  </si>
  <si>
    <t>Bolt Torquing  of Tower- 03</t>
  </si>
  <si>
    <t>Pinto Kuriakose</t>
  </si>
  <si>
    <t>Equipment Maintenance</t>
  </si>
  <si>
    <t>Jayakrishnan Chandrasekaran</t>
  </si>
  <si>
    <t>Ahmed Khadeem Said Al Tourashi</t>
  </si>
  <si>
    <t>Pre-assembly of Tower- 03&amp; Material segregation</t>
  </si>
  <si>
    <t>130T crawler crane dis-mantling completed</t>
  </si>
  <si>
    <t>Crane operator Absent</t>
  </si>
  <si>
    <t>150T crawler crane is dis-manted</t>
  </si>
  <si>
    <t>TR1010-026- Material loading</t>
  </si>
  <si>
    <t>Loading of CT1010-02 materials and 130T crawler crane dis-mantling works</t>
  </si>
  <si>
    <t>PARKING AREA</t>
  </si>
  <si>
    <t>PARKING AREA + YARD 3</t>
  </si>
  <si>
    <t xml:space="preserve">YARD 2 </t>
  </si>
  <si>
    <t>Rashid</t>
  </si>
  <si>
    <t>Diesel filling</t>
  </si>
  <si>
    <t>Adil</t>
  </si>
  <si>
    <t>Bolting of Tower- 03</t>
  </si>
  <si>
    <t>Tower-4</t>
  </si>
  <si>
    <t>Material offloading&amp;segregation of tower-4</t>
  </si>
  <si>
    <t>Material offloading&amp;segregation of tower-4, bolting of tower-3, torquing of tower-5 &amp;paint touch-up works</t>
  </si>
  <si>
    <t>Tower-6&amp;7</t>
  </si>
  <si>
    <t>Painting touch-up- tower 6&amp; 7</t>
  </si>
  <si>
    <t>Tower-5,3&amp;4</t>
  </si>
  <si>
    <t>130T crawler crane is dis-manted</t>
  </si>
  <si>
    <t>TSF works- 1 hr O.T For excavation works</t>
  </si>
  <si>
    <t>Loading of CT1010-02 materials to yard-3</t>
  </si>
  <si>
    <t>Crane mobilization &amp; inspection</t>
  </si>
  <si>
    <t xml:space="preserve">Mechanics of Dis-mantled Crane </t>
  </si>
  <si>
    <t>Imran Khan</t>
  </si>
  <si>
    <t>Ram Moorat Chandrabali</t>
  </si>
  <si>
    <t>CT1010-02 temporary chassis modification, CT1010-02 material offloading&amp; shifting to yard-2, Offloading operations involving six trailers transporting a 70-ton crawler crane</t>
  </si>
  <si>
    <t>Moshin Saleem Salim AL-Shukaili</t>
  </si>
  <si>
    <t>Bolt Torquing of Tower- 03</t>
  </si>
  <si>
    <t>Material segregation of tower-4</t>
  </si>
  <si>
    <t>Material segregation of tower-4, torquing of tower-3, torquing of tower-5 &amp;paint touch-up works</t>
  </si>
  <si>
    <t>Store keeper</t>
  </si>
  <si>
    <t>Dhinesh Vaithiyanathan</t>
  </si>
  <si>
    <t>Used for Enco works</t>
  </si>
  <si>
    <t>CT1010-02 temporary chassis modification, offloading of the 70-ton crawler crane has been completed, and its assembly is currently in progress, including installation of the counterweights</t>
  </si>
  <si>
    <t>YARD 2</t>
  </si>
  <si>
    <t>Mohammad Ismail</t>
  </si>
  <si>
    <t>Fawad Ahmed</t>
  </si>
  <si>
    <t>Surveyor assistant</t>
  </si>
  <si>
    <t>Fenil Paul</t>
  </si>
  <si>
    <t>Tower-4&amp;8</t>
  </si>
  <si>
    <t>Material segregation of tower-4&amp;8</t>
  </si>
  <si>
    <t>Tower-5&amp;6</t>
  </si>
  <si>
    <t>Painting touch-up- tower 5&amp;6</t>
  </si>
  <si>
    <t>Tower-4,8&amp;3</t>
  </si>
  <si>
    <t>Material segregation of tower-4&amp;8, torquing of tower-3,paint touch-up works</t>
  </si>
  <si>
    <t>Driver</t>
  </si>
  <si>
    <t>Mohammad Khalfan Juma Al-Aufi</t>
  </si>
  <si>
    <t>Mechanic</t>
  </si>
  <si>
    <t>Lifting Engineer</t>
  </si>
  <si>
    <t xml:space="preserve">Surveyor </t>
  </si>
  <si>
    <t>130T crawler crane is dis-mantled</t>
  </si>
  <si>
    <t>Loading of TR1010-026 materials to parking area</t>
  </si>
  <si>
    <t>Technicians</t>
  </si>
  <si>
    <t>Dinesh Yadav</t>
  </si>
  <si>
    <t>70-ton crawler crane assembly is currently in-progress&amp;chassis assembly modification</t>
  </si>
  <si>
    <t>DBD BUILDING</t>
  </si>
  <si>
    <t xml:space="preserve">DBD building stopper installation for overhead crane </t>
  </si>
  <si>
    <t>Surveying</t>
  </si>
  <si>
    <t>Surveyor Assistant</t>
  </si>
  <si>
    <t>Ali Riza</t>
  </si>
  <si>
    <t>Material segregation of tower-8, pre-assembly of tower-4</t>
  </si>
  <si>
    <t>Material segregation of tower-8, pre-assembly of tower-4,torquing of tower-3 &amp;paint touch-up works</t>
  </si>
  <si>
    <t>Painting touch-up- tower 6&amp;7</t>
  </si>
  <si>
    <t>loke</t>
  </si>
  <si>
    <t>Tower-5&amp;6&amp;7</t>
  </si>
  <si>
    <t xml:space="preserve">Loading of TR1010-026 materials to parking area&amp; crawler crane materials to yard-3 </t>
  </si>
  <si>
    <t>Syed Ihsan Haider</t>
  </si>
  <si>
    <t>Duqm Trailer Driver</t>
  </si>
  <si>
    <t>Work has been suspended due to site blockage, as per the Vale telephone communication received from Claudio Cannas.</t>
  </si>
  <si>
    <t>70-ton crawler crane assembly&amp;chassis assembly modification have been completed</t>
  </si>
  <si>
    <t>Mohammed Attiq</t>
  </si>
  <si>
    <t>Shobul Rata</t>
  </si>
  <si>
    <t>Bolt Torquing of Tower- 04</t>
  </si>
  <si>
    <t>Tower-4&amp;9</t>
  </si>
  <si>
    <t>Material segregation of tower-9, pre-assembly of tower-4</t>
  </si>
  <si>
    <t>Tower-4,9</t>
  </si>
  <si>
    <t>Tower-9&amp; 4</t>
  </si>
  <si>
    <t>Loading of TR1010-26 material (Tower-9) case  43 &amp; 130 Ton crawler crane to TR1010-26 assembly at parking area</t>
  </si>
  <si>
    <t>MD Rizwan</t>
  </si>
  <si>
    <t>Went to outside of Vale for maintenance (oil change)and remained idle for the day once it returned to site at around 02.30 pm</t>
  </si>
  <si>
    <t>70-ton crawler crane load test has been completed</t>
  </si>
  <si>
    <t>4 hrs</t>
  </si>
  <si>
    <t>The crane worked around 4 hrs only; 6 am to 09.30 am, stopped its operation after 09:30 AM due to oil leakage problem and it went outside of Vale at 4 PM after receiving LOTO to access yard 2 gate</t>
  </si>
  <si>
    <t>Sreejith Thekkedath Sivaraman</t>
  </si>
  <si>
    <t>Subash H.K</t>
  </si>
  <si>
    <t>Praveen Prakash</t>
  </si>
  <si>
    <t>Material segregation of tower-8, pre-assembly of tower-4,torquing of tower-4 &amp;paint touch-up works</t>
  </si>
  <si>
    <t>Material segregation of tower-8, pre-assembly of tower-4,torquing of tower-4&amp;paint touch-up works</t>
  </si>
  <si>
    <t>Loading of  CT1010-02 ( Case. 27) &amp; 130 Ton crawler crane parts  to TR1010-26 assembly at parking area</t>
  </si>
  <si>
    <t>Material tagging &amp; segregation</t>
  </si>
  <si>
    <t>The 100T telescopic crane came back to yard-2 at around 11:00 AM after receiving LOTO to access yard 2 gate</t>
  </si>
  <si>
    <t>The100T telescopic crane came back to yard-2 at around 11:00 AM after receiving LOTO to access yard 2 gate</t>
  </si>
  <si>
    <t>Pre-assembly&amp;torquing of tower-4</t>
  </si>
  <si>
    <t>Painting touch-up, Pre-assembly&amp;torquing of tower-4</t>
  </si>
  <si>
    <t>Crane offloading&amp; assembly, pre-assembly&amp;torquing of tower-4</t>
  </si>
  <si>
    <t>Crane assembly</t>
  </si>
  <si>
    <t>Crane Assembly is in-progress</t>
  </si>
  <si>
    <t>Crane offloading&amp; assembly, pre-assembly&amp; torquing of tower-4 &amp;painting touch-up works</t>
  </si>
  <si>
    <t>Crane offloading&amp; assembly, pre-assembly of tower-4&amp;torquing</t>
  </si>
  <si>
    <t>Loading of  CT1010-02 ( Case. 28) to yard-3</t>
  </si>
  <si>
    <t>Loading of 130 Ton crawler crane parts  to TR1010-26 assembly at parking area</t>
  </si>
  <si>
    <t>SCISSOR LIFT-01</t>
  </si>
  <si>
    <t>SCISSOR LIFT-02</t>
  </si>
  <si>
    <t>TSF</t>
  </si>
  <si>
    <t>Loading of  CT1010-02 ( Case. 28) to yard-3 &amp; 130 Ton crawler crane parts  to TR1010-26 assembly at parking area</t>
  </si>
  <si>
    <t>Ali Haider</t>
  </si>
  <si>
    <t>Mukesh Kumar Rai</t>
  </si>
  <si>
    <t xml:space="preserve">Manoj Choudhary </t>
  </si>
  <si>
    <t xml:space="preserve"> 70T Crawler crane inspection is on going, Material offloading and shifting to yard 2 (CL 042, CL 028), Offloading of 150T Hitachi crawler crane</t>
  </si>
  <si>
    <t>Offloading of materials from yard 3 to yard 2 such as CL 042, CL 028 along with material organization and segregation</t>
  </si>
  <si>
    <t>Torquing of tower- 3&amp;4</t>
  </si>
  <si>
    <t>Painting touch-up,Torquing of tower-3&amp;4</t>
  </si>
  <si>
    <t>Crane assembly,  torquing of tower-3&amp; 4 &amp;painting touch-up works</t>
  </si>
  <si>
    <t>Crane assembly, torquing of tower 3&amp;4</t>
  </si>
  <si>
    <t>Crane offloading&amp; assembly,  torquing of tower-3&amp;4 &amp;painting touch-up works</t>
  </si>
  <si>
    <t>TOWER LIGHT -5</t>
  </si>
  <si>
    <t>Loading of  150T crawler crane &amp; CT1010-02 column material CL006 ( Case. 14) to yard-3</t>
  </si>
  <si>
    <t>150T crawler crane is dis-manted &amp; shifting to yard-3</t>
  </si>
  <si>
    <t>150T crawler crane is dis-mantled &amp; shifting to yard-3</t>
  </si>
  <si>
    <t>Crane Dis/Assembly</t>
  </si>
  <si>
    <t>Crane Diss-assembly</t>
  </si>
  <si>
    <t>Shobuj Raza</t>
  </si>
  <si>
    <t>Renault Lowbed Trailer 2939ML</t>
  </si>
  <si>
    <t>Abdullah Khalfan Humaid Al Saidi</t>
  </si>
  <si>
    <t xml:space="preserve"> 70T Crawler crane inspection is on going, Material offloading and shifting to yard 2 (CL 006)</t>
  </si>
  <si>
    <t>Offloading of materials from yard 3 to yard 2 such as CL 006  along with material organization and segregation</t>
  </si>
  <si>
    <t>Crane Assembly is completed</t>
  </si>
  <si>
    <t xml:space="preserve">Painting touch-up- tower 5&amp; 6 </t>
  </si>
  <si>
    <t>Loading of  150T crawler crane &amp; CT1010-02 column material BM245 (Case . 12), BM247 (Case 12), BM404 (Case 13)</t>
  </si>
  <si>
    <t>Crane Assembly</t>
  </si>
  <si>
    <t xml:space="preserve"> 70T Crawler crane inspection is on going, Material segregation</t>
  </si>
  <si>
    <t>70T Hitachi Crawler Crane- 01</t>
  </si>
  <si>
    <t>Inspection is on-going</t>
  </si>
  <si>
    <t>Crane has not assembled yet</t>
  </si>
  <si>
    <t xml:space="preserve"> material organization,segregation and cleaning</t>
  </si>
  <si>
    <t>Hassan Salah Mechhawi</t>
  </si>
  <si>
    <t>Shijo Saji</t>
  </si>
  <si>
    <t>Amal Kannoor Ramachandran</t>
  </si>
  <si>
    <t>Reclaimer Substation</t>
  </si>
  <si>
    <t>Cable tray supports</t>
  </si>
  <si>
    <t>Cable tray support installation</t>
  </si>
  <si>
    <t>Cable Tray Support Installation inside Reclaimer Substation, Preparation works and marking on-going</t>
  </si>
  <si>
    <t>Ashwin Shivaraman</t>
  </si>
  <si>
    <t>Benny Thomas</t>
  </si>
  <si>
    <t>Duncan Lee Kelly</t>
  </si>
  <si>
    <t>Lema Kelly</t>
  </si>
  <si>
    <t>Torquing of tower- 4</t>
  </si>
  <si>
    <t>Painting touch-up,Torquing of tower-4</t>
  </si>
  <si>
    <t>Pre-assembly of tower-8, pre-assembly&amp;torquing of tower-4 &amp;painting touch-up works</t>
  </si>
  <si>
    <t>Tower-4&amp;8&amp;6</t>
  </si>
  <si>
    <t xml:space="preserve">pre-assembly&amp;torquing of tower-4 </t>
  </si>
  <si>
    <t>Painting touch-up- tower  6 &amp; columns</t>
  </si>
  <si>
    <t>Material segregation</t>
  </si>
  <si>
    <t>HIAB Driver Absent</t>
  </si>
  <si>
    <t>Trailer driver absent</t>
  </si>
  <si>
    <t>Halting of Trailor Movement from Laydown Area to Yard- 3 due to Yard-3 Access Road Blockage  (TR 1010.09 Counter Weight Arresting (Ocean Rubber ), Equipment &amp; Manpower remained idle around 6 hours (Between 06:00 AM - 12:30 PM)</t>
  </si>
  <si>
    <t>*Work activities were suspended by Vale Safety at 12:30 pm due to adverse weather conditions.</t>
  </si>
  <si>
    <t>Work activities were suspended by Vale Safety at 12:30 pm due to adverse weather conditions.</t>
  </si>
  <si>
    <t>Anandbabu subbiah</t>
  </si>
  <si>
    <t>Column stacking</t>
  </si>
  <si>
    <t>Stacking of structural steel columns</t>
  </si>
  <si>
    <t>Stacking of structural steel columns,pre-assembly of tower-8,offloading of packages 23&amp;44</t>
  </si>
  <si>
    <t>Loading of  TR1010-26 Package No. 23 ( Tower- 10) and Package No. 44 ( Tower- 9 ) from laydown area to contractor's parking area.</t>
  </si>
  <si>
    <t>HIAB DRIVER</t>
  </si>
  <si>
    <t>Muhammed Yasir</t>
  </si>
  <si>
    <t>Duqm trailer offloading</t>
  </si>
  <si>
    <t>CT1010-02 material offloading of BM 092, BM 375, BM 376 and shifting of BM 092 to yard-2 and the 150T crawler crane assembly is underway, with the chain being assembled.</t>
  </si>
  <si>
    <t>Material Offloading of  case no. 06&amp; BM 092 from yard-3 and its segregation</t>
  </si>
  <si>
    <t>Cable Tray Support Installation inside Reclaimer Substation, Drilling for base plate support fixation</t>
  </si>
  <si>
    <t>Tower-8&amp;9&amp;10</t>
  </si>
  <si>
    <t>Pre-assembly of tower-8, material offloading of tower-9&amp;10,  stacking of columns</t>
  </si>
  <si>
    <t>Tower-4&amp;3</t>
  </si>
  <si>
    <t>Tower-8,9,10&amp;6</t>
  </si>
  <si>
    <t>Pre-assembly of tower-8, material offloading of tower-9&amp;10, Torquing of tower-3&amp; 4 &amp;painting touch-up works, stacking of columns</t>
  </si>
  <si>
    <t>Night</t>
  </si>
  <si>
    <t xml:space="preserve">YARD 3 </t>
  </si>
  <si>
    <t>Cable Tray Support Installation inside Reclaimer Substation, Drilling for base plate support fixation,Material Shifting to substation is on-going</t>
  </si>
  <si>
    <t>Azhar</t>
  </si>
  <si>
    <t>Tanveer</t>
  </si>
  <si>
    <t>Work activities were suspended by Vale Safety due to adverse weather conditions</t>
  </si>
  <si>
    <t>Work activities were suspended by Vale management due to adverse weather conditions</t>
  </si>
  <si>
    <t>Site wide de-watering operations</t>
  </si>
  <si>
    <t>Vicken Tcheroyan</t>
  </si>
  <si>
    <t>Aneesh Joseph</t>
  </si>
  <si>
    <t>At Yard‑3, the 150T crawler crane assembly was halted.,As ground leveling was required to resume work.</t>
  </si>
  <si>
    <t>Idle due to maintenance work,Requires repair but no access to remove the crane from area. Yard 2 access flooded</t>
  </si>
  <si>
    <t>Erection of BM 094 (7 nos), BM 388, BM 372, BM 373, VB 046, VB 048 and material segregation.</t>
  </si>
  <si>
    <t>Jalaludeen S</t>
  </si>
  <si>
    <t>Pre-assembly</t>
  </si>
  <si>
    <t xml:space="preserve">Erection of DDSTW10CL001,DDSTW10CL002,DDSTW10BM013,DDSTW10BM019-2(no),DDSTW10BM018,DDSTW10BM012 </t>
  </si>
  <si>
    <t>Signalman</t>
  </si>
  <si>
    <t>Store-Keeper</t>
  </si>
  <si>
    <t>Painting works</t>
  </si>
  <si>
    <t>Deepu Chauhan</t>
  </si>
  <si>
    <t>Mostafa Khaled Fattouh</t>
  </si>
  <si>
    <t>Loading</t>
  </si>
  <si>
    <t>Loading of TR1010-26 materials (Case No. 24 -Tower-10) to contractor's parking area and 150T crawler crane materials to yard-3,loading of CT1010-02 materials to yard-2,removal of materials from inside of the module and shifting of electrical supports for substation</t>
  </si>
  <si>
    <t>70T Hitachi Crawler Crane- 02</t>
  </si>
  <si>
    <t>Crane Assembly is in progress</t>
  </si>
  <si>
    <t>Sandeep Kumar Sugreev</t>
  </si>
  <si>
    <t>At Yard-3, the 150T crawler crane assembly is underway, with the completion of counter weights installation, At Yard‑3, the 150T crawler crane assembly was halted, as ground leveling was required to resume work</t>
  </si>
  <si>
    <t>Erection of BM 92, BM 229, CL 025 and torquing of CL 042, CL 028 along with material segregation</t>
  </si>
  <si>
    <t>Fadi Al Asmar</t>
  </si>
  <si>
    <t>Erection of DDSTW10CL004,DDSTW10CL005,DDSTW10BM003,DDSTW10BM001-2(no),DDSTW10BM038,DDSTW10BM046,DDSTW10BM039</t>
  </si>
  <si>
    <t>loading and shifting of TR1010-26 materials (Case No. 45 -Tower- 11) to contractor's parking area,loading and shifting of CT1010-02 materials Case no. 12 (BM261, BM339, BM405), Case no. 14 (CL008 ,CL050), Case no. 30 (BM320-1, BM354-2) to yard-3,removal of materials from inside of the module and shifting of electrical supports for substation,offloading of the new 70T crawler crane and cable trays for reclaimer substation .</t>
  </si>
  <si>
    <t>55 SEAT BUS 7885YM (RENTAL)</t>
  </si>
  <si>
    <t>FLATBED TRAILER</t>
  </si>
  <si>
    <t xml:space="preserve">4T JCB TELEHANDLER </t>
  </si>
  <si>
    <t>Duqm Trailer</t>
  </si>
  <si>
    <t>idle as area clearing and leveling executed using excavator support to facilitate crane access</t>
  </si>
  <si>
    <t>Erection of TR 001, VB 009, VB 010 and torquing of CL 042, CL 028, Levelling adjustment of CL 009, CL 010, CL 051 along with material segregation.</t>
  </si>
  <si>
    <t>Elias Zaatar</t>
  </si>
  <si>
    <t>Erection of DDSTW10VB005-2(no),DDSTW10VB002-2(no),DDSTW10BM032,DDSTW09CL001,DDSTW09CL002,DDSTW09BM001-2(no),DDSTW09BM003,DDSTW09BM004,DDSTW09BM005</t>
  </si>
  <si>
    <t>Loading and shifting of TR1010-26 materials Case No. 46 &amp; 47 (Tower- 11&amp;12) to contractor's parking area,removal of materials from inside of the module and shifting of electrical supports for substation,assembly of the new 70T crawler crane is in-progress</t>
  </si>
  <si>
    <t xml:space="preserve">Loading of Crane dissambled parts </t>
  </si>
  <si>
    <t xml:space="preserve">Duqm Trailer </t>
  </si>
  <si>
    <t>Balkishuan Muralidhar</t>
  </si>
  <si>
    <t>Material Handling &amp; Segregation</t>
  </si>
  <si>
    <t>Grouting Works</t>
  </si>
  <si>
    <t>Instrumentation Works</t>
  </si>
  <si>
    <t>Finalization</t>
  </si>
  <si>
    <t>Working Area</t>
  </si>
  <si>
    <t>Site access preparation</t>
  </si>
  <si>
    <t>Foundation surface cleaning</t>
  </si>
  <si>
    <t>Pipe rack support installation</t>
  </si>
  <si>
    <t>Instrument support installation</t>
  </si>
  <si>
    <t>Final inspection</t>
  </si>
  <si>
    <t>Area barricading</t>
  </si>
  <si>
    <t>Material inspection</t>
  </si>
  <si>
    <t>Trial fit-up</t>
  </si>
  <si>
    <t>Strucutre Assembly</t>
  </si>
  <si>
    <t>Formwork installation</t>
  </si>
  <si>
    <t>Pipe erection</t>
  </si>
  <si>
    <t>Cable tray installation</t>
  </si>
  <si>
    <t>Instrument mounting</t>
  </si>
  <si>
    <t>Surface inspection</t>
  </si>
  <si>
    <t>Dimensional survey</t>
  </si>
  <si>
    <t>CT-1010-20</t>
  </si>
  <si>
    <t>Safety signage installation</t>
  </si>
  <si>
    <t>Material verification with drawings</t>
  </si>
  <si>
    <t>Temporary bolting</t>
  </si>
  <si>
    <t>Grout mixing</t>
  </si>
  <si>
    <t>Cable pulling</t>
  </si>
  <si>
    <t>Tubing installation</t>
  </si>
  <si>
    <t>Punch list clearance</t>
  </si>
  <si>
    <t>CT-1010-21</t>
  </si>
  <si>
    <t>Column erection</t>
  </si>
  <si>
    <t>Grout pouring</t>
  </si>
  <si>
    <t>Welding</t>
  </si>
  <si>
    <t>Cable termination</t>
  </si>
  <si>
    <t>Hook-up works</t>
  </si>
  <si>
    <t>Final painting</t>
  </si>
  <si>
    <t>As-built documentation</t>
  </si>
  <si>
    <t>CT-1010-27</t>
  </si>
  <si>
    <t>Manlift mobilization</t>
  </si>
  <si>
    <t>Beam erection</t>
  </si>
  <si>
    <t>Grout curing</t>
  </si>
  <si>
    <t>NDT inspection</t>
  </si>
  <si>
    <t>Loop checking</t>
  </si>
  <si>
    <t>DFT inspection</t>
  </si>
  <si>
    <t>Area handover</t>
  </si>
  <si>
    <t>Long Conveyor</t>
  </si>
  <si>
    <t>TR-1010-01</t>
  </si>
  <si>
    <t>Scaffolding mobilization</t>
  </si>
  <si>
    <t>Platform installation</t>
  </si>
  <si>
    <t>Pipe alignment</t>
  </si>
  <si>
    <t>Dismantling of Electrical Cable</t>
  </si>
  <si>
    <t>Dismantling of Junction box</t>
  </si>
  <si>
    <t>TR-1010-21</t>
  </si>
  <si>
    <t>Ladder &amp; handrail installation</t>
  </si>
  <si>
    <t>Dismantling of Cable Rack</t>
  </si>
  <si>
    <t>Main Office</t>
  </si>
  <si>
    <t>Alignment (vertical &amp; horizontal)</t>
  </si>
  <si>
    <t>TR-1010-20</t>
  </si>
  <si>
    <t xml:space="preserve">Idle </t>
  </si>
  <si>
    <t>Shim installation</t>
  </si>
  <si>
    <t>TR-1010-27</t>
  </si>
  <si>
    <t>Final bolting</t>
  </si>
  <si>
    <t>Bolt marking</t>
  </si>
  <si>
    <t>Dismantling of Cover</t>
  </si>
  <si>
    <t>Dismantling of Structure</t>
  </si>
  <si>
    <t>Material Segregation</t>
  </si>
  <si>
    <t>=xlookup(Table134526_79101120212223242526[@[Name Surname]],'Manpower'!A1</t>
  </si>
  <si>
    <t>S/N</t>
  </si>
  <si>
    <t>ID#</t>
  </si>
  <si>
    <t>Name</t>
  </si>
  <si>
    <t>Nationality</t>
  </si>
  <si>
    <t>Skill</t>
  </si>
  <si>
    <t>Direct/Indirect</t>
  </si>
  <si>
    <t>Encogroup</t>
  </si>
  <si>
    <t>George Tcheroyan</t>
  </si>
  <si>
    <t>LEBANESE</t>
  </si>
  <si>
    <t>Project Manager</t>
  </si>
  <si>
    <t>Indirect</t>
  </si>
  <si>
    <t>Site Manager</t>
  </si>
  <si>
    <t>Mhamed Sheikh</t>
  </si>
  <si>
    <t>Quality Manager</t>
  </si>
  <si>
    <t>Rabih Ali El Borji</t>
  </si>
  <si>
    <t>Admin Manager</t>
  </si>
  <si>
    <t>Peter Farah</t>
  </si>
  <si>
    <t>Lead Mechanical Engineer</t>
  </si>
  <si>
    <t>Abdullah Humaid Al Nofali</t>
  </si>
  <si>
    <t>OMANI</t>
  </si>
  <si>
    <t>Maroun Raymond Sarkis</t>
  </si>
  <si>
    <t>Mechanical engineer</t>
  </si>
  <si>
    <t>Cherbel Nabih Gebrael</t>
  </si>
  <si>
    <t>Purchasing Manager</t>
  </si>
  <si>
    <t>Indian</t>
  </si>
  <si>
    <t>Lifting engineer</t>
  </si>
  <si>
    <t>Abishek Pandey</t>
  </si>
  <si>
    <t>Gas Cutter</t>
  </si>
  <si>
    <t>Direct</t>
  </si>
  <si>
    <t>BUSHRA</t>
  </si>
  <si>
    <t>Diesel Re-fueling team</t>
  </si>
  <si>
    <t>Equipment MP</t>
  </si>
  <si>
    <t>Gokul Reghu</t>
  </si>
  <si>
    <t>Site Coordinator / Timekeeper</t>
  </si>
  <si>
    <t>Fatema Al Abri</t>
  </si>
  <si>
    <t>Admin Assistant</t>
  </si>
  <si>
    <t>Welder</t>
  </si>
  <si>
    <t>TURKIYE</t>
  </si>
  <si>
    <t>Construction Manager</t>
  </si>
  <si>
    <t>Grinder</t>
  </si>
  <si>
    <t>Arun Kumar</t>
  </si>
  <si>
    <t>Fitter/Erector</t>
  </si>
  <si>
    <t>Arunraj Rajendiren</t>
  </si>
  <si>
    <t>Scheduler / Planning Engineer</t>
  </si>
  <si>
    <t>PAKISTANI</t>
  </si>
  <si>
    <t>Rigger</t>
  </si>
  <si>
    <t>Philipino</t>
  </si>
  <si>
    <t>Mechanical Supervisor</t>
  </si>
  <si>
    <t>Electrician</t>
  </si>
  <si>
    <t>Azzam Ahmed</t>
  </si>
  <si>
    <t>Mechanical Foreman</t>
  </si>
  <si>
    <t>Bader Al-Buloshi</t>
  </si>
  <si>
    <t>Jaison Marottikkal Lorance</t>
  </si>
  <si>
    <t>HSE Officer</t>
  </si>
  <si>
    <t>Bader Nasser Said Masoud Al Nofali</t>
  </si>
  <si>
    <t>Scaffolder</t>
  </si>
  <si>
    <t>Bal Krishna Bishwakarma</t>
  </si>
  <si>
    <t>NEPALI</t>
  </si>
  <si>
    <t>Basheer Abubakkar</t>
  </si>
  <si>
    <t>Bhanu Kumar</t>
  </si>
  <si>
    <t>Assistant/Helper</t>
  </si>
  <si>
    <t>Fawaz Aamir Said Hamdoon Al-Naamani</t>
  </si>
  <si>
    <t>Junior PRO</t>
  </si>
  <si>
    <t>Emile Baradhi</t>
  </si>
  <si>
    <t>Material Manager</t>
  </si>
  <si>
    <t>Maryam Abdallah Said Al Matrosushi</t>
  </si>
  <si>
    <t>QS Engineer</t>
  </si>
  <si>
    <t>Sheikha Abdallah Said Al Matrosushi</t>
  </si>
  <si>
    <t>HR Officer</t>
  </si>
  <si>
    <t>Al Jaber Heavy Lift</t>
  </si>
  <si>
    <t>Technician</t>
  </si>
  <si>
    <t>Surveyor</t>
  </si>
  <si>
    <t>George Zouhair Abi Farah</t>
  </si>
  <si>
    <t>Facility Management</t>
  </si>
  <si>
    <t>Permit Receiver</t>
  </si>
  <si>
    <t>Gurpreet Sing</t>
  </si>
  <si>
    <t>Hareendra Shahani</t>
  </si>
  <si>
    <t>HIAB Driver</t>
  </si>
  <si>
    <t>Sajilal Sasidharan</t>
  </si>
  <si>
    <t>Accountant</t>
  </si>
  <si>
    <t>Sulthan Humaid Mohammed Humaid Al Nofli</t>
  </si>
  <si>
    <t>Mechanical QC</t>
  </si>
  <si>
    <t>Imaran Ahamad Taj Mohammad</t>
  </si>
  <si>
    <t>Welding Inspector</t>
  </si>
  <si>
    <t>Irshad Ejas Hussain Shaikh</t>
  </si>
  <si>
    <t>HSE Administrative</t>
  </si>
  <si>
    <t>Jean-Luc-Joseph</t>
  </si>
  <si>
    <t>FRANCE</t>
  </si>
  <si>
    <t>Welding Engineer</t>
  </si>
  <si>
    <t>Electrical Supervisor</t>
  </si>
  <si>
    <t>Painter</t>
  </si>
  <si>
    <t>Electrical Superintendent</t>
  </si>
  <si>
    <t>Lituanie</t>
  </si>
  <si>
    <t>Mechanical Assistant</t>
  </si>
  <si>
    <t>Mechanical Superintendent</t>
  </si>
  <si>
    <t>Painting Inspector</t>
  </si>
  <si>
    <t>BG</t>
  </si>
  <si>
    <t>Pipe Fitter</t>
  </si>
  <si>
    <t>QC Mechanical Engineer</t>
  </si>
  <si>
    <t>Scaffolding Inspector</t>
  </si>
  <si>
    <t>Sathishkumar Kasthurisamy</t>
  </si>
  <si>
    <t>Draftsman Engineer</t>
  </si>
  <si>
    <t xml:space="preserve">Crane Operator </t>
  </si>
  <si>
    <t>Crane Operator- 70T Crawler Crane- 02</t>
  </si>
  <si>
    <t>Ibrahim Karam Ali Al Balushi</t>
  </si>
  <si>
    <t>SARENS NASS</t>
  </si>
  <si>
    <t>Crane Operator- 70T Hitachi Crawler crane</t>
  </si>
  <si>
    <t>Alla Said Abdallah Al Jabri</t>
  </si>
  <si>
    <t>IT Engineer</t>
  </si>
  <si>
    <t>Bus Driver</t>
  </si>
  <si>
    <t>Nasr Nasser Said Masoud Al Nofli</t>
  </si>
  <si>
    <t>Samar Habib</t>
  </si>
  <si>
    <t>Mechanical Engineer</t>
  </si>
  <si>
    <t>Amran Hamood Marhoon Al-Hashemi</t>
  </si>
  <si>
    <t>Junior HSE Officer</t>
  </si>
  <si>
    <t>BANGLADESHI</t>
  </si>
  <si>
    <t>AL Omar International TRAD AND CONT</t>
  </si>
  <si>
    <t>RIgger</t>
  </si>
  <si>
    <t>Sub Contactor</t>
  </si>
  <si>
    <t>Motaseem Kariem</t>
  </si>
  <si>
    <t>Welding Foreman</t>
  </si>
  <si>
    <t>Muhammad Zeeshan</t>
  </si>
  <si>
    <t>Muhammed Ramzan</t>
  </si>
  <si>
    <t>Welding Supervisor</t>
  </si>
  <si>
    <t>Prathip Sundaram</t>
  </si>
  <si>
    <t>Scheduling Engineer</t>
  </si>
  <si>
    <t>Omaima Sultan Saif Al- Busaidi</t>
  </si>
  <si>
    <t>Othman Mohammed Najman Al Zadjali</t>
  </si>
  <si>
    <t>Trailer Driver</t>
  </si>
  <si>
    <t>Mechanic Supervisor</t>
  </si>
  <si>
    <t>AL Saif &amp; Al QALLM ENT LLC</t>
  </si>
  <si>
    <t>Prasad Vadakkedath Me Ramankutty</t>
  </si>
  <si>
    <t>HSE Engineer</t>
  </si>
  <si>
    <t>Rabwu Ahamal AL Khaleej Trad</t>
  </si>
  <si>
    <t>Fitter</t>
  </si>
  <si>
    <t>Pradeep Pandey</t>
  </si>
  <si>
    <t>Praful Kumar Rai</t>
  </si>
  <si>
    <t>Praveen Singh</t>
  </si>
  <si>
    <t>Erector/Manlift Operator</t>
  </si>
  <si>
    <t>Shawaj Alam</t>
  </si>
  <si>
    <t>Mazin Abdullah Ali Al -Aisaee</t>
  </si>
  <si>
    <t>Forklift Operator</t>
  </si>
  <si>
    <t>Senthil Vel Sekar</t>
  </si>
  <si>
    <t>Document controller</t>
  </si>
  <si>
    <t>Store Keeper</t>
  </si>
  <si>
    <t>Ibrahim Karime</t>
  </si>
  <si>
    <t>Logistics Supervisor</t>
  </si>
  <si>
    <t>Raya Salim Khamis Said Al Junaibi</t>
  </si>
  <si>
    <t>Admin Coordinator</t>
  </si>
  <si>
    <t>Rodie Jabber</t>
  </si>
  <si>
    <t>Electrical Engineer</t>
  </si>
  <si>
    <t>Mohammad Alam</t>
  </si>
  <si>
    <t>Scaffolding Supervisor</t>
  </si>
  <si>
    <t>Manikandaraj Muthaia</t>
  </si>
  <si>
    <t>HR Manager</t>
  </si>
  <si>
    <t>Mahmoud Moussa</t>
  </si>
  <si>
    <t>Hydraulic Mechanic</t>
  </si>
  <si>
    <t>Helper</t>
  </si>
  <si>
    <t>Ramesh Kumar</t>
  </si>
  <si>
    <t>Said Helal Mohammed Al-Amri</t>
  </si>
  <si>
    <t>Rajeev Kumar Sadasivam</t>
  </si>
  <si>
    <t>Vijay Kumar Muthu</t>
  </si>
  <si>
    <t>Renjith Kumar</t>
  </si>
  <si>
    <t>Rajesh Sadahanndan Pillai</t>
  </si>
  <si>
    <t>HSE Manager</t>
  </si>
  <si>
    <t>MD shahnawaj Ahmed</t>
  </si>
  <si>
    <t>Crane Operator-130T Liebherr Crawler</t>
  </si>
  <si>
    <t>Crane Operator-150T Hitachi Crawler</t>
  </si>
  <si>
    <t>GAF</t>
  </si>
  <si>
    <t>Umesh Kumar</t>
  </si>
  <si>
    <t>Rial Al Khaleej</t>
  </si>
  <si>
    <t>Crane Operator-100T Zoomlion Telescopic</t>
  </si>
  <si>
    <t>Biomanna Mohanan</t>
  </si>
  <si>
    <t>Vijaya Kumar (5036)</t>
  </si>
  <si>
    <t>Mason</t>
  </si>
  <si>
    <t>AL NAHDHA</t>
  </si>
  <si>
    <t>MD Sadiq</t>
  </si>
  <si>
    <t>Forklift Operator-7T</t>
  </si>
  <si>
    <t>AL Omar International</t>
  </si>
  <si>
    <t>MD Hasan Howlander</t>
  </si>
  <si>
    <t>Rigger/Man-Lift Operator</t>
  </si>
  <si>
    <t>Crane Operator- 70T Liebherr Telescopic Crane-01</t>
  </si>
  <si>
    <t>DILIP KUMAR (5042)</t>
  </si>
  <si>
    <t>Supervisor</t>
  </si>
  <si>
    <t>Bright Light</t>
  </si>
  <si>
    <t>Crane Operator-100T Sany Telescopic</t>
  </si>
  <si>
    <t xml:space="preserve">FAL Transport </t>
  </si>
  <si>
    <t xml:space="preserve">AL Omar International </t>
  </si>
  <si>
    <t>Sakhawat Hussain</t>
  </si>
  <si>
    <t>Forklift Operator-14T</t>
  </si>
  <si>
    <t>Sarens Nass</t>
  </si>
  <si>
    <t>Crane Operator-150T Sany Crawler</t>
  </si>
  <si>
    <t>Laxman Chaudhary</t>
  </si>
  <si>
    <t>Ejaz Hussein</t>
  </si>
  <si>
    <t>HSE Coordinator</t>
  </si>
  <si>
    <t>Crane Operator- 70T Liebherr Telescopic Crane-02</t>
  </si>
  <si>
    <t>AL Omar International Tarde&amp;Contracting SPC</t>
  </si>
  <si>
    <t>Sandeep Kumar Yadhav</t>
  </si>
  <si>
    <t>Sheikha Rashid Saif-Al Ghaithi</t>
  </si>
  <si>
    <t>Electrical  Supervisor</t>
  </si>
  <si>
    <r>
      <t xml:space="preserve">Abdullah Khalfan </t>
    </r>
    <r>
      <rPr>
        <sz val="11"/>
        <color rgb="FF000000"/>
        <rFont val="Calibri"/>
        <family val="2"/>
        <scheme val="minor"/>
      </rPr>
      <t>Humaid Al Saidi</t>
    </r>
  </si>
  <si>
    <t>Lowbed Trailer Driver</t>
  </si>
  <si>
    <t>Sohan Gupta</t>
  </si>
  <si>
    <t>Subodh Sah</t>
  </si>
  <si>
    <t>DuqmTrailer Driver</t>
  </si>
  <si>
    <t>OCI</t>
  </si>
  <si>
    <t>DRIVER</t>
  </si>
  <si>
    <t>Venkatesh Annapu</t>
  </si>
  <si>
    <t>Permit Reciver</t>
  </si>
  <si>
    <t>ATS</t>
  </si>
  <si>
    <t>Vijai Kumar Yadhav</t>
  </si>
  <si>
    <t>70T Crawler Crane</t>
  </si>
  <si>
    <t>Equipment</t>
  </si>
  <si>
    <t>100T Telescopic Crane</t>
  </si>
  <si>
    <t>Riyan Al Khaleej</t>
  </si>
  <si>
    <t>Nass Group</t>
  </si>
  <si>
    <t>70T-Telescopic crane</t>
  </si>
  <si>
    <t>12M SCISSOR LIFT</t>
  </si>
  <si>
    <t>12M Scissor Lift</t>
  </si>
  <si>
    <t>13 Seat Bus</t>
  </si>
  <si>
    <t>130T Crawler Crane</t>
  </si>
  <si>
    <t>14T Fork lift</t>
  </si>
  <si>
    <t>15 Seat Bus</t>
  </si>
  <si>
    <t>150T-Crawler Crane</t>
  </si>
  <si>
    <t>55 Seat Bus</t>
  </si>
  <si>
    <t>22 Seat Bus</t>
  </si>
  <si>
    <t>22 SEAT BUS 2746MB</t>
  </si>
  <si>
    <t>22KVA-Generator</t>
  </si>
  <si>
    <t>22M-Manlift</t>
  </si>
  <si>
    <t>28M-Manlift</t>
  </si>
  <si>
    <t>300 KVA Generator</t>
  </si>
  <si>
    <t>35 KVA Generator</t>
  </si>
  <si>
    <t xml:space="preserve">40KVA CUMMINS GENERATOR </t>
  </si>
  <si>
    <t>40KVA Generator</t>
  </si>
  <si>
    <t>22 KVA Generator</t>
  </si>
  <si>
    <t>40M JLG MANLIFT</t>
  </si>
  <si>
    <t>40M-Manlift</t>
  </si>
  <si>
    <t>TELEHANDLER</t>
  </si>
  <si>
    <t>7T FORKLIFT</t>
  </si>
  <si>
    <t>7T-Fork lift</t>
  </si>
  <si>
    <t>80T GROVE TELESCOPIC CRANE</t>
  </si>
  <si>
    <t>80T-Telescopic crane</t>
  </si>
  <si>
    <t>Trailer</t>
  </si>
  <si>
    <t>7T-HIAB</t>
  </si>
  <si>
    <t>Al Asrah Al Mumayaza Trad</t>
  </si>
  <si>
    <t>PICK-UP</t>
  </si>
  <si>
    <t>SCISSOR LIFT</t>
  </si>
  <si>
    <t>SCISSOR LIFT-03</t>
  </si>
  <si>
    <t>SCISSOR LIFT-04</t>
  </si>
  <si>
    <t>TOWER LIGHT</t>
  </si>
  <si>
    <t>TOWER LIGHT-3</t>
  </si>
  <si>
    <t>ID #</t>
  </si>
  <si>
    <t xml:space="preserve">Skill </t>
  </si>
  <si>
    <t>Aaisha Abdallah Said AL Balushi</t>
  </si>
  <si>
    <t>Process Engineer</t>
  </si>
  <si>
    <t>Abhishek Kumar</t>
  </si>
  <si>
    <t>Crane Operator -150T</t>
  </si>
  <si>
    <t>123487214</t>
  </si>
  <si>
    <t>Adhikesavan Chandrasekaran</t>
  </si>
  <si>
    <t>QC Document Controller</t>
  </si>
  <si>
    <t>Not Required</t>
  </si>
  <si>
    <t>AHMED KHADEEM SAID AL TOURASHI</t>
  </si>
  <si>
    <t>Aiyaj Najirhussain Patel</t>
  </si>
  <si>
    <t>AN071596</t>
  </si>
  <si>
    <t>U4181508</t>
  </si>
  <si>
    <t>Akram Hossain</t>
  </si>
  <si>
    <t>Akther Sanaulla</t>
  </si>
  <si>
    <t>Alamin Robeul Islam</t>
  </si>
  <si>
    <t>Alamin Sheikh</t>
  </si>
  <si>
    <t>100398391</t>
  </si>
  <si>
    <t>Amdadul Haque</t>
  </si>
  <si>
    <t>Amna Aadil Khalaf Al-Marroushi</t>
  </si>
  <si>
    <t>Anil Baitha</t>
  </si>
  <si>
    <t>AD797743</t>
  </si>
  <si>
    <t>Aravind Kumar Tiwari</t>
  </si>
  <si>
    <t>Arun Baby</t>
  </si>
  <si>
    <t>Nurse</t>
  </si>
  <si>
    <t>123039392</t>
  </si>
  <si>
    <t>Arunkumar Kakkanad Chandran</t>
  </si>
  <si>
    <t>Ashwani Kumar</t>
  </si>
  <si>
    <t>not required</t>
  </si>
  <si>
    <t>124346519</t>
  </si>
  <si>
    <t>122179637</t>
  </si>
  <si>
    <t>Balister Yadav Yadav</t>
  </si>
  <si>
    <t>S3549132</t>
  </si>
  <si>
    <t>Baraili Man Bahadur</t>
  </si>
  <si>
    <t>Basanthu Ram</t>
  </si>
  <si>
    <t>141177603</t>
  </si>
  <si>
    <t xml:space="preserve">Basheer Abubakkar </t>
  </si>
  <si>
    <t>140848833</t>
  </si>
  <si>
    <t>Bilal Rabi'a Al Rufa'i</t>
  </si>
  <si>
    <t>CNC Operator Assistant</t>
  </si>
  <si>
    <t>-</t>
  </si>
  <si>
    <t>Bivishin Kumar Sing</t>
  </si>
  <si>
    <t>Instrument fitter</t>
  </si>
  <si>
    <t>Bul Bul Ahmed</t>
  </si>
  <si>
    <t>Daniel JR Mosiquira</t>
  </si>
  <si>
    <t>Didarul Alam  Golam Rabbani</t>
  </si>
  <si>
    <t>113484195</t>
  </si>
  <si>
    <t>12284034</t>
  </si>
  <si>
    <t>Easak Sheikh</t>
  </si>
  <si>
    <t>Emaran Hossain</t>
  </si>
  <si>
    <t>Erwin Sandoval</t>
  </si>
  <si>
    <t xml:space="preserve">Painting Foreman </t>
  </si>
  <si>
    <t>Fahad Ahmed Obaid Al Qaidi</t>
  </si>
  <si>
    <t>102607563</t>
  </si>
  <si>
    <t>Felix George</t>
  </si>
  <si>
    <t>Material Controller</t>
  </si>
  <si>
    <t>Ganta Mohan Rady</t>
  </si>
  <si>
    <t>AH746467</t>
  </si>
  <si>
    <t>121820536</t>
  </si>
  <si>
    <t>Govind Sahani</t>
  </si>
  <si>
    <t>Gurpreet Singh</t>
  </si>
  <si>
    <t>Gyan Prakash Singh</t>
  </si>
  <si>
    <t>Hamed Ali Sai al Washahi</t>
  </si>
  <si>
    <t xml:space="preserve">Hamzha  Khalid </t>
  </si>
  <si>
    <t>X6330749</t>
  </si>
  <si>
    <t>Crane Operator-70T</t>
  </si>
  <si>
    <t>Hasan Mia</t>
  </si>
  <si>
    <t xml:space="preserve">Electrical Foreman </t>
  </si>
  <si>
    <t>Hiralal Prasad Gupta</t>
  </si>
  <si>
    <t>Hussain Bubal</t>
  </si>
  <si>
    <t>Hussain Owayed</t>
  </si>
  <si>
    <t>IBRAHIM KARAM ALI AL BALUSHI</t>
  </si>
  <si>
    <t xml:space="preserve">Logistics Supervisor  </t>
  </si>
  <si>
    <t>140954262</t>
  </si>
  <si>
    <t>Iqbal Hossain</t>
  </si>
  <si>
    <t>Jagger Arguila</t>
  </si>
  <si>
    <t>Mechanic Forman</t>
  </si>
  <si>
    <t>Jahir Islam</t>
  </si>
  <si>
    <t>R3971143</t>
  </si>
  <si>
    <t xml:space="preserve">Jaison Vijay Menezes </t>
  </si>
  <si>
    <t>QC Manager</t>
  </si>
  <si>
    <t>Jerin Madapilly Johnson</t>
  </si>
  <si>
    <t>AG111207</t>
  </si>
  <si>
    <t xml:space="preserve">Jitendra Kumar Yadav </t>
  </si>
  <si>
    <t>Jithendra Kumar Rauta</t>
  </si>
  <si>
    <t>P2082614</t>
  </si>
  <si>
    <t>John Paul George</t>
  </si>
  <si>
    <t>Kawanchal kumar</t>
  </si>
  <si>
    <t>Kawsar Mahmud</t>
  </si>
  <si>
    <t>Mahmoud Khoder Hassan</t>
  </si>
  <si>
    <t>Kamalesh Maddheshiya</t>
  </si>
  <si>
    <t>Electrical Assistant</t>
  </si>
  <si>
    <t>Foreman</t>
  </si>
  <si>
    <t>Manoj Kumar Ram</t>
  </si>
  <si>
    <t>T2058009</t>
  </si>
  <si>
    <t>Mansur Malita</t>
  </si>
  <si>
    <t>Md  Zafor</t>
  </si>
  <si>
    <t>MD Abu Sarbath Ali</t>
  </si>
  <si>
    <t>Md Ashik  Mondol</t>
  </si>
  <si>
    <t>Md Humayun Kabir</t>
  </si>
  <si>
    <t>MD Kamaluddin</t>
  </si>
  <si>
    <t>Md Mahmudul Hasan</t>
  </si>
  <si>
    <t>Md Moin Uddin</t>
  </si>
  <si>
    <t>MD Rashed Mohammed</t>
  </si>
  <si>
    <t>Md Sahadat</t>
  </si>
  <si>
    <t>Md Sakanter Hossain</t>
  </si>
  <si>
    <t>Md Shahid Ansari</t>
  </si>
  <si>
    <t>P8996919</t>
  </si>
  <si>
    <t>Md Shahin</t>
  </si>
  <si>
    <t>Mehdi Hasan</t>
  </si>
  <si>
    <t>Minto Das</t>
  </si>
  <si>
    <t>Mohammad  Jalal Uddin</t>
  </si>
  <si>
    <t>Mohammad  Main Uddin</t>
  </si>
  <si>
    <t>Mohammad Abulkasem Abdul Kader</t>
  </si>
  <si>
    <t>85813175</t>
  </si>
  <si>
    <t>Mohammad Ejaz Ansari</t>
  </si>
  <si>
    <t>T0680335</t>
  </si>
  <si>
    <t>Mohammad Jakir Hossain</t>
  </si>
  <si>
    <t>Mohammad Shobuj Raza</t>
  </si>
  <si>
    <t>Mohammad Sonu</t>
  </si>
  <si>
    <t>Mohammed Abdullah Rashid Al Maamari</t>
  </si>
  <si>
    <t>Mohammed Akber</t>
  </si>
  <si>
    <t>Crane operator</t>
  </si>
  <si>
    <t>Mohammed Irfan</t>
  </si>
  <si>
    <t>Mohammed Khalifa Mohammed Al Jabri</t>
  </si>
  <si>
    <t>Mohammed Mobin</t>
  </si>
  <si>
    <t>Mohammed Rustam Ali Khan</t>
  </si>
  <si>
    <t>R9967505</t>
  </si>
  <si>
    <t>Mohammed Zahid</t>
  </si>
  <si>
    <t>Mohmmed Abdullah Ali Al-Aisaee</t>
  </si>
  <si>
    <t>Muhammad Attiq</t>
  </si>
  <si>
    <t>125440626</t>
  </si>
  <si>
    <t>122179642</t>
  </si>
  <si>
    <t>Mustafa Moosa Ahmed Al Balushi</t>
  </si>
  <si>
    <t>Nandana Kandoth Pariyali</t>
  </si>
  <si>
    <t>AA231087</t>
  </si>
  <si>
    <t>Naveed Hussain</t>
  </si>
  <si>
    <t>Nazrul Islam</t>
  </si>
  <si>
    <t>Nilesh Sharma</t>
  </si>
  <si>
    <t>77873529</t>
  </si>
  <si>
    <t xml:space="preserve">Lead Mechanical Engineer </t>
  </si>
  <si>
    <t xml:space="preserve">Pinto Kuriakose </t>
  </si>
  <si>
    <t>122274652</t>
  </si>
  <si>
    <t>117020738</t>
  </si>
  <si>
    <t>Pragat Sing</t>
  </si>
  <si>
    <t>Prasad Vadakkedath ME Ramankutty</t>
  </si>
  <si>
    <t>Scheduling  Engineer</t>
  </si>
  <si>
    <t>Pravin Prakash Singh</t>
  </si>
  <si>
    <t>Erector / Manlift Operator</t>
  </si>
  <si>
    <t>122015438</t>
  </si>
  <si>
    <t>Rakesh Radhakrishnan</t>
  </si>
  <si>
    <t>Electrical QC Engineer</t>
  </si>
  <si>
    <t>112346941</t>
  </si>
  <si>
    <t>Renu Sutharshan</t>
  </si>
  <si>
    <t>QC Mechanical Lead</t>
  </si>
  <si>
    <t>Robert Michel Salameh Haddad</t>
  </si>
  <si>
    <t>Robul Hoque Abdul Bark</t>
  </si>
  <si>
    <t>Rogie JR Mabilog</t>
  </si>
  <si>
    <t>Ruhul Amin</t>
  </si>
  <si>
    <t>Saddam Hussain</t>
  </si>
  <si>
    <t>W3304280</t>
  </si>
  <si>
    <t>Said Hilal Mohammed ALAmri</t>
  </si>
  <si>
    <t xml:space="preserve"> Driver</t>
  </si>
  <si>
    <t>Said Mohammed Said Al-Kaabi</t>
  </si>
  <si>
    <t>Saidul Sheikh</t>
  </si>
  <si>
    <t>P6050502</t>
  </si>
  <si>
    <t>Sandeep Yadav</t>
  </si>
  <si>
    <t>Santhosh Kumar</t>
  </si>
  <si>
    <t>Santosh Kumar Yadav</t>
  </si>
  <si>
    <t>Shafiqe Tariqe</t>
  </si>
  <si>
    <t>Crane Operator-100T</t>
  </si>
  <si>
    <t>Sheikha Rashid Saif Al Ghaithi</t>
  </si>
  <si>
    <t>Crane Operator-130T</t>
  </si>
  <si>
    <t>Shoaib Akhtar</t>
  </si>
  <si>
    <t>Sofikul Isalm</t>
  </si>
  <si>
    <t>140806191</t>
  </si>
  <si>
    <t>Solaiman Abul Bashar</t>
  </si>
  <si>
    <t>Sreejith Satheesh kumar</t>
  </si>
  <si>
    <t>Arc Welder</t>
  </si>
  <si>
    <t>S8474313</t>
  </si>
  <si>
    <t>Sujon Sarkar</t>
  </si>
  <si>
    <t>Syed  Mamunur Rashid</t>
  </si>
  <si>
    <t>Syed Ishan Haider</t>
  </si>
  <si>
    <t>Syed Mohammed</t>
  </si>
  <si>
    <t>Triloki Nath</t>
  </si>
  <si>
    <t>Umar Gull</t>
  </si>
  <si>
    <t>96405686</t>
  </si>
  <si>
    <t>84357232</t>
  </si>
  <si>
    <t>Site  Manager</t>
  </si>
  <si>
    <t>123039387</t>
  </si>
  <si>
    <t xml:space="preserve">Vijay Prasad  </t>
  </si>
  <si>
    <t>Cable Tray Fitter</t>
  </si>
  <si>
    <t>71345102</t>
  </si>
  <si>
    <t>Yam Kumar Rai</t>
  </si>
  <si>
    <t xml:space="preserve"> Trailer Driver</t>
  </si>
  <si>
    <t>Zakar Hossain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</si>
</sst>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hrs&quot;"/>
    <numFmt numFmtId="165" formatCode="0.0"/>
  </numFmts>
  <fonts count="25">
    <font>
      <sz val="11"/>
      <color theme="1"/>
      <name val="Calibri"/>
      <charset val="134"/>
      <scheme val="minor"/>
    </font>
    <font>
      <sz val="11"/>
      <color theme="1"/>
      <name val="Calibri"/>
      <family val="2"/>
      <scheme val="minor"/>
    </font>
    <font>
      <sz val="11"/>
      <color theme="1"/>
      <name val="Arial"/>
      <family val="2"/>
    </font>
    <font>
      <sz val="11"/>
      <color theme="1"/>
      <name val="Calibri"/>
      <family val="2"/>
    </font>
    <font>
      <sz val="11"/>
      <color rgb="FF000000"/>
      <name val="Calibri"/>
      <family val="2"/>
    </font>
    <font>
      <b/>
      <sz val="11"/>
      <color rgb="FFFF0000"/>
      <name val="Calibri"/>
      <family val="2"/>
      <scheme val="minor"/>
    </font>
    <font>
      <b/>
      <sz val="11"/>
      <color theme="1"/>
      <name val="Calibri"/>
      <family val="2"/>
      <scheme val="minor"/>
    </font>
    <font>
      <sz val="10"/>
      <name val="Calibri"/>
      <family val="2"/>
      <scheme val="minor"/>
    </font>
    <font>
      <sz val="10"/>
      <color theme="1"/>
      <name val="Calibri"/>
      <family val="2"/>
      <scheme val="minor"/>
    </font>
    <font>
      <sz val="10"/>
      <color theme="1"/>
      <name val="Calibri"/>
      <family val="2"/>
    </font>
    <font>
      <sz val="11"/>
      <color theme="1"/>
      <name val="Calibri"/>
      <family val="2"/>
      <scheme val="minor"/>
    </font>
    <font>
      <sz val="11"/>
      <color indexed="8"/>
      <name val="Calibri"/>
      <family val="2"/>
      <scheme val="minor"/>
    </font>
    <font>
      <sz val="10"/>
      <color indexed="8"/>
      <name val="Times New Roman"/>
      <family val="1"/>
    </font>
    <font>
      <sz val="12"/>
      <color indexed="8"/>
      <name val="Calibri"/>
      <family val="2"/>
      <scheme val="minor"/>
    </font>
    <font>
      <sz val="11"/>
      <color rgb="FFFF0000"/>
      <name val="Calibri"/>
      <family val="2"/>
      <scheme val="minor"/>
    </font>
    <font>
      <sz val="11"/>
      <color rgb="FF000000"/>
      <name val="Calibri"/>
      <family val="2"/>
      <scheme val="minor"/>
    </font>
    <font>
      <sz val="8"/>
      <name val="Calibri"/>
      <family val="2"/>
      <scheme val="minor"/>
    </font>
    <font>
      <sz val="10"/>
      <color theme="1"/>
      <name val="Calibri"/>
      <family val="2"/>
      <charset val="134"/>
      <scheme val="minor"/>
    </font>
    <font>
      <sz val="12"/>
      <color theme="1"/>
      <name val="Calibri"/>
      <family val="2"/>
      <scheme val="minor"/>
    </font>
    <font>
      <sz val="10"/>
      <color theme="1"/>
      <name val="Times New Roman"/>
      <family val="1"/>
    </font>
    <font>
      <sz val="9"/>
      <color theme="1"/>
      <name val="Times New Roman"/>
      <family val="1"/>
    </font>
    <font>
      <b/>
      <sz val="11"/>
      <color theme="1"/>
      <name val="Calibri"/>
      <family val="2"/>
    </font>
    <font>
      <sz val="11"/>
      <color indexed="8"/>
      <name val="Calibri"/>
      <family val="2"/>
    </font>
    <font>
      <sz val="10"/>
      <color rgb="FF000000"/>
      <name val="Calibri"/>
      <family val="2"/>
      <scheme val="minor"/>
    </font>
    <font>
      <sz val="10"/>
      <color indexed="8"/>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9" tint="0.39988402966399123"/>
        <bgColor indexed="64"/>
      </patternFill>
    </fill>
    <fill>
      <patternFill patternType="solid">
        <fgColor theme="7" tint="0.39988402966399123"/>
        <bgColor indexed="64"/>
      </patternFill>
    </fill>
    <fill>
      <patternFill patternType="solid">
        <fgColor theme="8" tint="0.39997558519241921"/>
        <bgColor indexed="64"/>
      </patternFill>
    </fill>
    <fill>
      <patternFill patternType="solid">
        <fgColor theme="8" tint="0.39994506668294322"/>
        <bgColor indexed="64"/>
      </patternFill>
    </fill>
    <fill>
      <patternFill patternType="solid">
        <fgColor theme="9" tint="0.39985351115451523"/>
        <bgColor indexed="64"/>
      </patternFill>
    </fill>
    <fill>
      <patternFill patternType="solid">
        <fgColor theme="7" tint="0.39985351115451523"/>
        <bgColor indexed="64"/>
      </patternFill>
    </fill>
    <fill>
      <patternFill patternType="solid">
        <fgColor rgb="FFFFC000"/>
        <bgColor indexed="64"/>
      </patternFill>
    </fill>
    <fill>
      <patternFill patternType="solid">
        <fgColor theme="8"/>
        <bgColor indexed="64"/>
      </patternFill>
    </fill>
    <fill>
      <patternFill patternType="solid">
        <fgColor theme="0" tint="-0.14999847407452621"/>
        <bgColor indexed="64"/>
      </patternFill>
    </fill>
    <fill>
      <patternFill patternType="solid">
        <fgColor rgb="FF00B0F0"/>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0"/>
        <bgColor indexed="64"/>
      </patternFill>
    </fill>
  </fills>
  <borders count="24">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thin">
        <color auto="1"/>
      </right>
      <top style="thin">
        <color auto="1"/>
      </top>
      <bottom style="thin">
        <color auto="1"/>
      </bottom>
      <diagonal/>
    </border>
    <border>
      <left style="medium">
        <color auto="1"/>
      </left>
      <right style="hair">
        <color auto="1"/>
      </right>
      <top style="medium">
        <color auto="1"/>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style="hair">
        <color auto="1"/>
      </right>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style="thin">
        <color theme="4" tint="0.39997558519241921"/>
      </right>
      <top style="thin">
        <color theme="4" tint="0.39997558519241921"/>
      </top>
      <bottom style="thin">
        <color theme="4" tint="0.39997558519241921"/>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bottom/>
      <diagonal/>
    </border>
    <border>
      <left/>
      <right style="thin">
        <color theme="4" tint="0.39997558519241921"/>
      </right>
      <top style="thin">
        <color theme="4" tint="0.39997558519241921"/>
      </top>
      <bottom/>
      <diagonal/>
    </border>
    <border>
      <left style="thin">
        <color rgb="FF000000"/>
      </left>
      <right style="thin">
        <color rgb="FF000000"/>
      </right>
      <top/>
      <bottom style="thin">
        <color rgb="FF000000"/>
      </bottom>
      <diagonal/>
    </border>
    <border>
      <left/>
      <right style="thin">
        <color theme="4" tint="0.39997558519241921"/>
      </right>
      <top/>
      <bottom style="thin">
        <color theme="4" tint="0.39997558519241921"/>
      </bottom>
      <diagonal/>
    </border>
  </borders>
  <cellStyleXfs count="4">
    <xf numFmtId="0" fontId="0" fillId="0" borderId="0"/>
    <xf numFmtId="0" fontId="2" fillId="0" borderId="0"/>
    <xf numFmtId="0" fontId="10" fillId="0" borderId="0"/>
    <xf numFmtId="0" fontId="1" fillId="0" borderId="0"/>
  </cellStyleXfs>
  <cellXfs count="163">
    <xf numFmtId="0" fontId="0" fillId="0" borderId="0" xfId="0"/>
    <xf numFmtId="0" fontId="2" fillId="0" borderId="0" xfId="1"/>
    <xf numFmtId="0" fontId="2" fillId="0" borderId="0" xfId="1" applyAlignment="1">
      <alignment horizontal="left"/>
    </xf>
    <xf numFmtId="0" fontId="2" fillId="0" borderId="1" xfId="1" applyBorder="1" applyAlignment="1">
      <alignment horizontal="center"/>
    </xf>
    <xf numFmtId="0" fontId="2" fillId="0" borderId="2" xfId="1" applyBorder="1" applyAlignment="1">
      <alignment horizontal="center" vertical="center"/>
    </xf>
    <xf numFmtId="0" fontId="2" fillId="0" borderId="2" xfId="1" applyBorder="1" applyAlignment="1">
      <alignment horizontal="left" vertical="center"/>
    </xf>
    <xf numFmtId="0" fontId="2" fillId="0" borderId="3" xfId="1" applyBorder="1" applyAlignment="1">
      <alignment horizontal="center" vertical="center"/>
    </xf>
    <xf numFmtId="0" fontId="2" fillId="0" borderId="4" xfId="1" applyBorder="1" applyAlignment="1">
      <alignment horizontal="center" vertical="center"/>
    </xf>
    <xf numFmtId="0" fontId="0" fillId="0" borderId="0" xfId="0" applyAlignment="1">
      <alignment vertical="center"/>
    </xf>
    <xf numFmtId="0" fontId="5" fillId="0" borderId="0" xfId="0" applyFont="1" applyAlignment="1">
      <alignment vertical="center"/>
    </xf>
    <xf numFmtId="0" fontId="6" fillId="0" borderId="0" xfId="0" applyFont="1"/>
    <xf numFmtId="0" fontId="6" fillId="0" borderId="0" xfId="0" applyFont="1" applyAlignment="1">
      <alignment horizontal="center" vertical="center"/>
    </xf>
    <xf numFmtId="0" fontId="0" fillId="0" borderId="0" xfId="0" applyProtection="1">
      <protection locked="0"/>
    </xf>
    <xf numFmtId="0" fontId="7" fillId="2" borderId="5" xfId="0" applyFont="1" applyFill="1" applyBorder="1" applyAlignment="1">
      <alignment horizontal="center" vertical="center"/>
    </xf>
    <xf numFmtId="0" fontId="8" fillId="0" borderId="6" xfId="0" applyFont="1" applyBorder="1" applyAlignment="1" applyProtection="1">
      <alignment horizontal="center" vertical="center"/>
      <protection locked="0"/>
    </xf>
    <xf numFmtId="0" fontId="7" fillId="2" borderId="6" xfId="0" applyFont="1" applyFill="1" applyBorder="1" applyAlignment="1">
      <alignment horizontal="center" vertical="center"/>
    </xf>
    <xf numFmtId="0" fontId="8" fillId="0" borderId="7" xfId="0" applyFont="1" applyBorder="1" applyAlignment="1" applyProtection="1">
      <alignment horizontal="center" vertical="center"/>
      <protection locked="0"/>
    </xf>
    <xf numFmtId="14" fontId="9" fillId="0" borderId="0" xfId="0" applyNumberFormat="1" applyFont="1" applyAlignment="1">
      <alignment horizontal="center" vertical="center"/>
    </xf>
    <xf numFmtId="14" fontId="9" fillId="0" borderId="0" xfId="0" applyNumberFormat="1" applyFont="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1" fontId="8" fillId="5" borderId="0" xfId="0" applyNumberFormat="1" applyFont="1" applyFill="1" applyAlignment="1">
      <alignment horizontal="center" vertical="center"/>
    </xf>
    <xf numFmtId="14" fontId="8" fillId="0" borderId="0" xfId="0" applyNumberFormat="1" applyFont="1" applyAlignment="1" applyProtection="1">
      <alignment horizontal="center" vertical="center"/>
      <protection locked="0"/>
    </xf>
    <xf numFmtId="14" fontId="8" fillId="0" borderId="0" xfId="0" applyNumberFormat="1" applyFont="1" applyAlignment="1">
      <alignment horizontal="center" vertical="center"/>
    </xf>
    <xf numFmtId="1" fontId="8" fillId="2" borderId="0" xfId="0" applyNumberFormat="1" applyFont="1" applyFill="1" applyAlignment="1">
      <alignment horizontal="center" vertical="center"/>
    </xf>
    <xf numFmtId="1" fontId="8" fillId="3" borderId="0" xfId="0" applyNumberFormat="1" applyFont="1" applyFill="1" applyAlignment="1">
      <alignment horizontal="center" vertical="center"/>
    </xf>
    <xf numFmtId="1" fontId="8" fillId="4" borderId="0" xfId="0" applyNumberFormat="1" applyFont="1" applyFill="1" applyAlignment="1">
      <alignment horizontal="center" vertical="center"/>
    </xf>
    <xf numFmtId="0" fontId="8" fillId="0" borderId="0" xfId="0" applyFont="1" applyAlignment="1">
      <alignment horizontal="center" vertical="center"/>
    </xf>
    <xf numFmtId="164" fontId="8" fillId="0" borderId="0" xfId="0" applyNumberFormat="1" applyFont="1" applyAlignment="1" applyProtection="1">
      <alignment horizontal="center" vertical="center"/>
      <protection locked="0"/>
    </xf>
    <xf numFmtId="1" fontId="8" fillId="6" borderId="0" xfId="0" applyNumberFormat="1" applyFont="1" applyFill="1" applyAlignment="1">
      <alignment horizontal="center" vertical="center"/>
    </xf>
    <xf numFmtId="1" fontId="8" fillId="7" borderId="0" xfId="0" applyNumberFormat="1" applyFont="1" applyFill="1" applyAlignment="1">
      <alignment horizontal="center" vertical="center"/>
    </xf>
    <xf numFmtId="1" fontId="8" fillId="8" borderId="0" xfId="0" applyNumberFormat="1" applyFont="1" applyFill="1" applyAlignment="1">
      <alignment horizontal="center" vertical="center"/>
    </xf>
    <xf numFmtId="1" fontId="8" fillId="0" borderId="0" xfId="0" applyNumberFormat="1" applyFont="1" applyAlignment="1">
      <alignment horizontal="center" vertical="center"/>
    </xf>
    <xf numFmtId="0" fontId="2" fillId="0" borderId="0" xfId="1" applyAlignment="1">
      <alignment horizontal="center"/>
    </xf>
    <xf numFmtId="165" fontId="12" fillId="0" borderId="0" xfId="0" applyNumberFormat="1" applyFont="1" applyAlignment="1" applyProtection="1">
      <alignment horizontal="center"/>
      <protection locked="0"/>
    </xf>
    <xf numFmtId="1" fontId="8" fillId="9" borderId="0" xfId="0" applyNumberFormat="1" applyFont="1" applyFill="1" applyAlignment="1">
      <alignment horizontal="center" vertical="center"/>
    </xf>
    <xf numFmtId="1" fontId="8" fillId="10" borderId="0" xfId="0" applyNumberFormat="1" applyFont="1" applyFill="1" applyAlignment="1">
      <alignment horizontal="center" vertical="center"/>
    </xf>
    <xf numFmtId="0" fontId="8" fillId="0" borderId="0" xfId="0" applyFont="1" applyAlignment="1">
      <alignment horizontal="center"/>
    </xf>
    <xf numFmtId="0" fontId="15" fillId="0" borderId="11" xfId="0" applyFont="1" applyBorder="1" applyAlignment="1">
      <alignment horizontal="left"/>
    </xf>
    <xf numFmtId="0" fontId="15" fillId="0" borderId="10" xfId="0" applyFont="1" applyBorder="1" applyAlignment="1">
      <alignment horizontal="left"/>
    </xf>
    <xf numFmtId="14" fontId="8" fillId="2" borderId="0" xfId="0" applyNumberFormat="1" applyFont="1" applyFill="1" applyAlignment="1" applyProtection="1">
      <alignment horizontal="center" vertical="center"/>
      <protection locked="0"/>
    </xf>
    <xf numFmtId="14" fontId="8" fillId="2" borderId="0" xfId="0" applyNumberFormat="1" applyFont="1" applyFill="1" applyAlignment="1">
      <alignment horizontal="center" vertical="center"/>
    </xf>
    <xf numFmtId="0" fontId="8" fillId="2" borderId="0" xfId="0" applyFont="1" applyFill="1" applyAlignment="1" applyProtection="1">
      <alignment horizontal="center" vertical="center"/>
      <protection locked="0"/>
    </xf>
    <xf numFmtId="164" fontId="8" fillId="2" borderId="0" xfId="0" applyNumberFormat="1" applyFont="1" applyFill="1" applyAlignment="1" applyProtection="1">
      <alignment horizontal="center" vertical="center"/>
      <protection locked="0"/>
    </xf>
    <xf numFmtId="0" fontId="0" fillId="2" borderId="0" xfId="0" applyFill="1" applyProtection="1">
      <protection locked="0"/>
    </xf>
    <xf numFmtId="14" fontId="9" fillId="2" borderId="0" xfId="0" applyNumberFormat="1" applyFont="1" applyFill="1" applyAlignment="1">
      <alignment horizontal="center" vertical="center"/>
    </xf>
    <xf numFmtId="14" fontId="9" fillId="2" borderId="0" xfId="0" applyNumberFormat="1" applyFont="1" applyFill="1" applyAlignment="1" applyProtection="1">
      <alignment horizontal="center" vertical="center"/>
      <protection locked="0"/>
    </xf>
    <xf numFmtId="0" fontId="8" fillId="2" borderId="0" xfId="0" applyFont="1" applyFill="1" applyAlignment="1">
      <alignment horizontal="center" vertical="center"/>
    </xf>
    <xf numFmtId="0" fontId="9" fillId="2" borderId="0" xfId="0" applyFont="1" applyFill="1" applyAlignment="1" applyProtection="1">
      <alignment horizontal="center" vertical="center"/>
      <protection locked="0"/>
    </xf>
    <xf numFmtId="0" fontId="8" fillId="12" borderId="0" xfId="0" applyFont="1" applyFill="1" applyAlignment="1" applyProtection="1">
      <alignment horizontal="center" vertical="center"/>
      <protection locked="0"/>
    </xf>
    <xf numFmtId="0" fontId="17" fillId="2" borderId="0" xfId="0" applyFont="1" applyFill="1" applyAlignment="1" applyProtection="1">
      <alignment horizontal="center" vertical="center"/>
      <protection locked="0"/>
    </xf>
    <xf numFmtId="164" fontId="17" fillId="2" borderId="0" xfId="0" applyNumberFormat="1" applyFont="1" applyFill="1" applyAlignment="1" applyProtection="1">
      <alignment horizontal="center" vertical="center"/>
      <protection locked="0"/>
    </xf>
    <xf numFmtId="0" fontId="8" fillId="2" borderId="0" xfId="0" applyFont="1" applyFill="1" applyAlignment="1">
      <alignment horizontal="center"/>
    </xf>
    <xf numFmtId="1" fontId="17" fillId="2" borderId="0" xfId="0" applyNumberFormat="1" applyFont="1" applyFill="1" applyAlignment="1">
      <alignment horizontal="center" vertical="center"/>
    </xf>
    <xf numFmtId="14" fontId="17" fillId="2" borderId="0" xfId="0" applyNumberFormat="1" applyFont="1" applyFill="1" applyAlignment="1" applyProtection="1">
      <alignment horizontal="center" vertical="center"/>
      <protection locked="0"/>
    </xf>
    <xf numFmtId="0" fontId="14" fillId="0" borderId="0" xfId="0" applyFont="1" applyProtection="1">
      <protection locked="0"/>
    </xf>
    <xf numFmtId="0" fontId="17" fillId="0" borderId="0" xfId="0" applyFont="1" applyAlignment="1" applyProtection="1">
      <alignment horizontal="center" vertical="center"/>
      <protection locked="0"/>
    </xf>
    <xf numFmtId="1" fontId="8" fillId="13" borderId="0" xfId="0" applyNumberFormat="1" applyFont="1" applyFill="1" applyAlignment="1">
      <alignment horizontal="center" vertical="center"/>
    </xf>
    <xf numFmtId="1" fontId="17" fillId="5" borderId="0" xfId="0" applyNumberFormat="1" applyFont="1" applyFill="1" applyAlignment="1">
      <alignment horizontal="center" vertical="center"/>
    </xf>
    <xf numFmtId="14" fontId="17" fillId="0" borderId="0" xfId="0" applyNumberFormat="1" applyFont="1" applyAlignment="1" applyProtection="1">
      <alignment horizontal="center" vertical="center"/>
      <protection locked="0"/>
    </xf>
    <xf numFmtId="0" fontId="17" fillId="0" borderId="0" xfId="0" applyFont="1" applyAlignment="1">
      <alignment horizontal="center" vertical="center"/>
    </xf>
    <xf numFmtId="164" fontId="17" fillId="0" borderId="0" xfId="0" applyNumberFormat="1" applyFont="1" applyAlignment="1" applyProtection="1">
      <alignment horizontal="center" vertical="center"/>
      <protection locked="0"/>
    </xf>
    <xf numFmtId="1" fontId="17" fillId="13" borderId="0" xfId="0" applyNumberFormat="1" applyFont="1" applyFill="1" applyAlignment="1">
      <alignment horizontal="center" vertical="center"/>
    </xf>
    <xf numFmtId="14" fontId="17" fillId="0" borderId="0" xfId="0" applyNumberFormat="1" applyFont="1" applyAlignment="1">
      <alignment horizontal="center" vertical="center"/>
    </xf>
    <xf numFmtId="1" fontId="17" fillId="10" borderId="0" xfId="0" applyNumberFormat="1" applyFont="1" applyFill="1" applyAlignment="1">
      <alignment horizontal="center" vertical="center"/>
    </xf>
    <xf numFmtId="1" fontId="17" fillId="9" borderId="0" xfId="0" applyNumberFormat="1" applyFont="1" applyFill="1" applyAlignment="1">
      <alignment horizontal="center" vertical="center"/>
    </xf>
    <xf numFmtId="0" fontId="14" fillId="2" borderId="0" xfId="0" applyFont="1" applyFill="1" applyProtection="1">
      <protection locked="0"/>
    </xf>
    <xf numFmtId="0" fontId="17" fillId="2" borderId="0" xfId="0" applyFont="1" applyFill="1" applyAlignment="1">
      <alignment horizontal="center" vertical="center"/>
    </xf>
    <xf numFmtId="1" fontId="17" fillId="14" borderId="0" xfId="0" applyNumberFormat="1" applyFont="1" applyFill="1" applyAlignment="1">
      <alignment horizontal="center" vertical="center"/>
    </xf>
    <xf numFmtId="1" fontId="17" fillId="0" borderId="0" xfId="0" applyNumberFormat="1" applyFont="1" applyAlignment="1">
      <alignment horizontal="center" vertical="center"/>
    </xf>
    <xf numFmtId="0" fontId="11" fillId="2" borderId="0" xfId="0" applyFont="1" applyFill="1" applyAlignment="1">
      <alignment horizontal="left"/>
    </xf>
    <xf numFmtId="0" fontId="17" fillId="2" borderId="0" xfId="0" applyFont="1" applyFill="1" applyAlignment="1">
      <alignment horizontal="center"/>
    </xf>
    <xf numFmtId="0" fontId="13" fillId="0" borderId="12" xfId="0" applyFont="1" applyBorder="1" applyAlignment="1">
      <alignment horizontal="left"/>
    </xf>
    <xf numFmtId="0" fontId="18" fillId="0" borderId="4" xfId="1" applyFont="1" applyBorder="1" applyAlignment="1">
      <alignment horizontal="center" vertical="center"/>
    </xf>
    <xf numFmtId="0" fontId="18" fillId="0" borderId="0" xfId="1" applyFont="1"/>
    <xf numFmtId="0" fontId="13" fillId="0" borderId="13" xfId="0" applyFont="1" applyBorder="1" applyAlignment="1">
      <alignment horizontal="center"/>
    </xf>
    <xf numFmtId="0" fontId="2" fillId="0" borderId="12" xfId="1" applyBorder="1" applyAlignment="1">
      <alignment horizontal="center"/>
    </xf>
    <xf numFmtId="0" fontId="3" fillId="0" borderId="12" xfId="1" applyFont="1" applyBorder="1" applyAlignment="1">
      <alignment horizontal="center" vertical="center"/>
    </xf>
    <xf numFmtId="0" fontId="4" fillId="0" borderId="12" xfId="0" applyFont="1" applyBorder="1"/>
    <xf numFmtId="0" fontId="2" fillId="0" borderId="12" xfId="1" applyBorder="1" applyAlignment="1">
      <alignment horizontal="center" vertical="center"/>
    </xf>
    <xf numFmtId="0" fontId="11" fillId="0" borderId="12" xfId="0" applyFont="1" applyBorder="1" applyAlignment="1">
      <alignment horizontal="center" vertical="center"/>
    </xf>
    <xf numFmtId="0" fontId="11" fillId="0" borderId="12" xfId="0" applyFont="1" applyBorder="1" applyAlignment="1">
      <alignment horizontal="left"/>
    </xf>
    <xf numFmtId="0" fontId="11" fillId="0" borderId="12" xfId="0" applyFont="1" applyBorder="1" applyAlignment="1">
      <alignment horizontal="center"/>
    </xf>
    <xf numFmtId="0" fontId="0" fillId="0" borderId="12" xfId="1" applyFont="1" applyBorder="1" applyAlignment="1">
      <alignment horizontal="center" vertical="center"/>
    </xf>
    <xf numFmtId="0" fontId="18" fillId="0" borderId="12" xfId="1" applyFont="1" applyBorder="1" applyAlignment="1">
      <alignment horizontal="center"/>
    </xf>
    <xf numFmtId="0" fontId="18" fillId="0" borderId="12" xfId="1" applyFont="1" applyBorder="1" applyAlignment="1">
      <alignment horizontal="center" vertical="center"/>
    </xf>
    <xf numFmtId="0" fontId="13" fillId="0" borderId="12" xfId="0" applyFont="1" applyBorder="1" applyAlignment="1">
      <alignment horizontal="center"/>
    </xf>
    <xf numFmtId="0" fontId="11" fillId="11" borderId="12" xfId="0" applyFont="1" applyFill="1" applyBorder="1" applyAlignment="1">
      <alignment horizontal="left"/>
    </xf>
    <xf numFmtId="0" fontId="4" fillId="11" borderId="12" xfId="0" applyFont="1" applyFill="1" applyBorder="1"/>
    <xf numFmtId="0" fontId="4" fillId="0" borderId="12" xfId="0" applyFont="1" applyBorder="1" applyAlignment="1">
      <alignment horizontal="center"/>
    </xf>
    <xf numFmtId="0" fontId="20" fillId="0" borderId="0" xfId="3" applyFont="1"/>
    <xf numFmtId="0" fontId="20" fillId="0" borderId="0" xfId="3" applyFont="1" applyAlignment="1">
      <alignment horizontal="center"/>
    </xf>
    <xf numFmtId="0" fontId="19" fillId="0" borderId="0" xfId="3" applyFont="1"/>
    <xf numFmtId="0" fontId="19" fillId="0" borderId="0" xfId="3" applyFont="1" applyAlignment="1">
      <alignment horizontal="center"/>
    </xf>
    <xf numFmtId="0" fontId="4" fillId="0" borderId="10" xfId="0" applyFont="1" applyBorder="1"/>
    <xf numFmtId="0" fontId="3" fillId="0" borderId="12" xfId="3" applyFont="1" applyBorder="1" applyAlignment="1">
      <alignment horizontal="center" vertical="top"/>
    </xf>
    <xf numFmtId="0" fontId="4" fillId="0" borderId="12" xfId="0" applyFont="1" applyBorder="1" applyAlignment="1">
      <alignment vertical="top"/>
    </xf>
    <xf numFmtId="0" fontId="3" fillId="0" borderId="12" xfId="0" applyFont="1" applyBorder="1" applyAlignment="1">
      <alignment vertical="top"/>
    </xf>
    <xf numFmtId="0" fontId="3" fillId="0" borderId="12" xfId="3" applyFont="1" applyBorder="1" applyAlignment="1">
      <alignment vertical="top"/>
    </xf>
    <xf numFmtId="0" fontId="22" fillId="2" borderId="12" xfId="0" applyFont="1" applyFill="1" applyBorder="1" applyAlignment="1">
      <alignment horizontal="left" vertical="top"/>
    </xf>
    <xf numFmtId="0" fontId="4" fillId="0" borderId="12" xfId="3" applyFont="1" applyBorder="1" applyAlignment="1">
      <alignment vertical="top"/>
    </xf>
    <xf numFmtId="0" fontId="22" fillId="0" borderId="12" xfId="0" applyFont="1" applyBorder="1" applyAlignment="1">
      <alignment horizontal="left" vertical="top"/>
    </xf>
    <xf numFmtId="0" fontId="4" fillId="0" borderId="12" xfId="3" applyFont="1" applyBorder="1" applyAlignment="1">
      <alignment horizontal="center" vertical="top"/>
    </xf>
    <xf numFmtId="0" fontId="3" fillId="0" borderId="17" xfId="3" applyFont="1" applyBorder="1" applyAlignment="1">
      <alignment horizontal="center" vertical="top"/>
    </xf>
    <xf numFmtId="0" fontId="3" fillId="0" borderId="12" xfId="0" applyFont="1" applyBorder="1" applyAlignment="1">
      <alignment horizontal="center" vertical="top"/>
    </xf>
    <xf numFmtId="0" fontId="4" fillId="2" borderId="12" xfId="0" applyFont="1" applyFill="1" applyBorder="1" applyAlignment="1">
      <alignment vertical="top"/>
    </xf>
    <xf numFmtId="0" fontId="3" fillId="0" borderId="16" xfId="3" applyFont="1" applyBorder="1" applyAlignment="1">
      <alignment horizontal="center" vertical="top"/>
    </xf>
    <xf numFmtId="0" fontId="3" fillId="0" borderId="10" xfId="3" applyFont="1" applyBorder="1" applyAlignment="1">
      <alignment horizontal="center" vertical="top"/>
    </xf>
    <xf numFmtId="0" fontId="3" fillId="0" borderId="0" xfId="3" applyFont="1" applyAlignment="1">
      <alignment horizontal="center" vertical="top"/>
    </xf>
    <xf numFmtId="0" fontId="3" fillId="0" borderId="14" xfId="3" applyFont="1" applyBorder="1" applyAlignment="1">
      <alignment horizontal="center" vertical="top"/>
    </xf>
    <xf numFmtId="0" fontId="3" fillId="0" borderId="18" xfId="3" applyFont="1" applyBorder="1" applyAlignment="1">
      <alignment horizontal="center" vertical="top"/>
    </xf>
    <xf numFmtId="0" fontId="3" fillId="0" borderId="18" xfId="3" applyFont="1" applyBorder="1" applyAlignment="1">
      <alignment vertical="top"/>
    </xf>
    <xf numFmtId="0" fontId="3" fillId="0" borderId="15" xfId="3" applyFont="1" applyBorder="1" applyAlignment="1">
      <alignment horizontal="center" vertical="top"/>
    </xf>
    <xf numFmtId="0" fontId="3" fillId="0" borderId="4" xfId="3" applyFont="1" applyBorder="1" applyAlignment="1">
      <alignment horizontal="center" vertical="top"/>
    </xf>
    <xf numFmtId="0" fontId="3" fillId="0" borderId="19" xfId="3" applyFont="1" applyBorder="1" applyAlignment="1">
      <alignment horizontal="center" vertical="top"/>
    </xf>
    <xf numFmtId="0" fontId="4" fillId="0" borderId="18" xfId="0" applyFont="1" applyBorder="1" applyAlignment="1">
      <alignment vertical="top"/>
    </xf>
    <xf numFmtId="0" fontId="3" fillId="0" borderId="19" xfId="3" applyFont="1" applyBorder="1" applyAlignment="1">
      <alignment vertical="top"/>
    </xf>
    <xf numFmtId="0" fontId="3" fillId="0" borderId="18" xfId="0" applyFont="1" applyBorder="1" applyAlignment="1">
      <alignment horizontal="center" vertical="top"/>
    </xf>
    <xf numFmtId="0" fontId="4" fillId="0" borderId="19" xfId="3" applyFont="1" applyBorder="1" applyAlignment="1">
      <alignment horizontal="center" vertical="top"/>
    </xf>
    <xf numFmtId="0" fontId="3" fillId="0" borderId="13" xfId="3" applyFont="1" applyBorder="1" applyAlignment="1">
      <alignment horizontal="center" vertical="top"/>
    </xf>
    <xf numFmtId="0" fontId="3" fillId="0" borderId="11" xfId="3" applyFont="1" applyBorder="1" applyAlignment="1">
      <alignment horizontal="center" vertical="top"/>
    </xf>
    <xf numFmtId="0" fontId="3" fillId="0" borderId="20" xfId="3" applyFont="1" applyBorder="1" applyAlignment="1">
      <alignment horizontal="center" vertical="top"/>
    </xf>
    <xf numFmtId="0" fontId="3" fillId="0" borderId="10" xfId="0" applyFont="1" applyBorder="1" applyAlignment="1">
      <alignment horizontal="center" vertical="top"/>
    </xf>
    <xf numFmtId="0" fontId="4" fillId="2" borderId="13" xfId="0" applyFont="1" applyFill="1" applyBorder="1" applyAlignment="1">
      <alignment vertical="top"/>
    </xf>
    <xf numFmtId="0" fontId="4" fillId="0" borderId="13" xfId="0" applyFont="1" applyBorder="1" applyAlignment="1">
      <alignment vertical="top"/>
    </xf>
    <xf numFmtId="0" fontId="3" fillId="0" borderId="10" xfId="0" applyFont="1" applyBorder="1" applyAlignment="1">
      <alignment vertical="top"/>
    </xf>
    <xf numFmtId="0" fontId="4" fillId="0" borderId="10" xfId="3" applyFont="1" applyBorder="1" applyAlignment="1">
      <alignment vertical="top"/>
    </xf>
    <xf numFmtId="0" fontId="4" fillId="0" borderId="10" xfId="0" applyFont="1" applyBorder="1" applyAlignment="1">
      <alignment vertical="top"/>
    </xf>
    <xf numFmtId="0" fontId="3" fillId="0" borderId="0" xfId="3" applyFont="1" applyAlignment="1">
      <alignment vertical="top"/>
    </xf>
    <xf numFmtId="0" fontId="4" fillId="0" borderId="0" xfId="3" applyFont="1" applyAlignment="1">
      <alignment horizontal="center" vertical="top"/>
    </xf>
    <xf numFmtId="0" fontId="4" fillId="0" borderId="0" xfId="3" applyFont="1" applyAlignment="1">
      <alignment vertical="top"/>
    </xf>
    <xf numFmtId="0" fontId="3" fillId="0" borderId="14" xfId="0" applyFont="1" applyBorder="1" applyAlignment="1">
      <alignment vertical="top"/>
    </xf>
    <xf numFmtId="0" fontId="4" fillId="0" borderId="14" xfId="0" applyFont="1" applyBorder="1" applyAlignment="1">
      <alignment vertical="top"/>
    </xf>
    <xf numFmtId="0" fontId="3" fillId="0" borderId="0" xfId="0" applyFont="1" applyAlignment="1">
      <alignment horizontal="center" vertical="top"/>
    </xf>
    <xf numFmtId="0" fontId="3" fillId="0" borderId="0" xfId="0" applyFont="1" applyAlignment="1">
      <alignment vertical="top"/>
    </xf>
    <xf numFmtId="0" fontId="4" fillId="0" borderId="14" xfId="3" applyFont="1" applyBorder="1" applyAlignment="1">
      <alignment vertical="top"/>
    </xf>
    <xf numFmtId="0" fontId="21" fillId="0" borderId="12" xfId="3" applyFont="1" applyBorder="1" applyAlignment="1">
      <alignment horizontal="left" vertical="top"/>
    </xf>
    <xf numFmtId="0" fontId="20" fillId="0" borderId="0" xfId="3" applyFont="1" applyAlignment="1">
      <alignment horizontal="left"/>
    </xf>
    <xf numFmtId="0" fontId="8" fillId="0" borderId="12" xfId="0" applyFont="1" applyBorder="1" applyAlignment="1">
      <alignment horizontal="center" vertical="center"/>
    </xf>
    <xf numFmtId="0" fontId="8" fillId="0" borderId="17" xfId="0" applyFont="1" applyBorder="1" applyAlignment="1">
      <alignment horizontal="center" vertical="center"/>
    </xf>
    <xf numFmtId="0" fontId="23" fillId="0" borderId="12" xfId="1" applyFont="1" applyBorder="1" applyAlignment="1">
      <alignment horizontal="center" vertical="center"/>
    </xf>
    <xf numFmtId="0" fontId="23" fillId="0" borderId="12" xfId="0" applyFont="1" applyBorder="1" applyAlignment="1">
      <alignment horizontal="center" vertical="center"/>
    </xf>
    <xf numFmtId="0" fontId="8" fillId="0" borderId="17" xfId="1" applyFont="1" applyBorder="1" applyAlignment="1">
      <alignment horizontal="center" vertical="center"/>
    </xf>
    <xf numFmtId="0" fontId="8" fillId="0" borderId="12" xfId="1" applyFont="1" applyBorder="1" applyAlignment="1">
      <alignment horizontal="center" vertical="center"/>
    </xf>
    <xf numFmtId="0" fontId="3" fillId="0" borderId="21" xfId="3" applyFont="1" applyBorder="1" applyAlignment="1">
      <alignment horizontal="center" vertical="top"/>
    </xf>
    <xf numFmtId="0" fontId="3" fillId="0" borderId="22" xfId="0" applyFont="1" applyBorder="1" applyAlignment="1">
      <alignment vertical="top"/>
    </xf>
    <xf numFmtId="0" fontId="3" fillId="0" borderId="23" xfId="3" applyFont="1" applyBorder="1" applyAlignment="1">
      <alignment horizontal="center" vertical="top"/>
    </xf>
    <xf numFmtId="0" fontId="8" fillId="0" borderId="12" xfId="3" applyFont="1" applyBorder="1" applyAlignment="1">
      <alignment horizontal="center" vertical="center"/>
    </xf>
    <xf numFmtId="0" fontId="8" fillId="0" borderId="18" xfId="3" applyFont="1" applyBorder="1" applyAlignment="1">
      <alignment horizontal="center" vertical="center"/>
    </xf>
    <xf numFmtId="0" fontId="23" fillId="0" borderId="18" xfId="0" applyFont="1" applyBorder="1" applyAlignment="1">
      <alignment horizontal="center" vertical="center"/>
    </xf>
    <xf numFmtId="0" fontId="24" fillId="0" borderId="18" xfId="0" applyFont="1" applyBorder="1" applyAlignment="1">
      <alignment horizontal="center" vertical="center"/>
    </xf>
    <xf numFmtId="0" fontId="8" fillId="0" borderId="10" xfId="3" applyFont="1" applyBorder="1" applyAlignment="1">
      <alignment horizontal="center" vertical="center"/>
    </xf>
    <xf numFmtId="0" fontId="23" fillId="0" borderId="13" xfId="0" applyFont="1" applyBorder="1" applyAlignment="1">
      <alignment horizontal="center" vertical="center"/>
    </xf>
    <xf numFmtId="0" fontId="8" fillId="15" borderId="12" xfId="0" applyFont="1" applyFill="1" applyBorder="1" applyAlignment="1">
      <alignment horizontal="center" vertical="center"/>
    </xf>
    <xf numFmtId="0" fontId="20" fillId="15" borderId="0" xfId="3" applyFont="1" applyFill="1"/>
    <xf numFmtId="0" fontId="20" fillId="15" borderId="0" xfId="3" applyFont="1" applyFill="1" applyAlignment="1">
      <alignment horizontal="center"/>
    </xf>
    <xf numFmtId="0" fontId="3" fillId="0" borderId="22" xfId="3" applyFont="1" applyBorder="1" applyAlignment="1">
      <alignment horizontal="center" vertical="top"/>
    </xf>
    <xf numFmtId="0" fontId="9" fillId="0" borderId="12" xfId="3" applyFont="1" applyBorder="1" applyAlignment="1">
      <alignment horizontal="center" vertical="top"/>
    </xf>
    <xf numFmtId="0" fontId="1" fillId="0" borderId="0" xfId="0" applyFont="1" applyAlignment="1">
      <alignment vertical="center"/>
    </xf>
    <xf numFmtId="0" fontId="1" fillId="0" borderId="0" xfId="0" applyFont="1"/>
    <xf numFmtId="14" fontId="1" fillId="0" borderId="9" xfId="0" applyNumberFormat="1" applyFont="1" applyBorder="1" applyAlignment="1">
      <alignment horizontal="left" vertical="center"/>
    </xf>
    <xf numFmtId="0" fontId="1" fillId="0" borderId="12" xfId="0" applyFont="1" applyBorder="1" applyAlignment="1">
      <alignment horizontal="center"/>
    </xf>
  </cellXfs>
  <cellStyles count="4">
    <cellStyle name="Normal" xfId="0" builtinId="0"/>
    <cellStyle name="Normal 2" xfId="1" xr:uid="{00000000-0005-0000-0000-000031000000}"/>
    <cellStyle name="Normal 3" xfId="3" xr:uid="{4339544D-A3B5-46D7-8A40-1260B6F99C07}"/>
    <cellStyle name="Normal 3 2 2" xfId="2" xr:uid="{00000000-0005-0000-0000-000032000000}"/>
  </cellStyles>
  <dxfs count="94">
    <dxf>
      <font>
        <color rgb="FF006100"/>
      </font>
      <fill>
        <patternFill>
          <bgColor rgb="FFC6EFCE"/>
        </patternFill>
      </fill>
    </dxf>
    <dxf>
      <font>
        <color rgb="FF9C0006"/>
      </font>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dxf>
    <dxf>
      <font>
        <color rgb="FF006100"/>
      </font>
      <fill>
        <patternFill>
          <bgColor rgb="FFC6EFCE"/>
        </patternFill>
      </fill>
    </dxf>
    <dxf>
      <font>
        <color rgb="FF9C0006"/>
      </font>
    </dxf>
    <dxf>
      <font>
        <color rgb="FF9C0006"/>
      </font>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ill>
        <patternFill>
          <bgColor theme="9"/>
        </patternFill>
      </fill>
    </dxf>
    <dxf>
      <fill>
        <patternFill>
          <bgColor theme="9"/>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color rgb="FF9C0006"/>
      </font>
      <fill>
        <patternFill patternType="solid">
          <bgColor rgb="FFFFC7CE"/>
        </patternFill>
      </fill>
    </dxf>
    <dxf>
      <fill>
        <patternFill patternType="solid">
          <bgColor rgb="FFFFC7CE"/>
        </patternFill>
      </fill>
    </dxf>
    <dxf>
      <font>
        <color rgb="FF006100"/>
      </font>
      <fill>
        <patternFill patternType="solid">
          <bgColor rgb="FFC6EFCE"/>
        </patternFill>
      </fill>
    </dxf>
    <dxf>
      <font>
        <color rgb="FF9C0006"/>
      </font>
    </dxf>
    <dxf>
      <fill>
        <patternFill patternType="solid">
          <bgColor theme="9"/>
        </patternFill>
      </fill>
    </dxf>
    <dxf>
      <fill>
        <patternFill>
          <bgColor theme="9"/>
        </patternFill>
      </fill>
    </dxf>
    <dxf>
      <font>
        <color rgb="FF006100"/>
      </font>
      <fill>
        <patternFill patternType="solid">
          <bgColor rgb="FFC6EFCE"/>
        </patternFill>
      </fill>
    </dxf>
    <dxf>
      <font>
        <color rgb="FF9C0006"/>
      </font>
    </dxf>
    <dxf>
      <font>
        <color rgb="FF006100"/>
      </font>
      <fill>
        <patternFill patternType="solid">
          <bgColor rgb="FFC6EFCE"/>
        </patternFill>
      </fill>
    </dxf>
    <dxf>
      <font>
        <color rgb="FF9C0006"/>
      </font>
    </dxf>
    <dxf>
      <fill>
        <patternFill patternType="solid">
          <bgColor theme="9"/>
        </patternFill>
      </fill>
    </dxf>
    <dxf>
      <fill>
        <patternFill patternType="solid">
          <bgColor theme="9"/>
        </patternFill>
      </fill>
    </dxf>
    <dxf>
      <fill>
        <patternFill patternType="solid">
          <bgColor rgb="FFFF0000"/>
        </patternFill>
      </fill>
    </dxf>
    <dxf>
      <fill>
        <patternFill patternType="solid">
          <bgColor theme="9"/>
        </patternFill>
      </fill>
    </dxf>
    <dxf>
      <font>
        <color rgb="FF9C0006"/>
      </font>
    </dxf>
    <dxf>
      <font>
        <color rgb="FF006100"/>
      </font>
      <fill>
        <patternFill patternType="solid">
          <bgColor rgb="FFC6EFCE"/>
        </patternFill>
      </fill>
    </dxf>
    <dxf>
      <font>
        <color rgb="FF9C0006"/>
      </font>
      <fill>
        <patternFill patternType="solid">
          <bgColor rgb="FFFFC7CE"/>
        </patternFill>
      </fill>
    </dxf>
    <dxf>
      <fill>
        <patternFill patternType="solid">
          <bgColor rgb="FFFFC7CE"/>
        </patternFill>
      </fill>
    </dxf>
    <dxf>
      <fill>
        <patternFill patternType="solid">
          <bgColor rgb="FFFFC000"/>
        </patternFill>
      </fill>
    </dxf>
    <dxf>
      <fill>
        <patternFill patternType="solid">
          <bgColor rgb="FFFF0000"/>
        </patternFill>
      </fill>
    </dxf>
    <dxf>
      <fill>
        <patternFill patternType="solid">
          <bgColor rgb="FFFF0000"/>
        </patternFill>
      </fill>
    </dxf>
    <dxf>
      <font>
        <strike val="0"/>
        <outline val="0"/>
        <shadow val="0"/>
        <u val="none"/>
        <vertAlign val="baseline"/>
        <sz val="10"/>
        <name val="Calibri"/>
      </font>
      <alignment horizontal="center" vertical="center" textRotation="0" wrapText="0" indent="0" justifyLastLine="0" shrinkToFit="0" readingOrder="0"/>
    </dxf>
    <dxf>
      <font>
        <strike val="0"/>
        <outline val="0"/>
        <shadow val="0"/>
        <u val="none"/>
        <vertAlign val="baseline"/>
        <sz val="10"/>
        <name val="Calibri"/>
      </font>
      <alignment horizontal="center" vertical="center" textRotation="0" wrapText="0" indent="0" justifyLastLine="0" shrinkToFit="0" readingOrder="0"/>
    </dxf>
    <dxf>
      <font>
        <strike val="0"/>
        <outline val="0"/>
        <shadow val="0"/>
        <u val="none"/>
        <vertAlign val="baseline"/>
        <sz val="10"/>
        <name val="Calibri"/>
      </font>
      <alignment horizontal="center" vertical="center" textRotation="0" wrapText="0" indent="0" justifyLastLine="0" shrinkToFit="0" readingOrder="0"/>
    </dxf>
    <dxf>
      <font>
        <strike val="0"/>
        <outline val="0"/>
        <shadow val="0"/>
        <u val="none"/>
        <vertAlign val="baseline"/>
        <sz val="10"/>
        <name val="Calibri"/>
      </font>
      <alignment horizontal="center" vertical="center" textRotation="0" wrapText="0" indent="0" justifyLastLine="0" shrinkToFit="0" readingOrder="0"/>
    </dxf>
    <dxf>
      <font>
        <strike val="0"/>
        <outline val="0"/>
        <shadow val="0"/>
        <u val="none"/>
        <vertAlign val="baseline"/>
        <sz val="10"/>
        <name val="Calibri"/>
      </font>
      <alignment horizontal="center" vertical="center" textRotation="0" wrapText="0" indent="0" justifyLastLine="0" shrinkToFit="0" readingOrder="0"/>
    </dxf>
    <dxf>
      <font>
        <strike val="0"/>
        <outline val="0"/>
        <shadow val="0"/>
        <u val="none"/>
        <vertAlign val="baseline"/>
        <sz val="10"/>
        <name val="Calibri"/>
      </font>
      <numFmt numFmtId="164" formatCode="00&quot;hrs&quot;"/>
      <alignment horizontal="center" vertical="center" textRotation="0" wrapText="0" indent="0" justifyLastLine="0" shrinkToFit="0" readingOrder="0"/>
    </dxf>
    <dxf>
      <font>
        <strike val="0"/>
        <outline val="0"/>
        <shadow val="0"/>
        <u val="none"/>
        <vertAlign val="baseline"/>
        <sz val="10"/>
        <name val="Calibri"/>
      </font>
      <alignment horizontal="center" vertical="center" textRotation="0" wrapText="0" indent="0" justifyLastLine="0" shrinkToFit="0" readingOrder="0"/>
    </dxf>
    <dxf>
      <font>
        <strike val="0"/>
        <outline val="0"/>
        <shadow val="0"/>
        <u val="none"/>
        <vertAlign val="baseline"/>
        <sz val="10"/>
        <name val="Calibri"/>
      </font>
      <alignment horizontal="center" vertical="center" textRotation="0" wrapText="0" indent="0" justifyLastLine="0" shrinkToFit="0" readingOrder="0"/>
    </dxf>
    <dxf>
      <font>
        <strike val="0"/>
        <outline val="0"/>
        <shadow val="0"/>
        <u val="none"/>
        <vertAlign val="baseline"/>
        <sz val="10"/>
        <name val="Calibri"/>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ont>
      <alignment horizontal="center" vertical="center" textRotation="0" wrapText="0" indent="0" justifyLastLine="0" shrinkToFit="0" readingOrder="0"/>
    </dxf>
    <dxf>
      <font>
        <strike val="0"/>
        <outline val="0"/>
        <shadow val="0"/>
        <u val="none"/>
        <vertAlign val="baseline"/>
        <sz val="10"/>
        <color theme="1"/>
        <name val="Calibri"/>
      </font>
      <alignment horizontal="center" vertical="center" textRotation="0" wrapText="0" indent="0" justifyLastLine="0" shrinkToFit="0" readingOrder="0"/>
    </dxf>
    <dxf>
      <numFmt numFmtId="0" formatCode="General"/>
      <protection locked="0" hidden="0"/>
    </dxf>
    <dxf>
      <font>
        <strike val="0"/>
        <outline val="0"/>
        <shadow val="0"/>
        <u val="none"/>
        <vertAlign val="baseline"/>
        <sz val="10"/>
        <color theme="1"/>
        <name val="Calibri"/>
      </font>
      <alignment horizontal="center" vertical="center" textRotation="0" wrapText="0" indent="0" justifyLastLine="0" shrinkToFit="0" readingOrder="0"/>
    </dxf>
    <dxf>
      <font>
        <strike val="0"/>
        <outline val="0"/>
        <shadow val="0"/>
        <u val="none"/>
        <vertAlign val="baseline"/>
        <sz val="10"/>
        <color theme="1"/>
        <name val="Calibri"/>
      </font>
      <alignment horizontal="center" vertical="center" textRotation="0" wrapText="0" indent="0" justifyLastLine="0" shrinkToFit="0" readingOrder="0"/>
    </dxf>
    <dxf>
      <font>
        <strike val="0"/>
        <outline val="0"/>
        <shadow val="0"/>
        <u val="none"/>
        <vertAlign val="baseline"/>
        <sz val="10"/>
        <color theme="1"/>
        <name val="Calibri"/>
      </font>
      <alignment horizontal="center" vertical="center" textRotation="0" wrapText="0" indent="0" justifyLastLine="0" shrinkToFit="0" readingOrder="0"/>
    </dxf>
    <dxf>
      <font>
        <strike val="0"/>
        <outline val="0"/>
        <shadow val="0"/>
        <u val="none"/>
        <vertAlign val="baseline"/>
        <sz val="10"/>
        <color theme="1"/>
        <name val="Calibri"/>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B29AD39-E32F-4534-B1C8-6C6FA7259FC3}"/>
  <namedSheetView name="View2" id="{2CA62D96-9205-49CE-9D2D-31514991C39B}"/>
  <namedSheetView name="View3" id="{FE0BCE8F-A46A-4AAE-AD54-829A6B346E71}"/>
  <namedSheetView name="View4" id="{23D6F6F6-D080-47AA-8EED-C08D0A7E4F1E}"/>
  <namedSheetView name="View5" id="{218259E1-74A3-4190-9142-6F0BE24C771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6AFAD9-368D-40A7-AA8B-70E6C0A36178}" name="Table134526_79101120212223242526" displayName="Table134526_79101120212223242526" ref="A1:S3970" totalsRowShown="0">
  <autoFilter ref="A1:S3970" xr:uid="{7A6AFAD9-368D-40A7-AA8B-70E6C0A36178}">
    <filterColumn colId="7">
      <filters>
        <filter val="DRIVER"/>
        <filter val="Equipment"/>
      </filters>
    </filterColumn>
  </autoFilter>
  <tableColumns count="19">
    <tableColumn id="1" xr3:uid="{7F61E794-C165-4C8D-84BC-6580D003875C}" name="No" dataDxfId="93">
      <calculatedColumnFormula>IF(C2="","",MAX($A$1:A1)+1)</calculatedColumnFormula>
    </tableColumn>
    <tableColumn id="2" xr3:uid="{B89BF88C-56A6-4981-BFC3-AAAE76B7523E}" name="Filled By" dataDxfId="92"/>
    <tableColumn id="3" xr3:uid="{4ADBF6A4-807E-418C-A051-AEB479503A4E}" name="Date" dataDxfId="91"/>
    <tableColumn id="4" xr3:uid="{A23AFA53-0AF1-4824-9D88-DF81E7BCF027}" name="Company" dataDxfId="90">
      <calculatedColumnFormula>_xlfn.XLOOKUP(Table134526_79101120212223242526[[#This Row],[Name Surname]],Manpower!$C$4:$C$1048576,Manpower!$B$4:$B$1048576,"")</calculatedColumnFormula>
    </tableColumn>
    <tableColumn id="5" xr3:uid="{8C6E0343-A575-4E94-91AD-DEE25BB92380}" name="Name Surname" dataDxfId="89"/>
    <tableColumn id="11" xr3:uid="{5CAD959C-4335-4FA8-97D7-BBF2DC4702BB}" name="Column1" dataDxfId="88">
      <calculatedColumnFormula>_xlfn.XLOOKUP(Table134526_79101120212223242526[[#This Row],[Name Surname]],Manpower!C:C,Manpower!D:D,)</calculatedColumnFormula>
    </tableColumn>
    <tableColumn id="6" xr3:uid="{EAC444D6-E829-41DE-B27E-47EE44EAB925}" name="Designation" dataDxfId="87">
      <calculatedColumnFormula>_xlfn.XLOOKUP(Table134526_79101120212223242526[[#This Row],[Name Surname]],Manpower!$C$4:$C$1048576,Manpower!$F$4:$F$1048576,"")</calculatedColumnFormula>
    </tableColumn>
    <tableColumn id="7" xr3:uid="{EFB86027-6CB5-4248-BFA7-C27E99F481DD}" name="Man/Equ" dataDxfId="86">
      <calculatedColumnFormula>_xlfn.XLOOKUP(Table134526_79101120212223242526[[#This Row],[Name Surname]],Manpower!$C$4:$C$1048576,Manpower!$H$4:$H$1048576,"")</calculatedColumnFormula>
    </tableColumn>
    <tableColumn id="18" xr3:uid="{636739A0-8B2B-4A50-BC0D-46238A79D143}" name="Category" dataDxfId="85">
      <calculatedColumnFormula>_xlfn.XLOOKUP(Table134526_79101120212223242526[[#This Row],[Name Surname]],Manpower!$C$4:$C$1048576,Manpower!$H$4:$H$1048576,"")</calculatedColumnFormula>
    </tableColumn>
    <tableColumn id="8" xr3:uid="{F56F85C4-74CE-4B08-A096-8FE9F2306F20}" name="Area" dataDxfId="84"/>
    <tableColumn id="9" xr3:uid="{05AC650D-E41E-483D-926A-C3A7B9394BDD}" name="Reference" dataDxfId="83"/>
    <tableColumn id="10" xr3:uid="{02014A9A-EF74-4D9A-9A3C-D9CB1EB04AB5}" name="Item Tag" dataDxfId="82"/>
    <tableColumn id="12" xr3:uid="{33F90AAB-EF0A-406B-807B-284963A5B8A4}" name="Shift" dataDxfId="81"/>
    <tableColumn id="13" xr3:uid="{ECA7051F-9570-44FB-A7F3-25BB66F058AA}" name="Manhours" dataDxfId="80"/>
    <tableColumn id="14" xr3:uid="{3091CFB3-7078-4700-9ED2-66AB979AB44D}" name="Main Activity" dataDxfId="79"/>
    <tableColumn id="15" xr3:uid="{F9635939-9D93-4926-B34B-7861C8B6CCA2}" name="Sub Act" dataDxfId="78"/>
    <tableColumn id="16" xr3:uid="{AA96BE72-E6FB-47F0-80FD-C35ED588B5C8}" name="Sub-Sub Act" dataDxfId="77"/>
    <tableColumn id="17" xr3:uid="{DC3A6B73-E0C2-4498-89E2-95E36A314AE6}" name="Note" dataDxfId="76"/>
    <tableColumn id="19" xr3:uid="{05B4F7E7-33D9-46A5-9138-5C42235F8634}" name="JSA LOCATION" dataDxfId="7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D13" sqref="D13"/>
    </sheetView>
  </sheetViews>
  <sheetFormatPr defaultColWidth="9" defaultRowHeight="14.4"/>
  <cols>
    <col min="1" max="1" width="16.109375" customWidth="1"/>
    <col min="2" max="2" width="15.109375" customWidth="1"/>
    <col min="3" max="3" width="10" customWidth="1"/>
    <col min="4" max="5" width="11.109375" customWidth="1"/>
    <col min="6" max="6" width="10.8867187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52B2D-D1BF-40D2-9801-038F0F9C9E80}">
  <dimension ref="A1:ZX3970"/>
  <sheetViews>
    <sheetView tabSelected="1" topLeftCell="A83" zoomScale="90" zoomScaleNormal="90" workbookViewId="0">
      <selection activeCell="H141" sqref="H141"/>
    </sheetView>
  </sheetViews>
  <sheetFormatPr defaultColWidth="8.88671875" defaultRowHeight="13.5" customHeight="1"/>
  <cols>
    <col min="1" max="1" width="9.77734375" customWidth="1"/>
    <col min="2" max="2" width="11.6640625" customWidth="1"/>
    <col min="3" max="3" width="12.44140625" style="12" customWidth="1"/>
    <col min="4" max="4" width="34.44140625" customWidth="1"/>
    <col min="5" max="5" width="39.88671875" style="12" customWidth="1"/>
    <col min="6" max="6" width="11.109375" style="12" bestFit="1" customWidth="1"/>
    <col min="7" max="7" width="44.88671875" customWidth="1"/>
    <col min="8" max="9" width="12.44140625" customWidth="1"/>
    <col min="10" max="10" width="17.21875" style="12" customWidth="1"/>
    <col min="11" max="11" width="13.77734375" style="21" customWidth="1"/>
    <col min="12" max="12" width="18.33203125" style="21" customWidth="1"/>
    <col min="13" max="13" width="9.6640625" style="21" customWidth="1"/>
    <col min="14" max="14" width="8.88671875" style="21" customWidth="1"/>
    <col min="15" max="15" width="19.44140625" style="21" customWidth="1"/>
    <col min="16" max="16" width="24.77734375" style="21" customWidth="1"/>
    <col min="17" max="17" width="26.21875" style="21" customWidth="1"/>
    <col min="18" max="18" width="255.77734375" style="21" bestFit="1" customWidth="1"/>
    <col min="19" max="19" width="181.44140625" style="21" customWidth="1"/>
    <col min="20" max="20" width="85.77734375" style="12" bestFit="1" customWidth="1"/>
    <col min="21" max="16384" width="8.88671875" style="12"/>
  </cols>
  <sheetData>
    <row r="1" spans="1:19" ht="14.4">
      <c r="A1" s="13" t="s">
        <v>0</v>
      </c>
      <c r="B1" s="14" t="s">
        <v>1</v>
      </c>
      <c r="C1" s="14" t="s">
        <v>2</v>
      </c>
      <c r="D1" s="15" t="s">
        <v>3</v>
      </c>
      <c r="E1" s="14" t="s">
        <v>4</v>
      </c>
      <c r="F1" s="14" t="s">
        <v>5</v>
      </c>
      <c r="G1" s="15" t="s">
        <v>6</v>
      </c>
      <c r="H1" s="15" t="s">
        <v>7</v>
      </c>
      <c r="I1" s="15" t="s">
        <v>8</v>
      </c>
      <c r="J1" s="16" t="s">
        <v>9</v>
      </c>
      <c r="K1" s="16" t="s">
        <v>10</v>
      </c>
      <c r="L1" s="16" t="s">
        <v>11</v>
      </c>
      <c r="M1" s="16" t="s">
        <v>12</v>
      </c>
      <c r="N1" s="19" t="s">
        <v>13</v>
      </c>
      <c r="O1" s="19" t="s">
        <v>14</v>
      </c>
      <c r="P1" s="19" t="s">
        <v>15</v>
      </c>
      <c r="Q1" s="19" t="s">
        <v>16</v>
      </c>
      <c r="R1" s="19" t="s">
        <v>17</v>
      </c>
      <c r="S1" s="21" t="s">
        <v>18</v>
      </c>
    </row>
    <row r="2" spans="1:19" ht="14.4">
      <c r="A2" s="33">
        <f>IF(C2="","",MAX($A$1:A1)+1)</f>
        <v>1</v>
      </c>
      <c r="B2" s="22" t="s">
        <v>19</v>
      </c>
      <c r="C2" s="23">
        <v>46082</v>
      </c>
      <c r="D2" s="24" t="str">
        <f>_xlfn.XLOOKUP(Table134526_79101120212223242526[[#This Row],[Name Surname]],Manpower!$C$4:$C$1048576,Manpower!$B$4:$B$1048576,"")</f>
        <v>Riyan Al Khaleej</v>
      </c>
      <c r="E2" s="23" t="s">
        <v>20</v>
      </c>
      <c r="F2" s="12" t="e">
        <f>_xlfn.XLOOKUP(Table134526_79101120212223242526[[#This Row],[Name Surname]],Manpower!C:C,Manpower!D:D,)</f>
        <v>#N/A</v>
      </c>
      <c r="G2" s="24" t="str">
        <f>_xlfn.XLOOKUP(Table134526_79101120212223242526[[#This Row],[Name Surname]],Manpower!$C$4:$C$1048576,Manpower!$F$4:$F$1048576,"")</f>
        <v>100T Telescopic Crane</v>
      </c>
      <c r="H2" s="24" t="str">
        <f>_xlfn.XLOOKUP(Table134526_79101120212223242526[[#This Row],[Name Surname]],Manpower!$C$4:$C$1048576,Manpower!$H$4:$H$1048576,"")</f>
        <v>Equipment</v>
      </c>
      <c r="I2" s="24" t="str">
        <f>_xlfn.XLOOKUP(Table134526_79101120212223242526[[#This Row],[Name Surname]],Manpower!$C$4:$C$1048576,Manpower!$H$4:$H$1048576,"")</f>
        <v>Equipment</v>
      </c>
      <c r="J2" s="21" t="s">
        <v>21</v>
      </c>
      <c r="K2" s="21" t="s">
        <v>22</v>
      </c>
      <c r="L2" s="21" t="s">
        <v>23</v>
      </c>
      <c r="M2" s="21" t="s">
        <v>24</v>
      </c>
      <c r="N2" s="29">
        <v>8</v>
      </c>
      <c r="O2" s="21" t="s">
        <v>25</v>
      </c>
      <c r="P2" s="20" t="s">
        <v>22</v>
      </c>
      <c r="Q2" s="21" t="s">
        <v>22</v>
      </c>
      <c r="R2" s="21" t="s">
        <v>26</v>
      </c>
    </row>
    <row r="3" spans="1:19" s="45" customFormat="1" ht="14.4" hidden="1">
      <c r="A3" s="25">
        <f>IF(C3="","",MAX($A$1:A2)+1)</f>
        <v>2</v>
      </c>
      <c r="B3" s="25" t="s">
        <v>19</v>
      </c>
      <c r="C3" s="41">
        <v>46082</v>
      </c>
      <c r="D3" s="42" t="str">
        <f>_xlfn.XLOOKUP(Table134526_79101120212223242526[[#This Row],[Name Surname]],Manpower!$C$4:$C$1048576,Manpower!$B$4:$B$1048576,"")</f>
        <v>Encogroup</v>
      </c>
      <c r="E3" s="41" t="s">
        <v>27</v>
      </c>
      <c r="F3" s="12">
        <f>_xlfn.XLOOKUP(Table134526_79101120212223242526[[#This Row],[Name Surname]],Manpower!C:C,Manpower!D:D,)</f>
        <v>127414586</v>
      </c>
      <c r="G3" s="42" t="str">
        <f>_xlfn.XLOOKUP(Table134526_79101120212223242526[[#This Row],[Name Surname]],Manpower!$C$4:$C$1048576,Manpower!$F$4:$F$1048576,"")</f>
        <v>Electrician</v>
      </c>
      <c r="H3" s="42" t="str">
        <f>_xlfn.XLOOKUP(Table134526_79101120212223242526[[#This Row],[Name Surname]],Manpower!$C$4:$C$1048576,Manpower!$H$4:$H$1048576,"")</f>
        <v>Manpower</v>
      </c>
      <c r="I3" s="42" t="str">
        <f>_xlfn.XLOOKUP(Table134526_79101120212223242526[[#This Row],[Name Surname]],Manpower!$C$4:$C$1048576,Manpower!$H$4:$H$1048576,"")</f>
        <v>Manpower</v>
      </c>
      <c r="J3" s="43" t="s">
        <v>21</v>
      </c>
      <c r="K3" s="43" t="s">
        <v>22</v>
      </c>
      <c r="L3" s="43" t="s">
        <v>23</v>
      </c>
      <c r="M3" s="43" t="s">
        <v>24</v>
      </c>
      <c r="N3" s="44">
        <v>5</v>
      </c>
      <c r="O3" s="43" t="s">
        <v>28</v>
      </c>
      <c r="P3" s="43" t="s">
        <v>28</v>
      </c>
      <c r="Q3" s="43" t="s">
        <v>22</v>
      </c>
      <c r="R3" s="43" t="s">
        <v>26</v>
      </c>
      <c r="S3" s="43"/>
    </row>
    <row r="4" spans="1:19" s="45" customFormat="1" ht="14.4" hidden="1">
      <c r="A4" s="25">
        <f>IF(C4="","",MAX($A$1:A3)+1)</f>
        <v>3</v>
      </c>
      <c r="B4" s="25" t="s">
        <v>19</v>
      </c>
      <c r="C4" s="41">
        <v>46082</v>
      </c>
      <c r="D4" s="42" t="str">
        <f>_xlfn.XLOOKUP(Table134526_79101120212223242526[[#This Row],[Name Surname]],Manpower!$C$4:$C$1048576,Manpower!$B$4:$B$1048576,"")</f>
        <v>Encogroup</v>
      </c>
      <c r="E4" s="41" t="s">
        <v>29</v>
      </c>
      <c r="F4" s="12">
        <f>_xlfn.XLOOKUP(Table134526_79101120212223242526[[#This Row],[Name Surname]],Manpower!C:C,Manpower!D:D,)</f>
        <v>127331574</v>
      </c>
      <c r="G4" s="42" t="str">
        <f>_xlfn.XLOOKUP(Table134526_79101120212223242526[[#This Row],[Name Surname]],Manpower!$C$4:$C$1048576,Manpower!$F$4:$F$1048576,"")</f>
        <v>Permit Receiver</v>
      </c>
      <c r="H4" s="42" t="str">
        <f>_xlfn.XLOOKUP(Table134526_79101120212223242526[[#This Row],[Name Surname]],Manpower!$C$4:$C$1048576,Manpower!$H$4:$H$1048576,"")</f>
        <v>Manpower</v>
      </c>
      <c r="I4" s="42" t="str">
        <f>_xlfn.XLOOKUP(Table134526_79101120212223242526[[#This Row],[Name Surname]],Manpower!$C$4:$C$1048576,Manpower!$H$4:$H$1048576,"")</f>
        <v>Manpower</v>
      </c>
      <c r="J4" s="43" t="s">
        <v>21</v>
      </c>
      <c r="K4" s="43" t="s">
        <v>22</v>
      </c>
      <c r="L4" s="43" t="s">
        <v>23</v>
      </c>
      <c r="M4" s="43" t="s">
        <v>24</v>
      </c>
      <c r="N4" s="44">
        <v>8</v>
      </c>
      <c r="O4" s="43" t="s">
        <v>25</v>
      </c>
      <c r="P4" s="49" t="s">
        <v>22</v>
      </c>
      <c r="Q4" s="43" t="s">
        <v>22</v>
      </c>
      <c r="R4" s="43" t="s">
        <v>26</v>
      </c>
      <c r="S4" s="43"/>
    </row>
    <row r="5" spans="1:19" s="45" customFormat="1" ht="14.4" hidden="1">
      <c r="A5" s="25">
        <f>IF(C5="","",MAX($A$1:A4)+1)</f>
        <v>4</v>
      </c>
      <c r="B5" s="25" t="s">
        <v>19</v>
      </c>
      <c r="C5" s="41">
        <v>46082</v>
      </c>
      <c r="D5" s="42" t="str">
        <f>_xlfn.XLOOKUP(Table134526_79101120212223242526[[#This Row],[Name Surname]],Manpower!$C$4:$C$1048576,Manpower!$B$4:$B$1048576,"")</f>
        <v>Encogroup</v>
      </c>
      <c r="E5" s="41" t="s">
        <v>30</v>
      </c>
      <c r="F5" s="12">
        <f>_xlfn.XLOOKUP(Table134526_79101120212223242526[[#This Row],[Name Surname]],Manpower!C:C,Manpower!D:D,)</f>
        <v>116589569</v>
      </c>
      <c r="G5" s="42" t="str">
        <f>_xlfn.XLOOKUP(Table134526_79101120212223242526[[#This Row],[Name Surname]],Manpower!$C$4:$C$1048576,Manpower!$F$4:$F$1048576,"")</f>
        <v>Mechanical Engineer</v>
      </c>
      <c r="H5" s="42" t="str">
        <f>_xlfn.XLOOKUP(Table134526_79101120212223242526[[#This Row],[Name Surname]],Manpower!$C$4:$C$1048576,Manpower!$H$4:$H$1048576,"")</f>
        <v>Manpower</v>
      </c>
      <c r="I5" s="42" t="str">
        <f>_xlfn.XLOOKUP(Table134526_79101120212223242526[[#This Row],[Name Surname]],Manpower!$C$4:$C$1048576,Manpower!$H$4:$H$1048576,"")</f>
        <v>Manpower</v>
      </c>
      <c r="J5" s="43" t="s">
        <v>21</v>
      </c>
      <c r="K5" s="43" t="s">
        <v>22</v>
      </c>
      <c r="L5" s="43" t="s">
        <v>23</v>
      </c>
      <c r="M5" s="43" t="s">
        <v>24</v>
      </c>
      <c r="N5" s="44">
        <v>5</v>
      </c>
      <c r="O5" s="43" t="s">
        <v>25</v>
      </c>
      <c r="P5" s="49" t="s">
        <v>22</v>
      </c>
      <c r="Q5" s="43" t="s">
        <v>22</v>
      </c>
      <c r="R5" s="43" t="s">
        <v>26</v>
      </c>
      <c r="S5" s="43"/>
    </row>
    <row r="6" spans="1:19" ht="14.4" hidden="1">
      <c r="A6" s="33">
        <f>IF(C6="","",MAX($A$1:A5)+1)</f>
        <v>5</v>
      </c>
      <c r="B6" s="22" t="s">
        <v>19</v>
      </c>
      <c r="C6" s="23">
        <v>46082</v>
      </c>
      <c r="D6" s="24" t="str">
        <f>_xlfn.XLOOKUP(Table134526_79101120212223242526[[#This Row],[Name Surname]],Manpower!$C$4:$C$1048576,Manpower!$B$4:$B$1048576,"")</f>
        <v>Encogroup</v>
      </c>
      <c r="E6" s="23" t="s">
        <v>31</v>
      </c>
      <c r="F6" s="12">
        <f>_xlfn.XLOOKUP(Table134526_79101120212223242526[[#This Row],[Name Surname]],Manpower!C:C,Manpower!D:D,)</f>
        <v>99596058</v>
      </c>
      <c r="G6" s="24" t="str">
        <f>_xlfn.XLOOKUP(Table134526_79101120212223242526[[#This Row],[Name Surname]],Manpower!$C$4:$C$1048576,Manpower!$F$4:$F$1048576,"")</f>
        <v>HSE Officer</v>
      </c>
      <c r="H6" s="24" t="str">
        <f>_xlfn.XLOOKUP(Table134526_79101120212223242526[[#This Row],[Name Surname]],Manpower!$C$4:$C$1048576,Manpower!$H$4:$H$1048576,"")</f>
        <v>Manpower</v>
      </c>
      <c r="I6" s="24" t="str">
        <f>_xlfn.XLOOKUP(Table134526_79101120212223242526[[#This Row],[Name Surname]],Manpower!$C$4:$C$1048576,Manpower!$H$4:$H$1048576,"")</f>
        <v>Manpower</v>
      </c>
      <c r="J6" s="21" t="s">
        <v>21</v>
      </c>
      <c r="K6" s="21" t="s">
        <v>22</v>
      </c>
      <c r="L6" s="21" t="s">
        <v>23</v>
      </c>
      <c r="M6" s="21" t="s">
        <v>24</v>
      </c>
      <c r="N6" s="29">
        <v>8</v>
      </c>
      <c r="O6" s="21" t="s">
        <v>25</v>
      </c>
      <c r="P6" s="20" t="s">
        <v>22</v>
      </c>
      <c r="Q6" s="21" t="s">
        <v>22</v>
      </c>
      <c r="R6" s="21" t="s">
        <v>26</v>
      </c>
    </row>
    <row r="7" spans="1:19" s="45" customFormat="1" ht="14.4" hidden="1">
      <c r="A7" s="25">
        <f>IF(C7="","",MAX($A$1:A6)+1)</f>
        <v>6</v>
      </c>
      <c r="B7" s="25" t="s">
        <v>19</v>
      </c>
      <c r="C7" s="41">
        <v>46082</v>
      </c>
      <c r="D7" s="46" t="str">
        <f>_xlfn.XLOOKUP(Table134526_79101120212223242526[[#This Row],[Name Surname]],Manpower!$C$4:$C$1048576,Manpower!$B$4:$B$1048576,"")</f>
        <v>Encogroup</v>
      </c>
      <c r="E7" s="47" t="s">
        <v>32</v>
      </c>
      <c r="F7" s="12">
        <f>_xlfn.XLOOKUP(Table134526_79101120212223242526[[#This Row],[Name Surname]],Manpower!C:C,Manpower!D:D,)</f>
        <v>140697039</v>
      </c>
      <c r="G7" s="46" t="str">
        <f>_xlfn.XLOOKUP(Table134526_79101120212223242526[[#This Row],[Name Surname]],Manpower!$C$4:$C$1048576,Manpower!$F$4:$F$1048576,"")</f>
        <v>Fitter/Erector</v>
      </c>
      <c r="H7" s="46" t="str">
        <f>_xlfn.XLOOKUP(Table134526_79101120212223242526[[#This Row],[Name Surname]],Manpower!$C$4:$C$1048576,Manpower!$H$4:$H$1048576,"")</f>
        <v>Manpower</v>
      </c>
      <c r="I7" s="42" t="str">
        <f>_xlfn.XLOOKUP(Table134526_79101120212223242526[[#This Row],[Name Surname]],Manpower!$C$4:$C$1048576,Manpower!$H$4:$H$1048576,"")</f>
        <v>Manpower</v>
      </c>
      <c r="J7" s="43" t="s">
        <v>21</v>
      </c>
      <c r="K7" s="43" t="s">
        <v>22</v>
      </c>
      <c r="L7" s="43" t="s">
        <v>23</v>
      </c>
      <c r="M7" s="43" t="s">
        <v>24</v>
      </c>
      <c r="N7" s="44">
        <v>8</v>
      </c>
      <c r="O7" s="49" t="s">
        <v>25</v>
      </c>
      <c r="P7" s="49" t="s">
        <v>22</v>
      </c>
      <c r="Q7" s="43" t="s">
        <v>22</v>
      </c>
      <c r="R7" s="43" t="s">
        <v>26</v>
      </c>
      <c r="S7" s="43"/>
    </row>
    <row r="8" spans="1:19" ht="14.4" hidden="1">
      <c r="A8" s="33">
        <f>IF(C8="","",MAX($A$1:A7)+1)</f>
        <v>7</v>
      </c>
      <c r="B8" s="22" t="s">
        <v>19</v>
      </c>
      <c r="C8" s="23">
        <v>46082</v>
      </c>
      <c r="D8" s="17" t="str">
        <f>_xlfn.XLOOKUP(Table134526_79101120212223242526[[#This Row],[Name Surname]],Manpower!$C$4:$C$1048576,Manpower!$B$4:$B$1048576,"")</f>
        <v>Encogroup</v>
      </c>
      <c r="E8" s="18" t="s">
        <v>33</v>
      </c>
      <c r="F8" s="12">
        <f>_xlfn.XLOOKUP(Table134526_79101120212223242526[[#This Row],[Name Surname]],Manpower!C:C,Manpower!D:D,)</f>
        <v>124565057</v>
      </c>
      <c r="G8" s="17" t="str">
        <f>_xlfn.XLOOKUP(Table134526_79101120212223242526[[#This Row],[Name Surname]],Manpower!$C$4:$C$1048576,Manpower!$F$4:$F$1048576,"")</f>
        <v>Fitter/Erector</v>
      </c>
      <c r="H8" s="17" t="str">
        <f>_xlfn.XLOOKUP(Table134526_79101120212223242526[[#This Row],[Name Surname]],Manpower!$C$4:$C$1048576,Manpower!$H$4:$H$1048576,"")</f>
        <v>Manpower</v>
      </c>
      <c r="I8" s="24" t="str">
        <f>_xlfn.XLOOKUP(Table134526_79101120212223242526[[#This Row],[Name Surname]],Manpower!$C$4:$C$1048576,Manpower!$H$4:$H$1048576,"")</f>
        <v>Manpower</v>
      </c>
      <c r="J8" s="21" t="s">
        <v>21</v>
      </c>
      <c r="K8" s="21" t="s">
        <v>22</v>
      </c>
      <c r="L8" s="21" t="s">
        <v>23</v>
      </c>
      <c r="M8" s="21" t="s">
        <v>24</v>
      </c>
      <c r="N8" s="29">
        <v>8</v>
      </c>
      <c r="O8" s="20" t="s">
        <v>25</v>
      </c>
      <c r="P8" s="20" t="s">
        <v>22</v>
      </c>
      <c r="Q8" s="21" t="s">
        <v>22</v>
      </c>
      <c r="R8" s="21" t="s">
        <v>26</v>
      </c>
    </row>
    <row r="9" spans="1:19" s="45" customFormat="1" ht="14.4" hidden="1">
      <c r="A9" s="25">
        <f>IF(C9="","",MAX($A$1:A8)+1)</f>
        <v>8</v>
      </c>
      <c r="B9" s="25" t="s">
        <v>19</v>
      </c>
      <c r="C9" s="41">
        <v>46082</v>
      </c>
      <c r="D9" s="46" t="str">
        <f>_xlfn.XLOOKUP(Table134526_79101120212223242526[[#This Row],[Name Surname]],Manpower!$C$4:$C$1048576,Manpower!$B$4:$B$1048576,"")</f>
        <v>Encogroup</v>
      </c>
      <c r="E9" s="47" t="s">
        <v>34</v>
      </c>
      <c r="F9" s="12">
        <f>_xlfn.XLOOKUP(Table134526_79101120212223242526[[#This Row],[Name Surname]],Manpower!C:C,Manpower!D:D,)</f>
        <v>141365023</v>
      </c>
      <c r="G9" s="46" t="str">
        <f>_xlfn.XLOOKUP(Table134526_79101120212223242526[[#This Row],[Name Surname]],Manpower!$C$4:$C$1048576,Manpower!$F$4:$F$1048576,"")</f>
        <v>Grinder</v>
      </c>
      <c r="H9" s="46" t="str">
        <f>_xlfn.XLOOKUP(Table134526_79101120212223242526[[#This Row],[Name Surname]],Manpower!$C$4:$C$1048576,Manpower!$H$4:$H$1048576,"")</f>
        <v>Manpower</v>
      </c>
      <c r="I9" s="42" t="str">
        <f>_xlfn.XLOOKUP(Table134526_79101120212223242526[[#This Row],[Name Surname]],Manpower!$C$4:$C$1048576,Manpower!$H$4:$H$1048576,"")</f>
        <v>Manpower</v>
      </c>
      <c r="J9" s="43" t="s">
        <v>21</v>
      </c>
      <c r="K9" s="43" t="s">
        <v>22</v>
      </c>
      <c r="L9" s="43" t="s">
        <v>23</v>
      </c>
      <c r="M9" s="43" t="s">
        <v>24</v>
      </c>
      <c r="N9" s="44">
        <v>8</v>
      </c>
      <c r="O9" s="49" t="s">
        <v>25</v>
      </c>
      <c r="P9" s="49" t="s">
        <v>22</v>
      </c>
      <c r="Q9" s="43" t="s">
        <v>22</v>
      </c>
      <c r="R9" s="43" t="s">
        <v>26</v>
      </c>
      <c r="S9" s="43" t="s">
        <v>35</v>
      </c>
    </row>
    <row r="10" spans="1:19" s="45" customFormat="1" ht="14.4" hidden="1">
      <c r="A10" s="25">
        <f>IF(C10="","",MAX($A$1:A9)+1)</f>
        <v>9</v>
      </c>
      <c r="B10" s="25" t="s">
        <v>19</v>
      </c>
      <c r="C10" s="41">
        <v>46082</v>
      </c>
      <c r="D10" s="46" t="str">
        <f>_xlfn.XLOOKUP(Table134526_79101120212223242526[[#This Row],[Name Surname]],Manpower!$C$4:$C$1048576,Manpower!$B$4:$B$1048576,"")</f>
        <v>AL Omar International TRAD AND CONT</v>
      </c>
      <c r="E10" s="47" t="s">
        <v>36</v>
      </c>
      <c r="F10" s="12">
        <f>_xlfn.XLOOKUP(Table134526_79101120212223242526[[#This Row],[Name Surname]],Manpower!C:C,Manpower!D:D,)</f>
        <v>114929202</v>
      </c>
      <c r="G10" s="46" t="str">
        <f>_xlfn.XLOOKUP(Table134526_79101120212223242526[[#This Row],[Name Surname]],Manpower!$C$4:$C$1048576,Manpower!$F$4:$F$1048576,"")</f>
        <v>RIgger</v>
      </c>
      <c r="H10" s="46" t="str">
        <f>_xlfn.XLOOKUP(Table134526_79101120212223242526[[#This Row],[Name Surname]],Manpower!$C$4:$C$1048576,Manpower!$H$4:$H$1048576,"")</f>
        <v>Sub Contactor</v>
      </c>
      <c r="I10" s="42" t="str">
        <f>_xlfn.XLOOKUP(Table134526_79101120212223242526[[#This Row],[Name Surname]],Manpower!$C$4:$C$1048576,Manpower!$H$4:$H$1048576,"")</f>
        <v>Sub Contactor</v>
      </c>
      <c r="J10" s="43" t="s">
        <v>21</v>
      </c>
      <c r="K10" s="43" t="s">
        <v>22</v>
      </c>
      <c r="L10" s="43" t="s">
        <v>23</v>
      </c>
      <c r="M10" s="43" t="s">
        <v>24</v>
      </c>
      <c r="N10" s="44">
        <v>5</v>
      </c>
      <c r="O10" s="49" t="s">
        <v>25</v>
      </c>
      <c r="P10" s="49" t="s">
        <v>22</v>
      </c>
      <c r="Q10" s="43" t="s">
        <v>22</v>
      </c>
      <c r="R10" s="43" t="s">
        <v>26</v>
      </c>
      <c r="S10" s="43"/>
    </row>
    <row r="11" spans="1:19" s="45" customFormat="1" ht="14.4" hidden="1">
      <c r="A11" s="25">
        <f>IF(C11="","",MAX($A$1:A10)+1)</f>
        <v>10</v>
      </c>
      <c r="B11" s="25" t="s">
        <v>19</v>
      </c>
      <c r="C11" s="41">
        <v>46082</v>
      </c>
      <c r="D11" s="42" t="str">
        <f>_xlfn.XLOOKUP(Table134526_79101120212223242526[[#This Row],[Name Surname]],Manpower!$C$4:$C$1048576,Manpower!$B$4:$B$1048576,"")</f>
        <v>Encogroup</v>
      </c>
      <c r="E11" s="41" t="s">
        <v>37</v>
      </c>
      <c r="F11" s="12">
        <f>_xlfn.XLOOKUP(Table134526_79101120212223242526[[#This Row],[Name Surname]],Manpower!C:C,Manpower!D:D,)</f>
        <v>140742088</v>
      </c>
      <c r="G11" s="42" t="str">
        <f>_xlfn.XLOOKUP(Table134526_79101120212223242526[[#This Row],[Name Surname]],Manpower!$C$4:$C$1048576,Manpower!$F$4:$F$1048576,"")</f>
        <v>Fitter/Erector</v>
      </c>
      <c r="H11" s="42" t="str">
        <f>_xlfn.XLOOKUP(Table134526_79101120212223242526[[#This Row],[Name Surname]],Manpower!$C$4:$C$1048576,Manpower!$H$4:$H$1048576,"")</f>
        <v>Manpower</v>
      </c>
      <c r="I11" s="42" t="str">
        <f>_xlfn.XLOOKUP(Table134526_79101120212223242526[[#This Row],[Name Surname]],Manpower!$C$4:$C$1048576,Manpower!$H$4:$H$1048576,"")</f>
        <v>Manpower</v>
      </c>
      <c r="J11" s="43" t="s">
        <v>21</v>
      </c>
      <c r="K11" s="43" t="s">
        <v>22</v>
      </c>
      <c r="L11" s="43" t="s">
        <v>23</v>
      </c>
      <c r="M11" s="43" t="s">
        <v>24</v>
      </c>
      <c r="N11" s="44">
        <v>8</v>
      </c>
      <c r="O11" s="43" t="s">
        <v>25</v>
      </c>
      <c r="P11" s="49" t="s">
        <v>22</v>
      </c>
      <c r="Q11" s="43" t="s">
        <v>22</v>
      </c>
      <c r="R11" s="43" t="s">
        <v>26</v>
      </c>
      <c r="S11" s="43"/>
    </row>
    <row r="12" spans="1:19" s="45" customFormat="1" ht="14.4" hidden="1">
      <c r="A12" s="25">
        <f>IF(C12="","",MAX($A$1:A11)+1)</f>
        <v>11</v>
      </c>
      <c r="B12" s="25" t="s">
        <v>19</v>
      </c>
      <c r="C12" s="41">
        <v>46082</v>
      </c>
      <c r="D12" s="42" t="str">
        <f>_xlfn.XLOOKUP(Table134526_79101120212223242526[[#This Row],[Name Surname]],Manpower!$C$4:$C$1048576,Manpower!$B$4:$B$1048576,"")</f>
        <v>Rial Al Khaleej</v>
      </c>
      <c r="E12" s="41" t="s">
        <v>38</v>
      </c>
      <c r="F12" s="12">
        <f>_xlfn.XLOOKUP(Table134526_79101120212223242526[[#This Row],[Name Surname]],Manpower!C:C,Manpower!D:D,)</f>
        <v>98845403</v>
      </c>
      <c r="G12" s="42" t="str">
        <f>_xlfn.XLOOKUP(Table134526_79101120212223242526[[#This Row],[Name Surname]],Manpower!$C$4:$C$1048576,Manpower!$F$4:$F$1048576,"")</f>
        <v>Crane Operator-100T Zoomlion Telescopic</v>
      </c>
      <c r="H12" s="42" t="s">
        <v>39</v>
      </c>
      <c r="I12" s="42" t="s">
        <v>39</v>
      </c>
      <c r="J12" s="43" t="s">
        <v>21</v>
      </c>
      <c r="K12" s="43" t="s">
        <v>22</v>
      </c>
      <c r="L12" s="43" t="s">
        <v>23</v>
      </c>
      <c r="M12" s="43" t="s">
        <v>24</v>
      </c>
      <c r="N12" s="44">
        <v>8</v>
      </c>
      <c r="O12" s="43" t="s">
        <v>40</v>
      </c>
      <c r="P12" s="43" t="s">
        <v>41</v>
      </c>
      <c r="Q12" s="43" t="s">
        <v>42</v>
      </c>
      <c r="R12" s="43" t="s">
        <v>43</v>
      </c>
      <c r="S12" s="43"/>
    </row>
    <row r="13" spans="1:19" s="45" customFormat="1" ht="14.4" hidden="1">
      <c r="A13" s="25">
        <f>IF(C13="","",MAX($A$1:A12)+1)</f>
        <v>12</v>
      </c>
      <c r="B13" s="25" t="s">
        <v>19</v>
      </c>
      <c r="C13" s="41">
        <v>46082</v>
      </c>
      <c r="D13" s="46" t="str">
        <f>_xlfn.XLOOKUP(Table134526_79101120212223242526[[#This Row],[Name Surname]],Manpower!$C$4:$C$1048576,Manpower!$B$4:$B$1048576,"")</f>
        <v>Encogroup</v>
      </c>
      <c r="E13" s="47" t="s">
        <v>44</v>
      </c>
      <c r="F13" s="12">
        <f>_xlfn.XLOOKUP(Table134526_79101120212223242526[[#This Row],[Name Surname]],Manpower!C:C,Manpower!D:D,)</f>
        <v>140806218</v>
      </c>
      <c r="G13" s="46" t="str">
        <f>_xlfn.XLOOKUP(Table134526_79101120212223242526[[#This Row],[Name Surname]],Manpower!$C$4:$C$1048576,Manpower!$F$4:$F$1048576,"")</f>
        <v>Fitter/Erector</v>
      </c>
      <c r="H13" s="46" t="str">
        <f>_xlfn.XLOOKUP(Table134526_79101120212223242526[[#This Row],[Name Surname]],Manpower!$C$4:$C$1048576,Manpower!$H$4:$H$1048576,"")</f>
        <v>Manpower</v>
      </c>
      <c r="I13" s="42" t="str">
        <f>_xlfn.XLOOKUP(Table134526_79101120212223242526[[#This Row],[Name Surname]],Manpower!$C$4:$C$1048576,Manpower!$H$4:$H$1048576,"")</f>
        <v>Manpower</v>
      </c>
      <c r="J13" s="43" t="s">
        <v>21</v>
      </c>
      <c r="K13" s="43" t="s">
        <v>22</v>
      </c>
      <c r="L13" s="43" t="s">
        <v>23</v>
      </c>
      <c r="M13" s="43" t="s">
        <v>24</v>
      </c>
      <c r="N13" s="44">
        <v>8</v>
      </c>
      <c r="O13" s="49" t="s">
        <v>25</v>
      </c>
      <c r="P13" s="43" t="s">
        <v>22</v>
      </c>
      <c r="Q13" s="43" t="s">
        <v>22</v>
      </c>
      <c r="R13" s="43" t="s">
        <v>26</v>
      </c>
      <c r="S13" s="43" t="s">
        <v>45</v>
      </c>
    </row>
    <row r="14" spans="1:19" s="45" customFormat="1" ht="14.4" hidden="1">
      <c r="A14" s="25">
        <f>IF(C14="","",MAX($A$1:A13)+1)</f>
        <v>13</v>
      </c>
      <c r="B14" s="25" t="s">
        <v>19</v>
      </c>
      <c r="C14" s="41">
        <v>46082</v>
      </c>
      <c r="D14" s="42" t="str">
        <f>_xlfn.XLOOKUP(Table134526_79101120212223242526[[#This Row],[Name Surname]],Manpower!$C$4:$C$1048576,Manpower!$B$4:$B$1048576,"")</f>
        <v>Encogroup</v>
      </c>
      <c r="E14" s="41" t="s">
        <v>46</v>
      </c>
      <c r="F14" s="12">
        <f>_xlfn.XLOOKUP(Table134526_79101120212223242526[[#This Row],[Name Surname]],Manpower!C:C,Manpower!D:D,)</f>
        <v>140844618</v>
      </c>
      <c r="G14" s="42" t="str">
        <f>_xlfn.XLOOKUP(Table134526_79101120212223242526[[#This Row],[Name Surname]],Manpower!$C$4:$C$1048576,Manpower!$F$4:$F$1048576,"")</f>
        <v>Assistant/Helper</v>
      </c>
      <c r="H14" s="42" t="str">
        <f>_xlfn.XLOOKUP(Table134526_79101120212223242526[[#This Row],[Name Surname]],Manpower!$C$4:$C$1048576,Manpower!$H$4:$H$1048576,"")</f>
        <v>Manpower</v>
      </c>
      <c r="I14" s="42" t="str">
        <f>_xlfn.XLOOKUP(Table134526_79101120212223242526[[#This Row],[Name Surname]],Manpower!$C$4:$C$1048576,Manpower!$H$4:$H$1048576,"")</f>
        <v>Manpower</v>
      </c>
      <c r="J14" s="43" t="s">
        <v>21</v>
      </c>
      <c r="K14" s="43" t="s">
        <v>22</v>
      </c>
      <c r="L14" s="43" t="s">
        <v>23</v>
      </c>
      <c r="M14" s="43" t="s">
        <v>24</v>
      </c>
      <c r="N14" s="44">
        <v>5</v>
      </c>
      <c r="O14" s="43" t="s">
        <v>25</v>
      </c>
      <c r="P14" s="43" t="s">
        <v>22</v>
      </c>
      <c r="Q14" s="43" t="s">
        <v>22</v>
      </c>
      <c r="R14" s="43" t="s">
        <v>26</v>
      </c>
      <c r="S14" s="43"/>
    </row>
    <row r="15" spans="1:19" ht="14.4" hidden="1">
      <c r="A15" s="33">
        <f>IF(C15="","",MAX($A$1:A14)+1)</f>
        <v>14</v>
      </c>
      <c r="B15" s="25" t="s">
        <v>19</v>
      </c>
      <c r="C15" s="23">
        <v>46082</v>
      </c>
      <c r="D15" s="24" t="str">
        <f>_xlfn.XLOOKUP(Table134526_79101120212223242526[[#This Row],[Name Surname]],Manpower!$C$4:$C$1048576,Manpower!$B$4:$B$1048576,"")</f>
        <v>Bright Light</v>
      </c>
      <c r="E15" s="23" t="s">
        <v>47</v>
      </c>
      <c r="F15" s="12" t="e">
        <f>_xlfn.XLOOKUP(Table134526_79101120212223242526[[#This Row],[Name Surname]],Manpower!C:C,Manpower!D:D,)</f>
        <v>#N/A</v>
      </c>
      <c r="G15" s="24" t="str">
        <f>_xlfn.XLOOKUP(Table134526_79101120212223242526[[#This Row],[Name Surname]],Manpower!$C$4:$C$1048576,Manpower!$F$4:$F$1048576,"")</f>
        <v>100T Telescopic Crane</v>
      </c>
      <c r="H15" s="24" t="s">
        <v>39</v>
      </c>
      <c r="I15" s="24" t="s">
        <v>39</v>
      </c>
      <c r="J15" s="21" t="s">
        <v>48</v>
      </c>
      <c r="K15" s="21" t="s">
        <v>26</v>
      </c>
      <c r="L15" s="21" t="s">
        <v>49</v>
      </c>
      <c r="M15" s="21" t="s">
        <v>24</v>
      </c>
      <c r="N15" s="29">
        <v>8</v>
      </c>
      <c r="O15" s="21" t="s">
        <v>40</v>
      </c>
      <c r="P15" s="21" t="s">
        <v>41</v>
      </c>
      <c r="Q15" s="21" t="s">
        <v>42</v>
      </c>
      <c r="R15" s="21" t="s">
        <v>50</v>
      </c>
    </row>
    <row r="16" spans="1:19" ht="14.4">
      <c r="A16" s="33">
        <f>IF(C16="","",MAX($A$1:A15)+1)</f>
        <v>15</v>
      </c>
      <c r="B16" s="25" t="s">
        <v>19</v>
      </c>
      <c r="C16" s="23">
        <v>46082</v>
      </c>
      <c r="D16" s="24" t="str">
        <f>_xlfn.XLOOKUP(Table134526_79101120212223242526[[#This Row],[Name Surname]],Manpower!$C$4:$C$1048576,Manpower!$B$4:$B$1048576,"")</f>
        <v>Bright Light</v>
      </c>
      <c r="E16" s="23" t="s">
        <v>51</v>
      </c>
      <c r="F16" s="12" t="e">
        <f>_xlfn.XLOOKUP(Table134526_79101120212223242526[[#This Row],[Name Surname]],Manpower!C:C,Manpower!D:D,)</f>
        <v>#N/A</v>
      </c>
      <c r="G16" s="24" t="str">
        <f>_xlfn.XLOOKUP(Table134526_79101120212223242526[[#This Row],[Name Surname]],Manpower!$C$4:$C$1048576,Manpower!$F$4:$F$1048576,"")</f>
        <v>150T-Crawler Crane</v>
      </c>
      <c r="H16" s="24" t="str">
        <f>_xlfn.XLOOKUP(Table134526_79101120212223242526[[#This Row],[Name Surname]],Manpower!$C$4:$C$1048576,Manpower!$H$4:$H$1048576,"")</f>
        <v>Equipment</v>
      </c>
      <c r="I16" s="24" t="str">
        <f>_xlfn.XLOOKUP(Table134526_79101120212223242526[[#This Row],[Name Surname]],Manpower!$C$4:$C$1048576,Manpower!$H$4:$H$1048576,"")</f>
        <v>Equipment</v>
      </c>
      <c r="J16" s="21" t="s">
        <v>48</v>
      </c>
      <c r="K16" s="21" t="s">
        <v>26</v>
      </c>
      <c r="L16" s="21" t="s">
        <v>49</v>
      </c>
      <c r="M16" s="21" t="s">
        <v>24</v>
      </c>
      <c r="N16" s="29">
        <v>8</v>
      </c>
      <c r="O16" s="21" t="s">
        <v>40</v>
      </c>
      <c r="P16" s="21" t="s">
        <v>41</v>
      </c>
      <c r="Q16" s="21" t="s">
        <v>42</v>
      </c>
      <c r="R16" s="21" t="s">
        <v>52</v>
      </c>
    </row>
    <row r="17" spans="1:19" ht="15.6" customHeight="1">
      <c r="A17" s="33">
        <f>IF(C17="","",MAX($A$1:A16)+1)</f>
        <v>16</v>
      </c>
      <c r="B17" s="25" t="s">
        <v>19</v>
      </c>
      <c r="C17" s="23">
        <v>46082</v>
      </c>
      <c r="D17" s="24" t="str">
        <f>_xlfn.XLOOKUP(Table134526_79101120212223242526[[#This Row],[Name Surname]],Manpower!$C$4:$C$1048576,Manpower!$B$4:$B$1048576,"")</f>
        <v>Encogroup</v>
      </c>
      <c r="E17" s="23" t="s">
        <v>53</v>
      </c>
      <c r="F17" s="12" t="e">
        <f>_xlfn.XLOOKUP(Table134526_79101120212223242526[[#This Row],[Name Surname]],Manpower!C:C,Manpower!D:D,)</f>
        <v>#N/A</v>
      </c>
      <c r="G17" s="24" t="str">
        <f>_xlfn.XLOOKUP(Table134526_79101120212223242526[[#This Row],[Name Surname]],Manpower!$C$4:$C$1048576,Manpower!$F$4:$F$1048576,"")</f>
        <v>22M-Manlift</v>
      </c>
      <c r="H17" s="24" t="str">
        <f>_xlfn.XLOOKUP(Table134526_79101120212223242526[[#This Row],[Name Surname]],Manpower!$C$4:$C$1048576,Manpower!$H$4:$H$1048576,"")</f>
        <v>Equipment</v>
      </c>
      <c r="I17" s="24" t="str">
        <f>_xlfn.XLOOKUP(Table134526_79101120212223242526[[#This Row],[Name Surname]],Manpower!$C$4:$C$1048576,Manpower!$H$4:$H$1048576,"")</f>
        <v>Equipment</v>
      </c>
      <c r="J17" s="21" t="s">
        <v>48</v>
      </c>
      <c r="K17" s="21" t="s">
        <v>26</v>
      </c>
      <c r="L17" s="21" t="s">
        <v>49</v>
      </c>
      <c r="M17" s="21" t="s">
        <v>24</v>
      </c>
      <c r="N17" s="29">
        <v>8</v>
      </c>
      <c r="O17" s="21" t="s">
        <v>25</v>
      </c>
      <c r="P17" s="21" t="s">
        <v>41</v>
      </c>
      <c r="Q17" s="21" t="s">
        <v>41</v>
      </c>
      <c r="R17" s="21" t="s">
        <v>50</v>
      </c>
    </row>
    <row r="18" spans="1:19" ht="15" customHeight="1">
      <c r="A18" s="33">
        <f>IF(C18="","",MAX($A$1:A17)+1)</f>
        <v>17</v>
      </c>
      <c r="B18" s="25" t="s">
        <v>19</v>
      </c>
      <c r="C18" s="23">
        <v>46082</v>
      </c>
      <c r="D18" s="24" t="str">
        <f>_xlfn.XLOOKUP(Table134526_79101120212223242526[[#This Row],[Name Surname]],Manpower!$C$4:$C$1048576,Manpower!$B$4:$B$1048576,"")</f>
        <v>Encogroup</v>
      </c>
      <c r="E18" s="23" t="s">
        <v>54</v>
      </c>
      <c r="F18" s="12" t="e">
        <f>_xlfn.XLOOKUP(Table134526_79101120212223242526[[#This Row],[Name Surname]],Manpower!C:C,Manpower!D:D,)</f>
        <v>#N/A</v>
      </c>
      <c r="G18" s="24" t="str">
        <f>_xlfn.XLOOKUP(Table134526_79101120212223242526[[#This Row],[Name Surname]],Manpower!$C$4:$C$1048576,Manpower!$F$4:$F$1048576,"")</f>
        <v>28M-Manlift</v>
      </c>
      <c r="H18" s="24" t="str">
        <f>_xlfn.XLOOKUP(Table134526_79101120212223242526[[#This Row],[Name Surname]],Manpower!$C$4:$C$1048576,Manpower!$H$4:$H$1048576,"")</f>
        <v>Equipment</v>
      </c>
      <c r="I18" s="24" t="str">
        <f>_xlfn.XLOOKUP(Table134526_79101120212223242526[[#This Row],[Name Surname]],Manpower!$C$4:$C$1048576,Manpower!$H$4:$H$1048576,"")</f>
        <v>Equipment</v>
      </c>
      <c r="J18" s="21" t="s">
        <v>48</v>
      </c>
      <c r="K18" s="21" t="s">
        <v>26</v>
      </c>
      <c r="L18" s="21" t="s">
        <v>49</v>
      </c>
      <c r="M18" s="21" t="s">
        <v>55</v>
      </c>
      <c r="N18" s="29">
        <v>8</v>
      </c>
      <c r="O18" s="21" t="s">
        <v>25</v>
      </c>
      <c r="P18" s="21" t="s">
        <v>41</v>
      </c>
      <c r="Q18" s="21" t="s">
        <v>41</v>
      </c>
      <c r="R18" s="21" t="s">
        <v>56</v>
      </c>
    </row>
    <row r="19" spans="1:19" s="45" customFormat="1" ht="15" hidden="1" customHeight="1">
      <c r="A19" s="25">
        <f>IF(C19="","",MAX($A$1:A18)+1)</f>
        <v>18</v>
      </c>
      <c r="B19" s="25" t="s">
        <v>19</v>
      </c>
      <c r="C19" s="41">
        <v>46082</v>
      </c>
      <c r="D19" s="42" t="str">
        <f>_xlfn.XLOOKUP(Table134526_79101120212223242526[[#This Row],[Name Surname]],Manpower!$C$4:$C$1048576,Manpower!$B$4:$B$1048576,"")</f>
        <v>Encogroup</v>
      </c>
      <c r="E19" s="41" t="s">
        <v>30</v>
      </c>
      <c r="F19" s="12">
        <f>_xlfn.XLOOKUP(Table134526_79101120212223242526[[#This Row],[Name Surname]],Manpower!C:C,Manpower!D:D,)</f>
        <v>116589569</v>
      </c>
      <c r="G19" s="42" t="str">
        <f>_xlfn.XLOOKUP(Table134526_79101120212223242526[[#This Row],[Name Surname]],Manpower!$C$4:$C$1048576,Manpower!$F$4:$F$1048576,"")</f>
        <v>Mechanical Engineer</v>
      </c>
      <c r="H19" s="42" t="str">
        <f>_xlfn.XLOOKUP(Table134526_79101120212223242526[[#This Row],[Name Surname]],Manpower!$C$4:$C$1048576,Manpower!$H$4:$H$1048576,"")</f>
        <v>Manpower</v>
      </c>
      <c r="I19" s="42" t="str">
        <f>_xlfn.XLOOKUP(Table134526_79101120212223242526[[#This Row],[Name Surname]],Manpower!$C$4:$C$1048576,Manpower!$H$4:$H$1048576,"")</f>
        <v>Manpower</v>
      </c>
      <c r="J19" s="43" t="s">
        <v>48</v>
      </c>
      <c r="K19" s="43" t="s">
        <v>26</v>
      </c>
      <c r="L19" s="43" t="s">
        <v>49</v>
      </c>
      <c r="M19" s="43" t="s">
        <v>55</v>
      </c>
      <c r="N19" s="44">
        <v>5</v>
      </c>
      <c r="O19" s="43" t="s">
        <v>25</v>
      </c>
      <c r="P19" s="43" t="s">
        <v>41</v>
      </c>
      <c r="Q19" s="43" t="s">
        <v>41</v>
      </c>
      <c r="R19" s="43" t="s">
        <v>50</v>
      </c>
      <c r="S19" s="43"/>
    </row>
    <row r="20" spans="1:19" ht="15" hidden="1" customHeight="1">
      <c r="A20" s="33">
        <f>IF(C20="","",MAX($A$1:A18)+1)</f>
        <v>18</v>
      </c>
      <c r="B20" s="25" t="s">
        <v>19</v>
      </c>
      <c r="C20" s="23">
        <v>46082</v>
      </c>
      <c r="D20" s="24" t="str">
        <f>_xlfn.XLOOKUP(Table134526_79101120212223242526[[#This Row],[Name Surname]],Manpower!$C$4:$C$1048576,Manpower!$B$4:$B$1048576,"")</f>
        <v>Encogroup</v>
      </c>
      <c r="E20" s="23" t="s">
        <v>57</v>
      </c>
      <c r="F20" s="12">
        <f>_xlfn.XLOOKUP(Table134526_79101120212223242526[[#This Row],[Name Surname]],Manpower!C:C,Manpower!D:D,)</f>
        <v>140693697</v>
      </c>
      <c r="G20" s="24" t="str">
        <f>_xlfn.XLOOKUP(Table134526_79101120212223242526[[#This Row],[Name Surname]],Manpower!$C$4:$C$1048576,Manpower!$F$4:$F$1048576,"")</f>
        <v>HSE Officer</v>
      </c>
      <c r="H20" s="24" t="str">
        <f>_xlfn.XLOOKUP(Table134526_79101120212223242526[[#This Row],[Name Surname]],Manpower!$C$4:$C$1048576,Manpower!$H$4:$H$1048576,"")</f>
        <v>Manpower</v>
      </c>
      <c r="I20" s="24" t="str">
        <f>_xlfn.XLOOKUP(Table134526_79101120212223242526[[#This Row],[Name Surname]],Manpower!$C$4:$C$1048576,Manpower!$H$4:$H$1048576,"")</f>
        <v>Manpower</v>
      </c>
      <c r="J20" s="21" t="s">
        <v>48</v>
      </c>
      <c r="K20" s="21" t="s">
        <v>26</v>
      </c>
      <c r="L20" s="21" t="s">
        <v>49</v>
      </c>
      <c r="M20" s="21" t="s">
        <v>24</v>
      </c>
      <c r="N20" s="29">
        <v>10</v>
      </c>
      <c r="O20" s="21" t="s">
        <v>25</v>
      </c>
      <c r="P20" s="21" t="s">
        <v>41</v>
      </c>
      <c r="Q20" s="21" t="s">
        <v>41</v>
      </c>
      <c r="R20" s="21" t="s">
        <v>50</v>
      </c>
    </row>
    <row r="21" spans="1:19" ht="15" hidden="1" customHeight="1">
      <c r="A21" s="33">
        <f>IF(C21="","",MAX($A$1:A20)+1)</f>
        <v>19</v>
      </c>
      <c r="B21" s="25" t="s">
        <v>19</v>
      </c>
      <c r="C21" s="23">
        <v>46082</v>
      </c>
      <c r="D21" s="17" t="str">
        <f>_xlfn.XLOOKUP(Table134526_79101120212223242526[[#This Row],[Name Surname]],Manpower!$C$4:$C$1048576,Manpower!$B$4:$B$1048576,"")</f>
        <v>Encogroup</v>
      </c>
      <c r="E21" s="18" t="s">
        <v>27</v>
      </c>
      <c r="F21" s="12">
        <f>_xlfn.XLOOKUP(Table134526_79101120212223242526[[#This Row],[Name Surname]],Manpower!C:C,Manpower!D:D,)</f>
        <v>127414586</v>
      </c>
      <c r="G21" s="17" t="str">
        <f>_xlfn.XLOOKUP(Table134526_79101120212223242526[[#This Row],[Name Surname]],Manpower!$C$4:$C$1048576,Manpower!$F$4:$F$1048576,"")</f>
        <v>Electrician</v>
      </c>
      <c r="H21" s="17" t="str">
        <f>_xlfn.XLOOKUP(Table134526_79101120212223242526[[#This Row],[Name Surname]],Manpower!$C$4:$C$1048576,Manpower!$H$4:$H$1048576,"")</f>
        <v>Manpower</v>
      </c>
      <c r="I21" s="24" t="str">
        <f>_xlfn.XLOOKUP(Table134526_79101120212223242526[[#This Row],[Name Surname]],Manpower!$C$4:$C$1048576,Manpower!$H$4:$H$1048576,"")</f>
        <v>Manpower</v>
      </c>
      <c r="J21" s="21" t="s">
        <v>48</v>
      </c>
      <c r="K21" s="21" t="s">
        <v>26</v>
      </c>
      <c r="L21" s="21" t="s">
        <v>49</v>
      </c>
      <c r="M21" s="21" t="s">
        <v>24</v>
      </c>
      <c r="N21" s="29">
        <v>5</v>
      </c>
      <c r="O21" s="20" t="s">
        <v>28</v>
      </c>
      <c r="P21" s="20" t="s">
        <v>41</v>
      </c>
      <c r="Q21" s="21" t="s">
        <v>58</v>
      </c>
      <c r="R21" s="21" t="s">
        <v>50</v>
      </c>
    </row>
    <row r="22" spans="1:19" s="45" customFormat="1" ht="14.4" hidden="1">
      <c r="A22" s="25">
        <f>IF(C22="","",MAX($A$1:A21)+1)</f>
        <v>20</v>
      </c>
      <c r="B22" s="25" t="s">
        <v>19</v>
      </c>
      <c r="C22" s="41">
        <v>46082</v>
      </c>
      <c r="D22" s="42" t="str">
        <f>_xlfn.XLOOKUP(Table134526_79101120212223242526[[#This Row],[Name Surname]],Manpower!$C$4:$C$1048576,Manpower!$B$4:$B$1048576,"")</f>
        <v>Encogroup</v>
      </c>
      <c r="E22" s="41" t="s">
        <v>59</v>
      </c>
      <c r="F22" s="12">
        <f>_xlfn.XLOOKUP(Table134526_79101120212223242526[[#This Row],[Name Surname]],Manpower!C:C,Manpower!D:D,)</f>
        <v>141169085</v>
      </c>
      <c r="G22" s="42" t="str">
        <f>_xlfn.XLOOKUP(Table134526_79101120212223242526[[#This Row],[Name Surname]],Manpower!$C$4:$C$1048576,Manpower!$F$4:$F$1048576,"")</f>
        <v>Welder</v>
      </c>
      <c r="H22" s="42" t="str">
        <f>_xlfn.XLOOKUP(Table134526_79101120212223242526[[#This Row],[Name Surname]],Manpower!$C$4:$C$1048576,Manpower!$H$4:$H$1048576,"")</f>
        <v>Manpower</v>
      </c>
      <c r="I22" s="42" t="str">
        <f>_xlfn.XLOOKUP(Table134526_79101120212223242526[[#This Row],[Name Surname]],Manpower!$C$4:$C$1048576,Manpower!$H$4:$H$1048576,"")</f>
        <v>Manpower</v>
      </c>
      <c r="J22" s="43" t="s">
        <v>48</v>
      </c>
      <c r="K22" s="43" t="s">
        <v>26</v>
      </c>
      <c r="L22" s="43" t="s">
        <v>49</v>
      </c>
      <c r="M22" s="43" t="s">
        <v>24</v>
      </c>
      <c r="N22" s="44">
        <v>8</v>
      </c>
      <c r="O22" s="43" t="s">
        <v>25</v>
      </c>
      <c r="P22" s="43" t="s">
        <v>60</v>
      </c>
      <c r="Q22" s="43" t="s">
        <v>60</v>
      </c>
      <c r="R22" s="43" t="s">
        <v>50</v>
      </c>
      <c r="S22" s="43" t="s">
        <v>45</v>
      </c>
    </row>
    <row r="23" spans="1:19" s="45" customFormat="1" ht="14.4" hidden="1">
      <c r="A23" s="25">
        <f>IF(C23="","",MAX($A$1:A22)+1)</f>
        <v>21</v>
      </c>
      <c r="B23" s="25" t="s">
        <v>19</v>
      </c>
      <c r="C23" s="41">
        <v>46082</v>
      </c>
      <c r="D23" s="42" t="str">
        <f>_xlfn.XLOOKUP(Table134526_79101120212223242526[[#This Row],[Name Surname]],Manpower!$C$4:$C$1048576,Manpower!$B$4:$B$1048576,"")</f>
        <v>Encogroup</v>
      </c>
      <c r="E23" s="41" t="s">
        <v>61</v>
      </c>
      <c r="F23" s="12">
        <f>_xlfn.XLOOKUP(Table134526_79101120212223242526[[#This Row],[Name Surname]],Manpower!C:C,Manpower!D:D,)</f>
        <v>141169047</v>
      </c>
      <c r="G23" s="42" t="str">
        <f>_xlfn.XLOOKUP(Table134526_79101120212223242526[[#This Row],[Name Surname]],Manpower!$C$4:$C$1048576,Manpower!$F$4:$F$1048576,"")</f>
        <v>Welder</v>
      </c>
      <c r="H23" s="42" t="str">
        <f>_xlfn.XLOOKUP(Table134526_79101120212223242526[[#This Row],[Name Surname]],Manpower!$C$4:$C$1048576,Manpower!$H$4:$H$1048576,"")</f>
        <v>Manpower</v>
      </c>
      <c r="I23" s="42" t="str">
        <f>_xlfn.XLOOKUP(Table134526_79101120212223242526[[#This Row],[Name Surname]],Manpower!$C$4:$C$1048576,Manpower!$H$4:$H$1048576,"")</f>
        <v>Manpower</v>
      </c>
      <c r="J23" s="43" t="s">
        <v>48</v>
      </c>
      <c r="K23" s="43" t="s">
        <v>26</v>
      </c>
      <c r="L23" s="43" t="s">
        <v>49</v>
      </c>
      <c r="M23" s="43" t="s">
        <v>24</v>
      </c>
      <c r="N23" s="44">
        <v>8</v>
      </c>
      <c r="O23" s="43" t="s">
        <v>25</v>
      </c>
      <c r="P23" s="43" t="s">
        <v>60</v>
      </c>
      <c r="Q23" s="43" t="s">
        <v>60</v>
      </c>
      <c r="R23" s="43" t="s">
        <v>50</v>
      </c>
      <c r="S23" s="43" t="s">
        <v>45</v>
      </c>
    </row>
    <row r="24" spans="1:19" s="45" customFormat="1" ht="14.4" hidden="1">
      <c r="A24" s="25">
        <f>IF(C24="","",MAX($A$1:A23)+1)</f>
        <v>22</v>
      </c>
      <c r="B24" s="25" t="s">
        <v>19</v>
      </c>
      <c r="C24" s="41">
        <v>46082</v>
      </c>
      <c r="D24" s="42" t="str">
        <f>_xlfn.XLOOKUP(Table134526_79101120212223242526[[#This Row],[Name Surname]],Manpower!$C$4:$C$1048576,Manpower!$B$4:$B$1048576,"")</f>
        <v>Encogroup</v>
      </c>
      <c r="E24" s="41" t="s">
        <v>62</v>
      </c>
      <c r="F24" s="12">
        <f>_xlfn.XLOOKUP(Table134526_79101120212223242526[[#This Row],[Name Surname]],Manpower!C:C,Manpower!D:D,)</f>
        <v>140844797</v>
      </c>
      <c r="G24" s="42" t="str">
        <f>_xlfn.XLOOKUP(Table134526_79101120212223242526[[#This Row],[Name Surname]],Manpower!$C$4:$C$1048576,Manpower!$F$4:$F$1048576,"")</f>
        <v>Fitter/Erector</v>
      </c>
      <c r="H24" s="42" t="str">
        <f>_xlfn.XLOOKUP(Table134526_79101120212223242526[[#This Row],[Name Surname]],Manpower!$C$4:$C$1048576,Manpower!$H$4:$H$1048576,"")</f>
        <v>Manpower</v>
      </c>
      <c r="I24" s="42" t="str">
        <f>_xlfn.XLOOKUP(Table134526_79101120212223242526[[#This Row],[Name Surname]],Manpower!$C$4:$C$1048576,Manpower!$H$4:$H$1048576,"")</f>
        <v>Manpower</v>
      </c>
      <c r="J24" s="43" t="s">
        <v>48</v>
      </c>
      <c r="K24" s="43" t="s">
        <v>26</v>
      </c>
      <c r="L24" s="43" t="s">
        <v>49</v>
      </c>
      <c r="M24" s="43" t="s">
        <v>24</v>
      </c>
      <c r="N24" s="44">
        <v>8</v>
      </c>
      <c r="O24" s="43" t="s">
        <v>25</v>
      </c>
      <c r="P24" s="43" t="s">
        <v>41</v>
      </c>
      <c r="Q24" s="43" t="s">
        <v>60</v>
      </c>
      <c r="R24" s="43" t="s">
        <v>50</v>
      </c>
      <c r="S24" s="43"/>
    </row>
    <row r="25" spans="1:19" ht="14.4">
      <c r="A25" s="33">
        <f>IF(C25="","",MAX($A$1:A24)+1)</f>
        <v>23</v>
      </c>
      <c r="B25" s="25" t="s">
        <v>19</v>
      </c>
      <c r="C25" s="23">
        <v>46082</v>
      </c>
      <c r="D25" s="24" t="str">
        <f>_xlfn.XLOOKUP(Table134526_79101120212223242526[[#This Row],[Name Surname]],Manpower!$C$4:$C$1048576,Manpower!$B$4:$B$1048576,"")</f>
        <v>Encogroup</v>
      </c>
      <c r="E25" s="23" t="s">
        <v>63</v>
      </c>
      <c r="F25" s="12" t="e">
        <f>_xlfn.XLOOKUP(Table134526_79101120212223242526[[#This Row],[Name Surname]],Manpower!C:C,Manpower!D:D,)</f>
        <v>#N/A</v>
      </c>
      <c r="G25" s="24" t="str">
        <f>_xlfn.XLOOKUP(Table134526_79101120212223242526[[#This Row],[Name Surname]],Manpower!$C$4:$C$1048576,Manpower!$F$4:$F$1048576,"")</f>
        <v>22KVA-Generator</v>
      </c>
      <c r="H25" s="24" t="str">
        <f>_xlfn.XLOOKUP(Table134526_79101120212223242526[[#This Row],[Name Surname]],Manpower!$C$4:$C$1048576,Manpower!$H$4:$H$1048576,"")</f>
        <v>Equipment</v>
      </c>
      <c r="I25" s="24" t="str">
        <f>_xlfn.XLOOKUP(Table134526_79101120212223242526[[#This Row],[Name Surname]],Manpower!$C$4:$C$1048576,Manpower!$H$4:$H$1048576,"")</f>
        <v>Equipment</v>
      </c>
      <c r="J25" s="21" t="s">
        <v>48</v>
      </c>
      <c r="K25" s="21" t="s">
        <v>26</v>
      </c>
      <c r="L25" s="21" t="s">
        <v>49</v>
      </c>
      <c r="M25" s="21" t="s">
        <v>24</v>
      </c>
      <c r="N25" s="29">
        <v>8</v>
      </c>
      <c r="O25" s="21" t="s">
        <v>25</v>
      </c>
      <c r="P25" s="21" t="s">
        <v>41</v>
      </c>
      <c r="Q25" s="21" t="s">
        <v>41</v>
      </c>
      <c r="R25" s="21" t="s">
        <v>50</v>
      </c>
    </row>
    <row r="26" spans="1:19" s="45" customFormat="1" ht="14.4" hidden="1">
      <c r="A26" s="25">
        <f>IF(C26="","",MAX($A$1:A24)+1)</f>
        <v>23</v>
      </c>
      <c r="B26" s="25" t="s">
        <v>19</v>
      </c>
      <c r="C26" s="41">
        <v>46082</v>
      </c>
      <c r="D26" s="42" t="str">
        <f>_xlfn.XLOOKUP(Table134526_79101120212223242526[[#This Row],[Name Surname]],Manpower!$C$4:$C$1048576,Manpower!$B$4:$B$1048576,"")</f>
        <v>Bright Light</v>
      </c>
      <c r="E26" s="41" t="s">
        <v>64</v>
      </c>
      <c r="F26" s="12">
        <f>_xlfn.XLOOKUP(Table134526_79101120212223242526[[#This Row],[Name Surname]],Manpower!C:C,Manpower!D:D,)</f>
        <v>114531608</v>
      </c>
      <c r="G26" s="42" t="str">
        <f>_xlfn.XLOOKUP(Table134526_79101120212223242526[[#This Row],[Name Surname]],Manpower!$C$4:$C$1048576,Manpower!$F$4:$F$1048576,"")</f>
        <v>Crane Operator-150T Sany Crawler</v>
      </c>
      <c r="H26" s="42" t="str">
        <f>_xlfn.XLOOKUP(Table134526_79101120212223242526[[#This Row],[Name Surname]],Manpower!$C$4:$C$1048576,Manpower!$H$4:$H$1048576,"")</f>
        <v>Manpower</v>
      </c>
      <c r="I26" s="42" t="str">
        <f>_xlfn.XLOOKUP(Table134526_79101120212223242526[[#This Row],[Name Surname]],Manpower!$C$4:$C$1048576,Manpower!$H$4:$H$1048576,"")</f>
        <v>Manpower</v>
      </c>
      <c r="J26" s="43" t="s">
        <v>48</v>
      </c>
      <c r="K26" s="43" t="s">
        <v>26</v>
      </c>
      <c r="L26" s="43" t="s">
        <v>49</v>
      </c>
      <c r="M26" s="43" t="s">
        <v>24</v>
      </c>
      <c r="N26" s="44">
        <v>8</v>
      </c>
      <c r="O26" s="43" t="s">
        <v>40</v>
      </c>
      <c r="P26" s="43" t="s">
        <v>41</v>
      </c>
      <c r="Q26" s="43" t="s">
        <v>42</v>
      </c>
      <c r="R26" s="43" t="s">
        <v>50</v>
      </c>
      <c r="S26" s="43"/>
    </row>
    <row r="27" spans="1:19" s="45" customFormat="1" ht="14.4" hidden="1">
      <c r="A27" s="25">
        <f>IF(C27="","",MAX($A$1:A26)+1)</f>
        <v>24</v>
      </c>
      <c r="B27" s="25" t="s">
        <v>19</v>
      </c>
      <c r="C27" s="41">
        <v>46082</v>
      </c>
      <c r="D27" s="46" t="str">
        <f>_xlfn.XLOOKUP(Table134526_79101120212223242526[[#This Row],[Name Surname]],Manpower!$C$4:$C$1048576,Manpower!$B$4:$B$1048576,"")</f>
        <v>AL Saif &amp; Al QALLM ENT LLC</v>
      </c>
      <c r="E27" s="47" t="s">
        <v>65</v>
      </c>
      <c r="F27" s="12">
        <f>_xlfn.XLOOKUP(Table134526_79101120212223242526[[#This Row],[Name Surname]],Manpower!C:C,Manpower!D:D,)</f>
        <v>108478006</v>
      </c>
      <c r="G27" s="46" t="str">
        <f>_xlfn.XLOOKUP(Table134526_79101120212223242526[[#This Row],[Name Surname]],Manpower!$C$4:$C$1048576,Manpower!$F$4:$F$1048576,"")</f>
        <v>RIgger</v>
      </c>
      <c r="H27" s="46" t="str">
        <f>_xlfn.XLOOKUP(Table134526_79101120212223242526[[#This Row],[Name Surname]],Manpower!$C$4:$C$1048576,Manpower!$H$4:$H$1048576,"")</f>
        <v>Sub Contactor</v>
      </c>
      <c r="I27" s="42" t="str">
        <f>_xlfn.XLOOKUP(Table134526_79101120212223242526[[#This Row],[Name Surname]],Manpower!$C$4:$C$1048576,Manpower!$H$4:$H$1048576,"")</f>
        <v>Sub Contactor</v>
      </c>
      <c r="J27" s="43" t="s">
        <v>48</v>
      </c>
      <c r="K27" s="43" t="s">
        <v>26</v>
      </c>
      <c r="L27" s="43" t="s">
        <v>49</v>
      </c>
      <c r="M27" s="43" t="s">
        <v>24</v>
      </c>
      <c r="N27" s="44">
        <v>8</v>
      </c>
      <c r="O27" s="43" t="s">
        <v>25</v>
      </c>
      <c r="P27" s="43" t="s">
        <v>41</v>
      </c>
      <c r="Q27" s="43" t="s">
        <v>41</v>
      </c>
      <c r="R27" s="43" t="s">
        <v>50</v>
      </c>
      <c r="S27" s="43"/>
    </row>
    <row r="28" spans="1:19" s="45" customFormat="1" ht="14.4" hidden="1">
      <c r="A28" s="25">
        <f>IF(C28="","",MAX($A$1:A27)+1)</f>
        <v>25</v>
      </c>
      <c r="B28" s="25" t="s">
        <v>19</v>
      </c>
      <c r="C28" s="41">
        <v>46082</v>
      </c>
      <c r="D28" s="42" t="str">
        <f>_xlfn.XLOOKUP(Table134526_79101120212223242526[[#This Row],[Name Surname]],Manpower!$C$4:$C$1048576,Manpower!$B$4:$B$1048576,"")</f>
        <v>AL Omar International TRAD AND CONT</v>
      </c>
      <c r="E28" s="41" t="s">
        <v>66</v>
      </c>
      <c r="F28" s="12">
        <f>_xlfn.XLOOKUP(Table134526_79101120212223242526[[#This Row],[Name Surname]],Manpower!C:C,Manpower!D:D,)</f>
        <v>115018512</v>
      </c>
      <c r="G28" s="42" t="str">
        <f>_xlfn.XLOOKUP(Table134526_79101120212223242526[[#This Row],[Name Surname]],Manpower!$C$4:$C$1048576,Manpower!$F$4:$F$1048576,"")</f>
        <v>RIgger</v>
      </c>
      <c r="H28" s="42" t="str">
        <f>_xlfn.XLOOKUP(Table134526_79101120212223242526[[#This Row],[Name Surname]],Manpower!$C$4:$C$1048576,Manpower!$H$4:$H$1048576,"")</f>
        <v>Sub Contactor</v>
      </c>
      <c r="I28" s="42" t="str">
        <f>_xlfn.XLOOKUP(Table134526_79101120212223242526[[#This Row],[Name Surname]],Manpower!$C$4:$C$1048576,Manpower!$H$4:$H$1048576,"")</f>
        <v>Sub Contactor</v>
      </c>
      <c r="J28" s="43" t="s">
        <v>48</v>
      </c>
      <c r="K28" s="43" t="s">
        <v>26</v>
      </c>
      <c r="L28" s="43" t="s">
        <v>49</v>
      </c>
      <c r="M28" s="43" t="s">
        <v>24</v>
      </c>
      <c r="N28" s="44">
        <v>8</v>
      </c>
      <c r="O28" s="43" t="s">
        <v>25</v>
      </c>
      <c r="P28" s="43" t="s">
        <v>41</v>
      </c>
      <c r="Q28" s="43" t="s">
        <v>60</v>
      </c>
      <c r="R28" s="43" t="s">
        <v>50</v>
      </c>
      <c r="S28" s="43"/>
    </row>
    <row r="29" spans="1:19" s="45" customFormat="1" ht="14.4" hidden="1">
      <c r="A29" s="25">
        <f>IF(C29="","",MAX($A$1:A28)+1)</f>
        <v>26</v>
      </c>
      <c r="B29" s="25" t="s">
        <v>19</v>
      </c>
      <c r="C29" s="41">
        <v>46082</v>
      </c>
      <c r="D29" s="42" t="str">
        <f>_xlfn.XLOOKUP(Table134526_79101120212223242526[[#This Row],[Name Surname]],Manpower!$C$4:$C$1048576,Manpower!$B$4:$B$1048576,"")</f>
        <v>Encogroup</v>
      </c>
      <c r="E29" s="41" t="s">
        <v>67</v>
      </c>
      <c r="F29" s="12">
        <f>_xlfn.XLOOKUP(Table134526_79101120212223242526[[#This Row],[Name Surname]],Manpower!C:C,Manpower!D:D,)</f>
        <v>122082769</v>
      </c>
      <c r="G29" s="42" t="str">
        <f>_xlfn.XLOOKUP(Table134526_79101120212223242526[[#This Row],[Name Surname]],Manpower!$C$4:$C$1048576,Manpower!$F$4:$F$1048576,"")</f>
        <v>Grinder</v>
      </c>
      <c r="H29" s="42" t="str">
        <f>_xlfn.XLOOKUP(Table134526_79101120212223242526[[#This Row],[Name Surname]],Manpower!$C$4:$C$1048576,Manpower!$H$4:$H$1048576,"")</f>
        <v>Manpower</v>
      </c>
      <c r="I29" s="42" t="str">
        <f>_xlfn.XLOOKUP(Table134526_79101120212223242526[[#This Row],[Name Surname]],Manpower!$C$4:$C$1048576,Manpower!$H$4:$H$1048576,"")</f>
        <v>Manpower</v>
      </c>
      <c r="J29" s="43" t="s">
        <v>48</v>
      </c>
      <c r="K29" s="43" t="s">
        <v>26</v>
      </c>
      <c r="L29" s="43" t="s">
        <v>49</v>
      </c>
      <c r="M29" s="43" t="s">
        <v>24</v>
      </c>
      <c r="N29" s="44">
        <v>8</v>
      </c>
      <c r="O29" s="43" t="s">
        <v>25</v>
      </c>
      <c r="P29" s="43" t="s">
        <v>41</v>
      </c>
      <c r="Q29" s="43" t="s">
        <v>60</v>
      </c>
      <c r="R29" s="43" t="s">
        <v>50</v>
      </c>
      <c r="S29" s="43"/>
    </row>
    <row r="30" spans="1:19" ht="14.4" hidden="1">
      <c r="A30" s="33">
        <f>IF(C30="","",MAX($A$1:A29)+1)</f>
        <v>27</v>
      </c>
      <c r="B30" s="25" t="s">
        <v>19</v>
      </c>
      <c r="C30" s="23">
        <v>46082</v>
      </c>
      <c r="D30" s="24" t="str">
        <f>_xlfn.XLOOKUP(Table134526_79101120212223242526[[#This Row],[Name Surname]],Manpower!$C$4:$C$1048576,Manpower!$B$4:$B$1048576,"")</f>
        <v>Encogroup</v>
      </c>
      <c r="E30" s="23" t="s">
        <v>68</v>
      </c>
      <c r="F30" s="12">
        <f>_xlfn.XLOOKUP(Table134526_79101120212223242526[[#This Row],[Name Surname]],Manpower!C:C,Manpower!D:D,)</f>
        <v>116915582</v>
      </c>
      <c r="G30" s="24" t="str">
        <f>_xlfn.XLOOKUP(Table134526_79101120212223242526[[#This Row],[Name Surname]],Manpower!$C$4:$C$1048576,Manpower!$F$4:$F$1048576,"")</f>
        <v>Mechanical Superintendent</v>
      </c>
      <c r="H30" s="24" t="str">
        <f>_xlfn.XLOOKUP(Table134526_79101120212223242526[[#This Row],[Name Surname]],Manpower!$C$4:$C$1048576,Manpower!$H$4:$H$1048576,"")</f>
        <v>Manpower</v>
      </c>
      <c r="I30" s="24" t="str">
        <f>_xlfn.XLOOKUP(Table134526_79101120212223242526[[#This Row],[Name Surname]],Manpower!$C$4:$C$1048576,Manpower!$H$4:$H$1048576,"")</f>
        <v>Manpower</v>
      </c>
      <c r="J30" s="21" t="s">
        <v>48</v>
      </c>
      <c r="K30" s="21" t="s">
        <v>26</v>
      </c>
      <c r="L30" s="21" t="s">
        <v>49</v>
      </c>
      <c r="M30" s="21" t="s">
        <v>24</v>
      </c>
      <c r="N30" s="29">
        <v>6</v>
      </c>
      <c r="O30" s="21" t="s">
        <v>25</v>
      </c>
      <c r="P30" s="21" t="s">
        <v>41</v>
      </c>
      <c r="Q30" s="21" t="s">
        <v>60</v>
      </c>
      <c r="R30" s="21" t="s">
        <v>50</v>
      </c>
    </row>
    <row r="31" spans="1:19" s="45" customFormat="1" ht="14.4" hidden="1">
      <c r="A31" s="25">
        <f>IF(C31="","",MAX($A$1:A30)+1)</f>
        <v>28</v>
      </c>
      <c r="B31" s="25" t="s">
        <v>19</v>
      </c>
      <c r="C31" s="41">
        <v>46082</v>
      </c>
      <c r="D31" s="42" t="str">
        <f>_xlfn.XLOOKUP(Table134526_79101120212223242526[[#This Row],[Name Surname]],Manpower!$C$4:$C$1048576,Manpower!$B$4:$B$1048576,"")</f>
        <v>Encogroup</v>
      </c>
      <c r="E31" s="41" t="s">
        <v>69</v>
      </c>
      <c r="F31" s="12">
        <f>_xlfn.XLOOKUP(Table134526_79101120212223242526[[#This Row],[Name Surname]],Manpower!C:C,Manpower!D:D,)</f>
        <v>141169071</v>
      </c>
      <c r="G31" s="42" t="str">
        <f>_xlfn.XLOOKUP(Table134526_79101120212223242526[[#This Row],[Name Surname]],Manpower!$C$4:$C$1048576,Manpower!$F$4:$F$1048576,"")</f>
        <v>Welding Supervisor</v>
      </c>
      <c r="H31" s="42" t="str">
        <f>_xlfn.XLOOKUP(Table134526_79101120212223242526[[#This Row],[Name Surname]],Manpower!$C$4:$C$1048576,Manpower!$H$4:$H$1048576,"")</f>
        <v>Manpower</v>
      </c>
      <c r="I31" s="42" t="str">
        <f>_xlfn.XLOOKUP(Table134526_79101120212223242526[[#This Row],[Name Surname]],Manpower!$C$4:$C$1048576,Manpower!$H$4:$H$1048576,"")</f>
        <v>Manpower</v>
      </c>
      <c r="J31" s="43" t="s">
        <v>48</v>
      </c>
      <c r="K31" s="43" t="s">
        <v>26</v>
      </c>
      <c r="L31" s="43" t="s">
        <v>49</v>
      </c>
      <c r="M31" s="43" t="s">
        <v>24</v>
      </c>
      <c r="N31" s="44">
        <v>8</v>
      </c>
      <c r="O31" s="43" t="s">
        <v>25</v>
      </c>
      <c r="P31" s="43" t="s">
        <v>41</v>
      </c>
      <c r="Q31" s="43" t="s">
        <v>60</v>
      </c>
      <c r="R31" s="43" t="s">
        <v>50</v>
      </c>
      <c r="S31" s="43"/>
    </row>
    <row r="32" spans="1:19" s="45" customFormat="1" ht="14.4" hidden="1">
      <c r="A32" s="25">
        <f>IF(C32="","",MAX($A$1:A31)+1)</f>
        <v>29</v>
      </c>
      <c r="B32" s="25" t="s">
        <v>19</v>
      </c>
      <c r="C32" s="41">
        <v>46082</v>
      </c>
      <c r="D32" s="42" t="str">
        <f>_xlfn.XLOOKUP(Table134526_79101120212223242526[[#This Row],[Name Surname]],Manpower!$C$4:$C$1048576,Manpower!$B$4:$B$1048576,"")</f>
        <v>Encogroup</v>
      </c>
      <c r="E32" s="41" t="s">
        <v>70</v>
      </c>
      <c r="F32" s="12">
        <f>_xlfn.XLOOKUP(Table134526_79101120212223242526[[#This Row],[Name Surname]],Manpower!C:C,Manpower!D:D,)</f>
        <v>141365126</v>
      </c>
      <c r="G32" s="42" t="str">
        <f>_xlfn.XLOOKUP(Table134526_79101120212223242526[[#This Row],[Name Surname]],Manpower!$C$4:$C$1048576,Manpower!$F$4:$F$1048576,"")</f>
        <v>Helper</v>
      </c>
      <c r="H32" s="42" t="str">
        <f>_xlfn.XLOOKUP(Table134526_79101120212223242526[[#This Row],[Name Surname]],Manpower!$C$4:$C$1048576,Manpower!$H$4:$H$1048576,"")</f>
        <v>Manpower</v>
      </c>
      <c r="I32" s="42" t="str">
        <f>_xlfn.XLOOKUP(Table134526_79101120212223242526[[#This Row],[Name Surname]],Manpower!$C$4:$C$1048576,Manpower!$H$4:$H$1048576,"")</f>
        <v>Manpower</v>
      </c>
      <c r="J32" s="43" t="s">
        <v>48</v>
      </c>
      <c r="K32" s="43" t="s">
        <v>26</v>
      </c>
      <c r="L32" s="43" t="s">
        <v>49</v>
      </c>
      <c r="M32" s="43" t="s">
        <v>24</v>
      </c>
      <c r="N32" s="44">
        <v>8</v>
      </c>
      <c r="O32" s="43" t="s">
        <v>25</v>
      </c>
      <c r="P32" s="43" t="s">
        <v>41</v>
      </c>
      <c r="Q32" s="43" t="s">
        <v>60</v>
      </c>
      <c r="R32" s="43" t="s">
        <v>50</v>
      </c>
      <c r="S32" s="43"/>
    </row>
    <row r="33" spans="1:19" s="45" customFormat="1" ht="14.4" hidden="1">
      <c r="A33" s="25">
        <f>IF(C33="","",MAX($A$1:A32)+1)</f>
        <v>30</v>
      </c>
      <c r="B33" s="25" t="s">
        <v>19</v>
      </c>
      <c r="C33" s="41">
        <v>46082</v>
      </c>
      <c r="D33" s="42" t="str">
        <f>_xlfn.XLOOKUP(Table134526_79101120212223242526[[#This Row],[Name Surname]],Manpower!$C$4:$C$1048576,Manpower!$B$4:$B$1048576,"")</f>
        <v>Bright Light</v>
      </c>
      <c r="E33" s="41" t="s">
        <v>71</v>
      </c>
      <c r="F33" s="12">
        <f>_xlfn.XLOOKUP(Table134526_79101120212223242526[[#This Row],[Name Surname]],Manpower!C:C,Manpower!D:D,)</f>
        <v>81379273</v>
      </c>
      <c r="G33" s="42" t="str">
        <f>_xlfn.XLOOKUP(Table134526_79101120212223242526[[#This Row],[Name Surname]],Manpower!$C$4:$C$1048576,Manpower!$F$4:$F$1048576,"")</f>
        <v>Crane Operator-100T Sany Telescopic</v>
      </c>
      <c r="H33" s="42" t="s">
        <v>39</v>
      </c>
      <c r="I33" s="42" t="str">
        <f>_xlfn.XLOOKUP(Table134526_79101120212223242526[[#This Row],[Name Surname]],Manpower!$C$4:$C$1048576,Manpower!$H$4:$H$1048576,"")</f>
        <v>Manpower</v>
      </c>
      <c r="J33" s="43" t="s">
        <v>48</v>
      </c>
      <c r="K33" s="43" t="s">
        <v>26</v>
      </c>
      <c r="L33" s="43" t="s">
        <v>49</v>
      </c>
      <c r="M33" s="43" t="s">
        <v>24</v>
      </c>
      <c r="N33" s="44">
        <v>8</v>
      </c>
      <c r="O33" s="43" t="s">
        <v>40</v>
      </c>
      <c r="P33" s="43" t="s">
        <v>41</v>
      </c>
      <c r="Q33" s="43" t="s">
        <v>42</v>
      </c>
      <c r="R33" s="43" t="s">
        <v>50</v>
      </c>
      <c r="S33" s="43"/>
    </row>
    <row r="34" spans="1:19" s="45" customFormat="1" ht="14.4" hidden="1">
      <c r="A34" s="25">
        <f>IF(C34="","",MAX($A$1:A33)+1)</f>
        <v>31</v>
      </c>
      <c r="B34" s="25" t="s">
        <v>19</v>
      </c>
      <c r="C34" s="41">
        <v>46082</v>
      </c>
      <c r="D34" s="46" t="str">
        <f>_xlfn.XLOOKUP(Table134526_79101120212223242526[[#This Row],[Name Surname]],Manpower!$C$4:$C$1048576,Manpower!$B$4:$B$1048576,"")</f>
        <v>Encogroup</v>
      </c>
      <c r="E34" s="47" t="s">
        <v>72</v>
      </c>
      <c r="F34" s="12">
        <f>_xlfn.XLOOKUP(Table134526_79101120212223242526[[#This Row],[Name Surname]],Manpower!C:C,Manpower!D:D,)</f>
        <v>140764706</v>
      </c>
      <c r="G34" s="46" t="str">
        <f>_xlfn.XLOOKUP(Table134526_79101120212223242526[[#This Row],[Name Surname]],Manpower!$C$4:$C$1048576,Manpower!$F$4:$F$1048576,"")</f>
        <v>Rigger</v>
      </c>
      <c r="H34" s="46" t="str">
        <f>_xlfn.XLOOKUP(Table134526_79101120212223242526[[#This Row],[Name Surname]],Manpower!$C$4:$C$1048576,Manpower!$H$4:$H$1048576,"")</f>
        <v>Manpower</v>
      </c>
      <c r="I34" s="42" t="str">
        <f>_xlfn.XLOOKUP(Table134526_79101120212223242526[[#This Row],[Name Surname]],Manpower!$C$4:$C$1048576,Manpower!$H$4:$H$1048576,"")</f>
        <v>Manpower</v>
      </c>
      <c r="J34" s="43" t="s">
        <v>48</v>
      </c>
      <c r="K34" s="43" t="s">
        <v>26</v>
      </c>
      <c r="L34" s="43" t="s">
        <v>49</v>
      </c>
      <c r="M34" s="43" t="s">
        <v>24</v>
      </c>
      <c r="N34" s="44">
        <v>8</v>
      </c>
      <c r="O34" s="43" t="s">
        <v>25</v>
      </c>
      <c r="P34" s="43" t="s">
        <v>41</v>
      </c>
      <c r="Q34" s="43" t="s">
        <v>60</v>
      </c>
      <c r="R34" s="43" t="s">
        <v>50</v>
      </c>
      <c r="S34" s="43"/>
    </row>
    <row r="35" spans="1:19" s="45" customFormat="1" ht="14.4" hidden="1">
      <c r="A35" s="25">
        <f>IF(C35="","",MAX($A$1:A34)+1)</f>
        <v>32</v>
      </c>
      <c r="B35" s="25" t="s">
        <v>19</v>
      </c>
      <c r="C35" s="41">
        <v>46082</v>
      </c>
      <c r="D35" s="42" t="str">
        <f>_xlfn.XLOOKUP(Table134526_79101120212223242526[[#This Row],[Name Surname]],Manpower!$C$4:$C$1048576,Manpower!$B$4:$B$1048576,"")</f>
        <v>Encogroup</v>
      </c>
      <c r="E35" s="41" t="s">
        <v>73</v>
      </c>
      <c r="F35" s="12">
        <f>_xlfn.XLOOKUP(Table134526_79101120212223242526[[#This Row],[Name Surname]],Manpower!C:C,Manpower!D:D,)</f>
        <v>135325259</v>
      </c>
      <c r="G35" s="42" t="str">
        <f>_xlfn.XLOOKUP(Table134526_79101120212223242526[[#This Row],[Name Surname]],Manpower!$C$4:$C$1048576,Manpower!$F$4:$F$1048576,"")</f>
        <v>Permit Receiver</v>
      </c>
      <c r="H35" s="42" t="str">
        <f>_xlfn.XLOOKUP(Table134526_79101120212223242526[[#This Row],[Name Surname]],Manpower!$C$4:$C$1048576,Manpower!$H$4:$H$1048576,"")</f>
        <v>Manpower</v>
      </c>
      <c r="I35" s="42" t="str">
        <f>_xlfn.XLOOKUP(Table134526_79101120212223242526[[#This Row],[Name Surname]],Manpower!$C$4:$C$1048576,Manpower!$H$4:$H$1048576,"")</f>
        <v>Manpower</v>
      </c>
      <c r="J35" s="43" t="s">
        <v>48</v>
      </c>
      <c r="K35" s="43" t="s">
        <v>26</v>
      </c>
      <c r="L35" s="43" t="s">
        <v>49</v>
      </c>
      <c r="M35" s="43" t="s">
        <v>24</v>
      </c>
      <c r="N35" s="44">
        <v>8</v>
      </c>
      <c r="O35" s="43" t="s">
        <v>25</v>
      </c>
      <c r="P35" s="43" t="s">
        <v>41</v>
      </c>
      <c r="Q35" s="43" t="s">
        <v>60</v>
      </c>
      <c r="R35" s="43" t="s">
        <v>50</v>
      </c>
      <c r="S35" s="43"/>
    </row>
    <row r="36" spans="1:19" s="45" customFormat="1" ht="14.4" hidden="1">
      <c r="A36" s="25">
        <f>IF(C36="","",MAX($A$1:A35)+1)</f>
        <v>33</v>
      </c>
      <c r="B36" s="25" t="s">
        <v>19</v>
      </c>
      <c r="C36" s="41">
        <v>46082</v>
      </c>
      <c r="D36" s="46" t="str">
        <f>_xlfn.XLOOKUP(Table134526_79101120212223242526[[#This Row],[Name Surname]],Manpower!$C$4:$C$1048576,Manpower!$B$4:$B$1048576,"")</f>
        <v>Encogroup</v>
      </c>
      <c r="E36" s="47" t="s">
        <v>74</v>
      </c>
      <c r="F36" s="12">
        <f>_xlfn.XLOOKUP(Table134526_79101120212223242526[[#This Row],[Name Surname]],Manpower!C:C,Manpower!D:D,)</f>
        <v>141365089</v>
      </c>
      <c r="G36" s="46" t="str">
        <f>_xlfn.XLOOKUP(Table134526_79101120212223242526[[#This Row],[Name Surname]],Manpower!$C$4:$C$1048576,Manpower!$F$4:$F$1048576,"")</f>
        <v>Fitter</v>
      </c>
      <c r="H36" s="46" t="str">
        <f>_xlfn.XLOOKUP(Table134526_79101120212223242526[[#This Row],[Name Surname]],Manpower!$C$4:$C$1048576,Manpower!$H$4:$H$1048576,"")</f>
        <v>Manpower</v>
      </c>
      <c r="I36" s="42" t="str">
        <f>_xlfn.XLOOKUP(Table134526_79101120212223242526[[#This Row],[Name Surname]],Manpower!$C$4:$C$1048576,Manpower!$H$4:$H$1048576,"")</f>
        <v>Manpower</v>
      </c>
      <c r="J36" s="43" t="s">
        <v>48</v>
      </c>
      <c r="K36" s="43" t="s">
        <v>26</v>
      </c>
      <c r="L36" s="43" t="s">
        <v>49</v>
      </c>
      <c r="M36" s="43" t="s">
        <v>24</v>
      </c>
      <c r="N36" s="44">
        <v>8</v>
      </c>
      <c r="O36" s="43" t="s">
        <v>25</v>
      </c>
      <c r="P36" s="43" t="s">
        <v>41</v>
      </c>
      <c r="Q36" s="43" t="s">
        <v>60</v>
      </c>
      <c r="R36" s="43" t="s">
        <v>50</v>
      </c>
      <c r="S36" s="43"/>
    </row>
    <row r="37" spans="1:19" s="45" customFormat="1" ht="14.4" hidden="1">
      <c r="A37" s="25">
        <f>IF(C37="","",MAX($A$1:A36)+1)</f>
        <v>34</v>
      </c>
      <c r="B37" s="25" t="s">
        <v>19</v>
      </c>
      <c r="C37" s="41">
        <v>46082</v>
      </c>
      <c r="D37" s="42" t="str">
        <f>_xlfn.XLOOKUP(Table134526_79101120212223242526[[#This Row],[Name Surname]],Manpower!$C$4:$C$1048576,Manpower!$B$4:$B$1048576,"")</f>
        <v>Encogroup</v>
      </c>
      <c r="E37" s="41" t="s">
        <v>75</v>
      </c>
      <c r="F37" s="12">
        <f>_xlfn.XLOOKUP(Table134526_79101120212223242526[[#This Row],[Name Surname]],Manpower!C:C,Manpower!D:D,)</f>
        <v>122179604</v>
      </c>
      <c r="G37" s="42" t="str">
        <f>_xlfn.XLOOKUP(Table134526_79101120212223242526[[#This Row],[Name Surname]],Manpower!$C$4:$C$1048576,Manpower!$F$4:$F$1048576,"")</f>
        <v>Fitter/Erector</v>
      </c>
      <c r="H37" s="42" t="str">
        <f>_xlfn.XLOOKUP(Table134526_79101120212223242526[[#This Row],[Name Surname]],Manpower!$C$4:$C$1048576,Manpower!$H$4:$H$1048576,"")</f>
        <v>Manpower</v>
      </c>
      <c r="I37" s="42" t="str">
        <f>_xlfn.XLOOKUP(Table134526_79101120212223242526[[#This Row],[Name Surname]],Manpower!$C$4:$C$1048576,Manpower!$H$4:$H$1048576,"")</f>
        <v>Manpower</v>
      </c>
      <c r="J37" s="43" t="s">
        <v>48</v>
      </c>
      <c r="K37" s="43" t="s">
        <v>26</v>
      </c>
      <c r="L37" s="43" t="s">
        <v>49</v>
      </c>
      <c r="M37" s="43" t="s">
        <v>24</v>
      </c>
      <c r="N37" s="44">
        <v>8</v>
      </c>
      <c r="O37" s="43" t="s">
        <v>25</v>
      </c>
      <c r="P37" s="43" t="s">
        <v>41</v>
      </c>
      <c r="Q37" s="43" t="s">
        <v>60</v>
      </c>
      <c r="R37" s="43" t="s">
        <v>50</v>
      </c>
      <c r="S37" s="43"/>
    </row>
    <row r="38" spans="1:19" s="45" customFormat="1" ht="14.4" hidden="1">
      <c r="A38" s="25">
        <f>IF(C38="","",MAX($A$1:A37)+1)</f>
        <v>35</v>
      </c>
      <c r="B38" s="25" t="s">
        <v>19</v>
      </c>
      <c r="C38" s="41">
        <v>46082</v>
      </c>
      <c r="D38" s="42" t="str">
        <f>_xlfn.XLOOKUP(Table134526_79101120212223242526[[#This Row],[Name Surname]],Manpower!$C$4:$C$1048576,Manpower!$B$4:$B$1048576,"")</f>
        <v>Encogroup</v>
      </c>
      <c r="E38" s="41" t="s">
        <v>76</v>
      </c>
      <c r="F38" s="12">
        <f>_xlfn.XLOOKUP(Table134526_79101120212223242526[[#This Row],[Name Surname]],Manpower!C:C,Manpower!D:D,)</f>
        <v>127859069</v>
      </c>
      <c r="G38" s="42" t="str">
        <f>_xlfn.XLOOKUP(Table134526_79101120212223242526[[#This Row],[Name Surname]],Manpower!$C$4:$C$1048576,Manpower!$F$4:$F$1048576,"")</f>
        <v>QC Mechanical Engineer</v>
      </c>
      <c r="H38" s="42" t="str">
        <f>_xlfn.XLOOKUP(Table134526_79101120212223242526[[#This Row],[Name Surname]],Manpower!$C$4:$C$1048576,Manpower!$H$4:$H$1048576,"")</f>
        <v>Manpower</v>
      </c>
      <c r="I38" s="42" t="str">
        <f>_xlfn.XLOOKUP(Table134526_79101120212223242526[[#This Row],[Name Surname]],Manpower!$C$4:$C$1048576,Manpower!$H$4:$H$1048576,"")</f>
        <v>Manpower</v>
      </c>
      <c r="J38" s="43" t="s">
        <v>48</v>
      </c>
      <c r="K38" s="43" t="s">
        <v>26</v>
      </c>
      <c r="L38" s="43" t="s">
        <v>49</v>
      </c>
      <c r="M38" s="43" t="s">
        <v>24</v>
      </c>
      <c r="N38" s="44">
        <v>10</v>
      </c>
      <c r="O38" s="43" t="s">
        <v>25</v>
      </c>
      <c r="P38" s="43" t="s">
        <v>41</v>
      </c>
      <c r="Q38" s="43" t="s">
        <v>77</v>
      </c>
      <c r="R38" s="43" t="s">
        <v>50</v>
      </c>
      <c r="S38" s="43"/>
    </row>
    <row r="39" spans="1:19" s="45" customFormat="1" ht="14.4" hidden="1">
      <c r="A39" s="25">
        <f>IF(C39="","",MAX($A$1:A37)+1)</f>
        <v>35</v>
      </c>
      <c r="B39" s="25" t="s">
        <v>19</v>
      </c>
      <c r="C39" s="41">
        <v>46082</v>
      </c>
      <c r="D39" s="42" t="str">
        <f>_xlfn.XLOOKUP(Table134526_79101120212223242526[[#This Row],[Name Surname]],Manpower!$C$4:$C$1048576,Manpower!$B$4:$B$1048576,"")</f>
        <v>Encogroup</v>
      </c>
      <c r="E39" s="41" t="s">
        <v>46</v>
      </c>
      <c r="F39" s="12">
        <f>_xlfn.XLOOKUP(Table134526_79101120212223242526[[#This Row],[Name Surname]],Manpower!C:C,Manpower!D:D,)</f>
        <v>140844618</v>
      </c>
      <c r="G39" s="42" t="str">
        <f>_xlfn.XLOOKUP(Table134526_79101120212223242526[[#This Row],[Name Surname]],Manpower!$C$4:$C$1048576,Manpower!$F$4:$F$1048576,"")</f>
        <v>Assistant/Helper</v>
      </c>
      <c r="H39" s="42" t="str">
        <f>_xlfn.XLOOKUP(Table134526_79101120212223242526[[#This Row],[Name Surname]],Manpower!$C$4:$C$1048576,Manpower!$H$4:$H$1048576,"")</f>
        <v>Manpower</v>
      </c>
      <c r="I39" s="42" t="str">
        <f>_xlfn.XLOOKUP(Table134526_79101120212223242526[[#This Row],[Name Surname]],Manpower!$C$4:$C$1048576,Manpower!$H$4:$H$1048576,"")</f>
        <v>Manpower</v>
      </c>
      <c r="J39" s="43" t="s">
        <v>48</v>
      </c>
      <c r="K39" s="43" t="s">
        <v>26</v>
      </c>
      <c r="L39" s="43" t="s">
        <v>49</v>
      </c>
      <c r="M39" s="43" t="s">
        <v>24</v>
      </c>
      <c r="N39" s="44">
        <v>3</v>
      </c>
      <c r="O39" s="43" t="s">
        <v>25</v>
      </c>
      <c r="P39" s="43" t="s">
        <v>41</v>
      </c>
      <c r="Q39" s="43" t="s">
        <v>60</v>
      </c>
      <c r="R39" s="43" t="s">
        <v>50</v>
      </c>
      <c r="S39" s="43"/>
    </row>
    <row r="40" spans="1:19" s="45" customFormat="1" ht="14.4" hidden="1">
      <c r="A40" s="25">
        <f>IF(C40="","",MAX($A$1:A37)+1)</f>
        <v>35</v>
      </c>
      <c r="B40" s="25" t="s">
        <v>19</v>
      </c>
      <c r="C40" s="41">
        <v>46082</v>
      </c>
      <c r="D40" s="42" t="str">
        <f>_xlfn.XLOOKUP(Table134526_79101120212223242526[[#This Row],[Name Surname]],Manpower!$C$4:$C$1048576,Manpower!$B$4:$B$1048576,"")</f>
        <v>AL Omar International TRAD AND CONT</v>
      </c>
      <c r="E40" s="41" t="s">
        <v>36</v>
      </c>
      <c r="F40" s="12">
        <f>_xlfn.XLOOKUP(Table134526_79101120212223242526[[#This Row],[Name Surname]],Manpower!C:C,Manpower!D:D,)</f>
        <v>114929202</v>
      </c>
      <c r="G40" s="42" t="str">
        <f>_xlfn.XLOOKUP(Table134526_79101120212223242526[[#This Row],[Name Surname]],Manpower!$C$4:$C$1048576,Manpower!$F$4:$F$1048576,"")</f>
        <v>RIgger</v>
      </c>
      <c r="H40" s="42" t="str">
        <f>_xlfn.XLOOKUP(Table134526_79101120212223242526[[#This Row],[Name Surname]],Manpower!$C$4:$C$1048576,Manpower!$H$4:$H$1048576,"")</f>
        <v>Sub Contactor</v>
      </c>
      <c r="I40" s="42" t="str">
        <f>_xlfn.XLOOKUP(Table134526_79101120212223242526[[#This Row],[Name Surname]],Manpower!$C$4:$C$1048576,Manpower!$H$4:$H$1048576,"")</f>
        <v>Sub Contactor</v>
      </c>
      <c r="J40" s="43" t="s">
        <v>48</v>
      </c>
      <c r="K40" s="43" t="s">
        <v>26</v>
      </c>
      <c r="L40" s="43" t="s">
        <v>49</v>
      </c>
      <c r="M40" s="43" t="s">
        <v>24</v>
      </c>
      <c r="N40" s="44">
        <v>3</v>
      </c>
      <c r="O40" s="43" t="s">
        <v>25</v>
      </c>
      <c r="P40" s="43" t="s">
        <v>41</v>
      </c>
      <c r="Q40" s="43" t="s">
        <v>60</v>
      </c>
      <c r="R40" s="43" t="s">
        <v>50</v>
      </c>
      <c r="S40" s="43"/>
    </row>
    <row r="41" spans="1:19" s="45" customFormat="1" ht="14.4" hidden="1">
      <c r="A41" s="25">
        <f>IF(C41="","",MAX($A$1:A37)+1)</f>
        <v>35</v>
      </c>
      <c r="B41" s="25" t="s">
        <v>19</v>
      </c>
      <c r="C41" s="41">
        <v>46082</v>
      </c>
      <c r="D41" s="42" t="str">
        <f>_xlfn.XLOOKUP(Table134526_79101120212223242526[[#This Row],[Name Surname]],Manpower!$C$4:$C$1048576,Manpower!$B$4:$B$1048576,"")</f>
        <v>Encogroup</v>
      </c>
      <c r="E41" s="41" t="s">
        <v>78</v>
      </c>
      <c r="F41" s="12">
        <f>_xlfn.XLOOKUP(Table134526_79101120212223242526[[#This Row],[Name Surname]],Manpower!C:C,Manpower!D:D,)</f>
        <v>117255966</v>
      </c>
      <c r="G41" s="42" t="str">
        <f>_xlfn.XLOOKUP(Table134526_79101120212223242526[[#This Row],[Name Surname]],Manpower!$C$4:$C$1048576,Manpower!$F$4:$F$1048576,"")</f>
        <v>Mechanical Supervisor</v>
      </c>
      <c r="H41" s="42" t="str">
        <f>_xlfn.XLOOKUP(Table134526_79101120212223242526[[#This Row],[Name Surname]],Manpower!$C$4:$C$1048576,Manpower!$H$4:$H$1048576,"")</f>
        <v>Manpower</v>
      </c>
      <c r="I41" s="42" t="str">
        <f>_xlfn.XLOOKUP(Table134526_79101120212223242526[[#This Row],[Name Surname]],Manpower!$C$4:$C$1048576,Manpower!$H$4:$H$1048576,"")</f>
        <v>Manpower</v>
      </c>
      <c r="J41" s="43" t="s">
        <v>48</v>
      </c>
      <c r="K41" s="43" t="s">
        <v>26</v>
      </c>
      <c r="L41" s="43" t="s">
        <v>49</v>
      </c>
      <c r="M41" s="43" t="s">
        <v>24</v>
      </c>
      <c r="N41" s="44">
        <v>8</v>
      </c>
      <c r="O41" s="43" t="s">
        <v>25</v>
      </c>
      <c r="P41" s="43" t="s">
        <v>41</v>
      </c>
      <c r="Q41" s="43" t="s">
        <v>60</v>
      </c>
      <c r="R41" s="43" t="s">
        <v>50</v>
      </c>
      <c r="S41" s="43"/>
    </row>
    <row r="42" spans="1:19" ht="14.4">
      <c r="A42" s="33">
        <f>IF(C42="","",MAX($A$1:A41)+1)</f>
        <v>36</v>
      </c>
      <c r="B42" s="26" t="s">
        <v>79</v>
      </c>
      <c r="C42" s="23">
        <v>46082</v>
      </c>
      <c r="D42" s="24" t="str">
        <f>_xlfn.XLOOKUP(Table134526_79101120212223242526[[#This Row],[Name Surname]],Manpower!$C$4:$C$1048576,Manpower!$B$4:$B$1048576,"")</f>
        <v>Encogroup</v>
      </c>
      <c r="E42" s="23" t="s">
        <v>80</v>
      </c>
      <c r="F42" s="12" t="e">
        <f>_xlfn.XLOOKUP(Table134526_79101120212223242526[[#This Row],[Name Surname]],Manpower!C:C,Manpower!D:D,)</f>
        <v>#N/A</v>
      </c>
      <c r="G42" s="24" t="str">
        <f>_xlfn.XLOOKUP(Table134526_79101120212223242526[[#This Row],[Name Surname]],Manpower!$C$4:$C$1048576,Manpower!$F$4:$F$1048576,"")</f>
        <v>22M-Manlift</v>
      </c>
      <c r="H42" s="24" t="str">
        <f>_xlfn.XLOOKUP(Table134526_79101120212223242526[[#This Row],[Name Surname]],Manpower!$C$4:$C$1048576,Manpower!$H$4:$H$1048576,"")</f>
        <v>Equipment</v>
      </c>
      <c r="I42" s="24" t="str">
        <f>_xlfn.XLOOKUP(Table134526_79101120212223242526[[#This Row],[Name Surname]],Manpower!$C$4:$C$1048576,Manpower!$H$4:$H$1048576,"")</f>
        <v>Equipment</v>
      </c>
      <c r="J42" s="21" t="s">
        <v>35</v>
      </c>
      <c r="K42" s="21" t="s">
        <v>81</v>
      </c>
      <c r="L42" s="21" t="s">
        <v>82</v>
      </c>
      <c r="M42" s="21" t="s">
        <v>24</v>
      </c>
      <c r="N42" s="29">
        <v>8</v>
      </c>
      <c r="O42" s="21" t="s">
        <v>25</v>
      </c>
      <c r="P42" s="21" t="s">
        <v>41</v>
      </c>
      <c r="Q42" s="21" t="s">
        <v>77</v>
      </c>
      <c r="R42" s="21" t="s">
        <v>83</v>
      </c>
    </row>
    <row r="43" spans="1:19" ht="14.4">
      <c r="A43" s="33">
        <f>IF(C43="","",MAX($A$1:A42)+1)</f>
        <v>37</v>
      </c>
      <c r="B43" s="26" t="s">
        <v>79</v>
      </c>
      <c r="C43" s="23">
        <v>46082</v>
      </c>
      <c r="D43" s="24" t="str">
        <f>_xlfn.XLOOKUP(Table134526_79101120212223242526[[#This Row],[Name Surname]],Manpower!$C$4:$C$1048576,Manpower!$B$4:$B$1048576,"")</f>
        <v>Encogroup</v>
      </c>
      <c r="E43" s="23" t="s">
        <v>84</v>
      </c>
      <c r="F43" s="12" t="e">
        <f>_xlfn.XLOOKUP(Table134526_79101120212223242526[[#This Row],[Name Surname]],Manpower!C:C,Manpower!D:D,)</f>
        <v>#N/A</v>
      </c>
      <c r="G43" s="24" t="str">
        <f>_xlfn.XLOOKUP(Table134526_79101120212223242526[[#This Row],[Name Surname]],Manpower!$C$4:$C$1048576,Manpower!$F$4:$F$1048576,"")</f>
        <v>22M-Manlift</v>
      </c>
      <c r="H43" s="24" t="str">
        <f>_xlfn.XLOOKUP(Table134526_79101120212223242526[[#This Row],[Name Surname]],Manpower!$C$4:$C$1048576,Manpower!$H$4:$H$1048576,"")</f>
        <v>Equipment</v>
      </c>
      <c r="I43" s="24" t="str">
        <f>_xlfn.XLOOKUP(Table134526_79101120212223242526[[#This Row],[Name Surname]],Manpower!$C$4:$C$1048576,Manpower!$H$4:$H$1048576,"")</f>
        <v>Equipment</v>
      </c>
      <c r="J43" s="21" t="s">
        <v>35</v>
      </c>
      <c r="K43" s="21" t="s">
        <v>81</v>
      </c>
      <c r="L43" s="21" t="s">
        <v>82</v>
      </c>
      <c r="M43" s="21" t="s">
        <v>24</v>
      </c>
      <c r="N43" s="29">
        <v>8</v>
      </c>
      <c r="O43" s="21" t="s">
        <v>25</v>
      </c>
      <c r="P43" s="21" t="s">
        <v>60</v>
      </c>
      <c r="Q43" s="21" t="s">
        <v>77</v>
      </c>
      <c r="R43" s="21" t="s">
        <v>85</v>
      </c>
    </row>
    <row r="44" spans="1:19" ht="14.4">
      <c r="A44" s="33">
        <f>IF(C44="","",MAX($A$1:A43)+1)</f>
        <v>38</v>
      </c>
      <c r="B44" s="26" t="s">
        <v>79</v>
      </c>
      <c r="C44" s="23">
        <v>46082</v>
      </c>
      <c r="D44" s="24" t="str">
        <f>_xlfn.XLOOKUP(Table134526_79101120212223242526[[#This Row],[Name Surname]],Manpower!$C$4:$C$1048576,Manpower!$B$4:$B$1048576,"")</f>
        <v>Nass Group</v>
      </c>
      <c r="E44" s="23" t="s">
        <v>86</v>
      </c>
      <c r="F44" s="12" t="e">
        <f>_xlfn.XLOOKUP(Table134526_79101120212223242526[[#This Row],[Name Surname]],Manpower!C:C,Manpower!D:D,)</f>
        <v>#N/A</v>
      </c>
      <c r="G44" s="24" t="str">
        <f>_xlfn.XLOOKUP(Table134526_79101120212223242526[[#This Row],[Name Surname]],Manpower!$C$4:$C$1048576,Manpower!$F$4:$F$1048576,"")</f>
        <v>70T-Telescopic crane</v>
      </c>
      <c r="H44" s="24" t="str">
        <f>_xlfn.XLOOKUP(Table134526_79101120212223242526[[#This Row],[Name Surname]],Manpower!$C$4:$C$1048576,Manpower!$H$4:$H$1048576,"")</f>
        <v>Equipment</v>
      </c>
      <c r="I44" s="24" t="str">
        <f>_xlfn.XLOOKUP(Table134526_79101120212223242526[[#This Row],[Name Surname]],Manpower!$C$4:$C$1048576,Manpower!$H$4:$H$1048576,"")</f>
        <v>Equipment</v>
      </c>
      <c r="J44" s="21" t="s">
        <v>35</v>
      </c>
      <c r="K44" s="21" t="s">
        <v>81</v>
      </c>
      <c r="L44" s="21" t="s">
        <v>82</v>
      </c>
      <c r="M44" s="21" t="s">
        <v>24</v>
      </c>
      <c r="N44" s="29">
        <v>8</v>
      </c>
      <c r="O44" s="21" t="s">
        <v>40</v>
      </c>
      <c r="P44" s="21" t="s">
        <v>41</v>
      </c>
      <c r="Q44" s="21" t="s">
        <v>42</v>
      </c>
      <c r="R44" s="21" t="s">
        <v>83</v>
      </c>
    </row>
    <row r="45" spans="1:19" s="45" customFormat="1" ht="14.4" hidden="1">
      <c r="A45" s="25">
        <f>IF(C45="","",MAX($A$1:A44)+1)</f>
        <v>39</v>
      </c>
      <c r="B45" s="25" t="s">
        <v>79</v>
      </c>
      <c r="C45" s="41">
        <v>46082</v>
      </c>
      <c r="D45" s="42" t="str">
        <f>_xlfn.XLOOKUP(Table134526_79101120212223242526[[#This Row],[Name Surname]],Manpower!$C$4:$C$1048576,Manpower!$B$4:$B$1048576,"")</f>
        <v>Encogroup</v>
      </c>
      <c r="E45" s="41" t="s">
        <v>87</v>
      </c>
      <c r="F45" s="12">
        <f>_xlfn.XLOOKUP(Table134526_79101120212223242526[[#This Row],[Name Surname]],Manpower!C:C,Manpower!D:D,)</f>
        <v>126724428</v>
      </c>
      <c r="G45" s="42" t="str">
        <f>_xlfn.XLOOKUP(Table134526_79101120212223242526[[#This Row],[Name Surname]],Manpower!$C$4:$C$1048576,Manpower!$F$4:$F$1048576,"")</f>
        <v>Surveyor</v>
      </c>
      <c r="H45" s="42" t="str">
        <f>_xlfn.XLOOKUP(Table134526_79101120212223242526[[#This Row],[Name Surname]],Manpower!$C$4:$C$1048576,Manpower!$H$4:$H$1048576,"")</f>
        <v>Manpower</v>
      </c>
      <c r="I45" s="42" t="str">
        <f>_xlfn.XLOOKUP(Table134526_79101120212223242526[[#This Row],[Name Surname]],Manpower!$C$4:$C$1048576,Manpower!$H$4:$H$1048576,"")</f>
        <v>Manpower</v>
      </c>
      <c r="J45" s="43" t="s">
        <v>35</v>
      </c>
      <c r="K45" s="43" t="s">
        <v>88</v>
      </c>
      <c r="L45" s="43" t="s">
        <v>82</v>
      </c>
      <c r="M45" s="43" t="s">
        <v>24</v>
      </c>
      <c r="N45" s="44">
        <v>8</v>
      </c>
      <c r="O45" s="43" t="s">
        <v>89</v>
      </c>
      <c r="P45" s="43" t="s">
        <v>89</v>
      </c>
      <c r="Q45" s="43" t="s">
        <v>89</v>
      </c>
      <c r="R45" s="43" t="s">
        <v>90</v>
      </c>
      <c r="S45" s="43"/>
    </row>
    <row r="46" spans="1:19" s="45" customFormat="1" ht="14.4" hidden="1">
      <c r="A46" s="25">
        <f>IF(C46="","",MAX($A$1:A45)+1)</f>
        <v>40</v>
      </c>
      <c r="B46" s="25" t="s">
        <v>79</v>
      </c>
      <c r="C46" s="41">
        <v>46082</v>
      </c>
      <c r="D46" s="42" t="str">
        <f>_xlfn.XLOOKUP(Table134526_79101120212223242526[[#This Row],[Name Surname]],Manpower!$C$4:$C$1048576,Manpower!$B$4:$B$1048576,"")</f>
        <v>Encogroup</v>
      </c>
      <c r="E46" s="41" t="s">
        <v>91</v>
      </c>
      <c r="F46" s="12">
        <f>_xlfn.XLOOKUP(Table134526_79101120212223242526[[#This Row],[Name Surname]],Manpower!C:C,Manpower!D:D,)</f>
        <v>132915855</v>
      </c>
      <c r="G46" s="42" t="str">
        <f>_xlfn.XLOOKUP(Table134526_79101120212223242526[[#This Row],[Name Surname]],Manpower!$C$4:$C$1048576,Manpower!$F$4:$F$1048576,"")</f>
        <v>Mechanical Supervisor</v>
      </c>
      <c r="H46" s="42" t="str">
        <f>_xlfn.XLOOKUP(Table134526_79101120212223242526[[#This Row],[Name Surname]],Manpower!$C$4:$C$1048576,Manpower!$H$4:$H$1048576,"")</f>
        <v>Manpower</v>
      </c>
      <c r="I46" s="42" t="str">
        <f>_xlfn.XLOOKUP(Table134526_79101120212223242526[[#This Row],[Name Surname]],Manpower!$C$4:$C$1048576,Manpower!$H$4:$H$1048576,"")</f>
        <v>Manpower</v>
      </c>
      <c r="J46" s="43" t="s">
        <v>35</v>
      </c>
      <c r="K46" s="43" t="s">
        <v>81</v>
      </c>
      <c r="L46" s="43" t="s">
        <v>82</v>
      </c>
      <c r="M46" s="43" t="s">
        <v>24</v>
      </c>
      <c r="N46" s="44">
        <v>6</v>
      </c>
      <c r="O46" s="43" t="s">
        <v>25</v>
      </c>
      <c r="P46" s="43" t="s">
        <v>60</v>
      </c>
      <c r="Q46" s="43" t="s">
        <v>60</v>
      </c>
      <c r="R46" s="43" t="s">
        <v>26</v>
      </c>
      <c r="S46" s="43"/>
    </row>
    <row r="47" spans="1:19" s="45" customFormat="1" ht="14.4" hidden="1">
      <c r="A47" s="25">
        <f>IF(C47="","",MAX($A$1:A46)+1)</f>
        <v>41</v>
      </c>
      <c r="B47" s="25" t="s">
        <v>79</v>
      </c>
      <c r="C47" s="41">
        <v>46082</v>
      </c>
      <c r="D47" s="42" t="str">
        <f>_xlfn.XLOOKUP(Table134526_79101120212223242526[[#This Row],[Name Surname]],Manpower!$C$4:$C$1048576,Manpower!$B$4:$B$1048576,"")</f>
        <v>Encogroup</v>
      </c>
      <c r="E47" s="41" t="s">
        <v>92</v>
      </c>
      <c r="F47" s="12">
        <f>_xlfn.XLOOKUP(Table134526_79101120212223242526[[#This Row],[Name Surname]],Manpower!C:C,Manpower!D:D,)</f>
        <v>141377747</v>
      </c>
      <c r="G47" s="42" t="str">
        <f>_xlfn.XLOOKUP(Table134526_79101120212223242526[[#This Row],[Name Surname]],Manpower!$C$4:$C$1048576,Manpower!$F$4:$F$1048576,"")</f>
        <v>Painter</v>
      </c>
      <c r="H47" s="42" t="str">
        <f>_xlfn.XLOOKUP(Table134526_79101120212223242526[[#This Row],[Name Surname]],Manpower!$C$4:$C$1048576,Manpower!$H$4:$H$1048576,"")</f>
        <v>Manpower</v>
      </c>
      <c r="I47" s="42" t="str">
        <f>_xlfn.XLOOKUP(Table134526_79101120212223242526[[#This Row],[Name Surname]],Manpower!$C$4:$C$1048576,Manpower!$H$4:$H$1048576,"")</f>
        <v>Manpower</v>
      </c>
      <c r="J47" s="43" t="s">
        <v>35</v>
      </c>
      <c r="K47" s="43" t="s">
        <v>93</v>
      </c>
      <c r="L47" s="43" t="s">
        <v>82</v>
      </c>
      <c r="M47" s="43" t="s">
        <v>24</v>
      </c>
      <c r="N47" s="44">
        <v>8</v>
      </c>
      <c r="O47" s="43" t="s">
        <v>94</v>
      </c>
      <c r="P47" s="43" t="s">
        <v>95</v>
      </c>
      <c r="Q47" s="43" t="s">
        <v>95</v>
      </c>
      <c r="R47" s="43" t="s">
        <v>96</v>
      </c>
      <c r="S47" s="43"/>
    </row>
    <row r="48" spans="1:19" s="45" customFormat="1" ht="14.4" hidden="1">
      <c r="A48" s="25">
        <f>IF(C48="","",MAX($A$1:A47)+1)</f>
        <v>42</v>
      </c>
      <c r="B48" s="25" t="s">
        <v>79</v>
      </c>
      <c r="C48" s="41">
        <v>46082</v>
      </c>
      <c r="D48" s="42" t="str">
        <f>_xlfn.XLOOKUP(Table134526_79101120212223242526[[#This Row],[Name Surname]],Manpower!$C$4:$C$1048576,Manpower!$B$4:$B$1048576,"")</f>
        <v>Encogroup</v>
      </c>
      <c r="E48" s="41" t="s">
        <v>97</v>
      </c>
      <c r="F48" s="12">
        <f>_xlfn.XLOOKUP(Table134526_79101120212223242526[[#This Row],[Name Surname]],Manpower!C:C,Manpower!D:D,)</f>
        <v>141359235</v>
      </c>
      <c r="G48" s="42" t="str">
        <f>_xlfn.XLOOKUP(Table134526_79101120212223242526[[#This Row],[Name Surname]],Manpower!$C$4:$C$1048576,Manpower!$F$4:$F$1048576,"")</f>
        <v>Fitter</v>
      </c>
      <c r="H48" s="42" t="str">
        <f>_xlfn.XLOOKUP(Table134526_79101120212223242526[[#This Row],[Name Surname]],Manpower!$C$4:$C$1048576,Manpower!$H$4:$H$1048576,"")</f>
        <v>Manpower</v>
      </c>
      <c r="I48" s="42" t="str">
        <f>_xlfn.XLOOKUP(Table134526_79101120212223242526[[#This Row],[Name Surname]],Manpower!$C$4:$C$1048576,Manpower!$H$4:$H$1048576,"")</f>
        <v>Manpower</v>
      </c>
      <c r="J48" s="43" t="s">
        <v>35</v>
      </c>
      <c r="K48" s="43" t="s">
        <v>98</v>
      </c>
      <c r="L48" s="43" t="s">
        <v>82</v>
      </c>
      <c r="M48" s="43" t="s">
        <v>24</v>
      </c>
      <c r="N48" s="44">
        <v>8</v>
      </c>
      <c r="O48" s="43" t="s">
        <v>25</v>
      </c>
      <c r="P48" s="43" t="s">
        <v>41</v>
      </c>
      <c r="Q48" s="43" t="s">
        <v>77</v>
      </c>
      <c r="R48" s="43" t="s">
        <v>85</v>
      </c>
      <c r="S48" s="43"/>
    </row>
    <row r="49" spans="1:19" s="45" customFormat="1" ht="14.4" hidden="1">
      <c r="A49" s="25">
        <f>IF(C49="","",MAX($A$1:A48)+1)</f>
        <v>43</v>
      </c>
      <c r="B49" s="25" t="s">
        <v>79</v>
      </c>
      <c r="C49" s="41">
        <v>46082</v>
      </c>
      <c r="D49" s="42" t="str">
        <f>_xlfn.XLOOKUP(Table134526_79101120212223242526[[#This Row],[Name Surname]],Manpower!$C$4:$C$1048576,Manpower!$B$4:$B$1048576,"")</f>
        <v>Encogroup</v>
      </c>
      <c r="E49" s="41" t="s">
        <v>99</v>
      </c>
      <c r="F49" s="12">
        <f>_xlfn.XLOOKUP(Table134526_79101120212223242526[[#This Row],[Name Surname]],Manpower!C:C,Manpower!D:D,)</f>
        <v>140697025</v>
      </c>
      <c r="G49" s="42" t="str">
        <f>_xlfn.XLOOKUP(Table134526_79101120212223242526[[#This Row],[Name Surname]],Manpower!$C$4:$C$1048576,Manpower!$F$4:$F$1048576,"")</f>
        <v>Assistant/Helper</v>
      </c>
      <c r="H49" s="42" t="str">
        <f>_xlfn.XLOOKUP(Table134526_79101120212223242526[[#This Row],[Name Surname]],Manpower!$C$4:$C$1048576,Manpower!$H$4:$H$1048576,"")</f>
        <v>Manpower</v>
      </c>
      <c r="I49" s="42" t="str">
        <f>_xlfn.XLOOKUP(Table134526_79101120212223242526[[#This Row],[Name Surname]],Manpower!$C$4:$C$1048576,Manpower!$H$4:$H$1048576,"")</f>
        <v>Manpower</v>
      </c>
      <c r="J49" s="43" t="s">
        <v>35</v>
      </c>
      <c r="K49" s="43" t="s">
        <v>81</v>
      </c>
      <c r="L49" s="43" t="s">
        <v>82</v>
      </c>
      <c r="M49" s="43" t="s">
        <v>24</v>
      </c>
      <c r="N49" s="44">
        <v>8</v>
      </c>
      <c r="O49" s="43" t="s">
        <v>25</v>
      </c>
      <c r="P49" s="43" t="s">
        <v>41</v>
      </c>
      <c r="Q49" s="43" t="s">
        <v>60</v>
      </c>
      <c r="R49" s="43" t="s">
        <v>100</v>
      </c>
      <c r="S49" s="43"/>
    </row>
    <row r="50" spans="1:19" s="45" customFormat="1" ht="14.4" hidden="1">
      <c r="A50" s="25">
        <f>IF(C50="","",MAX($A$1:A49)+1)</f>
        <v>44</v>
      </c>
      <c r="B50" s="25" t="s">
        <v>79</v>
      </c>
      <c r="C50" s="41">
        <v>46082</v>
      </c>
      <c r="D50" s="42" t="str">
        <f>_xlfn.XLOOKUP(Table134526_79101120212223242526[[#This Row],[Name Surname]],Manpower!$C$4:$C$1048576,Manpower!$B$4:$B$1048576,"")</f>
        <v>Encogroup</v>
      </c>
      <c r="E50" s="41" t="s">
        <v>101</v>
      </c>
      <c r="F50" s="12">
        <f>_xlfn.XLOOKUP(Table134526_79101120212223242526[[#This Row],[Name Surname]],Manpower!C:C,Manpower!D:D,)</f>
        <v>141169052</v>
      </c>
      <c r="G50" s="42" t="str">
        <f>_xlfn.XLOOKUP(Table134526_79101120212223242526[[#This Row],[Name Surname]],Manpower!$C$4:$C$1048576,Manpower!$F$4:$F$1048576,"")</f>
        <v>Welder</v>
      </c>
      <c r="H50" s="42" t="str">
        <f>_xlfn.XLOOKUP(Table134526_79101120212223242526[[#This Row],[Name Surname]],Manpower!$C$4:$C$1048576,Manpower!$H$4:$H$1048576,"")</f>
        <v>Manpower</v>
      </c>
      <c r="I50" s="42" t="str">
        <f>_xlfn.XLOOKUP(Table134526_79101120212223242526[[#This Row],[Name Surname]],Manpower!$C$4:$C$1048576,Manpower!$H$4:$H$1048576,"")</f>
        <v>Manpower</v>
      </c>
      <c r="J50" s="43" t="s">
        <v>35</v>
      </c>
      <c r="K50" s="43" t="s">
        <v>98</v>
      </c>
      <c r="L50" s="43" t="s">
        <v>82</v>
      </c>
      <c r="M50" s="43" t="s">
        <v>24</v>
      </c>
      <c r="N50" s="44">
        <v>8</v>
      </c>
      <c r="O50" s="43" t="s">
        <v>25</v>
      </c>
      <c r="P50" s="43" t="s">
        <v>41</v>
      </c>
      <c r="Q50" s="43" t="s">
        <v>77</v>
      </c>
      <c r="R50" s="43" t="s">
        <v>85</v>
      </c>
      <c r="S50" s="43"/>
    </row>
    <row r="51" spans="1:19" s="45" customFormat="1" ht="14.4" hidden="1">
      <c r="A51" s="25">
        <f>IF(C51="","",MAX($A$1:A50)+1)</f>
        <v>45</v>
      </c>
      <c r="B51" s="25" t="s">
        <v>79</v>
      </c>
      <c r="C51" s="41">
        <v>46082</v>
      </c>
      <c r="D51" s="42" t="str">
        <f>_xlfn.XLOOKUP(Table134526_79101120212223242526[[#This Row],[Name Surname]],Manpower!$C$4:$C$1048576,Manpower!$B$4:$B$1048576,"")</f>
        <v>Encogroup</v>
      </c>
      <c r="E51" s="41" t="s">
        <v>102</v>
      </c>
      <c r="F51" s="12">
        <f>_xlfn.XLOOKUP(Table134526_79101120212223242526[[#This Row],[Name Surname]],Manpower!C:C,Manpower!D:D,)</f>
        <v>141365075</v>
      </c>
      <c r="G51" s="42" t="str">
        <f>_xlfn.XLOOKUP(Table134526_79101120212223242526[[#This Row],[Name Surname]],Manpower!$C$4:$C$1048576,Manpower!$F$4:$F$1048576,"")</f>
        <v>Helper</v>
      </c>
      <c r="H51" s="42" t="str">
        <f>_xlfn.XLOOKUP(Table134526_79101120212223242526[[#This Row],[Name Surname]],Manpower!$C$4:$C$1048576,Manpower!$H$4:$H$1048576,"")</f>
        <v>Manpower</v>
      </c>
      <c r="I51" s="42" t="str">
        <f>_xlfn.XLOOKUP(Table134526_79101120212223242526[[#This Row],[Name Surname]],Manpower!$C$4:$C$1048576,Manpower!$H$4:$H$1048576,"")</f>
        <v>Manpower</v>
      </c>
      <c r="J51" s="43" t="s">
        <v>35</v>
      </c>
      <c r="K51" s="43" t="s">
        <v>88</v>
      </c>
      <c r="L51" s="43" t="s">
        <v>82</v>
      </c>
      <c r="M51" s="43" t="s">
        <v>24</v>
      </c>
      <c r="N51" s="44">
        <v>8</v>
      </c>
      <c r="O51" s="43" t="s">
        <v>89</v>
      </c>
      <c r="P51" s="43" t="s">
        <v>89</v>
      </c>
      <c r="Q51" s="43" t="s">
        <v>89</v>
      </c>
      <c r="R51" s="43" t="s">
        <v>90</v>
      </c>
      <c r="S51" s="43" t="s">
        <v>45</v>
      </c>
    </row>
    <row r="52" spans="1:19" s="45" customFormat="1" ht="14.4" hidden="1">
      <c r="A52" s="25">
        <f>IF(C52="","",MAX($A$1:A51)+1)</f>
        <v>46</v>
      </c>
      <c r="B52" s="25" t="s">
        <v>79</v>
      </c>
      <c r="C52" s="41">
        <v>46082</v>
      </c>
      <c r="D52" s="42" t="str">
        <f>_xlfn.XLOOKUP(Table134526_79101120212223242526[[#This Row],[Name Surname]],Manpower!$C$4:$C$1048576,Manpower!$B$4:$B$1048576,"")</f>
        <v>SARENS NASS</v>
      </c>
      <c r="E52" s="41" t="s">
        <v>103</v>
      </c>
      <c r="F52" s="12">
        <f>_xlfn.XLOOKUP(Table134526_79101120212223242526[[#This Row],[Name Surname]],Manpower!C:C,Manpower!D:D,)</f>
        <v>79502392</v>
      </c>
      <c r="G52" s="42" t="str">
        <f>_xlfn.XLOOKUP(Table134526_79101120212223242526[[#This Row],[Name Surname]],Manpower!$C$4:$C$1048576,Manpower!$F$4:$F$1048576,"")</f>
        <v>Crane Operator- 70T Liebherr Telescopic Crane-01</v>
      </c>
      <c r="H52" s="42" t="s">
        <v>39</v>
      </c>
      <c r="I52" s="42" t="s">
        <v>39</v>
      </c>
      <c r="J52" s="43" t="s">
        <v>35</v>
      </c>
      <c r="K52" s="43" t="s">
        <v>104</v>
      </c>
      <c r="L52" s="43" t="s">
        <v>82</v>
      </c>
      <c r="M52" s="43" t="s">
        <v>24</v>
      </c>
      <c r="N52" s="44">
        <v>10</v>
      </c>
      <c r="O52" s="43" t="s">
        <v>40</v>
      </c>
      <c r="P52" s="43" t="s">
        <v>41</v>
      </c>
      <c r="Q52" s="43" t="s">
        <v>42</v>
      </c>
      <c r="R52" s="43" t="s">
        <v>43</v>
      </c>
      <c r="S52" s="43"/>
    </row>
    <row r="53" spans="1:19" s="45" customFormat="1" ht="14.4" hidden="1">
      <c r="A53" s="25">
        <f>IF(C53="","",MAX($A$1:A52)+1)</f>
        <v>47</v>
      </c>
      <c r="B53" s="25" t="s">
        <v>79</v>
      </c>
      <c r="C53" s="41">
        <v>46082</v>
      </c>
      <c r="D53" s="46" t="str">
        <f>_xlfn.XLOOKUP(Table134526_79101120212223242526[[#This Row],[Name Surname]],Manpower!$C$4:$C$1048576,Manpower!$B$4:$B$1048576,"")</f>
        <v>Encogroup</v>
      </c>
      <c r="E53" s="47" t="s">
        <v>105</v>
      </c>
      <c r="F53" s="12">
        <f>_xlfn.XLOOKUP(Table134526_79101120212223242526[[#This Row],[Name Surname]],Manpower!C:C,Manpower!D:D,)</f>
        <v>141358993</v>
      </c>
      <c r="G53" s="46" t="str">
        <f>_xlfn.XLOOKUP(Table134526_79101120212223242526[[#This Row],[Name Surname]],Manpower!$C$4:$C$1048576,Manpower!$F$4:$F$1048576,"")</f>
        <v>Fitter</v>
      </c>
      <c r="H53" s="46" t="str">
        <f>_xlfn.XLOOKUP(Table134526_79101120212223242526[[#This Row],[Name Surname]],Manpower!$C$4:$C$1048576,Manpower!$H$4:$H$1048576,"")</f>
        <v>Manpower</v>
      </c>
      <c r="I53" s="42" t="str">
        <f>_xlfn.XLOOKUP(Table134526_79101120212223242526[[#This Row],[Name Surname]],Manpower!$C$4:$C$1048576,Manpower!$H$4:$H$1048576,"")</f>
        <v>Manpower</v>
      </c>
      <c r="J53" s="43" t="s">
        <v>35</v>
      </c>
      <c r="K53" s="43" t="s">
        <v>98</v>
      </c>
      <c r="L53" s="43" t="s">
        <v>82</v>
      </c>
      <c r="M53" s="43" t="s">
        <v>24</v>
      </c>
      <c r="N53" s="44">
        <v>8</v>
      </c>
      <c r="O53" s="43" t="s">
        <v>25</v>
      </c>
      <c r="P53" s="43" t="s">
        <v>41</v>
      </c>
      <c r="Q53" s="43" t="s">
        <v>77</v>
      </c>
      <c r="R53" s="43" t="s">
        <v>85</v>
      </c>
      <c r="S53" s="43"/>
    </row>
    <row r="54" spans="1:19" s="45" customFormat="1" ht="14.4" hidden="1">
      <c r="A54" s="25">
        <f>IF(C54="","",MAX($A$1:A53)+1)</f>
        <v>48</v>
      </c>
      <c r="B54" s="25" t="s">
        <v>79</v>
      </c>
      <c r="C54" s="41">
        <v>46082</v>
      </c>
      <c r="D54" s="42" t="str">
        <f>_xlfn.XLOOKUP(Table134526_79101120212223242526[[#This Row],[Name Surname]],Manpower!$C$4:$C$1048576,Manpower!$B$4:$B$1048576,"")</f>
        <v>Encogroup</v>
      </c>
      <c r="E54" s="41" t="s">
        <v>106</v>
      </c>
      <c r="F54" s="12" t="str">
        <f>_xlfn.XLOOKUP(Table134526_79101120212223242526[[#This Row],[Name Surname]],Manpower!C:C,Manpower!D:D,)</f>
        <v>R3971143</v>
      </c>
      <c r="G54" s="42" t="str">
        <f>_xlfn.XLOOKUP(Table134526_79101120212223242526[[#This Row],[Name Surname]],Manpower!$C$4:$C$1048576,Manpower!$F$4:$F$1048576,"")</f>
        <v>Mechanical Foreman</v>
      </c>
      <c r="H54" s="42" t="str">
        <f>_xlfn.XLOOKUP(Table134526_79101120212223242526[[#This Row],[Name Surname]],Manpower!$C$4:$C$1048576,Manpower!$H$4:$H$1048576,"")</f>
        <v>Manpower</v>
      </c>
      <c r="I54" s="42" t="str">
        <f>_xlfn.XLOOKUP(Table134526_79101120212223242526[[#This Row],[Name Surname]],Manpower!$C$4:$C$1048576,Manpower!$H$4:$H$1048576,"")</f>
        <v>Manpower</v>
      </c>
      <c r="J54" s="43" t="s">
        <v>35</v>
      </c>
      <c r="K54" s="43" t="s">
        <v>81</v>
      </c>
      <c r="L54" s="43" t="s">
        <v>82</v>
      </c>
      <c r="M54" s="43" t="s">
        <v>24</v>
      </c>
      <c r="N54" s="44">
        <v>10</v>
      </c>
      <c r="O54" s="43" t="s">
        <v>25</v>
      </c>
      <c r="P54" s="43" t="s">
        <v>25</v>
      </c>
      <c r="Q54" s="43" t="s">
        <v>25</v>
      </c>
      <c r="R54" s="43" t="s">
        <v>83</v>
      </c>
      <c r="S54" s="43"/>
    </row>
    <row r="55" spans="1:19" s="45" customFormat="1" ht="14.4" hidden="1">
      <c r="A55" s="25">
        <f>IF(C55="","",MAX($A$1:A54)+1)</f>
        <v>49</v>
      </c>
      <c r="B55" s="25" t="s">
        <v>79</v>
      </c>
      <c r="C55" s="41">
        <v>46082</v>
      </c>
      <c r="D55" s="42" t="str">
        <f>_xlfn.XLOOKUP(Table134526_79101120212223242526[[#This Row],[Name Surname]],Manpower!$C$4:$C$1048576,Manpower!$B$4:$B$1048576,"")</f>
        <v>Encogroup</v>
      </c>
      <c r="E55" s="41" t="s">
        <v>107</v>
      </c>
      <c r="F55" s="12">
        <f>_xlfn.XLOOKUP(Table134526_79101120212223242526[[#This Row],[Name Surname]],Manpower!C:C,Manpower!D:D,)</f>
        <v>116858297</v>
      </c>
      <c r="G55" s="42" t="str">
        <f>_xlfn.XLOOKUP(Table134526_79101120212223242526[[#This Row],[Name Surname]],Manpower!$C$4:$C$1048576,Manpower!$F$4:$F$1048576,"")</f>
        <v>Mechanical Superintendent</v>
      </c>
      <c r="H55" s="42" t="str">
        <f>_xlfn.XLOOKUP(Table134526_79101120212223242526[[#This Row],[Name Surname]],Manpower!$C$4:$C$1048576,Manpower!$H$4:$H$1048576,"")</f>
        <v>Manpower</v>
      </c>
      <c r="I55" s="42" t="str">
        <f>_xlfn.XLOOKUP(Table134526_79101120212223242526[[#This Row],[Name Surname]],Manpower!$C$4:$C$1048576,Manpower!$H$4:$H$1048576,"")</f>
        <v>Manpower</v>
      </c>
      <c r="J55" s="43" t="s">
        <v>35</v>
      </c>
      <c r="K55" s="43" t="s">
        <v>81</v>
      </c>
      <c r="L55" s="43" t="s">
        <v>82</v>
      </c>
      <c r="M55" s="43" t="s">
        <v>24</v>
      </c>
      <c r="N55" s="44">
        <v>6</v>
      </c>
      <c r="O55" s="43" t="s">
        <v>25</v>
      </c>
      <c r="P55" s="43" t="s">
        <v>25</v>
      </c>
      <c r="Q55" s="43" t="s">
        <v>25</v>
      </c>
      <c r="R55" s="43" t="s">
        <v>108</v>
      </c>
      <c r="S55" s="43"/>
    </row>
    <row r="56" spans="1:19" s="45" customFormat="1" ht="14.4" hidden="1">
      <c r="A56" s="25">
        <f>IF(C56="","",MAX($A$1:A55)+1)</f>
        <v>50</v>
      </c>
      <c r="B56" s="25" t="s">
        <v>79</v>
      </c>
      <c r="C56" s="41">
        <v>46082</v>
      </c>
      <c r="D56" s="42" t="str">
        <f>_xlfn.XLOOKUP(Table134526_79101120212223242526[[#This Row],[Name Surname]],Manpower!$C$4:$C$1048576,Manpower!$B$4:$B$1048576,"")</f>
        <v>Encogroup</v>
      </c>
      <c r="E56" s="41" t="s">
        <v>109</v>
      </c>
      <c r="F56" s="12">
        <f>_xlfn.XLOOKUP(Table134526_79101120212223242526[[#This Row],[Name Surname]],Manpower!C:C,Manpower!D:D,)</f>
        <v>123805496</v>
      </c>
      <c r="G56" s="42" t="str">
        <f>_xlfn.XLOOKUP(Table134526_79101120212223242526[[#This Row],[Name Surname]],Manpower!$C$4:$C$1048576,Manpower!$F$4:$F$1048576,"")</f>
        <v>Fitter/Erector</v>
      </c>
      <c r="H56" s="42" t="str">
        <f>_xlfn.XLOOKUP(Table134526_79101120212223242526[[#This Row],[Name Surname]],Manpower!$C$4:$C$1048576,Manpower!$H$4:$H$1048576,"")</f>
        <v>Manpower</v>
      </c>
      <c r="I56" s="42" t="str">
        <f>_xlfn.XLOOKUP(Table134526_79101120212223242526[[#This Row],[Name Surname]],Manpower!$C$4:$C$1048576,Manpower!$H$4:$H$1048576,"")</f>
        <v>Manpower</v>
      </c>
      <c r="J56" s="43" t="s">
        <v>35</v>
      </c>
      <c r="K56" s="43" t="s">
        <v>81</v>
      </c>
      <c r="L56" s="43" t="s">
        <v>82</v>
      </c>
      <c r="M56" s="43" t="s">
        <v>24</v>
      </c>
      <c r="N56" s="44">
        <v>8</v>
      </c>
      <c r="O56" s="43" t="s">
        <v>25</v>
      </c>
      <c r="P56" s="43" t="s">
        <v>25</v>
      </c>
      <c r="Q56" s="43" t="s">
        <v>25</v>
      </c>
      <c r="R56" s="43" t="s">
        <v>83</v>
      </c>
      <c r="S56" s="43"/>
    </row>
    <row r="57" spans="1:19" ht="14.4" hidden="1">
      <c r="A57" s="33">
        <f>IF(C57="","",MAX($A$1:A56)+1)</f>
        <v>51</v>
      </c>
      <c r="B57" s="26" t="s">
        <v>79</v>
      </c>
      <c r="C57" s="23">
        <v>46082</v>
      </c>
      <c r="D57" s="17" t="str">
        <f>_xlfn.XLOOKUP(Table134526_79101120212223242526[[#This Row],[Name Surname]],Manpower!$C$4:$C$1048576,Manpower!$B$4:$B$1048576,"")</f>
        <v>Encogroup</v>
      </c>
      <c r="E57" s="18" t="s">
        <v>110</v>
      </c>
      <c r="F57" s="12">
        <f>_xlfn.XLOOKUP(Table134526_79101120212223242526[[#This Row],[Name Surname]],Manpower!C:C,Manpower!D:D,)</f>
        <v>136277866</v>
      </c>
      <c r="G57" s="17" t="str">
        <f>_xlfn.XLOOKUP(Table134526_79101120212223242526[[#This Row],[Name Surname]],Manpower!$C$4:$C$1048576,Manpower!$F$4:$F$1048576,"")</f>
        <v>Permit Receiver</v>
      </c>
      <c r="H57" s="17" t="str">
        <f>_xlfn.XLOOKUP(Table134526_79101120212223242526[[#This Row],[Name Surname]],Manpower!$C$4:$C$1048576,Manpower!$H$4:$H$1048576,"")</f>
        <v>Manpower</v>
      </c>
      <c r="I57" s="24" t="str">
        <f>_xlfn.XLOOKUP(Table134526_79101120212223242526[[#This Row],[Name Surname]],Manpower!$C$4:$C$1048576,Manpower!$H$4:$H$1048576,"")</f>
        <v>Manpower</v>
      </c>
      <c r="J57" s="21" t="s">
        <v>35</v>
      </c>
      <c r="K57" s="21" t="s">
        <v>81</v>
      </c>
      <c r="L57" s="21" t="s">
        <v>82</v>
      </c>
      <c r="M57" s="21" t="s">
        <v>24</v>
      </c>
      <c r="N57" s="29">
        <v>10</v>
      </c>
      <c r="O57" s="21" t="s">
        <v>25</v>
      </c>
      <c r="P57" s="21" t="s">
        <v>25</v>
      </c>
      <c r="Q57" s="21" t="s">
        <v>25</v>
      </c>
      <c r="R57" s="21" t="s">
        <v>108</v>
      </c>
    </row>
    <row r="58" spans="1:19" s="45" customFormat="1" ht="14.4" hidden="1">
      <c r="A58" s="25">
        <f>IF(C58="","",MAX($A$1:A57)+1)</f>
        <v>52</v>
      </c>
      <c r="B58" s="25" t="s">
        <v>79</v>
      </c>
      <c r="C58" s="41">
        <v>46082</v>
      </c>
      <c r="D58" s="42" t="str">
        <f>_xlfn.XLOOKUP(Table134526_79101120212223242526[[#This Row],[Name Surname]],Manpower!$C$4:$C$1048576,Manpower!$B$4:$B$1048576,"")</f>
        <v>Encogroup</v>
      </c>
      <c r="E58" s="41" t="s">
        <v>111</v>
      </c>
      <c r="F58" s="12">
        <f>_xlfn.XLOOKUP(Table134526_79101120212223242526[[#This Row],[Name Surname]],Manpower!C:C,Manpower!D:D,)</f>
        <v>120653364</v>
      </c>
      <c r="G58" s="42" t="str">
        <f>_xlfn.XLOOKUP(Table134526_79101120212223242526[[#This Row],[Name Surname]],Manpower!$C$4:$C$1048576,Manpower!$F$4:$F$1048576,"")</f>
        <v>Surveyor</v>
      </c>
      <c r="H58" s="42" t="str">
        <f>_xlfn.XLOOKUP(Table134526_79101120212223242526[[#This Row],[Name Surname]],Manpower!$C$4:$C$1048576,Manpower!$H$4:$H$1048576,"")</f>
        <v>Manpower</v>
      </c>
      <c r="I58" s="42" t="str">
        <f>_xlfn.XLOOKUP(Table134526_79101120212223242526[[#This Row],[Name Surname]],Manpower!$C$4:$C$1048576,Manpower!$H$4:$H$1048576,"")</f>
        <v>Manpower</v>
      </c>
      <c r="J58" s="43" t="s">
        <v>35</v>
      </c>
      <c r="K58" s="43" t="s">
        <v>88</v>
      </c>
      <c r="L58" s="43" t="s">
        <v>82</v>
      </c>
      <c r="M58" s="43" t="s">
        <v>24</v>
      </c>
      <c r="N58" s="44">
        <v>8</v>
      </c>
      <c r="O58" s="43" t="s">
        <v>89</v>
      </c>
      <c r="P58" s="43" t="s">
        <v>89</v>
      </c>
      <c r="Q58" s="43" t="s">
        <v>89</v>
      </c>
      <c r="R58" s="43" t="s">
        <v>90</v>
      </c>
      <c r="S58" s="43"/>
    </row>
    <row r="59" spans="1:19" s="45" customFormat="1" ht="14.4" hidden="1">
      <c r="A59" s="25">
        <f>IF(C59="","",MAX($A$1:A58)+1)</f>
        <v>53</v>
      </c>
      <c r="B59" s="25" t="s">
        <v>79</v>
      </c>
      <c r="C59" s="41">
        <v>46082</v>
      </c>
      <c r="D59" s="42" t="str">
        <f>_xlfn.XLOOKUP(Table134526_79101120212223242526[[#This Row],[Name Surname]],Manpower!$C$4:$C$1048576,Manpower!$B$4:$B$1048576,"")</f>
        <v>Encogroup</v>
      </c>
      <c r="E59" s="41" t="s">
        <v>112</v>
      </c>
      <c r="F59" s="12">
        <f>_xlfn.XLOOKUP(Table134526_79101120212223242526[[#This Row],[Name Surname]],Manpower!C:C,Manpower!D:D,)</f>
        <v>140663253</v>
      </c>
      <c r="G59" s="42" t="str">
        <f>_xlfn.XLOOKUP(Table134526_79101120212223242526[[#This Row],[Name Surname]],Manpower!$C$4:$C$1048576,Manpower!$F$4:$F$1048576,"")</f>
        <v>Painting Inspector</v>
      </c>
      <c r="H59" s="42" t="str">
        <f>_xlfn.XLOOKUP(Table134526_79101120212223242526[[#This Row],[Name Surname]],Manpower!$C$4:$C$1048576,Manpower!$H$4:$H$1048576,"")</f>
        <v>Manpower</v>
      </c>
      <c r="I59" s="42" t="str">
        <f>_xlfn.XLOOKUP(Table134526_79101120212223242526[[#This Row],[Name Surname]],Manpower!$C$4:$C$1048576,Manpower!$H$4:$H$1048576,"")</f>
        <v>Manpower</v>
      </c>
      <c r="J59" s="43" t="s">
        <v>35</v>
      </c>
      <c r="K59" s="43" t="s">
        <v>113</v>
      </c>
      <c r="L59" s="43" t="s">
        <v>82</v>
      </c>
      <c r="M59" s="43" t="s">
        <v>24</v>
      </c>
      <c r="N59" s="44">
        <v>8</v>
      </c>
      <c r="O59" s="43" t="s">
        <v>94</v>
      </c>
      <c r="P59" s="43" t="s">
        <v>114</v>
      </c>
      <c r="Q59" s="43" t="s">
        <v>114</v>
      </c>
      <c r="R59" s="43" t="s">
        <v>96</v>
      </c>
      <c r="S59" s="43"/>
    </row>
    <row r="60" spans="1:19" s="45" customFormat="1" ht="14.4" hidden="1">
      <c r="A60" s="25">
        <f>IF(C60="","",MAX($A$1:A59)+1)</f>
        <v>54</v>
      </c>
      <c r="B60" s="54" t="s">
        <v>79</v>
      </c>
      <c r="C60" s="55">
        <v>46082</v>
      </c>
      <c r="D60" s="42" t="str">
        <f>_xlfn.XLOOKUP(Table134526_79101120212223242526[[#This Row],[Name Surname]],Manpower!$C$4:$C$1048576,Manpower!$B$4:$B$1048576,"")</f>
        <v>Encogroup</v>
      </c>
      <c r="E60" s="41" t="s">
        <v>115</v>
      </c>
      <c r="F60" s="12">
        <f>_xlfn.XLOOKUP(Table134526_79101120212223242526[[#This Row],[Name Surname]],Manpower!C:C,Manpower!D:D,)</f>
        <v>140796986</v>
      </c>
      <c r="G60" s="42" t="str">
        <f>_xlfn.XLOOKUP(Table134526_79101120212223242526[[#This Row],[Name Surname]],Manpower!$C$4:$C$1048576,Manpower!$F$4:$F$1048576,"")</f>
        <v>Mechanical QC</v>
      </c>
      <c r="H60" s="42" t="str">
        <f>_xlfn.XLOOKUP(Table134526_79101120212223242526[[#This Row],[Name Surname]],Manpower!$C$4:$C$1048576,Manpower!$H$4:$H$1048576,"")</f>
        <v>Manpower</v>
      </c>
      <c r="I60" s="42" t="str">
        <f>_xlfn.XLOOKUP(Table134526_79101120212223242526[[#This Row],[Name Surname]],Manpower!$C$4:$C$1048576,Manpower!$H$4:$H$1048576,"")</f>
        <v>Manpower</v>
      </c>
      <c r="J60" s="43" t="s">
        <v>35</v>
      </c>
      <c r="K60" s="51" t="s">
        <v>98</v>
      </c>
      <c r="L60" s="51" t="s">
        <v>82</v>
      </c>
      <c r="M60" s="51" t="s">
        <v>24</v>
      </c>
      <c r="N60" s="52">
        <v>10</v>
      </c>
      <c r="O60" s="51" t="s">
        <v>25</v>
      </c>
      <c r="P60" s="51" t="s">
        <v>41</v>
      </c>
      <c r="Q60" s="51" t="s">
        <v>77</v>
      </c>
      <c r="R60" s="51" t="s">
        <v>85</v>
      </c>
      <c r="S60" s="43"/>
    </row>
    <row r="61" spans="1:19" s="45" customFormat="1" ht="14.4" hidden="1">
      <c r="A61" s="25">
        <f>IF(C61="","",MAX($A$1:A59)+1)</f>
        <v>54</v>
      </c>
      <c r="B61" s="25" t="s">
        <v>79</v>
      </c>
      <c r="C61" s="41">
        <v>46082</v>
      </c>
      <c r="D61" s="42" t="str">
        <f>_xlfn.XLOOKUP(Table134526_79101120212223242526[[#This Row],[Name Surname]],Manpower!$C$4:$C$1048576,Manpower!$B$4:$B$1048576,"")</f>
        <v>Encogroup</v>
      </c>
      <c r="E61" s="41" t="s">
        <v>116</v>
      </c>
      <c r="F61" s="12">
        <f>_xlfn.XLOOKUP(Table134526_79101120212223242526[[#This Row],[Name Surname]],Manpower!C:C,Manpower!D:D,)</f>
        <v>140844604</v>
      </c>
      <c r="G61" s="42" t="str">
        <f>_xlfn.XLOOKUP(Table134526_79101120212223242526[[#This Row],[Name Surname]],Manpower!$C$4:$C$1048576,Manpower!$F$4:$F$1048576,"")</f>
        <v>Painter</v>
      </c>
      <c r="H61" s="42" t="str">
        <f>_xlfn.XLOOKUP(Table134526_79101120212223242526[[#This Row],[Name Surname]],Manpower!$C$4:$C$1048576,Manpower!$H$4:$H$1048576,"")</f>
        <v>Manpower</v>
      </c>
      <c r="I61" s="42" t="str">
        <f>_xlfn.XLOOKUP(Table134526_79101120212223242526[[#This Row],[Name Surname]],Manpower!$C$4:$C$1048576,Manpower!$H$4:$H$1048576,"")</f>
        <v>Manpower</v>
      </c>
      <c r="J61" s="43" t="s">
        <v>35</v>
      </c>
      <c r="K61" s="43" t="s">
        <v>113</v>
      </c>
      <c r="L61" s="43" t="s">
        <v>82</v>
      </c>
      <c r="M61" s="43" t="s">
        <v>24</v>
      </c>
      <c r="N61" s="44">
        <v>8</v>
      </c>
      <c r="O61" s="43" t="s">
        <v>94</v>
      </c>
      <c r="P61" s="43" t="s">
        <v>114</v>
      </c>
      <c r="Q61" s="43" t="s">
        <v>114</v>
      </c>
      <c r="R61" s="43" t="s">
        <v>96</v>
      </c>
      <c r="S61" s="43"/>
    </row>
    <row r="62" spans="1:19" s="45" customFormat="1" ht="14.4" hidden="1">
      <c r="A62" s="25">
        <f>IF(C62="","",MAX($A$1:A61)+1)</f>
        <v>55</v>
      </c>
      <c r="B62" s="25" t="s">
        <v>79</v>
      </c>
      <c r="C62" s="41">
        <v>46082</v>
      </c>
      <c r="D62" s="42" t="str">
        <f>_xlfn.XLOOKUP(Table134526_79101120212223242526[[#This Row],[Name Surname]],Manpower!$C$4:$C$1048576,Manpower!$B$4:$B$1048576,"")</f>
        <v>Encogroup</v>
      </c>
      <c r="E62" s="41" t="s">
        <v>117</v>
      </c>
      <c r="F62" s="12">
        <f>_xlfn.XLOOKUP(Table134526_79101120212223242526[[#This Row],[Name Surname]],Manpower!C:C,Manpower!D:D,)</f>
        <v>140844783</v>
      </c>
      <c r="G62" s="42" t="str">
        <f>_xlfn.XLOOKUP(Table134526_79101120212223242526[[#This Row],[Name Surname]],Manpower!$C$4:$C$1048576,Manpower!$F$4:$F$1048576,"")</f>
        <v>Painter</v>
      </c>
      <c r="H62" s="42" t="str">
        <f>_xlfn.XLOOKUP(Table134526_79101120212223242526[[#This Row],[Name Surname]],Manpower!$C$4:$C$1048576,Manpower!$H$4:$H$1048576,"")</f>
        <v>Manpower</v>
      </c>
      <c r="I62" s="42" t="str">
        <f>_xlfn.XLOOKUP(Table134526_79101120212223242526[[#This Row],[Name Surname]],Manpower!$C$4:$C$1048576,Manpower!$H$4:$H$1048576,"")</f>
        <v>Manpower</v>
      </c>
      <c r="J62" s="43" t="s">
        <v>35</v>
      </c>
      <c r="K62" s="43" t="s">
        <v>113</v>
      </c>
      <c r="L62" s="43" t="s">
        <v>82</v>
      </c>
      <c r="M62" s="43" t="s">
        <v>24</v>
      </c>
      <c r="N62" s="44">
        <v>8</v>
      </c>
      <c r="O62" s="43" t="s">
        <v>94</v>
      </c>
      <c r="P62" s="43" t="s">
        <v>114</v>
      </c>
      <c r="Q62" s="43" t="s">
        <v>114</v>
      </c>
      <c r="R62" s="43" t="s">
        <v>96</v>
      </c>
      <c r="S62" s="43"/>
    </row>
    <row r="63" spans="1:19" s="45" customFormat="1" ht="14.4" hidden="1">
      <c r="A63" s="25">
        <f>IF(C63="","",MAX($A$1:A62)+1)</f>
        <v>56</v>
      </c>
      <c r="B63" s="25" t="s">
        <v>79</v>
      </c>
      <c r="C63" s="41">
        <v>46082</v>
      </c>
      <c r="D63" s="42" t="str">
        <f>_xlfn.XLOOKUP(Table134526_79101120212223242526[[#This Row],[Name Surname]],Manpower!$C$4:$C$1048576,Manpower!$B$4:$B$1048576,"")</f>
        <v>Encogroup</v>
      </c>
      <c r="E63" s="41" t="s">
        <v>118</v>
      </c>
      <c r="F63" s="12" t="str">
        <f>_xlfn.XLOOKUP(Table134526_79101120212223242526[[#This Row],[Name Surname]],Manpower!C:C,Manpower!D:D,)</f>
        <v>AG111207</v>
      </c>
      <c r="G63" s="42" t="str">
        <f>_xlfn.XLOOKUP(Table134526_79101120212223242526[[#This Row],[Name Surname]],Manpower!$C$4:$C$1048576,Manpower!$F$4:$F$1048576,"")</f>
        <v>Assistant/Helper</v>
      </c>
      <c r="H63" s="42" t="str">
        <f>_xlfn.XLOOKUP(Table134526_79101120212223242526[[#This Row],[Name Surname]],Manpower!$C$4:$C$1048576,Manpower!$H$4:$H$1048576,"")</f>
        <v>Manpower</v>
      </c>
      <c r="I63" s="42" t="str">
        <f>_xlfn.XLOOKUP(Table134526_79101120212223242526[[#This Row],[Name Surname]],Manpower!$C$4:$C$1048576,Manpower!$H$4:$H$1048576,"")</f>
        <v>Manpower</v>
      </c>
      <c r="J63" s="43" t="s">
        <v>35</v>
      </c>
      <c r="K63" s="43" t="s">
        <v>113</v>
      </c>
      <c r="L63" s="43" t="s">
        <v>82</v>
      </c>
      <c r="M63" s="43" t="s">
        <v>24</v>
      </c>
      <c r="N63" s="44">
        <v>8</v>
      </c>
      <c r="O63" s="43" t="s">
        <v>94</v>
      </c>
      <c r="P63" s="43" t="s">
        <v>114</v>
      </c>
      <c r="Q63" s="43" t="s">
        <v>114</v>
      </c>
      <c r="R63" s="43" t="s">
        <v>96</v>
      </c>
      <c r="S63" s="43"/>
    </row>
    <row r="64" spans="1:19" s="45" customFormat="1" ht="14.4" hidden="1">
      <c r="A64" s="25">
        <f>IF(C64="","",MAX($A$1:A63)+1)</f>
        <v>57</v>
      </c>
      <c r="B64" s="25" t="s">
        <v>79</v>
      </c>
      <c r="C64" s="41">
        <v>46082</v>
      </c>
      <c r="D64" s="42" t="str">
        <f>_xlfn.XLOOKUP(Table134526_79101120212223242526[[#This Row],[Name Surname]],Manpower!$C$4:$C$1048576,Manpower!$B$4:$B$1048576,"")</f>
        <v>Encogroup</v>
      </c>
      <c r="E64" s="41" t="s">
        <v>119</v>
      </c>
      <c r="F64" s="12">
        <f>_xlfn.XLOOKUP(Table134526_79101120212223242526[[#This Row],[Name Surname]],Manpower!C:C,Manpower!D:D,)</f>
        <v>140844778</v>
      </c>
      <c r="G64" s="42" t="str">
        <f>_xlfn.XLOOKUP(Table134526_79101120212223242526[[#This Row],[Name Surname]],Manpower!$C$4:$C$1048576,Manpower!$F$4:$F$1048576,"")</f>
        <v>Painter</v>
      </c>
      <c r="H64" s="42" t="str">
        <f>_xlfn.XLOOKUP(Table134526_79101120212223242526[[#This Row],[Name Surname]],Manpower!$C$4:$C$1048576,Manpower!$H$4:$H$1048576,"")</f>
        <v>Manpower</v>
      </c>
      <c r="I64" s="42" t="str">
        <f>_xlfn.XLOOKUP(Table134526_79101120212223242526[[#This Row],[Name Surname]],Manpower!$C$4:$C$1048576,Manpower!$H$4:$H$1048576,"")</f>
        <v>Manpower</v>
      </c>
      <c r="J64" s="43" t="s">
        <v>35</v>
      </c>
      <c r="K64" s="43" t="s">
        <v>113</v>
      </c>
      <c r="L64" s="43" t="s">
        <v>82</v>
      </c>
      <c r="M64" s="43" t="s">
        <v>24</v>
      </c>
      <c r="N64" s="44">
        <v>8</v>
      </c>
      <c r="O64" s="43" t="s">
        <v>94</v>
      </c>
      <c r="P64" s="43" t="s">
        <v>114</v>
      </c>
      <c r="Q64" s="43" t="s">
        <v>114</v>
      </c>
      <c r="R64" s="43" t="s">
        <v>96</v>
      </c>
      <c r="S64" s="43"/>
    </row>
    <row r="65" spans="1:19" s="45" customFormat="1" ht="14.4" hidden="1">
      <c r="A65" s="25">
        <f>IF(C65="","",MAX($A$1:A64)+1)</f>
        <v>58</v>
      </c>
      <c r="B65" s="25" t="s">
        <v>79</v>
      </c>
      <c r="C65" s="41">
        <v>46082</v>
      </c>
      <c r="D65" s="42" t="str">
        <f>_xlfn.XLOOKUP(Table134526_79101120212223242526[[#This Row],[Name Surname]],Manpower!$C$4:$C$1048576,Manpower!$B$4:$B$1048576,"")</f>
        <v>Encogroup</v>
      </c>
      <c r="E65" s="41" t="s">
        <v>120</v>
      </c>
      <c r="F65" s="12">
        <f>_xlfn.XLOOKUP(Table134526_79101120212223242526[[#This Row],[Name Surname]],Manpower!C:C,Manpower!D:D,)</f>
        <v>141365037</v>
      </c>
      <c r="G65" s="42" t="str">
        <f>_xlfn.XLOOKUP(Table134526_79101120212223242526[[#This Row],[Name Surname]],Manpower!$C$4:$C$1048576,Manpower!$F$4:$F$1048576,"")</f>
        <v>Painter</v>
      </c>
      <c r="H65" s="42" t="str">
        <f>_xlfn.XLOOKUP(Table134526_79101120212223242526[[#This Row],[Name Surname]],Manpower!$C$4:$C$1048576,Manpower!$H$4:$H$1048576,"")</f>
        <v>Manpower</v>
      </c>
      <c r="I65" s="42" t="str">
        <f>_xlfn.XLOOKUP(Table134526_79101120212223242526[[#This Row],[Name Surname]],Manpower!$C$4:$C$1048576,Manpower!$H$4:$H$1048576,"")</f>
        <v>Manpower</v>
      </c>
      <c r="J65" s="43" t="s">
        <v>35</v>
      </c>
      <c r="K65" s="43" t="s">
        <v>113</v>
      </c>
      <c r="L65" s="43" t="s">
        <v>82</v>
      </c>
      <c r="M65" s="43" t="s">
        <v>24</v>
      </c>
      <c r="N65" s="44">
        <v>8</v>
      </c>
      <c r="O65" s="43" t="s">
        <v>94</v>
      </c>
      <c r="P65" s="43" t="s">
        <v>114</v>
      </c>
      <c r="Q65" s="43" t="s">
        <v>114</v>
      </c>
      <c r="R65" s="43" t="s">
        <v>96</v>
      </c>
      <c r="S65" s="43"/>
    </row>
    <row r="66" spans="1:19" s="45" customFormat="1" ht="14.4" hidden="1">
      <c r="A66" s="25">
        <f>IF(C66="","",MAX($A$1:A65)+1)</f>
        <v>59</v>
      </c>
      <c r="B66" s="25" t="s">
        <v>79</v>
      </c>
      <c r="C66" s="41">
        <v>46082</v>
      </c>
      <c r="D66" s="42" t="str">
        <f>_xlfn.XLOOKUP(Table134526_79101120212223242526[[#This Row],[Name Surname]],Manpower!$C$4:$C$1048576,Manpower!$B$4:$B$1048576,"")</f>
        <v>Encogroup</v>
      </c>
      <c r="E66" s="41" t="s">
        <v>121</v>
      </c>
      <c r="F66" s="12">
        <f>_xlfn.XLOOKUP(Table134526_79101120212223242526[[#This Row],[Name Surname]],Manpower!C:C,Manpower!D:D,)</f>
        <v>141377709</v>
      </c>
      <c r="G66" s="42" t="str">
        <f>_xlfn.XLOOKUP(Table134526_79101120212223242526[[#This Row],[Name Surname]],Manpower!$C$4:$C$1048576,Manpower!$F$4:$F$1048576,"")</f>
        <v>Helper</v>
      </c>
      <c r="H66" s="42" t="str">
        <f>_xlfn.XLOOKUP(Table134526_79101120212223242526[[#This Row],[Name Surname]],Manpower!$C$4:$C$1048576,Manpower!$H$4:$H$1048576,"")</f>
        <v>Manpower</v>
      </c>
      <c r="I66" s="42" t="str">
        <f>_xlfn.XLOOKUP(Table134526_79101120212223242526[[#This Row],[Name Surname]],Manpower!$C$4:$C$1048576,Manpower!$H$4:$H$1048576,"")</f>
        <v>Manpower</v>
      </c>
      <c r="J66" s="43" t="s">
        <v>35</v>
      </c>
      <c r="K66" s="43" t="s">
        <v>113</v>
      </c>
      <c r="L66" s="43" t="s">
        <v>82</v>
      </c>
      <c r="M66" s="43" t="s">
        <v>24</v>
      </c>
      <c r="N66" s="44">
        <v>8</v>
      </c>
      <c r="O66" s="43" t="s">
        <v>94</v>
      </c>
      <c r="P66" s="43" t="s">
        <v>114</v>
      </c>
      <c r="Q66" s="43" t="s">
        <v>114</v>
      </c>
      <c r="R66" s="43" t="s">
        <v>96</v>
      </c>
      <c r="S66" s="43"/>
    </row>
    <row r="67" spans="1:19" s="45" customFormat="1" ht="14.4" hidden="1">
      <c r="A67" s="25">
        <f>IF(C67="","",MAX($A$1:A66)+1)</f>
        <v>60</v>
      </c>
      <c r="B67" s="25" t="s">
        <v>79</v>
      </c>
      <c r="C67" s="41">
        <v>46082</v>
      </c>
      <c r="D67" s="42" t="str">
        <f>_xlfn.XLOOKUP(Table134526_79101120212223242526[[#This Row],[Name Surname]],Manpower!$C$4:$C$1048576,Manpower!$B$4:$B$1048576,"")</f>
        <v>Encogroup</v>
      </c>
      <c r="E67" s="41" t="s">
        <v>122</v>
      </c>
      <c r="F67" s="12">
        <f>_xlfn.XLOOKUP(Table134526_79101120212223242526[[#This Row],[Name Surname]],Manpower!C:C,Manpower!D:D,)</f>
        <v>140805554</v>
      </c>
      <c r="G67" s="42" t="str">
        <f>_xlfn.XLOOKUP(Table134526_79101120212223242526[[#This Row],[Name Surname]],Manpower!$C$4:$C$1048576,Manpower!$F$4:$F$1048576,"")</f>
        <v>Assistant/Helper</v>
      </c>
      <c r="H67" s="42" t="str">
        <f>_xlfn.XLOOKUP(Table134526_79101120212223242526[[#This Row],[Name Surname]],Manpower!$C$4:$C$1048576,Manpower!$H$4:$H$1048576,"")</f>
        <v>Manpower</v>
      </c>
      <c r="I67" s="42" t="str">
        <f>_xlfn.XLOOKUP(Table134526_79101120212223242526[[#This Row],[Name Surname]],Manpower!$C$4:$C$1048576,Manpower!$H$4:$H$1048576,"")</f>
        <v>Manpower</v>
      </c>
      <c r="J67" s="43" t="s">
        <v>35</v>
      </c>
      <c r="K67" s="43" t="s">
        <v>98</v>
      </c>
      <c r="L67" s="43" t="s">
        <v>82</v>
      </c>
      <c r="M67" s="43" t="s">
        <v>24</v>
      </c>
      <c r="N67" s="44">
        <v>8</v>
      </c>
      <c r="O67" s="43" t="s">
        <v>25</v>
      </c>
      <c r="P67" s="43" t="s">
        <v>41</v>
      </c>
      <c r="Q67" s="43" t="s">
        <v>77</v>
      </c>
      <c r="R67" s="43" t="s">
        <v>123</v>
      </c>
      <c r="S67" s="43"/>
    </row>
    <row r="68" spans="1:19" s="45" customFormat="1" ht="14.4" hidden="1">
      <c r="A68" s="25">
        <f>IF(C68="","",MAX($A$1:A67)+1)</f>
        <v>61</v>
      </c>
      <c r="B68" s="25" t="s">
        <v>79</v>
      </c>
      <c r="C68" s="41">
        <v>46082</v>
      </c>
      <c r="D68" s="42" t="str">
        <f>_xlfn.XLOOKUP(Table134526_79101120212223242526[[#This Row],[Name Surname]],Manpower!$C$4:$C$1048576,Manpower!$B$4:$B$1048576,"")</f>
        <v>Encogroup</v>
      </c>
      <c r="E68" s="41" t="s">
        <v>124</v>
      </c>
      <c r="F68" s="12">
        <f>_xlfn.XLOOKUP(Table134526_79101120212223242526[[#This Row],[Name Surname]],Manpower!C:C,Manpower!D:D,)</f>
        <v>141169033</v>
      </c>
      <c r="G68" s="42" t="str">
        <f>_xlfn.XLOOKUP(Table134526_79101120212223242526[[#This Row],[Name Surname]],Manpower!$C$4:$C$1048576,Manpower!$F$4:$F$1048576,"")</f>
        <v>Welder</v>
      </c>
      <c r="H68" s="42" t="str">
        <f>_xlfn.XLOOKUP(Table134526_79101120212223242526[[#This Row],[Name Surname]],Manpower!$C$4:$C$1048576,Manpower!$H$4:$H$1048576,"")</f>
        <v>Manpower</v>
      </c>
      <c r="I68" s="42" t="str">
        <f>_xlfn.XLOOKUP(Table134526_79101120212223242526[[#This Row],[Name Surname]],Manpower!$C$4:$C$1048576,Manpower!$H$4:$H$1048576,"")</f>
        <v>Manpower</v>
      </c>
      <c r="J68" s="43" t="s">
        <v>35</v>
      </c>
      <c r="K68" s="43" t="s">
        <v>98</v>
      </c>
      <c r="L68" s="43" t="s">
        <v>82</v>
      </c>
      <c r="M68" s="43" t="s">
        <v>24</v>
      </c>
      <c r="N68" s="44">
        <v>8</v>
      </c>
      <c r="O68" s="43" t="s">
        <v>25</v>
      </c>
      <c r="P68" s="43" t="s">
        <v>41</v>
      </c>
      <c r="Q68" s="43" t="s">
        <v>77</v>
      </c>
      <c r="R68" s="43" t="s">
        <v>85</v>
      </c>
      <c r="S68" s="43"/>
    </row>
    <row r="69" spans="1:19" s="45" customFormat="1" ht="14.4" hidden="1">
      <c r="A69" s="25">
        <f>IF(C69="","",MAX($A$1:A68)+1)</f>
        <v>62</v>
      </c>
      <c r="B69" s="25" t="s">
        <v>79</v>
      </c>
      <c r="C69" s="41">
        <v>46082</v>
      </c>
      <c r="D69" s="42" t="str">
        <f>_xlfn.XLOOKUP(Table134526_79101120212223242526[[#This Row],[Name Surname]],Manpower!$C$4:$C$1048576,Manpower!$B$4:$B$1048576,"")</f>
        <v>Encogroup</v>
      </c>
      <c r="E69" s="41" t="s">
        <v>125</v>
      </c>
      <c r="F69" s="12">
        <f>_xlfn.XLOOKUP(Table134526_79101120212223242526[[#This Row],[Name Surname]],Manpower!C:C,Manpower!D:D,)</f>
        <v>141169028</v>
      </c>
      <c r="G69" s="42" t="str">
        <f>_xlfn.XLOOKUP(Table134526_79101120212223242526[[#This Row],[Name Surname]],Manpower!$C$4:$C$1048576,Manpower!$F$4:$F$1048576,"")</f>
        <v>Welder</v>
      </c>
      <c r="H69" s="42" t="str">
        <f>_xlfn.XLOOKUP(Table134526_79101120212223242526[[#This Row],[Name Surname]],Manpower!$C$4:$C$1048576,Manpower!$H$4:$H$1048576,"")</f>
        <v>Manpower</v>
      </c>
      <c r="I69" s="42" t="str">
        <f>_xlfn.XLOOKUP(Table134526_79101120212223242526[[#This Row],[Name Surname]],Manpower!$C$4:$C$1048576,Manpower!$H$4:$H$1048576,"")</f>
        <v>Manpower</v>
      </c>
      <c r="J69" s="43" t="s">
        <v>35</v>
      </c>
      <c r="K69" s="43" t="s">
        <v>104</v>
      </c>
      <c r="L69" s="43" t="s">
        <v>82</v>
      </c>
      <c r="M69" s="43" t="s">
        <v>24</v>
      </c>
      <c r="N69" s="44">
        <v>8</v>
      </c>
      <c r="O69" s="43" t="s">
        <v>25</v>
      </c>
      <c r="P69" s="43" t="s">
        <v>41</v>
      </c>
      <c r="Q69" s="43" t="s">
        <v>60</v>
      </c>
      <c r="R69" s="43" t="s">
        <v>83</v>
      </c>
      <c r="S69" s="43"/>
    </row>
    <row r="70" spans="1:19" s="45" customFormat="1" ht="14.4" hidden="1">
      <c r="A70" s="25">
        <f>IF(C70="","",MAX($A$1:A69)+1)</f>
        <v>63</v>
      </c>
      <c r="B70" s="25" t="s">
        <v>79</v>
      </c>
      <c r="C70" s="41">
        <v>46082</v>
      </c>
      <c r="D70" s="42" t="str">
        <f>_xlfn.XLOOKUP(Table134526_79101120212223242526[[#This Row],[Name Surname]],Manpower!$C$4:$C$1048576,Manpower!$B$4:$B$1048576,"")</f>
        <v>Encogroup</v>
      </c>
      <c r="E70" s="41" t="s">
        <v>126</v>
      </c>
      <c r="F70" s="12">
        <f>_xlfn.XLOOKUP(Table134526_79101120212223242526[[#This Row],[Name Surname]],Manpower!C:C,Manpower!D:D,)</f>
        <v>140805568</v>
      </c>
      <c r="G70" s="42" t="str">
        <f>_xlfn.XLOOKUP(Table134526_79101120212223242526[[#This Row],[Name Surname]],Manpower!$C$4:$C$1048576,Manpower!$F$4:$F$1048576,"")</f>
        <v>Assistant/Helper</v>
      </c>
      <c r="H70" s="42" t="str">
        <f>_xlfn.XLOOKUP(Table134526_79101120212223242526[[#This Row],[Name Surname]],Manpower!$C$4:$C$1048576,Manpower!$H$4:$H$1048576,"")</f>
        <v>Manpower</v>
      </c>
      <c r="I70" s="42" t="str">
        <f>_xlfn.XLOOKUP(Table134526_79101120212223242526[[#This Row],[Name Surname]],Manpower!$C$4:$C$1048576,Manpower!$H$4:$H$1048576,"")</f>
        <v>Manpower</v>
      </c>
      <c r="J70" s="43" t="s">
        <v>35</v>
      </c>
      <c r="K70" s="43" t="s">
        <v>127</v>
      </c>
      <c r="L70" s="43" t="s">
        <v>82</v>
      </c>
      <c r="M70" s="43" t="s">
        <v>24</v>
      </c>
      <c r="N70" s="44">
        <v>8</v>
      </c>
      <c r="O70" s="43" t="s">
        <v>40</v>
      </c>
      <c r="P70" s="43" t="s">
        <v>128</v>
      </c>
      <c r="Q70" s="43" t="s">
        <v>128</v>
      </c>
      <c r="R70" s="43" t="s">
        <v>129</v>
      </c>
      <c r="S70" s="43"/>
    </row>
    <row r="71" spans="1:19" s="45" customFormat="1" ht="15.6" hidden="1" customHeight="1">
      <c r="A71" s="25">
        <f>IF(C71="","",MAX($A$1:A70)+1)</f>
        <v>64</v>
      </c>
      <c r="B71" s="25" t="s">
        <v>79</v>
      </c>
      <c r="C71" s="41">
        <v>46082</v>
      </c>
      <c r="D71" s="42" t="str">
        <f>_xlfn.XLOOKUP(Table134526_79101120212223242526[[#This Row],[Name Surname]],Manpower!$C$4:$C$1048576,Manpower!$B$4:$B$1048576,"")</f>
        <v>AL Saif &amp; Al QALLM ENT LLC</v>
      </c>
      <c r="E71" s="41" t="s">
        <v>130</v>
      </c>
      <c r="F71" s="12">
        <f>_xlfn.XLOOKUP(Table134526_79101120212223242526[[#This Row],[Name Surname]],Manpower!C:C,Manpower!D:D,)</f>
        <v>76647648</v>
      </c>
      <c r="G71" s="42" t="str">
        <f>_xlfn.XLOOKUP(Table134526_79101120212223242526[[#This Row],[Name Surname]],Manpower!$C$4:$C$1048576,Manpower!$F$4:$F$1048576,"")</f>
        <v>RIgger</v>
      </c>
      <c r="H71" s="42" t="str">
        <f>_xlfn.XLOOKUP(Table134526_79101120212223242526[[#This Row],[Name Surname]],Manpower!$C$4:$C$1048576,Manpower!$H$4:$H$1048576,"")</f>
        <v>Sub Contactor</v>
      </c>
      <c r="I71" s="42" t="str">
        <f>_xlfn.XLOOKUP(Table134526_79101120212223242526[[#This Row],[Name Surname]],Manpower!$C$4:$C$1048576,Manpower!$H$4:$H$1048576,"")</f>
        <v>Sub Contactor</v>
      </c>
      <c r="J71" s="43" t="s">
        <v>35</v>
      </c>
      <c r="K71" s="43" t="s">
        <v>104</v>
      </c>
      <c r="L71" s="43" t="s">
        <v>82</v>
      </c>
      <c r="M71" s="43" t="s">
        <v>24</v>
      </c>
      <c r="N71" s="44">
        <v>8</v>
      </c>
      <c r="O71" s="43" t="s">
        <v>25</v>
      </c>
      <c r="P71" s="43" t="s">
        <v>41</v>
      </c>
      <c r="Q71" s="43" t="s">
        <v>60</v>
      </c>
      <c r="R71" s="43" t="s">
        <v>83</v>
      </c>
      <c r="S71" s="43"/>
    </row>
    <row r="72" spans="1:19" s="45" customFormat="1" ht="14.4" hidden="1">
      <c r="A72" s="25">
        <f>IF(C72="","",MAX($A$1:A71)+1)</f>
        <v>65</v>
      </c>
      <c r="B72" s="25" t="s">
        <v>79</v>
      </c>
      <c r="C72" s="41">
        <v>46082</v>
      </c>
      <c r="D72" s="42" t="str">
        <f>_xlfn.XLOOKUP(Table134526_79101120212223242526[[#This Row],[Name Surname]],Manpower!$C$4:$C$1048576,Manpower!$B$4:$B$1048576,"")</f>
        <v>Rabwu Ahamal AL Khaleej Trad</v>
      </c>
      <c r="E72" s="41" t="s">
        <v>131</v>
      </c>
      <c r="F72" s="12">
        <f>_xlfn.XLOOKUP(Table134526_79101120212223242526[[#This Row],[Name Surname]],Manpower!C:C,Manpower!D:D,)</f>
        <v>131431131</v>
      </c>
      <c r="G72" s="42" t="str">
        <f>_xlfn.XLOOKUP(Table134526_79101120212223242526[[#This Row],[Name Surname]],Manpower!$C$4:$C$1048576,Manpower!$F$4:$F$1048576,"")</f>
        <v>RIgger</v>
      </c>
      <c r="H72" s="42" t="str">
        <f>_xlfn.XLOOKUP(Table134526_79101120212223242526[[#This Row],[Name Surname]],Manpower!$C$4:$C$1048576,Manpower!$H$4:$H$1048576,"")</f>
        <v>Sub Contactor</v>
      </c>
      <c r="I72" s="42" t="str">
        <f>_xlfn.XLOOKUP(Table134526_79101120212223242526[[#This Row],[Name Surname]],Manpower!$C$4:$C$1048576,Manpower!$H$4:$H$1048576,"")</f>
        <v>Sub Contactor</v>
      </c>
      <c r="J72" s="43" t="s">
        <v>35</v>
      </c>
      <c r="K72" s="43" t="s">
        <v>104</v>
      </c>
      <c r="L72" s="43" t="s">
        <v>82</v>
      </c>
      <c r="M72" s="43" t="s">
        <v>24</v>
      </c>
      <c r="N72" s="44">
        <v>8</v>
      </c>
      <c r="O72" s="43" t="s">
        <v>25</v>
      </c>
      <c r="P72" s="43" t="s">
        <v>41</v>
      </c>
      <c r="Q72" s="43" t="s">
        <v>60</v>
      </c>
      <c r="R72" s="43" t="s">
        <v>83</v>
      </c>
      <c r="S72" s="43"/>
    </row>
    <row r="73" spans="1:19" ht="14.4" hidden="1">
      <c r="A73" s="33">
        <f>IF(C73="","",MAX($A$1:A72)+1)</f>
        <v>66</v>
      </c>
      <c r="B73" s="26" t="s">
        <v>79</v>
      </c>
      <c r="C73" s="23">
        <v>46082</v>
      </c>
      <c r="D73" s="24" t="str">
        <f>_xlfn.XLOOKUP(Table134526_79101120212223242526[[#This Row],[Name Surname]],Manpower!$C$4:$C$1048576,Manpower!$B$4:$B$1048576,"")</f>
        <v>AL Saif &amp; Al QALLM ENT LLC</v>
      </c>
      <c r="E73" s="23" t="s">
        <v>132</v>
      </c>
      <c r="F73" s="12">
        <f>_xlfn.XLOOKUP(Table134526_79101120212223242526[[#This Row],[Name Surname]],Manpower!C:C,Manpower!D:D,)</f>
        <v>135762195</v>
      </c>
      <c r="G73" s="24" t="str">
        <f>_xlfn.XLOOKUP(Table134526_79101120212223242526[[#This Row],[Name Surname]],Manpower!$C$4:$C$1048576,Manpower!$F$4:$F$1048576,"")</f>
        <v>HSE Officer</v>
      </c>
      <c r="H73" s="24" t="str">
        <f>_xlfn.XLOOKUP(Table134526_79101120212223242526[[#This Row],[Name Surname]],Manpower!$C$4:$C$1048576,Manpower!$H$4:$H$1048576,"")</f>
        <v>Sub Contactor</v>
      </c>
      <c r="I73" s="24" t="str">
        <f>_xlfn.XLOOKUP(Table134526_79101120212223242526[[#This Row],[Name Surname]],Manpower!$C$4:$C$1048576,Manpower!$H$4:$H$1048576,"")</f>
        <v>Sub Contactor</v>
      </c>
      <c r="J73" s="21" t="s">
        <v>35</v>
      </c>
      <c r="K73" s="21" t="s">
        <v>81</v>
      </c>
      <c r="L73" s="21" t="s">
        <v>82</v>
      </c>
      <c r="M73" s="21" t="s">
        <v>24</v>
      </c>
      <c r="N73" s="29">
        <v>10</v>
      </c>
      <c r="O73" s="21" t="s">
        <v>25</v>
      </c>
      <c r="P73" s="21" t="s">
        <v>41</v>
      </c>
      <c r="Q73" s="21" t="s">
        <v>60</v>
      </c>
      <c r="R73" s="21" t="s">
        <v>108</v>
      </c>
    </row>
    <row r="74" spans="1:19" s="45" customFormat="1" ht="14.4" hidden="1">
      <c r="A74" s="25">
        <f>IF(C74="","",MAX($A$1:A73)+1)</f>
        <v>67</v>
      </c>
      <c r="B74" s="25" t="s">
        <v>79</v>
      </c>
      <c r="C74" s="41">
        <v>46082</v>
      </c>
      <c r="D74" s="42" t="str">
        <f>_xlfn.XLOOKUP(Table134526_79101120212223242526[[#This Row],[Name Surname]],Manpower!$C$4:$C$1048576,Manpower!$B$4:$B$1048576,"")</f>
        <v>Encogroup</v>
      </c>
      <c r="E74" s="41" t="s">
        <v>133</v>
      </c>
      <c r="F74" s="12">
        <f>_xlfn.XLOOKUP(Table134526_79101120212223242526[[#This Row],[Name Surname]],Manpower!C:C,Manpower!D:D,)</f>
        <v>140846684</v>
      </c>
      <c r="G74" s="42" t="str">
        <f>_xlfn.XLOOKUP(Table134526_79101120212223242526[[#This Row],[Name Surname]],Manpower!$C$4:$C$1048576,Manpower!$F$4:$F$1048576,"")</f>
        <v>Assistant/Helper</v>
      </c>
      <c r="H74" s="42" t="str">
        <f>_xlfn.XLOOKUP(Table134526_79101120212223242526[[#This Row],[Name Surname]],Manpower!$C$4:$C$1048576,Manpower!$H$4:$H$1048576,"")</f>
        <v>Manpower</v>
      </c>
      <c r="I74" s="42" t="str">
        <f>_xlfn.XLOOKUP(Table134526_79101120212223242526[[#This Row],[Name Surname]],Manpower!$C$4:$C$1048576,Manpower!$H$4:$H$1048576,"")</f>
        <v>Manpower</v>
      </c>
      <c r="J74" s="43" t="s">
        <v>35</v>
      </c>
      <c r="K74" s="43" t="s">
        <v>81</v>
      </c>
      <c r="L74" s="43" t="s">
        <v>82</v>
      </c>
      <c r="M74" s="43" t="s">
        <v>24</v>
      </c>
      <c r="N74" s="44">
        <v>8</v>
      </c>
      <c r="O74" s="43" t="s">
        <v>25</v>
      </c>
      <c r="P74" s="43" t="s">
        <v>41</v>
      </c>
      <c r="Q74" s="43" t="s">
        <v>60</v>
      </c>
      <c r="R74" s="43" t="s">
        <v>100</v>
      </c>
      <c r="S74" s="43"/>
    </row>
    <row r="75" spans="1:19" s="45" customFormat="1" ht="14.4" hidden="1">
      <c r="A75" s="25">
        <f>IF(C75="","",MAX($A$1:A74)+1)</f>
        <v>68</v>
      </c>
      <c r="B75" s="25" t="s">
        <v>79</v>
      </c>
      <c r="C75" s="41">
        <v>46082</v>
      </c>
      <c r="D75" s="42" t="str">
        <f>_xlfn.XLOOKUP(Table134526_79101120212223242526[[#This Row],[Name Surname]],Manpower!$C$4:$C$1048576,Manpower!$B$4:$B$1048576,"")</f>
        <v>Encogroup</v>
      </c>
      <c r="E75" s="41" t="s">
        <v>134</v>
      </c>
      <c r="F75" s="12">
        <f>_xlfn.XLOOKUP(Table134526_79101120212223242526[[#This Row],[Name Surname]],Manpower!C:C,Manpower!D:D,)</f>
        <v>18114443</v>
      </c>
      <c r="G75" s="42" t="str">
        <f>_xlfn.XLOOKUP(Table134526_79101120212223242526[[#This Row],[Name Surname]],Manpower!$C$4:$C$1048576,Manpower!$F$4:$F$1048576,"")</f>
        <v>Driver</v>
      </c>
      <c r="H75" s="42" t="str">
        <f>_xlfn.XLOOKUP(Table134526_79101120212223242526[[#This Row],[Name Surname]],Manpower!$C$4:$C$1048576,Manpower!$H$4:$H$1048576,"")</f>
        <v>Manpower</v>
      </c>
      <c r="I75" s="42" t="str">
        <f>_xlfn.XLOOKUP(Table134526_79101120212223242526[[#This Row],[Name Surname]],Manpower!$C$4:$C$1048576,Manpower!$H$4:$H$1048576,"")</f>
        <v>Manpower</v>
      </c>
      <c r="J75" s="43" t="s">
        <v>135</v>
      </c>
      <c r="K75" s="43" t="s">
        <v>81</v>
      </c>
      <c r="L75" s="43" t="s">
        <v>82</v>
      </c>
      <c r="M75" s="43" t="s">
        <v>24</v>
      </c>
      <c r="N75" s="44">
        <v>8</v>
      </c>
      <c r="O75" s="43" t="s">
        <v>25</v>
      </c>
      <c r="P75" s="43" t="s">
        <v>41</v>
      </c>
      <c r="Q75" s="50" t="s">
        <v>60</v>
      </c>
      <c r="R75" s="43" t="s">
        <v>100</v>
      </c>
      <c r="S75" s="43"/>
    </row>
    <row r="76" spans="1:19" s="45" customFormat="1" ht="14.4" hidden="1">
      <c r="A76" s="25">
        <f>IF(C76="","",MAX($A$1:A74)+1)</f>
        <v>68</v>
      </c>
      <c r="B76" s="25" t="s">
        <v>79</v>
      </c>
      <c r="C76" s="41">
        <v>46082</v>
      </c>
      <c r="D76" s="42" t="str">
        <f>_xlfn.XLOOKUP(Table134526_79101120212223242526[[#This Row],[Name Surname]],Manpower!$C$4:$C$1048576,Manpower!$B$4:$B$1048576,"")</f>
        <v>Encogroup</v>
      </c>
      <c r="E76" s="41" t="s">
        <v>136</v>
      </c>
      <c r="F76" s="12">
        <f>_xlfn.XLOOKUP(Table134526_79101120212223242526[[#This Row],[Name Surname]],Manpower!C:C,Manpower!D:D,)</f>
        <v>141250908</v>
      </c>
      <c r="G76" s="42" t="str">
        <f>_xlfn.XLOOKUP(Table134526_79101120212223242526[[#This Row],[Name Surname]],Manpower!$C$4:$C$1048576,Manpower!$F$4:$F$1048576,"")</f>
        <v>Mechanical Engineer</v>
      </c>
      <c r="H76" s="42" t="str">
        <f>_xlfn.XLOOKUP(Table134526_79101120212223242526[[#This Row],[Name Surname]],Manpower!$C$4:$C$1048576,Manpower!$H$4:$H$1048576,"")</f>
        <v>Manpower</v>
      </c>
      <c r="I76" s="42" t="str">
        <f>_xlfn.XLOOKUP(Table134526_79101120212223242526[[#This Row],[Name Surname]],Manpower!$C$4:$C$1048576,Manpower!$H$4:$H$1048576,"")</f>
        <v>Manpower</v>
      </c>
      <c r="J76" s="43" t="s">
        <v>35</v>
      </c>
      <c r="K76" s="43" t="s">
        <v>81</v>
      </c>
      <c r="L76" s="43" t="s">
        <v>82</v>
      </c>
      <c r="M76" s="43" t="s">
        <v>24</v>
      </c>
      <c r="N76" s="44">
        <v>10</v>
      </c>
      <c r="O76" s="43" t="s">
        <v>25</v>
      </c>
      <c r="P76" s="43" t="s">
        <v>41</v>
      </c>
      <c r="Q76" s="43" t="s">
        <v>60</v>
      </c>
      <c r="R76" s="43" t="s">
        <v>108</v>
      </c>
      <c r="S76" s="43"/>
    </row>
    <row r="77" spans="1:19" ht="14.4">
      <c r="A77" s="33">
        <f>IF(C77="","",MAX($A$1:A76)+1)</f>
        <v>69</v>
      </c>
      <c r="B77" s="26" t="s">
        <v>79</v>
      </c>
      <c r="C77" s="23">
        <v>46082</v>
      </c>
      <c r="D77" s="24" t="str">
        <f>_xlfn.XLOOKUP(Table134526_79101120212223242526[[#This Row],[Name Surname]],Manpower!$C$4:$C$1048576,Manpower!$B$4:$B$1048576,"")</f>
        <v>Encogroup</v>
      </c>
      <c r="E77" s="23" t="s">
        <v>137</v>
      </c>
      <c r="F77" s="12" t="e">
        <f>_xlfn.XLOOKUP(Table134526_79101120212223242526[[#This Row],[Name Surname]],Manpower!C:C,Manpower!D:D,)</f>
        <v>#N/A</v>
      </c>
      <c r="G77" s="24" t="str">
        <f>_xlfn.XLOOKUP(Table134526_79101120212223242526[[#This Row],[Name Surname]],Manpower!$C$4:$C$1048576,Manpower!$F$4:$F$1048576,"")</f>
        <v>55 Seat Bus</v>
      </c>
      <c r="H77" s="24" t="str">
        <f>_xlfn.XLOOKUP(Table134526_79101120212223242526[[#This Row],[Name Surname]],Manpower!$C$4:$C$1048576,Manpower!$H$4:$H$1048576,"")</f>
        <v>Equipment</v>
      </c>
      <c r="I77" s="24" t="str">
        <f>_xlfn.XLOOKUP(Table134526_79101120212223242526[[#This Row],[Name Surname]],Manpower!$C$4:$C$1048576,Manpower!$H$4:$H$1048576,"")</f>
        <v>Equipment</v>
      </c>
      <c r="J77" s="21" t="s">
        <v>35</v>
      </c>
      <c r="K77" s="21" t="s">
        <v>81</v>
      </c>
      <c r="L77" s="21" t="s">
        <v>82</v>
      </c>
      <c r="M77" s="21" t="s">
        <v>24</v>
      </c>
      <c r="N77" s="29">
        <v>10</v>
      </c>
      <c r="O77" s="21" t="s">
        <v>138</v>
      </c>
      <c r="P77" s="21" t="s">
        <v>138</v>
      </c>
      <c r="Q77" s="21" t="s">
        <v>138</v>
      </c>
      <c r="R77" s="21" t="s">
        <v>26</v>
      </c>
    </row>
    <row r="78" spans="1:19" ht="14.4">
      <c r="A78" s="33">
        <f>IF(C78="","",MAX($A$1:A76)+1)</f>
        <v>69</v>
      </c>
      <c r="B78" s="26" t="s">
        <v>79</v>
      </c>
      <c r="C78" s="23">
        <v>46082</v>
      </c>
      <c r="D78" s="24" t="str">
        <f>_xlfn.XLOOKUP(Table134526_79101120212223242526[[#This Row],[Name Surname]],Manpower!$C$4:$C$1048576,Manpower!$B$4:$B$1048576,"")</f>
        <v>Encogroup</v>
      </c>
      <c r="E78" s="23" t="s">
        <v>139</v>
      </c>
      <c r="F78" s="12" t="e">
        <f>_xlfn.XLOOKUP(Table134526_79101120212223242526[[#This Row],[Name Surname]],Manpower!C:C,Manpower!D:D,)</f>
        <v>#N/A</v>
      </c>
      <c r="G78" s="24" t="str">
        <f>_xlfn.XLOOKUP(Table134526_79101120212223242526[[#This Row],[Name Surname]],Manpower!$C$4:$C$1048576,Manpower!$F$4:$F$1048576,"")</f>
        <v>TOWER LIGHT</v>
      </c>
      <c r="H78" s="24" t="str">
        <f>_xlfn.XLOOKUP(Table134526_79101120212223242526[[#This Row],[Name Surname]],Manpower!$C$4:$C$1048576,Manpower!$H$4:$H$1048576,"")</f>
        <v>Equipment</v>
      </c>
      <c r="I78" s="24" t="str">
        <f>_xlfn.XLOOKUP(Table134526_79101120212223242526[[#This Row],[Name Surname]],Manpower!$C$4:$C$1048576,Manpower!$H$4:$H$1048576,"")</f>
        <v>Equipment</v>
      </c>
      <c r="J78" s="21" t="s">
        <v>35</v>
      </c>
      <c r="K78" s="21" t="s">
        <v>81</v>
      </c>
      <c r="L78" s="21" t="s">
        <v>82</v>
      </c>
      <c r="M78" s="21" t="s">
        <v>24</v>
      </c>
      <c r="N78" s="29">
        <v>8</v>
      </c>
      <c r="O78" s="21" t="s">
        <v>140</v>
      </c>
      <c r="P78" s="21" t="s">
        <v>140</v>
      </c>
      <c r="Q78" s="21" t="s">
        <v>140</v>
      </c>
      <c r="R78" s="21" t="s">
        <v>26</v>
      </c>
    </row>
    <row r="79" spans="1:19" ht="14.4">
      <c r="A79" s="33">
        <f>IF(C79="","",MAX($A$1:A78)+1)</f>
        <v>70</v>
      </c>
      <c r="B79" s="27" t="s">
        <v>141</v>
      </c>
      <c r="C79" s="23">
        <v>46082</v>
      </c>
      <c r="D79" s="24" t="str">
        <f>_xlfn.XLOOKUP(Table134526_79101120212223242526[[#This Row],[Name Surname]],Manpower!$C$4:$C$1048576,Manpower!$B$4:$B$1048576,"")</f>
        <v>Encogroup</v>
      </c>
      <c r="E79" s="23" t="s">
        <v>142</v>
      </c>
      <c r="F79" s="12" t="e">
        <f>_xlfn.XLOOKUP(Table134526_79101120212223242526[[#This Row],[Name Surname]],Manpower!C:C,Manpower!D:D,)</f>
        <v>#N/A</v>
      </c>
      <c r="G79" s="24" t="str">
        <f>_xlfn.XLOOKUP(Table134526_79101120212223242526[[#This Row],[Name Surname]],Manpower!$C$4:$C$1048576,Manpower!$F$4:$F$1048576,"")</f>
        <v>13 Seat Bus</v>
      </c>
      <c r="H79" s="24" t="str">
        <f>_xlfn.XLOOKUP(Table134526_79101120212223242526[[#This Row],[Name Surname]],Manpower!$C$4:$C$1048576,Manpower!$H$4:$H$1048576,"")</f>
        <v>Equipment</v>
      </c>
      <c r="I79" s="24" t="str">
        <f>_xlfn.XLOOKUP(Table134526_79101120212223242526[[#This Row],[Name Surname]],Manpower!$C$4:$C$1048576,Manpower!$H$4:$H$1048576,"")</f>
        <v>Equipment</v>
      </c>
      <c r="J79" s="21" t="s">
        <v>143</v>
      </c>
      <c r="K79" s="21" t="s">
        <v>26</v>
      </c>
      <c r="L79" s="21" t="s">
        <v>144</v>
      </c>
      <c r="M79" s="21" t="s">
        <v>24</v>
      </c>
      <c r="N79" s="29">
        <v>8</v>
      </c>
      <c r="O79" s="21" t="s">
        <v>138</v>
      </c>
      <c r="P79" s="21" t="s">
        <v>138</v>
      </c>
      <c r="Q79" s="21" t="s">
        <v>138</v>
      </c>
      <c r="R79" s="21" t="s">
        <v>26</v>
      </c>
    </row>
    <row r="80" spans="1:19" ht="14.4">
      <c r="A80" s="33">
        <f>IF(C80="","",MAX($A$1:A79)+1)</f>
        <v>71</v>
      </c>
      <c r="B80" s="27" t="s">
        <v>141</v>
      </c>
      <c r="C80" s="23">
        <v>46082</v>
      </c>
      <c r="D80" s="24" t="str">
        <f>_xlfn.XLOOKUP(Table134526_79101120212223242526[[#This Row],[Name Surname]],Manpower!$C$4:$C$1048576,Manpower!$B$4:$B$1048576,"")</f>
        <v>Encogroup</v>
      </c>
      <c r="E80" s="23" t="s">
        <v>145</v>
      </c>
      <c r="F80" s="12" t="e">
        <f>_xlfn.XLOOKUP(Table134526_79101120212223242526[[#This Row],[Name Surname]],Manpower!C:C,Manpower!D:D,)</f>
        <v>#N/A</v>
      </c>
      <c r="G80" s="24" t="str">
        <f>_xlfn.XLOOKUP(Table134526_79101120212223242526[[#This Row],[Name Surname]],Manpower!$C$4:$C$1048576,Manpower!$F$4:$F$1048576,"")</f>
        <v>15 Seat Bus</v>
      </c>
      <c r="H80" s="24" t="str">
        <f>_xlfn.XLOOKUP(Table134526_79101120212223242526[[#This Row],[Name Surname]],Manpower!$C$4:$C$1048576,Manpower!$H$4:$H$1048576,"")</f>
        <v>Equipment</v>
      </c>
      <c r="I80" s="24" t="str">
        <f>_xlfn.XLOOKUP(Table134526_79101120212223242526[[#This Row],[Name Surname]],Manpower!$C$4:$C$1048576,Manpower!$H$4:$H$1048576,"")</f>
        <v>Equipment</v>
      </c>
      <c r="J80" s="21" t="s">
        <v>143</v>
      </c>
      <c r="K80" s="21" t="s">
        <v>26</v>
      </c>
      <c r="L80" s="21" t="s">
        <v>144</v>
      </c>
      <c r="M80" s="21" t="s">
        <v>24</v>
      </c>
      <c r="N80" s="29">
        <v>8</v>
      </c>
      <c r="O80" s="21" t="s">
        <v>138</v>
      </c>
      <c r="P80" s="21" t="s">
        <v>138</v>
      </c>
      <c r="Q80" s="21" t="s">
        <v>138</v>
      </c>
      <c r="R80" s="21" t="s">
        <v>26</v>
      </c>
    </row>
    <row r="81" spans="1:19" ht="14.4">
      <c r="A81" s="33">
        <f>IF(C81="","",MAX($A$1:A79)+1)</f>
        <v>71</v>
      </c>
      <c r="B81" s="27" t="s">
        <v>141</v>
      </c>
      <c r="C81" s="23">
        <v>46082</v>
      </c>
      <c r="D81" s="24" t="str">
        <f>_xlfn.XLOOKUP(Table134526_79101120212223242526[[#This Row],[Name Surname]],Manpower!$C$4:$C$1048576,Manpower!$B$4:$B$1048576,"")</f>
        <v>Nass Group</v>
      </c>
      <c r="E81" s="23" t="s">
        <v>146</v>
      </c>
      <c r="F81" s="12" t="e">
        <f>_xlfn.XLOOKUP(Table134526_79101120212223242526[[#This Row],[Name Surname]],Manpower!C:C,Manpower!D:D,)</f>
        <v>#N/A</v>
      </c>
      <c r="G81" s="24" t="str">
        <f>_xlfn.XLOOKUP(Table134526_79101120212223242526[[#This Row],[Name Surname]],Manpower!$C$4:$C$1048576,Manpower!$F$4:$F$1048576,"")</f>
        <v>130T Crawler Crane</v>
      </c>
      <c r="H81" s="24" t="str">
        <f>_xlfn.XLOOKUP(Table134526_79101120212223242526[[#This Row],[Name Surname]],Manpower!$C$4:$C$1048576,Manpower!$H$4:$H$1048576,"")</f>
        <v>Equipment</v>
      </c>
      <c r="I81" s="24" t="str">
        <f>_xlfn.XLOOKUP(Table134526_79101120212223242526[[#This Row],[Name Surname]],Manpower!$C$4:$C$1048576,Manpower!$H$4:$H$1048576,"")</f>
        <v>Equipment</v>
      </c>
      <c r="J81" s="21" t="s">
        <v>143</v>
      </c>
      <c r="K81" s="21" t="s">
        <v>26</v>
      </c>
      <c r="L81" s="21" t="s">
        <v>144</v>
      </c>
      <c r="M81" s="21" t="s">
        <v>55</v>
      </c>
      <c r="N81" s="29">
        <v>8</v>
      </c>
      <c r="R81" s="21" t="s">
        <v>147</v>
      </c>
    </row>
    <row r="82" spans="1:19" ht="14.4">
      <c r="A82" s="33">
        <f>IF(C82="","",MAX($A$1:A81)+1)</f>
        <v>72</v>
      </c>
      <c r="B82" s="27" t="s">
        <v>141</v>
      </c>
      <c r="C82" s="23">
        <v>46082</v>
      </c>
      <c r="D82" s="24" t="str">
        <f>_xlfn.XLOOKUP(Table134526_79101120212223242526[[#This Row],[Name Surname]],Manpower!$C$4:$C$1048576,Manpower!$B$4:$B$1048576,"")</f>
        <v>Nass Group</v>
      </c>
      <c r="E82" s="23" t="s">
        <v>148</v>
      </c>
      <c r="F82" s="12" t="e">
        <f>_xlfn.XLOOKUP(Table134526_79101120212223242526[[#This Row],[Name Surname]],Manpower!C:C,Manpower!D:D,)</f>
        <v>#N/A</v>
      </c>
      <c r="G82" s="24" t="str">
        <f>_xlfn.XLOOKUP(Table134526_79101120212223242526[[#This Row],[Name Surname]],Manpower!$C$4:$C$1048576,Manpower!$F$4:$F$1048576,"")</f>
        <v>70T-Telescopic crane</v>
      </c>
      <c r="H82" s="24" t="str">
        <f>_xlfn.XLOOKUP(Table134526_79101120212223242526[[#This Row],[Name Surname]],Manpower!$C$4:$C$1048576,Manpower!$H$4:$H$1048576,"")</f>
        <v>Equipment</v>
      </c>
      <c r="I82" s="24" t="str">
        <f>_xlfn.XLOOKUP(Table134526_79101120212223242526[[#This Row],[Name Surname]],Manpower!$C$4:$C$1048576,Manpower!$H$4:$H$1048576,"")</f>
        <v>Equipment</v>
      </c>
      <c r="J82" s="21" t="s">
        <v>143</v>
      </c>
      <c r="K82" s="21" t="s">
        <v>26</v>
      </c>
      <c r="L82" s="21" t="s">
        <v>144</v>
      </c>
      <c r="M82" s="21" t="s">
        <v>24</v>
      </c>
      <c r="N82" s="29">
        <v>8</v>
      </c>
      <c r="O82" s="21" t="s">
        <v>40</v>
      </c>
      <c r="P82" s="21" t="s">
        <v>42</v>
      </c>
      <c r="Q82" s="21" t="s">
        <v>42</v>
      </c>
      <c r="R82" s="21" t="s">
        <v>149</v>
      </c>
    </row>
    <row r="83" spans="1:19" ht="14.4">
      <c r="A83" s="33">
        <f>IF(C83="","",MAX($A$1:A82)+1)</f>
        <v>73</v>
      </c>
      <c r="B83" s="27" t="s">
        <v>141</v>
      </c>
      <c r="C83" s="23">
        <v>46082</v>
      </c>
      <c r="D83" s="24" t="str">
        <f>_xlfn.XLOOKUP(Table134526_79101120212223242526[[#This Row],[Name Surname]],Manpower!$C$4:$C$1048576,Manpower!$B$4:$B$1048576,"")</f>
        <v>Encogroup</v>
      </c>
      <c r="E83" s="23" t="s">
        <v>150</v>
      </c>
      <c r="F83" s="12" t="e">
        <f>_xlfn.XLOOKUP(Table134526_79101120212223242526[[#This Row],[Name Surname]],Manpower!C:C,Manpower!D:D,)</f>
        <v>#N/A</v>
      </c>
      <c r="G83" s="24" t="str">
        <f>_xlfn.XLOOKUP(Table134526_79101120212223242526[[#This Row],[Name Surname]],Manpower!$C$4:$C$1048576,Manpower!$F$4:$F$1048576,"")</f>
        <v>14T Fork lift</v>
      </c>
      <c r="H83" s="24" t="str">
        <f>_xlfn.XLOOKUP(Table134526_79101120212223242526[[#This Row],[Name Surname]],Manpower!$C$4:$C$1048576,Manpower!$H$4:$H$1048576,"")</f>
        <v>Equipment</v>
      </c>
      <c r="I83" s="24" t="str">
        <f>_xlfn.XLOOKUP(Table134526_79101120212223242526[[#This Row],[Name Surname]],Manpower!$C$4:$C$1048576,Manpower!$H$4:$H$1048576,"")</f>
        <v>Equipment</v>
      </c>
      <c r="J83" s="21" t="s">
        <v>143</v>
      </c>
      <c r="K83" s="21" t="s">
        <v>26</v>
      </c>
      <c r="L83" s="21" t="s">
        <v>144</v>
      </c>
      <c r="M83" s="21" t="s">
        <v>24</v>
      </c>
      <c r="N83" s="29">
        <v>8</v>
      </c>
      <c r="O83" s="21" t="s">
        <v>40</v>
      </c>
      <c r="P83" s="21" t="s">
        <v>40</v>
      </c>
      <c r="Q83" s="21" t="s">
        <v>40</v>
      </c>
      <c r="R83" s="21" t="s">
        <v>26</v>
      </c>
    </row>
    <row r="84" spans="1:19" ht="14.4">
      <c r="A84" s="33">
        <f>IF(C84="","",MAX($A$1:A83)+1)</f>
        <v>74</v>
      </c>
      <c r="B84" s="27" t="s">
        <v>141</v>
      </c>
      <c r="C84" s="23">
        <v>46082</v>
      </c>
      <c r="D84" s="24" t="str">
        <f>_xlfn.XLOOKUP(Table134526_79101120212223242526[[#This Row],[Name Surname]],Manpower!$C$4:$C$1048576,Manpower!$B$4:$B$1048576,"")</f>
        <v>Al Jaber Heavy Lift</v>
      </c>
      <c r="E84" s="23" t="s">
        <v>151</v>
      </c>
      <c r="F84" s="12" t="e">
        <f>_xlfn.XLOOKUP(Table134526_79101120212223242526[[#This Row],[Name Surname]],Manpower!C:C,Manpower!D:D,)</f>
        <v>#N/A</v>
      </c>
      <c r="G84" s="24" t="str">
        <f>_xlfn.XLOOKUP(Table134526_79101120212223242526[[#This Row],[Name Surname]],Manpower!$C$4:$C$1048576,Manpower!$F$4:$F$1048576,"")</f>
        <v>150T-Crawler Crane</v>
      </c>
      <c r="H84" s="24" t="str">
        <f>_xlfn.XLOOKUP(Table134526_79101120212223242526[[#This Row],[Name Surname]],Manpower!$C$4:$C$1048576,Manpower!$H$4:$H$1048576,"")</f>
        <v>Equipment</v>
      </c>
      <c r="I84" s="24" t="str">
        <f>_xlfn.XLOOKUP(Table134526_79101120212223242526[[#This Row],[Name Surname]],Manpower!$C$4:$C$1048576,Manpower!$H$4:$H$1048576,"")</f>
        <v>Equipment</v>
      </c>
      <c r="J84" s="21" t="s">
        <v>143</v>
      </c>
      <c r="K84" s="21" t="s">
        <v>26</v>
      </c>
      <c r="L84" s="21" t="s">
        <v>144</v>
      </c>
      <c r="M84" s="21" t="s">
        <v>55</v>
      </c>
      <c r="N84" s="29">
        <v>6</v>
      </c>
      <c r="R84" s="21" t="s">
        <v>152</v>
      </c>
    </row>
    <row r="85" spans="1:19" ht="14.4">
      <c r="A85" s="33">
        <f>IF(C85="","",MAX($A$1:A84)+1)</f>
        <v>75</v>
      </c>
      <c r="B85" s="27" t="s">
        <v>141</v>
      </c>
      <c r="C85" s="23">
        <v>46082</v>
      </c>
      <c r="D85" s="24" t="str">
        <f>_xlfn.XLOOKUP(Table134526_79101120212223242526[[#This Row],[Name Surname]],Manpower!$C$4:$C$1048576,Manpower!$B$4:$B$1048576,"")</f>
        <v>Encogroup</v>
      </c>
      <c r="E85" s="23" t="s">
        <v>153</v>
      </c>
      <c r="F85" s="12" t="e">
        <f>_xlfn.XLOOKUP(Table134526_79101120212223242526[[#This Row],[Name Surname]],Manpower!C:C,Manpower!D:D,)</f>
        <v>#N/A</v>
      </c>
      <c r="G85" s="24" t="str">
        <f>_xlfn.XLOOKUP(Table134526_79101120212223242526[[#This Row],[Name Surname]],Manpower!$C$4:$C$1048576,Manpower!$F$4:$F$1048576,"")</f>
        <v>22 Seat Bus</v>
      </c>
      <c r="H85" s="24" t="str">
        <f>_xlfn.XLOOKUP(Table134526_79101120212223242526[[#This Row],[Name Surname]],Manpower!$C$4:$C$1048576,Manpower!$H$4:$H$1048576,"")</f>
        <v>Equipment</v>
      </c>
      <c r="I85" s="24" t="str">
        <f>_xlfn.XLOOKUP(Table134526_79101120212223242526[[#This Row],[Name Surname]],Manpower!$C$4:$C$1048576,Manpower!$H$4:$H$1048576,"")</f>
        <v>Equipment</v>
      </c>
      <c r="J85" s="21" t="s">
        <v>143</v>
      </c>
      <c r="K85" s="21" t="s">
        <v>26</v>
      </c>
      <c r="L85" s="21" t="s">
        <v>144</v>
      </c>
      <c r="M85" s="21" t="s">
        <v>24</v>
      </c>
      <c r="N85" s="29">
        <v>8</v>
      </c>
      <c r="O85" s="21" t="s">
        <v>138</v>
      </c>
      <c r="P85" s="21" t="s">
        <v>138</v>
      </c>
      <c r="Q85" s="21" t="s">
        <v>138</v>
      </c>
      <c r="R85" s="21" t="s">
        <v>26</v>
      </c>
    </row>
    <row r="86" spans="1:19" ht="14.4">
      <c r="A86" s="33">
        <f>IF(C86="","",MAX($A$1:A85)+1)</f>
        <v>76</v>
      </c>
      <c r="B86" s="27" t="s">
        <v>141</v>
      </c>
      <c r="C86" s="23">
        <v>46082</v>
      </c>
      <c r="D86" s="24" t="str">
        <f>_xlfn.XLOOKUP(Table134526_79101120212223242526[[#This Row],[Name Surname]],Manpower!$C$4:$C$1048576,Manpower!$B$4:$B$1048576,"")</f>
        <v>Encogroup</v>
      </c>
      <c r="E86" s="23" t="s">
        <v>154</v>
      </c>
      <c r="F86" s="12" t="e">
        <f>_xlfn.XLOOKUP(Table134526_79101120212223242526[[#This Row],[Name Surname]],Manpower!C:C,Manpower!D:D,)</f>
        <v>#N/A</v>
      </c>
      <c r="G86" s="24" t="str">
        <f>_xlfn.XLOOKUP(Table134526_79101120212223242526[[#This Row],[Name Surname]],Manpower!$C$4:$C$1048576,Manpower!$F$4:$F$1048576,"")</f>
        <v>22 Seat Bus</v>
      </c>
      <c r="H86" s="24" t="str">
        <f>_xlfn.XLOOKUP(Table134526_79101120212223242526[[#This Row],[Name Surname]],Manpower!$C$4:$C$1048576,Manpower!$H$4:$H$1048576,"")</f>
        <v>Equipment</v>
      </c>
      <c r="I86" s="24" t="str">
        <f>_xlfn.XLOOKUP(Table134526_79101120212223242526[[#This Row],[Name Surname]],Manpower!$C$4:$C$1048576,Manpower!$H$4:$H$1048576,"")</f>
        <v>Equipment</v>
      </c>
      <c r="J86" s="21" t="s">
        <v>143</v>
      </c>
      <c r="K86" s="21" t="s">
        <v>26</v>
      </c>
      <c r="L86" s="21" t="s">
        <v>144</v>
      </c>
      <c r="M86" s="21" t="s">
        <v>24</v>
      </c>
      <c r="N86" s="29">
        <v>8</v>
      </c>
      <c r="O86" s="21" t="s">
        <v>138</v>
      </c>
      <c r="P86" s="21" t="s">
        <v>138</v>
      </c>
      <c r="Q86" s="21" t="s">
        <v>138</v>
      </c>
      <c r="R86" s="21" t="s">
        <v>26</v>
      </c>
    </row>
    <row r="87" spans="1:19" ht="14.4">
      <c r="A87" s="33">
        <f>IF(C87="","",MAX($A$1:A86)+1)</f>
        <v>77</v>
      </c>
      <c r="B87" s="27" t="s">
        <v>141</v>
      </c>
      <c r="C87" s="23">
        <v>46082</v>
      </c>
      <c r="D87" s="24" t="str">
        <f>_xlfn.XLOOKUP(Table134526_79101120212223242526[[#This Row],[Name Surname]],Manpower!$C$4:$C$1048576,Manpower!$B$4:$B$1048576,"")</f>
        <v>Encogroup</v>
      </c>
      <c r="E87" s="23" t="s">
        <v>155</v>
      </c>
      <c r="F87" s="12" t="e">
        <f>_xlfn.XLOOKUP(Table134526_79101120212223242526[[#This Row],[Name Surname]],Manpower!C:C,Manpower!D:D,)</f>
        <v>#N/A</v>
      </c>
      <c r="G87" s="24" t="str">
        <f>_xlfn.XLOOKUP(Table134526_79101120212223242526[[#This Row],[Name Surname]],Manpower!$C$4:$C$1048576,Manpower!$F$4:$F$1048576,"")</f>
        <v>300 KVA Generator</v>
      </c>
      <c r="H87" s="24" t="str">
        <f>_xlfn.XLOOKUP(Table134526_79101120212223242526[[#This Row],[Name Surname]],Manpower!$C$4:$C$1048576,Manpower!$H$4:$H$1048576,"")</f>
        <v>Equipment</v>
      </c>
      <c r="I87" s="24" t="str">
        <f>_xlfn.XLOOKUP(Table134526_79101120212223242526[[#This Row],[Name Surname]],Manpower!$C$4:$C$1048576,Manpower!$H$4:$H$1048576,"")</f>
        <v>Equipment</v>
      </c>
      <c r="J87" s="21" t="s">
        <v>143</v>
      </c>
      <c r="K87" s="21" t="s">
        <v>26</v>
      </c>
      <c r="L87" s="21" t="s">
        <v>144</v>
      </c>
      <c r="M87" s="21" t="s">
        <v>24</v>
      </c>
      <c r="N87" s="29">
        <v>8</v>
      </c>
      <c r="R87" s="21" t="s">
        <v>26</v>
      </c>
    </row>
    <row r="88" spans="1:19" ht="14.4">
      <c r="A88" s="33">
        <f>IF(C88="","",MAX($A$1:A87)+1)</f>
        <v>78</v>
      </c>
      <c r="B88" s="27" t="s">
        <v>141</v>
      </c>
      <c r="C88" s="23">
        <v>46082</v>
      </c>
      <c r="D88" s="24" t="str">
        <f>_xlfn.XLOOKUP(Table134526_79101120212223242526[[#This Row],[Name Surname]],Manpower!$C$4:$C$1048576,Manpower!$B$4:$B$1048576,"")</f>
        <v>Encogroup</v>
      </c>
      <c r="E88" s="23" t="s">
        <v>156</v>
      </c>
      <c r="F88" s="12" t="e">
        <f>_xlfn.XLOOKUP(Table134526_79101120212223242526[[#This Row],[Name Surname]],Manpower!C:C,Manpower!D:D,)</f>
        <v>#N/A</v>
      </c>
      <c r="G88" s="24" t="str">
        <f>_xlfn.XLOOKUP(Table134526_79101120212223242526[[#This Row],[Name Surname]],Manpower!$C$4:$C$1048576,Manpower!$F$4:$F$1048576,"")</f>
        <v>35 KVA Generator</v>
      </c>
      <c r="H88" s="24" t="str">
        <f>_xlfn.XLOOKUP(Table134526_79101120212223242526[[#This Row],[Name Surname]],Manpower!$C$4:$C$1048576,Manpower!$H$4:$H$1048576,"")</f>
        <v>Equipment</v>
      </c>
      <c r="I88" s="24" t="str">
        <f>_xlfn.XLOOKUP(Table134526_79101120212223242526[[#This Row],[Name Surname]],Manpower!$C$4:$C$1048576,Manpower!$H$4:$H$1048576,"")</f>
        <v>Equipment</v>
      </c>
      <c r="J88" s="21" t="s">
        <v>143</v>
      </c>
      <c r="K88" s="21" t="s">
        <v>26</v>
      </c>
      <c r="L88" s="21" t="s">
        <v>144</v>
      </c>
      <c r="M88" s="21" t="s">
        <v>55</v>
      </c>
      <c r="N88" s="29">
        <v>8</v>
      </c>
      <c r="R88" s="21" t="s">
        <v>26</v>
      </c>
    </row>
    <row r="89" spans="1:19" ht="14.4" hidden="1">
      <c r="A89" s="33">
        <f>IF(C89="","",MAX($A$1:A88)+1)</f>
        <v>79</v>
      </c>
      <c r="B89" s="27" t="s">
        <v>141</v>
      </c>
      <c r="C89" s="23">
        <v>46082</v>
      </c>
      <c r="D89" s="24" t="str">
        <f>_xlfn.XLOOKUP(Table134526_79101120212223242526[[#This Row],[Name Surname]],Manpower!$C$4:$C$1048576,Manpower!$B$4:$B$1048576,"")</f>
        <v>Encogroup</v>
      </c>
      <c r="E89" s="23" t="s">
        <v>157</v>
      </c>
      <c r="F89" s="12">
        <f>_xlfn.XLOOKUP(Table134526_79101120212223242526[[#This Row],[Name Surname]],Manpower!C:C,Manpower!D:D,)</f>
        <v>140742144</v>
      </c>
      <c r="G89" s="24" t="str">
        <f>_xlfn.XLOOKUP(Table134526_79101120212223242526[[#This Row],[Name Surname]],Manpower!$C$4:$C$1048576,Manpower!$F$4:$F$1048576,"")</f>
        <v>Assistant/Helper</v>
      </c>
      <c r="H89" s="24" t="str">
        <f>_xlfn.XLOOKUP(Table134526_79101120212223242526[[#This Row],[Name Surname]],Manpower!$C$4:$C$1048576,Manpower!$H$4:$H$1048576,"")</f>
        <v>Manpower</v>
      </c>
      <c r="I89" s="24" t="str">
        <f>_xlfn.XLOOKUP(Table134526_79101120212223242526[[#This Row],[Name Surname]],Manpower!$C$4:$C$1048576,Manpower!$H$4:$H$1048576,"")</f>
        <v>Manpower</v>
      </c>
      <c r="J89" s="21" t="s">
        <v>158</v>
      </c>
      <c r="K89" s="21" t="s">
        <v>26</v>
      </c>
      <c r="L89" s="21" t="s">
        <v>26</v>
      </c>
      <c r="M89" s="21" t="s">
        <v>24</v>
      </c>
      <c r="N89" s="29">
        <v>8</v>
      </c>
      <c r="O89" s="21" t="s">
        <v>159</v>
      </c>
      <c r="P89" s="21" t="s">
        <v>160</v>
      </c>
      <c r="Q89" s="21" t="s">
        <v>160</v>
      </c>
      <c r="R89" s="21" t="s">
        <v>161</v>
      </c>
    </row>
    <row r="90" spans="1:19" s="45" customFormat="1" ht="14.4" hidden="1">
      <c r="A90" s="25">
        <f>IF(C90="","",MAX($A$1:A89)+1)</f>
        <v>80</v>
      </c>
      <c r="B90" s="25" t="s">
        <v>141</v>
      </c>
      <c r="C90" s="41">
        <v>46082</v>
      </c>
      <c r="D90" s="42" t="str">
        <f>_xlfn.XLOOKUP(Table134526_79101120212223242526[[#This Row],[Name Surname]],Manpower!$C$4:$C$1048576,Manpower!$B$4:$B$1048576,"")</f>
        <v>SARENS NASS</v>
      </c>
      <c r="E90" s="41" t="s">
        <v>162</v>
      </c>
      <c r="F90" s="12">
        <f>_xlfn.XLOOKUP(Table134526_79101120212223242526[[#This Row],[Name Surname]],Manpower!C:C,Manpower!D:D,)</f>
        <v>78753612</v>
      </c>
      <c r="G90" s="42" t="str">
        <f>_xlfn.XLOOKUP(Table134526_79101120212223242526[[#This Row],[Name Surname]],Manpower!$C$4:$C$1048576,Manpower!$F$4:$F$1048576,"")</f>
        <v>Crane Operator- 70T Liebherr Telescopic Crane-02</v>
      </c>
      <c r="H90" s="42" t="s">
        <v>39</v>
      </c>
      <c r="I90" s="42" t="s">
        <v>39</v>
      </c>
      <c r="J90" s="43" t="s">
        <v>143</v>
      </c>
      <c r="K90" s="43" t="s">
        <v>26</v>
      </c>
      <c r="L90" s="43" t="s">
        <v>144</v>
      </c>
      <c r="M90" s="43" t="s">
        <v>24</v>
      </c>
      <c r="N90" s="44">
        <v>8</v>
      </c>
      <c r="O90" s="43" t="s">
        <v>42</v>
      </c>
      <c r="P90" s="43" t="s">
        <v>42</v>
      </c>
      <c r="Q90" s="43" t="s">
        <v>42</v>
      </c>
      <c r="R90" s="43" t="s">
        <v>163</v>
      </c>
      <c r="S90" s="43"/>
    </row>
    <row r="91" spans="1:19" s="45" customFormat="1" ht="14.4" hidden="1">
      <c r="A91" s="25">
        <f>IF(C91="","",MAX($A$1:A90)+1)</f>
        <v>81</v>
      </c>
      <c r="B91" s="25" t="s">
        <v>141</v>
      </c>
      <c r="C91" s="41">
        <v>46082</v>
      </c>
      <c r="D91" s="42" t="str">
        <f>_xlfn.XLOOKUP(Table134526_79101120212223242526[[#This Row],[Name Surname]],Manpower!$C$4:$C$1048576,Manpower!$B$4:$B$1048576,"")</f>
        <v>Al Jaber Heavy Lift</v>
      </c>
      <c r="E91" s="41" t="s">
        <v>164</v>
      </c>
      <c r="F91" s="12">
        <f>_xlfn.XLOOKUP(Table134526_79101120212223242526[[#This Row],[Name Surname]],Manpower!C:C,Manpower!D:D,)</f>
        <v>112778626</v>
      </c>
      <c r="G91" s="42" t="str">
        <f>_xlfn.XLOOKUP(Table134526_79101120212223242526[[#This Row],[Name Surname]],Manpower!$C$4:$C$1048576,Manpower!$F$4:$F$1048576,"")</f>
        <v>Crane Operator-150T Hitachi Crawler</v>
      </c>
      <c r="H91" s="42" t="s">
        <v>39</v>
      </c>
      <c r="I91" s="42" t="s">
        <v>39</v>
      </c>
      <c r="J91" s="43" t="s">
        <v>143</v>
      </c>
      <c r="K91" s="43" t="s">
        <v>26</v>
      </c>
      <c r="L91" s="43" t="s">
        <v>144</v>
      </c>
      <c r="M91" s="43" t="s">
        <v>55</v>
      </c>
      <c r="N91" s="44">
        <v>6</v>
      </c>
      <c r="O91" s="43" t="s">
        <v>42</v>
      </c>
      <c r="P91" s="43" t="s">
        <v>42</v>
      </c>
      <c r="Q91" s="43" t="s">
        <v>42</v>
      </c>
      <c r="R91" s="43" t="s">
        <v>163</v>
      </c>
      <c r="S91" s="43"/>
    </row>
    <row r="92" spans="1:19" s="45" customFormat="1" ht="14.4" hidden="1">
      <c r="A92" s="25">
        <f>IF(C92="","",MAX($A$1:A91)+1)</f>
        <v>82</v>
      </c>
      <c r="B92" s="25" t="s">
        <v>141</v>
      </c>
      <c r="C92" s="41">
        <v>46082</v>
      </c>
      <c r="D92" s="42" t="str">
        <f>_xlfn.XLOOKUP(Table134526_79101120212223242526[[#This Row],[Name Surname]],Manpower!$C$4:$C$1048576,Manpower!$B$4:$B$1048576,"")</f>
        <v>Bright Light</v>
      </c>
      <c r="E92" s="41" t="s">
        <v>165</v>
      </c>
      <c r="F92" s="12">
        <f>_xlfn.XLOOKUP(Table134526_79101120212223242526[[#This Row],[Name Surname]],Manpower!C:C,Manpower!D:D,)</f>
        <v>122771611</v>
      </c>
      <c r="G92" s="42" t="str">
        <f>_xlfn.XLOOKUP(Table134526_79101120212223242526[[#This Row],[Name Surname]],Manpower!$C$4:$C$1048576,Manpower!$F$4:$F$1048576,"")</f>
        <v>Mechanic</v>
      </c>
      <c r="H92" s="42" t="str">
        <f>_xlfn.XLOOKUP(Table134526_79101120212223242526[[#This Row],[Name Surname]],Manpower!$C$4:$C$1048576,Manpower!$H$4:$H$1048576,"")</f>
        <v>Sub Contactor</v>
      </c>
      <c r="I92" s="42" t="str">
        <f>_xlfn.XLOOKUP(Table134526_79101120212223242526[[#This Row],[Name Surname]],Manpower!$C$4:$C$1048576,Manpower!$H$4:$H$1048576,"")</f>
        <v>Sub Contactor</v>
      </c>
      <c r="J92" s="43" t="s">
        <v>143</v>
      </c>
      <c r="K92" s="43" t="s">
        <v>26</v>
      </c>
      <c r="L92" s="43" t="s">
        <v>144</v>
      </c>
      <c r="M92" s="43" t="s">
        <v>24</v>
      </c>
      <c r="N92" s="44">
        <v>8</v>
      </c>
      <c r="O92" s="43" t="s">
        <v>42</v>
      </c>
      <c r="P92" s="43" t="s">
        <v>42</v>
      </c>
      <c r="Q92" s="43" t="s">
        <v>42</v>
      </c>
      <c r="R92" s="43" t="s">
        <v>163</v>
      </c>
      <c r="S92" s="51"/>
    </row>
    <row r="93" spans="1:19" ht="14.4" hidden="1">
      <c r="A93" s="33">
        <f>IF(C93="","",MAX($A$1:A91)+1)</f>
        <v>82</v>
      </c>
      <c r="B93" s="27" t="s">
        <v>141</v>
      </c>
      <c r="C93" s="23">
        <v>46082</v>
      </c>
      <c r="D93" s="17" t="str">
        <f>_xlfn.XLOOKUP(Table134526_79101120212223242526[[#This Row],[Name Surname]],Manpower!$C$4:$C$1048576,Manpower!$B$4:$B$1048576,"")</f>
        <v>Encogroup</v>
      </c>
      <c r="E93" s="18" t="s">
        <v>166</v>
      </c>
      <c r="F93" s="12" t="str">
        <f>_xlfn.XLOOKUP(Table134526_79101120212223242526[[#This Row],[Name Surname]],Manpower!C:C,Manpower!D:D,)</f>
        <v>U4181508</v>
      </c>
      <c r="G93" s="17" t="str">
        <f>_xlfn.XLOOKUP(Table134526_79101120212223242526[[#This Row],[Name Surname]],Manpower!$C$4:$C$1048576,Manpower!$F$4:$F$1048576,"")</f>
        <v>Welder</v>
      </c>
      <c r="H93" s="17" t="str">
        <f>_xlfn.XLOOKUP(Table134526_79101120212223242526[[#This Row],[Name Surname]],Manpower!$C$4:$C$1048576,Manpower!$H$4:$H$1048576,"")</f>
        <v>Manpower</v>
      </c>
      <c r="I93" s="24" t="str">
        <f>_xlfn.XLOOKUP(Table134526_79101120212223242526[[#This Row],[Name Surname]],Manpower!$C$4:$C$1048576,Manpower!$H$4:$H$1048576,"")</f>
        <v>Manpower</v>
      </c>
      <c r="J93" s="21" t="s">
        <v>143</v>
      </c>
      <c r="K93" s="21" t="s">
        <v>26</v>
      </c>
      <c r="L93" s="21" t="s">
        <v>144</v>
      </c>
      <c r="M93" s="21" t="s">
        <v>24</v>
      </c>
      <c r="N93" s="29">
        <v>8</v>
      </c>
      <c r="O93" s="21" t="s">
        <v>40</v>
      </c>
      <c r="P93" s="21" t="s">
        <v>42</v>
      </c>
      <c r="Q93" s="21" t="s">
        <v>42</v>
      </c>
      <c r="R93" s="21" t="s">
        <v>26</v>
      </c>
    </row>
    <row r="94" spans="1:19" s="45" customFormat="1" ht="14.4" hidden="1">
      <c r="A94" s="25">
        <f>IF(C94="","",MAX($A$1:A93)+1)</f>
        <v>83</v>
      </c>
      <c r="B94" s="25" t="s">
        <v>141</v>
      </c>
      <c r="C94" s="41">
        <v>46082</v>
      </c>
      <c r="D94" s="42" t="str">
        <f>_xlfn.XLOOKUP(Table134526_79101120212223242526[[#This Row],[Name Surname]],Manpower!$C$4:$C$1048576,Manpower!$B$4:$B$1048576,"")</f>
        <v>Encogroup</v>
      </c>
      <c r="E94" s="41" t="s">
        <v>167</v>
      </c>
      <c r="F94" s="12">
        <f>_xlfn.XLOOKUP(Table134526_79101120212223242526[[#This Row],[Name Surname]],Manpower!C:C,Manpower!D:D,)</f>
        <v>125440631</v>
      </c>
      <c r="G94" s="42" t="str">
        <f>_xlfn.XLOOKUP(Table134526_79101120212223242526[[#This Row],[Name Surname]],Manpower!$C$4:$C$1048576,Manpower!$F$4:$F$1048576,"")</f>
        <v>Rigger</v>
      </c>
      <c r="H94" s="42" t="str">
        <f>_xlfn.XLOOKUP(Table134526_79101120212223242526[[#This Row],[Name Surname]],Manpower!$C$4:$C$1048576,Manpower!$H$4:$H$1048576,"")</f>
        <v>Manpower</v>
      </c>
      <c r="I94" s="42" t="str">
        <f>_xlfn.XLOOKUP(Table134526_79101120212223242526[[#This Row],[Name Surname]],Manpower!$C$4:$C$1048576,Manpower!$H$4:$H$1048576,"")</f>
        <v>Manpower</v>
      </c>
      <c r="J94" s="43" t="s">
        <v>143</v>
      </c>
      <c r="K94" s="43" t="s">
        <v>26</v>
      </c>
      <c r="L94" s="43" t="s">
        <v>144</v>
      </c>
      <c r="M94" s="43" t="s">
        <v>24</v>
      </c>
      <c r="N94" s="44">
        <v>8</v>
      </c>
      <c r="O94" s="43" t="s">
        <v>40</v>
      </c>
      <c r="P94" s="43" t="s">
        <v>42</v>
      </c>
      <c r="Q94" s="43" t="s">
        <v>42</v>
      </c>
      <c r="R94" s="43" t="s">
        <v>149</v>
      </c>
      <c r="S94" s="43"/>
    </row>
    <row r="95" spans="1:19" s="45" customFormat="1" ht="14.4" hidden="1">
      <c r="A95" s="25">
        <f>IF(C95="","",MAX($A$1:A94)+1)</f>
        <v>84</v>
      </c>
      <c r="B95" s="25" t="s">
        <v>141</v>
      </c>
      <c r="C95" s="41">
        <v>46082</v>
      </c>
      <c r="D95" s="42" t="str">
        <f>_xlfn.XLOOKUP(Table134526_79101120212223242526[[#This Row],[Name Surname]],Manpower!$C$4:$C$1048576,Manpower!$B$4:$B$1048576,"")</f>
        <v>Encogroup</v>
      </c>
      <c r="E95" s="41" t="s">
        <v>168</v>
      </c>
      <c r="F95" s="12">
        <f>_xlfn.XLOOKUP(Table134526_79101120212223242526[[#This Row],[Name Surname]],Manpower!C:C,Manpower!D:D,)</f>
        <v>137114773</v>
      </c>
      <c r="G95" s="42" t="str">
        <f>_xlfn.XLOOKUP(Table134526_79101120212223242526[[#This Row],[Name Surname]],Manpower!$C$4:$C$1048576,Manpower!$F$4:$F$1048576,"")</f>
        <v>Rigger</v>
      </c>
      <c r="H95" s="42" t="str">
        <f>_xlfn.XLOOKUP(Table134526_79101120212223242526[[#This Row],[Name Surname]],Manpower!$C$4:$C$1048576,Manpower!$H$4:$H$1048576,"")</f>
        <v>Manpower</v>
      </c>
      <c r="I95" s="42" t="str">
        <f>_xlfn.XLOOKUP(Table134526_79101120212223242526[[#This Row],[Name Surname]],Manpower!$C$4:$C$1048576,Manpower!$H$4:$H$1048576,"")</f>
        <v>Manpower</v>
      </c>
      <c r="J95" s="43" t="s">
        <v>143</v>
      </c>
      <c r="K95" s="43" t="s">
        <v>26</v>
      </c>
      <c r="L95" s="43" t="s">
        <v>144</v>
      </c>
      <c r="M95" s="43" t="s">
        <v>24</v>
      </c>
      <c r="N95" s="44">
        <v>8</v>
      </c>
      <c r="O95" s="43" t="s">
        <v>40</v>
      </c>
      <c r="P95" s="43" t="s">
        <v>42</v>
      </c>
      <c r="Q95" s="43" t="s">
        <v>42</v>
      </c>
      <c r="R95" s="43" t="s">
        <v>149</v>
      </c>
      <c r="S95" s="43"/>
    </row>
    <row r="96" spans="1:19" ht="14.4" hidden="1">
      <c r="A96" s="33">
        <f>IF(C96="","",MAX($A$1:A94)+1)</f>
        <v>84</v>
      </c>
      <c r="B96" s="27" t="s">
        <v>141</v>
      </c>
      <c r="C96" s="23">
        <v>46082</v>
      </c>
      <c r="D96" s="24" t="str">
        <f>_xlfn.XLOOKUP(Table134526_79101120212223242526[[#This Row],[Name Surname]],Manpower!$C$4:$C$1048576,Manpower!$B$4:$B$1048576,"")</f>
        <v>AL Omar International TRAD AND CONT</v>
      </c>
      <c r="E96" s="23" t="s">
        <v>169</v>
      </c>
      <c r="F96" s="12">
        <f>_xlfn.XLOOKUP(Table134526_79101120212223242526[[#This Row],[Name Surname]],Manpower!C:C,Manpower!D:D,)</f>
        <v>115731078</v>
      </c>
      <c r="G96" s="24" t="str">
        <f>_xlfn.XLOOKUP(Table134526_79101120212223242526[[#This Row],[Name Surname]],Manpower!$C$4:$C$1048576,Manpower!$F$4:$F$1048576,"")</f>
        <v>Scaffolder</v>
      </c>
      <c r="H96" s="24" t="str">
        <f>_xlfn.XLOOKUP(Table134526_79101120212223242526[[#This Row],[Name Surname]],Manpower!$C$4:$C$1048576,Manpower!$H$4:$H$1048576,"")</f>
        <v>Sub Contactor</v>
      </c>
      <c r="I96" s="24" t="str">
        <f>_xlfn.XLOOKUP(Table134526_79101120212223242526[[#This Row],[Name Surname]],Manpower!$C$4:$C$1048576,Manpower!$H$4:$H$1048576,"")</f>
        <v>Sub Contactor</v>
      </c>
      <c r="J96" s="21" t="s">
        <v>143</v>
      </c>
      <c r="K96" s="21" t="s">
        <v>26</v>
      </c>
      <c r="L96" s="21" t="s">
        <v>170</v>
      </c>
      <c r="M96" s="21" t="s">
        <v>24</v>
      </c>
      <c r="N96" s="29">
        <v>8</v>
      </c>
      <c r="O96" s="21" t="s">
        <v>40</v>
      </c>
      <c r="P96" s="21" t="s">
        <v>128</v>
      </c>
      <c r="Q96" s="21" t="s">
        <v>128</v>
      </c>
      <c r="R96" s="21" t="s">
        <v>171</v>
      </c>
    </row>
    <row r="97" spans="1:19" s="45" customFormat="1" ht="14.4" hidden="1">
      <c r="A97" s="25">
        <f>IF(C97="","",MAX($A$1:A96)+1)</f>
        <v>85</v>
      </c>
      <c r="B97" s="25" t="s">
        <v>141</v>
      </c>
      <c r="C97" s="41">
        <v>46082</v>
      </c>
      <c r="D97" s="42" t="str">
        <f>_xlfn.XLOOKUP(Table134526_79101120212223242526[[#This Row],[Name Surname]],Manpower!$C$4:$C$1048576,Manpower!$B$4:$B$1048576,"")</f>
        <v>Encogroup</v>
      </c>
      <c r="E97" s="41" t="s">
        <v>172</v>
      </c>
      <c r="F97" s="12">
        <f>_xlfn.XLOOKUP(Table134526_79101120212223242526[[#This Row],[Name Surname]],Manpower!C:C,Manpower!D:D,)</f>
        <v>140764355</v>
      </c>
      <c r="G97" s="42" t="str">
        <f>_xlfn.XLOOKUP(Table134526_79101120212223242526[[#This Row],[Name Surname]],Manpower!$C$4:$C$1048576,Manpower!$F$4:$F$1048576,"")</f>
        <v>Fitter/Erector</v>
      </c>
      <c r="H97" s="42" t="str">
        <f>_xlfn.XLOOKUP(Table134526_79101120212223242526[[#This Row],[Name Surname]],Manpower!$C$4:$C$1048576,Manpower!$H$4:$H$1048576,"")</f>
        <v>Manpower</v>
      </c>
      <c r="I97" s="42" t="str">
        <f>_xlfn.XLOOKUP(Table134526_79101120212223242526[[#This Row],[Name Surname]],Manpower!$C$4:$C$1048576,Manpower!$H$4:$H$1048576,"")</f>
        <v>Manpower</v>
      </c>
      <c r="J97" s="43" t="s">
        <v>143</v>
      </c>
      <c r="K97" s="43" t="s">
        <v>26</v>
      </c>
      <c r="L97" s="43" t="s">
        <v>144</v>
      </c>
      <c r="M97" s="43" t="s">
        <v>24</v>
      </c>
      <c r="N97" s="44">
        <v>8</v>
      </c>
      <c r="O97" s="43" t="s">
        <v>40</v>
      </c>
      <c r="P97" s="43" t="s">
        <v>42</v>
      </c>
      <c r="Q97" s="43" t="s">
        <v>42</v>
      </c>
      <c r="R97" s="43" t="s">
        <v>149</v>
      </c>
      <c r="S97" s="43"/>
    </row>
    <row r="98" spans="1:19" s="45" customFormat="1" ht="14.4" hidden="1">
      <c r="A98" s="25">
        <f>IF(C98="","",MAX($A$1:A97)+1)</f>
        <v>86</v>
      </c>
      <c r="B98" s="25" t="s">
        <v>141</v>
      </c>
      <c r="C98" s="41">
        <v>46082</v>
      </c>
      <c r="D98" s="42" t="str">
        <f>_xlfn.XLOOKUP(Table134526_79101120212223242526[[#This Row],[Name Surname]],Manpower!$C$4:$C$1048576,Manpower!$B$4:$B$1048576,"")</f>
        <v>Encogroup</v>
      </c>
      <c r="E98" s="41" t="s">
        <v>173</v>
      </c>
      <c r="F98" s="12" t="str">
        <f>_xlfn.XLOOKUP(Table134526_79101120212223242526[[#This Row],[Name Surname]],Manpower!C:C,Manpower!D:D,)</f>
        <v>S3549132</v>
      </c>
      <c r="G98" s="42" t="str">
        <f>_xlfn.XLOOKUP(Table134526_79101120212223242526[[#This Row],[Name Surname]],Manpower!$C$4:$C$1048576,Manpower!$F$4:$F$1048576,"")</f>
        <v>Grinder</v>
      </c>
      <c r="H98" s="42" t="str">
        <f>_xlfn.XLOOKUP(Table134526_79101120212223242526[[#This Row],[Name Surname]],Manpower!$C$4:$C$1048576,Manpower!$H$4:$H$1048576,"")</f>
        <v>Manpower</v>
      </c>
      <c r="I98" s="42" t="str">
        <f>_xlfn.XLOOKUP(Table134526_79101120212223242526[[#This Row],[Name Surname]],Manpower!$C$4:$C$1048576,Manpower!$H$4:$H$1048576,"")</f>
        <v>Manpower</v>
      </c>
      <c r="J98" s="43" t="s">
        <v>143</v>
      </c>
      <c r="K98" s="43" t="s">
        <v>26</v>
      </c>
      <c r="L98" s="43" t="s">
        <v>144</v>
      </c>
      <c r="M98" s="43" t="s">
        <v>24</v>
      </c>
      <c r="N98" s="44">
        <v>8</v>
      </c>
      <c r="O98" s="43" t="s">
        <v>40</v>
      </c>
      <c r="P98" s="43" t="s">
        <v>42</v>
      </c>
      <c r="Q98" s="43" t="s">
        <v>42</v>
      </c>
      <c r="R98" s="43" t="s">
        <v>26</v>
      </c>
      <c r="S98" s="43" t="s">
        <v>174</v>
      </c>
    </row>
    <row r="99" spans="1:19" ht="14.4" hidden="1">
      <c r="A99" s="33">
        <f>IF(C99="","",MAX($A$1:A98)+1)</f>
        <v>87</v>
      </c>
      <c r="B99" s="27" t="s">
        <v>141</v>
      </c>
      <c r="C99" s="23">
        <v>46082</v>
      </c>
      <c r="D99" s="24" t="str">
        <f>_xlfn.XLOOKUP(Table134526_79101120212223242526[[#This Row],[Name Surname]],Manpower!$C$4:$C$1048576,Manpower!$B$4:$B$1048576,"")</f>
        <v>Encogroup</v>
      </c>
      <c r="E99" s="23" t="s">
        <v>175</v>
      </c>
      <c r="F99" s="12">
        <f>_xlfn.XLOOKUP(Table134526_79101120212223242526[[#This Row],[Name Surname]],Manpower!C:C,Manpower!D:D,)</f>
        <v>140742125</v>
      </c>
      <c r="G99" s="24" t="str">
        <f>_xlfn.XLOOKUP(Table134526_79101120212223242526[[#This Row],[Name Surname]],Manpower!$C$4:$C$1048576,Manpower!$F$4:$F$1048576,"")</f>
        <v>Assistant/Helper</v>
      </c>
      <c r="H99" s="24" t="str">
        <f>_xlfn.XLOOKUP(Table134526_79101120212223242526[[#This Row],[Name Surname]],Manpower!$C$4:$C$1048576,Manpower!$H$4:$H$1048576,"")</f>
        <v>Manpower</v>
      </c>
      <c r="I99" s="24" t="str">
        <f>_xlfn.XLOOKUP(Table134526_79101120212223242526[[#This Row],[Name Surname]],Manpower!$C$4:$C$1048576,Manpower!$H$4:$H$1048576,"")</f>
        <v>Manpower</v>
      </c>
      <c r="J99" s="21" t="s">
        <v>158</v>
      </c>
      <c r="K99" s="21" t="s">
        <v>26</v>
      </c>
      <c r="L99" s="21" t="s">
        <v>26</v>
      </c>
      <c r="M99" s="21" t="s">
        <v>24</v>
      </c>
      <c r="N99" s="29">
        <v>8</v>
      </c>
      <c r="O99" s="21" t="s">
        <v>159</v>
      </c>
      <c r="P99" s="21" t="s">
        <v>160</v>
      </c>
      <c r="Q99" s="21" t="s">
        <v>160</v>
      </c>
      <c r="R99" s="21" t="s">
        <v>161</v>
      </c>
    </row>
    <row r="100" spans="1:19" s="45" customFormat="1" ht="14.4" hidden="1">
      <c r="A100" s="25">
        <f>IF(C100="","",MAX($A$1:A99)+1)</f>
        <v>88</v>
      </c>
      <c r="B100" s="25" t="s">
        <v>141</v>
      </c>
      <c r="C100" s="41">
        <v>46082</v>
      </c>
      <c r="D100" s="42" t="str">
        <f>_xlfn.XLOOKUP(Table134526_79101120212223242526[[#This Row],[Name Surname]],Manpower!$C$4:$C$1048576,Manpower!$B$4:$B$1048576,"")</f>
        <v>Encogroup</v>
      </c>
      <c r="E100" s="41" t="s">
        <v>176</v>
      </c>
      <c r="F100" s="12">
        <f>_xlfn.XLOOKUP(Table134526_79101120212223242526[[#This Row],[Name Surname]],Manpower!C:C,Manpower!D:D,)</f>
        <v>124398279</v>
      </c>
      <c r="G100" s="42" t="str">
        <f>_xlfn.XLOOKUP(Table134526_79101120212223242526[[#This Row],[Name Surname]],Manpower!$C$4:$C$1048576,Manpower!$F$4:$F$1048576,"")</f>
        <v>Permit Receiver</v>
      </c>
      <c r="H100" s="42" t="str">
        <f>_xlfn.XLOOKUP(Table134526_79101120212223242526[[#This Row],[Name Surname]],Manpower!$C$4:$C$1048576,Manpower!$H$4:$H$1048576,"")</f>
        <v>Manpower</v>
      </c>
      <c r="I100" s="42" t="str">
        <f>_xlfn.XLOOKUP(Table134526_79101120212223242526[[#This Row],[Name Surname]],Manpower!$C$4:$C$1048576,Manpower!$H$4:$H$1048576,"")</f>
        <v>Manpower</v>
      </c>
      <c r="J100" s="43" t="s">
        <v>143</v>
      </c>
      <c r="K100" s="43" t="s">
        <v>26</v>
      </c>
      <c r="L100" s="43" t="s">
        <v>144</v>
      </c>
      <c r="M100" s="43" t="s">
        <v>24</v>
      </c>
      <c r="N100" s="44">
        <v>8</v>
      </c>
      <c r="O100" s="43" t="s">
        <v>40</v>
      </c>
      <c r="P100" s="43" t="s">
        <v>42</v>
      </c>
      <c r="Q100" s="43" t="s">
        <v>42</v>
      </c>
      <c r="R100" s="43" t="s">
        <v>26</v>
      </c>
      <c r="S100" s="43"/>
    </row>
    <row r="101" spans="1:19" s="45" customFormat="1" ht="14.4" hidden="1">
      <c r="A101" s="25">
        <f>IF(C101="","",MAX($A$1:A100)+1)</f>
        <v>89</v>
      </c>
      <c r="B101" s="25" t="s">
        <v>141</v>
      </c>
      <c r="C101" s="41">
        <v>46082</v>
      </c>
      <c r="D101" s="42" t="str">
        <f>_xlfn.XLOOKUP(Table134526_79101120212223242526[[#This Row],[Name Surname]],Manpower!$C$4:$C$1048576,Manpower!$B$4:$B$1048576,"")</f>
        <v>Encogroup</v>
      </c>
      <c r="E101" s="41" t="s">
        <v>177</v>
      </c>
      <c r="F101" s="12">
        <f>_xlfn.XLOOKUP(Table134526_79101120212223242526[[#This Row],[Name Surname]],Manpower!C:C,Manpower!D:D,)</f>
        <v>140809004</v>
      </c>
      <c r="G101" s="42" t="str">
        <f>_xlfn.XLOOKUP(Table134526_79101120212223242526[[#This Row],[Name Surname]],Manpower!$C$4:$C$1048576,Manpower!$F$4:$F$1048576,"")</f>
        <v>Fitter/Erector</v>
      </c>
      <c r="H101" s="42" t="str">
        <f>_xlfn.XLOOKUP(Table134526_79101120212223242526[[#This Row],[Name Surname]],Manpower!$C$4:$C$1048576,Manpower!$H$4:$H$1048576,"")</f>
        <v>Manpower</v>
      </c>
      <c r="I101" s="42" t="str">
        <f>_xlfn.XLOOKUP(Table134526_79101120212223242526[[#This Row],[Name Surname]],Manpower!$C$4:$C$1048576,Manpower!$H$4:$H$1048576,"")</f>
        <v>Manpower</v>
      </c>
      <c r="J101" s="43" t="s">
        <v>143</v>
      </c>
      <c r="K101" s="43" t="s">
        <v>26</v>
      </c>
      <c r="L101" s="43" t="s">
        <v>144</v>
      </c>
      <c r="M101" s="43" t="s">
        <v>24</v>
      </c>
      <c r="N101" s="44">
        <v>8</v>
      </c>
      <c r="O101" s="43" t="s">
        <v>40</v>
      </c>
      <c r="P101" s="43" t="s">
        <v>42</v>
      </c>
      <c r="Q101" s="43" t="s">
        <v>42</v>
      </c>
      <c r="R101" s="43" t="s">
        <v>26</v>
      </c>
      <c r="S101" s="43"/>
    </row>
    <row r="102" spans="1:19" ht="14.4" hidden="1">
      <c r="A102" s="33">
        <f>IF(C102="","",MAX($A$1:A101)+1)</f>
        <v>90</v>
      </c>
      <c r="B102" s="27" t="s">
        <v>141</v>
      </c>
      <c r="C102" s="23">
        <v>46082</v>
      </c>
      <c r="D102" s="24" t="str">
        <f>_xlfn.XLOOKUP(Table134526_79101120212223242526[[#This Row],[Name Surname]],Manpower!$C$4:$C$1048576,Manpower!$B$4:$B$1048576,"")</f>
        <v>Encogroup</v>
      </c>
      <c r="E102" s="23" t="s">
        <v>178</v>
      </c>
      <c r="F102" s="12">
        <f>_xlfn.XLOOKUP(Table134526_79101120212223242526[[#This Row],[Name Surname]],Manpower!C:C,Manpower!D:D,)</f>
        <v>140683436</v>
      </c>
      <c r="G102" s="24" t="str">
        <f>_xlfn.XLOOKUP(Table134526_79101120212223242526[[#This Row],[Name Surname]],Manpower!$C$4:$C$1048576,Manpower!$F$4:$F$1048576,"")</f>
        <v>Scaffolder</v>
      </c>
      <c r="H102" s="24" t="str">
        <f>_xlfn.XLOOKUP(Table134526_79101120212223242526[[#This Row],[Name Surname]],Manpower!$C$4:$C$1048576,Manpower!$H$4:$H$1048576,"")</f>
        <v>Manpower</v>
      </c>
      <c r="I102" s="24" t="str">
        <f>_xlfn.XLOOKUP(Table134526_79101120212223242526[[#This Row],[Name Surname]],Manpower!$C$4:$C$1048576,Manpower!$H$4:$H$1048576,"")</f>
        <v>Manpower</v>
      </c>
      <c r="J102" s="21" t="s">
        <v>158</v>
      </c>
      <c r="K102" s="21" t="s">
        <v>26</v>
      </c>
      <c r="L102" s="21" t="s">
        <v>26</v>
      </c>
      <c r="M102" s="21" t="s">
        <v>24</v>
      </c>
      <c r="N102" s="29">
        <v>8</v>
      </c>
      <c r="O102" s="21" t="s">
        <v>159</v>
      </c>
      <c r="P102" s="21" t="s">
        <v>160</v>
      </c>
      <c r="Q102" s="21" t="s">
        <v>160</v>
      </c>
      <c r="R102" s="21" t="s">
        <v>161</v>
      </c>
    </row>
    <row r="103" spans="1:19" ht="14.4">
      <c r="A103" s="33">
        <f>IF(C103="","",MAX($A$1:A102)+1)</f>
        <v>91</v>
      </c>
      <c r="B103" s="27" t="s">
        <v>141</v>
      </c>
      <c r="C103" s="23">
        <v>46082</v>
      </c>
      <c r="D103" s="24" t="str">
        <f>_xlfn.XLOOKUP(Table134526_79101120212223242526[[#This Row],[Name Surname]],Manpower!$C$4:$C$1048576,Manpower!$B$4:$B$1048576,"")</f>
        <v>Encogroup</v>
      </c>
      <c r="E103" s="23" t="s">
        <v>179</v>
      </c>
      <c r="F103" s="12" t="e">
        <f>_xlfn.XLOOKUP(Table134526_79101120212223242526[[#This Row],[Name Surname]],Manpower!C:C,Manpower!D:D,)</f>
        <v>#N/A</v>
      </c>
      <c r="G103" s="24" t="str">
        <f>_xlfn.XLOOKUP(Table134526_79101120212223242526[[#This Row],[Name Surname]],Manpower!$C$4:$C$1048576,Manpower!$F$4:$F$1048576,"")</f>
        <v>7T-HIAB</v>
      </c>
      <c r="H103" s="24" t="str">
        <f>_xlfn.XLOOKUP(Table134526_79101120212223242526[[#This Row],[Name Surname]],Manpower!$C$4:$C$1048576,Manpower!$H$4:$H$1048576,"")</f>
        <v>Equipment</v>
      </c>
      <c r="I103" s="24" t="str">
        <f>_xlfn.XLOOKUP(Table134526_79101120212223242526[[#This Row],[Name Surname]],Manpower!$C$4:$C$1048576,Manpower!$H$4:$H$1048576,"")</f>
        <v>Equipment</v>
      </c>
      <c r="J103" s="21" t="s">
        <v>143</v>
      </c>
      <c r="K103" s="21" t="s">
        <v>26</v>
      </c>
      <c r="L103" s="21" t="s">
        <v>144</v>
      </c>
      <c r="M103" s="21" t="s">
        <v>24</v>
      </c>
      <c r="N103" s="29">
        <v>10</v>
      </c>
      <c r="O103" s="21" t="s">
        <v>138</v>
      </c>
      <c r="P103" s="21" t="s">
        <v>138</v>
      </c>
      <c r="Q103" s="21" t="s">
        <v>138</v>
      </c>
      <c r="R103" s="21" t="s">
        <v>26</v>
      </c>
    </row>
    <row r="104" spans="1:19" s="45" customFormat="1" ht="14.4" hidden="1">
      <c r="A104" s="25">
        <f>IF(C104="","",MAX($A$1:A103)+1)</f>
        <v>92</v>
      </c>
      <c r="B104" s="25" t="s">
        <v>141</v>
      </c>
      <c r="C104" s="41">
        <v>46082</v>
      </c>
      <c r="D104" s="42" t="str">
        <f>_xlfn.XLOOKUP(Table134526_79101120212223242526[[#This Row],[Name Surname]],Manpower!$C$4:$C$1048576,Manpower!$B$4:$B$1048576,"")</f>
        <v>Encogroup</v>
      </c>
      <c r="E104" s="41" t="s">
        <v>180</v>
      </c>
      <c r="F104" s="12">
        <f>_xlfn.XLOOKUP(Table134526_79101120212223242526[[#This Row],[Name Surname]],Manpower!C:C,Manpower!D:D,)</f>
        <v>9138415</v>
      </c>
      <c r="G104" s="42" t="str">
        <f>_xlfn.XLOOKUP(Table134526_79101120212223242526[[#This Row],[Name Surname]],Manpower!$C$4:$C$1048576,Manpower!$F$4:$F$1048576,"")</f>
        <v>HIAB Driver</v>
      </c>
      <c r="H104" s="42" t="str">
        <f>_xlfn.XLOOKUP(Table134526_79101120212223242526[[#This Row],[Name Surname]],Manpower!$C$4:$C$1048576,Manpower!$H$4:$H$1048576,"")</f>
        <v>Manpower</v>
      </c>
      <c r="I104" s="42" t="str">
        <f>_xlfn.XLOOKUP(Table134526_79101120212223242526[[#This Row],[Name Surname]],Manpower!$C$4:$C$1048576,Manpower!$H$4:$H$1048576,"")</f>
        <v>Manpower</v>
      </c>
      <c r="J104" s="43" t="s">
        <v>143</v>
      </c>
      <c r="K104" s="43" t="s">
        <v>26</v>
      </c>
      <c r="L104" s="43" t="s">
        <v>144</v>
      </c>
      <c r="M104" s="43" t="s">
        <v>24</v>
      </c>
      <c r="N104" s="44">
        <v>10</v>
      </c>
      <c r="O104" s="43" t="s">
        <v>40</v>
      </c>
      <c r="P104" s="43" t="s">
        <v>42</v>
      </c>
      <c r="Q104" s="43" t="s">
        <v>42</v>
      </c>
      <c r="R104" s="43" t="s">
        <v>181</v>
      </c>
      <c r="S104" s="43" t="s">
        <v>174</v>
      </c>
    </row>
    <row r="105" spans="1:19" ht="14.4" hidden="1">
      <c r="A105" s="33">
        <f>IF(C105="","",MAX($A$1:A104)+1)</f>
        <v>93</v>
      </c>
      <c r="B105" s="27" t="s">
        <v>141</v>
      </c>
      <c r="C105" s="23">
        <v>46082</v>
      </c>
      <c r="D105" s="24" t="str">
        <f>_xlfn.XLOOKUP(Table134526_79101120212223242526[[#This Row],[Name Surname]],Manpower!$C$4:$C$1048576,Manpower!$B$4:$B$1048576,"")</f>
        <v>GAF</v>
      </c>
      <c r="E105" s="23" t="s">
        <v>182</v>
      </c>
      <c r="F105" s="12">
        <f>_xlfn.XLOOKUP(Table134526_79101120212223242526[[#This Row],[Name Surname]],Manpower!C:C,Manpower!D:D,)</f>
        <v>78785394</v>
      </c>
      <c r="G105" s="24" t="str">
        <f>_xlfn.XLOOKUP(Table134526_79101120212223242526[[#This Row],[Name Surname]],Manpower!$C$4:$C$1048576,Manpower!$F$4:$F$1048576,"")</f>
        <v>Helper</v>
      </c>
      <c r="H105" s="24" t="str">
        <f>_xlfn.XLOOKUP(Table134526_79101120212223242526[[#This Row],[Name Surname]],Manpower!$C$4:$C$1048576,Manpower!$H$4:$H$1048576,"")</f>
        <v>Sub Contactor</v>
      </c>
      <c r="I105" s="24" t="str">
        <f>_xlfn.XLOOKUP(Table134526_79101120212223242526[[#This Row],[Name Surname]],Manpower!$C$4:$C$1048576,Manpower!$H$4:$H$1048576,"")</f>
        <v>Sub Contactor</v>
      </c>
      <c r="J105" s="21" t="s">
        <v>158</v>
      </c>
      <c r="K105" s="21" t="s">
        <v>26</v>
      </c>
      <c r="L105" s="21" t="s">
        <v>26</v>
      </c>
      <c r="M105" s="21" t="s">
        <v>24</v>
      </c>
      <c r="N105" s="29">
        <v>8</v>
      </c>
      <c r="O105" s="21" t="s">
        <v>159</v>
      </c>
      <c r="P105" s="21" t="s">
        <v>160</v>
      </c>
      <c r="Q105" s="21" t="s">
        <v>160</v>
      </c>
      <c r="R105" s="21" t="s">
        <v>161</v>
      </c>
    </row>
    <row r="106" spans="1:19" ht="14.4" hidden="1">
      <c r="A106" s="33">
        <f>IF(C106="","",MAX($A$1:A105)+1)</f>
        <v>94</v>
      </c>
      <c r="B106" s="27" t="s">
        <v>141</v>
      </c>
      <c r="C106" s="23">
        <v>46082</v>
      </c>
      <c r="D106" s="24" t="str">
        <f>_xlfn.XLOOKUP(Table134526_79101120212223242526[[#This Row],[Name Surname]],Manpower!$C$4:$C$1048576,Manpower!$B$4:$B$1048576,"")</f>
        <v>Encogroup</v>
      </c>
      <c r="E106" s="23" t="s">
        <v>183</v>
      </c>
      <c r="F106" s="12">
        <f>_xlfn.XLOOKUP(Table134526_79101120212223242526[[#This Row],[Name Surname]],Manpower!C:C,Manpower!D:D,)</f>
        <v>141359024</v>
      </c>
      <c r="G106" s="24" t="str">
        <f>_xlfn.XLOOKUP(Table134526_79101120212223242526[[#This Row],[Name Surname]],Manpower!$C$4:$C$1048576,Manpower!$F$4:$F$1048576,"")</f>
        <v>Hydraulic Mechanic</v>
      </c>
      <c r="H106" s="24" t="str">
        <f>_xlfn.XLOOKUP(Table134526_79101120212223242526[[#This Row],[Name Surname]],Manpower!$C$4:$C$1048576,Manpower!$H$4:$H$1048576,"")</f>
        <v>Manpower</v>
      </c>
      <c r="I106" s="24" t="str">
        <f>_xlfn.XLOOKUP(Table134526_79101120212223242526[[#This Row],[Name Surname]],Manpower!$C$4:$C$1048576,Manpower!$H$4:$H$1048576,"")</f>
        <v>Manpower</v>
      </c>
      <c r="J106" s="21" t="s">
        <v>143</v>
      </c>
      <c r="K106" s="21" t="s">
        <v>26</v>
      </c>
      <c r="L106" s="21" t="s">
        <v>170</v>
      </c>
      <c r="M106" s="21" t="s">
        <v>24</v>
      </c>
      <c r="N106" s="29">
        <v>8</v>
      </c>
      <c r="O106" s="21" t="s">
        <v>40</v>
      </c>
      <c r="P106" s="21" t="s">
        <v>128</v>
      </c>
      <c r="Q106" s="21" t="s">
        <v>128</v>
      </c>
      <c r="R106" s="21" t="s">
        <v>171</v>
      </c>
    </row>
    <row r="107" spans="1:19" s="45" customFormat="1" ht="14.4" hidden="1">
      <c r="A107" s="25">
        <f>IF(C107="","",MAX($A$1:A106)+1)</f>
        <v>95</v>
      </c>
      <c r="B107" s="25" t="s">
        <v>141</v>
      </c>
      <c r="C107" s="41">
        <v>46082</v>
      </c>
      <c r="D107" s="42" t="str">
        <f>_xlfn.XLOOKUP(Table134526_79101120212223242526[[#This Row],[Name Surname]],Manpower!$C$4:$C$1048576,Manpower!$B$4:$B$1048576,"")</f>
        <v>Encogroup</v>
      </c>
      <c r="E107" s="41" t="s">
        <v>184</v>
      </c>
      <c r="F107" s="12">
        <f>_xlfn.XLOOKUP(Table134526_79101120212223242526[[#This Row],[Name Surname]],Manpower!C:C,Manpower!D:D,)</f>
        <v>140844759</v>
      </c>
      <c r="G107" s="42" t="str">
        <f>_xlfn.XLOOKUP(Table134526_79101120212223242526[[#This Row],[Name Surname]],Manpower!$C$4:$C$1048576,Manpower!$F$4:$F$1048576,"")</f>
        <v>Welder</v>
      </c>
      <c r="H107" s="42" t="str">
        <f>_xlfn.XLOOKUP(Table134526_79101120212223242526[[#This Row],[Name Surname]],Manpower!$C$4:$C$1048576,Manpower!$H$4:$H$1048576,"")</f>
        <v>Manpower</v>
      </c>
      <c r="I107" s="42" t="str">
        <f>_xlfn.XLOOKUP(Table134526_79101120212223242526[[#This Row],[Name Surname]],Manpower!$C$4:$C$1048576,Manpower!$H$4:$H$1048576,"")</f>
        <v>Manpower</v>
      </c>
      <c r="J107" s="43" t="s">
        <v>143</v>
      </c>
      <c r="K107" s="43" t="s">
        <v>26</v>
      </c>
      <c r="L107" s="43" t="s">
        <v>144</v>
      </c>
      <c r="M107" s="43" t="s">
        <v>24</v>
      </c>
      <c r="N107" s="44">
        <v>8</v>
      </c>
      <c r="O107" s="43" t="s">
        <v>40</v>
      </c>
      <c r="P107" s="43" t="s">
        <v>42</v>
      </c>
      <c r="Q107" s="43" t="s">
        <v>42</v>
      </c>
      <c r="R107" s="43" t="s">
        <v>26</v>
      </c>
      <c r="S107" s="43"/>
    </row>
    <row r="108" spans="1:19" ht="14.4" hidden="1">
      <c r="A108" s="33">
        <f>IF(C108="","",MAX($A$1:A107)+1)</f>
        <v>96</v>
      </c>
      <c r="B108" s="27" t="s">
        <v>141</v>
      </c>
      <c r="C108" s="23">
        <v>46082</v>
      </c>
      <c r="D108" s="24" t="str">
        <f>_xlfn.XLOOKUP(Table134526_79101120212223242526[[#This Row],[Name Surname]],Manpower!$C$4:$C$1048576,Manpower!$B$4:$B$1048576,"")</f>
        <v>Encogroup</v>
      </c>
      <c r="E108" s="23" t="s">
        <v>185</v>
      </c>
      <c r="F108" s="12">
        <f>_xlfn.XLOOKUP(Table134526_79101120212223242526[[#This Row],[Name Surname]],Manpower!C:C,Manpower!D:D,)</f>
        <v>140848828</v>
      </c>
      <c r="G108" s="24" t="str">
        <f>_xlfn.XLOOKUP(Table134526_79101120212223242526[[#This Row],[Name Surname]],Manpower!$C$4:$C$1048576,Manpower!$F$4:$F$1048576,"")</f>
        <v>Pipe Fitter</v>
      </c>
      <c r="H108" s="24" t="str">
        <f>_xlfn.XLOOKUP(Table134526_79101120212223242526[[#This Row],[Name Surname]],Manpower!$C$4:$C$1048576,Manpower!$H$4:$H$1048576,"")</f>
        <v>Manpower</v>
      </c>
      <c r="I108" s="24" t="str">
        <f>_xlfn.XLOOKUP(Table134526_79101120212223242526[[#This Row],[Name Surname]],Manpower!$C$4:$C$1048576,Manpower!$H$4:$H$1048576,"")</f>
        <v>Manpower</v>
      </c>
      <c r="J108" s="21" t="s">
        <v>143</v>
      </c>
      <c r="K108" s="21" t="s">
        <v>26</v>
      </c>
      <c r="L108" s="21" t="s">
        <v>144</v>
      </c>
      <c r="M108" s="21" t="s">
        <v>24</v>
      </c>
      <c r="N108" s="29">
        <v>8</v>
      </c>
      <c r="O108" s="21" t="s">
        <v>40</v>
      </c>
      <c r="P108" s="21" t="s">
        <v>42</v>
      </c>
      <c r="Q108" s="21" t="s">
        <v>42</v>
      </c>
      <c r="R108" s="21" t="s">
        <v>149</v>
      </c>
    </row>
    <row r="109" spans="1:19" ht="14.4" hidden="1">
      <c r="A109" s="33">
        <f>IF(C109="","",MAX($A$1:A108)+1)</f>
        <v>97</v>
      </c>
      <c r="B109" s="27" t="s">
        <v>141</v>
      </c>
      <c r="C109" s="23">
        <v>46082</v>
      </c>
      <c r="D109" s="24" t="str">
        <f>_xlfn.XLOOKUP(Table134526_79101120212223242526[[#This Row],[Name Surname]],Manpower!$C$4:$C$1048576,Manpower!$B$4:$B$1048576,"")</f>
        <v>Encogroup</v>
      </c>
      <c r="E109" s="23" t="s">
        <v>186</v>
      </c>
      <c r="F109" s="12">
        <f>_xlfn.XLOOKUP(Table134526_79101120212223242526[[#This Row],[Name Surname]],Manpower!C:C,Manpower!D:D,)</f>
        <v>140696961</v>
      </c>
      <c r="G109" s="24" t="str">
        <f>_xlfn.XLOOKUP(Table134526_79101120212223242526[[#This Row],[Name Surname]],Manpower!$C$4:$C$1048576,Manpower!$F$4:$F$1048576,"")</f>
        <v>Assistant/Helper</v>
      </c>
      <c r="H109" s="24" t="str">
        <f>_xlfn.XLOOKUP(Table134526_79101120212223242526[[#This Row],[Name Surname]],Manpower!$C$4:$C$1048576,Manpower!$H$4:$H$1048576,"")</f>
        <v>Manpower</v>
      </c>
      <c r="I109" s="24" t="str">
        <f>_xlfn.XLOOKUP(Table134526_79101120212223242526[[#This Row],[Name Surname]],Manpower!$C$4:$C$1048576,Manpower!$H$4:$H$1048576,"")</f>
        <v>Manpower</v>
      </c>
      <c r="J109" s="21" t="s">
        <v>158</v>
      </c>
      <c r="K109" s="21" t="s">
        <v>26</v>
      </c>
      <c r="L109" s="21" t="s">
        <v>26</v>
      </c>
      <c r="M109" s="21" t="s">
        <v>24</v>
      </c>
      <c r="N109" s="29">
        <v>8</v>
      </c>
      <c r="O109" s="21" t="s">
        <v>159</v>
      </c>
      <c r="P109" s="21" t="s">
        <v>160</v>
      </c>
      <c r="Q109" s="21" t="s">
        <v>160</v>
      </c>
      <c r="R109" s="21" t="s">
        <v>161</v>
      </c>
    </row>
    <row r="110" spans="1:19" s="45" customFormat="1" ht="14.4" hidden="1">
      <c r="A110" s="25">
        <f>IF(C110="","",MAX($A$1:A109)+1)</f>
        <v>98</v>
      </c>
      <c r="B110" s="25" t="s">
        <v>141</v>
      </c>
      <c r="C110" s="41">
        <v>46082</v>
      </c>
      <c r="D110" s="42" t="str">
        <f>_xlfn.XLOOKUP(Table134526_79101120212223242526[[#This Row],[Name Surname]],Manpower!$C$4:$C$1048576,Manpower!$B$4:$B$1048576,"")</f>
        <v>Encogroup</v>
      </c>
      <c r="E110" s="41" t="s">
        <v>187</v>
      </c>
      <c r="F110" s="12">
        <f>_xlfn.XLOOKUP(Table134526_79101120212223242526[[#This Row],[Name Surname]],Manpower!C:C,Manpower!D:D,)</f>
        <v>140623599</v>
      </c>
      <c r="G110" s="42" t="str">
        <f>_xlfn.XLOOKUP(Table134526_79101120212223242526[[#This Row],[Name Surname]],Manpower!$C$4:$C$1048576,Manpower!$F$4:$F$1048576,"")</f>
        <v>Mechanical Supervisor</v>
      </c>
      <c r="H110" s="42" t="str">
        <f>_xlfn.XLOOKUP(Table134526_79101120212223242526[[#This Row],[Name Surname]],Manpower!$C$4:$C$1048576,Manpower!$H$4:$H$1048576,"")</f>
        <v>Manpower</v>
      </c>
      <c r="I110" s="42" t="str">
        <f>_xlfn.XLOOKUP(Table134526_79101120212223242526[[#This Row],[Name Surname]],Manpower!$C$4:$C$1048576,Manpower!$H$4:$H$1048576,"")</f>
        <v>Manpower</v>
      </c>
      <c r="J110" s="43" t="s">
        <v>143</v>
      </c>
      <c r="K110" s="43" t="s">
        <v>26</v>
      </c>
      <c r="L110" s="43" t="s">
        <v>144</v>
      </c>
      <c r="M110" s="43" t="s">
        <v>24</v>
      </c>
      <c r="N110" s="44">
        <v>8</v>
      </c>
      <c r="O110" s="43" t="s">
        <v>40</v>
      </c>
      <c r="P110" s="43" t="s">
        <v>42</v>
      </c>
      <c r="Q110" s="43" t="s">
        <v>42</v>
      </c>
      <c r="R110" s="43" t="s">
        <v>149</v>
      </c>
      <c r="S110" s="43"/>
    </row>
    <row r="111" spans="1:19" s="45" customFormat="1" ht="14.4" hidden="1">
      <c r="A111" s="25">
        <f>IF(C111="","",MAX($A$1:A110)+1)</f>
        <v>99</v>
      </c>
      <c r="B111" s="25" t="s">
        <v>141</v>
      </c>
      <c r="C111" s="41">
        <v>46082</v>
      </c>
      <c r="D111" s="42" t="str">
        <f>_xlfn.XLOOKUP(Table134526_79101120212223242526[[#This Row],[Name Surname]],Manpower!$C$4:$C$1048576,Manpower!$B$4:$B$1048576,"")</f>
        <v>Encogroup</v>
      </c>
      <c r="E111" s="41" t="s">
        <v>188</v>
      </c>
      <c r="F111" s="12">
        <f>_xlfn.XLOOKUP(Table134526_79101120212223242526[[#This Row],[Name Surname]],Manpower!C:C,Manpower!D:D,)</f>
        <v>140696975</v>
      </c>
      <c r="G111" s="42" t="str">
        <f>_xlfn.XLOOKUP(Table134526_79101120212223242526[[#This Row],[Name Surname]],Manpower!$C$4:$C$1048576,Manpower!$F$4:$F$1048576,"")</f>
        <v>Assistant/Helper</v>
      </c>
      <c r="H111" s="42" t="str">
        <f>_xlfn.XLOOKUP(Table134526_79101120212223242526[[#This Row],[Name Surname]],Manpower!$C$4:$C$1048576,Manpower!$H$4:$H$1048576,"")</f>
        <v>Manpower</v>
      </c>
      <c r="I111" s="42" t="str">
        <f>_xlfn.XLOOKUP(Table134526_79101120212223242526[[#This Row],[Name Surname]],Manpower!$C$4:$C$1048576,Manpower!$H$4:$H$1048576,"")</f>
        <v>Manpower</v>
      </c>
      <c r="J111" s="43" t="s">
        <v>143</v>
      </c>
      <c r="K111" s="43" t="s">
        <v>26</v>
      </c>
      <c r="L111" s="43" t="s">
        <v>144</v>
      </c>
      <c r="M111" s="43" t="s">
        <v>24</v>
      </c>
      <c r="N111" s="44">
        <v>8</v>
      </c>
      <c r="O111" s="43" t="s">
        <v>40</v>
      </c>
      <c r="P111" s="43" t="s">
        <v>42</v>
      </c>
      <c r="Q111" s="43" t="s">
        <v>42</v>
      </c>
      <c r="R111" s="43" t="s">
        <v>149</v>
      </c>
      <c r="S111" s="43" t="s">
        <v>45</v>
      </c>
    </row>
    <row r="112" spans="1:19" ht="14.4" hidden="1">
      <c r="A112" s="33">
        <f>IF(C112="","",MAX($A$1:A111)+1)</f>
        <v>100</v>
      </c>
      <c r="B112" s="27" t="s">
        <v>141</v>
      </c>
      <c r="C112" s="23">
        <v>46082</v>
      </c>
      <c r="D112" s="24" t="str">
        <f>_xlfn.XLOOKUP(Table134526_79101120212223242526[[#This Row],[Name Surname]],Manpower!$C$4:$C$1048576,Manpower!$B$4:$B$1048576,"")</f>
        <v>Encogroup</v>
      </c>
      <c r="E112" s="23" t="s">
        <v>189</v>
      </c>
      <c r="F112" s="12">
        <f>_xlfn.XLOOKUP(Table134526_79101120212223242526[[#This Row],[Name Surname]],Manpower!C:C,Manpower!D:D,)</f>
        <v>121937785</v>
      </c>
      <c r="G112" s="24" t="str">
        <f>_xlfn.XLOOKUP(Table134526_79101120212223242526[[#This Row],[Name Surname]],Manpower!$C$4:$C$1048576,Manpower!$F$4:$F$1048576,"")</f>
        <v>Scaffolding Inspector</v>
      </c>
      <c r="H112" s="24" t="str">
        <f>_xlfn.XLOOKUP(Table134526_79101120212223242526[[#This Row],[Name Surname]],Manpower!$C$4:$C$1048576,Manpower!$H$4:$H$1048576,"")</f>
        <v>Manpower</v>
      </c>
      <c r="I112" s="24" t="str">
        <f>_xlfn.XLOOKUP(Table134526_79101120212223242526[[#This Row],[Name Surname]],Manpower!$C$4:$C$1048576,Manpower!$H$4:$H$1048576,"")</f>
        <v>Manpower</v>
      </c>
      <c r="J112" s="21" t="s">
        <v>143</v>
      </c>
      <c r="K112" s="21" t="s">
        <v>26</v>
      </c>
      <c r="L112" s="21" t="s">
        <v>144</v>
      </c>
      <c r="M112" s="21" t="s">
        <v>24</v>
      </c>
      <c r="N112" s="29">
        <v>8</v>
      </c>
      <c r="O112" s="21" t="s">
        <v>40</v>
      </c>
      <c r="P112" s="21" t="s">
        <v>128</v>
      </c>
      <c r="Q112" s="21" t="s">
        <v>128</v>
      </c>
      <c r="R112" s="21" t="s">
        <v>26</v>
      </c>
    </row>
    <row r="113" spans="1:19" ht="14.4" hidden="1">
      <c r="A113" s="33">
        <f>IF(C113="","",MAX($A$1:A112)+1)</f>
        <v>101</v>
      </c>
      <c r="B113" s="27" t="s">
        <v>141</v>
      </c>
      <c r="C113" s="23">
        <v>46082</v>
      </c>
      <c r="D113" s="24" t="str">
        <f>_xlfn.XLOOKUP(Table134526_79101120212223242526[[#This Row],[Name Surname]],Manpower!$C$4:$C$1048576,Manpower!$B$4:$B$1048576,"")</f>
        <v xml:space="preserve">AL Omar International </v>
      </c>
      <c r="E113" s="23" t="s">
        <v>190</v>
      </c>
      <c r="F113" s="12">
        <f>_xlfn.XLOOKUP(Table134526_79101120212223242526[[#This Row],[Name Surname]],Manpower!C:C,Manpower!D:D,)</f>
        <v>85812175</v>
      </c>
      <c r="G113" s="24" t="str">
        <f>_xlfn.XLOOKUP(Table134526_79101120212223242526[[#This Row],[Name Surname]],Manpower!$C$4:$C$1048576,Manpower!$F$4:$F$1048576,"")</f>
        <v>Scaffolding Supervisor</v>
      </c>
      <c r="H113" s="24" t="str">
        <f>_xlfn.XLOOKUP(Table134526_79101120212223242526[[#This Row],[Name Surname]],Manpower!$C$4:$C$1048576,Manpower!$H$4:$H$1048576,"")</f>
        <v>Sub Contactor</v>
      </c>
      <c r="I113" s="24" t="str">
        <f>_xlfn.XLOOKUP(Table134526_79101120212223242526[[#This Row],[Name Surname]],Manpower!$C$4:$C$1048576,Manpower!$H$4:$H$1048576,"")</f>
        <v>Sub Contactor</v>
      </c>
      <c r="J113" s="21" t="s">
        <v>143</v>
      </c>
      <c r="K113" s="21" t="s">
        <v>26</v>
      </c>
      <c r="L113" s="21" t="s">
        <v>170</v>
      </c>
      <c r="M113" s="21" t="s">
        <v>24</v>
      </c>
      <c r="N113" s="29">
        <v>8</v>
      </c>
      <c r="O113" s="21" t="s">
        <v>40</v>
      </c>
      <c r="P113" s="21" t="s">
        <v>128</v>
      </c>
      <c r="Q113" s="21" t="s">
        <v>128</v>
      </c>
      <c r="R113" s="21" t="s">
        <v>171</v>
      </c>
    </row>
    <row r="114" spans="1:19" ht="14.4" hidden="1">
      <c r="A114" s="33">
        <f>IF(C114="","",MAX($A$1:A113)+1)</f>
        <v>102</v>
      </c>
      <c r="B114" s="27" t="s">
        <v>141</v>
      </c>
      <c r="C114" s="23">
        <v>46082</v>
      </c>
      <c r="D114" s="24" t="str">
        <f>_xlfn.XLOOKUP(Table134526_79101120212223242526[[#This Row],[Name Surname]],Manpower!$C$4:$C$1048576,Manpower!$B$4:$B$1048576,"")</f>
        <v>AL Omar International TRAD AND CONT</v>
      </c>
      <c r="E114" s="23" t="s">
        <v>191</v>
      </c>
      <c r="F114" s="12">
        <f>_xlfn.XLOOKUP(Table134526_79101120212223242526[[#This Row],[Name Surname]],Manpower!C:C,Manpower!D:D,)</f>
        <v>95335424</v>
      </c>
      <c r="G114" s="24" t="str">
        <f>_xlfn.XLOOKUP(Table134526_79101120212223242526[[#This Row],[Name Surname]],Manpower!$C$4:$C$1048576,Manpower!$F$4:$F$1048576,"")</f>
        <v>Scaffolder</v>
      </c>
      <c r="H114" s="24" t="str">
        <f>_xlfn.XLOOKUP(Table134526_79101120212223242526[[#This Row],[Name Surname]],Manpower!$C$4:$C$1048576,Manpower!$H$4:$H$1048576,"")</f>
        <v>Sub Contactor</v>
      </c>
      <c r="I114" s="24" t="str">
        <f>_xlfn.XLOOKUP(Table134526_79101120212223242526[[#This Row],[Name Surname]],Manpower!$C$4:$C$1048576,Manpower!$H$4:$H$1048576,"")</f>
        <v>Sub Contactor</v>
      </c>
      <c r="J114" s="21" t="s">
        <v>143</v>
      </c>
      <c r="K114" s="21" t="s">
        <v>26</v>
      </c>
      <c r="L114" s="21" t="s">
        <v>170</v>
      </c>
      <c r="M114" s="21" t="s">
        <v>24</v>
      </c>
      <c r="N114" s="29">
        <v>8</v>
      </c>
      <c r="O114" s="21" t="s">
        <v>40</v>
      </c>
      <c r="P114" s="21" t="s">
        <v>128</v>
      </c>
      <c r="Q114" s="21" t="s">
        <v>128</v>
      </c>
      <c r="R114" s="21" t="s">
        <v>171</v>
      </c>
    </row>
    <row r="115" spans="1:19" ht="14.4" hidden="1">
      <c r="A115" s="33">
        <f>IF(C115="","",MAX($A$1:A114)+1)</f>
        <v>103</v>
      </c>
      <c r="B115" s="27" t="s">
        <v>141</v>
      </c>
      <c r="C115" s="23">
        <v>46082</v>
      </c>
      <c r="D115" s="24" t="str">
        <f>_xlfn.XLOOKUP(Table134526_79101120212223242526[[#This Row],[Name Surname]],Manpower!$C$4:$C$1048576,Manpower!$B$4:$B$1048576,"")</f>
        <v>AL Omar International TRAD AND CONT</v>
      </c>
      <c r="E115" s="23" t="s">
        <v>192</v>
      </c>
      <c r="F115" s="12">
        <f>_xlfn.XLOOKUP(Table134526_79101120212223242526[[#This Row],[Name Surname]],Manpower!C:C,Manpower!D:D,)</f>
        <v>96409155</v>
      </c>
      <c r="G115" s="24" t="str">
        <f>_xlfn.XLOOKUP(Table134526_79101120212223242526[[#This Row],[Name Surname]],Manpower!$C$4:$C$1048576,Manpower!$F$4:$F$1048576,"")</f>
        <v>Scaffolder</v>
      </c>
      <c r="H115" s="24" t="str">
        <f>_xlfn.XLOOKUP(Table134526_79101120212223242526[[#This Row],[Name Surname]],Manpower!$C$4:$C$1048576,Manpower!$H$4:$H$1048576,"")</f>
        <v>Sub Contactor</v>
      </c>
      <c r="I115" s="24" t="str">
        <f>_xlfn.XLOOKUP(Table134526_79101120212223242526[[#This Row],[Name Surname]],Manpower!$C$4:$C$1048576,Manpower!$H$4:$H$1048576,"")</f>
        <v>Sub Contactor</v>
      </c>
      <c r="J115" s="21" t="s">
        <v>143</v>
      </c>
      <c r="K115" s="21" t="s">
        <v>26</v>
      </c>
      <c r="L115" s="21" t="s">
        <v>170</v>
      </c>
      <c r="M115" s="21" t="s">
        <v>24</v>
      </c>
      <c r="N115" s="29">
        <v>8</v>
      </c>
      <c r="O115" s="21" t="s">
        <v>40</v>
      </c>
      <c r="P115" s="21" t="s">
        <v>128</v>
      </c>
      <c r="Q115" s="21" t="s">
        <v>128</v>
      </c>
      <c r="R115" s="21" t="s">
        <v>171</v>
      </c>
    </row>
    <row r="116" spans="1:19" ht="14.4" hidden="1">
      <c r="A116" s="33">
        <f>IF(C116="","",MAX($A$1:A115)+1)</f>
        <v>104</v>
      </c>
      <c r="B116" s="27" t="s">
        <v>141</v>
      </c>
      <c r="C116" s="23">
        <v>46082</v>
      </c>
      <c r="D116" s="24" t="str">
        <f>_xlfn.XLOOKUP(Table134526_79101120212223242526[[#This Row],[Name Surname]],Manpower!$C$4:$C$1048576,Manpower!$B$4:$B$1048576,"")</f>
        <v>AL Omar International TRAD AND CONT</v>
      </c>
      <c r="E116" s="23" t="s">
        <v>193</v>
      </c>
      <c r="F116" s="12">
        <f>_xlfn.XLOOKUP(Table134526_79101120212223242526[[#This Row],[Name Surname]],Manpower!C:C,Manpower!D:D,)</f>
        <v>105813698</v>
      </c>
      <c r="G116" s="24" t="str">
        <f>_xlfn.XLOOKUP(Table134526_79101120212223242526[[#This Row],[Name Surname]],Manpower!$C$4:$C$1048576,Manpower!$F$4:$F$1048576,"")</f>
        <v>Scaffolding Inspector</v>
      </c>
      <c r="H116" s="24" t="str">
        <f>_xlfn.XLOOKUP(Table134526_79101120212223242526[[#This Row],[Name Surname]],Manpower!$C$4:$C$1048576,Manpower!$H$4:$H$1048576,"")</f>
        <v>Sub Contactor</v>
      </c>
      <c r="I116" s="24" t="str">
        <f>_xlfn.XLOOKUP(Table134526_79101120212223242526[[#This Row],[Name Surname]],Manpower!$C$4:$C$1048576,Manpower!$H$4:$H$1048576,"")</f>
        <v>Sub Contactor</v>
      </c>
      <c r="J116" s="21" t="s">
        <v>143</v>
      </c>
      <c r="K116" s="21" t="s">
        <v>26</v>
      </c>
      <c r="L116" s="21" t="s">
        <v>170</v>
      </c>
      <c r="M116" s="21" t="s">
        <v>24</v>
      </c>
      <c r="N116" s="29">
        <v>8</v>
      </c>
      <c r="O116" s="21" t="s">
        <v>40</v>
      </c>
      <c r="P116" s="21" t="s">
        <v>128</v>
      </c>
      <c r="Q116" s="21" t="s">
        <v>128</v>
      </c>
      <c r="R116" s="21" t="s">
        <v>171</v>
      </c>
    </row>
    <row r="117" spans="1:19" s="45" customFormat="1" ht="14.4" hidden="1">
      <c r="A117" s="25">
        <f>IF(C117="","",MAX($A$1:A116)+1)</f>
        <v>105</v>
      </c>
      <c r="B117" s="25" t="s">
        <v>141</v>
      </c>
      <c r="C117" s="41">
        <v>46082</v>
      </c>
      <c r="D117" s="42" t="str">
        <f>_xlfn.XLOOKUP(Table134526_79101120212223242526[[#This Row],[Name Surname]],Manpower!$C$4:$C$1048576,Manpower!$B$4:$B$1048576,"")</f>
        <v>AL Saif &amp; Al QALLM ENT LLC</v>
      </c>
      <c r="E117" s="41" t="s">
        <v>194</v>
      </c>
      <c r="F117" s="12">
        <f>_xlfn.XLOOKUP(Table134526_79101120212223242526[[#This Row],[Name Surname]],Manpower!C:C,Manpower!D:D,)</f>
        <v>135340657</v>
      </c>
      <c r="G117" s="42" t="str">
        <f>_xlfn.XLOOKUP(Table134526_79101120212223242526[[#This Row],[Name Surname]],Manpower!$C$4:$C$1048576,Manpower!$F$4:$F$1048576,"")</f>
        <v>Forklift Operator</v>
      </c>
      <c r="H117" s="42" t="str">
        <f>_xlfn.XLOOKUP(Table134526_79101120212223242526[[#This Row],[Name Surname]],Manpower!$C$4:$C$1048576,Manpower!$H$4:$H$1048576,"")</f>
        <v>Sub Contactor</v>
      </c>
      <c r="I117" s="42" t="str">
        <f>_xlfn.XLOOKUP(Table134526_79101120212223242526[[#This Row],[Name Surname]],Manpower!$C$4:$C$1048576,Manpower!$H$4:$H$1048576,"")</f>
        <v>Sub Contactor</v>
      </c>
      <c r="J117" s="43" t="s">
        <v>143</v>
      </c>
      <c r="K117" s="43" t="s">
        <v>26</v>
      </c>
      <c r="L117" s="43" t="s">
        <v>144</v>
      </c>
      <c r="M117" s="43" t="s">
        <v>24</v>
      </c>
      <c r="N117" s="44">
        <v>8</v>
      </c>
      <c r="O117" s="43" t="s">
        <v>40</v>
      </c>
      <c r="P117" s="43" t="s">
        <v>42</v>
      </c>
      <c r="Q117" s="43" t="s">
        <v>42</v>
      </c>
      <c r="R117" s="43" t="s">
        <v>195</v>
      </c>
      <c r="S117" s="43" t="s">
        <v>174</v>
      </c>
    </row>
    <row r="118" spans="1:19" ht="14.4" hidden="1">
      <c r="A118" s="33">
        <f>IF(C118="","",MAX($A$1:A117)+1)</f>
        <v>106</v>
      </c>
      <c r="B118" s="27" t="s">
        <v>141</v>
      </c>
      <c r="C118" s="23">
        <v>46082</v>
      </c>
      <c r="D118" s="24" t="str">
        <f>_xlfn.XLOOKUP(Table134526_79101120212223242526[[#This Row],[Name Surname]],Manpower!$C$4:$C$1048576,Manpower!$B$4:$B$1048576,"")</f>
        <v>Encogroup</v>
      </c>
      <c r="E118" s="23" t="s">
        <v>196</v>
      </c>
      <c r="F118" s="12">
        <f>_xlfn.XLOOKUP(Table134526_79101120212223242526[[#This Row],[Name Surname]],Manpower!C:C,Manpower!D:D,)</f>
        <v>140844586</v>
      </c>
      <c r="G118" s="24" t="str">
        <f>_xlfn.XLOOKUP(Table134526_79101120212223242526[[#This Row],[Name Surname]],Manpower!$C$4:$C$1048576,Manpower!$F$4:$F$1048576,"")</f>
        <v>Assistant/Helper</v>
      </c>
      <c r="H118" s="24" t="str">
        <f>_xlfn.XLOOKUP(Table134526_79101120212223242526[[#This Row],[Name Surname]],Manpower!$C$4:$C$1048576,Manpower!$H$4:$H$1048576,"")</f>
        <v>Manpower</v>
      </c>
      <c r="I118" s="24" t="str">
        <f>_xlfn.XLOOKUP(Table134526_79101120212223242526[[#This Row],[Name Surname]],Manpower!$C$4:$C$1048576,Manpower!$H$4:$H$1048576,"")</f>
        <v>Manpower</v>
      </c>
      <c r="J118" s="21" t="s">
        <v>158</v>
      </c>
      <c r="K118" s="21" t="s">
        <v>26</v>
      </c>
      <c r="L118" s="21" t="s">
        <v>26</v>
      </c>
      <c r="M118" s="21" t="s">
        <v>24</v>
      </c>
      <c r="N118" s="29">
        <v>8</v>
      </c>
      <c r="O118" s="21" t="s">
        <v>159</v>
      </c>
      <c r="P118" s="21" t="s">
        <v>160</v>
      </c>
      <c r="Q118" s="21" t="s">
        <v>160</v>
      </c>
      <c r="R118" s="21" t="s">
        <v>161</v>
      </c>
    </row>
    <row r="119" spans="1:19" s="45" customFormat="1" ht="14.4" hidden="1">
      <c r="A119" s="25">
        <f>IF(C119="","",MAX($A$1:A118)+1)</f>
        <v>107</v>
      </c>
      <c r="B119" s="25" t="s">
        <v>141</v>
      </c>
      <c r="C119" s="41">
        <v>46082</v>
      </c>
      <c r="D119" s="42" t="str">
        <f>_xlfn.XLOOKUP(Table134526_79101120212223242526[[#This Row],[Name Surname]],Manpower!$C$4:$C$1048576,Manpower!$B$4:$B$1048576,"")</f>
        <v>AL Omar International TRAD AND CONT</v>
      </c>
      <c r="E119" s="41" t="s">
        <v>197</v>
      </c>
      <c r="F119" s="12">
        <f>_xlfn.XLOOKUP(Table134526_79101120212223242526[[#This Row],[Name Surname]],Manpower!C:C,Manpower!D:D,)</f>
        <v>106093463</v>
      </c>
      <c r="G119" s="42" t="str">
        <f>_xlfn.XLOOKUP(Table134526_79101120212223242526[[#This Row],[Name Surname]],Manpower!$C$4:$C$1048576,Manpower!$F$4:$F$1048576,"")</f>
        <v>RIgger</v>
      </c>
      <c r="H119" s="42" t="str">
        <f>_xlfn.XLOOKUP(Table134526_79101120212223242526[[#This Row],[Name Surname]],Manpower!$C$4:$C$1048576,Manpower!$H$4:$H$1048576,"")</f>
        <v>Sub Contactor</v>
      </c>
      <c r="I119" s="42" t="str">
        <f>_xlfn.XLOOKUP(Table134526_79101120212223242526[[#This Row],[Name Surname]],Manpower!$C$4:$C$1048576,Manpower!$H$4:$H$1048576,"")</f>
        <v>Sub Contactor</v>
      </c>
      <c r="J119" s="43" t="s">
        <v>143</v>
      </c>
      <c r="K119" s="43" t="s">
        <v>26</v>
      </c>
      <c r="L119" s="43" t="s">
        <v>144</v>
      </c>
      <c r="M119" s="43" t="s">
        <v>24</v>
      </c>
      <c r="N119" s="44">
        <v>8</v>
      </c>
      <c r="O119" s="43" t="s">
        <v>40</v>
      </c>
      <c r="P119" s="43" t="s">
        <v>42</v>
      </c>
      <c r="Q119" s="43" t="s">
        <v>42</v>
      </c>
      <c r="R119" s="43" t="s">
        <v>149</v>
      </c>
      <c r="S119" s="43"/>
    </row>
    <row r="120" spans="1:19" ht="14.4">
      <c r="A120" s="33">
        <f>IF(C120="","",MAX($A$1:A119)+1)</f>
        <v>108</v>
      </c>
      <c r="B120" s="27" t="s">
        <v>141</v>
      </c>
      <c r="C120" s="23">
        <v>46082</v>
      </c>
      <c r="D120" s="24" t="str">
        <f>_xlfn.XLOOKUP(Table134526_79101120212223242526[[#This Row],[Name Surname]],Manpower!$C$4:$C$1048576,Manpower!$B$4:$B$1048576,"")</f>
        <v>Al Asrah Al Mumayaza Trad</v>
      </c>
      <c r="E120" s="23" t="s">
        <v>198</v>
      </c>
      <c r="F120" s="12" t="e">
        <f>_xlfn.XLOOKUP(Table134526_79101120212223242526[[#This Row],[Name Surname]],Manpower!C:C,Manpower!D:D,)</f>
        <v>#N/A</v>
      </c>
      <c r="G120" s="24" t="str">
        <f>_xlfn.XLOOKUP(Table134526_79101120212223242526[[#This Row],[Name Surname]],Manpower!$C$4:$C$1048576,Manpower!$F$4:$F$1048576,"")</f>
        <v>PICK-UP</v>
      </c>
      <c r="H120" s="24" t="str">
        <f>_xlfn.XLOOKUP(Table134526_79101120212223242526[[#This Row],[Name Surname]],Manpower!$C$4:$C$1048576,Manpower!$H$4:$H$1048576,"")</f>
        <v>Equipment</v>
      </c>
      <c r="I120" s="24" t="str">
        <f>_xlfn.XLOOKUP(Table134526_79101120212223242526[[#This Row],[Name Surname]],Manpower!$C$4:$C$1048576,Manpower!$H$4:$H$1048576,"")</f>
        <v>Equipment</v>
      </c>
      <c r="J120" s="21" t="s">
        <v>143</v>
      </c>
      <c r="K120" s="21" t="s">
        <v>26</v>
      </c>
      <c r="L120" s="21" t="s">
        <v>144</v>
      </c>
      <c r="M120" s="21" t="s">
        <v>24</v>
      </c>
      <c r="N120" s="29">
        <v>8</v>
      </c>
      <c r="O120" s="21" t="s">
        <v>138</v>
      </c>
      <c r="P120" s="21" t="s">
        <v>138</v>
      </c>
      <c r="Q120" s="21" t="s">
        <v>138</v>
      </c>
      <c r="R120" s="21" t="s">
        <v>26</v>
      </c>
    </row>
    <row r="121" spans="1:19" ht="14.4">
      <c r="A121" s="33">
        <f>IF(C121="","",MAX($A$1:A120)+1)</f>
        <v>109</v>
      </c>
      <c r="B121" s="27" t="s">
        <v>141</v>
      </c>
      <c r="C121" s="23">
        <v>46082</v>
      </c>
      <c r="D121" s="24" t="str">
        <f>_xlfn.XLOOKUP(Table134526_79101120212223242526[[#This Row],[Name Surname]],Manpower!$C$4:$C$1048576,Manpower!$B$4:$B$1048576,"")</f>
        <v>Al Asrah Al Mumayaza Trad</v>
      </c>
      <c r="E121" s="23" t="s">
        <v>199</v>
      </c>
      <c r="F121" s="12" t="e">
        <f>_xlfn.XLOOKUP(Table134526_79101120212223242526[[#This Row],[Name Surname]],Manpower!C:C,Manpower!D:D,)</f>
        <v>#N/A</v>
      </c>
      <c r="G121" s="24" t="str">
        <f>_xlfn.XLOOKUP(Table134526_79101120212223242526[[#This Row],[Name Surname]],Manpower!$C$4:$C$1048576,Manpower!$F$4:$F$1048576,"")</f>
        <v>PICK-UP</v>
      </c>
      <c r="H121" s="24" t="str">
        <f>_xlfn.XLOOKUP(Table134526_79101120212223242526[[#This Row],[Name Surname]],Manpower!$C$4:$C$1048576,Manpower!$H$4:$H$1048576,"")</f>
        <v>Equipment</v>
      </c>
      <c r="I121" s="24" t="str">
        <f>_xlfn.XLOOKUP(Table134526_79101120212223242526[[#This Row],[Name Surname]],Manpower!$C$4:$C$1048576,Manpower!$H$4:$H$1048576,"")</f>
        <v>Equipment</v>
      </c>
      <c r="J121" s="21" t="s">
        <v>143</v>
      </c>
      <c r="K121" s="21" t="s">
        <v>26</v>
      </c>
      <c r="L121" s="21" t="s">
        <v>144</v>
      </c>
      <c r="M121" s="21" t="s">
        <v>24</v>
      </c>
      <c r="N121" s="29">
        <v>8</v>
      </c>
      <c r="O121" s="21" t="s">
        <v>138</v>
      </c>
      <c r="P121" s="21" t="s">
        <v>138</v>
      </c>
      <c r="Q121" s="21" t="s">
        <v>138</v>
      </c>
      <c r="R121" s="21" t="s">
        <v>26</v>
      </c>
    </row>
    <row r="122" spans="1:19" ht="14.4">
      <c r="A122" s="33">
        <f>IF(C122="","",MAX($A$1:A121)+1)</f>
        <v>110</v>
      </c>
      <c r="B122" s="27" t="s">
        <v>141</v>
      </c>
      <c r="C122" s="23">
        <v>46082</v>
      </c>
      <c r="D122" s="24" t="str">
        <f>_xlfn.XLOOKUP(Table134526_79101120212223242526[[#This Row],[Name Surname]],Manpower!$C$4:$C$1048576,Manpower!$B$4:$B$1048576,"")</f>
        <v>Al Asrah Al Mumayaza Trad</v>
      </c>
      <c r="E122" s="23" t="s">
        <v>200</v>
      </c>
      <c r="F122" s="12" t="e">
        <f>_xlfn.XLOOKUP(Table134526_79101120212223242526[[#This Row],[Name Surname]],Manpower!C:C,Manpower!D:D,)</f>
        <v>#N/A</v>
      </c>
      <c r="G122" s="24" t="str">
        <f>_xlfn.XLOOKUP(Table134526_79101120212223242526[[#This Row],[Name Surname]],Manpower!$C$4:$C$1048576,Manpower!$F$4:$F$1048576,"")</f>
        <v>PICK-UP</v>
      </c>
      <c r="H122" s="24" t="str">
        <f>_xlfn.XLOOKUP(Table134526_79101120212223242526[[#This Row],[Name Surname]],Manpower!$C$4:$C$1048576,Manpower!$H$4:$H$1048576,"")</f>
        <v>Equipment</v>
      </c>
      <c r="I122" s="24" t="str">
        <f>_xlfn.XLOOKUP(Table134526_79101120212223242526[[#This Row],[Name Surname]],Manpower!$C$4:$C$1048576,Manpower!$H$4:$H$1048576,"")</f>
        <v>Equipment</v>
      </c>
      <c r="J122" s="21" t="s">
        <v>143</v>
      </c>
      <c r="K122" s="21" t="s">
        <v>26</v>
      </c>
      <c r="L122" s="21" t="s">
        <v>144</v>
      </c>
      <c r="M122" s="21" t="s">
        <v>24</v>
      </c>
      <c r="N122" s="29">
        <v>8</v>
      </c>
      <c r="O122" s="21" t="s">
        <v>138</v>
      </c>
      <c r="P122" s="21" t="s">
        <v>138</v>
      </c>
      <c r="Q122" s="21" t="s">
        <v>138</v>
      </c>
      <c r="R122" s="21" t="s">
        <v>26</v>
      </c>
    </row>
    <row r="123" spans="1:19" ht="14.4">
      <c r="A123" s="33">
        <f>IF(C123="","",MAX($A$1:A122)+1)</f>
        <v>111</v>
      </c>
      <c r="B123" s="27" t="s">
        <v>141</v>
      </c>
      <c r="C123" s="23">
        <v>46082</v>
      </c>
      <c r="D123" s="24" t="str">
        <f>_xlfn.XLOOKUP(Table134526_79101120212223242526[[#This Row],[Name Surname]],Manpower!$C$4:$C$1048576,Manpower!$B$4:$B$1048576,"")</f>
        <v>Al Asrah Al Mumayaza Trad</v>
      </c>
      <c r="E123" s="23" t="s">
        <v>201</v>
      </c>
      <c r="F123" s="12" t="e">
        <f>_xlfn.XLOOKUP(Table134526_79101120212223242526[[#This Row],[Name Surname]],Manpower!C:C,Manpower!D:D,)</f>
        <v>#N/A</v>
      </c>
      <c r="G123" s="24" t="str">
        <f>_xlfn.XLOOKUP(Table134526_79101120212223242526[[#This Row],[Name Surname]],Manpower!$C$4:$C$1048576,Manpower!$F$4:$F$1048576,"")</f>
        <v>PICK-UP</v>
      </c>
      <c r="H123" s="24" t="str">
        <f>_xlfn.XLOOKUP(Table134526_79101120212223242526[[#This Row],[Name Surname]],Manpower!$C$4:$C$1048576,Manpower!$H$4:$H$1048576,"")</f>
        <v>Equipment</v>
      </c>
      <c r="I123" s="24" t="str">
        <f>_xlfn.XLOOKUP(Table134526_79101120212223242526[[#This Row],[Name Surname]],Manpower!$C$4:$C$1048576,Manpower!$H$4:$H$1048576,"")</f>
        <v>Equipment</v>
      </c>
      <c r="J123" s="21" t="s">
        <v>143</v>
      </c>
      <c r="K123" s="21" t="s">
        <v>26</v>
      </c>
      <c r="L123" s="21" t="s">
        <v>144</v>
      </c>
      <c r="M123" s="21" t="s">
        <v>24</v>
      </c>
      <c r="N123" s="29">
        <v>8</v>
      </c>
      <c r="O123" s="21" t="s">
        <v>138</v>
      </c>
      <c r="P123" s="21" t="s">
        <v>138</v>
      </c>
      <c r="Q123" s="21" t="s">
        <v>138</v>
      </c>
      <c r="R123" s="21" t="s">
        <v>26</v>
      </c>
    </row>
    <row r="124" spans="1:19" s="45" customFormat="1" ht="14.4" hidden="1">
      <c r="A124" s="25">
        <f>IF(C124="","",MAX($A$1:A123)+1)</f>
        <v>112</v>
      </c>
      <c r="B124" s="25" t="s">
        <v>141</v>
      </c>
      <c r="C124" s="41">
        <v>46082</v>
      </c>
      <c r="D124" s="42" t="str">
        <f>_xlfn.XLOOKUP(Table134526_79101120212223242526[[#This Row],[Name Surname]],Manpower!$C$4:$C$1048576,Manpower!$B$4:$B$1048576,"")</f>
        <v>Encogroup</v>
      </c>
      <c r="E124" s="41" t="s">
        <v>202</v>
      </c>
      <c r="F124" s="12">
        <f>_xlfn.XLOOKUP(Table134526_79101120212223242526[[#This Row],[Name Surname]],Manpower!C:C,Manpower!D:D,)</f>
        <v>140805592</v>
      </c>
      <c r="G124" s="42" t="str">
        <f>_xlfn.XLOOKUP(Table134526_79101120212223242526[[#This Row],[Name Surname]],Manpower!$C$4:$C$1048576,Manpower!$F$4:$F$1048576,"")</f>
        <v>Assistant/Helper</v>
      </c>
      <c r="H124" s="42" t="str">
        <f>_xlfn.XLOOKUP(Table134526_79101120212223242526[[#This Row],[Name Surname]],Manpower!$C$4:$C$1048576,Manpower!$H$4:$H$1048576,"")</f>
        <v>Manpower</v>
      </c>
      <c r="I124" s="42" t="str">
        <f>_xlfn.XLOOKUP(Table134526_79101120212223242526[[#This Row],[Name Surname]],Manpower!$C$4:$C$1048576,Manpower!$H$4:$H$1048576,"")</f>
        <v>Manpower</v>
      </c>
      <c r="J124" s="43" t="s">
        <v>143</v>
      </c>
      <c r="K124" s="43" t="s">
        <v>26</v>
      </c>
      <c r="L124" s="43" t="s">
        <v>144</v>
      </c>
      <c r="M124" s="43" t="s">
        <v>24</v>
      </c>
      <c r="N124" s="44">
        <v>8</v>
      </c>
      <c r="O124" s="43" t="s">
        <v>40</v>
      </c>
      <c r="P124" s="43" t="s">
        <v>42</v>
      </c>
      <c r="Q124" s="43" t="s">
        <v>42</v>
      </c>
      <c r="R124" s="43" t="s">
        <v>149</v>
      </c>
      <c r="S124" s="43"/>
    </row>
    <row r="125" spans="1:19" s="45" customFormat="1" ht="14.4" hidden="1">
      <c r="A125" s="25">
        <f>IF(C125="","",MAX($A$1:A124)+1)</f>
        <v>113</v>
      </c>
      <c r="B125" s="25" t="s">
        <v>141</v>
      </c>
      <c r="C125" s="41">
        <v>46082</v>
      </c>
      <c r="D125" s="42" t="str">
        <f>_xlfn.XLOOKUP(Table134526_79101120212223242526[[#This Row],[Name Surname]],Manpower!$C$4:$C$1048576,Manpower!$B$4:$B$1048576,"")</f>
        <v>Encogroup</v>
      </c>
      <c r="E125" s="41" t="s">
        <v>203</v>
      </c>
      <c r="F125" s="12">
        <f>_xlfn.XLOOKUP(Table134526_79101120212223242526[[#This Row],[Name Surname]],Manpower!C:C,Manpower!D:D,)</f>
        <v>140683371</v>
      </c>
      <c r="G125" s="42" t="str">
        <f>_xlfn.XLOOKUP(Table134526_79101120212223242526[[#This Row],[Name Surname]],Manpower!$C$4:$C$1048576,Manpower!$F$4:$F$1048576,"")</f>
        <v>Rigger</v>
      </c>
      <c r="H125" s="42" t="str">
        <f>_xlfn.XLOOKUP(Table134526_79101120212223242526[[#This Row],[Name Surname]],Manpower!$C$4:$C$1048576,Manpower!$H$4:$H$1048576,"")</f>
        <v>Manpower</v>
      </c>
      <c r="I125" s="42" t="str">
        <f>_xlfn.XLOOKUP(Table134526_79101120212223242526[[#This Row],[Name Surname]],Manpower!$C$4:$C$1048576,Manpower!$H$4:$H$1048576,"")</f>
        <v>Manpower</v>
      </c>
      <c r="J125" s="43" t="s">
        <v>143</v>
      </c>
      <c r="K125" s="43" t="s">
        <v>26</v>
      </c>
      <c r="L125" s="43" t="s">
        <v>144</v>
      </c>
      <c r="M125" s="43" t="s">
        <v>24</v>
      </c>
      <c r="N125" s="44">
        <v>8</v>
      </c>
      <c r="O125" s="43" t="s">
        <v>40</v>
      </c>
      <c r="P125" s="43" t="s">
        <v>42</v>
      </c>
      <c r="Q125" s="43" t="s">
        <v>42</v>
      </c>
      <c r="R125" s="43" t="s">
        <v>26</v>
      </c>
      <c r="S125" s="43"/>
    </row>
    <row r="126" spans="1:19" s="45" customFormat="1" ht="14.4" hidden="1">
      <c r="A126" s="25">
        <f>IF(C126="","",MAX($A$1:A125)+1)</f>
        <v>114</v>
      </c>
      <c r="B126" s="25" t="s">
        <v>141</v>
      </c>
      <c r="C126" s="41">
        <v>46082</v>
      </c>
      <c r="D126" s="42" t="str">
        <f>_xlfn.XLOOKUP(Table134526_79101120212223242526[[#This Row],[Name Surname]],Manpower!$C$4:$C$1048576,Manpower!$B$4:$B$1048576,"")</f>
        <v>Encogroup</v>
      </c>
      <c r="E126" s="41" t="s">
        <v>204</v>
      </c>
      <c r="F126" s="12">
        <f>_xlfn.XLOOKUP(Table134526_79101120212223242526[[#This Row],[Name Surname]],Manpower!C:C,Manpower!D:D,)</f>
        <v>140844572</v>
      </c>
      <c r="G126" s="42" t="str">
        <f>_xlfn.XLOOKUP(Table134526_79101120212223242526[[#This Row],[Name Surname]],Manpower!$C$4:$C$1048576,Manpower!$F$4:$F$1048576,"")</f>
        <v>Assistant/Helper</v>
      </c>
      <c r="H126" s="42" t="str">
        <f>_xlfn.XLOOKUP(Table134526_79101120212223242526[[#This Row],[Name Surname]],Manpower!$C$4:$C$1048576,Manpower!$H$4:$H$1048576,"")</f>
        <v>Manpower</v>
      </c>
      <c r="I126" s="42" t="str">
        <f>_xlfn.XLOOKUP(Table134526_79101120212223242526[[#This Row],[Name Surname]],Manpower!$C$4:$C$1048576,Manpower!$H$4:$H$1048576,"")</f>
        <v>Manpower</v>
      </c>
      <c r="J126" s="43" t="s">
        <v>143</v>
      </c>
      <c r="K126" s="43" t="s">
        <v>26</v>
      </c>
      <c r="L126" s="43" t="s">
        <v>144</v>
      </c>
      <c r="M126" s="43" t="s">
        <v>24</v>
      </c>
      <c r="N126" s="44">
        <v>8</v>
      </c>
      <c r="O126" s="43" t="s">
        <v>205</v>
      </c>
      <c r="P126" s="43" t="s">
        <v>205</v>
      </c>
      <c r="Q126" s="43" t="s">
        <v>205</v>
      </c>
      <c r="R126" s="43" t="s">
        <v>26</v>
      </c>
      <c r="S126" s="43" t="s">
        <v>45</v>
      </c>
    </row>
    <row r="127" spans="1:19" s="45" customFormat="1" ht="14.4" hidden="1">
      <c r="A127" s="25">
        <f>IF(C127="","",MAX($A$1:A126)+1)</f>
        <v>115</v>
      </c>
      <c r="B127" s="25" t="s">
        <v>141</v>
      </c>
      <c r="C127" s="41">
        <v>46082</v>
      </c>
      <c r="D127" s="42" t="str">
        <f>_xlfn.XLOOKUP(Table134526_79101120212223242526[[#This Row],[Name Surname]],Manpower!$C$4:$C$1048576,Manpower!$B$4:$B$1048576,"")</f>
        <v>Encogroup</v>
      </c>
      <c r="E127" s="41" t="s">
        <v>206</v>
      </c>
      <c r="F127" s="12">
        <f>_xlfn.XLOOKUP(Table134526_79101120212223242526[[#This Row],[Name Surname]],Manpower!C:C,Manpower!D:D,)</f>
        <v>140844848</v>
      </c>
      <c r="G127" s="42" t="str">
        <f>_xlfn.XLOOKUP(Table134526_79101120212223242526[[#This Row],[Name Surname]],Manpower!$C$4:$C$1048576,Manpower!$F$4:$F$1048576,"")</f>
        <v>Assistant/Helper</v>
      </c>
      <c r="H127" s="42" t="str">
        <f>_xlfn.XLOOKUP(Table134526_79101120212223242526[[#This Row],[Name Surname]],Manpower!$C$4:$C$1048576,Manpower!$H$4:$H$1048576,"")</f>
        <v>Manpower</v>
      </c>
      <c r="I127" s="42" t="str">
        <f>_xlfn.XLOOKUP(Table134526_79101120212223242526[[#This Row],[Name Surname]],Manpower!$C$4:$C$1048576,Manpower!$H$4:$H$1048576,"")</f>
        <v>Manpower</v>
      </c>
      <c r="J127" s="43" t="s">
        <v>143</v>
      </c>
      <c r="K127" s="43" t="s">
        <v>26</v>
      </c>
      <c r="L127" s="43" t="s">
        <v>144</v>
      </c>
      <c r="M127" s="43" t="s">
        <v>24</v>
      </c>
      <c r="N127" s="44">
        <v>8</v>
      </c>
      <c r="O127" s="43" t="s">
        <v>40</v>
      </c>
      <c r="P127" s="43" t="s">
        <v>42</v>
      </c>
      <c r="Q127" s="43" t="s">
        <v>42</v>
      </c>
      <c r="R127" s="43" t="s">
        <v>26</v>
      </c>
      <c r="S127" s="43"/>
    </row>
    <row r="128" spans="1:19" ht="14.4" hidden="1">
      <c r="A128" s="33">
        <f>IF(C128="","",MAX($A$1:A127)+1)</f>
        <v>116</v>
      </c>
      <c r="B128" s="27" t="s">
        <v>141</v>
      </c>
      <c r="C128" s="23">
        <v>46082</v>
      </c>
      <c r="D128" s="17" t="str">
        <f>_xlfn.XLOOKUP(Table134526_79101120212223242526[[#This Row],[Name Surname]],Manpower!$C$4:$C$1048576,Manpower!$B$4:$B$1048576,"")</f>
        <v>Encogroup</v>
      </c>
      <c r="E128" s="18" t="s">
        <v>207</v>
      </c>
      <c r="F128" s="12">
        <f>_xlfn.XLOOKUP(Table134526_79101120212223242526[[#This Row],[Name Surname]],Manpower!C:C,Manpower!D:D,)</f>
        <v>141359216</v>
      </c>
      <c r="G128" s="17" t="str">
        <f>_xlfn.XLOOKUP(Table134526_79101120212223242526[[#This Row],[Name Surname]],Manpower!$C$4:$C$1048576,Manpower!$F$4:$F$1048576,"")</f>
        <v>Electrician</v>
      </c>
      <c r="H128" s="17" t="str">
        <f>_xlfn.XLOOKUP(Table134526_79101120212223242526[[#This Row],[Name Surname]],Manpower!$C$4:$C$1048576,Manpower!$H$4:$H$1048576,"")</f>
        <v>Manpower</v>
      </c>
      <c r="I128" s="24" t="str">
        <f>_xlfn.XLOOKUP(Table134526_79101120212223242526[[#This Row],[Name Surname]],Manpower!$C$4:$C$1048576,Manpower!$H$4:$H$1048576,"")</f>
        <v>Manpower</v>
      </c>
      <c r="J128" s="21" t="s">
        <v>158</v>
      </c>
      <c r="K128" s="21" t="s">
        <v>26</v>
      </c>
      <c r="L128" s="21" t="s">
        <v>26</v>
      </c>
      <c r="M128" s="21" t="s">
        <v>24</v>
      </c>
      <c r="N128" s="29">
        <v>8</v>
      </c>
      <c r="O128" s="21" t="s">
        <v>28</v>
      </c>
      <c r="P128" s="21" t="s">
        <v>28</v>
      </c>
      <c r="Q128" s="21" t="s">
        <v>28</v>
      </c>
      <c r="R128" s="21" t="s">
        <v>161</v>
      </c>
    </row>
    <row r="129" spans="1:19" s="45" customFormat="1" ht="14.4" hidden="1">
      <c r="A129" s="25">
        <f>IF(C129="","",MAX($A$1:A128)+1)</f>
        <v>117</v>
      </c>
      <c r="B129" s="25" t="s">
        <v>141</v>
      </c>
      <c r="C129" s="41">
        <v>46082</v>
      </c>
      <c r="D129" s="42" t="str">
        <f>_xlfn.XLOOKUP(Table134526_79101120212223242526[[#This Row],[Name Surname]],Manpower!$C$4:$C$1048576,Manpower!$B$4:$B$1048576,"")</f>
        <v>Encogroup</v>
      </c>
      <c r="E129" s="41" t="s">
        <v>208</v>
      </c>
      <c r="F129" s="12">
        <f>_xlfn.XLOOKUP(Table134526_79101120212223242526[[#This Row],[Name Surname]],Manpower!C:C,Manpower!D:D,)</f>
        <v>140683399</v>
      </c>
      <c r="G129" s="42" t="str">
        <f>_xlfn.XLOOKUP(Table134526_79101120212223242526[[#This Row],[Name Surname]],Manpower!$C$4:$C$1048576,Manpower!$F$4:$F$1048576,"")</f>
        <v>Rigger</v>
      </c>
      <c r="H129" s="42" t="str">
        <f>_xlfn.XLOOKUP(Table134526_79101120212223242526[[#This Row],[Name Surname]],Manpower!$C$4:$C$1048576,Manpower!$H$4:$H$1048576,"")</f>
        <v>Manpower</v>
      </c>
      <c r="I129" s="42" t="str">
        <f>_xlfn.XLOOKUP(Table134526_79101120212223242526[[#This Row],[Name Surname]],Manpower!$C$4:$C$1048576,Manpower!$H$4:$H$1048576,"")</f>
        <v>Manpower</v>
      </c>
      <c r="J129" s="43" t="s">
        <v>143</v>
      </c>
      <c r="K129" s="43" t="s">
        <v>26</v>
      </c>
      <c r="L129" s="43" t="s">
        <v>144</v>
      </c>
      <c r="M129" s="43" t="s">
        <v>24</v>
      </c>
      <c r="N129" s="44">
        <v>8</v>
      </c>
      <c r="O129" s="43" t="s">
        <v>40</v>
      </c>
      <c r="P129" s="43" t="s">
        <v>42</v>
      </c>
      <c r="Q129" s="43" t="s">
        <v>42</v>
      </c>
      <c r="R129" s="43" t="s">
        <v>149</v>
      </c>
      <c r="S129" s="43"/>
    </row>
    <row r="130" spans="1:19" ht="14.4" hidden="1">
      <c r="A130" s="33">
        <f>IF(C130="","",MAX($A$1:A129)+1)</f>
        <v>118</v>
      </c>
      <c r="B130" s="27" t="s">
        <v>141</v>
      </c>
      <c r="C130" s="23">
        <v>46082</v>
      </c>
      <c r="D130" s="17" t="str">
        <f>_xlfn.XLOOKUP(Table134526_79101120212223242526[[#This Row],[Name Surname]],Manpower!$C$4:$C$1048576,Manpower!$B$4:$B$1048576,"")</f>
        <v>Encogroup</v>
      </c>
      <c r="E130" s="18" t="s">
        <v>209</v>
      </c>
      <c r="F130" s="12">
        <f>_xlfn.XLOOKUP(Table134526_79101120212223242526[[#This Row],[Name Surname]],Manpower!C:C,Manpower!D:D,)</f>
        <v>141365164</v>
      </c>
      <c r="G130" s="17" t="str">
        <f>_xlfn.XLOOKUP(Table134526_79101120212223242526[[#This Row],[Name Surname]],Manpower!$C$4:$C$1048576,Manpower!$F$4:$F$1048576,"")</f>
        <v>Helper</v>
      </c>
      <c r="H130" s="17" t="str">
        <f>_xlfn.XLOOKUP(Table134526_79101120212223242526[[#This Row],[Name Surname]],Manpower!$C$4:$C$1048576,Manpower!$H$4:$H$1048576,"")</f>
        <v>Manpower</v>
      </c>
      <c r="I130" s="24" t="str">
        <f>_xlfn.XLOOKUP(Table134526_79101120212223242526[[#This Row],[Name Surname]],Manpower!$C$4:$C$1048576,Manpower!$H$4:$H$1048576,"")</f>
        <v>Manpower</v>
      </c>
      <c r="J130" s="21" t="s">
        <v>158</v>
      </c>
      <c r="K130" s="21" t="s">
        <v>26</v>
      </c>
      <c r="L130" s="21" t="s">
        <v>26</v>
      </c>
      <c r="M130" s="21" t="s">
        <v>24</v>
      </c>
      <c r="N130" s="29">
        <v>8</v>
      </c>
      <c r="O130" s="21" t="s">
        <v>159</v>
      </c>
      <c r="P130" s="21" t="s">
        <v>160</v>
      </c>
      <c r="Q130" s="21" t="s">
        <v>160</v>
      </c>
      <c r="R130" s="21" t="s">
        <v>161</v>
      </c>
    </row>
    <row r="131" spans="1:19" ht="14.4">
      <c r="A131" s="33">
        <f>IF(C131="","",MAX($A$1:A130)+1)</f>
        <v>119</v>
      </c>
      <c r="B131" s="27" t="s">
        <v>141</v>
      </c>
      <c r="C131" s="23">
        <v>46082</v>
      </c>
      <c r="D131" s="24" t="str">
        <f>_xlfn.XLOOKUP(Table134526_79101120212223242526[[#This Row],[Name Surname]],Manpower!$C$4:$C$1048576,Manpower!$B$4:$B$1048576,"")</f>
        <v>Bright Light</v>
      </c>
      <c r="E131" s="23" t="s">
        <v>210</v>
      </c>
      <c r="F131" s="12" t="e">
        <f>_xlfn.XLOOKUP(Table134526_79101120212223242526[[#This Row],[Name Surname]],Manpower!C:C,Manpower!D:D,)</f>
        <v>#N/A</v>
      </c>
      <c r="G131" s="24" t="str">
        <f>_xlfn.XLOOKUP(Table134526_79101120212223242526[[#This Row],[Name Surname]],Manpower!$C$4:$C$1048576,Manpower!$F$4:$F$1048576,"")</f>
        <v>Trailer</v>
      </c>
      <c r="H131" s="24" t="str">
        <f>_xlfn.XLOOKUP(Table134526_79101120212223242526[[#This Row],[Name Surname]],Manpower!$C$4:$C$1048576,Manpower!$H$4:$H$1048576,"")</f>
        <v>Equipment</v>
      </c>
      <c r="I131" s="24" t="str">
        <f>_xlfn.XLOOKUP(Table134526_79101120212223242526[[#This Row],[Name Surname]],Manpower!$C$4:$C$1048576,Manpower!$H$4:$H$1048576,"")</f>
        <v>Equipment</v>
      </c>
      <c r="J131" s="21" t="s">
        <v>143</v>
      </c>
      <c r="K131" s="21" t="s">
        <v>26</v>
      </c>
      <c r="L131" s="21" t="s">
        <v>144</v>
      </c>
      <c r="M131" s="21" t="s">
        <v>24</v>
      </c>
      <c r="N131" s="29">
        <v>8</v>
      </c>
      <c r="O131" s="21" t="s">
        <v>40</v>
      </c>
      <c r="P131" s="21" t="s">
        <v>42</v>
      </c>
      <c r="Q131" s="21" t="s">
        <v>42</v>
      </c>
      <c r="R131" s="21" t="s">
        <v>26</v>
      </c>
    </row>
    <row r="132" spans="1:19" ht="14.4" hidden="1">
      <c r="A132" s="33">
        <f>IF(C132="","",MAX($A$1:A131)+1)</f>
        <v>120</v>
      </c>
      <c r="B132" s="27" t="s">
        <v>141</v>
      </c>
      <c r="C132" s="23">
        <v>46082</v>
      </c>
      <c r="D132" s="24" t="str">
        <f>_xlfn.XLOOKUP(Table134526_79101120212223242526[[#This Row],[Name Surname]],Manpower!$C$4:$C$1048576,Manpower!$B$4:$B$1048576,"")</f>
        <v>Encogroup</v>
      </c>
      <c r="E132" s="23" t="s">
        <v>211</v>
      </c>
      <c r="F132" s="12">
        <f>_xlfn.XLOOKUP(Table134526_79101120212223242526[[#This Row],[Name Surname]],Manpower!C:C,Manpower!D:D,)</f>
        <v>140477664</v>
      </c>
      <c r="G132" s="24" t="str">
        <f>_xlfn.XLOOKUP(Table134526_79101120212223242526[[#This Row],[Name Surname]],Manpower!$C$4:$C$1048576,Manpower!$F$4:$F$1048576,"")</f>
        <v>Junior HSE Officer</v>
      </c>
      <c r="H132" s="24" t="str">
        <f>_xlfn.XLOOKUP(Table134526_79101120212223242526[[#This Row],[Name Surname]],Manpower!$C$4:$C$1048576,Manpower!$H$4:$H$1048576,"")</f>
        <v>Manpower</v>
      </c>
      <c r="I132" s="24" t="str">
        <f>_xlfn.XLOOKUP(Table134526_79101120212223242526[[#This Row],[Name Surname]],Manpower!$C$4:$C$1048576,Manpower!$H$4:$H$1048576,"")</f>
        <v>Manpower</v>
      </c>
      <c r="J132" s="21" t="s">
        <v>143</v>
      </c>
      <c r="K132" s="21" t="s">
        <v>26</v>
      </c>
      <c r="L132" s="21" t="s">
        <v>144</v>
      </c>
      <c r="M132" s="21" t="s">
        <v>24</v>
      </c>
      <c r="N132" s="29">
        <v>8</v>
      </c>
      <c r="O132" s="21" t="s">
        <v>40</v>
      </c>
      <c r="P132" s="21" t="s">
        <v>42</v>
      </c>
      <c r="Q132" s="21" t="s">
        <v>42</v>
      </c>
      <c r="R132" s="21" t="s">
        <v>26</v>
      </c>
    </row>
    <row r="133" spans="1:19" ht="14.4" hidden="1">
      <c r="A133" s="33">
        <f>IF(C133="","",MAX($A$1:A132)+1)</f>
        <v>121</v>
      </c>
      <c r="B133" s="27" t="s">
        <v>141</v>
      </c>
      <c r="C133" s="23">
        <v>46082</v>
      </c>
      <c r="D133" s="24" t="str">
        <f>_xlfn.XLOOKUP(Table134526_79101120212223242526[[#This Row],[Name Surname]],Manpower!$C$4:$C$1048576,Manpower!$B$4:$B$1048576,"")</f>
        <v>AL Omar International TRAD AND CONT</v>
      </c>
      <c r="E133" s="23" t="s">
        <v>212</v>
      </c>
      <c r="F133" s="12">
        <f>_xlfn.XLOOKUP(Table134526_79101120212223242526[[#This Row],[Name Surname]],Manpower!C:C,Manpower!D:D,)</f>
        <v>116676257</v>
      </c>
      <c r="G133" s="24" t="str">
        <f>_xlfn.XLOOKUP(Table134526_79101120212223242526[[#This Row],[Name Surname]],Manpower!$C$4:$C$1048576,Manpower!$F$4:$F$1048576,"")</f>
        <v>Scaffolder</v>
      </c>
      <c r="H133" s="24" t="str">
        <f>_xlfn.XLOOKUP(Table134526_79101120212223242526[[#This Row],[Name Surname]],Manpower!$C$4:$C$1048576,Manpower!$H$4:$H$1048576,"")</f>
        <v>Sub Contactor</v>
      </c>
      <c r="I133" s="24" t="str">
        <f>_xlfn.XLOOKUP(Table134526_79101120212223242526[[#This Row],[Name Surname]],Manpower!$C$4:$C$1048576,Manpower!$H$4:$H$1048576,"")</f>
        <v>Sub Contactor</v>
      </c>
      <c r="J133" s="21" t="s">
        <v>143</v>
      </c>
      <c r="K133" s="21" t="s">
        <v>26</v>
      </c>
      <c r="L133" s="21" t="s">
        <v>170</v>
      </c>
      <c r="M133" s="21" t="s">
        <v>24</v>
      </c>
      <c r="N133" s="29">
        <v>8</v>
      </c>
      <c r="O133" s="21" t="s">
        <v>40</v>
      </c>
      <c r="P133" s="21" t="s">
        <v>128</v>
      </c>
      <c r="Q133" s="21" t="s">
        <v>128</v>
      </c>
      <c r="R133" s="21" t="s">
        <v>171</v>
      </c>
    </row>
    <row r="134" spans="1:19" s="45" customFormat="1" ht="14.4" hidden="1">
      <c r="A134" s="25">
        <f>IF(C134="","",MAX($A$1:A133)+1)</f>
        <v>122</v>
      </c>
      <c r="B134" s="25" t="s">
        <v>141</v>
      </c>
      <c r="C134" s="41">
        <v>46082</v>
      </c>
      <c r="D134" s="42" t="str">
        <f>_xlfn.XLOOKUP(Table134526_79101120212223242526[[#This Row],[Name Surname]],Manpower!$C$4:$C$1048576,Manpower!$B$4:$B$1048576,"")</f>
        <v>Encogroup</v>
      </c>
      <c r="E134" s="41" t="s">
        <v>213</v>
      </c>
      <c r="F134" s="12">
        <f>_xlfn.XLOOKUP(Table134526_79101120212223242526[[#This Row],[Name Surname]],Manpower!C:C,Manpower!D:D,)</f>
        <v>140846698</v>
      </c>
      <c r="G134" s="42" t="str">
        <f>_xlfn.XLOOKUP(Table134526_79101120212223242526[[#This Row],[Name Surname]],Manpower!$C$4:$C$1048576,Manpower!$F$4:$F$1048576,"")</f>
        <v>Assistant/Helper</v>
      </c>
      <c r="H134" s="42" t="str">
        <f>_xlfn.XLOOKUP(Table134526_79101120212223242526[[#This Row],[Name Surname]],Manpower!$C$4:$C$1048576,Manpower!$H$4:$H$1048576,"")</f>
        <v>Manpower</v>
      </c>
      <c r="I134" s="42" t="str">
        <f>_xlfn.XLOOKUP(Table134526_79101120212223242526[[#This Row],[Name Surname]],Manpower!$C$4:$C$1048576,Manpower!$H$4:$H$1048576,"")</f>
        <v>Manpower</v>
      </c>
      <c r="J134" s="43" t="s">
        <v>143</v>
      </c>
      <c r="K134" s="43" t="s">
        <v>26</v>
      </c>
      <c r="L134" s="43" t="s">
        <v>144</v>
      </c>
      <c r="M134" s="43" t="s">
        <v>24</v>
      </c>
      <c r="N134" s="44">
        <v>8</v>
      </c>
      <c r="O134" s="43" t="s">
        <v>40</v>
      </c>
      <c r="P134" s="43" t="s">
        <v>42</v>
      </c>
      <c r="Q134" s="43" t="s">
        <v>42</v>
      </c>
      <c r="R134" s="43" t="s">
        <v>149</v>
      </c>
      <c r="S134" s="43"/>
    </row>
    <row r="135" spans="1:19" s="45" customFormat="1" ht="14.4" hidden="1">
      <c r="A135" s="25">
        <f>IF(C135="","",MAX($A$1:A134)+1)</f>
        <v>123</v>
      </c>
      <c r="B135" s="25" t="s">
        <v>141</v>
      </c>
      <c r="C135" s="41">
        <v>46082</v>
      </c>
      <c r="D135" s="42" t="str">
        <f>_xlfn.XLOOKUP(Table134526_79101120212223242526[[#This Row],[Name Surname]],Manpower!$C$4:$C$1048576,Manpower!$B$4:$B$1048576,"")</f>
        <v>SARENS NASS</v>
      </c>
      <c r="E135" s="41" t="s">
        <v>214</v>
      </c>
      <c r="F135" s="12">
        <f>_xlfn.XLOOKUP(Table134526_79101120212223242526[[#This Row],[Name Surname]],Manpower!C:C,Manpower!D:D,)</f>
        <v>109957631</v>
      </c>
      <c r="G135" s="42" t="str">
        <f>_xlfn.XLOOKUP(Table134526_79101120212223242526[[#This Row],[Name Surname]],Manpower!$C$4:$C$1048576,Manpower!$F$4:$F$1048576,"")</f>
        <v>Crane Operator-130T Liebherr Crawler</v>
      </c>
      <c r="H135" s="42" t="s">
        <v>39</v>
      </c>
      <c r="I135" s="42" t="s">
        <v>39</v>
      </c>
      <c r="J135" s="43" t="s">
        <v>143</v>
      </c>
      <c r="K135" s="43" t="s">
        <v>26</v>
      </c>
      <c r="L135" s="43" t="s">
        <v>144</v>
      </c>
      <c r="M135" s="43" t="s">
        <v>55</v>
      </c>
      <c r="N135" s="44">
        <v>8</v>
      </c>
      <c r="O135" s="51"/>
      <c r="P135" s="51"/>
      <c r="Q135" s="51"/>
      <c r="R135" s="43" t="s">
        <v>147</v>
      </c>
      <c r="S135" s="43"/>
    </row>
    <row r="136" spans="1:19" s="45" customFormat="1" ht="14.4" hidden="1">
      <c r="A136" s="25">
        <f>IF(C136="","",MAX($A$1:A135)+1)</f>
        <v>124</v>
      </c>
      <c r="B136" s="25" t="s">
        <v>141</v>
      </c>
      <c r="C136" s="41">
        <v>46082</v>
      </c>
      <c r="D136" s="42" t="str">
        <f>_xlfn.XLOOKUP(Table134526_79101120212223242526[[#This Row],[Name Surname]],Manpower!$C$4:$C$1048576,Manpower!$B$4:$B$1048576,"")</f>
        <v>Sarens Nass</v>
      </c>
      <c r="E136" s="41" t="s">
        <v>215</v>
      </c>
      <c r="F136" s="12" t="str">
        <f>_xlfn.XLOOKUP(Table134526_79101120212223242526[[#This Row],[Name Surname]],Manpower!C:C,Manpower!D:D,)</f>
        <v>112346941</v>
      </c>
      <c r="G136" s="42" t="str">
        <f>_xlfn.XLOOKUP(Table134526_79101120212223242526[[#This Row],[Name Surname]],Manpower!$C$4:$C$1048576,Manpower!$F$4:$F$1048576,"")</f>
        <v>Rigger</v>
      </c>
      <c r="H136" s="42" t="str">
        <f>_xlfn.XLOOKUP(Table134526_79101120212223242526[[#This Row],[Name Surname]],Manpower!$C$4:$C$1048576,Manpower!$H$4:$H$1048576,"")</f>
        <v>Sub Contactor</v>
      </c>
      <c r="I136" s="42" t="str">
        <f>_xlfn.XLOOKUP(Table134526_79101120212223242526[[#This Row],[Name Surname]],Manpower!$C$4:$C$1048576,Manpower!$H$4:$H$1048576,"")</f>
        <v>Sub Contactor</v>
      </c>
      <c r="J136" s="43" t="s">
        <v>143</v>
      </c>
      <c r="K136" s="43" t="s">
        <v>26</v>
      </c>
      <c r="L136" s="43" t="s">
        <v>144</v>
      </c>
      <c r="M136" s="51" t="s">
        <v>24</v>
      </c>
      <c r="N136" s="44">
        <v>8</v>
      </c>
      <c r="O136" s="51" t="s">
        <v>40</v>
      </c>
      <c r="P136" s="51" t="s">
        <v>42</v>
      </c>
      <c r="Q136" s="51" t="s">
        <v>42</v>
      </c>
      <c r="R136" s="43" t="s">
        <v>147</v>
      </c>
      <c r="S136" s="51"/>
    </row>
    <row r="137" spans="1:19" s="45" customFormat="1" ht="14.4" hidden="1">
      <c r="A137" s="25">
        <f>IF(C137="","",MAX($A$1:A135)+1)</f>
        <v>124</v>
      </c>
      <c r="B137" s="25" t="s">
        <v>141</v>
      </c>
      <c r="C137" s="41">
        <v>46082</v>
      </c>
      <c r="D137" s="42" t="str">
        <f>_xlfn.XLOOKUP(Table134526_79101120212223242526[[#This Row],[Name Surname]],Manpower!$C$4:$C$1048576,Manpower!$B$4:$B$1048576,"")</f>
        <v>Sarens Nass</v>
      </c>
      <c r="E137" s="41" t="s">
        <v>216</v>
      </c>
      <c r="F137" s="12" t="str">
        <f>_xlfn.XLOOKUP(Table134526_79101120212223242526[[#This Row],[Name Surname]],Manpower!C:C,Manpower!D:D,)</f>
        <v>77873529</v>
      </c>
      <c r="G137" s="42" t="str">
        <f>_xlfn.XLOOKUP(Table134526_79101120212223242526[[#This Row],[Name Surname]],Manpower!$C$4:$C$1048576,Manpower!$F$4:$F$1048576,"")</f>
        <v>Mechanic</v>
      </c>
      <c r="H137" s="42" t="str">
        <f>_xlfn.XLOOKUP(Table134526_79101120212223242526[[#This Row],[Name Surname]],Manpower!$C$4:$C$1048576,Manpower!$H$4:$H$1048576,"")</f>
        <v>Sub Contactor</v>
      </c>
      <c r="I137" s="42" t="str">
        <f>_xlfn.XLOOKUP(Table134526_79101120212223242526[[#This Row],[Name Surname]],Manpower!$C$4:$C$1048576,Manpower!$H$4:$H$1048576,"")</f>
        <v>Sub Contactor</v>
      </c>
      <c r="J137" s="43" t="s">
        <v>143</v>
      </c>
      <c r="K137" s="43" t="s">
        <v>26</v>
      </c>
      <c r="L137" s="43" t="s">
        <v>144</v>
      </c>
      <c r="M137" s="51" t="s">
        <v>24</v>
      </c>
      <c r="N137" s="44">
        <v>8</v>
      </c>
      <c r="O137" s="51" t="s">
        <v>40</v>
      </c>
      <c r="P137" s="51" t="s">
        <v>42</v>
      </c>
      <c r="Q137" s="51" t="s">
        <v>42</v>
      </c>
      <c r="R137" s="43" t="s">
        <v>147</v>
      </c>
      <c r="S137" s="51"/>
    </row>
    <row r="138" spans="1:19" ht="14.4" hidden="1">
      <c r="A138" s="33">
        <f>IF(C138="","",MAX($A$1:A135)+1)</f>
        <v>124</v>
      </c>
      <c r="B138" s="27" t="s">
        <v>141</v>
      </c>
      <c r="C138" s="23">
        <v>46082</v>
      </c>
      <c r="D138" s="24" t="str">
        <f>_xlfn.XLOOKUP(Table134526_79101120212223242526[[#This Row],[Name Surname]],Manpower!$C$4:$C$1048576,Manpower!$B$4:$B$1048576,"")</f>
        <v>Encogroup</v>
      </c>
      <c r="E138" s="23" t="s">
        <v>217</v>
      </c>
      <c r="F138" s="12">
        <f>_xlfn.XLOOKUP(Table134526_79101120212223242526[[#This Row],[Name Surname]],Manpower!C:C,Manpower!D:D,)</f>
        <v>140742177</v>
      </c>
      <c r="G138" s="24" t="str">
        <f>_xlfn.XLOOKUP(Table134526_79101120212223242526[[#This Row],[Name Surname]],Manpower!$C$4:$C$1048576,Manpower!$F$4:$F$1048576,"")</f>
        <v>Grinder</v>
      </c>
      <c r="H138" s="24" t="str">
        <f>_xlfn.XLOOKUP(Table134526_79101120212223242526[[#This Row],[Name Surname]],Manpower!$C$4:$C$1048576,Manpower!$H$4:$H$1048576,"")</f>
        <v>Manpower</v>
      </c>
      <c r="I138" s="24" t="str">
        <f>_xlfn.XLOOKUP(Table134526_79101120212223242526[[#This Row],[Name Surname]],Manpower!$C$4:$C$1048576,Manpower!$H$4:$H$1048576,"")</f>
        <v>Manpower</v>
      </c>
      <c r="J138" s="21" t="s">
        <v>143</v>
      </c>
      <c r="K138" s="21" t="s">
        <v>26</v>
      </c>
      <c r="L138" s="21" t="s">
        <v>144</v>
      </c>
      <c r="M138" s="21" t="s">
        <v>24</v>
      </c>
      <c r="N138" s="29">
        <v>8</v>
      </c>
      <c r="O138" s="21" t="s">
        <v>40</v>
      </c>
      <c r="P138" s="21" t="s">
        <v>42</v>
      </c>
      <c r="Q138" s="21" t="s">
        <v>42</v>
      </c>
      <c r="R138" s="21" t="s">
        <v>26</v>
      </c>
    </row>
    <row r="139" spans="1:19" ht="14.4" hidden="1">
      <c r="A139" s="33">
        <f>IF(C139="","",MAX($A$1:A138)+1)</f>
        <v>125</v>
      </c>
      <c r="B139" s="27" t="s">
        <v>141</v>
      </c>
      <c r="C139" s="23">
        <v>46082</v>
      </c>
      <c r="D139" s="24" t="str">
        <f>_xlfn.XLOOKUP(Table134526_79101120212223242526[[#This Row],[Name Surname]],Manpower!$C$4:$C$1048576,Manpower!$B$4:$B$1048576,"")</f>
        <v>Encogroup</v>
      </c>
      <c r="E139" s="23" t="s">
        <v>218</v>
      </c>
      <c r="F139" s="12">
        <f>_xlfn.XLOOKUP(Table134526_79101120212223242526[[#This Row],[Name Surname]],Manpower!C:C,Manpower!D:D,)</f>
        <v>116853914</v>
      </c>
      <c r="G139" s="24" t="str">
        <f>_xlfn.XLOOKUP(Table134526_79101120212223242526[[#This Row],[Name Surname]],Manpower!$C$4:$C$1048576,Manpower!$F$4:$F$1048576,"")</f>
        <v>Electrical Supervisor</v>
      </c>
      <c r="H139" s="24" t="str">
        <f>_xlfn.XLOOKUP(Table134526_79101120212223242526[[#This Row],[Name Surname]],Manpower!$C$4:$C$1048576,Manpower!$H$4:$H$1048576,"")</f>
        <v>Manpower</v>
      </c>
      <c r="I139" s="24" t="str">
        <f>_xlfn.XLOOKUP(Table134526_79101120212223242526[[#This Row],[Name Surname]],Manpower!$C$4:$C$1048576,Manpower!$H$4:$H$1048576,"")</f>
        <v>Manpower</v>
      </c>
      <c r="J139" s="21" t="s">
        <v>158</v>
      </c>
      <c r="K139" s="21" t="s">
        <v>26</v>
      </c>
      <c r="L139" s="21" t="s">
        <v>26</v>
      </c>
      <c r="M139" s="21" t="s">
        <v>24</v>
      </c>
      <c r="N139" s="29">
        <v>8</v>
      </c>
      <c r="O139" s="21" t="s">
        <v>28</v>
      </c>
      <c r="P139" s="21" t="s">
        <v>28</v>
      </c>
      <c r="Q139" s="21" t="s">
        <v>28</v>
      </c>
      <c r="R139" s="21" t="s">
        <v>161</v>
      </c>
    </row>
    <row r="140" spans="1:19" ht="16.2" customHeight="1">
      <c r="A140" s="33">
        <f>IF(C140="","",MAX($A$1:A139)+1)</f>
        <v>126</v>
      </c>
      <c r="B140" s="27" t="s">
        <v>141</v>
      </c>
      <c r="C140" s="23">
        <v>46082</v>
      </c>
      <c r="D140" s="24" t="str">
        <f>_xlfn.XLOOKUP(Table134526_79101120212223242526[[#This Row],[Name Surname]],Manpower!$C$4:$C$1048576,Manpower!$B$4:$B$1048576,"")</f>
        <v>Encogroup</v>
      </c>
      <c r="E140" s="23" t="s">
        <v>219</v>
      </c>
      <c r="F140" s="12" t="e">
        <f>_xlfn.XLOOKUP(Table134526_79101120212223242526[[#This Row],[Name Surname]],Manpower!C:C,Manpower!D:D,)</f>
        <v>#N/A</v>
      </c>
      <c r="G140" s="24" t="str">
        <f>_xlfn.XLOOKUP(Table134526_79101120212223242526[[#This Row],[Name Surname]],Manpower!$C$4:$C$1048576,Manpower!$F$4:$F$1048576,"")</f>
        <v>TOWER LIGHT</v>
      </c>
      <c r="H140" s="24" t="str">
        <f>_xlfn.XLOOKUP(Table134526_79101120212223242526[[#This Row],[Name Surname]],Manpower!$C$4:$C$1048576,Manpower!$H$4:$H$1048576,"")</f>
        <v>Equipment</v>
      </c>
      <c r="I140" s="24" t="str">
        <f>_xlfn.XLOOKUP(Table134526_79101120212223242526[[#This Row],[Name Surname]],Manpower!$C$4:$C$1048576,Manpower!$H$4:$H$1048576,"")</f>
        <v>Equipment</v>
      </c>
      <c r="J140" s="21" t="s">
        <v>143</v>
      </c>
      <c r="K140" s="21" t="s">
        <v>26</v>
      </c>
      <c r="L140" s="21" t="s">
        <v>144</v>
      </c>
      <c r="M140" s="21" t="s">
        <v>55</v>
      </c>
      <c r="N140" s="29">
        <v>8</v>
      </c>
      <c r="R140" s="21" t="s">
        <v>56</v>
      </c>
    </row>
    <row r="141" spans="1:19" ht="14.4">
      <c r="A141" s="33">
        <f>IF(C141="","",MAX($A$1:A140)+1)</f>
        <v>127</v>
      </c>
      <c r="B141" s="27" t="s">
        <v>141</v>
      </c>
      <c r="C141" s="23">
        <v>46082</v>
      </c>
      <c r="D141" s="24" t="str">
        <f>_xlfn.XLOOKUP(Table134526_79101120212223242526[[#This Row],[Name Surname]],Manpower!$C$4:$C$1048576,Manpower!$B$4:$B$1048576,"")</f>
        <v>Encogroup</v>
      </c>
      <c r="E141" s="23" t="s">
        <v>220</v>
      </c>
      <c r="F141" s="12" t="e">
        <f>_xlfn.XLOOKUP(Table134526_79101120212223242526[[#This Row],[Name Surname]],Manpower!C:C,Manpower!D:D,)</f>
        <v>#N/A</v>
      </c>
      <c r="G141" s="24" t="str">
        <f>_xlfn.XLOOKUP(Table134526_79101120212223242526[[#This Row],[Name Surname]],Manpower!$C$4:$C$1048576,Manpower!$F$4:$F$1048576,"")</f>
        <v>TOWER LIGHT</v>
      </c>
      <c r="H141" s="24" t="str">
        <f>_xlfn.XLOOKUP(Table134526_79101120212223242526[[#This Row],[Name Surname]],Manpower!$C$4:$C$1048576,Manpower!$H$4:$H$1048576,"")</f>
        <v>Equipment</v>
      </c>
      <c r="I141" s="24" t="str">
        <f>_xlfn.XLOOKUP(Table134526_79101120212223242526[[#This Row],[Name Surname]],Manpower!$C$4:$C$1048576,Manpower!$H$4:$H$1048576,"")</f>
        <v>Equipment</v>
      </c>
      <c r="J141" s="21" t="s">
        <v>143</v>
      </c>
      <c r="K141" s="21" t="s">
        <v>26</v>
      </c>
      <c r="L141" s="21" t="s">
        <v>144</v>
      </c>
      <c r="M141" s="21" t="s">
        <v>55</v>
      </c>
      <c r="N141" s="29">
        <v>8</v>
      </c>
      <c r="R141" s="21" t="s">
        <v>56</v>
      </c>
    </row>
    <row r="142" spans="1:19" ht="14.4" hidden="1">
      <c r="A142" s="33">
        <f>IF(C142="","",MAX($A$1:A141)+1)</f>
        <v>128</v>
      </c>
      <c r="B142" s="27" t="s">
        <v>141</v>
      </c>
      <c r="C142" s="23">
        <v>46082</v>
      </c>
      <c r="D142" s="24" t="str">
        <f>_xlfn.XLOOKUP(Table134526_79101120212223242526[[#This Row],[Name Surname]],Manpower!$C$4:$C$1048576,Manpower!$B$4:$B$1048576,"")</f>
        <v>AL Omar International Tarde&amp;Contracting SPC</v>
      </c>
      <c r="E142" s="23" t="s">
        <v>221</v>
      </c>
      <c r="F142" s="12">
        <f>_xlfn.XLOOKUP(Table134526_79101120212223242526[[#This Row],[Name Surname]],Manpower!C:C,Manpower!D:D,)</f>
        <v>115122635</v>
      </c>
      <c r="G142" s="24" t="str">
        <f>_xlfn.XLOOKUP(Table134526_79101120212223242526[[#This Row],[Name Surname]],Manpower!$C$4:$C$1048576,Manpower!$F$4:$F$1048576,"")</f>
        <v>Scaffolder</v>
      </c>
      <c r="H142" s="24" t="str">
        <f>_xlfn.XLOOKUP(Table134526_79101120212223242526[[#This Row],[Name Surname]],Manpower!$C$4:$C$1048576,Manpower!$H$4:$H$1048576,"")</f>
        <v>Sub Contactor</v>
      </c>
      <c r="I142" s="24" t="str">
        <f>_xlfn.XLOOKUP(Table134526_79101120212223242526[[#This Row],[Name Surname]],Manpower!$C$4:$C$1048576,Manpower!$H$4:$H$1048576,"")</f>
        <v>Sub Contactor</v>
      </c>
      <c r="J142" s="21" t="s">
        <v>143</v>
      </c>
      <c r="K142" s="21" t="s">
        <v>26</v>
      </c>
      <c r="L142" s="21" t="s">
        <v>144</v>
      </c>
      <c r="M142" s="21" t="s">
        <v>24</v>
      </c>
      <c r="N142" s="29">
        <v>8</v>
      </c>
      <c r="O142" s="21" t="s">
        <v>40</v>
      </c>
      <c r="P142" s="21" t="s">
        <v>42</v>
      </c>
      <c r="Q142" s="21" t="s">
        <v>42</v>
      </c>
      <c r="R142" s="21" t="s">
        <v>149</v>
      </c>
    </row>
    <row r="143" spans="1:19" ht="14.4" hidden="1">
      <c r="A143" s="33">
        <f>IF(C143="","",MAX($A$1:A142)+1)</f>
        <v>129</v>
      </c>
      <c r="B143" s="27" t="s">
        <v>141</v>
      </c>
      <c r="C143" s="23">
        <v>46082</v>
      </c>
      <c r="D143" s="24" t="str">
        <f>_xlfn.XLOOKUP(Table134526_79101120212223242526[[#This Row],[Name Surname]],Manpower!$C$4:$C$1048576,Manpower!$B$4:$B$1048576,"")</f>
        <v>Encogroup</v>
      </c>
      <c r="E143" s="23" t="s">
        <v>168</v>
      </c>
      <c r="F143" s="12">
        <f>_xlfn.XLOOKUP(Table134526_79101120212223242526[[#This Row],[Name Surname]],Manpower!C:C,Manpower!D:D,)</f>
        <v>137114773</v>
      </c>
      <c r="G143" s="24" t="str">
        <f>_xlfn.XLOOKUP(Table134526_79101120212223242526[[#This Row],[Name Surname]],Manpower!$C$4:$C$1048576,Manpower!$F$4:$F$1048576,"")</f>
        <v>Rigger</v>
      </c>
      <c r="H143" s="24" t="str">
        <f>_xlfn.XLOOKUP(Table134526_79101120212223242526[[#This Row],[Name Surname]],Manpower!$C$4:$C$1048576,Manpower!$H$4:$H$1048576,"")</f>
        <v>Manpower</v>
      </c>
      <c r="I143" s="24" t="str">
        <f>_xlfn.XLOOKUP(Table134526_79101120212223242526[[#This Row],[Name Surname]],Manpower!$C$4:$C$1048576,Manpower!$H$4:$H$1048576,"")</f>
        <v>Manpower</v>
      </c>
      <c r="J143" s="21" t="s">
        <v>143</v>
      </c>
      <c r="K143" s="21" t="s">
        <v>26</v>
      </c>
      <c r="L143" s="21" t="s">
        <v>144</v>
      </c>
      <c r="M143" s="21" t="s">
        <v>24</v>
      </c>
      <c r="N143" s="29">
        <v>8</v>
      </c>
      <c r="O143" s="21" t="s">
        <v>40</v>
      </c>
      <c r="P143" s="21" t="s">
        <v>42</v>
      </c>
      <c r="Q143" s="21" t="s">
        <v>42</v>
      </c>
      <c r="R143" s="21" t="s">
        <v>149</v>
      </c>
    </row>
    <row r="144" spans="1:19" s="45" customFormat="1" ht="14.4" hidden="1">
      <c r="A144" s="25">
        <f>IF(C144="","",MAX($A$1:A143)+1)</f>
        <v>130</v>
      </c>
      <c r="B144" s="25" t="s">
        <v>141</v>
      </c>
      <c r="C144" s="41">
        <v>46082</v>
      </c>
      <c r="D144" s="42" t="str">
        <f>_xlfn.XLOOKUP(Table134526_79101120212223242526[[#This Row],[Name Surname]],Manpower!$C$4:$C$1048576,Manpower!$B$4:$B$1048576,"")</f>
        <v>Encogroup</v>
      </c>
      <c r="E144" s="41" t="s">
        <v>222</v>
      </c>
      <c r="F144" s="12">
        <f>_xlfn.XLOOKUP(Table134526_79101120212223242526[[#This Row],[Name Surname]],Manpower!C:C,Manpower!D:D,)</f>
        <v>122082863</v>
      </c>
      <c r="G144" s="42" t="str">
        <f>_xlfn.XLOOKUP(Table134526_79101120212223242526[[#This Row],[Name Surname]],Manpower!$C$4:$C$1048576,Manpower!$F$4:$F$1048576,"")</f>
        <v>Grinder</v>
      </c>
      <c r="H144" s="42" t="str">
        <f>_xlfn.XLOOKUP(Table134526_79101120212223242526[[#This Row],[Name Surname]],Manpower!$C$4:$C$1048576,Manpower!$H$4:$H$1048576,"")</f>
        <v>Manpower</v>
      </c>
      <c r="I144" s="42" t="str">
        <f>_xlfn.XLOOKUP(Table134526_79101120212223242526[[#This Row],[Name Surname]],Manpower!$C$4:$C$1048576,Manpower!$H$4:$H$1048576,"")</f>
        <v>Manpower</v>
      </c>
      <c r="J144" s="43" t="s">
        <v>143</v>
      </c>
      <c r="K144" s="43" t="s">
        <v>26</v>
      </c>
      <c r="L144" s="43" t="s">
        <v>144</v>
      </c>
      <c r="M144" s="43" t="s">
        <v>24</v>
      </c>
      <c r="N144" s="44">
        <v>8</v>
      </c>
      <c r="O144" s="43" t="s">
        <v>40</v>
      </c>
      <c r="P144" s="43" t="s">
        <v>42</v>
      </c>
      <c r="Q144" s="43" t="s">
        <v>42</v>
      </c>
      <c r="R144" s="43" t="s">
        <v>26</v>
      </c>
      <c r="S144" s="43"/>
    </row>
    <row r="145" spans="1:19" ht="14.4" hidden="1">
      <c r="A145" s="33">
        <f>IF(C145="","",MAX($A$1:A144)+1)</f>
        <v>131</v>
      </c>
      <c r="B145" s="27" t="s">
        <v>141</v>
      </c>
      <c r="C145" s="23">
        <v>46082</v>
      </c>
      <c r="D145" s="24" t="str">
        <f>_xlfn.XLOOKUP(Table134526_79101120212223242526[[#This Row],[Name Surname]],Manpower!$C$4:$C$1048576,Manpower!$B$4:$B$1048576,"")</f>
        <v>Encogroup</v>
      </c>
      <c r="E145" s="23" t="s">
        <v>223</v>
      </c>
      <c r="F145" s="12">
        <f>_xlfn.XLOOKUP(Table134526_79101120212223242526[[#This Row],[Name Surname]],Manpower!C:C,Manpower!D:D,)</f>
        <v>140696989</v>
      </c>
      <c r="G145" s="24" t="str">
        <f>_xlfn.XLOOKUP(Table134526_79101120212223242526[[#This Row],[Name Surname]],Manpower!$C$4:$C$1048576,Manpower!$F$4:$F$1048576,"")</f>
        <v>Assistant/Helper</v>
      </c>
      <c r="H145" s="24" t="str">
        <f>_xlfn.XLOOKUP(Table134526_79101120212223242526[[#This Row],[Name Surname]],Manpower!$C$4:$C$1048576,Manpower!$H$4:$H$1048576,"")</f>
        <v>Manpower</v>
      </c>
      <c r="I145" s="24" t="str">
        <f>_xlfn.XLOOKUP(Table134526_79101120212223242526[[#This Row],[Name Surname]],Manpower!$C$4:$C$1048576,Manpower!$H$4:$H$1048576,"")</f>
        <v>Manpower</v>
      </c>
      <c r="J145" s="21" t="s">
        <v>158</v>
      </c>
      <c r="K145" s="21" t="s">
        <v>26</v>
      </c>
      <c r="L145" s="21" t="s">
        <v>26</v>
      </c>
      <c r="M145" s="21" t="s">
        <v>24</v>
      </c>
      <c r="N145" s="29">
        <v>8</v>
      </c>
      <c r="O145" s="21" t="s">
        <v>159</v>
      </c>
      <c r="P145" s="21" t="s">
        <v>160</v>
      </c>
      <c r="Q145" s="21" t="s">
        <v>160</v>
      </c>
      <c r="R145" s="21" t="s">
        <v>161</v>
      </c>
    </row>
    <row r="146" spans="1:19" s="45" customFormat="1" ht="14.4" hidden="1">
      <c r="A146" s="25">
        <f>IF(C146="","",MAX($A$1:A145)+1)</f>
        <v>132</v>
      </c>
      <c r="B146" s="25" t="s">
        <v>141</v>
      </c>
      <c r="C146" s="41">
        <v>46082</v>
      </c>
      <c r="D146" s="42" t="str">
        <f>_xlfn.XLOOKUP(Table134526_79101120212223242526[[#This Row],[Name Surname]],Manpower!$C$4:$C$1048576,Manpower!$B$4:$B$1048576,"")</f>
        <v>Encogroup</v>
      </c>
      <c r="E146" s="41" t="s">
        <v>224</v>
      </c>
      <c r="F146" s="12">
        <f>_xlfn.XLOOKUP(Table134526_79101120212223242526[[#This Row],[Name Surname]],Manpower!C:C,Manpower!D:D,)</f>
        <v>141365094</v>
      </c>
      <c r="G146" s="42" t="str">
        <f>_xlfn.XLOOKUP(Table134526_79101120212223242526[[#This Row],[Name Surname]],Manpower!$C$4:$C$1048576,Manpower!$F$4:$F$1048576,"")</f>
        <v>Helper</v>
      </c>
      <c r="H146" s="42" t="str">
        <f>_xlfn.XLOOKUP(Table134526_79101120212223242526[[#This Row],[Name Surname]],Manpower!$C$4:$C$1048576,Manpower!$H$4:$H$1048576,"")</f>
        <v>Manpower</v>
      </c>
      <c r="I146" s="42" t="str">
        <f>_xlfn.XLOOKUP(Table134526_79101120212223242526[[#This Row],[Name Surname]],Manpower!$C$4:$C$1048576,Manpower!$H$4:$H$1048576,"")</f>
        <v>Manpower</v>
      </c>
      <c r="J146" s="43" t="s">
        <v>143</v>
      </c>
      <c r="K146" s="43" t="s">
        <v>26</v>
      </c>
      <c r="L146" s="43" t="s">
        <v>144</v>
      </c>
      <c r="M146" s="43" t="s">
        <v>24</v>
      </c>
      <c r="N146" s="44">
        <v>8</v>
      </c>
      <c r="O146" s="43" t="s">
        <v>40</v>
      </c>
      <c r="P146" s="43" t="s">
        <v>42</v>
      </c>
      <c r="Q146" s="43" t="s">
        <v>42</v>
      </c>
      <c r="R146" s="43" t="s">
        <v>163</v>
      </c>
      <c r="S146" s="43"/>
    </row>
    <row r="147" spans="1:19" s="45" customFormat="1" ht="14.4" hidden="1">
      <c r="A147" s="25">
        <f>IF(C147="","",MAX($A$1:A146)+1)</f>
        <v>133</v>
      </c>
      <c r="B147" s="25" t="s">
        <v>141</v>
      </c>
      <c r="C147" s="41">
        <v>46082</v>
      </c>
      <c r="D147" s="42" t="str">
        <f>_xlfn.XLOOKUP(Table134526_79101120212223242526[[#This Row],[Name Surname]],Manpower!$C$4:$C$1048576,Manpower!$B$4:$B$1048576,"")</f>
        <v xml:space="preserve">FAL Transport </v>
      </c>
      <c r="E147" s="41" t="s">
        <v>225</v>
      </c>
      <c r="F147" s="12">
        <f>_xlfn.XLOOKUP(Table134526_79101120212223242526[[#This Row],[Name Surname]],Manpower!C:C,Manpower!D:D,)</f>
        <v>124233837</v>
      </c>
      <c r="G147" s="42" t="str">
        <f>_xlfn.XLOOKUP(Table134526_79101120212223242526[[#This Row],[Name Surname]],Manpower!$C$4:$C$1048576,Manpower!$F$4:$F$1048576,"")</f>
        <v>Trailer Driver</v>
      </c>
      <c r="H147" s="42" t="str">
        <f>_xlfn.XLOOKUP(Table134526_79101120212223242526[[#This Row],[Name Surname]],Manpower!$C$4:$C$1048576,Manpower!$H$4:$H$1048576,"")</f>
        <v>Sub Contactor</v>
      </c>
      <c r="I147" s="42" t="str">
        <f>_xlfn.XLOOKUP(Table134526_79101120212223242526[[#This Row],[Name Surname]],Manpower!$C$4:$C$1048576,Manpower!$H$4:$H$1048576,"")</f>
        <v>Sub Contactor</v>
      </c>
      <c r="J147" s="43" t="s">
        <v>143</v>
      </c>
      <c r="K147" s="43" t="s">
        <v>26</v>
      </c>
      <c r="L147" s="43" t="s">
        <v>144</v>
      </c>
      <c r="M147" s="43" t="s">
        <v>24</v>
      </c>
      <c r="N147" s="44">
        <v>8</v>
      </c>
      <c r="O147" s="43" t="s">
        <v>40</v>
      </c>
      <c r="P147" s="43" t="s">
        <v>42</v>
      </c>
      <c r="Q147" s="43" t="s">
        <v>42</v>
      </c>
      <c r="R147" s="43" t="s">
        <v>226</v>
      </c>
      <c r="S147" s="43" t="s">
        <v>45</v>
      </c>
    </row>
    <row r="148" spans="1:19" ht="14.4">
      <c r="A148" s="33">
        <f>IF(C148="","",MAX($A$1:A147)+1)</f>
        <v>134</v>
      </c>
      <c r="B148" s="22" t="s">
        <v>19</v>
      </c>
      <c r="C148" s="23">
        <v>46083</v>
      </c>
      <c r="D148" s="24" t="str">
        <f>_xlfn.XLOOKUP(Table134526_79101120212223242526[[#This Row],[Name Surname]],Manpower!$C$4:$C$1048576,Manpower!$B$4:$B$1048576,"")</f>
        <v>Riyan Al Khaleej</v>
      </c>
      <c r="E148" s="23" t="s">
        <v>20</v>
      </c>
      <c r="F148" s="12" t="e">
        <f>_xlfn.XLOOKUP(Table134526_79101120212223242526[[#This Row],[Name Surname]],Manpower!C:C,Manpower!D:D,)</f>
        <v>#N/A</v>
      </c>
      <c r="G148" s="24" t="str">
        <f>_xlfn.XLOOKUP(Table134526_79101120212223242526[[#This Row],[Name Surname]],Manpower!$C$4:$C$1048576,Manpower!$F$4:$F$1048576,"")</f>
        <v>100T Telescopic Crane</v>
      </c>
      <c r="H148" s="24" t="str">
        <f>_xlfn.XLOOKUP(Table134526_79101120212223242526[[#This Row],[Name Surname]],Manpower!$C$4:$C$1048576,Manpower!$H$4:$H$1048576,"")</f>
        <v>Equipment</v>
      </c>
      <c r="I148" s="24" t="str">
        <f>_xlfn.XLOOKUP(Table134526_79101120212223242526[[#This Row],[Name Surname]],Manpower!$C$4:$C$1048576,Manpower!$H$4:$H$1048576,"")</f>
        <v>Equipment</v>
      </c>
      <c r="J148" s="21" t="s">
        <v>21</v>
      </c>
      <c r="K148" s="21" t="s">
        <v>22</v>
      </c>
      <c r="L148" s="21" t="s">
        <v>23</v>
      </c>
      <c r="M148" s="21" t="s">
        <v>55</v>
      </c>
      <c r="N148" s="29">
        <v>10</v>
      </c>
      <c r="P148" s="20"/>
      <c r="R148" s="21" t="s">
        <v>227</v>
      </c>
    </row>
    <row r="149" spans="1:19" ht="14.4" hidden="1">
      <c r="A149" s="33">
        <f>IF(C149="","",MAX($A$1:A148)+1)</f>
        <v>135</v>
      </c>
      <c r="B149" s="22" t="s">
        <v>19</v>
      </c>
      <c r="C149" s="23">
        <v>46083</v>
      </c>
      <c r="D149" s="24" t="str">
        <f>_xlfn.XLOOKUP(Table134526_79101120212223242526[[#This Row],[Name Surname]],Manpower!$C$4:$C$1048576,Manpower!$B$4:$B$1048576,"")</f>
        <v>Encogroup</v>
      </c>
      <c r="E149" s="23" t="s">
        <v>27</v>
      </c>
      <c r="F149" s="12">
        <f>_xlfn.XLOOKUP(Table134526_79101120212223242526[[#This Row],[Name Surname]],Manpower!C:C,Manpower!D:D,)</f>
        <v>127414586</v>
      </c>
      <c r="G149" s="24" t="str">
        <f>_xlfn.XLOOKUP(Table134526_79101120212223242526[[#This Row],[Name Surname]],Manpower!$C$4:$C$1048576,Manpower!$F$4:$F$1048576,"")</f>
        <v>Electrician</v>
      </c>
      <c r="H149" s="24" t="str">
        <f>_xlfn.XLOOKUP(Table134526_79101120212223242526[[#This Row],[Name Surname]],Manpower!$C$4:$C$1048576,Manpower!$H$4:$H$1048576,"")</f>
        <v>Manpower</v>
      </c>
      <c r="I149" s="24" t="str">
        <f>_xlfn.XLOOKUP(Table134526_79101120212223242526[[#This Row],[Name Surname]],Manpower!$C$4:$C$1048576,Manpower!$H$4:$H$1048576,"")</f>
        <v>Manpower</v>
      </c>
      <c r="J149" s="21" t="s">
        <v>21</v>
      </c>
      <c r="K149" s="21" t="s">
        <v>22</v>
      </c>
      <c r="L149" s="21" t="s">
        <v>23</v>
      </c>
      <c r="M149" s="21" t="s">
        <v>55</v>
      </c>
      <c r="N149" s="29">
        <v>5</v>
      </c>
      <c r="P149" s="20"/>
      <c r="R149" s="21" t="s">
        <v>227</v>
      </c>
    </row>
    <row r="150" spans="1:19" ht="14.4" hidden="1">
      <c r="A150" s="33">
        <f>IF(C150="","",MAX($A$1:A149)+1)</f>
        <v>136</v>
      </c>
      <c r="B150" s="22" t="s">
        <v>19</v>
      </c>
      <c r="C150" s="23">
        <v>46083</v>
      </c>
      <c r="D150" s="24" t="str">
        <f>_xlfn.XLOOKUP(Table134526_79101120212223242526[[#This Row],[Name Surname]],Manpower!$C$4:$C$1048576,Manpower!$B$4:$B$1048576,"")</f>
        <v>Encogroup</v>
      </c>
      <c r="E150" s="23" t="s">
        <v>29</v>
      </c>
      <c r="F150" s="12">
        <f>_xlfn.XLOOKUP(Table134526_79101120212223242526[[#This Row],[Name Surname]],Manpower!C:C,Manpower!D:D,)</f>
        <v>127331574</v>
      </c>
      <c r="G150" s="24" t="str">
        <f>_xlfn.XLOOKUP(Table134526_79101120212223242526[[#This Row],[Name Surname]],Manpower!$C$4:$C$1048576,Manpower!$F$4:$F$1048576,"")</f>
        <v>Permit Receiver</v>
      </c>
      <c r="H150" s="24" t="str">
        <f>_xlfn.XLOOKUP(Table134526_79101120212223242526[[#This Row],[Name Surname]],Manpower!$C$4:$C$1048576,Manpower!$H$4:$H$1048576,"")</f>
        <v>Manpower</v>
      </c>
      <c r="I150" s="24" t="str">
        <f>_xlfn.XLOOKUP(Table134526_79101120212223242526[[#This Row],[Name Surname]],Manpower!$C$4:$C$1048576,Manpower!$H$4:$H$1048576,"")</f>
        <v>Manpower</v>
      </c>
      <c r="J150" s="21" t="s">
        <v>21</v>
      </c>
      <c r="K150" s="21" t="s">
        <v>22</v>
      </c>
      <c r="L150" s="21" t="s">
        <v>23</v>
      </c>
      <c r="M150" s="21" t="s">
        <v>55</v>
      </c>
      <c r="N150" s="29">
        <v>10</v>
      </c>
      <c r="P150" s="20"/>
      <c r="R150" s="21" t="s">
        <v>227</v>
      </c>
    </row>
    <row r="151" spans="1:19" ht="14.4" hidden="1">
      <c r="A151" s="33">
        <f>IF(C151="","",MAX($A$1:A150)+1)</f>
        <v>137</v>
      </c>
      <c r="B151" s="22" t="s">
        <v>19</v>
      </c>
      <c r="C151" s="23">
        <v>46083</v>
      </c>
      <c r="D151" s="17" t="str">
        <f>_xlfn.XLOOKUP(Table134526_79101120212223242526[[#This Row],[Name Surname]],Manpower!$C$4:$C$1048576,Manpower!$B$4:$B$1048576,"")</f>
        <v>Encogroup</v>
      </c>
      <c r="E151" s="23" t="s">
        <v>30</v>
      </c>
      <c r="F151" s="12">
        <f>_xlfn.XLOOKUP(Table134526_79101120212223242526[[#This Row],[Name Surname]],Manpower!C:C,Manpower!D:D,)</f>
        <v>116589569</v>
      </c>
      <c r="G151" s="17" t="str">
        <f>_xlfn.XLOOKUP(Table134526_79101120212223242526[[#This Row],[Name Surname]],Manpower!$C$4:$C$1048576,Manpower!$F$4:$F$1048576,"")</f>
        <v>Mechanical Engineer</v>
      </c>
      <c r="H151" s="17" t="str">
        <f>_xlfn.XLOOKUP(Table134526_79101120212223242526[[#This Row],[Name Surname]],Manpower!$C$4:$C$1048576,Manpower!$H$4:$H$1048576,"")</f>
        <v>Manpower</v>
      </c>
      <c r="I151" s="24" t="str">
        <f>_xlfn.XLOOKUP(Table134526_79101120212223242526[[#This Row],[Name Surname]],Manpower!$C$4:$C$1048576,Manpower!$H$4:$H$1048576,"")</f>
        <v>Manpower</v>
      </c>
      <c r="J151" s="21" t="s">
        <v>21</v>
      </c>
      <c r="K151" s="21" t="s">
        <v>22</v>
      </c>
      <c r="L151" s="21" t="s">
        <v>23</v>
      </c>
      <c r="M151" s="21" t="s">
        <v>55</v>
      </c>
      <c r="N151" s="29">
        <v>10</v>
      </c>
      <c r="O151" s="20"/>
      <c r="P151" s="20"/>
      <c r="R151" s="21" t="s">
        <v>227</v>
      </c>
    </row>
    <row r="152" spans="1:19" ht="14.4" hidden="1">
      <c r="A152" s="33">
        <f>IF(C152="","",MAX($A$1:A151)+1)</f>
        <v>138</v>
      </c>
      <c r="B152" s="22" t="s">
        <v>19</v>
      </c>
      <c r="C152" s="23">
        <v>46083</v>
      </c>
      <c r="D152" s="17" t="str">
        <f>_xlfn.XLOOKUP(Table134526_79101120212223242526[[#This Row],[Name Surname]],Manpower!$C$4:$C$1048576,Manpower!$B$4:$B$1048576,"")</f>
        <v>Encogroup</v>
      </c>
      <c r="E152" s="23" t="s">
        <v>31</v>
      </c>
      <c r="F152" s="12">
        <f>_xlfn.XLOOKUP(Table134526_79101120212223242526[[#This Row],[Name Surname]],Manpower!C:C,Manpower!D:D,)</f>
        <v>99596058</v>
      </c>
      <c r="G152" s="17" t="str">
        <f>_xlfn.XLOOKUP(Table134526_79101120212223242526[[#This Row],[Name Surname]],Manpower!$C$4:$C$1048576,Manpower!$F$4:$F$1048576,"")</f>
        <v>HSE Officer</v>
      </c>
      <c r="H152" s="17" t="str">
        <f>_xlfn.XLOOKUP(Table134526_79101120212223242526[[#This Row],[Name Surname]],Manpower!$C$4:$C$1048576,Manpower!$H$4:$H$1048576,"")</f>
        <v>Manpower</v>
      </c>
      <c r="I152" s="24" t="str">
        <f>_xlfn.XLOOKUP(Table134526_79101120212223242526[[#This Row],[Name Surname]],Manpower!$C$4:$C$1048576,Manpower!$H$4:$H$1048576,"")</f>
        <v>Manpower</v>
      </c>
      <c r="J152" s="21" t="s">
        <v>21</v>
      </c>
      <c r="K152" s="21" t="s">
        <v>22</v>
      </c>
      <c r="L152" s="21" t="s">
        <v>23</v>
      </c>
      <c r="M152" s="21" t="s">
        <v>55</v>
      </c>
      <c r="N152" s="29">
        <v>10</v>
      </c>
      <c r="O152" s="20"/>
      <c r="P152" s="20"/>
      <c r="R152" s="21" t="s">
        <v>227</v>
      </c>
    </row>
    <row r="153" spans="1:19" ht="14.4" hidden="1">
      <c r="A153" s="33">
        <f>IF(C153="","",MAX($A$1:A152)+1)</f>
        <v>139</v>
      </c>
      <c r="B153" s="22" t="s">
        <v>19</v>
      </c>
      <c r="C153" s="23">
        <v>46083</v>
      </c>
      <c r="D153" s="17" t="str">
        <f>_xlfn.XLOOKUP(Table134526_79101120212223242526[[#This Row],[Name Surname]],Manpower!$C$4:$C$1048576,Manpower!$B$4:$B$1048576,"")</f>
        <v>Encogroup</v>
      </c>
      <c r="E153" s="18" t="s">
        <v>32</v>
      </c>
      <c r="F153" s="12">
        <f>_xlfn.XLOOKUP(Table134526_79101120212223242526[[#This Row],[Name Surname]],Manpower!C:C,Manpower!D:D,)</f>
        <v>140697039</v>
      </c>
      <c r="G153" s="17" t="str">
        <f>_xlfn.XLOOKUP(Table134526_79101120212223242526[[#This Row],[Name Surname]],Manpower!$C$4:$C$1048576,Manpower!$F$4:$F$1048576,"")</f>
        <v>Fitter/Erector</v>
      </c>
      <c r="H153" s="17" t="str">
        <f>_xlfn.XLOOKUP(Table134526_79101120212223242526[[#This Row],[Name Surname]],Manpower!$C$4:$C$1048576,Manpower!$H$4:$H$1048576,"")</f>
        <v>Manpower</v>
      </c>
      <c r="I153" s="24" t="str">
        <f>_xlfn.XLOOKUP(Table134526_79101120212223242526[[#This Row],[Name Surname]],Manpower!$C$4:$C$1048576,Manpower!$H$4:$H$1048576,"")</f>
        <v>Manpower</v>
      </c>
      <c r="J153" s="21" t="s">
        <v>21</v>
      </c>
      <c r="K153" s="21" t="s">
        <v>22</v>
      </c>
      <c r="L153" s="21" t="s">
        <v>23</v>
      </c>
      <c r="M153" s="21" t="s">
        <v>55</v>
      </c>
      <c r="N153" s="29">
        <v>10</v>
      </c>
      <c r="O153" s="20"/>
      <c r="P153" s="20"/>
      <c r="R153" s="21" t="s">
        <v>227</v>
      </c>
    </row>
    <row r="154" spans="1:19" ht="14.4" hidden="1">
      <c r="A154" s="33">
        <f>IF(C154="","",MAX($A$1:A153)+1)</f>
        <v>140</v>
      </c>
      <c r="B154" s="22" t="s">
        <v>19</v>
      </c>
      <c r="C154" s="23">
        <v>46083</v>
      </c>
      <c r="D154" s="17" t="str">
        <f>_xlfn.XLOOKUP(Table134526_79101120212223242526[[#This Row],[Name Surname]],Manpower!$C$4:$C$1048576,Manpower!$B$4:$B$1048576,"")</f>
        <v>Encogroup</v>
      </c>
      <c r="E154" s="18" t="s">
        <v>33</v>
      </c>
      <c r="F154" s="12">
        <f>_xlfn.XLOOKUP(Table134526_79101120212223242526[[#This Row],[Name Surname]],Manpower!C:C,Manpower!D:D,)</f>
        <v>124565057</v>
      </c>
      <c r="G154" s="17" t="str">
        <f>_xlfn.XLOOKUP(Table134526_79101120212223242526[[#This Row],[Name Surname]],Manpower!$C$4:$C$1048576,Manpower!$F$4:$F$1048576,"")</f>
        <v>Fitter/Erector</v>
      </c>
      <c r="H154" s="17" t="str">
        <f>_xlfn.XLOOKUP(Table134526_79101120212223242526[[#This Row],[Name Surname]],Manpower!$C$4:$C$1048576,Manpower!$H$4:$H$1048576,"")</f>
        <v>Manpower</v>
      </c>
      <c r="I154" s="24" t="str">
        <f>_xlfn.XLOOKUP(Table134526_79101120212223242526[[#This Row],[Name Surname]],Manpower!$C$4:$C$1048576,Manpower!$H$4:$H$1048576,"")</f>
        <v>Manpower</v>
      </c>
      <c r="J154" s="21" t="s">
        <v>21</v>
      </c>
      <c r="K154" s="21" t="s">
        <v>22</v>
      </c>
      <c r="L154" s="21" t="s">
        <v>23</v>
      </c>
      <c r="M154" s="21" t="s">
        <v>55</v>
      </c>
      <c r="N154" s="29">
        <v>10</v>
      </c>
      <c r="O154" s="20"/>
      <c r="P154" s="20"/>
      <c r="R154" s="21" t="s">
        <v>227</v>
      </c>
    </row>
    <row r="155" spans="1:19" ht="14.4" hidden="1">
      <c r="A155" s="33">
        <f>IF(C155="","",MAX($A$1:A154)+1)</f>
        <v>141</v>
      </c>
      <c r="B155" s="22" t="s">
        <v>19</v>
      </c>
      <c r="C155" s="23">
        <v>46083</v>
      </c>
      <c r="D155" s="24" t="str">
        <f>_xlfn.XLOOKUP(Table134526_79101120212223242526[[#This Row],[Name Surname]],Manpower!$C$4:$C$1048576,Manpower!$B$4:$B$1048576,"")</f>
        <v>Encogroup</v>
      </c>
      <c r="E155" s="18" t="s">
        <v>34</v>
      </c>
      <c r="F155" s="12">
        <f>_xlfn.XLOOKUP(Table134526_79101120212223242526[[#This Row],[Name Surname]],Manpower!C:C,Manpower!D:D,)</f>
        <v>141365023</v>
      </c>
      <c r="G155" s="24" t="str">
        <f>_xlfn.XLOOKUP(Table134526_79101120212223242526[[#This Row],[Name Surname]],Manpower!$C$4:$C$1048576,Manpower!$F$4:$F$1048576,"")</f>
        <v>Grinder</v>
      </c>
      <c r="H155" s="24" t="str">
        <f>_xlfn.XLOOKUP(Table134526_79101120212223242526[[#This Row],[Name Surname]],Manpower!$C$4:$C$1048576,Manpower!$H$4:$H$1048576,"")</f>
        <v>Manpower</v>
      </c>
      <c r="I155" s="24" t="str">
        <f>_xlfn.XLOOKUP(Table134526_79101120212223242526[[#This Row],[Name Surname]],Manpower!$C$4:$C$1048576,Manpower!$H$4:$H$1048576,"")</f>
        <v>Manpower</v>
      </c>
      <c r="J155" s="21" t="s">
        <v>21</v>
      </c>
      <c r="K155" s="21" t="s">
        <v>22</v>
      </c>
      <c r="L155" s="21" t="s">
        <v>23</v>
      </c>
      <c r="M155" s="21" t="s">
        <v>55</v>
      </c>
      <c r="N155" s="29">
        <v>10</v>
      </c>
      <c r="P155" s="20"/>
      <c r="R155" s="21" t="s">
        <v>227</v>
      </c>
    </row>
    <row r="156" spans="1:19" ht="14.4" hidden="1">
      <c r="A156" s="33">
        <f>IF(C156="","",MAX($A$1:A155)+1)</f>
        <v>142</v>
      </c>
      <c r="B156" s="22" t="s">
        <v>19</v>
      </c>
      <c r="C156" s="23">
        <v>46083</v>
      </c>
      <c r="D156" s="24" t="str">
        <f>_xlfn.XLOOKUP(Table134526_79101120212223242526[[#This Row],[Name Surname]],Manpower!$C$4:$C$1048576,Manpower!$B$4:$B$1048576,"")</f>
        <v>AL Omar International TRAD AND CONT</v>
      </c>
      <c r="E156" s="18" t="s">
        <v>36</v>
      </c>
      <c r="F156" s="12">
        <f>_xlfn.XLOOKUP(Table134526_79101120212223242526[[#This Row],[Name Surname]],Manpower!C:C,Manpower!D:D,)</f>
        <v>114929202</v>
      </c>
      <c r="G156" s="24" t="str">
        <f>_xlfn.XLOOKUP(Table134526_79101120212223242526[[#This Row],[Name Surname]],Manpower!$C$4:$C$1048576,Manpower!$F$4:$F$1048576,"")</f>
        <v>RIgger</v>
      </c>
      <c r="H156" s="24" t="str">
        <f>_xlfn.XLOOKUP(Table134526_79101120212223242526[[#This Row],[Name Surname]],Manpower!$C$4:$C$1048576,Manpower!$H$4:$H$1048576,"")</f>
        <v>Sub Contactor</v>
      </c>
      <c r="I156" s="24" t="str">
        <f>_xlfn.XLOOKUP(Table134526_79101120212223242526[[#This Row],[Name Surname]],Manpower!$C$4:$C$1048576,Manpower!$H$4:$H$1048576,"")</f>
        <v>Sub Contactor</v>
      </c>
      <c r="J156" s="21" t="s">
        <v>21</v>
      </c>
      <c r="K156" s="21" t="s">
        <v>22</v>
      </c>
      <c r="L156" s="21" t="s">
        <v>23</v>
      </c>
      <c r="M156" s="21" t="s">
        <v>55</v>
      </c>
      <c r="N156" s="29">
        <v>10</v>
      </c>
      <c r="R156" s="21" t="s">
        <v>227</v>
      </c>
    </row>
    <row r="157" spans="1:19" ht="14.4" hidden="1">
      <c r="A157" s="33">
        <f>IF(C157="","",MAX($A$1:A156)+1)</f>
        <v>143</v>
      </c>
      <c r="B157" s="22" t="s">
        <v>19</v>
      </c>
      <c r="C157" s="23">
        <v>46083</v>
      </c>
      <c r="D157" s="17" t="str">
        <f>_xlfn.XLOOKUP(Table134526_79101120212223242526[[#This Row],[Name Surname]],Manpower!$C$4:$C$1048576,Manpower!$B$4:$B$1048576,"")</f>
        <v>Encogroup</v>
      </c>
      <c r="E157" s="23" t="s">
        <v>37</v>
      </c>
      <c r="F157" s="12">
        <f>_xlfn.XLOOKUP(Table134526_79101120212223242526[[#This Row],[Name Surname]],Manpower!C:C,Manpower!D:D,)</f>
        <v>140742088</v>
      </c>
      <c r="G157" s="17" t="str">
        <f>_xlfn.XLOOKUP(Table134526_79101120212223242526[[#This Row],[Name Surname]],Manpower!$C$4:$C$1048576,Manpower!$F$4:$F$1048576,"")</f>
        <v>Fitter/Erector</v>
      </c>
      <c r="H157" s="17" t="str">
        <f>_xlfn.XLOOKUP(Table134526_79101120212223242526[[#This Row],[Name Surname]],Manpower!$C$4:$C$1048576,Manpower!$H$4:$H$1048576,"")</f>
        <v>Manpower</v>
      </c>
      <c r="I157" s="24" t="str">
        <f>_xlfn.XLOOKUP(Table134526_79101120212223242526[[#This Row],[Name Surname]],Manpower!$C$4:$C$1048576,Manpower!$H$4:$H$1048576,"")</f>
        <v>Manpower</v>
      </c>
      <c r="J157" s="21" t="s">
        <v>21</v>
      </c>
      <c r="K157" s="21" t="s">
        <v>22</v>
      </c>
      <c r="L157" s="21" t="s">
        <v>23</v>
      </c>
      <c r="M157" s="21" t="s">
        <v>55</v>
      </c>
      <c r="N157" s="29">
        <v>10</v>
      </c>
      <c r="O157" s="20"/>
      <c r="P157" s="20"/>
      <c r="R157" s="21" t="s">
        <v>227</v>
      </c>
    </row>
    <row r="158" spans="1:19" ht="14.4" hidden="1">
      <c r="A158" s="33">
        <f>IF(C158="","",MAX($A$1:A157)+1)</f>
        <v>144</v>
      </c>
      <c r="B158" s="22" t="s">
        <v>19</v>
      </c>
      <c r="C158" s="23">
        <v>46083</v>
      </c>
      <c r="D158" s="24" t="str">
        <f>_xlfn.XLOOKUP(Table134526_79101120212223242526[[#This Row],[Name Surname]],Manpower!$C$4:$C$1048576,Manpower!$B$4:$B$1048576,"")</f>
        <v>Rial Al Khaleej</v>
      </c>
      <c r="E158" s="23" t="s">
        <v>38</v>
      </c>
      <c r="F158" s="12">
        <f>_xlfn.XLOOKUP(Table134526_79101120212223242526[[#This Row],[Name Surname]],Manpower!C:C,Manpower!D:D,)</f>
        <v>98845403</v>
      </c>
      <c r="G158" s="24" t="str">
        <f>_xlfn.XLOOKUP(Table134526_79101120212223242526[[#This Row],[Name Surname]],Manpower!$C$4:$C$1048576,Manpower!$F$4:$F$1048576,"")</f>
        <v>Crane Operator-100T Zoomlion Telescopic</v>
      </c>
      <c r="H158" s="24" t="s">
        <v>39</v>
      </c>
      <c r="I158" s="24" t="s">
        <v>39</v>
      </c>
      <c r="J158" s="21" t="s">
        <v>21</v>
      </c>
      <c r="K158" s="21" t="s">
        <v>22</v>
      </c>
      <c r="L158" s="21" t="s">
        <v>23</v>
      </c>
      <c r="M158" s="21" t="s">
        <v>55</v>
      </c>
      <c r="N158" s="29">
        <v>10</v>
      </c>
      <c r="P158" s="20"/>
      <c r="R158" s="21" t="s">
        <v>227</v>
      </c>
    </row>
    <row r="159" spans="1:19" ht="14.4" hidden="1">
      <c r="A159" s="33">
        <f>IF(C159="","",MAX($A$1:A158)+1)</f>
        <v>145</v>
      </c>
      <c r="B159" s="22" t="s">
        <v>19</v>
      </c>
      <c r="C159" s="23">
        <v>46083</v>
      </c>
      <c r="D159" s="24" t="str">
        <f>_xlfn.XLOOKUP(Table134526_79101120212223242526[[#This Row],[Name Surname]],Manpower!$C$4:$C$1048576,Manpower!$B$4:$B$1048576,"")</f>
        <v>Encogroup</v>
      </c>
      <c r="E159" s="18" t="s">
        <v>44</v>
      </c>
      <c r="F159" s="12">
        <f>_xlfn.XLOOKUP(Table134526_79101120212223242526[[#This Row],[Name Surname]],Manpower!C:C,Manpower!D:D,)</f>
        <v>140806218</v>
      </c>
      <c r="G159" s="24" t="str">
        <f>_xlfn.XLOOKUP(Table134526_79101120212223242526[[#This Row],[Name Surname]],Manpower!$C$4:$C$1048576,Manpower!$F$4:$F$1048576,"")</f>
        <v>Fitter/Erector</v>
      </c>
      <c r="H159" s="24" t="str">
        <f>_xlfn.XLOOKUP(Table134526_79101120212223242526[[#This Row],[Name Surname]],Manpower!$C$4:$C$1048576,Manpower!$H$4:$H$1048576,"")</f>
        <v>Manpower</v>
      </c>
      <c r="I159" s="24" t="str">
        <f>_xlfn.XLOOKUP(Table134526_79101120212223242526[[#This Row],[Name Surname]],Manpower!$C$4:$C$1048576,Manpower!$H$4:$H$1048576,"")</f>
        <v>Manpower</v>
      </c>
      <c r="J159" s="21" t="s">
        <v>21</v>
      </c>
      <c r="K159" s="21" t="s">
        <v>22</v>
      </c>
      <c r="L159" s="21" t="s">
        <v>23</v>
      </c>
      <c r="M159" s="21" t="s">
        <v>55</v>
      </c>
      <c r="N159" s="29">
        <v>10</v>
      </c>
      <c r="R159" s="21" t="s">
        <v>227</v>
      </c>
    </row>
    <row r="160" spans="1:19" ht="14.4" hidden="1">
      <c r="A160" s="33">
        <f>IF(C160="","",MAX($A$1:A159)+1)</f>
        <v>146</v>
      </c>
      <c r="B160" s="22" t="s">
        <v>19</v>
      </c>
      <c r="C160" s="23">
        <v>46083</v>
      </c>
      <c r="D160" s="24" t="str">
        <f>_xlfn.XLOOKUP(Table134526_79101120212223242526[[#This Row],[Name Surname]],Manpower!$C$4:$C$1048576,Manpower!$B$4:$B$1048576,"")</f>
        <v>Encogroup</v>
      </c>
      <c r="E160" s="23" t="s">
        <v>46</v>
      </c>
      <c r="F160" s="12">
        <f>_xlfn.XLOOKUP(Table134526_79101120212223242526[[#This Row],[Name Surname]],Manpower!C:C,Manpower!D:D,)</f>
        <v>140844618</v>
      </c>
      <c r="G160" s="24" t="str">
        <f>_xlfn.XLOOKUP(Table134526_79101120212223242526[[#This Row],[Name Surname]],Manpower!$C$4:$C$1048576,Manpower!$F$4:$F$1048576,"")</f>
        <v>Assistant/Helper</v>
      </c>
      <c r="H160" s="24" t="str">
        <f>_xlfn.XLOOKUP(Table134526_79101120212223242526[[#This Row],[Name Surname]],Manpower!$C$4:$C$1048576,Manpower!$H$4:$H$1048576,"")</f>
        <v>Manpower</v>
      </c>
      <c r="I160" s="24" t="str">
        <f>_xlfn.XLOOKUP(Table134526_79101120212223242526[[#This Row],[Name Surname]],Manpower!$C$4:$C$1048576,Manpower!$H$4:$H$1048576,"")</f>
        <v>Manpower</v>
      </c>
      <c r="J160" s="21" t="s">
        <v>21</v>
      </c>
      <c r="K160" s="21" t="s">
        <v>22</v>
      </c>
      <c r="L160" s="21" t="s">
        <v>23</v>
      </c>
      <c r="M160" s="21" t="s">
        <v>55</v>
      </c>
      <c r="N160" s="29">
        <v>10</v>
      </c>
      <c r="R160" s="21" t="s">
        <v>227</v>
      </c>
    </row>
    <row r="161" spans="1:18" ht="14.4">
      <c r="A161" s="33">
        <f>IF(C161="","",MAX($A$1:A160)+1)</f>
        <v>147</v>
      </c>
      <c r="B161" s="25" t="s">
        <v>19</v>
      </c>
      <c r="C161" s="23">
        <v>46083</v>
      </c>
      <c r="D161" s="24" t="str">
        <f>_xlfn.XLOOKUP(Table134526_79101120212223242526[[#This Row],[Name Surname]],Manpower!$C$4:$C$1048576,Manpower!$B$4:$B$1048576,"")</f>
        <v>Bright Light</v>
      </c>
      <c r="E161" s="23" t="s">
        <v>47</v>
      </c>
      <c r="F161" s="12" t="e">
        <f>_xlfn.XLOOKUP(Table134526_79101120212223242526[[#This Row],[Name Surname]],Manpower!C:C,Manpower!D:D,)</f>
        <v>#N/A</v>
      </c>
      <c r="G161" s="24" t="str">
        <f>_xlfn.XLOOKUP(Table134526_79101120212223242526[[#This Row],[Name Surname]],Manpower!$C$4:$C$1048576,Manpower!$F$4:$F$1048576,"")</f>
        <v>100T Telescopic Crane</v>
      </c>
      <c r="H161" s="24" t="str">
        <f>_xlfn.XLOOKUP(Table134526_79101120212223242526[[#This Row],[Name Surname]],Manpower!$C$4:$C$1048576,Manpower!$H$4:$H$1048576,"")</f>
        <v>Equipment</v>
      </c>
      <c r="I161" s="24" t="str">
        <f>_xlfn.XLOOKUP(Table134526_79101120212223242526[[#This Row],[Name Surname]],Manpower!$C$4:$C$1048576,Manpower!$H$4:$H$1048576,"")</f>
        <v>Equipment</v>
      </c>
      <c r="J161" s="21" t="s">
        <v>48</v>
      </c>
      <c r="K161" s="21" t="s">
        <v>26</v>
      </c>
      <c r="L161" s="21" t="s">
        <v>49</v>
      </c>
      <c r="M161" s="21" t="s">
        <v>55</v>
      </c>
      <c r="N161" s="29">
        <v>10</v>
      </c>
      <c r="R161" s="21" t="s">
        <v>227</v>
      </c>
    </row>
    <row r="162" spans="1:18" ht="14.4">
      <c r="A162" s="33">
        <f>IF(C162="","",MAX($A$1:A161)+1)</f>
        <v>148</v>
      </c>
      <c r="B162" s="25" t="s">
        <v>19</v>
      </c>
      <c r="C162" s="23">
        <v>46083</v>
      </c>
      <c r="D162" s="24" t="str">
        <f>_xlfn.XLOOKUP(Table134526_79101120212223242526[[#This Row],[Name Surname]],Manpower!$C$4:$C$1048576,Manpower!$B$4:$B$1048576,"")</f>
        <v>Bright Light</v>
      </c>
      <c r="E162" s="23" t="s">
        <v>51</v>
      </c>
      <c r="F162" s="12" t="e">
        <f>_xlfn.XLOOKUP(Table134526_79101120212223242526[[#This Row],[Name Surname]],Manpower!C:C,Manpower!D:D,)</f>
        <v>#N/A</v>
      </c>
      <c r="G162" s="24" t="str">
        <f>_xlfn.XLOOKUP(Table134526_79101120212223242526[[#This Row],[Name Surname]],Manpower!$C$4:$C$1048576,Manpower!$F$4:$F$1048576,"")</f>
        <v>150T-Crawler Crane</v>
      </c>
      <c r="H162" s="24" t="str">
        <f>_xlfn.XLOOKUP(Table134526_79101120212223242526[[#This Row],[Name Surname]],Manpower!$C$4:$C$1048576,Manpower!$H$4:$H$1048576,"")</f>
        <v>Equipment</v>
      </c>
      <c r="I162" s="24" t="str">
        <f>_xlfn.XLOOKUP(Table134526_79101120212223242526[[#This Row],[Name Surname]],Manpower!$C$4:$C$1048576,Manpower!$H$4:$H$1048576,"")</f>
        <v>Equipment</v>
      </c>
      <c r="J162" s="21" t="s">
        <v>48</v>
      </c>
      <c r="K162" s="21" t="s">
        <v>26</v>
      </c>
      <c r="L162" s="21" t="s">
        <v>49</v>
      </c>
      <c r="M162" s="21" t="s">
        <v>55</v>
      </c>
      <c r="N162" s="29">
        <v>10</v>
      </c>
      <c r="R162" s="21" t="s">
        <v>227</v>
      </c>
    </row>
    <row r="163" spans="1:18" ht="14.4">
      <c r="A163" s="33">
        <f>IF(C163="","",MAX($A$1:A162)+1)</f>
        <v>149</v>
      </c>
      <c r="B163" s="25" t="s">
        <v>19</v>
      </c>
      <c r="C163" s="23">
        <v>46083</v>
      </c>
      <c r="D163" s="24" t="str">
        <f>_xlfn.XLOOKUP(Table134526_79101120212223242526[[#This Row],[Name Surname]],Manpower!$C$4:$C$1048576,Manpower!$B$4:$B$1048576,"")</f>
        <v>Encogroup</v>
      </c>
      <c r="E163" s="23" t="s">
        <v>53</v>
      </c>
      <c r="F163" s="12" t="e">
        <f>_xlfn.XLOOKUP(Table134526_79101120212223242526[[#This Row],[Name Surname]],Manpower!C:C,Manpower!D:D,)</f>
        <v>#N/A</v>
      </c>
      <c r="G163" s="24" t="str">
        <f>_xlfn.XLOOKUP(Table134526_79101120212223242526[[#This Row],[Name Surname]],Manpower!$C$4:$C$1048576,Manpower!$F$4:$F$1048576,"")</f>
        <v>22M-Manlift</v>
      </c>
      <c r="H163" s="24" t="str">
        <f>_xlfn.XLOOKUP(Table134526_79101120212223242526[[#This Row],[Name Surname]],Manpower!$C$4:$C$1048576,Manpower!$H$4:$H$1048576,"")</f>
        <v>Equipment</v>
      </c>
      <c r="I163" s="24" t="str">
        <f>_xlfn.XLOOKUP(Table134526_79101120212223242526[[#This Row],[Name Surname]],Manpower!$C$4:$C$1048576,Manpower!$H$4:$H$1048576,"")</f>
        <v>Equipment</v>
      </c>
      <c r="J163" s="21" t="s">
        <v>48</v>
      </c>
      <c r="K163" s="21" t="s">
        <v>26</v>
      </c>
      <c r="L163" s="21" t="s">
        <v>49</v>
      </c>
      <c r="M163" s="21" t="s">
        <v>55</v>
      </c>
      <c r="N163" s="29">
        <v>10</v>
      </c>
      <c r="R163" s="21" t="s">
        <v>227</v>
      </c>
    </row>
    <row r="164" spans="1:18" ht="14.4">
      <c r="A164" s="33">
        <f>IF(C164="","",MAX($A$1:A163)+1)</f>
        <v>150</v>
      </c>
      <c r="B164" s="25" t="s">
        <v>19</v>
      </c>
      <c r="C164" s="23">
        <v>46083</v>
      </c>
      <c r="D164" s="17" t="str">
        <f>_xlfn.XLOOKUP(Table134526_79101120212223242526[[#This Row],[Name Surname]],Manpower!$C$4:$C$1048576,Manpower!$B$4:$B$1048576,"")</f>
        <v>Encogroup</v>
      </c>
      <c r="E164" s="23" t="s">
        <v>54</v>
      </c>
      <c r="F164" s="12" t="e">
        <f>_xlfn.XLOOKUP(Table134526_79101120212223242526[[#This Row],[Name Surname]],Manpower!C:C,Manpower!D:D,)</f>
        <v>#N/A</v>
      </c>
      <c r="G164" s="17" t="str">
        <f>_xlfn.XLOOKUP(Table134526_79101120212223242526[[#This Row],[Name Surname]],Manpower!$C$4:$C$1048576,Manpower!$F$4:$F$1048576,"")</f>
        <v>28M-Manlift</v>
      </c>
      <c r="H164" s="17" t="str">
        <f>_xlfn.XLOOKUP(Table134526_79101120212223242526[[#This Row],[Name Surname]],Manpower!$C$4:$C$1048576,Manpower!$H$4:$H$1048576,"")</f>
        <v>Equipment</v>
      </c>
      <c r="I164" s="24" t="str">
        <f>_xlfn.XLOOKUP(Table134526_79101120212223242526[[#This Row],[Name Surname]],Manpower!$C$4:$C$1048576,Manpower!$H$4:$H$1048576,"")</f>
        <v>Equipment</v>
      </c>
      <c r="J164" s="21" t="s">
        <v>48</v>
      </c>
      <c r="K164" s="21" t="s">
        <v>26</v>
      </c>
      <c r="L164" s="21" t="s">
        <v>49</v>
      </c>
      <c r="M164" s="21" t="s">
        <v>55</v>
      </c>
      <c r="N164" s="29">
        <v>10</v>
      </c>
      <c r="O164" s="20"/>
      <c r="P164" s="20"/>
      <c r="R164" s="21" t="s">
        <v>227</v>
      </c>
    </row>
    <row r="165" spans="1:18" ht="14.4" hidden="1">
      <c r="A165" s="33">
        <f>IF(C165="","",MAX($A$1:A164)+1)</f>
        <v>151</v>
      </c>
      <c r="B165" s="25" t="s">
        <v>19</v>
      </c>
      <c r="C165" s="23">
        <v>46083</v>
      </c>
      <c r="D165" s="24" t="str">
        <f>_xlfn.XLOOKUP(Table134526_79101120212223242526[[#This Row],[Name Surname]],Manpower!$C$4:$C$1048576,Manpower!$B$4:$B$1048576,"")</f>
        <v>Encogroup</v>
      </c>
      <c r="E165" s="23" t="s">
        <v>57</v>
      </c>
      <c r="F165" s="12">
        <f>_xlfn.XLOOKUP(Table134526_79101120212223242526[[#This Row],[Name Surname]],Manpower!C:C,Manpower!D:D,)</f>
        <v>140693697</v>
      </c>
      <c r="G165" s="24" t="str">
        <f>_xlfn.XLOOKUP(Table134526_79101120212223242526[[#This Row],[Name Surname]],Manpower!$C$4:$C$1048576,Manpower!$F$4:$F$1048576,"")</f>
        <v>HSE Officer</v>
      </c>
      <c r="H165" s="24" t="str">
        <f>_xlfn.XLOOKUP(Table134526_79101120212223242526[[#This Row],[Name Surname]],Manpower!$C$4:$C$1048576,Manpower!$H$4:$H$1048576,"")</f>
        <v>Manpower</v>
      </c>
      <c r="I165" s="24" t="str">
        <f>_xlfn.XLOOKUP(Table134526_79101120212223242526[[#This Row],[Name Surname]],Manpower!$C$4:$C$1048576,Manpower!$H$4:$H$1048576,"")</f>
        <v>Manpower</v>
      </c>
      <c r="J165" s="21" t="s">
        <v>48</v>
      </c>
      <c r="K165" s="21" t="s">
        <v>26</v>
      </c>
      <c r="L165" s="21" t="s">
        <v>49</v>
      </c>
      <c r="M165" s="21" t="s">
        <v>55</v>
      </c>
      <c r="N165" s="29">
        <v>10</v>
      </c>
      <c r="R165" s="21" t="s">
        <v>227</v>
      </c>
    </row>
    <row r="166" spans="1:18" ht="14.4" hidden="1">
      <c r="A166" s="33">
        <f>IF(C166="","",MAX($A$1:A165)+1)</f>
        <v>152</v>
      </c>
      <c r="B166" s="25" t="s">
        <v>19</v>
      </c>
      <c r="C166" s="23">
        <v>46083</v>
      </c>
      <c r="D166" s="24" t="str">
        <f>_xlfn.XLOOKUP(Table134526_79101120212223242526[[#This Row],[Name Surname]],Manpower!$C$4:$C$1048576,Manpower!$B$4:$B$1048576,"")</f>
        <v>Encogroup</v>
      </c>
      <c r="E166" s="18" t="s">
        <v>27</v>
      </c>
      <c r="F166" s="12">
        <f>_xlfn.XLOOKUP(Table134526_79101120212223242526[[#This Row],[Name Surname]],Manpower!C:C,Manpower!D:D,)</f>
        <v>127414586</v>
      </c>
      <c r="G166" s="24" t="str">
        <f>_xlfn.XLOOKUP(Table134526_79101120212223242526[[#This Row],[Name Surname]],Manpower!$C$4:$C$1048576,Manpower!$F$4:$F$1048576,"")</f>
        <v>Electrician</v>
      </c>
      <c r="H166" s="24" t="str">
        <f>_xlfn.XLOOKUP(Table134526_79101120212223242526[[#This Row],[Name Surname]],Manpower!$C$4:$C$1048576,Manpower!$H$4:$H$1048576,"")</f>
        <v>Manpower</v>
      </c>
      <c r="I166" s="24" t="str">
        <f>_xlfn.XLOOKUP(Table134526_79101120212223242526[[#This Row],[Name Surname]],Manpower!$C$4:$C$1048576,Manpower!$H$4:$H$1048576,"")</f>
        <v>Manpower</v>
      </c>
      <c r="J166" s="21" t="s">
        <v>48</v>
      </c>
      <c r="K166" s="21" t="s">
        <v>26</v>
      </c>
      <c r="L166" s="21" t="s">
        <v>49</v>
      </c>
      <c r="M166" s="21" t="s">
        <v>55</v>
      </c>
      <c r="N166" s="29">
        <v>5</v>
      </c>
      <c r="R166" s="21" t="s">
        <v>227</v>
      </c>
    </row>
    <row r="167" spans="1:18" ht="14.4" hidden="1">
      <c r="A167" s="33">
        <f>IF(C167="","",MAX($A$1:A166)+1)</f>
        <v>153</v>
      </c>
      <c r="B167" s="25" t="s">
        <v>19</v>
      </c>
      <c r="C167" s="23">
        <v>46083</v>
      </c>
      <c r="D167" s="24" t="str">
        <f>_xlfn.XLOOKUP(Table134526_79101120212223242526[[#This Row],[Name Surname]],Manpower!$C$4:$C$1048576,Manpower!$B$4:$B$1048576,"")</f>
        <v>Encogroup</v>
      </c>
      <c r="E167" s="23" t="s">
        <v>59</v>
      </c>
      <c r="F167" s="12">
        <f>_xlfn.XLOOKUP(Table134526_79101120212223242526[[#This Row],[Name Surname]],Manpower!C:C,Manpower!D:D,)</f>
        <v>141169085</v>
      </c>
      <c r="G167" s="24" t="str">
        <f>_xlfn.XLOOKUP(Table134526_79101120212223242526[[#This Row],[Name Surname]],Manpower!$C$4:$C$1048576,Manpower!$F$4:$F$1048576,"")</f>
        <v>Welder</v>
      </c>
      <c r="H167" s="24" t="str">
        <f>_xlfn.XLOOKUP(Table134526_79101120212223242526[[#This Row],[Name Surname]],Manpower!$C$4:$C$1048576,Manpower!$H$4:$H$1048576,"")</f>
        <v>Manpower</v>
      </c>
      <c r="I167" s="24" t="str">
        <f>_xlfn.XLOOKUP(Table134526_79101120212223242526[[#This Row],[Name Surname]],Manpower!$C$4:$C$1048576,Manpower!$H$4:$H$1048576,"")</f>
        <v>Manpower</v>
      </c>
      <c r="J167" s="21" t="s">
        <v>48</v>
      </c>
      <c r="K167" s="21" t="s">
        <v>26</v>
      </c>
      <c r="L167" s="21" t="s">
        <v>49</v>
      </c>
      <c r="M167" s="21" t="s">
        <v>55</v>
      </c>
      <c r="N167" s="29">
        <v>10</v>
      </c>
      <c r="R167" s="21" t="s">
        <v>227</v>
      </c>
    </row>
    <row r="168" spans="1:18" ht="14.4" hidden="1">
      <c r="A168" s="33">
        <f>IF(C168="","",MAX($A$1:A167)+1)</f>
        <v>154</v>
      </c>
      <c r="B168" s="25" t="s">
        <v>19</v>
      </c>
      <c r="C168" s="23">
        <v>46083</v>
      </c>
      <c r="D168" s="24" t="str">
        <f>_xlfn.XLOOKUP(Table134526_79101120212223242526[[#This Row],[Name Surname]],Manpower!$C$4:$C$1048576,Manpower!$B$4:$B$1048576,"")</f>
        <v>Encogroup</v>
      </c>
      <c r="E168" s="23" t="s">
        <v>61</v>
      </c>
      <c r="F168" s="12">
        <f>_xlfn.XLOOKUP(Table134526_79101120212223242526[[#This Row],[Name Surname]],Manpower!C:C,Manpower!D:D,)</f>
        <v>141169047</v>
      </c>
      <c r="G168" s="24" t="str">
        <f>_xlfn.XLOOKUP(Table134526_79101120212223242526[[#This Row],[Name Surname]],Manpower!$C$4:$C$1048576,Manpower!$F$4:$F$1048576,"")</f>
        <v>Welder</v>
      </c>
      <c r="H168" s="24" t="str">
        <f>_xlfn.XLOOKUP(Table134526_79101120212223242526[[#This Row],[Name Surname]],Manpower!$C$4:$C$1048576,Manpower!$H$4:$H$1048576,"")</f>
        <v>Manpower</v>
      </c>
      <c r="I168" s="24" t="str">
        <f>_xlfn.XLOOKUP(Table134526_79101120212223242526[[#This Row],[Name Surname]],Manpower!$C$4:$C$1048576,Manpower!$H$4:$H$1048576,"")</f>
        <v>Manpower</v>
      </c>
      <c r="J168" s="21" t="s">
        <v>48</v>
      </c>
      <c r="K168" s="21" t="s">
        <v>26</v>
      </c>
      <c r="L168" s="21" t="s">
        <v>49</v>
      </c>
      <c r="M168" s="21" t="s">
        <v>55</v>
      </c>
      <c r="N168" s="29">
        <v>10</v>
      </c>
      <c r="R168" s="21" t="s">
        <v>227</v>
      </c>
    </row>
    <row r="169" spans="1:18" ht="14.4" hidden="1">
      <c r="A169" s="33">
        <f>IF(C169="","",MAX($A$1:A168)+1)</f>
        <v>155</v>
      </c>
      <c r="B169" s="25" t="s">
        <v>19</v>
      </c>
      <c r="C169" s="23">
        <v>46083</v>
      </c>
      <c r="D169" s="17" t="str">
        <f>_xlfn.XLOOKUP(Table134526_79101120212223242526[[#This Row],[Name Surname]],Manpower!$C$4:$C$1048576,Manpower!$B$4:$B$1048576,"")</f>
        <v>Encogroup</v>
      </c>
      <c r="E169" s="23" t="s">
        <v>62</v>
      </c>
      <c r="F169" s="12">
        <f>_xlfn.XLOOKUP(Table134526_79101120212223242526[[#This Row],[Name Surname]],Manpower!C:C,Manpower!D:D,)</f>
        <v>140844797</v>
      </c>
      <c r="G169" s="17" t="str">
        <f>_xlfn.XLOOKUP(Table134526_79101120212223242526[[#This Row],[Name Surname]],Manpower!$C$4:$C$1048576,Manpower!$F$4:$F$1048576,"")</f>
        <v>Fitter/Erector</v>
      </c>
      <c r="H169" s="17" t="str">
        <f>_xlfn.XLOOKUP(Table134526_79101120212223242526[[#This Row],[Name Surname]],Manpower!$C$4:$C$1048576,Manpower!$H$4:$H$1048576,"")</f>
        <v>Manpower</v>
      </c>
      <c r="I169" s="24" t="str">
        <f>_xlfn.XLOOKUP(Table134526_79101120212223242526[[#This Row],[Name Surname]],Manpower!$C$4:$C$1048576,Manpower!$H$4:$H$1048576,"")</f>
        <v>Manpower</v>
      </c>
      <c r="J169" s="21" t="s">
        <v>48</v>
      </c>
      <c r="K169" s="21" t="s">
        <v>26</v>
      </c>
      <c r="L169" s="21" t="s">
        <v>49</v>
      </c>
      <c r="M169" s="21" t="s">
        <v>55</v>
      </c>
      <c r="N169" s="29">
        <v>10</v>
      </c>
      <c r="R169" s="21" t="s">
        <v>227</v>
      </c>
    </row>
    <row r="170" spans="1:18" ht="14.4">
      <c r="A170" s="33">
        <f>IF(C170="","",MAX($A$1:A169)+1)</f>
        <v>156</v>
      </c>
      <c r="B170" s="25" t="s">
        <v>19</v>
      </c>
      <c r="C170" s="23">
        <v>46083</v>
      </c>
      <c r="D170" s="24" t="str">
        <f>_xlfn.XLOOKUP(Table134526_79101120212223242526[[#This Row],[Name Surname]],Manpower!$C$4:$C$1048576,Manpower!$B$4:$B$1048576,"")</f>
        <v>Encogroup</v>
      </c>
      <c r="E170" s="23" t="s">
        <v>63</v>
      </c>
      <c r="F170" s="12" t="e">
        <f>_xlfn.XLOOKUP(Table134526_79101120212223242526[[#This Row],[Name Surname]],Manpower!C:C,Manpower!D:D,)</f>
        <v>#N/A</v>
      </c>
      <c r="G170" s="24" t="str">
        <f>_xlfn.XLOOKUP(Table134526_79101120212223242526[[#This Row],[Name Surname]],Manpower!$C$4:$C$1048576,Manpower!$F$4:$F$1048576,"")</f>
        <v>22KVA-Generator</v>
      </c>
      <c r="H170" s="24" t="str">
        <f>_xlfn.XLOOKUP(Table134526_79101120212223242526[[#This Row],[Name Surname]],Manpower!$C$4:$C$1048576,Manpower!$H$4:$H$1048576,"")</f>
        <v>Equipment</v>
      </c>
      <c r="I170" s="24" t="str">
        <f>_xlfn.XLOOKUP(Table134526_79101120212223242526[[#This Row],[Name Surname]],Manpower!$C$4:$C$1048576,Manpower!$H$4:$H$1048576,"")</f>
        <v>Equipment</v>
      </c>
      <c r="J170" s="21" t="s">
        <v>48</v>
      </c>
      <c r="K170" s="21" t="s">
        <v>26</v>
      </c>
      <c r="L170" s="21" t="s">
        <v>49</v>
      </c>
      <c r="M170" s="21" t="s">
        <v>55</v>
      </c>
      <c r="N170" s="29">
        <v>10</v>
      </c>
      <c r="R170" s="21" t="s">
        <v>227</v>
      </c>
    </row>
    <row r="171" spans="1:18" ht="14.4" hidden="1">
      <c r="A171" s="33">
        <f>IF(C171="","",MAX($A$1:A169)+1)</f>
        <v>156</v>
      </c>
      <c r="B171" s="25" t="s">
        <v>19</v>
      </c>
      <c r="C171" s="23">
        <v>46083</v>
      </c>
      <c r="D171" s="24" t="str">
        <f>_xlfn.XLOOKUP(Table134526_79101120212223242526[[#This Row],[Name Surname]],Manpower!$C$4:$C$1048576,Manpower!$B$4:$B$1048576,"")</f>
        <v>Bright Light</v>
      </c>
      <c r="E171" s="23" t="s">
        <v>64</v>
      </c>
      <c r="F171" s="12">
        <f>_xlfn.XLOOKUP(Table134526_79101120212223242526[[#This Row],[Name Surname]],Manpower!C:C,Manpower!D:D,)</f>
        <v>114531608</v>
      </c>
      <c r="G171" s="24" t="str">
        <f>_xlfn.XLOOKUP(Table134526_79101120212223242526[[#This Row],[Name Surname]],Manpower!$C$4:$C$1048576,Manpower!$F$4:$F$1048576,"")</f>
        <v>Crane Operator-150T Sany Crawler</v>
      </c>
      <c r="H171" s="24" t="s">
        <v>39</v>
      </c>
      <c r="I171" s="24" t="s">
        <v>39</v>
      </c>
      <c r="J171" s="21" t="s">
        <v>48</v>
      </c>
      <c r="K171" s="21" t="s">
        <v>26</v>
      </c>
      <c r="L171" s="21" t="s">
        <v>49</v>
      </c>
      <c r="M171" s="21" t="s">
        <v>55</v>
      </c>
      <c r="N171" s="29">
        <v>10</v>
      </c>
      <c r="R171" s="21" t="s">
        <v>227</v>
      </c>
    </row>
    <row r="172" spans="1:18" ht="14.4" hidden="1">
      <c r="A172" s="33">
        <f>IF(C172="","",MAX($A$1:A171)+1)</f>
        <v>157</v>
      </c>
      <c r="B172" s="25" t="s">
        <v>19</v>
      </c>
      <c r="C172" s="23">
        <v>46083</v>
      </c>
      <c r="D172" s="24" t="str">
        <f>_xlfn.XLOOKUP(Table134526_79101120212223242526[[#This Row],[Name Surname]],Manpower!$C$4:$C$1048576,Manpower!$B$4:$B$1048576,"")</f>
        <v>AL Saif &amp; Al QALLM ENT LLC</v>
      </c>
      <c r="E172" s="18" t="s">
        <v>65</v>
      </c>
      <c r="F172" s="12">
        <f>_xlfn.XLOOKUP(Table134526_79101120212223242526[[#This Row],[Name Surname]],Manpower!C:C,Manpower!D:D,)</f>
        <v>108478006</v>
      </c>
      <c r="G172" s="24" t="str">
        <f>_xlfn.XLOOKUP(Table134526_79101120212223242526[[#This Row],[Name Surname]],Manpower!$C$4:$C$1048576,Manpower!$F$4:$F$1048576,"")</f>
        <v>RIgger</v>
      </c>
      <c r="H172" s="24" t="str">
        <f>_xlfn.XLOOKUP(Table134526_79101120212223242526[[#This Row],[Name Surname]],Manpower!$C$4:$C$1048576,Manpower!$H$4:$H$1048576,"")</f>
        <v>Sub Contactor</v>
      </c>
      <c r="I172" s="24" t="str">
        <f>_xlfn.XLOOKUP(Table134526_79101120212223242526[[#This Row],[Name Surname]],Manpower!$C$4:$C$1048576,Manpower!$H$4:$H$1048576,"")</f>
        <v>Sub Contactor</v>
      </c>
      <c r="J172" s="21" t="s">
        <v>48</v>
      </c>
      <c r="K172" s="21" t="s">
        <v>26</v>
      </c>
      <c r="L172" s="21" t="s">
        <v>49</v>
      </c>
      <c r="M172" s="21" t="s">
        <v>55</v>
      </c>
      <c r="N172" s="29">
        <v>10</v>
      </c>
      <c r="R172" s="21" t="s">
        <v>227</v>
      </c>
    </row>
    <row r="173" spans="1:18" ht="14.4" hidden="1">
      <c r="A173" s="33">
        <f>IF(C173="","",MAX($A$1:A172)+1)</f>
        <v>158</v>
      </c>
      <c r="B173" s="25" t="s">
        <v>19</v>
      </c>
      <c r="C173" s="23">
        <v>46083</v>
      </c>
      <c r="D173" s="24" t="str">
        <f>_xlfn.XLOOKUP(Table134526_79101120212223242526[[#This Row],[Name Surname]],Manpower!$C$4:$C$1048576,Manpower!$B$4:$B$1048576,"")</f>
        <v>AL Omar International TRAD AND CONT</v>
      </c>
      <c r="E173" s="23" t="s">
        <v>66</v>
      </c>
      <c r="F173" s="12">
        <f>_xlfn.XLOOKUP(Table134526_79101120212223242526[[#This Row],[Name Surname]],Manpower!C:C,Manpower!D:D,)</f>
        <v>115018512</v>
      </c>
      <c r="G173" s="24" t="str">
        <f>_xlfn.XLOOKUP(Table134526_79101120212223242526[[#This Row],[Name Surname]],Manpower!$C$4:$C$1048576,Manpower!$F$4:$F$1048576,"")</f>
        <v>RIgger</v>
      </c>
      <c r="H173" s="24" t="str">
        <f>_xlfn.XLOOKUP(Table134526_79101120212223242526[[#This Row],[Name Surname]],Manpower!$C$4:$C$1048576,Manpower!$H$4:$H$1048576,"")</f>
        <v>Sub Contactor</v>
      </c>
      <c r="I173" s="24" t="str">
        <f>_xlfn.XLOOKUP(Table134526_79101120212223242526[[#This Row],[Name Surname]],Manpower!$C$4:$C$1048576,Manpower!$H$4:$H$1048576,"")</f>
        <v>Sub Contactor</v>
      </c>
      <c r="J173" s="21" t="s">
        <v>48</v>
      </c>
      <c r="K173" s="21" t="s">
        <v>26</v>
      </c>
      <c r="L173" s="21" t="s">
        <v>49</v>
      </c>
      <c r="M173" s="21" t="s">
        <v>55</v>
      </c>
      <c r="N173" s="29">
        <v>10</v>
      </c>
      <c r="R173" s="21" t="s">
        <v>227</v>
      </c>
    </row>
    <row r="174" spans="1:18" ht="14.4" hidden="1">
      <c r="A174" s="33">
        <f>IF(C174="","",MAX($A$1:A173)+1)</f>
        <v>159</v>
      </c>
      <c r="B174" s="25" t="s">
        <v>19</v>
      </c>
      <c r="C174" s="23">
        <v>46083</v>
      </c>
      <c r="D174" s="24" t="str">
        <f>_xlfn.XLOOKUP(Table134526_79101120212223242526[[#This Row],[Name Surname]],Manpower!$C$4:$C$1048576,Manpower!$B$4:$B$1048576,"")</f>
        <v>Encogroup</v>
      </c>
      <c r="E174" s="23" t="s">
        <v>67</v>
      </c>
      <c r="F174" s="12">
        <f>_xlfn.XLOOKUP(Table134526_79101120212223242526[[#This Row],[Name Surname]],Manpower!C:C,Manpower!D:D,)</f>
        <v>122082769</v>
      </c>
      <c r="G174" s="24" t="str">
        <f>_xlfn.XLOOKUP(Table134526_79101120212223242526[[#This Row],[Name Surname]],Manpower!$C$4:$C$1048576,Manpower!$F$4:$F$1048576,"")</f>
        <v>Grinder</v>
      </c>
      <c r="H174" s="24" t="str">
        <f>_xlfn.XLOOKUP(Table134526_79101120212223242526[[#This Row],[Name Surname]],Manpower!$C$4:$C$1048576,Manpower!$H$4:$H$1048576,"")</f>
        <v>Manpower</v>
      </c>
      <c r="I174" s="24" t="str">
        <f>_xlfn.XLOOKUP(Table134526_79101120212223242526[[#This Row],[Name Surname]],Manpower!$C$4:$C$1048576,Manpower!$H$4:$H$1048576,"")</f>
        <v>Manpower</v>
      </c>
      <c r="J174" s="21" t="s">
        <v>48</v>
      </c>
      <c r="K174" s="21" t="s">
        <v>26</v>
      </c>
      <c r="L174" s="21" t="s">
        <v>49</v>
      </c>
      <c r="M174" s="21" t="s">
        <v>55</v>
      </c>
      <c r="N174" s="29">
        <v>10</v>
      </c>
      <c r="R174" s="21" t="s">
        <v>227</v>
      </c>
    </row>
    <row r="175" spans="1:18" ht="14.4" hidden="1">
      <c r="A175" s="33">
        <f>IF(C175="","",MAX($A$1:A174)+1)</f>
        <v>160</v>
      </c>
      <c r="B175" s="25" t="s">
        <v>19</v>
      </c>
      <c r="C175" s="23">
        <v>46083</v>
      </c>
      <c r="D175" s="24" t="str">
        <f>_xlfn.XLOOKUP(Table134526_79101120212223242526[[#This Row],[Name Surname]],Manpower!$C$4:$C$1048576,Manpower!$B$4:$B$1048576,"")</f>
        <v>Encogroup</v>
      </c>
      <c r="E175" s="23" t="s">
        <v>68</v>
      </c>
      <c r="F175" s="12">
        <f>_xlfn.XLOOKUP(Table134526_79101120212223242526[[#This Row],[Name Surname]],Manpower!C:C,Manpower!D:D,)</f>
        <v>116915582</v>
      </c>
      <c r="G175" s="24" t="str">
        <f>_xlfn.XLOOKUP(Table134526_79101120212223242526[[#This Row],[Name Surname]],Manpower!$C$4:$C$1048576,Manpower!$F$4:$F$1048576,"")</f>
        <v>Mechanical Superintendent</v>
      </c>
      <c r="H175" s="24" t="str">
        <f>_xlfn.XLOOKUP(Table134526_79101120212223242526[[#This Row],[Name Surname]],Manpower!$C$4:$C$1048576,Manpower!$H$4:$H$1048576,"")</f>
        <v>Manpower</v>
      </c>
      <c r="I175" s="24" t="str">
        <f>_xlfn.XLOOKUP(Table134526_79101120212223242526[[#This Row],[Name Surname]],Manpower!$C$4:$C$1048576,Manpower!$H$4:$H$1048576,"")</f>
        <v>Manpower</v>
      </c>
      <c r="J175" s="21" t="s">
        <v>48</v>
      </c>
      <c r="K175" s="21" t="s">
        <v>26</v>
      </c>
      <c r="L175" s="21" t="s">
        <v>49</v>
      </c>
      <c r="M175" s="21" t="s">
        <v>55</v>
      </c>
      <c r="N175" s="29">
        <v>10</v>
      </c>
      <c r="R175" s="21" t="s">
        <v>227</v>
      </c>
    </row>
    <row r="176" spans="1:18" ht="14.4" hidden="1">
      <c r="A176" s="33">
        <f>IF(C176="","",MAX($A$1:A175)+1)</f>
        <v>161</v>
      </c>
      <c r="B176" s="25" t="s">
        <v>19</v>
      </c>
      <c r="C176" s="23">
        <v>46083</v>
      </c>
      <c r="D176" s="24" t="str">
        <f>_xlfn.XLOOKUP(Table134526_79101120212223242526[[#This Row],[Name Surname]],Manpower!$C$4:$C$1048576,Manpower!$B$4:$B$1048576,"")</f>
        <v>Encogroup</v>
      </c>
      <c r="E176" s="23" t="s">
        <v>69</v>
      </c>
      <c r="F176" s="12">
        <f>_xlfn.XLOOKUP(Table134526_79101120212223242526[[#This Row],[Name Surname]],Manpower!C:C,Manpower!D:D,)</f>
        <v>141169071</v>
      </c>
      <c r="G176" s="24" t="str">
        <f>_xlfn.XLOOKUP(Table134526_79101120212223242526[[#This Row],[Name Surname]],Manpower!$C$4:$C$1048576,Manpower!$F$4:$F$1048576,"")</f>
        <v>Welding Supervisor</v>
      </c>
      <c r="H176" s="24" t="str">
        <f>_xlfn.XLOOKUP(Table134526_79101120212223242526[[#This Row],[Name Surname]],Manpower!$C$4:$C$1048576,Manpower!$H$4:$H$1048576,"")</f>
        <v>Manpower</v>
      </c>
      <c r="I176" s="24" t="str">
        <f>_xlfn.XLOOKUP(Table134526_79101120212223242526[[#This Row],[Name Surname]],Manpower!$C$4:$C$1048576,Manpower!$H$4:$H$1048576,"")</f>
        <v>Manpower</v>
      </c>
      <c r="J176" s="21" t="s">
        <v>48</v>
      </c>
      <c r="K176" s="21" t="s">
        <v>26</v>
      </c>
      <c r="L176" s="21" t="s">
        <v>49</v>
      </c>
      <c r="M176" s="21" t="s">
        <v>55</v>
      </c>
      <c r="N176" s="29">
        <v>10</v>
      </c>
      <c r="R176" s="21" t="s">
        <v>227</v>
      </c>
    </row>
    <row r="177" spans="1:18" ht="14.4" hidden="1">
      <c r="A177" s="33">
        <f>IF(C177="","",MAX($A$1:A176)+1)</f>
        <v>162</v>
      </c>
      <c r="B177" s="25" t="s">
        <v>19</v>
      </c>
      <c r="C177" s="23">
        <v>46083</v>
      </c>
      <c r="D177" s="17" t="str">
        <f>_xlfn.XLOOKUP(Table134526_79101120212223242526[[#This Row],[Name Surname]],Manpower!$C$4:$C$1048576,Manpower!$B$4:$B$1048576,"")</f>
        <v>Encogroup</v>
      </c>
      <c r="E177" s="23" t="s">
        <v>70</v>
      </c>
      <c r="F177" s="12">
        <f>_xlfn.XLOOKUP(Table134526_79101120212223242526[[#This Row],[Name Surname]],Manpower!C:C,Manpower!D:D,)</f>
        <v>141365126</v>
      </c>
      <c r="G177" s="17" t="str">
        <f>_xlfn.XLOOKUP(Table134526_79101120212223242526[[#This Row],[Name Surname]],Manpower!$C$4:$C$1048576,Manpower!$F$4:$F$1048576,"")</f>
        <v>Helper</v>
      </c>
      <c r="H177" s="17" t="str">
        <f>_xlfn.XLOOKUP(Table134526_79101120212223242526[[#This Row],[Name Surname]],Manpower!$C$4:$C$1048576,Manpower!$H$4:$H$1048576,"")</f>
        <v>Manpower</v>
      </c>
      <c r="I177" s="24" t="str">
        <f>_xlfn.XLOOKUP(Table134526_79101120212223242526[[#This Row],[Name Surname]],Manpower!$C$4:$C$1048576,Manpower!$H$4:$H$1048576,"")</f>
        <v>Manpower</v>
      </c>
      <c r="J177" s="21" t="s">
        <v>48</v>
      </c>
      <c r="K177" s="21" t="s">
        <v>26</v>
      </c>
      <c r="L177" s="21" t="s">
        <v>49</v>
      </c>
      <c r="M177" s="21" t="s">
        <v>55</v>
      </c>
      <c r="N177" s="29">
        <v>10</v>
      </c>
      <c r="R177" s="21" t="s">
        <v>227</v>
      </c>
    </row>
    <row r="178" spans="1:18" ht="14.4" hidden="1">
      <c r="A178" s="33">
        <f>IF(C178="","",MAX($A$1:A177)+1)</f>
        <v>163</v>
      </c>
      <c r="B178" s="25" t="s">
        <v>19</v>
      </c>
      <c r="C178" s="23">
        <v>46083</v>
      </c>
      <c r="D178" s="24" t="str">
        <f>_xlfn.XLOOKUP(Table134526_79101120212223242526[[#This Row],[Name Surname]],Manpower!$C$4:$C$1048576,Manpower!$B$4:$B$1048576,"")</f>
        <v>Bright Light</v>
      </c>
      <c r="E178" s="23" t="s">
        <v>71</v>
      </c>
      <c r="F178" s="12">
        <f>_xlfn.XLOOKUP(Table134526_79101120212223242526[[#This Row],[Name Surname]],Manpower!C:C,Manpower!D:D,)</f>
        <v>81379273</v>
      </c>
      <c r="G178" s="24" t="str">
        <f>_xlfn.XLOOKUP(Table134526_79101120212223242526[[#This Row],[Name Surname]],Manpower!$C$4:$C$1048576,Manpower!$F$4:$F$1048576,"")</f>
        <v>Crane Operator-100T Sany Telescopic</v>
      </c>
      <c r="H178" s="24" t="s">
        <v>39</v>
      </c>
      <c r="I178" s="24" t="s">
        <v>39</v>
      </c>
      <c r="J178" s="21" t="s">
        <v>48</v>
      </c>
      <c r="K178" s="21" t="s">
        <v>26</v>
      </c>
      <c r="L178" s="21" t="s">
        <v>49</v>
      </c>
      <c r="M178" s="21" t="s">
        <v>55</v>
      </c>
      <c r="N178" s="29">
        <v>10</v>
      </c>
      <c r="R178" s="21" t="s">
        <v>227</v>
      </c>
    </row>
    <row r="179" spans="1:18" ht="14.4" hidden="1">
      <c r="A179" s="33">
        <f>IF(C179="","",MAX($A$1:A178)+1)</f>
        <v>164</v>
      </c>
      <c r="B179" s="25" t="s">
        <v>19</v>
      </c>
      <c r="C179" s="23">
        <v>46083</v>
      </c>
      <c r="D179" s="17" t="str">
        <f>_xlfn.XLOOKUP(Table134526_79101120212223242526[[#This Row],[Name Surname]],Manpower!$C$4:$C$1048576,Manpower!$B$4:$B$1048576,"")</f>
        <v>Encogroup</v>
      </c>
      <c r="E179" s="18" t="s">
        <v>72</v>
      </c>
      <c r="F179" s="12">
        <f>_xlfn.XLOOKUP(Table134526_79101120212223242526[[#This Row],[Name Surname]],Manpower!C:C,Manpower!D:D,)</f>
        <v>140764706</v>
      </c>
      <c r="G179" s="17" t="str">
        <f>_xlfn.XLOOKUP(Table134526_79101120212223242526[[#This Row],[Name Surname]],Manpower!$C$4:$C$1048576,Manpower!$F$4:$F$1048576,"")</f>
        <v>Rigger</v>
      </c>
      <c r="H179" s="17" t="str">
        <f>_xlfn.XLOOKUP(Table134526_79101120212223242526[[#This Row],[Name Surname]],Manpower!$C$4:$C$1048576,Manpower!$H$4:$H$1048576,"")</f>
        <v>Manpower</v>
      </c>
      <c r="I179" s="24" t="str">
        <f>_xlfn.XLOOKUP(Table134526_79101120212223242526[[#This Row],[Name Surname]],Manpower!$C$4:$C$1048576,Manpower!$H$4:$H$1048576,"")</f>
        <v>Manpower</v>
      </c>
      <c r="J179" s="21" t="s">
        <v>48</v>
      </c>
      <c r="K179" s="21" t="s">
        <v>26</v>
      </c>
      <c r="L179" s="21" t="s">
        <v>49</v>
      </c>
      <c r="M179" s="21" t="s">
        <v>55</v>
      </c>
      <c r="N179" s="29">
        <v>10</v>
      </c>
      <c r="R179" s="21" t="s">
        <v>227</v>
      </c>
    </row>
    <row r="180" spans="1:18" ht="14.4" hidden="1">
      <c r="A180" s="33">
        <f>IF(C180="","",MAX($A$1:A179)+1)</f>
        <v>165</v>
      </c>
      <c r="B180" s="25" t="s">
        <v>19</v>
      </c>
      <c r="C180" s="23">
        <v>46083</v>
      </c>
      <c r="D180" s="24" t="str">
        <f>_xlfn.XLOOKUP(Table134526_79101120212223242526[[#This Row],[Name Surname]],Manpower!$C$4:$C$1048576,Manpower!$B$4:$B$1048576,"")</f>
        <v>Encogroup</v>
      </c>
      <c r="E180" s="23" t="s">
        <v>73</v>
      </c>
      <c r="F180" s="12">
        <f>_xlfn.XLOOKUP(Table134526_79101120212223242526[[#This Row],[Name Surname]],Manpower!C:C,Manpower!D:D,)</f>
        <v>135325259</v>
      </c>
      <c r="G180" s="24" t="str">
        <f>_xlfn.XLOOKUP(Table134526_79101120212223242526[[#This Row],[Name Surname]],Manpower!$C$4:$C$1048576,Manpower!$F$4:$F$1048576,"")</f>
        <v>Permit Receiver</v>
      </c>
      <c r="H180" s="24" t="str">
        <f>_xlfn.XLOOKUP(Table134526_79101120212223242526[[#This Row],[Name Surname]],Manpower!$C$4:$C$1048576,Manpower!$H$4:$H$1048576,"")</f>
        <v>Manpower</v>
      </c>
      <c r="I180" s="24" t="str">
        <f>_xlfn.XLOOKUP(Table134526_79101120212223242526[[#This Row],[Name Surname]],Manpower!$C$4:$C$1048576,Manpower!$H$4:$H$1048576,"")</f>
        <v>Manpower</v>
      </c>
      <c r="J180" s="21" t="s">
        <v>48</v>
      </c>
      <c r="K180" s="21" t="s">
        <v>26</v>
      </c>
      <c r="L180" s="21" t="s">
        <v>49</v>
      </c>
      <c r="M180" s="21" t="s">
        <v>55</v>
      </c>
      <c r="N180" s="29">
        <v>10</v>
      </c>
      <c r="R180" s="21" t="s">
        <v>227</v>
      </c>
    </row>
    <row r="181" spans="1:18" ht="14.4" hidden="1">
      <c r="A181" s="33">
        <f>IF(C181="","",MAX($A$1:A180)+1)</f>
        <v>166</v>
      </c>
      <c r="B181" s="25" t="s">
        <v>19</v>
      </c>
      <c r="C181" s="23">
        <v>46083</v>
      </c>
      <c r="D181" s="24" t="str">
        <f>_xlfn.XLOOKUP(Table134526_79101120212223242526[[#This Row],[Name Surname]],Manpower!$C$4:$C$1048576,Manpower!$B$4:$B$1048576,"")</f>
        <v>Encogroup</v>
      </c>
      <c r="E181" s="18" t="s">
        <v>74</v>
      </c>
      <c r="F181" s="12">
        <f>_xlfn.XLOOKUP(Table134526_79101120212223242526[[#This Row],[Name Surname]],Manpower!C:C,Manpower!D:D,)</f>
        <v>141365089</v>
      </c>
      <c r="G181" s="24" t="str">
        <f>_xlfn.XLOOKUP(Table134526_79101120212223242526[[#This Row],[Name Surname]],Manpower!$C$4:$C$1048576,Manpower!$F$4:$F$1048576,"")</f>
        <v>Fitter</v>
      </c>
      <c r="H181" s="24" t="str">
        <f>_xlfn.XLOOKUP(Table134526_79101120212223242526[[#This Row],[Name Surname]],Manpower!$C$4:$C$1048576,Manpower!$H$4:$H$1048576,"")</f>
        <v>Manpower</v>
      </c>
      <c r="I181" s="24" t="str">
        <f>_xlfn.XLOOKUP(Table134526_79101120212223242526[[#This Row],[Name Surname]],Manpower!$C$4:$C$1048576,Manpower!$H$4:$H$1048576,"")</f>
        <v>Manpower</v>
      </c>
      <c r="J181" s="21" t="s">
        <v>48</v>
      </c>
      <c r="K181" s="21" t="s">
        <v>26</v>
      </c>
      <c r="L181" s="21" t="s">
        <v>49</v>
      </c>
      <c r="M181" s="21" t="s">
        <v>55</v>
      </c>
      <c r="N181" s="29">
        <v>10</v>
      </c>
      <c r="R181" s="21" t="s">
        <v>227</v>
      </c>
    </row>
    <row r="182" spans="1:18" ht="14.4" hidden="1">
      <c r="A182" s="33">
        <f>IF(C182="","",MAX($A$1:A181)+1)</f>
        <v>167</v>
      </c>
      <c r="B182" s="25" t="s">
        <v>19</v>
      </c>
      <c r="C182" s="23">
        <v>46083</v>
      </c>
      <c r="D182" s="24" t="str">
        <f>_xlfn.XLOOKUP(Table134526_79101120212223242526[[#This Row],[Name Surname]],Manpower!$C$4:$C$1048576,Manpower!$B$4:$B$1048576,"")</f>
        <v>Encogroup</v>
      </c>
      <c r="E182" s="23" t="s">
        <v>75</v>
      </c>
      <c r="F182" s="12">
        <f>_xlfn.XLOOKUP(Table134526_79101120212223242526[[#This Row],[Name Surname]],Manpower!C:C,Manpower!D:D,)</f>
        <v>122179604</v>
      </c>
      <c r="G182" s="24" t="str">
        <f>_xlfn.XLOOKUP(Table134526_79101120212223242526[[#This Row],[Name Surname]],Manpower!$C$4:$C$1048576,Manpower!$F$4:$F$1048576,"")</f>
        <v>Fitter/Erector</v>
      </c>
      <c r="H182" s="24" t="str">
        <f>_xlfn.XLOOKUP(Table134526_79101120212223242526[[#This Row],[Name Surname]],Manpower!$C$4:$C$1048576,Manpower!$H$4:$H$1048576,"")</f>
        <v>Manpower</v>
      </c>
      <c r="I182" s="24" t="str">
        <f>_xlfn.XLOOKUP(Table134526_79101120212223242526[[#This Row],[Name Surname]],Manpower!$C$4:$C$1048576,Manpower!$H$4:$H$1048576,"")</f>
        <v>Manpower</v>
      </c>
      <c r="J182" s="21" t="s">
        <v>48</v>
      </c>
      <c r="K182" s="21" t="s">
        <v>26</v>
      </c>
      <c r="L182" s="21" t="s">
        <v>49</v>
      </c>
      <c r="M182" s="21" t="s">
        <v>55</v>
      </c>
      <c r="N182" s="29">
        <v>10</v>
      </c>
      <c r="R182" s="21" t="s">
        <v>227</v>
      </c>
    </row>
    <row r="183" spans="1:18" ht="14.4" hidden="1">
      <c r="A183" s="33">
        <f>IF(C183="","",MAX($A$1:A182)+1)</f>
        <v>168</v>
      </c>
      <c r="B183" s="25" t="s">
        <v>19</v>
      </c>
      <c r="C183" s="23">
        <v>46083</v>
      </c>
      <c r="D183" s="24" t="str">
        <f>_xlfn.XLOOKUP(Table134526_79101120212223242526[[#This Row],[Name Surname]],Manpower!$C$4:$C$1048576,Manpower!$B$4:$B$1048576,"")</f>
        <v>Encogroup</v>
      </c>
      <c r="E183" s="23" t="s">
        <v>78</v>
      </c>
      <c r="F183" s="12">
        <f>_xlfn.XLOOKUP(Table134526_79101120212223242526[[#This Row],[Name Surname]],Manpower!C:C,Manpower!D:D,)</f>
        <v>117255966</v>
      </c>
      <c r="G183" s="24" t="str">
        <f>_xlfn.XLOOKUP(Table134526_79101120212223242526[[#This Row],[Name Surname]],Manpower!$C$4:$C$1048576,Manpower!$F$4:$F$1048576,"")</f>
        <v>Mechanical Supervisor</v>
      </c>
      <c r="H183" s="24" t="str">
        <f>_xlfn.XLOOKUP(Table134526_79101120212223242526[[#This Row],[Name Surname]],Manpower!$C$4:$C$1048576,Manpower!$H$4:$H$1048576,"")</f>
        <v>Manpower</v>
      </c>
      <c r="I183" s="24" t="str">
        <f>_xlfn.XLOOKUP(Table134526_79101120212223242526[[#This Row],[Name Surname]],Manpower!$C$4:$C$1048576,Manpower!$H$4:$H$1048576,"")</f>
        <v>Manpower</v>
      </c>
      <c r="J183" s="21" t="s">
        <v>48</v>
      </c>
      <c r="K183" s="21" t="s">
        <v>26</v>
      </c>
      <c r="L183" s="21" t="s">
        <v>49</v>
      </c>
      <c r="M183" s="21" t="s">
        <v>55</v>
      </c>
      <c r="N183" s="29">
        <v>10</v>
      </c>
      <c r="R183" s="21" t="s">
        <v>227</v>
      </c>
    </row>
    <row r="184" spans="1:18" ht="14.4">
      <c r="A184" s="33">
        <f>IF(C184="","",MAX($A$1:A183)+1)</f>
        <v>169</v>
      </c>
      <c r="B184" s="26" t="s">
        <v>79</v>
      </c>
      <c r="C184" s="23">
        <v>46083</v>
      </c>
      <c r="D184" s="24" t="str">
        <f>_xlfn.XLOOKUP(Table134526_79101120212223242526[[#This Row],[Name Surname]],Manpower!$C$4:$C$1048576,Manpower!$B$4:$B$1048576,"")</f>
        <v>Encogroup</v>
      </c>
      <c r="E184" s="23" t="s">
        <v>80</v>
      </c>
      <c r="F184" s="12" t="e">
        <f>_xlfn.XLOOKUP(Table134526_79101120212223242526[[#This Row],[Name Surname]],Manpower!C:C,Manpower!D:D,)</f>
        <v>#N/A</v>
      </c>
      <c r="G184" s="24" t="str">
        <f>_xlfn.XLOOKUP(Table134526_79101120212223242526[[#This Row],[Name Surname]],Manpower!$C$4:$C$1048576,Manpower!$F$4:$F$1048576,"")</f>
        <v>22M-Manlift</v>
      </c>
      <c r="H184" s="24" t="str">
        <f>_xlfn.XLOOKUP(Table134526_79101120212223242526[[#This Row],[Name Surname]],Manpower!$C$4:$C$1048576,Manpower!$H$4:$H$1048576,"")</f>
        <v>Equipment</v>
      </c>
      <c r="I184" s="24" t="str">
        <f>_xlfn.XLOOKUP(Table134526_79101120212223242526[[#This Row],[Name Surname]],Manpower!$C$4:$C$1048576,Manpower!$H$4:$H$1048576,"")</f>
        <v>Equipment</v>
      </c>
      <c r="J184" s="21" t="s">
        <v>35</v>
      </c>
      <c r="K184" s="21" t="s">
        <v>81</v>
      </c>
      <c r="L184" s="21" t="s">
        <v>82</v>
      </c>
      <c r="M184" s="21" t="s">
        <v>55</v>
      </c>
      <c r="N184" s="29">
        <v>10</v>
      </c>
      <c r="R184" s="21" t="s">
        <v>227</v>
      </c>
    </row>
    <row r="185" spans="1:18" ht="14.4">
      <c r="A185" s="33">
        <f>IF(C185="","",MAX($A$1:A184)+1)</f>
        <v>170</v>
      </c>
      <c r="B185" s="26" t="s">
        <v>79</v>
      </c>
      <c r="C185" s="23">
        <v>46083</v>
      </c>
      <c r="D185" s="24" t="str">
        <f>_xlfn.XLOOKUP(Table134526_79101120212223242526[[#This Row],[Name Surname]],Manpower!$C$4:$C$1048576,Manpower!$B$4:$B$1048576,"")</f>
        <v>Encogroup</v>
      </c>
      <c r="E185" s="23" t="s">
        <v>84</v>
      </c>
      <c r="F185" s="12" t="e">
        <f>_xlfn.XLOOKUP(Table134526_79101120212223242526[[#This Row],[Name Surname]],Manpower!C:C,Manpower!D:D,)</f>
        <v>#N/A</v>
      </c>
      <c r="G185" s="24" t="str">
        <f>_xlfn.XLOOKUP(Table134526_79101120212223242526[[#This Row],[Name Surname]],Manpower!$C$4:$C$1048576,Manpower!$F$4:$F$1048576,"")</f>
        <v>22M-Manlift</v>
      </c>
      <c r="H185" s="24" t="str">
        <f>_xlfn.XLOOKUP(Table134526_79101120212223242526[[#This Row],[Name Surname]],Manpower!$C$4:$C$1048576,Manpower!$H$4:$H$1048576,"")</f>
        <v>Equipment</v>
      </c>
      <c r="I185" s="24" t="str">
        <f>_xlfn.XLOOKUP(Table134526_79101120212223242526[[#This Row],[Name Surname]],Manpower!$C$4:$C$1048576,Manpower!$H$4:$H$1048576,"")</f>
        <v>Equipment</v>
      </c>
      <c r="J185" s="21" t="s">
        <v>35</v>
      </c>
      <c r="K185" s="21" t="s">
        <v>81</v>
      </c>
      <c r="L185" s="21" t="s">
        <v>82</v>
      </c>
      <c r="M185" s="21" t="s">
        <v>55</v>
      </c>
      <c r="N185" s="29">
        <v>10</v>
      </c>
      <c r="R185" s="21" t="s">
        <v>227</v>
      </c>
    </row>
    <row r="186" spans="1:18" ht="14.4">
      <c r="A186" s="33">
        <f>IF(C186="","",MAX($A$1:A185)+1)</f>
        <v>171</v>
      </c>
      <c r="B186" s="26" t="s">
        <v>79</v>
      </c>
      <c r="C186" s="23">
        <v>46083</v>
      </c>
      <c r="D186" s="24" t="str">
        <f>_xlfn.XLOOKUP(Table134526_79101120212223242526[[#This Row],[Name Surname]],Manpower!$C$4:$C$1048576,Manpower!$B$4:$B$1048576,"")</f>
        <v>Nass Group</v>
      </c>
      <c r="E186" s="23" t="s">
        <v>86</v>
      </c>
      <c r="F186" s="12" t="e">
        <f>_xlfn.XLOOKUP(Table134526_79101120212223242526[[#This Row],[Name Surname]],Manpower!C:C,Manpower!D:D,)</f>
        <v>#N/A</v>
      </c>
      <c r="G186" s="24" t="str">
        <f>_xlfn.XLOOKUP(Table134526_79101120212223242526[[#This Row],[Name Surname]],Manpower!$C$4:$C$1048576,Manpower!$F$4:$F$1048576,"")</f>
        <v>70T-Telescopic crane</v>
      </c>
      <c r="H186" s="24" t="str">
        <f>_xlfn.XLOOKUP(Table134526_79101120212223242526[[#This Row],[Name Surname]],Manpower!$C$4:$C$1048576,Manpower!$H$4:$H$1048576,"")</f>
        <v>Equipment</v>
      </c>
      <c r="I186" s="24" t="str">
        <f>_xlfn.XLOOKUP(Table134526_79101120212223242526[[#This Row],[Name Surname]],Manpower!$C$4:$C$1048576,Manpower!$H$4:$H$1048576,"")</f>
        <v>Equipment</v>
      </c>
      <c r="J186" s="21" t="s">
        <v>35</v>
      </c>
      <c r="K186" s="21" t="s">
        <v>81</v>
      </c>
      <c r="L186" s="21" t="s">
        <v>82</v>
      </c>
      <c r="M186" s="21" t="s">
        <v>55</v>
      </c>
      <c r="N186" s="29">
        <v>10</v>
      </c>
      <c r="R186" s="21" t="s">
        <v>227</v>
      </c>
    </row>
    <row r="187" spans="1:18" ht="14.4" hidden="1">
      <c r="A187" s="33">
        <f>IF(C187="","",MAX($A$1:A186)+1)</f>
        <v>172</v>
      </c>
      <c r="B187" s="26" t="s">
        <v>79</v>
      </c>
      <c r="C187" s="23">
        <v>46083</v>
      </c>
      <c r="D187" s="24" t="str">
        <f>_xlfn.XLOOKUP(Table134526_79101120212223242526[[#This Row],[Name Surname]],Manpower!$C$4:$C$1048576,Manpower!$B$4:$B$1048576,"")</f>
        <v>Encogroup</v>
      </c>
      <c r="E187" s="23" t="s">
        <v>87</v>
      </c>
      <c r="F187" s="12">
        <f>_xlfn.XLOOKUP(Table134526_79101120212223242526[[#This Row],[Name Surname]],Manpower!C:C,Manpower!D:D,)</f>
        <v>126724428</v>
      </c>
      <c r="G187" s="24" t="str">
        <f>_xlfn.XLOOKUP(Table134526_79101120212223242526[[#This Row],[Name Surname]],Manpower!$C$4:$C$1048576,Manpower!$F$4:$F$1048576,"")</f>
        <v>Surveyor</v>
      </c>
      <c r="H187" s="24" t="str">
        <f>_xlfn.XLOOKUP(Table134526_79101120212223242526[[#This Row],[Name Surname]],Manpower!$C$4:$C$1048576,Manpower!$H$4:$H$1048576,"")</f>
        <v>Manpower</v>
      </c>
      <c r="I187" s="24" t="str">
        <f>_xlfn.XLOOKUP(Table134526_79101120212223242526[[#This Row],[Name Surname]],Manpower!$C$4:$C$1048576,Manpower!$H$4:$H$1048576,"")</f>
        <v>Manpower</v>
      </c>
      <c r="J187" s="21" t="s">
        <v>35</v>
      </c>
      <c r="K187" s="21" t="s">
        <v>88</v>
      </c>
      <c r="L187" s="21" t="s">
        <v>82</v>
      </c>
      <c r="M187" s="21" t="s">
        <v>55</v>
      </c>
      <c r="N187" s="29">
        <v>10</v>
      </c>
      <c r="R187" s="21" t="s">
        <v>227</v>
      </c>
    </row>
    <row r="188" spans="1:18" ht="14.4" hidden="1">
      <c r="A188" s="33">
        <f>IF(C188="","",MAX($A$1:A187)+1)</f>
        <v>173</v>
      </c>
      <c r="B188" s="26" t="s">
        <v>79</v>
      </c>
      <c r="C188" s="23">
        <v>46083</v>
      </c>
      <c r="D188" s="24" t="str">
        <f>_xlfn.XLOOKUP(Table134526_79101120212223242526[[#This Row],[Name Surname]],Manpower!$C$4:$C$1048576,Manpower!$B$4:$B$1048576,"")</f>
        <v>Encogroup</v>
      </c>
      <c r="E188" s="23" t="s">
        <v>91</v>
      </c>
      <c r="F188" s="12">
        <f>_xlfn.XLOOKUP(Table134526_79101120212223242526[[#This Row],[Name Surname]],Manpower!C:C,Manpower!D:D,)</f>
        <v>132915855</v>
      </c>
      <c r="G188" s="24" t="str">
        <f>_xlfn.XLOOKUP(Table134526_79101120212223242526[[#This Row],[Name Surname]],Manpower!$C$4:$C$1048576,Manpower!$F$4:$F$1048576,"")</f>
        <v>Mechanical Supervisor</v>
      </c>
      <c r="H188" s="24" t="str">
        <f>_xlfn.XLOOKUP(Table134526_79101120212223242526[[#This Row],[Name Surname]],Manpower!$C$4:$C$1048576,Manpower!$H$4:$H$1048576,"")</f>
        <v>Manpower</v>
      </c>
      <c r="I188" s="24" t="str">
        <f>_xlfn.XLOOKUP(Table134526_79101120212223242526[[#This Row],[Name Surname]],Manpower!$C$4:$C$1048576,Manpower!$H$4:$H$1048576,"")</f>
        <v>Manpower</v>
      </c>
      <c r="J188" s="21" t="s">
        <v>35</v>
      </c>
      <c r="K188" s="21" t="s">
        <v>81</v>
      </c>
      <c r="L188" s="21" t="s">
        <v>82</v>
      </c>
      <c r="M188" s="21" t="s">
        <v>55</v>
      </c>
      <c r="N188" s="29">
        <v>6</v>
      </c>
      <c r="R188" s="21" t="s">
        <v>227</v>
      </c>
    </row>
    <row r="189" spans="1:18" ht="14.4" hidden="1">
      <c r="A189" s="33">
        <f>IF(C189="","",MAX($A$1:A188)+1)</f>
        <v>174</v>
      </c>
      <c r="B189" s="26" t="s">
        <v>79</v>
      </c>
      <c r="C189" s="23">
        <v>46083</v>
      </c>
      <c r="D189" s="24" t="str">
        <f>_xlfn.XLOOKUP(Table134526_79101120212223242526[[#This Row],[Name Surname]],Manpower!$C$4:$C$1048576,Manpower!$B$4:$B$1048576,"")</f>
        <v>Encogroup</v>
      </c>
      <c r="E189" s="23" t="s">
        <v>92</v>
      </c>
      <c r="F189" s="12">
        <f>_xlfn.XLOOKUP(Table134526_79101120212223242526[[#This Row],[Name Surname]],Manpower!C:C,Manpower!D:D,)</f>
        <v>141377747</v>
      </c>
      <c r="G189" s="24" t="str">
        <f>_xlfn.XLOOKUP(Table134526_79101120212223242526[[#This Row],[Name Surname]],Manpower!$C$4:$C$1048576,Manpower!$F$4:$F$1048576,"")</f>
        <v>Painter</v>
      </c>
      <c r="H189" s="24" t="str">
        <f>_xlfn.XLOOKUP(Table134526_79101120212223242526[[#This Row],[Name Surname]],Manpower!$C$4:$C$1048576,Manpower!$H$4:$H$1048576,"")</f>
        <v>Manpower</v>
      </c>
      <c r="I189" s="24" t="str">
        <f>_xlfn.XLOOKUP(Table134526_79101120212223242526[[#This Row],[Name Surname]],Manpower!$C$4:$C$1048576,Manpower!$H$4:$H$1048576,"")</f>
        <v>Manpower</v>
      </c>
      <c r="J189" s="21" t="s">
        <v>35</v>
      </c>
      <c r="K189" s="21" t="s">
        <v>93</v>
      </c>
      <c r="L189" s="21" t="s">
        <v>82</v>
      </c>
      <c r="M189" s="21" t="s">
        <v>55</v>
      </c>
      <c r="N189" s="29">
        <v>10</v>
      </c>
      <c r="R189" s="21" t="s">
        <v>227</v>
      </c>
    </row>
    <row r="190" spans="1:18" ht="14.4" hidden="1">
      <c r="A190" s="33">
        <f>IF(C190="","",MAX($A$1:A189)+1)</f>
        <v>175</v>
      </c>
      <c r="B190" s="26" t="s">
        <v>79</v>
      </c>
      <c r="C190" s="23">
        <v>46083</v>
      </c>
      <c r="D190" s="24" t="str">
        <f>_xlfn.XLOOKUP(Table134526_79101120212223242526[[#This Row],[Name Surname]],Manpower!$C$4:$C$1048576,Manpower!$B$4:$B$1048576,"")</f>
        <v>Encogroup</v>
      </c>
      <c r="E190" s="23" t="s">
        <v>97</v>
      </c>
      <c r="F190" s="12">
        <f>_xlfn.XLOOKUP(Table134526_79101120212223242526[[#This Row],[Name Surname]],Manpower!C:C,Manpower!D:D,)</f>
        <v>141359235</v>
      </c>
      <c r="G190" s="24" t="str">
        <f>_xlfn.XLOOKUP(Table134526_79101120212223242526[[#This Row],[Name Surname]],Manpower!$C$4:$C$1048576,Manpower!$F$4:$F$1048576,"")</f>
        <v>Fitter</v>
      </c>
      <c r="H190" s="24" t="str">
        <f>_xlfn.XLOOKUP(Table134526_79101120212223242526[[#This Row],[Name Surname]],Manpower!$C$4:$C$1048576,Manpower!$H$4:$H$1048576,"")</f>
        <v>Manpower</v>
      </c>
      <c r="I190" s="24" t="str">
        <f>_xlfn.XLOOKUP(Table134526_79101120212223242526[[#This Row],[Name Surname]],Manpower!$C$4:$C$1048576,Manpower!$H$4:$H$1048576,"")</f>
        <v>Manpower</v>
      </c>
      <c r="J190" s="21" t="s">
        <v>35</v>
      </c>
      <c r="K190" s="21" t="s">
        <v>98</v>
      </c>
      <c r="L190" s="21" t="s">
        <v>82</v>
      </c>
      <c r="M190" s="21" t="s">
        <v>55</v>
      </c>
      <c r="N190" s="29">
        <v>10</v>
      </c>
      <c r="R190" s="21" t="s">
        <v>227</v>
      </c>
    </row>
    <row r="191" spans="1:18" ht="14.4" hidden="1">
      <c r="A191" s="33">
        <f>IF(C191="","",MAX($A$1:A190)+1)</f>
        <v>176</v>
      </c>
      <c r="B191" s="26" t="s">
        <v>79</v>
      </c>
      <c r="C191" s="23">
        <v>46083</v>
      </c>
      <c r="D191" s="24" t="str">
        <f>_xlfn.XLOOKUP(Table134526_79101120212223242526[[#This Row],[Name Surname]],Manpower!$C$4:$C$1048576,Manpower!$B$4:$B$1048576,"")</f>
        <v>Encogroup</v>
      </c>
      <c r="E191" s="23" t="s">
        <v>99</v>
      </c>
      <c r="F191" s="12">
        <f>_xlfn.XLOOKUP(Table134526_79101120212223242526[[#This Row],[Name Surname]],Manpower!C:C,Manpower!D:D,)</f>
        <v>140697025</v>
      </c>
      <c r="G191" s="24" t="str">
        <f>_xlfn.XLOOKUP(Table134526_79101120212223242526[[#This Row],[Name Surname]],Manpower!$C$4:$C$1048576,Manpower!$F$4:$F$1048576,"")</f>
        <v>Assistant/Helper</v>
      </c>
      <c r="H191" s="24" t="str">
        <f>_xlfn.XLOOKUP(Table134526_79101120212223242526[[#This Row],[Name Surname]],Manpower!$C$4:$C$1048576,Manpower!$H$4:$H$1048576,"")</f>
        <v>Manpower</v>
      </c>
      <c r="I191" s="24" t="str">
        <f>_xlfn.XLOOKUP(Table134526_79101120212223242526[[#This Row],[Name Surname]],Manpower!$C$4:$C$1048576,Manpower!$H$4:$H$1048576,"")</f>
        <v>Manpower</v>
      </c>
      <c r="J191" s="21" t="s">
        <v>35</v>
      </c>
      <c r="K191" s="21" t="s">
        <v>81</v>
      </c>
      <c r="L191" s="21" t="s">
        <v>82</v>
      </c>
      <c r="M191" s="21" t="s">
        <v>55</v>
      </c>
      <c r="N191" s="29">
        <v>10</v>
      </c>
      <c r="R191" s="21" t="s">
        <v>227</v>
      </c>
    </row>
    <row r="192" spans="1:18" ht="14.4" hidden="1">
      <c r="A192" s="33">
        <f>IF(C192="","",MAX($A$1:A191)+1)</f>
        <v>177</v>
      </c>
      <c r="B192" s="26" t="s">
        <v>79</v>
      </c>
      <c r="C192" s="23">
        <v>46083</v>
      </c>
      <c r="D192" s="24" t="str">
        <f>_xlfn.XLOOKUP(Table134526_79101120212223242526[[#This Row],[Name Surname]],Manpower!$C$4:$C$1048576,Manpower!$B$4:$B$1048576,"")</f>
        <v>Encogroup</v>
      </c>
      <c r="E192" s="23" t="s">
        <v>101</v>
      </c>
      <c r="F192" s="12">
        <f>_xlfn.XLOOKUP(Table134526_79101120212223242526[[#This Row],[Name Surname]],Manpower!C:C,Manpower!D:D,)</f>
        <v>141169052</v>
      </c>
      <c r="G192" s="24" t="str">
        <f>_xlfn.XLOOKUP(Table134526_79101120212223242526[[#This Row],[Name Surname]],Manpower!$C$4:$C$1048576,Manpower!$F$4:$F$1048576,"")</f>
        <v>Welder</v>
      </c>
      <c r="H192" s="24" t="str">
        <f>_xlfn.XLOOKUP(Table134526_79101120212223242526[[#This Row],[Name Surname]],Manpower!$C$4:$C$1048576,Manpower!$H$4:$H$1048576,"")</f>
        <v>Manpower</v>
      </c>
      <c r="I192" s="24" t="str">
        <f>_xlfn.XLOOKUP(Table134526_79101120212223242526[[#This Row],[Name Surname]],Manpower!$C$4:$C$1048576,Manpower!$H$4:$H$1048576,"")</f>
        <v>Manpower</v>
      </c>
      <c r="J192" s="21" t="s">
        <v>35</v>
      </c>
      <c r="K192" s="21" t="s">
        <v>98</v>
      </c>
      <c r="L192" s="21" t="s">
        <v>82</v>
      </c>
      <c r="M192" s="21" t="s">
        <v>55</v>
      </c>
      <c r="N192" s="29">
        <v>10</v>
      </c>
      <c r="R192" s="21" t="s">
        <v>227</v>
      </c>
    </row>
    <row r="193" spans="1:18" ht="14.4" hidden="1">
      <c r="A193" s="33">
        <f>IF(C193="","",MAX($A$1:A192)+1)</f>
        <v>178</v>
      </c>
      <c r="B193" s="26" t="s">
        <v>79</v>
      </c>
      <c r="C193" s="23">
        <v>46083</v>
      </c>
      <c r="D193" s="17" t="str">
        <f>_xlfn.XLOOKUP(Table134526_79101120212223242526[[#This Row],[Name Surname]],Manpower!$C$4:$C$1048576,Manpower!$B$4:$B$1048576,"")</f>
        <v>Encogroup</v>
      </c>
      <c r="E193" s="23" t="s">
        <v>102</v>
      </c>
      <c r="F193" s="12">
        <f>_xlfn.XLOOKUP(Table134526_79101120212223242526[[#This Row],[Name Surname]],Manpower!C:C,Manpower!D:D,)</f>
        <v>141365075</v>
      </c>
      <c r="G193" s="17" t="str">
        <f>_xlfn.XLOOKUP(Table134526_79101120212223242526[[#This Row],[Name Surname]],Manpower!$C$4:$C$1048576,Manpower!$F$4:$F$1048576,"")</f>
        <v>Helper</v>
      </c>
      <c r="H193" s="17" t="str">
        <f>_xlfn.XLOOKUP(Table134526_79101120212223242526[[#This Row],[Name Surname]],Manpower!$C$4:$C$1048576,Manpower!$H$4:$H$1048576,"")</f>
        <v>Manpower</v>
      </c>
      <c r="I193" s="24" t="str">
        <f>_xlfn.XLOOKUP(Table134526_79101120212223242526[[#This Row],[Name Surname]],Manpower!$C$4:$C$1048576,Manpower!$H$4:$H$1048576,"")</f>
        <v>Manpower</v>
      </c>
      <c r="J193" s="21" t="s">
        <v>35</v>
      </c>
      <c r="K193" s="21" t="s">
        <v>88</v>
      </c>
      <c r="L193" s="21" t="s">
        <v>82</v>
      </c>
      <c r="M193" s="21" t="s">
        <v>55</v>
      </c>
      <c r="N193" s="29">
        <v>10</v>
      </c>
      <c r="R193" s="21" t="s">
        <v>227</v>
      </c>
    </row>
    <row r="194" spans="1:18" ht="14.4" hidden="1">
      <c r="A194" s="33">
        <f>IF(C194="","",MAX($A$1:A193)+1)</f>
        <v>179</v>
      </c>
      <c r="B194" s="26" t="s">
        <v>79</v>
      </c>
      <c r="C194" s="23">
        <v>46083</v>
      </c>
      <c r="D194" s="24" t="str">
        <f>_xlfn.XLOOKUP(Table134526_79101120212223242526[[#This Row],[Name Surname]],Manpower!$C$4:$C$1048576,Manpower!$B$4:$B$1048576,"")</f>
        <v>SARENS NASS</v>
      </c>
      <c r="E194" s="23" t="s">
        <v>103</v>
      </c>
      <c r="F194" s="12">
        <f>_xlfn.XLOOKUP(Table134526_79101120212223242526[[#This Row],[Name Surname]],Manpower!C:C,Manpower!D:D,)</f>
        <v>79502392</v>
      </c>
      <c r="G194" s="24" t="str">
        <f>_xlfn.XLOOKUP(Table134526_79101120212223242526[[#This Row],[Name Surname]],Manpower!$C$4:$C$1048576,Manpower!$F$4:$F$1048576,"")</f>
        <v>Crane Operator- 70T Liebherr Telescopic Crane-01</v>
      </c>
      <c r="H194" s="24" t="s">
        <v>39</v>
      </c>
      <c r="I194" s="24" t="s">
        <v>39</v>
      </c>
      <c r="J194" s="21" t="s">
        <v>35</v>
      </c>
      <c r="K194" s="21" t="s">
        <v>104</v>
      </c>
      <c r="L194" s="21" t="s">
        <v>82</v>
      </c>
      <c r="M194" s="21" t="s">
        <v>55</v>
      </c>
      <c r="N194" s="29">
        <v>10</v>
      </c>
      <c r="R194" s="21" t="s">
        <v>227</v>
      </c>
    </row>
    <row r="195" spans="1:18" ht="14.4" hidden="1">
      <c r="A195" s="33">
        <f>IF(C195="","",MAX($A$1:A194)+1)</f>
        <v>180</v>
      </c>
      <c r="B195" s="26" t="s">
        <v>79</v>
      </c>
      <c r="C195" s="23">
        <v>46083</v>
      </c>
      <c r="D195" s="24" t="str">
        <f>_xlfn.XLOOKUP(Table134526_79101120212223242526[[#This Row],[Name Surname]],Manpower!$C$4:$C$1048576,Manpower!$B$4:$B$1048576,"")</f>
        <v>Encogroup</v>
      </c>
      <c r="E195" s="18" t="s">
        <v>105</v>
      </c>
      <c r="F195" s="12">
        <f>_xlfn.XLOOKUP(Table134526_79101120212223242526[[#This Row],[Name Surname]],Manpower!C:C,Manpower!D:D,)</f>
        <v>141358993</v>
      </c>
      <c r="G195" s="24" t="str">
        <f>_xlfn.XLOOKUP(Table134526_79101120212223242526[[#This Row],[Name Surname]],Manpower!$C$4:$C$1048576,Manpower!$F$4:$F$1048576,"")</f>
        <v>Fitter</v>
      </c>
      <c r="H195" s="24" t="str">
        <f>_xlfn.XLOOKUP(Table134526_79101120212223242526[[#This Row],[Name Surname]],Manpower!$C$4:$C$1048576,Manpower!$H$4:$H$1048576,"")</f>
        <v>Manpower</v>
      </c>
      <c r="I195" s="24" t="str">
        <f>_xlfn.XLOOKUP(Table134526_79101120212223242526[[#This Row],[Name Surname]],Manpower!$C$4:$C$1048576,Manpower!$H$4:$H$1048576,"")</f>
        <v>Manpower</v>
      </c>
      <c r="J195" s="21" t="s">
        <v>35</v>
      </c>
      <c r="K195" s="21" t="s">
        <v>98</v>
      </c>
      <c r="L195" s="21" t="s">
        <v>82</v>
      </c>
      <c r="M195" s="21" t="s">
        <v>55</v>
      </c>
      <c r="N195" s="29">
        <v>6</v>
      </c>
      <c r="R195" s="21" t="s">
        <v>227</v>
      </c>
    </row>
    <row r="196" spans="1:18" ht="14.4" hidden="1">
      <c r="A196" s="33">
        <f>IF(C196="","",MAX($A$1:A195)+1)</f>
        <v>181</v>
      </c>
      <c r="B196" s="26" t="s">
        <v>79</v>
      </c>
      <c r="C196" s="23">
        <v>46083</v>
      </c>
      <c r="D196" s="24" t="str">
        <f>_xlfn.XLOOKUP(Table134526_79101120212223242526[[#This Row],[Name Surname]],Manpower!$C$4:$C$1048576,Manpower!$B$4:$B$1048576,"")</f>
        <v>Encogroup</v>
      </c>
      <c r="E196" s="23" t="s">
        <v>106</v>
      </c>
      <c r="F196" s="12" t="str">
        <f>_xlfn.XLOOKUP(Table134526_79101120212223242526[[#This Row],[Name Surname]],Manpower!C:C,Manpower!D:D,)</f>
        <v>R3971143</v>
      </c>
      <c r="G196" s="24" t="str">
        <f>_xlfn.XLOOKUP(Table134526_79101120212223242526[[#This Row],[Name Surname]],Manpower!$C$4:$C$1048576,Manpower!$F$4:$F$1048576,"")</f>
        <v>Mechanical Foreman</v>
      </c>
      <c r="H196" s="24" t="str">
        <f>_xlfn.XLOOKUP(Table134526_79101120212223242526[[#This Row],[Name Surname]],Manpower!$C$4:$C$1048576,Manpower!$H$4:$H$1048576,"")</f>
        <v>Manpower</v>
      </c>
      <c r="I196" s="24" t="str">
        <f>_xlfn.XLOOKUP(Table134526_79101120212223242526[[#This Row],[Name Surname]],Manpower!$C$4:$C$1048576,Manpower!$H$4:$H$1048576,"")</f>
        <v>Manpower</v>
      </c>
      <c r="J196" s="21" t="s">
        <v>35</v>
      </c>
      <c r="K196" s="21" t="s">
        <v>81</v>
      </c>
      <c r="L196" s="21" t="s">
        <v>82</v>
      </c>
      <c r="M196" s="21" t="s">
        <v>55</v>
      </c>
      <c r="N196" s="29">
        <v>10</v>
      </c>
      <c r="R196" s="21" t="s">
        <v>227</v>
      </c>
    </row>
    <row r="197" spans="1:18" ht="14.4" hidden="1">
      <c r="A197" s="33">
        <f>IF(C197="","",MAX($A$1:A196)+1)</f>
        <v>182</v>
      </c>
      <c r="B197" s="26" t="s">
        <v>79</v>
      </c>
      <c r="C197" s="23">
        <v>46083</v>
      </c>
      <c r="D197" s="24" t="str">
        <f>_xlfn.XLOOKUP(Table134526_79101120212223242526[[#This Row],[Name Surname]],Manpower!$C$4:$C$1048576,Manpower!$B$4:$B$1048576,"")</f>
        <v>Encogroup</v>
      </c>
      <c r="E197" s="23" t="s">
        <v>107</v>
      </c>
      <c r="F197" s="12">
        <f>_xlfn.XLOOKUP(Table134526_79101120212223242526[[#This Row],[Name Surname]],Manpower!C:C,Manpower!D:D,)</f>
        <v>116858297</v>
      </c>
      <c r="G197" s="24" t="str">
        <f>_xlfn.XLOOKUP(Table134526_79101120212223242526[[#This Row],[Name Surname]],Manpower!$C$4:$C$1048576,Manpower!$F$4:$F$1048576,"")</f>
        <v>Mechanical Superintendent</v>
      </c>
      <c r="H197" s="24" t="str">
        <f>_xlfn.XLOOKUP(Table134526_79101120212223242526[[#This Row],[Name Surname]],Manpower!$C$4:$C$1048576,Manpower!$H$4:$H$1048576,"")</f>
        <v>Manpower</v>
      </c>
      <c r="I197" s="24" t="str">
        <f>_xlfn.XLOOKUP(Table134526_79101120212223242526[[#This Row],[Name Surname]],Manpower!$C$4:$C$1048576,Manpower!$H$4:$H$1048576,"")</f>
        <v>Manpower</v>
      </c>
      <c r="J197" s="21" t="s">
        <v>35</v>
      </c>
      <c r="K197" s="21" t="s">
        <v>81</v>
      </c>
      <c r="L197" s="21" t="s">
        <v>82</v>
      </c>
      <c r="M197" s="21" t="s">
        <v>55</v>
      </c>
      <c r="N197" s="29">
        <v>6</v>
      </c>
      <c r="R197" s="21" t="s">
        <v>227</v>
      </c>
    </row>
    <row r="198" spans="1:18" ht="14.4" hidden="1">
      <c r="A198" s="33">
        <f>IF(C198="","",MAX($A$1:A197)+1)</f>
        <v>183</v>
      </c>
      <c r="B198" s="26" t="s">
        <v>79</v>
      </c>
      <c r="C198" s="23">
        <v>46083</v>
      </c>
      <c r="D198" s="24" t="str">
        <f>_xlfn.XLOOKUP(Table134526_79101120212223242526[[#This Row],[Name Surname]],Manpower!$C$4:$C$1048576,Manpower!$B$4:$B$1048576,"")</f>
        <v>Encogroup</v>
      </c>
      <c r="E198" s="23" t="s">
        <v>109</v>
      </c>
      <c r="F198" s="12">
        <f>_xlfn.XLOOKUP(Table134526_79101120212223242526[[#This Row],[Name Surname]],Manpower!C:C,Manpower!D:D,)</f>
        <v>123805496</v>
      </c>
      <c r="G198" s="24" t="str">
        <f>_xlfn.XLOOKUP(Table134526_79101120212223242526[[#This Row],[Name Surname]],Manpower!$C$4:$C$1048576,Manpower!$F$4:$F$1048576,"")</f>
        <v>Fitter/Erector</v>
      </c>
      <c r="H198" s="24" t="str">
        <f>_xlfn.XLOOKUP(Table134526_79101120212223242526[[#This Row],[Name Surname]],Manpower!$C$4:$C$1048576,Manpower!$H$4:$H$1048576,"")</f>
        <v>Manpower</v>
      </c>
      <c r="I198" s="24" t="str">
        <f>_xlfn.XLOOKUP(Table134526_79101120212223242526[[#This Row],[Name Surname]],Manpower!$C$4:$C$1048576,Manpower!$H$4:$H$1048576,"")</f>
        <v>Manpower</v>
      </c>
      <c r="J198" s="21" t="s">
        <v>35</v>
      </c>
      <c r="K198" s="21" t="s">
        <v>81</v>
      </c>
      <c r="L198" s="21" t="s">
        <v>82</v>
      </c>
      <c r="M198" s="21" t="s">
        <v>55</v>
      </c>
      <c r="N198" s="29">
        <v>10</v>
      </c>
      <c r="R198" s="21" t="s">
        <v>227</v>
      </c>
    </row>
    <row r="199" spans="1:18" ht="14.4" hidden="1">
      <c r="A199" s="33">
        <f>IF(C199="","",MAX($A$1:A198)+1)</f>
        <v>184</v>
      </c>
      <c r="B199" s="26" t="s">
        <v>79</v>
      </c>
      <c r="C199" s="23">
        <v>46083</v>
      </c>
      <c r="D199" s="24" t="str">
        <f>_xlfn.XLOOKUP(Table134526_79101120212223242526[[#This Row],[Name Surname]],Manpower!$C$4:$C$1048576,Manpower!$B$4:$B$1048576,"")</f>
        <v>Encogroup</v>
      </c>
      <c r="E199" s="18" t="s">
        <v>110</v>
      </c>
      <c r="F199" s="12">
        <f>_xlfn.XLOOKUP(Table134526_79101120212223242526[[#This Row],[Name Surname]],Manpower!C:C,Manpower!D:D,)</f>
        <v>136277866</v>
      </c>
      <c r="G199" s="24" t="str">
        <f>_xlfn.XLOOKUP(Table134526_79101120212223242526[[#This Row],[Name Surname]],Manpower!$C$4:$C$1048576,Manpower!$F$4:$F$1048576,"")</f>
        <v>Permit Receiver</v>
      </c>
      <c r="H199" s="24" t="str">
        <f>_xlfn.XLOOKUP(Table134526_79101120212223242526[[#This Row],[Name Surname]],Manpower!$C$4:$C$1048576,Manpower!$H$4:$H$1048576,"")</f>
        <v>Manpower</v>
      </c>
      <c r="I199" s="24" t="str">
        <f>_xlfn.XLOOKUP(Table134526_79101120212223242526[[#This Row],[Name Surname]],Manpower!$C$4:$C$1048576,Manpower!$H$4:$H$1048576,"")</f>
        <v>Manpower</v>
      </c>
      <c r="J199" s="21" t="s">
        <v>35</v>
      </c>
      <c r="K199" s="21" t="s">
        <v>81</v>
      </c>
      <c r="L199" s="21" t="s">
        <v>82</v>
      </c>
      <c r="M199" s="21" t="s">
        <v>55</v>
      </c>
      <c r="N199" s="29">
        <v>10</v>
      </c>
      <c r="R199" s="21" t="s">
        <v>227</v>
      </c>
    </row>
    <row r="200" spans="1:18" ht="14.4" hidden="1">
      <c r="A200" s="33">
        <f>IF(C200="","",MAX($A$1:A199)+1)</f>
        <v>185</v>
      </c>
      <c r="B200" s="26" t="s">
        <v>79</v>
      </c>
      <c r="C200" s="23">
        <v>46083</v>
      </c>
      <c r="D200" s="24" t="str">
        <f>_xlfn.XLOOKUP(Table134526_79101120212223242526[[#This Row],[Name Surname]],Manpower!$C$4:$C$1048576,Manpower!$B$4:$B$1048576,"")</f>
        <v>Encogroup</v>
      </c>
      <c r="E200" s="23" t="s">
        <v>111</v>
      </c>
      <c r="F200" s="12">
        <f>_xlfn.XLOOKUP(Table134526_79101120212223242526[[#This Row],[Name Surname]],Manpower!C:C,Manpower!D:D,)</f>
        <v>120653364</v>
      </c>
      <c r="G200" s="24" t="str">
        <f>_xlfn.XLOOKUP(Table134526_79101120212223242526[[#This Row],[Name Surname]],Manpower!$C$4:$C$1048576,Manpower!$F$4:$F$1048576,"")</f>
        <v>Surveyor</v>
      </c>
      <c r="H200" s="24" t="str">
        <f>_xlfn.XLOOKUP(Table134526_79101120212223242526[[#This Row],[Name Surname]],Manpower!$C$4:$C$1048576,Manpower!$H$4:$H$1048576,"")</f>
        <v>Manpower</v>
      </c>
      <c r="I200" s="24" t="str">
        <f>_xlfn.XLOOKUP(Table134526_79101120212223242526[[#This Row],[Name Surname]],Manpower!$C$4:$C$1048576,Manpower!$H$4:$H$1048576,"")</f>
        <v>Manpower</v>
      </c>
      <c r="J200" s="21" t="s">
        <v>35</v>
      </c>
      <c r="K200" s="21" t="s">
        <v>88</v>
      </c>
      <c r="L200" s="21" t="s">
        <v>82</v>
      </c>
      <c r="M200" s="21" t="s">
        <v>55</v>
      </c>
      <c r="N200" s="29">
        <v>10</v>
      </c>
      <c r="R200" s="21" t="s">
        <v>227</v>
      </c>
    </row>
    <row r="201" spans="1:18" ht="14.4" hidden="1">
      <c r="A201" s="33">
        <f>IF(C201="","",MAX($A$1:A200)+1)</f>
        <v>186</v>
      </c>
      <c r="B201" s="26" t="s">
        <v>79</v>
      </c>
      <c r="C201" s="23">
        <v>46083</v>
      </c>
      <c r="D201" s="24" t="str">
        <f>_xlfn.XLOOKUP(Table134526_79101120212223242526[[#This Row],[Name Surname]],Manpower!$C$4:$C$1048576,Manpower!$B$4:$B$1048576,"")</f>
        <v>Encogroup</v>
      </c>
      <c r="E201" s="23" t="s">
        <v>112</v>
      </c>
      <c r="F201" s="12">
        <f>_xlfn.XLOOKUP(Table134526_79101120212223242526[[#This Row],[Name Surname]],Manpower!C:C,Manpower!D:D,)</f>
        <v>140663253</v>
      </c>
      <c r="G201" s="24" t="str">
        <f>_xlfn.XLOOKUP(Table134526_79101120212223242526[[#This Row],[Name Surname]],Manpower!$C$4:$C$1048576,Manpower!$F$4:$F$1048576,"")</f>
        <v>Painting Inspector</v>
      </c>
      <c r="H201" s="24" t="str">
        <f>_xlfn.XLOOKUP(Table134526_79101120212223242526[[#This Row],[Name Surname]],Manpower!$C$4:$C$1048576,Manpower!$H$4:$H$1048576,"")</f>
        <v>Manpower</v>
      </c>
      <c r="I201" s="24" t="str">
        <f>_xlfn.XLOOKUP(Table134526_79101120212223242526[[#This Row],[Name Surname]],Manpower!$C$4:$C$1048576,Manpower!$H$4:$H$1048576,"")</f>
        <v>Manpower</v>
      </c>
      <c r="J201" s="21" t="s">
        <v>35</v>
      </c>
      <c r="K201" s="21" t="s">
        <v>113</v>
      </c>
      <c r="L201" s="21" t="s">
        <v>82</v>
      </c>
      <c r="M201" s="21" t="s">
        <v>55</v>
      </c>
      <c r="N201" s="29">
        <v>8</v>
      </c>
      <c r="R201" s="21" t="s">
        <v>227</v>
      </c>
    </row>
    <row r="202" spans="1:18" ht="14.4" hidden="1">
      <c r="A202" s="33">
        <f>IF(C202="","",MAX($A$1:A201)+1)</f>
        <v>187</v>
      </c>
      <c r="B202" s="26" t="s">
        <v>79</v>
      </c>
      <c r="C202" s="23">
        <v>46083</v>
      </c>
      <c r="D202" s="24" t="str">
        <f>_xlfn.XLOOKUP(Table134526_79101120212223242526[[#This Row],[Name Surname]],Manpower!$C$4:$C$1048576,Manpower!$B$4:$B$1048576,"")</f>
        <v>Encogroup</v>
      </c>
      <c r="E202" s="23" t="s">
        <v>116</v>
      </c>
      <c r="F202" s="12">
        <f>_xlfn.XLOOKUP(Table134526_79101120212223242526[[#This Row],[Name Surname]],Manpower!C:C,Manpower!D:D,)</f>
        <v>140844604</v>
      </c>
      <c r="G202" s="24" t="str">
        <f>_xlfn.XLOOKUP(Table134526_79101120212223242526[[#This Row],[Name Surname]],Manpower!$C$4:$C$1048576,Manpower!$F$4:$F$1048576,"")</f>
        <v>Painter</v>
      </c>
      <c r="H202" s="24" t="str">
        <f>_xlfn.XLOOKUP(Table134526_79101120212223242526[[#This Row],[Name Surname]],Manpower!$C$4:$C$1048576,Manpower!$H$4:$H$1048576,"")</f>
        <v>Manpower</v>
      </c>
      <c r="I202" s="24" t="str">
        <f>_xlfn.XLOOKUP(Table134526_79101120212223242526[[#This Row],[Name Surname]],Manpower!$C$4:$C$1048576,Manpower!$H$4:$H$1048576,"")</f>
        <v>Manpower</v>
      </c>
      <c r="J202" s="21" t="s">
        <v>35</v>
      </c>
      <c r="K202" s="21" t="s">
        <v>113</v>
      </c>
      <c r="L202" s="21" t="s">
        <v>82</v>
      </c>
      <c r="M202" s="21" t="s">
        <v>55</v>
      </c>
      <c r="N202" s="29">
        <v>10</v>
      </c>
      <c r="R202" s="21" t="s">
        <v>227</v>
      </c>
    </row>
    <row r="203" spans="1:18" ht="14.4" hidden="1">
      <c r="A203" s="33">
        <f>IF(C203="","",MAX($A$1:A202)+1)</f>
        <v>188</v>
      </c>
      <c r="B203" s="26" t="s">
        <v>79</v>
      </c>
      <c r="C203" s="23">
        <v>46083</v>
      </c>
      <c r="D203" s="24" t="str">
        <f>_xlfn.XLOOKUP(Table134526_79101120212223242526[[#This Row],[Name Surname]],Manpower!$C$4:$C$1048576,Manpower!$B$4:$B$1048576,"")</f>
        <v>Encogroup</v>
      </c>
      <c r="E203" s="23" t="s">
        <v>117</v>
      </c>
      <c r="F203" s="12">
        <f>_xlfn.XLOOKUP(Table134526_79101120212223242526[[#This Row],[Name Surname]],Manpower!C:C,Manpower!D:D,)</f>
        <v>140844783</v>
      </c>
      <c r="G203" s="24" t="str">
        <f>_xlfn.XLOOKUP(Table134526_79101120212223242526[[#This Row],[Name Surname]],Manpower!$C$4:$C$1048576,Manpower!$F$4:$F$1048576,"")</f>
        <v>Painter</v>
      </c>
      <c r="H203" s="24" t="str">
        <f>_xlfn.XLOOKUP(Table134526_79101120212223242526[[#This Row],[Name Surname]],Manpower!$C$4:$C$1048576,Manpower!$H$4:$H$1048576,"")</f>
        <v>Manpower</v>
      </c>
      <c r="I203" s="24" t="str">
        <f>_xlfn.XLOOKUP(Table134526_79101120212223242526[[#This Row],[Name Surname]],Manpower!$C$4:$C$1048576,Manpower!$H$4:$H$1048576,"")</f>
        <v>Manpower</v>
      </c>
      <c r="J203" s="21" t="s">
        <v>35</v>
      </c>
      <c r="K203" s="21" t="s">
        <v>113</v>
      </c>
      <c r="L203" s="21" t="s">
        <v>82</v>
      </c>
      <c r="M203" s="21" t="s">
        <v>55</v>
      </c>
      <c r="N203" s="29">
        <v>10</v>
      </c>
      <c r="R203" s="21" t="s">
        <v>227</v>
      </c>
    </row>
    <row r="204" spans="1:18" ht="14.4" hidden="1">
      <c r="A204" s="33">
        <f>IF(C204="","",MAX($A$1:A203)+1)</f>
        <v>189</v>
      </c>
      <c r="B204" s="26" t="s">
        <v>79</v>
      </c>
      <c r="C204" s="23">
        <v>46083</v>
      </c>
      <c r="D204" s="24" t="str">
        <f>_xlfn.XLOOKUP(Table134526_79101120212223242526[[#This Row],[Name Surname]],Manpower!$C$4:$C$1048576,Manpower!$B$4:$B$1048576,"")</f>
        <v>Encogroup</v>
      </c>
      <c r="E204" s="23" t="s">
        <v>118</v>
      </c>
      <c r="F204" s="12" t="str">
        <f>_xlfn.XLOOKUP(Table134526_79101120212223242526[[#This Row],[Name Surname]],Manpower!C:C,Manpower!D:D,)</f>
        <v>AG111207</v>
      </c>
      <c r="G204" s="24" t="str">
        <f>_xlfn.XLOOKUP(Table134526_79101120212223242526[[#This Row],[Name Surname]],Manpower!$C$4:$C$1048576,Manpower!$F$4:$F$1048576,"")</f>
        <v>Assistant/Helper</v>
      </c>
      <c r="H204" s="24" t="str">
        <f>_xlfn.XLOOKUP(Table134526_79101120212223242526[[#This Row],[Name Surname]],Manpower!$C$4:$C$1048576,Manpower!$H$4:$H$1048576,"")</f>
        <v>Manpower</v>
      </c>
      <c r="I204" s="24" t="str">
        <f>_xlfn.XLOOKUP(Table134526_79101120212223242526[[#This Row],[Name Surname]],Manpower!$C$4:$C$1048576,Manpower!$H$4:$H$1048576,"")</f>
        <v>Manpower</v>
      </c>
      <c r="J204" s="21" t="s">
        <v>35</v>
      </c>
      <c r="K204" s="21" t="s">
        <v>113</v>
      </c>
      <c r="L204" s="21" t="s">
        <v>82</v>
      </c>
      <c r="M204" s="21" t="s">
        <v>55</v>
      </c>
      <c r="N204" s="29">
        <v>10</v>
      </c>
      <c r="R204" s="21" t="s">
        <v>227</v>
      </c>
    </row>
    <row r="205" spans="1:18" ht="14.4" hidden="1">
      <c r="A205" s="33">
        <f>IF(C205="","",MAX($A$1:A204)+1)</f>
        <v>190</v>
      </c>
      <c r="B205" s="26" t="s">
        <v>79</v>
      </c>
      <c r="C205" s="23">
        <v>46083</v>
      </c>
      <c r="D205" s="24" t="str">
        <f>_xlfn.XLOOKUP(Table134526_79101120212223242526[[#This Row],[Name Surname]],Manpower!$C$4:$C$1048576,Manpower!$B$4:$B$1048576,"")</f>
        <v>Encogroup</v>
      </c>
      <c r="E205" s="23" t="s">
        <v>119</v>
      </c>
      <c r="F205" s="12">
        <f>_xlfn.XLOOKUP(Table134526_79101120212223242526[[#This Row],[Name Surname]],Manpower!C:C,Manpower!D:D,)</f>
        <v>140844778</v>
      </c>
      <c r="G205" s="24" t="str">
        <f>_xlfn.XLOOKUP(Table134526_79101120212223242526[[#This Row],[Name Surname]],Manpower!$C$4:$C$1048576,Manpower!$F$4:$F$1048576,"")</f>
        <v>Painter</v>
      </c>
      <c r="H205" s="24" t="str">
        <f>_xlfn.XLOOKUP(Table134526_79101120212223242526[[#This Row],[Name Surname]],Manpower!$C$4:$C$1048576,Manpower!$H$4:$H$1048576,"")</f>
        <v>Manpower</v>
      </c>
      <c r="I205" s="24" t="str">
        <f>_xlfn.XLOOKUP(Table134526_79101120212223242526[[#This Row],[Name Surname]],Manpower!$C$4:$C$1048576,Manpower!$H$4:$H$1048576,"")</f>
        <v>Manpower</v>
      </c>
      <c r="J205" s="21" t="s">
        <v>35</v>
      </c>
      <c r="K205" s="21" t="s">
        <v>113</v>
      </c>
      <c r="L205" s="21" t="s">
        <v>82</v>
      </c>
      <c r="M205" s="21" t="s">
        <v>55</v>
      </c>
      <c r="N205" s="29">
        <v>6</v>
      </c>
      <c r="R205" s="21" t="s">
        <v>227</v>
      </c>
    </row>
    <row r="206" spans="1:18" ht="14.4" hidden="1">
      <c r="A206" s="33">
        <f>IF(C206="","",MAX($A$1:A205)+1)</f>
        <v>191</v>
      </c>
      <c r="B206" s="26" t="s">
        <v>79</v>
      </c>
      <c r="C206" s="23">
        <v>46083</v>
      </c>
      <c r="D206" s="24" t="str">
        <f>_xlfn.XLOOKUP(Table134526_79101120212223242526[[#This Row],[Name Surname]],Manpower!$C$4:$C$1048576,Manpower!$B$4:$B$1048576,"")</f>
        <v>Encogroup</v>
      </c>
      <c r="E206" s="23" t="s">
        <v>120</v>
      </c>
      <c r="F206" s="12">
        <f>_xlfn.XLOOKUP(Table134526_79101120212223242526[[#This Row],[Name Surname]],Manpower!C:C,Manpower!D:D,)</f>
        <v>141365037</v>
      </c>
      <c r="G206" s="24" t="str">
        <f>_xlfn.XLOOKUP(Table134526_79101120212223242526[[#This Row],[Name Surname]],Manpower!$C$4:$C$1048576,Manpower!$F$4:$F$1048576,"")</f>
        <v>Painter</v>
      </c>
      <c r="H206" s="24" t="str">
        <f>_xlfn.XLOOKUP(Table134526_79101120212223242526[[#This Row],[Name Surname]],Manpower!$C$4:$C$1048576,Manpower!$H$4:$H$1048576,"")</f>
        <v>Manpower</v>
      </c>
      <c r="I206" s="24" t="str">
        <f>_xlfn.XLOOKUP(Table134526_79101120212223242526[[#This Row],[Name Surname]],Manpower!$C$4:$C$1048576,Manpower!$H$4:$H$1048576,"")</f>
        <v>Manpower</v>
      </c>
      <c r="J206" s="21" t="s">
        <v>35</v>
      </c>
      <c r="K206" s="21" t="s">
        <v>113</v>
      </c>
      <c r="L206" s="21" t="s">
        <v>82</v>
      </c>
      <c r="M206" s="21" t="s">
        <v>55</v>
      </c>
      <c r="N206" s="29">
        <v>10</v>
      </c>
      <c r="R206" s="21" t="s">
        <v>227</v>
      </c>
    </row>
    <row r="207" spans="1:18" ht="14.4" hidden="1">
      <c r="A207" s="33">
        <f>IF(C207="","",MAX($A$1:A206)+1)</f>
        <v>192</v>
      </c>
      <c r="B207" s="26" t="s">
        <v>79</v>
      </c>
      <c r="C207" s="23">
        <v>46083</v>
      </c>
      <c r="D207" s="24" t="str">
        <f>_xlfn.XLOOKUP(Table134526_79101120212223242526[[#This Row],[Name Surname]],Manpower!$C$4:$C$1048576,Manpower!$B$4:$B$1048576,"")</f>
        <v>Encogroup</v>
      </c>
      <c r="E207" s="23" t="s">
        <v>121</v>
      </c>
      <c r="F207" s="12">
        <f>_xlfn.XLOOKUP(Table134526_79101120212223242526[[#This Row],[Name Surname]],Manpower!C:C,Manpower!D:D,)</f>
        <v>141377709</v>
      </c>
      <c r="G207" s="24" t="str">
        <f>_xlfn.XLOOKUP(Table134526_79101120212223242526[[#This Row],[Name Surname]],Manpower!$C$4:$C$1048576,Manpower!$F$4:$F$1048576,"")</f>
        <v>Helper</v>
      </c>
      <c r="H207" s="24" t="str">
        <f>_xlfn.XLOOKUP(Table134526_79101120212223242526[[#This Row],[Name Surname]],Manpower!$C$4:$C$1048576,Manpower!$H$4:$H$1048576,"")</f>
        <v>Manpower</v>
      </c>
      <c r="I207" s="24" t="str">
        <f>_xlfn.XLOOKUP(Table134526_79101120212223242526[[#This Row],[Name Surname]],Manpower!$C$4:$C$1048576,Manpower!$H$4:$H$1048576,"")</f>
        <v>Manpower</v>
      </c>
      <c r="J207" s="21" t="s">
        <v>35</v>
      </c>
      <c r="K207" s="21" t="s">
        <v>113</v>
      </c>
      <c r="L207" s="21" t="s">
        <v>82</v>
      </c>
      <c r="M207" s="21" t="s">
        <v>55</v>
      </c>
      <c r="N207" s="29">
        <v>10</v>
      </c>
      <c r="R207" s="21" t="s">
        <v>227</v>
      </c>
    </row>
    <row r="208" spans="1:18" ht="14.4" hidden="1">
      <c r="A208" s="33">
        <f>IF(C208="","",MAX($A$1:A207)+1)</f>
        <v>193</v>
      </c>
      <c r="B208" s="26" t="s">
        <v>79</v>
      </c>
      <c r="C208" s="23">
        <v>46083</v>
      </c>
      <c r="D208" s="24" t="str">
        <f>_xlfn.XLOOKUP(Table134526_79101120212223242526[[#This Row],[Name Surname]],Manpower!$C$4:$C$1048576,Manpower!$B$4:$B$1048576,"")</f>
        <v>Encogroup</v>
      </c>
      <c r="E208" s="23" t="s">
        <v>122</v>
      </c>
      <c r="F208" s="12">
        <f>_xlfn.XLOOKUP(Table134526_79101120212223242526[[#This Row],[Name Surname]],Manpower!C:C,Manpower!D:D,)</f>
        <v>140805554</v>
      </c>
      <c r="G208" s="24" t="str">
        <f>_xlfn.XLOOKUP(Table134526_79101120212223242526[[#This Row],[Name Surname]],Manpower!$C$4:$C$1048576,Manpower!$F$4:$F$1048576,"")</f>
        <v>Assistant/Helper</v>
      </c>
      <c r="H208" s="24" t="str">
        <f>_xlfn.XLOOKUP(Table134526_79101120212223242526[[#This Row],[Name Surname]],Manpower!$C$4:$C$1048576,Manpower!$H$4:$H$1048576,"")</f>
        <v>Manpower</v>
      </c>
      <c r="I208" s="24" t="str">
        <f>_xlfn.XLOOKUP(Table134526_79101120212223242526[[#This Row],[Name Surname]],Manpower!$C$4:$C$1048576,Manpower!$H$4:$H$1048576,"")</f>
        <v>Manpower</v>
      </c>
      <c r="J208" s="21" t="s">
        <v>35</v>
      </c>
      <c r="K208" s="21" t="s">
        <v>98</v>
      </c>
      <c r="L208" s="21" t="s">
        <v>82</v>
      </c>
      <c r="M208" s="21" t="s">
        <v>55</v>
      </c>
      <c r="N208" s="29">
        <v>10</v>
      </c>
      <c r="R208" s="21" t="s">
        <v>227</v>
      </c>
    </row>
    <row r="209" spans="1:18" ht="14.4" hidden="1">
      <c r="A209" s="33">
        <f>IF(C209="","",MAX($A$1:A208)+1)</f>
        <v>194</v>
      </c>
      <c r="B209" s="26" t="s">
        <v>79</v>
      </c>
      <c r="C209" s="23">
        <v>46083</v>
      </c>
      <c r="D209" s="24" t="str">
        <f>_xlfn.XLOOKUP(Table134526_79101120212223242526[[#This Row],[Name Surname]],Manpower!$C$4:$C$1048576,Manpower!$B$4:$B$1048576,"")</f>
        <v>Encogroup</v>
      </c>
      <c r="E209" s="23" t="s">
        <v>124</v>
      </c>
      <c r="F209" s="12">
        <f>_xlfn.XLOOKUP(Table134526_79101120212223242526[[#This Row],[Name Surname]],Manpower!C:C,Manpower!D:D,)</f>
        <v>141169033</v>
      </c>
      <c r="G209" s="24" t="str">
        <f>_xlfn.XLOOKUP(Table134526_79101120212223242526[[#This Row],[Name Surname]],Manpower!$C$4:$C$1048576,Manpower!$F$4:$F$1048576,"")</f>
        <v>Welder</v>
      </c>
      <c r="H209" s="24" t="str">
        <f>_xlfn.XLOOKUP(Table134526_79101120212223242526[[#This Row],[Name Surname]],Manpower!$C$4:$C$1048576,Manpower!$H$4:$H$1048576,"")</f>
        <v>Manpower</v>
      </c>
      <c r="I209" s="24" t="str">
        <f>_xlfn.XLOOKUP(Table134526_79101120212223242526[[#This Row],[Name Surname]],Manpower!$C$4:$C$1048576,Manpower!$H$4:$H$1048576,"")</f>
        <v>Manpower</v>
      </c>
      <c r="J209" s="21" t="s">
        <v>35</v>
      </c>
      <c r="K209" s="21" t="s">
        <v>98</v>
      </c>
      <c r="L209" s="21" t="s">
        <v>82</v>
      </c>
      <c r="M209" s="21" t="s">
        <v>55</v>
      </c>
      <c r="N209" s="29">
        <v>10</v>
      </c>
      <c r="R209" s="21" t="s">
        <v>227</v>
      </c>
    </row>
    <row r="210" spans="1:18" ht="14.4" hidden="1">
      <c r="A210" s="33">
        <f>IF(C210="","",MAX($A$1:A209)+1)</f>
        <v>195</v>
      </c>
      <c r="B210" s="26" t="s">
        <v>79</v>
      </c>
      <c r="C210" s="23">
        <v>46083</v>
      </c>
      <c r="D210" s="24" t="str">
        <f>_xlfn.XLOOKUP(Table134526_79101120212223242526[[#This Row],[Name Surname]],Manpower!$C$4:$C$1048576,Manpower!$B$4:$B$1048576,"")</f>
        <v>Encogroup</v>
      </c>
      <c r="E210" s="23" t="s">
        <v>125</v>
      </c>
      <c r="F210" s="12">
        <f>_xlfn.XLOOKUP(Table134526_79101120212223242526[[#This Row],[Name Surname]],Manpower!C:C,Manpower!D:D,)</f>
        <v>141169028</v>
      </c>
      <c r="G210" s="24" t="str">
        <f>_xlfn.XLOOKUP(Table134526_79101120212223242526[[#This Row],[Name Surname]],Manpower!$C$4:$C$1048576,Manpower!$F$4:$F$1048576,"")</f>
        <v>Welder</v>
      </c>
      <c r="H210" s="24" t="str">
        <f>_xlfn.XLOOKUP(Table134526_79101120212223242526[[#This Row],[Name Surname]],Manpower!$C$4:$C$1048576,Manpower!$H$4:$H$1048576,"")</f>
        <v>Manpower</v>
      </c>
      <c r="I210" s="24" t="str">
        <f>_xlfn.XLOOKUP(Table134526_79101120212223242526[[#This Row],[Name Surname]],Manpower!$C$4:$C$1048576,Manpower!$H$4:$H$1048576,"")</f>
        <v>Manpower</v>
      </c>
      <c r="J210" s="21" t="s">
        <v>35</v>
      </c>
      <c r="K210" s="21" t="s">
        <v>104</v>
      </c>
      <c r="L210" s="21" t="s">
        <v>82</v>
      </c>
      <c r="M210" s="21" t="s">
        <v>55</v>
      </c>
      <c r="N210" s="29">
        <v>10</v>
      </c>
      <c r="R210" s="21" t="s">
        <v>227</v>
      </c>
    </row>
    <row r="211" spans="1:18" ht="14.4" hidden="1">
      <c r="A211" s="33">
        <f>IF(C211="","",MAX($A$1:A210)+1)</f>
        <v>196</v>
      </c>
      <c r="B211" s="26" t="s">
        <v>79</v>
      </c>
      <c r="C211" s="23">
        <v>46083</v>
      </c>
      <c r="D211" s="24" t="str">
        <f>_xlfn.XLOOKUP(Table134526_79101120212223242526[[#This Row],[Name Surname]],Manpower!$C$4:$C$1048576,Manpower!$B$4:$B$1048576,"")</f>
        <v>Encogroup</v>
      </c>
      <c r="E211" s="23" t="s">
        <v>126</v>
      </c>
      <c r="F211" s="12">
        <f>_xlfn.XLOOKUP(Table134526_79101120212223242526[[#This Row],[Name Surname]],Manpower!C:C,Manpower!D:D,)</f>
        <v>140805568</v>
      </c>
      <c r="G211" s="24" t="str">
        <f>_xlfn.XLOOKUP(Table134526_79101120212223242526[[#This Row],[Name Surname]],Manpower!$C$4:$C$1048576,Manpower!$F$4:$F$1048576,"")</f>
        <v>Assistant/Helper</v>
      </c>
      <c r="H211" s="24" t="str">
        <f>_xlfn.XLOOKUP(Table134526_79101120212223242526[[#This Row],[Name Surname]],Manpower!$C$4:$C$1048576,Manpower!$H$4:$H$1048576,"")</f>
        <v>Manpower</v>
      </c>
      <c r="I211" s="24" t="str">
        <f>_xlfn.XLOOKUP(Table134526_79101120212223242526[[#This Row],[Name Surname]],Manpower!$C$4:$C$1048576,Manpower!$H$4:$H$1048576,"")</f>
        <v>Manpower</v>
      </c>
      <c r="J211" s="21" t="s">
        <v>35</v>
      </c>
      <c r="K211" s="21" t="s">
        <v>127</v>
      </c>
      <c r="L211" s="21" t="s">
        <v>82</v>
      </c>
      <c r="M211" s="21" t="s">
        <v>55</v>
      </c>
      <c r="N211" s="29">
        <v>10</v>
      </c>
      <c r="R211" s="21" t="s">
        <v>227</v>
      </c>
    </row>
    <row r="212" spans="1:18" ht="14.4" hidden="1">
      <c r="A212" s="33">
        <f>IF(C212="","",MAX($A$1:A211)+1)</f>
        <v>197</v>
      </c>
      <c r="B212" s="26" t="s">
        <v>79</v>
      </c>
      <c r="C212" s="23">
        <v>46083</v>
      </c>
      <c r="D212" s="24" t="str">
        <f>_xlfn.XLOOKUP(Table134526_79101120212223242526[[#This Row],[Name Surname]],Manpower!$C$4:$C$1048576,Manpower!$B$4:$B$1048576,"")</f>
        <v>AL Saif &amp; Al QALLM ENT LLC</v>
      </c>
      <c r="E212" s="23" t="s">
        <v>130</v>
      </c>
      <c r="F212" s="12">
        <f>_xlfn.XLOOKUP(Table134526_79101120212223242526[[#This Row],[Name Surname]],Manpower!C:C,Manpower!D:D,)</f>
        <v>76647648</v>
      </c>
      <c r="G212" s="24" t="str">
        <f>_xlfn.XLOOKUP(Table134526_79101120212223242526[[#This Row],[Name Surname]],Manpower!$C$4:$C$1048576,Manpower!$F$4:$F$1048576,"")</f>
        <v>RIgger</v>
      </c>
      <c r="H212" s="24" t="str">
        <f>_xlfn.XLOOKUP(Table134526_79101120212223242526[[#This Row],[Name Surname]],Manpower!$C$4:$C$1048576,Manpower!$H$4:$H$1048576,"")</f>
        <v>Sub Contactor</v>
      </c>
      <c r="I212" s="24" t="str">
        <f>_xlfn.XLOOKUP(Table134526_79101120212223242526[[#This Row],[Name Surname]],Manpower!$C$4:$C$1048576,Manpower!$H$4:$H$1048576,"")</f>
        <v>Sub Contactor</v>
      </c>
      <c r="J212" s="21" t="s">
        <v>35</v>
      </c>
      <c r="K212" s="21" t="s">
        <v>104</v>
      </c>
      <c r="L212" s="21" t="s">
        <v>82</v>
      </c>
      <c r="M212" s="21" t="s">
        <v>55</v>
      </c>
      <c r="N212" s="29">
        <v>10</v>
      </c>
      <c r="R212" s="21" t="s">
        <v>227</v>
      </c>
    </row>
    <row r="213" spans="1:18" ht="14.4" hidden="1">
      <c r="A213" s="33">
        <f>IF(C213="","",MAX($A$1:A212)+1)</f>
        <v>198</v>
      </c>
      <c r="B213" s="26" t="s">
        <v>79</v>
      </c>
      <c r="C213" s="23">
        <v>46083</v>
      </c>
      <c r="D213" s="24" t="str">
        <f>_xlfn.XLOOKUP(Table134526_79101120212223242526[[#This Row],[Name Surname]],Manpower!$C$4:$C$1048576,Manpower!$B$4:$B$1048576,"")</f>
        <v>Rabwu Ahamal AL Khaleej Trad</v>
      </c>
      <c r="E213" s="23" t="s">
        <v>131</v>
      </c>
      <c r="F213" s="12">
        <f>_xlfn.XLOOKUP(Table134526_79101120212223242526[[#This Row],[Name Surname]],Manpower!C:C,Manpower!D:D,)</f>
        <v>131431131</v>
      </c>
      <c r="G213" s="24" t="str">
        <f>_xlfn.XLOOKUP(Table134526_79101120212223242526[[#This Row],[Name Surname]],Manpower!$C$4:$C$1048576,Manpower!$F$4:$F$1048576,"")</f>
        <v>RIgger</v>
      </c>
      <c r="H213" s="24" t="str">
        <f>_xlfn.XLOOKUP(Table134526_79101120212223242526[[#This Row],[Name Surname]],Manpower!$C$4:$C$1048576,Manpower!$H$4:$H$1048576,"")</f>
        <v>Sub Contactor</v>
      </c>
      <c r="I213" s="24" t="str">
        <f>_xlfn.XLOOKUP(Table134526_79101120212223242526[[#This Row],[Name Surname]],Manpower!$C$4:$C$1048576,Manpower!$H$4:$H$1048576,"")</f>
        <v>Sub Contactor</v>
      </c>
      <c r="J213" s="21" t="s">
        <v>35</v>
      </c>
      <c r="K213" s="21" t="s">
        <v>104</v>
      </c>
      <c r="L213" s="21" t="s">
        <v>82</v>
      </c>
      <c r="M213" s="21" t="s">
        <v>55</v>
      </c>
      <c r="N213" s="29">
        <v>10</v>
      </c>
      <c r="R213" s="21" t="s">
        <v>227</v>
      </c>
    </row>
    <row r="214" spans="1:18" ht="14.4" hidden="1">
      <c r="A214" s="33">
        <f>IF(C214="","",MAX($A$1:A213)+1)</f>
        <v>199</v>
      </c>
      <c r="B214" s="26" t="s">
        <v>79</v>
      </c>
      <c r="C214" s="23">
        <v>46083</v>
      </c>
      <c r="D214" s="24" t="str">
        <f>_xlfn.XLOOKUP(Table134526_79101120212223242526[[#This Row],[Name Surname]],Manpower!$C$4:$C$1048576,Manpower!$B$4:$B$1048576,"")</f>
        <v>AL Saif &amp; Al QALLM ENT LLC</v>
      </c>
      <c r="E214" s="23" t="s">
        <v>132</v>
      </c>
      <c r="F214" s="12">
        <f>_xlfn.XLOOKUP(Table134526_79101120212223242526[[#This Row],[Name Surname]],Manpower!C:C,Manpower!D:D,)</f>
        <v>135762195</v>
      </c>
      <c r="G214" s="24" t="str">
        <f>_xlfn.XLOOKUP(Table134526_79101120212223242526[[#This Row],[Name Surname]],Manpower!$C$4:$C$1048576,Manpower!$F$4:$F$1048576,"")</f>
        <v>HSE Officer</v>
      </c>
      <c r="H214" s="24" t="str">
        <f>_xlfn.XLOOKUP(Table134526_79101120212223242526[[#This Row],[Name Surname]],Manpower!$C$4:$C$1048576,Manpower!$H$4:$H$1048576,"")</f>
        <v>Sub Contactor</v>
      </c>
      <c r="I214" s="24" t="str">
        <f>_xlfn.XLOOKUP(Table134526_79101120212223242526[[#This Row],[Name Surname]],Manpower!$C$4:$C$1048576,Manpower!$H$4:$H$1048576,"")</f>
        <v>Sub Contactor</v>
      </c>
      <c r="J214" s="21" t="s">
        <v>35</v>
      </c>
      <c r="K214" s="21" t="s">
        <v>81</v>
      </c>
      <c r="L214" s="21" t="s">
        <v>82</v>
      </c>
      <c r="M214" s="21" t="s">
        <v>55</v>
      </c>
      <c r="N214" s="29">
        <v>10</v>
      </c>
      <c r="R214" s="21" t="s">
        <v>227</v>
      </c>
    </row>
    <row r="215" spans="1:18" ht="14.4" hidden="1">
      <c r="A215" s="33">
        <f>IF(C215="","",MAX($A$1:A214)+1)</f>
        <v>200</v>
      </c>
      <c r="B215" s="26" t="s">
        <v>79</v>
      </c>
      <c r="C215" s="23">
        <v>46083</v>
      </c>
      <c r="D215" s="24" t="str">
        <f>_xlfn.XLOOKUP(Table134526_79101120212223242526[[#This Row],[Name Surname]],Manpower!$C$4:$C$1048576,Manpower!$B$4:$B$1048576,"")</f>
        <v>Encogroup</v>
      </c>
      <c r="E215" s="23" t="s">
        <v>133</v>
      </c>
      <c r="F215" s="12">
        <f>_xlfn.XLOOKUP(Table134526_79101120212223242526[[#This Row],[Name Surname]],Manpower!C:C,Manpower!D:D,)</f>
        <v>140846684</v>
      </c>
      <c r="G215" s="24" t="str">
        <f>_xlfn.XLOOKUP(Table134526_79101120212223242526[[#This Row],[Name Surname]],Manpower!$C$4:$C$1048576,Manpower!$F$4:$F$1048576,"")</f>
        <v>Assistant/Helper</v>
      </c>
      <c r="H215" s="24" t="str">
        <f>_xlfn.XLOOKUP(Table134526_79101120212223242526[[#This Row],[Name Surname]],Manpower!$C$4:$C$1048576,Manpower!$H$4:$H$1048576,"")</f>
        <v>Manpower</v>
      </c>
      <c r="I215" s="24" t="str">
        <f>_xlfn.XLOOKUP(Table134526_79101120212223242526[[#This Row],[Name Surname]],Manpower!$C$4:$C$1048576,Manpower!$H$4:$H$1048576,"")</f>
        <v>Manpower</v>
      </c>
      <c r="J215" s="21" t="s">
        <v>35</v>
      </c>
      <c r="K215" s="21" t="s">
        <v>81</v>
      </c>
      <c r="L215" s="21" t="s">
        <v>82</v>
      </c>
      <c r="M215" s="21" t="s">
        <v>55</v>
      </c>
      <c r="N215" s="29">
        <v>10</v>
      </c>
      <c r="R215" s="21" t="s">
        <v>227</v>
      </c>
    </row>
    <row r="216" spans="1:18" ht="14.4" hidden="1">
      <c r="A216" s="33">
        <f>IF(C216="","",MAX($A$1:A215)+1)</f>
        <v>201</v>
      </c>
      <c r="B216" s="26" t="s">
        <v>79</v>
      </c>
      <c r="C216" s="23">
        <v>46083</v>
      </c>
      <c r="D216" s="24" t="str">
        <f>_xlfn.XLOOKUP(Table134526_79101120212223242526[[#This Row],[Name Surname]],Manpower!$C$4:$C$1048576,Manpower!$B$4:$B$1048576,"")</f>
        <v>Encogroup</v>
      </c>
      <c r="E216" s="23" t="s">
        <v>136</v>
      </c>
      <c r="F216" s="12">
        <f>_xlfn.XLOOKUP(Table134526_79101120212223242526[[#This Row],[Name Surname]],Manpower!C:C,Manpower!D:D,)</f>
        <v>141250908</v>
      </c>
      <c r="G216" s="24" t="str">
        <f>_xlfn.XLOOKUP(Table134526_79101120212223242526[[#This Row],[Name Surname]],Manpower!$C$4:$C$1048576,Manpower!$F$4:$F$1048576,"")</f>
        <v>Mechanical Engineer</v>
      </c>
      <c r="H216" s="24" t="str">
        <f>_xlfn.XLOOKUP(Table134526_79101120212223242526[[#This Row],[Name Surname]],Manpower!$C$4:$C$1048576,Manpower!$H$4:$H$1048576,"")</f>
        <v>Manpower</v>
      </c>
      <c r="I216" s="24" t="str">
        <f>_xlfn.XLOOKUP(Table134526_79101120212223242526[[#This Row],[Name Surname]],Manpower!$C$4:$C$1048576,Manpower!$H$4:$H$1048576,"")</f>
        <v>Manpower</v>
      </c>
      <c r="J216" s="21" t="s">
        <v>35</v>
      </c>
      <c r="K216" s="21" t="s">
        <v>81</v>
      </c>
      <c r="L216" s="21" t="s">
        <v>82</v>
      </c>
      <c r="M216" s="21" t="s">
        <v>55</v>
      </c>
      <c r="N216" s="29">
        <v>10</v>
      </c>
      <c r="R216" s="21" t="s">
        <v>227</v>
      </c>
    </row>
    <row r="217" spans="1:18" ht="14.4">
      <c r="A217" s="33">
        <f>IF(C217="","",MAX($A$1:A216)+1)</f>
        <v>202</v>
      </c>
      <c r="B217" s="26" t="s">
        <v>79</v>
      </c>
      <c r="C217" s="23">
        <v>46083</v>
      </c>
      <c r="D217" s="24" t="str">
        <f>_xlfn.XLOOKUP(Table134526_79101120212223242526[[#This Row],[Name Surname]],Manpower!$C$4:$C$1048576,Manpower!$B$4:$B$1048576,"")</f>
        <v>Encogroup</v>
      </c>
      <c r="E217" s="23" t="s">
        <v>137</v>
      </c>
      <c r="F217" s="12" t="e">
        <f>_xlfn.XLOOKUP(Table134526_79101120212223242526[[#This Row],[Name Surname]],Manpower!C:C,Manpower!D:D,)</f>
        <v>#N/A</v>
      </c>
      <c r="G217" s="24" t="str">
        <f>_xlfn.XLOOKUP(Table134526_79101120212223242526[[#This Row],[Name Surname]],Manpower!$C$4:$C$1048576,Manpower!$F$4:$F$1048576,"")</f>
        <v>55 Seat Bus</v>
      </c>
      <c r="H217" s="24" t="str">
        <f>_xlfn.XLOOKUP(Table134526_79101120212223242526[[#This Row],[Name Surname]],Manpower!$C$4:$C$1048576,Manpower!$H$4:$H$1048576,"")</f>
        <v>Equipment</v>
      </c>
      <c r="I217" s="24" t="str">
        <f>_xlfn.XLOOKUP(Table134526_79101120212223242526[[#This Row],[Name Surname]],Manpower!$C$4:$C$1048576,Manpower!$H$4:$H$1048576,"")</f>
        <v>Equipment</v>
      </c>
      <c r="J217" s="21" t="s">
        <v>35</v>
      </c>
      <c r="K217" s="21" t="s">
        <v>81</v>
      </c>
      <c r="L217" s="21" t="s">
        <v>82</v>
      </c>
      <c r="M217" s="21" t="s">
        <v>55</v>
      </c>
      <c r="N217" s="29">
        <v>10</v>
      </c>
      <c r="R217" s="21" t="s">
        <v>227</v>
      </c>
    </row>
    <row r="218" spans="1:18" ht="14.4">
      <c r="A218" s="33">
        <f>IF(C218="","",MAX($A$1:A216)+1)</f>
        <v>202</v>
      </c>
      <c r="B218" s="26" t="s">
        <v>79</v>
      </c>
      <c r="C218" s="23">
        <v>46083</v>
      </c>
      <c r="D218" s="24" t="str">
        <f>_xlfn.XLOOKUP(Table134526_79101120212223242526[[#This Row],[Name Surname]],Manpower!$C$4:$C$1048576,Manpower!$B$4:$B$1048576,"")</f>
        <v>Encogroup</v>
      </c>
      <c r="E218" s="23" t="s">
        <v>139</v>
      </c>
      <c r="F218" s="12" t="e">
        <f>_xlfn.XLOOKUP(Table134526_79101120212223242526[[#This Row],[Name Surname]],Manpower!C:C,Manpower!D:D,)</f>
        <v>#N/A</v>
      </c>
      <c r="G218" s="24" t="str">
        <f>_xlfn.XLOOKUP(Table134526_79101120212223242526[[#This Row],[Name Surname]],Manpower!$C$4:$C$1048576,Manpower!$F$4:$F$1048576,"")</f>
        <v>TOWER LIGHT</v>
      </c>
      <c r="H218" s="24" t="str">
        <f>_xlfn.XLOOKUP(Table134526_79101120212223242526[[#This Row],[Name Surname]],Manpower!$C$4:$C$1048576,Manpower!$H$4:$H$1048576,"")</f>
        <v>Equipment</v>
      </c>
      <c r="I218" s="24" t="str">
        <f>_xlfn.XLOOKUP(Table134526_79101120212223242526[[#This Row],[Name Surname]],Manpower!$C$4:$C$1048576,Manpower!$H$4:$H$1048576,"")</f>
        <v>Equipment</v>
      </c>
      <c r="J218" s="21" t="s">
        <v>35</v>
      </c>
      <c r="K218" s="21" t="s">
        <v>81</v>
      </c>
      <c r="L218" s="21" t="s">
        <v>82</v>
      </c>
      <c r="M218" s="21" t="s">
        <v>55</v>
      </c>
      <c r="N218" s="29">
        <v>10</v>
      </c>
      <c r="R218" s="21" t="s">
        <v>227</v>
      </c>
    </row>
    <row r="219" spans="1:18" ht="14.4">
      <c r="A219" s="33">
        <f>IF(C219="","",MAX($A$1:A218)+1)</f>
        <v>203</v>
      </c>
      <c r="B219" s="27" t="s">
        <v>141</v>
      </c>
      <c r="C219" s="23">
        <v>46083</v>
      </c>
      <c r="D219" s="24" t="str">
        <f>_xlfn.XLOOKUP(Table134526_79101120212223242526[[#This Row],[Name Surname]],Manpower!$C$4:$C$1048576,Manpower!$B$4:$B$1048576,"")</f>
        <v>Encogroup</v>
      </c>
      <c r="E219" s="23" t="s">
        <v>142</v>
      </c>
      <c r="F219" s="12" t="e">
        <f>_xlfn.XLOOKUP(Table134526_79101120212223242526[[#This Row],[Name Surname]],Manpower!C:C,Manpower!D:D,)</f>
        <v>#N/A</v>
      </c>
      <c r="G219" s="24" t="str">
        <f>_xlfn.XLOOKUP(Table134526_79101120212223242526[[#This Row],[Name Surname]],Manpower!$C$4:$C$1048576,Manpower!$F$4:$F$1048576,"")</f>
        <v>13 Seat Bus</v>
      </c>
      <c r="H219" s="24" t="str">
        <f>_xlfn.XLOOKUP(Table134526_79101120212223242526[[#This Row],[Name Surname]],Manpower!$C$4:$C$1048576,Manpower!$H$4:$H$1048576,"")</f>
        <v>Equipment</v>
      </c>
      <c r="I219" s="24" t="str">
        <f>_xlfn.XLOOKUP(Table134526_79101120212223242526[[#This Row],[Name Surname]],Manpower!$C$4:$C$1048576,Manpower!$H$4:$H$1048576,"")</f>
        <v>Equipment</v>
      </c>
      <c r="J219" s="21" t="s">
        <v>143</v>
      </c>
      <c r="K219" s="21" t="s">
        <v>26</v>
      </c>
      <c r="L219" s="21" t="s">
        <v>144</v>
      </c>
      <c r="M219" s="21" t="s">
        <v>55</v>
      </c>
      <c r="N219" s="29">
        <v>10</v>
      </c>
      <c r="R219" s="21" t="s">
        <v>227</v>
      </c>
    </row>
    <row r="220" spans="1:18" ht="14.4">
      <c r="A220" s="33">
        <f>IF(C220="","",MAX($A$1:A219)+1)</f>
        <v>204</v>
      </c>
      <c r="B220" s="27" t="s">
        <v>141</v>
      </c>
      <c r="C220" s="23">
        <v>46083</v>
      </c>
      <c r="D220" s="24" t="str">
        <f>_xlfn.XLOOKUP(Table134526_79101120212223242526[[#This Row],[Name Surname]],Manpower!$C$4:$C$1048576,Manpower!$B$4:$B$1048576,"")</f>
        <v>Encogroup</v>
      </c>
      <c r="E220" s="23" t="s">
        <v>145</v>
      </c>
      <c r="F220" s="12" t="e">
        <f>_xlfn.XLOOKUP(Table134526_79101120212223242526[[#This Row],[Name Surname]],Manpower!C:C,Manpower!D:D,)</f>
        <v>#N/A</v>
      </c>
      <c r="G220" s="24" t="str">
        <f>_xlfn.XLOOKUP(Table134526_79101120212223242526[[#This Row],[Name Surname]],Manpower!$C$4:$C$1048576,Manpower!$F$4:$F$1048576,"")</f>
        <v>15 Seat Bus</v>
      </c>
      <c r="H220" s="24" t="str">
        <f>_xlfn.XLOOKUP(Table134526_79101120212223242526[[#This Row],[Name Surname]],Manpower!$C$4:$C$1048576,Manpower!$H$4:$H$1048576,"")</f>
        <v>Equipment</v>
      </c>
      <c r="I220" s="24" t="str">
        <f>_xlfn.XLOOKUP(Table134526_79101120212223242526[[#This Row],[Name Surname]],Manpower!$C$4:$C$1048576,Manpower!$H$4:$H$1048576,"")</f>
        <v>Equipment</v>
      </c>
      <c r="J220" s="21" t="s">
        <v>143</v>
      </c>
      <c r="K220" s="21" t="s">
        <v>26</v>
      </c>
      <c r="L220" s="21" t="s">
        <v>144</v>
      </c>
      <c r="M220" s="21" t="s">
        <v>55</v>
      </c>
      <c r="N220" s="29">
        <v>10</v>
      </c>
      <c r="R220" s="21" t="s">
        <v>227</v>
      </c>
    </row>
    <row r="221" spans="1:18" ht="14.4">
      <c r="A221" s="33">
        <f>IF(C221="","",MAX($A$1:A219)+1)</f>
        <v>204</v>
      </c>
      <c r="B221" s="27" t="s">
        <v>141</v>
      </c>
      <c r="C221" s="23">
        <v>46083</v>
      </c>
      <c r="D221" s="24" t="str">
        <f>_xlfn.XLOOKUP(Table134526_79101120212223242526[[#This Row],[Name Surname]],Manpower!$C$4:$C$1048576,Manpower!$B$4:$B$1048576,"")</f>
        <v>Nass Group</v>
      </c>
      <c r="E221" s="23" t="s">
        <v>146</v>
      </c>
      <c r="F221" s="12" t="e">
        <f>_xlfn.XLOOKUP(Table134526_79101120212223242526[[#This Row],[Name Surname]],Manpower!C:C,Manpower!D:D,)</f>
        <v>#N/A</v>
      </c>
      <c r="G221" s="24" t="str">
        <f>_xlfn.XLOOKUP(Table134526_79101120212223242526[[#This Row],[Name Surname]],Manpower!$C$4:$C$1048576,Manpower!$F$4:$F$1048576,"")</f>
        <v>130T Crawler Crane</v>
      </c>
      <c r="H221" s="24" t="str">
        <f>_xlfn.XLOOKUP(Table134526_79101120212223242526[[#This Row],[Name Surname]],Manpower!$C$4:$C$1048576,Manpower!$H$4:$H$1048576,"")</f>
        <v>Equipment</v>
      </c>
      <c r="I221" s="24" t="str">
        <f>_xlfn.XLOOKUP(Table134526_79101120212223242526[[#This Row],[Name Surname]],Manpower!$C$4:$C$1048576,Manpower!$H$4:$H$1048576,"")</f>
        <v>Equipment</v>
      </c>
      <c r="J221" s="21" t="s">
        <v>143</v>
      </c>
      <c r="K221" s="21" t="s">
        <v>26</v>
      </c>
      <c r="L221" s="21" t="s">
        <v>144</v>
      </c>
      <c r="M221" s="21" t="s">
        <v>55</v>
      </c>
      <c r="N221" s="29">
        <v>10</v>
      </c>
      <c r="R221" s="21" t="s">
        <v>227</v>
      </c>
    </row>
    <row r="222" spans="1:18" ht="14.4">
      <c r="A222" s="33">
        <f>IF(C222="","",MAX($A$1:A221)+1)</f>
        <v>205</v>
      </c>
      <c r="B222" s="27" t="s">
        <v>141</v>
      </c>
      <c r="C222" s="23">
        <v>46083</v>
      </c>
      <c r="D222" s="24" t="str">
        <f>_xlfn.XLOOKUP(Table134526_79101120212223242526[[#This Row],[Name Surname]],Manpower!$C$4:$C$1048576,Manpower!$B$4:$B$1048576,"")</f>
        <v>Nass Group</v>
      </c>
      <c r="E222" s="23" t="s">
        <v>148</v>
      </c>
      <c r="F222" s="12" t="e">
        <f>_xlfn.XLOOKUP(Table134526_79101120212223242526[[#This Row],[Name Surname]],Manpower!C:C,Manpower!D:D,)</f>
        <v>#N/A</v>
      </c>
      <c r="G222" s="24" t="str">
        <f>_xlfn.XLOOKUP(Table134526_79101120212223242526[[#This Row],[Name Surname]],Manpower!$C$4:$C$1048576,Manpower!$F$4:$F$1048576,"")</f>
        <v>70T-Telescopic crane</v>
      </c>
      <c r="H222" s="24" t="str">
        <f>_xlfn.XLOOKUP(Table134526_79101120212223242526[[#This Row],[Name Surname]],Manpower!$C$4:$C$1048576,Manpower!$H$4:$H$1048576,"")</f>
        <v>Equipment</v>
      </c>
      <c r="I222" s="24" t="str">
        <f>_xlfn.XLOOKUP(Table134526_79101120212223242526[[#This Row],[Name Surname]],Manpower!$C$4:$C$1048576,Manpower!$H$4:$H$1048576,"")</f>
        <v>Equipment</v>
      </c>
      <c r="J222" s="21" t="s">
        <v>143</v>
      </c>
      <c r="K222" s="21" t="s">
        <v>26</v>
      </c>
      <c r="L222" s="21" t="s">
        <v>144</v>
      </c>
      <c r="M222" s="21" t="s">
        <v>55</v>
      </c>
      <c r="N222" s="29">
        <v>10</v>
      </c>
      <c r="R222" s="21" t="s">
        <v>227</v>
      </c>
    </row>
    <row r="223" spans="1:18" ht="14.4">
      <c r="A223" s="33">
        <f>IF(C223="","",MAX($A$1:A222)+1)</f>
        <v>206</v>
      </c>
      <c r="B223" s="27" t="s">
        <v>141</v>
      </c>
      <c r="C223" s="23">
        <v>46083</v>
      </c>
      <c r="D223" s="24" t="str">
        <f>_xlfn.XLOOKUP(Table134526_79101120212223242526[[#This Row],[Name Surname]],Manpower!$C$4:$C$1048576,Manpower!$B$4:$B$1048576,"")</f>
        <v>Encogroup</v>
      </c>
      <c r="E223" s="23" t="s">
        <v>150</v>
      </c>
      <c r="F223" s="12" t="e">
        <f>_xlfn.XLOOKUP(Table134526_79101120212223242526[[#This Row],[Name Surname]],Manpower!C:C,Manpower!D:D,)</f>
        <v>#N/A</v>
      </c>
      <c r="G223" s="24" t="str">
        <f>_xlfn.XLOOKUP(Table134526_79101120212223242526[[#This Row],[Name Surname]],Manpower!$C$4:$C$1048576,Manpower!$F$4:$F$1048576,"")</f>
        <v>14T Fork lift</v>
      </c>
      <c r="H223" s="24" t="str">
        <f>_xlfn.XLOOKUP(Table134526_79101120212223242526[[#This Row],[Name Surname]],Manpower!$C$4:$C$1048576,Manpower!$H$4:$H$1048576,"")</f>
        <v>Equipment</v>
      </c>
      <c r="I223" s="24" t="str">
        <f>_xlfn.XLOOKUP(Table134526_79101120212223242526[[#This Row],[Name Surname]],Manpower!$C$4:$C$1048576,Manpower!$H$4:$H$1048576,"")</f>
        <v>Equipment</v>
      </c>
      <c r="J223" s="21" t="s">
        <v>143</v>
      </c>
      <c r="K223" s="21" t="s">
        <v>26</v>
      </c>
      <c r="L223" s="21" t="s">
        <v>144</v>
      </c>
      <c r="M223" s="21" t="s">
        <v>55</v>
      </c>
      <c r="N223" s="29">
        <v>10</v>
      </c>
      <c r="R223" s="21" t="s">
        <v>227</v>
      </c>
    </row>
    <row r="224" spans="1:18" ht="14.4">
      <c r="A224" s="33">
        <f>IF(C224="","",MAX($A$1:A223)+1)</f>
        <v>207</v>
      </c>
      <c r="B224" s="27" t="s">
        <v>141</v>
      </c>
      <c r="C224" s="23">
        <v>46083</v>
      </c>
      <c r="D224" s="24" t="str">
        <f>_xlfn.XLOOKUP(Table134526_79101120212223242526[[#This Row],[Name Surname]],Manpower!$C$4:$C$1048576,Manpower!$B$4:$B$1048576,"")</f>
        <v>Al Jaber Heavy Lift</v>
      </c>
      <c r="E224" s="23" t="s">
        <v>151</v>
      </c>
      <c r="F224" s="12" t="e">
        <f>_xlfn.XLOOKUP(Table134526_79101120212223242526[[#This Row],[Name Surname]],Manpower!C:C,Manpower!D:D,)</f>
        <v>#N/A</v>
      </c>
      <c r="G224" s="24" t="str">
        <f>_xlfn.XLOOKUP(Table134526_79101120212223242526[[#This Row],[Name Surname]],Manpower!$C$4:$C$1048576,Manpower!$F$4:$F$1048576,"")</f>
        <v>150T-Crawler Crane</v>
      </c>
      <c r="H224" s="24" t="str">
        <f>_xlfn.XLOOKUP(Table134526_79101120212223242526[[#This Row],[Name Surname]],Manpower!$C$4:$C$1048576,Manpower!$H$4:$H$1048576,"")</f>
        <v>Equipment</v>
      </c>
      <c r="I224" s="24" t="str">
        <f>_xlfn.XLOOKUP(Table134526_79101120212223242526[[#This Row],[Name Surname]],Manpower!$C$4:$C$1048576,Manpower!$H$4:$H$1048576,"")</f>
        <v>Equipment</v>
      </c>
      <c r="J224" s="21" t="s">
        <v>143</v>
      </c>
      <c r="K224" s="21" t="s">
        <v>26</v>
      </c>
      <c r="L224" s="21" t="s">
        <v>144</v>
      </c>
      <c r="M224" s="21" t="s">
        <v>55</v>
      </c>
      <c r="N224" s="29">
        <v>10</v>
      </c>
      <c r="R224" s="21" t="s">
        <v>227</v>
      </c>
    </row>
    <row r="225" spans="1:18" ht="14.4">
      <c r="A225" s="33">
        <f>IF(C225="","",MAX($A$1:A224)+1)</f>
        <v>208</v>
      </c>
      <c r="B225" s="27" t="s">
        <v>141</v>
      </c>
      <c r="C225" s="23">
        <v>46083</v>
      </c>
      <c r="D225" s="24" t="str">
        <f>_xlfn.XLOOKUP(Table134526_79101120212223242526[[#This Row],[Name Surname]],Manpower!$C$4:$C$1048576,Manpower!$B$4:$B$1048576,"")</f>
        <v>Encogroup</v>
      </c>
      <c r="E225" s="23" t="s">
        <v>153</v>
      </c>
      <c r="F225" s="12" t="e">
        <f>_xlfn.XLOOKUP(Table134526_79101120212223242526[[#This Row],[Name Surname]],Manpower!C:C,Manpower!D:D,)</f>
        <v>#N/A</v>
      </c>
      <c r="G225" s="24" t="str">
        <f>_xlfn.XLOOKUP(Table134526_79101120212223242526[[#This Row],[Name Surname]],Manpower!$C$4:$C$1048576,Manpower!$F$4:$F$1048576,"")</f>
        <v>22 Seat Bus</v>
      </c>
      <c r="H225" s="24" t="str">
        <f>_xlfn.XLOOKUP(Table134526_79101120212223242526[[#This Row],[Name Surname]],Manpower!$C$4:$C$1048576,Manpower!$H$4:$H$1048576,"")</f>
        <v>Equipment</v>
      </c>
      <c r="I225" s="24" t="str">
        <f>_xlfn.XLOOKUP(Table134526_79101120212223242526[[#This Row],[Name Surname]],Manpower!$C$4:$C$1048576,Manpower!$H$4:$H$1048576,"")</f>
        <v>Equipment</v>
      </c>
      <c r="J225" s="21" t="s">
        <v>143</v>
      </c>
      <c r="K225" s="21" t="s">
        <v>26</v>
      </c>
      <c r="L225" s="21" t="s">
        <v>144</v>
      </c>
      <c r="M225" s="21" t="s">
        <v>55</v>
      </c>
      <c r="N225" s="29">
        <v>10</v>
      </c>
      <c r="R225" s="21" t="s">
        <v>227</v>
      </c>
    </row>
    <row r="226" spans="1:18" ht="14.4">
      <c r="A226" s="33">
        <f>IF(C226="","",MAX($A$1:A225)+1)</f>
        <v>209</v>
      </c>
      <c r="B226" s="27" t="s">
        <v>141</v>
      </c>
      <c r="C226" s="23">
        <v>46083</v>
      </c>
      <c r="D226" s="24" t="str">
        <f>_xlfn.XLOOKUP(Table134526_79101120212223242526[[#This Row],[Name Surname]],Manpower!$C$4:$C$1048576,Manpower!$B$4:$B$1048576,"")</f>
        <v>Encogroup</v>
      </c>
      <c r="E226" s="23" t="s">
        <v>154</v>
      </c>
      <c r="F226" s="12" t="e">
        <f>_xlfn.XLOOKUP(Table134526_79101120212223242526[[#This Row],[Name Surname]],Manpower!C:C,Manpower!D:D,)</f>
        <v>#N/A</v>
      </c>
      <c r="G226" s="24" t="str">
        <f>_xlfn.XLOOKUP(Table134526_79101120212223242526[[#This Row],[Name Surname]],Manpower!$C$4:$C$1048576,Manpower!$F$4:$F$1048576,"")</f>
        <v>22 Seat Bus</v>
      </c>
      <c r="H226" s="24" t="str">
        <f>_xlfn.XLOOKUP(Table134526_79101120212223242526[[#This Row],[Name Surname]],Manpower!$C$4:$C$1048576,Manpower!$H$4:$H$1048576,"")</f>
        <v>Equipment</v>
      </c>
      <c r="I226" s="24" t="str">
        <f>_xlfn.XLOOKUP(Table134526_79101120212223242526[[#This Row],[Name Surname]],Manpower!$C$4:$C$1048576,Manpower!$H$4:$H$1048576,"")</f>
        <v>Equipment</v>
      </c>
      <c r="J226" s="21" t="s">
        <v>143</v>
      </c>
      <c r="K226" s="21" t="s">
        <v>26</v>
      </c>
      <c r="L226" s="21" t="s">
        <v>144</v>
      </c>
      <c r="M226" s="21" t="s">
        <v>55</v>
      </c>
      <c r="N226" s="29">
        <v>10</v>
      </c>
      <c r="R226" s="21" t="s">
        <v>227</v>
      </c>
    </row>
    <row r="227" spans="1:18" ht="14.4">
      <c r="A227" s="33">
        <f>IF(C227="","",MAX($A$1:A226)+1)</f>
        <v>210</v>
      </c>
      <c r="B227" s="27" t="s">
        <v>141</v>
      </c>
      <c r="C227" s="23">
        <v>46083</v>
      </c>
      <c r="D227" s="24" t="str">
        <f>_xlfn.XLOOKUP(Table134526_79101120212223242526[[#This Row],[Name Surname]],Manpower!$C$4:$C$1048576,Manpower!$B$4:$B$1048576,"")</f>
        <v>Encogroup</v>
      </c>
      <c r="E227" s="23" t="s">
        <v>155</v>
      </c>
      <c r="F227" s="12" t="e">
        <f>_xlfn.XLOOKUP(Table134526_79101120212223242526[[#This Row],[Name Surname]],Manpower!C:C,Manpower!D:D,)</f>
        <v>#N/A</v>
      </c>
      <c r="G227" s="24" t="str">
        <f>_xlfn.XLOOKUP(Table134526_79101120212223242526[[#This Row],[Name Surname]],Manpower!$C$4:$C$1048576,Manpower!$F$4:$F$1048576,"")</f>
        <v>300 KVA Generator</v>
      </c>
      <c r="H227" s="24" t="str">
        <f>_xlfn.XLOOKUP(Table134526_79101120212223242526[[#This Row],[Name Surname]],Manpower!$C$4:$C$1048576,Manpower!$H$4:$H$1048576,"")</f>
        <v>Equipment</v>
      </c>
      <c r="I227" s="24" t="str">
        <f>_xlfn.XLOOKUP(Table134526_79101120212223242526[[#This Row],[Name Surname]],Manpower!$C$4:$C$1048576,Manpower!$H$4:$H$1048576,"")</f>
        <v>Equipment</v>
      </c>
      <c r="J227" s="21" t="s">
        <v>143</v>
      </c>
      <c r="K227" s="21" t="s">
        <v>26</v>
      </c>
      <c r="L227" s="21" t="s">
        <v>144</v>
      </c>
      <c r="M227" s="21" t="s">
        <v>24</v>
      </c>
      <c r="N227" s="29">
        <v>10</v>
      </c>
      <c r="R227" s="21" t="s">
        <v>227</v>
      </c>
    </row>
    <row r="228" spans="1:18" ht="14.4">
      <c r="A228" s="33">
        <f>IF(C228="","",MAX($A$1:A227)+1)</f>
        <v>211</v>
      </c>
      <c r="B228" s="27" t="s">
        <v>141</v>
      </c>
      <c r="C228" s="23">
        <v>46083</v>
      </c>
      <c r="D228" s="24" t="str">
        <f>_xlfn.XLOOKUP(Table134526_79101120212223242526[[#This Row],[Name Surname]],Manpower!$C$4:$C$1048576,Manpower!$B$4:$B$1048576,"")</f>
        <v>Encogroup</v>
      </c>
      <c r="E228" s="23" t="s">
        <v>156</v>
      </c>
      <c r="F228" s="12" t="e">
        <f>_xlfn.XLOOKUP(Table134526_79101120212223242526[[#This Row],[Name Surname]],Manpower!C:C,Manpower!D:D,)</f>
        <v>#N/A</v>
      </c>
      <c r="G228" s="24" t="str">
        <f>_xlfn.XLOOKUP(Table134526_79101120212223242526[[#This Row],[Name Surname]],Manpower!$C$4:$C$1048576,Manpower!$F$4:$F$1048576,"")</f>
        <v>35 KVA Generator</v>
      </c>
      <c r="H228" s="24" t="str">
        <f>_xlfn.XLOOKUP(Table134526_79101120212223242526[[#This Row],[Name Surname]],Manpower!$C$4:$C$1048576,Manpower!$H$4:$H$1048576,"")</f>
        <v>Equipment</v>
      </c>
      <c r="I228" s="24" t="str">
        <f>_xlfn.XLOOKUP(Table134526_79101120212223242526[[#This Row],[Name Surname]],Manpower!$C$4:$C$1048576,Manpower!$H$4:$H$1048576,"")</f>
        <v>Equipment</v>
      </c>
      <c r="J228" s="21" t="s">
        <v>143</v>
      </c>
      <c r="K228" s="21" t="s">
        <v>26</v>
      </c>
      <c r="L228" s="21" t="s">
        <v>144</v>
      </c>
      <c r="M228" s="21" t="s">
        <v>55</v>
      </c>
      <c r="N228" s="29">
        <v>10</v>
      </c>
      <c r="R228" s="21" t="s">
        <v>227</v>
      </c>
    </row>
    <row r="229" spans="1:18" ht="14.4" hidden="1">
      <c r="A229" s="33">
        <f>IF(C229="","",MAX($A$1:A228)+1)</f>
        <v>212</v>
      </c>
      <c r="B229" s="27" t="s">
        <v>141</v>
      </c>
      <c r="C229" s="23">
        <v>46083</v>
      </c>
      <c r="D229" s="24" t="str">
        <f>_xlfn.XLOOKUP(Table134526_79101120212223242526[[#This Row],[Name Surname]],Manpower!$C$4:$C$1048576,Manpower!$B$4:$B$1048576,"")</f>
        <v>Encogroup</v>
      </c>
      <c r="E229" s="23" t="s">
        <v>157</v>
      </c>
      <c r="F229" s="12">
        <f>_xlfn.XLOOKUP(Table134526_79101120212223242526[[#This Row],[Name Surname]],Manpower!C:C,Manpower!D:D,)</f>
        <v>140742144</v>
      </c>
      <c r="G229" s="24" t="str">
        <f>_xlfn.XLOOKUP(Table134526_79101120212223242526[[#This Row],[Name Surname]],Manpower!$C$4:$C$1048576,Manpower!$F$4:$F$1048576,"")</f>
        <v>Assistant/Helper</v>
      </c>
      <c r="H229" s="24" t="str">
        <f>_xlfn.XLOOKUP(Table134526_79101120212223242526[[#This Row],[Name Surname]],Manpower!$C$4:$C$1048576,Manpower!$H$4:$H$1048576,"")</f>
        <v>Manpower</v>
      </c>
      <c r="I229" s="24" t="str">
        <f>_xlfn.XLOOKUP(Table134526_79101120212223242526[[#This Row],[Name Surname]],Manpower!$C$4:$C$1048576,Manpower!$H$4:$H$1048576,"")</f>
        <v>Manpower</v>
      </c>
      <c r="J229" s="21" t="s">
        <v>158</v>
      </c>
      <c r="K229" s="21" t="s">
        <v>26</v>
      </c>
      <c r="L229" s="21" t="s">
        <v>26</v>
      </c>
      <c r="M229" s="21" t="s">
        <v>55</v>
      </c>
      <c r="N229" s="29">
        <v>10</v>
      </c>
      <c r="R229" s="21" t="s">
        <v>227</v>
      </c>
    </row>
    <row r="230" spans="1:18" ht="14.4" hidden="1">
      <c r="A230" s="33">
        <f>IF(C230="","",MAX($A$1:A229)+1)</f>
        <v>213</v>
      </c>
      <c r="B230" s="27" t="s">
        <v>141</v>
      </c>
      <c r="C230" s="23">
        <v>46083</v>
      </c>
      <c r="D230" s="17" t="str">
        <f>_xlfn.XLOOKUP(Table134526_79101120212223242526[[#This Row],[Name Surname]],Manpower!$C$4:$C$1048576,Manpower!$B$4:$B$1048576,"")</f>
        <v>SARENS NASS</v>
      </c>
      <c r="E230" s="23" t="s">
        <v>162</v>
      </c>
      <c r="F230" s="12">
        <f>_xlfn.XLOOKUP(Table134526_79101120212223242526[[#This Row],[Name Surname]],Manpower!C:C,Manpower!D:D,)</f>
        <v>78753612</v>
      </c>
      <c r="G230" s="17" t="str">
        <f>_xlfn.XLOOKUP(Table134526_79101120212223242526[[#This Row],[Name Surname]],Manpower!$C$4:$C$1048576,Manpower!$F$4:$F$1048576,"")</f>
        <v>Crane Operator- 70T Liebherr Telescopic Crane-02</v>
      </c>
      <c r="H230" s="17" t="s">
        <v>39</v>
      </c>
      <c r="I230" s="24" t="s">
        <v>39</v>
      </c>
      <c r="J230" s="21" t="s">
        <v>143</v>
      </c>
      <c r="K230" s="21" t="s">
        <v>26</v>
      </c>
      <c r="L230" s="21" t="s">
        <v>144</v>
      </c>
      <c r="M230" s="21" t="s">
        <v>55</v>
      </c>
      <c r="N230" s="29">
        <v>10</v>
      </c>
      <c r="R230" s="21" t="s">
        <v>227</v>
      </c>
    </row>
    <row r="231" spans="1:18" ht="14.4" hidden="1">
      <c r="A231" s="33">
        <f>IF(C231="","",MAX($A$1:A230)+1)</f>
        <v>214</v>
      </c>
      <c r="B231" s="27" t="s">
        <v>141</v>
      </c>
      <c r="C231" s="23">
        <v>46083</v>
      </c>
      <c r="D231" s="24" t="str">
        <f>_xlfn.XLOOKUP(Table134526_79101120212223242526[[#This Row],[Name Surname]],Manpower!$C$4:$C$1048576,Manpower!$B$4:$B$1048576,"")</f>
        <v>Al Jaber Heavy Lift</v>
      </c>
      <c r="E231" s="23" t="s">
        <v>164</v>
      </c>
      <c r="F231" s="12">
        <f>_xlfn.XLOOKUP(Table134526_79101120212223242526[[#This Row],[Name Surname]],Manpower!C:C,Manpower!D:D,)</f>
        <v>112778626</v>
      </c>
      <c r="G231" s="24" t="str">
        <f>_xlfn.XLOOKUP(Table134526_79101120212223242526[[#This Row],[Name Surname]],Manpower!$C$4:$C$1048576,Manpower!$F$4:$F$1048576,"")</f>
        <v>Crane Operator-150T Hitachi Crawler</v>
      </c>
      <c r="H231" s="24" t="s">
        <v>39</v>
      </c>
      <c r="I231" s="24" t="s">
        <v>39</v>
      </c>
      <c r="J231" s="21" t="s">
        <v>143</v>
      </c>
      <c r="K231" s="21" t="s">
        <v>26</v>
      </c>
      <c r="L231" s="21" t="s">
        <v>144</v>
      </c>
      <c r="M231" s="21" t="s">
        <v>55</v>
      </c>
      <c r="N231" s="29">
        <v>10</v>
      </c>
      <c r="R231" s="21" t="s">
        <v>227</v>
      </c>
    </row>
    <row r="232" spans="1:18" ht="14.4" hidden="1">
      <c r="A232" s="33">
        <f>IF(C232="","",MAX($A$1:A231)+1)</f>
        <v>215</v>
      </c>
      <c r="B232" s="27" t="s">
        <v>141</v>
      </c>
      <c r="C232" s="23">
        <v>46083</v>
      </c>
      <c r="D232" s="24" t="str">
        <f>_xlfn.XLOOKUP(Table134526_79101120212223242526[[#This Row],[Name Surname]],Manpower!$C$4:$C$1048576,Manpower!$B$4:$B$1048576,"")</f>
        <v>Encogroup</v>
      </c>
      <c r="E232" s="18" t="s">
        <v>166</v>
      </c>
      <c r="F232" s="12" t="str">
        <f>_xlfn.XLOOKUP(Table134526_79101120212223242526[[#This Row],[Name Surname]],Manpower!C:C,Manpower!D:D,)</f>
        <v>U4181508</v>
      </c>
      <c r="G232" s="24" t="str">
        <f>_xlfn.XLOOKUP(Table134526_79101120212223242526[[#This Row],[Name Surname]],Manpower!$C$4:$C$1048576,Manpower!$F$4:$F$1048576,"")</f>
        <v>Welder</v>
      </c>
      <c r="H232" s="24" t="str">
        <f>_xlfn.XLOOKUP(Table134526_79101120212223242526[[#This Row],[Name Surname]],Manpower!$C$4:$C$1048576,Manpower!$H$4:$H$1048576,"")</f>
        <v>Manpower</v>
      </c>
      <c r="I232" s="24" t="str">
        <f>_xlfn.XLOOKUP(Table134526_79101120212223242526[[#This Row],[Name Surname]],Manpower!$C$4:$C$1048576,Manpower!$H$4:$H$1048576,"")</f>
        <v>Manpower</v>
      </c>
      <c r="J232" s="21" t="s">
        <v>143</v>
      </c>
      <c r="K232" s="21" t="s">
        <v>26</v>
      </c>
      <c r="L232" s="21" t="s">
        <v>144</v>
      </c>
      <c r="M232" s="21" t="s">
        <v>55</v>
      </c>
      <c r="N232" s="29">
        <v>10</v>
      </c>
      <c r="R232" s="21" t="s">
        <v>227</v>
      </c>
    </row>
    <row r="233" spans="1:18" ht="14.4" hidden="1">
      <c r="A233" s="33">
        <f>IF(C233="","",MAX($A$1:A232)+1)</f>
        <v>216</v>
      </c>
      <c r="B233" s="27" t="s">
        <v>141</v>
      </c>
      <c r="C233" s="23">
        <v>46083</v>
      </c>
      <c r="D233" s="24" t="str">
        <f>_xlfn.XLOOKUP(Table134526_79101120212223242526[[#This Row],[Name Surname]],Manpower!$C$4:$C$1048576,Manpower!$B$4:$B$1048576,"")</f>
        <v>Encogroup</v>
      </c>
      <c r="E233" s="23" t="s">
        <v>167</v>
      </c>
      <c r="F233" s="12">
        <f>_xlfn.XLOOKUP(Table134526_79101120212223242526[[#This Row],[Name Surname]],Manpower!C:C,Manpower!D:D,)</f>
        <v>125440631</v>
      </c>
      <c r="G233" s="24" t="str">
        <f>_xlfn.XLOOKUP(Table134526_79101120212223242526[[#This Row],[Name Surname]],Manpower!$C$4:$C$1048576,Manpower!$F$4:$F$1048576,"")</f>
        <v>Rigger</v>
      </c>
      <c r="H233" s="24" t="str">
        <f>_xlfn.XLOOKUP(Table134526_79101120212223242526[[#This Row],[Name Surname]],Manpower!$C$4:$C$1048576,Manpower!$H$4:$H$1048576,"")</f>
        <v>Manpower</v>
      </c>
      <c r="I233" s="24" t="str">
        <f>_xlfn.XLOOKUP(Table134526_79101120212223242526[[#This Row],[Name Surname]],Manpower!$C$4:$C$1048576,Manpower!$H$4:$H$1048576,"")</f>
        <v>Manpower</v>
      </c>
      <c r="J233" s="21" t="s">
        <v>143</v>
      </c>
      <c r="K233" s="21" t="s">
        <v>26</v>
      </c>
      <c r="L233" s="21" t="s">
        <v>144</v>
      </c>
      <c r="M233" s="21" t="s">
        <v>55</v>
      </c>
      <c r="N233" s="29">
        <v>10</v>
      </c>
      <c r="R233" s="21" t="s">
        <v>227</v>
      </c>
    </row>
    <row r="234" spans="1:18" ht="14.4" hidden="1">
      <c r="A234" s="33">
        <f>IF(C234="","",MAX($A$1:A233)+1)</f>
        <v>217</v>
      </c>
      <c r="B234" s="27" t="s">
        <v>141</v>
      </c>
      <c r="C234" s="23">
        <v>46083</v>
      </c>
      <c r="D234" s="24" t="str">
        <f>_xlfn.XLOOKUP(Table134526_79101120212223242526[[#This Row],[Name Surname]],Manpower!$C$4:$C$1048576,Manpower!$B$4:$B$1048576,"")</f>
        <v>AL Omar International TRAD AND CONT</v>
      </c>
      <c r="E234" s="23" t="s">
        <v>169</v>
      </c>
      <c r="F234" s="12">
        <f>_xlfn.XLOOKUP(Table134526_79101120212223242526[[#This Row],[Name Surname]],Manpower!C:C,Manpower!D:D,)</f>
        <v>115731078</v>
      </c>
      <c r="G234" s="24" t="str">
        <f>_xlfn.XLOOKUP(Table134526_79101120212223242526[[#This Row],[Name Surname]],Manpower!$C$4:$C$1048576,Manpower!$F$4:$F$1048576,"")</f>
        <v>Scaffolder</v>
      </c>
      <c r="H234" s="24" t="str">
        <f>_xlfn.XLOOKUP(Table134526_79101120212223242526[[#This Row],[Name Surname]],Manpower!$C$4:$C$1048576,Manpower!$H$4:$H$1048576,"")</f>
        <v>Sub Contactor</v>
      </c>
      <c r="I234" s="24" t="str">
        <f>_xlfn.XLOOKUP(Table134526_79101120212223242526[[#This Row],[Name Surname]],Manpower!$C$4:$C$1048576,Manpower!$H$4:$H$1048576,"")</f>
        <v>Sub Contactor</v>
      </c>
      <c r="J234" s="21" t="s">
        <v>143</v>
      </c>
      <c r="K234" s="21" t="s">
        <v>26</v>
      </c>
      <c r="L234" s="21" t="s">
        <v>144</v>
      </c>
      <c r="M234" s="21" t="s">
        <v>55</v>
      </c>
      <c r="N234" s="29">
        <v>10</v>
      </c>
      <c r="R234" s="21" t="s">
        <v>227</v>
      </c>
    </row>
    <row r="235" spans="1:18" ht="14.4" hidden="1">
      <c r="A235" s="33">
        <f>IF(C235="","",MAX($A$1:A234)+1)</f>
        <v>218</v>
      </c>
      <c r="B235" s="27" t="s">
        <v>141</v>
      </c>
      <c r="C235" s="23">
        <v>46083</v>
      </c>
      <c r="D235" s="24" t="str">
        <f>_xlfn.XLOOKUP(Table134526_79101120212223242526[[#This Row],[Name Surname]],Manpower!$C$4:$C$1048576,Manpower!$B$4:$B$1048576,"")</f>
        <v>Encogroup</v>
      </c>
      <c r="E235" s="23" t="s">
        <v>172</v>
      </c>
      <c r="F235" s="12">
        <f>_xlfn.XLOOKUP(Table134526_79101120212223242526[[#This Row],[Name Surname]],Manpower!C:C,Manpower!D:D,)</f>
        <v>140764355</v>
      </c>
      <c r="G235" s="24" t="str">
        <f>_xlfn.XLOOKUP(Table134526_79101120212223242526[[#This Row],[Name Surname]],Manpower!$C$4:$C$1048576,Manpower!$F$4:$F$1048576,"")</f>
        <v>Fitter/Erector</v>
      </c>
      <c r="H235" s="24" t="str">
        <f>_xlfn.XLOOKUP(Table134526_79101120212223242526[[#This Row],[Name Surname]],Manpower!$C$4:$C$1048576,Manpower!$H$4:$H$1048576,"")</f>
        <v>Manpower</v>
      </c>
      <c r="I235" s="24" t="str">
        <f>_xlfn.XLOOKUP(Table134526_79101120212223242526[[#This Row],[Name Surname]],Manpower!$C$4:$C$1048576,Manpower!$H$4:$H$1048576,"")</f>
        <v>Manpower</v>
      </c>
      <c r="J235" s="21" t="s">
        <v>143</v>
      </c>
      <c r="K235" s="21" t="s">
        <v>26</v>
      </c>
      <c r="L235" s="21" t="s">
        <v>144</v>
      </c>
      <c r="M235" s="21" t="s">
        <v>55</v>
      </c>
      <c r="N235" s="29">
        <v>10</v>
      </c>
      <c r="R235" s="21" t="s">
        <v>227</v>
      </c>
    </row>
    <row r="236" spans="1:18" ht="14.4" hidden="1">
      <c r="A236" s="33">
        <f>IF(C236="","",MAX($A$1:A235)+1)</f>
        <v>219</v>
      </c>
      <c r="B236" s="27" t="s">
        <v>141</v>
      </c>
      <c r="C236" s="23">
        <v>46083</v>
      </c>
      <c r="D236" s="24" t="str">
        <f>_xlfn.XLOOKUP(Table134526_79101120212223242526[[#This Row],[Name Surname]],Manpower!$C$4:$C$1048576,Manpower!$B$4:$B$1048576,"")</f>
        <v>Encogroup</v>
      </c>
      <c r="E236" s="23" t="s">
        <v>173</v>
      </c>
      <c r="F236" s="12" t="str">
        <f>_xlfn.XLOOKUP(Table134526_79101120212223242526[[#This Row],[Name Surname]],Manpower!C:C,Manpower!D:D,)</f>
        <v>S3549132</v>
      </c>
      <c r="G236" s="24" t="str">
        <f>_xlfn.XLOOKUP(Table134526_79101120212223242526[[#This Row],[Name Surname]],Manpower!$C$4:$C$1048576,Manpower!$F$4:$F$1048576,"")</f>
        <v>Grinder</v>
      </c>
      <c r="H236" s="24" t="str">
        <f>_xlfn.XLOOKUP(Table134526_79101120212223242526[[#This Row],[Name Surname]],Manpower!$C$4:$C$1048576,Manpower!$H$4:$H$1048576,"")</f>
        <v>Manpower</v>
      </c>
      <c r="I236" s="24" t="str">
        <f>_xlfn.XLOOKUP(Table134526_79101120212223242526[[#This Row],[Name Surname]],Manpower!$C$4:$C$1048576,Manpower!$H$4:$H$1048576,"")</f>
        <v>Manpower</v>
      </c>
      <c r="J236" s="21" t="s">
        <v>143</v>
      </c>
      <c r="K236" s="21" t="s">
        <v>26</v>
      </c>
      <c r="L236" s="21" t="s">
        <v>144</v>
      </c>
      <c r="M236" s="21" t="s">
        <v>55</v>
      </c>
      <c r="N236" s="29">
        <v>10</v>
      </c>
      <c r="R236" s="21" t="s">
        <v>227</v>
      </c>
    </row>
    <row r="237" spans="1:18" ht="14.4" hidden="1">
      <c r="A237" s="33">
        <f>IF(C237="","",MAX($A$1:A236)+1)</f>
        <v>220</v>
      </c>
      <c r="B237" s="27" t="s">
        <v>141</v>
      </c>
      <c r="C237" s="23">
        <v>46083</v>
      </c>
      <c r="D237" s="24" t="str">
        <f>_xlfn.XLOOKUP(Table134526_79101120212223242526[[#This Row],[Name Surname]],Manpower!$C$4:$C$1048576,Manpower!$B$4:$B$1048576,"")</f>
        <v>Encogroup</v>
      </c>
      <c r="E237" s="23" t="s">
        <v>175</v>
      </c>
      <c r="F237" s="12">
        <f>_xlfn.XLOOKUP(Table134526_79101120212223242526[[#This Row],[Name Surname]],Manpower!C:C,Manpower!D:D,)</f>
        <v>140742125</v>
      </c>
      <c r="G237" s="24" t="str">
        <f>_xlfn.XLOOKUP(Table134526_79101120212223242526[[#This Row],[Name Surname]],Manpower!$C$4:$C$1048576,Manpower!$F$4:$F$1048576,"")</f>
        <v>Assistant/Helper</v>
      </c>
      <c r="H237" s="24" t="str">
        <f>_xlfn.XLOOKUP(Table134526_79101120212223242526[[#This Row],[Name Surname]],Manpower!$C$4:$C$1048576,Manpower!$H$4:$H$1048576,"")</f>
        <v>Manpower</v>
      </c>
      <c r="I237" s="24" t="str">
        <f>_xlfn.XLOOKUP(Table134526_79101120212223242526[[#This Row],[Name Surname]],Manpower!$C$4:$C$1048576,Manpower!$H$4:$H$1048576,"")</f>
        <v>Manpower</v>
      </c>
      <c r="J237" s="21" t="s">
        <v>158</v>
      </c>
      <c r="K237" s="21" t="s">
        <v>26</v>
      </c>
      <c r="L237" s="21" t="s">
        <v>26</v>
      </c>
      <c r="M237" s="21" t="s">
        <v>55</v>
      </c>
      <c r="N237" s="29">
        <v>10</v>
      </c>
      <c r="R237" s="21" t="s">
        <v>227</v>
      </c>
    </row>
    <row r="238" spans="1:18" ht="14.4" hidden="1">
      <c r="A238" s="33">
        <f>IF(C238="","",MAX($A$1:A237)+1)</f>
        <v>221</v>
      </c>
      <c r="B238" s="27" t="s">
        <v>141</v>
      </c>
      <c r="C238" s="23">
        <v>46083</v>
      </c>
      <c r="D238" s="24" t="str">
        <f>_xlfn.XLOOKUP(Table134526_79101120212223242526[[#This Row],[Name Surname]],Manpower!$C$4:$C$1048576,Manpower!$B$4:$B$1048576,"")</f>
        <v>Encogroup</v>
      </c>
      <c r="E238" s="23" t="s">
        <v>228</v>
      </c>
      <c r="F238" s="12">
        <f>_xlfn.XLOOKUP(Table134526_79101120212223242526[[#This Row],[Name Surname]],Manpower!C:C,Manpower!D:D,)</f>
        <v>125199963</v>
      </c>
      <c r="G238" s="24" t="str">
        <f>_xlfn.XLOOKUP(Table134526_79101120212223242526[[#This Row],[Name Surname]],Manpower!$C$4:$C$1048576,Manpower!$F$4:$F$1048576,"")</f>
        <v>Electrician</v>
      </c>
      <c r="H238" s="24" t="str">
        <f>_xlfn.XLOOKUP(Table134526_79101120212223242526[[#This Row],[Name Surname]],Manpower!$C$4:$C$1048576,Manpower!$H$4:$H$1048576,"")</f>
        <v>Manpower</v>
      </c>
      <c r="I238" s="24" t="str">
        <f>_xlfn.XLOOKUP(Table134526_79101120212223242526[[#This Row],[Name Surname]],Manpower!$C$4:$C$1048576,Manpower!$H$4:$H$1048576,"")</f>
        <v>Manpower</v>
      </c>
      <c r="J238" s="21" t="s">
        <v>158</v>
      </c>
      <c r="K238" s="21" t="s">
        <v>26</v>
      </c>
      <c r="L238" s="21" t="s">
        <v>26</v>
      </c>
      <c r="M238" s="21" t="s">
        <v>55</v>
      </c>
      <c r="N238" s="29">
        <v>10</v>
      </c>
      <c r="R238" s="21" t="s">
        <v>227</v>
      </c>
    </row>
    <row r="239" spans="1:18" ht="14.4" hidden="1">
      <c r="A239" s="33">
        <f>IF(C239="","",MAX($A$1:A238)+1)</f>
        <v>222</v>
      </c>
      <c r="B239" s="27" t="s">
        <v>141</v>
      </c>
      <c r="C239" s="23">
        <v>46083</v>
      </c>
      <c r="D239" s="24" t="str">
        <f>_xlfn.XLOOKUP(Table134526_79101120212223242526[[#This Row],[Name Surname]],Manpower!$C$4:$C$1048576,Manpower!$B$4:$B$1048576,"")</f>
        <v>Encogroup</v>
      </c>
      <c r="E239" s="23" t="s">
        <v>176</v>
      </c>
      <c r="F239" s="12">
        <f>_xlfn.XLOOKUP(Table134526_79101120212223242526[[#This Row],[Name Surname]],Manpower!C:C,Manpower!D:D,)</f>
        <v>124398279</v>
      </c>
      <c r="G239" s="24" t="str">
        <f>_xlfn.XLOOKUP(Table134526_79101120212223242526[[#This Row],[Name Surname]],Manpower!$C$4:$C$1048576,Manpower!$F$4:$F$1048576,"")</f>
        <v>Permit Receiver</v>
      </c>
      <c r="H239" s="24" t="str">
        <f>_xlfn.XLOOKUP(Table134526_79101120212223242526[[#This Row],[Name Surname]],Manpower!$C$4:$C$1048576,Manpower!$H$4:$H$1048576,"")</f>
        <v>Manpower</v>
      </c>
      <c r="I239" s="24" t="str">
        <f>_xlfn.XLOOKUP(Table134526_79101120212223242526[[#This Row],[Name Surname]],Manpower!$C$4:$C$1048576,Manpower!$H$4:$H$1048576,"")</f>
        <v>Manpower</v>
      </c>
      <c r="J239" s="21" t="s">
        <v>143</v>
      </c>
      <c r="K239" s="21" t="s">
        <v>26</v>
      </c>
      <c r="L239" s="21" t="s">
        <v>144</v>
      </c>
      <c r="M239" s="21" t="s">
        <v>55</v>
      </c>
      <c r="N239" s="29">
        <v>10</v>
      </c>
      <c r="R239" s="21" t="s">
        <v>227</v>
      </c>
    </row>
    <row r="240" spans="1:18" ht="14.4" hidden="1">
      <c r="A240" s="33">
        <f>IF(C240="","",MAX($A$1:A239)+1)</f>
        <v>223</v>
      </c>
      <c r="B240" s="27" t="s">
        <v>141</v>
      </c>
      <c r="C240" s="23">
        <v>46083</v>
      </c>
      <c r="D240" s="24" t="str">
        <f>_xlfn.XLOOKUP(Table134526_79101120212223242526[[#This Row],[Name Surname]],Manpower!$C$4:$C$1048576,Manpower!$B$4:$B$1048576,"")</f>
        <v>Encogroup</v>
      </c>
      <c r="E240" s="23" t="s">
        <v>177</v>
      </c>
      <c r="F240" s="12">
        <f>_xlfn.XLOOKUP(Table134526_79101120212223242526[[#This Row],[Name Surname]],Manpower!C:C,Manpower!D:D,)</f>
        <v>140809004</v>
      </c>
      <c r="G240" s="24" t="str">
        <f>_xlfn.XLOOKUP(Table134526_79101120212223242526[[#This Row],[Name Surname]],Manpower!$C$4:$C$1048576,Manpower!$F$4:$F$1048576,"")</f>
        <v>Fitter/Erector</v>
      </c>
      <c r="H240" s="24" t="str">
        <f>_xlfn.XLOOKUP(Table134526_79101120212223242526[[#This Row],[Name Surname]],Manpower!$C$4:$C$1048576,Manpower!$H$4:$H$1048576,"")</f>
        <v>Manpower</v>
      </c>
      <c r="I240" s="24" t="str">
        <f>_xlfn.XLOOKUP(Table134526_79101120212223242526[[#This Row],[Name Surname]],Manpower!$C$4:$C$1048576,Manpower!$H$4:$H$1048576,"")</f>
        <v>Manpower</v>
      </c>
      <c r="J240" s="21" t="s">
        <v>143</v>
      </c>
      <c r="K240" s="21" t="s">
        <v>26</v>
      </c>
      <c r="L240" s="21" t="s">
        <v>144</v>
      </c>
      <c r="M240" s="21" t="s">
        <v>55</v>
      </c>
      <c r="N240" s="29">
        <v>10</v>
      </c>
      <c r="R240" s="21" t="s">
        <v>227</v>
      </c>
    </row>
    <row r="241" spans="1:18" ht="14.4" hidden="1">
      <c r="A241" s="33">
        <f>IF(C241="","",MAX($A$1:A240)+1)</f>
        <v>224</v>
      </c>
      <c r="B241" s="27" t="s">
        <v>141</v>
      </c>
      <c r="C241" s="23">
        <v>46083</v>
      </c>
      <c r="D241" s="24" t="str">
        <f>_xlfn.XLOOKUP(Table134526_79101120212223242526[[#This Row],[Name Surname]],Manpower!$C$4:$C$1048576,Manpower!$B$4:$B$1048576,"")</f>
        <v>Encogroup</v>
      </c>
      <c r="E241" s="23" t="s">
        <v>178</v>
      </c>
      <c r="F241" s="12">
        <f>_xlfn.XLOOKUP(Table134526_79101120212223242526[[#This Row],[Name Surname]],Manpower!C:C,Manpower!D:D,)</f>
        <v>140683436</v>
      </c>
      <c r="G241" s="24" t="str">
        <f>_xlfn.XLOOKUP(Table134526_79101120212223242526[[#This Row],[Name Surname]],Manpower!$C$4:$C$1048576,Manpower!$F$4:$F$1048576,"")</f>
        <v>Scaffolder</v>
      </c>
      <c r="H241" s="24" t="str">
        <f>_xlfn.XLOOKUP(Table134526_79101120212223242526[[#This Row],[Name Surname]],Manpower!$C$4:$C$1048576,Manpower!$H$4:$H$1048576,"")</f>
        <v>Manpower</v>
      </c>
      <c r="I241" s="24" t="str">
        <f>_xlfn.XLOOKUP(Table134526_79101120212223242526[[#This Row],[Name Surname]],Manpower!$C$4:$C$1048576,Manpower!$H$4:$H$1048576,"")</f>
        <v>Manpower</v>
      </c>
      <c r="J241" s="21" t="s">
        <v>158</v>
      </c>
      <c r="K241" s="21" t="s">
        <v>26</v>
      </c>
      <c r="L241" s="21" t="s">
        <v>26</v>
      </c>
      <c r="M241" s="21" t="s">
        <v>55</v>
      </c>
      <c r="N241" s="29">
        <v>10</v>
      </c>
      <c r="R241" s="21" t="s">
        <v>227</v>
      </c>
    </row>
    <row r="242" spans="1:18" ht="14.4">
      <c r="A242" s="33">
        <f>IF(C242="","",MAX($A$1:A241)+1)</f>
        <v>225</v>
      </c>
      <c r="B242" s="27" t="s">
        <v>141</v>
      </c>
      <c r="C242" s="23">
        <v>46083</v>
      </c>
      <c r="D242" s="24" t="str">
        <f>_xlfn.XLOOKUP(Table134526_79101120212223242526[[#This Row],[Name Surname]],Manpower!$C$4:$C$1048576,Manpower!$B$4:$B$1048576,"")</f>
        <v>Encogroup</v>
      </c>
      <c r="E242" s="23" t="s">
        <v>179</v>
      </c>
      <c r="F242" s="12" t="e">
        <f>_xlfn.XLOOKUP(Table134526_79101120212223242526[[#This Row],[Name Surname]],Manpower!C:C,Manpower!D:D,)</f>
        <v>#N/A</v>
      </c>
      <c r="G242" s="24" t="str">
        <f>_xlfn.XLOOKUP(Table134526_79101120212223242526[[#This Row],[Name Surname]],Manpower!$C$4:$C$1048576,Manpower!$F$4:$F$1048576,"")</f>
        <v>7T-HIAB</v>
      </c>
      <c r="H242" s="24" t="str">
        <f>_xlfn.XLOOKUP(Table134526_79101120212223242526[[#This Row],[Name Surname]],Manpower!$C$4:$C$1048576,Manpower!$H$4:$H$1048576,"")</f>
        <v>Equipment</v>
      </c>
      <c r="I242" s="24" t="str">
        <f>_xlfn.XLOOKUP(Table134526_79101120212223242526[[#This Row],[Name Surname]],Manpower!$C$4:$C$1048576,Manpower!$H$4:$H$1048576,"")</f>
        <v>Equipment</v>
      </c>
      <c r="J242" s="21" t="s">
        <v>143</v>
      </c>
      <c r="K242" s="21" t="s">
        <v>26</v>
      </c>
      <c r="L242" s="21" t="s">
        <v>144</v>
      </c>
      <c r="M242" s="21" t="s">
        <v>55</v>
      </c>
      <c r="N242" s="29">
        <v>10</v>
      </c>
      <c r="R242" s="21" t="s">
        <v>227</v>
      </c>
    </row>
    <row r="243" spans="1:18" ht="14.4" hidden="1">
      <c r="A243" s="33">
        <f>IF(C243="","",MAX($A$1:A242)+1)</f>
        <v>226</v>
      </c>
      <c r="B243" s="27" t="s">
        <v>141</v>
      </c>
      <c r="C243" s="23">
        <v>46083</v>
      </c>
      <c r="D243" s="24" t="str">
        <f>_xlfn.XLOOKUP(Table134526_79101120212223242526[[#This Row],[Name Surname]],Manpower!$C$4:$C$1048576,Manpower!$B$4:$B$1048576,"")</f>
        <v>Encogroup</v>
      </c>
      <c r="E243" s="23" t="s">
        <v>180</v>
      </c>
      <c r="F243" s="12">
        <f>_xlfn.XLOOKUP(Table134526_79101120212223242526[[#This Row],[Name Surname]],Manpower!C:C,Manpower!D:D,)</f>
        <v>9138415</v>
      </c>
      <c r="G243" s="24" t="str">
        <f>_xlfn.XLOOKUP(Table134526_79101120212223242526[[#This Row],[Name Surname]],Manpower!$C$4:$C$1048576,Manpower!$F$4:$F$1048576,"")</f>
        <v>HIAB Driver</v>
      </c>
      <c r="H243" s="24" t="str">
        <f>_xlfn.XLOOKUP(Table134526_79101120212223242526[[#This Row],[Name Surname]],Manpower!$C$4:$C$1048576,Manpower!$H$4:$H$1048576,"")</f>
        <v>Manpower</v>
      </c>
      <c r="I243" s="24" t="str">
        <f>_xlfn.XLOOKUP(Table134526_79101120212223242526[[#This Row],[Name Surname]],Manpower!$C$4:$C$1048576,Manpower!$H$4:$H$1048576,"")</f>
        <v>Manpower</v>
      </c>
      <c r="J243" s="21" t="s">
        <v>143</v>
      </c>
      <c r="K243" s="21" t="s">
        <v>26</v>
      </c>
      <c r="L243" s="21" t="s">
        <v>144</v>
      </c>
      <c r="M243" s="21" t="s">
        <v>55</v>
      </c>
      <c r="N243" s="29">
        <v>10</v>
      </c>
      <c r="R243" s="21" t="s">
        <v>227</v>
      </c>
    </row>
    <row r="244" spans="1:18" ht="14.4" hidden="1">
      <c r="A244" s="33">
        <f>IF(C244="","",MAX($A$1:A243)+1)</f>
        <v>227</v>
      </c>
      <c r="B244" s="27" t="s">
        <v>141</v>
      </c>
      <c r="C244" s="23">
        <v>46083</v>
      </c>
      <c r="D244" s="24" t="str">
        <f>_xlfn.XLOOKUP(Table134526_79101120212223242526[[#This Row],[Name Surname]],Manpower!$C$4:$C$1048576,Manpower!$B$4:$B$1048576,"")</f>
        <v>GAF</v>
      </c>
      <c r="E244" s="23" t="s">
        <v>182</v>
      </c>
      <c r="F244" s="12">
        <f>_xlfn.XLOOKUP(Table134526_79101120212223242526[[#This Row],[Name Surname]],Manpower!C:C,Manpower!D:D,)</f>
        <v>78785394</v>
      </c>
      <c r="G244" s="24" t="str">
        <f>_xlfn.XLOOKUP(Table134526_79101120212223242526[[#This Row],[Name Surname]],Manpower!$C$4:$C$1048576,Manpower!$F$4:$F$1048576,"")</f>
        <v>Helper</v>
      </c>
      <c r="H244" s="24" t="str">
        <f>_xlfn.XLOOKUP(Table134526_79101120212223242526[[#This Row],[Name Surname]],Manpower!$C$4:$C$1048576,Manpower!$H$4:$H$1048576,"")</f>
        <v>Sub Contactor</v>
      </c>
      <c r="I244" s="24" t="str">
        <f>_xlfn.XLOOKUP(Table134526_79101120212223242526[[#This Row],[Name Surname]],Manpower!$C$4:$C$1048576,Manpower!$H$4:$H$1048576,"")</f>
        <v>Sub Contactor</v>
      </c>
      <c r="J244" s="21" t="s">
        <v>158</v>
      </c>
      <c r="K244" s="21" t="s">
        <v>26</v>
      </c>
      <c r="L244" s="21" t="s">
        <v>26</v>
      </c>
      <c r="M244" s="21" t="s">
        <v>55</v>
      </c>
      <c r="N244" s="29">
        <v>10</v>
      </c>
      <c r="R244" s="21" t="s">
        <v>227</v>
      </c>
    </row>
    <row r="245" spans="1:18" ht="14.4" hidden="1">
      <c r="A245" s="33">
        <f>IF(C245="","",MAX($A$1:A244)+1)</f>
        <v>228</v>
      </c>
      <c r="B245" s="27" t="s">
        <v>141</v>
      </c>
      <c r="C245" s="23">
        <v>46083</v>
      </c>
      <c r="D245" s="24" t="str">
        <f>_xlfn.XLOOKUP(Table134526_79101120212223242526[[#This Row],[Name Surname]],Manpower!$C$4:$C$1048576,Manpower!$B$4:$B$1048576,"")</f>
        <v>Encogroup</v>
      </c>
      <c r="E245" s="23" t="s">
        <v>183</v>
      </c>
      <c r="F245" s="12">
        <f>_xlfn.XLOOKUP(Table134526_79101120212223242526[[#This Row],[Name Surname]],Manpower!C:C,Manpower!D:D,)</f>
        <v>141359024</v>
      </c>
      <c r="G245" s="24" t="str">
        <f>_xlfn.XLOOKUP(Table134526_79101120212223242526[[#This Row],[Name Surname]],Manpower!$C$4:$C$1048576,Manpower!$F$4:$F$1048576,"")</f>
        <v>Hydraulic Mechanic</v>
      </c>
      <c r="H245" s="24" t="str">
        <f>_xlfn.XLOOKUP(Table134526_79101120212223242526[[#This Row],[Name Surname]],Manpower!$C$4:$C$1048576,Manpower!$H$4:$H$1048576,"")</f>
        <v>Manpower</v>
      </c>
      <c r="I245" s="24" t="str">
        <f>_xlfn.XLOOKUP(Table134526_79101120212223242526[[#This Row],[Name Surname]],Manpower!$C$4:$C$1048576,Manpower!$H$4:$H$1048576,"")</f>
        <v>Manpower</v>
      </c>
      <c r="J245" s="21" t="s">
        <v>143</v>
      </c>
      <c r="K245" s="21" t="s">
        <v>26</v>
      </c>
      <c r="L245" s="21" t="s">
        <v>144</v>
      </c>
      <c r="M245" s="21" t="s">
        <v>55</v>
      </c>
      <c r="N245" s="29">
        <v>10</v>
      </c>
      <c r="R245" s="21" t="s">
        <v>227</v>
      </c>
    </row>
    <row r="246" spans="1:18" ht="14.4" hidden="1">
      <c r="A246" s="33">
        <f>IF(C246="","",MAX($A$1:A245)+1)</f>
        <v>229</v>
      </c>
      <c r="B246" s="27" t="s">
        <v>141</v>
      </c>
      <c r="C246" s="23">
        <v>46083</v>
      </c>
      <c r="D246" s="24" t="str">
        <f>_xlfn.XLOOKUP(Table134526_79101120212223242526[[#This Row],[Name Surname]],Manpower!$C$4:$C$1048576,Manpower!$B$4:$B$1048576,"")</f>
        <v>Encogroup</v>
      </c>
      <c r="E246" s="23" t="s">
        <v>184</v>
      </c>
      <c r="F246" s="12">
        <f>_xlfn.XLOOKUP(Table134526_79101120212223242526[[#This Row],[Name Surname]],Manpower!C:C,Manpower!D:D,)</f>
        <v>140844759</v>
      </c>
      <c r="G246" s="24" t="str">
        <f>_xlfn.XLOOKUP(Table134526_79101120212223242526[[#This Row],[Name Surname]],Manpower!$C$4:$C$1048576,Manpower!$F$4:$F$1048576,"")</f>
        <v>Welder</v>
      </c>
      <c r="H246" s="24" t="str">
        <f>_xlfn.XLOOKUP(Table134526_79101120212223242526[[#This Row],[Name Surname]],Manpower!$C$4:$C$1048576,Manpower!$H$4:$H$1048576,"")</f>
        <v>Manpower</v>
      </c>
      <c r="I246" s="24" t="str">
        <f>_xlfn.XLOOKUP(Table134526_79101120212223242526[[#This Row],[Name Surname]],Manpower!$C$4:$C$1048576,Manpower!$H$4:$H$1048576,"")</f>
        <v>Manpower</v>
      </c>
      <c r="J246" s="21" t="s">
        <v>143</v>
      </c>
      <c r="K246" s="21" t="s">
        <v>26</v>
      </c>
      <c r="L246" s="21" t="s">
        <v>144</v>
      </c>
      <c r="M246" s="21" t="s">
        <v>55</v>
      </c>
      <c r="N246" s="29">
        <v>10</v>
      </c>
      <c r="R246" s="21" t="s">
        <v>227</v>
      </c>
    </row>
    <row r="247" spans="1:18" ht="14.4" hidden="1">
      <c r="A247" s="33">
        <f>IF(C247="","",MAX($A$1:A246)+1)</f>
        <v>230</v>
      </c>
      <c r="B247" s="27" t="s">
        <v>141</v>
      </c>
      <c r="C247" s="23">
        <v>46083</v>
      </c>
      <c r="D247" s="24" t="str">
        <f>_xlfn.XLOOKUP(Table134526_79101120212223242526[[#This Row],[Name Surname]],Manpower!$C$4:$C$1048576,Manpower!$B$4:$B$1048576,"")</f>
        <v>Encogroup</v>
      </c>
      <c r="E247" s="23" t="s">
        <v>185</v>
      </c>
      <c r="F247" s="12">
        <f>_xlfn.XLOOKUP(Table134526_79101120212223242526[[#This Row],[Name Surname]],Manpower!C:C,Manpower!D:D,)</f>
        <v>140848828</v>
      </c>
      <c r="G247" s="24" t="str">
        <f>_xlfn.XLOOKUP(Table134526_79101120212223242526[[#This Row],[Name Surname]],Manpower!$C$4:$C$1048576,Manpower!$F$4:$F$1048576,"")</f>
        <v>Pipe Fitter</v>
      </c>
      <c r="H247" s="24" t="str">
        <f>_xlfn.XLOOKUP(Table134526_79101120212223242526[[#This Row],[Name Surname]],Manpower!$C$4:$C$1048576,Manpower!$H$4:$H$1048576,"")</f>
        <v>Manpower</v>
      </c>
      <c r="I247" s="24" t="str">
        <f>_xlfn.XLOOKUP(Table134526_79101120212223242526[[#This Row],[Name Surname]],Manpower!$C$4:$C$1048576,Manpower!$H$4:$H$1048576,"")</f>
        <v>Manpower</v>
      </c>
      <c r="J247" s="21" t="s">
        <v>143</v>
      </c>
      <c r="K247" s="21" t="s">
        <v>26</v>
      </c>
      <c r="L247" s="21" t="s">
        <v>144</v>
      </c>
      <c r="M247" s="21" t="s">
        <v>55</v>
      </c>
      <c r="N247" s="29">
        <v>10</v>
      </c>
      <c r="R247" s="21" t="s">
        <v>227</v>
      </c>
    </row>
    <row r="248" spans="1:18" ht="14.4" hidden="1">
      <c r="A248" s="33">
        <f>IF(C248="","",MAX($A$1:A247)+1)</f>
        <v>231</v>
      </c>
      <c r="B248" s="27" t="s">
        <v>141</v>
      </c>
      <c r="C248" s="23">
        <v>46083</v>
      </c>
      <c r="D248" s="24" t="str">
        <f>_xlfn.XLOOKUP(Table134526_79101120212223242526[[#This Row],[Name Surname]],Manpower!$C$4:$C$1048576,Manpower!$B$4:$B$1048576,"")</f>
        <v>Encogroup</v>
      </c>
      <c r="E248" s="23" t="s">
        <v>186</v>
      </c>
      <c r="F248" s="12">
        <f>_xlfn.XLOOKUP(Table134526_79101120212223242526[[#This Row],[Name Surname]],Manpower!C:C,Manpower!D:D,)</f>
        <v>140696961</v>
      </c>
      <c r="G248" s="24" t="str">
        <f>_xlfn.XLOOKUP(Table134526_79101120212223242526[[#This Row],[Name Surname]],Manpower!$C$4:$C$1048576,Manpower!$F$4:$F$1048576,"")</f>
        <v>Assistant/Helper</v>
      </c>
      <c r="H248" s="24" t="str">
        <f>_xlfn.XLOOKUP(Table134526_79101120212223242526[[#This Row],[Name Surname]],Manpower!$C$4:$C$1048576,Manpower!$H$4:$H$1048576,"")</f>
        <v>Manpower</v>
      </c>
      <c r="I248" s="24" t="str">
        <f>_xlfn.XLOOKUP(Table134526_79101120212223242526[[#This Row],[Name Surname]],Manpower!$C$4:$C$1048576,Manpower!$H$4:$H$1048576,"")</f>
        <v>Manpower</v>
      </c>
      <c r="J248" s="21" t="s">
        <v>158</v>
      </c>
      <c r="K248" s="21" t="s">
        <v>26</v>
      </c>
      <c r="L248" s="21" t="s">
        <v>26</v>
      </c>
      <c r="M248" s="21" t="s">
        <v>55</v>
      </c>
      <c r="N248" s="29">
        <v>10</v>
      </c>
      <c r="R248" s="21" t="s">
        <v>227</v>
      </c>
    </row>
    <row r="249" spans="1:18" ht="14.4" hidden="1">
      <c r="A249" s="33">
        <f>IF(C249="","",MAX($A$1:A248)+1)</f>
        <v>232</v>
      </c>
      <c r="B249" s="27" t="s">
        <v>141</v>
      </c>
      <c r="C249" s="23">
        <v>46083</v>
      </c>
      <c r="D249" s="24" t="str">
        <f>_xlfn.XLOOKUP(Table134526_79101120212223242526[[#This Row],[Name Surname]],Manpower!$C$4:$C$1048576,Manpower!$B$4:$B$1048576,"")</f>
        <v>Encogroup</v>
      </c>
      <c r="E249" s="23" t="s">
        <v>187</v>
      </c>
      <c r="F249" s="12">
        <f>_xlfn.XLOOKUP(Table134526_79101120212223242526[[#This Row],[Name Surname]],Manpower!C:C,Manpower!D:D,)</f>
        <v>140623599</v>
      </c>
      <c r="G249" s="24" t="str">
        <f>_xlfn.XLOOKUP(Table134526_79101120212223242526[[#This Row],[Name Surname]],Manpower!$C$4:$C$1048576,Manpower!$F$4:$F$1048576,"")</f>
        <v>Mechanical Supervisor</v>
      </c>
      <c r="H249" s="24" t="str">
        <f>_xlfn.XLOOKUP(Table134526_79101120212223242526[[#This Row],[Name Surname]],Manpower!$C$4:$C$1048576,Manpower!$H$4:$H$1048576,"")</f>
        <v>Manpower</v>
      </c>
      <c r="I249" s="24" t="str">
        <f>_xlfn.XLOOKUP(Table134526_79101120212223242526[[#This Row],[Name Surname]],Manpower!$C$4:$C$1048576,Manpower!$H$4:$H$1048576,"")</f>
        <v>Manpower</v>
      </c>
      <c r="J249" s="21" t="s">
        <v>143</v>
      </c>
      <c r="K249" s="21" t="s">
        <v>26</v>
      </c>
      <c r="L249" s="21" t="s">
        <v>144</v>
      </c>
      <c r="M249" s="21" t="s">
        <v>55</v>
      </c>
      <c r="N249" s="29">
        <v>10</v>
      </c>
      <c r="R249" s="21" t="s">
        <v>227</v>
      </c>
    </row>
    <row r="250" spans="1:18" ht="14.4" hidden="1">
      <c r="A250" s="33">
        <f>IF(C250="","",MAX($A$1:A249)+1)</f>
        <v>233</v>
      </c>
      <c r="B250" s="27" t="s">
        <v>141</v>
      </c>
      <c r="C250" s="23">
        <v>46083</v>
      </c>
      <c r="D250" s="24" t="str">
        <f>_xlfn.XLOOKUP(Table134526_79101120212223242526[[#This Row],[Name Surname]],Manpower!$C$4:$C$1048576,Manpower!$B$4:$B$1048576,"")</f>
        <v>Encogroup</v>
      </c>
      <c r="E250" s="23" t="s">
        <v>188</v>
      </c>
      <c r="F250" s="12">
        <f>_xlfn.XLOOKUP(Table134526_79101120212223242526[[#This Row],[Name Surname]],Manpower!C:C,Manpower!D:D,)</f>
        <v>140696975</v>
      </c>
      <c r="G250" s="24" t="str">
        <f>_xlfn.XLOOKUP(Table134526_79101120212223242526[[#This Row],[Name Surname]],Manpower!$C$4:$C$1048576,Manpower!$F$4:$F$1048576,"")</f>
        <v>Assistant/Helper</v>
      </c>
      <c r="H250" s="24" t="str">
        <f>_xlfn.XLOOKUP(Table134526_79101120212223242526[[#This Row],[Name Surname]],Manpower!$C$4:$C$1048576,Manpower!$H$4:$H$1048576,"")</f>
        <v>Manpower</v>
      </c>
      <c r="I250" s="24" t="str">
        <f>_xlfn.XLOOKUP(Table134526_79101120212223242526[[#This Row],[Name Surname]],Manpower!$C$4:$C$1048576,Manpower!$H$4:$H$1048576,"")</f>
        <v>Manpower</v>
      </c>
      <c r="J250" s="21" t="s">
        <v>143</v>
      </c>
      <c r="K250" s="21" t="s">
        <v>26</v>
      </c>
      <c r="L250" s="21" t="s">
        <v>144</v>
      </c>
      <c r="M250" s="21" t="s">
        <v>55</v>
      </c>
      <c r="N250" s="29">
        <v>10</v>
      </c>
      <c r="R250" s="21" t="s">
        <v>227</v>
      </c>
    </row>
    <row r="251" spans="1:18" ht="14.4" hidden="1">
      <c r="A251" s="33">
        <f>IF(C251="","",MAX($A$1:A250)+1)</f>
        <v>234</v>
      </c>
      <c r="B251" s="27" t="s">
        <v>141</v>
      </c>
      <c r="C251" s="23">
        <v>46083</v>
      </c>
      <c r="D251" s="24" t="str">
        <f>_xlfn.XLOOKUP(Table134526_79101120212223242526[[#This Row],[Name Surname]],Manpower!$C$4:$C$1048576,Manpower!$B$4:$B$1048576,"")</f>
        <v>Encogroup</v>
      </c>
      <c r="E251" s="23" t="s">
        <v>189</v>
      </c>
      <c r="F251" s="12">
        <f>_xlfn.XLOOKUP(Table134526_79101120212223242526[[#This Row],[Name Surname]],Manpower!C:C,Manpower!D:D,)</f>
        <v>121937785</v>
      </c>
      <c r="G251" s="24" t="str">
        <f>_xlfn.XLOOKUP(Table134526_79101120212223242526[[#This Row],[Name Surname]],Manpower!$C$4:$C$1048576,Manpower!$F$4:$F$1048576,"")</f>
        <v>Scaffolding Inspector</v>
      </c>
      <c r="H251" s="24" t="str">
        <f>_xlfn.XLOOKUP(Table134526_79101120212223242526[[#This Row],[Name Surname]],Manpower!$C$4:$C$1048576,Manpower!$H$4:$H$1048576,"")</f>
        <v>Manpower</v>
      </c>
      <c r="I251" s="24" t="str">
        <f>_xlfn.XLOOKUP(Table134526_79101120212223242526[[#This Row],[Name Surname]],Manpower!$C$4:$C$1048576,Manpower!$H$4:$H$1048576,"")</f>
        <v>Manpower</v>
      </c>
      <c r="J251" s="21" t="s">
        <v>143</v>
      </c>
      <c r="K251" s="21" t="s">
        <v>26</v>
      </c>
      <c r="L251" s="21" t="s">
        <v>144</v>
      </c>
      <c r="M251" s="21" t="s">
        <v>55</v>
      </c>
      <c r="N251" s="29">
        <v>10</v>
      </c>
      <c r="R251" s="21" t="s">
        <v>227</v>
      </c>
    </row>
    <row r="252" spans="1:18" ht="14.4" hidden="1">
      <c r="A252" s="33">
        <f>IF(C252="","",MAX($A$1:A251)+1)</f>
        <v>235</v>
      </c>
      <c r="B252" s="27" t="s">
        <v>141</v>
      </c>
      <c r="C252" s="23">
        <v>46083</v>
      </c>
      <c r="D252" s="24" t="str">
        <f>_xlfn.XLOOKUP(Table134526_79101120212223242526[[#This Row],[Name Surname]],Manpower!$C$4:$C$1048576,Manpower!$B$4:$B$1048576,"")</f>
        <v xml:space="preserve">AL Omar International </v>
      </c>
      <c r="E252" s="23" t="s">
        <v>190</v>
      </c>
      <c r="F252" s="12">
        <f>_xlfn.XLOOKUP(Table134526_79101120212223242526[[#This Row],[Name Surname]],Manpower!C:C,Manpower!D:D,)</f>
        <v>85812175</v>
      </c>
      <c r="G252" s="24" t="str">
        <f>_xlfn.XLOOKUP(Table134526_79101120212223242526[[#This Row],[Name Surname]],Manpower!$C$4:$C$1048576,Manpower!$F$4:$F$1048576,"")</f>
        <v>Scaffolding Supervisor</v>
      </c>
      <c r="H252" s="24" t="str">
        <f>_xlfn.XLOOKUP(Table134526_79101120212223242526[[#This Row],[Name Surname]],Manpower!$C$4:$C$1048576,Manpower!$H$4:$H$1048576,"")</f>
        <v>Sub Contactor</v>
      </c>
      <c r="I252" s="24" t="str">
        <f>_xlfn.XLOOKUP(Table134526_79101120212223242526[[#This Row],[Name Surname]],Manpower!$C$4:$C$1048576,Manpower!$H$4:$H$1048576,"")</f>
        <v>Sub Contactor</v>
      </c>
      <c r="J252" s="21" t="s">
        <v>143</v>
      </c>
      <c r="K252" s="21" t="s">
        <v>26</v>
      </c>
      <c r="L252" s="21" t="s">
        <v>144</v>
      </c>
      <c r="M252" s="21" t="s">
        <v>55</v>
      </c>
      <c r="N252" s="29">
        <v>10</v>
      </c>
      <c r="R252" s="21" t="s">
        <v>227</v>
      </c>
    </row>
    <row r="253" spans="1:18" ht="14.4" hidden="1">
      <c r="A253" s="33">
        <f>IF(C253="","",MAX($A$1:A252)+1)</f>
        <v>236</v>
      </c>
      <c r="B253" s="27" t="s">
        <v>141</v>
      </c>
      <c r="C253" s="23">
        <v>46083</v>
      </c>
      <c r="D253" s="24" t="str">
        <f>_xlfn.XLOOKUP(Table134526_79101120212223242526[[#This Row],[Name Surname]],Manpower!$C$4:$C$1048576,Manpower!$B$4:$B$1048576,"")</f>
        <v>AL Omar International TRAD AND CONT</v>
      </c>
      <c r="E253" s="23" t="s">
        <v>191</v>
      </c>
      <c r="F253" s="12">
        <f>_xlfn.XLOOKUP(Table134526_79101120212223242526[[#This Row],[Name Surname]],Manpower!C:C,Manpower!D:D,)</f>
        <v>95335424</v>
      </c>
      <c r="G253" s="24" t="str">
        <f>_xlfn.XLOOKUP(Table134526_79101120212223242526[[#This Row],[Name Surname]],Manpower!$C$4:$C$1048576,Manpower!$F$4:$F$1048576,"")</f>
        <v>Scaffolder</v>
      </c>
      <c r="H253" s="24" t="str">
        <f>_xlfn.XLOOKUP(Table134526_79101120212223242526[[#This Row],[Name Surname]],Manpower!$C$4:$C$1048576,Manpower!$H$4:$H$1048576,"")</f>
        <v>Sub Contactor</v>
      </c>
      <c r="I253" s="24" t="str">
        <f>_xlfn.XLOOKUP(Table134526_79101120212223242526[[#This Row],[Name Surname]],Manpower!$C$4:$C$1048576,Manpower!$H$4:$H$1048576,"")</f>
        <v>Sub Contactor</v>
      </c>
      <c r="J253" s="21" t="s">
        <v>143</v>
      </c>
      <c r="K253" s="21" t="s">
        <v>26</v>
      </c>
      <c r="L253" s="21" t="s">
        <v>144</v>
      </c>
      <c r="M253" s="21" t="s">
        <v>55</v>
      </c>
      <c r="N253" s="29">
        <v>10</v>
      </c>
      <c r="R253" s="21" t="s">
        <v>227</v>
      </c>
    </row>
    <row r="254" spans="1:18" ht="14.4" hidden="1">
      <c r="A254" s="33">
        <f>IF(C254="","",MAX($A$1:A253)+1)</f>
        <v>237</v>
      </c>
      <c r="B254" s="27" t="s">
        <v>141</v>
      </c>
      <c r="C254" s="23">
        <v>46083</v>
      </c>
      <c r="D254" s="24" t="str">
        <f>_xlfn.XLOOKUP(Table134526_79101120212223242526[[#This Row],[Name Surname]],Manpower!$C$4:$C$1048576,Manpower!$B$4:$B$1048576,"")</f>
        <v>AL Omar International TRAD AND CONT</v>
      </c>
      <c r="E254" s="23" t="s">
        <v>192</v>
      </c>
      <c r="F254" s="12">
        <f>_xlfn.XLOOKUP(Table134526_79101120212223242526[[#This Row],[Name Surname]],Manpower!C:C,Manpower!D:D,)</f>
        <v>96409155</v>
      </c>
      <c r="G254" s="24" t="str">
        <f>_xlfn.XLOOKUP(Table134526_79101120212223242526[[#This Row],[Name Surname]],Manpower!$C$4:$C$1048576,Manpower!$F$4:$F$1048576,"")</f>
        <v>Scaffolder</v>
      </c>
      <c r="H254" s="24" t="str">
        <f>_xlfn.XLOOKUP(Table134526_79101120212223242526[[#This Row],[Name Surname]],Manpower!$C$4:$C$1048576,Manpower!$H$4:$H$1048576,"")</f>
        <v>Sub Contactor</v>
      </c>
      <c r="I254" s="24" t="str">
        <f>_xlfn.XLOOKUP(Table134526_79101120212223242526[[#This Row],[Name Surname]],Manpower!$C$4:$C$1048576,Manpower!$H$4:$H$1048576,"")</f>
        <v>Sub Contactor</v>
      </c>
      <c r="J254" s="21" t="s">
        <v>143</v>
      </c>
      <c r="K254" s="21" t="s">
        <v>26</v>
      </c>
      <c r="L254" s="21" t="s">
        <v>144</v>
      </c>
      <c r="M254" s="21" t="s">
        <v>55</v>
      </c>
      <c r="N254" s="29">
        <v>10</v>
      </c>
      <c r="R254" s="21" t="s">
        <v>227</v>
      </c>
    </row>
    <row r="255" spans="1:18" ht="14.4" hidden="1">
      <c r="A255" s="33">
        <f>IF(C255="","",MAX($A$1:A254)+1)</f>
        <v>238</v>
      </c>
      <c r="B255" s="27" t="s">
        <v>141</v>
      </c>
      <c r="C255" s="23">
        <v>46083</v>
      </c>
      <c r="D255" s="24" t="str">
        <f>_xlfn.XLOOKUP(Table134526_79101120212223242526[[#This Row],[Name Surname]],Manpower!$C$4:$C$1048576,Manpower!$B$4:$B$1048576,"")</f>
        <v>AL Omar International TRAD AND CONT</v>
      </c>
      <c r="E255" s="23" t="s">
        <v>193</v>
      </c>
      <c r="F255" s="12">
        <f>_xlfn.XLOOKUP(Table134526_79101120212223242526[[#This Row],[Name Surname]],Manpower!C:C,Manpower!D:D,)</f>
        <v>105813698</v>
      </c>
      <c r="G255" s="24" t="str">
        <f>_xlfn.XLOOKUP(Table134526_79101120212223242526[[#This Row],[Name Surname]],Manpower!$C$4:$C$1048576,Manpower!$F$4:$F$1048576,"")</f>
        <v>Scaffolding Inspector</v>
      </c>
      <c r="H255" s="24" t="str">
        <f>_xlfn.XLOOKUP(Table134526_79101120212223242526[[#This Row],[Name Surname]],Manpower!$C$4:$C$1048576,Manpower!$H$4:$H$1048576,"")</f>
        <v>Sub Contactor</v>
      </c>
      <c r="I255" s="24" t="str">
        <f>_xlfn.XLOOKUP(Table134526_79101120212223242526[[#This Row],[Name Surname]],Manpower!$C$4:$C$1048576,Manpower!$H$4:$H$1048576,"")</f>
        <v>Sub Contactor</v>
      </c>
      <c r="J255" s="21" t="s">
        <v>143</v>
      </c>
      <c r="K255" s="21" t="s">
        <v>26</v>
      </c>
      <c r="L255" s="21" t="s">
        <v>144</v>
      </c>
      <c r="M255" s="21" t="s">
        <v>55</v>
      </c>
      <c r="N255" s="29">
        <v>10</v>
      </c>
      <c r="R255" s="21" t="s">
        <v>227</v>
      </c>
    </row>
    <row r="256" spans="1:18" ht="14.4" hidden="1">
      <c r="A256" s="33">
        <f>IF(C256="","",MAX($A$1:A255)+1)</f>
        <v>239</v>
      </c>
      <c r="B256" s="27" t="s">
        <v>141</v>
      </c>
      <c r="C256" s="23">
        <v>46083</v>
      </c>
      <c r="D256" s="24" t="str">
        <f>_xlfn.XLOOKUP(Table134526_79101120212223242526[[#This Row],[Name Surname]],Manpower!$C$4:$C$1048576,Manpower!$B$4:$B$1048576,"")</f>
        <v>AL Saif &amp; Al QALLM ENT LLC</v>
      </c>
      <c r="E256" s="23" t="s">
        <v>194</v>
      </c>
      <c r="F256" s="12">
        <f>_xlfn.XLOOKUP(Table134526_79101120212223242526[[#This Row],[Name Surname]],Manpower!C:C,Manpower!D:D,)</f>
        <v>135340657</v>
      </c>
      <c r="G256" s="24" t="str">
        <f>_xlfn.XLOOKUP(Table134526_79101120212223242526[[#This Row],[Name Surname]],Manpower!$C$4:$C$1048576,Manpower!$F$4:$F$1048576,"")</f>
        <v>Forklift Operator</v>
      </c>
      <c r="H256" s="24" t="str">
        <f>_xlfn.XLOOKUP(Table134526_79101120212223242526[[#This Row],[Name Surname]],Manpower!$C$4:$C$1048576,Manpower!$H$4:$H$1048576,"")</f>
        <v>Sub Contactor</v>
      </c>
      <c r="I256" s="24" t="str">
        <f>_xlfn.XLOOKUP(Table134526_79101120212223242526[[#This Row],[Name Surname]],Manpower!$C$4:$C$1048576,Manpower!$H$4:$H$1048576,"")</f>
        <v>Sub Contactor</v>
      </c>
      <c r="J256" s="21" t="s">
        <v>143</v>
      </c>
      <c r="K256" s="21" t="s">
        <v>26</v>
      </c>
      <c r="L256" s="21" t="s">
        <v>144</v>
      </c>
      <c r="M256" s="21" t="s">
        <v>55</v>
      </c>
      <c r="N256" s="29">
        <v>10</v>
      </c>
      <c r="R256" s="21" t="s">
        <v>227</v>
      </c>
    </row>
    <row r="257" spans="1:18" ht="14.4" hidden="1">
      <c r="A257" s="33">
        <f>IF(C257="","",MAX($A$1:A256)+1)</f>
        <v>240</v>
      </c>
      <c r="B257" s="27" t="s">
        <v>141</v>
      </c>
      <c r="C257" s="23">
        <v>46083</v>
      </c>
      <c r="D257" s="24" t="str">
        <f>_xlfn.XLOOKUP(Table134526_79101120212223242526[[#This Row],[Name Surname]],Manpower!$C$4:$C$1048576,Manpower!$B$4:$B$1048576,"")</f>
        <v>Encogroup</v>
      </c>
      <c r="E257" s="23" t="s">
        <v>196</v>
      </c>
      <c r="F257" s="12">
        <f>_xlfn.XLOOKUP(Table134526_79101120212223242526[[#This Row],[Name Surname]],Manpower!C:C,Manpower!D:D,)</f>
        <v>140844586</v>
      </c>
      <c r="G257" s="24" t="str">
        <f>_xlfn.XLOOKUP(Table134526_79101120212223242526[[#This Row],[Name Surname]],Manpower!$C$4:$C$1048576,Manpower!$F$4:$F$1048576,"")</f>
        <v>Assistant/Helper</v>
      </c>
      <c r="H257" s="24" t="str">
        <f>_xlfn.XLOOKUP(Table134526_79101120212223242526[[#This Row],[Name Surname]],Manpower!$C$4:$C$1048576,Manpower!$H$4:$H$1048576,"")</f>
        <v>Manpower</v>
      </c>
      <c r="I257" s="24" t="str">
        <f>_xlfn.XLOOKUP(Table134526_79101120212223242526[[#This Row],[Name Surname]],Manpower!$C$4:$C$1048576,Manpower!$H$4:$H$1048576,"")</f>
        <v>Manpower</v>
      </c>
      <c r="J257" s="21" t="s">
        <v>158</v>
      </c>
      <c r="K257" s="21" t="s">
        <v>26</v>
      </c>
      <c r="L257" s="21" t="s">
        <v>26</v>
      </c>
      <c r="M257" s="21" t="s">
        <v>55</v>
      </c>
      <c r="N257" s="29">
        <v>10</v>
      </c>
      <c r="R257" s="21" t="s">
        <v>227</v>
      </c>
    </row>
    <row r="258" spans="1:18" ht="14.4" hidden="1">
      <c r="A258" s="33">
        <f>IF(C258="","",MAX($A$1:A257)+1)</f>
        <v>241</v>
      </c>
      <c r="B258" s="27" t="s">
        <v>141</v>
      </c>
      <c r="C258" s="23">
        <v>46083</v>
      </c>
      <c r="D258" s="24" t="str">
        <f>_xlfn.XLOOKUP(Table134526_79101120212223242526[[#This Row],[Name Surname]],Manpower!$C$4:$C$1048576,Manpower!$B$4:$B$1048576,"")</f>
        <v>AL Omar International TRAD AND CONT</v>
      </c>
      <c r="E258" s="23" t="s">
        <v>197</v>
      </c>
      <c r="F258" s="12">
        <f>_xlfn.XLOOKUP(Table134526_79101120212223242526[[#This Row],[Name Surname]],Manpower!C:C,Manpower!D:D,)</f>
        <v>106093463</v>
      </c>
      <c r="G258" s="24" t="str">
        <f>_xlfn.XLOOKUP(Table134526_79101120212223242526[[#This Row],[Name Surname]],Manpower!$C$4:$C$1048576,Manpower!$F$4:$F$1048576,"")</f>
        <v>RIgger</v>
      </c>
      <c r="H258" s="24" t="str">
        <f>_xlfn.XLOOKUP(Table134526_79101120212223242526[[#This Row],[Name Surname]],Manpower!$C$4:$C$1048576,Manpower!$H$4:$H$1048576,"")</f>
        <v>Sub Contactor</v>
      </c>
      <c r="I258" s="24" t="str">
        <f>_xlfn.XLOOKUP(Table134526_79101120212223242526[[#This Row],[Name Surname]],Manpower!$C$4:$C$1048576,Manpower!$H$4:$H$1048576,"")</f>
        <v>Sub Contactor</v>
      </c>
      <c r="J258" s="21" t="s">
        <v>143</v>
      </c>
      <c r="K258" s="21" t="s">
        <v>26</v>
      </c>
      <c r="L258" s="21" t="s">
        <v>144</v>
      </c>
      <c r="M258" s="21" t="s">
        <v>55</v>
      </c>
      <c r="N258" s="29">
        <v>10</v>
      </c>
      <c r="R258" s="21" t="s">
        <v>227</v>
      </c>
    </row>
    <row r="259" spans="1:18" ht="14.4">
      <c r="A259" s="33">
        <f>IF(C259="","",MAX($A$1:A258)+1)</f>
        <v>242</v>
      </c>
      <c r="B259" s="27" t="s">
        <v>141</v>
      </c>
      <c r="C259" s="23">
        <v>46083</v>
      </c>
      <c r="D259" s="24" t="str">
        <f>_xlfn.XLOOKUP(Table134526_79101120212223242526[[#This Row],[Name Surname]],Manpower!$C$4:$C$1048576,Manpower!$B$4:$B$1048576,"")</f>
        <v>Al Asrah Al Mumayaza Trad</v>
      </c>
      <c r="E259" s="23" t="s">
        <v>198</v>
      </c>
      <c r="F259" s="12" t="e">
        <f>_xlfn.XLOOKUP(Table134526_79101120212223242526[[#This Row],[Name Surname]],Manpower!C:C,Manpower!D:D,)</f>
        <v>#N/A</v>
      </c>
      <c r="G259" s="24" t="str">
        <f>_xlfn.XLOOKUP(Table134526_79101120212223242526[[#This Row],[Name Surname]],Manpower!$C$4:$C$1048576,Manpower!$F$4:$F$1048576,"")</f>
        <v>PICK-UP</v>
      </c>
      <c r="H259" s="24" t="str">
        <f>_xlfn.XLOOKUP(Table134526_79101120212223242526[[#This Row],[Name Surname]],Manpower!$C$4:$C$1048576,Manpower!$H$4:$H$1048576,"")</f>
        <v>Equipment</v>
      </c>
      <c r="I259" s="24" t="str">
        <f>_xlfn.XLOOKUP(Table134526_79101120212223242526[[#This Row],[Name Surname]],Manpower!$C$4:$C$1048576,Manpower!$H$4:$H$1048576,"")</f>
        <v>Equipment</v>
      </c>
      <c r="J259" s="21" t="s">
        <v>143</v>
      </c>
      <c r="K259" s="21" t="s">
        <v>26</v>
      </c>
      <c r="L259" s="21" t="s">
        <v>144</v>
      </c>
      <c r="M259" s="21" t="s">
        <v>55</v>
      </c>
      <c r="N259" s="29">
        <v>10</v>
      </c>
      <c r="R259" s="21" t="s">
        <v>227</v>
      </c>
    </row>
    <row r="260" spans="1:18" ht="14.4">
      <c r="A260" s="33">
        <f>IF(C260="","",MAX($A$1:A259)+1)</f>
        <v>243</v>
      </c>
      <c r="B260" s="27" t="s">
        <v>141</v>
      </c>
      <c r="C260" s="23">
        <v>46083</v>
      </c>
      <c r="D260" s="24" t="str">
        <f>_xlfn.XLOOKUP(Table134526_79101120212223242526[[#This Row],[Name Surname]],Manpower!$C$4:$C$1048576,Manpower!$B$4:$B$1048576,"")</f>
        <v>Al Asrah Al Mumayaza Trad</v>
      </c>
      <c r="E260" s="23" t="s">
        <v>199</v>
      </c>
      <c r="F260" s="12" t="e">
        <f>_xlfn.XLOOKUP(Table134526_79101120212223242526[[#This Row],[Name Surname]],Manpower!C:C,Manpower!D:D,)</f>
        <v>#N/A</v>
      </c>
      <c r="G260" s="24" t="str">
        <f>_xlfn.XLOOKUP(Table134526_79101120212223242526[[#This Row],[Name Surname]],Manpower!$C$4:$C$1048576,Manpower!$F$4:$F$1048576,"")</f>
        <v>PICK-UP</v>
      </c>
      <c r="H260" s="24" t="str">
        <f>_xlfn.XLOOKUP(Table134526_79101120212223242526[[#This Row],[Name Surname]],Manpower!$C$4:$C$1048576,Manpower!$H$4:$H$1048576,"")</f>
        <v>Equipment</v>
      </c>
      <c r="I260" s="24" t="str">
        <f>_xlfn.XLOOKUP(Table134526_79101120212223242526[[#This Row],[Name Surname]],Manpower!$C$4:$C$1048576,Manpower!$H$4:$H$1048576,"")</f>
        <v>Equipment</v>
      </c>
      <c r="J260" s="21" t="s">
        <v>143</v>
      </c>
      <c r="K260" s="21" t="s">
        <v>26</v>
      </c>
      <c r="L260" s="21" t="s">
        <v>144</v>
      </c>
      <c r="M260" s="21" t="s">
        <v>55</v>
      </c>
      <c r="N260" s="29">
        <v>10</v>
      </c>
      <c r="R260" s="21" t="s">
        <v>227</v>
      </c>
    </row>
    <row r="261" spans="1:18" ht="14.4">
      <c r="A261" s="33">
        <f>IF(C261="","",MAX($A$1:A260)+1)</f>
        <v>244</v>
      </c>
      <c r="B261" s="27" t="s">
        <v>141</v>
      </c>
      <c r="C261" s="23">
        <v>46083</v>
      </c>
      <c r="D261" s="24" t="str">
        <f>_xlfn.XLOOKUP(Table134526_79101120212223242526[[#This Row],[Name Surname]],Manpower!$C$4:$C$1048576,Manpower!$B$4:$B$1048576,"")</f>
        <v>Al Asrah Al Mumayaza Trad</v>
      </c>
      <c r="E261" s="23" t="s">
        <v>200</v>
      </c>
      <c r="F261" s="12" t="e">
        <f>_xlfn.XLOOKUP(Table134526_79101120212223242526[[#This Row],[Name Surname]],Manpower!C:C,Manpower!D:D,)</f>
        <v>#N/A</v>
      </c>
      <c r="G261" s="24" t="str">
        <f>_xlfn.XLOOKUP(Table134526_79101120212223242526[[#This Row],[Name Surname]],Manpower!$C$4:$C$1048576,Manpower!$F$4:$F$1048576,"")</f>
        <v>PICK-UP</v>
      </c>
      <c r="H261" s="24" t="str">
        <f>_xlfn.XLOOKUP(Table134526_79101120212223242526[[#This Row],[Name Surname]],Manpower!$C$4:$C$1048576,Manpower!$H$4:$H$1048576,"")</f>
        <v>Equipment</v>
      </c>
      <c r="I261" s="24" t="str">
        <f>_xlfn.XLOOKUP(Table134526_79101120212223242526[[#This Row],[Name Surname]],Manpower!$C$4:$C$1048576,Manpower!$H$4:$H$1048576,"")</f>
        <v>Equipment</v>
      </c>
      <c r="J261" s="21" t="s">
        <v>143</v>
      </c>
      <c r="K261" s="21" t="s">
        <v>26</v>
      </c>
      <c r="L261" s="21" t="s">
        <v>144</v>
      </c>
      <c r="M261" s="21" t="s">
        <v>55</v>
      </c>
      <c r="N261" s="29">
        <v>10</v>
      </c>
      <c r="R261" s="21" t="s">
        <v>227</v>
      </c>
    </row>
    <row r="262" spans="1:18" ht="14.4">
      <c r="A262" s="33">
        <f>IF(C262="","",MAX($A$1:A261)+1)</f>
        <v>245</v>
      </c>
      <c r="B262" s="27" t="s">
        <v>141</v>
      </c>
      <c r="C262" s="23">
        <v>46083</v>
      </c>
      <c r="D262" s="24" t="str">
        <f>_xlfn.XLOOKUP(Table134526_79101120212223242526[[#This Row],[Name Surname]],Manpower!$C$4:$C$1048576,Manpower!$B$4:$B$1048576,"")</f>
        <v>Al Asrah Al Mumayaza Trad</v>
      </c>
      <c r="E262" s="23" t="s">
        <v>201</v>
      </c>
      <c r="F262" s="12" t="e">
        <f>_xlfn.XLOOKUP(Table134526_79101120212223242526[[#This Row],[Name Surname]],Manpower!C:C,Manpower!D:D,)</f>
        <v>#N/A</v>
      </c>
      <c r="G262" s="24" t="str">
        <f>_xlfn.XLOOKUP(Table134526_79101120212223242526[[#This Row],[Name Surname]],Manpower!$C$4:$C$1048576,Manpower!$F$4:$F$1048576,"")</f>
        <v>PICK-UP</v>
      </c>
      <c r="H262" s="24" t="str">
        <f>_xlfn.XLOOKUP(Table134526_79101120212223242526[[#This Row],[Name Surname]],Manpower!$C$4:$C$1048576,Manpower!$H$4:$H$1048576,"")</f>
        <v>Equipment</v>
      </c>
      <c r="I262" s="24" t="str">
        <f>_xlfn.XLOOKUP(Table134526_79101120212223242526[[#This Row],[Name Surname]],Manpower!$C$4:$C$1048576,Manpower!$H$4:$H$1048576,"")</f>
        <v>Equipment</v>
      </c>
      <c r="J262" s="21" t="s">
        <v>143</v>
      </c>
      <c r="K262" s="21" t="s">
        <v>26</v>
      </c>
      <c r="L262" s="21" t="s">
        <v>144</v>
      </c>
      <c r="M262" s="21" t="s">
        <v>55</v>
      </c>
      <c r="N262" s="29">
        <v>10</v>
      </c>
      <c r="R262" s="21" t="s">
        <v>227</v>
      </c>
    </row>
    <row r="263" spans="1:18" ht="14.4" hidden="1">
      <c r="A263" s="33">
        <f>IF(C263="","",MAX($A$1:A262)+1)</f>
        <v>246</v>
      </c>
      <c r="B263" s="27" t="s">
        <v>141</v>
      </c>
      <c r="C263" s="23">
        <v>46083</v>
      </c>
      <c r="D263" s="24" t="str">
        <f>_xlfn.XLOOKUP(Table134526_79101120212223242526[[#This Row],[Name Surname]],Manpower!$C$4:$C$1048576,Manpower!$B$4:$B$1048576,"")</f>
        <v>Encogroup</v>
      </c>
      <c r="E263" s="23" t="s">
        <v>202</v>
      </c>
      <c r="F263" s="12">
        <f>_xlfn.XLOOKUP(Table134526_79101120212223242526[[#This Row],[Name Surname]],Manpower!C:C,Manpower!D:D,)</f>
        <v>140805592</v>
      </c>
      <c r="G263" s="24" t="str">
        <f>_xlfn.XLOOKUP(Table134526_79101120212223242526[[#This Row],[Name Surname]],Manpower!$C$4:$C$1048576,Manpower!$F$4:$F$1048576,"")</f>
        <v>Assistant/Helper</v>
      </c>
      <c r="H263" s="24" t="str">
        <f>_xlfn.XLOOKUP(Table134526_79101120212223242526[[#This Row],[Name Surname]],Manpower!$C$4:$C$1048576,Manpower!$H$4:$H$1048576,"")</f>
        <v>Manpower</v>
      </c>
      <c r="I263" s="24" t="str">
        <f>_xlfn.XLOOKUP(Table134526_79101120212223242526[[#This Row],[Name Surname]],Manpower!$C$4:$C$1048576,Manpower!$H$4:$H$1048576,"")</f>
        <v>Manpower</v>
      </c>
      <c r="J263" s="21" t="s">
        <v>143</v>
      </c>
      <c r="K263" s="21" t="s">
        <v>26</v>
      </c>
      <c r="L263" s="21" t="s">
        <v>144</v>
      </c>
      <c r="M263" s="21" t="s">
        <v>55</v>
      </c>
      <c r="N263" s="29">
        <v>10</v>
      </c>
      <c r="R263" s="21" t="s">
        <v>227</v>
      </c>
    </row>
    <row r="264" spans="1:18" ht="14.4" hidden="1">
      <c r="A264" s="33">
        <f>IF(C264="","",MAX($A$1:A263)+1)</f>
        <v>247</v>
      </c>
      <c r="B264" s="27" t="s">
        <v>141</v>
      </c>
      <c r="C264" s="23">
        <v>46083</v>
      </c>
      <c r="D264" s="24" t="str">
        <f>_xlfn.XLOOKUP(Table134526_79101120212223242526[[#This Row],[Name Surname]],Manpower!$C$4:$C$1048576,Manpower!$B$4:$B$1048576,"")</f>
        <v>Encogroup</v>
      </c>
      <c r="E264" s="23" t="s">
        <v>203</v>
      </c>
      <c r="F264" s="12">
        <f>_xlfn.XLOOKUP(Table134526_79101120212223242526[[#This Row],[Name Surname]],Manpower!C:C,Manpower!D:D,)</f>
        <v>140683371</v>
      </c>
      <c r="G264" s="24" t="str">
        <f>_xlfn.XLOOKUP(Table134526_79101120212223242526[[#This Row],[Name Surname]],Manpower!$C$4:$C$1048576,Manpower!$F$4:$F$1048576,"")</f>
        <v>Rigger</v>
      </c>
      <c r="H264" s="24" t="str">
        <f>_xlfn.XLOOKUP(Table134526_79101120212223242526[[#This Row],[Name Surname]],Manpower!$C$4:$C$1048576,Manpower!$H$4:$H$1048576,"")</f>
        <v>Manpower</v>
      </c>
      <c r="I264" s="24" t="str">
        <f>_xlfn.XLOOKUP(Table134526_79101120212223242526[[#This Row],[Name Surname]],Manpower!$C$4:$C$1048576,Manpower!$H$4:$H$1048576,"")</f>
        <v>Manpower</v>
      </c>
      <c r="J264" s="21" t="s">
        <v>143</v>
      </c>
      <c r="K264" s="21" t="s">
        <v>26</v>
      </c>
      <c r="L264" s="21" t="s">
        <v>144</v>
      </c>
      <c r="M264" s="21" t="s">
        <v>55</v>
      </c>
      <c r="N264" s="29">
        <v>10</v>
      </c>
      <c r="R264" s="21" t="s">
        <v>227</v>
      </c>
    </row>
    <row r="265" spans="1:18" ht="14.4" hidden="1">
      <c r="A265" s="33">
        <f>IF(C265="","",MAX($A$1:A264)+1)</f>
        <v>248</v>
      </c>
      <c r="B265" s="27" t="s">
        <v>141</v>
      </c>
      <c r="C265" s="23">
        <v>46083</v>
      </c>
      <c r="D265" s="17" t="str">
        <f>_xlfn.XLOOKUP(Table134526_79101120212223242526[[#This Row],[Name Surname]],Manpower!$C$4:$C$1048576,Manpower!$B$4:$B$1048576,"")</f>
        <v>Encogroup</v>
      </c>
      <c r="E265" s="23" t="s">
        <v>204</v>
      </c>
      <c r="F265" s="12">
        <f>_xlfn.XLOOKUP(Table134526_79101120212223242526[[#This Row],[Name Surname]],Manpower!C:C,Manpower!D:D,)</f>
        <v>140844572</v>
      </c>
      <c r="G265" s="17" t="str">
        <f>_xlfn.XLOOKUP(Table134526_79101120212223242526[[#This Row],[Name Surname]],Manpower!$C$4:$C$1048576,Manpower!$F$4:$F$1048576,"")</f>
        <v>Assistant/Helper</v>
      </c>
      <c r="H265" s="17" t="str">
        <f>_xlfn.XLOOKUP(Table134526_79101120212223242526[[#This Row],[Name Surname]],Manpower!$C$4:$C$1048576,Manpower!$H$4:$H$1048576,"")</f>
        <v>Manpower</v>
      </c>
      <c r="I265" s="24" t="str">
        <f>_xlfn.XLOOKUP(Table134526_79101120212223242526[[#This Row],[Name Surname]],Manpower!$C$4:$C$1048576,Manpower!$H$4:$H$1048576,"")</f>
        <v>Manpower</v>
      </c>
      <c r="J265" s="21" t="s">
        <v>143</v>
      </c>
      <c r="K265" s="21" t="s">
        <v>26</v>
      </c>
      <c r="L265" s="21" t="s">
        <v>144</v>
      </c>
      <c r="M265" s="21" t="s">
        <v>55</v>
      </c>
      <c r="N265" s="29">
        <v>10</v>
      </c>
      <c r="R265" s="21" t="s">
        <v>227</v>
      </c>
    </row>
    <row r="266" spans="1:18" ht="14.4" hidden="1">
      <c r="A266" s="33">
        <f>IF(C266="","",MAX($A$1:A265)+1)</f>
        <v>249</v>
      </c>
      <c r="B266" s="27" t="s">
        <v>141</v>
      </c>
      <c r="C266" s="23">
        <v>46083</v>
      </c>
      <c r="D266" s="24" t="str">
        <f>_xlfn.XLOOKUP(Table134526_79101120212223242526[[#This Row],[Name Surname]],Manpower!$C$4:$C$1048576,Manpower!$B$4:$B$1048576,"")</f>
        <v>Encogroup</v>
      </c>
      <c r="E266" s="23" t="s">
        <v>206</v>
      </c>
      <c r="F266" s="12">
        <f>_xlfn.XLOOKUP(Table134526_79101120212223242526[[#This Row],[Name Surname]],Manpower!C:C,Manpower!D:D,)</f>
        <v>140844848</v>
      </c>
      <c r="G266" s="24" t="str">
        <f>_xlfn.XLOOKUP(Table134526_79101120212223242526[[#This Row],[Name Surname]],Manpower!$C$4:$C$1048576,Manpower!$F$4:$F$1048576,"")</f>
        <v>Assistant/Helper</v>
      </c>
      <c r="H266" s="24" t="str">
        <f>_xlfn.XLOOKUP(Table134526_79101120212223242526[[#This Row],[Name Surname]],Manpower!$C$4:$C$1048576,Manpower!$H$4:$H$1048576,"")</f>
        <v>Manpower</v>
      </c>
      <c r="I266" s="24" t="str">
        <f>_xlfn.XLOOKUP(Table134526_79101120212223242526[[#This Row],[Name Surname]],Manpower!$C$4:$C$1048576,Manpower!$H$4:$H$1048576,"")</f>
        <v>Manpower</v>
      </c>
      <c r="J266" s="21" t="s">
        <v>143</v>
      </c>
      <c r="K266" s="21" t="s">
        <v>26</v>
      </c>
      <c r="L266" s="21" t="s">
        <v>144</v>
      </c>
      <c r="M266" s="21" t="s">
        <v>55</v>
      </c>
      <c r="N266" s="29">
        <v>10</v>
      </c>
      <c r="R266" s="21" t="s">
        <v>227</v>
      </c>
    </row>
    <row r="267" spans="1:18" ht="14.4" hidden="1">
      <c r="A267" s="33">
        <f>IF(C267="","",MAX($A$1:A266)+1)</f>
        <v>250</v>
      </c>
      <c r="B267" s="27" t="s">
        <v>141</v>
      </c>
      <c r="C267" s="23">
        <v>46083</v>
      </c>
      <c r="D267" s="17" t="str">
        <f>_xlfn.XLOOKUP(Table134526_79101120212223242526[[#This Row],[Name Surname]],Manpower!$C$4:$C$1048576,Manpower!$B$4:$B$1048576,"")</f>
        <v>Encogroup</v>
      </c>
      <c r="E267" s="18" t="s">
        <v>207</v>
      </c>
      <c r="F267" s="12">
        <f>_xlfn.XLOOKUP(Table134526_79101120212223242526[[#This Row],[Name Surname]],Manpower!C:C,Manpower!D:D,)</f>
        <v>141359216</v>
      </c>
      <c r="G267" s="17" t="str">
        <f>_xlfn.XLOOKUP(Table134526_79101120212223242526[[#This Row],[Name Surname]],Manpower!$C$4:$C$1048576,Manpower!$F$4:$F$1048576,"")</f>
        <v>Electrician</v>
      </c>
      <c r="H267" s="17" t="str">
        <f>_xlfn.XLOOKUP(Table134526_79101120212223242526[[#This Row],[Name Surname]],Manpower!$C$4:$C$1048576,Manpower!$H$4:$H$1048576,"")</f>
        <v>Manpower</v>
      </c>
      <c r="I267" s="24" t="str">
        <f>_xlfn.XLOOKUP(Table134526_79101120212223242526[[#This Row],[Name Surname]],Manpower!$C$4:$C$1048576,Manpower!$H$4:$H$1048576,"")</f>
        <v>Manpower</v>
      </c>
      <c r="J267" s="21" t="s">
        <v>158</v>
      </c>
      <c r="K267" s="21" t="s">
        <v>26</v>
      </c>
      <c r="L267" s="21" t="s">
        <v>26</v>
      </c>
      <c r="M267" s="21" t="s">
        <v>55</v>
      </c>
      <c r="N267" s="29">
        <v>10</v>
      </c>
      <c r="R267" s="21" t="s">
        <v>227</v>
      </c>
    </row>
    <row r="268" spans="1:18" ht="14.4" hidden="1">
      <c r="A268" s="33">
        <f>IF(C268="","",MAX($A$1:A267)+1)</f>
        <v>251</v>
      </c>
      <c r="B268" s="27" t="s">
        <v>141</v>
      </c>
      <c r="C268" s="23">
        <v>46083</v>
      </c>
      <c r="D268" s="24" t="str">
        <f>_xlfn.XLOOKUP(Table134526_79101120212223242526[[#This Row],[Name Surname]],Manpower!$C$4:$C$1048576,Manpower!$B$4:$B$1048576,"")</f>
        <v>Encogroup</v>
      </c>
      <c r="E268" s="23" t="s">
        <v>208</v>
      </c>
      <c r="F268" s="12">
        <f>_xlfn.XLOOKUP(Table134526_79101120212223242526[[#This Row],[Name Surname]],Manpower!C:C,Manpower!D:D,)</f>
        <v>140683399</v>
      </c>
      <c r="G268" s="24" t="str">
        <f>_xlfn.XLOOKUP(Table134526_79101120212223242526[[#This Row],[Name Surname]],Manpower!$C$4:$C$1048576,Manpower!$F$4:$F$1048576,"")</f>
        <v>Rigger</v>
      </c>
      <c r="H268" s="24" t="str">
        <f>_xlfn.XLOOKUP(Table134526_79101120212223242526[[#This Row],[Name Surname]],Manpower!$C$4:$C$1048576,Manpower!$H$4:$H$1048576,"")</f>
        <v>Manpower</v>
      </c>
      <c r="I268" s="24" t="str">
        <f>_xlfn.XLOOKUP(Table134526_79101120212223242526[[#This Row],[Name Surname]],Manpower!$C$4:$C$1048576,Manpower!$H$4:$H$1048576,"")</f>
        <v>Manpower</v>
      </c>
      <c r="J268" s="21" t="s">
        <v>143</v>
      </c>
      <c r="K268" s="21" t="s">
        <v>26</v>
      </c>
      <c r="L268" s="21" t="s">
        <v>144</v>
      </c>
      <c r="M268" s="21" t="s">
        <v>55</v>
      </c>
      <c r="N268" s="29">
        <v>10</v>
      </c>
      <c r="R268" s="21" t="s">
        <v>227</v>
      </c>
    </row>
    <row r="269" spans="1:18" ht="14.4" hidden="1">
      <c r="A269" s="33">
        <f>IF(C269="","",MAX($A$1:A268)+1)</f>
        <v>252</v>
      </c>
      <c r="B269" s="27" t="s">
        <v>141</v>
      </c>
      <c r="C269" s="23">
        <v>46083</v>
      </c>
      <c r="D269" s="24" t="str">
        <f>_xlfn.XLOOKUP(Table134526_79101120212223242526[[#This Row],[Name Surname]],Manpower!$C$4:$C$1048576,Manpower!$B$4:$B$1048576,"")</f>
        <v>Encogroup</v>
      </c>
      <c r="E269" s="18" t="s">
        <v>209</v>
      </c>
      <c r="F269" s="12">
        <f>_xlfn.XLOOKUP(Table134526_79101120212223242526[[#This Row],[Name Surname]],Manpower!C:C,Manpower!D:D,)</f>
        <v>141365164</v>
      </c>
      <c r="G269" s="24" t="str">
        <f>_xlfn.XLOOKUP(Table134526_79101120212223242526[[#This Row],[Name Surname]],Manpower!$C$4:$C$1048576,Manpower!$F$4:$F$1048576,"")</f>
        <v>Helper</v>
      </c>
      <c r="H269" s="24" t="str">
        <f>_xlfn.XLOOKUP(Table134526_79101120212223242526[[#This Row],[Name Surname]],Manpower!$C$4:$C$1048576,Manpower!$H$4:$H$1048576,"")</f>
        <v>Manpower</v>
      </c>
      <c r="I269" s="24" t="str">
        <f>_xlfn.XLOOKUP(Table134526_79101120212223242526[[#This Row],[Name Surname]],Manpower!$C$4:$C$1048576,Manpower!$H$4:$H$1048576,"")</f>
        <v>Manpower</v>
      </c>
      <c r="J269" s="21" t="s">
        <v>158</v>
      </c>
      <c r="K269" s="21" t="s">
        <v>26</v>
      </c>
      <c r="L269" s="21" t="s">
        <v>26</v>
      </c>
      <c r="M269" s="21" t="s">
        <v>55</v>
      </c>
      <c r="N269" s="29">
        <v>10</v>
      </c>
      <c r="R269" s="21" t="s">
        <v>227</v>
      </c>
    </row>
    <row r="270" spans="1:18" ht="14.4">
      <c r="A270" s="33">
        <f>IF(C270="","",MAX($A$1:A269)+1)</f>
        <v>253</v>
      </c>
      <c r="B270" s="27" t="s">
        <v>141</v>
      </c>
      <c r="C270" s="23">
        <v>46083</v>
      </c>
      <c r="D270" s="24" t="str">
        <f>_xlfn.XLOOKUP(Table134526_79101120212223242526[[#This Row],[Name Surname]],Manpower!$C$4:$C$1048576,Manpower!$B$4:$B$1048576,"")</f>
        <v>Bright Light</v>
      </c>
      <c r="E270" s="23" t="s">
        <v>210</v>
      </c>
      <c r="F270" s="12" t="e">
        <f>_xlfn.XLOOKUP(Table134526_79101120212223242526[[#This Row],[Name Surname]],Manpower!C:C,Manpower!D:D,)</f>
        <v>#N/A</v>
      </c>
      <c r="G270" s="24" t="str">
        <f>_xlfn.XLOOKUP(Table134526_79101120212223242526[[#This Row],[Name Surname]],Manpower!$C$4:$C$1048576,Manpower!$F$4:$F$1048576,"")</f>
        <v>Trailer</v>
      </c>
      <c r="H270" s="24" t="str">
        <f>_xlfn.XLOOKUP(Table134526_79101120212223242526[[#This Row],[Name Surname]],Manpower!$C$4:$C$1048576,Manpower!$H$4:$H$1048576,"")</f>
        <v>Equipment</v>
      </c>
      <c r="I270" s="24" t="str">
        <f>_xlfn.XLOOKUP(Table134526_79101120212223242526[[#This Row],[Name Surname]],Manpower!$C$4:$C$1048576,Manpower!$H$4:$H$1048576,"")</f>
        <v>Equipment</v>
      </c>
      <c r="J270" s="21" t="s">
        <v>143</v>
      </c>
      <c r="K270" s="21" t="s">
        <v>26</v>
      </c>
      <c r="L270" s="21" t="s">
        <v>144</v>
      </c>
      <c r="M270" s="21" t="s">
        <v>55</v>
      </c>
      <c r="N270" s="29">
        <v>10</v>
      </c>
      <c r="R270" s="21" t="s">
        <v>227</v>
      </c>
    </row>
    <row r="271" spans="1:18" ht="14.4" hidden="1">
      <c r="A271" s="33">
        <f>IF(C271="","",MAX($A$1:A270)+1)</f>
        <v>254</v>
      </c>
      <c r="B271" s="27" t="s">
        <v>141</v>
      </c>
      <c r="C271" s="23">
        <v>46083</v>
      </c>
      <c r="D271" s="24" t="str">
        <f>_xlfn.XLOOKUP(Table134526_79101120212223242526[[#This Row],[Name Surname]],Manpower!$C$4:$C$1048576,Manpower!$B$4:$B$1048576,"")</f>
        <v>Encogroup</v>
      </c>
      <c r="E271" s="23" t="s">
        <v>211</v>
      </c>
      <c r="F271" s="12">
        <f>_xlfn.XLOOKUP(Table134526_79101120212223242526[[#This Row],[Name Surname]],Manpower!C:C,Manpower!D:D,)</f>
        <v>140477664</v>
      </c>
      <c r="G271" s="24" t="str">
        <f>_xlfn.XLOOKUP(Table134526_79101120212223242526[[#This Row],[Name Surname]],Manpower!$C$4:$C$1048576,Manpower!$F$4:$F$1048576,"")</f>
        <v>Junior HSE Officer</v>
      </c>
      <c r="H271" s="24" t="str">
        <f>_xlfn.XLOOKUP(Table134526_79101120212223242526[[#This Row],[Name Surname]],Manpower!$C$4:$C$1048576,Manpower!$H$4:$H$1048576,"")</f>
        <v>Manpower</v>
      </c>
      <c r="I271" s="24" t="str">
        <f>_xlfn.XLOOKUP(Table134526_79101120212223242526[[#This Row],[Name Surname]],Manpower!$C$4:$C$1048576,Manpower!$H$4:$H$1048576,"")</f>
        <v>Manpower</v>
      </c>
      <c r="J271" s="21" t="s">
        <v>143</v>
      </c>
      <c r="K271" s="21" t="s">
        <v>26</v>
      </c>
      <c r="L271" s="21" t="s">
        <v>144</v>
      </c>
      <c r="M271" s="21" t="s">
        <v>55</v>
      </c>
      <c r="N271" s="29">
        <v>10</v>
      </c>
      <c r="R271" s="21" t="s">
        <v>227</v>
      </c>
    </row>
    <row r="272" spans="1:18" ht="14.4" hidden="1">
      <c r="A272" s="33">
        <f>IF(C272="","",MAX($A$1:A271)+1)</f>
        <v>255</v>
      </c>
      <c r="B272" s="27" t="s">
        <v>141</v>
      </c>
      <c r="C272" s="23">
        <v>46083</v>
      </c>
      <c r="D272" s="24" t="str">
        <f>_xlfn.XLOOKUP(Table134526_79101120212223242526[[#This Row],[Name Surname]],Manpower!$C$4:$C$1048576,Manpower!$B$4:$B$1048576,"")</f>
        <v>AL Omar International TRAD AND CONT</v>
      </c>
      <c r="E272" s="23" t="s">
        <v>212</v>
      </c>
      <c r="F272" s="12">
        <f>_xlfn.XLOOKUP(Table134526_79101120212223242526[[#This Row],[Name Surname]],Manpower!C:C,Manpower!D:D,)</f>
        <v>116676257</v>
      </c>
      <c r="G272" s="24" t="str">
        <f>_xlfn.XLOOKUP(Table134526_79101120212223242526[[#This Row],[Name Surname]],Manpower!$C$4:$C$1048576,Manpower!$F$4:$F$1048576,"")</f>
        <v>Scaffolder</v>
      </c>
      <c r="H272" s="24" t="str">
        <f>_xlfn.XLOOKUP(Table134526_79101120212223242526[[#This Row],[Name Surname]],Manpower!$C$4:$C$1048576,Manpower!$H$4:$H$1048576,"")</f>
        <v>Sub Contactor</v>
      </c>
      <c r="I272" s="24" t="str">
        <f>_xlfn.XLOOKUP(Table134526_79101120212223242526[[#This Row],[Name Surname]],Manpower!$C$4:$C$1048576,Manpower!$H$4:$H$1048576,"")</f>
        <v>Sub Contactor</v>
      </c>
      <c r="J272" s="21" t="s">
        <v>143</v>
      </c>
      <c r="K272" s="21" t="s">
        <v>26</v>
      </c>
      <c r="L272" s="21" t="s">
        <v>144</v>
      </c>
      <c r="M272" s="21" t="s">
        <v>55</v>
      </c>
      <c r="N272" s="29">
        <v>10</v>
      </c>
      <c r="R272" s="21" t="s">
        <v>227</v>
      </c>
    </row>
    <row r="273" spans="1:18" ht="14.4" hidden="1">
      <c r="A273" s="33">
        <f>IF(C273="","",MAX($A$1:A272)+1)</f>
        <v>256</v>
      </c>
      <c r="B273" s="27" t="s">
        <v>141</v>
      </c>
      <c r="C273" s="23">
        <v>46083</v>
      </c>
      <c r="D273" s="24" t="str">
        <f>_xlfn.XLOOKUP(Table134526_79101120212223242526[[#This Row],[Name Surname]],Manpower!$C$4:$C$1048576,Manpower!$B$4:$B$1048576,"")</f>
        <v>Encogroup</v>
      </c>
      <c r="E273" s="23" t="s">
        <v>213</v>
      </c>
      <c r="F273" s="12">
        <f>_xlfn.XLOOKUP(Table134526_79101120212223242526[[#This Row],[Name Surname]],Manpower!C:C,Manpower!D:D,)</f>
        <v>140846698</v>
      </c>
      <c r="G273" s="24" t="str">
        <f>_xlfn.XLOOKUP(Table134526_79101120212223242526[[#This Row],[Name Surname]],Manpower!$C$4:$C$1048576,Manpower!$F$4:$F$1048576,"")</f>
        <v>Assistant/Helper</v>
      </c>
      <c r="H273" s="24" t="str">
        <f>_xlfn.XLOOKUP(Table134526_79101120212223242526[[#This Row],[Name Surname]],Manpower!$C$4:$C$1048576,Manpower!$H$4:$H$1048576,"")</f>
        <v>Manpower</v>
      </c>
      <c r="I273" s="24" t="str">
        <f>_xlfn.XLOOKUP(Table134526_79101120212223242526[[#This Row],[Name Surname]],Manpower!$C$4:$C$1048576,Manpower!$H$4:$H$1048576,"")</f>
        <v>Manpower</v>
      </c>
      <c r="J273" s="21" t="s">
        <v>143</v>
      </c>
      <c r="K273" s="21" t="s">
        <v>26</v>
      </c>
      <c r="L273" s="21" t="s">
        <v>144</v>
      </c>
      <c r="M273" s="21" t="s">
        <v>55</v>
      </c>
      <c r="N273" s="29">
        <v>10</v>
      </c>
      <c r="R273" s="21" t="s">
        <v>227</v>
      </c>
    </row>
    <row r="274" spans="1:18" ht="14.4" hidden="1">
      <c r="A274" s="33">
        <f>IF(C274="","",MAX($A$1:A273)+1)</f>
        <v>257</v>
      </c>
      <c r="B274" s="27" t="s">
        <v>141</v>
      </c>
      <c r="C274" s="23">
        <v>46083</v>
      </c>
      <c r="D274" s="24" t="str">
        <f>_xlfn.XLOOKUP(Table134526_79101120212223242526[[#This Row],[Name Surname]],Manpower!$C$4:$C$1048576,Manpower!$B$4:$B$1048576,"")</f>
        <v>SARENS NASS</v>
      </c>
      <c r="E274" s="23" t="s">
        <v>214</v>
      </c>
      <c r="F274" s="12">
        <f>_xlfn.XLOOKUP(Table134526_79101120212223242526[[#This Row],[Name Surname]],Manpower!C:C,Manpower!D:D,)</f>
        <v>109957631</v>
      </c>
      <c r="G274" s="24" t="str">
        <f>_xlfn.XLOOKUP(Table134526_79101120212223242526[[#This Row],[Name Surname]],Manpower!$C$4:$C$1048576,Manpower!$F$4:$F$1048576,"")</f>
        <v>Crane Operator-130T Liebherr Crawler</v>
      </c>
      <c r="H274" s="24" t="s">
        <v>39</v>
      </c>
      <c r="I274" s="24" t="s">
        <v>39</v>
      </c>
      <c r="J274" s="21" t="s">
        <v>143</v>
      </c>
      <c r="K274" s="21" t="s">
        <v>26</v>
      </c>
      <c r="L274" s="21" t="s">
        <v>144</v>
      </c>
      <c r="M274" s="21" t="s">
        <v>55</v>
      </c>
      <c r="N274" s="29">
        <v>10</v>
      </c>
      <c r="R274" s="21" t="s">
        <v>227</v>
      </c>
    </row>
    <row r="275" spans="1:18" ht="14.4" hidden="1">
      <c r="A275" s="33">
        <f>IF(C275="","",MAX($A$1:A274)+1)</f>
        <v>258</v>
      </c>
      <c r="B275" s="27" t="s">
        <v>141</v>
      </c>
      <c r="C275" s="23">
        <v>46083</v>
      </c>
      <c r="D275" s="24" t="str">
        <f>_xlfn.XLOOKUP(Table134526_79101120212223242526[[#This Row],[Name Surname]],Manpower!$C$4:$C$1048576,Manpower!$B$4:$B$1048576,"")</f>
        <v>Encogroup</v>
      </c>
      <c r="E275" s="23" t="s">
        <v>217</v>
      </c>
      <c r="F275" s="12">
        <f>_xlfn.XLOOKUP(Table134526_79101120212223242526[[#This Row],[Name Surname]],Manpower!C:C,Manpower!D:D,)</f>
        <v>140742177</v>
      </c>
      <c r="G275" s="24" t="str">
        <f>_xlfn.XLOOKUP(Table134526_79101120212223242526[[#This Row],[Name Surname]],Manpower!$C$4:$C$1048576,Manpower!$F$4:$F$1048576,"")</f>
        <v>Grinder</v>
      </c>
      <c r="H275" s="24" t="str">
        <f>_xlfn.XLOOKUP(Table134526_79101120212223242526[[#This Row],[Name Surname]],Manpower!$C$4:$C$1048576,Manpower!$H$4:$H$1048576,"")</f>
        <v>Manpower</v>
      </c>
      <c r="I275" s="24" t="str">
        <f>_xlfn.XLOOKUP(Table134526_79101120212223242526[[#This Row],[Name Surname]],Manpower!$C$4:$C$1048576,Manpower!$H$4:$H$1048576,"")</f>
        <v>Manpower</v>
      </c>
      <c r="J275" s="21" t="s">
        <v>143</v>
      </c>
      <c r="K275" s="21" t="s">
        <v>26</v>
      </c>
      <c r="L275" s="21" t="s">
        <v>144</v>
      </c>
      <c r="M275" s="21" t="s">
        <v>55</v>
      </c>
      <c r="N275" s="29">
        <v>10</v>
      </c>
      <c r="R275" s="21" t="s">
        <v>227</v>
      </c>
    </row>
    <row r="276" spans="1:18" ht="14.4" hidden="1">
      <c r="A276" s="33">
        <f>IF(C276="","",MAX($A$1:A275)+1)</f>
        <v>259</v>
      </c>
      <c r="B276" s="27" t="s">
        <v>141</v>
      </c>
      <c r="C276" s="23">
        <v>46083</v>
      </c>
      <c r="D276" s="24" t="str">
        <f>_xlfn.XLOOKUP(Table134526_79101120212223242526[[#This Row],[Name Surname]],Manpower!$C$4:$C$1048576,Manpower!$B$4:$B$1048576,"")</f>
        <v>Encogroup</v>
      </c>
      <c r="E276" s="23" t="s">
        <v>218</v>
      </c>
      <c r="F276" s="12">
        <f>_xlfn.XLOOKUP(Table134526_79101120212223242526[[#This Row],[Name Surname]],Manpower!C:C,Manpower!D:D,)</f>
        <v>116853914</v>
      </c>
      <c r="G276" s="24" t="str">
        <f>_xlfn.XLOOKUP(Table134526_79101120212223242526[[#This Row],[Name Surname]],Manpower!$C$4:$C$1048576,Manpower!$F$4:$F$1048576,"")</f>
        <v>Electrical Supervisor</v>
      </c>
      <c r="H276" s="24" t="str">
        <f>_xlfn.XLOOKUP(Table134526_79101120212223242526[[#This Row],[Name Surname]],Manpower!$C$4:$C$1048576,Manpower!$H$4:$H$1048576,"")</f>
        <v>Manpower</v>
      </c>
      <c r="I276" s="24" t="str">
        <f>_xlfn.XLOOKUP(Table134526_79101120212223242526[[#This Row],[Name Surname]],Manpower!$C$4:$C$1048576,Manpower!$H$4:$H$1048576,"")</f>
        <v>Manpower</v>
      </c>
      <c r="J276" s="21" t="s">
        <v>158</v>
      </c>
      <c r="K276" s="21" t="s">
        <v>26</v>
      </c>
      <c r="L276" s="21" t="s">
        <v>26</v>
      </c>
      <c r="M276" s="21" t="s">
        <v>55</v>
      </c>
      <c r="N276" s="29">
        <v>10</v>
      </c>
      <c r="R276" s="21" t="s">
        <v>227</v>
      </c>
    </row>
    <row r="277" spans="1:18" ht="14.4">
      <c r="A277" s="33">
        <f>IF(C277="","",MAX($A$1:A276)+1)</f>
        <v>260</v>
      </c>
      <c r="B277" s="27" t="s">
        <v>141</v>
      </c>
      <c r="C277" s="23">
        <v>46083</v>
      </c>
      <c r="D277" s="24" t="str">
        <f>_xlfn.XLOOKUP(Table134526_79101120212223242526[[#This Row],[Name Surname]],Manpower!$C$4:$C$1048576,Manpower!$B$4:$B$1048576,"")</f>
        <v>Encogroup</v>
      </c>
      <c r="E277" s="23" t="s">
        <v>219</v>
      </c>
      <c r="F277" s="12" t="e">
        <f>_xlfn.XLOOKUP(Table134526_79101120212223242526[[#This Row],[Name Surname]],Manpower!C:C,Manpower!D:D,)</f>
        <v>#N/A</v>
      </c>
      <c r="G277" s="24" t="str">
        <f>_xlfn.XLOOKUP(Table134526_79101120212223242526[[#This Row],[Name Surname]],Manpower!$C$4:$C$1048576,Manpower!$F$4:$F$1048576,"")</f>
        <v>TOWER LIGHT</v>
      </c>
      <c r="H277" s="24" t="str">
        <f>_xlfn.XLOOKUP(Table134526_79101120212223242526[[#This Row],[Name Surname]],Manpower!$C$4:$C$1048576,Manpower!$H$4:$H$1048576,"")</f>
        <v>Equipment</v>
      </c>
      <c r="I277" s="24" t="str">
        <f>_xlfn.XLOOKUP(Table134526_79101120212223242526[[#This Row],[Name Surname]],Manpower!$C$4:$C$1048576,Manpower!$H$4:$H$1048576,"")</f>
        <v>Equipment</v>
      </c>
      <c r="J277" s="21" t="s">
        <v>143</v>
      </c>
      <c r="K277" s="21" t="s">
        <v>26</v>
      </c>
      <c r="L277" s="21" t="s">
        <v>144</v>
      </c>
      <c r="M277" s="21" t="s">
        <v>55</v>
      </c>
      <c r="N277" s="29">
        <v>10</v>
      </c>
      <c r="R277" s="21" t="s">
        <v>227</v>
      </c>
    </row>
    <row r="278" spans="1:18" ht="14.4">
      <c r="A278" s="33">
        <f>IF(C278="","",MAX($A$1:A277)+1)</f>
        <v>261</v>
      </c>
      <c r="B278" s="27" t="s">
        <v>141</v>
      </c>
      <c r="C278" s="23">
        <v>46083</v>
      </c>
      <c r="D278" s="24" t="str">
        <f>_xlfn.XLOOKUP(Table134526_79101120212223242526[[#This Row],[Name Surname]],Manpower!$C$4:$C$1048576,Manpower!$B$4:$B$1048576,"")</f>
        <v>Encogroup</v>
      </c>
      <c r="E278" s="23" t="s">
        <v>220</v>
      </c>
      <c r="F278" s="12" t="e">
        <f>_xlfn.XLOOKUP(Table134526_79101120212223242526[[#This Row],[Name Surname]],Manpower!C:C,Manpower!D:D,)</f>
        <v>#N/A</v>
      </c>
      <c r="G278" s="24" t="str">
        <f>_xlfn.XLOOKUP(Table134526_79101120212223242526[[#This Row],[Name Surname]],Manpower!$C$4:$C$1048576,Manpower!$F$4:$F$1048576,"")</f>
        <v>TOWER LIGHT</v>
      </c>
      <c r="H278" s="24" t="str">
        <f>_xlfn.XLOOKUP(Table134526_79101120212223242526[[#This Row],[Name Surname]],Manpower!$C$4:$C$1048576,Manpower!$H$4:$H$1048576,"")</f>
        <v>Equipment</v>
      </c>
      <c r="I278" s="24" t="str">
        <f>_xlfn.XLOOKUP(Table134526_79101120212223242526[[#This Row],[Name Surname]],Manpower!$C$4:$C$1048576,Manpower!$H$4:$H$1048576,"")</f>
        <v>Equipment</v>
      </c>
      <c r="J278" s="21" t="s">
        <v>143</v>
      </c>
      <c r="K278" s="21" t="s">
        <v>26</v>
      </c>
      <c r="L278" s="21" t="s">
        <v>144</v>
      </c>
      <c r="M278" s="21" t="s">
        <v>55</v>
      </c>
      <c r="N278" s="29">
        <v>10</v>
      </c>
      <c r="R278" s="21" t="s">
        <v>227</v>
      </c>
    </row>
    <row r="279" spans="1:18" ht="14.4" hidden="1">
      <c r="A279" s="33">
        <f>IF(C279="","",MAX($A$1:A278)+1)</f>
        <v>262</v>
      </c>
      <c r="B279" s="27" t="s">
        <v>141</v>
      </c>
      <c r="C279" s="23">
        <v>46083</v>
      </c>
      <c r="D279" s="24" t="str">
        <f>_xlfn.XLOOKUP(Table134526_79101120212223242526[[#This Row],[Name Surname]],Manpower!$C$4:$C$1048576,Manpower!$B$4:$B$1048576,"")</f>
        <v>AL Omar International Tarde&amp;Contracting SPC</v>
      </c>
      <c r="E279" s="23" t="s">
        <v>221</v>
      </c>
      <c r="F279" s="12">
        <f>_xlfn.XLOOKUP(Table134526_79101120212223242526[[#This Row],[Name Surname]],Manpower!C:C,Manpower!D:D,)</f>
        <v>115122635</v>
      </c>
      <c r="G279" s="24" t="str">
        <f>_xlfn.XLOOKUP(Table134526_79101120212223242526[[#This Row],[Name Surname]],Manpower!$C$4:$C$1048576,Manpower!$F$4:$F$1048576,"")</f>
        <v>Scaffolder</v>
      </c>
      <c r="H279" s="24" t="str">
        <f>_xlfn.XLOOKUP(Table134526_79101120212223242526[[#This Row],[Name Surname]],Manpower!$C$4:$C$1048576,Manpower!$H$4:$H$1048576,"")</f>
        <v>Sub Contactor</v>
      </c>
      <c r="I279" s="24" t="str">
        <f>_xlfn.XLOOKUP(Table134526_79101120212223242526[[#This Row],[Name Surname]],Manpower!$C$4:$C$1048576,Manpower!$H$4:$H$1048576,"")</f>
        <v>Sub Contactor</v>
      </c>
      <c r="J279" s="21" t="s">
        <v>143</v>
      </c>
      <c r="K279" s="21" t="s">
        <v>26</v>
      </c>
      <c r="L279" s="21" t="s">
        <v>144</v>
      </c>
      <c r="M279" s="21" t="s">
        <v>55</v>
      </c>
      <c r="N279" s="29">
        <v>10</v>
      </c>
      <c r="R279" s="21" t="s">
        <v>227</v>
      </c>
    </row>
    <row r="280" spans="1:18" ht="14.4" hidden="1">
      <c r="A280" s="33">
        <f>IF(C280="","",MAX($A$1:A279)+1)</f>
        <v>263</v>
      </c>
      <c r="B280" s="27" t="s">
        <v>141</v>
      </c>
      <c r="C280" s="23">
        <v>46083</v>
      </c>
      <c r="D280" s="24" t="str">
        <f>_xlfn.XLOOKUP(Table134526_79101120212223242526[[#This Row],[Name Surname]],Manpower!$C$4:$C$1048576,Manpower!$B$4:$B$1048576,"")</f>
        <v>Encogroup</v>
      </c>
      <c r="E280" s="23" t="s">
        <v>168</v>
      </c>
      <c r="F280" s="12">
        <f>_xlfn.XLOOKUP(Table134526_79101120212223242526[[#This Row],[Name Surname]],Manpower!C:C,Manpower!D:D,)</f>
        <v>137114773</v>
      </c>
      <c r="G280" s="24" t="str">
        <f>_xlfn.XLOOKUP(Table134526_79101120212223242526[[#This Row],[Name Surname]],Manpower!$C$4:$C$1048576,Manpower!$F$4:$F$1048576,"")</f>
        <v>Rigger</v>
      </c>
      <c r="H280" s="24" t="str">
        <f>_xlfn.XLOOKUP(Table134526_79101120212223242526[[#This Row],[Name Surname]],Manpower!$C$4:$C$1048576,Manpower!$H$4:$H$1048576,"")</f>
        <v>Manpower</v>
      </c>
      <c r="I280" s="24" t="str">
        <f>_xlfn.XLOOKUP(Table134526_79101120212223242526[[#This Row],[Name Surname]],Manpower!$C$4:$C$1048576,Manpower!$H$4:$H$1048576,"")</f>
        <v>Manpower</v>
      </c>
      <c r="J280" s="21" t="s">
        <v>143</v>
      </c>
      <c r="K280" s="21" t="s">
        <v>26</v>
      </c>
      <c r="L280" s="21" t="s">
        <v>144</v>
      </c>
      <c r="M280" s="21" t="s">
        <v>55</v>
      </c>
      <c r="N280" s="29">
        <v>10</v>
      </c>
      <c r="R280" s="21" t="s">
        <v>227</v>
      </c>
    </row>
    <row r="281" spans="1:18" ht="14.4" hidden="1">
      <c r="A281" s="33">
        <f>IF(C281="","",MAX($A$1:A280)+1)</f>
        <v>264</v>
      </c>
      <c r="B281" s="27" t="s">
        <v>141</v>
      </c>
      <c r="C281" s="23">
        <v>46083</v>
      </c>
      <c r="D281" s="24" t="str">
        <f>_xlfn.XLOOKUP(Table134526_79101120212223242526[[#This Row],[Name Surname]],Manpower!$C$4:$C$1048576,Manpower!$B$4:$B$1048576,"")</f>
        <v>Encogroup</v>
      </c>
      <c r="E281" s="23" t="s">
        <v>222</v>
      </c>
      <c r="F281" s="12">
        <f>_xlfn.XLOOKUP(Table134526_79101120212223242526[[#This Row],[Name Surname]],Manpower!C:C,Manpower!D:D,)</f>
        <v>122082863</v>
      </c>
      <c r="G281" s="24" t="str">
        <f>_xlfn.XLOOKUP(Table134526_79101120212223242526[[#This Row],[Name Surname]],Manpower!$C$4:$C$1048576,Manpower!$F$4:$F$1048576,"")</f>
        <v>Grinder</v>
      </c>
      <c r="H281" s="24" t="str">
        <f>_xlfn.XLOOKUP(Table134526_79101120212223242526[[#This Row],[Name Surname]],Manpower!$C$4:$C$1048576,Manpower!$H$4:$H$1048576,"")</f>
        <v>Manpower</v>
      </c>
      <c r="I281" s="24" t="str">
        <f>_xlfn.XLOOKUP(Table134526_79101120212223242526[[#This Row],[Name Surname]],Manpower!$C$4:$C$1048576,Manpower!$H$4:$H$1048576,"")</f>
        <v>Manpower</v>
      </c>
      <c r="J281" s="21" t="s">
        <v>143</v>
      </c>
      <c r="K281" s="21" t="s">
        <v>26</v>
      </c>
      <c r="L281" s="21" t="s">
        <v>144</v>
      </c>
      <c r="M281" s="21" t="s">
        <v>55</v>
      </c>
      <c r="N281" s="29">
        <v>10</v>
      </c>
      <c r="R281" s="21" t="s">
        <v>227</v>
      </c>
    </row>
    <row r="282" spans="1:18" ht="14.4" hidden="1">
      <c r="A282" s="33">
        <f>IF(C282="","",MAX($A$1:A281)+1)</f>
        <v>265</v>
      </c>
      <c r="B282" s="27" t="s">
        <v>141</v>
      </c>
      <c r="C282" s="23">
        <v>46083</v>
      </c>
      <c r="D282" s="24" t="str">
        <f>_xlfn.XLOOKUP(Table134526_79101120212223242526[[#This Row],[Name Surname]],Manpower!$C$4:$C$1048576,Manpower!$B$4:$B$1048576,"")</f>
        <v>Encogroup</v>
      </c>
      <c r="E282" s="23" t="s">
        <v>223</v>
      </c>
      <c r="F282" s="12">
        <f>_xlfn.XLOOKUP(Table134526_79101120212223242526[[#This Row],[Name Surname]],Manpower!C:C,Manpower!D:D,)</f>
        <v>140696989</v>
      </c>
      <c r="G282" s="24" t="str">
        <f>_xlfn.XLOOKUP(Table134526_79101120212223242526[[#This Row],[Name Surname]],Manpower!$C$4:$C$1048576,Manpower!$F$4:$F$1048576,"")</f>
        <v>Assistant/Helper</v>
      </c>
      <c r="H282" s="24" t="str">
        <f>_xlfn.XLOOKUP(Table134526_79101120212223242526[[#This Row],[Name Surname]],Manpower!$C$4:$C$1048576,Manpower!$H$4:$H$1048576,"")</f>
        <v>Manpower</v>
      </c>
      <c r="I282" s="24" t="str">
        <f>_xlfn.XLOOKUP(Table134526_79101120212223242526[[#This Row],[Name Surname]],Manpower!$C$4:$C$1048576,Manpower!$H$4:$H$1048576,"")</f>
        <v>Manpower</v>
      </c>
      <c r="J282" s="21" t="s">
        <v>158</v>
      </c>
      <c r="K282" s="21" t="s">
        <v>26</v>
      </c>
      <c r="L282" s="21" t="s">
        <v>26</v>
      </c>
      <c r="M282" s="21" t="s">
        <v>55</v>
      </c>
      <c r="N282" s="29">
        <v>10</v>
      </c>
      <c r="R282" s="21" t="s">
        <v>227</v>
      </c>
    </row>
    <row r="283" spans="1:18" s="21" customFormat="1" ht="14.4" hidden="1">
      <c r="A283" s="33">
        <f>IF(C283="","",MAX($A$1:A282)+1)</f>
        <v>266</v>
      </c>
      <c r="B283" s="27" t="s">
        <v>141</v>
      </c>
      <c r="C283" s="23">
        <v>46083</v>
      </c>
      <c r="D283" s="28" t="str">
        <f>_xlfn.XLOOKUP(Table134526_79101120212223242526[[#This Row],[Name Surname]],Manpower!$C$4:$C$1048576,Manpower!$B$4:$B$1048576,"")</f>
        <v>Encogroup</v>
      </c>
      <c r="E283" s="23" t="s">
        <v>224</v>
      </c>
      <c r="F283" s="12">
        <f>_xlfn.XLOOKUP(Table134526_79101120212223242526[[#This Row],[Name Surname]],Manpower!C:C,Manpower!D:D,)</f>
        <v>141365094</v>
      </c>
      <c r="G283" s="28" t="str">
        <f>_xlfn.XLOOKUP(Table134526_79101120212223242526[[#This Row],[Name Surname]],Manpower!$C$4:$C$1048576,Manpower!$F$4:$F$1048576,"")</f>
        <v>Helper</v>
      </c>
      <c r="H283" s="28" t="str">
        <f>_xlfn.XLOOKUP(Table134526_79101120212223242526[[#This Row],[Name Surname]],Manpower!$C$4:$C$1048576,Manpower!$H$4:$H$1048576,"")</f>
        <v>Manpower</v>
      </c>
      <c r="I283" s="24" t="str">
        <f>_xlfn.XLOOKUP(Table134526_79101120212223242526[[#This Row],[Name Surname]],Manpower!$C$4:$C$1048576,Manpower!$H$4:$H$1048576,"")</f>
        <v>Manpower</v>
      </c>
      <c r="J283" s="21" t="s">
        <v>143</v>
      </c>
      <c r="K283" s="21" t="s">
        <v>26</v>
      </c>
      <c r="L283" s="21" t="s">
        <v>144</v>
      </c>
      <c r="M283" s="21" t="s">
        <v>55</v>
      </c>
      <c r="N283" s="29">
        <v>10</v>
      </c>
      <c r="R283" s="21" t="s">
        <v>227</v>
      </c>
    </row>
    <row r="284" spans="1:18" s="21" customFormat="1" ht="14.4" hidden="1">
      <c r="A284" s="33">
        <f>IF(C284="","",MAX($A$1:A283)+1)</f>
        <v>267</v>
      </c>
      <c r="B284" s="27" t="s">
        <v>141</v>
      </c>
      <c r="C284" s="23">
        <v>46083</v>
      </c>
      <c r="D284" s="28" t="str">
        <f>_xlfn.XLOOKUP(Table134526_79101120212223242526[[#This Row],[Name Surname]],Manpower!$C$4:$C$1048576,Manpower!$B$4:$B$1048576,"")</f>
        <v xml:space="preserve">FAL Transport </v>
      </c>
      <c r="E284" s="23" t="s">
        <v>225</v>
      </c>
      <c r="F284" s="12">
        <f>_xlfn.XLOOKUP(Table134526_79101120212223242526[[#This Row],[Name Surname]],Manpower!C:C,Manpower!D:D,)</f>
        <v>124233837</v>
      </c>
      <c r="G284" s="28" t="str">
        <f>_xlfn.XLOOKUP(Table134526_79101120212223242526[[#This Row],[Name Surname]],Manpower!$C$4:$C$1048576,Manpower!$F$4:$F$1048576,"")</f>
        <v>Trailer Driver</v>
      </c>
      <c r="H284" s="28" t="str">
        <f>_xlfn.XLOOKUP(Table134526_79101120212223242526[[#This Row],[Name Surname]],Manpower!$C$4:$C$1048576,Manpower!$H$4:$H$1048576,"")</f>
        <v>Sub Contactor</v>
      </c>
      <c r="I284" s="24" t="str">
        <f>_xlfn.XLOOKUP(Table134526_79101120212223242526[[#This Row],[Name Surname]],Manpower!$C$4:$C$1048576,Manpower!$H$4:$H$1048576,"")</f>
        <v>Sub Contactor</v>
      </c>
      <c r="J284" s="21" t="s">
        <v>143</v>
      </c>
      <c r="K284" s="21" t="s">
        <v>26</v>
      </c>
      <c r="L284" s="21" t="s">
        <v>144</v>
      </c>
      <c r="M284" s="21" t="s">
        <v>55</v>
      </c>
      <c r="N284" s="29">
        <v>10</v>
      </c>
      <c r="R284" s="21" t="s">
        <v>227</v>
      </c>
    </row>
    <row r="285" spans="1:18" s="21" customFormat="1" ht="14.4">
      <c r="A285" s="33">
        <f>IF(C285="","",MAX($A$1:A284)+1)</f>
        <v>268</v>
      </c>
      <c r="B285" s="22" t="s">
        <v>19</v>
      </c>
      <c r="C285" s="23">
        <v>46084</v>
      </c>
      <c r="D285" s="28" t="str">
        <f>_xlfn.XLOOKUP(Table134526_79101120212223242526[[#This Row],[Name Surname]],Manpower!$C$4:$C$1048576,Manpower!$B$4:$B$1048576,"")</f>
        <v>Riyan Al Khaleej</v>
      </c>
      <c r="E285" s="23" t="s">
        <v>20</v>
      </c>
      <c r="F285" s="12" t="e">
        <f>_xlfn.XLOOKUP(Table134526_79101120212223242526[[#This Row],[Name Surname]],Manpower!C:C,Manpower!D:D,)</f>
        <v>#N/A</v>
      </c>
      <c r="G285" s="28" t="str">
        <f>_xlfn.XLOOKUP(Table134526_79101120212223242526[[#This Row],[Name Surname]],Manpower!$C$4:$C$1048576,Manpower!$F$4:$F$1048576,"")</f>
        <v>100T Telescopic Crane</v>
      </c>
      <c r="H285" s="28" t="str">
        <f>_xlfn.XLOOKUP(Table134526_79101120212223242526[[#This Row],[Name Surname]],Manpower!$C$4:$C$1048576,Manpower!$H$4:$H$1048576,"")</f>
        <v>Equipment</v>
      </c>
      <c r="I285" s="24" t="str">
        <f>_xlfn.XLOOKUP(Table134526_79101120212223242526[[#This Row],[Name Surname]],Manpower!$C$4:$C$1048576,Manpower!$H$4:$H$1048576,"")</f>
        <v>Equipment</v>
      </c>
      <c r="J285" s="21" t="s">
        <v>21</v>
      </c>
      <c r="K285" s="21" t="s">
        <v>22</v>
      </c>
      <c r="L285" s="21" t="s">
        <v>23</v>
      </c>
      <c r="M285" s="21" t="s">
        <v>55</v>
      </c>
      <c r="N285" s="29">
        <v>10</v>
      </c>
      <c r="R285" s="21" t="s">
        <v>227</v>
      </c>
    </row>
    <row r="286" spans="1:18" s="21" customFormat="1" ht="14.4" hidden="1">
      <c r="A286" s="33">
        <f>IF(C286="","",MAX($A$1:A285)+1)</f>
        <v>269</v>
      </c>
      <c r="B286" s="22" t="s">
        <v>19</v>
      </c>
      <c r="C286" s="23">
        <v>46084</v>
      </c>
      <c r="D286" s="28" t="str">
        <f>_xlfn.XLOOKUP(Table134526_79101120212223242526[[#This Row],[Name Surname]],Manpower!$C$4:$C$1048576,Manpower!$B$4:$B$1048576,"")</f>
        <v>Encogroup</v>
      </c>
      <c r="E286" s="23" t="s">
        <v>27</v>
      </c>
      <c r="F286" s="12">
        <f>_xlfn.XLOOKUP(Table134526_79101120212223242526[[#This Row],[Name Surname]],Manpower!C:C,Manpower!D:D,)</f>
        <v>127414586</v>
      </c>
      <c r="G286" s="28" t="str">
        <f>_xlfn.XLOOKUP(Table134526_79101120212223242526[[#This Row],[Name Surname]],Manpower!$C$4:$C$1048576,Manpower!$F$4:$F$1048576,"")</f>
        <v>Electrician</v>
      </c>
      <c r="H286" s="28" t="str">
        <f>_xlfn.XLOOKUP(Table134526_79101120212223242526[[#This Row],[Name Surname]],Manpower!$C$4:$C$1048576,Manpower!$H$4:$H$1048576,"")</f>
        <v>Manpower</v>
      </c>
      <c r="I286" s="24" t="str">
        <f>_xlfn.XLOOKUP(Table134526_79101120212223242526[[#This Row],[Name Surname]],Manpower!$C$4:$C$1048576,Manpower!$H$4:$H$1048576,"")</f>
        <v>Manpower</v>
      </c>
      <c r="J286" s="21" t="s">
        <v>21</v>
      </c>
      <c r="K286" s="21" t="s">
        <v>22</v>
      </c>
      <c r="L286" s="21" t="s">
        <v>23</v>
      </c>
      <c r="M286" s="21" t="s">
        <v>55</v>
      </c>
      <c r="N286" s="29">
        <v>5</v>
      </c>
      <c r="R286" s="21" t="s">
        <v>227</v>
      </c>
    </row>
    <row r="287" spans="1:18" s="21" customFormat="1" ht="14.4" hidden="1">
      <c r="A287" s="33">
        <f>IF(C287="","",MAX($A$1:A286)+1)</f>
        <v>270</v>
      </c>
      <c r="B287" s="22" t="s">
        <v>19</v>
      </c>
      <c r="C287" s="23">
        <v>46084</v>
      </c>
      <c r="D287" s="28" t="str">
        <f>_xlfn.XLOOKUP(Table134526_79101120212223242526[[#This Row],[Name Surname]],Manpower!$C$4:$C$1048576,Manpower!$B$4:$B$1048576,"")</f>
        <v>Encogroup</v>
      </c>
      <c r="E287" s="23" t="s">
        <v>29</v>
      </c>
      <c r="F287" s="12">
        <f>_xlfn.XLOOKUP(Table134526_79101120212223242526[[#This Row],[Name Surname]],Manpower!C:C,Manpower!D:D,)</f>
        <v>127331574</v>
      </c>
      <c r="G287" s="28" t="str">
        <f>_xlfn.XLOOKUP(Table134526_79101120212223242526[[#This Row],[Name Surname]],Manpower!$C$4:$C$1048576,Manpower!$F$4:$F$1048576,"")</f>
        <v>Permit Receiver</v>
      </c>
      <c r="H287" s="28" t="str">
        <f>_xlfn.XLOOKUP(Table134526_79101120212223242526[[#This Row],[Name Surname]],Manpower!$C$4:$C$1048576,Manpower!$H$4:$H$1048576,"")</f>
        <v>Manpower</v>
      </c>
      <c r="I287" s="24" t="str">
        <f>_xlfn.XLOOKUP(Table134526_79101120212223242526[[#This Row],[Name Surname]],Manpower!$C$4:$C$1048576,Manpower!$H$4:$H$1048576,"")</f>
        <v>Manpower</v>
      </c>
      <c r="J287" s="21" t="s">
        <v>21</v>
      </c>
      <c r="K287" s="21" t="s">
        <v>22</v>
      </c>
      <c r="L287" s="21" t="s">
        <v>23</v>
      </c>
      <c r="M287" s="21" t="s">
        <v>55</v>
      </c>
      <c r="N287" s="29">
        <v>10</v>
      </c>
      <c r="R287" s="21" t="s">
        <v>227</v>
      </c>
    </row>
    <row r="288" spans="1:18" s="21" customFormat="1" ht="14.4" hidden="1">
      <c r="A288" s="33">
        <f>IF(C288="","",MAX($A$1:A287)+1)</f>
        <v>271</v>
      </c>
      <c r="B288" s="22" t="s">
        <v>19</v>
      </c>
      <c r="C288" s="23">
        <v>46084</v>
      </c>
      <c r="D288" s="28" t="str">
        <f>_xlfn.XLOOKUP(Table134526_79101120212223242526[[#This Row],[Name Surname]],Manpower!$C$4:$C$1048576,Manpower!$B$4:$B$1048576,"")</f>
        <v>Encogroup</v>
      </c>
      <c r="E288" s="23" t="s">
        <v>30</v>
      </c>
      <c r="F288" s="12">
        <f>_xlfn.XLOOKUP(Table134526_79101120212223242526[[#This Row],[Name Surname]],Manpower!C:C,Manpower!D:D,)</f>
        <v>116589569</v>
      </c>
      <c r="G288" s="28" t="str">
        <f>_xlfn.XLOOKUP(Table134526_79101120212223242526[[#This Row],[Name Surname]],Manpower!$C$4:$C$1048576,Manpower!$F$4:$F$1048576,"")</f>
        <v>Mechanical Engineer</v>
      </c>
      <c r="H288" s="28" t="str">
        <f>_xlfn.XLOOKUP(Table134526_79101120212223242526[[#This Row],[Name Surname]],Manpower!$C$4:$C$1048576,Manpower!$H$4:$H$1048576,"")</f>
        <v>Manpower</v>
      </c>
      <c r="I288" s="24" t="str">
        <f>_xlfn.XLOOKUP(Table134526_79101120212223242526[[#This Row],[Name Surname]],Manpower!$C$4:$C$1048576,Manpower!$H$4:$H$1048576,"")</f>
        <v>Manpower</v>
      </c>
      <c r="J288" s="21" t="s">
        <v>21</v>
      </c>
      <c r="K288" s="21" t="s">
        <v>22</v>
      </c>
      <c r="L288" s="21" t="s">
        <v>23</v>
      </c>
      <c r="M288" s="21" t="s">
        <v>55</v>
      </c>
      <c r="N288" s="29">
        <v>10</v>
      </c>
      <c r="R288" s="21" t="s">
        <v>227</v>
      </c>
    </row>
    <row r="289" spans="1:18" s="21" customFormat="1" ht="14.4" hidden="1">
      <c r="A289" s="33">
        <f>IF(C289="","",MAX($A$1:A288)+1)</f>
        <v>272</v>
      </c>
      <c r="B289" s="22" t="s">
        <v>19</v>
      </c>
      <c r="C289" s="23">
        <v>46084</v>
      </c>
      <c r="D289" s="28" t="str">
        <f>_xlfn.XLOOKUP(Table134526_79101120212223242526[[#This Row],[Name Surname]],Manpower!$C$4:$C$1048576,Manpower!$B$4:$B$1048576,"")</f>
        <v>Encogroup</v>
      </c>
      <c r="E289" s="23" t="s">
        <v>31</v>
      </c>
      <c r="F289" s="12">
        <f>_xlfn.XLOOKUP(Table134526_79101120212223242526[[#This Row],[Name Surname]],Manpower!C:C,Manpower!D:D,)</f>
        <v>99596058</v>
      </c>
      <c r="G289" s="28" t="str">
        <f>_xlfn.XLOOKUP(Table134526_79101120212223242526[[#This Row],[Name Surname]],Manpower!$C$4:$C$1048576,Manpower!$F$4:$F$1048576,"")</f>
        <v>HSE Officer</v>
      </c>
      <c r="H289" s="28" t="str">
        <f>_xlfn.XLOOKUP(Table134526_79101120212223242526[[#This Row],[Name Surname]],Manpower!$C$4:$C$1048576,Manpower!$H$4:$H$1048576,"")</f>
        <v>Manpower</v>
      </c>
      <c r="I289" s="24" t="str">
        <f>_xlfn.XLOOKUP(Table134526_79101120212223242526[[#This Row],[Name Surname]],Manpower!$C$4:$C$1048576,Manpower!$H$4:$H$1048576,"")</f>
        <v>Manpower</v>
      </c>
      <c r="J289" s="21" t="s">
        <v>21</v>
      </c>
      <c r="K289" s="21" t="s">
        <v>22</v>
      </c>
      <c r="L289" s="21" t="s">
        <v>23</v>
      </c>
      <c r="M289" s="21" t="s">
        <v>55</v>
      </c>
      <c r="N289" s="29">
        <v>10</v>
      </c>
      <c r="R289" s="21" t="s">
        <v>227</v>
      </c>
    </row>
    <row r="290" spans="1:18" s="21" customFormat="1" ht="14.4" hidden="1">
      <c r="A290" s="33">
        <f>IF(C290="","",MAX($A$1:A289)+1)</f>
        <v>273</v>
      </c>
      <c r="B290" s="22" t="s">
        <v>19</v>
      </c>
      <c r="C290" s="23">
        <v>46084</v>
      </c>
      <c r="D290" s="28" t="str">
        <f>_xlfn.XLOOKUP(Table134526_79101120212223242526[[#This Row],[Name Surname]],Manpower!$C$4:$C$1048576,Manpower!$B$4:$B$1048576,"")</f>
        <v>Encogroup</v>
      </c>
      <c r="E290" s="18" t="s">
        <v>32</v>
      </c>
      <c r="F290" s="12">
        <f>_xlfn.XLOOKUP(Table134526_79101120212223242526[[#This Row],[Name Surname]],Manpower!C:C,Manpower!D:D,)</f>
        <v>140697039</v>
      </c>
      <c r="G290" s="28" t="str">
        <f>_xlfn.XLOOKUP(Table134526_79101120212223242526[[#This Row],[Name Surname]],Manpower!$C$4:$C$1048576,Manpower!$F$4:$F$1048576,"")</f>
        <v>Fitter/Erector</v>
      </c>
      <c r="H290" s="28" t="str">
        <f>_xlfn.XLOOKUP(Table134526_79101120212223242526[[#This Row],[Name Surname]],Manpower!$C$4:$C$1048576,Manpower!$H$4:$H$1048576,"")</f>
        <v>Manpower</v>
      </c>
      <c r="I290" s="24" t="str">
        <f>_xlfn.XLOOKUP(Table134526_79101120212223242526[[#This Row],[Name Surname]],Manpower!$C$4:$C$1048576,Manpower!$H$4:$H$1048576,"")</f>
        <v>Manpower</v>
      </c>
      <c r="J290" s="21" t="s">
        <v>21</v>
      </c>
      <c r="K290" s="21" t="s">
        <v>22</v>
      </c>
      <c r="L290" s="21" t="s">
        <v>23</v>
      </c>
      <c r="M290" s="21" t="s">
        <v>55</v>
      </c>
      <c r="N290" s="29">
        <v>10</v>
      </c>
      <c r="R290" s="21" t="s">
        <v>227</v>
      </c>
    </row>
    <row r="291" spans="1:18" s="21" customFormat="1" ht="14.4" hidden="1">
      <c r="A291" s="33">
        <f>IF(C291="","",MAX($A$1:A290)+1)</f>
        <v>274</v>
      </c>
      <c r="B291" s="22" t="s">
        <v>19</v>
      </c>
      <c r="C291" s="23">
        <v>46084</v>
      </c>
      <c r="D291" s="28" t="str">
        <f>_xlfn.XLOOKUP(Table134526_79101120212223242526[[#This Row],[Name Surname]],Manpower!$C$4:$C$1048576,Manpower!$B$4:$B$1048576,"")</f>
        <v>Encogroup</v>
      </c>
      <c r="E291" s="18" t="s">
        <v>33</v>
      </c>
      <c r="F291" s="12">
        <f>_xlfn.XLOOKUP(Table134526_79101120212223242526[[#This Row],[Name Surname]],Manpower!C:C,Manpower!D:D,)</f>
        <v>124565057</v>
      </c>
      <c r="G291" s="28" t="str">
        <f>_xlfn.XLOOKUP(Table134526_79101120212223242526[[#This Row],[Name Surname]],Manpower!$C$4:$C$1048576,Manpower!$F$4:$F$1048576,"")</f>
        <v>Fitter/Erector</v>
      </c>
      <c r="H291" s="28" t="str">
        <f>_xlfn.XLOOKUP(Table134526_79101120212223242526[[#This Row],[Name Surname]],Manpower!$C$4:$C$1048576,Manpower!$H$4:$H$1048576,"")</f>
        <v>Manpower</v>
      </c>
      <c r="I291" s="24" t="str">
        <f>_xlfn.XLOOKUP(Table134526_79101120212223242526[[#This Row],[Name Surname]],Manpower!$C$4:$C$1048576,Manpower!$H$4:$H$1048576,"")</f>
        <v>Manpower</v>
      </c>
      <c r="J291" s="21" t="s">
        <v>21</v>
      </c>
      <c r="K291" s="21" t="s">
        <v>22</v>
      </c>
      <c r="L291" s="21" t="s">
        <v>23</v>
      </c>
      <c r="M291" s="21" t="s">
        <v>55</v>
      </c>
      <c r="N291" s="29">
        <v>10</v>
      </c>
      <c r="R291" s="21" t="s">
        <v>227</v>
      </c>
    </row>
    <row r="292" spans="1:18" s="21" customFormat="1" ht="14.4" hidden="1">
      <c r="A292" s="33">
        <f>IF(C292="","",MAX($A$1:A291)+1)</f>
        <v>275</v>
      </c>
      <c r="B292" s="22" t="s">
        <v>19</v>
      </c>
      <c r="C292" s="23">
        <v>46084</v>
      </c>
      <c r="D292" s="28" t="str">
        <f>_xlfn.XLOOKUP(Table134526_79101120212223242526[[#This Row],[Name Surname]],Manpower!$C$4:$C$1048576,Manpower!$B$4:$B$1048576,"")</f>
        <v>Encogroup</v>
      </c>
      <c r="E292" s="18" t="s">
        <v>34</v>
      </c>
      <c r="F292" s="12">
        <f>_xlfn.XLOOKUP(Table134526_79101120212223242526[[#This Row],[Name Surname]],Manpower!C:C,Manpower!D:D,)</f>
        <v>141365023</v>
      </c>
      <c r="G292" s="28" t="str">
        <f>_xlfn.XLOOKUP(Table134526_79101120212223242526[[#This Row],[Name Surname]],Manpower!$C$4:$C$1048576,Manpower!$F$4:$F$1048576,"")</f>
        <v>Grinder</v>
      </c>
      <c r="H292" s="28" t="str">
        <f>_xlfn.XLOOKUP(Table134526_79101120212223242526[[#This Row],[Name Surname]],Manpower!$C$4:$C$1048576,Manpower!$H$4:$H$1048576,"")</f>
        <v>Manpower</v>
      </c>
      <c r="I292" s="24" t="str">
        <f>_xlfn.XLOOKUP(Table134526_79101120212223242526[[#This Row],[Name Surname]],Manpower!$C$4:$C$1048576,Manpower!$H$4:$H$1048576,"")</f>
        <v>Manpower</v>
      </c>
      <c r="J292" s="21" t="s">
        <v>21</v>
      </c>
      <c r="K292" s="21" t="s">
        <v>22</v>
      </c>
      <c r="L292" s="21" t="s">
        <v>23</v>
      </c>
      <c r="M292" s="21" t="s">
        <v>55</v>
      </c>
      <c r="N292" s="29">
        <v>10</v>
      </c>
      <c r="R292" s="21" t="s">
        <v>227</v>
      </c>
    </row>
    <row r="293" spans="1:18" s="21" customFormat="1" ht="14.4" hidden="1">
      <c r="A293" s="33">
        <f>IF(C293="","",MAX($A$1:A292)+1)</f>
        <v>276</v>
      </c>
      <c r="B293" s="22" t="s">
        <v>19</v>
      </c>
      <c r="C293" s="23">
        <v>46084</v>
      </c>
      <c r="D293" s="28" t="str">
        <f>_xlfn.XLOOKUP(Table134526_79101120212223242526[[#This Row],[Name Surname]],Manpower!$C$4:$C$1048576,Manpower!$B$4:$B$1048576,"")</f>
        <v>AL Omar International TRAD AND CONT</v>
      </c>
      <c r="E293" s="18" t="s">
        <v>36</v>
      </c>
      <c r="F293" s="12">
        <f>_xlfn.XLOOKUP(Table134526_79101120212223242526[[#This Row],[Name Surname]],Manpower!C:C,Manpower!D:D,)</f>
        <v>114929202</v>
      </c>
      <c r="G293" s="28" t="str">
        <f>_xlfn.XLOOKUP(Table134526_79101120212223242526[[#This Row],[Name Surname]],Manpower!$C$4:$C$1048576,Manpower!$F$4:$F$1048576,"")</f>
        <v>RIgger</v>
      </c>
      <c r="H293" s="28" t="str">
        <f>_xlfn.XLOOKUP(Table134526_79101120212223242526[[#This Row],[Name Surname]],Manpower!$C$4:$C$1048576,Manpower!$H$4:$H$1048576,"")</f>
        <v>Sub Contactor</v>
      </c>
      <c r="I293" s="24" t="str">
        <f>_xlfn.XLOOKUP(Table134526_79101120212223242526[[#This Row],[Name Surname]],Manpower!$C$4:$C$1048576,Manpower!$H$4:$H$1048576,"")</f>
        <v>Sub Contactor</v>
      </c>
      <c r="J293" s="21" t="s">
        <v>21</v>
      </c>
      <c r="K293" s="21" t="s">
        <v>22</v>
      </c>
      <c r="L293" s="21" t="s">
        <v>23</v>
      </c>
      <c r="M293" s="21" t="s">
        <v>55</v>
      </c>
      <c r="N293" s="29">
        <v>10</v>
      </c>
      <c r="R293" s="21" t="s">
        <v>227</v>
      </c>
    </row>
    <row r="294" spans="1:18" s="21" customFormat="1" ht="14.4" hidden="1">
      <c r="A294" s="33">
        <f>IF(C294="","",MAX($A$1:A293)+1)</f>
        <v>277</v>
      </c>
      <c r="B294" s="22" t="s">
        <v>19</v>
      </c>
      <c r="C294" s="23">
        <v>46084</v>
      </c>
      <c r="D294" s="28" t="str">
        <f>_xlfn.XLOOKUP(Table134526_79101120212223242526[[#This Row],[Name Surname]],Manpower!$C$4:$C$1048576,Manpower!$B$4:$B$1048576,"")</f>
        <v>Encogroup</v>
      </c>
      <c r="E294" s="23" t="s">
        <v>37</v>
      </c>
      <c r="F294" s="12">
        <f>_xlfn.XLOOKUP(Table134526_79101120212223242526[[#This Row],[Name Surname]],Manpower!C:C,Manpower!D:D,)</f>
        <v>140742088</v>
      </c>
      <c r="G294" s="28" t="str">
        <f>_xlfn.XLOOKUP(Table134526_79101120212223242526[[#This Row],[Name Surname]],Manpower!$C$4:$C$1048576,Manpower!$F$4:$F$1048576,"")</f>
        <v>Fitter/Erector</v>
      </c>
      <c r="H294" s="28" t="str">
        <f>_xlfn.XLOOKUP(Table134526_79101120212223242526[[#This Row],[Name Surname]],Manpower!$C$4:$C$1048576,Manpower!$H$4:$H$1048576,"")</f>
        <v>Manpower</v>
      </c>
      <c r="I294" s="24" t="str">
        <f>_xlfn.XLOOKUP(Table134526_79101120212223242526[[#This Row],[Name Surname]],Manpower!$C$4:$C$1048576,Manpower!$H$4:$H$1048576,"")</f>
        <v>Manpower</v>
      </c>
      <c r="J294" s="21" t="s">
        <v>21</v>
      </c>
      <c r="K294" s="21" t="s">
        <v>22</v>
      </c>
      <c r="L294" s="21" t="s">
        <v>23</v>
      </c>
      <c r="M294" s="21" t="s">
        <v>55</v>
      </c>
      <c r="N294" s="29">
        <v>10</v>
      </c>
      <c r="R294" s="21" t="s">
        <v>227</v>
      </c>
    </row>
    <row r="295" spans="1:18" s="21" customFormat="1" ht="14.4" hidden="1">
      <c r="A295" s="33">
        <f>IF(C295="","",MAX($A$1:A294)+1)</f>
        <v>278</v>
      </c>
      <c r="B295" s="22" t="s">
        <v>19</v>
      </c>
      <c r="C295" s="23">
        <v>46084</v>
      </c>
      <c r="D295" s="28" t="str">
        <f>_xlfn.XLOOKUP(Table134526_79101120212223242526[[#This Row],[Name Surname]],Manpower!$C$4:$C$1048576,Manpower!$B$4:$B$1048576,"")</f>
        <v>Rial Al Khaleej</v>
      </c>
      <c r="E295" s="23" t="s">
        <v>38</v>
      </c>
      <c r="F295" s="12">
        <f>_xlfn.XLOOKUP(Table134526_79101120212223242526[[#This Row],[Name Surname]],Manpower!C:C,Manpower!D:D,)</f>
        <v>98845403</v>
      </c>
      <c r="G295" s="28" t="str">
        <f>_xlfn.XLOOKUP(Table134526_79101120212223242526[[#This Row],[Name Surname]],Manpower!$C$4:$C$1048576,Manpower!$F$4:$F$1048576,"")</f>
        <v>Crane Operator-100T Zoomlion Telescopic</v>
      </c>
      <c r="H295" s="28" t="str">
        <f>_xlfn.XLOOKUP(Table134526_79101120212223242526[[#This Row],[Name Surname]],Manpower!$C$4:$C$1048576,Manpower!$H$4:$H$1048576,"")</f>
        <v>Manpower</v>
      </c>
      <c r="I295" s="24" t="str">
        <f>_xlfn.XLOOKUP(Table134526_79101120212223242526[[#This Row],[Name Surname]],Manpower!$C$4:$C$1048576,Manpower!$H$4:$H$1048576,"")</f>
        <v>Manpower</v>
      </c>
      <c r="J295" s="21" t="s">
        <v>21</v>
      </c>
      <c r="K295" s="21" t="s">
        <v>22</v>
      </c>
      <c r="L295" s="21" t="s">
        <v>23</v>
      </c>
      <c r="M295" s="21" t="s">
        <v>55</v>
      </c>
      <c r="N295" s="29">
        <v>10</v>
      </c>
      <c r="R295" s="21" t="s">
        <v>227</v>
      </c>
    </row>
    <row r="296" spans="1:18" s="21" customFormat="1" ht="14.4" hidden="1">
      <c r="A296" s="33">
        <f>IF(C296="","",MAX($A$1:A295)+1)</f>
        <v>279</v>
      </c>
      <c r="B296" s="25" t="s">
        <v>19</v>
      </c>
      <c r="C296" s="23">
        <v>46084</v>
      </c>
      <c r="D296" s="28" t="str">
        <f>_xlfn.XLOOKUP(Table134526_79101120212223242526[[#This Row],[Name Surname]],Manpower!$C$4:$C$1048576,Manpower!$B$4:$B$1048576,"")</f>
        <v>Encogroup</v>
      </c>
      <c r="E296" s="18" t="s">
        <v>44</v>
      </c>
      <c r="F296" s="12">
        <f>_xlfn.XLOOKUP(Table134526_79101120212223242526[[#This Row],[Name Surname]],Manpower!C:C,Manpower!D:D,)</f>
        <v>140806218</v>
      </c>
      <c r="G296" s="28" t="str">
        <f>_xlfn.XLOOKUP(Table134526_79101120212223242526[[#This Row],[Name Surname]],Manpower!$C$4:$C$1048576,Manpower!$F$4:$F$1048576,"")</f>
        <v>Fitter/Erector</v>
      </c>
      <c r="H296" s="28" t="str">
        <f>_xlfn.XLOOKUP(Table134526_79101120212223242526[[#This Row],[Name Surname]],Manpower!$C$4:$C$1048576,Manpower!$H$4:$H$1048576,"")</f>
        <v>Manpower</v>
      </c>
      <c r="I296" s="24" t="str">
        <f>_xlfn.XLOOKUP(Table134526_79101120212223242526[[#This Row],[Name Surname]],Manpower!$C$4:$C$1048576,Manpower!$H$4:$H$1048576,"")</f>
        <v>Manpower</v>
      </c>
      <c r="J296" s="21" t="s">
        <v>48</v>
      </c>
      <c r="K296" s="21" t="s">
        <v>26</v>
      </c>
      <c r="L296" s="21" t="s">
        <v>49</v>
      </c>
      <c r="M296" s="21" t="s">
        <v>55</v>
      </c>
      <c r="N296" s="29">
        <v>10</v>
      </c>
      <c r="R296" s="21" t="s">
        <v>227</v>
      </c>
    </row>
    <row r="297" spans="1:18" s="21" customFormat="1" ht="14.4" hidden="1">
      <c r="A297" s="33">
        <f>IF(C297="","",MAX($A$1:A296)+1)</f>
        <v>280</v>
      </c>
      <c r="B297" s="25" t="s">
        <v>19</v>
      </c>
      <c r="C297" s="23">
        <v>46084</v>
      </c>
      <c r="D297" s="28" t="str">
        <f>_xlfn.XLOOKUP(Table134526_79101120212223242526[[#This Row],[Name Surname]],Manpower!$C$4:$C$1048576,Manpower!$B$4:$B$1048576,"")</f>
        <v>Encogroup</v>
      </c>
      <c r="E297" s="23" t="s">
        <v>46</v>
      </c>
      <c r="F297" s="12">
        <f>_xlfn.XLOOKUP(Table134526_79101120212223242526[[#This Row],[Name Surname]],Manpower!C:C,Manpower!D:D,)</f>
        <v>140844618</v>
      </c>
      <c r="G297" s="28" t="str">
        <f>_xlfn.XLOOKUP(Table134526_79101120212223242526[[#This Row],[Name Surname]],Manpower!$C$4:$C$1048576,Manpower!$F$4:$F$1048576,"")</f>
        <v>Assistant/Helper</v>
      </c>
      <c r="H297" s="28" t="str">
        <f>_xlfn.XLOOKUP(Table134526_79101120212223242526[[#This Row],[Name Surname]],Manpower!$C$4:$C$1048576,Manpower!$H$4:$H$1048576,"")</f>
        <v>Manpower</v>
      </c>
      <c r="I297" s="24" t="str">
        <f>_xlfn.XLOOKUP(Table134526_79101120212223242526[[#This Row],[Name Surname]],Manpower!$C$4:$C$1048576,Manpower!$H$4:$H$1048576,"")</f>
        <v>Manpower</v>
      </c>
      <c r="J297" s="21" t="s">
        <v>48</v>
      </c>
      <c r="K297" s="21" t="s">
        <v>26</v>
      </c>
      <c r="L297" s="21" t="s">
        <v>49</v>
      </c>
      <c r="M297" s="21" t="s">
        <v>55</v>
      </c>
      <c r="N297" s="29">
        <v>10</v>
      </c>
      <c r="R297" s="21" t="s">
        <v>227</v>
      </c>
    </row>
    <row r="298" spans="1:18" s="21" customFormat="1" ht="14.4">
      <c r="A298" s="33">
        <f>IF(C298="","",MAX($A$1:A297)+1)</f>
        <v>281</v>
      </c>
      <c r="B298" s="25" t="s">
        <v>19</v>
      </c>
      <c r="C298" s="23">
        <v>46084</v>
      </c>
      <c r="D298" s="28" t="str">
        <f>_xlfn.XLOOKUP(Table134526_79101120212223242526[[#This Row],[Name Surname]],Manpower!$C$4:$C$1048576,Manpower!$B$4:$B$1048576,"")</f>
        <v>Bright Light</v>
      </c>
      <c r="E298" s="23" t="s">
        <v>47</v>
      </c>
      <c r="F298" s="12" t="e">
        <f>_xlfn.XLOOKUP(Table134526_79101120212223242526[[#This Row],[Name Surname]],Manpower!C:C,Manpower!D:D,)</f>
        <v>#N/A</v>
      </c>
      <c r="G298" s="28" t="str">
        <f>_xlfn.XLOOKUP(Table134526_79101120212223242526[[#This Row],[Name Surname]],Manpower!$C$4:$C$1048576,Manpower!$F$4:$F$1048576,"")</f>
        <v>100T Telescopic Crane</v>
      </c>
      <c r="H298" s="28" t="str">
        <f>_xlfn.XLOOKUP(Table134526_79101120212223242526[[#This Row],[Name Surname]],Manpower!$C$4:$C$1048576,Manpower!$H$4:$H$1048576,"")</f>
        <v>Equipment</v>
      </c>
      <c r="I298" s="24" t="str">
        <f>_xlfn.XLOOKUP(Table134526_79101120212223242526[[#This Row],[Name Surname]],Manpower!$C$4:$C$1048576,Manpower!$H$4:$H$1048576,"")</f>
        <v>Equipment</v>
      </c>
      <c r="J298" s="21" t="s">
        <v>48</v>
      </c>
      <c r="K298" s="21" t="s">
        <v>26</v>
      </c>
      <c r="L298" s="21" t="s">
        <v>49</v>
      </c>
      <c r="M298" s="21" t="s">
        <v>55</v>
      </c>
      <c r="N298" s="29">
        <v>10</v>
      </c>
      <c r="R298" s="21" t="s">
        <v>227</v>
      </c>
    </row>
    <row r="299" spans="1:18" s="21" customFormat="1" ht="14.4">
      <c r="A299" s="33">
        <f>IF(C299="","",MAX($A$1:A298)+1)</f>
        <v>282</v>
      </c>
      <c r="B299" s="25" t="s">
        <v>19</v>
      </c>
      <c r="C299" s="23">
        <v>46084</v>
      </c>
      <c r="D299" s="28" t="str">
        <f>_xlfn.XLOOKUP(Table134526_79101120212223242526[[#This Row],[Name Surname]],Manpower!$C$4:$C$1048576,Manpower!$B$4:$B$1048576,"")</f>
        <v>Bright Light</v>
      </c>
      <c r="E299" s="23" t="s">
        <v>51</v>
      </c>
      <c r="F299" s="12" t="e">
        <f>_xlfn.XLOOKUP(Table134526_79101120212223242526[[#This Row],[Name Surname]],Manpower!C:C,Manpower!D:D,)</f>
        <v>#N/A</v>
      </c>
      <c r="G299" s="28" t="str">
        <f>_xlfn.XLOOKUP(Table134526_79101120212223242526[[#This Row],[Name Surname]],Manpower!$C$4:$C$1048576,Manpower!$F$4:$F$1048576,"")</f>
        <v>150T-Crawler Crane</v>
      </c>
      <c r="H299" s="28" t="str">
        <f>_xlfn.XLOOKUP(Table134526_79101120212223242526[[#This Row],[Name Surname]],Manpower!$C$4:$C$1048576,Manpower!$H$4:$H$1048576,"")</f>
        <v>Equipment</v>
      </c>
      <c r="I299" s="24" t="str">
        <f>_xlfn.XLOOKUP(Table134526_79101120212223242526[[#This Row],[Name Surname]],Manpower!$C$4:$C$1048576,Manpower!$H$4:$H$1048576,"")</f>
        <v>Equipment</v>
      </c>
      <c r="J299" s="21" t="s">
        <v>48</v>
      </c>
      <c r="K299" s="21" t="s">
        <v>26</v>
      </c>
      <c r="L299" s="21" t="s">
        <v>49</v>
      </c>
      <c r="M299" s="21" t="s">
        <v>55</v>
      </c>
      <c r="N299" s="29">
        <v>10</v>
      </c>
      <c r="R299" s="21" t="s">
        <v>227</v>
      </c>
    </row>
    <row r="300" spans="1:18" s="21" customFormat="1" ht="14.4">
      <c r="A300" s="33">
        <f>IF(C300="","",MAX($A$1:A299)+1)</f>
        <v>283</v>
      </c>
      <c r="B300" s="25" t="s">
        <v>19</v>
      </c>
      <c r="C300" s="23">
        <v>46084</v>
      </c>
      <c r="D300" s="28" t="str">
        <f>_xlfn.XLOOKUP(Table134526_79101120212223242526[[#This Row],[Name Surname]],Manpower!$C$4:$C$1048576,Manpower!$B$4:$B$1048576,"")</f>
        <v>Encogroup</v>
      </c>
      <c r="E300" s="23" t="s">
        <v>53</v>
      </c>
      <c r="F300" s="12" t="e">
        <f>_xlfn.XLOOKUP(Table134526_79101120212223242526[[#This Row],[Name Surname]],Manpower!C:C,Manpower!D:D,)</f>
        <v>#N/A</v>
      </c>
      <c r="G300" s="28" t="str">
        <f>_xlfn.XLOOKUP(Table134526_79101120212223242526[[#This Row],[Name Surname]],Manpower!$C$4:$C$1048576,Manpower!$F$4:$F$1048576,"")</f>
        <v>22M-Manlift</v>
      </c>
      <c r="H300" s="28" t="str">
        <f>_xlfn.XLOOKUP(Table134526_79101120212223242526[[#This Row],[Name Surname]],Manpower!$C$4:$C$1048576,Manpower!$H$4:$H$1048576,"")</f>
        <v>Equipment</v>
      </c>
      <c r="I300" s="24" t="str">
        <f>_xlfn.XLOOKUP(Table134526_79101120212223242526[[#This Row],[Name Surname]],Manpower!$C$4:$C$1048576,Manpower!$H$4:$H$1048576,"")</f>
        <v>Equipment</v>
      </c>
      <c r="J300" s="21" t="s">
        <v>48</v>
      </c>
      <c r="K300" s="21" t="s">
        <v>26</v>
      </c>
      <c r="L300" s="21" t="s">
        <v>49</v>
      </c>
      <c r="M300" s="21" t="s">
        <v>55</v>
      </c>
      <c r="N300" s="29">
        <v>10</v>
      </c>
      <c r="R300" s="21" t="s">
        <v>227</v>
      </c>
    </row>
    <row r="301" spans="1:18" s="21" customFormat="1" ht="14.4">
      <c r="A301" s="33">
        <f>IF(C301="","",MAX($A$1:A300)+1)</f>
        <v>284</v>
      </c>
      <c r="B301" s="25" t="s">
        <v>19</v>
      </c>
      <c r="C301" s="23">
        <v>46084</v>
      </c>
      <c r="D301" s="28" t="str">
        <f>_xlfn.XLOOKUP(Table134526_79101120212223242526[[#This Row],[Name Surname]],Manpower!$C$4:$C$1048576,Manpower!$B$4:$B$1048576,"")</f>
        <v>Encogroup</v>
      </c>
      <c r="E301" s="23" t="s">
        <v>54</v>
      </c>
      <c r="F301" s="12" t="e">
        <f>_xlfn.XLOOKUP(Table134526_79101120212223242526[[#This Row],[Name Surname]],Manpower!C:C,Manpower!D:D,)</f>
        <v>#N/A</v>
      </c>
      <c r="G301" s="28" t="str">
        <f>_xlfn.XLOOKUP(Table134526_79101120212223242526[[#This Row],[Name Surname]],Manpower!$C$4:$C$1048576,Manpower!$F$4:$F$1048576,"")</f>
        <v>28M-Manlift</v>
      </c>
      <c r="H301" s="28" t="str">
        <f>_xlfn.XLOOKUP(Table134526_79101120212223242526[[#This Row],[Name Surname]],Manpower!$C$4:$C$1048576,Manpower!$H$4:$H$1048576,"")</f>
        <v>Equipment</v>
      </c>
      <c r="I301" s="24" t="str">
        <f>_xlfn.XLOOKUP(Table134526_79101120212223242526[[#This Row],[Name Surname]],Manpower!$C$4:$C$1048576,Manpower!$H$4:$H$1048576,"")</f>
        <v>Equipment</v>
      </c>
      <c r="J301" s="21" t="s">
        <v>48</v>
      </c>
      <c r="K301" s="21" t="s">
        <v>26</v>
      </c>
      <c r="L301" s="21" t="s">
        <v>49</v>
      </c>
      <c r="M301" s="21" t="s">
        <v>55</v>
      </c>
      <c r="N301" s="29">
        <v>5</v>
      </c>
      <c r="R301" s="21" t="s">
        <v>227</v>
      </c>
    </row>
    <row r="302" spans="1:18" s="21" customFormat="1" ht="14.4" hidden="1">
      <c r="A302" s="33">
        <f>IF(C302="","",MAX($A$1:A301)+1)</f>
        <v>285</v>
      </c>
      <c r="B302" s="25" t="s">
        <v>19</v>
      </c>
      <c r="C302" s="23">
        <v>46084</v>
      </c>
      <c r="D302" s="28" t="str">
        <f>_xlfn.XLOOKUP(Table134526_79101120212223242526[[#This Row],[Name Surname]],Manpower!$C$4:$C$1048576,Manpower!$B$4:$B$1048576,"")</f>
        <v>Encogroup</v>
      </c>
      <c r="E302" s="23" t="s">
        <v>57</v>
      </c>
      <c r="F302" s="12">
        <f>_xlfn.XLOOKUP(Table134526_79101120212223242526[[#This Row],[Name Surname]],Manpower!C:C,Manpower!D:D,)</f>
        <v>140693697</v>
      </c>
      <c r="G302" s="28" t="str">
        <f>_xlfn.XLOOKUP(Table134526_79101120212223242526[[#This Row],[Name Surname]],Manpower!$C$4:$C$1048576,Manpower!$F$4:$F$1048576,"")</f>
        <v>HSE Officer</v>
      </c>
      <c r="H302" s="28" t="str">
        <f>_xlfn.XLOOKUP(Table134526_79101120212223242526[[#This Row],[Name Surname]],Manpower!$C$4:$C$1048576,Manpower!$H$4:$H$1048576,"")</f>
        <v>Manpower</v>
      </c>
      <c r="I302" s="24" t="str">
        <f>_xlfn.XLOOKUP(Table134526_79101120212223242526[[#This Row],[Name Surname]],Manpower!$C$4:$C$1048576,Manpower!$H$4:$H$1048576,"")</f>
        <v>Manpower</v>
      </c>
      <c r="J302" s="21" t="s">
        <v>48</v>
      </c>
      <c r="K302" s="21" t="s">
        <v>26</v>
      </c>
      <c r="L302" s="21" t="s">
        <v>49</v>
      </c>
      <c r="M302" s="21" t="s">
        <v>55</v>
      </c>
      <c r="N302" s="29">
        <v>10</v>
      </c>
      <c r="R302" s="21" t="s">
        <v>227</v>
      </c>
    </row>
    <row r="303" spans="1:18" s="21" customFormat="1" ht="14.4" hidden="1">
      <c r="A303" s="33">
        <f>IF(C303="","",MAX($A$1:A302)+1)</f>
        <v>286</v>
      </c>
      <c r="B303" s="25" t="s">
        <v>19</v>
      </c>
      <c r="C303" s="23">
        <v>46084</v>
      </c>
      <c r="D303" s="28" t="str">
        <f>_xlfn.XLOOKUP(Table134526_79101120212223242526[[#This Row],[Name Surname]],Manpower!$C$4:$C$1048576,Manpower!$B$4:$B$1048576,"")</f>
        <v>Encogroup</v>
      </c>
      <c r="E303" s="18" t="s">
        <v>27</v>
      </c>
      <c r="F303" s="12">
        <f>_xlfn.XLOOKUP(Table134526_79101120212223242526[[#This Row],[Name Surname]],Manpower!C:C,Manpower!D:D,)</f>
        <v>127414586</v>
      </c>
      <c r="G303" s="28" t="str">
        <f>_xlfn.XLOOKUP(Table134526_79101120212223242526[[#This Row],[Name Surname]],Manpower!$C$4:$C$1048576,Manpower!$F$4:$F$1048576,"")</f>
        <v>Electrician</v>
      </c>
      <c r="H303" s="28" t="str">
        <f>_xlfn.XLOOKUP(Table134526_79101120212223242526[[#This Row],[Name Surname]],Manpower!$C$4:$C$1048576,Manpower!$H$4:$H$1048576,"")</f>
        <v>Manpower</v>
      </c>
      <c r="I303" s="24" t="str">
        <f>_xlfn.XLOOKUP(Table134526_79101120212223242526[[#This Row],[Name Surname]],Manpower!$C$4:$C$1048576,Manpower!$H$4:$H$1048576,"")</f>
        <v>Manpower</v>
      </c>
      <c r="J303" s="21" t="s">
        <v>48</v>
      </c>
      <c r="K303" s="21" t="s">
        <v>26</v>
      </c>
      <c r="L303" s="21" t="s">
        <v>49</v>
      </c>
      <c r="M303" s="21" t="s">
        <v>55</v>
      </c>
      <c r="N303" s="29">
        <v>10</v>
      </c>
      <c r="R303" s="21" t="s">
        <v>227</v>
      </c>
    </row>
    <row r="304" spans="1:18" s="21" customFormat="1" ht="14.4" hidden="1">
      <c r="A304" s="33">
        <f>IF(C304="","",MAX($A$1:A303)+1)</f>
        <v>287</v>
      </c>
      <c r="B304" s="25" t="s">
        <v>19</v>
      </c>
      <c r="C304" s="23">
        <v>46084</v>
      </c>
      <c r="D304" s="28" t="str">
        <f>_xlfn.XLOOKUP(Table134526_79101120212223242526[[#This Row],[Name Surname]],Manpower!$C$4:$C$1048576,Manpower!$B$4:$B$1048576,"")</f>
        <v>Encogroup</v>
      </c>
      <c r="E304" s="23" t="s">
        <v>59</v>
      </c>
      <c r="F304" s="12">
        <f>_xlfn.XLOOKUP(Table134526_79101120212223242526[[#This Row],[Name Surname]],Manpower!C:C,Manpower!D:D,)</f>
        <v>141169085</v>
      </c>
      <c r="G304" s="28" t="str">
        <f>_xlfn.XLOOKUP(Table134526_79101120212223242526[[#This Row],[Name Surname]],Manpower!$C$4:$C$1048576,Manpower!$F$4:$F$1048576,"")</f>
        <v>Welder</v>
      </c>
      <c r="H304" s="28" t="str">
        <f>_xlfn.XLOOKUP(Table134526_79101120212223242526[[#This Row],[Name Surname]],Manpower!$C$4:$C$1048576,Manpower!$H$4:$H$1048576,"")</f>
        <v>Manpower</v>
      </c>
      <c r="I304" s="24" t="str">
        <f>_xlfn.XLOOKUP(Table134526_79101120212223242526[[#This Row],[Name Surname]],Manpower!$C$4:$C$1048576,Manpower!$H$4:$H$1048576,"")</f>
        <v>Manpower</v>
      </c>
      <c r="J304" s="21" t="s">
        <v>48</v>
      </c>
      <c r="K304" s="21" t="s">
        <v>26</v>
      </c>
      <c r="L304" s="21" t="s">
        <v>49</v>
      </c>
      <c r="M304" s="21" t="s">
        <v>55</v>
      </c>
      <c r="N304" s="29">
        <v>10</v>
      </c>
      <c r="R304" s="21" t="s">
        <v>227</v>
      </c>
    </row>
    <row r="305" spans="1:18" s="21" customFormat="1" ht="14.4" hidden="1">
      <c r="A305" s="33">
        <f>IF(C305="","",MAX($A$1:A304)+1)</f>
        <v>288</v>
      </c>
      <c r="B305" s="25" t="s">
        <v>19</v>
      </c>
      <c r="C305" s="23">
        <v>46084</v>
      </c>
      <c r="D305" s="28" t="str">
        <f>_xlfn.XLOOKUP(Table134526_79101120212223242526[[#This Row],[Name Surname]],Manpower!$C$4:$C$1048576,Manpower!$B$4:$B$1048576,"")</f>
        <v>Encogroup</v>
      </c>
      <c r="E305" s="23" t="s">
        <v>61</v>
      </c>
      <c r="F305" s="12">
        <f>_xlfn.XLOOKUP(Table134526_79101120212223242526[[#This Row],[Name Surname]],Manpower!C:C,Manpower!D:D,)</f>
        <v>141169047</v>
      </c>
      <c r="G305" s="28" t="str">
        <f>_xlfn.XLOOKUP(Table134526_79101120212223242526[[#This Row],[Name Surname]],Manpower!$C$4:$C$1048576,Manpower!$F$4:$F$1048576,"")</f>
        <v>Welder</v>
      </c>
      <c r="H305" s="28" t="str">
        <f>_xlfn.XLOOKUP(Table134526_79101120212223242526[[#This Row],[Name Surname]],Manpower!$C$4:$C$1048576,Manpower!$H$4:$H$1048576,"")</f>
        <v>Manpower</v>
      </c>
      <c r="I305" s="24" t="str">
        <f>_xlfn.XLOOKUP(Table134526_79101120212223242526[[#This Row],[Name Surname]],Manpower!$C$4:$C$1048576,Manpower!$H$4:$H$1048576,"")</f>
        <v>Manpower</v>
      </c>
      <c r="J305" s="21" t="s">
        <v>48</v>
      </c>
      <c r="K305" s="21" t="s">
        <v>26</v>
      </c>
      <c r="L305" s="21" t="s">
        <v>49</v>
      </c>
      <c r="M305" s="21" t="s">
        <v>55</v>
      </c>
      <c r="N305" s="29">
        <v>10</v>
      </c>
      <c r="R305" s="21" t="s">
        <v>227</v>
      </c>
    </row>
    <row r="306" spans="1:18" s="21" customFormat="1" ht="14.4" hidden="1">
      <c r="A306" s="33">
        <f>IF(C306="","",MAX($A$1:A305)+1)</f>
        <v>289</v>
      </c>
      <c r="B306" s="25" t="s">
        <v>19</v>
      </c>
      <c r="C306" s="23">
        <v>46084</v>
      </c>
      <c r="D306" s="28" t="str">
        <f>_xlfn.XLOOKUP(Table134526_79101120212223242526[[#This Row],[Name Surname]],Manpower!$C$4:$C$1048576,Manpower!$B$4:$B$1048576,"")</f>
        <v>Encogroup</v>
      </c>
      <c r="E306" s="23" t="s">
        <v>62</v>
      </c>
      <c r="F306" s="12">
        <f>_xlfn.XLOOKUP(Table134526_79101120212223242526[[#This Row],[Name Surname]],Manpower!C:C,Manpower!D:D,)</f>
        <v>140844797</v>
      </c>
      <c r="G306" s="28" t="str">
        <f>_xlfn.XLOOKUP(Table134526_79101120212223242526[[#This Row],[Name Surname]],Manpower!$C$4:$C$1048576,Manpower!$F$4:$F$1048576,"")</f>
        <v>Fitter/Erector</v>
      </c>
      <c r="H306" s="28" t="str">
        <f>_xlfn.XLOOKUP(Table134526_79101120212223242526[[#This Row],[Name Surname]],Manpower!$C$4:$C$1048576,Manpower!$H$4:$H$1048576,"")</f>
        <v>Manpower</v>
      </c>
      <c r="I306" s="24" t="str">
        <f>_xlfn.XLOOKUP(Table134526_79101120212223242526[[#This Row],[Name Surname]],Manpower!$C$4:$C$1048576,Manpower!$H$4:$H$1048576,"")</f>
        <v>Manpower</v>
      </c>
      <c r="J306" s="21" t="s">
        <v>48</v>
      </c>
      <c r="K306" s="21" t="s">
        <v>26</v>
      </c>
      <c r="L306" s="21" t="s">
        <v>49</v>
      </c>
      <c r="M306" s="21" t="s">
        <v>55</v>
      </c>
      <c r="N306" s="29">
        <v>10</v>
      </c>
      <c r="R306" s="21" t="s">
        <v>227</v>
      </c>
    </row>
    <row r="307" spans="1:18" s="21" customFormat="1" ht="14.4">
      <c r="A307" s="33">
        <f>IF(C307="","",MAX($A$1:A306)+1)</f>
        <v>290</v>
      </c>
      <c r="B307" s="25" t="s">
        <v>19</v>
      </c>
      <c r="C307" s="23">
        <v>46084</v>
      </c>
      <c r="D307" s="24" t="str">
        <f>_xlfn.XLOOKUP(Table134526_79101120212223242526[[#This Row],[Name Surname]],Manpower!$C$4:$C$1048576,Manpower!$B$4:$B$1048576,"")</f>
        <v>Encogroup</v>
      </c>
      <c r="E307" s="23" t="s">
        <v>63</v>
      </c>
      <c r="F307" s="12" t="e">
        <f>_xlfn.XLOOKUP(Table134526_79101120212223242526[[#This Row],[Name Surname]],Manpower!C:C,Manpower!D:D,)</f>
        <v>#N/A</v>
      </c>
      <c r="G307" s="24" t="str">
        <f>_xlfn.XLOOKUP(Table134526_79101120212223242526[[#This Row],[Name Surname]],Manpower!$C$4:$C$1048576,Manpower!$F$4:$F$1048576,"")</f>
        <v>22KVA-Generator</v>
      </c>
      <c r="H307" s="24" t="str">
        <f>_xlfn.XLOOKUP(Table134526_79101120212223242526[[#This Row],[Name Surname]],Manpower!$C$4:$C$1048576,Manpower!$H$4:$H$1048576,"")</f>
        <v>Equipment</v>
      </c>
      <c r="I307" s="24" t="str">
        <f>_xlfn.XLOOKUP(Table134526_79101120212223242526[[#This Row],[Name Surname]],Manpower!$C$4:$C$1048576,Manpower!$H$4:$H$1048576,"")</f>
        <v>Equipment</v>
      </c>
      <c r="J307" s="21" t="s">
        <v>48</v>
      </c>
      <c r="K307" s="21" t="s">
        <v>26</v>
      </c>
      <c r="L307" s="21" t="s">
        <v>49</v>
      </c>
      <c r="M307" s="21" t="s">
        <v>55</v>
      </c>
      <c r="N307" s="29">
        <v>10</v>
      </c>
      <c r="R307" s="21" t="s">
        <v>227</v>
      </c>
    </row>
    <row r="308" spans="1:18" s="21" customFormat="1" ht="14.4" hidden="1">
      <c r="A308" s="33">
        <f>IF(C308="","",MAX($A$1:A306)+1)</f>
        <v>290</v>
      </c>
      <c r="B308" s="25" t="s">
        <v>19</v>
      </c>
      <c r="C308" s="23">
        <v>46084</v>
      </c>
      <c r="D308" s="28" t="str">
        <f>_xlfn.XLOOKUP(Table134526_79101120212223242526[[#This Row],[Name Surname]],Manpower!$C$4:$C$1048576,Manpower!$B$4:$B$1048576,"")</f>
        <v>Bright Light</v>
      </c>
      <c r="E308" s="23" t="s">
        <v>64</v>
      </c>
      <c r="F308" s="12">
        <f>_xlfn.XLOOKUP(Table134526_79101120212223242526[[#This Row],[Name Surname]],Manpower!C:C,Manpower!D:D,)</f>
        <v>114531608</v>
      </c>
      <c r="G308" s="28" t="str">
        <f>_xlfn.XLOOKUP(Table134526_79101120212223242526[[#This Row],[Name Surname]],Manpower!$C$4:$C$1048576,Manpower!$F$4:$F$1048576,"")</f>
        <v>Crane Operator-150T Sany Crawler</v>
      </c>
      <c r="H308" s="28" t="s">
        <v>39</v>
      </c>
      <c r="I308" s="24" t="s">
        <v>39</v>
      </c>
      <c r="J308" s="21" t="s">
        <v>48</v>
      </c>
      <c r="K308" s="21" t="s">
        <v>26</v>
      </c>
      <c r="L308" s="21" t="s">
        <v>49</v>
      </c>
      <c r="M308" s="21" t="s">
        <v>55</v>
      </c>
      <c r="N308" s="29">
        <v>10</v>
      </c>
      <c r="R308" s="21" t="s">
        <v>227</v>
      </c>
    </row>
    <row r="309" spans="1:18" s="21" customFormat="1" ht="14.4" hidden="1">
      <c r="A309" s="33">
        <f>IF(C309="","",MAX($A$1:A308)+1)</f>
        <v>291</v>
      </c>
      <c r="B309" s="25" t="s">
        <v>19</v>
      </c>
      <c r="C309" s="23">
        <v>46084</v>
      </c>
      <c r="D309" s="28" t="str">
        <f>_xlfn.XLOOKUP(Table134526_79101120212223242526[[#This Row],[Name Surname]],Manpower!$C$4:$C$1048576,Manpower!$B$4:$B$1048576,"")</f>
        <v>AL Saif &amp; Al QALLM ENT LLC</v>
      </c>
      <c r="E309" s="18" t="s">
        <v>65</v>
      </c>
      <c r="F309" s="12">
        <f>_xlfn.XLOOKUP(Table134526_79101120212223242526[[#This Row],[Name Surname]],Manpower!C:C,Manpower!D:D,)</f>
        <v>108478006</v>
      </c>
      <c r="G309" s="28" t="str">
        <f>_xlfn.XLOOKUP(Table134526_79101120212223242526[[#This Row],[Name Surname]],Manpower!$C$4:$C$1048576,Manpower!$F$4:$F$1048576,"")</f>
        <v>RIgger</v>
      </c>
      <c r="H309" s="28" t="str">
        <f>_xlfn.XLOOKUP(Table134526_79101120212223242526[[#This Row],[Name Surname]],Manpower!$C$4:$C$1048576,Manpower!$H$4:$H$1048576,"")</f>
        <v>Sub Contactor</v>
      </c>
      <c r="I309" s="24" t="str">
        <f>_xlfn.XLOOKUP(Table134526_79101120212223242526[[#This Row],[Name Surname]],Manpower!$C$4:$C$1048576,Manpower!$H$4:$H$1048576,"")</f>
        <v>Sub Contactor</v>
      </c>
      <c r="J309" s="21" t="s">
        <v>48</v>
      </c>
      <c r="K309" s="21" t="s">
        <v>26</v>
      </c>
      <c r="L309" s="21" t="s">
        <v>49</v>
      </c>
      <c r="M309" s="21" t="s">
        <v>55</v>
      </c>
      <c r="N309" s="29">
        <v>10</v>
      </c>
      <c r="R309" s="21" t="s">
        <v>227</v>
      </c>
    </row>
    <row r="310" spans="1:18" s="21" customFormat="1" ht="14.4" hidden="1">
      <c r="A310" s="33">
        <f>IF(C310="","",MAX($A$1:A309)+1)</f>
        <v>292</v>
      </c>
      <c r="B310" s="25" t="s">
        <v>19</v>
      </c>
      <c r="C310" s="23">
        <v>46084</v>
      </c>
      <c r="D310" s="28" t="str">
        <f>_xlfn.XLOOKUP(Table134526_79101120212223242526[[#This Row],[Name Surname]],Manpower!$C$4:$C$1048576,Manpower!$B$4:$B$1048576,"")</f>
        <v>AL Omar International TRAD AND CONT</v>
      </c>
      <c r="E310" s="23" t="s">
        <v>66</v>
      </c>
      <c r="F310" s="12">
        <f>_xlfn.XLOOKUP(Table134526_79101120212223242526[[#This Row],[Name Surname]],Manpower!C:C,Manpower!D:D,)</f>
        <v>115018512</v>
      </c>
      <c r="G310" s="28" t="str">
        <f>_xlfn.XLOOKUP(Table134526_79101120212223242526[[#This Row],[Name Surname]],Manpower!$C$4:$C$1048576,Manpower!$F$4:$F$1048576,"")</f>
        <v>RIgger</v>
      </c>
      <c r="H310" s="28" t="str">
        <f>_xlfn.XLOOKUP(Table134526_79101120212223242526[[#This Row],[Name Surname]],Manpower!$C$4:$C$1048576,Manpower!$H$4:$H$1048576,"")</f>
        <v>Sub Contactor</v>
      </c>
      <c r="I310" s="24" t="str">
        <f>_xlfn.XLOOKUP(Table134526_79101120212223242526[[#This Row],[Name Surname]],Manpower!$C$4:$C$1048576,Manpower!$H$4:$H$1048576,"")</f>
        <v>Sub Contactor</v>
      </c>
      <c r="J310" s="21" t="s">
        <v>48</v>
      </c>
      <c r="K310" s="21" t="s">
        <v>26</v>
      </c>
      <c r="L310" s="21" t="s">
        <v>49</v>
      </c>
      <c r="M310" s="21" t="s">
        <v>55</v>
      </c>
      <c r="N310" s="29">
        <v>10</v>
      </c>
      <c r="R310" s="21" t="s">
        <v>227</v>
      </c>
    </row>
    <row r="311" spans="1:18" s="21" customFormat="1" ht="14.4" hidden="1">
      <c r="A311" s="33">
        <f>IF(C311="","",MAX($A$1:A310)+1)</f>
        <v>293</v>
      </c>
      <c r="B311" s="25" t="s">
        <v>19</v>
      </c>
      <c r="C311" s="23">
        <v>46084</v>
      </c>
      <c r="D311" s="28" t="str">
        <f>_xlfn.XLOOKUP(Table134526_79101120212223242526[[#This Row],[Name Surname]],Manpower!$C$4:$C$1048576,Manpower!$B$4:$B$1048576,"")</f>
        <v>Encogroup</v>
      </c>
      <c r="E311" s="23" t="s">
        <v>67</v>
      </c>
      <c r="F311" s="12">
        <f>_xlfn.XLOOKUP(Table134526_79101120212223242526[[#This Row],[Name Surname]],Manpower!C:C,Manpower!D:D,)</f>
        <v>122082769</v>
      </c>
      <c r="G311" s="28" t="str">
        <f>_xlfn.XLOOKUP(Table134526_79101120212223242526[[#This Row],[Name Surname]],Manpower!$C$4:$C$1048576,Manpower!$F$4:$F$1048576,"")</f>
        <v>Grinder</v>
      </c>
      <c r="H311" s="28" t="str">
        <f>_xlfn.XLOOKUP(Table134526_79101120212223242526[[#This Row],[Name Surname]],Manpower!$C$4:$C$1048576,Manpower!$H$4:$H$1048576,"")</f>
        <v>Manpower</v>
      </c>
      <c r="I311" s="24" t="str">
        <f>_xlfn.XLOOKUP(Table134526_79101120212223242526[[#This Row],[Name Surname]],Manpower!$C$4:$C$1048576,Manpower!$H$4:$H$1048576,"")</f>
        <v>Manpower</v>
      </c>
      <c r="J311" s="21" t="s">
        <v>48</v>
      </c>
      <c r="K311" s="21" t="s">
        <v>26</v>
      </c>
      <c r="L311" s="21" t="s">
        <v>49</v>
      </c>
      <c r="M311" s="21" t="s">
        <v>55</v>
      </c>
      <c r="N311" s="29">
        <v>10</v>
      </c>
      <c r="R311" s="21" t="s">
        <v>227</v>
      </c>
    </row>
    <row r="312" spans="1:18" s="21" customFormat="1" ht="14.4" hidden="1">
      <c r="A312" s="33">
        <f>IF(C312="","",MAX($A$1:A311)+1)</f>
        <v>294</v>
      </c>
      <c r="B312" s="25" t="s">
        <v>19</v>
      </c>
      <c r="C312" s="23">
        <v>46084</v>
      </c>
      <c r="D312" s="28" t="str">
        <f>_xlfn.XLOOKUP(Table134526_79101120212223242526[[#This Row],[Name Surname]],Manpower!$C$4:$C$1048576,Manpower!$B$4:$B$1048576,"")</f>
        <v>Encogroup</v>
      </c>
      <c r="E312" s="23" t="s">
        <v>68</v>
      </c>
      <c r="F312" s="12">
        <f>_xlfn.XLOOKUP(Table134526_79101120212223242526[[#This Row],[Name Surname]],Manpower!C:C,Manpower!D:D,)</f>
        <v>116915582</v>
      </c>
      <c r="G312" s="28" t="str">
        <f>_xlfn.XLOOKUP(Table134526_79101120212223242526[[#This Row],[Name Surname]],Manpower!$C$4:$C$1048576,Manpower!$F$4:$F$1048576,"")</f>
        <v>Mechanical Superintendent</v>
      </c>
      <c r="H312" s="28" t="str">
        <f>_xlfn.XLOOKUP(Table134526_79101120212223242526[[#This Row],[Name Surname]],Manpower!$C$4:$C$1048576,Manpower!$H$4:$H$1048576,"")</f>
        <v>Manpower</v>
      </c>
      <c r="I312" s="24" t="str">
        <f>_xlfn.XLOOKUP(Table134526_79101120212223242526[[#This Row],[Name Surname]],Manpower!$C$4:$C$1048576,Manpower!$H$4:$H$1048576,"")</f>
        <v>Manpower</v>
      </c>
      <c r="J312" s="21" t="s">
        <v>48</v>
      </c>
      <c r="K312" s="21" t="s">
        <v>26</v>
      </c>
      <c r="L312" s="21" t="s">
        <v>49</v>
      </c>
      <c r="M312" s="21" t="s">
        <v>55</v>
      </c>
      <c r="N312" s="29">
        <v>10</v>
      </c>
      <c r="R312" s="21" t="s">
        <v>227</v>
      </c>
    </row>
    <row r="313" spans="1:18" s="21" customFormat="1" ht="14.4" hidden="1">
      <c r="A313" s="33">
        <f>IF(C313="","",MAX($A$1:A312)+1)</f>
        <v>295</v>
      </c>
      <c r="B313" s="25" t="s">
        <v>19</v>
      </c>
      <c r="C313" s="23">
        <v>46084</v>
      </c>
      <c r="D313" s="28" t="str">
        <f>_xlfn.XLOOKUP(Table134526_79101120212223242526[[#This Row],[Name Surname]],Manpower!$C$4:$C$1048576,Manpower!$B$4:$B$1048576,"")</f>
        <v>Encogroup</v>
      </c>
      <c r="E313" s="23" t="s">
        <v>69</v>
      </c>
      <c r="F313" s="12">
        <f>_xlfn.XLOOKUP(Table134526_79101120212223242526[[#This Row],[Name Surname]],Manpower!C:C,Manpower!D:D,)</f>
        <v>141169071</v>
      </c>
      <c r="G313" s="28" t="str">
        <f>_xlfn.XLOOKUP(Table134526_79101120212223242526[[#This Row],[Name Surname]],Manpower!$C$4:$C$1048576,Manpower!$F$4:$F$1048576,"")</f>
        <v>Welding Supervisor</v>
      </c>
      <c r="H313" s="28" t="str">
        <f>_xlfn.XLOOKUP(Table134526_79101120212223242526[[#This Row],[Name Surname]],Manpower!$C$4:$C$1048576,Manpower!$H$4:$H$1048576,"")</f>
        <v>Manpower</v>
      </c>
      <c r="I313" s="24" t="str">
        <f>_xlfn.XLOOKUP(Table134526_79101120212223242526[[#This Row],[Name Surname]],Manpower!$C$4:$C$1048576,Manpower!$H$4:$H$1048576,"")</f>
        <v>Manpower</v>
      </c>
      <c r="J313" s="21" t="s">
        <v>48</v>
      </c>
      <c r="K313" s="21" t="s">
        <v>26</v>
      </c>
      <c r="L313" s="21" t="s">
        <v>49</v>
      </c>
      <c r="M313" s="21" t="s">
        <v>55</v>
      </c>
      <c r="N313" s="29">
        <v>10</v>
      </c>
      <c r="R313" s="21" t="s">
        <v>227</v>
      </c>
    </row>
    <row r="314" spans="1:18" s="21" customFormat="1" ht="14.4" hidden="1">
      <c r="A314" s="33">
        <f>IF(C314="","",MAX($A$1:A313)+1)</f>
        <v>296</v>
      </c>
      <c r="B314" s="25" t="s">
        <v>19</v>
      </c>
      <c r="C314" s="23">
        <v>46084</v>
      </c>
      <c r="D314" s="28" t="str">
        <f>_xlfn.XLOOKUP(Table134526_79101120212223242526[[#This Row],[Name Surname]],Manpower!$C$4:$C$1048576,Manpower!$B$4:$B$1048576,"")</f>
        <v>Encogroup</v>
      </c>
      <c r="E314" s="23" t="s">
        <v>70</v>
      </c>
      <c r="F314" s="12">
        <f>_xlfn.XLOOKUP(Table134526_79101120212223242526[[#This Row],[Name Surname]],Manpower!C:C,Manpower!D:D,)</f>
        <v>141365126</v>
      </c>
      <c r="G314" s="28" t="str">
        <f>_xlfn.XLOOKUP(Table134526_79101120212223242526[[#This Row],[Name Surname]],Manpower!$C$4:$C$1048576,Manpower!$F$4:$F$1048576,"")</f>
        <v>Helper</v>
      </c>
      <c r="H314" s="28" t="str">
        <f>_xlfn.XLOOKUP(Table134526_79101120212223242526[[#This Row],[Name Surname]],Manpower!$C$4:$C$1048576,Manpower!$H$4:$H$1048576,"")</f>
        <v>Manpower</v>
      </c>
      <c r="I314" s="24" t="str">
        <f>_xlfn.XLOOKUP(Table134526_79101120212223242526[[#This Row],[Name Surname]],Manpower!$C$4:$C$1048576,Manpower!$H$4:$H$1048576,"")</f>
        <v>Manpower</v>
      </c>
      <c r="J314" s="21" t="s">
        <v>48</v>
      </c>
      <c r="K314" s="21" t="s">
        <v>26</v>
      </c>
      <c r="L314" s="21" t="s">
        <v>49</v>
      </c>
      <c r="M314" s="21" t="s">
        <v>55</v>
      </c>
      <c r="N314" s="29">
        <v>10</v>
      </c>
      <c r="R314" s="21" t="s">
        <v>227</v>
      </c>
    </row>
    <row r="315" spans="1:18" s="21" customFormat="1" ht="14.4" hidden="1">
      <c r="A315" s="33">
        <f>IF(C315="","",MAX($A$1:A314)+1)</f>
        <v>297</v>
      </c>
      <c r="B315" s="25" t="s">
        <v>19</v>
      </c>
      <c r="C315" s="23">
        <v>46084</v>
      </c>
      <c r="D315" s="28" t="str">
        <f>_xlfn.XLOOKUP(Table134526_79101120212223242526[[#This Row],[Name Surname]],Manpower!$C$4:$C$1048576,Manpower!$B$4:$B$1048576,"")</f>
        <v>Bright Light</v>
      </c>
      <c r="E315" s="23" t="s">
        <v>71</v>
      </c>
      <c r="F315" s="12">
        <f>_xlfn.XLOOKUP(Table134526_79101120212223242526[[#This Row],[Name Surname]],Manpower!C:C,Manpower!D:D,)</f>
        <v>81379273</v>
      </c>
      <c r="G315" s="28" t="str">
        <f>_xlfn.XLOOKUP(Table134526_79101120212223242526[[#This Row],[Name Surname]],Manpower!$C$4:$C$1048576,Manpower!$F$4:$F$1048576,"")</f>
        <v>Crane Operator-100T Sany Telescopic</v>
      </c>
      <c r="H315" s="28" t="s">
        <v>39</v>
      </c>
      <c r="I315" s="24" t="s">
        <v>39</v>
      </c>
      <c r="J315" s="21" t="s">
        <v>48</v>
      </c>
      <c r="K315" s="21" t="s">
        <v>26</v>
      </c>
      <c r="L315" s="21" t="s">
        <v>49</v>
      </c>
      <c r="M315" s="21" t="s">
        <v>55</v>
      </c>
      <c r="N315" s="29">
        <v>10</v>
      </c>
      <c r="R315" s="21" t="s">
        <v>227</v>
      </c>
    </row>
    <row r="316" spans="1:18" s="21" customFormat="1" ht="14.4" hidden="1">
      <c r="A316" s="33">
        <f>IF(C316="","",MAX($A$1:A315)+1)</f>
        <v>298</v>
      </c>
      <c r="B316" s="25" t="s">
        <v>19</v>
      </c>
      <c r="C316" s="23">
        <v>46084</v>
      </c>
      <c r="D316" s="28" t="str">
        <f>_xlfn.XLOOKUP(Table134526_79101120212223242526[[#This Row],[Name Surname]],Manpower!$C$4:$C$1048576,Manpower!$B$4:$B$1048576,"")</f>
        <v>Encogroup</v>
      </c>
      <c r="E316" s="18" t="s">
        <v>72</v>
      </c>
      <c r="F316" s="12">
        <f>_xlfn.XLOOKUP(Table134526_79101120212223242526[[#This Row],[Name Surname]],Manpower!C:C,Manpower!D:D,)</f>
        <v>140764706</v>
      </c>
      <c r="G316" s="28" t="str">
        <f>_xlfn.XLOOKUP(Table134526_79101120212223242526[[#This Row],[Name Surname]],Manpower!$C$4:$C$1048576,Manpower!$F$4:$F$1048576,"")</f>
        <v>Rigger</v>
      </c>
      <c r="H316" s="28" t="str">
        <f>_xlfn.XLOOKUP(Table134526_79101120212223242526[[#This Row],[Name Surname]],Manpower!$C$4:$C$1048576,Manpower!$H$4:$H$1048576,"")</f>
        <v>Manpower</v>
      </c>
      <c r="I316" s="24" t="str">
        <f>_xlfn.XLOOKUP(Table134526_79101120212223242526[[#This Row],[Name Surname]],Manpower!$C$4:$C$1048576,Manpower!$H$4:$H$1048576,"")</f>
        <v>Manpower</v>
      </c>
      <c r="J316" s="21" t="s">
        <v>48</v>
      </c>
      <c r="K316" s="21" t="s">
        <v>26</v>
      </c>
      <c r="L316" s="21" t="s">
        <v>49</v>
      </c>
      <c r="M316" s="21" t="s">
        <v>55</v>
      </c>
      <c r="N316" s="29">
        <v>10</v>
      </c>
      <c r="R316" s="21" t="s">
        <v>227</v>
      </c>
    </row>
    <row r="317" spans="1:18" s="21" customFormat="1" ht="14.4" hidden="1">
      <c r="A317" s="33">
        <f>IF(C317="","",MAX($A$1:A316)+1)</f>
        <v>299</v>
      </c>
      <c r="B317" s="25" t="s">
        <v>19</v>
      </c>
      <c r="C317" s="23">
        <v>46084</v>
      </c>
      <c r="D317" s="28" t="str">
        <f>_xlfn.XLOOKUP(Table134526_79101120212223242526[[#This Row],[Name Surname]],Manpower!$C$4:$C$1048576,Manpower!$B$4:$B$1048576,"")</f>
        <v>Encogroup</v>
      </c>
      <c r="E317" s="23" t="s">
        <v>73</v>
      </c>
      <c r="F317" s="12">
        <f>_xlfn.XLOOKUP(Table134526_79101120212223242526[[#This Row],[Name Surname]],Manpower!C:C,Manpower!D:D,)</f>
        <v>135325259</v>
      </c>
      <c r="G317" s="28" t="str">
        <f>_xlfn.XLOOKUP(Table134526_79101120212223242526[[#This Row],[Name Surname]],Manpower!$C$4:$C$1048576,Manpower!$F$4:$F$1048576,"")</f>
        <v>Permit Receiver</v>
      </c>
      <c r="H317" s="28" t="str">
        <f>_xlfn.XLOOKUP(Table134526_79101120212223242526[[#This Row],[Name Surname]],Manpower!$C$4:$C$1048576,Manpower!$H$4:$H$1048576,"")</f>
        <v>Manpower</v>
      </c>
      <c r="I317" s="24" t="str">
        <f>_xlfn.XLOOKUP(Table134526_79101120212223242526[[#This Row],[Name Surname]],Manpower!$C$4:$C$1048576,Manpower!$H$4:$H$1048576,"")</f>
        <v>Manpower</v>
      </c>
      <c r="J317" s="21" t="s">
        <v>48</v>
      </c>
      <c r="K317" s="21" t="s">
        <v>26</v>
      </c>
      <c r="L317" s="21" t="s">
        <v>49</v>
      </c>
      <c r="M317" s="21" t="s">
        <v>55</v>
      </c>
      <c r="N317" s="29">
        <v>10</v>
      </c>
      <c r="R317" s="21" t="s">
        <v>227</v>
      </c>
    </row>
    <row r="318" spans="1:18" s="21" customFormat="1" ht="14.4" hidden="1">
      <c r="A318" s="33">
        <f>IF(C318="","",MAX($A$1:A317)+1)</f>
        <v>300</v>
      </c>
      <c r="B318" s="25" t="s">
        <v>19</v>
      </c>
      <c r="C318" s="23">
        <v>46084</v>
      </c>
      <c r="D318" s="28" t="str">
        <f>_xlfn.XLOOKUP(Table134526_79101120212223242526[[#This Row],[Name Surname]],Manpower!$C$4:$C$1048576,Manpower!$B$4:$B$1048576,"")</f>
        <v>Encogroup</v>
      </c>
      <c r="E318" s="18" t="s">
        <v>74</v>
      </c>
      <c r="F318" s="12">
        <f>_xlfn.XLOOKUP(Table134526_79101120212223242526[[#This Row],[Name Surname]],Manpower!C:C,Manpower!D:D,)</f>
        <v>141365089</v>
      </c>
      <c r="G318" s="28" t="str">
        <f>_xlfn.XLOOKUP(Table134526_79101120212223242526[[#This Row],[Name Surname]],Manpower!$C$4:$C$1048576,Manpower!$F$4:$F$1048576,"")</f>
        <v>Fitter</v>
      </c>
      <c r="H318" s="28" t="str">
        <f>_xlfn.XLOOKUP(Table134526_79101120212223242526[[#This Row],[Name Surname]],Manpower!$C$4:$C$1048576,Manpower!$H$4:$H$1048576,"")</f>
        <v>Manpower</v>
      </c>
      <c r="I318" s="24" t="str">
        <f>_xlfn.XLOOKUP(Table134526_79101120212223242526[[#This Row],[Name Surname]],Manpower!$C$4:$C$1048576,Manpower!$H$4:$H$1048576,"")</f>
        <v>Manpower</v>
      </c>
      <c r="J318" s="21" t="s">
        <v>48</v>
      </c>
      <c r="K318" s="21" t="s">
        <v>26</v>
      </c>
      <c r="L318" s="21" t="s">
        <v>49</v>
      </c>
      <c r="M318" s="21" t="s">
        <v>55</v>
      </c>
      <c r="N318" s="29">
        <v>10</v>
      </c>
      <c r="R318" s="21" t="s">
        <v>227</v>
      </c>
    </row>
    <row r="319" spans="1:18" s="21" customFormat="1" ht="14.4" hidden="1">
      <c r="A319" s="33">
        <f>IF(C319="","",MAX($A$1:A318)+1)</f>
        <v>301</v>
      </c>
      <c r="B319" s="26" t="s">
        <v>79</v>
      </c>
      <c r="C319" s="23">
        <v>46084</v>
      </c>
      <c r="D319" s="28" t="str">
        <f>_xlfn.XLOOKUP(Table134526_79101120212223242526[[#This Row],[Name Surname]],Manpower!$C$4:$C$1048576,Manpower!$B$4:$B$1048576,"")</f>
        <v>Encogroup</v>
      </c>
      <c r="E319" s="23" t="s">
        <v>75</v>
      </c>
      <c r="F319" s="12">
        <f>_xlfn.XLOOKUP(Table134526_79101120212223242526[[#This Row],[Name Surname]],Manpower!C:C,Manpower!D:D,)</f>
        <v>122179604</v>
      </c>
      <c r="G319" s="28" t="str">
        <f>_xlfn.XLOOKUP(Table134526_79101120212223242526[[#This Row],[Name Surname]],Manpower!$C$4:$C$1048576,Manpower!$F$4:$F$1048576,"")</f>
        <v>Fitter/Erector</v>
      </c>
      <c r="H319" s="28" t="str">
        <f>_xlfn.XLOOKUP(Table134526_79101120212223242526[[#This Row],[Name Surname]],Manpower!$C$4:$C$1048576,Manpower!$H$4:$H$1048576,"")</f>
        <v>Manpower</v>
      </c>
      <c r="I319" s="24" t="str">
        <f>_xlfn.XLOOKUP(Table134526_79101120212223242526[[#This Row],[Name Surname]],Manpower!$C$4:$C$1048576,Manpower!$H$4:$H$1048576,"")</f>
        <v>Manpower</v>
      </c>
      <c r="J319" s="21" t="s">
        <v>35</v>
      </c>
      <c r="K319" s="21" t="s">
        <v>81</v>
      </c>
      <c r="L319" s="21" t="s">
        <v>82</v>
      </c>
      <c r="M319" s="21" t="s">
        <v>55</v>
      </c>
      <c r="N319" s="29">
        <v>10</v>
      </c>
      <c r="R319" s="21" t="s">
        <v>227</v>
      </c>
    </row>
    <row r="320" spans="1:18" s="21" customFormat="1" ht="14.4" hidden="1">
      <c r="A320" s="33">
        <f>IF(C320="","",MAX($A$1:A319)+1)</f>
        <v>302</v>
      </c>
      <c r="B320" s="26" t="s">
        <v>79</v>
      </c>
      <c r="C320" s="23">
        <v>46084</v>
      </c>
      <c r="D320" s="28" t="str">
        <f>_xlfn.XLOOKUP(Table134526_79101120212223242526[[#This Row],[Name Surname]],Manpower!$C$4:$C$1048576,Manpower!$B$4:$B$1048576,"")</f>
        <v>Encogroup</v>
      </c>
      <c r="E320" s="23" t="s">
        <v>78</v>
      </c>
      <c r="F320" s="12">
        <f>_xlfn.XLOOKUP(Table134526_79101120212223242526[[#This Row],[Name Surname]],Manpower!C:C,Manpower!D:D,)</f>
        <v>117255966</v>
      </c>
      <c r="G320" s="28" t="str">
        <f>_xlfn.XLOOKUP(Table134526_79101120212223242526[[#This Row],[Name Surname]],Manpower!$C$4:$C$1048576,Manpower!$F$4:$F$1048576,"")</f>
        <v>Mechanical Supervisor</v>
      </c>
      <c r="H320" s="28" t="str">
        <f>_xlfn.XLOOKUP(Table134526_79101120212223242526[[#This Row],[Name Surname]],Manpower!$C$4:$C$1048576,Manpower!$H$4:$H$1048576,"")</f>
        <v>Manpower</v>
      </c>
      <c r="I320" s="24" t="str">
        <f>_xlfn.XLOOKUP(Table134526_79101120212223242526[[#This Row],[Name Surname]],Manpower!$C$4:$C$1048576,Manpower!$H$4:$H$1048576,"")</f>
        <v>Manpower</v>
      </c>
      <c r="J320" s="21" t="s">
        <v>35</v>
      </c>
      <c r="K320" s="21" t="s">
        <v>81</v>
      </c>
      <c r="L320" s="21" t="s">
        <v>82</v>
      </c>
      <c r="M320" s="21" t="s">
        <v>55</v>
      </c>
      <c r="N320" s="29">
        <v>10</v>
      </c>
      <c r="R320" s="21" t="s">
        <v>227</v>
      </c>
    </row>
    <row r="321" spans="1:18" s="21" customFormat="1" ht="14.4">
      <c r="A321" s="33">
        <f>IF(C321="","",MAX($A$1:A320)+1)</f>
        <v>303</v>
      </c>
      <c r="B321" s="26" t="s">
        <v>79</v>
      </c>
      <c r="C321" s="23">
        <v>46084</v>
      </c>
      <c r="D321" s="28" t="str">
        <f>_xlfn.XLOOKUP(Table134526_79101120212223242526[[#This Row],[Name Surname]],Manpower!$C$4:$C$1048576,Manpower!$B$4:$B$1048576,"")</f>
        <v>Encogroup</v>
      </c>
      <c r="E321" s="23" t="s">
        <v>80</v>
      </c>
      <c r="F321" s="12" t="e">
        <f>_xlfn.XLOOKUP(Table134526_79101120212223242526[[#This Row],[Name Surname]],Manpower!C:C,Manpower!D:D,)</f>
        <v>#N/A</v>
      </c>
      <c r="G321" s="28" t="str">
        <f>_xlfn.XLOOKUP(Table134526_79101120212223242526[[#This Row],[Name Surname]],Manpower!$C$4:$C$1048576,Manpower!$F$4:$F$1048576,"")</f>
        <v>22M-Manlift</v>
      </c>
      <c r="H321" s="28" t="str">
        <f>_xlfn.XLOOKUP(Table134526_79101120212223242526[[#This Row],[Name Surname]],Manpower!$C$4:$C$1048576,Manpower!$H$4:$H$1048576,"")</f>
        <v>Equipment</v>
      </c>
      <c r="I321" s="24" t="str">
        <f>_xlfn.XLOOKUP(Table134526_79101120212223242526[[#This Row],[Name Surname]],Manpower!$C$4:$C$1048576,Manpower!$H$4:$H$1048576,"")</f>
        <v>Equipment</v>
      </c>
      <c r="J321" s="21" t="s">
        <v>35</v>
      </c>
      <c r="K321" s="21" t="s">
        <v>81</v>
      </c>
      <c r="L321" s="21" t="s">
        <v>82</v>
      </c>
      <c r="M321" s="21" t="s">
        <v>55</v>
      </c>
      <c r="N321" s="29">
        <v>10</v>
      </c>
      <c r="R321" s="21" t="s">
        <v>227</v>
      </c>
    </row>
    <row r="322" spans="1:18" s="21" customFormat="1" ht="14.4">
      <c r="A322" s="33">
        <f>IF(C322="","",MAX($A$1:A321)+1)</f>
        <v>304</v>
      </c>
      <c r="B322" s="26" t="s">
        <v>79</v>
      </c>
      <c r="C322" s="23">
        <v>46084</v>
      </c>
      <c r="D322" s="28" t="str">
        <f>_xlfn.XLOOKUP(Table134526_79101120212223242526[[#This Row],[Name Surname]],Manpower!$C$4:$C$1048576,Manpower!$B$4:$B$1048576,"")</f>
        <v>Encogroup</v>
      </c>
      <c r="E322" s="23" t="s">
        <v>84</v>
      </c>
      <c r="F322" s="12" t="e">
        <f>_xlfn.XLOOKUP(Table134526_79101120212223242526[[#This Row],[Name Surname]],Manpower!C:C,Manpower!D:D,)</f>
        <v>#N/A</v>
      </c>
      <c r="G322" s="28" t="str">
        <f>_xlfn.XLOOKUP(Table134526_79101120212223242526[[#This Row],[Name Surname]],Manpower!$C$4:$C$1048576,Manpower!$F$4:$F$1048576,"")</f>
        <v>22M-Manlift</v>
      </c>
      <c r="H322" s="28" t="str">
        <f>_xlfn.XLOOKUP(Table134526_79101120212223242526[[#This Row],[Name Surname]],Manpower!$C$4:$C$1048576,Manpower!$H$4:$H$1048576,"")</f>
        <v>Equipment</v>
      </c>
      <c r="I322" s="24" t="str">
        <f>_xlfn.XLOOKUP(Table134526_79101120212223242526[[#This Row],[Name Surname]],Manpower!$C$4:$C$1048576,Manpower!$H$4:$H$1048576,"")</f>
        <v>Equipment</v>
      </c>
      <c r="J322" s="21" t="s">
        <v>35</v>
      </c>
      <c r="K322" s="21" t="s">
        <v>88</v>
      </c>
      <c r="L322" s="21" t="s">
        <v>82</v>
      </c>
      <c r="M322" s="21" t="s">
        <v>55</v>
      </c>
      <c r="N322" s="29">
        <v>10</v>
      </c>
      <c r="R322" s="21" t="s">
        <v>227</v>
      </c>
    </row>
    <row r="323" spans="1:18" s="21" customFormat="1" ht="14.4">
      <c r="A323" s="33">
        <f>IF(C323="","",MAX($A$1:A322)+1)</f>
        <v>305</v>
      </c>
      <c r="B323" s="26" t="s">
        <v>79</v>
      </c>
      <c r="C323" s="23">
        <v>46084</v>
      </c>
      <c r="D323" s="28" t="str">
        <f>_xlfn.XLOOKUP(Table134526_79101120212223242526[[#This Row],[Name Surname]],Manpower!$C$4:$C$1048576,Manpower!$B$4:$B$1048576,"")</f>
        <v>Nass Group</v>
      </c>
      <c r="E323" s="23" t="s">
        <v>86</v>
      </c>
      <c r="F323" s="12" t="e">
        <f>_xlfn.XLOOKUP(Table134526_79101120212223242526[[#This Row],[Name Surname]],Manpower!C:C,Manpower!D:D,)</f>
        <v>#N/A</v>
      </c>
      <c r="G323" s="28" t="str">
        <f>_xlfn.XLOOKUP(Table134526_79101120212223242526[[#This Row],[Name Surname]],Manpower!$C$4:$C$1048576,Manpower!$F$4:$F$1048576,"")</f>
        <v>70T-Telescopic crane</v>
      </c>
      <c r="H323" s="28" t="str">
        <f>_xlfn.XLOOKUP(Table134526_79101120212223242526[[#This Row],[Name Surname]],Manpower!$C$4:$C$1048576,Manpower!$H$4:$H$1048576,"")</f>
        <v>Equipment</v>
      </c>
      <c r="I323" s="24" t="str">
        <f>_xlfn.XLOOKUP(Table134526_79101120212223242526[[#This Row],[Name Surname]],Manpower!$C$4:$C$1048576,Manpower!$H$4:$H$1048576,"")</f>
        <v>Equipment</v>
      </c>
      <c r="J323" s="21" t="s">
        <v>35</v>
      </c>
      <c r="K323" s="21" t="s">
        <v>81</v>
      </c>
      <c r="L323" s="21" t="s">
        <v>82</v>
      </c>
      <c r="M323" s="21" t="s">
        <v>55</v>
      </c>
      <c r="N323" s="29">
        <v>10</v>
      </c>
      <c r="R323" s="21" t="s">
        <v>227</v>
      </c>
    </row>
    <row r="324" spans="1:18" s="21" customFormat="1" ht="14.4" hidden="1">
      <c r="A324" s="33">
        <f>IF(C324="","",MAX($A$1:A323)+1)</f>
        <v>306</v>
      </c>
      <c r="B324" s="26" t="s">
        <v>79</v>
      </c>
      <c r="C324" s="23">
        <v>46084</v>
      </c>
      <c r="D324" s="28" t="str">
        <f>_xlfn.XLOOKUP(Table134526_79101120212223242526[[#This Row],[Name Surname]],Manpower!$C$4:$C$1048576,Manpower!$B$4:$B$1048576,"")</f>
        <v>Encogroup</v>
      </c>
      <c r="E324" s="23" t="s">
        <v>87</v>
      </c>
      <c r="F324" s="12">
        <f>_xlfn.XLOOKUP(Table134526_79101120212223242526[[#This Row],[Name Surname]],Manpower!C:C,Manpower!D:D,)</f>
        <v>126724428</v>
      </c>
      <c r="G324" s="28" t="str">
        <f>_xlfn.XLOOKUP(Table134526_79101120212223242526[[#This Row],[Name Surname]],Manpower!$C$4:$C$1048576,Manpower!$F$4:$F$1048576,"")</f>
        <v>Surveyor</v>
      </c>
      <c r="H324" s="28" t="str">
        <f>_xlfn.XLOOKUP(Table134526_79101120212223242526[[#This Row],[Name Surname]],Manpower!$C$4:$C$1048576,Manpower!$H$4:$H$1048576,"")</f>
        <v>Manpower</v>
      </c>
      <c r="I324" s="24" t="str">
        <f>_xlfn.XLOOKUP(Table134526_79101120212223242526[[#This Row],[Name Surname]],Manpower!$C$4:$C$1048576,Manpower!$H$4:$H$1048576,"")</f>
        <v>Manpower</v>
      </c>
      <c r="J324" s="21" t="s">
        <v>35</v>
      </c>
      <c r="K324" s="21" t="s">
        <v>93</v>
      </c>
      <c r="L324" s="21" t="s">
        <v>82</v>
      </c>
      <c r="M324" s="21" t="s">
        <v>55</v>
      </c>
      <c r="N324" s="29">
        <v>10</v>
      </c>
      <c r="R324" s="21" t="s">
        <v>227</v>
      </c>
    </row>
    <row r="325" spans="1:18" s="21" customFormat="1" ht="14.4" hidden="1">
      <c r="A325" s="33">
        <f>IF(C325="","",MAX($A$1:A324)+1)</f>
        <v>307</v>
      </c>
      <c r="B325" s="26" t="s">
        <v>79</v>
      </c>
      <c r="C325" s="23">
        <v>46084</v>
      </c>
      <c r="D325" s="28" t="str">
        <f>_xlfn.XLOOKUP(Table134526_79101120212223242526[[#This Row],[Name Surname]],Manpower!$C$4:$C$1048576,Manpower!$B$4:$B$1048576,"")</f>
        <v>Encogroup</v>
      </c>
      <c r="E325" s="23" t="s">
        <v>91</v>
      </c>
      <c r="F325" s="12">
        <f>_xlfn.XLOOKUP(Table134526_79101120212223242526[[#This Row],[Name Surname]],Manpower!C:C,Manpower!D:D,)</f>
        <v>132915855</v>
      </c>
      <c r="G325" s="28" t="str">
        <f>_xlfn.XLOOKUP(Table134526_79101120212223242526[[#This Row],[Name Surname]],Manpower!$C$4:$C$1048576,Manpower!$F$4:$F$1048576,"")</f>
        <v>Mechanical Supervisor</v>
      </c>
      <c r="H325" s="28" t="str">
        <f>_xlfn.XLOOKUP(Table134526_79101120212223242526[[#This Row],[Name Surname]],Manpower!$C$4:$C$1048576,Manpower!$H$4:$H$1048576,"")</f>
        <v>Manpower</v>
      </c>
      <c r="I325" s="24" t="str">
        <f>_xlfn.XLOOKUP(Table134526_79101120212223242526[[#This Row],[Name Surname]],Manpower!$C$4:$C$1048576,Manpower!$H$4:$H$1048576,"")</f>
        <v>Manpower</v>
      </c>
      <c r="J325" s="21" t="s">
        <v>35</v>
      </c>
      <c r="K325" s="21" t="s">
        <v>98</v>
      </c>
      <c r="L325" s="21" t="s">
        <v>82</v>
      </c>
      <c r="M325" s="21" t="s">
        <v>55</v>
      </c>
      <c r="N325" s="29">
        <v>6</v>
      </c>
      <c r="R325" s="21" t="s">
        <v>227</v>
      </c>
    </row>
    <row r="326" spans="1:18" s="21" customFormat="1" ht="14.4" hidden="1">
      <c r="A326" s="33">
        <f>IF(C326="","",MAX($A$1:A325)+1)</f>
        <v>308</v>
      </c>
      <c r="B326" s="26" t="s">
        <v>79</v>
      </c>
      <c r="C326" s="23">
        <v>46084</v>
      </c>
      <c r="D326" s="28" t="str">
        <f>_xlfn.XLOOKUP(Table134526_79101120212223242526[[#This Row],[Name Surname]],Manpower!$C$4:$C$1048576,Manpower!$B$4:$B$1048576,"")</f>
        <v>Encogroup</v>
      </c>
      <c r="E326" s="23" t="s">
        <v>92</v>
      </c>
      <c r="F326" s="12">
        <f>_xlfn.XLOOKUP(Table134526_79101120212223242526[[#This Row],[Name Surname]],Manpower!C:C,Manpower!D:D,)</f>
        <v>141377747</v>
      </c>
      <c r="G326" s="28" t="str">
        <f>_xlfn.XLOOKUP(Table134526_79101120212223242526[[#This Row],[Name Surname]],Manpower!$C$4:$C$1048576,Manpower!$F$4:$F$1048576,"")</f>
        <v>Painter</v>
      </c>
      <c r="H326" s="28" t="str">
        <f>_xlfn.XLOOKUP(Table134526_79101120212223242526[[#This Row],[Name Surname]],Manpower!$C$4:$C$1048576,Manpower!$H$4:$H$1048576,"")</f>
        <v>Manpower</v>
      </c>
      <c r="I326" s="24" t="str">
        <f>_xlfn.XLOOKUP(Table134526_79101120212223242526[[#This Row],[Name Surname]],Manpower!$C$4:$C$1048576,Manpower!$H$4:$H$1048576,"")</f>
        <v>Manpower</v>
      </c>
      <c r="J326" s="21" t="s">
        <v>35</v>
      </c>
      <c r="K326" s="21" t="s">
        <v>81</v>
      </c>
      <c r="L326" s="21" t="s">
        <v>82</v>
      </c>
      <c r="M326" s="21" t="s">
        <v>55</v>
      </c>
      <c r="N326" s="29">
        <v>10</v>
      </c>
      <c r="R326" s="21" t="s">
        <v>227</v>
      </c>
    </row>
    <row r="327" spans="1:18" s="21" customFormat="1" ht="14.4" hidden="1">
      <c r="A327" s="33">
        <f>IF(C327="","",MAX($A$1:A326)+1)</f>
        <v>309</v>
      </c>
      <c r="B327" s="26" t="s">
        <v>79</v>
      </c>
      <c r="C327" s="23">
        <v>46084</v>
      </c>
      <c r="D327" s="28" t="str">
        <f>_xlfn.XLOOKUP(Table134526_79101120212223242526[[#This Row],[Name Surname]],Manpower!$C$4:$C$1048576,Manpower!$B$4:$B$1048576,"")</f>
        <v>Encogroup</v>
      </c>
      <c r="E327" s="23" t="s">
        <v>97</v>
      </c>
      <c r="F327" s="12">
        <f>_xlfn.XLOOKUP(Table134526_79101120212223242526[[#This Row],[Name Surname]],Manpower!C:C,Manpower!D:D,)</f>
        <v>141359235</v>
      </c>
      <c r="G327" s="28" t="str">
        <f>_xlfn.XLOOKUP(Table134526_79101120212223242526[[#This Row],[Name Surname]],Manpower!$C$4:$C$1048576,Manpower!$F$4:$F$1048576,"")</f>
        <v>Fitter</v>
      </c>
      <c r="H327" s="28" t="str">
        <f>_xlfn.XLOOKUP(Table134526_79101120212223242526[[#This Row],[Name Surname]],Manpower!$C$4:$C$1048576,Manpower!$H$4:$H$1048576,"")</f>
        <v>Manpower</v>
      </c>
      <c r="I327" s="24" t="str">
        <f>_xlfn.XLOOKUP(Table134526_79101120212223242526[[#This Row],[Name Surname]],Manpower!$C$4:$C$1048576,Manpower!$H$4:$H$1048576,"")</f>
        <v>Manpower</v>
      </c>
      <c r="J327" s="21" t="s">
        <v>35</v>
      </c>
      <c r="K327" s="21" t="s">
        <v>98</v>
      </c>
      <c r="L327" s="21" t="s">
        <v>82</v>
      </c>
      <c r="M327" s="21" t="s">
        <v>55</v>
      </c>
      <c r="N327" s="29">
        <v>10</v>
      </c>
      <c r="R327" s="21" t="s">
        <v>227</v>
      </c>
    </row>
    <row r="328" spans="1:18" s="21" customFormat="1" ht="14.4" hidden="1">
      <c r="A328" s="33">
        <f>IF(C328="","",MAX($A$1:A327)+1)</f>
        <v>310</v>
      </c>
      <c r="B328" s="26" t="s">
        <v>79</v>
      </c>
      <c r="C328" s="23">
        <v>46084</v>
      </c>
      <c r="D328" s="28" t="str">
        <f>_xlfn.XLOOKUP(Table134526_79101120212223242526[[#This Row],[Name Surname]],Manpower!$C$4:$C$1048576,Manpower!$B$4:$B$1048576,"")</f>
        <v>Encogroup</v>
      </c>
      <c r="E328" s="23" t="s">
        <v>99</v>
      </c>
      <c r="F328" s="12">
        <f>_xlfn.XLOOKUP(Table134526_79101120212223242526[[#This Row],[Name Surname]],Manpower!C:C,Manpower!D:D,)</f>
        <v>140697025</v>
      </c>
      <c r="G328" s="28" t="str">
        <f>_xlfn.XLOOKUP(Table134526_79101120212223242526[[#This Row],[Name Surname]],Manpower!$C$4:$C$1048576,Manpower!$F$4:$F$1048576,"")</f>
        <v>Assistant/Helper</v>
      </c>
      <c r="H328" s="28" t="str">
        <f>_xlfn.XLOOKUP(Table134526_79101120212223242526[[#This Row],[Name Surname]],Manpower!$C$4:$C$1048576,Manpower!$H$4:$H$1048576,"")</f>
        <v>Manpower</v>
      </c>
      <c r="I328" s="24" t="str">
        <f>_xlfn.XLOOKUP(Table134526_79101120212223242526[[#This Row],[Name Surname]],Manpower!$C$4:$C$1048576,Manpower!$H$4:$H$1048576,"")</f>
        <v>Manpower</v>
      </c>
      <c r="J328" s="21" t="s">
        <v>35</v>
      </c>
      <c r="K328" s="21" t="s">
        <v>88</v>
      </c>
      <c r="L328" s="21" t="s">
        <v>82</v>
      </c>
      <c r="M328" s="21" t="s">
        <v>55</v>
      </c>
      <c r="N328" s="29">
        <v>10</v>
      </c>
      <c r="R328" s="21" t="s">
        <v>227</v>
      </c>
    </row>
    <row r="329" spans="1:18" s="21" customFormat="1" ht="14.4" hidden="1">
      <c r="A329" s="33">
        <f>IF(C329="","",MAX($A$1:A328)+1)</f>
        <v>311</v>
      </c>
      <c r="B329" s="26" t="s">
        <v>79</v>
      </c>
      <c r="C329" s="23">
        <v>46084</v>
      </c>
      <c r="D329" s="28" t="str">
        <f>_xlfn.XLOOKUP(Table134526_79101120212223242526[[#This Row],[Name Surname]],Manpower!$C$4:$C$1048576,Manpower!$B$4:$B$1048576,"")</f>
        <v>Encogroup</v>
      </c>
      <c r="E329" s="23" t="s">
        <v>101</v>
      </c>
      <c r="F329" s="12">
        <f>_xlfn.XLOOKUP(Table134526_79101120212223242526[[#This Row],[Name Surname]],Manpower!C:C,Manpower!D:D,)</f>
        <v>141169052</v>
      </c>
      <c r="G329" s="28" t="str">
        <f>_xlfn.XLOOKUP(Table134526_79101120212223242526[[#This Row],[Name Surname]],Manpower!$C$4:$C$1048576,Manpower!$F$4:$F$1048576,"")</f>
        <v>Welder</v>
      </c>
      <c r="H329" s="28" t="str">
        <f>_xlfn.XLOOKUP(Table134526_79101120212223242526[[#This Row],[Name Surname]],Manpower!$C$4:$C$1048576,Manpower!$H$4:$H$1048576,"")</f>
        <v>Manpower</v>
      </c>
      <c r="I329" s="24" t="str">
        <f>_xlfn.XLOOKUP(Table134526_79101120212223242526[[#This Row],[Name Surname]],Manpower!$C$4:$C$1048576,Manpower!$H$4:$H$1048576,"")</f>
        <v>Manpower</v>
      </c>
      <c r="J329" s="21" t="s">
        <v>35</v>
      </c>
      <c r="K329" s="21" t="s">
        <v>104</v>
      </c>
      <c r="L329" s="21" t="s">
        <v>82</v>
      </c>
      <c r="M329" s="21" t="s">
        <v>55</v>
      </c>
      <c r="N329" s="29">
        <v>10</v>
      </c>
      <c r="R329" s="21" t="s">
        <v>227</v>
      </c>
    </row>
    <row r="330" spans="1:18" s="21" customFormat="1" ht="14.4" hidden="1">
      <c r="A330" s="33">
        <f>IF(C330="","",MAX($A$1:A329)+1)</f>
        <v>312</v>
      </c>
      <c r="B330" s="26" t="s">
        <v>79</v>
      </c>
      <c r="C330" s="23">
        <v>46084</v>
      </c>
      <c r="D330" s="28" t="str">
        <f>_xlfn.XLOOKUP(Table134526_79101120212223242526[[#This Row],[Name Surname]],Manpower!$C$4:$C$1048576,Manpower!$B$4:$B$1048576,"")</f>
        <v>Encogroup</v>
      </c>
      <c r="E330" s="23" t="s">
        <v>102</v>
      </c>
      <c r="F330" s="12">
        <f>_xlfn.XLOOKUP(Table134526_79101120212223242526[[#This Row],[Name Surname]],Manpower!C:C,Manpower!D:D,)</f>
        <v>141365075</v>
      </c>
      <c r="G330" s="28" t="str">
        <f>_xlfn.XLOOKUP(Table134526_79101120212223242526[[#This Row],[Name Surname]],Manpower!$C$4:$C$1048576,Manpower!$F$4:$F$1048576,"")</f>
        <v>Helper</v>
      </c>
      <c r="H330" s="28" t="str">
        <f>_xlfn.XLOOKUP(Table134526_79101120212223242526[[#This Row],[Name Surname]],Manpower!$C$4:$C$1048576,Manpower!$H$4:$H$1048576,"")</f>
        <v>Manpower</v>
      </c>
      <c r="I330" s="24" t="str">
        <f>_xlfn.XLOOKUP(Table134526_79101120212223242526[[#This Row],[Name Surname]],Manpower!$C$4:$C$1048576,Manpower!$H$4:$H$1048576,"")</f>
        <v>Manpower</v>
      </c>
      <c r="J330" s="21" t="s">
        <v>35</v>
      </c>
      <c r="K330" s="21" t="s">
        <v>98</v>
      </c>
      <c r="L330" s="21" t="s">
        <v>82</v>
      </c>
      <c r="M330" s="21" t="s">
        <v>55</v>
      </c>
      <c r="N330" s="29">
        <v>10</v>
      </c>
      <c r="R330" s="21" t="s">
        <v>227</v>
      </c>
    </row>
    <row r="331" spans="1:18" s="21" customFormat="1" ht="14.4" hidden="1">
      <c r="A331" s="33">
        <f>IF(C331="","",MAX($A$1:A330)+1)</f>
        <v>313</v>
      </c>
      <c r="B331" s="26" t="s">
        <v>79</v>
      </c>
      <c r="C331" s="23">
        <v>46084</v>
      </c>
      <c r="D331" s="28" t="str">
        <f>_xlfn.XLOOKUP(Table134526_79101120212223242526[[#This Row],[Name Surname]],Manpower!$C$4:$C$1048576,Manpower!$B$4:$B$1048576,"")</f>
        <v>SARENS NASS</v>
      </c>
      <c r="E331" s="23" t="s">
        <v>103</v>
      </c>
      <c r="F331" s="12">
        <f>_xlfn.XLOOKUP(Table134526_79101120212223242526[[#This Row],[Name Surname]],Manpower!C:C,Manpower!D:D,)</f>
        <v>79502392</v>
      </c>
      <c r="G331" s="28" t="str">
        <f>_xlfn.XLOOKUP(Table134526_79101120212223242526[[#This Row],[Name Surname]],Manpower!$C$4:$C$1048576,Manpower!$F$4:$F$1048576,"")</f>
        <v>Crane Operator- 70T Liebherr Telescopic Crane-01</v>
      </c>
      <c r="H331" s="28" t="s">
        <v>39</v>
      </c>
      <c r="I331" s="24" t="s">
        <v>39</v>
      </c>
      <c r="J331" s="21" t="s">
        <v>35</v>
      </c>
      <c r="K331" s="21" t="s">
        <v>81</v>
      </c>
      <c r="L331" s="21" t="s">
        <v>82</v>
      </c>
      <c r="M331" s="21" t="s">
        <v>55</v>
      </c>
      <c r="N331" s="29">
        <v>10</v>
      </c>
      <c r="R331" s="21" t="s">
        <v>227</v>
      </c>
    </row>
    <row r="332" spans="1:18" s="21" customFormat="1" ht="14.4" hidden="1">
      <c r="A332" s="33">
        <f>IF(C332="","",MAX($A$1:A331)+1)</f>
        <v>314</v>
      </c>
      <c r="B332" s="26" t="s">
        <v>79</v>
      </c>
      <c r="C332" s="23">
        <v>46084</v>
      </c>
      <c r="D332" s="28" t="str">
        <f>_xlfn.XLOOKUP(Table134526_79101120212223242526[[#This Row],[Name Surname]],Manpower!$C$4:$C$1048576,Manpower!$B$4:$B$1048576,"")</f>
        <v>Encogroup</v>
      </c>
      <c r="E332" s="18" t="s">
        <v>105</v>
      </c>
      <c r="F332" s="12">
        <f>_xlfn.XLOOKUP(Table134526_79101120212223242526[[#This Row],[Name Surname]],Manpower!C:C,Manpower!D:D,)</f>
        <v>141358993</v>
      </c>
      <c r="G332" s="28" t="str">
        <f>_xlfn.XLOOKUP(Table134526_79101120212223242526[[#This Row],[Name Surname]],Manpower!$C$4:$C$1048576,Manpower!$F$4:$F$1048576,"")</f>
        <v>Fitter</v>
      </c>
      <c r="H332" s="28" t="str">
        <f>_xlfn.XLOOKUP(Table134526_79101120212223242526[[#This Row],[Name Surname]],Manpower!$C$4:$C$1048576,Manpower!$H$4:$H$1048576,"")</f>
        <v>Manpower</v>
      </c>
      <c r="I332" s="24" t="str">
        <f>_xlfn.XLOOKUP(Table134526_79101120212223242526[[#This Row],[Name Surname]],Manpower!$C$4:$C$1048576,Manpower!$H$4:$H$1048576,"")</f>
        <v>Manpower</v>
      </c>
      <c r="J332" s="21" t="s">
        <v>35</v>
      </c>
      <c r="K332" s="21" t="s">
        <v>81</v>
      </c>
      <c r="L332" s="21" t="s">
        <v>82</v>
      </c>
      <c r="M332" s="21" t="s">
        <v>55</v>
      </c>
      <c r="N332" s="29">
        <v>6</v>
      </c>
      <c r="R332" s="21" t="s">
        <v>227</v>
      </c>
    </row>
    <row r="333" spans="1:18" s="21" customFormat="1" ht="14.4" hidden="1">
      <c r="A333" s="33">
        <f>IF(C333="","",MAX($A$1:A332)+1)</f>
        <v>315</v>
      </c>
      <c r="B333" s="26" t="s">
        <v>79</v>
      </c>
      <c r="C333" s="23">
        <v>46084</v>
      </c>
      <c r="D333" s="28" t="str">
        <f>_xlfn.XLOOKUP(Table134526_79101120212223242526[[#This Row],[Name Surname]],Manpower!$C$4:$C$1048576,Manpower!$B$4:$B$1048576,"")</f>
        <v>Encogroup</v>
      </c>
      <c r="E333" s="23" t="s">
        <v>106</v>
      </c>
      <c r="F333" s="12" t="str">
        <f>_xlfn.XLOOKUP(Table134526_79101120212223242526[[#This Row],[Name Surname]],Manpower!C:C,Manpower!D:D,)</f>
        <v>R3971143</v>
      </c>
      <c r="G333" s="28" t="str">
        <f>_xlfn.XLOOKUP(Table134526_79101120212223242526[[#This Row],[Name Surname]],Manpower!$C$4:$C$1048576,Manpower!$F$4:$F$1048576,"")</f>
        <v>Mechanical Foreman</v>
      </c>
      <c r="H333" s="28" t="str">
        <f>_xlfn.XLOOKUP(Table134526_79101120212223242526[[#This Row],[Name Surname]],Manpower!$C$4:$C$1048576,Manpower!$H$4:$H$1048576,"")</f>
        <v>Manpower</v>
      </c>
      <c r="I333" s="24" t="str">
        <f>_xlfn.XLOOKUP(Table134526_79101120212223242526[[#This Row],[Name Surname]],Manpower!$C$4:$C$1048576,Manpower!$H$4:$H$1048576,"")</f>
        <v>Manpower</v>
      </c>
      <c r="J333" s="21" t="s">
        <v>35</v>
      </c>
      <c r="K333" s="21" t="s">
        <v>26</v>
      </c>
      <c r="L333" s="21" t="s">
        <v>82</v>
      </c>
      <c r="M333" s="21" t="s">
        <v>55</v>
      </c>
      <c r="N333" s="29">
        <v>10</v>
      </c>
      <c r="R333" s="21" t="s">
        <v>227</v>
      </c>
    </row>
    <row r="334" spans="1:18" s="21" customFormat="1" ht="14.4" hidden="1">
      <c r="A334" s="33">
        <f>IF(C334="","",MAX($A$1:A333)+1)</f>
        <v>316</v>
      </c>
      <c r="B334" s="26" t="s">
        <v>79</v>
      </c>
      <c r="C334" s="23">
        <v>46084</v>
      </c>
      <c r="D334" s="28" t="str">
        <f>_xlfn.XLOOKUP(Table134526_79101120212223242526[[#This Row],[Name Surname]],Manpower!$C$4:$C$1048576,Manpower!$B$4:$B$1048576,"")</f>
        <v>Encogroup</v>
      </c>
      <c r="E334" s="23" t="s">
        <v>107</v>
      </c>
      <c r="F334" s="12">
        <f>_xlfn.XLOOKUP(Table134526_79101120212223242526[[#This Row],[Name Surname]],Manpower!C:C,Manpower!D:D,)</f>
        <v>116858297</v>
      </c>
      <c r="G334" s="28" t="str">
        <f>_xlfn.XLOOKUP(Table134526_79101120212223242526[[#This Row],[Name Surname]],Manpower!$C$4:$C$1048576,Manpower!$F$4:$F$1048576,"")</f>
        <v>Mechanical Superintendent</v>
      </c>
      <c r="H334" s="28" t="str">
        <f>_xlfn.XLOOKUP(Table134526_79101120212223242526[[#This Row],[Name Surname]],Manpower!$C$4:$C$1048576,Manpower!$H$4:$H$1048576,"")</f>
        <v>Manpower</v>
      </c>
      <c r="I334" s="24" t="str">
        <f>_xlfn.XLOOKUP(Table134526_79101120212223242526[[#This Row],[Name Surname]],Manpower!$C$4:$C$1048576,Manpower!$H$4:$H$1048576,"")</f>
        <v>Manpower</v>
      </c>
      <c r="J334" s="21" t="s">
        <v>35</v>
      </c>
      <c r="K334" s="21" t="s">
        <v>26</v>
      </c>
      <c r="L334" s="21" t="s">
        <v>82</v>
      </c>
      <c r="M334" s="21" t="s">
        <v>55</v>
      </c>
      <c r="N334" s="29">
        <v>6</v>
      </c>
      <c r="R334" s="21" t="s">
        <v>227</v>
      </c>
    </row>
    <row r="335" spans="1:18" s="21" customFormat="1" ht="14.4" hidden="1">
      <c r="A335" s="33">
        <f>IF(C335="","",MAX($A$1:A334)+1)</f>
        <v>317</v>
      </c>
      <c r="B335" s="26" t="s">
        <v>79</v>
      </c>
      <c r="C335" s="23">
        <v>46084</v>
      </c>
      <c r="D335" s="28" t="str">
        <f>_xlfn.XLOOKUP(Table134526_79101120212223242526[[#This Row],[Name Surname]],Manpower!$C$4:$C$1048576,Manpower!$B$4:$B$1048576,"")</f>
        <v>Encogroup</v>
      </c>
      <c r="E335" s="23" t="s">
        <v>109</v>
      </c>
      <c r="F335" s="12">
        <f>_xlfn.XLOOKUP(Table134526_79101120212223242526[[#This Row],[Name Surname]],Manpower!C:C,Manpower!D:D,)</f>
        <v>123805496</v>
      </c>
      <c r="G335" s="28" t="str">
        <f>_xlfn.XLOOKUP(Table134526_79101120212223242526[[#This Row],[Name Surname]],Manpower!$C$4:$C$1048576,Manpower!$F$4:$F$1048576,"")</f>
        <v>Fitter/Erector</v>
      </c>
      <c r="H335" s="28" t="str">
        <f>_xlfn.XLOOKUP(Table134526_79101120212223242526[[#This Row],[Name Surname]],Manpower!$C$4:$C$1048576,Manpower!$H$4:$H$1048576,"")</f>
        <v>Manpower</v>
      </c>
      <c r="I335" s="24" t="str">
        <f>_xlfn.XLOOKUP(Table134526_79101120212223242526[[#This Row],[Name Surname]],Manpower!$C$4:$C$1048576,Manpower!$H$4:$H$1048576,"")</f>
        <v>Manpower</v>
      </c>
      <c r="J335" s="21" t="s">
        <v>35</v>
      </c>
      <c r="K335" s="21" t="s">
        <v>88</v>
      </c>
      <c r="L335" s="21" t="s">
        <v>82</v>
      </c>
      <c r="M335" s="21" t="s">
        <v>55</v>
      </c>
      <c r="N335" s="29">
        <v>10</v>
      </c>
      <c r="R335" s="21" t="s">
        <v>227</v>
      </c>
    </row>
    <row r="336" spans="1:18" s="21" customFormat="1" ht="14.4" hidden="1">
      <c r="A336" s="33">
        <f>IF(C336="","",MAX($A$1:A335)+1)</f>
        <v>318</v>
      </c>
      <c r="B336" s="26" t="s">
        <v>79</v>
      </c>
      <c r="C336" s="23">
        <v>46084</v>
      </c>
      <c r="D336" s="28" t="str">
        <f>_xlfn.XLOOKUP(Table134526_79101120212223242526[[#This Row],[Name Surname]],Manpower!$C$4:$C$1048576,Manpower!$B$4:$B$1048576,"")</f>
        <v>Encogroup</v>
      </c>
      <c r="E336" s="18" t="s">
        <v>110</v>
      </c>
      <c r="F336" s="12">
        <f>_xlfn.XLOOKUP(Table134526_79101120212223242526[[#This Row],[Name Surname]],Manpower!C:C,Manpower!D:D,)</f>
        <v>136277866</v>
      </c>
      <c r="G336" s="28" t="str">
        <f>_xlfn.XLOOKUP(Table134526_79101120212223242526[[#This Row],[Name Surname]],Manpower!$C$4:$C$1048576,Manpower!$F$4:$F$1048576,"")</f>
        <v>Permit Receiver</v>
      </c>
      <c r="H336" s="28" t="str">
        <f>_xlfn.XLOOKUP(Table134526_79101120212223242526[[#This Row],[Name Surname]],Manpower!$C$4:$C$1048576,Manpower!$H$4:$H$1048576,"")</f>
        <v>Manpower</v>
      </c>
      <c r="I336" s="24" t="str">
        <f>_xlfn.XLOOKUP(Table134526_79101120212223242526[[#This Row],[Name Surname]],Manpower!$C$4:$C$1048576,Manpower!$H$4:$H$1048576,"")</f>
        <v>Manpower</v>
      </c>
      <c r="J336" s="21" t="s">
        <v>35</v>
      </c>
      <c r="K336" s="21" t="s">
        <v>113</v>
      </c>
      <c r="L336" s="21" t="s">
        <v>82</v>
      </c>
      <c r="M336" s="21" t="s">
        <v>55</v>
      </c>
      <c r="N336" s="29">
        <v>10</v>
      </c>
      <c r="R336" s="21" t="s">
        <v>227</v>
      </c>
    </row>
    <row r="337" spans="1:18" s="21" customFormat="1" ht="14.4" hidden="1">
      <c r="A337" s="33">
        <f>IF(C337="","",MAX($A$1:A336)+1)</f>
        <v>319</v>
      </c>
      <c r="B337" s="26" t="s">
        <v>79</v>
      </c>
      <c r="C337" s="23">
        <v>46084</v>
      </c>
      <c r="D337" s="28" t="str">
        <f>_xlfn.XLOOKUP(Table134526_79101120212223242526[[#This Row],[Name Surname]],Manpower!$C$4:$C$1048576,Manpower!$B$4:$B$1048576,"")</f>
        <v>Encogroup</v>
      </c>
      <c r="E337" s="23" t="s">
        <v>111</v>
      </c>
      <c r="F337" s="12">
        <f>_xlfn.XLOOKUP(Table134526_79101120212223242526[[#This Row],[Name Surname]],Manpower!C:C,Manpower!D:D,)</f>
        <v>120653364</v>
      </c>
      <c r="G337" s="28" t="str">
        <f>_xlfn.XLOOKUP(Table134526_79101120212223242526[[#This Row],[Name Surname]],Manpower!$C$4:$C$1048576,Manpower!$F$4:$F$1048576,"")</f>
        <v>Surveyor</v>
      </c>
      <c r="H337" s="28" t="str">
        <f>_xlfn.XLOOKUP(Table134526_79101120212223242526[[#This Row],[Name Surname]],Manpower!$C$4:$C$1048576,Manpower!$H$4:$H$1048576,"")</f>
        <v>Manpower</v>
      </c>
      <c r="I337" s="24" t="str">
        <f>_xlfn.XLOOKUP(Table134526_79101120212223242526[[#This Row],[Name Surname]],Manpower!$C$4:$C$1048576,Manpower!$H$4:$H$1048576,"")</f>
        <v>Manpower</v>
      </c>
      <c r="J337" s="21" t="s">
        <v>35</v>
      </c>
      <c r="K337" s="21" t="s">
        <v>113</v>
      </c>
      <c r="L337" s="21" t="s">
        <v>82</v>
      </c>
      <c r="M337" s="21" t="s">
        <v>55</v>
      </c>
      <c r="N337" s="29">
        <v>10</v>
      </c>
      <c r="R337" s="21" t="s">
        <v>227</v>
      </c>
    </row>
    <row r="338" spans="1:18" s="21" customFormat="1" ht="14.4" hidden="1">
      <c r="A338" s="33">
        <f>IF(C338="","",MAX($A$1:A337)+1)</f>
        <v>320</v>
      </c>
      <c r="B338" s="26" t="s">
        <v>79</v>
      </c>
      <c r="C338" s="23">
        <v>46084</v>
      </c>
      <c r="D338" s="28" t="str">
        <f>_xlfn.XLOOKUP(Table134526_79101120212223242526[[#This Row],[Name Surname]],Manpower!$C$4:$C$1048576,Manpower!$B$4:$B$1048576,"")</f>
        <v>Encogroup</v>
      </c>
      <c r="E338" s="23" t="s">
        <v>112</v>
      </c>
      <c r="F338" s="12">
        <f>_xlfn.XLOOKUP(Table134526_79101120212223242526[[#This Row],[Name Surname]],Manpower!C:C,Manpower!D:D,)</f>
        <v>140663253</v>
      </c>
      <c r="G338" s="28" t="str">
        <f>_xlfn.XLOOKUP(Table134526_79101120212223242526[[#This Row],[Name Surname]],Manpower!$C$4:$C$1048576,Manpower!$F$4:$F$1048576,"")</f>
        <v>Painting Inspector</v>
      </c>
      <c r="H338" s="28" t="str">
        <f>_xlfn.XLOOKUP(Table134526_79101120212223242526[[#This Row],[Name Surname]],Manpower!$C$4:$C$1048576,Manpower!$H$4:$H$1048576,"")</f>
        <v>Manpower</v>
      </c>
      <c r="I338" s="24" t="str">
        <f>_xlfn.XLOOKUP(Table134526_79101120212223242526[[#This Row],[Name Surname]],Manpower!$C$4:$C$1048576,Manpower!$H$4:$H$1048576,"")</f>
        <v>Manpower</v>
      </c>
      <c r="J338" s="21" t="s">
        <v>35</v>
      </c>
      <c r="K338" s="21" t="s">
        <v>113</v>
      </c>
      <c r="L338" s="21" t="s">
        <v>82</v>
      </c>
      <c r="M338" s="21" t="s">
        <v>55</v>
      </c>
      <c r="N338" s="29">
        <v>8</v>
      </c>
      <c r="R338" s="21" t="s">
        <v>227</v>
      </c>
    </row>
    <row r="339" spans="1:18" s="21" customFormat="1" ht="14.4" hidden="1">
      <c r="A339" s="33">
        <f>IF(C339="","",MAX($A$1:A338)+1)</f>
        <v>321</v>
      </c>
      <c r="B339" s="26" t="s">
        <v>79</v>
      </c>
      <c r="C339" s="23">
        <v>46084</v>
      </c>
      <c r="D339" s="28" t="str">
        <f>_xlfn.XLOOKUP(Table134526_79101120212223242526[[#This Row],[Name Surname]],Manpower!$C$4:$C$1048576,Manpower!$B$4:$B$1048576,"")</f>
        <v>Encogroup</v>
      </c>
      <c r="E339" s="23" t="s">
        <v>116</v>
      </c>
      <c r="F339" s="12">
        <f>_xlfn.XLOOKUP(Table134526_79101120212223242526[[#This Row],[Name Surname]],Manpower!C:C,Manpower!D:D,)</f>
        <v>140844604</v>
      </c>
      <c r="G339" s="28" t="str">
        <f>_xlfn.XLOOKUP(Table134526_79101120212223242526[[#This Row],[Name Surname]],Manpower!$C$4:$C$1048576,Manpower!$F$4:$F$1048576,"")</f>
        <v>Painter</v>
      </c>
      <c r="H339" s="28" t="str">
        <f>_xlfn.XLOOKUP(Table134526_79101120212223242526[[#This Row],[Name Surname]],Manpower!$C$4:$C$1048576,Manpower!$H$4:$H$1048576,"")</f>
        <v>Manpower</v>
      </c>
      <c r="I339" s="24" t="str">
        <f>_xlfn.XLOOKUP(Table134526_79101120212223242526[[#This Row],[Name Surname]],Manpower!$C$4:$C$1048576,Manpower!$H$4:$H$1048576,"")</f>
        <v>Manpower</v>
      </c>
      <c r="J339" s="21" t="s">
        <v>35</v>
      </c>
      <c r="K339" s="21" t="s">
        <v>113</v>
      </c>
      <c r="L339" s="21" t="s">
        <v>82</v>
      </c>
      <c r="M339" s="21" t="s">
        <v>55</v>
      </c>
      <c r="N339" s="29">
        <v>10</v>
      </c>
      <c r="R339" s="21" t="s">
        <v>227</v>
      </c>
    </row>
    <row r="340" spans="1:18" s="21" customFormat="1" ht="14.4" hidden="1">
      <c r="A340" s="33">
        <f>IF(C340="","",MAX($A$1:A339)+1)</f>
        <v>322</v>
      </c>
      <c r="B340" s="26" t="s">
        <v>79</v>
      </c>
      <c r="C340" s="23">
        <v>46084</v>
      </c>
      <c r="D340" s="28" t="str">
        <f>_xlfn.XLOOKUP(Table134526_79101120212223242526[[#This Row],[Name Surname]],Manpower!$C$4:$C$1048576,Manpower!$B$4:$B$1048576,"")</f>
        <v>Encogroup</v>
      </c>
      <c r="E340" s="23" t="s">
        <v>117</v>
      </c>
      <c r="F340" s="12">
        <f>_xlfn.XLOOKUP(Table134526_79101120212223242526[[#This Row],[Name Surname]],Manpower!C:C,Manpower!D:D,)</f>
        <v>140844783</v>
      </c>
      <c r="G340" s="28" t="str">
        <f>_xlfn.XLOOKUP(Table134526_79101120212223242526[[#This Row],[Name Surname]],Manpower!$C$4:$C$1048576,Manpower!$F$4:$F$1048576,"")</f>
        <v>Painter</v>
      </c>
      <c r="H340" s="28" t="str">
        <f>_xlfn.XLOOKUP(Table134526_79101120212223242526[[#This Row],[Name Surname]],Manpower!$C$4:$C$1048576,Manpower!$H$4:$H$1048576,"")</f>
        <v>Manpower</v>
      </c>
      <c r="I340" s="24" t="str">
        <f>_xlfn.XLOOKUP(Table134526_79101120212223242526[[#This Row],[Name Surname]],Manpower!$C$4:$C$1048576,Manpower!$H$4:$H$1048576,"")</f>
        <v>Manpower</v>
      </c>
      <c r="J340" s="21" t="s">
        <v>35</v>
      </c>
      <c r="K340" s="21" t="s">
        <v>113</v>
      </c>
      <c r="L340" s="21" t="s">
        <v>82</v>
      </c>
      <c r="M340" s="21" t="s">
        <v>55</v>
      </c>
      <c r="N340" s="29">
        <v>10</v>
      </c>
      <c r="R340" s="21" t="s">
        <v>227</v>
      </c>
    </row>
    <row r="341" spans="1:18" s="21" customFormat="1" ht="14.4" hidden="1">
      <c r="A341" s="33">
        <f>IF(C341="","",MAX($A$1:A340)+1)</f>
        <v>323</v>
      </c>
      <c r="B341" s="26" t="s">
        <v>79</v>
      </c>
      <c r="C341" s="23">
        <v>46084</v>
      </c>
      <c r="D341" s="28" t="str">
        <f>_xlfn.XLOOKUP(Table134526_79101120212223242526[[#This Row],[Name Surname]],Manpower!$C$4:$C$1048576,Manpower!$B$4:$B$1048576,"")</f>
        <v>Encogroup</v>
      </c>
      <c r="E341" s="23" t="s">
        <v>118</v>
      </c>
      <c r="F341" s="12" t="str">
        <f>_xlfn.XLOOKUP(Table134526_79101120212223242526[[#This Row],[Name Surname]],Manpower!C:C,Manpower!D:D,)</f>
        <v>AG111207</v>
      </c>
      <c r="G341" s="28" t="str">
        <f>_xlfn.XLOOKUP(Table134526_79101120212223242526[[#This Row],[Name Surname]],Manpower!$C$4:$C$1048576,Manpower!$F$4:$F$1048576,"")</f>
        <v>Assistant/Helper</v>
      </c>
      <c r="H341" s="28" t="str">
        <f>_xlfn.XLOOKUP(Table134526_79101120212223242526[[#This Row],[Name Surname]],Manpower!$C$4:$C$1048576,Manpower!$H$4:$H$1048576,"")</f>
        <v>Manpower</v>
      </c>
      <c r="I341" s="24" t="str">
        <f>_xlfn.XLOOKUP(Table134526_79101120212223242526[[#This Row],[Name Surname]],Manpower!$C$4:$C$1048576,Manpower!$H$4:$H$1048576,"")</f>
        <v>Manpower</v>
      </c>
      <c r="J341" s="21" t="s">
        <v>35</v>
      </c>
      <c r="K341" s="21" t="s">
        <v>113</v>
      </c>
      <c r="L341" s="21" t="s">
        <v>82</v>
      </c>
      <c r="M341" s="21" t="s">
        <v>55</v>
      </c>
      <c r="N341" s="29">
        <v>10</v>
      </c>
      <c r="R341" s="21" t="s">
        <v>227</v>
      </c>
    </row>
    <row r="342" spans="1:18" s="21" customFormat="1" ht="14.4" hidden="1">
      <c r="A342" s="33">
        <f>IF(C342="","",MAX($A$1:A341)+1)</f>
        <v>324</v>
      </c>
      <c r="B342" s="26" t="s">
        <v>79</v>
      </c>
      <c r="C342" s="23">
        <v>46084</v>
      </c>
      <c r="D342" s="28" t="str">
        <f>_xlfn.XLOOKUP(Table134526_79101120212223242526[[#This Row],[Name Surname]],Manpower!$C$4:$C$1048576,Manpower!$B$4:$B$1048576,"")</f>
        <v>Encogroup</v>
      </c>
      <c r="E342" s="23" t="s">
        <v>119</v>
      </c>
      <c r="F342" s="12">
        <f>_xlfn.XLOOKUP(Table134526_79101120212223242526[[#This Row],[Name Surname]],Manpower!C:C,Manpower!D:D,)</f>
        <v>140844778</v>
      </c>
      <c r="G342" s="28" t="str">
        <f>_xlfn.XLOOKUP(Table134526_79101120212223242526[[#This Row],[Name Surname]],Manpower!$C$4:$C$1048576,Manpower!$F$4:$F$1048576,"")</f>
        <v>Painter</v>
      </c>
      <c r="H342" s="28" t="str">
        <f>_xlfn.XLOOKUP(Table134526_79101120212223242526[[#This Row],[Name Surname]],Manpower!$C$4:$C$1048576,Manpower!$H$4:$H$1048576,"")</f>
        <v>Manpower</v>
      </c>
      <c r="I342" s="24" t="str">
        <f>_xlfn.XLOOKUP(Table134526_79101120212223242526[[#This Row],[Name Surname]],Manpower!$C$4:$C$1048576,Manpower!$H$4:$H$1048576,"")</f>
        <v>Manpower</v>
      </c>
      <c r="J342" s="21" t="s">
        <v>35</v>
      </c>
      <c r="K342" s="21" t="s">
        <v>113</v>
      </c>
      <c r="L342" s="21" t="s">
        <v>82</v>
      </c>
      <c r="M342" s="21" t="s">
        <v>55</v>
      </c>
      <c r="N342" s="29">
        <v>6</v>
      </c>
      <c r="R342" s="21" t="s">
        <v>227</v>
      </c>
    </row>
    <row r="343" spans="1:18" s="21" customFormat="1" ht="14.4" hidden="1">
      <c r="A343" s="33">
        <f>IF(C343="","",MAX($A$1:A342)+1)</f>
        <v>325</v>
      </c>
      <c r="B343" s="26" t="s">
        <v>79</v>
      </c>
      <c r="C343" s="23">
        <v>46084</v>
      </c>
      <c r="D343" s="28" t="str">
        <f>_xlfn.XLOOKUP(Table134526_79101120212223242526[[#This Row],[Name Surname]],Manpower!$C$4:$C$1048576,Manpower!$B$4:$B$1048576,"")</f>
        <v>Encogroup</v>
      </c>
      <c r="E343" s="23" t="s">
        <v>120</v>
      </c>
      <c r="F343" s="12">
        <f>_xlfn.XLOOKUP(Table134526_79101120212223242526[[#This Row],[Name Surname]],Manpower!C:C,Manpower!D:D,)</f>
        <v>141365037</v>
      </c>
      <c r="G343" s="28" t="str">
        <f>_xlfn.XLOOKUP(Table134526_79101120212223242526[[#This Row],[Name Surname]],Manpower!$C$4:$C$1048576,Manpower!$F$4:$F$1048576,"")</f>
        <v>Painter</v>
      </c>
      <c r="H343" s="28" t="str">
        <f>_xlfn.XLOOKUP(Table134526_79101120212223242526[[#This Row],[Name Surname]],Manpower!$C$4:$C$1048576,Manpower!$H$4:$H$1048576,"")</f>
        <v>Manpower</v>
      </c>
      <c r="I343" s="24" t="str">
        <f>_xlfn.XLOOKUP(Table134526_79101120212223242526[[#This Row],[Name Surname]],Manpower!$C$4:$C$1048576,Manpower!$H$4:$H$1048576,"")</f>
        <v>Manpower</v>
      </c>
      <c r="J343" s="21" t="s">
        <v>35</v>
      </c>
      <c r="K343" s="21" t="s">
        <v>98</v>
      </c>
      <c r="L343" s="21" t="s">
        <v>82</v>
      </c>
      <c r="M343" s="21" t="s">
        <v>55</v>
      </c>
      <c r="N343" s="29">
        <v>10</v>
      </c>
      <c r="R343" s="21" t="s">
        <v>227</v>
      </c>
    </row>
    <row r="344" spans="1:18" s="21" customFormat="1" ht="14.4" hidden="1">
      <c r="A344" s="33">
        <f>IF(C344="","",MAX($A$1:A343)+1)</f>
        <v>326</v>
      </c>
      <c r="B344" s="26" t="s">
        <v>79</v>
      </c>
      <c r="C344" s="23">
        <v>46084</v>
      </c>
      <c r="D344" s="28" t="str">
        <f>_xlfn.XLOOKUP(Table134526_79101120212223242526[[#This Row],[Name Surname]],Manpower!$C$4:$C$1048576,Manpower!$B$4:$B$1048576,"")</f>
        <v>Encogroup</v>
      </c>
      <c r="E344" s="23" t="s">
        <v>121</v>
      </c>
      <c r="F344" s="12">
        <f>_xlfn.XLOOKUP(Table134526_79101120212223242526[[#This Row],[Name Surname]],Manpower!C:C,Manpower!D:D,)</f>
        <v>141377709</v>
      </c>
      <c r="G344" s="28" t="str">
        <f>_xlfn.XLOOKUP(Table134526_79101120212223242526[[#This Row],[Name Surname]],Manpower!$C$4:$C$1048576,Manpower!$F$4:$F$1048576,"")</f>
        <v>Helper</v>
      </c>
      <c r="H344" s="28" t="str">
        <f>_xlfn.XLOOKUP(Table134526_79101120212223242526[[#This Row],[Name Surname]],Manpower!$C$4:$C$1048576,Manpower!$H$4:$H$1048576,"")</f>
        <v>Manpower</v>
      </c>
      <c r="I344" s="24" t="str">
        <f>_xlfn.XLOOKUP(Table134526_79101120212223242526[[#This Row],[Name Surname]],Manpower!$C$4:$C$1048576,Manpower!$H$4:$H$1048576,"")</f>
        <v>Manpower</v>
      </c>
      <c r="J344" s="21" t="s">
        <v>35</v>
      </c>
      <c r="K344" s="21" t="s">
        <v>98</v>
      </c>
      <c r="L344" s="21" t="s">
        <v>82</v>
      </c>
      <c r="M344" s="21" t="s">
        <v>55</v>
      </c>
      <c r="N344" s="29">
        <v>10</v>
      </c>
      <c r="R344" s="21" t="s">
        <v>227</v>
      </c>
    </row>
    <row r="345" spans="1:18" s="21" customFormat="1" ht="14.4" hidden="1">
      <c r="A345" s="33">
        <f>IF(C345="","",MAX($A$1:A344)+1)</f>
        <v>327</v>
      </c>
      <c r="B345" s="26" t="s">
        <v>79</v>
      </c>
      <c r="C345" s="23">
        <v>46084</v>
      </c>
      <c r="D345" s="28" t="str">
        <f>_xlfn.XLOOKUP(Table134526_79101120212223242526[[#This Row],[Name Surname]],Manpower!$C$4:$C$1048576,Manpower!$B$4:$B$1048576,"")</f>
        <v>Encogroup</v>
      </c>
      <c r="E345" s="23" t="s">
        <v>122</v>
      </c>
      <c r="F345" s="12">
        <f>_xlfn.XLOOKUP(Table134526_79101120212223242526[[#This Row],[Name Surname]],Manpower!C:C,Manpower!D:D,)</f>
        <v>140805554</v>
      </c>
      <c r="G345" s="28" t="str">
        <f>_xlfn.XLOOKUP(Table134526_79101120212223242526[[#This Row],[Name Surname]],Manpower!$C$4:$C$1048576,Manpower!$F$4:$F$1048576,"")</f>
        <v>Assistant/Helper</v>
      </c>
      <c r="H345" s="28" t="str">
        <f>_xlfn.XLOOKUP(Table134526_79101120212223242526[[#This Row],[Name Surname]],Manpower!$C$4:$C$1048576,Manpower!$H$4:$H$1048576,"")</f>
        <v>Manpower</v>
      </c>
      <c r="I345" s="24" t="str">
        <f>_xlfn.XLOOKUP(Table134526_79101120212223242526[[#This Row],[Name Surname]],Manpower!$C$4:$C$1048576,Manpower!$H$4:$H$1048576,"")</f>
        <v>Manpower</v>
      </c>
      <c r="J345" s="21" t="s">
        <v>35</v>
      </c>
      <c r="K345" s="21" t="s">
        <v>104</v>
      </c>
      <c r="L345" s="21" t="s">
        <v>82</v>
      </c>
      <c r="M345" s="21" t="s">
        <v>55</v>
      </c>
      <c r="N345" s="29">
        <v>10</v>
      </c>
      <c r="R345" s="21" t="s">
        <v>227</v>
      </c>
    </row>
    <row r="346" spans="1:18" s="21" customFormat="1" ht="14.4" hidden="1">
      <c r="A346" s="33">
        <f>IF(C346="","",MAX($A$1:A345)+1)</f>
        <v>328</v>
      </c>
      <c r="B346" s="26" t="s">
        <v>79</v>
      </c>
      <c r="C346" s="23">
        <v>46084</v>
      </c>
      <c r="D346" s="28" t="str">
        <f>_xlfn.XLOOKUP(Table134526_79101120212223242526[[#This Row],[Name Surname]],Manpower!$C$4:$C$1048576,Manpower!$B$4:$B$1048576,"")</f>
        <v>Encogroup</v>
      </c>
      <c r="E346" s="23" t="s">
        <v>124</v>
      </c>
      <c r="F346" s="12">
        <f>_xlfn.XLOOKUP(Table134526_79101120212223242526[[#This Row],[Name Surname]],Manpower!C:C,Manpower!D:D,)</f>
        <v>141169033</v>
      </c>
      <c r="G346" s="28" t="str">
        <f>_xlfn.XLOOKUP(Table134526_79101120212223242526[[#This Row],[Name Surname]],Manpower!$C$4:$C$1048576,Manpower!$F$4:$F$1048576,"")</f>
        <v>Welder</v>
      </c>
      <c r="H346" s="28" t="str">
        <f>_xlfn.XLOOKUP(Table134526_79101120212223242526[[#This Row],[Name Surname]],Manpower!$C$4:$C$1048576,Manpower!$H$4:$H$1048576,"")</f>
        <v>Manpower</v>
      </c>
      <c r="I346" s="24" t="str">
        <f>_xlfn.XLOOKUP(Table134526_79101120212223242526[[#This Row],[Name Surname]],Manpower!$C$4:$C$1048576,Manpower!$H$4:$H$1048576,"")</f>
        <v>Manpower</v>
      </c>
      <c r="J346" s="21" t="s">
        <v>35</v>
      </c>
      <c r="K346" s="21" t="s">
        <v>127</v>
      </c>
      <c r="L346" s="21" t="s">
        <v>82</v>
      </c>
      <c r="M346" s="21" t="s">
        <v>55</v>
      </c>
      <c r="N346" s="29">
        <v>10</v>
      </c>
      <c r="R346" s="21" t="s">
        <v>227</v>
      </c>
    </row>
    <row r="347" spans="1:18" s="21" customFormat="1" ht="14.4" hidden="1">
      <c r="A347" s="33">
        <f>IF(C347="","",MAX($A$1:A346)+1)</f>
        <v>329</v>
      </c>
      <c r="B347" s="26" t="s">
        <v>79</v>
      </c>
      <c r="C347" s="23">
        <v>46084</v>
      </c>
      <c r="D347" s="28" t="str">
        <f>_xlfn.XLOOKUP(Table134526_79101120212223242526[[#This Row],[Name Surname]],Manpower!$C$4:$C$1048576,Manpower!$B$4:$B$1048576,"")</f>
        <v>Encogroup</v>
      </c>
      <c r="E347" s="23" t="s">
        <v>125</v>
      </c>
      <c r="F347" s="12">
        <f>_xlfn.XLOOKUP(Table134526_79101120212223242526[[#This Row],[Name Surname]],Manpower!C:C,Manpower!D:D,)</f>
        <v>141169028</v>
      </c>
      <c r="G347" s="28" t="str">
        <f>_xlfn.XLOOKUP(Table134526_79101120212223242526[[#This Row],[Name Surname]],Manpower!$C$4:$C$1048576,Manpower!$F$4:$F$1048576,"")</f>
        <v>Welder</v>
      </c>
      <c r="H347" s="28" t="str">
        <f>_xlfn.XLOOKUP(Table134526_79101120212223242526[[#This Row],[Name Surname]],Manpower!$C$4:$C$1048576,Manpower!$H$4:$H$1048576,"")</f>
        <v>Manpower</v>
      </c>
      <c r="I347" s="24" t="str">
        <f>_xlfn.XLOOKUP(Table134526_79101120212223242526[[#This Row],[Name Surname]],Manpower!$C$4:$C$1048576,Manpower!$H$4:$H$1048576,"")</f>
        <v>Manpower</v>
      </c>
      <c r="J347" s="21" t="s">
        <v>35</v>
      </c>
      <c r="K347" s="21" t="s">
        <v>104</v>
      </c>
      <c r="L347" s="21" t="s">
        <v>82</v>
      </c>
      <c r="M347" s="21" t="s">
        <v>55</v>
      </c>
      <c r="N347" s="29">
        <v>10</v>
      </c>
      <c r="R347" s="21" t="s">
        <v>227</v>
      </c>
    </row>
    <row r="348" spans="1:18" s="21" customFormat="1" ht="14.4" hidden="1">
      <c r="A348" s="33">
        <f>IF(C348="","",MAX($A$1:A347)+1)</f>
        <v>330</v>
      </c>
      <c r="B348" s="26" t="s">
        <v>79</v>
      </c>
      <c r="C348" s="23">
        <v>46084</v>
      </c>
      <c r="D348" s="28" t="str">
        <f>_xlfn.XLOOKUP(Table134526_79101120212223242526[[#This Row],[Name Surname]],Manpower!$C$4:$C$1048576,Manpower!$B$4:$B$1048576,"")</f>
        <v>Encogroup</v>
      </c>
      <c r="E348" s="23" t="s">
        <v>126</v>
      </c>
      <c r="F348" s="12">
        <f>_xlfn.XLOOKUP(Table134526_79101120212223242526[[#This Row],[Name Surname]],Manpower!C:C,Manpower!D:D,)</f>
        <v>140805568</v>
      </c>
      <c r="G348" s="28" t="str">
        <f>_xlfn.XLOOKUP(Table134526_79101120212223242526[[#This Row],[Name Surname]],Manpower!$C$4:$C$1048576,Manpower!$F$4:$F$1048576,"")</f>
        <v>Assistant/Helper</v>
      </c>
      <c r="H348" s="28" t="str">
        <f>_xlfn.XLOOKUP(Table134526_79101120212223242526[[#This Row],[Name Surname]],Manpower!$C$4:$C$1048576,Manpower!$H$4:$H$1048576,"")</f>
        <v>Manpower</v>
      </c>
      <c r="I348" s="24" t="str">
        <f>_xlfn.XLOOKUP(Table134526_79101120212223242526[[#This Row],[Name Surname]],Manpower!$C$4:$C$1048576,Manpower!$H$4:$H$1048576,"")</f>
        <v>Manpower</v>
      </c>
      <c r="J348" s="21" t="s">
        <v>35</v>
      </c>
      <c r="K348" s="21" t="s">
        <v>104</v>
      </c>
      <c r="L348" s="21" t="s">
        <v>82</v>
      </c>
      <c r="M348" s="21" t="s">
        <v>55</v>
      </c>
      <c r="N348" s="29">
        <v>10</v>
      </c>
      <c r="R348" s="21" t="s">
        <v>227</v>
      </c>
    </row>
    <row r="349" spans="1:18" s="21" customFormat="1" ht="14.4" hidden="1">
      <c r="A349" s="33">
        <f>IF(C349="","",MAX($A$1:A348)+1)</f>
        <v>331</v>
      </c>
      <c r="B349" s="26" t="s">
        <v>79</v>
      </c>
      <c r="C349" s="23">
        <v>46084</v>
      </c>
      <c r="D349" s="28" t="str">
        <f>_xlfn.XLOOKUP(Table134526_79101120212223242526[[#This Row],[Name Surname]],Manpower!$C$4:$C$1048576,Manpower!$B$4:$B$1048576,"")</f>
        <v>AL Saif &amp; Al QALLM ENT LLC</v>
      </c>
      <c r="E349" s="23" t="s">
        <v>130</v>
      </c>
      <c r="F349" s="12">
        <f>_xlfn.XLOOKUP(Table134526_79101120212223242526[[#This Row],[Name Surname]],Manpower!C:C,Manpower!D:D,)</f>
        <v>76647648</v>
      </c>
      <c r="G349" s="28" t="str">
        <f>_xlfn.XLOOKUP(Table134526_79101120212223242526[[#This Row],[Name Surname]],Manpower!$C$4:$C$1048576,Manpower!$F$4:$F$1048576,"")</f>
        <v>RIgger</v>
      </c>
      <c r="H349" s="28" t="str">
        <f>_xlfn.XLOOKUP(Table134526_79101120212223242526[[#This Row],[Name Surname]],Manpower!$C$4:$C$1048576,Manpower!$H$4:$H$1048576,"")</f>
        <v>Sub Contactor</v>
      </c>
      <c r="I349" s="24" t="str">
        <f>_xlfn.XLOOKUP(Table134526_79101120212223242526[[#This Row],[Name Surname]],Manpower!$C$4:$C$1048576,Manpower!$H$4:$H$1048576,"")</f>
        <v>Sub Contactor</v>
      </c>
      <c r="J349" s="21" t="s">
        <v>35</v>
      </c>
      <c r="K349" s="21" t="s">
        <v>81</v>
      </c>
      <c r="L349" s="21" t="s">
        <v>82</v>
      </c>
      <c r="M349" s="21" t="s">
        <v>55</v>
      </c>
      <c r="N349" s="29">
        <v>10</v>
      </c>
      <c r="R349" s="21" t="s">
        <v>227</v>
      </c>
    </row>
    <row r="350" spans="1:18" s="21" customFormat="1" ht="14.4" hidden="1">
      <c r="A350" s="33">
        <f>IF(C350="","",MAX($A$1:A349)+1)</f>
        <v>332</v>
      </c>
      <c r="B350" s="26" t="s">
        <v>79</v>
      </c>
      <c r="C350" s="23">
        <v>46084</v>
      </c>
      <c r="D350" s="28" t="str">
        <f>_xlfn.XLOOKUP(Table134526_79101120212223242526[[#This Row],[Name Surname]],Manpower!$C$4:$C$1048576,Manpower!$B$4:$B$1048576,"")</f>
        <v>Rabwu Ahamal AL Khaleej Trad</v>
      </c>
      <c r="E350" s="23" t="s">
        <v>131</v>
      </c>
      <c r="F350" s="12">
        <f>_xlfn.XLOOKUP(Table134526_79101120212223242526[[#This Row],[Name Surname]],Manpower!C:C,Manpower!D:D,)</f>
        <v>131431131</v>
      </c>
      <c r="G350" s="28" t="str">
        <f>_xlfn.XLOOKUP(Table134526_79101120212223242526[[#This Row],[Name Surname]],Manpower!$C$4:$C$1048576,Manpower!$F$4:$F$1048576,"")</f>
        <v>RIgger</v>
      </c>
      <c r="H350" s="28" t="str">
        <f>_xlfn.XLOOKUP(Table134526_79101120212223242526[[#This Row],[Name Surname]],Manpower!$C$4:$C$1048576,Manpower!$H$4:$H$1048576,"")</f>
        <v>Sub Contactor</v>
      </c>
      <c r="I350" s="24" t="str">
        <f>_xlfn.XLOOKUP(Table134526_79101120212223242526[[#This Row],[Name Surname]],Manpower!$C$4:$C$1048576,Manpower!$H$4:$H$1048576,"")</f>
        <v>Sub Contactor</v>
      </c>
      <c r="J350" s="21" t="s">
        <v>35</v>
      </c>
      <c r="K350" s="21" t="s">
        <v>81</v>
      </c>
      <c r="L350" s="21" t="s">
        <v>82</v>
      </c>
      <c r="M350" s="21" t="s">
        <v>55</v>
      </c>
      <c r="N350" s="29">
        <v>10</v>
      </c>
      <c r="R350" s="21" t="s">
        <v>227</v>
      </c>
    </row>
    <row r="351" spans="1:18" s="21" customFormat="1" ht="14.4" hidden="1">
      <c r="A351" s="33">
        <f>IF(C351="","",MAX($A$1:A350)+1)</f>
        <v>333</v>
      </c>
      <c r="B351" s="26" t="s">
        <v>79</v>
      </c>
      <c r="C351" s="23">
        <v>46084</v>
      </c>
      <c r="D351" s="28" t="str">
        <f>_xlfn.XLOOKUP(Table134526_79101120212223242526[[#This Row],[Name Surname]],Manpower!$C$4:$C$1048576,Manpower!$B$4:$B$1048576,"")</f>
        <v>AL Saif &amp; Al QALLM ENT LLC</v>
      </c>
      <c r="E351" s="23" t="s">
        <v>132</v>
      </c>
      <c r="F351" s="12">
        <f>_xlfn.XLOOKUP(Table134526_79101120212223242526[[#This Row],[Name Surname]],Manpower!C:C,Manpower!D:D,)</f>
        <v>135762195</v>
      </c>
      <c r="G351" s="28" t="str">
        <f>_xlfn.XLOOKUP(Table134526_79101120212223242526[[#This Row],[Name Surname]],Manpower!$C$4:$C$1048576,Manpower!$F$4:$F$1048576,"")</f>
        <v>HSE Officer</v>
      </c>
      <c r="H351" s="28" t="str">
        <f>_xlfn.XLOOKUP(Table134526_79101120212223242526[[#This Row],[Name Surname]],Manpower!$C$4:$C$1048576,Manpower!$H$4:$H$1048576,"")</f>
        <v>Sub Contactor</v>
      </c>
      <c r="I351" s="24" t="str">
        <f>_xlfn.XLOOKUP(Table134526_79101120212223242526[[#This Row],[Name Surname]],Manpower!$C$4:$C$1048576,Manpower!$H$4:$H$1048576,"")</f>
        <v>Sub Contactor</v>
      </c>
      <c r="J351" s="21" t="s">
        <v>35</v>
      </c>
      <c r="K351" s="21" t="s">
        <v>81</v>
      </c>
      <c r="L351" s="21" t="s">
        <v>82</v>
      </c>
      <c r="M351" s="21" t="s">
        <v>55</v>
      </c>
      <c r="N351" s="29">
        <v>10</v>
      </c>
      <c r="R351" s="21" t="s">
        <v>227</v>
      </c>
    </row>
    <row r="352" spans="1:18" s="21" customFormat="1" ht="14.4">
      <c r="A352" s="33">
        <f>IF(C352="","",MAX($A$1:A351)+1)</f>
        <v>334</v>
      </c>
      <c r="B352" s="26" t="s">
        <v>79</v>
      </c>
      <c r="C352" s="23">
        <v>46084</v>
      </c>
      <c r="D352" s="28" t="str">
        <f>_xlfn.XLOOKUP(Table134526_79101120212223242526[[#This Row],[Name Surname]],Manpower!$C$4:$C$1048576,Manpower!$B$4:$B$1048576,"")</f>
        <v>Encogroup</v>
      </c>
      <c r="E352" s="23" t="s">
        <v>139</v>
      </c>
      <c r="F352" s="12" t="e">
        <f>_xlfn.XLOOKUP(Table134526_79101120212223242526[[#This Row],[Name Surname]],Manpower!C:C,Manpower!D:D,)</f>
        <v>#N/A</v>
      </c>
      <c r="G352" s="28" t="str">
        <f>_xlfn.XLOOKUP(Table134526_79101120212223242526[[#This Row],[Name Surname]],Manpower!$C$4:$C$1048576,Manpower!$F$4:$F$1048576,"")</f>
        <v>TOWER LIGHT</v>
      </c>
      <c r="H352" s="28" t="str">
        <f>_xlfn.XLOOKUP(Table134526_79101120212223242526[[#This Row],[Name Surname]],Manpower!$C$4:$C$1048576,Manpower!$H$4:$H$1048576,"")</f>
        <v>Equipment</v>
      </c>
      <c r="I352" s="24" t="str">
        <f>_xlfn.XLOOKUP(Table134526_79101120212223242526[[#This Row],[Name Surname]],Manpower!$C$4:$C$1048576,Manpower!$H$4:$H$1048576,"")</f>
        <v>Equipment</v>
      </c>
      <c r="J352" s="21" t="s">
        <v>35</v>
      </c>
      <c r="K352" s="21" t="s">
        <v>81</v>
      </c>
      <c r="L352" s="21" t="s">
        <v>82</v>
      </c>
      <c r="M352" s="21" t="s">
        <v>55</v>
      </c>
      <c r="N352" s="29">
        <v>10</v>
      </c>
      <c r="R352" s="21" t="s">
        <v>227</v>
      </c>
    </row>
    <row r="353" spans="1:18" s="21" customFormat="1" ht="14.4" hidden="1">
      <c r="A353" s="33">
        <f>IF(C353="","",MAX($A$1:A351)+1)</f>
        <v>334</v>
      </c>
      <c r="B353" s="26" t="s">
        <v>79</v>
      </c>
      <c r="C353" s="23">
        <v>46084</v>
      </c>
      <c r="D353" s="28" t="str">
        <f>_xlfn.XLOOKUP(Table134526_79101120212223242526[[#This Row],[Name Surname]],Manpower!$C$4:$C$1048576,Manpower!$B$4:$B$1048576,"")</f>
        <v>Encogroup</v>
      </c>
      <c r="E353" s="23" t="s">
        <v>133</v>
      </c>
      <c r="F353" s="12">
        <f>_xlfn.XLOOKUP(Table134526_79101120212223242526[[#This Row],[Name Surname]],Manpower!C:C,Manpower!D:D,)</f>
        <v>140846684</v>
      </c>
      <c r="G353" s="28" t="str">
        <f>_xlfn.XLOOKUP(Table134526_79101120212223242526[[#This Row],[Name Surname]],Manpower!$C$4:$C$1048576,Manpower!$F$4:$F$1048576,"")</f>
        <v>Assistant/Helper</v>
      </c>
      <c r="H353" s="28" t="str">
        <f>_xlfn.XLOOKUP(Table134526_79101120212223242526[[#This Row],[Name Surname]],Manpower!$C$4:$C$1048576,Manpower!$H$4:$H$1048576,"")</f>
        <v>Manpower</v>
      </c>
      <c r="I353" s="24" t="str">
        <f>_xlfn.XLOOKUP(Table134526_79101120212223242526[[#This Row],[Name Surname]],Manpower!$C$4:$C$1048576,Manpower!$H$4:$H$1048576,"")</f>
        <v>Manpower</v>
      </c>
      <c r="J353" s="21" t="s">
        <v>35</v>
      </c>
      <c r="K353" s="21" t="s">
        <v>81</v>
      </c>
      <c r="L353" s="21" t="s">
        <v>82</v>
      </c>
      <c r="M353" s="21" t="s">
        <v>55</v>
      </c>
      <c r="N353" s="29">
        <v>10</v>
      </c>
      <c r="R353" s="21" t="s">
        <v>227</v>
      </c>
    </row>
    <row r="354" spans="1:18" s="21" customFormat="1" ht="14.4" hidden="1">
      <c r="A354" s="33">
        <f>IF(C354="","",MAX($A$1:A353)+1)</f>
        <v>335</v>
      </c>
      <c r="B354" s="27" t="s">
        <v>141</v>
      </c>
      <c r="C354" s="23">
        <v>46084</v>
      </c>
      <c r="D354" s="28" t="str">
        <f>_xlfn.XLOOKUP(Table134526_79101120212223242526[[#This Row],[Name Surname]],Manpower!$C$4:$C$1048576,Manpower!$B$4:$B$1048576,"")</f>
        <v>Encogroup</v>
      </c>
      <c r="E354" s="23" t="s">
        <v>136</v>
      </c>
      <c r="F354" s="12">
        <f>_xlfn.XLOOKUP(Table134526_79101120212223242526[[#This Row],[Name Surname]],Manpower!C:C,Manpower!D:D,)</f>
        <v>141250908</v>
      </c>
      <c r="G354" s="28" t="str">
        <f>_xlfn.XLOOKUP(Table134526_79101120212223242526[[#This Row],[Name Surname]],Manpower!$C$4:$C$1048576,Manpower!$F$4:$F$1048576,"")</f>
        <v>Mechanical Engineer</v>
      </c>
      <c r="H354" s="28" t="str">
        <f>_xlfn.XLOOKUP(Table134526_79101120212223242526[[#This Row],[Name Surname]],Manpower!$C$4:$C$1048576,Manpower!$H$4:$H$1048576,"")</f>
        <v>Manpower</v>
      </c>
      <c r="I354" s="24" t="str">
        <f>_xlfn.XLOOKUP(Table134526_79101120212223242526[[#This Row],[Name Surname]],Manpower!$C$4:$C$1048576,Manpower!$H$4:$H$1048576,"")</f>
        <v>Manpower</v>
      </c>
      <c r="J354" s="21" t="s">
        <v>143</v>
      </c>
      <c r="K354" s="21" t="s">
        <v>26</v>
      </c>
      <c r="L354" s="21" t="s">
        <v>144</v>
      </c>
      <c r="M354" s="21" t="s">
        <v>55</v>
      </c>
      <c r="N354" s="29">
        <v>10</v>
      </c>
      <c r="R354" s="21" t="s">
        <v>227</v>
      </c>
    </row>
    <row r="355" spans="1:18" s="21" customFormat="1" ht="14.4">
      <c r="A355" s="33">
        <f>IF(C355="","",MAX($A$1:A354)+1)</f>
        <v>336</v>
      </c>
      <c r="B355" s="27" t="s">
        <v>141</v>
      </c>
      <c r="C355" s="23">
        <v>46084</v>
      </c>
      <c r="D355" s="28" t="str">
        <f>_xlfn.XLOOKUP(Table134526_79101120212223242526[[#This Row],[Name Surname]],Manpower!$C$4:$C$1048576,Manpower!$B$4:$B$1048576,"")</f>
        <v>Encogroup</v>
      </c>
      <c r="E355" s="23" t="s">
        <v>142</v>
      </c>
      <c r="F355" s="12" t="e">
        <f>_xlfn.XLOOKUP(Table134526_79101120212223242526[[#This Row],[Name Surname]],Manpower!C:C,Manpower!D:D,)</f>
        <v>#N/A</v>
      </c>
      <c r="G355" s="28" t="str">
        <f>_xlfn.XLOOKUP(Table134526_79101120212223242526[[#This Row],[Name Surname]],Manpower!$C$4:$C$1048576,Manpower!$F$4:$F$1048576,"")</f>
        <v>13 Seat Bus</v>
      </c>
      <c r="H355" s="28" t="str">
        <f>_xlfn.XLOOKUP(Table134526_79101120212223242526[[#This Row],[Name Surname]],Manpower!$C$4:$C$1048576,Manpower!$H$4:$H$1048576,"")</f>
        <v>Equipment</v>
      </c>
      <c r="I355" s="24" t="str">
        <f>_xlfn.XLOOKUP(Table134526_79101120212223242526[[#This Row],[Name Surname]],Manpower!$C$4:$C$1048576,Manpower!$H$4:$H$1048576,"")</f>
        <v>Equipment</v>
      </c>
      <c r="J355" s="21" t="s">
        <v>143</v>
      </c>
      <c r="K355" s="21" t="s">
        <v>26</v>
      </c>
      <c r="L355" s="21" t="s">
        <v>144</v>
      </c>
      <c r="M355" s="21" t="s">
        <v>55</v>
      </c>
      <c r="N355" s="29">
        <v>10</v>
      </c>
      <c r="R355" s="21" t="s">
        <v>227</v>
      </c>
    </row>
    <row r="356" spans="1:18" s="21" customFormat="1" ht="14.4">
      <c r="A356" s="33">
        <f>IF(C356="","",MAX($A$1:A355)+1)</f>
        <v>337</v>
      </c>
      <c r="B356" s="27" t="s">
        <v>141</v>
      </c>
      <c r="C356" s="23">
        <v>46084</v>
      </c>
      <c r="D356" s="28" t="str">
        <f>_xlfn.XLOOKUP(Table134526_79101120212223242526[[#This Row],[Name Surname]],Manpower!$C$4:$C$1048576,Manpower!$B$4:$B$1048576,"")</f>
        <v>Encogroup</v>
      </c>
      <c r="E356" s="23" t="s">
        <v>145</v>
      </c>
      <c r="F356" s="12" t="e">
        <f>_xlfn.XLOOKUP(Table134526_79101120212223242526[[#This Row],[Name Surname]],Manpower!C:C,Manpower!D:D,)</f>
        <v>#N/A</v>
      </c>
      <c r="G356" s="28" t="str">
        <f>_xlfn.XLOOKUP(Table134526_79101120212223242526[[#This Row],[Name Surname]],Manpower!$C$4:$C$1048576,Manpower!$F$4:$F$1048576,"")</f>
        <v>15 Seat Bus</v>
      </c>
      <c r="H356" s="28" t="str">
        <f>_xlfn.XLOOKUP(Table134526_79101120212223242526[[#This Row],[Name Surname]],Manpower!$C$4:$C$1048576,Manpower!$H$4:$H$1048576,"")</f>
        <v>Equipment</v>
      </c>
      <c r="I356" s="24" t="str">
        <f>_xlfn.XLOOKUP(Table134526_79101120212223242526[[#This Row],[Name Surname]],Manpower!$C$4:$C$1048576,Manpower!$H$4:$H$1048576,"")</f>
        <v>Equipment</v>
      </c>
      <c r="J356" s="21" t="s">
        <v>143</v>
      </c>
      <c r="K356" s="21" t="s">
        <v>26</v>
      </c>
      <c r="L356" s="21" t="s">
        <v>144</v>
      </c>
      <c r="M356" s="21" t="s">
        <v>55</v>
      </c>
      <c r="N356" s="29">
        <v>10</v>
      </c>
      <c r="R356" s="21" t="s">
        <v>227</v>
      </c>
    </row>
    <row r="357" spans="1:18" s="21" customFormat="1" ht="14.4">
      <c r="A357" s="33">
        <f>IF(C357="","",MAX($A$1:A355)+1)</f>
        <v>337</v>
      </c>
      <c r="B357" s="27" t="s">
        <v>141</v>
      </c>
      <c r="C357" s="23">
        <v>46084</v>
      </c>
      <c r="D357" s="28" t="str">
        <f>_xlfn.XLOOKUP(Table134526_79101120212223242526[[#This Row],[Name Surname]],Manpower!$C$4:$C$1048576,Manpower!$B$4:$B$1048576,"")</f>
        <v>Nass Group</v>
      </c>
      <c r="E357" s="23" t="s">
        <v>146</v>
      </c>
      <c r="F357" s="12" t="e">
        <f>_xlfn.XLOOKUP(Table134526_79101120212223242526[[#This Row],[Name Surname]],Manpower!C:C,Manpower!D:D,)</f>
        <v>#N/A</v>
      </c>
      <c r="G357" s="28" t="str">
        <f>_xlfn.XLOOKUP(Table134526_79101120212223242526[[#This Row],[Name Surname]],Manpower!$C$4:$C$1048576,Manpower!$F$4:$F$1048576,"")</f>
        <v>130T Crawler Crane</v>
      </c>
      <c r="H357" s="28" t="str">
        <f>_xlfn.XLOOKUP(Table134526_79101120212223242526[[#This Row],[Name Surname]],Manpower!$C$4:$C$1048576,Manpower!$H$4:$H$1048576,"")</f>
        <v>Equipment</v>
      </c>
      <c r="I357" s="24" t="str">
        <f>_xlfn.XLOOKUP(Table134526_79101120212223242526[[#This Row],[Name Surname]],Manpower!$C$4:$C$1048576,Manpower!$H$4:$H$1048576,"")</f>
        <v>Equipment</v>
      </c>
      <c r="J357" s="21" t="s">
        <v>143</v>
      </c>
      <c r="K357" s="21" t="s">
        <v>26</v>
      </c>
      <c r="L357" s="21" t="s">
        <v>144</v>
      </c>
      <c r="M357" s="21" t="s">
        <v>55</v>
      </c>
      <c r="N357" s="29">
        <v>10</v>
      </c>
      <c r="R357" s="21" t="s">
        <v>227</v>
      </c>
    </row>
    <row r="358" spans="1:18" s="21" customFormat="1" ht="14.4">
      <c r="A358" s="33">
        <f>IF(C358="","",MAX($A$1:A357)+1)</f>
        <v>338</v>
      </c>
      <c r="B358" s="27" t="s">
        <v>141</v>
      </c>
      <c r="C358" s="23">
        <v>46084</v>
      </c>
      <c r="D358" s="28" t="str">
        <f>_xlfn.XLOOKUP(Table134526_79101120212223242526[[#This Row],[Name Surname]],Manpower!$C$4:$C$1048576,Manpower!$B$4:$B$1048576,"")</f>
        <v>Nass Group</v>
      </c>
      <c r="E358" s="23" t="s">
        <v>148</v>
      </c>
      <c r="F358" s="12" t="e">
        <f>_xlfn.XLOOKUP(Table134526_79101120212223242526[[#This Row],[Name Surname]],Manpower!C:C,Manpower!D:D,)</f>
        <v>#N/A</v>
      </c>
      <c r="G358" s="28" t="str">
        <f>_xlfn.XLOOKUP(Table134526_79101120212223242526[[#This Row],[Name Surname]],Manpower!$C$4:$C$1048576,Manpower!$F$4:$F$1048576,"")</f>
        <v>70T-Telescopic crane</v>
      </c>
      <c r="H358" s="28" t="str">
        <f>_xlfn.XLOOKUP(Table134526_79101120212223242526[[#This Row],[Name Surname]],Manpower!$C$4:$C$1048576,Manpower!$H$4:$H$1048576,"")</f>
        <v>Equipment</v>
      </c>
      <c r="I358" s="24" t="str">
        <f>_xlfn.XLOOKUP(Table134526_79101120212223242526[[#This Row],[Name Surname]],Manpower!$C$4:$C$1048576,Manpower!$H$4:$H$1048576,"")</f>
        <v>Equipment</v>
      </c>
      <c r="J358" s="21" t="s">
        <v>143</v>
      </c>
      <c r="K358" s="21" t="s">
        <v>26</v>
      </c>
      <c r="L358" s="21" t="s">
        <v>144</v>
      </c>
      <c r="M358" s="21" t="s">
        <v>55</v>
      </c>
      <c r="N358" s="29">
        <v>10</v>
      </c>
      <c r="R358" s="21" t="s">
        <v>227</v>
      </c>
    </row>
    <row r="359" spans="1:18" s="21" customFormat="1" ht="14.4">
      <c r="A359" s="33">
        <f>IF(C359="","",MAX($A$1:A358)+1)</f>
        <v>339</v>
      </c>
      <c r="B359" s="27" t="s">
        <v>141</v>
      </c>
      <c r="C359" s="23">
        <v>46084</v>
      </c>
      <c r="D359" s="28" t="str">
        <f>_xlfn.XLOOKUP(Table134526_79101120212223242526[[#This Row],[Name Surname]],Manpower!$C$4:$C$1048576,Manpower!$B$4:$B$1048576,"")</f>
        <v>Encogroup</v>
      </c>
      <c r="E359" s="23" t="s">
        <v>150</v>
      </c>
      <c r="F359" s="12" t="e">
        <f>_xlfn.XLOOKUP(Table134526_79101120212223242526[[#This Row],[Name Surname]],Manpower!C:C,Manpower!D:D,)</f>
        <v>#N/A</v>
      </c>
      <c r="G359" s="28" t="str">
        <f>_xlfn.XLOOKUP(Table134526_79101120212223242526[[#This Row],[Name Surname]],Manpower!$C$4:$C$1048576,Manpower!$F$4:$F$1048576,"")</f>
        <v>14T Fork lift</v>
      </c>
      <c r="H359" s="28" t="str">
        <f>_xlfn.XLOOKUP(Table134526_79101120212223242526[[#This Row],[Name Surname]],Manpower!$C$4:$C$1048576,Manpower!$H$4:$H$1048576,"")</f>
        <v>Equipment</v>
      </c>
      <c r="I359" s="24" t="str">
        <f>_xlfn.XLOOKUP(Table134526_79101120212223242526[[#This Row],[Name Surname]],Manpower!$C$4:$C$1048576,Manpower!$H$4:$H$1048576,"")</f>
        <v>Equipment</v>
      </c>
      <c r="J359" s="21" t="s">
        <v>143</v>
      </c>
      <c r="K359" s="21" t="s">
        <v>26</v>
      </c>
      <c r="L359" s="21" t="s">
        <v>144</v>
      </c>
      <c r="M359" s="21" t="s">
        <v>55</v>
      </c>
      <c r="N359" s="29">
        <v>10</v>
      </c>
      <c r="R359" s="21" t="s">
        <v>227</v>
      </c>
    </row>
    <row r="360" spans="1:18" s="21" customFormat="1" ht="14.4">
      <c r="A360" s="33">
        <f>IF(C360="","",MAX($A$1:A359)+1)</f>
        <v>340</v>
      </c>
      <c r="B360" s="27" t="s">
        <v>141</v>
      </c>
      <c r="C360" s="23">
        <v>46084</v>
      </c>
      <c r="D360" s="28" t="str">
        <f>_xlfn.XLOOKUP(Table134526_79101120212223242526[[#This Row],[Name Surname]],Manpower!$C$4:$C$1048576,Manpower!$B$4:$B$1048576,"")</f>
        <v>Al Jaber Heavy Lift</v>
      </c>
      <c r="E360" s="23" t="s">
        <v>151</v>
      </c>
      <c r="F360" s="12" t="e">
        <f>_xlfn.XLOOKUP(Table134526_79101120212223242526[[#This Row],[Name Surname]],Manpower!C:C,Manpower!D:D,)</f>
        <v>#N/A</v>
      </c>
      <c r="G360" s="28" t="str">
        <f>_xlfn.XLOOKUP(Table134526_79101120212223242526[[#This Row],[Name Surname]],Manpower!$C$4:$C$1048576,Manpower!$F$4:$F$1048576,"")</f>
        <v>150T-Crawler Crane</v>
      </c>
      <c r="H360" s="28" t="str">
        <f>_xlfn.XLOOKUP(Table134526_79101120212223242526[[#This Row],[Name Surname]],Manpower!$C$4:$C$1048576,Manpower!$H$4:$H$1048576,"")</f>
        <v>Equipment</v>
      </c>
      <c r="I360" s="24" t="str">
        <f>_xlfn.XLOOKUP(Table134526_79101120212223242526[[#This Row],[Name Surname]],Manpower!$C$4:$C$1048576,Manpower!$H$4:$H$1048576,"")</f>
        <v>Equipment</v>
      </c>
      <c r="J360" s="21" t="s">
        <v>143</v>
      </c>
      <c r="K360" s="21" t="s">
        <v>26</v>
      </c>
      <c r="L360" s="21" t="s">
        <v>144</v>
      </c>
      <c r="M360" s="21" t="s">
        <v>55</v>
      </c>
      <c r="N360" s="29">
        <v>10</v>
      </c>
      <c r="R360" s="21" t="s">
        <v>227</v>
      </c>
    </row>
    <row r="361" spans="1:18" s="21" customFormat="1" ht="14.4">
      <c r="A361" s="33">
        <f>IF(C361="","",MAX($A$1:A360)+1)</f>
        <v>341</v>
      </c>
      <c r="B361" s="27" t="s">
        <v>141</v>
      </c>
      <c r="C361" s="23">
        <v>46084</v>
      </c>
      <c r="D361" s="28" t="str">
        <f>_xlfn.XLOOKUP(Table134526_79101120212223242526[[#This Row],[Name Surname]],Manpower!$C$4:$C$1048576,Manpower!$B$4:$B$1048576,"")</f>
        <v>Encogroup</v>
      </c>
      <c r="E361" s="23" t="s">
        <v>153</v>
      </c>
      <c r="F361" s="12" t="e">
        <f>_xlfn.XLOOKUP(Table134526_79101120212223242526[[#This Row],[Name Surname]],Manpower!C:C,Manpower!D:D,)</f>
        <v>#N/A</v>
      </c>
      <c r="G361" s="28" t="str">
        <f>_xlfn.XLOOKUP(Table134526_79101120212223242526[[#This Row],[Name Surname]],Manpower!$C$4:$C$1048576,Manpower!$F$4:$F$1048576,"")</f>
        <v>22 Seat Bus</v>
      </c>
      <c r="H361" s="28" t="str">
        <f>_xlfn.XLOOKUP(Table134526_79101120212223242526[[#This Row],[Name Surname]],Manpower!$C$4:$C$1048576,Manpower!$H$4:$H$1048576,"")</f>
        <v>Equipment</v>
      </c>
      <c r="I361" s="24" t="str">
        <f>_xlfn.XLOOKUP(Table134526_79101120212223242526[[#This Row],[Name Surname]],Manpower!$C$4:$C$1048576,Manpower!$H$4:$H$1048576,"")</f>
        <v>Equipment</v>
      </c>
      <c r="J361" s="21" t="s">
        <v>143</v>
      </c>
      <c r="K361" s="21" t="s">
        <v>26</v>
      </c>
      <c r="L361" s="21" t="s">
        <v>144</v>
      </c>
      <c r="M361" s="21" t="s">
        <v>55</v>
      </c>
      <c r="N361" s="29">
        <v>10</v>
      </c>
      <c r="R361" s="21" t="s">
        <v>227</v>
      </c>
    </row>
    <row r="362" spans="1:18" s="21" customFormat="1" ht="14.4">
      <c r="A362" s="33">
        <f>IF(C362="","",MAX($A$1:A361)+1)</f>
        <v>342</v>
      </c>
      <c r="B362" s="27" t="s">
        <v>141</v>
      </c>
      <c r="C362" s="23">
        <v>46084</v>
      </c>
      <c r="D362" s="28" t="str">
        <f>_xlfn.XLOOKUP(Table134526_79101120212223242526[[#This Row],[Name Surname]],Manpower!$C$4:$C$1048576,Manpower!$B$4:$B$1048576,"")</f>
        <v>Encogroup</v>
      </c>
      <c r="E362" s="23" t="s">
        <v>154</v>
      </c>
      <c r="F362" s="12" t="e">
        <f>_xlfn.XLOOKUP(Table134526_79101120212223242526[[#This Row],[Name Surname]],Manpower!C:C,Manpower!D:D,)</f>
        <v>#N/A</v>
      </c>
      <c r="G362" s="28" t="str">
        <f>_xlfn.XLOOKUP(Table134526_79101120212223242526[[#This Row],[Name Surname]],Manpower!$C$4:$C$1048576,Manpower!$F$4:$F$1048576,"")</f>
        <v>22 Seat Bus</v>
      </c>
      <c r="H362" s="28" t="str">
        <f>_xlfn.XLOOKUP(Table134526_79101120212223242526[[#This Row],[Name Surname]],Manpower!$C$4:$C$1048576,Manpower!$H$4:$H$1048576,"")</f>
        <v>Equipment</v>
      </c>
      <c r="I362" s="24" t="str">
        <f>_xlfn.XLOOKUP(Table134526_79101120212223242526[[#This Row],[Name Surname]],Manpower!$C$4:$C$1048576,Manpower!$H$4:$H$1048576,"")</f>
        <v>Equipment</v>
      </c>
      <c r="J362" s="21" t="s">
        <v>143</v>
      </c>
      <c r="K362" s="21" t="s">
        <v>26</v>
      </c>
      <c r="L362" s="21" t="s">
        <v>144</v>
      </c>
      <c r="M362" s="21" t="s">
        <v>55</v>
      </c>
      <c r="N362" s="29">
        <v>10</v>
      </c>
      <c r="R362" s="21" t="s">
        <v>227</v>
      </c>
    </row>
    <row r="363" spans="1:18" s="21" customFormat="1" ht="14.4">
      <c r="A363" s="33">
        <f>IF(C363="","",MAX($A$1:A362)+1)</f>
        <v>343</v>
      </c>
      <c r="B363" s="27" t="s">
        <v>141</v>
      </c>
      <c r="C363" s="23">
        <v>46084</v>
      </c>
      <c r="D363" s="28" t="str">
        <f>_xlfn.XLOOKUP(Table134526_79101120212223242526[[#This Row],[Name Surname]],Manpower!$C$4:$C$1048576,Manpower!$B$4:$B$1048576,"")</f>
        <v>Encogroup</v>
      </c>
      <c r="E363" s="23" t="s">
        <v>155</v>
      </c>
      <c r="F363" s="12" t="e">
        <f>_xlfn.XLOOKUP(Table134526_79101120212223242526[[#This Row],[Name Surname]],Manpower!C:C,Manpower!D:D,)</f>
        <v>#N/A</v>
      </c>
      <c r="G363" s="28" t="str">
        <f>_xlfn.XLOOKUP(Table134526_79101120212223242526[[#This Row],[Name Surname]],Manpower!$C$4:$C$1048576,Manpower!$F$4:$F$1048576,"")</f>
        <v>300 KVA Generator</v>
      </c>
      <c r="H363" s="28" t="str">
        <f>_xlfn.XLOOKUP(Table134526_79101120212223242526[[#This Row],[Name Surname]],Manpower!$C$4:$C$1048576,Manpower!$H$4:$H$1048576,"")</f>
        <v>Equipment</v>
      </c>
      <c r="I363" s="24" t="str">
        <f>_xlfn.XLOOKUP(Table134526_79101120212223242526[[#This Row],[Name Surname]],Manpower!$C$4:$C$1048576,Manpower!$H$4:$H$1048576,"")</f>
        <v>Equipment</v>
      </c>
      <c r="J363" s="21" t="s">
        <v>158</v>
      </c>
      <c r="K363" s="21" t="s">
        <v>26</v>
      </c>
      <c r="L363" s="21" t="s">
        <v>26</v>
      </c>
      <c r="M363" s="21" t="s">
        <v>24</v>
      </c>
      <c r="N363" s="29">
        <v>10</v>
      </c>
      <c r="R363" s="21" t="s">
        <v>227</v>
      </c>
    </row>
    <row r="364" spans="1:18" s="21" customFormat="1" ht="14.4">
      <c r="A364" s="33">
        <f>IF(C364="","",MAX($A$1:A363)+1)</f>
        <v>344</v>
      </c>
      <c r="B364" s="27" t="s">
        <v>141</v>
      </c>
      <c r="C364" s="23">
        <v>46084</v>
      </c>
      <c r="D364" s="28" t="str">
        <f>_xlfn.XLOOKUP(Table134526_79101120212223242526[[#This Row],[Name Surname]],Manpower!$C$4:$C$1048576,Manpower!$B$4:$B$1048576,"")</f>
        <v>Encogroup</v>
      </c>
      <c r="E364" s="23" t="s">
        <v>156</v>
      </c>
      <c r="F364" s="12" t="e">
        <f>_xlfn.XLOOKUP(Table134526_79101120212223242526[[#This Row],[Name Surname]],Manpower!C:C,Manpower!D:D,)</f>
        <v>#N/A</v>
      </c>
      <c r="G364" s="28" t="str">
        <f>_xlfn.XLOOKUP(Table134526_79101120212223242526[[#This Row],[Name Surname]],Manpower!$C$4:$C$1048576,Manpower!$F$4:$F$1048576,"")</f>
        <v>35 KVA Generator</v>
      </c>
      <c r="H364" s="28" t="str">
        <f>_xlfn.XLOOKUP(Table134526_79101120212223242526[[#This Row],[Name Surname]],Manpower!$C$4:$C$1048576,Manpower!$H$4:$H$1048576,"")</f>
        <v>Equipment</v>
      </c>
      <c r="I364" s="24" t="str">
        <f>_xlfn.XLOOKUP(Table134526_79101120212223242526[[#This Row],[Name Surname]],Manpower!$C$4:$C$1048576,Manpower!$H$4:$H$1048576,"")</f>
        <v>Equipment</v>
      </c>
      <c r="J364" s="21" t="s">
        <v>143</v>
      </c>
      <c r="K364" s="21" t="s">
        <v>26</v>
      </c>
      <c r="L364" s="21" t="s">
        <v>144</v>
      </c>
      <c r="M364" s="21" t="s">
        <v>55</v>
      </c>
      <c r="N364" s="29">
        <v>10</v>
      </c>
      <c r="R364" s="21" t="s">
        <v>227</v>
      </c>
    </row>
    <row r="365" spans="1:18" s="21" customFormat="1" ht="14.4" hidden="1">
      <c r="A365" s="33">
        <f>IF(C365="","",MAX($A$1:A364)+1)</f>
        <v>345</v>
      </c>
      <c r="B365" s="27" t="s">
        <v>141</v>
      </c>
      <c r="C365" s="23">
        <v>46084</v>
      </c>
      <c r="D365" s="28" t="str">
        <f>_xlfn.XLOOKUP(Table134526_79101120212223242526[[#This Row],[Name Surname]],Manpower!$C$4:$C$1048576,Manpower!$B$4:$B$1048576,"")</f>
        <v>Encogroup</v>
      </c>
      <c r="E365" s="23" t="s">
        <v>157</v>
      </c>
      <c r="F365" s="12">
        <f>_xlfn.XLOOKUP(Table134526_79101120212223242526[[#This Row],[Name Surname]],Manpower!C:C,Manpower!D:D,)</f>
        <v>140742144</v>
      </c>
      <c r="G365" s="28" t="str">
        <f>_xlfn.XLOOKUP(Table134526_79101120212223242526[[#This Row],[Name Surname]],Manpower!$C$4:$C$1048576,Manpower!$F$4:$F$1048576,"")</f>
        <v>Assistant/Helper</v>
      </c>
      <c r="H365" s="28" t="str">
        <f>_xlfn.XLOOKUP(Table134526_79101120212223242526[[#This Row],[Name Surname]],Manpower!$C$4:$C$1048576,Manpower!$H$4:$H$1048576,"")</f>
        <v>Manpower</v>
      </c>
      <c r="I365" s="24" t="str">
        <f>_xlfn.XLOOKUP(Table134526_79101120212223242526[[#This Row],[Name Surname]],Manpower!$C$4:$C$1048576,Manpower!$H$4:$H$1048576,"")</f>
        <v>Manpower</v>
      </c>
      <c r="J365" s="21" t="s">
        <v>143</v>
      </c>
      <c r="K365" s="21" t="s">
        <v>26</v>
      </c>
      <c r="L365" s="21" t="s">
        <v>144</v>
      </c>
      <c r="M365" s="21" t="s">
        <v>55</v>
      </c>
      <c r="N365" s="29">
        <v>10</v>
      </c>
      <c r="R365" s="21" t="s">
        <v>227</v>
      </c>
    </row>
    <row r="366" spans="1:18" s="21" customFormat="1" ht="14.4" hidden="1">
      <c r="A366" s="33">
        <f>IF(C366="","",MAX($A$1:A365)+1)</f>
        <v>346</v>
      </c>
      <c r="B366" s="27" t="s">
        <v>141</v>
      </c>
      <c r="C366" s="23">
        <v>46084</v>
      </c>
      <c r="D366" s="28" t="str">
        <f>_xlfn.XLOOKUP(Table134526_79101120212223242526[[#This Row],[Name Surname]],Manpower!$C$4:$C$1048576,Manpower!$B$4:$B$1048576,"")</f>
        <v>SARENS NASS</v>
      </c>
      <c r="E366" s="23" t="s">
        <v>162</v>
      </c>
      <c r="F366" s="12">
        <f>_xlfn.XLOOKUP(Table134526_79101120212223242526[[#This Row],[Name Surname]],Manpower!C:C,Manpower!D:D,)</f>
        <v>78753612</v>
      </c>
      <c r="G366" s="28" t="str">
        <f>_xlfn.XLOOKUP(Table134526_79101120212223242526[[#This Row],[Name Surname]],Manpower!$C$4:$C$1048576,Manpower!$F$4:$F$1048576,"")</f>
        <v>Crane Operator- 70T Liebherr Telescopic Crane-02</v>
      </c>
      <c r="H366" s="28" t="s">
        <v>39</v>
      </c>
      <c r="I366" s="24" t="s">
        <v>39</v>
      </c>
      <c r="J366" s="21" t="s">
        <v>143</v>
      </c>
      <c r="K366" s="21" t="s">
        <v>26</v>
      </c>
      <c r="L366" s="21" t="s">
        <v>144</v>
      </c>
      <c r="M366" s="21" t="s">
        <v>55</v>
      </c>
      <c r="N366" s="29">
        <v>10</v>
      </c>
      <c r="R366" s="21" t="s">
        <v>227</v>
      </c>
    </row>
    <row r="367" spans="1:18" s="21" customFormat="1" ht="14.4" hidden="1">
      <c r="A367" s="33">
        <f>IF(C367="","",MAX($A$1:A366)+1)</f>
        <v>347</v>
      </c>
      <c r="B367" s="27" t="s">
        <v>141</v>
      </c>
      <c r="C367" s="23">
        <v>46084</v>
      </c>
      <c r="D367" s="28" t="str">
        <f>_xlfn.XLOOKUP(Table134526_79101120212223242526[[#This Row],[Name Surname]],Manpower!$C$4:$C$1048576,Manpower!$B$4:$B$1048576,"")</f>
        <v>Al Jaber Heavy Lift</v>
      </c>
      <c r="E367" s="23" t="s">
        <v>164</v>
      </c>
      <c r="F367" s="12">
        <f>_xlfn.XLOOKUP(Table134526_79101120212223242526[[#This Row],[Name Surname]],Manpower!C:C,Manpower!D:D,)</f>
        <v>112778626</v>
      </c>
      <c r="G367" s="28" t="str">
        <f>_xlfn.XLOOKUP(Table134526_79101120212223242526[[#This Row],[Name Surname]],Manpower!$C$4:$C$1048576,Manpower!$F$4:$F$1048576,"")</f>
        <v>Crane Operator-150T Hitachi Crawler</v>
      </c>
      <c r="H367" s="28" t="s">
        <v>39</v>
      </c>
      <c r="I367" s="24" t="s">
        <v>39</v>
      </c>
      <c r="J367" s="21" t="s">
        <v>143</v>
      </c>
      <c r="K367" s="21" t="s">
        <v>26</v>
      </c>
      <c r="L367" s="21" t="s">
        <v>144</v>
      </c>
      <c r="M367" s="21" t="s">
        <v>55</v>
      </c>
      <c r="N367" s="29">
        <v>10</v>
      </c>
      <c r="R367" s="21" t="s">
        <v>227</v>
      </c>
    </row>
    <row r="368" spans="1:18" s="21" customFormat="1" ht="14.4" hidden="1">
      <c r="A368" s="33">
        <f>IF(C368="","",MAX($A$1:A367)+1)</f>
        <v>348</v>
      </c>
      <c r="B368" s="27" t="s">
        <v>141</v>
      </c>
      <c r="C368" s="23">
        <v>46084</v>
      </c>
      <c r="D368" s="28" t="str">
        <f>_xlfn.XLOOKUP(Table134526_79101120212223242526[[#This Row],[Name Surname]],Manpower!$C$4:$C$1048576,Manpower!$B$4:$B$1048576,"")</f>
        <v>Encogroup</v>
      </c>
      <c r="E368" s="18" t="s">
        <v>166</v>
      </c>
      <c r="F368" s="12" t="str">
        <f>_xlfn.XLOOKUP(Table134526_79101120212223242526[[#This Row],[Name Surname]],Manpower!C:C,Manpower!D:D,)</f>
        <v>U4181508</v>
      </c>
      <c r="G368" s="28" t="str">
        <f>_xlfn.XLOOKUP(Table134526_79101120212223242526[[#This Row],[Name Surname]],Manpower!$C$4:$C$1048576,Manpower!$F$4:$F$1048576,"")</f>
        <v>Welder</v>
      </c>
      <c r="H368" s="28" t="str">
        <f>_xlfn.XLOOKUP(Table134526_79101120212223242526[[#This Row],[Name Surname]],Manpower!$C$4:$C$1048576,Manpower!$H$4:$H$1048576,"")</f>
        <v>Manpower</v>
      </c>
      <c r="I368" s="24" t="str">
        <f>_xlfn.XLOOKUP(Table134526_79101120212223242526[[#This Row],[Name Surname]],Manpower!$C$4:$C$1048576,Manpower!$H$4:$H$1048576,"")</f>
        <v>Manpower</v>
      </c>
      <c r="J368" s="21" t="s">
        <v>143</v>
      </c>
      <c r="K368" s="21" t="s">
        <v>26</v>
      </c>
      <c r="L368" s="21" t="s">
        <v>144</v>
      </c>
      <c r="M368" s="21" t="s">
        <v>55</v>
      </c>
      <c r="N368" s="29">
        <v>10</v>
      </c>
      <c r="R368" s="21" t="s">
        <v>227</v>
      </c>
    </row>
    <row r="369" spans="1:18" s="21" customFormat="1" ht="14.4" hidden="1">
      <c r="A369" s="33">
        <f>IF(C369="","",MAX($A$1:A368)+1)</f>
        <v>349</v>
      </c>
      <c r="B369" s="27" t="s">
        <v>141</v>
      </c>
      <c r="C369" s="23">
        <v>46084</v>
      </c>
      <c r="D369" s="28" t="str">
        <f>_xlfn.XLOOKUP(Table134526_79101120212223242526[[#This Row],[Name Surname]],Manpower!$C$4:$C$1048576,Manpower!$B$4:$B$1048576,"")</f>
        <v>Encogroup</v>
      </c>
      <c r="E369" s="23" t="s">
        <v>167</v>
      </c>
      <c r="F369" s="12">
        <f>_xlfn.XLOOKUP(Table134526_79101120212223242526[[#This Row],[Name Surname]],Manpower!C:C,Manpower!D:D,)</f>
        <v>125440631</v>
      </c>
      <c r="G369" s="28" t="str">
        <f>_xlfn.XLOOKUP(Table134526_79101120212223242526[[#This Row],[Name Surname]],Manpower!$C$4:$C$1048576,Manpower!$F$4:$F$1048576,"")</f>
        <v>Rigger</v>
      </c>
      <c r="H369" s="28" t="str">
        <f>_xlfn.XLOOKUP(Table134526_79101120212223242526[[#This Row],[Name Surname]],Manpower!$C$4:$C$1048576,Manpower!$H$4:$H$1048576,"")</f>
        <v>Manpower</v>
      </c>
      <c r="I369" s="24" t="str">
        <f>_xlfn.XLOOKUP(Table134526_79101120212223242526[[#This Row],[Name Surname]],Manpower!$C$4:$C$1048576,Manpower!$H$4:$H$1048576,"")</f>
        <v>Manpower</v>
      </c>
      <c r="J369" s="21" t="s">
        <v>143</v>
      </c>
      <c r="K369" s="21" t="s">
        <v>26</v>
      </c>
      <c r="L369" s="21" t="s">
        <v>144</v>
      </c>
      <c r="M369" s="21" t="s">
        <v>55</v>
      </c>
      <c r="N369" s="29">
        <v>10</v>
      </c>
      <c r="R369" s="21" t="s">
        <v>227</v>
      </c>
    </row>
    <row r="370" spans="1:18" s="21" customFormat="1" ht="14.4" hidden="1">
      <c r="A370" s="33">
        <f>IF(C370="","",MAX($A$1:A369)+1)</f>
        <v>350</v>
      </c>
      <c r="B370" s="27" t="s">
        <v>141</v>
      </c>
      <c r="C370" s="23">
        <v>46084</v>
      </c>
      <c r="D370" s="28" t="str">
        <f>_xlfn.XLOOKUP(Table134526_79101120212223242526[[#This Row],[Name Surname]],Manpower!$C$4:$C$1048576,Manpower!$B$4:$B$1048576,"")</f>
        <v>AL Omar International TRAD AND CONT</v>
      </c>
      <c r="E370" s="23" t="s">
        <v>169</v>
      </c>
      <c r="F370" s="12">
        <f>_xlfn.XLOOKUP(Table134526_79101120212223242526[[#This Row],[Name Surname]],Manpower!C:C,Manpower!D:D,)</f>
        <v>115731078</v>
      </c>
      <c r="G370" s="28" t="str">
        <f>_xlfn.XLOOKUP(Table134526_79101120212223242526[[#This Row],[Name Surname]],Manpower!$C$4:$C$1048576,Manpower!$F$4:$F$1048576,"")</f>
        <v>Scaffolder</v>
      </c>
      <c r="H370" s="28" t="str">
        <f>_xlfn.XLOOKUP(Table134526_79101120212223242526[[#This Row],[Name Surname]],Manpower!$C$4:$C$1048576,Manpower!$H$4:$H$1048576,"")</f>
        <v>Sub Contactor</v>
      </c>
      <c r="I370" s="24" t="str">
        <f>_xlfn.XLOOKUP(Table134526_79101120212223242526[[#This Row],[Name Surname]],Manpower!$C$4:$C$1048576,Manpower!$H$4:$H$1048576,"")</f>
        <v>Sub Contactor</v>
      </c>
      <c r="J370" s="21" t="s">
        <v>143</v>
      </c>
      <c r="K370" s="21" t="s">
        <v>26</v>
      </c>
      <c r="L370" s="21" t="s">
        <v>144</v>
      </c>
      <c r="M370" s="21" t="s">
        <v>55</v>
      </c>
      <c r="N370" s="29">
        <v>10</v>
      </c>
      <c r="R370" s="21" t="s">
        <v>227</v>
      </c>
    </row>
    <row r="371" spans="1:18" s="21" customFormat="1" ht="14.4" hidden="1">
      <c r="A371" s="33">
        <f>IF(C371="","",MAX($A$1:A370)+1)</f>
        <v>351</v>
      </c>
      <c r="B371" s="27" t="s">
        <v>141</v>
      </c>
      <c r="C371" s="23">
        <v>46084</v>
      </c>
      <c r="D371" s="28" t="str">
        <f>_xlfn.XLOOKUP(Table134526_79101120212223242526[[#This Row],[Name Surname]],Manpower!$C$4:$C$1048576,Manpower!$B$4:$B$1048576,"")</f>
        <v>Encogroup</v>
      </c>
      <c r="E371" s="23" t="s">
        <v>172</v>
      </c>
      <c r="F371" s="12">
        <f>_xlfn.XLOOKUP(Table134526_79101120212223242526[[#This Row],[Name Surname]],Manpower!C:C,Manpower!D:D,)</f>
        <v>140764355</v>
      </c>
      <c r="G371" s="28" t="str">
        <f>_xlfn.XLOOKUP(Table134526_79101120212223242526[[#This Row],[Name Surname]],Manpower!$C$4:$C$1048576,Manpower!$F$4:$F$1048576,"")</f>
        <v>Fitter/Erector</v>
      </c>
      <c r="H371" s="28" t="str">
        <f>_xlfn.XLOOKUP(Table134526_79101120212223242526[[#This Row],[Name Surname]],Manpower!$C$4:$C$1048576,Manpower!$H$4:$H$1048576,"")</f>
        <v>Manpower</v>
      </c>
      <c r="I371" s="24" t="str">
        <f>_xlfn.XLOOKUP(Table134526_79101120212223242526[[#This Row],[Name Surname]],Manpower!$C$4:$C$1048576,Manpower!$H$4:$H$1048576,"")</f>
        <v>Manpower</v>
      </c>
      <c r="J371" s="21" t="s">
        <v>158</v>
      </c>
      <c r="K371" s="21" t="s">
        <v>26</v>
      </c>
      <c r="L371" s="21" t="s">
        <v>26</v>
      </c>
      <c r="M371" s="21" t="s">
        <v>55</v>
      </c>
      <c r="N371" s="29">
        <v>10</v>
      </c>
      <c r="R371" s="21" t="s">
        <v>227</v>
      </c>
    </row>
    <row r="372" spans="1:18" s="21" customFormat="1" ht="14.4" hidden="1">
      <c r="A372" s="33">
        <f>IF(C372="","",MAX($A$1:A371)+1)</f>
        <v>352</v>
      </c>
      <c r="B372" s="27" t="s">
        <v>141</v>
      </c>
      <c r="C372" s="23">
        <v>46084</v>
      </c>
      <c r="D372" s="28" t="str">
        <f>_xlfn.XLOOKUP(Table134526_79101120212223242526[[#This Row],[Name Surname]],Manpower!$C$4:$C$1048576,Manpower!$B$4:$B$1048576,"")</f>
        <v>Encogroup</v>
      </c>
      <c r="E372" s="23" t="s">
        <v>173</v>
      </c>
      <c r="F372" s="12" t="str">
        <f>_xlfn.XLOOKUP(Table134526_79101120212223242526[[#This Row],[Name Surname]],Manpower!C:C,Manpower!D:D,)</f>
        <v>S3549132</v>
      </c>
      <c r="G372" s="28" t="str">
        <f>_xlfn.XLOOKUP(Table134526_79101120212223242526[[#This Row],[Name Surname]],Manpower!$C$4:$C$1048576,Manpower!$F$4:$F$1048576,"")</f>
        <v>Grinder</v>
      </c>
      <c r="H372" s="28" t="str">
        <f>_xlfn.XLOOKUP(Table134526_79101120212223242526[[#This Row],[Name Surname]],Manpower!$C$4:$C$1048576,Manpower!$H$4:$H$1048576,"")</f>
        <v>Manpower</v>
      </c>
      <c r="I372" s="24" t="str">
        <f>_xlfn.XLOOKUP(Table134526_79101120212223242526[[#This Row],[Name Surname]],Manpower!$C$4:$C$1048576,Manpower!$H$4:$H$1048576,"")</f>
        <v>Manpower</v>
      </c>
      <c r="J372" s="21" t="s">
        <v>158</v>
      </c>
      <c r="K372" s="21" t="s">
        <v>26</v>
      </c>
      <c r="L372" s="21" t="s">
        <v>26</v>
      </c>
      <c r="M372" s="21" t="s">
        <v>55</v>
      </c>
      <c r="N372" s="29">
        <v>10</v>
      </c>
      <c r="R372" s="21" t="s">
        <v>227</v>
      </c>
    </row>
    <row r="373" spans="1:18" s="21" customFormat="1" ht="14.4" hidden="1">
      <c r="A373" s="33">
        <f>IF(C373="","",MAX($A$1:A372)+1)</f>
        <v>353</v>
      </c>
      <c r="B373" s="27" t="s">
        <v>141</v>
      </c>
      <c r="C373" s="23">
        <v>46084</v>
      </c>
      <c r="D373" s="28" t="str">
        <f>_xlfn.XLOOKUP(Table134526_79101120212223242526[[#This Row],[Name Surname]],Manpower!$C$4:$C$1048576,Manpower!$B$4:$B$1048576,"")</f>
        <v>Encogroup</v>
      </c>
      <c r="E373" s="23" t="s">
        <v>175</v>
      </c>
      <c r="F373" s="12">
        <f>_xlfn.XLOOKUP(Table134526_79101120212223242526[[#This Row],[Name Surname]],Manpower!C:C,Manpower!D:D,)</f>
        <v>140742125</v>
      </c>
      <c r="G373" s="28" t="str">
        <f>_xlfn.XLOOKUP(Table134526_79101120212223242526[[#This Row],[Name Surname]],Manpower!$C$4:$C$1048576,Manpower!$F$4:$F$1048576,"")</f>
        <v>Assistant/Helper</v>
      </c>
      <c r="H373" s="28" t="str">
        <f>_xlfn.XLOOKUP(Table134526_79101120212223242526[[#This Row],[Name Surname]],Manpower!$C$4:$C$1048576,Manpower!$H$4:$H$1048576,"")</f>
        <v>Manpower</v>
      </c>
      <c r="I373" s="24" t="str">
        <f>_xlfn.XLOOKUP(Table134526_79101120212223242526[[#This Row],[Name Surname]],Manpower!$C$4:$C$1048576,Manpower!$H$4:$H$1048576,"")</f>
        <v>Manpower</v>
      </c>
      <c r="J373" s="21" t="s">
        <v>143</v>
      </c>
      <c r="K373" s="21" t="s">
        <v>26</v>
      </c>
      <c r="L373" s="21" t="s">
        <v>144</v>
      </c>
      <c r="M373" s="21" t="s">
        <v>55</v>
      </c>
      <c r="N373" s="29">
        <v>10</v>
      </c>
      <c r="R373" s="21" t="s">
        <v>227</v>
      </c>
    </row>
    <row r="374" spans="1:18" s="21" customFormat="1" ht="14.4" hidden="1">
      <c r="A374" s="33">
        <f>IF(C374="","",MAX($A$1:A373)+1)</f>
        <v>354</v>
      </c>
      <c r="B374" s="27" t="s">
        <v>141</v>
      </c>
      <c r="C374" s="23">
        <v>46084</v>
      </c>
      <c r="D374" s="28" t="str">
        <f>_xlfn.XLOOKUP(Table134526_79101120212223242526[[#This Row],[Name Surname]],Manpower!$C$4:$C$1048576,Manpower!$B$4:$B$1048576,"")</f>
        <v>Encogroup</v>
      </c>
      <c r="E374" s="23" t="s">
        <v>228</v>
      </c>
      <c r="F374" s="12">
        <f>_xlfn.XLOOKUP(Table134526_79101120212223242526[[#This Row],[Name Surname]],Manpower!C:C,Manpower!D:D,)</f>
        <v>125199963</v>
      </c>
      <c r="G374" s="28" t="str">
        <f>_xlfn.XLOOKUP(Table134526_79101120212223242526[[#This Row],[Name Surname]],Manpower!$C$4:$C$1048576,Manpower!$F$4:$F$1048576,"")</f>
        <v>Electrician</v>
      </c>
      <c r="H374" s="28" t="str">
        <f>_xlfn.XLOOKUP(Table134526_79101120212223242526[[#This Row],[Name Surname]],Manpower!$C$4:$C$1048576,Manpower!$H$4:$H$1048576,"")</f>
        <v>Manpower</v>
      </c>
      <c r="I374" s="24" t="str">
        <f>_xlfn.XLOOKUP(Table134526_79101120212223242526[[#This Row],[Name Surname]],Manpower!$C$4:$C$1048576,Manpower!$H$4:$H$1048576,"")</f>
        <v>Manpower</v>
      </c>
      <c r="J374" s="21" t="s">
        <v>143</v>
      </c>
      <c r="K374" s="21" t="s">
        <v>26</v>
      </c>
      <c r="L374" s="21" t="s">
        <v>144</v>
      </c>
      <c r="M374" s="21" t="s">
        <v>55</v>
      </c>
      <c r="N374" s="29">
        <v>10</v>
      </c>
      <c r="R374" s="21" t="s">
        <v>227</v>
      </c>
    </row>
    <row r="375" spans="1:18" s="21" customFormat="1" ht="14.4" hidden="1">
      <c r="A375" s="33">
        <f>IF(C375="","",MAX($A$1:A374)+1)</f>
        <v>355</v>
      </c>
      <c r="B375" s="27" t="s">
        <v>141</v>
      </c>
      <c r="C375" s="23">
        <v>46084</v>
      </c>
      <c r="D375" s="28" t="str">
        <f>_xlfn.XLOOKUP(Table134526_79101120212223242526[[#This Row],[Name Surname]],Manpower!$C$4:$C$1048576,Manpower!$B$4:$B$1048576,"")</f>
        <v>Encogroup</v>
      </c>
      <c r="E375" s="23" t="s">
        <v>176</v>
      </c>
      <c r="F375" s="12">
        <f>_xlfn.XLOOKUP(Table134526_79101120212223242526[[#This Row],[Name Surname]],Manpower!C:C,Manpower!D:D,)</f>
        <v>124398279</v>
      </c>
      <c r="G375" s="28" t="str">
        <f>_xlfn.XLOOKUP(Table134526_79101120212223242526[[#This Row],[Name Surname]],Manpower!$C$4:$C$1048576,Manpower!$F$4:$F$1048576,"")</f>
        <v>Permit Receiver</v>
      </c>
      <c r="H375" s="28" t="str">
        <f>_xlfn.XLOOKUP(Table134526_79101120212223242526[[#This Row],[Name Surname]],Manpower!$C$4:$C$1048576,Manpower!$H$4:$H$1048576,"")</f>
        <v>Manpower</v>
      </c>
      <c r="I375" s="24" t="str">
        <f>_xlfn.XLOOKUP(Table134526_79101120212223242526[[#This Row],[Name Surname]],Manpower!$C$4:$C$1048576,Manpower!$H$4:$H$1048576,"")</f>
        <v>Manpower</v>
      </c>
      <c r="J375" s="21" t="s">
        <v>158</v>
      </c>
      <c r="K375" s="21" t="s">
        <v>26</v>
      </c>
      <c r="L375" s="21" t="s">
        <v>26</v>
      </c>
      <c r="M375" s="21" t="s">
        <v>55</v>
      </c>
      <c r="N375" s="29">
        <v>10</v>
      </c>
      <c r="R375" s="21" t="s">
        <v>227</v>
      </c>
    </row>
    <row r="376" spans="1:18" s="21" customFormat="1" ht="14.4" hidden="1">
      <c r="A376" s="33">
        <f>IF(C376="","",MAX($A$1:A375)+1)</f>
        <v>356</v>
      </c>
      <c r="B376" s="27" t="s">
        <v>141</v>
      </c>
      <c r="C376" s="23">
        <v>46084</v>
      </c>
      <c r="D376" s="28" t="str">
        <f>_xlfn.XLOOKUP(Table134526_79101120212223242526[[#This Row],[Name Surname]],Manpower!$C$4:$C$1048576,Manpower!$B$4:$B$1048576,"")</f>
        <v>Encogroup</v>
      </c>
      <c r="E376" s="23" t="s">
        <v>177</v>
      </c>
      <c r="F376" s="12">
        <f>_xlfn.XLOOKUP(Table134526_79101120212223242526[[#This Row],[Name Surname]],Manpower!C:C,Manpower!D:D,)</f>
        <v>140809004</v>
      </c>
      <c r="G376" s="28" t="str">
        <f>_xlfn.XLOOKUP(Table134526_79101120212223242526[[#This Row],[Name Surname]],Manpower!$C$4:$C$1048576,Manpower!$F$4:$F$1048576,"")</f>
        <v>Fitter/Erector</v>
      </c>
      <c r="H376" s="28" t="str">
        <f>_xlfn.XLOOKUP(Table134526_79101120212223242526[[#This Row],[Name Surname]],Manpower!$C$4:$C$1048576,Manpower!$H$4:$H$1048576,"")</f>
        <v>Manpower</v>
      </c>
      <c r="I376" s="24" t="str">
        <f>_xlfn.XLOOKUP(Table134526_79101120212223242526[[#This Row],[Name Surname]],Manpower!$C$4:$C$1048576,Manpower!$H$4:$H$1048576,"")</f>
        <v>Manpower</v>
      </c>
      <c r="J376" s="21" t="s">
        <v>143</v>
      </c>
      <c r="K376" s="21" t="s">
        <v>26</v>
      </c>
      <c r="L376" s="21" t="s">
        <v>144</v>
      </c>
      <c r="M376" s="21" t="s">
        <v>55</v>
      </c>
      <c r="N376" s="29">
        <v>10</v>
      </c>
      <c r="R376" s="21" t="s">
        <v>227</v>
      </c>
    </row>
    <row r="377" spans="1:18" s="21" customFormat="1" ht="14.4" hidden="1">
      <c r="A377" s="33">
        <f>IF(C377="","",MAX($A$1:A376)+1)</f>
        <v>357</v>
      </c>
      <c r="B377" s="27" t="s">
        <v>141</v>
      </c>
      <c r="C377" s="23">
        <v>46084</v>
      </c>
      <c r="D377" s="28" t="str">
        <f>_xlfn.XLOOKUP(Table134526_79101120212223242526[[#This Row],[Name Surname]],Manpower!$C$4:$C$1048576,Manpower!$B$4:$B$1048576,"")</f>
        <v>Encogroup</v>
      </c>
      <c r="E377" s="23" t="s">
        <v>178</v>
      </c>
      <c r="F377" s="12">
        <f>_xlfn.XLOOKUP(Table134526_79101120212223242526[[#This Row],[Name Surname]],Manpower!C:C,Manpower!D:D,)</f>
        <v>140683436</v>
      </c>
      <c r="G377" s="28" t="str">
        <f>_xlfn.XLOOKUP(Table134526_79101120212223242526[[#This Row],[Name Surname]],Manpower!$C$4:$C$1048576,Manpower!$F$4:$F$1048576,"")</f>
        <v>Scaffolder</v>
      </c>
      <c r="H377" s="28" t="str">
        <f>_xlfn.XLOOKUP(Table134526_79101120212223242526[[#This Row],[Name Surname]],Manpower!$C$4:$C$1048576,Manpower!$H$4:$H$1048576,"")</f>
        <v>Manpower</v>
      </c>
      <c r="I377" s="24" t="str">
        <f>_xlfn.XLOOKUP(Table134526_79101120212223242526[[#This Row],[Name Surname]],Manpower!$C$4:$C$1048576,Manpower!$H$4:$H$1048576,"")</f>
        <v>Manpower</v>
      </c>
      <c r="J377" s="21" t="s">
        <v>143</v>
      </c>
      <c r="K377" s="21" t="s">
        <v>26</v>
      </c>
      <c r="L377" s="21" t="s">
        <v>144</v>
      </c>
      <c r="M377" s="21" t="s">
        <v>55</v>
      </c>
      <c r="N377" s="29">
        <v>10</v>
      </c>
      <c r="R377" s="21" t="s">
        <v>227</v>
      </c>
    </row>
    <row r="378" spans="1:18" s="21" customFormat="1" ht="14.4" hidden="1">
      <c r="A378" s="33">
        <f>IF(C378="","",MAX($A$1:A377)+1)</f>
        <v>358</v>
      </c>
      <c r="B378" s="27" t="s">
        <v>141</v>
      </c>
      <c r="C378" s="23">
        <v>46084</v>
      </c>
      <c r="D378" s="28" t="str">
        <f>_xlfn.XLOOKUP(Table134526_79101120212223242526[[#This Row],[Name Surname]],Manpower!$C$4:$C$1048576,Manpower!$B$4:$B$1048576,"")</f>
        <v/>
      </c>
      <c r="E378" s="23" t="s">
        <v>229</v>
      </c>
      <c r="F378" s="12" t="e">
        <f>_xlfn.XLOOKUP(Table134526_79101120212223242526[[#This Row],[Name Surname]],Manpower!C:C,Manpower!D:D,)</f>
        <v>#N/A</v>
      </c>
      <c r="G378" s="28" t="str">
        <f>_xlfn.XLOOKUP(Table134526_79101120212223242526[[#This Row],[Name Surname]],Manpower!$C$4:$C$1048576,Manpower!$F$4:$F$1048576,"")</f>
        <v/>
      </c>
      <c r="H378" s="28" t="str">
        <f>_xlfn.XLOOKUP(Table134526_79101120212223242526[[#This Row],[Name Surname]],Manpower!$C$4:$C$1048576,Manpower!$H$4:$H$1048576,"")</f>
        <v/>
      </c>
      <c r="I378" s="24" t="str">
        <f>_xlfn.XLOOKUP(Table134526_79101120212223242526[[#This Row],[Name Surname]],Manpower!$C$4:$C$1048576,Manpower!$H$4:$H$1048576,"")</f>
        <v/>
      </c>
      <c r="J378" s="21" t="s">
        <v>158</v>
      </c>
      <c r="K378" s="21" t="s">
        <v>26</v>
      </c>
      <c r="L378" s="21" t="s">
        <v>26</v>
      </c>
      <c r="M378" s="21" t="s">
        <v>55</v>
      </c>
      <c r="N378" s="29">
        <v>10</v>
      </c>
      <c r="R378" s="21" t="s">
        <v>227</v>
      </c>
    </row>
    <row r="379" spans="1:18" s="21" customFormat="1" ht="14.4" hidden="1">
      <c r="A379" s="33">
        <f>IF(C379="","",MAX($A$1:A378)+1)</f>
        <v>359</v>
      </c>
      <c r="B379" s="27" t="s">
        <v>141</v>
      </c>
      <c r="C379" s="23">
        <v>46084</v>
      </c>
      <c r="D379" s="28" t="str">
        <f>_xlfn.XLOOKUP(Table134526_79101120212223242526[[#This Row],[Name Surname]],Manpower!$C$4:$C$1048576,Manpower!$B$4:$B$1048576,"")</f>
        <v>Encogroup</v>
      </c>
      <c r="E379" s="23" t="s">
        <v>180</v>
      </c>
      <c r="F379" s="12">
        <f>_xlfn.XLOOKUP(Table134526_79101120212223242526[[#This Row],[Name Surname]],Manpower!C:C,Manpower!D:D,)</f>
        <v>9138415</v>
      </c>
      <c r="G379" s="28" t="str">
        <f>_xlfn.XLOOKUP(Table134526_79101120212223242526[[#This Row],[Name Surname]],Manpower!$C$4:$C$1048576,Manpower!$F$4:$F$1048576,"")</f>
        <v>HIAB Driver</v>
      </c>
      <c r="H379" s="28" t="str">
        <f>_xlfn.XLOOKUP(Table134526_79101120212223242526[[#This Row],[Name Surname]],Manpower!$C$4:$C$1048576,Manpower!$H$4:$H$1048576,"")</f>
        <v>Manpower</v>
      </c>
      <c r="I379" s="24" t="str">
        <f>_xlfn.XLOOKUP(Table134526_79101120212223242526[[#This Row],[Name Surname]],Manpower!$C$4:$C$1048576,Manpower!$H$4:$H$1048576,"")</f>
        <v>Manpower</v>
      </c>
      <c r="J379" s="21" t="s">
        <v>143</v>
      </c>
      <c r="K379" s="21" t="s">
        <v>26</v>
      </c>
      <c r="L379" s="21" t="s">
        <v>144</v>
      </c>
      <c r="M379" s="21" t="s">
        <v>55</v>
      </c>
      <c r="N379" s="29">
        <v>10</v>
      </c>
      <c r="R379" s="21" t="s">
        <v>227</v>
      </c>
    </row>
    <row r="380" spans="1:18" s="21" customFormat="1" ht="14.4" hidden="1">
      <c r="A380" s="33">
        <f>IF(C380="","",MAX($A$1:A379)+1)</f>
        <v>360</v>
      </c>
      <c r="B380" s="27" t="s">
        <v>141</v>
      </c>
      <c r="C380" s="23">
        <v>46084</v>
      </c>
      <c r="D380" s="28" t="str">
        <f>_xlfn.XLOOKUP(Table134526_79101120212223242526[[#This Row],[Name Surname]],Manpower!$C$4:$C$1048576,Manpower!$B$4:$B$1048576,"")</f>
        <v>GAF</v>
      </c>
      <c r="E380" s="23" t="s">
        <v>182</v>
      </c>
      <c r="F380" s="12">
        <f>_xlfn.XLOOKUP(Table134526_79101120212223242526[[#This Row],[Name Surname]],Manpower!C:C,Manpower!D:D,)</f>
        <v>78785394</v>
      </c>
      <c r="G380" s="28" t="str">
        <f>_xlfn.XLOOKUP(Table134526_79101120212223242526[[#This Row],[Name Surname]],Manpower!$C$4:$C$1048576,Manpower!$F$4:$F$1048576,"")</f>
        <v>Helper</v>
      </c>
      <c r="H380" s="28" t="str">
        <f>_xlfn.XLOOKUP(Table134526_79101120212223242526[[#This Row],[Name Surname]],Manpower!$C$4:$C$1048576,Manpower!$H$4:$H$1048576,"")</f>
        <v>Sub Contactor</v>
      </c>
      <c r="I380" s="24" t="str">
        <f>_xlfn.XLOOKUP(Table134526_79101120212223242526[[#This Row],[Name Surname]],Manpower!$C$4:$C$1048576,Manpower!$H$4:$H$1048576,"")</f>
        <v>Sub Contactor</v>
      </c>
      <c r="J380" s="21" t="s">
        <v>143</v>
      </c>
      <c r="K380" s="21" t="s">
        <v>26</v>
      </c>
      <c r="L380" s="21" t="s">
        <v>144</v>
      </c>
      <c r="M380" s="21" t="s">
        <v>55</v>
      </c>
      <c r="N380" s="29">
        <v>10</v>
      </c>
      <c r="R380" s="21" t="s">
        <v>227</v>
      </c>
    </row>
    <row r="381" spans="1:18" s="21" customFormat="1" ht="14.4" hidden="1">
      <c r="A381" s="33">
        <f>IF(C381="","",MAX($A$1:A380)+1)</f>
        <v>361</v>
      </c>
      <c r="B381" s="27" t="s">
        <v>141</v>
      </c>
      <c r="C381" s="23">
        <v>46084</v>
      </c>
      <c r="D381" s="28" t="str">
        <f>_xlfn.XLOOKUP(Table134526_79101120212223242526[[#This Row],[Name Surname]],Manpower!$C$4:$C$1048576,Manpower!$B$4:$B$1048576,"")</f>
        <v>Encogroup</v>
      </c>
      <c r="E381" s="23" t="s">
        <v>183</v>
      </c>
      <c r="F381" s="12">
        <f>_xlfn.XLOOKUP(Table134526_79101120212223242526[[#This Row],[Name Surname]],Manpower!C:C,Manpower!D:D,)</f>
        <v>141359024</v>
      </c>
      <c r="G381" s="28" t="str">
        <f>_xlfn.XLOOKUP(Table134526_79101120212223242526[[#This Row],[Name Surname]],Manpower!$C$4:$C$1048576,Manpower!$F$4:$F$1048576,"")</f>
        <v>Hydraulic Mechanic</v>
      </c>
      <c r="H381" s="28" t="str">
        <f>_xlfn.XLOOKUP(Table134526_79101120212223242526[[#This Row],[Name Surname]],Manpower!$C$4:$C$1048576,Manpower!$H$4:$H$1048576,"")</f>
        <v>Manpower</v>
      </c>
      <c r="I381" s="24" t="str">
        <f>_xlfn.XLOOKUP(Table134526_79101120212223242526[[#This Row],[Name Surname]],Manpower!$C$4:$C$1048576,Manpower!$H$4:$H$1048576,"")</f>
        <v>Manpower</v>
      </c>
      <c r="J381" s="21" t="s">
        <v>143</v>
      </c>
      <c r="K381" s="21" t="s">
        <v>26</v>
      </c>
      <c r="L381" s="21" t="s">
        <v>144</v>
      </c>
      <c r="M381" s="21" t="s">
        <v>55</v>
      </c>
      <c r="N381" s="29">
        <v>10</v>
      </c>
      <c r="R381" s="21" t="s">
        <v>227</v>
      </c>
    </row>
    <row r="382" spans="1:18" s="21" customFormat="1" ht="14.4" hidden="1">
      <c r="A382" s="33">
        <f>IF(C382="","",MAX($A$1:A381)+1)</f>
        <v>362</v>
      </c>
      <c r="B382" s="27" t="s">
        <v>141</v>
      </c>
      <c r="C382" s="23">
        <v>46084</v>
      </c>
      <c r="D382" s="28" t="str">
        <f>_xlfn.XLOOKUP(Table134526_79101120212223242526[[#This Row],[Name Surname]],Manpower!$C$4:$C$1048576,Manpower!$B$4:$B$1048576,"")</f>
        <v>Encogroup</v>
      </c>
      <c r="E382" s="23" t="s">
        <v>184</v>
      </c>
      <c r="F382" s="12">
        <f>_xlfn.XLOOKUP(Table134526_79101120212223242526[[#This Row],[Name Surname]],Manpower!C:C,Manpower!D:D,)</f>
        <v>140844759</v>
      </c>
      <c r="G382" s="28" t="str">
        <f>_xlfn.XLOOKUP(Table134526_79101120212223242526[[#This Row],[Name Surname]],Manpower!$C$4:$C$1048576,Manpower!$F$4:$F$1048576,"")</f>
        <v>Welder</v>
      </c>
      <c r="H382" s="28" t="str">
        <f>_xlfn.XLOOKUP(Table134526_79101120212223242526[[#This Row],[Name Surname]],Manpower!$C$4:$C$1048576,Manpower!$H$4:$H$1048576,"")</f>
        <v>Manpower</v>
      </c>
      <c r="I382" s="24" t="str">
        <f>_xlfn.XLOOKUP(Table134526_79101120212223242526[[#This Row],[Name Surname]],Manpower!$C$4:$C$1048576,Manpower!$H$4:$H$1048576,"")</f>
        <v>Manpower</v>
      </c>
      <c r="J382" s="21" t="s">
        <v>158</v>
      </c>
      <c r="K382" s="21" t="s">
        <v>26</v>
      </c>
      <c r="L382" s="21" t="s">
        <v>26</v>
      </c>
      <c r="M382" s="21" t="s">
        <v>55</v>
      </c>
      <c r="N382" s="29">
        <v>10</v>
      </c>
      <c r="R382" s="21" t="s">
        <v>227</v>
      </c>
    </row>
    <row r="383" spans="1:18" s="21" customFormat="1" ht="14.4" hidden="1">
      <c r="A383" s="33">
        <f>IF(C383="","",MAX($A$1:A382)+1)</f>
        <v>363</v>
      </c>
      <c r="B383" s="27" t="s">
        <v>141</v>
      </c>
      <c r="C383" s="23">
        <v>46084</v>
      </c>
      <c r="D383" s="28" t="str">
        <f>_xlfn.XLOOKUP(Table134526_79101120212223242526[[#This Row],[Name Surname]],Manpower!$C$4:$C$1048576,Manpower!$B$4:$B$1048576,"")</f>
        <v>Encogroup</v>
      </c>
      <c r="E383" s="23" t="s">
        <v>185</v>
      </c>
      <c r="F383" s="12">
        <f>_xlfn.XLOOKUP(Table134526_79101120212223242526[[#This Row],[Name Surname]],Manpower!C:C,Manpower!D:D,)</f>
        <v>140848828</v>
      </c>
      <c r="G383" s="28" t="str">
        <f>_xlfn.XLOOKUP(Table134526_79101120212223242526[[#This Row],[Name Surname]],Manpower!$C$4:$C$1048576,Manpower!$F$4:$F$1048576,"")</f>
        <v>Pipe Fitter</v>
      </c>
      <c r="H383" s="28" t="str">
        <f>_xlfn.XLOOKUP(Table134526_79101120212223242526[[#This Row],[Name Surname]],Manpower!$C$4:$C$1048576,Manpower!$H$4:$H$1048576,"")</f>
        <v>Manpower</v>
      </c>
      <c r="I383" s="24" t="str">
        <f>_xlfn.XLOOKUP(Table134526_79101120212223242526[[#This Row],[Name Surname]],Manpower!$C$4:$C$1048576,Manpower!$H$4:$H$1048576,"")</f>
        <v>Manpower</v>
      </c>
      <c r="J383" s="21" t="s">
        <v>143</v>
      </c>
      <c r="K383" s="21" t="s">
        <v>26</v>
      </c>
      <c r="L383" s="21" t="s">
        <v>144</v>
      </c>
      <c r="M383" s="21" t="s">
        <v>55</v>
      </c>
      <c r="N383" s="29">
        <v>10</v>
      </c>
      <c r="R383" s="21" t="s">
        <v>227</v>
      </c>
    </row>
    <row r="384" spans="1:18" s="21" customFormat="1" ht="14.4" hidden="1">
      <c r="A384" s="33">
        <f>IF(C384="","",MAX($A$1:A383)+1)</f>
        <v>364</v>
      </c>
      <c r="B384" s="27" t="s">
        <v>141</v>
      </c>
      <c r="C384" s="23">
        <v>46084</v>
      </c>
      <c r="D384" s="28" t="str">
        <f>_xlfn.XLOOKUP(Table134526_79101120212223242526[[#This Row],[Name Surname]],Manpower!$C$4:$C$1048576,Manpower!$B$4:$B$1048576,"")</f>
        <v>Encogroup</v>
      </c>
      <c r="E384" s="23" t="s">
        <v>186</v>
      </c>
      <c r="F384" s="12">
        <f>_xlfn.XLOOKUP(Table134526_79101120212223242526[[#This Row],[Name Surname]],Manpower!C:C,Manpower!D:D,)</f>
        <v>140696961</v>
      </c>
      <c r="G384" s="28" t="str">
        <f>_xlfn.XLOOKUP(Table134526_79101120212223242526[[#This Row],[Name Surname]],Manpower!$C$4:$C$1048576,Manpower!$F$4:$F$1048576,"")</f>
        <v>Assistant/Helper</v>
      </c>
      <c r="H384" s="28" t="str">
        <f>_xlfn.XLOOKUP(Table134526_79101120212223242526[[#This Row],[Name Surname]],Manpower!$C$4:$C$1048576,Manpower!$H$4:$H$1048576,"")</f>
        <v>Manpower</v>
      </c>
      <c r="I384" s="24" t="str">
        <f>_xlfn.XLOOKUP(Table134526_79101120212223242526[[#This Row],[Name Surname]],Manpower!$C$4:$C$1048576,Manpower!$H$4:$H$1048576,"")</f>
        <v>Manpower</v>
      </c>
      <c r="J384" s="21" t="s">
        <v>143</v>
      </c>
      <c r="K384" s="21" t="s">
        <v>26</v>
      </c>
      <c r="L384" s="21" t="s">
        <v>144</v>
      </c>
      <c r="M384" s="21" t="s">
        <v>55</v>
      </c>
      <c r="N384" s="29">
        <v>10</v>
      </c>
      <c r="R384" s="21" t="s">
        <v>227</v>
      </c>
    </row>
    <row r="385" spans="1:18" s="21" customFormat="1" ht="14.4" hidden="1">
      <c r="A385" s="33">
        <f>IF(C385="","",MAX($A$1:A384)+1)</f>
        <v>365</v>
      </c>
      <c r="B385" s="27" t="s">
        <v>141</v>
      </c>
      <c r="C385" s="23">
        <v>46084</v>
      </c>
      <c r="D385" s="28" t="str">
        <f>_xlfn.XLOOKUP(Table134526_79101120212223242526[[#This Row],[Name Surname]],Manpower!$C$4:$C$1048576,Manpower!$B$4:$B$1048576,"")</f>
        <v>Encogroup</v>
      </c>
      <c r="E385" s="23" t="s">
        <v>187</v>
      </c>
      <c r="F385" s="12">
        <f>_xlfn.XLOOKUP(Table134526_79101120212223242526[[#This Row],[Name Surname]],Manpower!C:C,Manpower!D:D,)</f>
        <v>140623599</v>
      </c>
      <c r="G385" s="28" t="str">
        <f>_xlfn.XLOOKUP(Table134526_79101120212223242526[[#This Row],[Name Surname]],Manpower!$C$4:$C$1048576,Manpower!$F$4:$F$1048576,"")</f>
        <v>Mechanical Supervisor</v>
      </c>
      <c r="H385" s="28" t="str">
        <f>_xlfn.XLOOKUP(Table134526_79101120212223242526[[#This Row],[Name Surname]],Manpower!$C$4:$C$1048576,Manpower!$H$4:$H$1048576,"")</f>
        <v>Manpower</v>
      </c>
      <c r="I385" s="24" t="str">
        <f>_xlfn.XLOOKUP(Table134526_79101120212223242526[[#This Row],[Name Surname]],Manpower!$C$4:$C$1048576,Manpower!$H$4:$H$1048576,"")</f>
        <v>Manpower</v>
      </c>
      <c r="J385" s="21" t="s">
        <v>143</v>
      </c>
      <c r="K385" s="21" t="s">
        <v>26</v>
      </c>
      <c r="L385" s="21" t="s">
        <v>144</v>
      </c>
      <c r="M385" s="21" t="s">
        <v>55</v>
      </c>
      <c r="N385" s="29">
        <v>10</v>
      </c>
      <c r="R385" s="21" t="s">
        <v>227</v>
      </c>
    </row>
    <row r="386" spans="1:18" s="21" customFormat="1" ht="14.4" hidden="1">
      <c r="A386" s="33">
        <f>IF(C386="","",MAX($A$1:A385)+1)</f>
        <v>366</v>
      </c>
      <c r="B386" s="27" t="s">
        <v>141</v>
      </c>
      <c r="C386" s="23">
        <v>46084</v>
      </c>
      <c r="D386" s="28" t="str">
        <f>_xlfn.XLOOKUP(Table134526_79101120212223242526[[#This Row],[Name Surname]],Manpower!$C$4:$C$1048576,Manpower!$B$4:$B$1048576,"")</f>
        <v>Encogroup</v>
      </c>
      <c r="E386" s="23" t="s">
        <v>188</v>
      </c>
      <c r="F386" s="12">
        <f>_xlfn.XLOOKUP(Table134526_79101120212223242526[[#This Row],[Name Surname]],Manpower!C:C,Manpower!D:D,)</f>
        <v>140696975</v>
      </c>
      <c r="G386" s="28" t="str">
        <f>_xlfn.XLOOKUP(Table134526_79101120212223242526[[#This Row],[Name Surname]],Manpower!$C$4:$C$1048576,Manpower!$F$4:$F$1048576,"")</f>
        <v>Assistant/Helper</v>
      </c>
      <c r="H386" s="28" t="str">
        <f>_xlfn.XLOOKUP(Table134526_79101120212223242526[[#This Row],[Name Surname]],Manpower!$C$4:$C$1048576,Manpower!$H$4:$H$1048576,"")</f>
        <v>Manpower</v>
      </c>
      <c r="I386" s="24" t="str">
        <f>_xlfn.XLOOKUP(Table134526_79101120212223242526[[#This Row],[Name Surname]],Manpower!$C$4:$C$1048576,Manpower!$H$4:$H$1048576,"")</f>
        <v>Manpower</v>
      </c>
      <c r="J386" s="21" t="s">
        <v>143</v>
      </c>
      <c r="K386" s="21" t="s">
        <v>26</v>
      </c>
      <c r="L386" s="21" t="s">
        <v>144</v>
      </c>
      <c r="M386" s="21" t="s">
        <v>55</v>
      </c>
      <c r="N386" s="29">
        <v>10</v>
      </c>
      <c r="R386" s="21" t="s">
        <v>227</v>
      </c>
    </row>
    <row r="387" spans="1:18" s="21" customFormat="1" ht="14.4" hidden="1">
      <c r="A387" s="33">
        <f>IF(C387="","",MAX($A$1:A386)+1)</f>
        <v>367</v>
      </c>
      <c r="B387" s="27" t="s">
        <v>141</v>
      </c>
      <c r="C387" s="23">
        <v>46084</v>
      </c>
      <c r="D387" s="28" t="str">
        <f>_xlfn.XLOOKUP(Table134526_79101120212223242526[[#This Row],[Name Surname]],Manpower!$C$4:$C$1048576,Manpower!$B$4:$B$1048576,"")</f>
        <v>Encogroup</v>
      </c>
      <c r="E387" s="23" t="s">
        <v>189</v>
      </c>
      <c r="F387" s="12">
        <f>_xlfn.XLOOKUP(Table134526_79101120212223242526[[#This Row],[Name Surname]],Manpower!C:C,Manpower!D:D,)</f>
        <v>121937785</v>
      </c>
      <c r="G387" s="28" t="str">
        <f>_xlfn.XLOOKUP(Table134526_79101120212223242526[[#This Row],[Name Surname]],Manpower!$C$4:$C$1048576,Manpower!$F$4:$F$1048576,"")</f>
        <v>Scaffolding Inspector</v>
      </c>
      <c r="H387" s="28" t="str">
        <f>_xlfn.XLOOKUP(Table134526_79101120212223242526[[#This Row],[Name Surname]],Manpower!$C$4:$C$1048576,Manpower!$H$4:$H$1048576,"")</f>
        <v>Manpower</v>
      </c>
      <c r="I387" s="24" t="str">
        <f>_xlfn.XLOOKUP(Table134526_79101120212223242526[[#This Row],[Name Surname]],Manpower!$C$4:$C$1048576,Manpower!$H$4:$H$1048576,"")</f>
        <v>Manpower</v>
      </c>
      <c r="J387" s="21" t="s">
        <v>143</v>
      </c>
      <c r="K387" s="21" t="s">
        <v>26</v>
      </c>
      <c r="L387" s="21" t="s">
        <v>144</v>
      </c>
      <c r="M387" s="21" t="s">
        <v>55</v>
      </c>
      <c r="N387" s="29">
        <v>10</v>
      </c>
      <c r="R387" s="21" t="s">
        <v>227</v>
      </c>
    </row>
    <row r="388" spans="1:18" s="21" customFormat="1" ht="14.4" hidden="1">
      <c r="A388" s="33">
        <f>IF(C388="","",MAX($A$1:A387)+1)</f>
        <v>368</v>
      </c>
      <c r="B388" s="27" t="s">
        <v>141</v>
      </c>
      <c r="C388" s="23">
        <v>46084</v>
      </c>
      <c r="D388" s="28" t="str">
        <f>_xlfn.XLOOKUP(Table134526_79101120212223242526[[#This Row],[Name Surname]],Manpower!$C$4:$C$1048576,Manpower!$B$4:$B$1048576,"")</f>
        <v xml:space="preserve">AL Omar International </v>
      </c>
      <c r="E388" s="23" t="s">
        <v>190</v>
      </c>
      <c r="F388" s="12">
        <f>_xlfn.XLOOKUP(Table134526_79101120212223242526[[#This Row],[Name Surname]],Manpower!C:C,Manpower!D:D,)</f>
        <v>85812175</v>
      </c>
      <c r="G388" s="28" t="str">
        <f>_xlfn.XLOOKUP(Table134526_79101120212223242526[[#This Row],[Name Surname]],Manpower!$C$4:$C$1048576,Manpower!$F$4:$F$1048576,"")</f>
        <v>Scaffolding Supervisor</v>
      </c>
      <c r="H388" s="28" t="str">
        <f>_xlfn.XLOOKUP(Table134526_79101120212223242526[[#This Row],[Name Surname]],Manpower!$C$4:$C$1048576,Manpower!$H$4:$H$1048576,"")</f>
        <v>Sub Contactor</v>
      </c>
      <c r="I388" s="24" t="str">
        <f>_xlfn.XLOOKUP(Table134526_79101120212223242526[[#This Row],[Name Surname]],Manpower!$C$4:$C$1048576,Manpower!$H$4:$H$1048576,"")</f>
        <v>Sub Contactor</v>
      </c>
      <c r="J388" s="21" t="s">
        <v>143</v>
      </c>
      <c r="K388" s="21" t="s">
        <v>26</v>
      </c>
      <c r="L388" s="21" t="s">
        <v>144</v>
      </c>
      <c r="M388" s="21" t="s">
        <v>55</v>
      </c>
      <c r="N388" s="29">
        <v>10</v>
      </c>
      <c r="R388" s="21" t="s">
        <v>227</v>
      </c>
    </row>
    <row r="389" spans="1:18" s="21" customFormat="1" ht="14.4" hidden="1">
      <c r="A389" s="33">
        <f>IF(C389="","",MAX($A$1:A388)+1)</f>
        <v>369</v>
      </c>
      <c r="B389" s="27" t="s">
        <v>141</v>
      </c>
      <c r="C389" s="23">
        <v>46084</v>
      </c>
      <c r="D389" s="28" t="str">
        <f>_xlfn.XLOOKUP(Table134526_79101120212223242526[[#This Row],[Name Surname]],Manpower!$C$4:$C$1048576,Manpower!$B$4:$B$1048576,"")</f>
        <v>AL Omar International TRAD AND CONT</v>
      </c>
      <c r="E389" s="23" t="s">
        <v>191</v>
      </c>
      <c r="F389" s="12">
        <f>_xlfn.XLOOKUP(Table134526_79101120212223242526[[#This Row],[Name Surname]],Manpower!C:C,Manpower!D:D,)</f>
        <v>95335424</v>
      </c>
      <c r="G389" s="28" t="str">
        <f>_xlfn.XLOOKUP(Table134526_79101120212223242526[[#This Row],[Name Surname]],Manpower!$C$4:$C$1048576,Manpower!$F$4:$F$1048576,"")</f>
        <v>Scaffolder</v>
      </c>
      <c r="H389" s="28" t="str">
        <f>_xlfn.XLOOKUP(Table134526_79101120212223242526[[#This Row],[Name Surname]],Manpower!$C$4:$C$1048576,Manpower!$H$4:$H$1048576,"")</f>
        <v>Sub Contactor</v>
      </c>
      <c r="I389" s="24" t="str">
        <f>_xlfn.XLOOKUP(Table134526_79101120212223242526[[#This Row],[Name Surname]],Manpower!$C$4:$C$1048576,Manpower!$H$4:$H$1048576,"")</f>
        <v>Sub Contactor</v>
      </c>
      <c r="J389" s="21" t="s">
        <v>143</v>
      </c>
      <c r="K389" s="21" t="s">
        <v>26</v>
      </c>
      <c r="L389" s="21" t="s">
        <v>144</v>
      </c>
      <c r="M389" s="21" t="s">
        <v>55</v>
      </c>
      <c r="N389" s="29">
        <v>10</v>
      </c>
      <c r="R389" s="21" t="s">
        <v>227</v>
      </c>
    </row>
    <row r="390" spans="1:18" s="21" customFormat="1" ht="14.4" hidden="1">
      <c r="A390" s="33">
        <f>IF(C390="","",MAX($A$1:A389)+1)</f>
        <v>370</v>
      </c>
      <c r="B390" s="27" t="s">
        <v>141</v>
      </c>
      <c r="C390" s="23">
        <v>46084</v>
      </c>
      <c r="D390" s="28" t="str">
        <f>_xlfn.XLOOKUP(Table134526_79101120212223242526[[#This Row],[Name Surname]],Manpower!$C$4:$C$1048576,Manpower!$B$4:$B$1048576,"")</f>
        <v>AL Omar International TRAD AND CONT</v>
      </c>
      <c r="E390" s="23" t="s">
        <v>192</v>
      </c>
      <c r="F390" s="12">
        <f>_xlfn.XLOOKUP(Table134526_79101120212223242526[[#This Row],[Name Surname]],Manpower!C:C,Manpower!D:D,)</f>
        <v>96409155</v>
      </c>
      <c r="G390" s="28" t="str">
        <f>_xlfn.XLOOKUP(Table134526_79101120212223242526[[#This Row],[Name Surname]],Manpower!$C$4:$C$1048576,Manpower!$F$4:$F$1048576,"")</f>
        <v>Scaffolder</v>
      </c>
      <c r="H390" s="28" t="str">
        <f>_xlfn.XLOOKUP(Table134526_79101120212223242526[[#This Row],[Name Surname]],Manpower!$C$4:$C$1048576,Manpower!$H$4:$H$1048576,"")</f>
        <v>Sub Contactor</v>
      </c>
      <c r="I390" s="24" t="str">
        <f>_xlfn.XLOOKUP(Table134526_79101120212223242526[[#This Row],[Name Surname]],Manpower!$C$4:$C$1048576,Manpower!$H$4:$H$1048576,"")</f>
        <v>Sub Contactor</v>
      </c>
      <c r="J390" s="21" t="s">
        <v>143</v>
      </c>
      <c r="K390" s="21" t="s">
        <v>26</v>
      </c>
      <c r="L390" s="21" t="s">
        <v>144</v>
      </c>
      <c r="M390" s="21" t="s">
        <v>55</v>
      </c>
      <c r="N390" s="29">
        <v>10</v>
      </c>
      <c r="R390" s="21" t="s">
        <v>227</v>
      </c>
    </row>
    <row r="391" spans="1:18" s="21" customFormat="1" ht="14.4" hidden="1">
      <c r="A391" s="33">
        <f>IF(C391="","",MAX($A$1:A390)+1)</f>
        <v>371</v>
      </c>
      <c r="B391" s="27" t="s">
        <v>141</v>
      </c>
      <c r="C391" s="23">
        <v>46084</v>
      </c>
      <c r="D391" s="28" t="str">
        <f>_xlfn.XLOOKUP(Table134526_79101120212223242526[[#This Row],[Name Surname]],Manpower!$C$4:$C$1048576,Manpower!$B$4:$B$1048576,"")</f>
        <v>AL Omar International TRAD AND CONT</v>
      </c>
      <c r="E391" s="23" t="s">
        <v>193</v>
      </c>
      <c r="F391" s="12">
        <f>_xlfn.XLOOKUP(Table134526_79101120212223242526[[#This Row],[Name Surname]],Manpower!C:C,Manpower!D:D,)</f>
        <v>105813698</v>
      </c>
      <c r="G391" s="28" t="str">
        <f>_xlfn.XLOOKUP(Table134526_79101120212223242526[[#This Row],[Name Surname]],Manpower!$C$4:$C$1048576,Manpower!$F$4:$F$1048576,"")</f>
        <v>Scaffolding Inspector</v>
      </c>
      <c r="H391" s="28" t="str">
        <f>_xlfn.XLOOKUP(Table134526_79101120212223242526[[#This Row],[Name Surname]],Manpower!$C$4:$C$1048576,Manpower!$H$4:$H$1048576,"")</f>
        <v>Sub Contactor</v>
      </c>
      <c r="I391" s="24" t="str">
        <f>_xlfn.XLOOKUP(Table134526_79101120212223242526[[#This Row],[Name Surname]],Manpower!$C$4:$C$1048576,Manpower!$H$4:$H$1048576,"")</f>
        <v>Sub Contactor</v>
      </c>
      <c r="J391" s="21" t="s">
        <v>158</v>
      </c>
      <c r="K391" s="21" t="s">
        <v>26</v>
      </c>
      <c r="L391" s="21" t="s">
        <v>26</v>
      </c>
      <c r="M391" s="21" t="s">
        <v>55</v>
      </c>
      <c r="N391" s="29">
        <v>10</v>
      </c>
      <c r="R391" s="21" t="s">
        <v>227</v>
      </c>
    </row>
    <row r="392" spans="1:18" s="21" customFormat="1" ht="14.4" hidden="1">
      <c r="A392" s="33">
        <f>IF(C392="","",MAX($A$1:A391)+1)</f>
        <v>372</v>
      </c>
      <c r="B392" s="27" t="s">
        <v>141</v>
      </c>
      <c r="C392" s="23">
        <v>46084</v>
      </c>
      <c r="D392" s="28" t="str">
        <f>_xlfn.XLOOKUP(Table134526_79101120212223242526[[#This Row],[Name Surname]],Manpower!$C$4:$C$1048576,Manpower!$B$4:$B$1048576,"")</f>
        <v>AL Saif &amp; Al QALLM ENT LLC</v>
      </c>
      <c r="E392" s="23" t="s">
        <v>194</v>
      </c>
      <c r="F392" s="12">
        <f>_xlfn.XLOOKUP(Table134526_79101120212223242526[[#This Row],[Name Surname]],Manpower!C:C,Manpower!D:D,)</f>
        <v>135340657</v>
      </c>
      <c r="G392" s="28" t="str">
        <f>_xlfn.XLOOKUP(Table134526_79101120212223242526[[#This Row],[Name Surname]],Manpower!$C$4:$C$1048576,Manpower!$F$4:$F$1048576,"")</f>
        <v>Forklift Operator</v>
      </c>
      <c r="H392" s="28" t="str">
        <f>_xlfn.XLOOKUP(Table134526_79101120212223242526[[#This Row],[Name Surname]],Manpower!$C$4:$C$1048576,Manpower!$H$4:$H$1048576,"")</f>
        <v>Sub Contactor</v>
      </c>
      <c r="I392" s="24" t="str">
        <f>_xlfn.XLOOKUP(Table134526_79101120212223242526[[#This Row],[Name Surname]],Manpower!$C$4:$C$1048576,Manpower!$H$4:$H$1048576,"")</f>
        <v>Sub Contactor</v>
      </c>
      <c r="J392" s="21" t="s">
        <v>143</v>
      </c>
      <c r="K392" s="21" t="s">
        <v>26</v>
      </c>
      <c r="L392" s="21" t="s">
        <v>144</v>
      </c>
      <c r="M392" s="21" t="s">
        <v>55</v>
      </c>
      <c r="N392" s="29">
        <v>10</v>
      </c>
      <c r="R392" s="21" t="s">
        <v>227</v>
      </c>
    </row>
    <row r="393" spans="1:18" s="21" customFormat="1" ht="14.4" hidden="1">
      <c r="A393" s="33">
        <f>IF(C393="","",MAX($A$1:A392)+1)</f>
        <v>373</v>
      </c>
      <c r="B393" s="27" t="s">
        <v>141</v>
      </c>
      <c r="C393" s="23">
        <v>46084</v>
      </c>
      <c r="D393" s="28" t="str">
        <f>_xlfn.XLOOKUP(Table134526_79101120212223242526[[#This Row],[Name Surname]],Manpower!$C$4:$C$1048576,Manpower!$B$4:$B$1048576,"")</f>
        <v>Encogroup</v>
      </c>
      <c r="E393" s="23" t="s">
        <v>196</v>
      </c>
      <c r="F393" s="12">
        <f>_xlfn.XLOOKUP(Table134526_79101120212223242526[[#This Row],[Name Surname]],Manpower!C:C,Manpower!D:D,)</f>
        <v>140844586</v>
      </c>
      <c r="G393" s="28" t="str">
        <f>_xlfn.XLOOKUP(Table134526_79101120212223242526[[#This Row],[Name Surname]],Manpower!$C$4:$C$1048576,Manpower!$F$4:$F$1048576,"")</f>
        <v>Assistant/Helper</v>
      </c>
      <c r="H393" s="28" t="str">
        <f>_xlfn.XLOOKUP(Table134526_79101120212223242526[[#This Row],[Name Surname]],Manpower!$C$4:$C$1048576,Manpower!$H$4:$H$1048576,"")</f>
        <v>Manpower</v>
      </c>
      <c r="I393" s="24" t="str">
        <f>_xlfn.XLOOKUP(Table134526_79101120212223242526[[#This Row],[Name Surname]],Manpower!$C$4:$C$1048576,Manpower!$H$4:$H$1048576,"")</f>
        <v>Manpower</v>
      </c>
      <c r="J393" s="21" t="s">
        <v>143</v>
      </c>
      <c r="K393" s="21" t="s">
        <v>26</v>
      </c>
      <c r="L393" s="21" t="s">
        <v>144</v>
      </c>
      <c r="M393" s="21" t="s">
        <v>55</v>
      </c>
      <c r="N393" s="29">
        <v>10</v>
      </c>
      <c r="R393" s="21" t="s">
        <v>227</v>
      </c>
    </row>
    <row r="394" spans="1:18" s="21" customFormat="1" ht="14.4" hidden="1">
      <c r="A394" s="33">
        <f>IF(C394="","",MAX($A$1:A393)+1)</f>
        <v>374</v>
      </c>
      <c r="B394" s="27" t="s">
        <v>141</v>
      </c>
      <c r="C394" s="23">
        <v>46084</v>
      </c>
      <c r="D394" s="28" t="str">
        <f>_xlfn.XLOOKUP(Table134526_79101120212223242526[[#This Row],[Name Surname]],Manpower!$C$4:$C$1048576,Manpower!$B$4:$B$1048576,"")</f>
        <v>AL Omar International TRAD AND CONT</v>
      </c>
      <c r="E394" s="23" t="s">
        <v>197</v>
      </c>
      <c r="F394" s="12">
        <f>_xlfn.XLOOKUP(Table134526_79101120212223242526[[#This Row],[Name Surname]],Manpower!C:C,Manpower!D:D,)</f>
        <v>106093463</v>
      </c>
      <c r="G394" s="28" t="str">
        <f>_xlfn.XLOOKUP(Table134526_79101120212223242526[[#This Row],[Name Surname]],Manpower!$C$4:$C$1048576,Manpower!$F$4:$F$1048576,"")</f>
        <v>RIgger</v>
      </c>
      <c r="H394" s="28" t="str">
        <f>_xlfn.XLOOKUP(Table134526_79101120212223242526[[#This Row],[Name Surname]],Manpower!$C$4:$C$1048576,Manpower!$H$4:$H$1048576,"")</f>
        <v>Sub Contactor</v>
      </c>
      <c r="I394" s="24" t="str">
        <f>_xlfn.XLOOKUP(Table134526_79101120212223242526[[#This Row],[Name Surname]],Manpower!$C$4:$C$1048576,Manpower!$H$4:$H$1048576,"")</f>
        <v>Sub Contactor</v>
      </c>
      <c r="J394" s="21" t="s">
        <v>143</v>
      </c>
      <c r="K394" s="21" t="s">
        <v>26</v>
      </c>
      <c r="L394" s="21" t="s">
        <v>144</v>
      </c>
      <c r="M394" s="21" t="s">
        <v>55</v>
      </c>
      <c r="N394" s="29">
        <v>10</v>
      </c>
      <c r="R394" s="21" t="s">
        <v>227</v>
      </c>
    </row>
    <row r="395" spans="1:18" s="21" customFormat="1" ht="14.4">
      <c r="A395" s="33">
        <f>IF(C395="","",MAX($A$1:A394)+1)</f>
        <v>375</v>
      </c>
      <c r="B395" s="27" t="s">
        <v>141</v>
      </c>
      <c r="C395" s="23">
        <v>46084</v>
      </c>
      <c r="D395" s="28" t="str">
        <f>_xlfn.XLOOKUP(Table134526_79101120212223242526[[#This Row],[Name Surname]],Manpower!$C$4:$C$1048576,Manpower!$B$4:$B$1048576,"")</f>
        <v>Al Asrah Al Mumayaza Trad</v>
      </c>
      <c r="E395" s="23" t="s">
        <v>198</v>
      </c>
      <c r="F395" s="12" t="e">
        <f>_xlfn.XLOOKUP(Table134526_79101120212223242526[[#This Row],[Name Surname]],Manpower!C:C,Manpower!D:D,)</f>
        <v>#N/A</v>
      </c>
      <c r="G395" s="28" t="str">
        <f>_xlfn.XLOOKUP(Table134526_79101120212223242526[[#This Row],[Name Surname]],Manpower!$C$4:$C$1048576,Manpower!$F$4:$F$1048576,"")</f>
        <v>PICK-UP</v>
      </c>
      <c r="H395" s="28" t="str">
        <f>_xlfn.XLOOKUP(Table134526_79101120212223242526[[#This Row],[Name Surname]],Manpower!$C$4:$C$1048576,Manpower!$H$4:$H$1048576,"")</f>
        <v>Equipment</v>
      </c>
      <c r="I395" s="24" t="str">
        <f>_xlfn.XLOOKUP(Table134526_79101120212223242526[[#This Row],[Name Surname]],Manpower!$C$4:$C$1048576,Manpower!$H$4:$H$1048576,"")</f>
        <v>Equipment</v>
      </c>
      <c r="J395" s="21" t="s">
        <v>143</v>
      </c>
      <c r="K395" s="21" t="s">
        <v>26</v>
      </c>
      <c r="L395" s="21" t="s">
        <v>144</v>
      </c>
      <c r="M395" s="21" t="s">
        <v>55</v>
      </c>
      <c r="N395" s="29">
        <v>10</v>
      </c>
      <c r="R395" s="21" t="s">
        <v>227</v>
      </c>
    </row>
    <row r="396" spans="1:18" s="21" customFormat="1" ht="14.4">
      <c r="A396" s="33">
        <f>IF(C396="","",MAX($A$1:A395)+1)</f>
        <v>376</v>
      </c>
      <c r="B396" s="27" t="s">
        <v>141</v>
      </c>
      <c r="C396" s="23">
        <v>46084</v>
      </c>
      <c r="D396" s="28" t="str">
        <f>_xlfn.XLOOKUP(Table134526_79101120212223242526[[#This Row],[Name Surname]],Manpower!$C$4:$C$1048576,Manpower!$B$4:$B$1048576,"")</f>
        <v>Al Asrah Al Mumayaza Trad</v>
      </c>
      <c r="E396" s="23" t="s">
        <v>199</v>
      </c>
      <c r="F396" s="12" t="e">
        <f>_xlfn.XLOOKUP(Table134526_79101120212223242526[[#This Row],[Name Surname]],Manpower!C:C,Manpower!D:D,)</f>
        <v>#N/A</v>
      </c>
      <c r="G396" s="28" t="str">
        <f>_xlfn.XLOOKUP(Table134526_79101120212223242526[[#This Row],[Name Surname]],Manpower!$C$4:$C$1048576,Manpower!$F$4:$F$1048576,"")</f>
        <v>PICK-UP</v>
      </c>
      <c r="H396" s="28" t="str">
        <f>_xlfn.XLOOKUP(Table134526_79101120212223242526[[#This Row],[Name Surname]],Manpower!$C$4:$C$1048576,Manpower!$H$4:$H$1048576,"")</f>
        <v>Equipment</v>
      </c>
      <c r="I396" s="24" t="str">
        <f>_xlfn.XLOOKUP(Table134526_79101120212223242526[[#This Row],[Name Surname]],Manpower!$C$4:$C$1048576,Manpower!$H$4:$H$1048576,"")</f>
        <v>Equipment</v>
      </c>
      <c r="J396" s="21" t="s">
        <v>143</v>
      </c>
      <c r="K396" s="21" t="s">
        <v>26</v>
      </c>
      <c r="L396" s="21" t="s">
        <v>144</v>
      </c>
      <c r="M396" s="21" t="s">
        <v>55</v>
      </c>
      <c r="N396" s="29">
        <v>10</v>
      </c>
      <c r="R396" s="21" t="s">
        <v>227</v>
      </c>
    </row>
    <row r="397" spans="1:18" s="21" customFormat="1" ht="14.4">
      <c r="A397" s="33">
        <f>IF(C397="","",MAX($A$1:A396)+1)</f>
        <v>377</v>
      </c>
      <c r="B397" s="27" t="s">
        <v>141</v>
      </c>
      <c r="C397" s="23">
        <v>46084</v>
      </c>
      <c r="D397" s="28" t="str">
        <f>_xlfn.XLOOKUP(Table134526_79101120212223242526[[#This Row],[Name Surname]],Manpower!$C$4:$C$1048576,Manpower!$B$4:$B$1048576,"")</f>
        <v>Al Asrah Al Mumayaza Trad</v>
      </c>
      <c r="E397" s="23" t="s">
        <v>200</v>
      </c>
      <c r="F397" s="12" t="e">
        <f>_xlfn.XLOOKUP(Table134526_79101120212223242526[[#This Row],[Name Surname]],Manpower!C:C,Manpower!D:D,)</f>
        <v>#N/A</v>
      </c>
      <c r="G397" s="28" t="str">
        <f>_xlfn.XLOOKUP(Table134526_79101120212223242526[[#This Row],[Name Surname]],Manpower!$C$4:$C$1048576,Manpower!$F$4:$F$1048576,"")</f>
        <v>PICK-UP</v>
      </c>
      <c r="H397" s="28" t="str">
        <f>_xlfn.XLOOKUP(Table134526_79101120212223242526[[#This Row],[Name Surname]],Manpower!$C$4:$C$1048576,Manpower!$H$4:$H$1048576,"")</f>
        <v>Equipment</v>
      </c>
      <c r="I397" s="24" t="str">
        <f>_xlfn.XLOOKUP(Table134526_79101120212223242526[[#This Row],[Name Surname]],Manpower!$C$4:$C$1048576,Manpower!$H$4:$H$1048576,"")</f>
        <v>Equipment</v>
      </c>
      <c r="J397" s="21" t="s">
        <v>143</v>
      </c>
      <c r="K397" s="21" t="s">
        <v>26</v>
      </c>
      <c r="L397" s="21" t="s">
        <v>144</v>
      </c>
      <c r="M397" s="21" t="s">
        <v>55</v>
      </c>
      <c r="N397" s="29">
        <v>10</v>
      </c>
      <c r="R397" s="21" t="s">
        <v>227</v>
      </c>
    </row>
    <row r="398" spans="1:18" s="21" customFormat="1" ht="14.4">
      <c r="A398" s="33">
        <f>IF(C398="","",MAX($A$1:A397)+1)</f>
        <v>378</v>
      </c>
      <c r="B398" s="27" t="s">
        <v>141</v>
      </c>
      <c r="C398" s="23">
        <v>46084</v>
      </c>
      <c r="D398" s="28" t="str">
        <f>_xlfn.XLOOKUP(Table134526_79101120212223242526[[#This Row],[Name Surname]],Manpower!$C$4:$C$1048576,Manpower!$B$4:$B$1048576,"")</f>
        <v>Al Asrah Al Mumayaza Trad</v>
      </c>
      <c r="E398" s="23" t="s">
        <v>201</v>
      </c>
      <c r="F398" s="12" t="e">
        <f>_xlfn.XLOOKUP(Table134526_79101120212223242526[[#This Row],[Name Surname]],Manpower!C:C,Manpower!D:D,)</f>
        <v>#N/A</v>
      </c>
      <c r="G398" s="28" t="str">
        <f>_xlfn.XLOOKUP(Table134526_79101120212223242526[[#This Row],[Name Surname]],Manpower!$C$4:$C$1048576,Manpower!$F$4:$F$1048576,"")</f>
        <v>PICK-UP</v>
      </c>
      <c r="H398" s="28" t="str">
        <f>_xlfn.XLOOKUP(Table134526_79101120212223242526[[#This Row],[Name Surname]],Manpower!$C$4:$C$1048576,Manpower!$H$4:$H$1048576,"")</f>
        <v>Equipment</v>
      </c>
      <c r="I398" s="24" t="str">
        <f>_xlfn.XLOOKUP(Table134526_79101120212223242526[[#This Row],[Name Surname]],Manpower!$C$4:$C$1048576,Manpower!$H$4:$H$1048576,"")</f>
        <v>Equipment</v>
      </c>
      <c r="J398" s="21" t="s">
        <v>143</v>
      </c>
      <c r="K398" s="21" t="s">
        <v>26</v>
      </c>
      <c r="L398" s="21" t="s">
        <v>144</v>
      </c>
      <c r="M398" s="21" t="s">
        <v>55</v>
      </c>
      <c r="N398" s="29">
        <v>10</v>
      </c>
      <c r="R398" s="21" t="s">
        <v>227</v>
      </c>
    </row>
    <row r="399" spans="1:18" s="21" customFormat="1" ht="14.4" hidden="1">
      <c r="A399" s="33">
        <f>IF(C399="","",MAX($A$1:A398)+1)</f>
        <v>379</v>
      </c>
      <c r="B399" s="27" t="s">
        <v>141</v>
      </c>
      <c r="C399" s="23">
        <v>46084</v>
      </c>
      <c r="D399" s="28" t="str">
        <f>_xlfn.XLOOKUP(Table134526_79101120212223242526[[#This Row],[Name Surname]],Manpower!$C$4:$C$1048576,Manpower!$B$4:$B$1048576,"")</f>
        <v>Encogroup</v>
      </c>
      <c r="E399" s="23" t="s">
        <v>202</v>
      </c>
      <c r="F399" s="12">
        <f>_xlfn.XLOOKUP(Table134526_79101120212223242526[[#This Row],[Name Surname]],Manpower!C:C,Manpower!D:D,)</f>
        <v>140805592</v>
      </c>
      <c r="G399" s="28" t="str">
        <f>_xlfn.XLOOKUP(Table134526_79101120212223242526[[#This Row],[Name Surname]],Manpower!$C$4:$C$1048576,Manpower!$F$4:$F$1048576,"")</f>
        <v>Assistant/Helper</v>
      </c>
      <c r="H399" s="28" t="str">
        <f>_xlfn.XLOOKUP(Table134526_79101120212223242526[[#This Row],[Name Surname]],Manpower!$C$4:$C$1048576,Manpower!$H$4:$H$1048576,"")</f>
        <v>Manpower</v>
      </c>
      <c r="I399" s="24" t="str">
        <f>_xlfn.XLOOKUP(Table134526_79101120212223242526[[#This Row],[Name Surname]],Manpower!$C$4:$C$1048576,Manpower!$H$4:$H$1048576,"")</f>
        <v>Manpower</v>
      </c>
      <c r="J399" s="21" t="s">
        <v>143</v>
      </c>
      <c r="K399" s="21" t="s">
        <v>26</v>
      </c>
      <c r="L399" s="21" t="s">
        <v>144</v>
      </c>
      <c r="M399" s="21" t="s">
        <v>55</v>
      </c>
      <c r="N399" s="29">
        <v>10</v>
      </c>
      <c r="R399" s="21" t="s">
        <v>227</v>
      </c>
    </row>
    <row r="400" spans="1:18" s="21" customFormat="1" ht="14.4" hidden="1">
      <c r="A400" s="33">
        <f>IF(C400="","",MAX($A$1:A399)+1)</f>
        <v>380</v>
      </c>
      <c r="B400" s="27" t="s">
        <v>141</v>
      </c>
      <c r="C400" s="23">
        <v>46084</v>
      </c>
      <c r="D400" s="28" t="str">
        <f>_xlfn.XLOOKUP(Table134526_79101120212223242526[[#This Row],[Name Surname]],Manpower!$C$4:$C$1048576,Manpower!$B$4:$B$1048576,"")</f>
        <v>Encogroup</v>
      </c>
      <c r="E400" s="23" t="s">
        <v>203</v>
      </c>
      <c r="F400" s="12">
        <f>_xlfn.XLOOKUP(Table134526_79101120212223242526[[#This Row],[Name Surname]],Manpower!C:C,Manpower!D:D,)</f>
        <v>140683371</v>
      </c>
      <c r="G400" s="28" t="str">
        <f>_xlfn.XLOOKUP(Table134526_79101120212223242526[[#This Row],[Name Surname]],Manpower!$C$4:$C$1048576,Manpower!$F$4:$F$1048576,"")</f>
        <v>Rigger</v>
      </c>
      <c r="H400" s="28" t="str">
        <f>_xlfn.XLOOKUP(Table134526_79101120212223242526[[#This Row],[Name Surname]],Manpower!$C$4:$C$1048576,Manpower!$H$4:$H$1048576,"")</f>
        <v>Manpower</v>
      </c>
      <c r="I400" s="24" t="str">
        <f>_xlfn.XLOOKUP(Table134526_79101120212223242526[[#This Row],[Name Surname]],Manpower!$C$4:$C$1048576,Manpower!$H$4:$H$1048576,"")</f>
        <v>Manpower</v>
      </c>
      <c r="J400" s="21" t="s">
        <v>143</v>
      </c>
      <c r="K400" s="21" t="s">
        <v>26</v>
      </c>
      <c r="L400" s="21" t="s">
        <v>144</v>
      </c>
      <c r="M400" s="21" t="s">
        <v>55</v>
      </c>
      <c r="N400" s="29">
        <v>10</v>
      </c>
      <c r="R400" s="21" t="s">
        <v>227</v>
      </c>
    </row>
    <row r="401" spans="1:18" s="21" customFormat="1" ht="14.4" hidden="1">
      <c r="A401" s="33">
        <f>IF(C401="","",MAX($A$1:A400)+1)</f>
        <v>381</v>
      </c>
      <c r="B401" s="27" t="s">
        <v>141</v>
      </c>
      <c r="C401" s="23">
        <v>46084</v>
      </c>
      <c r="D401" s="28" t="str">
        <f>_xlfn.XLOOKUP(Table134526_79101120212223242526[[#This Row],[Name Surname]],Manpower!$C$4:$C$1048576,Manpower!$B$4:$B$1048576,"")</f>
        <v>Encogroup</v>
      </c>
      <c r="E401" s="23" t="s">
        <v>204</v>
      </c>
      <c r="F401" s="12">
        <f>_xlfn.XLOOKUP(Table134526_79101120212223242526[[#This Row],[Name Surname]],Manpower!C:C,Manpower!D:D,)</f>
        <v>140844572</v>
      </c>
      <c r="G401" s="28" t="str">
        <f>_xlfn.XLOOKUP(Table134526_79101120212223242526[[#This Row],[Name Surname]],Manpower!$C$4:$C$1048576,Manpower!$F$4:$F$1048576,"")</f>
        <v>Assistant/Helper</v>
      </c>
      <c r="H401" s="28" t="str">
        <f>_xlfn.XLOOKUP(Table134526_79101120212223242526[[#This Row],[Name Surname]],Manpower!$C$4:$C$1048576,Manpower!$H$4:$H$1048576,"")</f>
        <v>Manpower</v>
      </c>
      <c r="I401" s="24" t="str">
        <f>_xlfn.XLOOKUP(Table134526_79101120212223242526[[#This Row],[Name Surname]],Manpower!$C$4:$C$1048576,Manpower!$H$4:$H$1048576,"")</f>
        <v>Manpower</v>
      </c>
      <c r="J401" s="21" t="s">
        <v>158</v>
      </c>
      <c r="K401" s="21" t="s">
        <v>26</v>
      </c>
      <c r="L401" s="21" t="s">
        <v>26</v>
      </c>
      <c r="M401" s="21" t="s">
        <v>55</v>
      </c>
      <c r="N401" s="29">
        <v>10</v>
      </c>
      <c r="R401" s="21" t="s">
        <v>227</v>
      </c>
    </row>
    <row r="402" spans="1:18" s="21" customFormat="1" ht="14.4" hidden="1">
      <c r="A402" s="33">
        <f>IF(C402="","",MAX($A$1:A401)+1)</f>
        <v>382</v>
      </c>
      <c r="B402" s="27" t="s">
        <v>141</v>
      </c>
      <c r="C402" s="23">
        <v>46084</v>
      </c>
      <c r="D402" s="28" t="str">
        <f>_xlfn.XLOOKUP(Table134526_79101120212223242526[[#This Row],[Name Surname]],Manpower!$C$4:$C$1048576,Manpower!$B$4:$B$1048576,"")</f>
        <v>Encogroup</v>
      </c>
      <c r="E402" s="23" t="s">
        <v>206</v>
      </c>
      <c r="F402" s="12">
        <f>_xlfn.XLOOKUP(Table134526_79101120212223242526[[#This Row],[Name Surname]],Manpower!C:C,Manpower!D:D,)</f>
        <v>140844848</v>
      </c>
      <c r="G402" s="28" t="str">
        <f>_xlfn.XLOOKUP(Table134526_79101120212223242526[[#This Row],[Name Surname]],Manpower!$C$4:$C$1048576,Manpower!$F$4:$F$1048576,"")</f>
        <v>Assistant/Helper</v>
      </c>
      <c r="H402" s="28" t="str">
        <f>_xlfn.XLOOKUP(Table134526_79101120212223242526[[#This Row],[Name Surname]],Manpower!$C$4:$C$1048576,Manpower!$H$4:$H$1048576,"")</f>
        <v>Manpower</v>
      </c>
      <c r="I402" s="24" t="str">
        <f>_xlfn.XLOOKUP(Table134526_79101120212223242526[[#This Row],[Name Surname]],Manpower!$C$4:$C$1048576,Manpower!$H$4:$H$1048576,"")</f>
        <v>Manpower</v>
      </c>
      <c r="J402" s="21" t="s">
        <v>143</v>
      </c>
      <c r="K402" s="21" t="s">
        <v>26</v>
      </c>
      <c r="L402" s="21" t="s">
        <v>144</v>
      </c>
      <c r="M402" s="21" t="s">
        <v>55</v>
      </c>
      <c r="N402" s="29">
        <v>10</v>
      </c>
      <c r="R402" s="21" t="s">
        <v>227</v>
      </c>
    </row>
    <row r="403" spans="1:18" s="21" customFormat="1" ht="14.4" hidden="1">
      <c r="A403" s="33">
        <f>IF(C403="","",MAX($A$1:A402)+1)</f>
        <v>383</v>
      </c>
      <c r="B403" s="27" t="s">
        <v>141</v>
      </c>
      <c r="C403" s="23">
        <v>46084</v>
      </c>
      <c r="D403" s="28" t="str">
        <f>_xlfn.XLOOKUP(Table134526_79101120212223242526[[#This Row],[Name Surname]],Manpower!$C$4:$C$1048576,Manpower!$B$4:$B$1048576,"")</f>
        <v>Encogroup</v>
      </c>
      <c r="E403" s="18" t="s">
        <v>207</v>
      </c>
      <c r="F403" s="12">
        <f>_xlfn.XLOOKUP(Table134526_79101120212223242526[[#This Row],[Name Surname]],Manpower!C:C,Manpower!D:D,)</f>
        <v>141359216</v>
      </c>
      <c r="G403" s="28" t="str">
        <f>_xlfn.XLOOKUP(Table134526_79101120212223242526[[#This Row],[Name Surname]],Manpower!$C$4:$C$1048576,Manpower!$F$4:$F$1048576,"")</f>
        <v>Electrician</v>
      </c>
      <c r="H403" s="28" t="str">
        <f>_xlfn.XLOOKUP(Table134526_79101120212223242526[[#This Row],[Name Surname]],Manpower!$C$4:$C$1048576,Manpower!$H$4:$H$1048576,"")</f>
        <v>Manpower</v>
      </c>
      <c r="I403" s="24" t="str">
        <f>_xlfn.XLOOKUP(Table134526_79101120212223242526[[#This Row],[Name Surname]],Manpower!$C$4:$C$1048576,Manpower!$H$4:$H$1048576,"")</f>
        <v>Manpower</v>
      </c>
      <c r="J403" s="21" t="s">
        <v>158</v>
      </c>
      <c r="K403" s="21" t="s">
        <v>26</v>
      </c>
      <c r="L403" s="21" t="s">
        <v>26</v>
      </c>
      <c r="M403" s="21" t="s">
        <v>55</v>
      </c>
      <c r="N403" s="29">
        <v>10</v>
      </c>
      <c r="R403" s="21" t="s">
        <v>227</v>
      </c>
    </row>
    <row r="404" spans="1:18" s="21" customFormat="1" ht="14.4" hidden="1">
      <c r="A404" s="33">
        <f>IF(C404="","",MAX($A$1:A403)+1)</f>
        <v>384</v>
      </c>
      <c r="B404" s="27" t="s">
        <v>141</v>
      </c>
      <c r="C404" s="23">
        <v>46084</v>
      </c>
      <c r="D404" s="28" t="str">
        <f>_xlfn.XLOOKUP(Table134526_79101120212223242526[[#This Row],[Name Surname]],Manpower!$C$4:$C$1048576,Manpower!$B$4:$B$1048576,"")</f>
        <v>Encogroup</v>
      </c>
      <c r="E404" s="23" t="s">
        <v>208</v>
      </c>
      <c r="F404" s="12">
        <f>_xlfn.XLOOKUP(Table134526_79101120212223242526[[#This Row],[Name Surname]],Manpower!C:C,Manpower!D:D,)</f>
        <v>140683399</v>
      </c>
      <c r="G404" s="28" t="str">
        <f>_xlfn.XLOOKUP(Table134526_79101120212223242526[[#This Row],[Name Surname]],Manpower!$C$4:$C$1048576,Manpower!$F$4:$F$1048576,"")</f>
        <v>Rigger</v>
      </c>
      <c r="H404" s="28" t="str">
        <f>_xlfn.XLOOKUP(Table134526_79101120212223242526[[#This Row],[Name Surname]],Manpower!$C$4:$C$1048576,Manpower!$H$4:$H$1048576,"")</f>
        <v>Manpower</v>
      </c>
      <c r="I404" s="24" t="str">
        <f>_xlfn.XLOOKUP(Table134526_79101120212223242526[[#This Row],[Name Surname]],Manpower!$C$4:$C$1048576,Manpower!$H$4:$H$1048576,"")</f>
        <v>Manpower</v>
      </c>
      <c r="J404" s="21" t="s">
        <v>143</v>
      </c>
      <c r="K404" s="21" t="s">
        <v>26</v>
      </c>
      <c r="L404" s="21" t="s">
        <v>144</v>
      </c>
      <c r="M404" s="21" t="s">
        <v>55</v>
      </c>
      <c r="N404" s="29">
        <v>10</v>
      </c>
      <c r="R404" s="21" t="s">
        <v>227</v>
      </c>
    </row>
    <row r="405" spans="1:18" s="21" customFormat="1" ht="14.4" hidden="1">
      <c r="A405" s="33">
        <f>IF(C405="","",MAX($A$1:A404)+1)</f>
        <v>385</v>
      </c>
      <c r="B405" s="27" t="s">
        <v>141</v>
      </c>
      <c r="C405" s="23">
        <v>46084</v>
      </c>
      <c r="D405" s="28" t="str">
        <f>_xlfn.XLOOKUP(Table134526_79101120212223242526[[#This Row],[Name Surname]],Manpower!$C$4:$C$1048576,Manpower!$B$4:$B$1048576,"")</f>
        <v>Encogroup</v>
      </c>
      <c r="E405" s="18" t="s">
        <v>209</v>
      </c>
      <c r="F405" s="12">
        <f>_xlfn.XLOOKUP(Table134526_79101120212223242526[[#This Row],[Name Surname]],Manpower!C:C,Manpower!D:D,)</f>
        <v>141365164</v>
      </c>
      <c r="G405" s="28" t="str">
        <f>_xlfn.XLOOKUP(Table134526_79101120212223242526[[#This Row],[Name Surname]],Manpower!$C$4:$C$1048576,Manpower!$F$4:$F$1048576,"")</f>
        <v>Helper</v>
      </c>
      <c r="H405" s="28" t="str">
        <f>_xlfn.XLOOKUP(Table134526_79101120212223242526[[#This Row],[Name Surname]],Manpower!$C$4:$C$1048576,Manpower!$H$4:$H$1048576,"")</f>
        <v>Manpower</v>
      </c>
      <c r="I405" s="24" t="str">
        <f>_xlfn.XLOOKUP(Table134526_79101120212223242526[[#This Row],[Name Surname]],Manpower!$C$4:$C$1048576,Manpower!$H$4:$H$1048576,"")</f>
        <v>Manpower</v>
      </c>
      <c r="J405" s="21" t="s">
        <v>143</v>
      </c>
      <c r="K405" s="21" t="s">
        <v>26</v>
      </c>
      <c r="L405" s="21" t="s">
        <v>144</v>
      </c>
      <c r="M405" s="21" t="s">
        <v>55</v>
      </c>
      <c r="N405" s="29">
        <v>10</v>
      </c>
      <c r="R405" s="21" t="s">
        <v>227</v>
      </c>
    </row>
    <row r="406" spans="1:18" s="21" customFormat="1" ht="14.4">
      <c r="A406" s="33">
        <f>IF(C406="","",MAX($A$1:A405)+1)</f>
        <v>386</v>
      </c>
      <c r="B406" s="27" t="s">
        <v>141</v>
      </c>
      <c r="C406" s="23">
        <v>46084</v>
      </c>
      <c r="D406" s="28" t="str">
        <f>_xlfn.XLOOKUP(Table134526_79101120212223242526[[#This Row],[Name Surname]],Manpower!$C$4:$C$1048576,Manpower!$B$4:$B$1048576,"")</f>
        <v>Bright Light</v>
      </c>
      <c r="E406" s="23" t="s">
        <v>210</v>
      </c>
      <c r="F406" s="12" t="e">
        <f>_xlfn.XLOOKUP(Table134526_79101120212223242526[[#This Row],[Name Surname]],Manpower!C:C,Manpower!D:D,)</f>
        <v>#N/A</v>
      </c>
      <c r="G406" s="28" t="str">
        <f>_xlfn.XLOOKUP(Table134526_79101120212223242526[[#This Row],[Name Surname]],Manpower!$C$4:$C$1048576,Manpower!$F$4:$F$1048576,"")</f>
        <v>Trailer</v>
      </c>
      <c r="H406" s="28" t="str">
        <f>_xlfn.XLOOKUP(Table134526_79101120212223242526[[#This Row],[Name Surname]],Manpower!$C$4:$C$1048576,Manpower!$H$4:$H$1048576,"")</f>
        <v>Equipment</v>
      </c>
      <c r="I406" s="24" t="str">
        <f>_xlfn.XLOOKUP(Table134526_79101120212223242526[[#This Row],[Name Surname]],Manpower!$C$4:$C$1048576,Manpower!$H$4:$H$1048576,"")</f>
        <v>Equipment</v>
      </c>
      <c r="J406" s="21" t="s">
        <v>143</v>
      </c>
      <c r="K406" s="21" t="s">
        <v>26</v>
      </c>
      <c r="L406" s="21" t="s">
        <v>144</v>
      </c>
      <c r="M406" s="21" t="s">
        <v>55</v>
      </c>
      <c r="N406" s="29">
        <v>10</v>
      </c>
      <c r="R406" s="21" t="s">
        <v>227</v>
      </c>
    </row>
    <row r="407" spans="1:18" s="21" customFormat="1" ht="14.4" hidden="1">
      <c r="A407" s="33">
        <f>IF(C407="","",MAX($A$1:A406)+1)</f>
        <v>387</v>
      </c>
      <c r="B407" s="27" t="s">
        <v>141</v>
      </c>
      <c r="C407" s="23">
        <v>46084</v>
      </c>
      <c r="D407" s="28" t="str">
        <f>_xlfn.XLOOKUP(Table134526_79101120212223242526[[#This Row],[Name Surname]],Manpower!$C$4:$C$1048576,Manpower!$B$4:$B$1048576,"")</f>
        <v>Encogroup</v>
      </c>
      <c r="E407" s="23" t="s">
        <v>211</v>
      </c>
      <c r="F407" s="12">
        <f>_xlfn.XLOOKUP(Table134526_79101120212223242526[[#This Row],[Name Surname]],Manpower!C:C,Manpower!D:D,)</f>
        <v>140477664</v>
      </c>
      <c r="G407" s="28" t="str">
        <f>_xlfn.XLOOKUP(Table134526_79101120212223242526[[#This Row],[Name Surname]],Manpower!$C$4:$C$1048576,Manpower!$F$4:$F$1048576,"")</f>
        <v>Junior HSE Officer</v>
      </c>
      <c r="H407" s="28" t="str">
        <f>_xlfn.XLOOKUP(Table134526_79101120212223242526[[#This Row],[Name Surname]],Manpower!$C$4:$C$1048576,Manpower!$H$4:$H$1048576,"")</f>
        <v>Manpower</v>
      </c>
      <c r="I407" s="24" t="str">
        <f>_xlfn.XLOOKUP(Table134526_79101120212223242526[[#This Row],[Name Surname]],Manpower!$C$4:$C$1048576,Manpower!$H$4:$H$1048576,"")</f>
        <v>Manpower</v>
      </c>
      <c r="J407" s="21" t="s">
        <v>143</v>
      </c>
      <c r="K407" s="21" t="s">
        <v>26</v>
      </c>
      <c r="L407" s="21" t="s">
        <v>144</v>
      </c>
      <c r="M407" s="21" t="s">
        <v>55</v>
      </c>
      <c r="N407" s="29">
        <v>10</v>
      </c>
      <c r="R407" s="21" t="s">
        <v>227</v>
      </c>
    </row>
    <row r="408" spans="1:18" s="21" customFormat="1" ht="14.4" hidden="1">
      <c r="A408" s="33">
        <f>IF(C408="","",MAX($A$1:A407)+1)</f>
        <v>388</v>
      </c>
      <c r="B408" s="27" t="s">
        <v>141</v>
      </c>
      <c r="C408" s="23">
        <v>46084</v>
      </c>
      <c r="D408" s="28" t="str">
        <f>_xlfn.XLOOKUP(Table134526_79101120212223242526[[#This Row],[Name Surname]],Manpower!$C$4:$C$1048576,Manpower!$B$4:$B$1048576,"")</f>
        <v>AL Omar International TRAD AND CONT</v>
      </c>
      <c r="E408" s="23" t="s">
        <v>212</v>
      </c>
      <c r="F408" s="12">
        <f>_xlfn.XLOOKUP(Table134526_79101120212223242526[[#This Row],[Name Surname]],Manpower!C:C,Manpower!D:D,)</f>
        <v>116676257</v>
      </c>
      <c r="G408" s="28" t="str">
        <f>_xlfn.XLOOKUP(Table134526_79101120212223242526[[#This Row],[Name Surname]],Manpower!$C$4:$C$1048576,Manpower!$F$4:$F$1048576,"")</f>
        <v>Scaffolder</v>
      </c>
      <c r="H408" s="28" t="str">
        <f>_xlfn.XLOOKUP(Table134526_79101120212223242526[[#This Row],[Name Surname]],Manpower!$C$4:$C$1048576,Manpower!$H$4:$H$1048576,"")</f>
        <v>Sub Contactor</v>
      </c>
      <c r="I408" s="24" t="str">
        <f>_xlfn.XLOOKUP(Table134526_79101120212223242526[[#This Row],[Name Surname]],Manpower!$C$4:$C$1048576,Manpower!$H$4:$H$1048576,"")</f>
        <v>Sub Contactor</v>
      </c>
      <c r="J408" s="21" t="s">
        <v>143</v>
      </c>
      <c r="K408" s="21" t="s">
        <v>26</v>
      </c>
      <c r="L408" s="21" t="s">
        <v>144</v>
      </c>
      <c r="M408" s="21" t="s">
        <v>55</v>
      </c>
      <c r="N408" s="29">
        <v>10</v>
      </c>
      <c r="R408" s="21" t="s">
        <v>227</v>
      </c>
    </row>
    <row r="409" spans="1:18" s="21" customFormat="1" ht="14.4" hidden="1">
      <c r="A409" s="33">
        <f>IF(C409="","",MAX($A$1:A408)+1)</f>
        <v>389</v>
      </c>
      <c r="B409" s="27" t="s">
        <v>141</v>
      </c>
      <c r="C409" s="23">
        <v>46084</v>
      </c>
      <c r="D409" s="28" t="str">
        <f>_xlfn.XLOOKUP(Table134526_79101120212223242526[[#This Row],[Name Surname]],Manpower!$C$4:$C$1048576,Manpower!$B$4:$B$1048576,"")</f>
        <v>Encogroup</v>
      </c>
      <c r="E409" s="23" t="s">
        <v>213</v>
      </c>
      <c r="F409" s="12">
        <f>_xlfn.XLOOKUP(Table134526_79101120212223242526[[#This Row],[Name Surname]],Manpower!C:C,Manpower!D:D,)</f>
        <v>140846698</v>
      </c>
      <c r="G409" s="28" t="str">
        <f>_xlfn.XLOOKUP(Table134526_79101120212223242526[[#This Row],[Name Surname]],Manpower!$C$4:$C$1048576,Manpower!$F$4:$F$1048576,"")</f>
        <v>Assistant/Helper</v>
      </c>
      <c r="H409" s="28" t="str">
        <f>_xlfn.XLOOKUP(Table134526_79101120212223242526[[#This Row],[Name Surname]],Manpower!$C$4:$C$1048576,Manpower!$H$4:$H$1048576,"")</f>
        <v>Manpower</v>
      </c>
      <c r="I409" s="24" t="str">
        <f>_xlfn.XLOOKUP(Table134526_79101120212223242526[[#This Row],[Name Surname]],Manpower!$C$4:$C$1048576,Manpower!$H$4:$H$1048576,"")</f>
        <v>Manpower</v>
      </c>
      <c r="J409" s="21" t="s">
        <v>143</v>
      </c>
      <c r="K409" s="21" t="s">
        <v>26</v>
      </c>
      <c r="L409" s="21" t="s">
        <v>144</v>
      </c>
      <c r="M409" s="21" t="s">
        <v>55</v>
      </c>
      <c r="N409" s="29">
        <v>10</v>
      </c>
      <c r="R409" s="21" t="s">
        <v>227</v>
      </c>
    </row>
    <row r="410" spans="1:18" s="21" customFormat="1" ht="14.4" hidden="1">
      <c r="A410" s="33">
        <f>IF(C410="","",MAX($A$1:A409)+1)</f>
        <v>390</v>
      </c>
      <c r="B410" s="27" t="s">
        <v>141</v>
      </c>
      <c r="C410" s="23">
        <v>46084</v>
      </c>
      <c r="D410" s="28" t="str">
        <f>_xlfn.XLOOKUP(Table134526_79101120212223242526[[#This Row],[Name Surname]],Manpower!$C$4:$C$1048576,Manpower!$B$4:$B$1048576,"")</f>
        <v>SARENS NASS</v>
      </c>
      <c r="E410" s="23" t="s">
        <v>214</v>
      </c>
      <c r="F410" s="12">
        <f>_xlfn.XLOOKUP(Table134526_79101120212223242526[[#This Row],[Name Surname]],Manpower!C:C,Manpower!D:D,)</f>
        <v>109957631</v>
      </c>
      <c r="G410" s="28" t="str">
        <f>_xlfn.XLOOKUP(Table134526_79101120212223242526[[#This Row],[Name Surname]],Manpower!$C$4:$C$1048576,Manpower!$F$4:$F$1048576,"")</f>
        <v>Crane Operator-130T Liebherr Crawler</v>
      </c>
      <c r="H410" s="28" t="s">
        <v>39</v>
      </c>
      <c r="I410" s="24" t="s">
        <v>39</v>
      </c>
      <c r="J410" s="21" t="s">
        <v>158</v>
      </c>
      <c r="K410" s="21" t="s">
        <v>26</v>
      </c>
      <c r="L410" s="21" t="s">
        <v>26</v>
      </c>
      <c r="M410" s="21" t="s">
        <v>55</v>
      </c>
      <c r="N410" s="29">
        <v>10</v>
      </c>
      <c r="R410" s="21" t="s">
        <v>227</v>
      </c>
    </row>
    <row r="411" spans="1:18" s="21" customFormat="1" ht="14.4" hidden="1">
      <c r="A411" s="33">
        <f>IF(C411="","",MAX($A$1:A410)+1)</f>
        <v>391</v>
      </c>
      <c r="B411" s="27" t="s">
        <v>141</v>
      </c>
      <c r="C411" s="23">
        <v>46084</v>
      </c>
      <c r="D411" s="28" t="str">
        <f>_xlfn.XLOOKUP(Table134526_79101120212223242526[[#This Row],[Name Surname]],Manpower!$C$4:$C$1048576,Manpower!$B$4:$B$1048576,"")</f>
        <v>Encogroup</v>
      </c>
      <c r="E411" s="23" t="s">
        <v>217</v>
      </c>
      <c r="F411" s="12">
        <f>_xlfn.XLOOKUP(Table134526_79101120212223242526[[#This Row],[Name Surname]],Manpower!C:C,Manpower!D:D,)</f>
        <v>140742177</v>
      </c>
      <c r="G411" s="28" t="str">
        <f>_xlfn.XLOOKUP(Table134526_79101120212223242526[[#This Row],[Name Surname]],Manpower!$C$4:$C$1048576,Manpower!$F$4:$F$1048576,"")</f>
        <v>Grinder</v>
      </c>
      <c r="H411" s="28" t="str">
        <f>_xlfn.XLOOKUP(Table134526_79101120212223242526[[#This Row],[Name Surname]],Manpower!$C$4:$C$1048576,Manpower!$H$4:$H$1048576,"")</f>
        <v>Manpower</v>
      </c>
      <c r="I411" s="24" t="str">
        <f>_xlfn.XLOOKUP(Table134526_79101120212223242526[[#This Row],[Name Surname]],Manpower!$C$4:$C$1048576,Manpower!$H$4:$H$1048576,"")</f>
        <v>Manpower</v>
      </c>
      <c r="J411" s="21" t="s">
        <v>143</v>
      </c>
      <c r="K411" s="21" t="s">
        <v>26</v>
      </c>
      <c r="L411" s="21" t="s">
        <v>144</v>
      </c>
      <c r="M411" s="21" t="s">
        <v>55</v>
      </c>
      <c r="N411" s="29">
        <v>10</v>
      </c>
      <c r="R411" s="21" t="s">
        <v>227</v>
      </c>
    </row>
    <row r="412" spans="1:18" s="21" customFormat="1" ht="14.4" hidden="1">
      <c r="A412" s="33">
        <f>IF(C412="","",MAX($A$1:A411)+1)</f>
        <v>392</v>
      </c>
      <c r="B412" s="27" t="s">
        <v>141</v>
      </c>
      <c r="C412" s="23">
        <v>46084</v>
      </c>
      <c r="D412" s="28" t="str">
        <f>_xlfn.XLOOKUP(Table134526_79101120212223242526[[#This Row],[Name Surname]],Manpower!$C$4:$C$1048576,Manpower!$B$4:$B$1048576,"")</f>
        <v>Encogroup</v>
      </c>
      <c r="E412" s="23" t="s">
        <v>218</v>
      </c>
      <c r="F412" s="12">
        <f>_xlfn.XLOOKUP(Table134526_79101120212223242526[[#This Row],[Name Surname]],Manpower!C:C,Manpower!D:D,)</f>
        <v>116853914</v>
      </c>
      <c r="G412" s="28" t="str">
        <f>_xlfn.XLOOKUP(Table134526_79101120212223242526[[#This Row],[Name Surname]],Manpower!$C$4:$C$1048576,Manpower!$F$4:$F$1048576,"")</f>
        <v>Electrical Supervisor</v>
      </c>
      <c r="H412" s="28" t="str">
        <f>_xlfn.XLOOKUP(Table134526_79101120212223242526[[#This Row],[Name Surname]],Manpower!$C$4:$C$1048576,Manpower!$H$4:$H$1048576,"")</f>
        <v>Manpower</v>
      </c>
      <c r="I412" s="24" t="str">
        <f>_xlfn.XLOOKUP(Table134526_79101120212223242526[[#This Row],[Name Surname]],Manpower!$C$4:$C$1048576,Manpower!$H$4:$H$1048576,"")</f>
        <v>Manpower</v>
      </c>
      <c r="J412" s="21" t="s">
        <v>143</v>
      </c>
      <c r="K412" s="21" t="s">
        <v>26</v>
      </c>
      <c r="L412" s="21" t="s">
        <v>144</v>
      </c>
      <c r="M412" s="21" t="s">
        <v>55</v>
      </c>
      <c r="N412" s="29">
        <v>10</v>
      </c>
      <c r="R412" s="21" t="s">
        <v>227</v>
      </c>
    </row>
    <row r="413" spans="1:18" s="21" customFormat="1" ht="14.4">
      <c r="A413" s="33">
        <f>IF(C413="","",MAX($A$1:A412)+1)</f>
        <v>393</v>
      </c>
      <c r="B413" s="27" t="s">
        <v>141</v>
      </c>
      <c r="C413" s="23">
        <v>46084</v>
      </c>
      <c r="D413" s="28" t="str">
        <f>_xlfn.XLOOKUP(Table134526_79101120212223242526[[#This Row],[Name Surname]],Manpower!$C$4:$C$1048576,Manpower!$B$4:$B$1048576,"")</f>
        <v>Encogroup</v>
      </c>
      <c r="E413" s="23" t="s">
        <v>219</v>
      </c>
      <c r="F413" s="12" t="e">
        <f>_xlfn.XLOOKUP(Table134526_79101120212223242526[[#This Row],[Name Surname]],Manpower!C:C,Manpower!D:D,)</f>
        <v>#N/A</v>
      </c>
      <c r="G413" s="28" t="str">
        <f>_xlfn.XLOOKUP(Table134526_79101120212223242526[[#This Row],[Name Surname]],Manpower!$C$4:$C$1048576,Manpower!$F$4:$F$1048576,"")</f>
        <v>TOWER LIGHT</v>
      </c>
      <c r="H413" s="28" t="str">
        <f>_xlfn.XLOOKUP(Table134526_79101120212223242526[[#This Row],[Name Surname]],Manpower!$C$4:$C$1048576,Manpower!$H$4:$H$1048576,"")</f>
        <v>Equipment</v>
      </c>
      <c r="I413" s="24" t="str">
        <f>_xlfn.XLOOKUP(Table134526_79101120212223242526[[#This Row],[Name Surname]],Manpower!$C$4:$C$1048576,Manpower!$H$4:$H$1048576,"")</f>
        <v>Equipment</v>
      </c>
      <c r="J413" s="21" t="s">
        <v>143</v>
      </c>
      <c r="K413" s="21" t="s">
        <v>26</v>
      </c>
      <c r="L413" s="21" t="s">
        <v>144</v>
      </c>
      <c r="M413" s="21" t="s">
        <v>55</v>
      </c>
      <c r="N413" s="29">
        <v>10</v>
      </c>
      <c r="R413" s="21" t="s">
        <v>227</v>
      </c>
    </row>
    <row r="414" spans="1:18" s="21" customFormat="1" ht="14.4">
      <c r="A414" s="33">
        <f>IF(C414="","",MAX($A$1:A413)+1)</f>
        <v>394</v>
      </c>
      <c r="B414" s="27" t="s">
        <v>141</v>
      </c>
      <c r="C414" s="23">
        <v>46084</v>
      </c>
      <c r="D414" s="28" t="str">
        <f>_xlfn.XLOOKUP(Table134526_79101120212223242526[[#This Row],[Name Surname]],Manpower!$C$4:$C$1048576,Manpower!$B$4:$B$1048576,"")</f>
        <v>Encogroup</v>
      </c>
      <c r="E414" s="23" t="s">
        <v>220</v>
      </c>
      <c r="F414" s="12" t="e">
        <f>_xlfn.XLOOKUP(Table134526_79101120212223242526[[#This Row],[Name Surname]],Manpower!C:C,Manpower!D:D,)</f>
        <v>#N/A</v>
      </c>
      <c r="G414" s="28" t="str">
        <f>_xlfn.XLOOKUP(Table134526_79101120212223242526[[#This Row],[Name Surname]],Manpower!$C$4:$C$1048576,Manpower!$F$4:$F$1048576,"")</f>
        <v>TOWER LIGHT</v>
      </c>
      <c r="H414" s="28" t="str">
        <f>_xlfn.XLOOKUP(Table134526_79101120212223242526[[#This Row],[Name Surname]],Manpower!$C$4:$C$1048576,Manpower!$H$4:$H$1048576,"")</f>
        <v>Equipment</v>
      </c>
      <c r="I414" s="24" t="str">
        <f>_xlfn.XLOOKUP(Table134526_79101120212223242526[[#This Row],[Name Surname]],Manpower!$C$4:$C$1048576,Manpower!$H$4:$H$1048576,"")</f>
        <v>Equipment</v>
      </c>
      <c r="J414" s="21" t="s">
        <v>143</v>
      </c>
      <c r="K414" s="21" t="s">
        <v>26</v>
      </c>
      <c r="L414" s="21" t="s">
        <v>144</v>
      </c>
      <c r="M414" s="21" t="s">
        <v>55</v>
      </c>
      <c r="N414" s="29">
        <v>10</v>
      </c>
      <c r="R414" s="21" t="s">
        <v>227</v>
      </c>
    </row>
    <row r="415" spans="1:18" s="21" customFormat="1" ht="14.4" hidden="1">
      <c r="A415" s="33">
        <f>IF(C415="","",MAX($A$1:A414)+1)</f>
        <v>395</v>
      </c>
      <c r="B415" s="27" t="s">
        <v>141</v>
      </c>
      <c r="C415" s="23">
        <v>46084</v>
      </c>
      <c r="D415" s="28" t="str">
        <f>_xlfn.XLOOKUP(Table134526_79101120212223242526[[#This Row],[Name Surname]],Manpower!$C$4:$C$1048576,Manpower!$B$4:$B$1048576,"")</f>
        <v>AL Omar International Tarde&amp;Contracting SPC</v>
      </c>
      <c r="E415" s="23" t="s">
        <v>221</v>
      </c>
      <c r="F415" s="12">
        <f>_xlfn.XLOOKUP(Table134526_79101120212223242526[[#This Row],[Name Surname]],Manpower!C:C,Manpower!D:D,)</f>
        <v>115122635</v>
      </c>
      <c r="G415" s="28" t="str">
        <f>_xlfn.XLOOKUP(Table134526_79101120212223242526[[#This Row],[Name Surname]],Manpower!$C$4:$C$1048576,Manpower!$F$4:$F$1048576,"")</f>
        <v>Scaffolder</v>
      </c>
      <c r="H415" s="28" t="str">
        <f>_xlfn.XLOOKUP(Table134526_79101120212223242526[[#This Row],[Name Surname]],Manpower!$C$4:$C$1048576,Manpower!$H$4:$H$1048576,"")</f>
        <v>Sub Contactor</v>
      </c>
      <c r="I415" s="24" t="str">
        <f>_xlfn.XLOOKUP(Table134526_79101120212223242526[[#This Row],[Name Surname]],Manpower!$C$4:$C$1048576,Manpower!$H$4:$H$1048576,"")</f>
        <v>Sub Contactor</v>
      </c>
      <c r="J415" s="21" t="s">
        <v>143</v>
      </c>
      <c r="K415" s="21" t="s">
        <v>26</v>
      </c>
      <c r="L415" s="21" t="s">
        <v>144</v>
      </c>
      <c r="M415" s="21" t="s">
        <v>55</v>
      </c>
      <c r="N415" s="29">
        <v>10</v>
      </c>
      <c r="R415" s="21" t="s">
        <v>227</v>
      </c>
    </row>
    <row r="416" spans="1:18" s="21" customFormat="1" ht="14.4" hidden="1">
      <c r="A416" s="33">
        <f>IF(C416="","",MAX($A$1:A415)+1)</f>
        <v>396</v>
      </c>
      <c r="B416" s="27" t="s">
        <v>141</v>
      </c>
      <c r="C416" s="23">
        <v>46084</v>
      </c>
      <c r="D416" s="28" t="str">
        <f>_xlfn.XLOOKUP(Table134526_79101120212223242526[[#This Row],[Name Surname]],Manpower!$C$4:$C$1048576,Manpower!$B$4:$B$1048576,"")</f>
        <v>Encogroup</v>
      </c>
      <c r="E416" s="23" t="s">
        <v>168</v>
      </c>
      <c r="F416" s="12">
        <f>_xlfn.XLOOKUP(Table134526_79101120212223242526[[#This Row],[Name Surname]],Manpower!C:C,Manpower!D:D,)</f>
        <v>137114773</v>
      </c>
      <c r="G416" s="28" t="str">
        <f>_xlfn.XLOOKUP(Table134526_79101120212223242526[[#This Row],[Name Surname]],Manpower!$C$4:$C$1048576,Manpower!$F$4:$F$1048576,"")</f>
        <v>Rigger</v>
      </c>
      <c r="H416" s="28" t="str">
        <f>_xlfn.XLOOKUP(Table134526_79101120212223242526[[#This Row],[Name Surname]],Manpower!$C$4:$C$1048576,Manpower!$H$4:$H$1048576,"")</f>
        <v>Manpower</v>
      </c>
      <c r="I416" s="24" t="str">
        <f>_xlfn.XLOOKUP(Table134526_79101120212223242526[[#This Row],[Name Surname]],Manpower!$C$4:$C$1048576,Manpower!$H$4:$H$1048576,"")</f>
        <v>Manpower</v>
      </c>
      <c r="J416" s="21" t="s">
        <v>158</v>
      </c>
      <c r="K416" s="21" t="s">
        <v>26</v>
      </c>
      <c r="L416" s="21" t="s">
        <v>26</v>
      </c>
      <c r="M416" s="21" t="s">
        <v>55</v>
      </c>
      <c r="N416" s="29">
        <v>10</v>
      </c>
      <c r="R416" s="21" t="s">
        <v>227</v>
      </c>
    </row>
    <row r="417" spans="1:18" s="21" customFormat="1" ht="14.4" hidden="1">
      <c r="A417" s="33">
        <f>IF(C417="","",MAX($A$1:A416)+1)</f>
        <v>397</v>
      </c>
      <c r="B417" s="27" t="s">
        <v>141</v>
      </c>
      <c r="C417" s="23">
        <v>46084</v>
      </c>
      <c r="D417" s="28" t="str">
        <f>_xlfn.XLOOKUP(Table134526_79101120212223242526[[#This Row],[Name Surname]],Manpower!$C$4:$C$1048576,Manpower!$B$4:$B$1048576,"")</f>
        <v>Encogroup</v>
      </c>
      <c r="E417" s="23" t="s">
        <v>222</v>
      </c>
      <c r="F417" s="12">
        <f>_xlfn.XLOOKUP(Table134526_79101120212223242526[[#This Row],[Name Surname]],Manpower!C:C,Manpower!D:D,)</f>
        <v>122082863</v>
      </c>
      <c r="G417" s="28" t="str">
        <f>_xlfn.XLOOKUP(Table134526_79101120212223242526[[#This Row],[Name Surname]],Manpower!$C$4:$C$1048576,Manpower!$F$4:$F$1048576,"")</f>
        <v>Grinder</v>
      </c>
      <c r="H417" s="28" t="str">
        <f>_xlfn.XLOOKUP(Table134526_79101120212223242526[[#This Row],[Name Surname]],Manpower!$C$4:$C$1048576,Manpower!$H$4:$H$1048576,"")</f>
        <v>Manpower</v>
      </c>
      <c r="I417" s="24" t="str">
        <f>_xlfn.XLOOKUP(Table134526_79101120212223242526[[#This Row],[Name Surname]],Manpower!$C$4:$C$1048576,Manpower!$H$4:$H$1048576,"")</f>
        <v>Manpower</v>
      </c>
      <c r="J417" s="21" t="s">
        <v>143</v>
      </c>
      <c r="K417" s="21" t="s">
        <v>26</v>
      </c>
      <c r="L417" s="21" t="s">
        <v>144</v>
      </c>
      <c r="M417" s="21" t="s">
        <v>55</v>
      </c>
      <c r="N417" s="29">
        <v>10</v>
      </c>
      <c r="R417" s="21" t="s">
        <v>227</v>
      </c>
    </row>
    <row r="418" spans="1:18" s="21" customFormat="1" ht="14.4" hidden="1">
      <c r="A418" s="33">
        <f>IF(C418="","",MAX($A$1:A417)+1)</f>
        <v>398</v>
      </c>
      <c r="B418" s="27" t="s">
        <v>141</v>
      </c>
      <c r="C418" s="23">
        <v>46084</v>
      </c>
      <c r="D418" s="28" t="str">
        <f>_xlfn.XLOOKUP(Table134526_79101120212223242526[[#This Row],[Name Surname]],Manpower!$C$4:$C$1048576,Manpower!$B$4:$B$1048576,"")</f>
        <v>Encogroup</v>
      </c>
      <c r="E418" s="23" t="s">
        <v>223</v>
      </c>
      <c r="F418" s="12">
        <f>_xlfn.XLOOKUP(Table134526_79101120212223242526[[#This Row],[Name Surname]],Manpower!C:C,Manpower!D:D,)</f>
        <v>140696989</v>
      </c>
      <c r="G418" s="28" t="str">
        <f>_xlfn.XLOOKUP(Table134526_79101120212223242526[[#This Row],[Name Surname]],Manpower!$C$4:$C$1048576,Manpower!$F$4:$F$1048576,"")</f>
        <v>Assistant/Helper</v>
      </c>
      <c r="H418" s="28" t="str">
        <f>_xlfn.XLOOKUP(Table134526_79101120212223242526[[#This Row],[Name Surname]],Manpower!$C$4:$C$1048576,Manpower!$H$4:$H$1048576,"")</f>
        <v>Manpower</v>
      </c>
      <c r="I418" s="24" t="str">
        <f>_xlfn.XLOOKUP(Table134526_79101120212223242526[[#This Row],[Name Surname]],Manpower!$C$4:$C$1048576,Manpower!$H$4:$H$1048576,"")</f>
        <v>Manpower</v>
      </c>
      <c r="J418" s="21" t="s">
        <v>143</v>
      </c>
      <c r="K418" s="21" t="s">
        <v>26</v>
      </c>
      <c r="L418" s="21" t="s">
        <v>144</v>
      </c>
      <c r="M418" s="21" t="s">
        <v>55</v>
      </c>
      <c r="N418" s="29">
        <v>10</v>
      </c>
      <c r="R418" s="21" t="s">
        <v>227</v>
      </c>
    </row>
    <row r="419" spans="1:18" s="21" customFormat="1" ht="14.4" hidden="1">
      <c r="A419" s="33">
        <f>IF(C419="","",MAX($A$1:A418)+1)</f>
        <v>399</v>
      </c>
      <c r="B419" s="27" t="s">
        <v>141</v>
      </c>
      <c r="C419" s="23">
        <v>46084</v>
      </c>
      <c r="D419" s="28" t="str">
        <f>_xlfn.XLOOKUP(Table134526_79101120212223242526[[#This Row],[Name Surname]],Manpower!$C$4:$C$1048576,Manpower!$B$4:$B$1048576,"")</f>
        <v>Encogroup</v>
      </c>
      <c r="E419" s="23" t="s">
        <v>224</v>
      </c>
      <c r="F419" s="12">
        <f>_xlfn.XLOOKUP(Table134526_79101120212223242526[[#This Row],[Name Surname]],Manpower!C:C,Manpower!D:D,)</f>
        <v>141365094</v>
      </c>
      <c r="G419" s="28" t="str">
        <f>_xlfn.XLOOKUP(Table134526_79101120212223242526[[#This Row],[Name Surname]],Manpower!$C$4:$C$1048576,Manpower!$F$4:$F$1048576,"")</f>
        <v>Helper</v>
      </c>
      <c r="H419" s="28" t="str">
        <f>_xlfn.XLOOKUP(Table134526_79101120212223242526[[#This Row],[Name Surname]],Manpower!$C$4:$C$1048576,Manpower!$H$4:$H$1048576,"")</f>
        <v>Manpower</v>
      </c>
      <c r="I419" s="24" t="str">
        <f>_xlfn.XLOOKUP(Table134526_79101120212223242526[[#This Row],[Name Surname]],Manpower!$C$4:$C$1048576,Manpower!$H$4:$H$1048576,"")</f>
        <v>Manpower</v>
      </c>
      <c r="J419" s="21" t="s">
        <v>143</v>
      </c>
      <c r="K419" s="21" t="s">
        <v>26</v>
      </c>
      <c r="L419" s="21" t="s">
        <v>144</v>
      </c>
      <c r="M419" s="21" t="s">
        <v>55</v>
      </c>
      <c r="N419" s="29">
        <v>10</v>
      </c>
      <c r="R419" s="21" t="s">
        <v>227</v>
      </c>
    </row>
    <row r="420" spans="1:18" s="21" customFormat="1" ht="14.4" hidden="1">
      <c r="A420" s="33">
        <f>IF(C420="","",MAX($A$1:A419)+1)</f>
        <v>400</v>
      </c>
      <c r="B420" s="27" t="s">
        <v>141</v>
      </c>
      <c r="C420" s="23">
        <v>46084</v>
      </c>
      <c r="D420" s="28" t="str">
        <f>_xlfn.XLOOKUP(Table134526_79101120212223242526[[#This Row],[Name Surname]],Manpower!$C$4:$C$1048576,Manpower!$B$4:$B$1048576,"")</f>
        <v xml:space="preserve">FAL Transport </v>
      </c>
      <c r="E420" s="23" t="s">
        <v>225</v>
      </c>
      <c r="F420" s="12">
        <f>_xlfn.XLOOKUP(Table134526_79101120212223242526[[#This Row],[Name Surname]],Manpower!C:C,Manpower!D:D,)</f>
        <v>124233837</v>
      </c>
      <c r="G420" s="28" t="str">
        <f>_xlfn.XLOOKUP(Table134526_79101120212223242526[[#This Row],[Name Surname]],Manpower!$C$4:$C$1048576,Manpower!$F$4:$F$1048576,"")</f>
        <v>Trailer Driver</v>
      </c>
      <c r="H420" s="28" t="str">
        <f>_xlfn.XLOOKUP(Table134526_79101120212223242526[[#This Row],[Name Surname]],Manpower!$C$4:$C$1048576,Manpower!$H$4:$H$1048576,"")</f>
        <v>Sub Contactor</v>
      </c>
      <c r="I420" s="24" t="str">
        <f>_xlfn.XLOOKUP(Table134526_79101120212223242526[[#This Row],[Name Surname]],Manpower!$C$4:$C$1048576,Manpower!$H$4:$H$1048576,"")</f>
        <v>Sub Contactor</v>
      </c>
      <c r="J420" s="21" t="s">
        <v>143</v>
      </c>
      <c r="K420" s="21" t="s">
        <v>26</v>
      </c>
      <c r="L420" s="21" t="s">
        <v>144</v>
      </c>
      <c r="M420" s="21" t="s">
        <v>55</v>
      </c>
      <c r="N420" s="29">
        <v>10</v>
      </c>
      <c r="R420" s="21" t="s">
        <v>227</v>
      </c>
    </row>
    <row r="421" spans="1:18" s="21" customFormat="1" ht="14.4">
      <c r="A421" s="33">
        <f>IF(C421="","",MAX($A$1:A420)+1)</f>
        <v>401</v>
      </c>
      <c r="B421" s="22" t="s">
        <v>19</v>
      </c>
      <c r="C421" s="23">
        <v>46085</v>
      </c>
      <c r="D421" s="28" t="str">
        <f>_xlfn.XLOOKUP(Table134526_79101120212223242526[[#This Row],[Name Surname]],Manpower!$C$4:$C$1048576,Manpower!$B$4:$B$1048576,"")</f>
        <v>Riyan Al Khaleej</v>
      </c>
      <c r="E421" s="23" t="s">
        <v>20</v>
      </c>
      <c r="F421" s="12" t="e">
        <f>_xlfn.XLOOKUP(Table134526_79101120212223242526[[#This Row],[Name Surname]],Manpower!C:C,Manpower!D:D,)</f>
        <v>#N/A</v>
      </c>
      <c r="G421" s="28" t="str">
        <f>_xlfn.XLOOKUP(Table134526_79101120212223242526[[#This Row],[Name Surname]],Manpower!$C$4:$C$1048576,Manpower!$F$4:$F$1048576,"")</f>
        <v>100T Telescopic Crane</v>
      </c>
      <c r="H421" s="28" t="str">
        <f>_xlfn.XLOOKUP(Table134526_79101120212223242526[[#This Row],[Name Surname]],Manpower!$C$4:$C$1048576,Manpower!$H$4:$H$1048576,"")</f>
        <v>Equipment</v>
      </c>
      <c r="I421" s="24" t="str">
        <f>_xlfn.XLOOKUP(Table134526_79101120212223242526[[#This Row],[Name Surname]],Manpower!$C$4:$C$1048576,Manpower!$H$4:$H$1048576,"")</f>
        <v>Equipment</v>
      </c>
      <c r="M421" s="21" t="s">
        <v>55</v>
      </c>
      <c r="N421" s="29">
        <v>10</v>
      </c>
      <c r="R421" s="21" t="s">
        <v>227</v>
      </c>
    </row>
    <row r="422" spans="1:18" s="21" customFormat="1" ht="14.4" hidden="1">
      <c r="A422" s="33">
        <f>IF(C422="","",MAX($A$1:A421)+1)</f>
        <v>402</v>
      </c>
      <c r="B422" s="22" t="s">
        <v>19</v>
      </c>
      <c r="C422" s="23">
        <v>46085</v>
      </c>
      <c r="D422" s="28" t="str">
        <f>_xlfn.XLOOKUP(Table134526_79101120212223242526[[#This Row],[Name Surname]],Manpower!$C$4:$C$1048576,Manpower!$B$4:$B$1048576,"")</f>
        <v>Encogroup</v>
      </c>
      <c r="E422" s="21" t="s">
        <v>27</v>
      </c>
      <c r="F422" s="12">
        <f>_xlfn.XLOOKUP(Table134526_79101120212223242526[[#This Row],[Name Surname]],Manpower!C:C,Manpower!D:D,)</f>
        <v>127414586</v>
      </c>
      <c r="G422" s="28" t="str">
        <f>_xlfn.XLOOKUP(Table134526_79101120212223242526[[#This Row],[Name Surname]],Manpower!$C$4:$C$1048576,Manpower!$F$4:$F$1048576,"")</f>
        <v>Electrician</v>
      </c>
      <c r="H422" s="28" t="str">
        <f>_xlfn.XLOOKUP(Table134526_79101120212223242526[[#This Row],[Name Surname]],Manpower!$C$4:$C$1048576,Manpower!$H$4:$H$1048576,"")</f>
        <v>Manpower</v>
      </c>
      <c r="I422" s="24" t="str">
        <f>_xlfn.XLOOKUP(Table134526_79101120212223242526[[#This Row],[Name Surname]],Manpower!$C$4:$C$1048576,Manpower!$H$4:$H$1048576,"")</f>
        <v>Manpower</v>
      </c>
      <c r="J422" s="21" t="s">
        <v>21</v>
      </c>
      <c r="K422" s="21" t="s">
        <v>22</v>
      </c>
      <c r="L422" s="21" t="s">
        <v>23</v>
      </c>
      <c r="M422" s="21" t="s">
        <v>55</v>
      </c>
      <c r="N422" s="29">
        <v>5</v>
      </c>
      <c r="R422" s="21" t="s">
        <v>227</v>
      </c>
    </row>
    <row r="423" spans="1:18" s="21" customFormat="1" ht="14.4" hidden="1">
      <c r="A423" s="33">
        <f>IF(C423="","",MAX($A$1:A422)+1)</f>
        <v>403</v>
      </c>
      <c r="B423" s="22" t="s">
        <v>19</v>
      </c>
      <c r="C423" s="23">
        <v>46085</v>
      </c>
      <c r="D423" s="28" t="str">
        <f>_xlfn.XLOOKUP(Table134526_79101120212223242526[[#This Row],[Name Surname]],Manpower!$C$4:$C$1048576,Manpower!$B$4:$B$1048576,"")</f>
        <v>Encogroup</v>
      </c>
      <c r="E423" s="21" t="s">
        <v>29</v>
      </c>
      <c r="F423" s="12">
        <f>_xlfn.XLOOKUP(Table134526_79101120212223242526[[#This Row],[Name Surname]],Manpower!C:C,Manpower!D:D,)</f>
        <v>127331574</v>
      </c>
      <c r="G423" s="28" t="str">
        <f>_xlfn.XLOOKUP(Table134526_79101120212223242526[[#This Row],[Name Surname]],Manpower!$C$4:$C$1048576,Manpower!$F$4:$F$1048576,"")</f>
        <v>Permit Receiver</v>
      </c>
      <c r="H423" s="28" t="str">
        <f>_xlfn.XLOOKUP(Table134526_79101120212223242526[[#This Row],[Name Surname]],Manpower!$C$4:$C$1048576,Manpower!$H$4:$H$1048576,"")</f>
        <v>Manpower</v>
      </c>
      <c r="I423" s="24" t="str">
        <f>_xlfn.XLOOKUP(Table134526_79101120212223242526[[#This Row],[Name Surname]],Manpower!$C$4:$C$1048576,Manpower!$H$4:$H$1048576,"")</f>
        <v>Manpower</v>
      </c>
      <c r="J423" s="21" t="s">
        <v>21</v>
      </c>
      <c r="K423" s="21" t="s">
        <v>22</v>
      </c>
      <c r="L423" s="21" t="s">
        <v>23</v>
      </c>
      <c r="M423" s="21" t="s">
        <v>55</v>
      </c>
      <c r="N423" s="29">
        <v>10</v>
      </c>
      <c r="R423" s="21" t="s">
        <v>227</v>
      </c>
    </row>
    <row r="424" spans="1:18" s="21" customFormat="1" ht="14.4" hidden="1">
      <c r="A424" s="33">
        <f>IF(C424="","",MAX($A$1:A423)+1)</f>
        <v>404</v>
      </c>
      <c r="B424" s="22" t="s">
        <v>19</v>
      </c>
      <c r="C424" s="23">
        <v>46085</v>
      </c>
      <c r="D424" s="28" t="str">
        <f>_xlfn.XLOOKUP(Table134526_79101120212223242526[[#This Row],[Name Surname]],Manpower!$C$4:$C$1048576,Manpower!$B$4:$B$1048576,"")</f>
        <v>Encogroup</v>
      </c>
      <c r="E424" s="21" t="s">
        <v>30</v>
      </c>
      <c r="F424" s="12">
        <f>_xlfn.XLOOKUP(Table134526_79101120212223242526[[#This Row],[Name Surname]],Manpower!C:C,Manpower!D:D,)</f>
        <v>116589569</v>
      </c>
      <c r="G424" s="28" t="str">
        <f>_xlfn.XLOOKUP(Table134526_79101120212223242526[[#This Row],[Name Surname]],Manpower!$C$4:$C$1048576,Manpower!$F$4:$F$1048576,"")</f>
        <v>Mechanical Engineer</v>
      </c>
      <c r="H424" s="28" t="str">
        <f>_xlfn.XLOOKUP(Table134526_79101120212223242526[[#This Row],[Name Surname]],Manpower!$C$4:$C$1048576,Manpower!$H$4:$H$1048576,"")</f>
        <v>Manpower</v>
      </c>
      <c r="I424" s="24" t="str">
        <f>_xlfn.XLOOKUP(Table134526_79101120212223242526[[#This Row],[Name Surname]],Manpower!$C$4:$C$1048576,Manpower!$H$4:$H$1048576,"")</f>
        <v>Manpower</v>
      </c>
      <c r="J424" s="21" t="s">
        <v>21</v>
      </c>
      <c r="K424" s="21" t="s">
        <v>22</v>
      </c>
      <c r="L424" s="21" t="s">
        <v>23</v>
      </c>
      <c r="M424" s="21" t="s">
        <v>55</v>
      </c>
      <c r="N424" s="29">
        <v>10</v>
      </c>
      <c r="R424" s="21" t="s">
        <v>227</v>
      </c>
    </row>
    <row r="425" spans="1:18" s="21" customFormat="1" ht="14.4" hidden="1">
      <c r="A425" s="33">
        <f>IF(C425="","",MAX($A$1:A424)+1)</f>
        <v>405</v>
      </c>
      <c r="B425" s="22" t="s">
        <v>19</v>
      </c>
      <c r="C425" s="23">
        <v>46085</v>
      </c>
      <c r="D425" s="28" t="str">
        <f>_xlfn.XLOOKUP(Table134526_79101120212223242526[[#This Row],[Name Surname]],Manpower!$C$4:$C$1048576,Manpower!$B$4:$B$1048576,"")</f>
        <v>Encogroup</v>
      </c>
      <c r="E425" s="21" t="s">
        <v>31</v>
      </c>
      <c r="F425" s="12">
        <f>_xlfn.XLOOKUP(Table134526_79101120212223242526[[#This Row],[Name Surname]],Manpower!C:C,Manpower!D:D,)</f>
        <v>99596058</v>
      </c>
      <c r="G425" s="28" t="str">
        <f>_xlfn.XLOOKUP(Table134526_79101120212223242526[[#This Row],[Name Surname]],Manpower!$C$4:$C$1048576,Manpower!$F$4:$F$1048576,"")</f>
        <v>HSE Officer</v>
      </c>
      <c r="H425" s="28" t="str">
        <f>_xlfn.XLOOKUP(Table134526_79101120212223242526[[#This Row],[Name Surname]],Manpower!$C$4:$C$1048576,Manpower!$H$4:$H$1048576,"")</f>
        <v>Manpower</v>
      </c>
      <c r="I425" s="24" t="str">
        <f>_xlfn.XLOOKUP(Table134526_79101120212223242526[[#This Row],[Name Surname]],Manpower!$C$4:$C$1048576,Manpower!$H$4:$H$1048576,"")</f>
        <v>Manpower</v>
      </c>
      <c r="J425" s="21" t="s">
        <v>21</v>
      </c>
      <c r="K425" s="21" t="s">
        <v>22</v>
      </c>
      <c r="L425" s="21" t="s">
        <v>23</v>
      </c>
      <c r="M425" s="21" t="s">
        <v>55</v>
      </c>
      <c r="N425" s="29">
        <v>10</v>
      </c>
      <c r="R425" s="21" t="s">
        <v>227</v>
      </c>
    </row>
    <row r="426" spans="1:18" s="21" customFormat="1" ht="14.4" hidden="1">
      <c r="A426" s="33">
        <f>IF(C426="","",MAX($A$1:A425)+1)</f>
        <v>406</v>
      </c>
      <c r="B426" s="22" t="s">
        <v>19</v>
      </c>
      <c r="C426" s="23">
        <v>46085</v>
      </c>
      <c r="D426" s="28" t="str">
        <f>_xlfn.XLOOKUP(Table134526_79101120212223242526[[#This Row],[Name Surname]],Manpower!$C$4:$C$1048576,Manpower!$B$4:$B$1048576,"")</f>
        <v>Encogroup</v>
      </c>
      <c r="E426" s="21" t="s">
        <v>32</v>
      </c>
      <c r="F426" s="12">
        <f>_xlfn.XLOOKUP(Table134526_79101120212223242526[[#This Row],[Name Surname]],Manpower!C:C,Manpower!D:D,)</f>
        <v>140697039</v>
      </c>
      <c r="G426" s="28" t="str">
        <f>_xlfn.XLOOKUP(Table134526_79101120212223242526[[#This Row],[Name Surname]],Manpower!$C$4:$C$1048576,Manpower!$F$4:$F$1048576,"")</f>
        <v>Fitter/Erector</v>
      </c>
      <c r="H426" s="28" t="str">
        <f>_xlfn.XLOOKUP(Table134526_79101120212223242526[[#This Row],[Name Surname]],Manpower!$C$4:$C$1048576,Manpower!$H$4:$H$1048576,"")</f>
        <v>Manpower</v>
      </c>
      <c r="I426" s="24" t="str">
        <f>_xlfn.XLOOKUP(Table134526_79101120212223242526[[#This Row],[Name Surname]],Manpower!$C$4:$C$1048576,Manpower!$H$4:$H$1048576,"")</f>
        <v>Manpower</v>
      </c>
      <c r="J426" s="21" t="s">
        <v>21</v>
      </c>
      <c r="K426" s="21" t="s">
        <v>22</v>
      </c>
      <c r="L426" s="21" t="s">
        <v>23</v>
      </c>
      <c r="M426" s="21" t="s">
        <v>55</v>
      </c>
      <c r="N426" s="29">
        <v>10</v>
      </c>
      <c r="R426" s="21" t="s">
        <v>227</v>
      </c>
    </row>
    <row r="427" spans="1:18" s="21" customFormat="1" ht="14.4" hidden="1">
      <c r="A427" s="33">
        <f>IF(C427="","",MAX($A$1:A426)+1)</f>
        <v>407</v>
      </c>
      <c r="B427" s="22" t="s">
        <v>19</v>
      </c>
      <c r="C427" s="23">
        <v>46085</v>
      </c>
      <c r="D427" s="28" t="str">
        <f>_xlfn.XLOOKUP(Table134526_79101120212223242526[[#This Row],[Name Surname]],Manpower!$C$4:$C$1048576,Manpower!$B$4:$B$1048576,"")</f>
        <v>Encogroup</v>
      </c>
      <c r="E427" s="21" t="s">
        <v>33</v>
      </c>
      <c r="F427" s="12">
        <f>_xlfn.XLOOKUP(Table134526_79101120212223242526[[#This Row],[Name Surname]],Manpower!C:C,Manpower!D:D,)</f>
        <v>124565057</v>
      </c>
      <c r="G427" s="28" t="str">
        <f>_xlfn.XLOOKUP(Table134526_79101120212223242526[[#This Row],[Name Surname]],Manpower!$C$4:$C$1048576,Manpower!$F$4:$F$1048576,"")</f>
        <v>Fitter/Erector</v>
      </c>
      <c r="H427" s="28" t="str">
        <f>_xlfn.XLOOKUP(Table134526_79101120212223242526[[#This Row],[Name Surname]],Manpower!$C$4:$C$1048576,Manpower!$H$4:$H$1048576,"")</f>
        <v>Manpower</v>
      </c>
      <c r="I427" s="24" t="str">
        <f>_xlfn.XLOOKUP(Table134526_79101120212223242526[[#This Row],[Name Surname]],Manpower!$C$4:$C$1048576,Manpower!$H$4:$H$1048576,"")</f>
        <v>Manpower</v>
      </c>
      <c r="J427" s="21" t="s">
        <v>21</v>
      </c>
      <c r="K427" s="21" t="s">
        <v>22</v>
      </c>
      <c r="L427" s="21" t="s">
        <v>23</v>
      </c>
      <c r="M427" s="21" t="s">
        <v>55</v>
      </c>
      <c r="N427" s="29">
        <v>10</v>
      </c>
      <c r="R427" s="21" t="s">
        <v>227</v>
      </c>
    </row>
    <row r="428" spans="1:18" s="21" customFormat="1" ht="14.4" hidden="1">
      <c r="A428" s="33">
        <f>IF(C428="","",MAX($A$1:A427)+1)</f>
        <v>408</v>
      </c>
      <c r="B428" s="22" t="s">
        <v>19</v>
      </c>
      <c r="C428" s="23">
        <v>46085</v>
      </c>
      <c r="D428" s="28" t="str">
        <f>_xlfn.XLOOKUP(Table134526_79101120212223242526[[#This Row],[Name Surname]],Manpower!$C$4:$C$1048576,Manpower!$B$4:$B$1048576,"")</f>
        <v>Encogroup</v>
      </c>
      <c r="E428" s="21" t="s">
        <v>34</v>
      </c>
      <c r="F428" s="12">
        <f>_xlfn.XLOOKUP(Table134526_79101120212223242526[[#This Row],[Name Surname]],Manpower!C:C,Manpower!D:D,)</f>
        <v>141365023</v>
      </c>
      <c r="G428" s="28" t="str">
        <f>_xlfn.XLOOKUP(Table134526_79101120212223242526[[#This Row],[Name Surname]],Manpower!$C$4:$C$1048576,Manpower!$F$4:$F$1048576,"")</f>
        <v>Grinder</v>
      </c>
      <c r="H428" s="28" t="str">
        <f>_xlfn.XLOOKUP(Table134526_79101120212223242526[[#This Row],[Name Surname]],Manpower!$C$4:$C$1048576,Manpower!$H$4:$H$1048576,"")</f>
        <v>Manpower</v>
      </c>
      <c r="I428" s="24" t="str">
        <f>_xlfn.XLOOKUP(Table134526_79101120212223242526[[#This Row],[Name Surname]],Manpower!$C$4:$C$1048576,Manpower!$H$4:$H$1048576,"")</f>
        <v>Manpower</v>
      </c>
      <c r="J428" s="21" t="s">
        <v>21</v>
      </c>
      <c r="K428" s="21" t="s">
        <v>22</v>
      </c>
      <c r="L428" s="21" t="s">
        <v>23</v>
      </c>
      <c r="M428" s="21" t="s">
        <v>55</v>
      </c>
      <c r="N428" s="29">
        <v>10</v>
      </c>
      <c r="R428" s="21" t="s">
        <v>227</v>
      </c>
    </row>
    <row r="429" spans="1:18" s="21" customFormat="1" ht="14.4" hidden="1">
      <c r="A429" s="33">
        <f>IF(C429="","",MAX($A$1:A428)+1)</f>
        <v>409</v>
      </c>
      <c r="B429" s="22" t="s">
        <v>19</v>
      </c>
      <c r="C429" s="23">
        <v>46085</v>
      </c>
      <c r="D429" s="28" t="str">
        <f>_xlfn.XLOOKUP(Table134526_79101120212223242526[[#This Row],[Name Surname]],Manpower!$C$4:$C$1048576,Manpower!$B$4:$B$1048576,"")</f>
        <v>AL Omar International TRAD AND CONT</v>
      </c>
      <c r="E429" s="21" t="s">
        <v>36</v>
      </c>
      <c r="F429" s="12">
        <f>_xlfn.XLOOKUP(Table134526_79101120212223242526[[#This Row],[Name Surname]],Manpower!C:C,Manpower!D:D,)</f>
        <v>114929202</v>
      </c>
      <c r="G429" s="28" t="str">
        <f>_xlfn.XLOOKUP(Table134526_79101120212223242526[[#This Row],[Name Surname]],Manpower!$C$4:$C$1048576,Manpower!$F$4:$F$1048576,"")</f>
        <v>RIgger</v>
      </c>
      <c r="H429" s="28" t="str">
        <f>_xlfn.XLOOKUP(Table134526_79101120212223242526[[#This Row],[Name Surname]],Manpower!$C$4:$C$1048576,Manpower!$H$4:$H$1048576,"")</f>
        <v>Sub Contactor</v>
      </c>
      <c r="I429" s="24" t="str">
        <f>_xlfn.XLOOKUP(Table134526_79101120212223242526[[#This Row],[Name Surname]],Manpower!$C$4:$C$1048576,Manpower!$H$4:$H$1048576,"")</f>
        <v>Sub Contactor</v>
      </c>
      <c r="J429" s="21" t="s">
        <v>21</v>
      </c>
      <c r="K429" s="21" t="s">
        <v>22</v>
      </c>
      <c r="L429" s="21" t="s">
        <v>23</v>
      </c>
      <c r="M429" s="21" t="s">
        <v>55</v>
      </c>
      <c r="N429" s="29">
        <v>10</v>
      </c>
      <c r="R429" s="21" t="s">
        <v>227</v>
      </c>
    </row>
    <row r="430" spans="1:18" s="21" customFormat="1" ht="14.4" hidden="1">
      <c r="A430" s="33">
        <f>IF(C430="","",MAX($A$1:A429)+1)</f>
        <v>410</v>
      </c>
      <c r="B430" s="22" t="s">
        <v>19</v>
      </c>
      <c r="C430" s="23">
        <v>46085</v>
      </c>
      <c r="D430" s="28" t="str">
        <f>_xlfn.XLOOKUP(Table134526_79101120212223242526[[#This Row],[Name Surname]],Manpower!$C$4:$C$1048576,Manpower!$B$4:$B$1048576,"")</f>
        <v>Encogroup</v>
      </c>
      <c r="E430" s="21" t="s">
        <v>37</v>
      </c>
      <c r="F430" s="12">
        <f>_xlfn.XLOOKUP(Table134526_79101120212223242526[[#This Row],[Name Surname]],Manpower!C:C,Manpower!D:D,)</f>
        <v>140742088</v>
      </c>
      <c r="G430" s="28" t="str">
        <f>_xlfn.XLOOKUP(Table134526_79101120212223242526[[#This Row],[Name Surname]],Manpower!$C$4:$C$1048576,Manpower!$F$4:$F$1048576,"")</f>
        <v>Fitter/Erector</v>
      </c>
      <c r="H430" s="28" t="str">
        <f>_xlfn.XLOOKUP(Table134526_79101120212223242526[[#This Row],[Name Surname]],Manpower!$C$4:$C$1048576,Manpower!$H$4:$H$1048576,"")</f>
        <v>Manpower</v>
      </c>
      <c r="I430" s="24" t="str">
        <f>_xlfn.XLOOKUP(Table134526_79101120212223242526[[#This Row],[Name Surname]],Manpower!$C$4:$C$1048576,Manpower!$H$4:$H$1048576,"")</f>
        <v>Manpower</v>
      </c>
      <c r="J430" s="21" t="s">
        <v>21</v>
      </c>
      <c r="K430" s="21" t="s">
        <v>22</v>
      </c>
      <c r="L430" s="21" t="s">
        <v>23</v>
      </c>
      <c r="M430" s="21" t="s">
        <v>55</v>
      </c>
      <c r="N430" s="29">
        <v>10</v>
      </c>
      <c r="R430" s="21" t="s">
        <v>227</v>
      </c>
    </row>
    <row r="431" spans="1:18" s="21" customFormat="1" ht="14.4" hidden="1">
      <c r="A431" s="33">
        <f>IF(C431="","",MAX($A$1:A430)+1)</f>
        <v>411</v>
      </c>
      <c r="B431" s="22" t="s">
        <v>19</v>
      </c>
      <c r="C431" s="23">
        <v>46085</v>
      </c>
      <c r="D431" s="28" t="str">
        <f>_xlfn.XLOOKUP(Table134526_79101120212223242526[[#This Row],[Name Surname]],Manpower!$C$4:$C$1048576,Manpower!$B$4:$B$1048576,"")</f>
        <v>Rial Al Khaleej</v>
      </c>
      <c r="E431" s="21" t="s">
        <v>38</v>
      </c>
      <c r="F431" s="12">
        <f>_xlfn.XLOOKUP(Table134526_79101120212223242526[[#This Row],[Name Surname]],Manpower!C:C,Manpower!D:D,)</f>
        <v>98845403</v>
      </c>
      <c r="G431" s="28" t="str">
        <f>_xlfn.XLOOKUP(Table134526_79101120212223242526[[#This Row],[Name Surname]],Manpower!$C$4:$C$1048576,Manpower!$F$4:$F$1048576,"")</f>
        <v>Crane Operator-100T Zoomlion Telescopic</v>
      </c>
      <c r="H431" s="28" t="s">
        <v>39</v>
      </c>
      <c r="I431" s="24" t="s">
        <v>39</v>
      </c>
      <c r="J431" s="21" t="s">
        <v>21</v>
      </c>
      <c r="K431" s="21" t="s">
        <v>22</v>
      </c>
      <c r="L431" s="21" t="s">
        <v>23</v>
      </c>
      <c r="M431" s="21" t="s">
        <v>55</v>
      </c>
      <c r="N431" s="29">
        <v>10</v>
      </c>
      <c r="R431" s="21" t="s">
        <v>227</v>
      </c>
    </row>
    <row r="432" spans="1:18" s="21" customFormat="1" ht="14.4" hidden="1">
      <c r="A432" s="33">
        <f>IF(C432="","",MAX($A$1:A431)+1)</f>
        <v>412</v>
      </c>
      <c r="B432" s="22" t="s">
        <v>19</v>
      </c>
      <c r="C432" s="23">
        <v>46085</v>
      </c>
      <c r="D432" s="28" t="str">
        <f>_xlfn.XLOOKUP(Table134526_79101120212223242526[[#This Row],[Name Surname]],Manpower!$C$4:$C$1048576,Manpower!$B$4:$B$1048576,"")</f>
        <v>Encogroup</v>
      </c>
      <c r="E432" s="21" t="s">
        <v>44</v>
      </c>
      <c r="F432" s="12">
        <f>_xlfn.XLOOKUP(Table134526_79101120212223242526[[#This Row],[Name Surname]],Manpower!C:C,Manpower!D:D,)</f>
        <v>140806218</v>
      </c>
      <c r="G432" s="28" t="str">
        <f>_xlfn.XLOOKUP(Table134526_79101120212223242526[[#This Row],[Name Surname]],Manpower!$C$4:$C$1048576,Manpower!$F$4:$F$1048576,"")</f>
        <v>Fitter/Erector</v>
      </c>
      <c r="H432" s="28" t="str">
        <f>_xlfn.XLOOKUP(Table134526_79101120212223242526[[#This Row],[Name Surname]],Manpower!$C$4:$C$1048576,Manpower!$H$4:$H$1048576,"")</f>
        <v>Manpower</v>
      </c>
      <c r="I432" s="24" t="str">
        <f>_xlfn.XLOOKUP(Table134526_79101120212223242526[[#This Row],[Name Surname]],Manpower!$C$4:$C$1048576,Manpower!$H$4:$H$1048576,"")</f>
        <v>Manpower</v>
      </c>
      <c r="J432" s="21" t="s">
        <v>21</v>
      </c>
      <c r="K432" s="21" t="s">
        <v>22</v>
      </c>
      <c r="L432" s="21" t="s">
        <v>23</v>
      </c>
      <c r="M432" s="21" t="s">
        <v>55</v>
      </c>
      <c r="N432" s="29">
        <v>10</v>
      </c>
      <c r="R432" s="21" t="s">
        <v>227</v>
      </c>
    </row>
    <row r="433" spans="1:18" s="21" customFormat="1" ht="14.4" hidden="1">
      <c r="A433" s="33">
        <f>IF(C433="","",MAX($A$1:A432)+1)</f>
        <v>413</v>
      </c>
      <c r="B433" s="22" t="s">
        <v>19</v>
      </c>
      <c r="C433" s="23">
        <v>46085</v>
      </c>
      <c r="D433" s="28" t="str">
        <f>_xlfn.XLOOKUP(Table134526_79101120212223242526[[#This Row],[Name Surname]],Manpower!$C$4:$C$1048576,Manpower!$B$4:$B$1048576,"")</f>
        <v>Encogroup</v>
      </c>
      <c r="E433" s="21" t="s">
        <v>46</v>
      </c>
      <c r="F433" s="12">
        <f>_xlfn.XLOOKUP(Table134526_79101120212223242526[[#This Row],[Name Surname]],Manpower!C:C,Manpower!D:D,)</f>
        <v>140844618</v>
      </c>
      <c r="G433" s="28" t="str">
        <f>_xlfn.XLOOKUP(Table134526_79101120212223242526[[#This Row],[Name Surname]],Manpower!$C$4:$C$1048576,Manpower!$F$4:$F$1048576,"")</f>
        <v>Assistant/Helper</v>
      </c>
      <c r="H433" s="28" t="str">
        <f>_xlfn.XLOOKUP(Table134526_79101120212223242526[[#This Row],[Name Surname]],Manpower!$C$4:$C$1048576,Manpower!$H$4:$H$1048576,"")</f>
        <v>Manpower</v>
      </c>
      <c r="I433" s="24" t="str">
        <f>_xlfn.XLOOKUP(Table134526_79101120212223242526[[#This Row],[Name Surname]],Manpower!$C$4:$C$1048576,Manpower!$H$4:$H$1048576,"")</f>
        <v>Manpower</v>
      </c>
      <c r="J433" s="21" t="s">
        <v>21</v>
      </c>
      <c r="K433" s="21" t="s">
        <v>22</v>
      </c>
      <c r="L433" s="21" t="s">
        <v>23</v>
      </c>
      <c r="M433" s="21" t="s">
        <v>55</v>
      </c>
      <c r="N433" s="29">
        <v>10</v>
      </c>
      <c r="R433" s="21" t="s">
        <v>227</v>
      </c>
    </row>
    <row r="434" spans="1:18" s="21" customFormat="1" ht="14.4">
      <c r="A434" s="33">
        <f>IF(C434="","",MAX($A$1:A433)+1)</f>
        <v>414</v>
      </c>
      <c r="B434" s="25" t="s">
        <v>19</v>
      </c>
      <c r="C434" s="23">
        <v>46085</v>
      </c>
      <c r="D434" s="28" t="str">
        <f>_xlfn.XLOOKUP(Table134526_79101120212223242526[[#This Row],[Name Surname]],Manpower!$C$4:$C$1048576,Manpower!$B$4:$B$1048576,"")</f>
        <v>Bright Light</v>
      </c>
      <c r="E434" s="23" t="s">
        <v>47</v>
      </c>
      <c r="F434" s="12" t="e">
        <f>_xlfn.XLOOKUP(Table134526_79101120212223242526[[#This Row],[Name Surname]],Manpower!C:C,Manpower!D:D,)</f>
        <v>#N/A</v>
      </c>
      <c r="G434" s="28" t="str">
        <f>_xlfn.XLOOKUP(Table134526_79101120212223242526[[#This Row],[Name Surname]],Manpower!$C$4:$C$1048576,Manpower!$F$4:$F$1048576,"")</f>
        <v>100T Telescopic Crane</v>
      </c>
      <c r="H434" s="28" t="str">
        <f>_xlfn.XLOOKUP(Table134526_79101120212223242526[[#This Row],[Name Surname]],Manpower!$C$4:$C$1048576,Manpower!$H$4:$H$1048576,"")</f>
        <v>Equipment</v>
      </c>
      <c r="I434" s="24" t="str">
        <f>_xlfn.XLOOKUP(Table134526_79101120212223242526[[#This Row],[Name Surname]],Manpower!$C$4:$C$1048576,Manpower!$H$4:$H$1048576,"")</f>
        <v>Equipment</v>
      </c>
      <c r="J434" s="21" t="s">
        <v>48</v>
      </c>
      <c r="K434" s="21" t="s">
        <v>26</v>
      </c>
      <c r="L434" s="21" t="s">
        <v>49</v>
      </c>
      <c r="M434" s="21" t="s">
        <v>55</v>
      </c>
      <c r="N434" s="29">
        <v>10</v>
      </c>
      <c r="R434" s="21" t="s">
        <v>227</v>
      </c>
    </row>
    <row r="435" spans="1:18" s="21" customFormat="1" ht="14.4">
      <c r="A435" s="33">
        <f>IF(C435="","",MAX($A$1:A434)+1)</f>
        <v>415</v>
      </c>
      <c r="B435" s="25" t="s">
        <v>19</v>
      </c>
      <c r="C435" s="23">
        <v>46085</v>
      </c>
      <c r="D435" s="28" t="str">
        <f>_xlfn.XLOOKUP(Table134526_79101120212223242526[[#This Row],[Name Surname]],Manpower!$C$4:$C$1048576,Manpower!$B$4:$B$1048576,"")</f>
        <v>Bright Light</v>
      </c>
      <c r="E435" s="21" t="s">
        <v>51</v>
      </c>
      <c r="F435" s="12" t="e">
        <f>_xlfn.XLOOKUP(Table134526_79101120212223242526[[#This Row],[Name Surname]],Manpower!C:C,Manpower!D:D,)</f>
        <v>#N/A</v>
      </c>
      <c r="G435" s="28" t="str">
        <f>_xlfn.XLOOKUP(Table134526_79101120212223242526[[#This Row],[Name Surname]],Manpower!$C$4:$C$1048576,Manpower!$F$4:$F$1048576,"")</f>
        <v>150T-Crawler Crane</v>
      </c>
      <c r="H435" s="28" t="str">
        <f>_xlfn.XLOOKUP(Table134526_79101120212223242526[[#This Row],[Name Surname]],Manpower!$C$4:$C$1048576,Manpower!$H$4:$H$1048576,"")</f>
        <v>Equipment</v>
      </c>
      <c r="I435" s="24" t="str">
        <f>_xlfn.XLOOKUP(Table134526_79101120212223242526[[#This Row],[Name Surname]],Manpower!$C$4:$C$1048576,Manpower!$H$4:$H$1048576,"")</f>
        <v>Equipment</v>
      </c>
      <c r="J435" s="21" t="s">
        <v>48</v>
      </c>
      <c r="K435" s="21" t="s">
        <v>26</v>
      </c>
      <c r="L435" s="21" t="s">
        <v>49</v>
      </c>
      <c r="M435" s="21" t="s">
        <v>55</v>
      </c>
      <c r="N435" s="29">
        <v>10</v>
      </c>
      <c r="R435" s="21" t="s">
        <v>227</v>
      </c>
    </row>
    <row r="436" spans="1:18" s="21" customFormat="1" ht="14.4">
      <c r="A436" s="33">
        <f>IF(C436="","",MAX($A$1:A435)+1)</f>
        <v>416</v>
      </c>
      <c r="B436" s="25" t="s">
        <v>19</v>
      </c>
      <c r="C436" s="23">
        <v>46085</v>
      </c>
      <c r="D436" s="28" t="str">
        <f>_xlfn.XLOOKUP(Table134526_79101120212223242526[[#This Row],[Name Surname]],Manpower!$C$4:$C$1048576,Manpower!$B$4:$B$1048576,"")</f>
        <v>Encogroup</v>
      </c>
      <c r="E436" s="21" t="s">
        <v>53</v>
      </c>
      <c r="F436" s="12" t="e">
        <f>_xlfn.XLOOKUP(Table134526_79101120212223242526[[#This Row],[Name Surname]],Manpower!C:C,Manpower!D:D,)</f>
        <v>#N/A</v>
      </c>
      <c r="G436" s="28" t="str">
        <f>_xlfn.XLOOKUP(Table134526_79101120212223242526[[#This Row],[Name Surname]],Manpower!$C$4:$C$1048576,Manpower!$F$4:$F$1048576,"")</f>
        <v>22M-Manlift</v>
      </c>
      <c r="H436" s="28" t="str">
        <f>_xlfn.XLOOKUP(Table134526_79101120212223242526[[#This Row],[Name Surname]],Manpower!$C$4:$C$1048576,Manpower!$H$4:$H$1048576,"")</f>
        <v>Equipment</v>
      </c>
      <c r="I436" s="24" t="str">
        <f>_xlfn.XLOOKUP(Table134526_79101120212223242526[[#This Row],[Name Surname]],Manpower!$C$4:$C$1048576,Manpower!$H$4:$H$1048576,"")</f>
        <v>Equipment</v>
      </c>
      <c r="J436" s="21" t="s">
        <v>48</v>
      </c>
      <c r="K436" s="21" t="s">
        <v>26</v>
      </c>
      <c r="L436" s="21" t="s">
        <v>49</v>
      </c>
      <c r="M436" s="21" t="s">
        <v>55</v>
      </c>
      <c r="N436" s="29">
        <v>10</v>
      </c>
      <c r="R436" s="21" t="s">
        <v>227</v>
      </c>
    </row>
    <row r="437" spans="1:18" s="21" customFormat="1" ht="14.4">
      <c r="A437" s="33">
        <f>IF(C437="","",MAX($A$1:A436)+1)</f>
        <v>417</v>
      </c>
      <c r="B437" s="25" t="s">
        <v>19</v>
      </c>
      <c r="C437" s="23">
        <v>46085</v>
      </c>
      <c r="D437" s="28" t="str">
        <f>_xlfn.XLOOKUP(Table134526_79101120212223242526[[#This Row],[Name Surname]],Manpower!$C$4:$C$1048576,Manpower!$B$4:$B$1048576,"")</f>
        <v>Encogroup</v>
      </c>
      <c r="E437" s="21" t="s">
        <v>54</v>
      </c>
      <c r="F437" s="12" t="e">
        <f>_xlfn.XLOOKUP(Table134526_79101120212223242526[[#This Row],[Name Surname]],Manpower!C:C,Manpower!D:D,)</f>
        <v>#N/A</v>
      </c>
      <c r="G437" s="28" t="str">
        <f>_xlfn.XLOOKUP(Table134526_79101120212223242526[[#This Row],[Name Surname]],Manpower!$C$4:$C$1048576,Manpower!$F$4:$F$1048576,"")</f>
        <v>28M-Manlift</v>
      </c>
      <c r="H437" s="28" t="str">
        <f>_xlfn.XLOOKUP(Table134526_79101120212223242526[[#This Row],[Name Surname]],Manpower!$C$4:$C$1048576,Manpower!$H$4:$H$1048576,"")</f>
        <v>Equipment</v>
      </c>
      <c r="I437" s="24" t="str">
        <f>_xlfn.XLOOKUP(Table134526_79101120212223242526[[#This Row],[Name Surname]],Manpower!$C$4:$C$1048576,Manpower!$H$4:$H$1048576,"")</f>
        <v>Equipment</v>
      </c>
      <c r="J437" s="21" t="s">
        <v>48</v>
      </c>
      <c r="K437" s="21" t="s">
        <v>26</v>
      </c>
      <c r="L437" s="21" t="s">
        <v>49</v>
      </c>
      <c r="M437" s="21" t="s">
        <v>55</v>
      </c>
      <c r="N437" s="29">
        <v>10</v>
      </c>
      <c r="R437" s="21" t="s">
        <v>227</v>
      </c>
    </row>
    <row r="438" spans="1:18" s="21" customFormat="1" ht="14.4" hidden="1">
      <c r="A438" s="33">
        <f>IF(C438="","",MAX($A$1:A437)+1)</f>
        <v>418</v>
      </c>
      <c r="B438" s="25" t="s">
        <v>19</v>
      </c>
      <c r="C438" s="23">
        <v>46085</v>
      </c>
      <c r="D438" s="28" t="str">
        <f>_xlfn.XLOOKUP(Table134526_79101120212223242526[[#This Row],[Name Surname]],Manpower!$C$4:$C$1048576,Manpower!$B$4:$B$1048576,"")</f>
        <v>Encogroup</v>
      </c>
      <c r="E438" s="21" t="s">
        <v>57</v>
      </c>
      <c r="F438" s="12">
        <f>_xlfn.XLOOKUP(Table134526_79101120212223242526[[#This Row],[Name Surname]],Manpower!C:C,Manpower!D:D,)</f>
        <v>140693697</v>
      </c>
      <c r="G438" s="28" t="str">
        <f>_xlfn.XLOOKUP(Table134526_79101120212223242526[[#This Row],[Name Surname]],Manpower!$C$4:$C$1048576,Manpower!$F$4:$F$1048576,"")</f>
        <v>HSE Officer</v>
      </c>
      <c r="H438" s="28" t="str">
        <f>_xlfn.XLOOKUP(Table134526_79101120212223242526[[#This Row],[Name Surname]],Manpower!$C$4:$C$1048576,Manpower!$H$4:$H$1048576,"")</f>
        <v>Manpower</v>
      </c>
      <c r="I438" s="24" t="str">
        <f>_xlfn.XLOOKUP(Table134526_79101120212223242526[[#This Row],[Name Surname]],Manpower!$C$4:$C$1048576,Manpower!$H$4:$H$1048576,"")</f>
        <v>Manpower</v>
      </c>
      <c r="J438" s="21" t="s">
        <v>48</v>
      </c>
      <c r="K438" s="21" t="s">
        <v>26</v>
      </c>
      <c r="L438" s="21" t="s">
        <v>49</v>
      </c>
      <c r="M438" s="21" t="s">
        <v>55</v>
      </c>
      <c r="N438" s="29">
        <v>10</v>
      </c>
      <c r="R438" s="21" t="s">
        <v>227</v>
      </c>
    </row>
    <row r="439" spans="1:18" s="21" customFormat="1" ht="14.4" hidden="1">
      <c r="A439" s="33">
        <f>IF(C439="","",MAX($A$1:A438)+1)</f>
        <v>419</v>
      </c>
      <c r="B439" s="25" t="s">
        <v>19</v>
      </c>
      <c r="C439" s="23">
        <v>46085</v>
      </c>
      <c r="D439" s="28" t="str">
        <f>_xlfn.XLOOKUP(Table134526_79101120212223242526[[#This Row],[Name Surname]],Manpower!$C$4:$C$1048576,Manpower!$B$4:$B$1048576,"")</f>
        <v>Encogroup</v>
      </c>
      <c r="E439" s="21" t="s">
        <v>27</v>
      </c>
      <c r="F439" s="12">
        <f>_xlfn.XLOOKUP(Table134526_79101120212223242526[[#This Row],[Name Surname]],Manpower!C:C,Manpower!D:D,)</f>
        <v>127414586</v>
      </c>
      <c r="G439" s="28" t="str">
        <f>_xlfn.XLOOKUP(Table134526_79101120212223242526[[#This Row],[Name Surname]],Manpower!$C$4:$C$1048576,Manpower!$F$4:$F$1048576,"")</f>
        <v>Electrician</v>
      </c>
      <c r="H439" s="28" t="str">
        <f>_xlfn.XLOOKUP(Table134526_79101120212223242526[[#This Row],[Name Surname]],Manpower!$C$4:$C$1048576,Manpower!$H$4:$H$1048576,"")</f>
        <v>Manpower</v>
      </c>
      <c r="I439" s="24" t="str">
        <f>_xlfn.XLOOKUP(Table134526_79101120212223242526[[#This Row],[Name Surname]],Manpower!$C$4:$C$1048576,Manpower!$H$4:$H$1048576,"")</f>
        <v>Manpower</v>
      </c>
      <c r="J439" s="21" t="s">
        <v>48</v>
      </c>
      <c r="K439" s="21" t="s">
        <v>26</v>
      </c>
      <c r="L439" s="21" t="s">
        <v>49</v>
      </c>
      <c r="M439" s="21" t="s">
        <v>55</v>
      </c>
      <c r="N439" s="29">
        <v>5</v>
      </c>
      <c r="R439" s="21" t="s">
        <v>227</v>
      </c>
    </row>
    <row r="440" spans="1:18" s="21" customFormat="1" ht="14.4" hidden="1">
      <c r="A440" s="33">
        <f>IF(C440="","",MAX($A$1:A439)+1)</f>
        <v>420</v>
      </c>
      <c r="B440" s="25" t="s">
        <v>19</v>
      </c>
      <c r="C440" s="23">
        <v>46085</v>
      </c>
      <c r="D440" s="28" t="str">
        <f>_xlfn.XLOOKUP(Table134526_79101120212223242526[[#This Row],[Name Surname]],Manpower!$C$4:$C$1048576,Manpower!$B$4:$B$1048576,"")</f>
        <v>Encogroup</v>
      </c>
      <c r="E440" s="21" t="s">
        <v>59</v>
      </c>
      <c r="F440" s="12">
        <f>_xlfn.XLOOKUP(Table134526_79101120212223242526[[#This Row],[Name Surname]],Manpower!C:C,Manpower!D:D,)</f>
        <v>141169085</v>
      </c>
      <c r="G440" s="28" t="str">
        <f>_xlfn.XLOOKUP(Table134526_79101120212223242526[[#This Row],[Name Surname]],Manpower!$C$4:$C$1048576,Manpower!$F$4:$F$1048576,"")</f>
        <v>Welder</v>
      </c>
      <c r="H440" s="28" t="str">
        <f>_xlfn.XLOOKUP(Table134526_79101120212223242526[[#This Row],[Name Surname]],Manpower!$C$4:$C$1048576,Manpower!$H$4:$H$1048576,"")</f>
        <v>Manpower</v>
      </c>
      <c r="I440" s="24" t="str">
        <f>_xlfn.XLOOKUP(Table134526_79101120212223242526[[#This Row],[Name Surname]],Manpower!$C$4:$C$1048576,Manpower!$H$4:$H$1048576,"")</f>
        <v>Manpower</v>
      </c>
      <c r="J440" s="21" t="s">
        <v>48</v>
      </c>
      <c r="K440" s="21" t="s">
        <v>26</v>
      </c>
      <c r="L440" s="21" t="s">
        <v>49</v>
      </c>
      <c r="M440" s="21" t="s">
        <v>55</v>
      </c>
      <c r="N440" s="29">
        <v>10</v>
      </c>
      <c r="R440" s="21" t="s">
        <v>227</v>
      </c>
    </row>
    <row r="441" spans="1:18" s="21" customFormat="1" ht="14.4" hidden="1">
      <c r="A441" s="33">
        <f>IF(C441="","",MAX($A$1:A440)+1)</f>
        <v>421</v>
      </c>
      <c r="B441" s="25" t="s">
        <v>19</v>
      </c>
      <c r="C441" s="23">
        <v>46085</v>
      </c>
      <c r="D441" s="28" t="str">
        <f>_xlfn.XLOOKUP(Table134526_79101120212223242526[[#This Row],[Name Surname]],Manpower!$C$4:$C$1048576,Manpower!$B$4:$B$1048576,"")</f>
        <v>Encogroup</v>
      </c>
      <c r="E441" s="21" t="s">
        <v>61</v>
      </c>
      <c r="F441" s="12">
        <f>_xlfn.XLOOKUP(Table134526_79101120212223242526[[#This Row],[Name Surname]],Manpower!C:C,Manpower!D:D,)</f>
        <v>141169047</v>
      </c>
      <c r="G441" s="28" t="str">
        <f>_xlfn.XLOOKUP(Table134526_79101120212223242526[[#This Row],[Name Surname]],Manpower!$C$4:$C$1048576,Manpower!$F$4:$F$1048576,"")</f>
        <v>Welder</v>
      </c>
      <c r="H441" s="28" t="str">
        <f>_xlfn.XLOOKUP(Table134526_79101120212223242526[[#This Row],[Name Surname]],Manpower!$C$4:$C$1048576,Manpower!$H$4:$H$1048576,"")</f>
        <v>Manpower</v>
      </c>
      <c r="I441" s="24" t="str">
        <f>_xlfn.XLOOKUP(Table134526_79101120212223242526[[#This Row],[Name Surname]],Manpower!$C$4:$C$1048576,Manpower!$H$4:$H$1048576,"")</f>
        <v>Manpower</v>
      </c>
      <c r="J441" s="21" t="s">
        <v>48</v>
      </c>
      <c r="K441" s="21" t="s">
        <v>26</v>
      </c>
      <c r="L441" s="21" t="s">
        <v>49</v>
      </c>
      <c r="M441" s="21" t="s">
        <v>55</v>
      </c>
      <c r="N441" s="29">
        <v>10</v>
      </c>
      <c r="R441" s="21" t="s">
        <v>227</v>
      </c>
    </row>
    <row r="442" spans="1:18" s="21" customFormat="1" ht="14.4" hidden="1">
      <c r="A442" s="33">
        <f>IF(C442="","",MAX($A$1:A441)+1)</f>
        <v>422</v>
      </c>
      <c r="B442" s="25" t="s">
        <v>19</v>
      </c>
      <c r="C442" s="23">
        <v>46085</v>
      </c>
      <c r="D442" s="28" t="str">
        <f>_xlfn.XLOOKUP(Table134526_79101120212223242526[[#This Row],[Name Surname]],Manpower!$C$4:$C$1048576,Manpower!$B$4:$B$1048576,"")</f>
        <v>Encogroup</v>
      </c>
      <c r="E442" s="21" t="s">
        <v>62</v>
      </c>
      <c r="F442" s="12">
        <f>_xlfn.XLOOKUP(Table134526_79101120212223242526[[#This Row],[Name Surname]],Manpower!C:C,Manpower!D:D,)</f>
        <v>140844797</v>
      </c>
      <c r="G442" s="28" t="str">
        <f>_xlfn.XLOOKUP(Table134526_79101120212223242526[[#This Row],[Name Surname]],Manpower!$C$4:$C$1048576,Manpower!$F$4:$F$1048576,"")</f>
        <v>Fitter/Erector</v>
      </c>
      <c r="H442" s="28" t="str">
        <f>_xlfn.XLOOKUP(Table134526_79101120212223242526[[#This Row],[Name Surname]],Manpower!$C$4:$C$1048576,Manpower!$H$4:$H$1048576,"")</f>
        <v>Manpower</v>
      </c>
      <c r="I442" s="24" t="str">
        <f>_xlfn.XLOOKUP(Table134526_79101120212223242526[[#This Row],[Name Surname]],Manpower!$C$4:$C$1048576,Manpower!$H$4:$H$1048576,"")</f>
        <v>Manpower</v>
      </c>
      <c r="J442" s="21" t="s">
        <v>48</v>
      </c>
      <c r="K442" s="21" t="s">
        <v>26</v>
      </c>
      <c r="L442" s="21" t="s">
        <v>49</v>
      </c>
      <c r="M442" s="21" t="s">
        <v>55</v>
      </c>
      <c r="N442" s="29">
        <v>10</v>
      </c>
      <c r="R442" s="21" t="s">
        <v>227</v>
      </c>
    </row>
    <row r="443" spans="1:18" s="21" customFormat="1" ht="14.4">
      <c r="A443" s="33">
        <f>IF(C443="","",MAX($A$1:A442)+1)</f>
        <v>423</v>
      </c>
      <c r="B443" s="25" t="s">
        <v>19</v>
      </c>
      <c r="C443" s="23">
        <v>46085</v>
      </c>
      <c r="D443" s="24" t="str">
        <f>_xlfn.XLOOKUP(Table134526_79101120212223242526[[#This Row],[Name Surname]],Manpower!$C$4:$C$1048576,Manpower!$B$4:$B$1048576,"")</f>
        <v>Encogroup</v>
      </c>
      <c r="E443" s="23" t="s">
        <v>63</v>
      </c>
      <c r="F443" s="12" t="e">
        <f>_xlfn.XLOOKUP(Table134526_79101120212223242526[[#This Row],[Name Surname]],Manpower!C:C,Manpower!D:D,)</f>
        <v>#N/A</v>
      </c>
      <c r="G443" s="24" t="str">
        <f>_xlfn.XLOOKUP(Table134526_79101120212223242526[[#This Row],[Name Surname]],Manpower!$C$4:$C$1048576,Manpower!$F$4:$F$1048576,"")</f>
        <v>22KVA-Generator</v>
      </c>
      <c r="H443" s="24" t="str">
        <f>_xlfn.XLOOKUP(Table134526_79101120212223242526[[#This Row],[Name Surname]],Manpower!$C$4:$C$1048576,Manpower!$H$4:$H$1048576,"")</f>
        <v>Equipment</v>
      </c>
      <c r="I443" s="24" t="str">
        <f>_xlfn.XLOOKUP(Table134526_79101120212223242526[[#This Row],[Name Surname]],Manpower!$C$4:$C$1048576,Manpower!$H$4:$H$1048576,"")</f>
        <v>Equipment</v>
      </c>
      <c r="J443" s="21" t="s">
        <v>48</v>
      </c>
      <c r="K443" s="21" t="s">
        <v>26</v>
      </c>
      <c r="L443" s="21" t="s">
        <v>49</v>
      </c>
      <c r="M443" s="21" t="s">
        <v>55</v>
      </c>
      <c r="N443" s="29">
        <v>10</v>
      </c>
      <c r="R443" s="21" t="s">
        <v>227</v>
      </c>
    </row>
    <row r="444" spans="1:18" s="21" customFormat="1" ht="14.4" hidden="1">
      <c r="A444" s="33">
        <f>IF(C444="","",MAX($A$1:A442)+1)</f>
        <v>423</v>
      </c>
      <c r="B444" s="25" t="s">
        <v>19</v>
      </c>
      <c r="C444" s="23">
        <v>46085</v>
      </c>
      <c r="D444" s="28" t="str">
        <f>_xlfn.XLOOKUP(Table134526_79101120212223242526[[#This Row],[Name Surname]],Manpower!$C$4:$C$1048576,Manpower!$B$4:$B$1048576,"")</f>
        <v>Bright Light</v>
      </c>
      <c r="E444" s="21" t="s">
        <v>64</v>
      </c>
      <c r="F444" s="12">
        <f>_xlfn.XLOOKUP(Table134526_79101120212223242526[[#This Row],[Name Surname]],Manpower!C:C,Manpower!D:D,)</f>
        <v>114531608</v>
      </c>
      <c r="G444" s="28" t="str">
        <f>_xlfn.XLOOKUP(Table134526_79101120212223242526[[#This Row],[Name Surname]],Manpower!$C$4:$C$1048576,Manpower!$F$4:$F$1048576,"")</f>
        <v>Crane Operator-150T Sany Crawler</v>
      </c>
      <c r="H444" s="28" t="s">
        <v>39</v>
      </c>
      <c r="I444" s="24" t="s">
        <v>39</v>
      </c>
      <c r="J444" s="21" t="s">
        <v>48</v>
      </c>
      <c r="K444" s="21" t="s">
        <v>26</v>
      </c>
      <c r="L444" s="21" t="s">
        <v>49</v>
      </c>
      <c r="M444" s="21" t="s">
        <v>55</v>
      </c>
      <c r="N444" s="29">
        <v>10</v>
      </c>
      <c r="R444" s="21" t="s">
        <v>227</v>
      </c>
    </row>
    <row r="445" spans="1:18" s="21" customFormat="1" ht="14.4" hidden="1">
      <c r="A445" s="33">
        <f>IF(C445="","",MAX($A$1:A444)+1)</f>
        <v>424</v>
      </c>
      <c r="B445" s="25" t="s">
        <v>19</v>
      </c>
      <c r="C445" s="23">
        <v>46085</v>
      </c>
      <c r="D445" s="28" t="str">
        <f>_xlfn.XLOOKUP(Table134526_79101120212223242526[[#This Row],[Name Surname]],Manpower!$C$4:$C$1048576,Manpower!$B$4:$B$1048576,"")</f>
        <v>AL Saif &amp; Al QALLM ENT LLC</v>
      </c>
      <c r="E445" s="21" t="s">
        <v>65</v>
      </c>
      <c r="F445" s="12">
        <f>_xlfn.XLOOKUP(Table134526_79101120212223242526[[#This Row],[Name Surname]],Manpower!C:C,Manpower!D:D,)</f>
        <v>108478006</v>
      </c>
      <c r="G445" s="28" t="str">
        <f>_xlfn.XLOOKUP(Table134526_79101120212223242526[[#This Row],[Name Surname]],Manpower!$C$4:$C$1048576,Manpower!$F$4:$F$1048576,"")</f>
        <v>RIgger</v>
      </c>
      <c r="H445" s="28" t="str">
        <f>_xlfn.XLOOKUP(Table134526_79101120212223242526[[#This Row],[Name Surname]],Manpower!$C$4:$C$1048576,Manpower!$H$4:$H$1048576,"")</f>
        <v>Sub Contactor</v>
      </c>
      <c r="I445" s="24" t="str">
        <f>_xlfn.XLOOKUP(Table134526_79101120212223242526[[#This Row],[Name Surname]],Manpower!$C$4:$C$1048576,Manpower!$H$4:$H$1048576,"")</f>
        <v>Sub Contactor</v>
      </c>
      <c r="J445" s="21" t="s">
        <v>48</v>
      </c>
      <c r="K445" s="21" t="s">
        <v>26</v>
      </c>
      <c r="L445" s="21" t="s">
        <v>49</v>
      </c>
      <c r="M445" s="21" t="s">
        <v>55</v>
      </c>
      <c r="N445" s="29">
        <v>10</v>
      </c>
      <c r="R445" s="21" t="s">
        <v>227</v>
      </c>
    </row>
    <row r="446" spans="1:18" s="21" customFormat="1" ht="14.4" hidden="1">
      <c r="A446" s="33">
        <f>IF(C446="","",MAX($A$1:A445)+1)</f>
        <v>425</v>
      </c>
      <c r="B446" s="25" t="s">
        <v>19</v>
      </c>
      <c r="C446" s="23">
        <v>46085</v>
      </c>
      <c r="D446" s="28" t="str">
        <f>_xlfn.XLOOKUP(Table134526_79101120212223242526[[#This Row],[Name Surname]],Manpower!$C$4:$C$1048576,Manpower!$B$4:$B$1048576,"")</f>
        <v>AL Omar International TRAD AND CONT</v>
      </c>
      <c r="E446" s="21" t="s">
        <v>66</v>
      </c>
      <c r="F446" s="12">
        <f>_xlfn.XLOOKUP(Table134526_79101120212223242526[[#This Row],[Name Surname]],Manpower!C:C,Manpower!D:D,)</f>
        <v>115018512</v>
      </c>
      <c r="G446" s="28" t="str">
        <f>_xlfn.XLOOKUP(Table134526_79101120212223242526[[#This Row],[Name Surname]],Manpower!$C$4:$C$1048576,Manpower!$F$4:$F$1048576,"")</f>
        <v>RIgger</v>
      </c>
      <c r="H446" s="28" t="str">
        <f>_xlfn.XLOOKUP(Table134526_79101120212223242526[[#This Row],[Name Surname]],Manpower!$C$4:$C$1048576,Manpower!$H$4:$H$1048576,"")</f>
        <v>Sub Contactor</v>
      </c>
      <c r="I446" s="24" t="str">
        <f>_xlfn.XLOOKUP(Table134526_79101120212223242526[[#This Row],[Name Surname]],Manpower!$C$4:$C$1048576,Manpower!$H$4:$H$1048576,"")</f>
        <v>Sub Contactor</v>
      </c>
      <c r="J446" s="21" t="s">
        <v>48</v>
      </c>
      <c r="K446" s="21" t="s">
        <v>26</v>
      </c>
      <c r="L446" s="21" t="s">
        <v>49</v>
      </c>
      <c r="M446" s="21" t="s">
        <v>55</v>
      </c>
      <c r="N446" s="29">
        <v>10</v>
      </c>
      <c r="R446" s="21" t="s">
        <v>227</v>
      </c>
    </row>
    <row r="447" spans="1:18" s="21" customFormat="1" ht="14.4" hidden="1">
      <c r="A447" s="33">
        <f>IF(C447="","",MAX($A$1:A446)+1)</f>
        <v>426</v>
      </c>
      <c r="B447" s="25" t="s">
        <v>19</v>
      </c>
      <c r="C447" s="23">
        <v>46085</v>
      </c>
      <c r="D447" s="28" t="str">
        <f>_xlfn.XLOOKUP(Table134526_79101120212223242526[[#This Row],[Name Surname]],Manpower!$C$4:$C$1048576,Manpower!$B$4:$B$1048576,"")</f>
        <v>Encogroup</v>
      </c>
      <c r="E447" s="21" t="s">
        <v>67</v>
      </c>
      <c r="F447" s="12">
        <f>_xlfn.XLOOKUP(Table134526_79101120212223242526[[#This Row],[Name Surname]],Manpower!C:C,Manpower!D:D,)</f>
        <v>122082769</v>
      </c>
      <c r="G447" s="28" t="str">
        <f>_xlfn.XLOOKUP(Table134526_79101120212223242526[[#This Row],[Name Surname]],Manpower!$C$4:$C$1048576,Manpower!$F$4:$F$1048576,"")</f>
        <v>Grinder</v>
      </c>
      <c r="H447" s="28" t="str">
        <f>_xlfn.XLOOKUP(Table134526_79101120212223242526[[#This Row],[Name Surname]],Manpower!$C$4:$C$1048576,Manpower!$H$4:$H$1048576,"")</f>
        <v>Manpower</v>
      </c>
      <c r="I447" s="24" t="str">
        <f>_xlfn.XLOOKUP(Table134526_79101120212223242526[[#This Row],[Name Surname]],Manpower!$C$4:$C$1048576,Manpower!$H$4:$H$1048576,"")</f>
        <v>Manpower</v>
      </c>
      <c r="J447" s="21" t="s">
        <v>48</v>
      </c>
      <c r="K447" s="21" t="s">
        <v>26</v>
      </c>
      <c r="L447" s="21" t="s">
        <v>49</v>
      </c>
      <c r="M447" s="21" t="s">
        <v>55</v>
      </c>
      <c r="N447" s="29">
        <v>10</v>
      </c>
      <c r="R447" s="21" t="s">
        <v>227</v>
      </c>
    </row>
    <row r="448" spans="1:18" s="21" customFormat="1" ht="14.4" hidden="1">
      <c r="A448" s="33">
        <f>IF(C448="","",MAX($A$1:A447)+1)</f>
        <v>427</v>
      </c>
      <c r="B448" s="25" t="s">
        <v>19</v>
      </c>
      <c r="C448" s="23">
        <v>46085</v>
      </c>
      <c r="D448" s="28" t="str">
        <f>_xlfn.XLOOKUP(Table134526_79101120212223242526[[#This Row],[Name Surname]],Manpower!$C$4:$C$1048576,Manpower!$B$4:$B$1048576,"")</f>
        <v>Encogroup</v>
      </c>
      <c r="E448" s="21" t="s">
        <v>68</v>
      </c>
      <c r="F448" s="12">
        <f>_xlfn.XLOOKUP(Table134526_79101120212223242526[[#This Row],[Name Surname]],Manpower!C:C,Manpower!D:D,)</f>
        <v>116915582</v>
      </c>
      <c r="G448" s="28" t="str">
        <f>_xlfn.XLOOKUP(Table134526_79101120212223242526[[#This Row],[Name Surname]],Manpower!$C$4:$C$1048576,Manpower!$F$4:$F$1048576,"")</f>
        <v>Mechanical Superintendent</v>
      </c>
      <c r="H448" s="28" t="str">
        <f>_xlfn.XLOOKUP(Table134526_79101120212223242526[[#This Row],[Name Surname]],Manpower!$C$4:$C$1048576,Manpower!$H$4:$H$1048576,"")</f>
        <v>Manpower</v>
      </c>
      <c r="I448" s="24" t="str">
        <f>_xlfn.XLOOKUP(Table134526_79101120212223242526[[#This Row],[Name Surname]],Manpower!$C$4:$C$1048576,Manpower!$H$4:$H$1048576,"")</f>
        <v>Manpower</v>
      </c>
      <c r="J448" s="21" t="s">
        <v>48</v>
      </c>
      <c r="K448" s="21" t="s">
        <v>26</v>
      </c>
      <c r="L448" s="21" t="s">
        <v>49</v>
      </c>
      <c r="M448" s="21" t="s">
        <v>55</v>
      </c>
      <c r="N448" s="29">
        <v>10</v>
      </c>
      <c r="R448" s="21" t="s">
        <v>227</v>
      </c>
    </row>
    <row r="449" spans="1:18" s="21" customFormat="1" ht="14.4" hidden="1">
      <c r="A449" s="33">
        <f>IF(C449="","",MAX($A$1:A448)+1)</f>
        <v>428</v>
      </c>
      <c r="B449" s="25" t="s">
        <v>19</v>
      </c>
      <c r="C449" s="23">
        <v>46085</v>
      </c>
      <c r="D449" s="28" t="str">
        <f>_xlfn.XLOOKUP(Table134526_79101120212223242526[[#This Row],[Name Surname]],Manpower!$C$4:$C$1048576,Manpower!$B$4:$B$1048576,"")</f>
        <v>Encogroup</v>
      </c>
      <c r="E449" s="21" t="s">
        <v>69</v>
      </c>
      <c r="F449" s="12">
        <f>_xlfn.XLOOKUP(Table134526_79101120212223242526[[#This Row],[Name Surname]],Manpower!C:C,Manpower!D:D,)</f>
        <v>141169071</v>
      </c>
      <c r="G449" s="28" t="str">
        <f>_xlfn.XLOOKUP(Table134526_79101120212223242526[[#This Row],[Name Surname]],Manpower!$C$4:$C$1048576,Manpower!$F$4:$F$1048576,"")</f>
        <v>Welding Supervisor</v>
      </c>
      <c r="H449" s="28" t="str">
        <f>_xlfn.XLOOKUP(Table134526_79101120212223242526[[#This Row],[Name Surname]],Manpower!$C$4:$C$1048576,Manpower!$H$4:$H$1048576,"")</f>
        <v>Manpower</v>
      </c>
      <c r="I449" s="24" t="str">
        <f>_xlfn.XLOOKUP(Table134526_79101120212223242526[[#This Row],[Name Surname]],Manpower!$C$4:$C$1048576,Manpower!$H$4:$H$1048576,"")</f>
        <v>Manpower</v>
      </c>
      <c r="J449" s="21" t="s">
        <v>48</v>
      </c>
      <c r="K449" s="21" t="s">
        <v>26</v>
      </c>
      <c r="L449" s="21" t="s">
        <v>49</v>
      </c>
      <c r="M449" s="21" t="s">
        <v>55</v>
      </c>
      <c r="N449" s="29">
        <v>10</v>
      </c>
      <c r="R449" s="21" t="s">
        <v>227</v>
      </c>
    </row>
    <row r="450" spans="1:18" s="21" customFormat="1" ht="14.4" hidden="1">
      <c r="A450" s="33">
        <f>IF(C450="","",MAX($A$1:A449)+1)</f>
        <v>429</v>
      </c>
      <c r="B450" s="25" t="s">
        <v>19</v>
      </c>
      <c r="C450" s="23">
        <v>46085</v>
      </c>
      <c r="D450" s="28" t="str">
        <f>_xlfn.XLOOKUP(Table134526_79101120212223242526[[#This Row],[Name Surname]],Manpower!$C$4:$C$1048576,Manpower!$B$4:$B$1048576,"")</f>
        <v>Encogroup</v>
      </c>
      <c r="E450" s="21" t="s">
        <v>70</v>
      </c>
      <c r="F450" s="12">
        <f>_xlfn.XLOOKUP(Table134526_79101120212223242526[[#This Row],[Name Surname]],Manpower!C:C,Manpower!D:D,)</f>
        <v>141365126</v>
      </c>
      <c r="G450" s="28" t="str">
        <f>_xlfn.XLOOKUP(Table134526_79101120212223242526[[#This Row],[Name Surname]],Manpower!$C$4:$C$1048576,Manpower!$F$4:$F$1048576,"")</f>
        <v>Helper</v>
      </c>
      <c r="H450" s="28" t="str">
        <f>_xlfn.XLOOKUP(Table134526_79101120212223242526[[#This Row],[Name Surname]],Manpower!$C$4:$C$1048576,Manpower!$H$4:$H$1048576,"")</f>
        <v>Manpower</v>
      </c>
      <c r="I450" s="24" t="str">
        <f>_xlfn.XLOOKUP(Table134526_79101120212223242526[[#This Row],[Name Surname]],Manpower!$C$4:$C$1048576,Manpower!$H$4:$H$1048576,"")</f>
        <v>Manpower</v>
      </c>
      <c r="J450" s="21" t="s">
        <v>48</v>
      </c>
      <c r="K450" s="21" t="s">
        <v>26</v>
      </c>
      <c r="L450" s="21" t="s">
        <v>49</v>
      </c>
      <c r="M450" s="21" t="s">
        <v>55</v>
      </c>
      <c r="N450" s="29">
        <v>10</v>
      </c>
      <c r="R450" s="21" t="s">
        <v>227</v>
      </c>
    </row>
    <row r="451" spans="1:18" s="21" customFormat="1" ht="14.4" hidden="1">
      <c r="A451" s="33">
        <f>IF(C451="","",MAX($A$1:A450)+1)</f>
        <v>430</v>
      </c>
      <c r="B451" s="25" t="s">
        <v>19</v>
      </c>
      <c r="C451" s="23">
        <v>46085</v>
      </c>
      <c r="D451" s="28" t="str">
        <f>_xlfn.XLOOKUP(Table134526_79101120212223242526[[#This Row],[Name Surname]],Manpower!$C$4:$C$1048576,Manpower!$B$4:$B$1048576,"")</f>
        <v>Bright Light</v>
      </c>
      <c r="E451" s="21" t="s">
        <v>71</v>
      </c>
      <c r="F451" s="12">
        <f>_xlfn.XLOOKUP(Table134526_79101120212223242526[[#This Row],[Name Surname]],Manpower!C:C,Manpower!D:D,)</f>
        <v>81379273</v>
      </c>
      <c r="G451" s="28" t="str">
        <f>_xlfn.XLOOKUP(Table134526_79101120212223242526[[#This Row],[Name Surname]],Manpower!$C$4:$C$1048576,Manpower!$F$4:$F$1048576,"")</f>
        <v>Crane Operator-100T Sany Telescopic</v>
      </c>
      <c r="H451" s="28" t="s">
        <v>39</v>
      </c>
      <c r="I451" s="24" t="s">
        <v>39</v>
      </c>
      <c r="J451" s="21" t="s">
        <v>48</v>
      </c>
      <c r="K451" s="21" t="s">
        <v>26</v>
      </c>
      <c r="L451" s="21" t="s">
        <v>49</v>
      </c>
      <c r="M451" s="21" t="s">
        <v>55</v>
      </c>
      <c r="N451" s="29">
        <v>10</v>
      </c>
      <c r="R451" s="21" t="s">
        <v>227</v>
      </c>
    </row>
    <row r="452" spans="1:18" s="21" customFormat="1" ht="14.4" hidden="1">
      <c r="A452" s="33">
        <f>IF(C452="","",MAX($A$1:A451)+1)</f>
        <v>431</v>
      </c>
      <c r="B452" s="25" t="s">
        <v>19</v>
      </c>
      <c r="C452" s="23">
        <v>46085</v>
      </c>
      <c r="D452" s="28" t="str">
        <f>_xlfn.XLOOKUP(Table134526_79101120212223242526[[#This Row],[Name Surname]],Manpower!$C$4:$C$1048576,Manpower!$B$4:$B$1048576,"")</f>
        <v>Encogroup</v>
      </c>
      <c r="E452" s="21" t="s">
        <v>72</v>
      </c>
      <c r="F452" s="12">
        <f>_xlfn.XLOOKUP(Table134526_79101120212223242526[[#This Row],[Name Surname]],Manpower!C:C,Manpower!D:D,)</f>
        <v>140764706</v>
      </c>
      <c r="G452" s="28" t="str">
        <f>_xlfn.XLOOKUP(Table134526_79101120212223242526[[#This Row],[Name Surname]],Manpower!$C$4:$C$1048576,Manpower!$F$4:$F$1048576,"")</f>
        <v>Rigger</v>
      </c>
      <c r="H452" s="28" t="str">
        <f>_xlfn.XLOOKUP(Table134526_79101120212223242526[[#This Row],[Name Surname]],Manpower!$C$4:$C$1048576,Manpower!$H$4:$H$1048576,"")</f>
        <v>Manpower</v>
      </c>
      <c r="I452" s="24" t="str">
        <f>_xlfn.XLOOKUP(Table134526_79101120212223242526[[#This Row],[Name Surname]],Manpower!$C$4:$C$1048576,Manpower!$H$4:$H$1048576,"")</f>
        <v>Manpower</v>
      </c>
      <c r="J452" s="21" t="s">
        <v>48</v>
      </c>
      <c r="K452" s="21" t="s">
        <v>26</v>
      </c>
      <c r="L452" s="21" t="s">
        <v>49</v>
      </c>
      <c r="M452" s="21" t="s">
        <v>55</v>
      </c>
      <c r="N452" s="29">
        <v>10</v>
      </c>
      <c r="R452" s="21" t="s">
        <v>227</v>
      </c>
    </row>
    <row r="453" spans="1:18" s="21" customFormat="1" ht="14.4" hidden="1">
      <c r="A453" s="33">
        <f>IF(C453="","",MAX($A$1:A452)+1)</f>
        <v>432</v>
      </c>
      <c r="B453" s="25" t="s">
        <v>19</v>
      </c>
      <c r="C453" s="23">
        <v>46085</v>
      </c>
      <c r="D453" s="28" t="str">
        <f>_xlfn.XLOOKUP(Table134526_79101120212223242526[[#This Row],[Name Surname]],Manpower!$C$4:$C$1048576,Manpower!$B$4:$B$1048576,"")</f>
        <v>Encogroup</v>
      </c>
      <c r="E453" s="21" t="s">
        <v>73</v>
      </c>
      <c r="F453" s="12">
        <f>_xlfn.XLOOKUP(Table134526_79101120212223242526[[#This Row],[Name Surname]],Manpower!C:C,Manpower!D:D,)</f>
        <v>135325259</v>
      </c>
      <c r="G453" s="28" t="str">
        <f>_xlfn.XLOOKUP(Table134526_79101120212223242526[[#This Row],[Name Surname]],Manpower!$C$4:$C$1048576,Manpower!$F$4:$F$1048576,"")</f>
        <v>Permit Receiver</v>
      </c>
      <c r="H453" s="28" t="str">
        <f>_xlfn.XLOOKUP(Table134526_79101120212223242526[[#This Row],[Name Surname]],Manpower!$C$4:$C$1048576,Manpower!$H$4:$H$1048576,"")</f>
        <v>Manpower</v>
      </c>
      <c r="I453" s="24" t="str">
        <f>_xlfn.XLOOKUP(Table134526_79101120212223242526[[#This Row],[Name Surname]],Manpower!$C$4:$C$1048576,Manpower!$H$4:$H$1048576,"")</f>
        <v>Manpower</v>
      </c>
      <c r="J453" s="21" t="s">
        <v>48</v>
      </c>
      <c r="K453" s="21" t="s">
        <v>26</v>
      </c>
      <c r="L453" s="21" t="s">
        <v>49</v>
      </c>
      <c r="M453" s="21" t="s">
        <v>55</v>
      </c>
      <c r="N453" s="29">
        <v>10</v>
      </c>
      <c r="R453" s="21" t="s">
        <v>227</v>
      </c>
    </row>
    <row r="454" spans="1:18" s="21" customFormat="1" ht="14.4" hidden="1">
      <c r="A454" s="33">
        <f>IF(C454="","",MAX($A$1:A453)+1)</f>
        <v>433</v>
      </c>
      <c r="B454" s="25" t="s">
        <v>19</v>
      </c>
      <c r="C454" s="23">
        <v>46085</v>
      </c>
      <c r="D454" s="28" t="str">
        <f>_xlfn.XLOOKUP(Table134526_79101120212223242526[[#This Row],[Name Surname]],Manpower!$C$4:$C$1048576,Manpower!$B$4:$B$1048576,"")</f>
        <v>Encogroup</v>
      </c>
      <c r="E454" s="21" t="s">
        <v>74</v>
      </c>
      <c r="F454" s="12">
        <f>_xlfn.XLOOKUP(Table134526_79101120212223242526[[#This Row],[Name Surname]],Manpower!C:C,Manpower!D:D,)</f>
        <v>141365089</v>
      </c>
      <c r="G454" s="28" t="str">
        <f>_xlfn.XLOOKUP(Table134526_79101120212223242526[[#This Row],[Name Surname]],Manpower!$C$4:$C$1048576,Manpower!$F$4:$F$1048576,"")</f>
        <v>Fitter</v>
      </c>
      <c r="H454" s="28" t="str">
        <f>_xlfn.XLOOKUP(Table134526_79101120212223242526[[#This Row],[Name Surname]],Manpower!$C$4:$C$1048576,Manpower!$H$4:$H$1048576,"")</f>
        <v>Manpower</v>
      </c>
      <c r="I454" s="24" t="str">
        <f>_xlfn.XLOOKUP(Table134526_79101120212223242526[[#This Row],[Name Surname]],Manpower!$C$4:$C$1048576,Manpower!$H$4:$H$1048576,"")</f>
        <v>Manpower</v>
      </c>
      <c r="J454" s="21" t="s">
        <v>48</v>
      </c>
      <c r="K454" s="21" t="s">
        <v>26</v>
      </c>
      <c r="L454" s="21" t="s">
        <v>49</v>
      </c>
      <c r="M454" s="21" t="s">
        <v>55</v>
      </c>
      <c r="N454" s="29">
        <v>10</v>
      </c>
      <c r="R454" s="21" t="s">
        <v>227</v>
      </c>
    </row>
    <row r="455" spans="1:18" s="21" customFormat="1" ht="14.4" hidden="1">
      <c r="A455" s="33">
        <f>IF(C455="","",MAX($A$1:A454)+1)</f>
        <v>434</v>
      </c>
      <c r="B455" s="25" t="s">
        <v>19</v>
      </c>
      <c r="C455" s="23">
        <v>46085</v>
      </c>
      <c r="D455" s="28" t="str">
        <f>_xlfn.XLOOKUP(Table134526_79101120212223242526[[#This Row],[Name Surname]],Manpower!$C$4:$C$1048576,Manpower!$B$4:$B$1048576,"")</f>
        <v>Encogroup</v>
      </c>
      <c r="E455" s="21" t="s">
        <v>75</v>
      </c>
      <c r="F455" s="12">
        <f>_xlfn.XLOOKUP(Table134526_79101120212223242526[[#This Row],[Name Surname]],Manpower!C:C,Manpower!D:D,)</f>
        <v>122179604</v>
      </c>
      <c r="G455" s="28" t="str">
        <f>_xlfn.XLOOKUP(Table134526_79101120212223242526[[#This Row],[Name Surname]],Manpower!$C$4:$C$1048576,Manpower!$F$4:$F$1048576,"")</f>
        <v>Fitter/Erector</v>
      </c>
      <c r="H455" s="28" t="str">
        <f>_xlfn.XLOOKUP(Table134526_79101120212223242526[[#This Row],[Name Surname]],Manpower!$C$4:$C$1048576,Manpower!$H$4:$H$1048576,"")</f>
        <v>Manpower</v>
      </c>
      <c r="I455" s="24" t="str">
        <f>_xlfn.XLOOKUP(Table134526_79101120212223242526[[#This Row],[Name Surname]],Manpower!$C$4:$C$1048576,Manpower!$H$4:$H$1048576,"")</f>
        <v>Manpower</v>
      </c>
      <c r="J455" s="21" t="s">
        <v>48</v>
      </c>
      <c r="K455" s="21" t="s">
        <v>26</v>
      </c>
      <c r="L455" s="21" t="s">
        <v>49</v>
      </c>
      <c r="M455" s="21" t="s">
        <v>55</v>
      </c>
      <c r="N455" s="29">
        <v>10</v>
      </c>
      <c r="R455" s="21" t="s">
        <v>227</v>
      </c>
    </row>
    <row r="456" spans="1:18" s="21" customFormat="1" ht="14.4" hidden="1">
      <c r="A456" s="33">
        <f>IF(C456="","",MAX($A$1:A455)+1)</f>
        <v>435</v>
      </c>
      <c r="B456" s="25" t="s">
        <v>19</v>
      </c>
      <c r="C456" s="23">
        <v>46085</v>
      </c>
      <c r="D456" s="28" t="str">
        <f>_xlfn.XLOOKUP(Table134526_79101120212223242526[[#This Row],[Name Surname]],Manpower!$C$4:$C$1048576,Manpower!$B$4:$B$1048576,"")</f>
        <v>Encogroup</v>
      </c>
      <c r="E456" s="21" t="s">
        <v>78</v>
      </c>
      <c r="F456" s="12">
        <f>_xlfn.XLOOKUP(Table134526_79101120212223242526[[#This Row],[Name Surname]],Manpower!C:C,Manpower!D:D,)</f>
        <v>117255966</v>
      </c>
      <c r="G456" s="28" t="str">
        <f>_xlfn.XLOOKUP(Table134526_79101120212223242526[[#This Row],[Name Surname]],Manpower!$C$4:$C$1048576,Manpower!$F$4:$F$1048576,"")</f>
        <v>Mechanical Supervisor</v>
      </c>
      <c r="H456" s="28" t="str">
        <f>_xlfn.XLOOKUP(Table134526_79101120212223242526[[#This Row],[Name Surname]],Manpower!$C$4:$C$1048576,Manpower!$H$4:$H$1048576,"")</f>
        <v>Manpower</v>
      </c>
      <c r="I456" s="24" t="str">
        <f>_xlfn.XLOOKUP(Table134526_79101120212223242526[[#This Row],[Name Surname]],Manpower!$C$4:$C$1048576,Manpower!$H$4:$H$1048576,"")</f>
        <v>Manpower</v>
      </c>
      <c r="J456" s="21" t="s">
        <v>48</v>
      </c>
      <c r="K456" s="21" t="s">
        <v>26</v>
      </c>
      <c r="L456" s="21" t="s">
        <v>49</v>
      </c>
      <c r="M456" s="21" t="s">
        <v>55</v>
      </c>
      <c r="N456" s="29">
        <v>10</v>
      </c>
      <c r="R456" s="21" t="s">
        <v>227</v>
      </c>
    </row>
    <row r="457" spans="1:18" s="21" customFormat="1" ht="14.4">
      <c r="A457" s="33">
        <f>IF(C457="","",MAX($A$1:A456)+1)</f>
        <v>436</v>
      </c>
      <c r="B457" s="26" t="s">
        <v>79</v>
      </c>
      <c r="C457" s="23">
        <v>46084</v>
      </c>
      <c r="D457" s="28" t="str">
        <f>_xlfn.XLOOKUP(Table134526_79101120212223242526[[#This Row],[Name Surname]],Manpower!$C$4:$C$1048576,Manpower!$B$4:$B$1048576,"")</f>
        <v>Encogroup</v>
      </c>
      <c r="E457" s="21" t="s">
        <v>137</v>
      </c>
      <c r="F457" s="12" t="e">
        <f>_xlfn.XLOOKUP(Table134526_79101120212223242526[[#This Row],[Name Surname]],Manpower!C:C,Manpower!D:D,)</f>
        <v>#N/A</v>
      </c>
      <c r="G457" s="28" t="str">
        <f>_xlfn.XLOOKUP(Table134526_79101120212223242526[[#This Row],[Name Surname]],Manpower!$C$4:$C$1048576,Manpower!$F$4:$F$1048576,"")</f>
        <v>55 Seat Bus</v>
      </c>
      <c r="H457" s="28" t="str">
        <f>_xlfn.XLOOKUP(Table134526_79101120212223242526[[#This Row],[Name Surname]],Manpower!$C$4:$C$1048576,Manpower!$H$4:$H$1048576,"")</f>
        <v>Equipment</v>
      </c>
      <c r="I457" s="24" t="str">
        <f>_xlfn.XLOOKUP(Table134526_79101120212223242526[[#This Row],[Name Surname]],Manpower!$C$4:$C$1048576,Manpower!$H$4:$H$1048576,"")</f>
        <v>Equipment</v>
      </c>
      <c r="J457" s="21" t="s">
        <v>35</v>
      </c>
      <c r="K457" s="21" t="s">
        <v>81</v>
      </c>
      <c r="L457" s="21" t="s">
        <v>82</v>
      </c>
      <c r="M457" s="21" t="s">
        <v>55</v>
      </c>
      <c r="N457" s="29">
        <v>10</v>
      </c>
      <c r="R457" s="21" t="s">
        <v>227</v>
      </c>
    </row>
    <row r="458" spans="1:18" s="21" customFormat="1" ht="14.4">
      <c r="A458" s="33">
        <f>IF(C458="","",MAX($A$1:A456)+1)</f>
        <v>436</v>
      </c>
      <c r="B458" s="26" t="s">
        <v>79</v>
      </c>
      <c r="C458" s="23">
        <v>46085</v>
      </c>
      <c r="D458" s="28" t="str">
        <f>_xlfn.XLOOKUP(Table134526_79101120212223242526[[#This Row],[Name Surname]],Manpower!$C$4:$C$1048576,Manpower!$B$4:$B$1048576,"")</f>
        <v>Encogroup</v>
      </c>
      <c r="E458" s="21" t="s">
        <v>80</v>
      </c>
      <c r="F458" s="12" t="e">
        <f>_xlfn.XLOOKUP(Table134526_79101120212223242526[[#This Row],[Name Surname]],Manpower!C:C,Manpower!D:D,)</f>
        <v>#N/A</v>
      </c>
      <c r="G458" s="28" t="str">
        <f>_xlfn.XLOOKUP(Table134526_79101120212223242526[[#This Row],[Name Surname]],Manpower!$C$4:$C$1048576,Manpower!$F$4:$F$1048576,"")</f>
        <v>22M-Manlift</v>
      </c>
      <c r="H458" s="28" t="str">
        <f>_xlfn.XLOOKUP(Table134526_79101120212223242526[[#This Row],[Name Surname]],Manpower!$C$4:$C$1048576,Manpower!$H$4:$H$1048576,"")</f>
        <v>Equipment</v>
      </c>
      <c r="I458" s="24" t="str">
        <f>_xlfn.XLOOKUP(Table134526_79101120212223242526[[#This Row],[Name Surname]],Manpower!$C$4:$C$1048576,Manpower!$H$4:$H$1048576,"")</f>
        <v>Equipment</v>
      </c>
      <c r="J458" s="21" t="s">
        <v>35</v>
      </c>
      <c r="K458" s="21" t="s">
        <v>81</v>
      </c>
      <c r="L458" s="21" t="s">
        <v>82</v>
      </c>
      <c r="M458" s="21" t="s">
        <v>55</v>
      </c>
      <c r="N458" s="29">
        <v>10</v>
      </c>
      <c r="R458" s="21" t="s">
        <v>227</v>
      </c>
    </row>
    <row r="459" spans="1:18" s="21" customFormat="1" ht="14.4">
      <c r="A459" s="33">
        <f>IF(C459="","",MAX($A$1:A458)+1)</f>
        <v>437</v>
      </c>
      <c r="B459" s="26" t="s">
        <v>79</v>
      </c>
      <c r="C459" s="23">
        <v>46085</v>
      </c>
      <c r="D459" s="28" t="str">
        <f>_xlfn.XLOOKUP(Table134526_79101120212223242526[[#This Row],[Name Surname]],Manpower!$C$4:$C$1048576,Manpower!$B$4:$B$1048576,"")</f>
        <v>Encogroup</v>
      </c>
      <c r="E459" s="21" t="s">
        <v>84</v>
      </c>
      <c r="F459" s="12" t="e">
        <f>_xlfn.XLOOKUP(Table134526_79101120212223242526[[#This Row],[Name Surname]],Manpower!C:C,Manpower!D:D,)</f>
        <v>#N/A</v>
      </c>
      <c r="G459" s="28" t="str">
        <f>_xlfn.XLOOKUP(Table134526_79101120212223242526[[#This Row],[Name Surname]],Manpower!$C$4:$C$1048576,Manpower!$F$4:$F$1048576,"")</f>
        <v>22M-Manlift</v>
      </c>
      <c r="H459" s="28" t="str">
        <f>_xlfn.XLOOKUP(Table134526_79101120212223242526[[#This Row],[Name Surname]],Manpower!$C$4:$C$1048576,Manpower!$H$4:$H$1048576,"")</f>
        <v>Equipment</v>
      </c>
      <c r="I459" s="24" t="str">
        <f>_xlfn.XLOOKUP(Table134526_79101120212223242526[[#This Row],[Name Surname]],Manpower!$C$4:$C$1048576,Manpower!$H$4:$H$1048576,"")</f>
        <v>Equipment</v>
      </c>
      <c r="J459" s="21" t="s">
        <v>35</v>
      </c>
      <c r="K459" s="21" t="s">
        <v>81</v>
      </c>
      <c r="L459" s="21" t="s">
        <v>82</v>
      </c>
      <c r="M459" s="21" t="s">
        <v>55</v>
      </c>
      <c r="N459" s="29">
        <v>10</v>
      </c>
      <c r="R459" s="21" t="s">
        <v>227</v>
      </c>
    </row>
    <row r="460" spans="1:18" s="21" customFormat="1" ht="14.4">
      <c r="A460" s="33">
        <f>IF(C460="","",MAX($A$1:A459)+1)</f>
        <v>438</v>
      </c>
      <c r="B460" s="26" t="s">
        <v>79</v>
      </c>
      <c r="C460" s="23">
        <v>46085</v>
      </c>
      <c r="D460" s="28" t="str">
        <f>_xlfn.XLOOKUP(Table134526_79101120212223242526[[#This Row],[Name Surname]],Manpower!$C$4:$C$1048576,Manpower!$B$4:$B$1048576,"")</f>
        <v>Nass Group</v>
      </c>
      <c r="E460" s="21" t="s">
        <v>86</v>
      </c>
      <c r="F460" s="12" t="e">
        <f>_xlfn.XLOOKUP(Table134526_79101120212223242526[[#This Row],[Name Surname]],Manpower!C:C,Manpower!D:D,)</f>
        <v>#N/A</v>
      </c>
      <c r="G460" s="28" t="str">
        <f>_xlfn.XLOOKUP(Table134526_79101120212223242526[[#This Row],[Name Surname]],Manpower!$C$4:$C$1048576,Manpower!$F$4:$F$1048576,"")</f>
        <v>70T-Telescopic crane</v>
      </c>
      <c r="H460" s="28" t="str">
        <f>_xlfn.XLOOKUP(Table134526_79101120212223242526[[#This Row],[Name Surname]],Manpower!$C$4:$C$1048576,Manpower!$H$4:$H$1048576,"")</f>
        <v>Equipment</v>
      </c>
      <c r="I460" s="24" t="str">
        <f>_xlfn.XLOOKUP(Table134526_79101120212223242526[[#This Row],[Name Surname]],Manpower!$C$4:$C$1048576,Manpower!$H$4:$H$1048576,"")</f>
        <v>Equipment</v>
      </c>
      <c r="J460" s="21" t="s">
        <v>35</v>
      </c>
      <c r="K460" s="21" t="s">
        <v>81</v>
      </c>
      <c r="L460" s="21" t="s">
        <v>82</v>
      </c>
      <c r="M460" s="21" t="s">
        <v>55</v>
      </c>
      <c r="N460" s="29">
        <v>10</v>
      </c>
      <c r="R460" s="21" t="s">
        <v>227</v>
      </c>
    </row>
    <row r="461" spans="1:18" s="21" customFormat="1" ht="14.4" hidden="1">
      <c r="A461" s="33">
        <f>IF(C461="","",MAX($A$1:A460)+1)</f>
        <v>439</v>
      </c>
      <c r="B461" s="26" t="s">
        <v>79</v>
      </c>
      <c r="C461" s="23">
        <v>46085</v>
      </c>
      <c r="D461" s="28" t="str">
        <f>_xlfn.XLOOKUP(Table134526_79101120212223242526[[#This Row],[Name Surname]],Manpower!$C$4:$C$1048576,Manpower!$B$4:$B$1048576,"")</f>
        <v>Encogroup</v>
      </c>
      <c r="E461" s="21" t="s">
        <v>87</v>
      </c>
      <c r="F461" s="12">
        <f>_xlfn.XLOOKUP(Table134526_79101120212223242526[[#This Row],[Name Surname]],Manpower!C:C,Manpower!D:D,)</f>
        <v>126724428</v>
      </c>
      <c r="G461" s="28" t="str">
        <f>_xlfn.XLOOKUP(Table134526_79101120212223242526[[#This Row],[Name Surname]],Manpower!$C$4:$C$1048576,Manpower!$F$4:$F$1048576,"")</f>
        <v>Surveyor</v>
      </c>
      <c r="H461" s="28" t="str">
        <f>_xlfn.XLOOKUP(Table134526_79101120212223242526[[#This Row],[Name Surname]],Manpower!$C$4:$C$1048576,Manpower!$H$4:$H$1048576,"")</f>
        <v>Manpower</v>
      </c>
      <c r="I461" s="24" t="str">
        <f>_xlfn.XLOOKUP(Table134526_79101120212223242526[[#This Row],[Name Surname]],Manpower!$C$4:$C$1048576,Manpower!$H$4:$H$1048576,"")</f>
        <v>Manpower</v>
      </c>
      <c r="J461" s="21" t="s">
        <v>35</v>
      </c>
      <c r="K461" s="21" t="s">
        <v>88</v>
      </c>
      <c r="L461" s="21" t="s">
        <v>82</v>
      </c>
      <c r="M461" s="21" t="s">
        <v>55</v>
      </c>
      <c r="N461" s="29">
        <v>10</v>
      </c>
      <c r="R461" s="21" t="s">
        <v>227</v>
      </c>
    </row>
    <row r="462" spans="1:18" s="21" customFormat="1" ht="14.4" hidden="1">
      <c r="A462" s="33">
        <f>IF(C462="","",MAX($A$1:A461)+1)</f>
        <v>440</v>
      </c>
      <c r="B462" s="26" t="s">
        <v>79</v>
      </c>
      <c r="C462" s="23">
        <v>46085</v>
      </c>
      <c r="D462" s="28" t="str">
        <f>_xlfn.XLOOKUP(Table134526_79101120212223242526[[#This Row],[Name Surname]],Manpower!$C$4:$C$1048576,Manpower!$B$4:$B$1048576,"")</f>
        <v>Encogroup</v>
      </c>
      <c r="E462" s="21" t="s">
        <v>91</v>
      </c>
      <c r="F462" s="12">
        <f>_xlfn.XLOOKUP(Table134526_79101120212223242526[[#This Row],[Name Surname]],Manpower!C:C,Manpower!D:D,)</f>
        <v>132915855</v>
      </c>
      <c r="G462" s="28" t="str">
        <f>_xlfn.XLOOKUP(Table134526_79101120212223242526[[#This Row],[Name Surname]],Manpower!$C$4:$C$1048576,Manpower!$F$4:$F$1048576,"")</f>
        <v>Mechanical Supervisor</v>
      </c>
      <c r="H462" s="28" t="str">
        <f>_xlfn.XLOOKUP(Table134526_79101120212223242526[[#This Row],[Name Surname]],Manpower!$C$4:$C$1048576,Manpower!$H$4:$H$1048576,"")</f>
        <v>Manpower</v>
      </c>
      <c r="I462" s="24" t="str">
        <f>_xlfn.XLOOKUP(Table134526_79101120212223242526[[#This Row],[Name Surname]],Manpower!$C$4:$C$1048576,Manpower!$H$4:$H$1048576,"")</f>
        <v>Manpower</v>
      </c>
      <c r="J462" s="21" t="s">
        <v>35</v>
      </c>
      <c r="K462" s="21" t="s">
        <v>81</v>
      </c>
      <c r="L462" s="21" t="s">
        <v>82</v>
      </c>
      <c r="M462" s="21" t="s">
        <v>55</v>
      </c>
      <c r="N462" s="29">
        <v>6</v>
      </c>
      <c r="R462" s="21" t="s">
        <v>227</v>
      </c>
    </row>
    <row r="463" spans="1:18" s="21" customFormat="1" ht="14.4" hidden="1">
      <c r="A463" s="33">
        <f>IF(C463="","",MAX($A$1:A462)+1)</f>
        <v>441</v>
      </c>
      <c r="B463" s="26" t="s">
        <v>79</v>
      </c>
      <c r="C463" s="23">
        <v>46085</v>
      </c>
      <c r="D463" s="28" t="str">
        <f>_xlfn.XLOOKUP(Table134526_79101120212223242526[[#This Row],[Name Surname]],Manpower!$C$4:$C$1048576,Manpower!$B$4:$B$1048576,"")</f>
        <v>Encogroup</v>
      </c>
      <c r="E463" s="21" t="s">
        <v>92</v>
      </c>
      <c r="F463" s="12">
        <f>_xlfn.XLOOKUP(Table134526_79101120212223242526[[#This Row],[Name Surname]],Manpower!C:C,Manpower!D:D,)</f>
        <v>141377747</v>
      </c>
      <c r="G463" s="28" t="str">
        <f>_xlfn.XLOOKUP(Table134526_79101120212223242526[[#This Row],[Name Surname]],Manpower!$C$4:$C$1048576,Manpower!$F$4:$F$1048576,"")</f>
        <v>Painter</v>
      </c>
      <c r="H463" s="28" t="str">
        <f>_xlfn.XLOOKUP(Table134526_79101120212223242526[[#This Row],[Name Surname]],Manpower!$C$4:$C$1048576,Manpower!$H$4:$H$1048576,"")</f>
        <v>Manpower</v>
      </c>
      <c r="I463" s="24" t="str">
        <f>_xlfn.XLOOKUP(Table134526_79101120212223242526[[#This Row],[Name Surname]],Manpower!$C$4:$C$1048576,Manpower!$H$4:$H$1048576,"")</f>
        <v>Manpower</v>
      </c>
      <c r="J463" s="21" t="s">
        <v>35</v>
      </c>
      <c r="K463" s="21" t="s">
        <v>93</v>
      </c>
      <c r="L463" s="21" t="s">
        <v>82</v>
      </c>
      <c r="M463" s="21" t="s">
        <v>55</v>
      </c>
      <c r="N463" s="29">
        <v>10</v>
      </c>
      <c r="R463" s="21" t="s">
        <v>227</v>
      </c>
    </row>
    <row r="464" spans="1:18" s="21" customFormat="1" ht="14.4" hidden="1">
      <c r="A464" s="33">
        <f>IF(C464="","",MAX($A$1:A463)+1)</f>
        <v>442</v>
      </c>
      <c r="B464" s="26" t="s">
        <v>79</v>
      </c>
      <c r="C464" s="23">
        <v>46085</v>
      </c>
      <c r="D464" s="28" t="str">
        <f>_xlfn.XLOOKUP(Table134526_79101120212223242526[[#This Row],[Name Surname]],Manpower!$C$4:$C$1048576,Manpower!$B$4:$B$1048576,"")</f>
        <v>Encogroup</v>
      </c>
      <c r="E464" s="21" t="s">
        <v>97</v>
      </c>
      <c r="F464" s="12">
        <f>_xlfn.XLOOKUP(Table134526_79101120212223242526[[#This Row],[Name Surname]],Manpower!C:C,Manpower!D:D,)</f>
        <v>141359235</v>
      </c>
      <c r="G464" s="28" t="str">
        <f>_xlfn.XLOOKUP(Table134526_79101120212223242526[[#This Row],[Name Surname]],Manpower!$C$4:$C$1048576,Manpower!$F$4:$F$1048576,"")</f>
        <v>Fitter</v>
      </c>
      <c r="H464" s="28" t="str">
        <f>_xlfn.XLOOKUP(Table134526_79101120212223242526[[#This Row],[Name Surname]],Manpower!$C$4:$C$1048576,Manpower!$H$4:$H$1048576,"")</f>
        <v>Manpower</v>
      </c>
      <c r="I464" s="24" t="str">
        <f>_xlfn.XLOOKUP(Table134526_79101120212223242526[[#This Row],[Name Surname]],Manpower!$C$4:$C$1048576,Manpower!$H$4:$H$1048576,"")</f>
        <v>Manpower</v>
      </c>
      <c r="J464" s="21" t="s">
        <v>35</v>
      </c>
      <c r="K464" s="21" t="s">
        <v>98</v>
      </c>
      <c r="L464" s="21" t="s">
        <v>82</v>
      </c>
      <c r="M464" s="21" t="s">
        <v>55</v>
      </c>
      <c r="N464" s="29">
        <v>10</v>
      </c>
      <c r="R464" s="21" t="s">
        <v>227</v>
      </c>
    </row>
    <row r="465" spans="1:19" s="21" customFormat="1" ht="14.4" hidden="1">
      <c r="A465" s="33">
        <f>IF(C465="","",MAX($A$1:A464)+1)</f>
        <v>443</v>
      </c>
      <c r="B465" s="26" t="s">
        <v>79</v>
      </c>
      <c r="C465" s="23">
        <v>46085</v>
      </c>
      <c r="D465" s="28" t="str">
        <f>_xlfn.XLOOKUP(Table134526_79101120212223242526[[#This Row],[Name Surname]],Manpower!$C$4:$C$1048576,Manpower!$B$4:$B$1048576,"")</f>
        <v>Encogroup</v>
      </c>
      <c r="E465" s="21" t="s">
        <v>99</v>
      </c>
      <c r="F465" s="12">
        <f>_xlfn.XLOOKUP(Table134526_79101120212223242526[[#This Row],[Name Surname]],Manpower!C:C,Manpower!D:D,)</f>
        <v>140697025</v>
      </c>
      <c r="G465" s="28" t="str">
        <f>_xlfn.XLOOKUP(Table134526_79101120212223242526[[#This Row],[Name Surname]],Manpower!$C$4:$C$1048576,Manpower!$F$4:$F$1048576,"")</f>
        <v>Assistant/Helper</v>
      </c>
      <c r="H465" s="28" t="str">
        <f>_xlfn.XLOOKUP(Table134526_79101120212223242526[[#This Row],[Name Surname]],Manpower!$C$4:$C$1048576,Manpower!$H$4:$H$1048576,"")</f>
        <v>Manpower</v>
      </c>
      <c r="I465" s="24" t="str">
        <f>_xlfn.XLOOKUP(Table134526_79101120212223242526[[#This Row],[Name Surname]],Manpower!$C$4:$C$1048576,Manpower!$H$4:$H$1048576,"")</f>
        <v>Manpower</v>
      </c>
      <c r="J465" s="21" t="s">
        <v>35</v>
      </c>
      <c r="K465" s="21" t="s">
        <v>81</v>
      </c>
      <c r="L465" s="21" t="s">
        <v>82</v>
      </c>
      <c r="M465" s="21" t="s">
        <v>55</v>
      </c>
      <c r="N465" s="29">
        <v>10</v>
      </c>
      <c r="R465" s="21" t="s">
        <v>227</v>
      </c>
    </row>
    <row r="466" spans="1:19" s="21" customFormat="1" ht="14.4" hidden="1">
      <c r="A466" s="33">
        <f>IF(C466="","",MAX($A$1:A465)+1)</f>
        <v>444</v>
      </c>
      <c r="B466" s="26" t="s">
        <v>79</v>
      </c>
      <c r="C466" s="23">
        <v>46085</v>
      </c>
      <c r="D466" s="28" t="str">
        <f>_xlfn.XLOOKUP(Table134526_79101120212223242526[[#This Row],[Name Surname]],Manpower!$C$4:$C$1048576,Manpower!$B$4:$B$1048576,"")</f>
        <v>Encogroup</v>
      </c>
      <c r="E466" s="21" t="s">
        <v>101</v>
      </c>
      <c r="F466" s="12">
        <f>_xlfn.XLOOKUP(Table134526_79101120212223242526[[#This Row],[Name Surname]],Manpower!C:C,Manpower!D:D,)</f>
        <v>141169052</v>
      </c>
      <c r="G466" s="28" t="str">
        <f>_xlfn.XLOOKUP(Table134526_79101120212223242526[[#This Row],[Name Surname]],Manpower!$C$4:$C$1048576,Manpower!$F$4:$F$1048576,"")</f>
        <v>Welder</v>
      </c>
      <c r="H466" s="28" t="str">
        <f>_xlfn.XLOOKUP(Table134526_79101120212223242526[[#This Row],[Name Surname]],Manpower!$C$4:$C$1048576,Manpower!$H$4:$H$1048576,"")</f>
        <v>Manpower</v>
      </c>
      <c r="I466" s="24" t="str">
        <f>_xlfn.XLOOKUP(Table134526_79101120212223242526[[#This Row],[Name Surname]],Manpower!$C$4:$C$1048576,Manpower!$H$4:$H$1048576,"")</f>
        <v>Manpower</v>
      </c>
      <c r="J466" s="21" t="s">
        <v>35</v>
      </c>
      <c r="K466" s="21" t="s">
        <v>98</v>
      </c>
      <c r="L466" s="21" t="s">
        <v>82</v>
      </c>
      <c r="M466" s="21" t="s">
        <v>55</v>
      </c>
      <c r="N466" s="29">
        <v>10</v>
      </c>
      <c r="R466" s="21" t="s">
        <v>227</v>
      </c>
    </row>
    <row r="467" spans="1:19" s="21" customFormat="1" ht="14.4" hidden="1">
      <c r="A467" s="33">
        <f>IF(C467="","",MAX($A$1:A466)+1)</f>
        <v>445</v>
      </c>
      <c r="B467" s="26" t="s">
        <v>79</v>
      </c>
      <c r="C467" s="23">
        <v>46085</v>
      </c>
      <c r="D467" s="28" t="str">
        <f>_xlfn.XLOOKUP(Table134526_79101120212223242526[[#This Row],[Name Surname]],Manpower!$C$4:$C$1048576,Manpower!$B$4:$B$1048576,"")</f>
        <v>Encogroup</v>
      </c>
      <c r="E467" s="21" t="s">
        <v>102</v>
      </c>
      <c r="F467" s="12">
        <f>_xlfn.XLOOKUP(Table134526_79101120212223242526[[#This Row],[Name Surname]],Manpower!C:C,Manpower!D:D,)</f>
        <v>141365075</v>
      </c>
      <c r="G467" s="28" t="str">
        <f>_xlfn.XLOOKUP(Table134526_79101120212223242526[[#This Row],[Name Surname]],Manpower!$C$4:$C$1048576,Manpower!$F$4:$F$1048576,"")</f>
        <v>Helper</v>
      </c>
      <c r="H467" s="28" t="str">
        <f>_xlfn.XLOOKUP(Table134526_79101120212223242526[[#This Row],[Name Surname]],Manpower!$C$4:$C$1048576,Manpower!$H$4:$H$1048576,"")</f>
        <v>Manpower</v>
      </c>
      <c r="I467" s="24" t="str">
        <f>_xlfn.XLOOKUP(Table134526_79101120212223242526[[#This Row],[Name Surname]],Manpower!$C$4:$C$1048576,Manpower!$H$4:$H$1048576,"")</f>
        <v>Manpower</v>
      </c>
      <c r="J467" s="21" t="s">
        <v>35</v>
      </c>
      <c r="K467" s="21" t="s">
        <v>88</v>
      </c>
      <c r="L467" s="21" t="s">
        <v>82</v>
      </c>
      <c r="M467" s="21" t="s">
        <v>55</v>
      </c>
      <c r="N467" s="29">
        <v>10</v>
      </c>
      <c r="R467" s="21" t="s">
        <v>227</v>
      </c>
    </row>
    <row r="468" spans="1:19" s="21" customFormat="1" ht="14.4" hidden="1">
      <c r="A468" s="33">
        <f>IF(C468="","",MAX($A$1:A467)+1)</f>
        <v>446</v>
      </c>
      <c r="B468" s="26" t="s">
        <v>79</v>
      </c>
      <c r="C468" s="23">
        <v>46085</v>
      </c>
      <c r="D468" s="28" t="str">
        <f>_xlfn.XLOOKUP(Table134526_79101120212223242526[[#This Row],[Name Surname]],Manpower!$C$4:$C$1048576,Manpower!$B$4:$B$1048576,"")</f>
        <v>SARENS NASS</v>
      </c>
      <c r="E468" s="21" t="s">
        <v>103</v>
      </c>
      <c r="F468" s="12">
        <f>_xlfn.XLOOKUP(Table134526_79101120212223242526[[#This Row],[Name Surname]],Manpower!C:C,Manpower!D:D,)</f>
        <v>79502392</v>
      </c>
      <c r="G468" s="28" t="str">
        <f>_xlfn.XLOOKUP(Table134526_79101120212223242526[[#This Row],[Name Surname]],Manpower!$C$4:$C$1048576,Manpower!$F$4:$F$1048576,"")</f>
        <v>Crane Operator- 70T Liebherr Telescopic Crane-01</v>
      </c>
      <c r="H468" s="28" t="s">
        <v>39</v>
      </c>
      <c r="I468" s="24" t="s">
        <v>39</v>
      </c>
      <c r="J468" s="21" t="s">
        <v>35</v>
      </c>
      <c r="K468" s="21" t="s">
        <v>104</v>
      </c>
      <c r="L468" s="21" t="s">
        <v>82</v>
      </c>
      <c r="M468" s="21" t="s">
        <v>55</v>
      </c>
      <c r="N468" s="29">
        <v>10</v>
      </c>
      <c r="R468" s="21" t="s">
        <v>227</v>
      </c>
    </row>
    <row r="469" spans="1:19" s="21" customFormat="1" ht="14.4" hidden="1">
      <c r="A469" s="33">
        <f>IF(C469="","",MAX($A$1:A468)+1)</f>
        <v>447</v>
      </c>
      <c r="B469" s="26" t="s">
        <v>79</v>
      </c>
      <c r="C469" s="23">
        <v>46085</v>
      </c>
      <c r="D469" s="28" t="str">
        <f>_xlfn.XLOOKUP(Table134526_79101120212223242526[[#This Row],[Name Surname]],Manpower!$C$4:$C$1048576,Manpower!$B$4:$B$1048576,"")</f>
        <v>Encogroup</v>
      </c>
      <c r="E469" s="21" t="s">
        <v>105</v>
      </c>
      <c r="F469" s="12">
        <f>_xlfn.XLOOKUP(Table134526_79101120212223242526[[#This Row],[Name Surname]],Manpower!C:C,Manpower!D:D,)</f>
        <v>141358993</v>
      </c>
      <c r="G469" s="28" t="str">
        <f>_xlfn.XLOOKUP(Table134526_79101120212223242526[[#This Row],[Name Surname]],Manpower!$C$4:$C$1048576,Manpower!$F$4:$F$1048576,"")</f>
        <v>Fitter</v>
      </c>
      <c r="H469" s="28" t="str">
        <f>_xlfn.XLOOKUP(Table134526_79101120212223242526[[#This Row],[Name Surname]],Manpower!$C$4:$C$1048576,Manpower!$H$4:$H$1048576,"")</f>
        <v>Manpower</v>
      </c>
      <c r="I469" s="24" t="str">
        <f>_xlfn.XLOOKUP(Table134526_79101120212223242526[[#This Row],[Name Surname]],Manpower!$C$4:$C$1048576,Manpower!$H$4:$H$1048576,"")</f>
        <v>Manpower</v>
      </c>
      <c r="J469" s="21" t="s">
        <v>35</v>
      </c>
      <c r="K469" s="21" t="s">
        <v>98</v>
      </c>
      <c r="L469" s="21" t="s">
        <v>82</v>
      </c>
      <c r="M469" s="21" t="s">
        <v>55</v>
      </c>
      <c r="N469" s="29">
        <v>6</v>
      </c>
      <c r="R469" s="21" t="s">
        <v>227</v>
      </c>
    </row>
    <row r="470" spans="1:19" s="21" customFormat="1" ht="14.4" hidden="1">
      <c r="A470" s="33">
        <f>IF(C470="","",MAX($A$1:A469)+1)</f>
        <v>448</v>
      </c>
      <c r="B470" s="26" t="s">
        <v>79</v>
      </c>
      <c r="C470" s="23">
        <v>46085</v>
      </c>
      <c r="D470" s="28" t="str">
        <f>_xlfn.XLOOKUP(Table134526_79101120212223242526[[#This Row],[Name Surname]],Manpower!$C$4:$C$1048576,Manpower!$B$4:$B$1048576,"")</f>
        <v>Encogroup</v>
      </c>
      <c r="E470" s="21" t="s">
        <v>106</v>
      </c>
      <c r="F470" s="12" t="str">
        <f>_xlfn.XLOOKUP(Table134526_79101120212223242526[[#This Row],[Name Surname]],Manpower!C:C,Manpower!D:D,)</f>
        <v>R3971143</v>
      </c>
      <c r="G470" s="28" t="str">
        <f>_xlfn.XLOOKUP(Table134526_79101120212223242526[[#This Row],[Name Surname]],Manpower!$C$4:$C$1048576,Manpower!$F$4:$F$1048576,"")</f>
        <v>Mechanical Foreman</v>
      </c>
      <c r="H470" s="28" t="str">
        <f>_xlfn.XLOOKUP(Table134526_79101120212223242526[[#This Row],[Name Surname]],Manpower!$C$4:$C$1048576,Manpower!$H$4:$H$1048576,"")</f>
        <v>Manpower</v>
      </c>
      <c r="I470" s="24" t="str">
        <f>_xlfn.XLOOKUP(Table134526_79101120212223242526[[#This Row],[Name Surname]],Manpower!$C$4:$C$1048576,Manpower!$H$4:$H$1048576,"")</f>
        <v>Manpower</v>
      </c>
      <c r="J470" s="21" t="s">
        <v>35</v>
      </c>
      <c r="K470" s="21" t="s">
        <v>81</v>
      </c>
      <c r="L470" s="21" t="s">
        <v>82</v>
      </c>
      <c r="M470" s="21" t="s">
        <v>55</v>
      </c>
      <c r="N470" s="29">
        <v>10</v>
      </c>
      <c r="R470" s="21" t="s">
        <v>227</v>
      </c>
    </row>
    <row r="471" spans="1:19" s="21" customFormat="1" ht="14.4" hidden="1">
      <c r="A471" s="33">
        <f>IF(C471="","",MAX($A$1:A470)+1)</f>
        <v>449</v>
      </c>
      <c r="B471" s="26" t="s">
        <v>79</v>
      </c>
      <c r="C471" s="23">
        <v>46085</v>
      </c>
      <c r="D471" s="28" t="str">
        <f>_xlfn.XLOOKUP(Table134526_79101120212223242526[[#This Row],[Name Surname]],Manpower!$C$4:$C$1048576,Manpower!$B$4:$B$1048576,"")</f>
        <v>Encogroup</v>
      </c>
      <c r="E471" s="21" t="s">
        <v>107</v>
      </c>
      <c r="F471" s="12">
        <f>_xlfn.XLOOKUP(Table134526_79101120212223242526[[#This Row],[Name Surname]],Manpower!C:C,Manpower!D:D,)</f>
        <v>116858297</v>
      </c>
      <c r="G471" s="28" t="str">
        <f>_xlfn.XLOOKUP(Table134526_79101120212223242526[[#This Row],[Name Surname]],Manpower!$C$4:$C$1048576,Manpower!$F$4:$F$1048576,"")</f>
        <v>Mechanical Superintendent</v>
      </c>
      <c r="H471" s="28" t="str">
        <f>_xlfn.XLOOKUP(Table134526_79101120212223242526[[#This Row],[Name Surname]],Manpower!$C$4:$C$1048576,Manpower!$H$4:$H$1048576,"")</f>
        <v>Manpower</v>
      </c>
      <c r="I471" s="24" t="str">
        <f>_xlfn.XLOOKUP(Table134526_79101120212223242526[[#This Row],[Name Surname]],Manpower!$C$4:$C$1048576,Manpower!$H$4:$H$1048576,"")</f>
        <v>Manpower</v>
      </c>
      <c r="J471" s="21" t="s">
        <v>35</v>
      </c>
      <c r="K471" s="21" t="s">
        <v>81</v>
      </c>
      <c r="L471" s="21" t="s">
        <v>82</v>
      </c>
      <c r="M471" s="21" t="s">
        <v>55</v>
      </c>
      <c r="N471" s="29">
        <v>6</v>
      </c>
      <c r="R471" s="21" t="s">
        <v>227</v>
      </c>
    </row>
    <row r="472" spans="1:19" s="21" customFormat="1" ht="14.4" hidden="1">
      <c r="A472" s="33">
        <f>IF(C472="","",MAX($A$1:A471)+1)</f>
        <v>450</v>
      </c>
      <c r="B472" s="26" t="s">
        <v>79</v>
      </c>
      <c r="C472" s="23">
        <v>46085</v>
      </c>
      <c r="D472" s="28" t="str">
        <f>_xlfn.XLOOKUP(Table134526_79101120212223242526[[#This Row],[Name Surname]],Manpower!$C$4:$C$1048576,Manpower!$B$4:$B$1048576,"")</f>
        <v>Encogroup</v>
      </c>
      <c r="E472" s="21" t="s">
        <v>109</v>
      </c>
      <c r="F472" s="12">
        <f>_xlfn.XLOOKUP(Table134526_79101120212223242526[[#This Row],[Name Surname]],Manpower!C:C,Manpower!D:D,)</f>
        <v>123805496</v>
      </c>
      <c r="G472" s="28" t="str">
        <f>_xlfn.XLOOKUP(Table134526_79101120212223242526[[#This Row],[Name Surname]],Manpower!$C$4:$C$1048576,Manpower!$F$4:$F$1048576,"")</f>
        <v>Fitter/Erector</v>
      </c>
      <c r="H472" s="28" t="str">
        <f>_xlfn.XLOOKUP(Table134526_79101120212223242526[[#This Row],[Name Surname]],Manpower!$C$4:$C$1048576,Manpower!$H$4:$H$1048576,"")</f>
        <v>Manpower</v>
      </c>
      <c r="I472" s="24" t="str">
        <f>_xlfn.XLOOKUP(Table134526_79101120212223242526[[#This Row],[Name Surname]],Manpower!$C$4:$C$1048576,Manpower!$H$4:$H$1048576,"")</f>
        <v>Manpower</v>
      </c>
      <c r="J472" s="21" t="s">
        <v>35</v>
      </c>
      <c r="K472" s="21" t="s">
        <v>81</v>
      </c>
      <c r="L472" s="21" t="s">
        <v>82</v>
      </c>
      <c r="M472" s="21" t="s">
        <v>55</v>
      </c>
      <c r="N472" s="29">
        <v>10</v>
      </c>
      <c r="R472" s="21" t="s">
        <v>227</v>
      </c>
    </row>
    <row r="473" spans="1:19" s="21" customFormat="1" ht="14.4" hidden="1">
      <c r="A473" s="33">
        <f>IF(C473="","",MAX($A$1:A472)+1)</f>
        <v>451</v>
      </c>
      <c r="B473" s="26" t="s">
        <v>79</v>
      </c>
      <c r="C473" s="23">
        <v>46085</v>
      </c>
      <c r="D473" s="28" t="str">
        <f>_xlfn.XLOOKUP(Table134526_79101120212223242526[[#This Row],[Name Surname]],Manpower!$C$4:$C$1048576,Manpower!$B$4:$B$1048576,"")</f>
        <v>Encogroup</v>
      </c>
      <c r="E473" s="21" t="s">
        <v>110</v>
      </c>
      <c r="F473" s="12">
        <f>_xlfn.XLOOKUP(Table134526_79101120212223242526[[#This Row],[Name Surname]],Manpower!C:C,Manpower!D:D,)</f>
        <v>136277866</v>
      </c>
      <c r="G473" s="28" t="str">
        <f>_xlfn.XLOOKUP(Table134526_79101120212223242526[[#This Row],[Name Surname]],Manpower!$C$4:$C$1048576,Manpower!$F$4:$F$1048576,"")</f>
        <v>Permit Receiver</v>
      </c>
      <c r="H473" s="28" t="str">
        <f>_xlfn.XLOOKUP(Table134526_79101120212223242526[[#This Row],[Name Surname]],Manpower!$C$4:$C$1048576,Manpower!$H$4:$H$1048576,"")</f>
        <v>Manpower</v>
      </c>
      <c r="I473" s="24" t="str">
        <f>_xlfn.XLOOKUP(Table134526_79101120212223242526[[#This Row],[Name Surname]],Manpower!$C$4:$C$1048576,Manpower!$H$4:$H$1048576,"")</f>
        <v>Manpower</v>
      </c>
      <c r="J473" s="21" t="s">
        <v>35</v>
      </c>
      <c r="K473" s="21" t="s">
        <v>81</v>
      </c>
      <c r="L473" s="21" t="s">
        <v>82</v>
      </c>
      <c r="M473" s="21" t="s">
        <v>55</v>
      </c>
      <c r="N473" s="29">
        <v>10</v>
      </c>
      <c r="R473" s="21" t="s">
        <v>227</v>
      </c>
    </row>
    <row r="474" spans="1:19" s="21" customFormat="1" ht="14.4" hidden="1">
      <c r="A474" s="33">
        <f>IF(C474="","",MAX($A$1:A473)+1)</f>
        <v>452</v>
      </c>
      <c r="B474" s="26" t="s">
        <v>79</v>
      </c>
      <c r="C474" s="23">
        <v>46085</v>
      </c>
      <c r="D474" s="28" t="str">
        <f>_xlfn.XLOOKUP(Table134526_79101120212223242526[[#This Row],[Name Surname]],Manpower!$C$4:$C$1048576,Manpower!$B$4:$B$1048576,"")</f>
        <v>Encogroup</v>
      </c>
      <c r="E474" s="21" t="s">
        <v>111</v>
      </c>
      <c r="F474" s="12">
        <f>_xlfn.XLOOKUP(Table134526_79101120212223242526[[#This Row],[Name Surname]],Manpower!C:C,Manpower!D:D,)</f>
        <v>120653364</v>
      </c>
      <c r="G474" s="28" t="str">
        <f>_xlfn.XLOOKUP(Table134526_79101120212223242526[[#This Row],[Name Surname]],Manpower!$C$4:$C$1048576,Manpower!$F$4:$F$1048576,"")</f>
        <v>Surveyor</v>
      </c>
      <c r="H474" s="28" t="str">
        <f>_xlfn.XLOOKUP(Table134526_79101120212223242526[[#This Row],[Name Surname]],Manpower!$C$4:$C$1048576,Manpower!$H$4:$H$1048576,"")</f>
        <v>Manpower</v>
      </c>
      <c r="I474" s="24" t="str">
        <f>_xlfn.XLOOKUP(Table134526_79101120212223242526[[#This Row],[Name Surname]],Manpower!$C$4:$C$1048576,Manpower!$H$4:$H$1048576,"")</f>
        <v>Manpower</v>
      </c>
      <c r="J474" s="21" t="s">
        <v>35</v>
      </c>
      <c r="K474" s="21" t="s">
        <v>88</v>
      </c>
      <c r="L474" s="21" t="s">
        <v>82</v>
      </c>
      <c r="M474" s="21" t="s">
        <v>55</v>
      </c>
      <c r="N474" s="29">
        <v>10</v>
      </c>
      <c r="R474" s="21" t="s">
        <v>227</v>
      </c>
    </row>
    <row r="475" spans="1:19" s="21" customFormat="1" ht="14.4" hidden="1">
      <c r="A475" s="33">
        <f>IF(C475="","",MAX($A$1:A474)+1)</f>
        <v>453</v>
      </c>
      <c r="B475" s="26" t="s">
        <v>79</v>
      </c>
      <c r="C475" s="23">
        <v>46085</v>
      </c>
      <c r="D475" s="28" t="str">
        <f>_xlfn.XLOOKUP(Table134526_79101120212223242526[[#This Row],[Name Surname]],Manpower!$C$4:$C$1048576,Manpower!$B$4:$B$1048576,"")</f>
        <v>Encogroup</v>
      </c>
      <c r="E475" s="21" t="s">
        <v>112</v>
      </c>
      <c r="F475" s="12">
        <f>_xlfn.XLOOKUP(Table134526_79101120212223242526[[#This Row],[Name Surname]],Manpower!C:C,Manpower!D:D,)</f>
        <v>140663253</v>
      </c>
      <c r="G475" s="28" t="str">
        <f>_xlfn.XLOOKUP(Table134526_79101120212223242526[[#This Row],[Name Surname]],Manpower!$C$4:$C$1048576,Manpower!$F$4:$F$1048576,"")</f>
        <v>Painting Inspector</v>
      </c>
      <c r="H475" s="28" t="str">
        <f>_xlfn.XLOOKUP(Table134526_79101120212223242526[[#This Row],[Name Surname]],Manpower!$C$4:$C$1048576,Manpower!$H$4:$H$1048576,"")</f>
        <v>Manpower</v>
      </c>
      <c r="I475" s="24" t="str">
        <f>_xlfn.XLOOKUP(Table134526_79101120212223242526[[#This Row],[Name Surname]],Manpower!$C$4:$C$1048576,Manpower!$H$4:$H$1048576,"")</f>
        <v>Manpower</v>
      </c>
      <c r="J475" s="21" t="s">
        <v>35</v>
      </c>
      <c r="K475" s="21" t="s">
        <v>113</v>
      </c>
      <c r="L475" s="21" t="s">
        <v>82</v>
      </c>
      <c r="M475" s="21" t="s">
        <v>55</v>
      </c>
      <c r="N475" s="29">
        <v>10</v>
      </c>
      <c r="R475" s="21" t="s">
        <v>227</v>
      </c>
    </row>
    <row r="476" spans="1:19" s="21" customFormat="1" ht="14.4" hidden="1">
      <c r="A476" s="33">
        <f>IF(C476="","",MAX($A$1:A475)+1)</f>
        <v>454</v>
      </c>
      <c r="B476" s="26" t="s">
        <v>79</v>
      </c>
      <c r="C476" s="23">
        <v>46085</v>
      </c>
      <c r="D476" s="28" t="str">
        <f>_xlfn.XLOOKUP(Table134526_79101120212223242526[[#This Row],[Name Surname]],Manpower!$C$4:$C$1048576,Manpower!$B$4:$B$1048576,"")</f>
        <v>Encogroup</v>
      </c>
      <c r="E476" s="21" t="s">
        <v>116</v>
      </c>
      <c r="F476" s="12">
        <f>_xlfn.XLOOKUP(Table134526_79101120212223242526[[#This Row],[Name Surname]],Manpower!C:C,Manpower!D:D,)</f>
        <v>140844604</v>
      </c>
      <c r="G476" s="28" t="str">
        <f>_xlfn.XLOOKUP(Table134526_79101120212223242526[[#This Row],[Name Surname]],Manpower!$C$4:$C$1048576,Manpower!$F$4:$F$1048576,"")</f>
        <v>Painter</v>
      </c>
      <c r="H476" s="28" t="str">
        <f>_xlfn.XLOOKUP(Table134526_79101120212223242526[[#This Row],[Name Surname]],Manpower!$C$4:$C$1048576,Manpower!$H$4:$H$1048576,"")</f>
        <v>Manpower</v>
      </c>
      <c r="I476" s="24" t="str">
        <f>_xlfn.XLOOKUP(Table134526_79101120212223242526[[#This Row],[Name Surname]],Manpower!$C$4:$C$1048576,Manpower!$H$4:$H$1048576,"")</f>
        <v>Manpower</v>
      </c>
      <c r="J476" s="21" t="s">
        <v>35</v>
      </c>
      <c r="K476" s="21" t="s">
        <v>113</v>
      </c>
      <c r="L476" s="21" t="s">
        <v>82</v>
      </c>
      <c r="M476" s="21" t="s">
        <v>55</v>
      </c>
      <c r="N476" s="29">
        <v>10</v>
      </c>
      <c r="R476" s="21" t="s">
        <v>227</v>
      </c>
    </row>
    <row r="477" spans="1:19" s="21" customFormat="1" ht="14.4" hidden="1">
      <c r="A477" s="33">
        <f>IF(C477="","",MAX($A$1:A476)+1)</f>
        <v>455</v>
      </c>
      <c r="B477" s="26" t="s">
        <v>79</v>
      </c>
      <c r="C477" s="23">
        <v>46085</v>
      </c>
      <c r="D477" s="28" t="str">
        <f>_xlfn.XLOOKUP(Table134526_79101120212223242526[[#This Row],[Name Surname]],Manpower!$C$4:$C$1048576,Manpower!$B$4:$B$1048576,"")</f>
        <v>Encogroup</v>
      </c>
      <c r="E477" s="21" t="s">
        <v>117</v>
      </c>
      <c r="F477" s="12">
        <f>_xlfn.XLOOKUP(Table134526_79101120212223242526[[#This Row],[Name Surname]],Manpower!C:C,Manpower!D:D,)</f>
        <v>140844783</v>
      </c>
      <c r="G477" s="28" t="str">
        <f>_xlfn.XLOOKUP(Table134526_79101120212223242526[[#This Row],[Name Surname]],Manpower!$C$4:$C$1048576,Manpower!$F$4:$F$1048576,"")</f>
        <v>Painter</v>
      </c>
      <c r="H477" s="28" t="str">
        <f>_xlfn.XLOOKUP(Table134526_79101120212223242526[[#This Row],[Name Surname]],Manpower!$C$4:$C$1048576,Manpower!$H$4:$H$1048576,"")</f>
        <v>Manpower</v>
      </c>
      <c r="I477" s="24" t="str">
        <f>_xlfn.XLOOKUP(Table134526_79101120212223242526[[#This Row],[Name Surname]],Manpower!$C$4:$C$1048576,Manpower!$H$4:$H$1048576,"")</f>
        <v>Manpower</v>
      </c>
      <c r="J477" s="21" t="s">
        <v>35</v>
      </c>
      <c r="K477" s="21" t="s">
        <v>113</v>
      </c>
      <c r="L477" s="21" t="s">
        <v>82</v>
      </c>
      <c r="M477" s="21" t="s">
        <v>55</v>
      </c>
      <c r="N477" s="29">
        <v>10</v>
      </c>
      <c r="R477" s="21" t="s">
        <v>227</v>
      </c>
    </row>
    <row r="478" spans="1:19" s="21" customFormat="1" ht="14.4" hidden="1">
      <c r="A478" s="33">
        <f>IF(C478="","",MAX($A$1:A477)+1)</f>
        <v>456</v>
      </c>
      <c r="B478" s="26" t="s">
        <v>79</v>
      </c>
      <c r="C478" s="23">
        <v>46085</v>
      </c>
      <c r="D478" s="28" t="str">
        <f>_xlfn.XLOOKUP(Table134526_79101120212223242526[[#This Row],[Name Surname]],Manpower!$C$4:$C$1048576,Manpower!$B$4:$B$1048576,"")</f>
        <v>Encogroup</v>
      </c>
      <c r="E478" s="21" t="s">
        <v>118</v>
      </c>
      <c r="F478" s="12" t="str">
        <f>_xlfn.XLOOKUP(Table134526_79101120212223242526[[#This Row],[Name Surname]],Manpower!C:C,Manpower!D:D,)</f>
        <v>AG111207</v>
      </c>
      <c r="G478" s="28" t="str">
        <f>_xlfn.XLOOKUP(Table134526_79101120212223242526[[#This Row],[Name Surname]],Manpower!$C$4:$C$1048576,Manpower!$F$4:$F$1048576,"")</f>
        <v>Assistant/Helper</v>
      </c>
      <c r="H478" s="28" t="str">
        <f>_xlfn.XLOOKUP(Table134526_79101120212223242526[[#This Row],[Name Surname]],Manpower!$C$4:$C$1048576,Manpower!$H$4:$H$1048576,"")</f>
        <v>Manpower</v>
      </c>
      <c r="I478" s="24" t="str">
        <f>_xlfn.XLOOKUP(Table134526_79101120212223242526[[#This Row],[Name Surname]],Manpower!$C$4:$C$1048576,Manpower!$H$4:$H$1048576,"")</f>
        <v>Manpower</v>
      </c>
      <c r="J478" s="21" t="s">
        <v>35</v>
      </c>
      <c r="K478" s="21" t="s">
        <v>113</v>
      </c>
      <c r="L478" s="21" t="s">
        <v>82</v>
      </c>
      <c r="M478" s="21" t="s">
        <v>55</v>
      </c>
      <c r="N478" s="29">
        <v>10</v>
      </c>
      <c r="R478" s="21" t="s">
        <v>227</v>
      </c>
    </row>
    <row r="479" spans="1:19" s="43" customFormat="1" ht="14.4" hidden="1">
      <c r="A479" s="25">
        <f>IF(C479="","",MAX($A$1:A478)+1)</f>
        <v>457</v>
      </c>
      <c r="B479" s="25" t="s">
        <v>79</v>
      </c>
      <c r="C479" s="41">
        <v>46085</v>
      </c>
      <c r="D479" s="48" t="str">
        <f>_xlfn.XLOOKUP(Table134526_79101120212223242526[[#This Row],[Name Surname]],Manpower!$C$4:$C$1048576,Manpower!$B$4:$B$1048576,"")</f>
        <v>Encogroup</v>
      </c>
      <c r="E479" s="43" t="s">
        <v>119</v>
      </c>
      <c r="F479" s="12">
        <f>_xlfn.XLOOKUP(Table134526_79101120212223242526[[#This Row],[Name Surname]],Manpower!C:C,Manpower!D:D,)</f>
        <v>140844778</v>
      </c>
      <c r="G479" s="48" t="str">
        <f>_xlfn.XLOOKUP(Table134526_79101120212223242526[[#This Row],[Name Surname]],Manpower!$C$4:$C$1048576,Manpower!$F$4:$F$1048576,"")</f>
        <v>Painter</v>
      </c>
      <c r="H479" s="48" t="str">
        <f>_xlfn.XLOOKUP(Table134526_79101120212223242526[[#This Row],[Name Surname]],Manpower!$C$4:$C$1048576,Manpower!$H$4:$H$1048576,"")</f>
        <v>Manpower</v>
      </c>
      <c r="I479" s="42" t="str">
        <f>_xlfn.XLOOKUP(Table134526_79101120212223242526[[#This Row],[Name Surname]],Manpower!$C$4:$C$1048576,Manpower!$H$4:$H$1048576,"")</f>
        <v>Manpower</v>
      </c>
      <c r="J479" s="43" t="s">
        <v>35</v>
      </c>
      <c r="K479" s="43" t="s">
        <v>113</v>
      </c>
      <c r="L479" s="43" t="s">
        <v>82</v>
      </c>
      <c r="M479" s="43" t="s">
        <v>55</v>
      </c>
      <c r="N479" s="44">
        <v>6</v>
      </c>
      <c r="R479" s="43" t="s">
        <v>227</v>
      </c>
      <c r="S479" s="43" t="s">
        <v>230</v>
      </c>
    </row>
    <row r="480" spans="1:19" s="21" customFormat="1" ht="14.4" hidden="1">
      <c r="A480" s="33">
        <f>IF(C480="","",MAX($A$1:A479)+1)</f>
        <v>458</v>
      </c>
      <c r="B480" s="26" t="s">
        <v>79</v>
      </c>
      <c r="C480" s="23">
        <v>46085</v>
      </c>
      <c r="D480" s="28" t="str">
        <f>_xlfn.XLOOKUP(Table134526_79101120212223242526[[#This Row],[Name Surname]],Manpower!$C$4:$C$1048576,Manpower!$B$4:$B$1048576,"")</f>
        <v>Encogroup</v>
      </c>
      <c r="E480" s="21" t="s">
        <v>120</v>
      </c>
      <c r="F480" s="12">
        <f>_xlfn.XLOOKUP(Table134526_79101120212223242526[[#This Row],[Name Surname]],Manpower!C:C,Manpower!D:D,)</f>
        <v>141365037</v>
      </c>
      <c r="G480" s="28" t="str">
        <f>_xlfn.XLOOKUP(Table134526_79101120212223242526[[#This Row],[Name Surname]],Manpower!$C$4:$C$1048576,Manpower!$F$4:$F$1048576,"")</f>
        <v>Painter</v>
      </c>
      <c r="H480" s="28" t="str">
        <f>_xlfn.XLOOKUP(Table134526_79101120212223242526[[#This Row],[Name Surname]],Manpower!$C$4:$C$1048576,Manpower!$H$4:$H$1048576,"")</f>
        <v>Manpower</v>
      </c>
      <c r="I480" s="24" t="str">
        <f>_xlfn.XLOOKUP(Table134526_79101120212223242526[[#This Row],[Name Surname]],Manpower!$C$4:$C$1048576,Manpower!$H$4:$H$1048576,"")</f>
        <v>Manpower</v>
      </c>
      <c r="J480" s="21" t="s">
        <v>35</v>
      </c>
      <c r="K480" s="21" t="s">
        <v>113</v>
      </c>
      <c r="L480" s="21" t="s">
        <v>82</v>
      </c>
      <c r="M480" s="21" t="s">
        <v>55</v>
      </c>
      <c r="N480" s="29">
        <v>10</v>
      </c>
      <c r="R480" s="21" t="s">
        <v>227</v>
      </c>
    </row>
    <row r="481" spans="1:18" s="21" customFormat="1" ht="14.4" hidden="1">
      <c r="A481" s="33">
        <f>IF(C481="","",MAX($A$1:A480)+1)</f>
        <v>459</v>
      </c>
      <c r="B481" s="26" t="s">
        <v>79</v>
      </c>
      <c r="C481" s="23">
        <v>46085</v>
      </c>
      <c r="D481" s="28" t="str">
        <f>_xlfn.XLOOKUP(Table134526_79101120212223242526[[#This Row],[Name Surname]],Manpower!$C$4:$C$1048576,Manpower!$B$4:$B$1048576,"")</f>
        <v>Encogroup</v>
      </c>
      <c r="E481" s="21" t="s">
        <v>121</v>
      </c>
      <c r="F481" s="12">
        <f>_xlfn.XLOOKUP(Table134526_79101120212223242526[[#This Row],[Name Surname]],Manpower!C:C,Manpower!D:D,)</f>
        <v>141377709</v>
      </c>
      <c r="G481" s="28" t="str">
        <f>_xlfn.XLOOKUP(Table134526_79101120212223242526[[#This Row],[Name Surname]],Manpower!$C$4:$C$1048576,Manpower!$F$4:$F$1048576,"")</f>
        <v>Helper</v>
      </c>
      <c r="H481" s="28" t="str">
        <f>_xlfn.XLOOKUP(Table134526_79101120212223242526[[#This Row],[Name Surname]],Manpower!$C$4:$C$1048576,Manpower!$H$4:$H$1048576,"")</f>
        <v>Manpower</v>
      </c>
      <c r="I481" s="24" t="str">
        <f>_xlfn.XLOOKUP(Table134526_79101120212223242526[[#This Row],[Name Surname]],Manpower!$C$4:$C$1048576,Manpower!$H$4:$H$1048576,"")</f>
        <v>Manpower</v>
      </c>
      <c r="J481" s="21" t="s">
        <v>35</v>
      </c>
      <c r="K481" s="21" t="s">
        <v>113</v>
      </c>
      <c r="L481" s="21" t="s">
        <v>82</v>
      </c>
      <c r="M481" s="21" t="s">
        <v>55</v>
      </c>
      <c r="N481" s="29">
        <v>10</v>
      </c>
      <c r="R481" s="21" t="s">
        <v>227</v>
      </c>
    </row>
    <row r="482" spans="1:18" s="21" customFormat="1" ht="14.4" hidden="1">
      <c r="A482" s="33">
        <f>IF(C482="","",MAX($A$1:A481)+1)</f>
        <v>460</v>
      </c>
      <c r="B482" s="26" t="s">
        <v>79</v>
      </c>
      <c r="C482" s="23">
        <v>46085</v>
      </c>
      <c r="D482" s="28" t="str">
        <f>_xlfn.XLOOKUP(Table134526_79101120212223242526[[#This Row],[Name Surname]],Manpower!$C$4:$C$1048576,Manpower!$B$4:$B$1048576,"")</f>
        <v>Encogroup</v>
      </c>
      <c r="E482" s="21" t="s">
        <v>122</v>
      </c>
      <c r="F482" s="12">
        <f>_xlfn.XLOOKUP(Table134526_79101120212223242526[[#This Row],[Name Surname]],Manpower!C:C,Manpower!D:D,)</f>
        <v>140805554</v>
      </c>
      <c r="G482" s="28" t="str">
        <f>_xlfn.XLOOKUP(Table134526_79101120212223242526[[#This Row],[Name Surname]],Manpower!$C$4:$C$1048576,Manpower!$F$4:$F$1048576,"")</f>
        <v>Assistant/Helper</v>
      </c>
      <c r="H482" s="28" t="str">
        <f>_xlfn.XLOOKUP(Table134526_79101120212223242526[[#This Row],[Name Surname]],Manpower!$C$4:$C$1048576,Manpower!$H$4:$H$1048576,"")</f>
        <v>Manpower</v>
      </c>
      <c r="I482" s="24" t="str">
        <f>_xlfn.XLOOKUP(Table134526_79101120212223242526[[#This Row],[Name Surname]],Manpower!$C$4:$C$1048576,Manpower!$H$4:$H$1048576,"")</f>
        <v>Manpower</v>
      </c>
      <c r="J482" s="21" t="s">
        <v>35</v>
      </c>
      <c r="K482" s="21" t="s">
        <v>98</v>
      </c>
      <c r="L482" s="21" t="s">
        <v>82</v>
      </c>
      <c r="M482" s="21" t="s">
        <v>55</v>
      </c>
      <c r="N482" s="29">
        <v>10</v>
      </c>
      <c r="R482" s="21" t="s">
        <v>227</v>
      </c>
    </row>
    <row r="483" spans="1:18" s="21" customFormat="1" ht="14.4" hidden="1">
      <c r="A483" s="33">
        <f>IF(C483="","",MAX($A$1:A482)+1)</f>
        <v>461</v>
      </c>
      <c r="B483" s="26" t="s">
        <v>79</v>
      </c>
      <c r="C483" s="23">
        <v>46085</v>
      </c>
      <c r="D483" s="28" t="str">
        <f>_xlfn.XLOOKUP(Table134526_79101120212223242526[[#This Row],[Name Surname]],Manpower!$C$4:$C$1048576,Manpower!$B$4:$B$1048576,"")</f>
        <v>Encogroup</v>
      </c>
      <c r="E483" s="21" t="s">
        <v>124</v>
      </c>
      <c r="F483" s="12">
        <f>_xlfn.XLOOKUP(Table134526_79101120212223242526[[#This Row],[Name Surname]],Manpower!C:C,Manpower!D:D,)</f>
        <v>141169033</v>
      </c>
      <c r="G483" s="28" t="str">
        <f>_xlfn.XLOOKUP(Table134526_79101120212223242526[[#This Row],[Name Surname]],Manpower!$C$4:$C$1048576,Manpower!$F$4:$F$1048576,"")</f>
        <v>Welder</v>
      </c>
      <c r="H483" s="28" t="str">
        <f>_xlfn.XLOOKUP(Table134526_79101120212223242526[[#This Row],[Name Surname]],Manpower!$C$4:$C$1048576,Manpower!$H$4:$H$1048576,"")</f>
        <v>Manpower</v>
      </c>
      <c r="I483" s="24" t="str">
        <f>_xlfn.XLOOKUP(Table134526_79101120212223242526[[#This Row],[Name Surname]],Manpower!$C$4:$C$1048576,Manpower!$H$4:$H$1048576,"")</f>
        <v>Manpower</v>
      </c>
      <c r="J483" s="21" t="s">
        <v>35</v>
      </c>
      <c r="K483" s="21" t="s">
        <v>98</v>
      </c>
      <c r="L483" s="21" t="s">
        <v>82</v>
      </c>
      <c r="M483" s="21" t="s">
        <v>55</v>
      </c>
      <c r="N483" s="29">
        <v>10</v>
      </c>
      <c r="R483" s="21" t="s">
        <v>227</v>
      </c>
    </row>
    <row r="484" spans="1:18" s="21" customFormat="1" ht="14.4" hidden="1">
      <c r="A484" s="33">
        <f>IF(C484="","",MAX($A$1:A483)+1)</f>
        <v>462</v>
      </c>
      <c r="B484" s="26" t="s">
        <v>79</v>
      </c>
      <c r="C484" s="23">
        <v>46085</v>
      </c>
      <c r="D484" s="28" t="str">
        <f>_xlfn.XLOOKUP(Table134526_79101120212223242526[[#This Row],[Name Surname]],Manpower!$C$4:$C$1048576,Manpower!$B$4:$B$1048576,"")</f>
        <v>Encogroup</v>
      </c>
      <c r="E484" s="21" t="s">
        <v>125</v>
      </c>
      <c r="F484" s="12">
        <f>_xlfn.XLOOKUP(Table134526_79101120212223242526[[#This Row],[Name Surname]],Manpower!C:C,Manpower!D:D,)</f>
        <v>141169028</v>
      </c>
      <c r="G484" s="28" t="str">
        <f>_xlfn.XLOOKUP(Table134526_79101120212223242526[[#This Row],[Name Surname]],Manpower!$C$4:$C$1048576,Manpower!$F$4:$F$1048576,"")</f>
        <v>Welder</v>
      </c>
      <c r="H484" s="28" t="str">
        <f>_xlfn.XLOOKUP(Table134526_79101120212223242526[[#This Row],[Name Surname]],Manpower!$C$4:$C$1048576,Manpower!$H$4:$H$1048576,"")</f>
        <v>Manpower</v>
      </c>
      <c r="I484" s="24" t="str">
        <f>_xlfn.XLOOKUP(Table134526_79101120212223242526[[#This Row],[Name Surname]],Manpower!$C$4:$C$1048576,Manpower!$H$4:$H$1048576,"")</f>
        <v>Manpower</v>
      </c>
      <c r="J484" s="21" t="s">
        <v>35</v>
      </c>
      <c r="K484" s="21" t="s">
        <v>104</v>
      </c>
      <c r="L484" s="21" t="s">
        <v>82</v>
      </c>
      <c r="M484" s="21" t="s">
        <v>55</v>
      </c>
      <c r="N484" s="29">
        <v>10</v>
      </c>
      <c r="R484" s="21" t="s">
        <v>227</v>
      </c>
    </row>
    <row r="485" spans="1:18" s="21" customFormat="1" ht="14.4" hidden="1">
      <c r="A485" s="33">
        <f>IF(C485="","",MAX($A$1:A484)+1)</f>
        <v>463</v>
      </c>
      <c r="B485" s="26" t="s">
        <v>79</v>
      </c>
      <c r="C485" s="23">
        <v>46085</v>
      </c>
      <c r="D485" s="28" t="str">
        <f>_xlfn.XLOOKUP(Table134526_79101120212223242526[[#This Row],[Name Surname]],Manpower!$C$4:$C$1048576,Manpower!$B$4:$B$1048576,"")</f>
        <v>Encogroup</v>
      </c>
      <c r="E485" s="21" t="s">
        <v>126</v>
      </c>
      <c r="F485" s="12">
        <f>_xlfn.XLOOKUP(Table134526_79101120212223242526[[#This Row],[Name Surname]],Manpower!C:C,Manpower!D:D,)</f>
        <v>140805568</v>
      </c>
      <c r="G485" s="28" t="str">
        <f>_xlfn.XLOOKUP(Table134526_79101120212223242526[[#This Row],[Name Surname]],Manpower!$C$4:$C$1048576,Manpower!$F$4:$F$1048576,"")</f>
        <v>Assistant/Helper</v>
      </c>
      <c r="H485" s="28" t="str">
        <f>_xlfn.XLOOKUP(Table134526_79101120212223242526[[#This Row],[Name Surname]],Manpower!$C$4:$C$1048576,Manpower!$H$4:$H$1048576,"")</f>
        <v>Manpower</v>
      </c>
      <c r="I485" s="24" t="str">
        <f>_xlfn.XLOOKUP(Table134526_79101120212223242526[[#This Row],[Name Surname]],Manpower!$C$4:$C$1048576,Manpower!$H$4:$H$1048576,"")</f>
        <v>Manpower</v>
      </c>
      <c r="J485" s="21" t="s">
        <v>35</v>
      </c>
      <c r="K485" s="21" t="s">
        <v>127</v>
      </c>
      <c r="L485" s="21" t="s">
        <v>82</v>
      </c>
      <c r="M485" s="21" t="s">
        <v>55</v>
      </c>
      <c r="N485" s="29">
        <v>10</v>
      </c>
      <c r="R485" s="21" t="s">
        <v>227</v>
      </c>
    </row>
    <row r="486" spans="1:18" s="21" customFormat="1" ht="14.4" hidden="1">
      <c r="A486" s="33">
        <f>IF(C486="","",MAX($A$1:A485)+1)</f>
        <v>464</v>
      </c>
      <c r="B486" s="26" t="s">
        <v>79</v>
      </c>
      <c r="C486" s="23">
        <v>46085</v>
      </c>
      <c r="D486" s="28" t="str">
        <f>_xlfn.XLOOKUP(Table134526_79101120212223242526[[#This Row],[Name Surname]],Manpower!$C$4:$C$1048576,Manpower!$B$4:$B$1048576,"")</f>
        <v>AL Saif &amp; Al QALLM ENT LLC</v>
      </c>
      <c r="E486" s="21" t="s">
        <v>130</v>
      </c>
      <c r="F486" s="12">
        <f>_xlfn.XLOOKUP(Table134526_79101120212223242526[[#This Row],[Name Surname]],Manpower!C:C,Manpower!D:D,)</f>
        <v>76647648</v>
      </c>
      <c r="G486" s="28" t="str">
        <f>_xlfn.XLOOKUP(Table134526_79101120212223242526[[#This Row],[Name Surname]],Manpower!$C$4:$C$1048576,Manpower!$F$4:$F$1048576,"")</f>
        <v>RIgger</v>
      </c>
      <c r="H486" s="28" t="str">
        <f>_xlfn.XLOOKUP(Table134526_79101120212223242526[[#This Row],[Name Surname]],Manpower!$C$4:$C$1048576,Manpower!$H$4:$H$1048576,"")</f>
        <v>Sub Contactor</v>
      </c>
      <c r="I486" s="24" t="str">
        <f>_xlfn.XLOOKUP(Table134526_79101120212223242526[[#This Row],[Name Surname]],Manpower!$C$4:$C$1048576,Manpower!$H$4:$H$1048576,"")</f>
        <v>Sub Contactor</v>
      </c>
      <c r="J486" s="21" t="s">
        <v>35</v>
      </c>
      <c r="K486" s="21" t="s">
        <v>104</v>
      </c>
      <c r="L486" s="21" t="s">
        <v>82</v>
      </c>
      <c r="M486" s="21" t="s">
        <v>55</v>
      </c>
      <c r="N486" s="29">
        <v>10</v>
      </c>
      <c r="R486" s="21" t="s">
        <v>227</v>
      </c>
    </row>
    <row r="487" spans="1:18" s="21" customFormat="1" ht="14.4" hidden="1">
      <c r="A487" s="33">
        <f>IF(C487="","",MAX($A$1:A486)+1)</f>
        <v>465</v>
      </c>
      <c r="B487" s="26" t="s">
        <v>79</v>
      </c>
      <c r="C487" s="23">
        <v>46085</v>
      </c>
      <c r="D487" s="28" t="str">
        <f>_xlfn.XLOOKUP(Table134526_79101120212223242526[[#This Row],[Name Surname]],Manpower!$C$4:$C$1048576,Manpower!$B$4:$B$1048576,"")</f>
        <v>Rabwu Ahamal AL Khaleej Trad</v>
      </c>
      <c r="E487" s="21" t="s">
        <v>131</v>
      </c>
      <c r="F487" s="12">
        <f>_xlfn.XLOOKUP(Table134526_79101120212223242526[[#This Row],[Name Surname]],Manpower!C:C,Manpower!D:D,)</f>
        <v>131431131</v>
      </c>
      <c r="G487" s="28" t="str">
        <f>_xlfn.XLOOKUP(Table134526_79101120212223242526[[#This Row],[Name Surname]],Manpower!$C$4:$C$1048576,Manpower!$F$4:$F$1048576,"")</f>
        <v>RIgger</v>
      </c>
      <c r="H487" s="28" t="str">
        <f>_xlfn.XLOOKUP(Table134526_79101120212223242526[[#This Row],[Name Surname]],Manpower!$C$4:$C$1048576,Manpower!$H$4:$H$1048576,"")</f>
        <v>Sub Contactor</v>
      </c>
      <c r="I487" s="24" t="str">
        <f>_xlfn.XLOOKUP(Table134526_79101120212223242526[[#This Row],[Name Surname]],Manpower!$C$4:$C$1048576,Manpower!$H$4:$H$1048576,"")</f>
        <v>Sub Contactor</v>
      </c>
      <c r="J487" s="21" t="s">
        <v>35</v>
      </c>
      <c r="K487" s="21" t="s">
        <v>104</v>
      </c>
      <c r="L487" s="21" t="s">
        <v>82</v>
      </c>
      <c r="M487" s="21" t="s">
        <v>55</v>
      </c>
      <c r="N487" s="29">
        <v>10</v>
      </c>
      <c r="R487" s="21" t="s">
        <v>227</v>
      </c>
    </row>
    <row r="488" spans="1:18" s="21" customFormat="1" ht="14.4" hidden="1">
      <c r="A488" s="33">
        <f>IF(C488="","",MAX($A$1:A487)+1)</f>
        <v>466</v>
      </c>
      <c r="B488" s="26" t="s">
        <v>79</v>
      </c>
      <c r="C488" s="23">
        <v>46085</v>
      </c>
      <c r="D488" s="28" t="str">
        <f>_xlfn.XLOOKUP(Table134526_79101120212223242526[[#This Row],[Name Surname]],Manpower!$C$4:$C$1048576,Manpower!$B$4:$B$1048576,"")</f>
        <v>AL Saif &amp; Al QALLM ENT LLC</v>
      </c>
      <c r="E488" s="21" t="s">
        <v>132</v>
      </c>
      <c r="F488" s="12">
        <f>_xlfn.XLOOKUP(Table134526_79101120212223242526[[#This Row],[Name Surname]],Manpower!C:C,Manpower!D:D,)</f>
        <v>135762195</v>
      </c>
      <c r="G488" s="28" t="str">
        <f>_xlfn.XLOOKUP(Table134526_79101120212223242526[[#This Row],[Name Surname]],Manpower!$C$4:$C$1048576,Manpower!$F$4:$F$1048576,"")</f>
        <v>HSE Officer</v>
      </c>
      <c r="H488" s="28" t="str">
        <f>_xlfn.XLOOKUP(Table134526_79101120212223242526[[#This Row],[Name Surname]],Manpower!$C$4:$C$1048576,Manpower!$H$4:$H$1048576,"")</f>
        <v>Sub Contactor</v>
      </c>
      <c r="I488" s="24" t="str">
        <f>_xlfn.XLOOKUP(Table134526_79101120212223242526[[#This Row],[Name Surname]],Manpower!$C$4:$C$1048576,Manpower!$H$4:$H$1048576,"")</f>
        <v>Sub Contactor</v>
      </c>
      <c r="J488" s="21" t="s">
        <v>35</v>
      </c>
      <c r="K488" s="21" t="s">
        <v>81</v>
      </c>
      <c r="L488" s="21" t="s">
        <v>82</v>
      </c>
      <c r="M488" s="21" t="s">
        <v>55</v>
      </c>
      <c r="N488" s="29">
        <v>10</v>
      </c>
      <c r="R488" s="21" t="s">
        <v>227</v>
      </c>
    </row>
    <row r="489" spans="1:18" s="21" customFormat="1" ht="14.4" hidden="1">
      <c r="A489" s="33">
        <f>IF(C489="","",MAX($A$1:A488)+1)</f>
        <v>467</v>
      </c>
      <c r="B489" s="26" t="s">
        <v>79</v>
      </c>
      <c r="C489" s="23">
        <v>46085</v>
      </c>
      <c r="D489" s="28" t="str">
        <f>_xlfn.XLOOKUP(Table134526_79101120212223242526[[#This Row],[Name Surname]],Manpower!$C$4:$C$1048576,Manpower!$B$4:$B$1048576,"")</f>
        <v>Encogroup</v>
      </c>
      <c r="E489" s="21" t="s">
        <v>133</v>
      </c>
      <c r="F489" s="12">
        <f>_xlfn.XLOOKUP(Table134526_79101120212223242526[[#This Row],[Name Surname]],Manpower!C:C,Manpower!D:D,)</f>
        <v>140846684</v>
      </c>
      <c r="G489" s="28" t="str">
        <f>_xlfn.XLOOKUP(Table134526_79101120212223242526[[#This Row],[Name Surname]],Manpower!$C$4:$C$1048576,Manpower!$F$4:$F$1048576,"")</f>
        <v>Assistant/Helper</v>
      </c>
      <c r="H489" s="28" t="str">
        <f>_xlfn.XLOOKUP(Table134526_79101120212223242526[[#This Row],[Name Surname]],Manpower!$C$4:$C$1048576,Manpower!$H$4:$H$1048576,"")</f>
        <v>Manpower</v>
      </c>
      <c r="I489" s="24" t="str">
        <f>_xlfn.XLOOKUP(Table134526_79101120212223242526[[#This Row],[Name Surname]],Manpower!$C$4:$C$1048576,Manpower!$H$4:$H$1048576,"")</f>
        <v>Manpower</v>
      </c>
      <c r="J489" s="21" t="s">
        <v>35</v>
      </c>
      <c r="K489" s="21" t="s">
        <v>81</v>
      </c>
      <c r="L489" s="21" t="s">
        <v>82</v>
      </c>
      <c r="M489" s="21" t="s">
        <v>55</v>
      </c>
      <c r="N489" s="29">
        <v>10</v>
      </c>
      <c r="R489" s="21" t="s">
        <v>227</v>
      </c>
    </row>
    <row r="490" spans="1:18" s="21" customFormat="1" ht="14.4" hidden="1">
      <c r="A490" s="33">
        <f>IF(C490="","",MAX($A$1:A489)+1)</f>
        <v>468</v>
      </c>
      <c r="B490" s="26" t="s">
        <v>79</v>
      </c>
      <c r="C490" s="23">
        <v>46085</v>
      </c>
      <c r="D490" s="28" t="str">
        <f>_xlfn.XLOOKUP(Table134526_79101120212223242526[[#This Row],[Name Surname]],Manpower!$C$4:$C$1048576,Manpower!$B$4:$B$1048576,"")</f>
        <v>Encogroup</v>
      </c>
      <c r="E490" s="21" t="s">
        <v>136</v>
      </c>
      <c r="F490" s="12">
        <f>_xlfn.XLOOKUP(Table134526_79101120212223242526[[#This Row],[Name Surname]],Manpower!C:C,Manpower!D:D,)</f>
        <v>141250908</v>
      </c>
      <c r="G490" s="28" t="str">
        <f>_xlfn.XLOOKUP(Table134526_79101120212223242526[[#This Row],[Name Surname]],Manpower!$C$4:$C$1048576,Manpower!$F$4:$F$1048576,"")</f>
        <v>Mechanical Engineer</v>
      </c>
      <c r="H490" s="28" t="str">
        <f>_xlfn.XLOOKUP(Table134526_79101120212223242526[[#This Row],[Name Surname]],Manpower!$C$4:$C$1048576,Manpower!$H$4:$H$1048576,"")</f>
        <v>Manpower</v>
      </c>
      <c r="I490" s="24" t="str">
        <f>_xlfn.XLOOKUP(Table134526_79101120212223242526[[#This Row],[Name Surname]],Manpower!$C$4:$C$1048576,Manpower!$H$4:$H$1048576,"")</f>
        <v>Manpower</v>
      </c>
      <c r="J490" s="21" t="s">
        <v>35</v>
      </c>
      <c r="K490" s="21" t="s">
        <v>81</v>
      </c>
      <c r="L490" s="21" t="s">
        <v>82</v>
      </c>
      <c r="M490" s="21" t="s">
        <v>55</v>
      </c>
      <c r="N490" s="29">
        <v>10</v>
      </c>
      <c r="R490" s="21" t="s">
        <v>227</v>
      </c>
    </row>
    <row r="491" spans="1:18" s="21" customFormat="1" ht="14.4">
      <c r="A491" s="33">
        <f>IF(C491="","",MAX($A$1:A490)+1)</f>
        <v>469</v>
      </c>
      <c r="B491" s="26" t="s">
        <v>79</v>
      </c>
      <c r="C491" s="23">
        <v>46085</v>
      </c>
      <c r="D491" s="28" t="str">
        <f>_xlfn.XLOOKUP(Table134526_79101120212223242526[[#This Row],[Name Surname]],Manpower!$C$4:$C$1048576,Manpower!$B$4:$B$1048576,"")</f>
        <v>Encogroup</v>
      </c>
      <c r="E491" s="21" t="s">
        <v>137</v>
      </c>
      <c r="F491" s="12" t="e">
        <f>_xlfn.XLOOKUP(Table134526_79101120212223242526[[#This Row],[Name Surname]],Manpower!C:C,Manpower!D:D,)</f>
        <v>#N/A</v>
      </c>
      <c r="G491" s="28" t="str">
        <f>_xlfn.XLOOKUP(Table134526_79101120212223242526[[#This Row],[Name Surname]],Manpower!$C$4:$C$1048576,Manpower!$F$4:$F$1048576,"")</f>
        <v>55 Seat Bus</v>
      </c>
      <c r="H491" s="28" t="str">
        <f>_xlfn.XLOOKUP(Table134526_79101120212223242526[[#This Row],[Name Surname]],Manpower!$C$4:$C$1048576,Manpower!$H$4:$H$1048576,"")</f>
        <v>Equipment</v>
      </c>
      <c r="I491" s="24" t="str">
        <f>_xlfn.XLOOKUP(Table134526_79101120212223242526[[#This Row],[Name Surname]],Manpower!$C$4:$C$1048576,Manpower!$H$4:$H$1048576,"")</f>
        <v>Equipment</v>
      </c>
      <c r="J491" s="21" t="s">
        <v>35</v>
      </c>
      <c r="K491" s="21" t="s">
        <v>81</v>
      </c>
      <c r="L491" s="21" t="s">
        <v>82</v>
      </c>
      <c r="M491" s="21" t="s">
        <v>55</v>
      </c>
      <c r="N491" s="29">
        <v>10</v>
      </c>
      <c r="R491" s="21" t="s">
        <v>227</v>
      </c>
    </row>
    <row r="492" spans="1:18" s="21" customFormat="1" ht="14.4">
      <c r="A492" s="33">
        <f>IF(C492="","",MAX($A$1:A490)+1)</f>
        <v>469</v>
      </c>
      <c r="B492" s="26" t="s">
        <v>79</v>
      </c>
      <c r="C492" s="23">
        <v>46085</v>
      </c>
      <c r="D492" s="28" t="str">
        <f>_xlfn.XLOOKUP(Table134526_79101120212223242526[[#This Row],[Name Surname]],Manpower!$C$4:$C$1048576,Manpower!$B$4:$B$1048576,"")</f>
        <v>Encogroup</v>
      </c>
      <c r="E492" s="23" t="s">
        <v>139</v>
      </c>
      <c r="F492" s="12" t="e">
        <f>_xlfn.XLOOKUP(Table134526_79101120212223242526[[#This Row],[Name Surname]],Manpower!C:C,Manpower!D:D,)</f>
        <v>#N/A</v>
      </c>
      <c r="G492" s="28" t="str">
        <f>_xlfn.XLOOKUP(Table134526_79101120212223242526[[#This Row],[Name Surname]],Manpower!$C$4:$C$1048576,Manpower!$F$4:$F$1048576,"")</f>
        <v>TOWER LIGHT</v>
      </c>
      <c r="H492" s="28" t="str">
        <f>_xlfn.XLOOKUP(Table134526_79101120212223242526[[#This Row],[Name Surname]],Manpower!$C$4:$C$1048576,Manpower!$H$4:$H$1048576,"")</f>
        <v>Equipment</v>
      </c>
      <c r="I492" s="24" t="str">
        <f>_xlfn.XLOOKUP(Table134526_79101120212223242526[[#This Row],[Name Surname]],Manpower!$C$4:$C$1048576,Manpower!$H$4:$H$1048576,"")</f>
        <v>Equipment</v>
      </c>
      <c r="J492" s="21" t="s">
        <v>35</v>
      </c>
      <c r="K492" s="21" t="s">
        <v>81</v>
      </c>
      <c r="L492" s="21" t="s">
        <v>82</v>
      </c>
      <c r="M492" s="21" t="s">
        <v>55</v>
      </c>
      <c r="N492" s="29">
        <v>10</v>
      </c>
      <c r="R492" s="21" t="s">
        <v>227</v>
      </c>
    </row>
    <row r="493" spans="1:18" s="21" customFormat="1" ht="14.4">
      <c r="A493" s="33">
        <f>IF(C493="","",MAX($A$1:A492)+1)</f>
        <v>470</v>
      </c>
      <c r="B493" s="27" t="s">
        <v>141</v>
      </c>
      <c r="C493" s="23">
        <v>46085</v>
      </c>
      <c r="D493" s="28" t="str">
        <f>_xlfn.XLOOKUP(Table134526_79101120212223242526[[#This Row],[Name Surname]],Manpower!$C$4:$C$1048576,Manpower!$B$4:$B$1048576,"")</f>
        <v>Encogroup</v>
      </c>
      <c r="E493" s="21" t="s">
        <v>142</v>
      </c>
      <c r="F493" s="12" t="e">
        <f>_xlfn.XLOOKUP(Table134526_79101120212223242526[[#This Row],[Name Surname]],Manpower!C:C,Manpower!D:D,)</f>
        <v>#N/A</v>
      </c>
      <c r="G493" s="28" t="str">
        <f>_xlfn.XLOOKUP(Table134526_79101120212223242526[[#This Row],[Name Surname]],Manpower!$C$4:$C$1048576,Manpower!$F$4:$F$1048576,"")</f>
        <v>13 Seat Bus</v>
      </c>
      <c r="H493" s="28" t="str">
        <f>_xlfn.XLOOKUP(Table134526_79101120212223242526[[#This Row],[Name Surname]],Manpower!$C$4:$C$1048576,Manpower!$H$4:$H$1048576,"")</f>
        <v>Equipment</v>
      </c>
      <c r="I493" s="24" t="str">
        <f>_xlfn.XLOOKUP(Table134526_79101120212223242526[[#This Row],[Name Surname]],Manpower!$C$4:$C$1048576,Manpower!$H$4:$H$1048576,"")</f>
        <v>Equipment</v>
      </c>
      <c r="J493" s="21" t="s">
        <v>143</v>
      </c>
      <c r="K493" s="21" t="s">
        <v>26</v>
      </c>
      <c r="L493" s="21" t="s">
        <v>144</v>
      </c>
      <c r="M493" s="21" t="s">
        <v>55</v>
      </c>
      <c r="N493" s="29">
        <v>10</v>
      </c>
      <c r="R493" s="21" t="s">
        <v>227</v>
      </c>
    </row>
    <row r="494" spans="1:18" s="21" customFormat="1" ht="14.4">
      <c r="A494" s="33">
        <f>IF(C494="","",MAX($A$1:A493)+1)</f>
        <v>471</v>
      </c>
      <c r="B494" s="27" t="s">
        <v>141</v>
      </c>
      <c r="C494" s="23">
        <v>46085</v>
      </c>
      <c r="D494" s="28" t="str">
        <f>_xlfn.XLOOKUP(Table134526_79101120212223242526[[#This Row],[Name Surname]],Manpower!$C$4:$C$1048576,Manpower!$B$4:$B$1048576,"")</f>
        <v>Encogroup</v>
      </c>
      <c r="E494" s="23" t="s">
        <v>145</v>
      </c>
      <c r="F494" s="12" t="e">
        <f>_xlfn.XLOOKUP(Table134526_79101120212223242526[[#This Row],[Name Surname]],Manpower!C:C,Manpower!D:D,)</f>
        <v>#N/A</v>
      </c>
      <c r="G494" s="28" t="str">
        <f>_xlfn.XLOOKUP(Table134526_79101120212223242526[[#This Row],[Name Surname]],Manpower!$C$4:$C$1048576,Manpower!$F$4:$F$1048576,"")</f>
        <v>15 Seat Bus</v>
      </c>
      <c r="H494" s="28" t="str">
        <f>_xlfn.XLOOKUP(Table134526_79101120212223242526[[#This Row],[Name Surname]],Manpower!$C$4:$C$1048576,Manpower!$H$4:$H$1048576,"")</f>
        <v>Equipment</v>
      </c>
      <c r="I494" s="24" t="str">
        <f>_xlfn.XLOOKUP(Table134526_79101120212223242526[[#This Row],[Name Surname]],Manpower!$C$4:$C$1048576,Manpower!$H$4:$H$1048576,"")</f>
        <v>Equipment</v>
      </c>
      <c r="J494" s="21" t="s">
        <v>143</v>
      </c>
      <c r="K494" s="21" t="s">
        <v>26</v>
      </c>
      <c r="L494" s="21" t="s">
        <v>144</v>
      </c>
      <c r="M494" s="21" t="s">
        <v>55</v>
      </c>
      <c r="N494" s="29">
        <v>10</v>
      </c>
      <c r="R494" s="21" t="s">
        <v>227</v>
      </c>
    </row>
    <row r="495" spans="1:18" s="21" customFormat="1" ht="14.4">
      <c r="A495" s="33">
        <f>IF(C495="","",MAX($A$1:A493)+1)</f>
        <v>471</v>
      </c>
      <c r="B495" s="27" t="s">
        <v>141</v>
      </c>
      <c r="C495" s="23">
        <v>46085</v>
      </c>
      <c r="D495" s="28" t="str">
        <f>_xlfn.XLOOKUP(Table134526_79101120212223242526[[#This Row],[Name Surname]],Manpower!$C$4:$C$1048576,Manpower!$B$4:$B$1048576,"")</f>
        <v>Nass Group</v>
      </c>
      <c r="E495" s="21" t="s">
        <v>146</v>
      </c>
      <c r="F495" s="12" t="e">
        <f>_xlfn.XLOOKUP(Table134526_79101120212223242526[[#This Row],[Name Surname]],Manpower!C:C,Manpower!D:D,)</f>
        <v>#N/A</v>
      </c>
      <c r="G495" s="28" t="str">
        <f>_xlfn.XLOOKUP(Table134526_79101120212223242526[[#This Row],[Name Surname]],Manpower!$C$4:$C$1048576,Manpower!$F$4:$F$1048576,"")</f>
        <v>130T Crawler Crane</v>
      </c>
      <c r="H495" s="28" t="str">
        <f>_xlfn.XLOOKUP(Table134526_79101120212223242526[[#This Row],[Name Surname]],Manpower!$C$4:$C$1048576,Manpower!$H$4:$H$1048576,"")</f>
        <v>Equipment</v>
      </c>
      <c r="I495" s="24" t="str">
        <f>_xlfn.XLOOKUP(Table134526_79101120212223242526[[#This Row],[Name Surname]],Manpower!$C$4:$C$1048576,Manpower!$H$4:$H$1048576,"")</f>
        <v>Equipment</v>
      </c>
      <c r="J495" s="21" t="s">
        <v>143</v>
      </c>
      <c r="K495" s="21" t="s">
        <v>26</v>
      </c>
      <c r="L495" s="21" t="s">
        <v>144</v>
      </c>
      <c r="M495" s="21" t="s">
        <v>55</v>
      </c>
      <c r="N495" s="29">
        <v>10</v>
      </c>
      <c r="R495" s="21" t="s">
        <v>227</v>
      </c>
    </row>
    <row r="496" spans="1:18" s="21" customFormat="1" ht="14.4">
      <c r="A496" s="33">
        <f>IF(C496="","",MAX($A$1:A495)+1)</f>
        <v>472</v>
      </c>
      <c r="B496" s="27" t="s">
        <v>141</v>
      </c>
      <c r="C496" s="23">
        <v>46085</v>
      </c>
      <c r="D496" s="28" t="str">
        <f>_xlfn.XLOOKUP(Table134526_79101120212223242526[[#This Row],[Name Surname]],Manpower!$C$4:$C$1048576,Manpower!$B$4:$B$1048576,"")</f>
        <v>Nass Group</v>
      </c>
      <c r="E496" s="21" t="s">
        <v>148</v>
      </c>
      <c r="F496" s="12" t="e">
        <f>_xlfn.XLOOKUP(Table134526_79101120212223242526[[#This Row],[Name Surname]],Manpower!C:C,Manpower!D:D,)</f>
        <v>#N/A</v>
      </c>
      <c r="G496" s="28" t="str">
        <f>_xlfn.XLOOKUP(Table134526_79101120212223242526[[#This Row],[Name Surname]],Manpower!$C$4:$C$1048576,Manpower!$F$4:$F$1048576,"")</f>
        <v>70T-Telescopic crane</v>
      </c>
      <c r="H496" s="28" t="str">
        <f>_xlfn.XLOOKUP(Table134526_79101120212223242526[[#This Row],[Name Surname]],Manpower!$C$4:$C$1048576,Manpower!$H$4:$H$1048576,"")</f>
        <v>Equipment</v>
      </c>
      <c r="I496" s="24" t="str">
        <f>_xlfn.XLOOKUP(Table134526_79101120212223242526[[#This Row],[Name Surname]],Manpower!$C$4:$C$1048576,Manpower!$H$4:$H$1048576,"")</f>
        <v>Equipment</v>
      </c>
      <c r="J496" s="21" t="s">
        <v>143</v>
      </c>
      <c r="K496" s="21" t="s">
        <v>26</v>
      </c>
      <c r="L496" s="21" t="s">
        <v>144</v>
      </c>
      <c r="M496" s="21" t="s">
        <v>55</v>
      </c>
      <c r="N496" s="29">
        <v>10</v>
      </c>
      <c r="R496" s="21" t="s">
        <v>227</v>
      </c>
    </row>
    <row r="497" spans="1:18" s="21" customFormat="1" ht="14.4">
      <c r="A497" s="33">
        <f>IF(C497="","",MAX($A$1:A496)+1)</f>
        <v>473</v>
      </c>
      <c r="B497" s="27" t="s">
        <v>141</v>
      </c>
      <c r="C497" s="23">
        <v>46085</v>
      </c>
      <c r="D497" s="28" t="str">
        <f>_xlfn.XLOOKUP(Table134526_79101120212223242526[[#This Row],[Name Surname]],Manpower!$C$4:$C$1048576,Manpower!$B$4:$B$1048576,"")</f>
        <v>Encogroup</v>
      </c>
      <c r="E497" s="21" t="s">
        <v>150</v>
      </c>
      <c r="F497" s="12" t="e">
        <f>_xlfn.XLOOKUP(Table134526_79101120212223242526[[#This Row],[Name Surname]],Manpower!C:C,Manpower!D:D,)</f>
        <v>#N/A</v>
      </c>
      <c r="G497" s="28" t="str">
        <f>_xlfn.XLOOKUP(Table134526_79101120212223242526[[#This Row],[Name Surname]],Manpower!$C$4:$C$1048576,Manpower!$F$4:$F$1048576,"")</f>
        <v>14T Fork lift</v>
      </c>
      <c r="H497" s="28" t="str">
        <f>_xlfn.XLOOKUP(Table134526_79101120212223242526[[#This Row],[Name Surname]],Manpower!$C$4:$C$1048576,Manpower!$H$4:$H$1048576,"")</f>
        <v>Equipment</v>
      </c>
      <c r="I497" s="24" t="str">
        <f>_xlfn.XLOOKUP(Table134526_79101120212223242526[[#This Row],[Name Surname]],Manpower!$C$4:$C$1048576,Manpower!$H$4:$H$1048576,"")</f>
        <v>Equipment</v>
      </c>
      <c r="J497" s="21" t="s">
        <v>143</v>
      </c>
      <c r="K497" s="21" t="s">
        <v>26</v>
      </c>
      <c r="L497" s="21" t="s">
        <v>144</v>
      </c>
      <c r="M497" s="21" t="s">
        <v>55</v>
      </c>
      <c r="N497" s="29">
        <v>10</v>
      </c>
      <c r="R497" s="21" t="s">
        <v>227</v>
      </c>
    </row>
    <row r="498" spans="1:18" s="21" customFormat="1" ht="14.4">
      <c r="A498" s="33">
        <f>IF(C498="","",MAX($A$1:A497)+1)</f>
        <v>474</v>
      </c>
      <c r="B498" s="27" t="s">
        <v>141</v>
      </c>
      <c r="C498" s="23">
        <v>46085</v>
      </c>
      <c r="D498" s="28" t="str">
        <f>_xlfn.XLOOKUP(Table134526_79101120212223242526[[#This Row],[Name Surname]],Manpower!$C$4:$C$1048576,Manpower!$B$4:$B$1048576,"")</f>
        <v>Al Jaber Heavy Lift</v>
      </c>
      <c r="E498" s="21" t="s">
        <v>151</v>
      </c>
      <c r="F498" s="12" t="e">
        <f>_xlfn.XLOOKUP(Table134526_79101120212223242526[[#This Row],[Name Surname]],Manpower!C:C,Manpower!D:D,)</f>
        <v>#N/A</v>
      </c>
      <c r="G498" s="28" t="str">
        <f>_xlfn.XLOOKUP(Table134526_79101120212223242526[[#This Row],[Name Surname]],Manpower!$C$4:$C$1048576,Manpower!$F$4:$F$1048576,"")</f>
        <v>150T-Crawler Crane</v>
      </c>
      <c r="H498" s="28" t="str">
        <f>_xlfn.XLOOKUP(Table134526_79101120212223242526[[#This Row],[Name Surname]],Manpower!$C$4:$C$1048576,Manpower!$H$4:$H$1048576,"")</f>
        <v>Equipment</v>
      </c>
      <c r="I498" s="24" t="str">
        <f>_xlfn.XLOOKUP(Table134526_79101120212223242526[[#This Row],[Name Surname]],Manpower!$C$4:$C$1048576,Manpower!$H$4:$H$1048576,"")</f>
        <v>Equipment</v>
      </c>
      <c r="J498" s="21" t="s">
        <v>143</v>
      </c>
      <c r="K498" s="21" t="s">
        <v>26</v>
      </c>
      <c r="L498" s="21" t="s">
        <v>144</v>
      </c>
      <c r="M498" s="21" t="s">
        <v>55</v>
      </c>
      <c r="N498" s="29">
        <v>10</v>
      </c>
      <c r="R498" s="21" t="s">
        <v>227</v>
      </c>
    </row>
    <row r="499" spans="1:18" s="21" customFormat="1" ht="14.4">
      <c r="A499" s="33">
        <f>IF(C499="","",MAX($A$1:A498)+1)</f>
        <v>475</v>
      </c>
      <c r="B499" s="27" t="s">
        <v>141</v>
      </c>
      <c r="C499" s="23">
        <v>46085</v>
      </c>
      <c r="D499" s="28" t="str">
        <f>_xlfn.XLOOKUP(Table134526_79101120212223242526[[#This Row],[Name Surname]],Manpower!$C$4:$C$1048576,Manpower!$B$4:$B$1048576,"")</f>
        <v>Encogroup</v>
      </c>
      <c r="E499" s="21" t="s">
        <v>153</v>
      </c>
      <c r="F499" s="12" t="e">
        <f>_xlfn.XLOOKUP(Table134526_79101120212223242526[[#This Row],[Name Surname]],Manpower!C:C,Manpower!D:D,)</f>
        <v>#N/A</v>
      </c>
      <c r="G499" s="28" t="str">
        <f>_xlfn.XLOOKUP(Table134526_79101120212223242526[[#This Row],[Name Surname]],Manpower!$C$4:$C$1048576,Manpower!$F$4:$F$1048576,"")</f>
        <v>22 Seat Bus</v>
      </c>
      <c r="H499" s="28" t="str">
        <f>_xlfn.XLOOKUP(Table134526_79101120212223242526[[#This Row],[Name Surname]],Manpower!$C$4:$C$1048576,Manpower!$H$4:$H$1048576,"")</f>
        <v>Equipment</v>
      </c>
      <c r="I499" s="24" t="str">
        <f>_xlfn.XLOOKUP(Table134526_79101120212223242526[[#This Row],[Name Surname]],Manpower!$C$4:$C$1048576,Manpower!$H$4:$H$1048576,"")</f>
        <v>Equipment</v>
      </c>
      <c r="J499" s="21" t="s">
        <v>143</v>
      </c>
      <c r="K499" s="21" t="s">
        <v>26</v>
      </c>
      <c r="L499" s="21" t="s">
        <v>144</v>
      </c>
      <c r="M499" s="21" t="s">
        <v>55</v>
      </c>
      <c r="N499" s="29">
        <v>10</v>
      </c>
      <c r="R499" s="21" t="s">
        <v>227</v>
      </c>
    </row>
    <row r="500" spans="1:18" s="21" customFormat="1" ht="14.4">
      <c r="A500" s="33">
        <f>IF(C500="","",MAX($A$1:A499)+1)</f>
        <v>476</v>
      </c>
      <c r="B500" s="27" t="s">
        <v>141</v>
      </c>
      <c r="C500" s="23">
        <v>46085</v>
      </c>
      <c r="D500" s="28" t="str">
        <f>_xlfn.XLOOKUP(Table134526_79101120212223242526[[#This Row],[Name Surname]],Manpower!$C$4:$C$1048576,Manpower!$B$4:$B$1048576,"")</f>
        <v>Encogroup</v>
      </c>
      <c r="E500" s="21" t="s">
        <v>154</v>
      </c>
      <c r="F500" s="12" t="e">
        <f>_xlfn.XLOOKUP(Table134526_79101120212223242526[[#This Row],[Name Surname]],Manpower!C:C,Manpower!D:D,)</f>
        <v>#N/A</v>
      </c>
      <c r="G500" s="28" t="str">
        <f>_xlfn.XLOOKUP(Table134526_79101120212223242526[[#This Row],[Name Surname]],Manpower!$C$4:$C$1048576,Manpower!$F$4:$F$1048576,"")</f>
        <v>22 Seat Bus</v>
      </c>
      <c r="H500" s="28" t="str">
        <f>_xlfn.XLOOKUP(Table134526_79101120212223242526[[#This Row],[Name Surname]],Manpower!$C$4:$C$1048576,Manpower!$H$4:$H$1048576,"")</f>
        <v>Equipment</v>
      </c>
      <c r="I500" s="24" t="str">
        <f>_xlfn.XLOOKUP(Table134526_79101120212223242526[[#This Row],[Name Surname]],Manpower!$C$4:$C$1048576,Manpower!$H$4:$H$1048576,"")</f>
        <v>Equipment</v>
      </c>
      <c r="J500" s="21" t="s">
        <v>143</v>
      </c>
      <c r="K500" s="21" t="s">
        <v>26</v>
      </c>
      <c r="L500" s="21" t="s">
        <v>144</v>
      </c>
      <c r="M500" s="21" t="s">
        <v>55</v>
      </c>
      <c r="N500" s="29">
        <v>10</v>
      </c>
      <c r="R500" s="21" t="s">
        <v>227</v>
      </c>
    </row>
    <row r="501" spans="1:18" s="21" customFormat="1" ht="14.4">
      <c r="A501" s="33">
        <f>IF(C501="","",MAX($A$1:A500)+1)</f>
        <v>477</v>
      </c>
      <c r="B501" s="27" t="s">
        <v>141</v>
      </c>
      <c r="C501" s="23">
        <v>46085</v>
      </c>
      <c r="D501" s="28" t="str">
        <f>_xlfn.XLOOKUP(Table134526_79101120212223242526[[#This Row],[Name Surname]],Manpower!$C$4:$C$1048576,Manpower!$B$4:$B$1048576,"")</f>
        <v>Encogroup</v>
      </c>
      <c r="E501" s="21" t="s">
        <v>155</v>
      </c>
      <c r="F501" s="12" t="e">
        <f>_xlfn.XLOOKUP(Table134526_79101120212223242526[[#This Row],[Name Surname]],Manpower!C:C,Manpower!D:D,)</f>
        <v>#N/A</v>
      </c>
      <c r="G501" s="28" t="str">
        <f>_xlfn.XLOOKUP(Table134526_79101120212223242526[[#This Row],[Name Surname]],Manpower!$C$4:$C$1048576,Manpower!$F$4:$F$1048576,"")</f>
        <v>300 KVA Generator</v>
      </c>
      <c r="H501" s="28" t="str">
        <f>_xlfn.XLOOKUP(Table134526_79101120212223242526[[#This Row],[Name Surname]],Manpower!$C$4:$C$1048576,Manpower!$H$4:$H$1048576,"")</f>
        <v>Equipment</v>
      </c>
      <c r="I501" s="24" t="str">
        <f>_xlfn.XLOOKUP(Table134526_79101120212223242526[[#This Row],[Name Surname]],Manpower!$C$4:$C$1048576,Manpower!$H$4:$H$1048576,"")</f>
        <v>Equipment</v>
      </c>
      <c r="J501" s="21" t="s">
        <v>143</v>
      </c>
      <c r="K501" s="21" t="s">
        <v>26</v>
      </c>
      <c r="L501" s="21" t="s">
        <v>144</v>
      </c>
      <c r="M501" s="21" t="s">
        <v>24</v>
      </c>
      <c r="N501" s="29">
        <v>10</v>
      </c>
      <c r="R501" s="21" t="s">
        <v>227</v>
      </c>
    </row>
    <row r="502" spans="1:18" s="21" customFormat="1" ht="14.4">
      <c r="A502" s="33">
        <f>IF(C502="","",MAX($A$1:A501)+1)</f>
        <v>478</v>
      </c>
      <c r="B502" s="27" t="s">
        <v>141</v>
      </c>
      <c r="C502" s="23">
        <v>46085</v>
      </c>
      <c r="D502" s="28" t="str">
        <f>_xlfn.XLOOKUP(Table134526_79101120212223242526[[#This Row],[Name Surname]],Manpower!$C$4:$C$1048576,Manpower!$B$4:$B$1048576,"")</f>
        <v>Encogroup</v>
      </c>
      <c r="E502" s="23" t="s">
        <v>156</v>
      </c>
      <c r="F502" s="12" t="e">
        <f>_xlfn.XLOOKUP(Table134526_79101120212223242526[[#This Row],[Name Surname]],Manpower!C:C,Manpower!D:D,)</f>
        <v>#N/A</v>
      </c>
      <c r="G502" s="28" t="str">
        <f>_xlfn.XLOOKUP(Table134526_79101120212223242526[[#This Row],[Name Surname]],Manpower!$C$4:$C$1048576,Manpower!$F$4:$F$1048576,"")</f>
        <v>35 KVA Generator</v>
      </c>
      <c r="H502" s="28" t="str">
        <f>_xlfn.XLOOKUP(Table134526_79101120212223242526[[#This Row],[Name Surname]],Manpower!$C$4:$C$1048576,Manpower!$H$4:$H$1048576,"")</f>
        <v>Equipment</v>
      </c>
      <c r="I502" s="24" t="str">
        <f>_xlfn.XLOOKUP(Table134526_79101120212223242526[[#This Row],[Name Surname]],Manpower!$C$4:$C$1048576,Manpower!$H$4:$H$1048576,"")</f>
        <v>Equipment</v>
      </c>
      <c r="J502" s="21" t="s">
        <v>143</v>
      </c>
      <c r="K502" s="21" t="s">
        <v>26</v>
      </c>
      <c r="L502" s="21" t="s">
        <v>144</v>
      </c>
      <c r="M502" s="21" t="s">
        <v>55</v>
      </c>
      <c r="N502" s="29">
        <v>10</v>
      </c>
      <c r="R502" s="21" t="s">
        <v>227</v>
      </c>
    </row>
    <row r="503" spans="1:18" s="21" customFormat="1" ht="14.4" hidden="1">
      <c r="A503" s="33">
        <f>IF(C503="","",MAX($A$1:A502)+1)</f>
        <v>479</v>
      </c>
      <c r="B503" s="27" t="s">
        <v>141</v>
      </c>
      <c r="C503" s="23">
        <v>46085</v>
      </c>
      <c r="D503" s="28" t="str">
        <f>_xlfn.XLOOKUP(Table134526_79101120212223242526[[#This Row],[Name Surname]],Manpower!$C$4:$C$1048576,Manpower!$B$4:$B$1048576,"")</f>
        <v>Encogroup</v>
      </c>
      <c r="E503" s="21" t="s">
        <v>157</v>
      </c>
      <c r="F503" s="12">
        <f>_xlfn.XLOOKUP(Table134526_79101120212223242526[[#This Row],[Name Surname]],Manpower!C:C,Manpower!D:D,)</f>
        <v>140742144</v>
      </c>
      <c r="G503" s="28" t="str">
        <f>_xlfn.XLOOKUP(Table134526_79101120212223242526[[#This Row],[Name Surname]],Manpower!$C$4:$C$1048576,Manpower!$F$4:$F$1048576,"")</f>
        <v>Assistant/Helper</v>
      </c>
      <c r="H503" s="28" t="str">
        <f>_xlfn.XLOOKUP(Table134526_79101120212223242526[[#This Row],[Name Surname]],Manpower!$C$4:$C$1048576,Manpower!$H$4:$H$1048576,"")</f>
        <v>Manpower</v>
      </c>
      <c r="I503" s="24" t="str">
        <f>_xlfn.XLOOKUP(Table134526_79101120212223242526[[#This Row],[Name Surname]],Manpower!$C$4:$C$1048576,Manpower!$H$4:$H$1048576,"")</f>
        <v>Manpower</v>
      </c>
      <c r="J503" s="21" t="s">
        <v>158</v>
      </c>
      <c r="K503" s="21" t="s">
        <v>26</v>
      </c>
      <c r="L503" s="21" t="s">
        <v>26</v>
      </c>
      <c r="M503" s="21" t="s">
        <v>55</v>
      </c>
      <c r="N503" s="29">
        <v>10</v>
      </c>
      <c r="R503" s="21" t="s">
        <v>227</v>
      </c>
    </row>
    <row r="504" spans="1:18" s="21" customFormat="1" ht="14.4" hidden="1">
      <c r="A504" s="33">
        <f>IF(C504="","",MAX($A$1:A503)+1)</f>
        <v>480</v>
      </c>
      <c r="B504" s="27" t="s">
        <v>141</v>
      </c>
      <c r="C504" s="23">
        <v>46085</v>
      </c>
      <c r="D504" s="28" t="str">
        <f>_xlfn.XLOOKUP(Table134526_79101120212223242526[[#This Row],[Name Surname]],Manpower!$C$4:$C$1048576,Manpower!$B$4:$B$1048576,"")</f>
        <v>SARENS NASS</v>
      </c>
      <c r="E504" s="21" t="s">
        <v>162</v>
      </c>
      <c r="F504" s="12">
        <f>_xlfn.XLOOKUP(Table134526_79101120212223242526[[#This Row],[Name Surname]],Manpower!C:C,Manpower!D:D,)</f>
        <v>78753612</v>
      </c>
      <c r="G504" s="28" t="str">
        <f>_xlfn.XLOOKUP(Table134526_79101120212223242526[[#This Row],[Name Surname]],Manpower!$C$4:$C$1048576,Manpower!$F$4:$F$1048576,"")</f>
        <v>Crane Operator- 70T Liebherr Telescopic Crane-02</v>
      </c>
      <c r="H504" s="28" t="s">
        <v>39</v>
      </c>
      <c r="I504" s="24" t="s">
        <v>39</v>
      </c>
      <c r="J504" s="21" t="s">
        <v>143</v>
      </c>
      <c r="K504" s="21" t="s">
        <v>26</v>
      </c>
      <c r="L504" s="21" t="s">
        <v>144</v>
      </c>
      <c r="M504" s="21" t="s">
        <v>55</v>
      </c>
      <c r="N504" s="29">
        <v>10</v>
      </c>
      <c r="R504" s="21" t="s">
        <v>227</v>
      </c>
    </row>
    <row r="505" spans="1:18" s="21" customFormat="1" ht="14.4" hidden="1">
      <c r="A505" s="33">
        <f>IF(C505="","",MAX($A$1:A504)+1)</f>
        <v>481</v>
      </c>
      <c r="B505" s="27" t="s">
        <v>141</v>
      </c>
      <c r="C505" s="23">
        <v>46085</v>
      </c>
      <c r="D505" s="28" t="str">
        <f>_xlfn.XLOOKUP(Table134526_79101120212223242526[[#This Row],[Name Surname]],Manpower!$C$4:$C$1048576,Manpower!$B$4:$B$1048576,"")</f>
        <v>Al Jaber Heavy Lift</v>
      </c>
      <c r="E505" s="21" t="s">
        <v>164</v>
      </c>
      <c r="F505" s="12">
        <f>_xlfn.XLOOKUP(Table134526_79101120212223242526[[#This Row],[Name Surname]],Manpower!C:C,Manpower!D:D,)</f>
        <v>112778626</v>
      </c>
      <c r="G505" s="28" t="str">
        <f>_xlfn.XLOOKUP(Table134526_79101120212223242526[[#This Row],[Name Surname]],Manpower!$C$4:$C$1048576,Manpower!$F$4:$F$1048576,"")</f>
        <v>Crane Operator-150T Hitachi Crawler</v>
      </c>
      <c r="H505" s="28" t="s">
        <v>39</v>
      </c>
      <c r="I505" s="24" t="s">
        <v>39</v>
      </c>
      <c r="J505" s="21" t="s">
        <v>143</v>
      </c>
      <c r="K505" s="21" t="s">
        <v>26</v>
      </c>
      <c r="L505" s="21" t="s">
        <v>144</v>
      </c>
      <c r="M505" s="21" t="s">
        <v>55</v>
      </c>
      <c r="N505" s="29">
        <v>10</v>
      </c>
      <c r="R505" s="21" t="s">
        <v>227</v>
      </c>
    </row>
    <row r="506" spans="1:18" s="21" customFormat="1" ht="14.4" hidden="1">
      <c r="A506" s="33">
        <f>IF(C506="","",MAX($A$1:A505)+1)</f>
        <v>482</v>
      </c>
      <c r="B506" s="27" t="s">
        <v>141</v>
      </c>
      <c r="C506" s="23">
        <v>46085</v>
      </c>
      <c r="D506" s="28" t="str">
        <f>_xlfn.XLOOKUP(Table134526_79101120212223242526[[#This Row],[Name Surname]],Manpower!$C$4:$C$1048576,Manpower!$B$4:$B$1048576,"")</f>
        <v>Encogroup</v>
      </c>
      <c r="E506" s="21" t="s">
        <v>166</v>
      </c>
      <c r="F506" s="12" t="str">
        <f>_xlfn.XLOOKUP(Table134526_79101120212223242526[[#This Row],[Name Surname]],Manpower!C:C,Manpower!D:D,)</f>
        <v>U4181508</v>
      </c>
      <c r="G506" s="28" t="str">
        <f>_xlfn.XLOOKUP(Table134526_79101120212223242526[[#This Row],[Name Surname]],Manpower!$C$4:$C$1048576,Manpower!$F$4:$F$1048576,"")</f>
        <v>Welder</v>
      </c>
      <c r="H506" s="28" t="str">
        <f>_xlfn.XLOOKUP(Table134526_79101120212223242526[[#This Row],[Name Surname]],Manpower!$C$4:$C$1048576,Manpower!$H$4:$H$1048576,"")</f>
        <v>Manpower</v>
      </c>
      <c r="I506" s="24" t="str">
        <f>_xlfn.XLOOKUP(Table134526_79101120212223242526[[#This Row],[Name Surname]],Manpower!$C$4:$C$1048576,Manpower!$H$4:$H$1048576,"")</f>
        <v>Manpower</v>
      </c>
      <c r="J506" s="21" t="s">
        <v>143</v>
      </c>
      <c r="K506" s="21" t="s">
        <v>26</v>
      </c>
      <c r="L506" s="21" t="s">
        <v>144</v>
      </c>
      <c r="M506" s="21" t="s">
        <v>55</v>
      </c>
      <c r="N506" s="29">
        <v>10</v>
      </c>
      <c r="R506" s="21" t="s">
        <v>227</v>
      </c>
    </row>
    <row r="507" spans="1:18" s="43" customFormat="1" ht="14.4" hidden="1">
      <c r="A507" s="25">
        <f>IF(C507="","",MAX($A$1:A506)+1)</f>
        <v>483</v>
      </c>
      <c r="B507" s="25" t="s">
        <v>141</v>
      </c>
      <c r="C507" s="41">
        <v>46085</v>
      </c>
      <c r="D507" s="48" t="str">
        <f>_xlfn.XLOOKUP(Table134526_79101120212223242526[[#This Row],[Name Surname]],Manpower!$C$4:$C$1048576,Manpower!$B$4:$B$1048576,"")</f>
        <v>Encogroup</v>
      </c>
      <c r="E507" s="43" t="s">
        <v>167</v>
      </c>
      <c r="F507" s="12">
        <f>_xlfn.XLOOKUP(Table134526_79101120212223242526[[#This Row],[Name Surname]],Manpower!C:C,Manpower!D:D,)</f>
        <v>125440631</v>
      </c>
      <c r="G507" s="48" t="str">
        <f>_xlfn.XLOOKUP(Table134526_79101120212223242526[[#This Row],[Name Surname]],Manpower!$C$4:$C$1048576,Manpower!$F$4:$F$1048576,"")</f>
        <v>Rigger</v>
      </c>
      <c r="H507" s="48" t="str">
        <f>_xlfn.XLOOKUP(Table134526_79101120212223242526[[#This Row],[Name Surname]],Manpower!$C$4:$C$1048576,Manpower!$H$4:$H$1048576,"")</f>
        <v>Manpower</v>
      </c>
      <c r="I507" s="42" t="str">
        <f>_xlfn.XLOOKUP(Table134526_79101120212223242526[[#This Row],[Name Surname]],Manpower!$C$4:$C$1048576,Manpower!$H$4:$H$1048576,"")</f>
        <v>Manpower</v>
      </c>
      <c r="J507" s="43" t="s">
        <v>143</v>
      </c>
      <c r="K507" s="43" t="s">
        <v>26</v>
      </c>
      <c r="L507" s="43" t="s">
        <v>144</v>
      </c>
      <c r="M507" s="43" t="s">
        <v>55</v>
      </c>
      <c r="N507" s="44">
        <v>10</v>
      </c>
      <c r="R507" s="43" t="s">
        <v>227</v>
      </c>
    </row>
    <row r="508" spans="1:18" s="21" customFormat="1" ht="14.4" hidden="1">
      <c r="A508" s="33">
        <f>IF(C508="","",MAX($A$1:A507)+1)</f>
        <v>484</v>
      </c>
      <c r="B508" s="27" t="s">
        <v>141</v>
      </c>
      <c r="C508" s="23">
        <v>46085</v>
      </c>
      <c r="D508" s="28" t="str">
        <f>_xlfn.XLOOKUP(Table134526_79101120212223242526[[#This Row],[Name Surname]],Manpower!$C$4:$C$1048576,Manpower!$B$4:$B$1048576,"")</f>
        <v>AL Omar International TRAD AND CONT</v>
      </c>
      <c r="E508" s="21" t="s">
        <v>169</v>
      </c>
      <c r="F508" s="12">
        <f>_xlfn.XLOOKUP(Table134526_79101120212223242526[[#This Row],[Name Surname]],Manpower!C:C,Manpower!D:D,)</f>
        <v>115731078</v>
      </c>
      <c r="G508" s="28" t="str">
        <f>_xlfn.XLOOKUP(Table134526_79101120212223242526[[#This Row],[Name Surname]],Manpower!$C$4:$C$1048576,Manpower!$F$4:$F$1048576,"")</f>
        <v>Scaffolder</v>
      </c>
      <c r="H508" s="28" t="str">
        <f>_xlfn.XLOOKUP(Table134526_79101120212223242526[[#This Row],[Name Surname]],Manpower!$C$4:$C$1048576,Manpower!$H$4:$H$1048576,"")</f>
        <v>Sub Contactor</v>
      </c>
      <c r="I508" s="24" t="str">
        <f>_xlfn.XLOOKUP(Table134526_79101120212223242526[[#This Row],[Name Surname]],Manpower!$C$4:$C$1048576,Manpower!$H$4:$H$1048576,"")</f>
        <v>Sub Contactor</v>
      </c>
      <c r="J508" s="21" t="s">
        <v>143</v>
      </c>
      <c r="K508" s="21" t="s">
        <v>26</v>
      </c>
      <c r="L508" s="21" t="s">
        <v>144</v>
      </c>
      <c r="M508" s="21" t="s">
        <v>55</v>
      </c>
      <c r="N508" s="29">
        <v>10</v>
      </c>
      <c r="R508" s="21" t="s">
        <v>227</v>
      </c>
    </row>
    <row r="509" spans="1:18" s="43" customFormat="1" ht="14.4" hidden="1">
      <c r="A509" s="25">
        <f>IF(C509="","",MAX($A$1:A508)+1)</f>
        <v>485</v>
      </c>
      <c r="B509" s="25" t="s">
        <v>141</v>
      </c>
      <c r="C509" s="41">
        <v>46085</v>
      </c>
      <c r="D509" s="48" t="str">
        <f>_xlfn.XLOOKUP(Table134526_79101120212223242526[[#This Row],[Name Surname]],Manpower!$C$4:$C$1048576,Manpower!$B$4:$B$1048576,"")</f>
        <v>Encogroup</v>
      </c>
      <c r="E509" s="43" t="s">
        <v>172</v>
      </c>
      <c r="F509" s="12">
        <f>_xlfn.XLOOKUP(Table134526_79101120212223242526[[#This Row],[Name Surname]],Manpower!C:C,Manpower!D:D,)</f>
        <v>140764355</v>
      </c>
      <c r="G509" s="48" t="str">
        <f>_xlfn.XLOOKUP(Table134526_79101120212223242526[[#This Row],[Name Surname]],Manpower!$C$4:$C$1048576,Manpower!$F$4:$F$1048576,"")</f>
        <v>Fitter/Erector</v>
      </c>
      <c r="H509" s="48" t="str">
        <f>_xlfn.XLOOKUP(Table134526_79101120212223242526[[#This Row],[Name Surname]],Manpower!$C$4:$C$1048576,Manpower!$H$4:$H$1048576,"")</f>
        <v>Manpower</v>
      </c>
      <c r="I509" s="42" t="str">
        <f>_xlfn.XLOOKUP(Table134526_79101120212223242526[[#This Row],[Name Surname]],Manpower!$C$4:$C$1048576,Manpower!$H$4:$H$1048576,"")</f>
        <v>Manpower</v>
      </c>
      <c r="J509" s="43" t="s">
        <v>143</v>
      </c>
      <c r="K509" s="43" t="s">
        <v>26</v>
      </c>
      <c r="L509" s="43" t="s">
        <v>144</v>
      </c>
      <c r="M509" s="43" t="s">
        <v>55</v>
      </c>
      <c r="N509" s="44">
        <v>10</v>
      </c>
      <c r="R509" s="43" t="s">
        <v>227</v>
      </c>
    </row>
    <row r="510" spans="1:18" s="21" customFormat="1" ht="14.4" hidden="1">
      <c r="A510" s="33">
        <f>IF(C510="","",MAX($A$1:A509)+1)</f>
        <v>486</v>
      </c>
      <c r="B510" s="27" t="s">
        <v>141</v>
      </c>
      <c r="C510" s="23">
        <v>46085</v>
      </c>
      <c r="D510" s="28" t="str">
        <f>_xlfn.XLOOKUP(Table134526_79101120212223242526[[#This Row],[Name Surname]],Manpower!$C$4:$C$1048576,Manpower!$B$4:$B$1048576,"")</f>
        <v>Encogroup</v>
      </c>
      <c r="E510" s="21" t="s">
        <v>173</v>
      </c>
      <c r="F510" s="12" t="str">
        <f>_xlfn.XLOOKUP(Table134526_79101120212223242526[[#This Row],[Name Surname]],Manpower!C:C,Manpower!D:D,)</f>
        <v>S3549132</v>
      </c>
      <c r="G510" s="28" t="str">
        <f>_xlfn.XLOOKUP(Table134526_79101120212223242526[[#This Row],[Name Surname]],Manpower!$C$4:$C$1048576,Manpower!$F$4:$F$1048576,"")</f>
        <v>Grinder</v>
      </c>
      <c r="H510" s="28" t="str">
        <f>_xlfn.XLOOKUP(Table134526_79101120212223242526[[#This Row],[Name Surname]],Manpower!$C$4:$C$1048576,Manpower!$H$4:$H$1048576,"")</f>
        <v>Manpower</v>
      </c>
      <c r="I510" s="24" t="str">
        <f>_xlfn.XLOOKUP(Table134526_79101120212223242526[[#This Row],[Name Surname]],Manpower!$C$4:$C$1048576,Manpower!$H$4:$H$1048576,"")</f>
        <v>Manpower</v>
      </c>
      <c r="J510" s="21" t="s">
        <v>143</v>
      </c>
      <c r="K510" s="21" t="s">
        <v>26</v>
      </c>
      <c r="L510" s="21" t="s">
        <v>144</v>
      </c>
      <c r="M510" s="21" t="s">
        <v>55</v>
      </c>
      <c r="N510" s="29">
        <v>10</v>
      </c>
      <c r="R510" s="21" t="s">
        <v>227</v>
      </c>
    </row>
    <row r="511" spans="1:18" s="21" customFormat="1" ht="14.4" hidden="1">
      <c r="A511" s="33">
        <f>IF(C511="","",MAX($A$1:A510)+1)</f>
        <v>487</v>
      </c>
      <c r="B511" s="27" t="s">
        <v>141</v>
      </c>
      <c r="C511" s="23">
        <v>46085</v>
      </c>
      <c r="D511" s="28" t="str">
        <f>_xlfn.XLOOKUP(Table134526_79101120212223242526[[#This Row],[Name Surname]],Manpower!$C$4:$C$1048576,Manpower!$B$4:$B$1048576,"")</f>
        <v>Encogroup</v>
      </c>
      <c r="E511" s="21" t="s">
        <v>175</v>
      </c>
      <c r="F511" s="12">
        <f>_xlfn.XLOOKUP(Table134526_79101120212223242526[[#This Row],[Name Surname]],Manpower!C:C,Manpower!D:D,)</f>
        <v>140742125</v>
      </c>
      <c r="G511" s="28" t="str">
        <f>_xlfn.XLOOKUP(Table134526_79101120212223242526[[#This Row],[Name Surname]],Manpower!$C$4:$C$1048576,Manpower!$F$4:$F$1048576,"")</f>
        <v>Assistant/Helper</v>
      </c>
      <c r="H511" s="28" t="str">
        <f>_xlfn.XLOOKUP(Table134526_79101120212223242526[[#This Row],[Name Surname]],Manpower!$C$4:$C$1048576,Manpower!$H$4:$H$1048576,"")</f>
        <v>Manpower</v>
      </c>
      <c r="I511" s="24" t="str">
        <f>_xlfn.XLOOKUP(Table134526_79101120212223242526[[#This Row],[Name Surname]],Manpower!$C$4:$C$1048576,Manpower!$H$4:$H$1048576,"")</f>
        <v>Manpower</v>
      </c>
      <c r="J511" s="21" t="s">
        <v>158</v>
      </c>
      <c r="K511" s="21" t="s">
        <v>26</v>
      </c>
      <c r="L511" s="21" t="s">
        <v>26</v>
      </c>
      <c r="M511" s="21" t="s">
        <v>55</v>
      </c>
      <c r="N511" s="29">
        <v>10</v>
      </c>
      <c r="R511" s="21" t="s">
        <v>227</v>
      </c>
    </row>
    <row r="512" spans="1:18" s="21" customFormat="1" ht="14.4" hidden="1">
      <c r="A512" s="33">
        <f>IF(C512="","",MAX($A$1:A511)+1)</f>
        <v>488</v>
      </c>
      <c r="B512" s="27" t="s">
        <v>141</v>
      </c>
      <c r="C512" s="23">
        <v>46085</v>
      </c>
      <c r="D512" s="28" t="str">
        <f>_xlfn.XLOOKUP(Table134526_79101120212223242526[[#This Row],[Name Surname]],Manpower!$C$4:$C$1048576,Manpower!$B$4:$B$1048576,"")</f>
        <v>Encogroup</v>
      </c>
      <c r="E512" s="21" t="s">
        <v>228</v>
      </c>
      <c r="F512" s="12">
        <f>_xlfn.XLOOKUP(Table134526_79101120212223242526[[#This Row],[Name Surname]],Manpower!C:C,Manpower!D:D,)</f>
        <v>125199963</v>
      </c>
      <c r="G512" s="28" t="str">
        <f>_xlfn.XLOOKUP(Table134526_79101120212223242526[[#This Row],[Name Surname]],Manpower!$C$4:$C$1048576,Manpower!$F$4:$F$1048576,"")</f>
        <v>Electrician</v>
      </c>
      <c r="H512" s="28" t="str">
        <f>_xlfn.XLOOKUP(Table134526_79101120212223242526[[#This Row],[Name Surname]],Manpower!$C$4:$C$1048576,Manpower!$H$4:$H$1048576,"")</f>
        <v>Manpower</v>
      </c>
      <c r="I512" s="24" t="str">
        <f>_xlfn.XLOOKUP(Table134526_79101120212223242526[[#This Row],[Name Surname]],Manpower!$C$4:$C$1048576,Manpower!$H$4:$H$1048576,"")</f>
        <v>Manpower</v>
      </c>
      <c r="J512" s="21" t="s">
        <v>158</v>
      </c>
      <c r="K512" s="21" t="s">
        <v>26</v>
      </c>
      <c r="L512" s="21" t="s">
        <v>26</v>
      </c>
      <c r="M512" s="21" t="s">
        <v>55</v>
      </c>
      <c r="N512" s="29">
        <v>10</v>
      </c>
      <c r="R512" s="21" t="s">
        <v>227</v>
      </c>
    </row>
    <row r="513" spans="1:18" s="43" customFormat="1" ht="14.4" hidden="1">
      <c r="A513" s="25">
        <f>IF(C513="","",MAX($A$1:A512)+1)</f>
        <v>489</v>
      </c>
      <c r="B513" s="25" t="s">
        <v>141</v>
      </c>
      <c r="C513" s="41">
        <v>46085</v>
      </c>
      <c r="D513" s="48" t="str">
        <f>_xlfn.XLOOKUP(Table134526_79101120212223242526[[#This Row],[Name Surname]],Manpower!$C$4:$C$1048576,Manpower!$B$4:$B$1048576,"")</f>
        <v>Encogroup</v>
      </c>
      <c r="E513" s="43" t="s">
        <v>176</v>
      </c>
      <c r="F513" s="12">
        <f>_xlfn.XLOOKUP(Table134526_79101120212223242526[[#This Row],[Name Surname]],Manpower!C:C,Manpower!D:D,)</f>
        <v>124398279</v>
      </c>
      <c r="G513" s="48" t="str">
        <f>_xlfn.XLOOKUP(Table134526_79101120212223242526[[#This Row],[Name Surname]],Manpower!$C$4:$C$1048576,Manpower!$F$4:$F$1048576,"")</f>
        <v>Permit Receiver</v>
      </c>
      <c r="H513" s="48" t="str">
        <f>_xlfn.XLOOKUP(Table134526_79101120212223242526[[#This Row],[Name Surname]],Manpower!$C$4:$C$1048576,Manpower!$H$4:$H$1048576,"")</f>
        <v>Manpower</v>
      </c>
      <c r="I513" s="42" t="str">
        <f>_xlfn.XLOOKUP(Table134526_79101120212223242526[[#This Row],[Name Surname]],Manpower!$C$4:$C$1048576,Manpower!$H$4:$H$1048576,"")</f>
        <v>Manpower</v>
      </c>
      <c r="J513" s="43" t="s">
        <v>143</v>
      </c>
      <c r="K513" s="43" t="s">
        <v>26</v>
      </c>
      <c r="L513" s="43" t="s">
        <v>144</v>
      </c>
      <c r="M513" s="43" t="s">
        <v>55</v>
      </c>
      <c r="N513" s="44">
        <v>10</v>
      </c>
      <c r="R513" s="43" t="s">
        <v>227</v>
      </c>
    </row>
    <row r="514" spans="1:18" s="21" customFormat="1" ht="14.4" hidden="1">
      <c r="A514" s="33">
        <f>IF(C514="","",MAX($A$1:A513)+1)</f>
        <v>490</v>
      </c>
      <c r="B514" s="27" t="s">
        <v>141</v>
      </c>
      <c r="C514" s="23">
        <v>46085</v>
      </c>
      <c r="D514" s="28" t="str">
        <f>_xlfn.XLOOKUP(Table134526_79101120212223242526[[#This Row],[Name Surname]],Manpower!$C$4:$C$1048576,Manpower!$B$4:$B$1048576,"")</f>
        <v>Encogroup</v>
      </c>
      <c r="E514" s="21" t="s">
        <v>177</v>
      </c>
      <c r="F514" s="12">
        <f>_xlfn.XLOOKUP(Table134526_79101120212223242526[[#This Row],[Name Surname]],Manpower!C:C,Manpower!D:D,)</f>
        <v>140809004</v>
      </c>
      <c r="G514" s="28" t="str">
        <f>_xlfn.XLOOKUP(Table134526_79101120212223242526[[#This Row],[Name Surname]],Manpower!$C$4:$C$1048576,Manpower!$F$4:$F$1048576,"")</f>
        <v>Fitter/Erector</v>
      </c>
      <c r="H514" s="28" t="str">
        <f>_xlfn.XLOOKUP(Table134526_79101120212223242526[[#This Row],[Name Surname]],Manpower!$C$4:$C$1048576,Manpower!$H$4:$H$1048576,"")</f>
        <v>Manpower</v>
      </c>
      <c r="I514" s="24" t="str">
        <f>_xlfn.XLOOKUP(Table134526_79101120212223242526[[#This Row],[Name Surname]],Manpower!$C$4:$C$1048576,Manpower!$H$4:$H$1048576,"")</f>
        <v>Manpower</v>
      </c>
      <c r="J514" s="21" t="s">
        <v>143</v>
      </c>
      <c r="K514" s="21" t="s">
        <v>26</v>
      </c>
      <c r="L514" s="21" t="s">
        <v>144</v>
      </c>
      <c r="M514" s="21" t="s">
        <v>55</v>
      </c>
      <c r="N514" s="29">
        <v>10</v>
      </c>
      <c r="R514" s="21" t="s">
        <v>227</v>
      </c>
    </row>
    <row r="515" spans="1:18" s="21" customFormat="1" ht="14.4" hidden="1">
      <c r="A515" s="33">
        <f>IF(C515="","",MAX($A$1:A514)+1)</f>
        <v>491</v>
      </c>
      <c r="B515" s="27" t="s">
        <v>141</v>
      </c>
      <c r="C515" s="23">
        <v>46085</v>
      </c>
      <c r="D515" s="28" t="str">
        <f>_xlfn.XLOOKUP(Table134526_79101120212223242526[[#This Row],[Name Surname]],Manpower!$C$4:$C$1048576,Manpower!$B$4:$B$1048576,"")</f>
        <v>Encogroup</v>
      </c>
      <c r="E515" s="21" t="s">
        <v>178</v>
      </c>
      <c r="F515" s="12">
        <f>_xlfn.XLOOKUP(Table134526_79101120212223242526[[#This Row],[Name Surname]],Manpower!C:C,Manpower!D:D,)</f>
        <v>140683436</v>
      </c>
      <c r="G515" s="28" t="str">
        <f>_xlfn.XLOOKUP(Table134526_79101120212223242526[[#This Row],[Name Surname]],Manpower!$C$4:$C$1048576,Manpower!$F$4:$F$1048576,"")</f>
        <v>Scaffolder</v>
      </c>
      <c r="H515" s="28" t="str">
        <f>_xlfn.XLOOKUP(Table134526_79101120212223242526[[#This Row],[Name Surname]],Manpower!$C$4:$C$1048576,Manpower!$H$4:$H$1048576,"")</f>
        <v>Manpower</v>
      </c>
      <c r="I515" s="24" t="str">
        <f>_xlfn.XLOOKUP(Table134526_79101120212223242526[[#This Row],[Name Surname]],Manpower!$C$4:$C$1048576,Manpower!$H$4:$H$1048576,"")</f>
        <v>Manpower</v>
      </c>
      <c r="J515" s="21" t="s">
        <v>158</v>
      </c>
      <c r="K515" s="21" t="s">
        <v>26</v>
      </c>
      <c r="L515" s="21" t="s">
        <v>26</v>
      </c>
      <c r="M515" s="21" t="s">
        <v>55</v>
      </c>
      <c r="N515" s="29">
        <v>10</v>
      </c>
      <c r="R515" s="21" t="s">
        <v>227</v>
      </c>
    </row>
    <row r="516" spans="1:18" s="21" customFormat="1" ht="14.4">
      <c r="A516" s="33">
        <f>IF(C516="","",MAX($A$1:A515)+1)</f>
        <v>492</v>
      </c>
      <c r="B516" s="27" t="s">
        <v>141</v>
      </c>
      <c r="C516" s="23">
        <v>46085</v>
      </c>
      <c r="D516" s="28" t="str">
        <f>_xlfn.XLOOKUP(Table134526_79101120212223242526[[#This Row],[Name Surname]],Manpower!$C$4:$C$1048576,Manpower!$B$4:$B$1048576,"")</f>
        <v>Encogroup</v>
      </c>
      <c r="E516" s="23" t="s">
        <v>179</v>
      </c>
      <c r="F516" s="12" t="e">
        <f>_xlfn.XLOOKUP(Table134526_79101120212223242526[[#This Row],[Name Surname]],Manpower!C:C,Manpower!D:D,)</f>
        <v>#N/A</v>
      </c>
      <c r="G516" s="28" t="str">
        <f>_xlfn.XLOOKUP(Table134526_79101120212223242526[[#This Row],[Name Surname]],Manpower!$C$4:$C$1048576,Manpower!$F$4:$F$1048576,"")</f>
        <v>7T-HIAB</v>
      </c>
      <c r="H516" s="28" t="str">
        <f>_xlfn.XLOOKUP(Table134526_79101120212223242526[[#This Row],[Name Surname]],Manpower!$C$4:$C$1048576,Manpower!$H$4:$H$1048576,"")</f>
        <v>Equipment</v>
      </c>
      <c r="I516" s="24" t="str">
        <f>_xlfn.XLOOKUP(Table134526_79101120212223242526[[#This Row],[Name Surname]],Manpower!$C$4:$C$1048576,Manpower!$H$4:$H$1048576,"")</f>
        <v>Equipment</v>
      </c>
      <c r="J516" s="21" t="s">
        <v>143</v>
      </c>
      <c r="K516" s="21" t="s">
        <v>26</v>
      </c>
      <c r="L516" s="21" t="s">
        <v>144</v>
      </c>
      <c r="M516" s="21" t="s">
        <v>55</v>
      </c>
      <c r="N516" s="29">
        <v>10</v>
      </c>
      <c r="R516" s="21" t="s">
        <v>227</v>
      </c>
    </row>
    <row r="517" spans="1:18" s="21" customFormat="1" ht="14.4" hidden="1">
      <c r="A517" s="33">
        <f>IF(C517="","",MAX($A$1:A516)+1)</f>
        <v>493</v>
      </c>
      <c r="B517" s="27" t="s">
        <v>141</v>
      </c>
      <c r="C517" s="23">
        <v>46085</v>
      </c>
      <c r="D517" s="28" t="str">
        <f>_xlfn.XLOOKUP(Table134526_79101120212223242526[[#This Row],[Name Surname]],Manpower!$C$4:$C$1048576,Manpower!$B$4:$B$1048576,"")</f>
        <v>Encogroup</v>
      </c>
      <c r="E517" s="21" t="s">
        <v>180</v>
      </c>
      <c r="F517" s="12">
        <f>_xlfn.XLOOKUP(Table134526_79101120212223242526[[#This Row],[Name Surname]],Manpower!C:C,Manpower!D:D,)</f>
        <v>9138415</v>
      </c>
      <c r="G517" s="28" t="str">
        <f>_xlfn.XLOOKUP(Table134526_79101120212223242526[[#This Row],[Name Surname]],Manpower!$C$4:$C$1048576,Manpower!$F$4:$F$1048576,"")</f>
        <v>HIAB Driver</v>
      </c>
      <c r="H517" s="28" t="str">
        <f>_xlfn.XLOOKUP(Table134526_79101120212223242526[[#This Row],[Name Surname]],Manpower!$C$4:$C$1048576,Manpower!$H$4:$H$1048576,"")</f>
        <v>Manpower</v>
      </c>
      <c r="I517" s="24" t="str">
        <f>_xlfn.XLOOKUP(Table134526_79101120212223242526[[#This Row],[Name Surname]],Manpower!$C$4:$C$1048576,Manpower!$H$4:$H$1048576,"")</f>
        <v>Manpower</v>
      </c>
      <c r="J517" s="21" t="s">
        <v>143</v>
      </c>
      <c r="K517" s="21" t="s">
        <v>26</v>
      </c>
      <c r="L517" s="21" t="s">
        <v>144</v>
      </c>
      <c r="M517" s="21" t="s">
        <v>55</v>
      </c>
      <c r="N517" s="29">
        <v>10</v>
      </c>
      <c r="R517" s="21" t="s">
        <v>227</v>
      </c>
    </row>
    <row r="518" spans="1:18" s="21" customFormat="1" ht="14.4" hidden="1">
      <c r="A518" s="33">
        <f>IF(C518="","",MAX($A$1:A517)+1)</f>
        <v>494</v>
      </c>
      <c r="B518" s="27" t="s">
        <v>141</v>
      </c>
      <c r="C518" s="23">
        <v>46085</v>
      </c>
      <c r="D518" s="28" t="str">
        <f>_xlfn.XLOOKUP(Table134526_79101120212223242526[[#This Row],[Name Surname]],Manpower!$C$4:$C$1048576,Manpower!$B$4:$B$1048576,"")</f>
        <v>GAF</v>
      </c>
      <c r="E518" s="21" t="s">
        <v>182</v>
      </c>
      <c r="F518" s="12">
        <f>_xlfn.XLOOKUP(Table134526_79101120212223242526[[#This Row],[Name Surname]],Manpower!C:C,Manpower!D:D,)</f>
        <v>78785394</v>
      </c>
      <c r="G518" s="28" t="str">
        <f>_xlfn.XLOOKUP(Table134526_79101120212223242526[[#This Row],[Name Surname]],Manpower!$C$4:$C$1048576,Manpower!$F$4:$F$1048576,"")</f>
        <v>Helper</v>
      </c>
      <c r="H518" s="28" t="str">
        <f>_xlfn.XLOOKUP(Table134526_79101120212223242526[[#This Row],[Name Surname]],Manpower!$C$4:$C$1048576,Manpower!$H$4:$H$1048576,"")</f>
        <v>Sub Contactor</v>
      </c>
      <c r="I518" s="24" t="str">
        <f>_xlfn.XLOOKUP(Table134526_79101120212223242526[[#This Row],[Name Surname]],Manpower!$C$4:$C$1048576,Manpower!$H$4:$H$1048576,"")</f>
        <v>Sub Contactor</v>
      </c>
      <c r="J518" s="21" t="s">
        <v>158</v>
      </c>
      <c r="K518" s="21" t="s">
        <v>26</v>
      </c>
      <c r="L518" s="21" t="s">
        <v>26</v>
      </c>
      <c r="M518" s="21" t="s">
        <v>55</v>
      </c>
      <c r="N518" s="29">
        <v>10</v>
      </c>
      <c r="R518" s="21" t="s">
        <v>227</v>
      </c>
    </row>
    <row r="519" spans="1:18" s="21" customFormat="1" ht="14.4" hidden="1">
      <c r="A519" s="33">
        <f>IF(C519="","",MAX($A$1:A518)+1)</f>
        <v>495</v>
      </c>
      <c r="B519" s="27" t="s">
        <v>141</v>
      </c>
      <c r="C519" s="23">
        <v>46085</v>
      </c>
      <c r="D519" s="28" t="str">
        <f>_xlfn.XLOOKUP(Table134526_79101120212223242526[[#This Row],[Name Surname]],Manpower!$C$4:$C$1048576,Manpower!$B$4:$B$1048576,"")</f>
        <v>Encogroup</v>
      </c>
      <c r="E519" s="21" t="s">
        <v>183</v>
      </c>
      <c r="F519" s="12">
        <f>_xlfn.XLOOKUP(Table134526_79101120212223242526[[#This Row],[Name Surname]],Manpower!C:C,Manpower!D:D,)</f>
        <v>141359024</v>
      </c>
      <c r="G519" s="28" t="str">
        <f>_xlfn.XLOOKUP(Table134526_79101120212223242526[[#This Row],[Name Surname]],Manpower!$C$4:$C$1048576,Manpower!$F$4:$F$1048576,"")</f>
        <v>Hydraulic Mechanic</v>
      </c>
      <c r="H519" s="28" t="str">
        <f>_xlfn.XLOOKUP(Table134526_79101120212223242526[[#This Row],[Name Surname]],Manpower!$C$4:$C$1048576,Manpower!$H$4:$H$1048576,"")</f>
        <v>Manpower</v>
      </c>
      <c r="I519" s="24" t="str">
        <f>_xlfn.XLOOKUP(Table134526_79101120212223242526[[#This Row],[Name Surname]],Manpower!$C$4:$C$1048576,Manpower!$H$4:$H$1048576,"")</f>
        <v>Manpower</v>
      </c>
      <c r="J519" s="21" t="s">
        <v>143</v>
      </c>
      <c r="K519" s="21" t="s">
        <v>26</v>
      </c>
      <c r="L519" s="21" t="s">
        <v>144</v>
      </c>
      <c r="M519" s="21" t="s">
        <v>55</v>
      </c>
      <c r="N519" s="29">
        <v>10</v>
      </c>
      <c r="R519" s="21" t="s">
        <v>227</v>
      </c>
    </row>
    <row r="520" spans="1:18" s="21" customFormat="1" ht="14.4" hidden="1">
      <c r="A520" s="33">
        <f>IF(C520="","",MAX($A$1:A519)+1)</f>
        <v>496</v>
      </c>
      <c r="B520" s="27" t="s">
        <v>141</v>
      </c>
      <c r="C520" s="23">
        <v>46085</v>
      </c>
      <c r="D520" s="28" t="str">
        <f>_xlfn.XLOOKUP(Table134526_79101120212223242526[[#This Row],[Name Surname]],Manpower!$C$4:$C$1048576,Manpower!$B$4:$B$1048576,"")</f>
        <v>Encogroup</v>
      </c>
      <c r="E520" s="21" t="s">
        <v>184</v>
      </c>
      <c r="F520" s="12">
        <f>_xlfn.XLOOKUP(Table134526_79101120212223242526[[#This Row],[Name Surname]],Manpower!C:C,Manpower!D:D,)</f>
        <v>140844759</v>
      </c>
      <c r="G520" s="28" t="str">
        <f>_xlfn.XLOOKUP(Table134526_79101120212223242526[[#This Row],[Name Surname]],Manpower!$C$4:$C$1048576,Manpower!$F$4:$F$1048576,"")</f>
        <v>Welder</v>
      </c>
      <c r="H520" s="28" t="str">
        <f>_xlfn.XLOOKUP(Table134526_79101120212223242526[[#This Row],[Name Surname]],Manpower!$C$4:$C$1048576,Manpower!$H$4:$H$1048576,"")</f>
        <v>Manpower</v>
      </c>
      <c r="I520" s="24" t="str">
        <f>_xlfn.XLOOKUP(Table134526_79101120212223242526[[#This Row],[Name Surname]],Manpower!$C$4:$C$1048576,Manpower!$H$4:$H$1048576,"")</f>
        <v>Manpower</v>
      </c>
      <c r="J520" s="21" t="s">
        <v>143</v>
      </c>
      <c r="K520" s="21" t="s">
        <v>26</v>
      </c>
      <c r="L520" s="21" t="s">
        <v>144</v>
      </c>
      <c r="M520" s="21" t="s">
        <v>55</v>
      </c>
      <c r="N520" s="29">
        <v>10</v>
      </c>
      <c r="R520" s="21" t="s">
        <v>227</v>
      </c>
    </row>
    <row r="521" spans="1:18" s="21" customFormat="1" ht="14.4" hidden="1">
      <c r="A521" s="33">
        <f>IF(C521="","",MAX($A$1:A520)+1)</f>
        <v>497</v>
      </c>
      <c r="B521" s="27" t="s">
        <v>141</v>
      </c>
      <c r="C521" s="23">
        <v>46085</v>
      </c>
      <c r="D521" s="28" t="str">
        <f>_xlfn.XLOOKUP(Table134526_79101120212223242526[[#This Row],[Name Surname]],Manpower!$C$4:$C$1048576,Manpower!$B$4:$B$1048576,"")</f>
        <v>Encogroup</v>
      </c>
      <c r="E521" s="21" t="s">
        <v>185</v>
      </c>
      <c r="F521" s="12">
        <f>_xlfn.XLOOKUP(Table134526_79101120212223242526[[#This Row],[Name Surname]],Manpower!C:C,Manpower!D:D,)</f>
        <v>140848828</v>
      </c>
      <c r="G521" s="28" t="str">
        <f>_xlfn.XLOOKUP(Table134526_79101120212223242526[[#This Row],[Name Surname]],Manpower!$C$4:$C$1048576,Manpower!$F$4:$F$1048576,"")</f>
        <v>Pipe Fitter</v>
      </c>
      <c r="H521" s="28" t="str">
        <f>_xlfn.XLOOKUP(Table134526_79101120212223242526[[#This Row],[Name Surname]],Manpower!$C$4:$C$1048576,Manpower!$H$4:$H$1048576,"")</f>
        <v>Manpower</v>
      </c>
      <c r="I521" s="24" t="str">
        <f>_xlfn.XLOOKUP(Table134526_79101120212223242526[[#This Row],[Name Surname]],Manpower!$C$4:$C$1048576,Manpower!$H$4:$H$1048576,"")</f>
        <v>Manpower</v>
      </c>
      <c r="J521" s="21" t="s">
        <v>143</v>
      </c>
      <c r="K521" s="21" t="s">
        <v>26</v>
      </c>
      <c r="L521" s="21" t="s">
        <v>144</v>
      </c>
      <c r="M521" s="21" t="s">
        <v>55</v>
      </c>
      <c r="N521" s="29">
        <v>10</v>
      </c>
      <c r="R521" s="21" t="s">
        <v>227</v>
      </c>
    </row>
    <row r="522" spans="1:18" s="21" customFormat="1" ht="14.4" hidden="1">
      <c r="A522" s="33">
        <f>IF(C522="","",MAX($A$1:A521)+1)</f>
        <v>498</v>
      </c>
      <c r="B522" s="27" t="s">
        <v>141</v>
      </c>
      <c r="C522" s="23">
        <v>46085</v>
      </c>
      <c r="D522" s="28" t="str">
        <f>_xlfn.XLOOKUP(Table134526_79101120212223242526[[#This Row],[Name Surname]],Manpower!$C$4:$C$1048576,Manpower!$B$4:$B$1048576,"")</f>
        <v>Encogroup</v>
      </c>
      <c r="E522" s="21" t="s">
        <v>186</v>
      </c>
      <c r="F522" s="12">
        <f>_xlfn.XLOOKUP(Table134526_79101120212223242526[[#This Row],[Name Surname]],Manpower!C:C,Manpower!D:D,)</f>
        <v>140696961</v>
      </c>
      <c r="G522" s="28" t="str">
        <f>_xlfn.XLOOKUP(Table134526_79101120212223242526[[#This Row],[Name Surname]],Manpower!$C$4:$C$1048576,Manpower!$F$4:$F$1048576,"")</f>
        <v>Assistant/Helper</v>
      </c>
      <c r="H522" s="28" t="str">
        <f>_xlfn.XLOOKUP(Table134526_79101120212223242526[[#This Row],[Name Surname]],Manpower!$C$4:$C$1048576,Manpower!$H$4:$H$1048576,"")</f>
        <v>Manpower</v>
      </c>
      <c r="I522" s="24" t="str">
        <f>_xlfn.XLOOKUP(Table134526_79101120212223242526[[#This Row],[Name Surname]],Manpower!$C$4:$C$1048576,Manpower!$H$4:$H$1048576,"")</f>
        <v>Manpower</v>
      </c>
      <c r="J522" s="21" t="s">
        <v>158</v>
      </c>
      <c r="K522" s="21" t="s">
        <v>26</v>
      </c>
      <c r="L522" s="21" t="s">
        <v>26</v>
      </c>
      <c r="M522" s="21" t="s">
        <v>55</v>
      </c>
      <c r="N522" s="29">
        <v>10</v>
      </c>
      <c r="R522" s="21" t="s">
        <v>227</v>
      </c>
    </row>
    <row r="523" spans="1:18" s="43" customFormat="1" ht="14.4" hidden="1">
      <c r="A523" s="25">
        <f>IF(C523="","",MAX($A$1:A522)+1)</f>
        <v>499</v>
      </c>
      <c r="B523" s="25" t="s">
        <v>141</v>
      </c>
      <c r="C523" s="41">
        <v>46085</v>
      </c>
      <c r="D523" s="48" t="str">
        <f>_xlfn.XLOOKUP(Table134526_79101120212223242526[[#This Row],[Name Surname]],Manpower!$C$4:$C$1048576,Manpower!$B$4:$B$1048576,"")</f>
        <v>Encogroup</v>
      </c>
      <c r="E523" s="43" t="s">
        <v>187</v>
      </c>
      <c r="F523" s="12">
        <f>_xlfn.XLOOKUP(Table134526_79101120212223242526[[#This Row],[Name Surname]],Manpower!C:C,Manpower!D:D,)</f>
        <v>140623599</v>
      </c>
      <c r="G523" s="48" t="str">
        <f>_xlfn.XLOOKUP(Table134526_79101120212223242526[[#This Row],[Name Surname]],Manpower!$C$4:$C$1048576,Manpower!$F$4:$F$1048576,"")</f>
        <v>Mechanical Supervisor</v>
      </c>
      <c r="H523" s="48" t="str">
        <f>_xlfn.XLOOKUP(Table134526_79101120212223242526[[#This Row],[Name Surname]],Manpower!$C$4:$C$1048576,Manpower!$H$4:$H$1048576,"")</f>
        <v>Manpower</v>
      </c>
      <c r="I523" s="42" t="str">
        <f>_xlfn.XLOOKUP(Table134526_79101120212223242526[[#This Row],[Name Surname]],Manpower!$C$4:$C$1048576,Manpower!$H$4:$H$1048576,"")</f>
        <v>Manpower</v>
      </c>
      <c r="J523" s="43" t="s">
        <v>143</v>
      </c>
      <c r="K523" s="43" t="s">
        <v>26</v>
      </c>
      <c r="L523" s="43" t="s">
        <v>144</v>
      </c>
      <c r="M523" s="43" t="s">
        <v>55</v>
      </c>
      <c r="N523" s="44">
        <v>10</v>
      </c>
      <c r="R523" s="43" t="s">
        <v>227</v>
      </c>
    </row>
    <row r="524" spans="1:18" s="21" customFormat="1" ht="14.4" hidden="1">
      <c r="A524" s="33">
        <f>IF(C524="","",MAX($A$1:A523)+1)</f>
        <v>500</v>
      </c>
      <c r="B524" s="27" t="s">
        <v>141</v>
      </c>
      <c r="C524" s="23">
        <v>46085</v>
      </c>
      <c r="D524" s="28" t="str">
        <f>_xlfn.XLOOKUP(Table134526_79101120212223242526[[#This Row],[Name Surname]],Manpower!$C$4:$C$1048576,Manpower!$B$4:$B$1048576,"")</f>
        <v>Encogroup</v>
      </c>
      <c r="E524" s="21" t="s">
        <v>188</v>
      </c>
      <c r="F524" s="12">
        <f>_xlfn.XLOOKUP(Table134526_79101120212223242526[[#This Row],[Name Surname]],Manpower!C:C,Manpower!D:D,)</f>
        <v>140696975</v>
      </c>
      <c r="G524" s="28" t="str">
        <f>_xlfn.XLOOKUP(Table134526_79101120212223242526[[#This Row],[Name Surname]],Manpower!$C$4:$C$1048576,Manpower!$F$4:$F$1048576,"")</f>
        <v>Assistant/Helper</v>
      </c>
      <c r="H524" s="28" t="str">
        <f>_xlfn.XLOOKUP(Table134526_79101120212223242526[[#This Row],[Name Surname]],Manpower!$C$4:$C$1048576,Manpower!$H$4:$H$1048576,"")</f>
        <v>Manpower</v>
      </c>
      <c r="I524" s="24" t="str">
        <f>_xlfn.XLOOKUP(Table134526_79101120212223242526[[#This Row],[Name Surname]],Manpower!$C$4:$C$1048576,Manpower!$H$4:$H$1048576,"")</f>
        <v>Manpower</v>
      </c>
      <c r="J524" s="21" t="s">
        <v>143</v>
      </c>
      <c r="K524" s="21" t="s">
        <v>26</v>
      </c>
      <c r="L524" s="21" t="s">
        <v>144</v>
      </c>
      <c r="M524" s="21" t="s">
        <v>55</v>
      </c>
      <c r="N524" s="29">
        <v>10</v>
      </c>
      <c r="R524" s="21" t="s">
        <v>227</v>
      </c>
    </row>
    <row r="525" spans="1:18" s="21" customFormat="1" ht="14.4" hidden="1">
      <c r="A525" s="33">
        <f>IF(C525="","",MAX($A$1:A524)+1)</f>
        <v>501</v>
      </c>
      <c r="B525" s="27" t="s">
        <v>141</v>
      </c>
      <c r="C525" s="23">
        <v>46085</v>
      </c>
      <c r="D525" s="28" t="str">
        <f>_xlfn.XLOOKUP(Table134526_79101120212223242526[[#This Row],[Name Surname]],Manpower!$C$4:$C$1048576,Manpower!$B$4:$B$1048576,"")</f>
        <v>Encogroup</v>
      </c>
      <c r="E525" s="21" t="s">
        <v>189</v>
      </c>
      <c r="F525" s="12">
        <f>_xlfn.XLOOKUP(Table134526_79101120212223242526[[#This Row],[Name Surname]],Manpower!C:C,Manpower!D:D,)</f>
        <v>121937785</v>
      </c>
      <c r="G525" s="28" t="str">
        <f>_xlfn.XLOOKUP(Table134526_79101120212223242526[[#This Row],[Name Surname]],Manpower!$C$4:$C$1048576,Manpower!$F$4:$F$1048576,"")</f>
        <v>Scaffolding Inspector</v>
      </c>
      <c r="H525" s="28" t="str">
        <f>_xlfn.XLOOKUP(Table134526_79101120212223242526[[#This Row],[Name Surname]],Manpower!$C$4:$C$1048576,Manpower!$H$4:$H$1048576,"")</f>
        <v>Manpower</v>
      </c>
      <c r="I525" s="24" t="str">
        <f>_xlfn.XLOOKUP(Table134526_79101120212223242526[[#This Row],[Name Surname]],Manpower!$C$4:$C$1048576,Manpower!$H$4:$H$1048576,"")</f>
        <v>Manpower</v>
      </c>
      <c r="J525" s="21" t="s">
        <v>143</v>
      </c>
      <c r="K525" s="21" t="s">
        <v>26</v>
      </c>
      <c r="L525" s="21" t="s">
        <v>144</v>
      </c>
      <c r="M525" s="21" t="s">
        <v>55</v>
      </c>
      <c r="N525" s="29">
        <v>10</v>
      </c>
      <c r="R525" s="21" t="s">
        <v>227</v>
      </c>
    </row>
    <row r="526" spans="1:18" s="21" customFormat="1" ht="14.4" hidden="1">
      <c r="A526" s="33">
        <f>IF(C526="","",MAX($A$1:A525)+1)</f>
        <v>502</v>
      </c>
      <c r="B526" s="27" t="s">
        <v>141</v>
      </c>
      <c r="C526" s="23">
        <v>46085</v>
      </c>
      <c r="D526" s="28" t="str">
        <f>_xlfn.XLOOKUP(Table134526_79101120212223242526[[#This Row],[Name Surname]],Manpower!$C$4:$C$1048576,Manpower!$B$4:$B$1048576,"")</f>
        <v xml:space="preserve">AL Omar International </v>
      </c>
      <c r="E526" s="21" t="s">
        <v>190</v>
      </c>
      <c r="F526" s="12">
        <f>_xlfn.XLOOKUP(Table134526_79101120212223242526[[#This Row],[Name Surname]],Manpower!C:C,Manpower!D:D,)</f>
        <v>85812175</v>
      </c>
      <c r="G526" s="28" t="str">
        <f>_xlfn.XLOOKUP(Table134526_79101120212223242526[[#This Row],[Name Surname]],Manpower!$C$4:$C$1048576,Manpower!$F$4:$F$1048576,"")</f>
        <v>Scaffolding Supervisor</v>
      </c>
      <c r="H526" s="28" t="str">
        <f>_xlfn.XLOOKUP(Table134526_79101120212223242526[[#This Row],[Name Surname]],Manpower!$C$4:$C$1048576,Manpower!$H$4:$H$1048576,"")</f>
        <v>Sub Contactor</v>
      </c>
      <c r="I526" s="24" t="str">
        <f>_xlfn.XLOOKUP(Table134526_79101120212223242526[[#This Row],[Name Surname]],Manpower!$C$4:$C$1048576,Manpower!$H$4:$H$1048576,"")</f>
        <v>Sub Contactor</v>
      </c>
      <c r="J526" s="21" t="s">
        <v>143</v>
      </c>
      <c r="K526" s="21" t="s">
        <v>26</v>
      </c>
      <c r="L526" s="21" t="s">
        <v>144</v>
      </c>
      <c r="M526" s="21" t="s">
        <v>55</v>
      </c>
      <c r="N526" s="29">
        <v>10</v>
      </c>
      <c r="R526" s="21" t="s">
        <v>227</v>
      </c>
    </row>
    <row r="527" spans="1:18" s="21" customFormat="1" ht="14.4" hidden="1">
      <c r="A527" s="33">
        <f>IF(C527="","",MAX($A$1:A526)+1)</f>
        <v>503</v>
      </c>
      <c r="B527" s="27" t="s">
        <v>141</v>
      </c>
      <c r="C527" s="23">
        <v>46085</v>
      </c>
      <c r="D527" s="28" t="str">
        <f>_xlfn.XLOOKUP(Table134526_79101120212223242526[[#This Row],[Name Surname]],Manpower!$C$4:$C$1048576,Manpower!$B$4:$B$1048576,"")</f>
        <v>AL Omar International TRAD AND CONT</v>
      </c>
      <c r="E527" s="21" t="s">
        <v>191</v>
      </c>
      <c r="F527" s="12">
        <f>_xlfn.XLOOKUP(Table134526_79101120212223242526[[#This Row],[Name Surname]],Manpower!C:C,Manpower!D:D,)</f>
        <v>95335424</v>
      </c>
      <c r="G527" s="28" t="str">
        <f>_xlfn.XLOOKUP(Table134526_79101120212223242526[[#This Row],[Name Surname]],Manpower!$C$4:$C$1048576,Manpower!$F$4:$F$1048576,"")</f>
        <v>Scaffolder</v>
      </c>
      <c r="H527" s="28" t="str">
        <f>_xlfn.XLOOKUP(Table134526_79101120212223242526[[#This Row],[Name Surname]],Manpower!$C$4:$C$1048576,Manpower!$H$4:$H$1048576,"")</f>
        <v>Sub Contactor</v>
      </c>
      <c r="I527" s="24" t="str">
        <f>_xlfn.XLOOKUP(Table134526_79101120212223242526[[#This Row],[Name Surname]],Manpower!$C$4:$C$1048576,Manpower!$H$4:$H$1048576,"")</f>
        <v>Sub Contactor</v>
      </c>
      <c r="J527" s="21" t="s">
        <v>143</v>
      </c>
      <c r="K527" s="21" t="s">
        <v>26</v>
      </c>
      <c r="L527" s="21" t="s">
        <v>144</v>
      </c>
      <c r="M527" s="21" t="s">
        <v>55</v>
      </c>
      <c r="N527" s="29">
        <v>10</v>
      </c>
      <c r="R527" s="21" t="s">
        <v>227</v>
      </c>
    </row>
    <row r="528" spans="1:18" s="21" customFormat="1" ht="14.4" hidden="1">
      <c r="A528" s="33">
        <f>IF(C528="","",MAX($A$1:A527)+1)</f>
        <v>504</v>
      </c>
      <c r="B528" s="27" t="s">
        <v>141</v>
      </c>
      <c r="C528" s="23">
        <v>46085</v>
      </c>
      <c r="D528" s="28" t="str">
        <f>_xlfn.XLOOKUP(Table134526_79101120212223242526[[#This Row],[Name Surname]],Manpower!$C$4:$C$1048576,Manpower!$B$4:$B$1048576,"")</f>
        <v>AL Omar International TRAD AND CONT</v>
      </c>
      <c r="E528" s="21" t="s">
        <v>192</v>
      </c>
      <c r="F528" s="12">
        <f>_xlfn.XLOOKUP(Table134526_79101120212223242526[[#This Row],[Name Surname]],Manpower!C:C,Manpower!D:D,)</f>
        <v>96409155</v>
      </c>
      <c r="G528" s="28" t="str">
        <f>_xlfn.XLOOKUP(Table134526_79101120212223242526[[#This Row],[Name Surname]],Manpower!$C$4:$C$1048576,Manpower!$F$4:$F$1048576,"")</f>
        <v>Scaffolder</v>
      </c>
      <c r="H528" s="28" t="str">
        <f>_xlfn.XLOOKUP(Table134526_79101120212223242526[[#This Row],[Name Surname]],Manpower!$C$4:$C$1048576,Manpower!$H$4:$H$1048576,"")</f>
        <v>Sub Contactor</v>
      </c>
      <c r="I528" s="24" t="str">
        <f>_xlfn.XLOOKUP(Table134526_79101120212223242526[[#This Row],[Name Surname]],Manpower!$C$4:$C$1048576,Manpower!$H$4:$H$1048576,"")</f>
        <v>Sub Contactor</v>
      </c>
      <c r="J528" s="21" t="s">
        <v>143</v>
      </c>
      <c r="K528" s="21" t="s">
        <v>26</v>
      </c>
      <c r="L528" s="21" t="s">
        <v>144</v>
      </c>
      <c r="M528" s="21" t="s">
        <v>55</v>
      </c>
      <c r="N528" s="29">
        <v>10</v>
      </c>
      <c r="R528" s="21" t="s">
        <v>227</v>
      </c>
    </row>
    <row r="529" spans="1:18" s="21" customFormat="1" ht="14.4" hidden="1">
      <c r="A529" s="33">
        <f>IF(C529="","",MAX($A$1:A528)+1)</f>
        <v>505</v>
      </c>
      <c r="B529" s="27" t="s">
        <v>141</v>
      </c>
      <c r="C529" s="23">
        <v>46085</v>
      </c>
      <c r="D529" s="28" t="str">
        <f>_xlfn.XLOOKUP(Table134526_79101120212223242526[[#This Row],[Name Surname]],Manpower!$C$4:$C$1048576,Manpower!$B$4:$B$1048576,"")</f>
        <v>AL Omar International TRAD AND CONT</v>
      </c>
      <c r="E529" s="21" t="s">
        <v>193</v>
      </c>
      <c r="F529" s="12">
        <f>_xlfn.XLOOKUP(Table134526_79101120212223242526[[#This Row],[Name Surname]],Manpower!C:C,Manpower!D:D,)</f>
        <v>105813698</v>
      </c>
      <c r="G529" s="28" t="str">
        <f>_xlfn.XLOOKUP(Table134526_79101120212223242526[[#This Row],[Name Surname]],Manpower!$C$4:$C$1048576,Manpower!$F$4:$F$1048576,"")</f>
        <v>Scaffolding Inspector</v>
      </c>
      <c r="H529" s="28" t="str">
        <f>_xlfn.XLOOKUP(Table134526_79101120212223242526[[#This Row],[Name Surname]],Manpower!$C$4:$C$1048576,Manpower!$H$4:$H$1048576,"")</f>
        <v>Sub Contactor</v>
      </c>
      <c r="I529" s="24" t="str">
        <f>_xlfn.XLOOKUP(Table134526_79101120212223242526[[#This Row],[Name Surname]],Manpower!$C$4:$C$1048576,Manpower!$H$4:$H$1048576,"")</f>
        <v>Sub Contactor</v>
      </c>
      <c r="J529" s="21" t="s">
        <v>143</v>
      </c>
      <c r="K529" s="21" t="s">
        <v>26</v>
      </c>
      <c r="L529" s="21" t="s">
        <v>144</v>
      </c>
      <c r="M529" s="21" t="s">
        <v>55</v>
      </c>
      <c r="N529" s="29">
        <v>10</v>
      </c>
      <c r="R529" s="21" t="s">
        <v>227</v>
      </c>
    </row>
    <row r="530" spans="1:18" s="43" customFormat="1" ht="14.4" hidden="1">
      <c r="A530" s="25">
        <f>IF(C530="","",MAX($A$1:A529)+1)</f>
        <v>506</v>
      </c>
      <c r="B530" s="25" t="s">
        <v>141</v>
      </c>
      <c r="C530" s="41">
        <v>46085</v>
      </c>
      <c r="D530" s="48" t="str">
        <f>_xlfn.XLOOKUP(Table134526_79101120212223242526[[#This Row],[Name Surname]],Manpower!$C$4:$C$1048576,Manpower!$B$4:$B$1048576,"")</f>
        <v>AL Saif &amp; Al QALLM ENT LLC</v>
      </c>
      <c r="E530" s="43" t="s">
        <v>194</v>
      </c>
      <c r="F530" s="12">
        <f>_xlfn.XLOOKUP(Table134526_79101120212223242526[[#This Row],[Name Surname]],Manpower!C:C,Manpower!D:D,)</f>
        <v>135340657</v>
      </c>
      <c r="G530" s="48" t="str">
        <f>_xlfn.XLOOKUP(Table134526_79101120212223242526[[#This Row],[Name Surname]],Manpower!$C$4:$C$1048576,Manpower!$F$4:$F$1048576,"")</f>
        <v>Forklift Operator</v>
      </c>
      <c r="H530" s="48" t="str">
        <f>_xlfn.XLOOKUP(Table134526_79101120212223242526[[#This Row],[Name Surname]],Manpower!$C$4:$C$1048576,Manpower!$H$4:$H$1048576,"")</f>
        <v>Sub Contactor</v>
      </c>
      <c r="I530" s="42" t="str">
        <f>_xlfn.XLOOKUP(Table134526_79101120212223242526[[#This Row],[Name Surname]],Manpower!$C$4:$C$1048576,Manpower!$H$4:$H$1048576,"")</f>
        <v>Sub Contactor</v>
      </c>
      <c r="J530" s="43" t="s">
        <v>143</v>
      </c>
      <c r="K530" s="43" t="s">
        <v>26</v>
      </c>
      <c r="L530" s="43" t="s">
        <v>144</v>
      </c>
      <c r="M530" s="43" t="s">
        <v>55</v>
      </c>
      <c r="N530" s="44">
        <v>10</v>
      </c>
      <c r="R530" s="43" t="s">
        <v>227</v>
      </c>
    </row>
    <row r="531" spans="1:18" s="21" customFormat="1" ht="14.4" hidden="1">
      <c r="A531" s="33">
        <f>IF(C531="","",MAX($A$1:A530)+1)</f>
        <v>507</v>
      </c>
      <c r="B531" s="27" t="s">
        <v>141</v>
      </c>
      <c r="C531" s="23">
        <v>46085</v>
      </c>
      <c r="D531" s="28" t="str">
        <f>_xlfn.XLOOKUP(Table134526_79101120212223242526[[#This Row],[Name Surname]],Manpower!$C$4:$C$1048576,Manpower!$B$4:$B$1048576,"")</f>
        <v>Encogroup</v>
      </c>
      <c r="E531" s="21" t="s">
        <v>196</v>
      </c>
      <c r="F531" s="12">
        <f>_xlfn.XLOOKUP(Table134526_79101120212223242526[[#This Row],[Name Surname]],Manpower!C:C,Manpower!D:D,)</f>
        <v>140844586</v>
      </c>
      <c r="G531" s="28" t="str">
        <f>_xlfn.XLOOKUP(Table134526_79101120212223242526[[#This Row],[Name Surname]],Manpower!$C$4:$C$1048576,Manpower!$F$4:$F$1048576,"")</f>
        <v>Assistant/Helper</v>
      </c>
      <c r="H531" s="28" t="str">
        <f>_xlfn.XLOOKUP(Table134526_79101120212223242526[[#This Row],[Name Surname]],Manpower!$C$4:$C$1048576,Manpower!$H$4:$H$1048576,"")</f>
        <v>Manpower</v>
      </c>
      <c r="I531" s="24" t="str">
        <f>_xlfn.XLOOKUP(Table134526_79101120212223242526[[#This Row],[Name Surname]],Manpower!$C$4:$C$1048576,Manpower!$H$4:$H$1048576,"")</f>
        <v>Manpower</v>
      </c>
      <c r="J531" s="21" t="s">
        <v>158</v>
      </c>
      <c r="K531" s="21" t="s">
        <v>26</v>
      </c>
      <c r="L531" s="21" t="s">
        <v>26</v>
      </c>
      <c r="M531" s="21" t="s">
        <v>55</v>
      </c>
      <c r="N531" s="29">
        <v>10</v>
      </c>
      <c r="R531" s="21" t="s">
        <v>227</v>
      </c>
    </row>
    <row r="532" spans="1:18" s="43" customFormat="1" ht="14.4" hidden="1">
      <c r="A532" s="25">
        <f>IF(C532="","",MAX($A$1:A531)+1)</f>
        <v>508</v>
      </c>
      <c r="B532" s="25" t="s">
        <v>141</v>
      </c>
      <c r="C532" s="41">
        <v>46085</v>
      </c>
      <c r="D532" s="48" t="str">
        <f>_xlfn.XLOOKUP(Table134526_79101120212223242526[[#This Row],[Name Surname]],Manpower!$C$4:$C$1048576,Manpower!$B$4:$B$1048576,"")</f>
        <v>AL Omar International TRAD AND CONT</v>
      </c>
      <c r="E532" s="43" t="s">
        <v>197</v>
      </c>
      <c r="F532" s="12">
        <f>_xlfn.XLOOKUP(Table134526_79101120212223242526[[#This Row],[Name Surname]],Manpower!C:C,Manpower!D:D,)</f>
        <v>106093463</v>
      </c>
      <c r="G532" s="48" t="str">
        <f>_xlfn.XLOOKUP(Table134526_79101120212223242526[[#This Row],[Name Surname]],Manpower!$C$4:$C$1048576,Manpower!$F$4:$F$1048576,"")</f>
        <v>RIgger</v>
      </c>
      <c r="H532" s="48" t="str">
        <f>_xlfn.XLOOKUP(Table134526_79101120212223242526[[#This Row],[Name Surname]],Manpower!$C$4:$C$1048576,Manpower!$H$4:$H$1048576,"")</f>
        <v>Sub Contactor</v>
      </c>
      <c r="I532" s="42" t="str">
        <f>_xlfn.XLOOKUP(Table134526_79101120212223242526[[#This Row],[Name Surname]],Manpower!$C$4:$C$1048576,Manpower!$H$4:$H$1048576,"")</f>
        <v>Sub Contactor</v>
      </c>
      <c r="J532" s="43" t="s">
        <v>143</v>
      </c>
      <c r="K532" s="43" t="s">
        <v>26</v>
      </c>
      <c r="L532" s="43" t="s">
        <v>144</v>
      </c>
      <c r="M532" s="43" t="s">
        <v>55</v>
      </c>
      <c r="N532" s="44">
        <v>10</v>
      </c>
      <c r="R532" s="43" t="s">
        <v>227</v>
      </c>
    </row>
    <row r="533" spans="1:18" s="21" customFormat="1" ht="14.4">
      <c r="A533" s="33">
        <f>IF(C533="","",MAX($A$1:A532)+1)</f>
        <v>509</v>
      </c>
      <c r="B533" s="27" t="s">
        <v>141</v>
      </c>
      <c r="C533" s="23">
        <v>46085</v>
      </c>
      <c r="D533" s="28" t="str">
        <f>_xlfn.XLOOKUP(Table134526_79101120212223242526[[#This Row],[Name Surname]],Manpower!$C$4:$C$1048576,Manpower!$B$4:$B$1048576,"")</f>
        <v>Al Asrah Al Mumayaza Trad</v>
      </c>
      <c r="E533" s="21" t="s">
        <v>198</v>
      </c>
      <c r="F533" s="12" t="e">
        <f>_xlfn.XLOOKUP(Table134526_79101120212223242526[[#This Row],[Name Surname]],Manpower!C:C,Manpower!D:D,)</f>
        <v>#N/A</v>
      </c>
      <c r="G533" s="28" t="str">
        <f>_xlfn.XLOOKUP(Table134526_79101120212223242526[[#This Row],[Name Surname]],Manpower!$C$4:$C$1048576,Manpower!$F$4:$F$1048576,"")</f>
        <v>PICK-UP</v>
      </c>
      <c r="H533" s="28" t="str">
        <f>_xlfn.XLOOKUP(Table134526_79101120212223242526[[#This Row],[Name Surname]],Manpower!$C$4:$C$1048576,Manpower!$H$4:$H$1048576,"")</f>
        <v>Equipment</v>
      </c>
      <c r="I533" s="24" t="str">
        <f>_xlfn.XLOOKUP(Table134526_79101120212223242526[[#This Row],[Name Surname]],Manpower!$C$4:$C$1048576,Manpower!$H$4:$H$1048576,"")</f>
        <v>Equipment</v>
      </c>
      <c r="J533" s="21" t="s">
        <v>143</v>
      </c>
      <c r="K533" s="21" t="s">
        <v>26</v>
      </c>
      <c r="L533" s="21" t="s">
        <v>144</v>
      </c>
      <c r="M533" s="21" t="s">
        <v>55</v>
      </c>
      <c r="N533" s="29">
        <v>10</v>
      </c>
      <c r="R533" s="21" t="s">
        <v>227</v>
      </c>
    </row>
    <row r="534" spans="1:18" s="21" customFormat="1" ht="14.4">
      <c r="A534" s="33">
        <f>IF(C534="","",MAX($A$1:A533)+1)</f>
        <v>510</v>
      </c>
      <c r="B534" s="27" t="s">
        <v>141</v>
      </c>
      <c r="C534" s="23">
        <v>46085</v>
      </c>
      <c r="D534" s="28" t="str">
        <f>_xlfn.XLOOKUP(Table134526_79101120212223242526[[#This Row],[Name Surname]],Manpower!$C$4:$C$1048576,Manpower!$B$4:$B$1048576,"")</f>
        <v>Al Asrah Al Mumayaza Trad</v>
      </c>
      <c r="E534" s="21" t="s">
        <v>199</v>
      </c>
      <c r="F534" s="12" t="e">
        <f>_xlfn.XLOOKUP(Table134526_79101120212223242526[[#This Row],[Name Surname]],Manpower!C:C,Manpower!D:D,)</f>
        <v>#N/A</v>
      </c>
      <c r="G534" s="28" t="str">
        <f>_xlfn.XLOOKUP(Table134526_79101120212223242526[[#This Row],[Name Surname]],Manpower!$C$4:$C$1048576,Manpower!$F$4:$F$1048576,"")</f>
        <v>PICK-UP</v>
      </c>
      <c r="H534" s="28" t="str">
        <f>_xlfn.XLOOKUP(Table134526_79101120212223242526[[#This Row],[Name Surname]],Manpower!$C$4:$C$1048576,Manpower!$H$4:$H$1048576,"")</f>
        <v>Equipment</v>
      </c>
      <c r="I534" s="24" t="str">
        <f>_xlfn.XLOOKUP(Table134526_79101120212223242526[[#This Row],[Name Surname]],Manpower!$C$4:$C$1048576,Manpower!$H$4:$H$1048576,"")</f>
        <v>Equipment</v>
      </c>
      <c r="J534" s="21" t="s">
        <v>143</v>
      </c>
      <c r="K534" s="21" t="s">
        <v>26</v>
      </c>
      <c r="L534" s="21" t="s">
        <v>144</v>
      </c>
      <c r="M534" s="21" t="s">
        <v>55</v>
      </c>
      <c r="N534" s="29">
        <v>10</v>
      </c>
      <c r="R534" s="21" t="s">
        <v>227</v>
      </c>
    </row>
    <row r="535" spans="1:18" s="21" customFormat="1" ht="14.4">
      <c r="A535" s="33">
        <f>IF(C535="","",MAX($A$1:A534)+1)</f>
        <v>511</v>
      </c>
      <c r="B535" s="27" t="s">
        <v>141</v>
      </c>
      <c r="C535" s="23">
        <v>46085</v>
      </c>
      <c r="D535" s="28" t="str">
        <f>_xlfn.XLOOKUP(Table134526_79101120212223242526[[#This Row],[Name Surname]],Manpower!$C$4:$C$1048576,Manpower!$B$4:$B$1048576,"")</f>
        <v>Al Asrah Al Mumayaza Trad</v>
      </c>
      <c r="E535" s="21" t="s">
        <v>200</v>
      </c>
      <c r="F535" s="12" t="e">
        <f>_xlfn.XLOOKUP(Table134526_79101120212223242526[[#This Row],[Name Surname]],Manpower!C:C,Manpower!D:D,)</f>
        <v>#N/A</v>
      </c>
      <c r="G535" s="28" t="str">
        <f>_xlfn.XLOOKUP(Table134526_79101120212223242526[[#This Row],[Name Surname]],Manpower!$C$4:$C$1048576,Manpower!$F$4:$F$1048576,"")</f>
        <v>PICK-UP</v>
      </c>
      <c r="H535" s="28" t="str">
        <f>_xlfn.XLOOKUP(Table134526_79101120212223242526[[#This Row],[Name Surname]],Manpower!$C$4:$C$1048576,Manpower!$H$4:$H$1048576,"")</f>
        <v>Equipment</v>
      </c>
      <c r="I535" s="24" t="str">
        <f>_xlfn.XLOOKUP(Table134526_79101120212223242526[[#This Row],[Name Surname]],Manpower!$C$4:$C$1048576,Manpower!$H$4:$H$1048576,"")</f>
        <v>Equipment</v>
      </c>
      <c r="J535" s="21" t="s">
        <v>143</v>
      </c>
      <c r="K535" s="21" t="s">
        <v>26</v>
      </c>
      <c r="L535" s="21" t="s">
        <v>144</v>
      </c>
      <c r="M535" s="21" t="s">
        <v>55</v>
      </c>
      <c r="N535" s="29">
        <v>10</v>
      </c>
      <c r="R535" s="21" t="s">
        <v>227</v>
      </c>
    </row>
    <row r="536" spans="1:18" s="21" customFormat="1" ht="14.4">
      <c r="A536" s="33">
        <f>IF(C536="","",MAX($A$1:A535)+1)</f>
        <v>512</v>
      </c>
      <c r="B536" s="27" t="s">
        <v>141</v>
      </c>
      <c r="C536" s="23">
        <v>46085</v>
      </c>
      <c r="D536" s="28" t="str">
        <f>_xlfn.XLOOKUP(Table134526_79101120212223242526[[#This Row],[Name Surname]],Manpower!$C$4:$C$1048576,Manpower!$B$4:$B$1048576,"")</f>
        <v>Al Asrah Al Mumayaza Trad</v>
      </c>
      <c r="E536" s="21" t="s">
        <v>201</v>
      </c>
      <c r="F536" s="12" t="e">
        <f>_xlfn.XLOOKUP(Table134526_79101120212223242526[[#This Row],[Name Surname]],Manpower!C:C,Manpower!D:D,)</f>
        <v>#N/A</v>
      </c>
      <c r="G536" s="28" t="str">
        <f>_xlfn.XLOOKUP(Table134526_79101120212223242526[[#This Row],[Name Surname]],Manpower!$C$4:$C$1048576,Manpower!$F$4:$F$1048576,"")</f>
        <v>PICK-UP</v>
      </c>
      <c r="H536" s="28" t="str">
        <f>_xlfn.XLOOKUP(Table134526_79101120212223242526[[#This Row],[Name Surname]],Manpower!$C$4:$C$1048576,Manpower!$H$4:$H$1048576,"")</f>
        <v>Equipment</v>
      </c>
      <c r="I536" s="24" t="str">
        <f>_xlfn.XLOOKUP(Table134526_79101120212223242526[[#This Row],[Name Surname]],Manpower!$C$4:$C$1048576,Manpower!$H$4:$H$1048576,"")</f>
        <v>Equipment</v>
      </c>
      <c r="J536" s="21" t="s">
        <v>143</v>
      </c>
      <c r="K536" s="21" t="s">
        <v>26</v>
      </c>
      <c r="L536" s="21" t="s">
        <v>144</v>
      </c>
      <c r="M536" s="21" t="s">
        <v>55</v>
      </c>
      <c r="N536" s="29">
        <v>10</v>
      </c>
      <c r="R536" s="21" t="s">
        <v>227</v>
      </c>
    </row>
    <row r="537" spans="1:18" s="43" customFormat="1" ht="14.4" hidden="1">
      <c r="A537" s="25">
        <f>IF(C537="","",MAX($A$1:A536)+1)</f>
        <v>513</v>
      </c>
      <c r="B537" s="25" t="s">
        <v>141</v>
      </c>
      <c r="C537" s="41">
        <v>46085</v>
      </c>
      <c r="D537" s="48" t="str">
        <f>_xlfn.XLOOKUP(Table134526_79101120212223242526[[#This Row],[Name Surname]],Manpower!$C$4:$C$1048576,Manpower!$B$4:$B$1048576,"")</f>
        <v>Encogroup</v>
      </c>
      <c r="E537" s="43" t="s">
        <v>202</v>
      </c>
      <c r="F537" s="12">
        <f>_xlfn.XLOOKUP(Table134526_79101120212223242526[[#This Row],[Name Surname]],Manpower!C:C,Manpower!D:D,)</f>
        <v>140805592</v>
      </c>
      <c r="G537" s="48" t="str">
        <f>_xlfn.XLOOKUP(Table134526_79101120212223242526[[#This Row],[Name Surname]],Manpower!$C$4:$C$1048576,Manpower!$F$4:$F$1048576,"")</f>
        <v>Assistant/Helper</v>
      </c>
      <c r="H537" s="48" t="str">
        <f>_xlfn.XLOOKUP(Table134526_79101120212223242526[[#This Row],[Name Surname]],Manpower!$C$4:$C$1048576,Manpower!$H$4:$H$1048576,"")</f>
        <v>Manpower</v>
      </c>
      <c r="I537" s="42" t="str">
        <f>_xlfn.XLOOKUP(Table134526_79101120212223242526[[#This Row],[Name Surname]],Manpower!$C$4:$C$1048576,Manpower!$H$4:$H$1048576,"")</f>
        <v>Manpower</v>
      </c>
      <c r="J537" s="43" t="s">
        <v>143</v>
      </c>
      <c r="K537" s="43" t="s">
        <v>26</v>
      </c>
      <c r="L537" s="43" t="s">
        <v>144</v>
      </c>
      <c r="M537" s="43" t="s">
        <v>55</v>
      </c>
      <c r="N537" s="44">
        <v>10</v>
      </c>
      <c r="R537" s="43" t="s">
        <v>227</v>
      </c>
    </row>
    <row r="538" spans="1:18" s="21" customFormat="1" ht="14.4" hidden="1">
      <c r="A538" s="33">
        <f>IF(C538="","",MAX($A$1:A537)+1)</f>
        <v>514</v>
      </c>
      <c r="B538" s="27" t="s">
        <v>141</v>
      </c>
      <c r="C538" s="23">
        <v>46085</v>
      </c>
      <c r="D538" s="28" t="str">
        <f>_xlfn.XLOOKUP(Table134526_79101120212223242526[[#This Row],[Name Surname]],Manpower!$C$4:$C$1048576,Manpower!$B$4:$B$1048576,"")</f>
        <v>Encogroup</v>
      </c>
      <c r="E538" s="21" t="s">
        <v>203</v>
      </c>
      <c r="F538" s="12">
        <f>_xlfn.XLOOKUP(Table134526_79101120212223242526[[#This Row],[Name Surname]],Manpower!C:C,Manpower!D:D,)</f>
        <v>140683371</v>
      </c>
      <c r="G538" s="28" t="str">
        <f>_xlfn.XLOOKUP(Table134526_79101120212223242526[[#This Row],[Name Surname]],Manpower!$C$4:$C$1048576,Manpower!$F$4:$F$1048576,"")</f>
        <v>Rigger</v>
      </c>
      <c r="H538" s="28" t="str">
        <f>_xlfn.XLOOKUP(Table134526_79101120212223242526[[#This Row],[Name Surname]],Manpower!$C$4:$C$1048576,Manpower!$H$4:$H$1048576,"")</f>
        <v>Manpower</v>
      </c>
      <c r="I538" s="24" t="str">
        <f>_xlfn.XLOOKUP(Table134526_79101120212223242526[[#This Row],[Name Surname]],Manpower!$C$4:$C$1048576,Manpower!$H$4:$H$1048576,"")</f>
        <v>Manpower</v>
      </c>
      <c r="J538" s="21" t="s">
        <v>143</v>
      </c>
      <c r="K538" s="21" t="s">
        <v>26</v>
      </c>
      <c r="L538" s="21" t="s">
        <v>144</v>
      </c>
      <c r="M538" s="21" t="s">
        <v>55</v>
      </c>
      <c r="N538" s="29">
        <v>10</v>
      </c>
      <c r="R538" s="21" t="s">
        <v>227</v>
      </c>
    </row>
    <row r="539" spans="1:18" s="21" customFormat="1" ht="14.4" hidden="1">
      <c r="A539" s="33">
        <f>IF(C539="","",MAX($A$1:A538)+1)</f>
        <v>515</v>
      </c>
      <c r="B539" s="27" t="s">
        <v>141</v>
      </c>
      <c r="C539" s="23">
        <v>46085</v>
      </c>
      <c r="D539" s="28" t="str">
        <f>_xlfn.XLOOKUP(Table134526_79101120212223242526[[#This Row],[Name Surname]],Manpower!$C$4:$C$1048576,Manpower!$B$4:$B$1048576,"")</f>
        <v>Encogroup</v>
      </c>
      <c r="E539" s="21" t="s">
        <v>204</v>
      </c>
      <c r="F539" s="12">
        <f>_xlfn.XLOOKUP(Table134526_79101120212223242526[[#This Row],[Name Surname]],Manpower!C:C,Manpower!D:D,)</f>
        <v>140844572</v>
      </c>
      <c r="G539" s="28" t="str">
        <f>_xlfn.XLOOKUP(Table134526_79101120212223242526[[#This Row],[Name Surname]],Manpower!$C$4:$C$1048576,Manpower!$F$4:$F$1048576,"")</f>
        <v>Assistant/Helper</v>
      </c>
      <c r="H539" s="28" t="str">
        <f>_xlfn.XLOOKUP(Table134526_79101120212223242526[[#This Row],[Name Surname]],Manpower!$C$4:$C$1048576,Manpower!$H$4:$H$1048576,"")</f>
        <v>Manpower</v>
      </c>
      <c r="I539" s="24" t="str">
        <f>_xlfn.XLOOKUP(Table134526_79101120212223242526[[#This Row],[Name Surname]],Manpower!$C$4:$C$1048576,Manpower!$H$4:$H$1048576,"")</f>
        <v>Manpower</v>
      </c>
      <c r="J539" s="21" t="s">
        <v>143</v>
      </c>
      <c r="K539" s="21" t="s">
        <v>26</v>
      </c>
      <c r="L539" s="21" t="s">
        <v>144</v>
      </c>
      <c r="M539" s="21" t="s">
        <v>55</v>
      </c>
      <c r="N539" s="29">
        <v>10</v>
      </c>
      <c r="R539" s="21" t="s">
        <v>227</v>
      </c>
    </row>
    <row r="540" spans="1:18" s="21" customFormat="1" ht="14.4" hidden="1">
      <c r="A540" s="33">
        <f>IF(C540="","",MAX($A$1:A539)+1)</f>
        <v>516</v>
      </c>
      <c r="B540" s="27" t="s">
        <v>141</v>
      </c>
      <c r="C540" s="23">
        <v>46085</v>
      </c>
      <c r="D540" s="28" t="str">
        <f>_xlfn.XLOOKUP(Table134526_79101120212223242526[[#This Row],[Name Surname]],Manpower!$C$4:$C$1048576,Manpower!$B$4:$B$1048576,"")</f>
        <v>Encogroup</v>
      </c>
      <c r="E540" s="21" t="s">
        <v>206</v>
      </c>
      <c r="F540" s="12">
        <f>_xlfn.XLOOKUP(Table134526_79101120212223242526[[#This Row],[Name Surname]],Manpower!C:C,Manpower!D:D,)</f>
        <v>140844848</v>
      </c>
      <c r="G540" s="28" t="str">
        <f>_xlfn.XLOOKUP(Table134526_79101120212223242526[[#This Row],[Name Surname]],Manpower!$C$4:$C$1048576,Manpower!$F$4:$F$1048576,"")</f>
        <v>Assistant/Helper</v>
      </c>
      <c r="H540" s="28" t="str">
        <f>_xlfn.XLOOKUP(Table134526_79101120212223242526[[#This Row],[Name Surname]],Manpower!$C$4:$C$1048576,Manpower!$H$4:$H$1048576,"")</f>
        <v>Manpower</v>
      </c>
      <c r="I540" s="24" t="str">
        <f>_xlfn.XLOOKUP(Table134526_79101120212223242526[[#This Row],[Name Surname]],Manpower!$C$4:$C$1048576,Manpower!$H$4:$H$1048576,"")</f>
        <v>Manpower</v>
      </c>
      <c r="J540" s="21" t="s">
        <v>143</v>
      </c>
      <c r="K540" s="21" t="s">
        <v>26</v>
      </c>
      <c r="L540" s="21" t="s">
        <v>144</v>
      </c>
      <c r="M540" s="21" t="s">
        <v>55</v>
      </c>
      <c r="N540" s="29">
        <v>10</v>
      </c>
      <c r="R540" s="21" t="s">
        <v>227</v>
      </c>
    </row>
    <row r="541" spans="1:18" s="21" customFormat="1" ht="14.4" hidden="1">
      <c r="A541" s="33">
        <f>IF(C541="","",MAX($A$1:A540)+1)</f>
        <v>517</v>
      </c>
      <c r="B541" s="27" t="s">
        <v>141</v>
      </c>
      <c r="C541" s="23">
        <v>46085</v>
      </c>
      <c r="D541" s="28" t="str">
        <f>_xlfn.XLOOKUP(Table134526_79101120212223242526[[#This Row],[Name Surname]],Manpower!$C$4:$C$1048576,Manpower!$B$4:$B$1048576,"")</f>
        <v>Encogroup</v>
      </c>
      <c r="E541" s="21" t="s">
        <v>207</v>
      </c>
      <c r="F541" s="12">
        <f>_xlfn.XLOOKUP(Table134526_79101120212223242526[[#This Row],[Name Surname]],Manpower!C:C,Manpower!D:D,)</f>
        <v>141359216</v>
      </c>
      <c r="G541" s="28" t="str">
        <f>_xlfn.XLOOKUP(Table134526_79101120212223242526[[#This Row],[Name Surname]],Manpower!$C$4:$C$1048576,Manpower!$F$4:$F$1048576,"")</f>
        <v>Electrician</v>
      </c>
      <c r="H541" s="28" t="str">
        <f>_xlfn.XLOOKUP(Table134526_79101120212223242526[[#This Row],[Name Surname]],Manpower!$C$4:$C$1048576,Manpower!$H$4:$H$1048576,"")</f>
        <v>Manpower</v>
      </c>
      <c r="I541" s="24" t="str">
        <f>_xlfn.XLOOKUP(Table134526_79101120212223242526[[#This Row],[Name Surname]],Manpower!$C$4:$C$1048576,Manpower!$H$4:$H$1048576,"")</f>
        <v>Manpower</v>
      </c>
      <c r="J541" s="21" t="s">
        <v>158</v>
      </c>
      <c r="K541" s="21" t="s">
        <v>26</v>
      </c>
      <c r="L541" s="21" t="s">
        <v>26</v>
      </c>
      <c r="M541" s="21" t="s">
        <v>55</v>
      </c>
      <c r="N541" s="29">
        <v>10</v>
      </c>
      <c r="R541" s="21" t="s">
        <v>227</v>
      </c>
    </row>
    <row r="542" spans="1:18" s="43" customFormat="1" ht="14.4" hidden="1">
      <c r="A542" s="25">
        <f>IF(C542="","",MAX($A$1:A541)+1)</f>
        <v>518</v>
      </c>
      <c r="B542" s="25" t="s">
        <v>141</v>
      </c>
      <c r="C542" s="41">
        <v>46085</v>
      </c>
      <c r="D542" s="48" t="str">
        <f>_xlfn.XLOOKUP(Table134526_79101120212223242526[[#This Row],[Name Surname]],Manpower!$C$4:$C$1048576,Manpower!$B$4:$B$1048576,"")</f>
        <v>Encogroup</v>
      </c>
      <c r="E542" s="43" t="s">
        <v>208</v>
      </c>
      <c r="F542" s="12">
        <f>_xlfn.XLOOKUP(Table134526_79101120212223242526[[#This Row],[Name Surname]],Manpower!C:C,Manpower!D:D,)</f>
        <v>140683399</v>
      </c>
      <c r="G542" s="48" t="str">
        <f>_xlfn.XLOOKUP(Table134526_79101120212223242526[[#This Row],[Name Surname]],Manpower!$C$4:$C$1048576,Manpower!$F$4:$F$1048576,"")</f>
        <v>Rigger</v>
      </c>
      <c r="H542" s="48" t="str">
        <f>_xlfn.XLOOKUP(Table134526_79101120212223242526[[#This Row],[Name Surname]],Manpower!$C$4:$C$1048576,Manpower!$H$4:$H$1048576,"")</f>
        <v>Manpower</v>
      </c>
      <c r="I542" s="42" t="str">
        <f>_xlfn.XLOOKUP(Table134526_79101120212223242526[[#This Row],[Name Surname]],Manpower!$C$4:$C$1048576,Manpower!$H$4:$H$1048576,"")</f>
        <v>Manpower</v>
      </c>
      <c r="J542" s="43" t="s">
        <v>143</v>
      </c>
      <c r="K542" s="43" t="s">
        <v>26</v>
      </c>
      <c r="L542" s="43" t="s">
        <v>144</v>
      </c>
      <c r="M542" s="43" t="s">
        <v>55</v>
      </c>
      <c r="N542" s="44">
        <v>10</v>
      </c>
      <c r="R542" s="43" t="s">
        <v>227</v>
      </c>
    </row>
    <row r="543" spans="1:18" s="21" customFormat="1" ht="14.4" hidden="1">
      <c r="A543" s="33">
        <f>IF(C543="","",MAX($A$1:A542)+1)</f>
        <v>519</v>
      </c>
      <c r="B543" s="27" t="s">
        <v>141</v>
      </c>
      <c r="C543" s="23">
        <v>46085</v>
      </c>
      <c r="D543" s="28" t="str">
        <f>_xlfn.XLOOKUP(Table134526_79101120212223242526[[#This Row],[Name Surname]],Manpower!$C$4:$C$1048576,Manpower!$B$4:$B$1048576,"")</f>
        <v>Encogroup</v>
      </c>
      <c r="E543" s="21" t="s">
        <v>209</v>
      </c>
      <c r="F543" s="12">
        <f>_xlfn.XLOOKUP(Table134526_79101120212223242526[[#This Row],[Name Surname]],Manpower!C:C,Manpower!D:D,)</f>
        <v>141365164</v>
      </c>
      <c r="G543" s="28" t="str">
        <f>_xlfn.XLOOKUP(Table134526_79101120212223242526[[#This Row],[Name Surname]],Manpower!$C$4:$C$1048576,Manpower!$F$4:$F$1048576,"")</f>
        <v>Helper</v>
      </c>
      <c r="H543" s="28" t="str">
        <f>_xlfn.XLOOKUP(Table134526_79101120212223242526[[#This Row],[Name Surname]],Manpower!$C$4:$C$1048576,Manpower!$H$4:$H$1048576,"")</f>
        <v>Manpower</v>
      </c>
      <c r="I543" s="24" t="str">
        <f>_xlfn.XLOOKUP(Table134526_79101120212223242526[[#This Row],[Name Surname]],Manpower!$C$4:$C$1048576,Manpower!$H$4:$H$1048576,"")</f>
        <v>Manpower</v>
      </c>
      <c r="J543" s="21" t="s">
        <v>158</v>
      </c>
      <c r="K543" s="21" t="s">
        <v>26</v>
      </c>
      <c r="L543" s="21" t="s">
        <v>26</v>
      </c>
      <c r="M543" s="21" t="s">
        <v>55</v>
      </c>
      <c r="N543" s="29">
        <v>10</v>
      </c>
      <c r="R543" s="21" t="s">
        <v>227</v>
      </c>
    </row>
    <row r="544" spans="1:18" s="21" customFormat="1" ht="14.4">
      <c r="A544" s="33">
        <f>IF(C544="","",MAX($A$1:A543)+1)</f>
        <v>520</v>
      </c>
      <c r="B544" s="27" t="s">
        <v>141</v>
      </c>
      <c r="C544" s="23">
        <v>46085</v>
      </c>
      <c r="D544" s="28" t="str">
        <f>_xlfn.XLOOKUP(Table134526_79101120212223242526[[#This Row],[Name Surname]],Manpower!$C$4:$C$1048576,Manpower!$B$4:$B$1048576,"")</f>
        <v>Bright Light</v>
      </c>
      <c r="E544" s="21" t="s">
        <v>210</v>
      </c>
      <c r="F544" s="12" t="e">
        <f>_xlfn.XLOOKUP(Table134526_79101120212223242526[[#This Row],[Name Surname]],Manpower!C:C,Manpower!D:D,)</f>
        <v>#N/A</v>
      </c>
      <c r="G544" s="28" t="str">
        <f>_xlfn.XLOOKUP(Table134526_79101120212223242526[[#This Row],[Name Surname]],Manpower!$C$4:$C$1048576,Manpower!$F$4:$F$1048576,"")</f>
        <v>Trailer</v>
      </c>
      <c r="H544" s="28" t="str">
        <f>_xlfn.XLOOKUP(Table134526_79101120212223242526[[#This Row],[Name Surname]],Manpower!$C$4:$C$1048576,Manpower!$H$4:$H$1048576,"")</f>
        <v>Equipment</v>
      </c>
      <c r="I544" s="24" t="str">
        <f>_xlfn.XLOOKUP(Table134526_79101120212223242526[[#This Row],[Name Surname]],Manpower!$C$4:$C$1048576,Manpower!$H$4:$H$1048576,"")</f>
        <v>Equipment</v>
      </c>
      <c r="J544" s="21" t="s">
        <v>143</v>
      </c>
      <c r="K544" s="21" t="s">
        <v>26</v>
      </c>
      <c r="L544" s="21" t="s">
        <v>144</v>
      </c>
      <c r="M544" s="21" t="s">
        <v>55</v>
      </c>
      <c r="N544" s="29">
        <v>10</v>
      </c>
      <c r="R544" s="21" t="s">
        <v>227</v>
      </c>
    </row>
    <row r="545" spans="1:18" s="21" customFormat="1" ht="14.4" hidden="1">
      <c r="A545" s="33">
        <f>IF(C545="","",MAX($A$1:A544)+1)</f>
        <v>521</v>
      </c>
      <c r="B545" s="27" t="s">
        <v>141</v>
      </c>
      <c r="C545" s="23">
        <v>46085</v>
      </c>
      <c r="D545" s="28" t="str">
        <f>_xlfn.XLOOKUP(Table134526_79101120212223242526[[#This Row],[Name Surname]],Manpower!$C$4:$C$1048576,Manpower!$B$4:$B$1048576,"")</f>
        <v>Encogroup</v>
      </c>
      <c r="E545" s="21" t="s">
        <v>211</v>
      </c>
      <c r="F545" s="12">
        <f>_xlfn.XLOOKUP(Table134526_79101120212223242526[[#This Row],[Name Surname]],Manpower!C:C,Manpower!D:D,)</f>
        <v>140477664</v>
      </c>
      <c r="G545" s="28" t="str">
        <f>_xlfn.XLOOKUP(Table134526_79101120212223242526[[#This Row],[Name Surname]],Manpower!$C$4:$C$1048576,Manpower!$F$4:$F$1048576,"")</f>
        <v>Junior HSE Officer</v>
      </c>
      <c r="H545" s="28" t="str">
        <f>_xlfn.XLOOKUP(Table134526_79101120212223242526[[#This Row],[Name Surname]],Manpower!$C$4:$C$1048576,Manpower!$H$4:$H$1048576,"")</f>
        <v>Manpower</v>
      </c>
      <c r="I545" s="24" t="str">
        <f>_xlfn.XLOOKUP(Table134526_79101120212223242526[[#This Row],[Name Surname]],Manpower!$C$4:$C$1048576,Manpower!$H$4:$H$1048576,"")</f>
        <v>Manpower</v>
      </c>
      <c r="J545" s="21" t="s">
        <v>143</v>
      </c>
      <c r="K545" s="21" t="s">
        <v>26</v>
      </c>
      <c r="L545" s="21" t="s">
        <v>144</v>
      </c>
      <c r="M545" s="21" t="s">
        <v>55</v>
      </c>
      <c r="N545" s="29">
        <v>10</v>
      </c>
      <c r="R545" s="21" t="s">
        <v>227</v>
      </c>
    </row>
    <row r="546" spans="1:18" s="21" customFormat="1" ht="14.4" hidden="1">
      <c r="A546" s="33">
        <f>IF(C546="","",MAX($A$1:A545)+1)</f>
        <v>522</v>
      </c>
      <c r="B546" s="27" t="s">
        <v>141</v>
      </c>
      <c r="C546" s="23">
        <v>46085</v>
      </c>
      <c r="D546" s="28" t="str">
        <f>_xlfn.XLOOKUP(Table134526_79101120212223242526[[#This Row],[Name Surname]],Manpower!$C$4:$C$1048576,Manpower!$B$4:$B$1048576,"")</f>
        <v>AL Omar International TRAD AND CONT</v>
      </c>
      <c r="E546" s="21" t="s">
        <v>212</v>
      </c>
      <c r="F546" s="12">
        <f>_xlfn.XLOOKUP(Table134526_79101120212223242526[[#This Row],[Name Surname]],Manpower!C:C,Manpower!D:D,)</f>
        <v>116676257</v>
      </c>
      <c r="G546" s="28" t="str">
        <f>_xlfn.XLOOKUP(Table134526_79101120212223242526[[#This Row],[Name Surname]],Manpower!$C$4:$C$1048576,Manpower!$F$4:$F$1048576,"")</f>
        <v>Scaffolder</v>
      </c>
      <c r="H546" s="28" t="str">
        <f>_xlfn.XLOOKUP(Table134526_79101120212223242526[[#This Row],[Name Surname]],Manpower!$C$4:$C$1048576,Manpower!$H$4:$H$1048576,"")</f>
        <v>Sub Contactor</v>
      </c>
      <c r="I546" s="24" t="str">
        <f>_xlfn.XLOOKUP(Table134526_79101120212223242526[[#This Row],[Name Surname]],Manpower!$C$4:$C$1048576,Manpower!$H$4:$H$1048576,"")</f>
        <v>Sub Contactor</v>
      </c>
      <c r="J546" s="21" t="s">
        <v>143</v>
      </c>
      <c r="K546" s="21" t="s">
        <v>26</v>
      </c>
      <c r="L546" s="21" t="s">
        <v>144</v>
      </c>
      <c r="M546" s="21" t="s">
        <v>55</v>
      </c>
      <c r="N546" s="29">
        <v>10</v>
      </c>
      <c r="R546" s="21" t="s">
        <v>227</v>
      </c>
    </row>
    <row r="547" spans="1:18" s="43" customFormat="1" ht="14.4" hidden="1">
      <c r="A547" s="25">
        <f>IF(C547="","",MAX($A$1:A546)+1)</f>
        <v>523</v>
      </c>
      <c r="B547" s="25" t="s">
        <v>141</v>
      </c>
      <c r="C547" s="41">
        <v>46085</v>
      </c>
      <c r="D547" s="48" t="str">
        <f>_xlfn.XLOOKUP(Table134526_79101120212223242526[[#This Row],[Name Surname]],Manpower!$C$4:$C$1048576,Manpower!$B$4:$B$1048576,"")</f>
        <v>Encogroup</v>
      </c>
      <c r="E547" s="43" t="s">
        <v>213</v>
      </c>
      <c r="F547" s="12">
        <f>_xlfn.XLOOKUP(Table134526_79101120212223242526[[#This Row],[Name Surname]],Manpower!C:C,Manpower!D:D,)</f>
        <v>140846698</v>
      </c>
      <c r="G547" s="48" t="str">
        <f>_xlfn.XLOOKUP(Table134526_79101120212223242526[[#This Row],[Name Surname]],Manpower!$C$4:$C$1048576,Manpower!$F$4:$F$1048576,"")</f>
        <v>Assistant/Helper</v>
      </c>
      <c r="H547" s="48" t="str">
        <f>_xlfn.XLOOKUP(Table134526_79101120212223242526[[#This Row],[Name Surname]],Manpower!$C$4:$C$1048576,Manpower!$H$4:$H$1048576,"")</f>
        <v>Manpower</v>
      </c>
      <c r="I547" s="42" t="str">
        <f>_xlfn.XLOOKUP(Table134526_79101120212223242526[[#This Row],[Name Surname]],Manpower!$C$4:$C$1048576,Manpower!$H$4:$H$1048576,"")</f>
        <v>Manpower</v>
      </c>
      <c r="J547" s="43" t="s">
        <v>143</v>
      </c>
      <c r="K547" s="43" t="s">
        <v>26</v>
      </c>
      <c r="L547" s="43" t="s">
        <v>144</v>
      </c>
      <c r="M547" s="43" t="s">
        <v>55</v>
      </c>
      <c r="N547" s="44">
        <v>10</v>
      </c>
      <c r="R547" s="43" t="s">
        <v>227</v>
      </c>
    </row>
    <row r="548" spans="1:18" s="43" customFormat="1" ht="14.4" hidden="1">
      <c r="A548" s="25">
        <f>IF(C548="","",MAX($A$1:A547)+1)</f>
        <v>524</v>
      </c>
      <c r="B548" s="25" t="s">
        <v>141</v>
      </c>
      <c r="C548" s="41">
        <v>46085</v>
      </c>
      <c r="D548" s="48" t="str">
        <f>_xlfn.XLOOKUP(Table134526_79101120212223242526[[#This Row],[Name Surname]],Manpower!$C$4:$C$1048576,Manpower!$B$4:$B$1048576,"")</f>
        <v>SARENS NASS</v>
      </c>
      <c r="E548" s="43" t="s">
        <v>214</v>
      </c>
      <c r="F548" s="12">
        <f>_xlfn.XLOOKUP(Table134526_79101120212223242526[[#This Row],[Name Surname]],Manpower!C:C,Manpower!D:D,)</f>
        <v>109957631</v>
      </c>
      <c r="G548" s="48" t="str">
        <f>_xlfn.XLOOKUP(Table134526_79101120212223242526[[#This Row],[Name Surname]],Manpower!$C$4:$C$1048576,Manpower!$F$4:$F$1048576,"")</f>
        <v>Crane Operator-130T Liebherr Crawler</v>
      </c>
      <c r="H548" s="48" t="s">
        <v>39</v>
      </c>
      <c r="I548" s="42" t="s">
        <v>39</v>
      </c>
      <c r="J548" s="43" t="s">
        <v>143</v>
      </c>
      <c r="K548" s="43" t="s">
        <v>26</v>
      </c>
      <c r="L548" s="43" t="s">
        <v>144</v>
      </c>
      <c r="M548" s="43" t="s">
        <v>55</v>
      </c>
      <c r="N548" s="44">
        <v>10</v>
      </c>
      <c r="R548" s="43" t="s">
        <v>227</v>
      </c>
    </row>
    <row r="549" spans="1:18" s="43" customFormat="1" ht="14.4" hidden="1">
      <c r="A549" s="25">
        <f>IF(C549="","",MAX($A$1:A548)+1)</f>
        <v>525</v>
      </c>
      <c r="B549" s="25" t="s">
        <v>141</v>
      </c>
      <c r="C549" s="41">
        <v>46085</v>
      </c>
      <c r="D549" s="48" t="str">
        <f>_xlfn.XLOOKUP(Table134526_79101120212223242526[[#This Row],[Name Surname]],Manpower!$C$4:$C$1048576,Manpower!$B$4:$B$1048576,"")</f>
        <v>Encogroup</v>
      </c>
      <c r="E549" s="43" t="s">
        <v>112</v>
      </c>
      <c r="F549" s="12">
        <f>_xlfn.XLOOKUP(Table134526_79101120212223242526[[#This Row],[Name Surname]],Manpower!C:C,Manpower!D:D,)</f>
        <v>140663253</v>
      </c>
      <c r="G549" s="48" t="str">
        <f>_xlfn.XLOOKUP(Table134526_79101120212223242526[[#This Row],[Name Surname]],Manpower!$C$4:$C$1048576,Manpower!$F$4:$F$1048576,"")</f>
        <v>Painting Inspector</v>
      </c>
      <c r="H549" s="48" t="str">
        <f>_xlfn.XLOOKUP(Table134526_79101120212223242526[[#This Row],[Name Surname]],Manpower!$C$4:$C$1048576,Manpower!$H$4:$H$1048576,"")</f>
        <v>Manpower</v>
      </c>
      <c r="I549" s="42" t="str">
        <f>_xlfn.XLOOKUP(Table134526_79101120212223242526[[#This Row],[Name Surname]],Manpower!$C$4:$C$1048576,Manpower!$H$4:$H$1048576,"")</f>
        <v>Manpower</v>
      </c>
      <c r="J549" s="43" t="s">
        <v>143</v>
      </c>
      <c r="K549" s="43" t="s">
        <v>26</v>
      </c>
      <c r="L549" s="43" t="s">
        <v>144</v>
      </c>
      <c r="M549" s="43" t="s">
        <v>55</v>
      </c>
      <c r="N549" s="44">
        <v>10</v>
      </c>
      <c r="R549" s="43" t="s">
        <v>227</v>
      </c>
    </row>
    <row r="550" spans="1:18" s="43" customFormat="1" ht="14.4" hidden="1">
      <c r="A550" s="25">
        <f>IF(C550="","",MAX($A$1:A548)+1)</f>
        <v>525</v>
      </c>
      <c r="B550" s="25" t="s">
        <v>141</v>
      </c>
      <c r="C550" s="41">
        <v>46085</v>
      </c>
      <c r="D550" s="48" t="str">
        <f>_xlfn.XLOOKUP(Table134526_79101120212223242526[[#This Row],[Name Surname]],Manpower!$C$4:$C$1048576,Manpower!$B$4:$B$1048576,"")</f>
        <v>Encogroup</v>
      </c>
      <c r="E550" s="43" t="s">
        <v>217</v>
      </c>
      <c r="F550" s="12">
        <f>_xlfn.XLOOKUP(Table134526_79101120212223242526[[#This Row],[Name Surname]],Manpower!C:C,Manpower!D:D,)</f>
        <v>140742177</v>
      </c>
      <c r="G550" s="48" t="str">
        <f>_xlfn.XLOOKUP(Table134526_79101120212223242526[[#This Row],[Name Surname]],Manpower!$C$4:$C$1048576,Manpower!$F$4:$F$1048576,"")</f>
        <v>Grinder</v>
      </c>
      <c r="H550" s="48" t="str">
        <f>_xlfn.XLOOKUP(Table134526_79101120212223242526[[#This Row],[Name Surname]],Manpower!$C$4:$C$1048576,Manpower!$H$4:$H$1048576,"")</f>
        <v>Manpower</v>
      </c>
      <c r="I550" s="42" t="str">
        <f>_xlfn.XLOOKUP(Table134526_79101120212223242526[[#This Row],[Name Surname]],Manpower!$C$4:$C$1048576,Manpower!$H$4:$H$1048576,"")</f>
        <v>Manpower</v>
      </c>
      <c r="J550" s="43" t="s">
        <v>143</v>
      </c>
      <c r="K550" s="43" t="s">
        <v>26</v>
      </c>
      <c r="L550" s="43" t="s">
        <v>144</v>
      </c>
      <c r="M550" s="43" t="s">
        <v>55</v>
      </c>
      <c r="N550" s="44">
        <v>10</v>
      </c>
      <c r="R550" s="43" t="s">
        <v>227</v>
      </c>
    </row>
    <row r="551" spans="1:18" s="21" customFormat="1" ht="14.4" hidden="1">
      <c r="A551" s="33">
        <f>IF(C551="","",MAX($A$1:A550)+1)</f>
        <v>526</v>
      </c>
      <c r="B551" s="27" t="s">
        <v>141</v>
      </c>
      <c r="C551" s="23">
        <v>46085</v>
      </c>
      <c r="D551" s="28" t="str">
        <f>_xlfn.XLOOKUP(Table134526_79101120212223242526[[#This Row],[Name Surname]],Manpower!$C$4:$C$1048576,Manpower!$B$4:$B$1048576,"")</f>
        <v>Encogroup</v>
      </c>
      <c r="E551" s="21" t="s">
        <v>218</v>
      </c>
      <c r="F551" s="12">
        <f>_xlfn.XLOOKUP(Table134526_79101120212223242526[[#This Row],[Name Surname]],Manpower!C:C,Manpower!D:D,)</f>
        <v>116853914</v>
      </c>
      <c r="G551" s="28" t="str">
        <f>_xlfn.XLOOKUP(Table134526_79101120212223242526[[#This Row],[Name Surname]],Manpower!$C$4:$C$1048576,Manpower!$F$4:$F$1048576,"")</f>
        <v>Electrical Supervisor</v>
      </c>
      <c r="H551" s="28" t="str">
        <f>_xlfn.XLOOKUP(Table134526_79101120212223242526[[#This Row],[Name Surname]],Manpower!$C$4:$C$1048576,Manpower!$H$4:$H$1048576,"")</f>
        <v>Manpower</v>
      </c>
      <c r="I551" s="24" t="str">
        <f>_xlfn.XLOOKUP(Table134526_79101120212223242526[[#This Row],[Name Surname]],Manpower!$C$4:$C$1048576,Manpower!$H$4:$H$1048576,"")</f>
        <v>Manpower</v>
      </c>
      <c r="J551" s="21" t="s">
        <v>158</v>
      </c>
      <c r="K551" s="21" t="s">
        <v>26</v>
      </c>
      <c r="L551" s="21" t="s">
        <v>26</v>
      </c>
      <c r="M551" s="21" t="s">
        <v>55</v>
      </c>
      <c r="N551" s="29">
        <v>10</v>
      </c>
      <c r="R551" s="21" t="s">
        <v>227</v>
      </c>
    </row>
    <row r="552" spans="1:18" s="21" customFormat="1" ht="14.4">
      <c r="A552" s="33">
        <f>IF(C552="","",MAX($A$1:A551)+1)</f>
        <v>527</v>
      </c>
      <c r="B552" s="27" t="s">
        <v>141</v>
      </c>
      <c r="C552" s="23">
        <v>46085</v>
      </c>
      <c r="D552" s="28" t="str">
        <f>_xlfn.XLOOKUP(Table134526_79101120212223242526[[#This Row],[Name Surname]],Manpower!$C$4:$C$1048576,Manpower!$B$4:$B$1048576,"")</f>
        <v>Encogroup</v>
      </c>
      <c r="E552" s="23" t="s">
        <v>219</v>
      </c>
      <c r="F552" s="12" t="e">
        <f>_xlfn.XLOOKUP(Table134526_79101120212223242526[[#This Row],[Name Surname]],Manpower!C:C,Manpower!D:D,)</f>
        <v>#N/A</v>
      </c>
      <c r="G552" s="28" t="str">
        <f>_xlfn.XLOOKUP(Table134526_79101120212223242526[[#This Row],[Name Surname]],Manpower!$C$4:$C$1048576,Manpower!$F$4:$F$1048576,"")</f>
        <v>TOWER LIGHT</v>
      </c>
      <c r="H552" s="28" t="str">
        <f>_xlfn.XLOOKUP(Table134526_79101120212223242526[[#This Row],[Name Surname]],Manpower!$C$4:$C$1048576,Manpower!$H$4:$H$1048576,"")</f>
        <v>Equipment</v>
      </c>
      <c r="I552" s="24" t="str">
        <f>_xlfn.XLOOKUP(Table134526_79101120212223242526[[#This Row],[Name Surname]],Manpower!$C$4:$C$1048576,Manpower!$H$4:$H$1048576,"")</f>
        <v>Equipment</v>
      </c>
      <c r="J552" s="21" t="s">
        <v>143</v>
      </c>
      <c r="K552" s="21" t="s">
        <v>26</v>
      </c>
      <c r="L552" s="21" t="s">
        <v>144</v>
      </c>
      <c r="M552" s="21" t="s">
        <v>55</v>
      </c>
      <c r="N552" s="29">
        <v>10</v>
      </c>
      <c r="R552" s="21" t="s">
        <v>227</v>
      </c>
    </row>
    <row r="553" spans="1:18" s="21" customFormat="1" ht="14.4">
      <c r="A553" s="33">
        <f>IF(C553="","",MAX($A$1:A552)+1)</f>
        <v>528</v>
      </c>
      <c r="B553" s="27" t="s">
        <v>141</v>
      </c>
      <c r="C553" s="23">
        <v>46085</v>
      </c>
      <c r="D553" s="28" t="str">
        <f>_xlfn.XLOOKUP(Table134526_79101120212223242526[[#This Row],[Name Surname]],Manpower!$C$4:$C$1048576,Manpower!$B$4:$B$1048576,"")</f>
        <v>Encogroup</v>
      </c>
      <c r="E553" s="23" t="s">
        <v>220</v>
      </c>
      <c r="F553" s="12" t="e">
        <f>_xlfn.XLOOKUP(Table134526_79101120212223242526[[#This Row],[Name Surname]],Manpower!C:C,Manpower!D:D,)</f>
        <v>#N/A</v>
      </c>
      <c r="G553" s="28" t="str">
        <f>_xlfn.XLOOKUP(Table134526_79101120212223242526[[#This Row],[Name Surname]],Manpower!$C$4:$C$1048576,Manpower!$F$4:$F$1048576,"")</f>
        <v>TOWER LIGHT</v>
      </c>
      <c r="H553" s="28" t="str">
        <f>_xlfn.XLOOKUP(Table134526_79101120212223242526[[#This Row],[Name Surname]],Manpower!$C$4:$C$1048576,Manpower!$H$4:$H$1048576,"")</f>
        <v>Equipment</v>
      </c>
      <c r="I553" s="24" t="str">
        <f>_xlfn.XLOOKUP(Table134526_79101120212223242526[[#This Row],[Name Surname]],Manpower!$C$4:$C$1048576,Manpower!$H$4:$H$1048576,"")</f>
        <v>Equipment</v>
      </c>
      <c r="J553" s="21" t="s">
        <v>143</v>
      </c>
      <c r="K553" s="21" t="s">
        <v>26</v>
      </c>
      <c r="L553" s="21" t="s">
        <v>144</v>
      </c>
      <c r="M553" s="21" t="s">
        <v>55</v>
      </c>
      <c r="N553" s="29">
        <v>10</v>
      </c>
      <c r="R553" s="21" t="s">
        <v>227</v>
      </c>
    </row>
    <row r="554" spans="1:18" s="21" customFormat="1" ht="14.4" hidden="1">
      <c r="A554" s="33">
        <f>IF(C554="","",MAX($A$1:A553)+1)</f>
        <v>529</v>
      </c>
      <c r="B554" s="27" t="s">
        <v>141</v>
      </c>
      <c r="C554" s="23">
        <v>46085</v>
      </c>
      <c r="D554" s="28" t="str">
        <f>_xlfn.XLOOKUP(Table134526_79101120212223242526[[#This Row],[Name Surname]],Manpower!$C$4:$C$1048576,Manpower!$B$4:$B$1048576,"")</f>
        <v>AL Omar International Tarde&amp;Contracting SPC</v>
      </c>
      <c r="E554" s="21" t="s">
        <v>221</v>
      </c>
      <c r="F554" s="12">
        <f>_xlfn.XLOOKUP(Table134526_79101120212223242526[[#This Row],[Name Surname]],Manpower!C:C,Manpower!D:D,)</f>
        <v>115122635</v>
      </c>
      <c r="G554" s="28" t="str">
        <f>_xlfn.XLOOKUP(Table134526_79101120212223242526[[#This Row],[Name Surname]],Manpower!$C$4:$C$1048576,Manpower!$F$4:$F$1048576,"")</f>
        <v>Scaffolder</v>
      </c>
      <c r="H554" s="28" t="str">
        <f>_xlfn.XLOOKUP(Table134526_79101120212223242526[[#This Row],[Name Surname]],Manpower!$C$4:$C$1048576,Manpower!$H$4:$H$1048576,"")</f>
        <v>Sub Contactor</v>
      </c>
      <c r="I554" s="24" t="str">
        <f>_xlfn.XLOOKUP(Table134526_79101120212223242526[[#This Row],[Name Surname]],Manpower!$C$4:$C$1048576,Manpower!$H$4:$H$1048576,"")</f>
        <v>Sub Contactor</v>
      </c>
      <c r="J554" s="21" t="s">
        <v>143</v>
      </c>
      <c r="K554" s="21" t="s">
        <v>26</v>
      </c>
      <c r="L554" s="21" t="s">
        <v>144</v>
      </c>
      <c r="M554" s="21" t="s">
        <v>55</v>
      </c>
      <c r="N554" s="29">
        <v>10</v>
      </c>
      <c r="R554" s="21" t="s">
        <v>227</v>
      </c>
    </row>
    <row r="555" spans="1:18" s="43" customFormat="1" ht="14.4" hidden="1">
      <c r="A555" s="25">
        <f>IF(C555="","",MAX($A$1:A554)+1)</f>
        <v>530</v>
      </c>
      <c r="B555" s="25" t="s">
        <v>141</v>
      </c>
      <c r="C555" s="41">
        <v>46085</v>
      </c>
      <c r="D555" s="48" t="str">
        <f>_xlfn.XLOOKUP(Table134526_79101120212223242526[[#This Row],[Name Surname]],Manpower!$C$4:$C$1048576,Manpower!$B$4:$B$1048576,"")</f>
        <v>Encogroup</v>
      </c>
      <c r="E555" s="43" t="s">
        <v>168</v>
      </c>
      <c r="F555" s="12">
        <f>_xlfn.XLOOKUP(Table134526_79101120212223242526[[#This Row],[Name Surname]],Manpower!C:C,Manpower!D:D,)</f>
        <v>137114773</v>
      </c>
      <c r="G555" s="48" t="str">
        <f>_xlfn.XLOOKUP(Table134526_79101120212223242526[[#This Row],[Name Surname]],Manpower!$C$4:$C$1048576,Manpower!$F$4:$F$1048576,"")</f>
        <v>Rigger</v>
      </c>
      <c r="H555" s="48" t="str">
        <f>_xlfn.XLOOKUP(Table134526_79101120212223242526[[#This Row],[Name Surname]],Manpower!$C$4:$C$1048576,Manpower!$H$4:$H$1048576,"")</f>
        <v>Manpower</v>
      </c>
      <c r="I555" s="42" t="str">
        <f>_xlfn.XLOOKUP(Table134526_79101120212223242526[[#This Row],[Name Surname]],Manpower!$C$4:$C$1048576,Manpower!$H$4:$H$1048576,"")</f>
        <v>Manpower</v>
      </c>
      <c r="J555" s="43" t="s">
        <v>143</v>
      </c>
      <c r="K555" s="43" t="s">
        <v>26</v>
      </c>
      <c r="L555" s="43" t="s">
        <v>144</v>
      </c>
      <c r="M555" s="43" t="s">
        <v>55</v>
      </c>
      <c r="N555" s="44">
        <v>10</v>
      </c>
      <c r="R555" s="43" t="s">
        <v>227</v>
      </c>
    </row>
    <row r="556" spans="1:18" s="21" customFormat="1" ht="14.4" hidden="1">
      <c r="A556" s="33">
        <f>IF(C556="","",MAX($A$1:A555)+1)</f>
        <v>531</v>
      </c>
      <c r="B556" s="27" t="s">
        <v>141</v>
      </c>
      <c r="C556" s="23">
        <v>46085</v>
      </c>
      <c r="D556" s="28" t="str">
        <f>_xlfn.XLOOKUP(Table134526_79101120212223242526[[#This Row],[Name Surname]],Manpower!$C$4:$C$1048576,Manpower!$B$4:$B$1048576,"")</f>
        <v>Encogroup</v>
      </c>
      <c r="E556" s="21" t="s">
        <v>222</v>
      </c>
      <c r="F556" s="12">
        <f>_xlfn.XLOOKUP(Table134526_79101120212223242526[[#This Row],[Name Surname]],Manpower!C:C,Manpower!D:D,)</f>
        <v>122082863</v>
      </c>
      <c r="G556" s="28" t="str">
        <f>_xlfn.XLOOKUP(Table134526_79101120212223242526[[#This Row],[Name Surname]],Manpower!$C$4:$C$1048576,Manpower!$F$4:$F$1048576,"")</f>
        <v>Grinder</v>
      </c>
      <c r="H556" s="28" t="str">
        <f>_xlfn.XLOOKUP(Table134526_79101120212223242526[[#This Row],[Name Surname]],Manpower!$C$4:$C$1048576,Manpower!$H$4:$H$1048576,"")</f>
        <v>Manpower</v>
      </c>
      <c r="I556" s="24" t="str">
        <f>_xlfn.XLOOKUP(Table134526_79101120212223242526[[#This Row],[Name Surname]],Manpower!$C$4:$C$1048576,Manpower!$H$4:$H$1048576,"")</f>
        <v>Manpower</v>
      </c>
      <c r="J556" s="21" t="s">
        <v>143</v>
      </c>
      <c r="K556" s="21" t="s">
        <v>26</v>
      </c>
      <c r="L556" s="21" t="s">
        <v>144</v>
      </c>
      <c r="M556" s="21" t="s">
        <v>55</v>
      </c>
      <c r="N556" s="29">
        <v>10</v>
      </c>
      <c r="R556" s="21" t="s">
        <v>227</v>
      </c>
    </row>
    <row r="557" spans="1:18" s="21" customFormat="1" ht="14.4" hidden="1">
      <c r="A557" s="33">
        <f>IF(C557="","",MAX($A$1:A556)+1)</f>
        <v>532</v>
      </c>
      <c r="B557" s="27" t="s">
        <v>141</v>
      </c>
      <c r="C557" s="23">
        <v>46085</v>
      </c>
      <c r="D557" s="28" t="str">
        <f>_xlfn.XLOOKUP(Table134526_79101120212223242526[[#This Row],[Name Surname]],Manpower!$C$4:$C$1048576,Manpower!$B$4:$B$1048576,"")</f>
        <v>Encogroup</v>
      </c>
      <c r="E557" s="21" t="s">
        <v>223</v>
      </c>
      <c r="F557" s="12">
        <f>_xlfn.XLOOKUP(Table134526_79101120212223242526[[#This Row],[Name Surname]],Manpower!C:C,Manpower!D:D,)</f>
        <v>140696989</v>
      </c>
      <c r="G557" s="28" t="str">
        <f>_xlfn.XLOOKUP(Table134526_79101120212223242526[[#This Row],[Name Surname]],Manpower!$C$4:$C$1048576,Manpower!$F$4:$F$1048576,"")</f>
        <v>Assistant/Helper</v>
      </c>
      <c r="H557" s="28" t="str">
        <f>_xlfn.XLOOKUP(Table134526_79101120212223242526[[#This Row],[Name Surname]],Manpower!$C$4:$C$1048576,Manpower!$H$4:$H$1048576,"")</f>
        <v>Manpower</v>
      </c>
      <c r="I557" s="24" t="str">
        <f>_xlfn.XLOOKUP(Table134526_79101120212223242526[[#This Row],[Name Surname]],Manpower!$C$4:$C$1048576,Manpower!$H$4:$H$1048576,"")</f>
        <v>Manpower</v>
      </c>
      <c r="J557" s="21" t="s">
        <v>158</v>
      </c>
      <c r="K557" s="21" t="s">
        <v>26</v>
      </c>
      <c r="L557" s="21" t="s">
        <v>26</v>
      </c>
      <c r="M557" s="21" t="s">
        <v>55</v>
      </c>
      <c r="N557" s="29">
        <v>10</v>
      </c>
      <c r="R557" s="21" t="s">
        <v>227</v>
      </c>
    </row>
    <row r="558" spans="1:18" s="21" customFormat="1" ht="14.4" hidden="1">
      <c r="A558" s="33">
        <f>IF(C558="","",MAX($A$1:A557)+1)</f>
        <v>533</v>
      </c>
      <c r="B558" s="27" t="s">
        <v>141</v>
      </c>
      <c r="C558" s="23">
        <v>46085</v>
      </c>
      <c r="D558" s="28" t="str">
        <f>_xlfn.XLOOKUP(Table134526_79101120212223242526[[#This Row],[Name Surname]],Manpower!$C$4:$C$1048576,Manpower!$B$4:$B$1048576,"")</f>
        <v>Encogroup</v>
      </c>
      <c r="E558" s="21" t="s">
        <v>224</v>
      </c>
      <c r="F558" s="12">
        <f>_xlfn.XLOOKUP(Table134526_79101120212223242526[[#This Row],[Name Surname]],Manpower!C:C,Manpower!D:D,)</f>
        <v>141365094</v>
      </c>
      <c r="G558" s="28" t="str">
        <f>_xlfn.XLOOKUP(Table134526_79101120212223242526[[#This Row],[Name Surname]],Manpower!$C$4:$C$1048576,Manpower!$F$4:$F$1048576,"")</f>
        <v>Helper</v>
      </c>
      <c r="H558" s="28" t="str">
        <f>_xlfn.XLOOKUP(Table134526_79101120212223242526[[#This Row],[Name Surname]],Manpower!$C$4:$C$1048576,Manpower!$H$4:$H$1048576,"")</f>
        <v>Manpower</v>
      </c>
      <c r="I558" s="24" t="str">
        <f>_xlfn.XLOOKUP(Table134526_79101120212223242526[[#This Row],[Name Surname]],Manpower!$C$4:$C$1048576,Manpower!$H$4:$H$1048576,"")</f>
        <v>Manpower</v>
      </c>
      <c r="J558" s="21" t="s">
        <v>143</v>
      </c>
      <c r="K558" s="21" t="s">
        <v>26</v>
      </c>
      <c r="L558" s="21" t="s">
        <v>144</v>
      </c>
      <c r="M558" s="21" t="s">
        <v>55</v>
      </c>
      <c r="N558" s="29">
        <v>10</v>
      </c>
      <c r="R558" s="21" t="s">
        <v>227</v>
      </c>
    </row>
    <row r="559" spans="1:18" s="43" customFormat="1" ht="14.4" hidden="1">
      <c r="A559" s="25">
        <f>IF(C559="","",MAX($A$1:A558)+1)</f>
        <v>534</v>
      </c>
      <c r="B559" s="25" t="s">
        <v>141</v>
      </c>
      <c r="C559" s="41">
        <v>46085</v>
      </c>
      <c r="D559" s="48" t="str">
        <f>_xlfn.XLOOKUP(Table134526_79101120212223242526[[#This Row],[Name Surname]],Manpower!$C$4:$C$1048576,Manpower!$B$4:$B$1048576,"")</f>
        <v xml:space="preserve">FAL Transport </v>
      </c>
      <c r="E559" s="43" t="s">
        <v>225</v>
      </c>
      <c r="F559" s="12">
        <f>_xlfn.XLOOKUP(Table134526_79101120212223242526[[#This Row],[Name Surname]],Manpower!C:C,Manpower!D:D,)</f>
        <v>124233837</v>
      </c>
      <c r="G559" s="48" t="str">
        <f>_xlfn.XLOOKUP(Table134526_79101120212223242526[[#This Row],[Name Surname]],Manpower!$C$4:$C$1048576,Manpower!$F$4:$F$1048576,"")</f>
        <v>Trailer Driver</v>
      </c>
      <c r="H559" s="48" t="str">
        <f>_xlfn.XLOOKUP(Table134526_79101120212223242526[[#This Row],[Name Surname]],Manpower!$C$4:$C$1048576,Manpower!$H$4:$H$1048576,"")</f>
        <v>Sub Contactor</v>
      </c>
      <c r="I559" s="42" t="str">
        <f>_xlfn.XLOOKUP(Table134526_79101120212223242526[[#This Row],[Name Surname]],Manpower!$C$4:$C$1048576,Manpower!$H$4:$H$1048576,"")</f>
        <v>Sub Contactor</v>
      </c>
      <c r="J559" s="43" t="s">
        <v>143</v>
      </c>
      <c r="K559" s="43" t="s">
        <v>26</v>
      </c>
      <c r="L559" s="43" t="s">
        <v>144</v>
      </c>
      <c r="M559" s="43" t="s">
        <v>55</v>
      </c>
      <c r="N559" s="44">
        <v>10</v>
      </c>
      <c r="R559" s="43" t="s">
        <v>227</v>
      </c>
    </row>
    <row r="560" spans="1:18" s="21" customFormat="1" ht="14.4">
      <c r="A560" s="33">
        <f>IF(C560="","",MAX($A$1:A559)+1)</f>
        <v>535</v>
      </c>
      <c r="B560" s="22" t="s">
        <v>19</v>
      </c>
      <c r="C560" s="23">
        <v>46086</v>
      </c>
      <c r="D560" s="28" t="str">
        <f>_xlfn.XLOOKUP(Table134526_79101120212223242526[[#This Row],[Name Surname]],Manpower!$C$4:$C$1048576,Manpower!$B$4:$B$1048576,"")</f>
        <v>Riyan Al Khaleej</v>
      </c>
      <c r="E560" s="21" t="s">
        <v>20</v>
      </c>
      <c r="F560" s="12" t="e">
        <f>_xlfn.XLOOKUP(Table134526_79101120212223242526[[#This Row],[Name Surname]],Manpower!C:C,Manpower!D:D,)</f>
        <v>#N/A</v>
      </c>
      <c r="G560" s="28" t="str">
        <f>_xlfn.XLOOKUP(Table134526_79101120212223242526[[#This Row],[Name Surname]],Manpower!$C$4:$C$1048576,Manpower!$F$4:$F$1048576,"")</f>
        <v>100T Telescopic Crane</v>
      </c>
      <c r="H560" s="28" t="str">
        <f>_xlfn.XLOOKUP(Table134526_79101120212223242526[[#This Row],[Name Surname]],Manpower!$C$4:$C$1048576,Manpower!$H$4:$H$1048576,"")</f>
        <v>Equipment</v>
      </c>
      <c r="I560" s="24" t="str">
        <f>_xlfn.XLOOKUP(Table134526_79101120212223242526[[#This Row],[Name Surname]],Manpower!$C$4:$C$1048576,Manpower!$H$4:$H$1048576,"")</f>
        <v>Equipment</v>
      </c>
      <c r="J560" s="21" t="s">
        <v>21</v>
      </c>
      <c r="K560" s="21" t="s">
        <v>22</v>
      </c>
      <c r="L560" s="21" t="s">
        <v>23</v>
      </c>
      <c r="M560" s="21" t="s">
        <v>55</v>
      </c>
      <c r="N560" s="29">
        <v>10</v>
      </c>
      <c r="R560" s="21" t="s">
        <v>227</v>
      </c>
    </row>
    <row r="561" spans="1:18" s="21" customFormat="1" ht="14.4" hidden="1">
      <c r="A561" s="33">
        <f>IF(C561="","",MAX($A$1:A560)+1)</f>
        <v>536</v>
      </c>
      <c r="B561" s="22" t="s">
        <v>19</v>
      </c>
      <c r="C561" s="23">
        <v>46086</v>
      </c>
      <c r="D561" s="28" t="str">
        <f>_xlfn.XLOOKUP(Table134526_79101120212223242526[[#This Row],[Name Surname]],Manpower!$C$4:$C$1048576,Manpower!$B$4:$B$1048576,"")</f>
        <v>Encogroup</v>
      </c>
      <c r="E561" s="21" t="s">
        <v>27</v>
      </c>
      <c r="F561" s="12">
        <f>_xlfn.XLOOKUP(Table134526_79101120212223242526[[#This Row],[Name Surname]],Manpower!C:C,Manpower!D:D,)</f>
        <v>127414586</v>
      </c>
      <c r="G561" s="28" t="str">
        <f>_xlfn.XLOOKUP(Table134526_79101120212223242526[[#This Row],[Name Surname]],Manpower!$C$4:$C$1048576,Manpower!$F$4:$F$1048576,"")</f>
        <v>Electrician</v>
      </c>
      <c r="H561" s="28" t="str">
        <f>_xlfn.XLOOKUP(Table134526_79101120212223242526[[#This Row],[Name Surname]],Manpower!$C$4:$C$1048576,Manpower!$H$4:$H$1048576,"")</f>
        <v>Manpower</v>
      </c>
      <c r="I561" s="24" t="str">
        <f>_xlfn.XLOOKUP(Table134526_79101120212223242526[[#This Row],[Name Surname]],Manpower!$C$4:$C$1048576,Manpower!$H$4:$H$1048576,"")</f>
        <v>Manpower</v>
      </c>
      <c r="J561" s="21" t="s">
        <v>21</v>
      </c>
      <c r="K561" s="21" t="s">
        <v>22</v>
      </c>
      <c r="L561" s="21" t="s">
        <v>23</v>
      </c>
      <c r="M561" s="21" t="s">
        <v>55</v>
      </c>
      <c r="N561" s="29">
        <v>5</v>
      </c>
      <c r="R561" s="21" t="s">
        <v>227</v>
      </c>
    </row>
    <row r="562" spans="1:18" s="21" customFormat="1" ht="14.4" hidden="1">
      <c r="A562" s="33">
        <f>IF(C562="","",MAX($A$1:A561)+1)</f>
        <v>537</v>
      </c>
      <c r="B562" s="22" t="s">
        <v>19</v>
      </c>
      <c r="C562" s="23">
        <v>46086</v>
      </c>
      <c r="D562" s="28" t="str">
        <f>_xlfn.XLOOKUP(Table134526_79101120212223242526[[#This Row],[Name Surname]],Manpower!$C$4:$C$1048576,Manpower!$B$4:$B$1048576,"")</f>
        <v>Encogroup</v>
      </c>
      <c r="E562" s="21" t="s">
        <v>29</v>
      </c>
      <c r="F562" s="12">
        <f>_xlfn.XLOOKUP(Table134526_79101120212223242526[[#This Row],[Name Surname]],Manpower!C:C,Manpower!D:D,)</f>
        <v>127331574</v>
      </c>
      <c r="G562" s="28" t="str">
        <f>_xlfn.XLOOKUP(Table134526_79101120212223242526[[#This Row],[Name Surname]],Manpower!$C$4:$C$1048576,Manpower!$F$4:$F$1048576,"")</f>
        <v>Permit Receiver</v>
      </c>
      <c r="H562" s="28" t="str">
        <f>_xlfn.XLOOKUP(Table134526_79101120212223242526[[#This Row],[Name Surname]],Manpower!$C$4:$C$1048576,Manpower!$H$4:$H$1048576,"")</f>
        <v>Manpower</v>
      </c>
      <c r="I562" s="24" t="str">
        <f>_xlfn.XLOOKUP(Table134526_79101120212223242526[[#This Row],[Name Surname]],Manpower!$C$4:$C$1048576,Manpower!$H$4:$H$1048576,"")</f>
        <v>Manpower</v>
      </c>
      <c r="J562" s="21" t="s">
        <v>21</v>
      </c>
      <c r="K562" s="21" t="s">
        <v>22</v>
      </c>
      <c r="L562" s="21" t="s">
        <v>23</v>
      </c>
      <c r="M562" s="21" t="s">
        <v>55</v>
      </c>
      <c r="N562" s="29">
        <v>10</v>
      </c>
      <c r="R562" s="21" t="s">
        <v>227</v>
      </c>
    </row>
    <row r="563" spans="1:18" s="21" customFormat="1" ht="14.4" hidden="1">
      <c r="A563" s="33">
        <f>IF(C563="","",MAX($A$1:A562)+1)</f>
        <v>538</v>
      </c>
      <c r="B563" s="22" t="s">
        <v>19</v>
      </c>
      <c r="C563" s="23">
        <v>46086</v>
      </c>
      <c r="D563" s="28" t="str">
        <f>_xlfn.XLOOKUP(Table134526_79101120212223242526[[#This Row],[Name Surname]],Manpower!$C$4:$C$1048576,Manpower!$B$4:$B$1048576,"")</f>
        <v>Encogroup</v>
      </c>
      <c r="E563" s="21" t="s">
        <v>30</v>
      </c>
      <c r="F563" s="12">
        <f>_xlfn.XLOOKUP(Table134526_79101120212223242526[[#This Row],[Name Surname]],Manpower!C:C,Manpower!D:D,)</f>
        <v>116589569</v>
      </c>
      <c r="G563" s="28" t="str">
        <f>_xlfn.XLOOKUP(Table134526_79101120212223242526[[#This Row],[Name Surname]],Manpower!$C$4:$C$1048576,Manpower!$F$4:$F$1048576,"")</f>
        <v>Mechanical Engineer</v>
      </c>
      <c r="H563" s="28" t="str">
        <f>_xlfn.XLOOKUP(Table134526_79101120212223242526[[#This Row],[Name Surname]],Manpower!$C$4:$C$1048576,Manpower!$H$4:$H$1048576,"")</f>
        <v>Manpower</v>
      </c>
      <c r="I563" s="24" t="str">
        <f>_xlfn.XLOOKUP(Table134526_79101120212223242526[[#This Row],[Name Surname]],Manpower!$C$4:$C$1048576,Manpower!$H$4:$H$1048576,"")</f>
        <v>Manpower</v>
      </c>
      <c r="J563" s="21" t="s">
        <v>21</v>
      </c>
      <c r="K563" s="21" t="s">
        <v>22</v>
      </c>
      <c r="L563" s="21" t="s">
        <v>23</v>
      </c>
      <c r="M563" s="21" t="s">
        <v>55</v>
      </c>
      <c r="N563" s="29">
        <v>10</v>
      </c>
      <c r="R563" s="21" t="s">
        <v>227</v>
      </c>
    </row>
    <row r="564" spans="1:18" s="21" customFormat="1" ht="14.4" hidden="1">
      <c r="A564" s="33">
        <f>IF(C564="","",MAX($A$1:A563)+1)</f>
        <v>539</v>
      </c>
      <c r="B564" s="22" t="s">
        <v>19</v>
      </c>
      <c r="C564" s="23">
        <v>46086</v>
      </c>
      <c r="D564" s="28" t="str">
        <f>_xlfn.XLOOKUP(Table134526_79101120212223242526[[#This Row],[Name Surname]],Manpower!$C$4:$C$1048576,Manpower!$B$4:$B$1048576,"")</f>
        <v>Encogroup</v>
      </c>
      <c r="E564" s="21" t="s">
        <v>31</v>
      </c>
      <c r="F564" s="12">
        <f>_xlfn.XLOOKUP(Table134526_79101120212223242526[[#This Row],[Name Surname]],Manpower!C:C,Manpower!D:D,)</f>
        <v>99596058</v>
      </c>
      <c r="G564" s="28" t="str">
        <f>_xlfn.XLOOKUP(Table134526_79101120212223242526[[#This Row],[Name Surname]],Manpower!$C$4:$C$1048576,Manpower!$F$4:$F$1048576,"")</f>
        <v>HSE Officer</v>
      </c>
      <c r="H564" s="28" t="str">
        <f>_xlfn.XLOOKUP(Table134526_79101120212223242526[[#This Row],[Name Surname]],Manpower!$C$4:$C$1048576,Manpower!$H$4:$H$1048576,"")</f>
        <v>Manpower</v>
      </c>
      <c r="I564" s="24" t="str">
        <f>_xlfn.XLOOKUP(Table134526_79101120212223242526[[#This Row],[Name Surname]],Manpower!$C$4:$C$1048576,Manpower!$H$4:$H$1048576,"")</f>
        <v>Manpower</v>
      </c>
      <c r="J564" s="21" t="s">
        <v>21</v>
      </c>
      <c r="K564" s="21" t="s">
        <v>22</v>
      </c>
      <c r="L564" s="21" t="s">
        <v>23</v>
      </c>
      <c r="M564" s="21" t="s">
        <v>55</v>
      </c>
      <c r="N564" s="29">
        <v>10</v>
      </c>
      <c r="R564" s="21" t="s">
        <v>227</v>
      </c>
    </row>
    <row r="565" spans="1:18" s="21" customFormat="1" ht="14.4" hidden="1">
      <c r="A565" s="33">
        <f>IF(C565="","",MAX($A$1:A564)+1)</f>
        <v>540</v>
      </c>
      <c r="B565" s="22" t="s">
        <v>19</v>
      </c>
      <c r="C565" s="23">
        <v>46086</v>
      </c>
      <c r="D565" s="28" t="str">
        <f>_xlfn.XLOOKUP(Table134526_79101120212223242526[[#This Row],[Name Surname]],Manpower!$C$4:$C$1048576,Manpower!$B$4:$B$1048576,"")</f>
        <v>Encogroup</v>
      </c>
      <c r="E565" s="21" t="s">
        <v>32</v>
      </c>
      <c r="F565" s="12">
        <f>_xlfn.XLOOKUP(Table134526_79101120212223242526[[#This Row],[Name Surname]],Manpower!C:C,Manpower!D:D,)</f>
        <v>140697039</v>
      </c>
      <c r="G565" s="28" t="str">
        <f>_xlfn.XLOOKUP(Table134526_79101120212223242526[[#This Row],[Name Surname]],Manpower!$C$4:$C$1048576,Manpower!$F$4:$F$1048576,"")</f>
        <v>Fitter/Erector</v>
      </c>
      <c r="H565" s="28" t="str">
        <f>_xlfn.XLOOKUP(Table134526_79101120212223242526[[#This Row],[Name Surname]],Manpower!$C$4:$C$1048576,Manpower!$H$4:$H$1048576,"")</f>
        <v>Manpower</v>
      </c>
      <c r="I565" s="24" t="str">
        <f>_xlfn.XLOOKUP(Table134526_79101120212223242526[[#This Row],[Name Surname]],Manpower!$C$4:$C$1048576,Manpower!$H$4:$H$1048576,"")</f>
        <v>Manpower</v>
      </c>
      <c r="J565" s="21" t="s">
        <v>21</v>
      </c>
      <c r="K565" s="21" t="s">
        <v>22</v>
      </c>
      <c r="L565" s="21" t="s">
        <v>23</v>
      </c>
      <c r="M565" s="21" t="s">
        <v>55</v>
      </c>
      <c r="N565" s="29">
        <v>10</v>
      </c>
      <c r="R565" s="21" t="s">
        <v>227</v>
      </c>
    </row>
    <row r="566" spans="1:18" s="21" customFormat="1" ht="14.4" hidden="1">
      <c r="A566" s="33">
        <f>IF(C566="","",MAX($A$1:A565)+1)</f>
        <v>541</v>
      </c>
      <c r="B566" s="22" t="s">
        <v>19</v>
      </c>
      <c r="C566" s="23">
        <v>46086</v>
      </c>
      <c r="D566" s="28" t="str">
        <f>_xlfn.XLOOKUP(Table134526_79101120212223242526[[#This Row],[Name Surname]],Manpower!$C$4:$C$1048576,Manpower!$B$4:$B$1048576,"")</f>
        <v>Encogroup</v>
      </c>
      <c r="E566" s="21" t="s">
        <v>33</v>
      </c>
      <c r="F566" s="12">
        <f>_xlfn.XLOOKUP(Table134526_79101120212223242526[[#This Row],[Name Surname]],Manpower!C:C,Manpower!D:D,)</f>
        <v>124565057</v>
      </c>
      <c r="G566" s="28" t="str">
        <f>_xlfn.XLOOKUP(Table134526_79101120212223242526[[#This Row],[Name Surname]],Manpower!$C$4:$C$1048576,Manpower!$F$4:$F$1048576,"")</f>
        <v>Fitter/Erector</v>
      </c>
      <c r="H566" s="28" t="str">
        <f>_xlfn.XLOOKUP(Table134526_79101120212223242526[[#This Row],[Name Surname]],Manpower!$C$4:$C$1048576,Manpower!$H$4:$H$1048576,"")</f>
        <v>Manpower</v>
      </c>
      <c r="I566" s="24" t="str">
        <f>_xlfn.XLOOKUP(Table134526_79101120212223242526[[#This Row],[Name Surname]],Manpower!$C$4:$C$1048576,Manpower!$H$4:$H$1048576,"")</f>
        <v>Manpower</v>
      </c>
      <c r="J566" s="21" t="s">
        <v>21</v>
      </c>
      <c r="K566" s="21" t="s">
        <v>22</v>
      </c>
      <c r="L566" s="21" t="s">
        <v>23</v>
      </c>
      <c r="M566" s="21" t="s">
        <v>55</v>
      </c>
      <c r="N566" s="29">
        <v>10</v>
      </c>
      <c r="R566" s="21" t="s">
        <v>227</v>
      </c>
    </row>
    <row r="567" spans="1:18" s="21" customFormat="1" ht="14.4" hidden="1">
      <c r="A567" s="33">
        <f>IF(C567="","",MAX($A$1:A566)+1)</f>
        <v>542</v>
      </c>
      <c r="B567" s="22" t="s">
        <v>19</v>
      </c>
      <c r="C567" s="23">
        <v>46086</v>
      </c>
      <c r="D567" s="28" t="str">
        <f>_xlfn.XLOOKUP(Table134526_79101120212223242526[[#This Row],[Name Surname]],Manpower!$C$4:$C$1048576,Manpower!$B$4:$B$1048576,"")</f>
        <v>Encogroup</v>
      </c>
      <c r="E567" s="21" t="s">
        <v>34</v>
      </c>
      <c r="F567" s="12">
        <f>_xlfn.XLOOKUP(Table134526_79101120212223242526[[#This Row],[Name Surname]],Manpower!C:C,Manpower!D:D,)</f>
        <v>141365023</v>
      </c>
      <c r="G567" s="28" t="str">
        <f>_xlfn.XLOOKUP(Table134526_79101120212223242526[[#This Row],[Name Surname]],Manpower!$C$4:$C$1048576,Manpower!$F$4:$F$1048576,"")</f>
        <v>Grinder</v>
      </c>
      <c r="H567" s="28" t="str">
        <f>_xlfn.XLOOKUP(Table134526_79101120212223242526[[#This Row],[Name Surname]],Manpower!$C$4:$C$1048576,Manpower!$H$4:$H$1048576,"")</f>
        <v>Manpower</v>
      </c>
      <c r="I567" s="24" t="str">
        <f>_xlfn.XLOOKUP(Table134526_79101120212223242526[[#This Row],[Name Surname]],Manpower!$C$4:$C$1048576,Manpower!$H$4:$H$1048576,"")</f>
        <v>Manpower</v>
      </c>
      <c r="J567" s="21" t="s">
        <v>21</v>
      </c>
      <c r="K567" s="21" t="s">
        <v>22</v>
      </c>
      <c r="L567" s="21" t="s">
        <v>23</v>
      </c>
      <c r="M567" s="21" t="s">
        <v>55</v>
      </c>
      <c r="N567" s="29">
        <v>10</v>
      </c>
      <c r="R567" s="21" t="s">
        <v>227</v>
      </c>
    </row>
    <row r="568" spans="1:18" s="21" customFormat="1" ht="14.4" hidden="1">
      <c r="A568" s="33">
        <f>IF(C568="","",MAX($A$1:A567)+1)</f>
        <v>543</v>
      </c>
      <c r="B568" s="22" t="s">
        <v>19</v>
      </c>
      <c r="C568" s="23">
        <v>46086</v>
      </c>
      <c r="D568" s="28" t="str">
        <f>_xlfn.XLOOKUP(Table134526_79101120212223242526[[#This Row],[Name Surname]],Manpower!$C$4:$C$1048576,Manpower!$B$4:$B$1048576,"")</f>
        <v>AL Omar International TRAD AND CONT</v>
      </c>
      <c r="E568" s="21" t="s">
        <v>36</v>
      </c>
      <c r="F568" s="12">
        <f>_xlfn.XLOOKUP(Table134526_79101120212223242526[[#This Row],[Name Surname]],Manpower!C:C,Manpower!D:D,)</f>
        <v>114929202</v>
      </c>
      <c r="G568" s="28" t="str">
        <f>_xlfn.XLOOKUP(Table134526_79101120212223242526[[#This Row],[Name Surname]],Manpower!$C$4:$C$1048576,Manpower!$F$4:$F$1048576,"")</f>
        <v>RIgger</v>
      </c>
      <c r="H568" s="28" t="str">
        <f>_xlfn.XLOOKUP(Table134526_79101120212223242526[[#This Row],[Name Surname]],Manpower!$C$4:$C$1048576,Manpower!$H$4:$H$1048576,"")</f>
        <v>Sub Contactor</v>
      </c>
      <c r="I568" s="24" t="str">
        <f>_xlfn.XLOOKUP(Table134526_79101120212223242526[[#This Row],[Name Surname]],Manpower!$C$4:$C$1048576,Manpower!$H$4:$H$1048576,"")</f>
        <v>Sub Contactor</v>
      </c>
      <c r="J568" s="21" t="s">
        <v>21</v>
      </c>
      <c r="K568" s="21" t="s">
        <v>22</v>
      </c>
      <c r="L568" s="21" t="s">
        <v>23</v>
      </c>
      <c r="M568" s="21" t="s">
        <v>55</v>
      </c>
      <c r="N568" s="29">
        <v>10</v>
      </c>
      <c r="R568" s="21" t="s">
        <v>227</v>
      </c>
    </row>
    <row r="569" spans="1:18" s="21" customFormat="1" ht="14.4" hidden="1">
      <c r="A569" s="33">
        <f>IF(C569="","",MAX($A$1:A568)+1)</f>
        <v>544</v>
      </c>
      <c r="B569" s="22" t="s">
        <v>19</v>
      </c>
      <c r="C569" s="23">
        <v>46086</v>
      </c>
      <c r="D569" s="28" t="str">
        <f>_xlfn.XLOOKUP(Table134526_79101120212223242526[[#This Row],[Name Surname]],Manpower!$C$4:$C$1048576,Manpower!$B$4:$B$1048576,"")</f>
        <v>Encogroup</v>
      </c>
      <c r="E569" s="21" t="s">
        <v>37</v>
      </c>
      <c r="F569" s="12">
        <f>_xlfn.XLOOKUP(Table134526_79101120212223242526[[#This Row],[Name Surname]],Manpower!C:C,Manpower!D:D,)</f>
        <v>140742088</v>
      </c>
      <c r="G569" s="28" t="str">
        <f>_xlfn.XLOOKUP(Table134526_79101120212223242526[[#This Row],[Name Surname]],Manpower!$C$4:$C$1048576,Manpower!$F$4:$F$1048576,"")</f>
        <v>Fitter/Erector</v>
      </c>
      <c r="H569" s="28" t="str">
        <f>_xlfn.XLOOKUP(Table134526_79101120212223242526[[#This Row],[Name Surname]],Manpower!$C$4:$C$1048576,Manpower!$H$4:$H$1048576,"")</f>
        <v>Manpower</v>
      </c>
      <c r="I569" s="24" t="str">
        <f>_xlfn.XLOOKUP(Table134526_79101120212223242526[[#This Row],[Name Surname]],Manpower!$C$4:$C$1048576,Manpower!$H$4:$H$1048576,"")</f>
        <v>Manpower</v>
      </c>
      <c r="J569" s="21" t="s">
        <v>21</v>
      </c>
      <c r="K569" s="21" t="s">
        <v>22</v>
      </c>
      <c r="L569" s="21" t="s">
        <v>23</v>
      </c>
      <c r="M569" s="21" t="s">
        <v>55</v>
      </c>
      <c r="N569" s="29">
        <v>10</v>
      </c>
      <c r="R569" s="21" t="s">
        <v>227</v>
      </c>
    </row>
    <row r="570" spans="1:18" s="21" customFormat="1" ht="14.4" hidden="1">
      <c r="A570" s="33">
        <f>IF(C570="","",MAX($A$1:A569)+1)</f>
        <v>545</v>
      </c>
      <c r="B570" s="22" t="s">
        <v>19</v>
      </c>
      <c r="C570" s="23">
        <v>46086</v>
      </c>
      <c r="D570" s="28" t="str">
        <f>_xlfn.XLOOKUP(Table134526_79101120212223242526[[#This Row],[Name Surname]],Manpower!$C$4:$C$1048576,Manpower!$B$4:$B$1048576,"")</f>
        <v>Rial Al Khaleej</v>
      </c>
      <c r="E570" s="21" t="s">
        <v>38</v>
      </c>
      <c r="F570" s="12">
        <f>_xlfn.XLOOKUP(Table134526_79101120212223242526[[#This Row],[Name Surname]],Manpower!C:C,Manpower!D:D,)</f>
        <v>98845403</v>
      </c>
      <c r="G570" s="28" t="str">
        <f>_xlfn.XLOOKUP(Table134526_79101120212223242526[[#This Row],[Name Surname]],Manpower!$C$4:$C$1048576,Manpower!$F$4:$F$1048576,"")</f>
        <v>Crane Operator-100T Zoomlion Telescopic</v>
      </c>
      <c r="H570" s="28" t="s">
        <v>39</v>
      </c>
      <c r="I570" s="24" t="s">
        <v>39</v>
      </c>
      <c r="J570" s="21" t="s">
        <v>21</v>
      </c>
      <c r="K570" s="21" t="s">
        <v>22</v>
      </c>
      <c r="L570" s="21" t="s">
        <v>23</v>
      </c>
      <c r="M570" s="21" t="s">
        <v>55</v>
      </c>
      <c r="N570" s="29">
        <v>10</v>
      </c>
      <c r="R570" s="21" t="s">
        <v>227</v>
      </c>
    </row>
    <row r="571" spans="1:18" s="21" customFormat="1" ht="14.4" hidden="1">
      <c r="A571" s="33">
        <f>IF(C571="","",MAX($A$1:A570)+1)</f>
        <v>546</v>
      </c>
      <c r="B571" s="22" t="s">
        <v>19</v>
      </c>
      <c r="C571" s="23">
        <v>46086</v>
      </c>
      <c r="D571" s="28" t="str">
        <f>_xlfn.XLOOKUP(Table134526_79101120212223242526[[#This Row],[Name Surname]],Manpower!$C$4:$C$1048576,Manpower!$B$4:$B$1048576,"")</f>
        <v>Encogroup</v>
      </c>
      <c r="E571" s="21" t="s">
        <v>44</v>
      </c>
      <c r="F571" s="12">
        <f>_xlfn.XLOOKUP(Table134526_79101120212223242526[[#This Row],[Name Surname]],Manpower!C:C,Manpower!D:D,)</f>
        <v>140806218</v>
      </c>
      <c r="G571" s="28" t="str">
        <f>_xlfn.XLOOKUP(Table134526_79101120212223242526[[#This Row],[Name Surname]],Manpower!$C$4:$C$1048576,Manpower!$F$4:$F$1048576,"")</f>
        <v>Fitter/Erector</v>
      </c>
      <c r="H571" s="28" t="str">
        <f>_xlfn.XLOOKUP(Table134526_79101120212223242526[[#This Row],[Name Surname]],Manpower!$C$4:$C$1048576,Manpower!$H$4:$H$1048576,"")</f>
        <v>Manpower</v>
      </c>
      <c r="I571" s="24" t="str">
        <f>_xlfn.XLOOKUP(Table134526_79101120212223242526[[#This Row],[Name Surname]],Manpower!$C$4:$C$1048576,Manpower!$H$4:$H$1048576,"")</f>
        <v>Manpower</v>
      </c>
      <c r="J571" s="21" t="s">
        <v>21</v>
      </c>
      <c r="K571" s="21" t="s">
        <v>22</v>
      </c>
      <c r="L571" s="21" t="s">
        <v>23</v>
      </c>
      <c r="M571" s="21" t="s">
        <v>55</v>
      </c>
      <c r="N571" s="29">
        <v>10</v>
      </c>
      <c r="R571" s="21" t="s">
        <v>227</v>
      </c>
    </row>
    <row r="572" spans="1:18" s="21" customFormat="1" ht="14.4" hidden="1">
      <c r="A572" s="33">
        <f>IF(C572="","",MAX($A$1:A571)+1)</f>
        <v>547</v>
      </c>
      <c r="B572" s="22" t="s">
        <v>19</v>
      </c>
      <c r="C572" s="23">
        <v>46086</v>
      </c>
      <c r="D572" s="28" t="str">
        <f>_xlfn.XLOOKUP(Table134526_79101120212223242526[[#This Row],[Name Surname]],Manpower!$C$4:$C$1048576,Manpower!$B$4:$B$1048576,"")</f>
        <v>Encogroup</v>
      </c>
      <c r="E572" s="21" t="s">
        <v>46</v>
      </c>
      <c r="F572" s="12">
        <f>_xlfn.XLOOKUP(Table134526_79101120212223242526[[#This Row],[Name Surname]],Manpower!C:C,Manpower!D:D,)</f>
        <v>140844618</v>
      </c>
      <c r="G572" s="28" t="str">
        <f>_xlfn.XLOOKUP(Table134526_79101120212223242526[[#This Row],[Name Surname]],Manpower!$C$4:$C$1048576,Manpower!$F$4:$F$1048576,"")</f>
        <v>Assistant/Helper</v>
      </c>
      <c r="H572" s="28" t="str">
        <f>_xlfn.XLOOKUP(Table134526_79101120212223242526[[#This Row],[Name Surname]],Manpower!$C$4:$C$1048576,Manpower!$H$4:$H$1048576,"")</f>
        <v>Manpower</v>
      </c>
      <c r="I572" s="24" t="str">
        <f>_xlfn.XLOOKUP(Table134526_79101120212223242526[[#This Row],[Name Surname]],Manpower!$C$4:$C$1048576,Manpower!$H$4:$H$1048576,"")</f>
        <v>Manpower</v>
      </c>
      <c r="J572" s="21" t="s">
        <v>21</v>
      </c>
      <c r="K572" s="21" t="s">
        <v>22</v>
      </c>
      <c r="L572" s="21" t="s">
        <v>23</v>
      </c>
      <c r="M572" s="21" t="s">
        <v>55</v>
      </c>
      <c r="N572" s="29">
        <v>10</v>
      </c>
      <c r="R572" s="21" t="s">
        <v>227</v>
      </c>
    </row>
    <row r="573" spans="1:18" s="21" customFormat="1" ht="14.4">
      <c r="A573" s="33">
        <f>IF(C573="","",MAX($A$1:A572)+1)</f>
        <v>548</v>
      </c>
      <c r="B573" s="25" t="s">
        <v>19</v>
      </c>
      <c r="C573" s="23">
        <v>46086</v>
      </c>
      <c r="D573" s="28" t="str">
        <f>_xlfn.XLOOKUP(Table134526_79101120212223242526[[#This Row],[Name Surname]],Manpower!$C$4:$C$1048576,Manpower!$B$4:$B$1048576,"")</f>
        <v>Bright Light</v>
      </c>
      <c r="E573" s="23" t="s">
        <v>47</v>
      </c>
      <c r="F573" s="12" t="e">
        <f>_xlfn.XLOOKUP(Table134526_79101120212223242526[[#This Row],[Name Surname]],Manpower!C:C,Manpower!D:D,)</f>
        <v>#N/A</v>
      </c>
      <c r="G573" s="28" t="str">
        <f>_xlfn.XLOOKUP(Table134526_79101120212223242526[[#This Row],[Name Surname]],Manpower!$C$4:$C$1048576,Manpower!$F$4:$F$1048576,"")</f>
        <v>100T Telescopic Crane</v>
      </c>
      <c r="H573" s="28" t="str">
        <f>_xlfn.XLOOKUP(Table134526_79101120212223242526[[#This Row],[Name Surname]],Manpower!$C$4:$C$1048576,Manpower!$H$4:$H$1048576,"")</f>
        <v>Equipment</v>
      </c>
      <c r="I573" s="24" t="str">
        <f>_xlfn.XLOOKUP(Table134526_79101120212223242526[[#This Row],[Name Surname]],Manpower!$C$4:$C$1048576,Manpower!$H$4:$H$1048576,"")</f>
        <v>Equipment</v>
      </c>
      <c r="J573" s="21" t="s">
        <v>48</v>
      </c>
      <c r="K573" s="21" t="s">
        <v>26</v>
      </c>
      <c r="L573" s="21" t="s">
        <v>49</v>
      </c>
      <c r="M573" s="21" t="s">
        <v>55</v>
      </c>
      <c r="N573" s="29">
        <v>10</v>
      </c>
      <c r="R573" s="21" t="s">
        <v>227</v>
      </c>
    </row>
    <row r="574" spans="1:18" s="21" customFormat="1" ht="14.4">
      <c r="A574" s="33">
        <f>IF(C574="","",MAX($A$1:A573)+1)</f>
        <v>549</v>
      </c>
      <c r="B574" s="25" t="s">
        <v>19</v>
      </c>
      <c r="C574" s="23">
        <v>46086</v>
      </c>
      <c r="D574" s="28" t="str">
        <f>_xlfn.XLOOKUP(Table134526_79101120212223242526[[#This Row],[Name Surname]],Manpower!$C$4:$C$1048576,Manpower!$B$4:$B$1048576,"")</f>
        <v>Bright Light</v>
      </c>
      <c r="E574" s="21" t="s">
        <v>51</v>
      </c>
      <c r="F574" s="12" t="e">
        <f>_xlfn.XLOOKUP(Table134526_79101120212223242526[[#This Row],[Name Surname]],Manpower!C:C,Manpower!D:D,)</f>
        <v>#N/A</v>
      </c>
      <c r="G574" s="28" t="str">
        <f>_xlfn.XLOOKUP(Table134526_79101120212223242526[[#This Row],[Name Surname]],Manpower!$C$4:$C$1048576,Manpower!$F$4:$F$1048576,"")</f>
        <v>150T-Crawler Crane</v>
      </c>
      <c r="H574" s="28" t="str">
        <f>_xlfn.XLOOKUP(Table134526_79101120212223242526[[#This Row],[Name Surname]],Manpower!$C$4:$C$1048576,Manpower!$H$4:$H$1048576,"")</f>
        <v>Equipment</v>
      </c>
      <c r="I574" s="24" t="str">
        <f>_xlfn.XLOOKUP(Table134526_79101120212223242526[[#This Row],[Name Surname]],Manpower!$C$4:$C$1048576,Manpower!$H$4:$H$1048576,"")</f>
        <v>Equipment</v>
      </c>
      <c r="J574" s="21" t="s">
        <v>48</v>
      </c>
      <c r="K574" s="21" t="s">
        <v>26</v>
      </c>
      <c r="L574" s="21" t="s">
        <v>49</v>
      </c>
      <c r="M574" s="21" t="s">
        <v>55</v>
      </c>
      <c r="N574" s="29">
        <v>10</v>
      </c>
      <c r="R574" s="21" t="s">
        <v>227</v>
      </c>
    </row>
    <row r="575" spans="1:18" s="21" customFormat="1" ht="14.4">
      <c r="A575" s="33">
        <f>IF(C575="","",MAX($A$1:A574)+1)</f>
        <v>550</v>
      </c>
      <c r="B575" s="25" t="s">
        <v>19</v>
      </c>
      <c r="C575" s="23">
        <v>46086</v>
      </c>
      <c r="D575" s="28" t="str">
        <f>_xlfn.XLOOKUP(Table134526_79101120212223242526[[#This Row],[Name Surname]],Manpower!$C$4:$C$1048576,Manpower!$B$4:$B$1048576,"")</f>
        <v>Encogroup</v>
      </c>
      <c r="E575" s="21" t="s">
        <v>53</v>
      </c>
      <c r="F575" s="12" t="e">
        <f>_xlfn.XLOOKUP(Table134526_79101120212223242526[[#This Row],[Name Surname]],Manpower!C:C,Manpower!D:D,)</f>
        <v>#N/A</v>
      </c>
      <c r="G575" s="28" t="str">
        <f>_xlfn.XLOOKUP(Table134526_79101120212223242526[[#This Row],[Name Surname]],Manpower!$C$4:$C$1048576,Manpower!$F$4:$F$1048576,"")</f>
        <v>22M-Manlift</v>
      </c>
      <c r="H575" s="28" t="str">
        <f>_xlfn.XLOOKUP(Table134526_79101120212223242526[[#This Row],[Name Surname]],Manpower!$C$4:$C$1048576,Manpower!$H$4:$H$1048576,"")</f>
        <v>Equipment</v>
      </c>
      <c r="I575" s="24" t="str">
        <f>_xlfn.XLOOKUP(Table134526_79101120212223242526[[#This Row],[Name Surname]],Manpower!$C$4:$C$1048576,Manpower!$H$4:$H$1048576,"")</f>
        <v>Equipment</v>
      </c>
      <c r="J575" s="21" t="s">
        <v>48</v>
      </c>
      <c r="K575" s="21" t="s">
        <v>26</v>
      </c>
      <c r="L575" s="21" t="s">
        <v>49</v>
      </c>
      <c r="M575" s="21" t="s">
        <v>55</v>
      </c>
      <c r="N575" s="29">
        <v>10</v>
      </c>
      <c r="R575" s="21" t="s">
        <v>227</v>
      </c>
    </row>
    <row r="576" spans="1:18" s="21" customFormat="1" ht="14.4">
      <c r="A576" s="33">
        <f>IF(C576="","",MAX($A$1:A575)+1)</f>
        <v>551</v>
      </c>
      <c r="B576" s="25" t="s">
        <v>19</v>
      </c>
      <c r="C576" s="23">
        <v>46086</v>
      </c>
      <c r="D576" s="28" t="str">
        <f>_xlfn.XLOOKUP(Table134526_79101120212223242526[[#This Row],[Name Surname]],Manpower!$C$4:$C$1048576,Manpower!$B$4:$B$1048576,"")</f>
        <v>Encogroup</v>
      </c>
      <c r="E576" s="21" t="s">
        <v>54</v>
      </c>
      <c r="F576" s="12" t="e">
        <f>_xlfn.XLOOKUP(Table134526_79101120212223242526[[#This Row],[Name Surname]],Manpower!C:C,Manpower!D:D,)</f>
        <v>#N/A</v>
      </c>
      <c r="G576" s="28" t="str">
        <f>_xlfn.XLOOKUP(Table134526_79101120212223242526[[#This Row],[Name Surname]],Manpower!$C$4:$C$1048576,Manpower!$F$4:$F$1048576,"")</f>
        <v>28M-Manlift</v>
      </c>
      <c r="H576" s="28" t="str">
        <f>_xlfn.XLOOKUP(Table134526_79101120212223242526[[#This Row],[Name Surname]],Manpower!$C$4:$C$1048576,Manpower!$H$4:$H$1048576,"")</f>
        <v>Equipment</v>
      </c>
      <c r="I576" s="24" t="str">
        <f>_xlfn.XLOOKUP(Table134526_79101120212223242526[[#This Row],[Name Surname]],Manpower!$C$4:$C$1048576,Manpower!$H$4:$H$1048576,"")</f>
        <v>Equipment</v>
      </c>
      <c r="J576" s="21" t="s">
        <v>48</v>
      </c>
      <c r="K576" s="21" t="s">
        <v>26</v>
      </c>
      <c r="L576" s="21" t="s">
        <v>49</v>
      </c>
      <c r="M576" s="21" t="s">
        <v>55</v>
      </c>
      <c r="N576" s="29">
        <v>10</v>
      </c>
      <c r="R576" s="21" t="s">
        <v>227</v>
      </c>
    </row>
    <row r="577" spans="1:18" s="21" customFormat="1" ht="14.4" hidden="1">
      <c r="A577" s="33">
        <f>IF(C577="","",MAX($A$1:A576)+1)</f>
        <v>552</v>
      </c>
      <c r="B577" s="25" t="s">
        <v>19</v>
      </c>
      <c r="C577" s="23">
        <v>46086</v>
      </c>
      <c r="D577" s="28" t="str">
        <f>_xlfn.XLOOKUP(Table134526_79101120212223242526[[#This Row],[Name Surname]],Manpower!$C$4:$C$1048576,Manpower!$B$4:$B$1048576,"")</f>
        <v>Encogroup</v>
      </c>
      <c r="E577" s="21" t="s">
        <v>57</v>
      </c>
      <c r="F577" s="12">
        <f>_xlfn.XLOOKUP(Table134526_79101120212223242526[[#This Row],[Name Surname]],Manpower!C:C,Manpower!D:D,)</f>
        <v>140693697</v>
      </c>
      <c r="G577" s="28" t="str">
        <f>_xlfn.XLOOKUP(Table134526_79101120212223242526[[#This Row],[Name Surname]],Manpower!$C$4:$C$1048576,Manpower!$F$4:$F$1048576,"")</f>
        <v>HSE Officer</v>
      </c>
      <c r="H577" s="28" t="str">
        <f>_xlfn.XLOOKUP(Table134526_79101120212223242526[[#This Row],[Name Surname]],Manpower!$C$4:$C$1048576,Manpower!$H$4:$H$1048576,"")</f>
        <v>Manpower</v>
      </c>
      <c r="I577" s="24" t="str">
        <f>_xlfn.XLOOKUP(Table134526_79101120212223242526[[#This Row],[Name Surname]],Manpower!$C$4:$C$1048576,Manpower!$H$4:$H$1048576,"")</f>
        <v>Manpower</v>
      </c>
      <c r="J577" s="21" t="s">
        <v>48</v>
      </c>
      <c r="K577" s="21" t="s">
        <v>26</v>
      </c>
      <c r="L577" s="21" t="s">
        <v>49</v>
      </c>
      <c r="M577" s="21" t="s">
        <v>55</v>
      </c>
      <c r="N577" s="29">
        <v>10</v>
      </c>
      <c r="R577" s="21" t="s">
        <v>227</v>
      </c>
    </row>
    <row r="578" spans="1:18" s="21" customFormat="1" ht="14.4" hidden="1">
      <c r="A578" s="33">
        <f>IF(C578="","",MAX($A$1:A577)+1)</f>
        <v>553</v>
      </c>
      <c r="B578" s="25" t="s">
        <v>19</v>
      </c>
      <c r="C578" s="23">
        <v>46086</v>
      </c>
      <c r="D578" s="28" t="str">
        <f>_xlfn.XLOOKUP(Table134526_79101120212223242526[[#This Row],[Name Surname]],Manpower!$C$4:$C$1048576,Manpower!$B$4:$B$1048576,"")</f>
        <v>Encogroup</v>
      </c>
      <c r="E578" s="21" t="s">
        <v>27</v>
      </c>
      <c r="F578" s="12">
        <f>_xlfn.XLOOKUP(Table134526_79101120212223242526[[#This Row],[Name Surname]],Manpower!C:C,Manpower!D:D,)</f>
        <v>127414586</v>
      </c>
      <c r="G578" s="28" t="str">
        <f>_xlfn.XLOOKUP(Table134526_79101120212223242526[[#This Row],[Name Surname]],Manpower!$C$4:$C$1048576,Manpower!$F$4:$F$1048576,"")</f>
        <v>Electrician</v>
      </c>
      <c r="H578" s="28" t="str">
        <f>_xlfn.XLOOKUP(Table134526_79101120212223242526[[#This Row],[Name Surname]],Manpower!$C$4:$C$1048576,Manpower!$H$4:$H$1048576,"")</f>
        <v>Manpower</v>
      </c>
      <c r="I578" s="24" t="str">
        <f>_xlfn.XLOOKUP(Table134526_79101120212223242526[[#This Row],[Name Surname]],Manpower!$C$4:$C$1048576,Manpower!$H$4:$H$1048576,"")</f>
        <v>Manpower</v>
      </c>
      <c r="J578" s="21" t="s">
        <v>48</v>
      </c>
      <c r="K578" s="21" t="s">
        <v>26</v>
      </c>
      <c r="L578" s="21" t="s">
        <v>49</v>
      </c>
      <c r="M578" s="21" t="s">
        <v>55</v>
      </c>
      <c r="N578" s="29">
        <v>5</v>
      </c>
      <c r="R578" s="21" t="s">
        <v>227</v>
      </c>
    </row>
    <row r="579" spans="1:18" s="21" customFormat="1" ht="14.4" hidden="1">
      <c r="A579" s="33">
        <f>IF(C579="","",MAX($A$1:A578)+1)</f>
        <v>554</v>
      </c>
      <c r="B579" s="25" t="s">
        <v>19</v>
      </c>
      <c r="C579" s="23">
        <v>46086</v>
      </c>
      <c r="D579" s="28" t="str">
        <f>_xlfn.XLOOKUP(Table134526_79101120212223242526[[#This Row],[Name Surname]],Manpower!$C$4:$C$1048576,Manpower!$B$4:$B$1048576,"")</f>
        <v>Encogroup</v>
      </c>
      <c r="E579" s="21" t="s">
        <v>59</v>
      </c>
      <c r="F579" s="12">
        <f>_xlfn.XLOOKUP(Table134526_79101120212223242526[[#This Row],[Name Surname]],Manpower!C:C,Manpower!D:D,)</f>
        <v>141169085</v>
      </c>
      <c r="G579" s="28" t="str">
        <f>_xlfn.XLOOKUP(Table134526_79101120212223242526[[#This Row],[Name Surname]],Manpower!$C$4:$C$1048576,Manpower!$F$4:$F$1048576,"")</f>
        <v>Welder</v>
      </c>
      <c r="H579" s="28" t="str">
        <f>_xlfn.XLOOKUP(Table134526_79101120212223242526[[#This Row],[Name Surname]],Manpower!$C$4:$C$1048576,Manpower!$H$4:$H$1048576,"")</f>
        <v>Manpower</v>
      </c>
      <c r="I579" s="24" t="str">
        <f>_xlfn.XLOOKUP(Table134526_79101120212223242526[[#This Row],[Name Surname]],Manpower!$C$4:$C$1048576,Manpower!$H$4:$H$1048576,"")</f>
        <v>Manpower</v>
      </c>
      <c r="J579" s="21" t="s">
        <v>48</v>
      </c>
      <c r="K579" s="21" t="s">
        <v>26</v>
      </c>
      <c r="L579" s="21" t="s">
        <v>49</v>
      </c>
      <c r="M579" s="21" t="s">
        <v>55</v>
      </c>
      <c r="N579" s="29">
        <v>10</v>
      </c>
      <c r="R579" s="21" t="s">
        <v>227</v>
      </c>
    </row>
    <row r="580" spans="1:18" s="21" customFormat="1" ht="14.4" hidden="1">
      <c r="A580" s="33">
        <f>IF(C580="","",MAX($A$1:A579)+1)</f>
        <v>555</v>
      </c>
      <c r="B580" s="25" t="s">
        <v>19</v>
      </c>
      <c r="C580" s="23">
        <v>46086</v>
      </c>
      <c r="D580" s="28" t="str">
        <f>_xlfn.XLOOKUP(Table134526_79101120212223242526[[#This Row],[Name Surname]],Manpower!$C$4:$C$1048576,Manpower!$B$4:$B$1048576,"")</f>
        <v>Encogroup</v>
      </c>
      <c r="E580" s="21" t="s">
        <v>61</v>
      </c>
      <c r="F580" s="12">
        <f>_xlfn.XLOOKUP(Table134526_79101120212223242526[[#This Row],[Name Surname]],Manpower!C:C,Manpower!D:D,)</f>
        <v>141169047</v>
      </c>
      <c r="G580" s="28" t="str">
        <f>_xlfn.XLOOKUP(Table134526_79101120212223242526[[#This Row],[Name Surname]],Manpower!$C$4:$C$1048576,Manpower!$F$4:$F$1048576,"")</f>
        <v>Welder</v>
      </c>
      <c r="H580" s="28" t="str">
        <f>_xlfn.XLOOKUP(Table134526_79101120212223242526[[#This Row],[Name Surname]],Manpower!$C$4:$C$1048576,Manpower!$H$4:$H$1048576,"")</f>
        <v>Manpower</v>
      </c>
      <c r="I580" s="24" t="str">
        <f>_xlfn.XLOOKUP(Table134526_79101120212223242526[[#This Row],[Name Surname]],Manpower!$C$4:$C$1048576,Manpower!$H$4:$H$1048576,"")</f>
        <v>Manpower</v>
      </c>
      <c r="J580" s="21" t="s">
        <v>48</v>
      </c>
      <c r="K580" s="21" t="s">
        <v>26</v>
      </c>
      <c r="L580" s="21" t="s">
        <v>49</v>
      </c>
      <c r="M580" s="21" t="s">
        <v>55</v>
      </c>
      <c r="N580" s="29">
        <v>10</v>
      </c>
      <c r="R580" s="21" t="s">
        <v>227</v>
      </c>
    </row>
    <row r="581" spans="1:18" s="21" customFormat="1" ht="14.4" hidden="1">
      <c r="A581" s="33">
        <f>IF(C581="","",MAX($A$1:A580)+1)</f>
        <v>556</v>
      </c>
      <c r="B581" s="25" t="s">
        <v>19</v>
      </c>
      <c r="C581" s="23">
        <v>46086</v>
      </c>
      <c r="D581" s="28" t="str">
        <f>_xlfn.XLOOKUP(Table134526_79101120212223242526[[#This Row],[Name Surname]],Manpower!$C$4:$C$1048576,Manpower!$B$4:$B$1048576,"")</f>
        <v>Encogroup</v>
      </c>
      <c r="E581" s="21" t="s">
        <v>62</v>
      </c>
      <c r="F581" s="12">
        <f>_xlfn.XLOOKUP(Table134526_79101120212223242526[[#This Row],[Name Surname]],Manpower!C:C,Manpower!D:D,)</f>
        <v>140844797</v>
      </c>
      <c r="G581" s="28" t="str">
        <f>_xlfn.XLOOKUP(Table134526_79101120212223242526[[#This Row],[Name Surname]],Manpower!$C$4:$C$1048576,Manpower!$F$4:$F$1048576,"")</f>
        <v>Fitter/Erector</v>
      </c>
      <c r="H581" s="28" t="str">
        <f>_xlfn.XLOOKUP(Table134526_79101120212223242526[[#This Row],[Name Surname]],Manpower!$C$4:$C$1048576,Manpower!$H$4:$H$1048576,"")</f>
        <v>Manpower</v>
      </c>
      <c r="I581" s="24" t="str">
        <f>_xlfn.XLOOKUP(Table134526_79101120212223242526[[#This Row],[Name Surname]],Manpower!$C$4:$C$1048576,Manpower!$H$4:$H$1048576,"")</f>
        <v>Manpower</v>
      </c>
      <c r="J581" s="21" t="s">
        <v>48</v>
      </c>
      <c r="K581" s="21" t="s">
        <v>26</v>
      </c>
      <c r="L581" s="21" t="s">
        <v>49</v>
      </c>
      <c r="M581" s="21" t="s">
        <v>55</v>
      </c>
      <c r="N581" s="29">
        <v>10</v>
      </c>
      <c r="R581" s="21" t="s">
        <v>227</v>
      </c>
    </row>
    <row r="582" spans="1:18" s="21" customFormat="1" ht="14.4">
      <c r="A582" s="33">
        <f>IF(C582="","",MAX($A$1:A581)+1)</f>
        <v>557</v>
      </c>
      <c r="B582" s="25" t="s">
        <v>19</v>
      </c>
      <c r="C582" s="23">
        <v>46086</v>
      </c>
      <c r="D582" s="24" t="str">
        <f>_xlfn.XLOOKUP(Table134526_79101120212223242526[[#This Row],[Name Surname]],Manpower!$C$4:$C$1048576,Manpower!$B$4:$B$1048576,"")</f>
        <v>Encogroup</v>
      </c>
      <c r="E582" s="23" t="s">
        <v>63</v>
      </c>
      <c r="F582" s="12" t="e">
        <f>_xlfn.XLOOKUP(Table134526_79101120212223242526[[#This Row],[Name Surname]],Manpower!C:C,Manpower!D:D,)</f>
        <v>#N/A</v>
      </c>
      <c r="G582" s="24" t="str">
        <f>_xlfn.XLOOKUP(Table134526_79101120212223242526[[#This Row],[Name Surname]],Manpower!$C$4:$C$1048576,Manpower!$F$4:$F$1048576,"")</f>
        <v>22KVA-Generator</v>
      </c>
      <c r="H582" s="24" t="str">
        <f>_xlfn.XLOOKUP(Table134526_79101120212223242526[[#This Row],[Name Surname]],Manpower!$C$4:$C$1048576,Manpower!$H$4:$H$1048576,"")</f>
        <v>Equipment</v>
      </c>
      <c r="I582" s="24" t="str">
        <f>_xlfn.XLOOKUP(Table134526_79101120212223242526[[#This Row],[Name Surname]],Manpower!$C$4:$C$1048576,Manpower!$H$4:$H$1048576,"")</f>
        <v>Equipment</v>
      </c>
      <c r="J582" s="21" t="s">
        <v>48</v>
      </c>
      <c r="K582" s="21" t="s">
        <v>26</v>
      </c>
      <c r="L582" s="21" t="s">
        <v>49</v>
      </c>
      <c r="M582" s="21" t="s">
        <v>55</v>
      </c>
      <c r="N582" s="29">
        <v>10</v>
      </c>
      <c r="R582" s="21" t="s">
        <v>227</v>
      </c>
    </row>
    <row r="583" spans="1:18" s="21" customFormat="1" ht="14.4" hidden="1">
      <c r="A583" s="33">
        <f>IF(C583="","",MAX($A$1:A581)+1)</f>
        <v>557</v>
      </c>
      <c r="B583" s="25" t="s">
        <v>19</v>
      </c>
      <c r="C583" s="23">
        <v>46086</v>
      </c>
      <c r="D583" s="28" t="str">
        <f>_xlfn.XLOOKUP(Table134526_79101120212223242526[[#This Row],[Name Surname]],Manpower!$C$4:$C$1048576,Manpower!$B$4:$B$1048576,"")</f>
        <v>Bright Light</v>
      </c>
      <c r="E583" s="21" t="s">
        <v>64</v>
      </c>
      <c r="F583" s="12">
        <f>_xlfn.XLOOKUP(Table134526_79101120212223242526[[#This Row],[Name Surname]],Manpower!C:C,Manpower!D:D,)</f>
        <v>114531608</v>
      </c>
      <c r="G583" s="28" t="str">
        <f>_xlfn.XLOOKUP(Table134526_79101120212223242526[[#This Row],[Name Surname]],Manpower!$C$4:$C$1048576,Manpower!$F$4:$F$1048576,"")</f>
        <v>Crane Operator-150T Sany Crawler</v>
      </c>
      <c r="H583" s="28" t="s">
        <v>39</v>
      </c>
      <c r="I583" s="24" t="s">
        <v>39</v>
      </c>
      <c r="J583" s="21" t="s">
        <v>48</v>
      </c>
      <c r="K583" s="21" t="s">
        <v>26</v>
      </c>
      <c r="L583" s="21" t="s">
        <v>49</v>
      </c>
      <c r="M583" s="21" t="s">
        <v>55</v>
      </c>
      <c r="N583" s="29">
        <v>10</v>
      </c>
      <c r="R583" s="21" t="s">
        <v>227</v>
      </c>
    </row>
    <row r="584" spans="1:18" s="21" customFormat="1" ht="14.4" hidden="1">
      <c r="A584" s="33">
        <f>IF(C584="","",MAX($A$1:A583)+1)</f>
        <v>558</v>
      </c>
      <c r="B584" s="25" t="s">
        <v>19</v>
      </c>
      <c r="C584" s="23">
        <v>46086</v>
      </c>
      <c r="D584" s="28" t="str">
        <f>_xlfn.XLOOKUP(Table134526_79101120212223242526[[#This Row],[Name Surname]],Manpower!$C$4:$C$1048576,Manpower!$B$4:$B$1048576,"")</f>
        <v>AL Saif &amp; Al QALLM ENT LLC</v>
      </c>
      <c r="E584" s="21" t="s">
        <v>65</v>
      </c>
      <c r="F584" s="12">
        <f>_xlfn.XLOOKUP(Table134526_79101120212223242526[[#This Row],[Name Surname]],Manpower!C:C,Manpower!D:D,)</f>
        <v>108478006</v>
      </c>
      <c r="G584" s="28" t="str">
        <f>_xlfn.XLOOKUP(Table134526_79101120212223242526[[#This Row],[Name Surname]],Manpower!$C$4:$C$1048576,Manpower!$F$4:$F$1048576,"")</f>
        <v>RIgger</v>
      </c>
      <c r="H584" s="28" t="str">
        <f>_xlfn.XLOOKUP(Table134526_79101120212223242526[[#This Row],[Name Surname]],Manpower!$C$4:$C$1048576,Manpower!$H$4:$H$1048576,"")</f>
        <v>Sub Contactor</v>
      </c>
      <c r="I584" s="24" t="str">
        <f>_xlfn.XLOOKUP(Table134526_79101120212223242526[[#This Row],[Name Surname]],Manpower!$C$4:$C$1048576,Manpower!$H$4:$H$1048576,"")</f>
        <v>Sub Contactor</v>
      </c>
      <c r="J584" s="21" t="s">
        <v>48</v>
      </c>
      <c r="K584" s="21" t="s">
        <v>26</v>
      </c>
      <c r="L584" s="21" t="s">
        <v>49</v>
      </c>
      <c r="M584" s="21" t="s">
        <v>55</v>
      </c>
      <c r="N584" s="29">
        <v>10</v>
      </c>
      <c r="R584" s="21" t="s">
        <v>227</v>
      </c>
    </row>
    <row r="585" spans="1:18" s="21" customFormat="1" ht="14.4" hidden="1">
      <c r="A585" s="33">
        <f>IF(C585="","",MAX($A$1:A584)+1)</f>
        <v>559</v>
      </c>
      <c r="B585" s="25" t="s">
        <v>19</v>
      </c>
      <c r="C585" s="23">
        <v>46086</v>
      </c>
      <c r="D585" s="28" t="str">
        <f>_xlfn.XLOOKUP(Table134526_79101120212223242526[[#This Row],[Name Surname]],Manpower!$C$4:$C$1048576,Manpower!$B$4:$B$1048576,"")</f>
        <v>AL Omar International TRAD AND CONT</v>
      </c>
      <c r="E585" s="21" t="s">
        <v>66</v>
      </c>
      <c r="F585" s="12">
        <f>_xlfn.XLOOKUP(Table134526_79101120212223242526[[#This Row],[Name Surname]],Manpower!C:C,Manpower!D:D,)</f>
        <v>115018512</v>
      </c>
      <c r="G585" s="28" t="str">
        <f>_xlfn.XLOOKUP(Table134526_79101120212223242526[[#This Row],[Name Surname]],Manpower!$C$4:$C$1048576,Manpower!$F$4:$F$1048576,"")</f>
        <v>RIgger</v>
      </c>
      <c r="H585" s="28" t="str">
        <f>_xlfn.XLOOKUP(Table134526_79101120212223242526[[#This Row],[Name Surname]],Manpower!$C$4:$C$1048576,Manpower!$H$4:$H$1048576,"")</f>
        <v>Sub Contactor</v>
      </c>
      <c r="I585" s="24" t="str">
        <f>_xlfn.XLOOKUP(Table134526_79101120212223242526[[#This Row],[Name Surname]],Manpower!$C$4:$C$1048576,Manpower!$H$4:$H$1048576,"")</f>
        <v>Sub Contactor</v>
      </c>
      <c r="J585" s="21" t="s">
        <v>48</v>
      </c>
      <c r="K585" s="21" t="s">
        <v>26</v>
      </c>
      <c r="L585" s="21" t="s">
        <v>49</v>
      </c>
      <c r="M585" s="21" t="s">
        <v>55</v>
      </c>
      <c r="N585" s="29">
        <v>10</v>
      </c>
      <c r="R585" s="21" t="s">
        <v>227</v>
      </c>
    </row>
    <row r="586" spans="1:18" s="21" customFormat="1" ht="14.4" hidden="1">
      <c r="A586" s="33">
        <f>IF(C586="","",MAX($A$1:A585)+1)</f>
        <v>560</v>
      </c>
      <c r="B586" s="25" t="s">
        <v>19</v>
      </c>
      <c r="C586" s="23">
        <v>46086</v>
      </c>
      <c r="D586" s="28" t="str">
        <f>_xlfn.XLOOKUP(Table134526_79101120212223242526[[#This Row],[Name Surname]],Manpower!$C$4:$C$1048576,Manpower!$B$4:$B$1048576,"")</f>
        <v>Encogroup</v>
      </c>
      <c r="E586" s="21" t="s">
        <v>67</v>
      </c>
      <c r="F586" s="12">
        <f>_xlfn.XLOOKUP(Table134526_79101120212223242526[[#This Row],[Name Surname]],Manpower!C:C,Manpower!D:D,)</f>
        <v>122082769</v>
      </c>
      <c r="G586" s="28" t="str">
        <f>_xlfn.XLOOKUP(Table134526_79101120212223242526[[#This Row],[Name Surname]],Manpower!$C$4:$C$1048576,Manpower!$F$4:$F$1048576,"")</f>
        <v>Grinder</v>
      </c>
      <c r="H586" s="28" t="str">
        <f>_xlfn.XLOOKUP(Table134526_79101120212223242526[[#This Row],[Name Surname]],Manpower!$C$4:$C$1048576,Manpower!$H$4:$H$1048576,"")</f>
        <v>Manpower</v>
      </c>
      <c r="I586" s="24" t="str">
        <f>_xlfn.XLOOKUP(Table134526_79101120212223242526[[#This Row],[Name Surname]],Manpower!$C$4:$C$1048576,Manpower!$H$4:$H$1048576,"")</f>
        <v>Manpower</v>
      </c>
      <c r="J586" s="21" t="s">
        <v>48</v>
      </c>
      <c r="K586" s="21" t="s">
        <v>26</v>
      </c>
      <c r="L586" s="21" t="s">
        <v>49</v>
      </c>
      <c r="M586" s="21" t="s">
        <v>55</v>
      </c>
      <c r="N586" s="29">
        <v>10</v>
      </c>
      <c r="R586" s="21" t="s">
        <v>227</v>
      </c>
    </row>
    <row r="587" spans="1:18" ht="14.4" hidden="1">
      <c r="A587" s="33">
        <f>IF(C587="","",MAX($A$1:A586)+1)</f>
        <v>561</v>
      </c>
      <c r="B587" s="25" t="s">
        <v>19</v>
      </c>
      <c r="C587" s="23">
        <v>46086</v>
      </c>
      <c r="D587" s="28" t="str">
        <f>_xlfn.XLOOKUP(Table134526_79101120212223242526[[#This Row],[Name Surname]],Manpower!$C$4:$C$1048576,Manpower!$B$4:$B$1048576,"")</f>
        <v>Encogroup</v>
      </c>
      <c r="E587" s="21" t="s">
        <v>68</v>
      </c>
      <c r="F587" s="12">
        <f>_xlfn.XLOOKUP(Table134526_79101120212223242526[[#This Row],[Name Surname]],Manpower!C:C,Manpower!D:D,)</f>
        <v>116915582</v>
      </c>
      <c r="G587" s="28" t="str">
        <f>_xlfn.XLOOKUP(Table134526_79101120212223242526[[#This Row],[Name Surname]],Manpower!$C$4:$C$1048576,Manpower!$F$4:$F$1048576,"")</f>
        <v>Mechanical Superintendent</v>
      </c>
      <c r="H587" s="28" t="str">
        <f>_xlfn.XLOOKUP(Table134526_79101120212223242526[[#This Row],[Name Surname]],Manpower!$C$4:$C$1048576,Manpower!$H$4:$H$1048576,"")</f>
        <v>Manpower</v>
      </c>
      <c r="I587" s="24" t="str">
        <f>_xlfn.XLOOKUP(Table134526_79101120212223242526[[#This Row],[Name Surname]],Manpower!$C$4:$C$1048576,Manpower!$H$4:$H$1048576,"")</f>
        <v>Manpower</v>
      </c>
      <c r="J587" s="21" t="s">
        <v>48</v>
      </c>
      <c r="K587" s="21" t="s">
        <v>26</v>
      </c>
      <c r="L587" s="21" t="s">
        <v>49</v>
      </c>
      <c r="M587" s="21" t="s">
        <v>55</v>
      </c>
      <c r="N587" s="29">
        <v>10</v>
      </c>
      <c r="R587" s="21" t="s">
        <v>227</v>
      </c>
    </row>
    <row r="588" spans="1:18" ht="14.4" hidden="1">
      <c r="A588" s="33">
        <f>IF(C588="","",MAX($A$1:A587)+1)</f>
        <v>562</v>
      </c>
      <c r="B588" s="25" t="s">
        <v>19</v>
      </c>
      <c r="C588" s="23">
        <v>46086</v>
      </c>
      <c r="D588" s="28" t="str">
        <f>_xlfn.XLOOKUP(Table134526_79101120212223242526[[#This Row],[Name Surname]],Manpower!$C$4:$C$1048576,Manpower!$B$4:$B$1048576,"")</f>
        <v>Encogroup</v>
      </c>
      <c r="E588" s="21" t="s">
        <v>69</v>
      </c>
      <c r="F588" s="12">
        <f>_xlfn.XLOOKUP(Table134526_79101120212223242526[[#This Row],[Name Surname]],Manpower!C:C,Manpower!D:D,)</f>
        <v>141169071</v>
      </c>
      <c r="G588" s="28" t="str">
        <f>_xlfn.XLOOKUP(Table134526_79101120212223242526[[#This Row],[Name Surname]],Manpower!$C$4:$C$1048576,Manpower!$F$4:$F$1048576,"")</f>
        <v>Welding Supervisor</v>
      </c>
      <c r="H588" s="28" t="str">
        <f>_xlfn.XLOOKUP(Table134526_79101120212223242526[[#This Row],[Name Surname]],Manpower!$C$4:$C$1048576,Manpower!$H$4:$H$1048576,"")</f>
        <v>Manpower</v>
      </c>
      <c r="I588" s="24" t="str">
        <f>_xlfn.XLOOKUP(Table134526_79101120212223242526[[#This Row],[Name Surname]],Manpower!$C$4:$C$1048576,Manpower!$H$4:$H$1048576,"")</f>
        <v>Manpower</v>
      </c>
      <c r="J588" s="21" t="s">
        <v>48</v>
      </c>
      <c r="K588" s="21" t="s">
        <v>26</v>
      </c>
      <c r="L588" s="21" t="s">
        <v>49</v>
      </c>
      <c r="M588" s="21" t="s">
        <v>55</v>
      </c>
      <c r="N588" s="29">
        <v>10</v>
      </c>
      <c r="R588" s="21" t="s">
        <v>227</v>
      </c>
    </row>
    <row r="589" spans="1:18" ht="14.4" hidden="1">
      <c r="A589" s="33">
        <f>IF(C589="","",MAX($A$1:A588)+1)</f>
        <v>563</v>
      </c>
      <c r="B589" s="25" t="s">
        <v>19</v>
      </c>
      <c r="C589" s="23">
        <v>46086</v>
      </c>
      <c r="D589" s="28" t="str">
        <f>_xlfn.XLOOKUP(Table134526_79101120212223242526[[#This Row],[Name Surname]],Manpower!$C$4:$C$1048576,Manpower!$B$4:$B$1048576,"")</f>
        <v>Encogroup</v>
      </c>
      <c r="E589" s="21" t="s">
        <v>70</v>
      </c>
      <c r="F589" s="12">
        <f>_xlfn.XLOOKUP(Table134526_79101120212223242526[[#This Row],[Name Surname]],Manpower!C:C,Manpower!D:D,)</f>
        <v>141365126</v>
      </c>
      <c r="G589" s="28" t="str">
        <f>_xlfn.XLOOKUP(Table134526_79101120212223242526[[#This Row],[Name Surname]],Manpower!$C$4:$C$1048576,Manpower!$F$4:$F$1048576,"")</f>
        <v>Helper</v>
      </c>
      <c r="H589" s="28" t="str">
        <f>_xlfn.XLOOKUP(Table134526_79101120212223242526[[#This Row],[Name Surname]],Manpower!$C$4:$C$1048576,Manpower!$H$4:$H$1048576,"")</f>
        <v>Manpower</v>
      </c>
      <c r="I589" s="24" t="str">
        <f>_xlfn.XLOOKUP(Table134526_79101120212223242526[[#This Row],[Name Surname]],Manpower!$C$4:$C$1048576,Manpower!$H$4:$H$1048576,"")</f>
        <v>Manpower</v>
      </c>
      <c r="J589" s="21" t="s">
        <v>48</v>
      </c>
      <c r="K589" s="21" t="s">
        <v>26</v>
      </c>
      <c r="L589" s="21" t="s">
        <v>49</v>
      </c>
      <c r="M589" s="21" t="s">
        <v>55</v>
      </c>
      <c r="N589" s="29">
        <v>10</v>
      </c>
      <c r="R589" s="21" t="s">
        <v>227</v>
      </c>
    </row>
    <row r="590" spans="1:18" ht="14.4" hidden="1">
      <c r="A590" s="33">
        <f>IF(C590="","",MAX($A$1:A589)+1)</f>
        <v>564</v>
      </c>
      <c r="B590" s="25" t="s">
        <v>19</v>
      </c>
      <c r="C590" s="23">
        <v>46086</v>
      </c>
      <c r="D590" s="28" t="str">
        <f>_xlfn.XLOOKUP(Table134526_79101120212223242526[[#This Row],[Name Surname]],Manpower!$C$4:$C$1048576,Manpower!$B$4:$B$1048576,"")</f>
        <v>Bright Light</v>
      </c>
      <c r="E590" s="21" t="s">
        <v>71</v>
      </c>
      <c r="F590" s="12">
        <f>_xlfn.XLOOKUP(Table134526_79101120212223242526[[#This Row],[Name Surname]],Manpower!C:C,Manpower!D:D,)</f>
        <v>81379273</v>
      </c>
      <c r="G590" s="28" t="str">
        <f>_xlfn.XLOOKUP(Table134526_79101120212223242526[[#This Row],[Name Surname]],Manpower!$C$4:$C$1048576,Manpower!$F$4:$F$1048576,"")</f>
        <v>Crane Operator-100T Sany Telescopic</v>
      </c>
      <c r="H590" s="28" t="s">
        <v>39</v>
      </c>
      <c r="I590" s="24" t="s">
        <v>39</v>
      </c>
      <c r="J590" s="21" t="s">
        <v>48</v>
      </c>
      <c r="K590" s="21" t="s">
        <v>26</v>
      </c>
      <c r="L590" s="21" t="s">
        <v>49</v>
      </c>
      <c r="M590" s="21" t="s">
        <v>55</v>
      </c>
      <c r="N590" s="29">
        <v>10</v>
      </c>
      <c r="R590" s="21" t="s">
        <v>227</v>
      </c>
    </row>
    <row r="591" spans="1:18" ht="14.4" hidden="1">
      <c r="A591" s="33">
        <f>IF(C591="","",MAX($A$1:A590)+1)</f>
        <v>565</v>
      </c>
      <c r="B591" s="25" t="s">
        <v>19</v>
      </c>
      <c r="C591" s="23">
        <v>46086</v>
      </c>
      <c r="D591" s="28" t="str">
        <f>_xlfn.XLOOKUP(Table134526_79101120212223242526[[#This Row],[Name Surname]],Manpower!$C$4:$C$1048576,Manpower!$B$4:$B$1048576,"")</f>
        <v>Encogroup</v>
      </c>
      <c r="E591" s="21" t="s">
        <v>72</v>
      </c>
      <c r="F591" s="12">
        <f>_xlfn.XLOOKUP(Table134526_79101120212223242526[[#This Row],[Name Surname]],Manpower!C:C,Manpower!D:D,)</f>
        <v>140764706</v>
      </c>
      <c r="G591" s="28" t="str">
        <f>_xlfn.XLOOKUP(Table134526_79101120212223242526[[#This Row],[Name Surname]],Manpower!$C$4:$C$1048576,Manpower!$F$4:$F$1048576,"")</f>
        <v>Rigger</v>
      </c>
      <c r="H591" s="28" t="str">
        <f>_xlfn.XLOOKUP(Table134526_79101120212223242526[[#This Row],[Name Surname]],Manpower!$C$4:$C$1048576,Manpower!$H$4:$H$1048576,"")</f>
        <v>Manpower</v>
      </c>
      <c r="I591" s="24" t="str">
        <f>_xlfn.XLOOKUP(Table134526_79101120212223242526[[#This Row],[Name Surname]],Manpower!$C$4:$C$1048576,Manpower!$H$4:$H$1048576,"")</f>
        <v>Manpower</v>
      </c>
      <c r="J591" s="21" t="s">
        <v>48</v>
      </c>
      <c r="K591" s="21" t="s">
        <v>26</v>
      </c>
      <c r="L591" s="21" t="s">
        <v>49</v>
      </c>
      <c r="M591" s="21" t="s">
        <v>55</v>
      </c>
      <c r="N591" s="29">
        <v>10</v>
      </c>
      <c r="R591" s="21" t="s">
        <v>227</v>
      </c>
    </row>
    <row r="592" spans="1:18" ht="14.4" hidden="1">
      <c r="A592" s="33">
        <f>IF(C592="","",MAX($A$1:A591)+1)</f>
        <v>566</v>
      </c>
      <c r="B592" s="25" t="s">
        <v>19</v>
      </c>
      <c r="C592" s="23">
        <v>46086</v>
      </c>
      <c r="D592" s="28" t="str">
        <f>_xlfn.XLOOKUP(Table134526_79101120212223242526[[#This Row],[Name Surname]],Manpower!$C$4:$C$1048576,Manpower!$B$4:$B$1048576,"")</f>
        <v>Encogroup</v>
      </c>
      <c r="E592" s="21" t="s">
        <v>73</v>
      </c>
      <c r="F592" s="12">
        <f>_xlfn.XLOOKUP(Table134526_79101120212223242526[[#This Row],[Name Surname]],Manpower!C:C,Manpower!D:D,)</f>
        <v>135325259</v>
      </c>
      <c r="G592" s="28" t="str">
        <f>_xlfn.XLOOKUP(Table134526_79101120212223242526[[#This Row],[Name Surname]],Manpower!$C$4:$C$1048576,Manpower!$F$4:$F$1048576,"")</f>
        <v>Permit Receiver</v>
      </c>
      <c r="H592" s="28" t="str">
        <f>_xlfn.XLOOKUP(Table134526_79101120212223242526[[#This Row],[Name Surname]],Manpower!$C$4:$C$1048576,Manpower!$H$4:$H$1048576,"")</f>
        <v>Manpower</v>
      </c>
      <c r="I592" s="24" t="str">
        <f>_xlfn.XLOOKUP(Table134526_79101120212223242526[[#This Row],[Name Surname]],Manpower!$C$4:$C$1048576,Manpower!$H$4:$H$1048576,"")</f>
        <v>Manpower</v>
      </c>
      <c r="J592" s="21" t="s">
        <v>48</v>
      </c>
      <c r="K592" s="21" t="s">
        <v>26</v>
      </c>
      <c r="L592" s="21" t="s">
        <v>49</v>
      </c>
      <c r="M592" s="21" t="s">
        <v>55</v>
      </c>
      <c r="N592" s="29">
        <v>10</v>
      </c>
      <c r="R592" s="21" t="s">
        <v>227</v>
      </c>
    </row>
    <row r="593" spans="1:18" ht="14.4" hidden="1">
      <c r="A593" s="33">
        <f>IF(C593="","",MAX($A$1:A592)+1)</f>
        <v>567</v>
      </c>
      <c r="B593" s="25" t="s">
        <v>19</v>
      </c>
      <c r="C593" s="23">
        <v>46086</v>
      </c>
      <c r="D593" s="28" t="str">
        <f>_xlfn.XLOOKUP(Table134526_79101120212223242526[[#This Row],[Name Surname]],Manpower!$C$4:$C$1048576,Manpower!$B$4:$B$1048576,"")</f>
        <v>Encogroup</v>
      </c>
      <c r="E593" s="21" t="s">
        <v>74</v>
      </c>
      <c r="F593" s="12">
        <f>_xlfn.XLOOKUP(Table134526_79101120212223242526[[#This Row],[Name Surname]],Manpower!C:C,Manpower!D:D,)</f>
        <v>141365089</v>
      </c>
      <c r="G593" s="28" t="str">
        <f>_xlfn.XLOOKUP(Table134526_79101120212223242526[[#This Row],[Name Surname]],Manpower!$C$4:$C$1048576,Manpower!$F$4:$F$1048576,"")</f>
        <v>Fitter</v>
      </c>
      <c r="H593" s="28" t="str">
        <f>_xlfn.XLOOKUP(Table134526_79101120212223242526[[#This Row],[Name Surname]],Manpower!$C$4:$C$1048576,Manpower!$H$4:$H$1048576,"")</f>
        <v>Manpower</v>
      </c>
      <c r="I593" s="24" t="str">
        <f>_xlfn.XLOOKUP(Table134526_79101120212223242526[[#This Row],[Name Surname]],Manpower!$C$4:$C$1048576,Manpower!$H$4:$H$1048576,"")</f>
        <v>Manpower</v>
      </c>
      <c r="J593" s="21" t="s">
        <v>48</v>
      </c>
      <c r="K593" s="21" t="s">
        <v>26</v>
      </c>
      <c r="L593" s="21" t="s">
        <v>49</v>
      </c>
      <c r="M593" s="21" t="s">
        <v>55</v>
      </c>
      <c r="N593" s="29">
        <v>10</v>
      </c>
      <c r="R593" s="21" t="s">
        <v>227</v>
      </c>
    </row>
    <row r="594" spans="1:18" ht="14.4" hidden="1">
      <c r="A594" s="33">
        <f>IF(C594="","",MAX($A$1:A593)+1)</f>
        <v>568</v>
      </c>
      <c r="B594" s="25" t="s">
        <v>19</v>
      </c>
      <c r="C594" s="23">
        <v>46086</v>
      </c>
      <c r="D594" s="28" t="str">
        <f>_xlfn.XLOOKUP(Table134526_79101120212223242526[[#This Row],[Name Surname]],Manpower!$C$4:$C$1048576,Manpower!$B$4:$B$1048576,"")</f>
        <v>Encogroup</v>
      </c>
      <c r="E594" s="21" t="s">
        <v>75</v>
      </c>
      <c r="F594" s="12">
        <f>_xlfn.XLOOKUP(Table134526_79101120212223242526[[#This Row],[Name Surname]],Manpower!C:C,Manpower!D:D,)</f>
        <v>122179604</v>
      </c>
      <c r="G594" s="28" t="str">
        <f>_xlfn.XLOOKUP(Table134526_79101120212223242526[[#This Row],[Name Surname]],Manpower!$C$4:$C$1048576,Manpower!$F$4:$F$1048576,"")</f>
        <v>Fitter/Erector</v>
      </c>
      <c r="H594" s="28" t="str">
        <f>_xlfn.XLOOKUP(Table134526_79101120212223242526[[#This Row],[Name Surname]],Manpower!$C$4:$C$1048576,Manpower!$H$4:$H$1048576,"")</f>
        <v>Manpower</v>
      </c>
      <c r="I594" s="24" t="str">
        <f>_xlfn.XLOOKUP(Table134526_79101120212223242526[[#This Row],[Name Surname]],Manpower!$C$4:$C$1048576,Manpower!$H$4:$H$1048576,"")</f>
        <v>Manpower</v>
      </c>
      <c r="J594" s="21" t="s">
        <v>48</v>
      </c>
      <c r="K594" s="21" t="s">
        <v>26</v>
      </c>
      <c r="L594" s="21" t="s">
        <v>49</v>
      </c>
      <c r="M594" s="21" t="s">
        <v>55</v>
      </c>
      <c r="N594" s="29">
        <v>10</v>
      </c>
      <c r="R594" s="21" t="s">
        <v>227</v>
      </c>
    </row>
    <row r="595" spans="1:18" ht="14.4" hidden="1">
      <c r="A595" s="33">
        <f>IF(C595="","",MAX($A$1:A594)+1)</f>
        <v>569</v>
      </c>
      <c r="B595" s="25" t="s">
        <v>19</v>
      </c>
      <c r="C595" s="23">
        <v>46086</v>
      </c>
      <c r="D595" s="28" t="str">
        <f>_xlfn.XLOOKUP(Table134526_79101120212223242526[[#This Row],[Name Surname]],Manpower!$C$4:$C$1048576,Manpower!$B$4:$B$1048576,"")</f>
        <v>Encogroup</v>
      </c>
      <c r="E595" s="21" t="s">
        <v>78</v>
      </c>
      <c r="F595" s="12">
        <f>_xlfn.XLOOKUP(Table134526_79101120212223242526[[#This Row],[Name Surname]],Manpower!C:C,Manpower!D:D,)</f>
        <v>117255966</v>
      </c>
      <c r="G595" s="28" t="str">
        <f>_xlfn.XLOOKUP(Table134526_79101120212223242526[[#This Row],[Name Surname]],Manpower!$C$4:$C$1048576,Manpower!$F$4:$F$1048576,"")</f>
        <v>Mechanical Supervisor</v>
      </c>
      <c r="H595" s="28" t="str">
        <f>_xlfn.XLOOKUP(Table134526_79101120212223242526[[#This Row],[Name Surname]],Manpower!$C$4:$C$1048576,Manpower!$H$4:$H$1048576,"")</f>
        <v>Manpower</v>
      </c>
      <c r="I595" s="24" t="str">
        <f>_xlfn.XLOOKUP(Table134526_79101120212223242526[[#This Row],[Name Surname]],Manpower!$C$4:$C$1048576,Manpower!$H$4:$H$1048576,"")</f>
        <v>Manpower</v>
      </c>
      <c r="J595" s="21" t="s">
        <v>48</v>
      </c>
      <c r="K595" s="21" t="s">
        <v>26</v>
      </c>
      <c r="L595" s="21" t="s">
        <v>49</v>
      </c>
      <c r="M595" s="21" t="s">
        <v>55</v>
      </c>
      <c r="N595" s="29">
        <v>10</v>
      </c>
      <c r="R595" s="21" t="s">
        <v>227</v>
      </c>
    </row>
    <row r="596" spans="1:18" ht="14.4">
      <c r="A596" s="33">
        <f>IF(C596="","",MAX($A$1:A595)+1)</f>
        <v>570</v>
      </c>
      <c r="B596" s="26" t="s">
        <v>79</v>
      </c>
      <c r="C596" s="23">
        <v>46086</v>
      </c>
      <c r="D596" s="28" t="str">
        <f>_xlfn.XLOOKUP(Table134526_79101120212223242526[[#This Row],[Name Surname]],Manpower!$C$4:$C$1048576,Manpower!$B$4:$B$1048576,"")</f>
        <v>Encogroup</v>
      </c>
      <c r="E596" s="21" t="s">
        <v>80</v>
      </c>
      <c r="F596" s="12" t="e">
        <f>_xlfn.XLOOKUP(Table134526_79101120212223242526[[#This Row],[Name Surname]],Manpower!C:C,Manpower!D:D,)</f>
        <v>#N/A</v>
      </c>
      <c r="G596" s="28" t="str">
        <f>_xlfn.XLOOKUP(Table134526_79101120212223242526[[#This Row],[Name Surname]],Manpower!$C$4:$C$1048576,Manpower!$F$4:$F$1048576,"")</f>
        <v>22M-Manlift</v>
      </c>
      <c r="H596" s="28" t="str">
        <f>_xlfn.XLOOKUP(Table134526_79101120212223242526[[#This Row],[Name Surname]],Manpower!$C$4:$C$1048576,Manpower!$H$4:$H$1048576,"")</f>
        <v>Equipment</v>
      </c>
      <c r="I596" s="24" t="str">
        <f>_xlfn.XLOOKUP(Table134526_79101120212223242526[[#This Row],[Name Surname]],Manpower!$C$4:$C$1048576,Manpower!$H$4:$H$1048576,"")</f>
        <v>Equipment</v>
      </c>
      <c r="J596" s="21" t="s">
        <v>35</v>
      </c>
      <c r="K596" s="21" t="s">
        <v>81</v>
      </c>
      <c r="L596" s="21" t="s">
        <v>82</v>
      </c>
      <c r="M596" s="21" t="s">
        <v>55</v>
      </c>
      <c r="N596" s="29">
        <v>10</v>
      </c>
      <c r="R596" s="21" t="s">
        <v>227</v>
      </c>
    </row>
    <row r="597" spans="1:18" ht="14.4">
      <c r="A597" s="33">
        <f>IF(C597="","",MAX($A$1:A596)+1)</f>
        <v>571</v>
      </c>
      <c r="B597" s="26" t="s">
        <v>79</v>
      </c>
      <c r="C597" s="23">
        <v>46086</v>
      </c>
      <c r="D597" s="28" t="str">
        <f>_xlfn.XLOOKUP(Table134526_79101120212223242526[[#This Row],[Name Surname]],Manpower!$C$4:$C$1048576,Manpower!$B$4:$B$1048576,"")</f>
        <v>Encogroup</v>
      </c>
      <c r="E597" s="21" t="s">
        <v>84</v>
      </c>
      <c r="F597" s="12" t="e">
        <f>_xlfn.XLOOKUP(Table134526_79101120212223242526[[#This Row],[Name Surname]],Manpower!C:C,Manpower!D:D,)</f>
        <v>#N/A</v>
      </c>
      <c r="G597" s="28" t="str">
        <f>_xlfn.XLOOKUP(Table134526_79101120212223242526[[#This Row],[Name Surname]],Manpower!$C$4:$C$1048576,Manpower!$F$4:$F$1048576,"")</f>
        <v>22M-Manlift</v>
      </c>
      <c r="H597" s="28" t="str">
        <f>_xlfn.XLOOKUP(Table134526_79101120212223242526[[#This Row],[Name Surname]],Manpower!$C$4:$C$1048576,Manpower!$H$4:$H$1048576,"")</f>
        <v>Equipment</v>
      </c>
      <c r="I597" s="24" t="str">
        <f>_xlfn.XLOOKUP(Table134526_79101120212223242526[[#This Row],[Name Surname]],Manpower!$C$4:$C$1048576,Manpower!$H$4:$H$1048576,"")</f>
        <v>Equipment</v>
      </c>
      <c r="J597" s="21" t="s">
        <v>35</v>
      </c>
      <c r="K597" s="21" t="s">
        <v>81</v>
      </c>
      <c r="L597" s="21" t="s">
        <v>82</v>
      </c>
      <c r="M597" s="21" t="s">
        <v>55</v>
      </c>
      <c r="N597" s="29">
        <v>10</v>
      </c>
      <c r="R597" s="21" t="s">
        <v>227</v>
      </c>
    </row>
    <row r="598" spans="1:18" ht="14.4">
      <c r="A598" s="33">
        <f>IF(C598="","",MAX($A$1:A597)+1)</f>
        <v>572</v>
      </c>
      <c r="B598" s="26" t="s">
        <v>79</v>
      </c>
      <c r="C598" s="23">
        <v>46086</v>
      </c>
      <c r="D598" s="28" t="str">
        <f>_xlfn.XLOOKUP(Table134526_79101120212223242526[[#This Row],[Name Surname]],Manpower!$C$4:$C$1048576,Manpower!$B$4:$B$1048576,"")</f>
        <v>Nass Group</v>
      </c>
      <c r="E598" s="21" t="s">
        <v>86</v>
      </c>
      <c r="F598" s="12" t="e">
        <f>_xlfn.XLOOKUP(Table134526_79101120212223242526[[#This Row],[Name Surname]],Manpower!C:C,Manpower!D:D,)</f>
        <v>#N/A</v>
      </c>
      <c r="G598" s="28" t="str">
        <f>_xlfn.XLOOKUP(Table134526_79101120212223242526[[#This Row],[Name Surname]],Manpower!$C$4:$C$1048576,Manpower!$F$4:$F$1048576,"")</f>
        <v>70T-Telescopic crane</v>
      </c>
      <c r="H598" s="28" t="str">
        <f>_xlfn.XLOOKUP(Table134526_79101120212223242526[[#This Row],[Name Surname]],Manpower!$C$4:$C$1048576,Manpower!$H$4:$H$1048576,"")</f>
        <v>Equipment</v>
      </c>
      <c r="I598" s="24" t="str">
        <f>_xlfn.XLOOKUP(Table134526_79101120212223242526[[#This Row],[Name Surname]],Manpower!$C$4:$C$1048576,Manpower!$H$4:$H$1048576,"")</f>
        <v>Equipment</v>
      </c>
      <c r="J598" s="21" t="s">
        <v>35</v>
      </c>
      <c r="K598" s="21" t="s">
        <v>81</v>
      </c>
      <c r="L598" s="21" t="s">
        <v>82</v>
      </c>
      <c r="M598" s="21" t="s">
        <v>55</v>
      </c>
      <c r="N598" s="29">
        <v>10</v>
      </c>
      <c r="R598" s="21" t="s">
        <v>227</v>
      </c>
    </row>
    <row r="599" spans="1:18" ht="14.4" hidden="1">
      <c r="A599" s="33">
        <f>IF(C599="","",MAX($A$1:A598)+1)</f>
        <v>573</v>
      </c>
      <c r="B599" s="26" t="s">
        <v>79</v>
      </c>
      <c r="C599" s="23">
        <v>46086</v>
      </c>
      <c r="D599" s="28" t="str">
        <f>_xlfn.XLOOKUP(Table134526_79101120212223242526[[#This Row],[Name Surname]],Manpower!$C$4:$C$1048576,Manpower!$B$4:$B$1048576,"")</f>
        <v>Encogroup</v>
      </c>
      <c r="E599" s="21" t="s">
        <v>87</v>
      </c>
      <c r="F599" s="12">
        <f>_xlfn.XLOOKUP(Table134526_79101120212223242526[[#This Row],[Name Surname]],Manpower!C:C,Manpower!D:D,)</f>
        <v>126724428</v>
      </c>
      <c r="G599" s="28" t="str">
        <f>_xlfn.XLOOKUP(Table134526_79101120212223242526[[#This Row],[Name Surname]],Manpower!$C$4:$C$1048576,Manpower!$F$4:$F$1048576,"")</f>
        <v>Surveyor</v>
      </c>
      <c r="H599" s="28" t="str">
        <f>_xlfn.XLOOKUP(Table134526_79101120212223242526[[#This Row],[Name Surname]],Manpower!$C$4:$C$1048576,Manpower!$H$4:$H$1048576,"")</f>
        <v>Manpower</v>
      </c>
      <c r="I599" s="24" t="str">
        <f>_xlfn.XLOOKUP(Table134526_79101120212223242526[[#This Row],[Name Surname]],Manpower!$C$4:$C$1048576,Manpower!$H$4:$H$1048576,"")</f>
        <v>Manpower</v>
      </c>
      <c r="J599" s="21" t="s">
        <v>35</v>
      </c>
      <c r="K599" s="21" t="s">
        <v>88</v>
      </c>
      <c r="L599" s="21" t="s">
        <v>82</v>
      </c>
      <c r="M599" s="21" t="s">
        <v>55</v>
      </c>
      <c r="N599" s="29">
        <v>10</v>
      </c>
      <c r="R599" s="21" t="s">
        <v>227</v>
      </c>
    </row>
    <row r="600" spans="1:18" ht="14.4" hidden="1">
      <c r="A600" s="33">
        <f>IF(C600="","",MAX($A$1:A599)+1)</f>
        <v>574</v>
      </c>
      <c r="B600" s="26" t="s">
        <v>79</v>
      </c>
      <c r="C600" s="23">
        <v>46086</v>
      </c>
      <c r="D600" s="28" t="str">
        <f>_xlfn.XLOOKUP(Table134526_79101120212223242526[[#This Row],[Name Surname]],Manpower!$C$4:$C$1048576,Manpower!$B$4:$B$1048576,"")</f>
        <v>Encogroup</v>
      </c>
      <c r="E600" s="21" t="s">
        <v>91</v>
      </c>
      <c r="F600" s="12">
        <f>_xlfn.XLOOKUP(Table134526_79101120212223242526[[#This Row],[Name Surname]],Manpower!C:C,Manpower!D:D,)</f>
        <v>132915855</v>
      </c>
      <c r="G600" s="28" t="str">
        <f>_xlfn.XLOOKUP(Table134526_79101120212223242526[[#This Row],[Name Surname]],Manpower!$C$4:$C$1048576,Manpower!$F$4:$F$1048576,"")</f>
        <v>Mechanical Supervisor</v>
      </c>
      <c r="H600" s="28" t="str">
        <f>_xlfn.XLOOKUP(Table134526_79101120212223242526[[#This Row],[Name Surname]],Manpower!$C$4:$C$1048576,Manpower!$H$4:$H$1048576,"")</f>
        <v>Manpower</v>
      </c>
      <c r="I600" s="24" t="str">
        <f>_xlfn.XLOOKUP(Table134526_79101120212223242526[[#This Row],[Name Surname]],Manpower!$C$4:$C$1048576,Manpower!$H$4:$H$1048576,"")</f>
        <v>Manpower</v>
      </c>
      <c r="J600" s="21" t="s">
        <v>35</v>
      </c>
      <c r="K600" s="21" t="s">
        <v>81</v>
      </c>
      <c r="L600" s="21" t="s">
        <v>82</v>
      </c>
      <c r="M600" s="21" t="s">
        <v>55</v>
      </c>
      <c r="N600" s="29">
        <v>6</v>
      </c>
      <c r="R600" s="21" t="s">
        <v>227</v>
      </c>
    </row>
    <row r="601" spans="1:18" ht="14.4" hidden="1">
      <c r="A601" s="33">
        <f>IF(C601="","",MAX($A$1:A600)+1)</f>
        <v>575</v>
      </c>
      <c r="B601" s="26" t="s">
        <v>79</v>
      </c>
      <c r="C601" s="23">
        <v>46086</v>
      </c>
      <c r="D601" s="28" t="str">
        <f>_xlfn.XLOOKUP(Table134526_79101120212223242526[[#This Row],[Name Surname]],Manpower!$C$4:$C$1048576,Manpower!$B$4:$B$1048576,"")</f>
        <v>Encogroup</v>
      </c>
      <c r="E601" s="21" t="s">
        <v>92</v>
      </c>
      <c r="F601" s="12">
        <f>_xlfn.XLOOKUP(Table134526_79101120212223242526[[#This Row],[Name Surname]],Manpower!C:C,Manpower!D:D,)</f>
        <v>141377747</v>
      </c>
      <c r="G601" s="28" t="str">
        <f>_xlfn.XLOOKUP(Table134526_79101120212223242526[[#This Row],[Name Surname]],Manpower!$C$4:$C$1048576,Manpower!$F$4:$F$1048576,"")</f>
        <v>Painter</v>
      </c>
      <c r="H601" s="28" t="str">
        <f>_xlfn.XLOOKUP(Table134526_79101120212223242526[[#This Row],[Name Surname]],Manpower!$C$4:$C$1048576,Manpower!$H$4:$H$1048576,"")</f>
        <v>Manpower</v>
      </c>
      <c r="I601" s="24" t="str">
        <f>_xlfn.XLOOKUP(Table134526_79101120212223242526[[#This Row],[Name Surname]],Manpower!$C$4:$C$1048576,Manpower!$H$4:$H$1048576,"")</f>
        <v>Manpower</v>
      </c>
      <c r="J601" s="21" t="s">
        <v>35</v>
      </c>
      <c r="K601" s="21" t="s">
        <v>93</v>
      </c>
      <c r="L601" s="21" t="s">
        <v>82</v>
      </c>
      <c r="M601" s="21" t="s">
        <v>55</v>
      </c>
      <c r="N601" s="29">
        <v>10</v>
      </c>
      <c r="R601" s="21" t="s">
        <v>227</v>
      </c>
    </row>
    <row r="602" spans="1:18" ht="14.4" hidden="1">
      <c r="A602" s="33">
        <f>IF(C602="","",MAX($A$1:A601)+1)</f>
        <v>576</v>
      </c>
      <c r="B602" s="26" t="s">
        <v>79</v>
      </c>
      <c r="C602" s="23">
        <v>46086</v>
      </c>
      <c r="D602" s="28" t="str">
        <f>_xlfn.XLOOKUP(Table134526_79101120212223242526[[#This Row],[Name Surname]],Manpower!$C$4:$C$1048576,Manpower!$B$4:$B$1048576,"")</f>
        <v>Encogroup</v>
      </c>
      <c r="E602" s="21" t="s">
        <v>97</v>
      </c>
      <c r="F602" s="12">
        <f>_xlfn.XLOOKUP(Table134526_79101120212223242526[[#This Row],[Name Surname]],Manpower!C:C,Manpower!D:D,)</f>
        <v>141359235</v>
      </c>
      <c r="G602" s="28" t="str">
        <f>_xlfn.XLOOKUP(Table134526_79101120212223242526[[#This Row],[Name Surname]],Manpower!$C$4:$C$1048576,Manpower!$F$4:$F$1048576,"")</f>
        <v>Fitter</v>
      </c>
      <c r="H602" s="28" t="str">
        <f>_xlfn.XLOOKUP(Table134526_79101120212223242526[[#This Row],[Name Surname]],Manpower!$C$4:$C$1048576,Manpower!$H$4:$H$1048576,"")</f>
        <v>Manpower</v>
      </c>
      <c r="I602" s="24" t="str">
        <f>_xlfn.XLOOKUP(Table134526_79101120212223242526[[#This Row],[Name Surname]],Manpower!$C$4:$C$1048576,Manpower!$H$4:$H$1048576,"")</f>
        <v>Manpower</v>
      </c>
      <c r="J602" s="21" t="s">
        <v>35</v>
      </c>
      <c r="K602" s="21" t="s">
        <v>98</v>
      </c>
      <c r="L602" s="21" t="s">
        <v>82</v>
      </c>
      <c r="M602" s="21" t="s">
        <v>55</v>
      </c>
      <c r="N602" s="29">
        <v>10</v>
      </c>
      <c r="R602" s="21" t="s">
        <v>227</v>
      </c>
    </row>
    <row r="603" spans="1:18" ht="14.4" hidden="1">
      <c r="A603" s="33">
        <f>IF(C603="","",MAX($A$1:A602)+1)</f>
        <v>577</v>
      </c>
      <c r="B603" s="26" t="s">
        <v>79</v>
      </c>
      <c r="C603" s="23">
        <v>46086</v>
      </c>
      <c r="D603" s="28" t="str">
        <f>_xlfn.XLOOKUP(Table134526_79101120212223242526[[#This Row],[Name Surname]],Manpower!$C$4:$C$1048576,Manpower!$B$4:$B$1048576,"")</f>
        <v>Encogroup</v>
      </c>
      <c r="E603" s="21" t="s">
        <v>99</v>
      </c>
      <c r="F603" s="12">
        <f>_xlfn.XLOOKUP(Table134526_79101120212223242526[[#This Row],[Name Surname]],Manpower!C:C,Manpower!D:D,)</f>
        <v>140697025</v>
      </c>
      <c r="G603" s="28" t="str">
        <f>_xlfn.XLOOKUP(Table134526_79101120212223242526[[#This Row],[Name Surname]],Manpower!$C$4:$C$1048576,Manpower!$F$4:$F$1048576,"")</f>
        <v>Assistant/Helper</v>
      </c>
      <c r="H603" s="28" t="str">
        <f>_xlfn.XLOOKUP(Table134526_79101120212223242526[[#This Row],[Name Surname]],Manpower!$C$4:$C$1048576,Manpower!$H$4:$H$1048576,"")</f>
        <v>Manpower</v>
      </c>
      <c r="I603" s="24" t="str">
        <f>_xlfn.XLOOKUP(Table134526_79101120212223242526[[#This Row],[Name Surname]],Manpower!$C$4:$C$1048576,Manpower!$H$4:$H$1048576,"")</f>
        <v>Manpower</v>
      </c>
      <c r="J603" s="21" t="s">
        <v>35</v>
      </c>
      <c r="K603" s="21" t="s">
        <v>81</v>
      </c>
      <c r="L603" s="21" t="s">
        <v>82</v>
      </c>
      <c r="M603" s="21" t="s">
        <v>55</v>
      </c>
      <c r="N603" s="29">
        <v>10</v>
      </c>
      <c r="R603" s="21" t="s">
        <v>227</v>
      </c>
    </row>
    <row r="604" spans="1:18" ht="14.4" hidden="1">
      <c r="A604" s="33">
        <f>IF(C604="","",MAX($A$1:A603)+1)</f>
        <v>578</v>
      </c>
      <c r="B604" s="26" t="s">
        <v>79</v>
      </c>
      <c r="C604" s="23">
        <v>46086</v>
      </c>
      <c r="D604" s="28" t="str">
        <f>_xlfn.XLOOKUP(Table134526_79101120212223242526[[#This Row],[Name Surname]],Manpower!$C$4:$C$1048576,Manpower!$B$4:$B$1048576,"")</f>
        <v>Encogroup</v>
      </c>
      <c r="E604" s="21" t="s">
        <v>101</v>
      </c>
      <c r="F604" s="12">
        <f>_xlfn.XLOOKUP(Table134526_79101120212223242526[[#This Row],[Name Surname]],Manpower!C:C,Manpower!D:D,)</f>
        <v>141169052</v>
      </c>
      <c r="G604" s="28" t="str">
        <f>_xlfn.XLOOKUP(Table134526_79101120212223242526[[#This Row],[Name Surname]],Manpower!$C$4:$C$1048576,Manpower!$F$4:$F$1048576,"")</f>
        <v>Welder</v>
      </c>
      <c r="H604" s="28" t="str">
        <f>_xlfn.XLOOKUP(Table134526_79101120212223242526[[#This Row],[Name Surname]],Manpower!$C$4:$C$1048576,Manpower!$H$4:$H$1048576,"")</f>
        <v>Manpower</v>
      </c>
      <c r="I604" s="24" t="str">
        <f>_xlfn.XLOOKUP(Table134526_79101120212223242526[[#This Row],[Name Surname]],Manpower!$C$4:$C$1048576,Manpower!$H$4:$H$1048576,"")</f>
        <v>Manpower</v>
      </c>
      <c r="J604" s="21" t="s">
        <v>35</v>
      </c>
      <c r="K604" s="21" t="s">
        <v>98</v>
      </c>
      <c r="L604" s="21" t="s">
        <v>82</v>
      </c>
      <c r="M604" s="21" t="s">
        <v>55</v>
      </c>
      <c r="N604" s="29">
        <v>10</v>
      </c>
      <c r="R604" s="21" t="s">
        <v>227</v>
      </c>
    </row>
    <row r="605" spans="1:18" ht="14.4" hidden="1">
      <c r="A605" s="33">
        <f>IF(C605="","",MAX($A$1:A604)+1)</f>
        <v>579</v>
      </c>
      <c r="B605" s="26" t="s">
        <v>79</v>
      </c>
      <c r="C605" s="23">
        <v>46086</v>
      </c>
      <c r="D605" s="28" t="str">
        <f>_xlfn.XLOOKUP(Table134526_79101120212223242526[[#This Row],[Name Surname]],Manpower!$C$4:$C$1048576,Manpower!$B$4:$B$1048576,"")</f>
        <v>Encogroup</v>
      </c>
      <c r="E605" s="21" t="s">
        <v>102</v>
      </c>
      <c r="F605" s="12">
        <f>_xlfn.XLOOKUP(Table134526_79101120212223242526[[#This Row],[Name Surname]],Manpower!C:C,Manpower!D:D,)</f>
        <v>141365075</v>
      </c>
      <c r="G605" s="28" t="str">
        <f>_xlfn.XLOOKUP(Table134526_79101120212223242526[[#This Row],[Name Surname]],Manpower!$C$4:$C$1048576,Manpower!$F$4:$F$1048576,"")</f>
        <v>Helper</v>
      </c>
      <c r="H605" s="28" t="str">
        <f>_xlfn.XLOOKUP(Table134526_79101120212223242526[[#This Row],[Name Surname]],Manpower!$C$4:$C$1048576,Manpower!$H$4:$H$1048576,"")</f>
        <v>Manpower</v>
      </c>
      <c r="I605" s="24" t="str">
        <f>_xlfn.XLOOKUP(Table134526_79101120212223242526[[#This Row],[Name Surname]],Manpower!$C$4:$C$1048576,Manpower!$H$4:$H$1048576,"")</f>
        <v>Manpower</v>
      </c>
      <c r="J605" s="21" t="s">
        <v>35</v>
      </c>
      <c r="K605" s="21" t="s">
        <v>88</v>
      </c>
      <c r="L605" s="21" t="s">
        <v>82</v>
      </c>
      <c r="M605" s="21" t="s">
        <v>55</v>
      </c>
      <c r="N605" s="29">
        <v>10</v>
      </c>
      <c r="R605" s="21" t="s">
        <v>227</v>
      </c>
    </row>
    <row r="606" spans="1:18" ht="14.4" hidden="1">
      <c r="A606" s="33">
        <f>IF(C606="","",MAX($A$1:A605)+1)</f>
        <v>580</v>
      </c>
      <c r="B606" s="26" t="s">
        <v>79</v>
      </c>
      <c r="C606" s="23">
        <v>46086</v>
      </c>
      <c r="D606" s="28" t="str">
        <f>_xlfn.XLOOKUP(Table134526_79101120212223242526[[#This Row],[Name Surname]],Manpower!$C$4:$C$1048576,Manpower!$B$4:$B$1048576,"")</f>
        <v>SARENS NASS</v>
      </c>
      <c r="E606" s="21" t="s">
        <v>103</v>
      </c>
      <c r="F606" s="12">
        <f>_xlfn.XLOOKUP(Table134526_79101120212223242526[[#This Row],[Name Surname]],Manpower!C:C,Manpower!D:D,)</f>
        <v>79502392</v>
      </c>
      <c r="G606" s="28" t="str">
        <f>_xlfn.XLOOKUP(Table134526_79101120212223242526[[#This Row],[Name Surname]],Manpower!$C$4:$C$1048576,Manpower!$F$4:$F$1048576,"")</f>
        <v>Crane Operator- 70T Liebherr Telescopic Crane-01</v>
      </c>
      <c r="H606" s="28" t="s">
        <v>39</v>
      </c>
      <c r="I606" s="24" t="s">
        <v>39</v>
      </c>
      <c r="J606" s="21" t="s">
        <v>35</v>
      </c>
      <c r="K606" s="21" t="s">
        <v>104</v>
      </c>
      <c r="L606" s="21" t="s">
        <v>82</v>
      </c>
      <c r="M606" s="21" t="s">
        <v>55</v>
      </c>
      <c r="N606" s="29">
        <v>10</v>
      </c>
      <c r="R606" s="21" t="s">
        <v>227</v>
      </c>
    </row>
    <row r="607" spans="1:18" ht="14.4" hidden="1">
      <c r="A607" s="33">
        <f>IF(C607="","",MAX($A$1:A606)+1)</f>
        <v>581</v>
      </c>
      <c r="B607" s="26" t="s">
        <v>79</v>
      </c>
      <c r="C607" s="23">
        <v>46086</v>
      </c>
      <c r="D607" s="28" t="str">
        <f>_xlfn.XLOOKUP(Table134526_79101120212223242526[[#This Row],[Name Surname]],Manpower!$C$4:$C$1048576,Manpower!$B$4:$B$1048576,"")</f>
        <v>Encogroup</v>
      </c>
      <c r="E607" s="21" t="s">
        <v>105</v>
      </c>
      <c r="F607" s="12">
        <f>_xlfn.XLOOKUP(Table134526_79101120212223242526[[#This Row],[Name Surname]],Manpower!C:C,Manpower!D:D,)</f>
        <v>141358993</v>
      </c>
      <c r="G607" s="28" t="str">
        <f>_xlfn.XLOOKUP(Table134526_79101120212223242526[[#This Row],[Name Surname]],Manpower!$C$4:$C$1048576,Manpower!$F$4:$F$1048576,"")</f>
        <v>Fitter</v>
      </c>
      <c r="H607" s="28" t="str">
        <f>_xlfn.XLOOKUP(Table134526_79101120212223242526[[#This Row],[Name Surname]],Manpower!$C$4:$C$1048576,Manpower!$H$4:$H$1048576,"")</f>
        <v>Manpower</v>
      </c>
      <c r="I607" s="24" t="str">
        <f>_xlfn.XLOOKUP(Table134526_79101120212223242526[[#This Row],[Name Surname]],Manpower!$C$4:$C$1048576,Manpower!$H$4:$H$1048576,"")</f>
        <v>Manpower</v>
      </c>
      <c r="J607" s="21" t="s">
        <v>35</v>
      </c>
      <c r="K607" s="21" t="s">
        <v>98</v>
      </c>
      <c r="L607" s="21" t="s">
        <v>82</v>
      </c>
      <c r="M607" s="21" t="s">
        <v>55</v>
      </c>
      <c r="N607" s="29">
        <v>6</v>
      </c>
      <c r="R607" s="21" t="s">
        <v>227</v>
      </c>
    </row>
    <row r="608" spans="1:18" ht="14.4" hidden="1">
      <c r="A608" s="33">
        <f>IF(C608="","",MAX($A$1:A607)+1)</f>
        <v>582</v>
      </c>
      <c r="B608" s="26" t="s">
        <v>79</v>
      </c>
      <c r="C608" s="23">
        <v>46086</v>
      </c>
      <c r="D608" s="28" t="str">
        <f>_xlfn.XLOOKUP(Table134526_79101120212223242526[[#This Row],[Name Surname]],Manpower!$C$4:$C$1048576,Manpower!$B$4:$B$1048576,"")</f>
        <v>Encogroup</v>
      </c>
      <c r="E608" s="21" t="s">
        <v>106</v>
      </c>
      <c r="F608" s="12" t="str">
        <f>_xlfn.XLOOKUP(Table134526_79101120212223242526[[#This Row],[Name Surname]],Manpower!C:C,Manpower!D:D,)</f>
        <v>R3971143</v>
      </c>
      <c r="G608" s="28" t="str">
        <f>_xlfn.XLOOKUP(Table134526_79101120212223242526[[#This Row],[Name Surname]],Manpower!$C$4:$C$1048576,Manpower!$F$4:$F$1048576,"")</f>
        <v>Mechanical Foreman</v>
      </c>
      <c r="H608" s="28" t="str">
        <f>_xlfn.XLOOKUP(Table134526_79101120212223242526[[#This Row],[Name Surname]],Manpower!$C$4:$C$1048576,Manpower!$H$4:$H$1048576,"")</f>
        <v>Manpower</v>
      </c>
      <c r="I608" s="24" t="str">
        <f>_xlfn.XLOOKUP(Table134526_79101120212223242526[[#This Row],[Name Surname]],Manpower!$C$4:$C$1048576,Manpower!$H$4:$H$1048576,"")</f>
        <v>Manpower</v>
      </c>
      <c r="J608" s="21" t="s">
        <v>35</v>
      </c>
      <c r="K608" s="21" t="s">
        <v>81</v>
      </c>
      <c r="L608" s="21" t="s">
        <v>82</v>
      </c>
      <c r="M608" s="21" t="s">
        <v>55</v>
      </c>
      <c r="N608" s="29">
        <v>10</v>
      </c>
      <c r="R608" s="21" t="s">
        <v>227</v>
      </c>
    </row>
    <row r="609" spans="1:18" ht="14.4" hidden="1">
      <c r="A609" s="33">
        <f>IF(C609="","",MAX($A$1:A608)+1)</f>
        <v>583</v>
      </c>
      <c r="B609" s="26" t="s">
        <v>79</v>
      </c>
      <c r="C609" s="23">
        <v>46086</v>
      </c>
      <c r="D609" s="28" t="str">
        <f>_xlfn.XLOOKUP(Table134526_79101120212223242526[[#This Row],[Name Surname]],Manpower!$C$4:$C$1048576,Manpower!$B$4:$B$1048576,"")</f>
        <v>Encogroup</v>
      </c>
      <c r="E609" s="21" t="s">
        <v>107</v>
      </c>
      <c r="F609" s="12">
        <f>_xlfn.XLOOKUP(Table134526_79101120212223242526[[#This Row],[Name Surname]],Manpower!C:C,Manpower!D:D,)</f>
        <v>116858297</v>
      </c>
      <c r="G609" s="28" t="str">
        <f>_xlfn.XLOOKUP(Table134526_79101120212223242526[[#This Row],[Name Surname]],Manpower!$C$4:$C$1048576,Manpower!$F$4:$F$1048576,"")</f>
        <v>Mechanical Superintendent</v>
      </c>
      <c r="H609" s="28" t="str">
        <f>_xlfn.XLOOKUP(Table134526_79101120212223242526[[#This Row],[Name Surname]],Manpower!$C$4:$C$1048576,Manpower!$H$4:$H$1048576,"")</f>
        <v>Manpower</v>
      </c>
      <c r="I609" s="24" t="str">
        <f>_xlfn.XLOOKUP(Table134526_79101120212223242526[[#This Row],[Name Surname]],Manpower!$C$4:$C$1048576,Manpower!$H$4:$H$1048576,"")</f>
        <v>Manpower</v>
      </c>
      <c r="J609" s="21" t="s">
        <v>35</v>
      </c>
      <c r="K609" s="21" t="s">
        <v>81</v>
      </c>
      <c r="L609" s="21" t="s">
        <v>82</v>
      </c>
      <c r="M609" s="21" t="s">
        <v>55</v>
      </c>
      <c r="N609" s="29">
        <v>6</v>
      </c>
      <c r="R609" s="21" t="s">
        <v>227</v>
      </c>
    </row>
    <row r="610" spans="1:18" ht="14.4" hidden="1">
      <c r="A610" s="33">
        <f>IF(C610="","",MAX($A$1:A609)+1)</f>
        <v>584</v>
      </c>
      <c r="B610" s="26" t="s">
        <v>79</v>
      </c>
      <c r="C610" s="23">
        <v>46086</v>
      </c>
      <c r="D610" s="28" t="str">
        <f>_xlfn.XLOOKUP(Table134526_79101120212223242526[[#This Row],[Name Surname]],Manpower!$C$4:$C$1048576,Manpower!$B$4:$B$1048576,"")</f>
        <v>Encogroup</v>
      </c>
      <c r="E610" s="21" t="s">
        <v>109</v>
      </c>
      <c r="F610" s="12">
        <f>_xlfn.XLOOKUP(Table134526_79101120212223242526[[#This Row],[Name Surname]],Manpower!C:C,Manpower!D:D,)</f>
        <v>123805496</v>
      </c>
      <c r="G610" s="28" t="str">
        <f>_xlfn.XLOOKUP(Table134526_79101120212223242526[[#This Row],[Name Surname]],Manpower!$C$4:$C$1048576,Manpower!$F$4:$F$1048576,"")</f>
        <v>Fitter/Erector</v>
      </c>
      <c r="H610" s="28" t="str">
        <f>_xlfn.XLOOKUP(Table134526_79101120212223242526[[#This Row],[Name Surname]],Manpower!$C$4:$C$1048576,Manpower!$H$4:$H$1048576,"")</f>
        <v>Manpower</v>
      </c>
      <c r="I610" s="24" t="str">
        <f>_xlfn.XLOOKUP(Table134526_79101120212223242526[[#This Row],[Name Surname]],Manpower!$C$4:$C$1048576,Manpower!$H$4:$H$1048576,"")</f>
        <v>Manpower</v>
      </c>
      <c r="J610" s="21" t="s">
        <v>35</v>
      </c>
      <c r="K610" s="21" t="s">
        <v>81</v>
      </c>
      <c r="L610" s="21" t="s">
        <v>82</v>
      </c>
      <c r="M610" s="21" t="s">
        <v>55</v>
      </c>
      <c r="N610" s="29">
        <v>10</v>
      </c>
      <c r="R610" s="21" t="s">
        <v>227</v>
      </c>
    </row>
    <row r="611" spans="1:18" ht="14.4" hidden="1">
      <c r="A611" s="33">
        <f>IF(C611="","",MAX($A$1:A610)+1)</f>
        <v>585</v>
      </c>
      <c r="B611" s="26" t="s">
        <v>79</v>
      </c>
      <c r="C611" s="23">
        <v>46086</v>
      </c>
      <c r="D611" s="28" t="str">
        <f>_xlfn.XLOOKUP(Table134526_79101120212223242526[[#This Row],[Name Surname]],Manpower!$C$4:$C$1048576,Manpower!$B$4:$B$1048576,"")</f>
        <v>Encogroup</v>
      </c>
      <c r="E611" s="21" t="s">
        <v>110</v>
      </c>
      <c r="F611" s="12">
        <f>_xlfn.XLOOKUP(Table134526_79101120212223242526[[#This Row],[Name Surname]],Manpower!C:C,Manpower!D:D,)</f>
        <v>136277866</v>
      </c>
      <c r="G611" s="28" t="str">
        <f>_xlfn.XLOOKUP(Table134526_79101120212223242526[[#This Row],[Name Surname]],Manpower!$C$4:$C$1048576,Manpower!$F$4:$F$1048576,"")</f>
        <v>Permit Receiver</v>
      </c>
      <c r="H611" s="28" t="str">
        <f>_xlfn.XLOOKUP(Table134526_79101120212223242526[[#This Row],[Name Surname]],Manpower!$C$4:$C$1048576,Manpower!$H$4:$H$1048576,"")</f>
        <v>Manpower</v>
      </c>
      <c r="I611" s="24" t="str">
        <f>_xlfn.XLOOKUP(Table134526_79101120212223242526[[#This Row],[Name Surname]],Manpower!$C$4:$C$1048576,Manpower!$H$4:$H$1048576,"")</f>
        <v>Manpower</v>
      </c>
      <c r="J611" s="21" t="s">
        <v>35</v>
      </c>
      <c r="K611" s="21" t="s">
        <v>81</v>
      </c>
      <c r="L611" s="21" t="s">
        <v>82</v>
      </c>
      <c r="M611" s="21" t="s">
        <v>55</v>
      </c>
      <c r="N611" s="29">
        <v>10</v>
      </c>
      <c r="R611" s="21" t="s">
        <v>227</v>
      </c>
    </row>
    <row r="612" spans="1:18" ht="14.4" hidden="1">
      <c r="A612" s="33">
        <f>IF(C612="","",MAX($A$1:A611)+1)</f>
        <v>586</v>
      </c>
      <c r="B612" s="26" t="s">
        <v>79</v>
      </c>
      <c r="C612" s="23">
        <v>46086</v>
      </c>
      <c r="D612" s="28" t="str">
        <f>_xlfn.XLOOKUP(Table134526_79101120212223242526[[#This Row],[Name Surname]],Manpower!$C$4:$C$1048576,Manpower!$B$4:$B$1048576,"")</f>
        <v>Encogroup</v>
      </c>
      <c r="E612" s="21" t="s">
        <v>111</v>
      </c>
      <c r="F612" s="12">
        <f>_xlfn.XLOOKUP(Table134526_79101120212223242526[[#This Row],[Name Surname]],Manpower!C:C,Manpower!D:D,)</f>
        <v>120653364</v>
      </c>
      <c r="G612" s="28" t="str">
        <f>_xlfn.XLOOKUP(Table134526_79101120212223242526[[#This Row],[Name Surname]],Manpower!$C$4:$C$1048576,Manpower!$F$4:$F$1048576,"")</f>
        <v>Surveyor</v>
      </c>
      <c r="H612" s="28" t="str">
        <f>_xlfn.XLOOKUP(Table134526_79101120212223242526[[#This Row],[Name Surname]],Manpower!$C$4:$C$1048576,Manpower!$H$4:$H$1048576,"")</f>
        <v>Manpower</v>
      </c>
      <c r="I612" s="24" t="str">
        <f>_xlfn.XLOOKUP(Table134526_79101120212223242526[[#This Row],[Name Surname]],Manpower!$C$4:$C$1048576,Manpower!$H$4:$H$1048576,"")</f>
        <v>Manpower</v>
      </c>
      <c r="J612" s="21" t="s">
        <v>35</v>
      </c>
      <c r="K612" s="21" t="s">
        <v>88</v>
      </c>
      <c r="L612" s="21" t="s">
        <v>82</v>
      </c>
      <c r="M612" s="21" t="s">
        <v>55</v>
      </c>
      <c r="N612" s="29">
        <v>10</v>
      </c>
      <c r="R612" s="21" t="s">
        <v>227</v>
      </c>
    </row>
    <row r="613" spans="1:18" ht="14.4" hidden="1">
      <c r="A613" s="33">
        <f>IF(C613="","",MAX($A$1:A612)+1)</f>
        <v>587</v>
      </c>
      <c r="B613" s="26" t="s">
        <v>79</v>
      </c>
      <c r="C613" s="23">
        <v>46086</v>
      </c>
      <c r="D613" s="28" t="str">
        <f>_xlfn.XLOOKUP(Table134526_79101120212223242526[[#This Row],[Name Surname]],Manpower!$C$4:$C$1048576,Manpower!$B$4:$B$1048576,"")</f>
        <v>Encogroup</v>
      </c>
      <c r="E613" s="21" t="s">
        <v>112</v>
      </c>
      <c r="F613" s="12">
        <f>_xlfn.XLOOKUP(Table134526_79101120212223242526[[#This Row],[Name Surname]],Manpower!C:C,Manpower!D:D,)</f>
        <v>140663253</v>
      </c>
      <c r="G613" s="28" t="str">
        <f>_xlfn.XLOOKUP(Table134526_79101120212223242526[[#This Row],[Name Surname]],Manpower!$C$4:$C$1048576,Manpower!$F$4:$F$1048576,"")</f>
        <v>Painting Inspector</v>
      </c>
      <c r="H613" s="28" t="str">
        <f>_xlfn.XLOOKUP(Table134526_79101120212223242526[[#This Row],[Name Surname]],Manpower!$C$4:$C$1048576,Manpower!$H$4:$H$1048576,"")</f>
        <v>Manpower</v>
      </c>
      <c r="I613" s="24" t="str">
        <f>_xlfn.XLOOKUP(Table134526_79101120212223242526[[#This Row],[Name Surname]],Manpower!$C$4:$C$1048576,Manpower!$H$4:$H$1048576,"")</f>
        <v>Manpower</v>
      </c>
      <c r="J613" s="21" t="s">
        <v>35</v>
      </c>
      <c r="K613" s="21" t="s">
        <v>113</v>
      </c>
      <c r="L613" s="21" t="s">
        <v>82</v>
      </c>
      <c r="M613" s="21" t="s">
        <v>55</v>
      </c>
      <c r="N613" s="29">
        <v>10</v>
      </c>
      <c r="R613" s="21" t="s">
        <v>227</v>
      </c>
    </row>
    <row r="614" spans="1:18" ht="14.4" hidden="1">
      <c r="A614" s="33">
        <f>IF(C614="","",MAX($A$1:A613)+1)</f>
        <v>588</v>
      </c>
      <c r="B614" s="26" t="s">
        <v>79</v>
      </c>
      <c r="C614" s="23">
        <v>46086</v>
      </c>
      <c r="D614" s="28" t="str">
        <f>_xlfn.XLOOKUP(Table134526_79101120212223242526[[#This Row],[Name Surname]],Manpower!$C$4:$C$1048576,Manpower!$B$4:$B$1048576,"")</f>
        <v>Encogroup</v>
      </c>
      <c r="E614" s="21" t="s">
        <v>116</v>
      </c>
      <c r="F614" s="12">
        <f>_xlfn.XLOOKUP(Table134526_79101120212223242526[[#This Row],[Name Surname]],Manpower!C:C,Manpower!D:D,)</f>
        <v>140844604</v>
      </c>
      <c r="G614" s="28" t="str">
        <f>_xlfn.XLOOKUP(Table134526_79101120212223242526[[#This Row],[Name Surname]],Manpower!$C$4:$C$1048576,Manpower!$F$4:$F$1048576,"")</f>
        <v>Painter</v>
      </c>
      <c r="H614" s="28" t="str">
        <f>_xlfn.XLOOKUP(Table134526_79101120212223242526[[#This Row],[Name Surname]],Manpower!$C$4:$C$1048576,Manpower!$H$4:$H$1048576,"")</f>
        <v>Manpower</v>
      </c>
      <c r="I614" s="24" t="str">
        <f>_xlfn.XLOOKUP(Table134526_79101120212223242526[[#This Row],[Name Surname]],Manpower!$C$4:$C$1048576,Manpower!$H$4:$H$1048576,"")</f>
        <v>Manpower</v>
      </c>
      <c r="J614" s="21" t="s">
        <v>35</v>
      </c>
      <c r="K614" s="21" t="s">
        <v>113</v>
      </c>
      <c r="L614" s="21" t="s">
        <v>82</v>
      </c>
      <c r="M614" s="21" t="s">
        <v>55</v>
      </c>
      <c r="N614" s="29">
        <v>10</v>
      </c>
      <c r="R614" s="21" t="s">
        <v>227</v>
      </c>
    </row>
    <row r="615" spans="1:18" ht="14.4" hidden="1">
      <c r="A615" s="33">
        <f>IF(C615="","",MAX($A$1:A614)+1)</f>
        <v>589</v>
      </c>
      <c r="B615" s="26" t="s">
        <v>79</v>
      </c>
      <c r="C615" s="23">
        <v>46086</v>
      </c>
      <c r="D615" s="28" t="str">
        <f>_xlfn.XLOOKUP(Table134526_79101120212223242526[[#This Row],[Name Surname]],Manpower!$C$4:$C$1048576,Manpower!$B$4:$B$1048576,"")</f>
        <v>Encogroup</v>
      </c>
      <c r="E615" s="21" t="s">
        <v>117</v>
      </c>
      <c r="F615" s="12">
        <f>_xlfn.XLOOKUP(Table134526_79101120212223242526[[#This Row],[Name Surname]],Manpower!C:C,Manpower!D:D,)</f>
        <v>140844783</v>
      </c>
      <c r="G615" s="28" t="str">
        <f>_xlfn.XLOOKUP(Table134526_79101120212223242526[[#This Row],[Name Surname]],Manpower!$C$4:$C$1048576,Manpower!$F$4:$F$1048576,"")</f>
        <v>Painter</v>
      </c>
      <c r="H615" s="28" t="str">
        <f>_xlfn.XLOOKUP(Table134526_79101120212223242526[[#This Row],[Name Surname]],Manpower!$C$4:$C$1048576,Manpower!$H$4:$H$1048576,"")</f>
        <v>Manpower</v>
      </c>
      <c r="I615" s="24" t="str">
        <f>_xlfn.XLOOKUP(Table134526_79101120212223242526[[#This Row],[Name Surname]],Manpower!$C$4:$C$1048576,Manpower!$H$4:$H$1048576,"")</f>
        <v>Manpower</v>
      </c>
      <c r="J615" s="21" t="s">
        <v>35</v>
      </c>
      <c r="K615" s="21" t="s">
        <v>113</v>
      </c>
      <c r="L615" s="21" t="s">
        <v>82</v>
      </c>
      <c r="M615" s="21" t="s">
        <v>55</v>
      </c>
      <c r="N615" s="29">
        <v>10</v>
      </c>
      <c r="R615" s="21" t="s">
        <v>227</v>
      </c>
    </row>
    <row r="616" spans="1:18" ht="14.4" hidden="1">
      <c r="A616" s="33">
        <f>IF(C616="","",MAX($A$1:A615)+1)</f>
        <v>590</v>
      </c>
      <c r="B616" s="26" t="s">
        <v>79</v>
      </c>
      <c r="C616" s="23">
        <v>46086</v>
      </c>
      <c r="D616" s="28" t="str">
        <f>_xlfn.XLOOKUP(Table134526_79101120212223242526[[#This Row],[Name Surname]],Manpower!$C$4:$C$1048576,Manpower!$B$4:$B$1048576,"")</f>
        <v>Encogroup</v>
      </c>
      <c r="E616" s="21" t="s">
        <v>118</v>
      </c>
      <c r="F616" s="12" t="str">
        <f>_xlfn.XLOOKUP(Table134526_79101120212223242526[[#This Row],[Name Surname]],Manpower!C:C,Manpower!D:D,)</f>
        <v>AG111207</v>
      </c>
      <c r="G616" s="28" t="str">
        <f>_xlfn.XLOOKUP(Table134526_79101120212223242526[[#This Row],[Name Surname]],Manpower!$C$4:$C$1048576,Manpower!$F$4:$F$1048576,"")</f>
        <v>Assistant/Helper</v>
      </c>
      <c r="H616" s="28" t="str">
        <f>_xlfn.XLOOKUP(Table134526_79101120212223242526[[#This Row],[Name Surname]],Manpower!$C$4:$C$1048576,Manpower!$H$4:$H$1048576,"")</f>
        <v>Manpower</v>
      </c>
      <c r="I616" s="24" t="str">
        <f>_xlfn.XLOOKUP(Table134526_79101120212223242526[[#This Row],[Name Surname]],Manpower!$C$4:$C$1048576,Manpower!$H$4:$H$1048576,"")</f>
        <v>Manpower</v>
      </c>
      <c r="J616" s="21" t="s">
        <v>35</v>
      </c>
      <c r="K616" s="21" t="s">
        <v>113</v>
      </c>
      <c r="L616" s="21" t="s">
        <v>82</v>
      </c>
      <c r="M616" s="21" t="s">
        <v>55</v>
      </c>
      <c r="N616" s="29">
        <v>10</v>
      </c>
      <c r="R616" s="21" t="s">
        <v>227</v>
      </c>
    </row>
    <row r="617" spans="1:18" ht="14.4" hidden="1">
      <c r="A617" s="33">
        <f>IF(C617="","",MAX($A$1:A616)+1)</f>
        <v>591</v>
      </c>
      <c r="B617" s="26" t="s">
        <v>79</v>
      </c>
      <c r="C617" s="23">
        <v>46086</v>
      </c>
      <c r="D617" s="28" t="str">
        <f>_xlfn.XLOOKUP(Table134526_79101120212223242526[[#This Row],[Name Surname]],Manpower!$C$4:$C$1048576,Manpower!$B$4:$B$1048576,"")</f>
        <v>Encogroup</v>
      </c>
      <c r="E617" s="21" t="s">
        <v>119</v>
      </c>
      <c r="F617" s="12">
        <f>_xlfn.XLOOKUP(Table134526_79101120212223242526[[#This Row],[Name Surname]],Manpower!C:C,Manpower!D:D,)</f>
        <v>140844778</v>
      </c>
      <c r="G617" s="28" t="str">
        <f>_xlfn.XLOOKUP(Table134526_79101120212223242526[[#This Row],[Name Surname]],Manpower!$C$4:$C$1048576,Manpower!$F$4:$F$1048576,"")</f>
        <v>Painter</v>
      </c>
      <c r="H617" s="28" t="str">
        <f>_xlfn.XLOOKUP(Table134526_79101120212223242526[[#This Row],[Name Surname]],Manpower!$C$4:$C$1048576,Manpower!$H$4:$H$1048576,"")</f>
        <v>Manpower</v>
      </c>
      <c r="I617" s="24" t="str">
        <f>_xlfn.XLOOKUP(Table134526_79101120212223242526[[#This Row],[Name Surname]],Manpower!$C$4:$C$1048576,Manpower!$H$4:$H$1048576,"")</f>
        <v>Manpower</v>
      </c>
      <c r="J617" s="21" t="s">
        <v>35</v>
      </c>
      <c r="K617" s="21" t="s">
        <v>113</v>
      </c>
      <c r="L617" s="21" t="s">
        <v>82</v>
      </c>
      <c r="M617" s="21" t="s">
        <v>55</v>
      </c>
      <c r="N617" s="29">
        <v>6</v>
      </c>
      <c r="R617" s="21" t="s">
        <v>227</v>
      </c>
    </row>
    <row r="618" spans="1:18" ht="14.4" hidden="1">
      <c r="A618" s="33">
        <f>IF(C618="","",MAX($A$1:A617)+1)</f>
        <v>592</v>
      </c>
      <c r="B618" s="26" t="s">
        <v>79</v>
      </c>
      <c r="C618" s="23">
        <v>46086</v>
      </c>
      <c r="D618" s="28" t="str">
        <f>_xlfn.XLOOKUP(Table134526_79101120212223242526[[#This Row],[Name Surname]],Manpower!$C$4:$C$1048576,Manpower!$B$4:$B$1048576,"")</f>
        <v>Encogroup</v>
      </c>
      <c r="E618" s="21" t="s">
        <v>120</v>
      </c>
      <c r="F618" s="12">
        <f>_xlfn.XLOOKUP(Table134526_79101120212223242526[[#This Row],[Name Surname]],Manpower!C:C,Manpower!D:D,)</f>
        <v>141365037</v>
      </c>
      <c r="G618" s="28" t="str">
        <f>_xlfn.XLOOKUP(Table134526_79101120212223242526[[#This Row],[Name Surname]],Manpower!$C$4:$C$1048576,Manpower!$F$4:$F$1048576,"")</f>
        <v>Painter</v>
      </c>
      <c r="H618" s="28" t="str">
        <f>_xlfn.XLOOKUP(Table134526_79101120212223242526[[#This Row],[Name Surname]],Manpower!$C$4:$C$1048576,Manpower!$H$4:$H$1048576,"")</f>
        <v>Manpower</v>
      </c>
      <c r="I618" s="24" t="str">
        <f>_xlfn.XLOOKUP(Table134526_79101120212223242526[[#This Row],[Name Surname]],Manpower!$C$4:$C$1048576,Manpower!$H$4:$H$1048576,"")</f>
        <v>Manpower</v>
      </c>
      <c r="J618" s="21" t="s">
        <v>35</v>
      </c>
      <c r="K618" s="21" t="s">
        <v>113</v>
      </c>
      <c r="L618" s="21" t="s">
        <v>82</v>
      </c>
      <c r="M618" s="21" t="s">
        <v>55</v>
      </c>
      <c r="N618" s="29">
        <v>10</v>
      </c>
      <c r="R618" s="21" t="s">
        <v>227</v>
      </c>
    </row>
    <row r="619" spans="1:18" ht="14.4" hidden="1">
      <c r="A619" s="33">
        <f>IF(C619="","",MAX($A$1:A618)+1)</f>
        <v>593</v>
      </c>
      <c r="B619" s="26" t="s">
        <v>79</v>
      </c>
      <c r="C619" s="23">
        <v>46086</v>
      </c>
      <c r="D619" s="28" t="str">
        <f>_xlfn.XLOOKUP(Table134526_79101120212223242526[[#This Row],[Name Surname]],Manpower!$C$4:$C$1048576,Manpower!$B$4:$B$1048576,"")</f>
        <v>Encogroup</v>
      </c>
      <c r="E619" s="21" t="s">
        <v>121</v>
      </c>
      <c r="F619" s="12">
        <f>_xlfn.XLOOKUP(Table134526_79101120212223242526[[#This Row],[Name Surname]],Manpower!C:C,Manpower!D:D,)</f>
        <v>141377709</v>
      </c>
      <c r="G619" s="28" t="str">
        <f>_xlfn.XLOOKUP(Table134526_79101120212223242526[[#This Row],[Name Surname]],Manpower!$C$4:$C$1048576,Manpower!$F$4:$F$1048576,"")</f>
        <v>Helper</v>
      </c>
      <c r="H619" s="28" t="str">
        <f>_xlfn.XLOOKUP(Table134526_79101120212223242526[[#This Row],[Name Surname]],Manpower!$C$4:$C$1048576,Manpower!$H$4:$H$1048576,"")</f>
        <v>Manpower</v>
      </c>
      <c r="I619" s="24" t="str">
        <f>_xlfn.XLOOKUP(Table134526_79101120212223242526[[#This Row],[Name Surname]],Manpower!$C$4:$C$1048576,Manpower!$H$4:$H$1048576,"")</f>
        <v>Manpower</v>
      </c>
      <c r="J619" s="21" t="s">
        <v>35</v>
      </c>
      <c r="K619" s="21" t="s">
        <v>113</v>
      </c>
      <c r="L619" s="21" t="s">
        <v>82</v>
      </c>
      <c r="M619" s="21" t="s">
        <v>55</v>
      </c>
      <c r="N619" s="29">
        <v>10</v>
      </c>
      <c r="R619" s="21" t="s">
        <v>227</v>
      </c>
    </row>
    <row r="620" spans="1:18" ht="14.4" hidden="1">
      <c r="A620" s="33">
        <f>IF(C620="","",MAX($A$1:A619)+1)</f>
        <v>594</v>
      </c>
      <c r="B620" s="26" t="s">
        <v>79</v>
      </c>
      <c r="C620" s="23">
        <v>46086</v>
      </c>
      <c r="D620" s="28" t="str">
        <f>_xlfn.XLOOKUP(Table134526_79101120212223242526[[#This Row],[Name Surname]],Manpower!$C$4:$C$1048576,Manpower!$B$4:$B$1048576,"")</f>
        <v>Encogroup</v>
      </c>
      <c r="E620" s="21" t="s">
        <v>122</v>
      </c>
      <c r="F620" s="12">
        <f>_xlfn.XLOOKUP(Table134526_79101120212223242526[[#This Row],[Name Surname]],Manpower!C:C,Manpower!D:D,)</f>
        <v>140805554</v>
      </c>
      <c r="G620" s="28" t="str">
        <f>_xlfn.XLOOKUP(Table134526_79101120212223242526[[#This Row],[Name Surname]],Manpower!$C$4:$C$1048576,Manpower!$F$4:$F$1048576,"")</f>
        <v>Assistant/Helper</v>
      </c>
      <c r="H620" s="28" t="str">
        <f>_xlfn.XLOOKUP(Table134526_79101120212223242526[[#This Row],[Name Surname]],Manpower!$C$4:$C$1048576,Manpower!$H$4:$H$1048576,"")</f>
        <v>Manpower</v>
      </c>
      <c r="I620" s="24" t="str">
        <f>_xlfn.XLOOKUP(Table134526_79101120212223242526[[#This Row],[Name Surname]],Manpower!$C$4:$C$1048576,Manpower!$H$4:$H$1048576,"")</f>
        <v>Manpower</v>
      </c>
      <c r="J620" s="21" t="s">
        <v>35</v>
      </c>
      <c r="K620" s="21" t="s">
        <v>98</v>
      </c>
      <c r="L620" s="21" t="s">
        <v>82</v>
      </c>
      <c r="M620" s="21" t="s">
        <v>55</v>
      </c>
      <c r="N620" s="29">
        <v>10</v>
      </c>
      <c r="R620" s="21" t="s">
        <v>227</v>
      </c>
    </row>
    <row r="621" spans="1:18" ht="14.4" hidden="1">
      <c r="A621" s="33">
        <f>IF(C621="","",MAX($A$1:A620)+1)</f>
        <v>595</v>
      </c>
      <c r="B621" s="26" t="s">
        <v>79</v>
      </c>
      <c r="C621" s="23">
        <v>46086</v>
      </c>
      <c r="D621" s="28" t="str">
        <f>_xlfn.XLOOKUP(Table134526_79101120212223242526[[#This Row],[Name Surname]],Manpower!$C$4:$C$1048576,Manpower!$B$4:$B$1048576,"")</f>
        <v>Encogroup</v>
      </c>
      <c r="E621" s="21" t="s">
        <v>124</v>
      </c>
      <c r="F621" s="12">
        <f>_xlfn.XLOOKUP(Table134526_79101120212223242526[[#This Row],[Name Surname]],Manpower!C:C,Manpower!D:D,)</f>
        <v>141169033</v>
      </c>
      <c r="G621" s="28" t="str">
        <f>_xlfn.XLOOKUP(Table134526_79101120212223242526[[#This Row],[Name Surname]],Manpower!$C$4:$C$1048576,Manpower!$F$4:$F$1048576,"")</f>
        <v>Welder</v>
      </c>
      <c r="H621" s="28" t="str">
        <f>_xlfn.XLOOKUP(Table134526_79101120212223242526[[#This Row],[Name Surname]],Manpower!$C$4:$C$1048576,Manpower!$H$4:$H$1048576,"")</f>
        <v>Manpower</v>
      </c>
      <c r="I621" s="24" t="str">
        <f>_xlfn.XLOOKUP(Table134526_79101120212223242526[[#This Row],[Name Surname]],Manpower!$C$4:$C$1048576,Manpower!$H$4:$H$1048576,"")</f>
        <v>Manpower</v>
      </c>
      <c r="J621" s="21" t="s">
        <v>35</v>
      </c>
      <c r="K621" s="21" t="s">
        <v>98</v>
      </c>
      <c r="L621" s="21" t="s">
        <v>82</v>
      </c>
      <c r="M621" s="21" t="s">
        <v>55</v>
      </c>
      <c r="N621" s="29">
        <v>10</v>
      </c>
      <c r="R621" s="21" t="s">
        <v>227</v>
      </c>
    </row>
    <row r="622" spans="1:18" ht="14.4" hidden="1">
      <c r="A622" s="33">
        <f>IF(C622="","",MAX($A$1:A621)+1)</f>
        <v>596</v>
      </c>
      <c r="B622" s="26" t="s">
        <v>79</v>
      </c>
      <c r="C622" s="23">
        <v>46086</v>
      </c>
      <c r="D622" s="28" t="str">
        <f>_xlfn.XLOOKUP(Table134526_79101120212223242526[[#This Row],[Name Surname]],Manpower!$C$4:$C$1048576,Manpower!$B$4:$B$1048576,"")</f>
        <v>Encogroup</v>
      </c>
      <c r="E622" s="21" t="s">
        <v>125</v>
      </c>
      <c r="F622" s="12">
        <f>_xlfn.XLOOKUP(Table134526_79101120212223242526[[#This Row],[Name Surname]],Manpower!C:C,Manpower!D:D,)</f>
        <v>141169028</v>
      </c>
      <c r="G622" s="28" t="str">
        <f>_xlfn.XLOOKUP(Table134526_79101120212223242526[[#This Row],[Name Surname]],Manpower!$C$4:$C$1048576,Manpower!$F$4:$F$1048576,"")</f>
        <v>Welder</v>
      </c>
      <c r="H622" s="28" t="str">
        <f>_xlfn.XLOOKUP(Table134526_79101120212223242526[[#This Row],[Name Surname]],Manpower!$C$4:$C$1048576,Manpower!$H$4:$H$1048576,"")</f>
        <v>Manpower</v>
      </c>
      <c r="I622" s="24" t="str">
        <f>_xlfn.XLOOKUP(Table134526_79101120212223242526[[#This Row],[Name Surname]],Manpower!$C$4:$C$1048576,Manpower!$H$4:$H$1048576,"")</f>
        <v>Manpower</v>
      </c>
      <c r="J622" s="21" t="s">
        <v>35</v>
      </c>
      <c r="K622" s="21" t="s">
        <v>104</v>
      </c>
      <c r="L622" s="21" t="s">
        <v>82</v>
      </c>
      <c r="M622" s="21" t="s">
        <v>55</v>
      </c>
      <c r="N622" s="29">
        <v>10</v>
      </c>
      <c r="R622" s="21" t="s">
        <v>227</v>
      </c>
    </row>
    <row r="623" spans="1:18" ht="14.4" hidden="1">
      <c r="A623" s="33">
        <f>IF(C623="","",MAX($A$1:A622)+1)</f>
        <v>597</v>
      </c>
      <c r="B623" s="26" t="s">
        <v>79</v>
      </c>
      <c r="C623" s="23">
        <v>46086</v>
      </c>
      <c r="D623" s="28" t="str">
        <f>_xlfn.XLOOKUP(Table134526_79101120212223242526[[#This Row],[Name Surname]],Manpower!$C$4:$C$1048576,Manpower!$B$4:$B$1048576,"")</f>
        <v>Encogroup</v>
      </c>
      <c r="E623" s="21" t="s">
        <v>126</v>
      </c>
      <c r="F623" s="12">
        <f>_xlfn.XLOOKUP(Table134526_79101120212223242526[[#This Row],[Name Surname]],Manpower!C:C,Manpower!D:D,)</f>
        <v>140805568</v>
      </c>
      <c r="G623" s="28" t="str">
        <f>_xlfn.XLOOKUP(Table134526_79101120212223242526[[#This Row],[Name Surname]],Manpower!$C$4:$C$1048576,Manpower!$F$4:$F$1048576,"")</f>
        <v>Assistant/Helper</v>
      </c>
      <c r="H623" s="28" t="str">
        <f>_xlfn.XLOOKUP(Table134526_79101120212223242526[[#This Row],[Name Surname]],Manpower!$C$4:$C$1048576,Manpower!$H$4:$H$1048576,"")</f>
        <v>Manpower</v>
      </c>
      <c r="I623" s="24" t="str">
        <f>_xlfn.XLOOKUP(Table134526_79101120212223242526[[#This Row],[Name Surname]],Manpower!$C$4:$C$1048576,Manpower!$H$4:$H$1048576,"")</f>
        <v>Manpower</v>
      </c>
      <c r="J623" s="21" t="s">
        <v>35</v>
      </c>
      <c r="K623" s="21" t="s">
        <v>127</v>
      </c>
      <c r="L623" s="21" t="s">
        <v>82</v>
      </c>
      <c r="M623" s="21" t="s">
        <v>55</v>
      </c>
      <c r="N623" s="29">
        <v>10</v>
      </c>
      <c r="R623" s="21" t="s">
        <v>227</v>
      </c>
    </row>
    <row r="624" spans="1:18" ht="14.4" hidden="1">
      <c r="A624" s="33">
        <f>IF(C624="","",MAX($A$1:A623)+1)</f>
        <v>598</v>
      </c>
      <c r="B624" s="26" t="s">
        <v>79</v>
      </c>
      <c r="C624" s="23">
        <v>46086</v>
      </c>
      <c r="D624" s="28" t="str">
        <f>_xlfn.XLOOKUP(Table134526_79101120212223242526[[#This Row],[Name Surname]],Manpower!$C$4:$C$1048576,Manpower!$B$4:$B$1048576,"")</f>
        <v>AL Saif &amp; Al QALLM ENT LLC</v>
      </c>
      <c r="E624" s="21" t="s">
        <v>130</v>
      </c>
      <c r="F624" s="12">
        <f>_xlfn.XLOOKUP(Table134526_79101120212223242526[[#This Row],[Name Surname]],Manpower!C:C,Manpower!D:D,)</f>
        <v>76647648</v>
      </c>
      <c r="G624" s="28" t="str">
        <f>_xlfn.XLOOKUP(Table134526_79101120212223242526[[#This Row],[Name Surname]],Manpower!$C$4:$C$1048576,Manpower!$F$4:$F$1048576,"")</f>
        <v>RIgger</v>
      </c>
      <c r="H624" s="28" t="str">
        <f>_xlfn.XLOOKUP(Table134526_79101120212223242526[[#This Row],[Name Surname]],Manpower!$C$4:$C$1048576,Manpower!$H$4:$H$1048576,"")</f>
        <v>Sub Contactor</v>
      </c>
      <c r="I624" s="24" t="str">
        <f>_xlfn.XLOOKUP(Table134526_79101120212223242526[[#This Row],[Name Surname]],Manpower!$C$4:$C$1048576,Manpower!$H$4:$H$1048576,"")</f>
        <v>Sub Contactor</v>
      </c>
      <c r="J624" s="21" t="s">
        <v>35</v>
      </c>
      <c r="K624" s="21" t="s">
        <v>104</v>
      </c>
      <c r="L624" s="21" t="s">
        <v>82</v>
      </c>
      <c r="M624" s="21" t="s">
        <v>55</v>
      </c>
      <c r="N624" s="29">
        <v>10</v>
      </c>
      <c r="R624" s="21" t="s">
        <v>227</v>
      </c>
    </row>
    <row r="625" spans="1:18" ht="14.4" hidden="1">
      <c r="A625" s="33">
        <f>IF(C625="","",MAX($A$1:A624)+1)</f>
        <v>599</v>
      </c>
      <c r="B625" s="26" t="s">
        <v>79</v>
      </c>
      <c r="C625" s="23">
        <v>46086</v>
      </c>
      <c r="D625" s="28" t="str">
        <f>_xlfn.XLOOKUP(Table134526_79101120212223242526[[#This Row],[Name Surname]],Manpower!$C$4:$C$1048576,Manpower!$B$4:$B$1048576,"")</f>
        <v>Rabwu Ahamal AL Khaleej Trad</v>
      </c>
      <c r="E625" s="21" t="s">
        <v>131</v>
      </c>
      <c r="F625" s="12">
        <f>_xlfn.XLOOKUP(Table134526_79101120212223242526[[#This Row],[Name Surname]],Manpower!C:C,Manpower!D:D,)</f>
        <v>131431131</v>
      </c>
      <c r="G625" s="28" t="str">
        <f>_xlfn.XLOOKUP(Table134526_79101120212223242526[[#This Row],[Name Surname]],Manpower!$C$4:$C$1048576,Manpower!$F$4:$F$1048576,"")</f>
        <v>RIgger</v>
      </c>
      <c r="H625" s="28" t="str">
        <f>_xlfn.XLOOKUP(Table134526_79101120212223242526[[#This Row],[Name Surname]],Manpower!$C$4:$C$1048576,Manpower!$H$4:$H$1048576,"")</f>
        <v>Sub Contactor</v>
      </c>
      <c r="I625" s="24" t="str">
        <f>_xlfn.XLOOKUP(Table134526_79101120212223242526[[#This Row],[Name Surname]],Manpower!$C$4:$C$1048576,Manpower!$H$4:$H$1048576,"")</f>
        <v>Sub Contactor</v>
      </c>
      <c r="J625" s="21" t="s">
        <v>35</v>
      </c>
      <c r="K625" s="21" t="s">
        <v>104</v>
      </c>
      <c r="L625" s="21" t="s">
        <v>82</v>
      </c>
      <c r="M625" s="21" t="s">
        <v>55</v>
      </c>
      <c r="N625" s="29">
        <v>10</v>
      </c>
      <c r="R625" s="21" t="s">
        <v>227</v>
      </c>
    </row>
    <row r="626" spans="1:18" ht="14.4" hidden="1">
      <c r="A626" s="33">
        <f>IF(C626="","",MAX($A$1:A625)+1)</f>
        <v>600</v>
      </c>
      <c r="B626" s="26" t="s">
        <v>79</v>
      </c>
      <c r="C626" s="23">
        <v>46086</v>
      </c>
      <c r="D626" s="28" t="str">
        <f>_xlfn.XLOOKUP(Table134526_79101120212223242526[[#This Row],[Name Surname]],Manpower!$C$4:$C$1048576,Manpower!$B$4:$B$1048576,"")</f>
        <v>AL Saif &amp; Al QALLM ENT LLC</v>
      </c>
      <c r="E626" s="21" t="s">
        <v>132</v>
      </c>
      <c r="F626" s="12">
        <f>_xlfn.XLOOKUP(Table134526_79101120212223242526[[#This Row],[Name Surname]],Manpower!C:C,Manpower!D:D,)</f>
        <v>135762195</v>
      </c>
      <c r="G626" s="28" t="str">
        <f>_xlfn.XLOOKUP(Table134526_79101120212223242526[[#This Row],[Name Surname]],Manpower!$C$4:$C$1048576,Manpower!$F$4:$F$1048576,"")</f>
        <v>HSE Officer</v>
      </c>
      <c r="H626" s="28" t="str">
        <f>_xlfn.XLOOKUP(Table134526_79101120212223242526[[#This Row],[Name Surname]],Manpower!$C$4:$C$1048576,Manpower!$H$4:$H$1048576,"")</f>
        <v>Sub Contactor</v>
      </c>
      <c r="I626" s="24" t="str">
        <f>_xlfn.XLOOKUP(Table134526_79101120212223242526[[#This Row],[Name Surname]],Manpower!$C$4:$C$1048576,Manpower!$H$4:$H$1048576,"")</f>
        <v>Sub Contactor</v>
      </c>
      <c r="J626" s="21" t="s">
        <v>35</v>
      </c>
      <c r="K626" s="21" t="s">
        <v>81</v>
      </c>
      <c r="L626" s="21" t="s">
        <v>82</v>
      </c>
      <c r="M626" s="21" t="s">
        <v>55</v>
      </c>
      <c r="N626" s="29">
        <v>10</v>
      </c>
      <c r="R626" s="21" t="s">
        <v>227</v>
      </c>
    </row>
    <row r="627" spans="1:18" ht="14.4" hidden="1">
      <c r="A627" s="33">
        <f>IF(C627="","",MAX($A$1:A626)+1)</f>
        <v>601</v>
      </c>
      <c r="B627" s="26" t="s">
        <v>79</v>
      </c>
      <c r="C627" s="23">
        <v>46086</v>
      </c>
      <c r="D627" s="28" t="str">
        <f>_xlfn.XLOOKUP(Table134526_79101120212223242526[[#This Row],[Name Surname]],Manpower!$C$4:$C$1048576,Manpower!$B$4:$B$1048576,"")</f>
        <v>Encogroup</v>
      </c>
      <c r="E627" s="21" t="s">
        <v>133</v>
      </c>
      <c r="F627" s="12">
        <f>_xlfn.XLOOKUP(Table134526_79101120212223242526[[#This Row],[Name Surname]],Manpower!C:C,Manpower!D:D,)</f>
        <v>140846684</v>
      </c>
      <c r="G627" s="28" t="str">
        <f>_xlfn.XLOOKUP(Table134526_79101120212223242526[[#This Row],[Name Surname]],Manpower!$C$4:$C$1048576,Manpower!$F$4:$F$1048576,"")</f>
        <v>Assistant/Helper</v>
      </c>
      <c r="H627" s="28" t="str">
        <f>_xlfn.XLOOKUP(Table134526_79101120212223242526[[#This Row],[Name Surname]],Manpower!$C$4:$C$1048576,Manpower!$H$4:$H$1048576,"")</f>
        <v>Manpower</v>
      </c>
      <c r="I627" s="24" t="str">
        <f>_xlfn.XLOOKUP(Table134526_79101120212223242526[[#This Row],[Name Surname]],Manpower!$C$4:$C$1048576,Manpower!$H$4:$H$1048576,"")</f>
        <v>Manpower</v>
      </c>
      <c r="J627" s="21" t="s">
        <v>35</v>
      </c>
      <c r="K627" s="21" t="s">
        <v>81</v>
      </c>
      <c r="L627" s="21" t="s">
        <v>82</v>
      </c>
      <c r="M627" s="21" t="s">
        <v>55</v>
      </c>
      <c r="N627" s="29">
        <v>10</v>
      </c>
      <c r="R627" s="21" t="s">
        <v>227</v>
      </c>
    </row>
    <row r="628" spans="1:18" ht="14.4" hidden="1">
      <c r="A628" s="33">
        <f>IF(C628="","",MAX($A$1:A627)+1)</f>
        <v>602</v>
      </c>
      <c r="B628" s="26" t="s">
        <v>79</v>
      </c>
      <c r="C628" s="23">
        <v>46086</v>
      </c>
      <c r="D628" s="28" t="str">
        <f>_xlfn.XLOOKUP(Table134526_79101120212223242526[[#This Row],[Name Surname]],Manpower!$C$4:$C$1048576,Manpower!$B$4:$B$1048576,"")</f>
        <v>Encogroup</v>
      </c>
      <c r="E628" s="21" t="s">
        <v>136</v>
      </c>
      <c r="F628" s="12">
        <f>_xlfn.XLOOKUP(Table134526_79101120212223242526[[#This Row],[Name Surname]],Manpower!C:C,Manpower!D:D,)</f>
        <v>141250908</v>
      </c>
      <c r="G628" s="28" t="str">
        <f>_xlfn.XLOOKUP(Table134526_79101120212223242526[[#This Row],[Name Surname]],Manpower!$C$4:$C$1048576,Manpower!$F$4:$F$1048576,"")</f>
        <v>Mechanical Engineer</v>
      </c>
      <c r="H628" s="28" t="str">
        <f>_xlfn.XLOOKUP(Table134526_79101120212223242526[[#This Row],[Name Surname]],Manpower!$C$4:$C$1048576,Manpower!$H$4:$H$1048576,"")</f>
        <v>Manpower</v>
      </c>
      <c r="I628" s="24" t="str">
        <f>_xlfn.XLOOKUP(Table134526_79101120212223242526[[#This Row],[Name Surname]],Manpower!$C$4:$C$1048576,Manpower!$H$4:$H$1048576,"")</f>
        <v>Manpower</v>
      </c>
      <c r="J628" s="21" t="s">
        <v>35</v>
      </c>
      <c r="K628" s="21" t="s">
        <v>81</v>
      </c>
      <c r="L628" s="21" t="s">
        <v>82</v>
      </c>
      <c r="M628" s="21" t="s">
        <v>55</v>
      </c>
      <c r="N628" s="29">
        <v>10</v>
      </c>
      <c r="R628" s="21" t="s">
        <v>227</v>
      </c>
    </row>
    <row r="629" spans="1:18" ht="14.4">
      <c r="A629" s="33">
        <f>IF(C629="","",MAX($A$1:A628)+1)</f>
        <v>603</v>
      </c>
      <c r="B629" s="26" t="s">
        <v>79</v>
      </c>
      <c r="C629" s="23">
        <v>46086</v>
      </c>
      <c r="D629" s="28" t="str">
        <f>_xlfn.XLOOKUP(Table134526_79101120212223242526[[#This Row],[Name Surname]],Manpower!$C$4:$C$1048576,Manpower!$B$4:$B$1048576,"")</f>
        <v>Encogroup</v>
      </c>
      <c r="E629" s="21" t="s">
        <v>137</v>
      </c>
      <c r="F629" s="12" t="e">
        <f>_xlfn.XLOOKUP(Table134526_79101120212223242526[[#This Row],[Name Surname]],Manpower!C:C,Manpower!D:D,)</f>
        <v>#N/A</v>
      </c>
      <c r="G629" s="28" t="str">
        <f>_xlfn.XLOOKUP(Table134526_79101120212223242526[[#This Row],[Name Surname]],Manpower!$C$4:$C$1048576,Manpower!$F$4:$F$1048576,"")</f>
        <v>55 Seat Bus</v>
      </c>
      <c r="H629" s="28" t="str">
        <f>_xlfn.XLOOKUP(Table134526_79101120212223242526[[#This Row],[Name Surname]],Manpower!$C$4:$C$1048576,Manpower!$H$4:$H$1048576,"")</f>
        <v>Equipment</v>
      </c>
      <c r="I629" s="24" t="str">
        <f>_xlfn.XLOOKUP(Table134526_79101120212223242526[[#This Row],[Name Surname]],Manpower!$C$4:$C$1048576,Manpower!$H$4:$H$1048576,"")</f>
        <v>Equipment</v>
      </c>
      <c r="J629" s="21" t="s">
        <v>35</v>
      </c>
      <c r="K629" s="21" t="s">
        <v>81</v>
      </c>
      <c r="L629" s="21" t="s">
        <v>82</v>
      </c>
      <c r="M629" s="21" t="s">
        <v>55</v>
      </c>
      <c r="N629" s="29">
        <v>10</v>
      </c>
      <c r="R629" s="21" t="s">
        <v>227</v>
      </c>
    </row>
    <row r="630" spans="1:18" ht="14.4">
      <c r="A630" s="33">
        <f>IF(C630="","",MAX($A$1:A628)+1)</f>
        <v>603</v>
      </c>
      <c r="B630" s="26" t="s">
        <v>79</v>
      </c>
      <c r="C630" s="23">
        <v>46086</v>
      </c>
      <c r="D630" s="28" t="str">
        <f>_xlfn.XLOOKUP(Table134526_79101120212223242526[[#This Row],[Name Surname]],Manpower!$C$4:$C$1048576,Manpower!$B$4:$B$1048576,"")</f>
        <v>Encogroup</v>
      </c>
      <c r="E630" s="23" t="s">
        <v>139</v>
      </c>
      <c r="F630" s="12" t="e">
        <f>_xlfn.XLOOKUP(Table134526_79101120212223242526[[#This Row],[Name Surname]],Manpower!C:C,Manpower!D:D,)</f>
        <v>#N/A</v>
      </c>
      <c r="G630" s="28" t="str">
        <f>_xlfn.XLOOKUP(Table134526_79101120212223242526[[#This Row],[Name Surname]],Manpower!$C$4:$C$1048576,Manpower!$F$4:$F$1048576,"")</f>
        <v>TOWER LIGHT</v>
      </c>
      <c r="H630" s="28" t="str">
        <f>_xlfn.XLOOKUP(Table134526_79101120212223242526[[#This Row],[Name Surname]],Manpower!$C$4:$C$1048576,Manpower!$H$4:$H$1048576,"")</f>
        <v>Equipment</v>
      </c>
      <c r="I630" s="24" t="str">
        <f>_xlfn.XLOOKUP(Table134526_79101120212223242526[[#This Row],[Name Surname]],Manpower!$C$4:$C$1048576,Manpower!$H$4:$H$1048576,"")</f>
        <v>Equipment</v>
      </c>
      <c r="J630" s="21" t="s">
        <v>35</v>
      </c>
      <c r="K630" s="21" t="s">
        <v>81</v>
      </c>
      <c r="L630" s="21" t="s">
        <v>82</v>
      </c>
      <c r="M630" s="21" t="s">
        <v>55</v>
      </c>
      <c r="N630" s="29">
        <v>10</v>
      </c>
      <c r="R630" s="21" t="s">
        <v>227</v>
      </c>
    </row>
    <row r="631" spans="1:18" ht="14.4">
      <c r="A631" s="33">
        <f>IF(C631="","",MAX($A$1:A630)+1)</f>
        <v>604</v>
      </c>
      <c r="B631" s="27" t="s">
        <v>141</v>
      </c>
      <c r="C631" s="23">
        <v>46086</v>
      </c>
      <c r="D631" s="28" t="str">
        <f>_xlfn.XLOOKUP(Table134526_79101120212223242526[[#This Row],[Name Surname]],Manpower!$C$4:$C$1048576,Manpower!$B$4:$B$1048576,"")</f>
        <v>Encogroup</v>
      </c>
      <c r="E631" s="21" t="s">
        <v>142</v>
      </c>
      <c r="F631" s="12" t="e">
        <f>_xlfn.XLOOKUP(Table134526_79101120212223242526[[#This Row],[Name Surname]],Manpower!C:C,Manpower!D:D,)</f>
        <v>#N/A</v>
      </c>
      <c r="G631" s="28" t="str">
        <f>_xlfn.XLOOKUP(Table134526_79101120212223242526[[#This Row],[Name Surname]],Manpower!$C$4:$C$1048576,Manpower!$F$4:$F$1048576,"")</f>
        <v>13 Seat Bus</v>
      </c>
      <c r="H631" s="28" t="str">
        <f>_xlfn.XLOOKUP(Table134526_79101120212223242526[[#This Row],[Name Surname]],Manpower!$C$4:$C$1048576,Manpower!$H$4:$H$1048576,"")</f>
        <v>Equipment</v>
      </c>
      <c r="I631" s="24" t="str">
        <f>_xlfn.XLOOKUP(Table134526_79101120212223242526[[#This Row],[Name Surname]],Manpower!$C$4:$C$1048576,Manpower!$H$4:$H$1048576,"")</f>
        <v>Equipment</v>
      </c>
      <c r="J631" s="21" t="s">
        <v>143</v>
      </c>
      <c r="K631" s="21" t="s">
        <v>26</v>
      </c>
      <c r="L631" s="21" t="s">
        <v>144</v>
      </c>
      <c r="M631" s="21" t="s">
        <v>55</v>
      </c>
      <c r="N631" s="29">
        <v>10</v>
      </c>
      <c r="R631" s="21" t="s">
        <v>227</v>
      </c>
    </row>
    <row r="632" spans="1:18" ht="14.4">
      <c r="A632" s="33">
        <f>IF(C632="","",MAX($A$1:A631)+1)</f>
        <v>605</v>
      </c>
      <c r="B632" s="27" t="s">
        <v>141</v>
      </c>
      <c r="C632" s="23">
        <v>46086</v>
      </c>
      <c r="D632" s="28" t="str">
        <f>_xlfn.XLOOKUP(Table134526_79101120212223242526[[#This Row],[Name Surname]],Manpower!$C$4:$C$1048576,Manpower!$B$4:$B$1048576,"")</f>
        <v>Encogroup</v>
      </c>
      <c r="E632" s="21" t="s">
        <v>145</v>
      </c>
      <c r="F632" s="12" t="e">
        <f>_xlfn.XLOOKUP(Table134526_79101120212223242526[[#This Row],[Name Surname]],Manpower!C:C,Manpower!D:D,)</f>
        <v>#N/A</v>
      </c>
      <c r="G632" s="28" t="str">
        <f>_xlfn.XLOOKUP(Table134526_79101120212223242526[[#This Row],[Name Surname]],Manpower!$C$4:$C$1048576,Manpower!$F$4:$F$1048576,"")</f>
        <v>15 Seat Bus</v>
      </c>
      <c r="H632" s="28" t="str">
        <f>_xlfn.XLOOKUP(Table134526_79101120212223242526[[#This Row],[Name Surname]],Manpower!$C$4:$C$1048576,Manpower!$H$4:$H$1048576,"")</f>
        <v>Equipment</v>
      </c>
      <c r="I632" s="24" t="str">
        <f>_xlfn.XLOOKUP(Table134526_79101120212223242526[[#This Row],[Name Surname]],Manpower!$C$4:$C$1048576,Manpower!$H$4:$H$1048576,"")</f>
        <v>Equipment</v>
      </c>
      <c r="J632" s="21" t="s">
        <v>143</v>
      </c>
      <c r="K632" s="21" t="s">
        <v>26</v>
      </c>
      <c r="L632" s="21" t="s">
        <v>144</v>
      </c>
      <c r="M632" s="21" t="s">
        <v>55</v>
      </c>
      <c r="N632" s="29">
        <v>10</v>
      </c>
      <c r="R632" s="21" t="s">
        <v>227</v>
      </c>
    </row>
    <row r="633" spans="1:18" ht="14.4">
      <c r="A633" s="33">
        <f>IF(C633="","",MAX($A$1:A631)+1)</f>
        <v>605</v>
      </c>
      <c r="B633" s="27" t="s">
        <v>141</v>
      </c>
      <c r="C633" s="23">
        <v>46086</v>
      </c>
      <c r="D633" s="28" t="str">
        <f>_xlfn.XLOOKUP(Table134526_79101120212223242526[[#This Row],[Name Surname]],Manpower!$C$4:$C$1048576,Manpower!$B$4:$B$1048576,"")</f>
        <v>Nass Group</v>
      </c>
      <c r="E633" s="21" t="s">
        <v>146</v>
      </c>
      <c r="F633" s="12" t="e">
        <f>_xlfn.XLOOKUP(Table134526_79101120212223242526[[#This Row],[Name Surname]],Manpower!C:C,Manpower!D:D,)</f>
        <v>#N/A</v>
      </c>
      <c r="G633" s="28" t="str">
        <f>_xlfn.XLOOKUP(Table134526_79101120212223242526[[#This Row],[Name Surname]],Manpower!$C$4:$C$1048576,Manpower!$F$4:$F$1048576,"")</f>
        <v>130T Crawler Crane</v>
      </c>
      <c r="H633" s="28" t="str">
        <f>_xlfn.XLOOKUP(Table134526_79101120212223242526[[#This Row],[Name Surname]],Manpower!$C$4:$C$1048576,Manpower!$H$4:$H$1048576,"")</f>
        <v>Equipment</v>
      </c>
      <c r="I633" s="24" t="str">
        <f>_xlfn.XLOOKUP(Table134526_79101120212223242526[[#This Row],[Name Surname]],Manpower!$C$4:$C$1048576,Manpower!$H$4:$H$1048576,"")</f>
        <v>Equipment</v>
      </c>
      <c r="J633" s="21" t="s">
        <v>143</v>
      </c>
      <c r="K633" s="21" t="s">
        <v>26</v>
      </c>
      <c r="L633" s="21" t="s">
        <v>144</v>
      </c>
      <c r="M633" s="21" t="s">
        <v>55</v>
      </c>
      <c r="N633" s="29">
        <v>10</v>
      </c>
      <c r="R633" s="21" t="s">
        <v>227</v>
      </c>
    </row>
    <row r="634" spans="1:18" ht="14.4">
      <c r="A634" s="33">
        <f>IF(C634="","",MAX($A$1:A633)+1)</f>
        <v>606</v>
      </c>
      <c r="B634" s="27" t="s">
        <v>141</v>
      </c>
      <c r="C634" s="23">
        <v>46086</v>
      </c>
      <c r="D634" s="28" t="str">
        <f>_xlfn.XLOOKUP(Table134526_79101120212223242526[[#This Row],[Name Surname]],Manpower!$C$4:$C$1048576,Manpower!$B$4:$B$1048576,"")</f>
        <v>Nass Group</v>
      </c>
      <c r="E634" s="21" t="s">
        <v>148</v>
      </c>
      <c r="F634" s="12" t="e">
        <f>_xlfn.XLOOKUP(Table134526_79101120212223242526[[#This Row],[Name Surname]],Manpower!C:C,Manpower!D:D,)</f>
        <v>#N/A</v>
      </c>
      <c r="G634" s="28" t="str">
        <f>_xlfn.XLOOKUP(Table134526_79101120212223242526[[#This Row],[Name Surname]],Manpower!$C$4:$C$1048576,Manpower!$F$4:$F$1048576,"")</f>
        <v>70T-Telescopic crane</v>
      </c>
      <c r="H634" s="28" t="str">
        <f>_xlfn.XLOOKUP(Table134526_79101120212223242526[[#This Row],[Name Surname]],Manpower!$C$4:$C$1048576,Manpower!$H$4:$H$1048576,"")</f>
        <v>Equipment</v>
      </c>
      <c r="I634" s="24" t="str">
        <f>_xlfn.XLOOKUP(Table134526_79101120212223242526[[#This Row],[Name Surname]],Manpower!$C$4:$C$1048576,Manpower!$H$4:$H$1048576,"")</f>
        <v>Equipment</v>
      </c>
      <c r="J634" s="21" t="s">
        <v>143</v>
      </c>
      <c r="K634" s="21" t="s">
        <v>26</v>
      </c>
      <c r="L634" s="21" t="s">
        <v>144</v>
      </c>
      <c r="M634" s="21" t="s">
        <v>55</v>
      </c>
      <c r="N634" s="29">
        <v>10</v>
      </c>
      <c r="R634" s="21" t="s">
        <v>227</v>
      </c>
    </row>
    <row r="635" spans="1:18" ht="14.4">
      <c r="A635" s="33">
        <f>IF(C635="","",MAX($A$1:A634)+1)</f>
        <v>607</v>
      </c>
      <c r="B635" s="27" t="s">
        <v>141</v>
      </c>
      <c r="C635" s="23">
        <v>46086</v>
      </c>
      <c r="D635" s="28" t="str">
        <f>_xlfn.XLOOKUP(Table134526_79101120212223242526[[#This Row],[Name Surname]],Manpower!$C$4:$C$1048576,Manpower!$B$4:$B$1048576,"")</f>
        <v>Encogroup</v>
      </c>
      <c r="E635" s="21" t="s">
        <v>150</v>
      </c>
      <c r="F635" s="12" t="e">
        <f>_xlfn.XLOOKUP(Table134526_79101120212223242526[[#This Row],[Name Surname]],Manpower!C:C,Manpower!D:D,)</f>
        <v>#N/A</v>
      </c>
      <c r="G635" s="28" t="str">
        <f>_xlfn.XLOOKUP(Table134526_79101120212223242526[[#This Row],[Name Surname]],Manpower!$C$4:$C$1048576,Manpower!$F$4:$F$1048576,"")</f>
        <v>14T Fork lift</v>
      </c>
      <c r="H635" s="28" t="str">
        <f>_xlfn.XLOOKUP(Table134526_79101120212223242526[[#This Row],[Name Surname]],Manpower!$C$4:$C$1048576,Manpower!$H$4:$H$1048576,"")</f>
        <v>Equipment</v>
      </c>
      <c r="I635" s="24" t="str">
        <f>_xlfn.XLOOKUP(Table134526_79101120212223242526[[#This Row],[Name Surname]],Manpower!$C$4:$C$1048576,Manpower!$H$4:$H$1048576,"")</f>
        <v>Equipment</v>
      </c>
      <c r="J635" s="21" t="s">
        <v>143</v>
      </c>
      <c r="K635" s="21" t="s">
        <v>26</v>
      </c>
      <c r="L635" s="21" t="s">
        <v>144</v>
      </c>
      <c r="M635" s="21" t="s">
        <v>55</v>
      </c>
      <c r="N635" s="29">
        <v>10</v>
      </c>
      <c r="R635" s="21" t="s">
        <v>227</v>
      </c>
    </row>
    <row r="636" spans="1:18" ht="14.4">
      <c r="A636" s="33">
        <f>IF(C636="","",MAX($A$1:A635)+1)</f>
        <v>608</v>
      </c>
      <c r="B636" s="27" t="s">
        <v>141</v>
      </c>
      <c r="C636" s="23">
        <v>46086</v>
      </c>
      <c r="D636" s="28" t="str">
        <f>_xlfn.XLOOKUP(Table134526_79101120212223242526[[#This Row],[Name Surname]],Manpower!$C$4:$C$1048576,Manpower!$B$4:$B$1048576,"")</f>
        <v>Al Jaber Heavy Lift</v>
      </c>
      <c r="E636" s="21" t="s">
        <v>151</v>
      </c>
      <c r="F636" s="12" t="e">
        <f>_xlfn.XLOOKUP(Table134526_79101120212223242526[[#This Row],[Name Surname]],Manpower!C:C,Manpower!D:D,)</f>
        <v>#N/A</v>
      </c>
      <c r="G636" s="28" t="str">
        <f>_xlfn.XLOOKUP(Table134526_79101120212223242526[[#This Row],[Name Surname]],Manpower!$C$4:$C$1048576,Manpower!$F$4:$F$1048576,"")</f>
        <v>150T-Crawler Crane</v>
      </c>
      <c r="H636" s="28" t="str">
        <f>_xlfn.XLOOKUP(Table134526_79101120212223242526[[#This Row],[Name Surname]],Manpower!$C$4:$C$1048576,Manpower!$H$4:$H$1048576,"")</f>
        <v>Equipment</v>
      </c>
      <c r="I636" s="24" t="str">
        <f>_xlfn.XLOOKUP(Table134526_79101120212223242526[[#This Row],[Name Surname]],Manpower!$C$4:$C$1048576,Manpower!$H$4:$H$1048576,"")</f>
        <v>Equipment</v>
      </c>
      <c r="J636" s="21" t="s">
        <v>143</v>
      </c>
      <c r="K636" s="21" t="s">
        <v>26</v>
      </c>
      <c r="L636" s="21" t="s">
        <v>144</v>
      </c>
      <c r="M636" s="21" t="s">
        <v>55</v>
      </c>
      <c r="N636" s="29">
        <v>10</v>
      </c>
      <c r="R636" s="21" t="s">
        <v>227</v>
      </c>
    </row>
    <row r="637" spans="1:18" ht="14.4">
      <c r="A637" s="33">
        <f>IF(C637="","",MAX($A$1:A636)+1)</f>
        <v>609</v>
      </c>
      <c r="B637" s="27" t="s">
        <v>141</v>
      </c>
      <c r="C637" s="23">
        <v>46086</v>
      </c>
      <c r="D637" s="28" t="str">
        <f>_xlfn.XLOOKUP(Table134526_79101120212223242526[[#This Row],[Name Surname]],Manpower!$C$4:$C$1048576,Manpower!$B$4:$B$1048576,"")</f>
        <v>Encogroup</v>
      </c>
      <c r="E637" s="21" t="s">
        <v>153</v>
      </c>
      <c r="F637" s="12" t="e">
        <f>_xlfn.XLOOKUP(Table134526_79101120212223242526[[#This Row],[Name Surname]],Manpower!C:C,Manpower!D:D,)</f>
        <v>#N/A</v>
      </c>
      <c r="G637" s="28" t="str">
        <f>_xlfn.XLOOKUP(Table134526_79101120212223242526[[#This Row],[Name Surname]],Manpower!$C$4:$C$1048576,Manpower!$F$4:$F$1048576,"")</f>
        <v>22 Seat Bus</v>
      </c>
      <c r="H637" s="28" t="str">
        <f>_xlfn.XLOOKUP(Table134526_79101120212223242526[[#This Row],[Name Surname]],Manpower!$C$4:$C$1048576,Manpower!$H$4:$H$1048576,"")</f>
        <v>Equipment</v>
      </c>
      <c r="I637" s="24" t="str">
        <f>_xlfn.XLOOKUP(Table134526_79101120212223242526[[#This Row],[Name Surname]],Manpower!$C$4:$C$1048576,Manpower!$H$4:$H$1048576,"")</f>
        <v>Equipment</v>
      </c>
      <c r="J637" s="21" t="s">
        <v>143</v>
      </c>
      <c r="K637" s="21" t="s">
        <v>26</v>
      </c>
      <c r="L637" s="21" t="s">
        <v>144</v>
      </c>
      <c r="M637" s="21" t="s">
        <v>55</v>
      </c>
      <c r="N637" s="29">
        <v>10</v>
      </c>
      <c r="R637" s="21" t="s">
        <v>227</v>
      </c>
    </row>
    <row r="638" spans="1:18" ht="14.4">
      <c r="A638" s="33">
        <f>IF(C638="","",MAX($A$1:A637)+1)</f>
        <v>610</v>
      </c>
      <c r="B638" s="27" t="s">
        <v>141</v>
      </c>
      <c r="C638" s="23">
        <v>46086</v>
      </c>
      <c r="D638" s="28" t="str">
        <f>_xlfn.XLOOKUP(Table134526_79101120212223242526[[#This Row],[Name Surname]],Manpower!$C$4:$C$1048576,Manpower!$B$4:$B$1048576,"")</f>
        <v>Encogroup</v>
      </c>
      <c r="E638" s="21" t="s">
        <v>154</v>
      </c>
      <c r="F638" s="12" t="e">
        <f>_xlfn.XLOOKUP(Table134526_79101120212223242526[[#This Row],[Name Surname]],Manpower!C:C,Manpower!D:D,)</f>
        <v>#N/A</v>
      </c>
      <c r="G638" s="28" t="str">
        <f>_xlfn.XLOOKUP(Table134526_79101120212223242526[[#This Row],[Name Surname]],Manpower!$C$4:$C$1048576,Manpower!$F$4:$F$1048576,"")</f>
        <v>22 Seat Bus</v>
      </c>
      <c r="H638" s="28" t="str">
        <f>_xlfn.XLOOKUP(Table134526_79101120212223242526[[#This Row],[Name Surname]],Manpower!$C$4:$C$1048576,Manpower!$H$4:$H$1048576,"")</f>
        <v>Equipment</v>
      </c>
      <c r="I638" s="24" t="str">
        <f>_xlfn.XLOOKUP(Table134526_79101120212223242526[[#This Row],[Name Surname]],Manpower!$C$4:$C$1048576,Manpower!$H$4:$H$1048576,"")</f>
        <v>Equipment</v>
      </c>
      <c r="J638" s="21" t="s">
        <v>143</v>
      </c>
      <c r="K638" s="21" t="s">
        <v>26</v>
      </c>
      <c r="L638" s="21" t="s">
        <v>144</v>
      </c>
      <c r="M638" s="21" t="s">
        <v>55</v>
      </c>
      <c r="N638" s="29">
        <v>10</v>
      </c>
      <c r="R638" s="21" t="s">
        <v>227</v>
      </c>
    </row>
    <row r="639" spans="1:18" ht="14.4">
      <c r="A639" s="33">
        <f>IF(C639="","",MAX($A$1:A638)+1)</f>
        <v>611</v>
      </c>
      <c r="B639" s="27" t="s">
        <v>141</v>
      </c>
      <c r="C639" s="23">
        <v>46086</v>
      </c>
      <c r="D639" s="28" t="str">
        <f>_xlfn.XLOOKUP(Table134526_79101120212223242526[[#This Row],[Name Surname]],Manpower!$C$4:$C$1048576,Manpower!$B$4:$B$1048576,"")</f>
        <v>Encogroup</v>
      </c>
      <c r="E639" s="21" t="s">
        <v>155</v>
      </c>
      <c r="F639" s="12" t="e">
        <f>_xlfn.XLOOKUP(Table134526_79101120212223242526[[#This Row],[Name Surname]],Manpower!C:C,Manpower!D:D,)</f>
        <v>#N/A</v>
      </c>
      <c r="G639" s="28" t="str">
        <f>_xlfn.XLOOKUP(Table134526_79101120212223242526[[#This Row],[Name Surname]],Manpower!$C$4:$C$1048576,Manpower!$F$4:$F$1048576,"")</f>
        <v>300 KVA Generator</v>
      </c>
      <c r="H639" s="28" t="str">
        <f>_xlfn.XLOOKUP(Table134526_79101120212223242526[[#This Row],[Name Surname]],Manpower!$C$4:$C$1048576,Manpower!$H$4:$H$1048576,"")</f>
        <v>Equipment</v>
      </c>
      <c r="I639" s="24" t="str">
        <f>_xlfn.XLOOKUP(Table134526_79101120212223242526[[#This Row],[Name Surname]],Manpower!$C$4:$C$1048576,Manpower!$H$4:$H$1048576,"")</f>
        <v>Equipment</v>
      </c>
      <c r="J639" s="21" t="s">
        <v>143</v>
      </c>
      <c r="K639" s="21" t="s">
        <v>26</v>
      </c>
      <c r="L639" s="21" t="s">
        <v>144</v>
      </c>
      <c r="M639" s="21" t="s">
        <v>24</v>
      </c>
      <c r="N639" s="29">
        <v>10</v>
      </c>
      <c r="R639" s="21" t="s">
        <v>227</v>
      </c>
    </row>
    <row r="640" spans="1:18" ht="14.4">
      <c r="A640" s="33">
        <f>IF(C640="","",MAX($A$1:A639)+1)</f>
        <v>612</v>
      </c>
      <c r="B640" s="27" t="s">
        <v>141</v>
      </c>
      <c r="C640" s="23">
        <v>46086</v>
      </c>
      <c r="D640" s="28" t="str">
        <f>_xlfn.XLOOKUP(Table134526_79101120212223242526[[#This Row],[Name Surname]],Manpower!$C$4:$C$1048576,Manpower!$B$4:$B$1048576,"")</f>
        <v>Encogroup</v>
      </c>
      <c r="E640" s="23" t="s">
        <v>156</v>
      </c>
      <c r="F640" s="12" t="e">
        <f>_xlfn.XLOOKUP(Table134526_79101120212223242526[[#This Row],[Name Surname]],Manpower!C:C,Manpower!D:D,)</f>
        <v>#N/A</v>
      </c>
      <c r="G640" s="28" t="str">
        <f>_xlfn.XLOOKUP(Table134526_79101120212223242526[[#This Row],[Name Surname]],Manpower!$C$4:$C$1048576,Manpower!$F$4:$F$1048576,"")</f>
        <v>35 KVA Generator</v>
      </c>
      <c r="H640" s="28" t="str">
        <f>_xlfn.XLOOKUP(Table134526_79101120212223242526[[#This Row],[Name Surname]],Manpower!$C$4:$C$1048576,Manpower!$H$4:$H$1048576,"")</f>
        <v>Equipment</v>
      </c>
      <c r="I640" s="24" t="str">
        <f>_xlfn.XLOOKUP(Table134526_79101120212223242526[[#This Row],[Name Surname]],Manpower!$C$4:$C$1048576,Manpower!$H$4:$H$1048576,"")</f>
        <v>Equipment</v>
      </c>
      <c r="J640" s="21" t="s">
        <v>143</v>
      </c>
      <c r="K640" s="21" t="s">
        <v>26</v>
      </c>
      <c r="L640" s="21" t="s">
        <v>144</v>
      </c>
      <c r="M640" s="21" t="s">
        <v>55</v>
      </c>
      <c r="N640" s="29">
        <v>10</v>
      </c>
      <c r="R640" s="21" t="s">
        <v>227</v>
      </c>
    </row>
    <row r="641" spans="1:18" ht="14.4" hidden="1">
      <c r="A641" s="33">
        <f>IF(C641="","",MAX($A$1:A640)+1)</f>
        <v>613</v>
      </c>
      <c r="B641" s="27" t="s">
        <v>141</v>
      </c>
      <c r="C641" s="23">
        <v>46086</v>
      </c>
      <c r="D641" s="28" t="str">
        <f>_xlfn.XLOOKUP(Table134526_79101120212223242526[[#This Row],[Name Surname]],Manpower!$C$4:$C$1048576,Manpower!$B$4:$B$1048576,"")</f>
        <v>Encogroup</v>
      </c>
      <c r="E641" s="21" t="s">
        <v>157</v>
      </c>
      <c r="F641" s="12">
        <f>_xlfn.XLOOKUP(Table134526_79101120212223242526[[#This Row],[Name Surname]],Manpower!C:C,Manpower!D:D,)</f>
        <v>140742144</v>
      </c>
      <c r="G641" s="28" t="str">
        <f>_xlfn.XLOOKUP(Table134526_79101120212223242526[[#This Row],[Name Surname]],Manpower!$C$4:$C$1048576,Manpower!$F$4:$F$1048576,"")</f>
        <v>Assistant/Helper</v>
      </c>
      <c r="H641" s="28" t="str">
        <f>_xlfn.XLOOKUP(Table134526_79101120212223242526[[#This Row],[Name Surname]],Manpower!$C$4:$C$1048576,Manpower!$H$4:$H$1048576,"")</f>
        <v>Manpower</v>
      </c>
      <c r="I641" s="24" t="str">
        <f>_xlfn.XLOOKUP(Table134526_79101120212223242526[[#This Row],[Name Surname]],Manpower!$C$4:$C$1048576,Manpower!$H$4:$H$1048576,"")</f>
        <v>Manpower</v>
      </c>
      <c r="J641" s="21" t="s">
        <v>158</v>
      </c>
      <c r="K641" s="21" t="s">
        <v>26</v>
      </c>
      <c r="L641" s="21" t="s">
        <v>26</v>
      </c>
      <c r="M641" s="21" t="s">
        <v>55</v>
      </c>
      <c r="N641" s="29">
        <v>10</v>
      </c>
      <c r="R641" s="21" t="s">
        <v>227</v>
      </c>
    </row>
    <row r="642" spans="1:18" ht="14.4" hidden="1">
      <c r="A642" s="33">
        <f>IF(C642="","",MAX($A$1:A641)+1)</f>
        <v>614</v>
      </c>
      <c r="B642" s="27" t="s">
        <v>141</v>
      </c>
      <c r="C642" s="23">
        <v>46086</v>
      </c>
      <c r="D642" s="28" t="str">
        <f>_xlfn.XLOOKUP(Table134526_79101120212223242526[[#This Row],[Name Surname]],Manpower!$C$4:$C$1048576,Manpower!$B$4:$B$1048576,"")</f>
        <v>SARENS NASS</v>
      </c>
      <c r="E642" s="21" t="s">
        <v>162</v>
      </c>
      <c r="F642" s="12">
        <f>_xlfn.XLOOKUP(Table134526_79101120212223242526[[#This Row],[Name Surname]],Manpower!C:C,Manpower!D:D,)</f>
        <v>78753612</v>
      </c>
      <c r="G642" s="28" t="str">
        <f>_xlfn.XLOOKUP(Table134526_79101120212223242526[[#This Row],[Name Surname]],Manpower!$C$4:$C$1048576,Manpower!$F$4:$F$1048576,"")</f>
        <v>Crane Operator- 70T Liebherr Telescopic Crane-02</v>
      </c>
      <c r="H642" s="28" t="s">
        <v>39</v>
      </c>
      <c r="I642" s="24" t="s">
        <v>39</v>
      </c>
      <c r="J642" s="21" t="s">
        <v>143</v>
      </c>
      <c r="K642" s="21" t="s">
        <v>26</v>
      </c>
      <c r="L642" s="21" t="s">
        <v>144</v>
      </c>
      <c r="M642" s="21" t="s">
        <v>55</v>
      </c>
      <c r="N642" s="29">
        <v>10</v>
      </c>
      <c r="R642" s="21" t="s">
        <v>227</v>
      </c>
    </row>
    <row r="643" spans="1:18" ht="14.4" hidden="1">
      <c r="A643" s="33">
        <f>IF(C643="","",MAX($A$1:A642)+1)</f>
        <v>615</v>
      </c>
      <c r="B643" s="27" t="s">
        <v>141</v>
      </c>
      <c r="C643" s="23">
        <v>46086</v>
      </c>
      <c r="D643" s="28" t="str">
        <f>_xlfn.XLOOKUP(Table134526_79101120212223242526[[#This Row],[Name Surname]],Manpower!$C$4:$C$1048576,Manpower!$B$4:$B$1048576,"")</f>
        <v>Al Jaber Heavy Lift</v>
      </c>
      <c r="E643" s="21" t="s">
        <v>164</v>
      </c>
      <c r="F643" s="12">
        <f>_xlfn.XLOOKUP(Table134526_79101120212223242526[[#This Row],[Name Surname]],Manpower!C:C,Manpower!D:D,)</f>
        <v>112778626</v>
      </c>
      <c r="G643" s="28" t="str">
        <f>_xlfn.XLOOKUP(Table134526_79101120212223242526[[#This Row],[Name Surname]],Manpower!$C$4:$C$1048576,Manpower!$F$4:$F$1048576,"")</f>
        <v>Crane Operator-150T Hitachi Crawler</v>
      </c>
      <c r="H643" s="28" t="s">
        <v>39</v>
      </c>
      <c r="I643" s="24" t="s">
        <v>39</v>
      </c>
      <c r="J643" s="21" t="s">
        <v>143</v>
      </c>
      <c r="K643" s="21" t="s">
        <v>26</v>
      </c>
      <c r="L643" s="21" t="s">
        <v>144</v>
      </c>
      <c r="M643" s="21" t="s">
        <v>55</v>
      </c>
      <c r="N643" s="29">
        <v>10</v>
      </c>
      <c r="R643" s="21" t="s">
        <v>227</v>
      </c>
    </row>
    <row r="644" spans="1:18" ht="14.4" hidden="1">
      <c r="A644" s="33">
        <f>IF(C644="","",MAX($A$1:A643)+1)</f>
        <v>616</v>
      </c>
      <c r="B644" s="27" t="s">
        <v>141</v>
      </c>
      <c r="C644" s="23">
        <v>46086</v>
      </c>
      <c r="D644" s="28" t="str">
        <f>_xlfn.XLOOKUP(Table134526_79101120212223242526[[#This Row],[Name Surname]],Manpower!$C$4:$C$1048576,Manpower!$B$4:$B$1048576,"")</f>
        <v>Encogroup</v>
      </c>
      <c r="E644" s="21" t="s">
        <v>166</v>
      </c>
      <c r="F644" s="12" t="str">
        <f>_xlfn.XLOOKUP(Table134526_79101120212223242526[[#This Row],[Name Surname]],Manpower!C:C,Manpower!D:D,)</f>
        <v>U4181508</v>
      </c>
      <c r="G644" s="28" t="str">
        <f>_xlfn.XLOOKUP(Table134526_79101120212223242526[[#This Row],[Name Surname]],Manpower!$C$4:$C$1048576,Manpower!$F$4:$F$1048576,"")</f>
        <v>Welder</v>
      </c>
      <c r="H644" s="28" t="str">
        <f>_xlfn.XLOOKUP(Table134526_79101120212223242526[[#This Row],[Name Surname]],Manpower!$C$4:$C$1048576,Manpower!$H$4:$H$1048576,"")</f>
        <v>Manpower</v>
      </c>
      <c r="I644" s="24" t="str">
        <f>_xlfn.XLOOKUP(Table134526_79101120212223242526[[#This Row],[Name Surname]],Manpower!$C$4:$C$1048576,Manpower!$H$4:$H$1048576,"")</f>
        <v>Manpower</v>
      </c>
      <c r="J644" s="21" t="s">
        <v>143</v>
      </c>
      <c r="K644" s="21" t="s">
        <v>26</v>
      </c>
      <c r="L644" s="21" t="s">
        <v>144</v>
      </c>
      <c r="M644" s="21" t="s">
        <v>55</v>
      </c>
      <c r="N644" s="29">
        <v>10</v>
      </c>
      <c r="R644" s="21" t="s">
        <v>227</v>
      </c>
    </row>
    <row r="645" spans="1:18" ht="14.4" hidden="1">
      <c r="A645" s="33">
        <f>IF(C645="","",MAX($A$1:A644)+1)</f>
        <v>617</v>
      </c>
      <c r="B645" s="27" t="s">
        <v>141</v>
      </c>
      <c r="C645" s="23">
        <v>46086</v>
      </c>
      <c r="D645" s="28" t="str">
        <f>_xlfn.XLOOKUP(Table134526_79101120212223242526[[#This Row],[Name Surname]],Manpower!$C$4:$C$1048576,Manpower!$B$4:$B$1048576,"")</f>
        <v>Encogroup</v>
      </c>
      <c r="E645" s="21" t="s">
        <v>167</v>
      </c>
      <c r="F645" s="12">
        <f>_xlfn.XLOOKUP(Table134526_79101120212223242526[[#This Row],[Name Surname]],Manpower!C:C,Manpower!D:D,)</f>
        <v>125440631</v>
      </c>
      <c r="G645" s="28" t="str">
        <f>_xlfn.XLOOKUP(Table134526_79101120212223242526[[#This Row],[Name Surname]],Manpower!$C$4:$C$1048576,Manpower!$F$4:$F$1048576,"")</f>
        <v>Rigger</v>
      </c>
      <c r="H645" s="28" t="str">
        <f>_xlfn.XLOOKUP(Table134526_79101120212223242526[[#This Row],[Name Surname]],Manpower!$C$4:$C$1048576,Manpower!$H$4:$H$1048576,"")</f>
        <v>Manpower</v>
      </c>
      <c r="I645" s="24" t="str">
        <f>_xlfn.XLOOKUP(Table134526_79101120212223242526[[#This Row],[Name Surname]],Manpower!$C$4:$C$1048576,Manpower!$H$4:$H$1048576,"")</f>
        <v>Manpower</v>
      </c>
      <c r="J645" s="21" t="s">
        <v>143</v>
      </c>
      <c r="K645" s="21" t="s">
        <v>26</v>
      </c>
      <c r="L645" s="21" t="s">
        <v>144</v>
      </c>
      <c r="M645" s="21" t="s">
        <v>55</v>
      </c>
      <c r="N645" s="29">
        <v>10</v>
      </c>
      <c r="R645" s="21" t="s">
        <v>227</v>
      </c>
    </row>
    <row r="646" spans="1:18" ht="14.4" hidden="1">
      <c r="A646" s="33">
        <f>IF(C646="","",MAX($A$1:A645)+1)</f>
        <v>618</v>
      </c>
      <c r="B646" s="27" t="s">
        <v>141</v>
      </c>
      <c r="C646" s="23">
        <v>46086</v>
      </c>
      <c r="D646" s="28" t="str">
        <f>_xlfn.XLOOKUP(Table134526_79101120212223242526[[#This Row],[Name Surname]],Manpower!$C$4:$C$1048576,Manpower!$B$4:$B$1048576,"")</f>
        <v>AL Omar International TRAD AND CONT</v>
      </c>
      <c r="E646" s="21" t="s">
        <v>169</v>
      </c>
      <c r="F646" s="12">
        <f>_xlfn.XLOOKUP(Table134526_79101120212223242526[[#This Row],[Name Surname]],Manpower!C:C,Manpower!D:D,)</f>
        <v>115731078</v>
      </c>
      <c r="G646" s="28" t="str">
        <f>_xlfn.XLOOKUP(Table134526_79101120212223242526[[#This Row],[Name Surname]],Manpower!$C$4:$C$1048576,Manpower!$F$4:$F$1048576,"")</f>
        <v>Scaffolder</v>
      </c>
      <c r="H646" s="28" t="str">
        <f>_xlfn.XLOOKUP(Table134526_79101120212223242526[[#This Row],[Name Surname]],Manpower!$C$4:$C$1048576,Manpower!$H$4:$H$1048576,"")</f>
        <v>Sub Contactor</v>
      </c>
      <c r="I646" s="24" t="str">
        <f>_xlfn.XLOOKUP(Table134526_79101120212223242526[[#This Row],[Name Surname]],Manpower!$C$4:$C$1048576,Manpower!$H$4:$H$1048576,"")</f>
        <v>Sub Contactor</v>
      </c>
      <c r="J646" s="21" t="s">
        <v>143</v>
      </c>
      <c r="K646" s="21" t="s">
        <v>26</v>
      </c>
      <c r="L646" s="21" t="s">
        <v>144</v>
      </c>
      <c r="M646" s="21" t="s">
        <v>55</v>
      </c>
      <c r="N646" s="29">
        <v>10</v>
      </c>
      <c r="R646" s="21" t="s">
        <v>227</v>
      </c>
    </row>
    <row r="647" spans="1:18" ht="14.4" hidden="1">
      <c r="A647" s="33">
        <f>IF(C647="","",MAX($A$1:A646)+1)</f>
        <v>619</v>
      </c>
      <c r="B647" s="27" t="s">
        <v>141</v>
      </c>
      <c r="C647" s="23">
        <v>46086</v>
      </c>
      <c r="D647" s="28" t="str">
        <f>_xlfn.XLOOKUP(Table134526_79101120212223242526[[#This Row],[Name Surname]],Manpower!$C$4:$C$1048576,Manpower!$B$4:$B$1048576,"")</f>
        <v>Encogroup</v>
      </c>
      <c r="E647" s="21" t="s">
        <v>172</v>
      </c>
      <c r="F647" s="12">
        <f>_xlfn.XLOOKUP(Table134526_79101120212223242526[[#This Row],[Name Surname]],Manpower!C:C,Manpower!D:D,)</f>
        <v>140764355</v>
      </c>
      <c r="G647" s="28" t="str">
        <f>_xlfn.XLOOKUP(Table134526_79101120212223242526[[#This Row],[Name Surname]],Manpower!$C$4:$C$1048576,Manpower!$F$4:$F$1048576,"")</f>
        <v>Fitter/Erector</v>
      </c>
      <c r="H647" s="28" t="str">
        <f>_xlfn.XLOOKUP(Table134526_79101120212223242526[[#This Row],[Name Surname]],Manpower!$C$4:$C$1048576,Manpower!$H$4:$H$1048576,"")</f>
        <v>Manpower</v>
      </c>
      <c r="I647" s="24" t="str">
        <f>_xlfn.XLOOKUP(Table134526_79101120212223242526[[#This Row],[Name Surname]],Manpower!$C$4:$C$1048576,Manpower!$H$4:$H$1048576,"")</f>
        <v>Manpower</v>
      </c>
      <c r="J647" s="21" t="s">
        <v>143</v>
      </c>
      <c r="K647" s="21" t="s">
        <v>26</v>
      </c>
      <c r="L647" s="21" t="s">
        <v>144</v>
      </c>
      <c r="M647" s="21" t="s">
        <v>55</v>
      </c>
      <c r="N647" s="29">
        <v>10</v>
      </c>
      <c r="R647" s="21" t="s">
        <v>227</v>
      </c>
    </row>
    <row r="648" spans="1:18" ht="14.4" hidden="1">
      <c r="A648" s="33">
        <f>IF(C648="","",MAX($A$1:A647)+1)</f>
        <v>620</v>
      </c>
      <c r="B648" s="27" t="s">
        <v>141</v>
      </c>
      <c r="C648" s="23">
        <v>46086</v>
      </c>
      <c r="D648" s="28" t="str">
        <f>_xlfn.XLOOKUP(Table134526_79101120212223242526[[#This Row],[Name Surname]],Manpower!$C$4:$C$1048576,Manpower!$B$4:$B$1048576,"")</f>
        <v>Encogroup</v>
      </c>
      <c r="E648" s="21" t="s">
        <v>173</v>
      </c>
      <c r="F648" s="12" t="str">
        <f>_xlfn.XLOOKUP(Table134526_79101120212223242526[[#This Row],[Name Surname]],Manpower!C:C,Manpower!D:D,)</f>
        <v>S3549132</v>
      </c>
      <c r="G648" s="28" t="str">
        <f>_xlfn.XLOOKUP(Table134526_79101120212223242526[[#This Row],[Name Surname]],Manpower!$C$4:$C$1048576,Manpower!$F$4:$F$1048576,"")</f>
        <v>Grinder</v>
      </c>
      <c r="H648" s="28" t="str">
        <f>_xlfn.XLOOKUP(Table134526_79101120212223242526[[#This Row],[Name Surname]],Manpower!$C$4:$C$1048576,Manpower!$H$4:$H$1048576,"")</f>
        <v>Manpower</v>
      </c>
      <c r="I648" s="24" t="str">
        <f>_xlfn.XLOOKUP(Table134526_79101120212223242526[[#This Row],[Name Surname]],Manpower!$C$4:$C$1048576,Manpower!$H$4:$H$1048576,"")</f>
        <v>Manpower</v>
      </c>
      <c r="J648" s="21" t="s">
        <v>143</v>
      </c>
      <c r="K648" s="21" t="s">
        <v>26</v>
      </c>
      <c r="L648" s="21" t="s">
        <v>144</v>
      </c>
      <c r="M648" s="21" t="s">
        <v>55</v>
      </c>
      <c r="N648" s="29">
        <v>10</v>
      </c>
      <c r="R648" s="21" t="s">
        <v>227</v>
      </c>
    </row>
    <row r="649" spans="1:18" ht="14.4" hidden="1">
      <c r="A649" s="33">
        <f>IF(C649="","",MAX($A$1:A648)+1)</f>
        <v>621</v>
      </c>
      <c r="B649" s="27" t="s">
        <v>141</v>
      </c>
      <c r="C649" s="23">
        <v>46086</v>
      </c>
      <c r="D649" s="28" t="str">
        <f>_xlfn.XLOOKUP(Table134526_79101120212223242526[[#This Row],[Name Surname]],Manpower!$C$4:$C$1048576,Manpower!$B$4:$B$1048576,"")</f>
        <v>Encogroup</v>
      </c>
      <c r="E649" s="21" t="s">
        <v>175</v>
      </c>
      <c r="F649" s="12">
        <f>_xlfn.XLOOKUP(Table134526_79101120212223242526[[#This Row],[Name Surname]],Manpower!C:C,Manpower!D:D,)</f>
        <v>140742125</v>
      </c>
      <c r="G649" s="28" t="str">
        <f>_xlfn.XLOOKUP(Table134526_79101120212223242526[[#This Row],[Name Surname]],Manpower!$C$4:$C$1048576,Manpower!$F$4:$F$1048576,"")</f>
        <v>Assistant/Helper</v>
      </c>
      <c r="H649" s="28" t="str">
        <f>_xlfn.XLOOKUP(Table134526_79101120212223242526[[#This Row],[Name Surname]],Manpower!$C$4:$C$1048576,Manpower!$H$4:$H$1048576,"")</f>
        <v>Manpower</v>
      </c>
      <c r="I649" s="24" t="str">
        <f>_xlfn.XLOOKUP(Table134526_79101120212223242526[[#This Row],[Name Surname]],Manpower!$C$4:$C$1048576,Manpower!$H$4:$H$1048576,"")</f>
        <v>Manpower</v>
      </c>
      <c r="J649" s="21" t="s">
        <v>158</v>
      </c>
      <c r="K649" s="21" t="s">
        <v>26</v>
      </c>
      <c r="L649" s="21" t="s">
        <v>26</v>
      </c>
      <c r="M649" s="21" t="s">
        <v>55</v>
      </c>
      <c r="N649" s="29">
        <v>10</v>
      </c>
      <c r="R649" s="21" t="s">
        <v>227</v>
      </c>
    </row>
    <row r="650" spans="1:18" ht="14.4" hidden="1">
      <c r="A650" s="33">
        <f>IF(C650="","",MAX($A$1:A649)+1)</f>
        <v>622</v>
      </c>
      <c r="B650" s="27" t="s">
        <v>141</v>
      </c>
      <c r="C650" s="23">
        <v>46086</v>
      </c>
      <c r="D650" s="28" t="str">
        <f>_xlfn.XLOOKUP(Table134526_79101120212223242526[[#This Row],[Name Surname]],Manpower!$C$4:$C$1048576,Manpower!$B$4:$B$1048576,"")</f>
        <v>Encogroup</v>
      </c>
      <c r="E650" s="21" t="s">
        <v>228</v>
      </c>
      <c r="F650" s="12">
        <f>_xlfn.XLOOKUP(Table134526_79101120212223242526[[#This Row],[Name Surname]],Manpower!C:C,Manpower!D:D,)</f>
        <v>125199963</v>
      </c>
      <c r="G650" s="28" t="str">
        <f>_xlfn.XLOOKUP(Table134526_79101120212223242526[[#This Row],[Name Surname]],Manpower!$C$4:$C$1048576,Manpower!$F$4:$F$1048576,"")</f>
        <v>Electrician</v>
      </c>
      <c r="H650" s="28" t="str">
        <f>_xlfn.XLOOKUP(Table134526_79101120212223242526[[#This Row],[Name Surname]],Manpower!$C$4:$C$1048576,Manpower!$H$4:$H$1048576,"")</f>
        <v>Manpower</v>
      </c>
      <c r="I650" s="24" t="str">
        <f>_xlfn.XLOOKUP(Table134526_79101120212223242526[[#This Row],[Name Surname]],Manpower!$C$4:$C$1048576,Manpower!$H$4:$H$1048576,"")</f>
        <v>Manpower</v>
      </c>
      <c r="J650" s="21" t="s">
        <v>158</v>
      </c>
      <c r="K650" s="21" t="s">
        <v>26</v>
      </c>
      <c r="L650" s="21" t="s">
        <v>26</v>
      </c>
      <c r="M650" s="21" t="s">
        <v>55</v>
      </c>
      <c r="N650" s="29">
        <v>10</v>
      </c>
      <c r="R650" s="21" t="s">
        <v>227</v>
      </c>
    </row>
    <row r="651" spans="1:18" ht="14.4" hidden="1">
      <c r="A651" s="33">
        <f>IF(C651="","",MAX($A$1:A650)+1)</f>
        <v>623</v>
      </c>
      <c r="B651" s="27" t="s">
        <v>141</v>
      </c>
      <c r="C651" s="23">
        <v>46086</v>
      </c>
      <c r="D651" s="28" t="str">
        <f>_xlfn.XLOOKUP(Table134526_79101120212223242526[[#This Row],[Name Surname]],Manpower!$C$4:$C$1048576,Manpower!$B$4:$B$1048576,"")</f>
        <v>Encogroup</v>
      </c>
      <c r="E651" s="21" t="s">
        <v>176</v>
      </c>
      <c r="F651" s="12">
        <f>_xlfn.XLOOKUP(Table134526_79101120212223242526[[#This Row],[Name Surname]],Manpower!C:C,Manpower!D:D,)</f>
        <v>124398279</v>
      </c>
      <c r="G651" s="28" t="str">
        <f>_xlfn.XLOOKUP(Table134526_79101120212223242526[[#This Row],[Name Surname]],Manpower!$C$4:$C$1048576,Manpower!$F$4:$F$1048576,"")</f>
        <v>Permit Receiver</v>
      </c>
      <c r="H651" s="28" t="str">
        <f>_xlfn.XLOOKUP(Table134526_79101120212223242526[[#This Row],[Name Surname]],Manpower!$C$4:$C$1048576,Manpower!$H$4:$H$1048576,"")</f>
        <v>Manpower</v>
      </c>
      <c r="I651" s="24" t="str">
        <f>_xlfn.XLOOKUP(Table134526_79101120212223242526[[#This Row],[Name Surname]],Manpower!$C$4:$C$1048576,Manpower!$H$4:$H$1048576,"")</f>
        <v>Manpower</v>
      </c>
      <c r="J651" s="21" t="s">
        <v>143</v>
      </c>
      <c r="K651" s="21" t="s">
        <v>26</v>
      </c>
      <c r="L651" s="21" t="s">
        <v>144</v>
      </c>
      <c r="M651" s="21" t="s">
        <v>55</v>
      </c>
      <c r="N651" s="29">
        <v>10</v>
      </c>
      <c r="R651" s="21" t="s">
        <v>227</v>
      </c>
    </row>
    <row r="652" spans="1:18" ht="14.4" hidden="1">
      <c r="A652" s="33">
        <f>IF(C652="","",MAX($A$1:A651)+1)</f>
        <v>624</v>
      </c>
      <c r="B652" s="27" t="s">
        <v>141</v>
      </c>
      <c r="C652" s="23">
        <v>46086</v>
      </c>
      <c r="D652" s="28" t="str">
        <f>_xlfn.XLOOKUP(Table134526_79101120212223242526[[#This Row],[Name Surname]],Manpower!$C$4:$C$1048576,Manpower!$B$4:$B$1048576,"")</f>
        <v>Encogroup</v>
      </c>
      <c r="E652" s="21" t="s">
        <v>177</v>
      </c>
      <c r="F652" s="12">
        <f>_xlfn.XLOOKUP(Table134526_79101120212223242526[[#This Row],[Name Surname]],Manpower!C:C,Manpower!D:D,)</f>
        <v>140809004</v>
      </c>
      <c r="G652" s="28" t="str">
        <f>_xlfn.XLOOKUP(Table134526_79101120212223242526[[#This Row],[Name Surname]],Manpower!$C$4:$C$1048576,Manpower!$F$4:$F$1048576,"")</f>
        <v>Fitter/Erector</v>
      </c>
      <c r="H652" s="28" t="str">
        <f>_xlfn.XLOOKUP(Table134526_79101120212223242526[[#This Row],[Name Surname]],Manpower!$C$4:$C$1048576,Manpower!$H$4:$H$1048576,"")</f>
        <v>Manpower</v>
      </c>
      <c r="I652" s="24" t="str">
        <f>_xlfn.XLOOKUP(Table134526_79101120212223242526[[#This Row],[Name Surname]],Manpower!$C$4:$C$1048576,Manpower!$H$4:$H$1048576,"")</f>
        <v>Manpower</v>
      </c>
      <c r="J652" s="21" t="s">
        <v>143</v>
      </c>
      <c r="K652" s="21" t="s">
        <v>26</v>
      </c>
      <c r="L652" s="21" t="s">
        <v>144</v>
      </c>
      <c r="M652" s="21" t="s">
        <v>55</v>
      </c>
      <c r="N652" s="29">
        <v>10</v>
      </c>
      <c r="R652" s="21" t="s">
        <v>227</v>
      </c>
    </row>
    <row r="653" spans="1:18" ht="14.4" hidden="1">
      <c r="A653" s="33">
        <f>IF(C653="","",MAX($A$1:A652)+1)</f>
        <v>625</v>
      </c>
      <c r="B653" s="27" t="s">
        <v>141</v>
      </c>
      <c r="C653" s="23">
        <v>46086</v>
      </c>
      <c r="D653" s="28" t="str">
        <f>_xlfn.XLOOKUP(Table134526_79101120212223242526[[#This Row],[Name Surname]],Manpower!$C$4:$C$1048576,Manpower!$B$4:$B$1048576,"")</f>
        <v>Encogroup</v>
      </c>
      <c r="E653" s="21" t="s">
        <v>178</v>
      </c>
      <c r="F653" s="12">
        <f>_xlfn.XLOOKUP(Table134526_79101120212223242526[[#This Row],[Name Surname]],Manpower!C:C,Manpower!D:D,)</f>
        <v>140683436</v>
      </c>
      <c r="G653" s="28" t="str">
        <f>_xlfn.XLOOKUP(Table134526_79101120212223242526[[#This Row],[Name Surname]],Manpower!$C$4:$C$1048576,Manpower!$F$4:$F$1048576,"")</f>
        <v>Scaffolder</v>
      </c>
      <c r="H653" s="28" t="str">
        <f>_xlfn.XLOOKUP(Table134526_79101120212223242526[[#This Row],[Name Surname]],Manpower!$C$4:$C$1048576,Manpower!$H$4:$H$1048576,"")</f>
        <v>Manpower</v>
      </c>
      <c r="I653" s="24" t="str">
        <f>_xlfn.XLOOKUP(Table134526_79101120212223242526[[#This Row],[Name Surname]],Manpower!$C$4:$C$1048576,Manpower!$H$4:$H$1048576,"")</f>
        <v>Manpower</v>
      </c>
      <c r="J653" s="21" t="s">
        <v>158</v>
      </c>
      <c r="K653" s="21" t="s">
        <v>26</v>
      </c>
      <c r="L653" s="21" t="s">
        <v>26</v>
      </c>
      <c r="M653" s="21" t="s">
        <v>55</v>
      </c>
      <c r="N653" s="29">
        <v>10</v>
      </c>
      <c r="R653" s="21" t="s">
        <v>227</v>
      </c>
    </row>
    <row r="654" spans="1:18" ht="14.4">
      <c r="A654" s="33">
        <f>IF(C654="","",MAX($A$1:A653)+1)</f>
        <v>626</v>
      </c>
      <c r="B654" s="27" t="s">
        <v>141</v>
      </c>
      <c r="C654" s="23">
        <v>46086</v>
      </c>
      <c r="D654" s="28" t="str">
        <f>_xlfn.XLOOKUP(Table134526_79101120212223242526[[#This Row],[Name Surname]],Manpower!$C$4:$C$1048576,Manpower!$B$4:$B$1048576,"")</f>
        <v>Encogroup</v>
      </c>
      <c r="E654" s="23" t="s">
        <v>179</v>
      </c>
      <c r="F654" s="12" t="e">
        <f>_xlfn.XLOOKUP(Table134526_79101120212223242526[[#This Row],[Name Surname]],Manpower!C:C,Manpower!D:D,)</f>
        <v>#N/A</v>
      </c>
      <c r="G654" s="28" t="str">
        <f>_xlfn.XLOOKUP(Table134526_79101120212223242526[[#This Row],[Name Surname]],Manpower!$C$4:$C$1048576,Manpower!$F$4:$F$1048576,"")</f>
        <v>7T-HIAB</v>
      </c>
      <c r="H654" s="28" t="str">
        <f>_xlfn.XLOOKUP(Table134526_79101120212223242526[[#This Row],[Name Surname]],Manpower!$C$4:$C$1048576,Manpower!$H$4:$H$1048576,"")</f>
        <v>Equipment</v>
      </c>
      <c r="I654" s="24" t="str">
        <f>_xlfn.XLOOKUP(Table134526_79101120212223242526[[#This Row],[Name Surname]],Manpower!$C$4:$C$1048576,Manpower!$H$4:$H$1048576,"")</f>
        <v>Equipment</v>
      </c>
      <c r="J654" s="21" t="s">
        <v>143</v>
      </c>
      <c r="K654" s="21" t="s">
        <v>26</v>
      </c>
      <c r="L654" s="21" t="s">
        <v>144</v>
      </c>
      <c r="M654" s="21" t="s">
        <v>55</v>
      </c>
      <c r="N654" s="29">
        <v>10</v>
      </c>
      <c r="R654" s="21" t="s">
        <v>227</v>
      </c>
    </row>
    <row r="655" spans="1:18" ht="14.4" hidden="1">
      <c r="A655" s="33">
        <f>IF(C655="","",MAX($A$1:A654)+1)</f>
        <v>627</v>
      </c>
      <c r="B655" s="27" t="s">
        <v>141</v>
      </c>
      <c r="C655" s="23">
        <v>46086</v>
      </c>
      <c r="D655" s="28" t="str">
        <f>_xlfn.XLOOKUP(Table134526_79101120212223242526[[#This Row],[Name Surname]],Manpower!$C$4:$C$1048576,Manpower!$B$4:$B$1048576,"")</f>
        <v>Encogroup</v>
      </c>
      <c r="E655" s="21" t="s">
        <v>180</v>
      </c>
      <c r="F655" s="12">
        <f>_xlfn.XLOOKUP(Table134526_79101120212223242526[[#This Row],[Name Surname]],Manpower!C:C,Manpower!D:D,)</f>
        <v>9138415</v>
      </c>
      <c r="G655" s="28" t="str">
        <f>_xlfn.XLOOKUP(Table134526_79101120212223242526[[#This Row],[Name Surname]],Manpower!$C$4:$C$1048576,Manpower!$F$4:$F$1048576,"")</f>
        <v>HIAB Driver</v>
      </c>
      <c r="H655" s="28" t="str">
        <f>_xlfn.XLOOKUP(Table134526_79101120212223242526[[#This Row],[Name Surname]],Manpower!$C$4:$C$1048576,Manpower!$H$4:$H$1048576,"")</f>
        <v>Manpower</v>
      </c>
      <c r="I655" s="24" t="str">
        <f>_xlfn.XLOOKUP(Table134526_79101120212223242526[[#This Row],[Name Surname]],Manpower!$C$4:$C$1048576,Manpower!$H$4:$H$1048576,"")</f>
        <v>Manpower</v>
      </c>
      <c r="J655" s="21" t="s">
        <v>143</v>
      </c>
      <c r="K655" s="21" t="s">
        <v>26</v>
      </c>
      <c r="L655" s="21" t="s">
        <v>144</v>
      </c>
      <c r="M655" s="21" t="s">
        <v>55</v>
      </c>
      <c r="N655" s="29">
        <v>10</v>
      </c>
      <c r="R655" s="21" t="s">
        <v>227</v>
      </c>
    </row>
    <row r="656" spans="1:18" ht="14.4" hidden="1">
      <c r="A656" s="33">
        <f>IF(C656="","",MAX($A$1:A655)+1)</f>
        <v>628</v>
      </c>
      <c r="B656" s="27" t="s">
        <v>141</v>
      </c>
      <c r="C656" s="23">
        <v>46086</v>
      </c>
      <c r="D656" s="28" t="str">
        <f>_xlfn.XLOOKUP(Table134526_79101120212223242526[[#This Row],[Name Surname]],Manpower!$C$4:$C$1048576,Manpower!$B$4:$B$1048576,"")</f>
        <v>GAF</v>
      </c>
      <c r="E656" s="21" t="s">
        <v>182</v>
      </c>
      <c r="F656" s="12">
        <f>_xlfn.XLOOKUP(Table134526_79101120212223242526[[#This Row],[Name Surname]],Manpower!C:C,Manpower!D:D,)</f>
        <v>78785394</v>
      </c>
      <c r="G656" s="28" t="str">
        <f>_xlfn.XLOOKUP(Table134526_79101120212223242526[[#This Row],[Name Surname]],Manpower!$C$4:$C$1048576,Manpower!$F$4:$F$1048576,"")</f>
        <v>Helper</v>
      </c>
      <c r="H656" s="28" t="str">
        <f>_xlfn.XLOOKUP(Table134526_79101120212223242526[[#This Row],[Name Surname]],Manpower!$C$4:$C$1048576,Manpower!$H$4:$H$1048576,"")</f>
        <v>Sub Contactor</v>
      </c>
      <c r="I656" s="24" t="str">
        <f>_xlfn.XLOOKUP(Table134526_79101120212223242526[[#This Row],[Name Surname]],Manpower!$C$4:$C$1048576,Manpower!$H$4:$H$1048576,"")</f>
        <v>Sub Contactor</v>
      </c>
      <c r="J656" s="21" t="s">
        <v>158</v>
      </c>
      <c r="K656" s="21" t="s">
        <v>26</v>
      </c>
      <c r="L656" s="21" t="s">
        <v>26</v>
      </c>
      <c r="M656" s="21" t="s">
        <v>55</v>
      </c>
      <c r="N656" s="29">
        <v>10</v>
      </c>
      <c r="R656" s="21" t="s">
        <v>227</v>
      </c>
    </row>
    <row r="657" spans="1:18" ht="14.4" hidden="1">
      <c r="A657" s="33">
        <f>IF(C657="","",MAX($A$1:A656)+1)</f>
        <v>629</v>
      </c>
      <c r="B657" s="27" t="s">
        <v>141</v>
      </c>
      <c r="C657" s="23">
        <v>46086</v>
      </c>
      <c r="D657" s="28" t="str">
        <f>_xlfn.XLOOKUP(Table134526_79101120212223242526[[#This Row],[Name Surname]],Manpower!$C$4:$C$1048576,Manpower!$B$4:$B$1048576,"")</f>
        <v>Encogroup</v>
      </c>
      <c r="E657" s="21" t="s">
        <v>183</v>
      </c>
      <c r="F657" s="12">
        <f>_xlfn.XLOOKUP(Table134526_79101120212223242526[[#This Row],[Name Surname]],Manpower!C:C,Manpower!D:D,)</f>
        <v>141359024</v>
      </c>
      <c r="G657" s="28" t="str">
        <f>_xlfn.XLOOKUP(Table134526_79101120212223242526[[#This Row],[Name Surname]],Manpower!$C$4:$C$1048576,Manpower!$F$4:$F$1048576,"")</f>
        <v>Hydraulic Mechanic</v>
      </c>
      <c r="H657" s="28" t="str">
        <f>_xlfn.XLOOKUP(Table134526_79101120212223242526[[#This Row],[Name Surname]],Manpower!$C$4:$C$1048576,Manpower!$H$4:$H$1048576,"")</f>
        <v>Manpower</v>
      </c>
      <c r="I657" s="24" t="str">
        <f>_xlfn.XLOOKUP(Table134526_79101120212223242526[[#This Row],[Name Surname]],Manpower!$C$4:$C$1048576,Manpower!$H$4:$H$1048576,"")</f>
        <v>Manpower</v>
      </c>
      <c r="J657" s="21" t="s">
        <v>143</v>
      </c>
      <c r="K657" s="21" t="s">
        <v>26</v>
      </c>
      <c r="L657" s="21" t="s">
        <v>144</v>
      </c>
      <c r="M657" s="21" t="s">
        <v>55</v>
      </c>
      <c r="N657" s="29">
        <v>10</v>
      </c>
      <c r="R657" s="21" t="s">
        <v>227</v>
      </c>
    </row>
    <row r="658" spans="1:18" ht="14.4" hidden="1">
      <c r="A658" s="33">
        <f>IF(C658="","",MAX($A$1:A657)+1)</f>
        <v>630</v>
      </c>
      <c r="B658" s="27" t="s">
        <v>141</v>
      </c>
      <c r="C658" s="23">
        <v>46086</v>
      </c>
      <c r="D658" s="28" t="str">
        <f>_xlfn.XLOOKUP(Table134526_79101120212223242526[[#This Row],[Name Surname]],Manpower!$C$4:$C$1048576,Manpower!$B$4:$B$1048576,"")</f>
        <v>Encogroup</v>
      </c>
      <c r="E658" s="21" t="s">
        <v>184</v>
      </c>
      <c r="F658" s="12">
        <f>_xlfn.XLOOKUP(Table134526_79101120212223242526[[#This Row],[Name Surname]],Manpower!C:C,Manpower!D:D,)</f>
        <v>140844759</v>
      </c>
      <c r="G658" s="28" t="str">
        <f>_xlfn.XLOOKUP(Table134526_79101120212223242526[[#This Row],[Name Surname]],Manpower!$C$4:$C$1048576,Manpower!$F$4:$F$1048576,"")</f>
        <v>Welder</v>
      </c>
      <c r="H658" s="28" t="str">
        <f>_xlfn.XLOOKUP(Table134526_79101120212223242526[[#This Row],[Name Surname]],Manpower!$C$4:$C$1048576,Manpower!$H$4:$H$1048576,"")</f>
        <v>Manpower</v>
      </c>
      <c r="I658" s="24" t="str">
        <f>_xlfn.XLOOKUP(Table134526_79101120212223242526[[#This Row],[Name Surname]],Manpower!$C$4:$C$1048576,Manpower!$H$4:$H$1048576,"")</f>
        <v>Manpower</v>
      </c>
      <c r="J658" s="21" t="s">
        <v>143</v>
      </c>
      <c r="K658" s="21" t="s">
        <v>26</v>
      </c>
      <c r="L658" s="21" t="s">
        <v>144</v>
      </c>
      <c r="M658" s="21" t="s">
        <v>55</v>
      </c>
      <c r="N658" s="29">
        <v>10</v>
      </c>
      <c r="R658" s="21" t="s">
        <v>227</v>
      </c>
    </row>
    <row r="659" spans="1:18" ht="14.4" hidden="1">
      <c r="A659" s="33">
        <f>IF(C659="","",MAX($A$1:A658)+1)</f>
        <v>631</v>
      </c>
      <c r="B659" s="27" t="s">
        <v>141</v>
      </c>
      <c r="C659" s="23">
        <v>46086</v>
      </c>
      <c r="D659" s="28" t="str">
        <f>_xlfn.XLOOKUP(Table134526_79101120212223242526[[#This Row],[Name Surname]],Manpower!$C$4:$C$1048576,Manpower!$B$4:$B$1048576,"")</f>
        <v>Encogroup</v>
      </c>
      <c r="E659" s="21" t="s">
        <v>185</v>
      </c>
      <c r="F659" s="12">
        <f>_xlfn.XLOOKUP(Table134526_79101120212223242526[[#This Row],[Name Surname]],Manpower!C:C,Manpower!D:D,)</f>
        <v>140848828</v>
      </c>
      <c r="G659" s="28" t="str">
        <f>_xlfn.XLOOKUP(Table134526_79101120212223242526[[#This Row],[Name Surname]],Manpower!$C$4:$C$1048576,Manpower!$F$4:$F$1048576,"")</f>
        <v>Pipe Fitter</v>
      </c>
      <c r="H659" s="28" t="str">
        <f>_xlfn.XLOOKUP(Table134526_79101120212223242526[[#This Row],[Name Surname]],Manpower!$C$4:$C$1048576,Manpower!$H$4:$H$1048576,"")</f>
        <v>Manpower</v>
      </c>
      <c r="I659" s="24" t="str">
        <f>_xlfn.XLOOKUP(Table134526_79101120212223242526[[#This Row],[Name Surname]],Manpower!$C$4:$C$1048576,Manpower!$H$4:$H$1048576,"")</f>
        <v>Manpower</v>
      </c>
      <c r="J659" s="21" t="s">
        <v>143</v>
      </c>
      <c r="K659" s="21" t="s">
        <v>26</v>
      </c>
      <c r="L659" s="21" t="s">
        <v>144</v>
      </c>
      <c r="M659" s="21" t="s">
        <v>55</v>
      </c>
      <c r="N659" s="29">
        <v>10</v>
      </c>
      <c r="R659" s="21" t="s">
        <v>227</v>
      </c>
    </row>
    <row r="660" spans="1:18" ht="14.4" hidden="1">
      <c r="A660" s="33">
        <f>IF(C660="","",MAX($A$1:A659)+1)</f>
        <v>632</v>
      </c>
      <c r="B660" s="27" t="s">
        <v>141</v>
      </c>
      <c r="C660" s="23">
        <v>46086</v>
      </c>
      <c r="D660" s="28" t="str">
        <f>_xlfn.XLOOKUP(Table134526_79101120212223242526[[#This Row],[Name Surname]],Manpower!$C$4:$C$1048576,Manpower!$B$4:$B$1048576,"")</f>
        <v>Encogroup</v>
      </c>
      <c r="E660" s="21" t="s">
        <v>186</v>
      </c>
      <c r="F660" s="12">
        <f>_xlfn.XLOOKUP(Table134526_79101120212223242526[[#This Row],[Name Surname]],Manpower!C:C,Manpower!D:D,)</f>
        <v>140696961</v>
      </c>
      <c r="G660" s="28" t="str">
        <f>_xlfn.XLOOKUP(Table134526_79101120212223242526[[#This Row],[Name Surname]],Manpower!$C$4:$C$1048576,Manpower!$F$4:$F$1048576,"")</f>
        <v>Assistant/Helper</v>
      </c>
      <c r="H660" s="28" t="str">
        <f>_xlfn.XLOOKUP(Table134526_79101120212223242526[[#This Row],[Name Surname]],Manpower!$C$4:$C$1048576,Manpower!$H$4:$H$1048576,"")</f>
        <v>Manpower</v>
      </c>
      <c r="I660" s="24" t="str">
        <f>_xlfn.XLOOKUP(Table134526_79101120212223242526[[#This Row],[Name Surname]],Manpower!$C$4:$C$1048576,Manpower!$H$4:$H$1048576,"")</f>
        <v>Manpower</v>
      </c>
      <c r="J660" s="21" t="s">
        <v>158</v>
      </c>
      <c r="K660" s="21" t="s">
        <v>26</v>
      </c>
      <c r="L660" s="21" t="s">
        <v>26</v>
      </c>
      <c r="M660" s="21" t="s">
        <v>55</v>
      </c>
      <c r="N660" s="29">
        <v>10</v>
      </c>
      <c r="R660" s="21" t="s">
        <v>227</v>
      </c>
    </row>
    <row r="661" spans="1:18" ht="14.4" hidden="1">
      <c r="A661" s="33">
        <f>IF(C661="","",MAX($A$1:A660)+1)</f>
        <v>633</v>
      </c>
      <c r="B661" s="27" t="s">
        <v>141</v>
      </c>
      <c r="C661" s="23">
        <v>46086</v>
      </c>
      <c r="D661" s="28" t="str">
        <f>_xlfn.XLOOKUP(Table134526_79101120212223242526[[#This Row],[Name Surname]],Manpower!$C$4:$C$1048576,Manpower!$B$4:$B$1048576,"")</f>
        <v>Encogroup</v>
      </c>
      <c r="E661" s="21" t="s">
        <v>187</v>
      </c>
      <c r="F661" s="12">
        <f>_xlfn.XLOOKUP(Table134526_79101120212223242526[[#This Row],[Name Surname]],Manpower!C:C,Manpower!D:D,)</f>
        <v>140623599</v>
      </c>
      <c r="G661" s="28" t="str">
        <f>_xlfn.XLOOKUP(Table134526_79101120212223242526[[#This Row],[Name Surname]],Manpower!$C$4:$C$1048576,Manpower!$F$4:$F$1048576,"")</f>
        <v>Mechanical Supervisor</v>
      </c>
      <c r="H661" s="28" t="str">
        <f>_xlfn.XLOOKUP(Table134526_79101120212223242526[[#This Row],[Name Surname]],Manpower!$C$4:$C$1048576,Manpower!$H$4:$H$1048576,"")</f>
        <v>Manpower</v>
      </c>
      <c r="I661" s="24" t="str">
        <f>_xlfn.XLOOKUP(Table134526_79101120212223242526[[#This Row],[Name Surname]],Manpower!$C$4:$C$1048576,Manpower!$H$4:$H$1048576,"")</f>
        <v>Manpower</v>
      </c>
      <c r="J661" s="21" t="s">
        <v>143</v>
      </c>
      <c r="K661" s="21" t="s">
        <v>26</v>
      </c>
      <c r="L661" s="21" t="s">
        <v>144</v>
      </c>
      <c r="M661" s="21" t="s">
        <v>55</v>
      </c>
      <c r="N661" s="29">
        <v>10</v>
      </c>
      <c r="R661" s="21" t="s">
        <v>227</v>
      </c>
    </row>
    <row r="662" spans="1:18" ht="14.4" hidden="1">
      <c r="A662" s="33">
        <f>IF(C662="","",MAX($A$1:A661)+1)</f>
        <v>634</v>
      </c>
      <c r="B662" s="27" t="s">
        <v>141</v>
      </c>
      <c r="C662" s="23">
        <v>46086</v>
      </c>
      <c r="D662" s="28" t="str">
        <f>_xlfn.XLOOKUP(Table134526_79101120212223242526[[#This Row],[Name Surname]],Manpower!$C$4:$C$1048576,Manpower!$B$4:$B$1048576,"")</f>
        <v>Encogroup</v>
      </c>
      <c r="E662" s="21" t="s">
        <v>188</v>
      </c>
      <c r="F662" s="12">
        <f>_xlfn.XLOOKUP(Table134526_79101120212223242526[[#This Row],[Name Surname]],Manpower!C:C,Manpower!D:D,)</f>
        <v>140696975</v>
      </c>
      <c r="G662" s="28" t="str">
        <f>_xlfn.XLOOKUP(Table134526_79101120212223242526[[#This Row],[Name Surname]],Manpower!$C$4:$C$1048576,Manpower!$F$4:$F$1048576,"")</f>
        <v>Assistant/Helper</v>
      </c>
      <c r="H662" s="28" t="str">
        <f>_xlfn.XLOOKUP(Table134526_79101120212223242526[[#This Row],[Name Surname]],Manpower!$C$4:$C$1048576,Manpower!$H$4:$H$1048576,"")</f>
        <v>Manpower</v>
      </c>
      <c r="I662" s="24" t="str">
        <f>_xlfn.XLOOKUP(Table134526_79101120212223242526[[#This Row],[Name Surname]],Manpower!$C$4:$C$1048576,Manpower!$H$4:$H$1048576,"")</f>
        <v>Manpower</v>
      </c>
      <c r="J662" s="21" t="s">
        <v>143</v>
      </c>
      <c r="K662" s="21" t="s">
        <v>26</v>
      </c>
      <c r="L662" s="21" t="s">
        <v>144</v>
      </c>
      <c r="M662" s="21" t="s">
        <v>55</v>
      </c>
      <c r="N662" s="29">
        <v>10</v>
      </c>
      <c r="R662" s="21" t="s">
        <v>227</v>
      </c>
    </row>
    <row r="663" spans="1:18" ht="14.4" hidden="1">
      <c r="A663" s="33">
        <f>IF(C663="","",MAX($A$1:A662)+1)</f>
        <v>635</v>
      </c>
      <c r="B663" s="27" t="s">
        <v>141</v>
      </c>
      <c r="C663" s="23">
        <v>46086</v>
      </c>
      <c r="D663" s="28" t="str">
        <f>_xlfn.XLOOKUP(Table134526_79101120212223242526[[#This Row],[Name Surname]],Manpower!$C$4:$C$1048576,Manpower!$B$4:$B$1048576,"")</f>
        <v>Encogroup</v>
      </c>
      <c r="E663" s="21" t="s">
        <v>189</v>
      </c>
      <c r="F663" s="12">
        <f>_xlfn.XLOOKUP(Table134526_79101120212223242526[[#This Row],[Name Surname]],Manpower!C:C,Manpower!D:D,)</f>
        <v>121937785</v>
      </c>
      <c r="G663" s="28" t="str">
        <f>_xlfn.XLOOKUP(Table134526_79101120212223242526[[#This Row],[Name Surname]],Manpower!$C$4:$C$1048576,Manpower!$F$4:$F$1048576,"")</f>
        <v>Scaffolding Inspector</v>
      </c>
      <c r="H663" s="28" t="str">
        <f>_xlfn.XLOOKUP(Table134526_79101120212223242526[[#This Row],[Name Surname]],Manpower!$C$4:$C$1048576,Manpower!$H$4:$H$1048576,"")</f>
        <v>Manpower</v>
      </c>
      <c r="I663" s="24" t="str">
        <f>_xlfn.XLOOKUP(Table134526_79101120212223242526[[#This Row],[Name Surname]],Manpower!$C$4:$C$1048576,Manpower!$H$4:$H$1048576,"")</f>
        <v>Manpower</v>
      </c>
      <c r="J663" s="21" t="s">
        <v>143</v>
      </c>
      <c r="K663" s="21" t="s">
        <v>26</v>
      </c>
      <c r="L663" s="21" t="s">
        <v>144</v>
      </c>
      <c r="M663" s="21" t="s">
        <v>55</v>
      </c>
      <c r="N663" s="29">
        <v>10</v>
      </c>
      <c r="R663" s="21" t="s">
        <v>227</v>
      </c>
    </row>
    <row r="664" spans="1:18" ht="14.4" hidden="1">
      <c r="A664" s="33">
        <f>IF(C664="","",MAX($A$1:A663)+1)</f>
        <v>636</v>
      </c>
      <c r="B664" s="27" t="s">
        <v>141</v>
      </c>
      <c r="C664" s="23">
        <v>46086</v>
      </c>
      <c r="D664" s="28" t="str">
        <f>_xlfn.XLOOKUP(Table134526_79101120212223242526[[#This Row],[Name Surname]],Manpower!$C$4:$C$1048576,Manpower!$B$4:$B$1048576,"")</f>
        <v xml:space="preserve">AL Omar International </v>
      </c>
      <c r="E664" s="21" t="s">
        <v>190</v>
      </c>
      <c r="F664" s="12">
        <f>_xlfn.XLOOKUP(Table134526_79101120212223242526[[#This Row],[Name Surname]],Manpower!C:C,Manpower!D:D,)</f>
        <v>85812175</v>
      </c>
      <c r="G664" s="28" t="str">
        <f>_xlfn.XLOOKUP(Table134526_79101120212223242526[[#This Row],[Name Surname]],Manpower!$C$4:$C$1048576,Manpower!$F$4:$F$1048576,"")</f>
        <v>Scaffolding Supervisor</v>
      </c>
      <c r="H664" s="28" t="str">
        <f>_xlfn.XLOOKUP(Table134526_79101120212223242526[[#This Row],[Name Surname]],Manpower!$C$4:$C$1048576,Manpower!$H$4:$H$1048576,"")</f>
        <v>Sub Contactor</v>
      </c>
      <c r="I664" s="24" t="str">
        <f>_xlfn.XLOOKUP(Table134526_79101120212223242526[[#This Row],[Name Surname]],Manpower!$C$4:$C$1048576,Manpower!$H$4:$H$1048576,"")</f>
        <v>Sub Contactor</v>
      </c>
      <c r="J664" s="21" t="s">
        <v>143</v>
      </c>
      <c r="K664" s="21" t="s">
        <v>26</v>
      </c>
      <c r="L664" s="21" t="s">
        <v>144</v>
      </c>
      <c r="M664" s="21" t="s">
        <v>55</v>
      </c>
      <c r="N664" s="29">
        <v>10</v>
      </c>
      <c r="R664" s="21" t="s">
        <v>227</v>
      </c>
    </row>
    <row r="665" spans="1:18" ht="14.4" hidden="1">
      <c r="A665" s="33">
        <f>IF(C665="","",MAX($A$1:A664)+1)</f>
        <v>637</v>
      </c>
      <c r="B665" s="27" t="s">
        <v>141</v>
      </c>
      <c r="C665" s="23">
        <v>46086</v>
      </c>
      <c r="D665" s="28" t="str">
        <f>_xlfn.XLOOKUP(Table134526_79101120212223242526[[#This Row],[Name Surname]],Manpower!$C$4:$C$1048576,Manpower!$B$4:$B$1048576,"")</f>
        <v>AL Omar International TRAD AND CONT</v>
      </c>
      <c r="E665" s="21" t="s">
        <v>191</v>
      </c>
      <c r="F665" s="12">
        <f>_xlfn.XLOOKUP(Table134526_79101120212223242526[[#This Row],[Name Surname]],Manpower!C:C,Manpower!D:D,)</f>
        <v>95335424</v>
      </c>
      <c r="G665" s="28" t="str">
        <f>_xlfn.XLOOKUP(Table134526_79101120212223242526[[#This Row],[Name Surname]],Manpower!$C$4:$C$1048576,Manpower!$F$4:$F$1048576,"")</f>
        <v>Scaffolder</v>
      </c>
      <c r="H665" s="28" t="str">
        <f>_xlfn.XLOOKUP(Table134526_79101120212223242526[[#This Row],[Name Surname]],Manpower!$C$4:$C$1048576,Manpower!$H$4:$H$1048576,"")</f>
        <v>Sub Contactor</v>
      </c>
      <c r="I665" s="24" t="str">
        <f>_xlfn.XLOOKUP(Table134526_79101120212223242526[[#This Row],[Name Surname]],Manpower!$C$4:$C$1048576,Manpower!$H$4:$H$1048576,"")</f>
        <v>Sub Contactor</v>
      </c>
      <c r="J665" s="21" t="s">
        <v>143</v>
      </c>
      <c r="K665" s="21" t="s">
        <v>26</v>
      </c>
      <c r="L665" s="21" t="s">
        <v>144</v>
      </c>
      <c r="M665" s="21" t="s">
        <v>55</v>
      </c>
      <c r="N665" s="29">
        <v>10</v>
      </c>
      <c r="R665" s="21" t="s">
        <v>227</v>
      </c>
    </row>
    <row r="666" spans="1:18" ht="14.4" hidden="1">
      <c r="A666" s="33">
        <f>IF(C666="","",MAX($A$1:A665)+1)</f>
        <v>638</v>
      </c>
      <c r="B666" s="27" t="s">
        <v>141</v>
      </c>
      <c r="C666" s="23">
        <v>46086</v>
      </c>
      <c r="D666" s="28" t="str">
        <f>_xlfn.XLOOKUP(Table134526_79101120212223242526[[#This Row],[Name Surname]],Manpower!$C$4:$C$1048576,Manpower!$B$4:$B$1048576,"")</f>
        <v>AL Omar International TRAD AND CONT</v>
      </c>
      <c r="E666" s="21" t="s">
        <v>192</v>
      </c>
      <c r="F666" s="12">
        <f>_xlfn.XLOOKUP(Table134526_79101120212223242526[[#This Row],[Name Surname]],Manpower!C:C,Manpower!D:D,)</f>
        <v>96409155</v>
      </c>
      <c r="G666" s="28" t="str">
        <f>_xlfn.XLOOKUP(Table134526_79101120212223242526[[#This Row],[Name Surname]],Manpower!$C$4:$C$1048576,Manpower!$F$4:$F$1048576,"")</f>
        <v>Scaffolder</v>
      </c>
      <c r="H666" s="28" t="str">
        <f>_xlfn.XLOOKUP(Table134526_79101120212223242526[[#This Row],[Name Surname]],Manpower!$C$4:$C$1048576,Manpower!$H$4:$H$1048576,"")</f>
        <v>Sub Contactor</v>
      </c>
      <c r="I666" s="24" t="str">
        <f>_xlfn.XLOOKUP(Table134526_79101120212223242526[[#This Row],[Name Surname]],Manpower!$C$4:$C$1048576,Manpower!$H$4:$H$1048576,"")</f>
        <v>Sub Contactor</v>
      </c>
      <c r="J666" s="21" t="s">
        <v>143</v>
      </c>
      <c r="K666" s="21" t="s">
        <v>26</v>
      </c>
      <c r="L666" s="21" t="s">
        <v>144</v>
      </c>
      <c r="M666" s="21" t="s">
        <v>55</v>
      </c>
      <c r="N666" s="29">
        <v>10</v>
      </c>
      <c r="R666" s="21" t="s">
        <v>227</v>
      </c>
    </row>
    <row r="667" spans="1:18" ht="14.4" hidden="1">
      <c r="A667" s="33">
        <f>IF(C667="","",MAX($A$1:A666)+1)</f>
        <v>639</v>
      </c>
      <c r="B667" s="27" t="s">
        <v>141</v>
      </c>
      <c r="C667" s="23">
        <v>46086</v>
      </c>
      <c r="D667" s="28" t="str">
        <f>_xlfn.XLOOKUP(Table134526_79101120212223242526[[#This Row],[Name Surname]],Manpower!$C$4:$C$1048576,Manpower!$B$4:$B$1048576,"")</f>
        <v>AL Omar International TRAD AND CONT</v>
      </c>
      <c r="E667" s="21" t="s">
        <v>193</v>
      </c>
      <c r="F667" s="12">
        <f>_xlfn.XLOOKUP(Table134526_79101120212223242526[[#This Row],[Name Surname]],Manpower!C:C,Manpower!D:D,)</f>
        <v>105813698</v>
      </c>
      <c r="G667" s="28" t="str">
        <f>_xlfn.XLOOKUP(Table134526_79101120212223242526[[#This Row],[Name Surname]],Manpower!$C$4:$C$1048576,Manpower!$F$4:$F$1048576,"")</f>
        <v>Scaffolding Inspector</v>
      </c>
      <c r="H667" s="28" t="str">
        <f>_xlfn.XLOOKUP(Table134526_79101120212223242526[[#This Row],[Name Surname]],Manpower!$C$4:$C$1048576,Manpower!$H$4:$H$1048576,"")</f>
        <v>Sub Contactor</v>
      </c>
      <c r="I667" s="24" t="str">
        <f>_xlfn.XLOOKUP(Table134526_79101120212223242526[[#This Row],[Name Surname]],Manpower!$C$4:$C$1048576,Manpower!$H$4:$H$1048576,"")</f>
        <v>Sub Contactor</v>
      </c>
      <c r="J667" s="21" t="s">
        <v>143</v>
      </c>
      <c r="K667" s="21" t="s">
        <v>26</v>
      </c>
      <c r="L667" s="21" t="s">
        <v>144</v>
      </c>
      <c r="M667" s="21" t="s">
        <v>55</v>
      </c>
      <c r="N667" s="29">
        <v>10</v>
      </c>
      <c r="R667" s="21" t="s">
        <v>227</v>
      </c>
    </row>
    <row r="668" spans="1:18" ht="14.4" hidden="1">
      <c r="A668" s="33">
        <f>IF(C668="","",MAX($A$1:A667)+1)</f>
        <v>640</v>
      </c>
      <c r="B668" s="27" t="s">
        <v>141</v>
      </c>
      <c r="C668" s="23">
        <v>46086</v>
      </c>
      <c r="D668" s="28" t="str">
        <f>_xlfn.XLOOKUP(Table134526_79101120212223242526[[#This Row],[Name Surname]],Manpower!$C$4:$C$1048576,Manpower!$B$4:$B$1048576,"")</f>
        <v>AL Saif &amp; Al QALLM ENT LLC</v>
      </c>
      <c r="E668" s="21" t="s">
        <v>194</v>
      </c>
      <c r="F668" s="12">
        <f>_xlfn.XLOOKUP(Table134526_79101120212223242526[[#This Row],[Name Surname]],Manpower!C:C,Manpower!D:D,)</f>
        <v>135340657</v>
      </c>
      <c r="G668" s="28" t="str">
        <f>_xlfn.XLOOKUP(Table134526_79101120212223242526[[#This Row],[Name Surname]],Manpower!$C$4:$C$1048576,Manpower!$F$4:$F$1048576,"")</f>
        <v>Forklift Operator</v>
      </c>
      <c r="H668" s="28" t="str">
        <f>_xlfn.XLOOKUP(Table134526_79101120212223242526[[#This Row],[Name Surname]],Manpower!$C$4:$C$1048576,Manpower!$H$4:$H$1048576,"")</f>
        <v>Sub Contactor</v>
      </c>
      <c r="I668" s="24" t="str">
        <f>_xlfn.XLOOKUP(Table134526_79101120212223242526[[#This Row],[Name Surname]],Manpower!$C$4:$C$1048576,Manpower!$H$4:$H$1048576,"")</f>
        <v>Sub Contactor</v>
      </c>
      <c r="J668" s="21" t="s">
        <v>143</v>
      </c>
      <c r="K668" s="21" t="s">
        <v>26</v>
      </c>
      <c r="L668" s="21" t="s">
        <v>144</v>
      </c>
      <c r="M668" s="21" t="s">
        <v>55</v>
      </c>
      <c r="N668" s="29">
        <v>10</v>
      </c>
      <c r="R668" s="21" t="s">
        <v>227</v>
      </c>
    </row>
    <row r="669" spans="1:18" ht="14.4" hidden="1">
      <c r="A669" s="33">
        <f>IF(C669="","",MAX($A$1:A668)+1)</f>
        <v>641</v>
      </c>
      <c r="B669" s="27" t="s">
        <v>141</v>
      </c>
      <c r="C669" s="23">
        <v>46086</v>
      </c>
      <c r="D669" s="28" t="str">
        <f>_xlfn.XLOOKUP(Table134526_79101120212223242526[[#This Row],[Name Surname]],Manpower!$C$4:$C$1048576,Manpower!$B$4:$B$1048576,"")</f>
        <v>Encogroup</v>
      </c>
      <c r="E669" s="21" t="s">
        <v>196</v>
      </c>
      <c r="F669" s="12">
        <f>_xlfn.XLOOKUP(Table134526_79101120212223242526[[#This Row],[Name Surname]],Manpower!C:C,Manpower!D:D,)</f>
        <v>140844586</v>
      </c>
      <c r="G669" s="28" t="str">
        <f>_xlfn.XLOOKUP(Table134526_79101120212223242526[[#This Row],[Name Surname]],Manpower!$C$4:$C$1048576,Manpower!$F$4:$F$1048576,"")</f>
        <v>Assistant/Helper</v>
      </c>
      <c r="H669" s="28" t="str">
        <f>_xlfn.XLOOKUP(Table134526_79101120212223242526[[#This Row],[Name Surname]],Manpower!$C$4:$C$1048576,Manpower!$H$4:$H$1048576,"")</f>
        <v>Manpower</v>
      </c>
      <c r="I669" s="24" t="str">
        <f>_xlfn.XLOOKUP(Table134526_79101120212223242526[[#This Row],[Name Surname]],Manpower!$C$4:$C$1048576,Manpower!$H$4:$H$1048576,"")</f>
        <v>Manpower</v>
      </c>
      <c r="J669" s="21" t="s">
        <v>158</v>
      </c>
      <c r="K669" s="21" t="s">
        <v>26</v>
      </c>
      <c r="L669" s="21" t="s">
        <v>26</v>
      </c>
      <c r="M669" s="21" t="s">
        <v>55</v>
      </c>
      <c r="N669" s="29">
        <v>10</v>
      </c>
      <c r="R669" s="21" t="s">
        <v>227</v>
      </c>
    </row>
    <row r="670" spans="1:18" ht="14.4" hidden="1">
      <c r="A670" s="33">
        <f>IF(C670="","",MAX($A$1:A669)+1)</f>
        <v>642</v>
      </c>
      <c r="B670" s="27" t="s">
        <v>141</v>
      </c>
      <c r="C670" s="23">
        <v>46086</v>
      </c>
      <c r="D670" s="28" t="str">
        <f>_xlfn.XLOOKUP(Table134526_79101120212223242526[[#This Row],[Name Surname]],Manpower!$C$4:$C$1048576,Manpower!$B$4:$B$1048576,"")</f>
        <v>AL Omar International TRAD AND CONT</v>
      </c>
      <c r="E670" s="21" t="s">
        <v>197</v>
      </c>
      <c r="F670" s="12">
        <f>_xlfn.XLOOKUP(Table134526_79101120212223242526[[#This Row],[Name Surname]],Manpower!C:C,Manpower!D:D,)</f>
        <v>106093463</v>
      </c>
      <c r="G670" s="28" t="str">
        <f>_xlfn.XLOOKUP(Table134526_79101120212223242526[[#This Row],[Name Surname]],Manpower!$C$4:$C$1048576,Manpower!$F$4:$F$1048576,"")</f>
        <v>RIgger</v>
      </c>
      <c r="H670" s="28" t="str">
        <f>_xlfn.XLOOKUP(Table134526_79101120212223242526[[#This Row],[Name Surname]],Manpower!$C$4:$C$1048576,Manpower!$H$4:$H$1048576,"")</f>
        <v>Sub Contactor</v>
      </c>
      <c r="I670" s="24" t="str">
        <f>_xlfn.XLOOKUP(Table134526_79101120212223242526[[#This Row],[Name Surname]],Manpower!$C$4:$C$1048576,Manpower!$H$4:$H$1048576,"")</f>
        <v>Sub Contactor</v>
      </c>
      <c r="J670" s="21" t="s">
        <v>143</v>
      </c>
      <c r="K670" s="21" t="s">
        <v>26</v>
      </c>
      <c r="L670" s="21" t="s">
        <v>144</v>
      </c>
      <c r="M670" s="21" t="s">
        <v>55</v>
      </c>
      <c r="N670" s="29">
        <v>10</v>
      </c>
      <c r="R670" s="21" t="s">
        <v>227</v>
      </c>
    </row>
    <row r="671" spans="1:18" ht="14.4">
      <c r="A671" s="33">
        <f>IF(C671="","",MAX($A$1:A670)+1)</f>
        <v>643</v>
      </c>
      <c r="B671" s="27" t="s">
        <v>141</v>
      </c>
      <c r="C671" s="23">
        <v>46086</v>
      </c>
      <c r="D671" s="28" t="str">
        <f>_xlfn.XLOOKUP(Table134526_79101120212223242526[[#This Row],[Name Surname]],Manpower!$C$4:$C$1048576,Manpower!$B$4:$B$1048576,"")</f>
        <v>Al Asrah Al Mumayaza Trad</v>
      </c>
      <c r="E671" s="21" t="s">
        <v>198</v>
      </c>
      <c r="F671" s="12" t="e">
        <f>_xlfn.XLOOKUP(Table134526_79101120212223242526[[#This Row],[Name Surname]],Manpower!C:C,Manpower!D:D,)</f>
        <v>#N/A</v>
      </c>
      <c r="G671" s="28" t="str">
        <f>_xlfn.XLOOKUP(Table134526_79101120212223242526[[#This Row],[Name Surname]],Manpower!$C$4:$C$1048576,Manpower!$F$4:$F$1048576,"")</f>
        <v>PICK-UP</v>
      </c>
      <c r="H671" s="28" t="str">
        <f>_xlfn.XLOOKUP(Table134526_79101120212223242526[[#This Row],[Name Surname]],Manpower!$C$4:$C$1048576,Manpower!$H$4:$H$1048576,"")</f>
        <v>Equipment</v>
      </c>
      <c r="I671" s="24" t="str">
        <f>_xlfn.XLOOKUP(Table134526_79101120212223242526[[#This Row],[Name Surname]],Manpower!$C$4:$C$1048576,Manpower!$H$4:$H$1048576,"")</f>
        <v>Equipment</v>
      </c>
      <c r="J671" s="21" t="s">
        <v>143</v>
      </c>
      <c r="K671" s="21" t="s">
        <v>26</v>
      </c>
      <c r="L671" s="21" t="s">
        <v>144</v>
      </c>
      <c r="M671" s="21" t="s">
        <v>55</v>
      </c>
      <c r="N671" s="29">
        <v>10</v>
      </c>
      <c r="R671" s="21" t="s">
        <v>227</v>
      </c>
    </row>
    <row r="672" spans="1:18" ht="14.4">
      <c r="A672" s="33">
        <f>IF(C672="","",MAX($A$1:A671)+1)</f>
        <v>644</v>
      </c>
      <c r="B672" s="27" t="s">
        <v>141</v>
      </c>
      <c r="C672" s="23">
        <v>46086</v>
      </c>
      <c r="D672" s="28" t="str">
        <f>_xlfn.XLOOKUP(Table134526_79101120212223242526[[#This Row],[Name Surname]],Manpower!$C$4:$C$1048576,Manpower!$B$4:$B$1048576,"")</f>
        <v>Al Asrah Al Mumayaza Trad</v>
      </c>
      <c r="E672" s="21" t="s">
        <v>199</v>
      </c>
      <c r="F672" s="12" t="e">
        <f>_xlfn.XLOOKUP(Table134526_79101120212223242526[[#This Row],[Name Surname]],Manpower!C:C,Manpower!D:D,)</f>
        <v>#N/A</v>
      </c>
      <c r="G672" s="28" t="str">
        <f>_xlfn.XLOOKUP(Table134526_79101120212223242526[[#This Row],[Name Surname]],Manpower!$C$4:$C$1048576,Manpower!$F$4:$F$1048576,"")</f>
        <v>PICK-UP</v>
      </c>
      <c r="H672" s="28" t="str">
        <f>_xlfn.XLOOKUP(Table134526_79101120212223242526[[#This Row],[Name Surname]],Manpower!$C$4:$C$1048576,Manpower!$H$4:$H$1048576,"")</f>
        <v>Equipment</v>
      </c>
      <c r="I672" s="24" t="str">
        <f>_xlfn.XLOOKUP(Table134526_79101120212223242526[[#This Row],[Name Surname]],Manpower!$C$4:$C$1048576,Manpower!$H$4:$H$1048576,"")</f>
        <v>Equipment</v>
      </c>
      <c r="J672" s="21" t="s">
        <v>143</v>
      </c>
      <c r="K672" s="21" t="s">
        <v>26</v>
      </c>
      <c r="L672" s="21" t="s">
        <v>144</v>
      </c>
      <c r="M672" s="21" t="s">
        <v>55</v>
      </c>
      <c r="N672" s="29">
        <v>10</v>
      </c>
      <c r="R672" s="21" t="s">
        <v>227</v>
      </c>
    </row>
    <row r="673" spans="1:18" ht="14.4">
      <c r="A673" s="33">
        <f>IF(C673="","",MAX($A$1:A672)+1)</f>
        <v>645</v>
      </c>
      <c r="B673" s="27" t="s">
        <v>141</v>
      </c>
      <c r="C673" s="23">
        <v>46086</v>
      </c>
      <c r="D673" s="28" t="str">
        <f>_xlfn.XLOOKUP(Table134526_79101120212223242526[[#This Row],[Name Surname]],Manpower!$C$4:$C$1048576,Manpower!$B$4:$B$1048576,"")</f>
        <v>Al Asrah Al Mumayaza Trad</v>
      </c>
      <c r="E673" s="21" t="s">
        <v>200</v>
      </c>
      <c r="F673" s="12" t="e">
        <f>_xlfn.XLOOKUP(Table134526_79101120212223242526[[#This Row],[Name Surname]],Manpower!C:C,Manpower!D:D,)</f>
        <v>#N/A</v>
      </c>
      <c r="G673" s="28" t="str">
        <f>_xlfn.XLOOKUP(Table134526_79101120212223242526[[#This Row],[Name Surname]],Manpower!$C$4:$C$1048576,Manpower!$F$4:$F$1048576,"")</f>
        <v>PICK-UP</v>
      </c>
      <c r="H673" s="28" t="str">
        <f>_xlfn.XLOOKUP(Table134526_79101120212223242526[[#This Row],[Name Surname]],Manpower!$C$4:$C$1048576,Manpower!$H$4:$H$1048576,"")</f>
        <v>Equipment</v>
      </c>
      <c r="I673" s="24" t="str">
        <f>_xlfn.XLOOKUP(Table134526_79101120212223242526[[#This Row],[Name Surname]],Manpower!$C$4:$C$1048576,Manpower!$H$4:$H$1048576,"")</f>
        <v>Equipment</v>
      </c>
      <c r="J673" s="21" t="s">
        <v>143</v>
      </c>
      <c r="K673" s="21" t="s">
        <v>26</v>
      </c>
      <c r="L673" s="21" t="s">
        <v>144</v>
      </c>
      <c r="M673" s="21" t="s">
        <v>55</v>
      </c>
      <c r="N673" s="29">
        <v>10</v>
      </c>
      <c r="R673" s="21" t="s">
        <v>227</v>
      </c>
    </row>
    <row r="674" spans="1:18" ht="14.4">
      <c r="A674" s="33">
        <f>IF(C674="","",MAX($A$1:A673)+1)</f>
        <v>646</v>
      </c>
      <c r="B674" s="27" t="s">
        <v>141</v>
      </c>
      <c r="C674" s="23">
        <v>46086</v>
      </c>
      <c r="D674" s="28" t="str">
        <f>_xlfn.XLOOKUP(Table134526_79101120212223242526[[#This Row],[Name Surname]],Manpower!$C$4:$C$1048576,Manpower!$B$4:$B$1048576,"")</f>
        <v>Al Asrah Al Mumayaza Trad</v>
      </c>
      <c r="E674" s="21" t="s">
        <v>201</v>
      </c>
      <c r="F674" s="12" t="e">
        <f>_xlfn.XLOOKUP(Table134526_79101120212223242526[[#This Row],[Name Surname]],Manpower!C:C,Manpower!D:D,)</f>
        <v>#N/A</v>
      </c>
      <c r="G674" s="28" t="str">
        <f>_xlfn.XLOOKUP(Table134526_79101120212223242526[[#This Row],[Name Surname]],Manpower!$C$4:$C$1048576,Manpower!$F$4:$F$1048576,"")</f>
        <v>PICK-UP</v>
      </c>
      <c r="H674" s="28" t="str">
        <f>_xlfn.XLOOKUP(Table134526_79101120212223242526[[#This Row],[Name Surname]],Manpower!$C$4:$C$1048576,Manpower!$H$4:$H$1048576,"")</f>
        <v>Equipment</v>
      </c>
      <c r="I674" s="24" t="str">
        <f>_xlfn.XLOOKUP(Table134526_79101120212223242526[[#This Row],[Name Surname]],Manpower!$C$4:$C$1048576,Manpower!$H$4:$H$1048576,"")</f>
        <v>Equipment</v>
      </c>
      <c r="J674" s="21" t="s">
        <v>143</v>
      </c>
      <c r="K674" s="21" t="s">
        <v>26</v>
      </c>
      <c r="L674" s="21" t="s">
        <v>144</v>
      </c>
      <c r="M674" s="21" t="s">
        <v>55</v>
      </c>
      <c r="N674" s="29">
        <v>10</v>
      </c>
      <c r="R674" s="21" t="s">
        <v>227</v>
      </c>
    </row>
    <row r="675" spans="1:18" ht="14.4" hidden="1">
      <c r="A675" s="33">
        <f>IF(C675="","",MAX($A$1:A674)+1)</f>
        <v>647</v>
      </c>
      <c r="B675" s="27" t="s">
        <v>141</v>
      </c>
      <c r="C675" s="23">
        <v>46086</v>
      </c>
      <c r="D675" s="28" t="str">
        <f>_xlfn.XLOOKUP(Table134526_79101120212223242526[[#This Row],[Name Surname]],Manpower!$C$4:$C$1048576,Manpower!$B$4:$B$1048576,"")</f>
        <v>Encogroup</v>
      </c>
      <c r="E675" s="21" t="s">
        <v>202</v>
      </c>
      <c r="F675" s="12">
        <f>_xlfn.XLOOKUP(Table134526_79101120212223242526[[#This Row],[Name Surname]],Manpower!C:C,Manpower!D:D,)</f>
        <v>140805592</v>
      </c>
      <c r="G675" s="28" t="str">
        <f>_xlfn.XLOOKUP(Table134526_79101120212223242526[[#This Row],[Name Surname]],Manpower!$C$4:$C$1048576,Manpower!$F$4:$F$1048576,"")</f>
        <v>Assistant/Helper</v>
      </c>
      <c r="H675" s="28" t="str">
        <f>_xlfn.XLOOKUP(Table134526_79101120212223242526[[#This Row],[Name Surname]],Manpower!$C$4:$C$1048576,Manpower!$H$4:$H$1048576,"")</f>
        <v>Manpower</v>
      </c>
      <c r="I675" s="24" t="str">
        <f>_xlfn.XLOOKUP(Table134526_79101120212223242526[[#This Row],[Name Surname]],Manpower!$C$4:$C$1048576,Manpower!$H$4:$H$1048576,"")</f>
        <v>Manpower</v>
      </c>
      <c r="J675" s="21" t="s">
        <v>143</v>
      </c>
      <c r="K675" s="21" t="s">
        <v>26</v>
      </c>
      <c r="L675" s="21" t="s">
        <v>144</v>
      </c>
      <c r="M675" s="21" t="s">
        <v>55</v>
      </c>
      <c r="N675" s="29">
        <v>10</v>
      </c>
      <c r="R675" s="21" t="s">
        <v>227</v>
      </c>
    </row>
    <row r="676" spans="1:18" ht="14.4" hidden="1">
      <c r="A676" s="33">
        <f>IF(C676="","",MAX($A$1:A675)+1)</f>
        <v>648</v>
      </c>
      <c r="B676" s="27" t="s">
        <v>141</v>
      </c>
      <c r="C676" s="23">
        <v>46086</v>
      </c>
      <c r="D676" s="28" t="str">
        <f>_xlfn.XLOOKUP(Table134526_79101120212223242526[[#This Row],[Name Surname]],Manpower!$C$4:$C$1048576,Manpower!$B$4:$B$1048576,"")</f>
        <v>Encogroup</v>
      </c>
      <c r="E676" s="21" t="s">
        <v>203</v>
      </c>
      <c r="F676" s="12">
        <f>_xlfn.XLOOKUP(Table134526_79101120212223242526[[#This Row],[Name Surname]],Manpower!C:C,Manpower!D:D,)</f>
        <v>140683371</v>
      </c>
      <c r="G676" s="28" t="str">
        <f>_xlfn.XLOOKUP(Table134526_79101120212223242526[[#This Row],[Name Surname]],Manpower!$C$4:$C$1048576,Manpower!$F$4:$F$1048576,"")</f>
        <v>Rigger</v>
      </c>
      <c r="H676" s="28" t="str">
        <f>_xlfn.XLOOKUP(Table134526_79101120212223242526[[#This Row],[Name Surname]],Manpower!$C$4:$C$1048576,Manpower!$H$4:$H$1048576,"")</f>
        <v>Manpower</v>
      </c>
      <c r="I676" s="24" t="str">
        <f>_xlfn.XLOOKUP(Table134526_79101120212223242526[[#This Row],[Name Surname]],Manpower!$C$4:$C$1048576,Manpower!$H$4:$H$1048576,"")</f>
        <v>Manpower</v>
      </c>
      <c r="J676" s="21" t="s">
        <v>143</v>
      </c>
      <c r="K676" s="21" t="s">
        <v>26</v>
      </c>
      <c r="L676" s="21" t="s">
        <v>144</v>
      </c>
      <c r="M676" s="21" t="s">
        <v>55</v>
      </c>
      <c r="N676" s="29">
        <v>10</v>
      </c>
      <c r="R676" s="21" t="s">
        <v>227</v>
      </c>
    </row>
    <row r="677" spans="1:18" ht="14.4" hidden="1">
      <c r="A677" s="33">
        <f>IF(C677="","",MAX($A$1:A676)+1)</f>
        <v>649</v>
      </c>
      <c r="B677" s="27" t="s">
        <v>141</v>
      </c>
      <c r="C677" s="23">
        <v>46086</v>
      </c>
      <c r="D677" s="28" t="str">
        <f>_xlfn.XLOOKUP(Table134526_79101120212223242526[[#This Row],[Name Surname]],Manpower!$C$4:$C$1048576,Manpower!$B$4:$B$1048576,"")</f>
        <v>Encogroup</v>
      </c>
      <c r="E677" s="21" t="s">
        <v>204</v>
      </c>
      <c r="F677" s="12">
        <f>_xlfn.XLOOKUP(Table134526_79101120212223242526[[#This Row],[Name Surname]],Manpower!C:C,Manpower!D:D,)</f>
        <v>140844572</v>
      </c>
      <c r="G677" s="28" t="str">
        <f>_xlfn.XLOOKUP(Table134526_79101120212223242526[[#This Row],[Name Surname]],Manpower!$C$4:$C$1048576,Manpower!$F$4:$F$1048576,"")</f>
        <v>Assistant/Helper</v>
      </c>
      <c r="H677" s="28" t="str">
        <f>_xlfn.XLOOKUP(Table134526_79101120212223242526[[#This Row],[Name Surname]],Manpower!$C$4:$C$1048576,Manpower!$H$4:$H$1048576,"")</f>
        <v>Manpower</v>
      </c>
      <c r="I677" s="24" t="str">
        <f>_xlfn.XLOOKUP(Table134526_79101120212223242526[[#This Row],[Name Surname]],Manpower!$C$4:$C$1048576,Manpower!$H$4:$H$1048576,"")</f>
        <v>Manpower</v>
      </c>
      <c r="J677" s="21" t="s">
        <v>143</v>
      </c>
      <c r="K677" s="21" t="s">
        <v>26</v>
      </c>
      <c r="L677" s="21" t="s">
        <v>144</v>
      </c>
      <c r="M677" s="21" t="s">
        <v>55</v>
      </c>
      <c r="N677" s="29">
        <v>10</v>
      </c>
      <c r="R677" s="21" t="s">
        <v>227</v>
      </c>
    </row>
    <row r="678" spans="1:18" ht="14.4" hidden="1">
      <c r="A678" s="33">
        <f>IF(C678="","",MAX($A$1:A677)+1)</f>
        <v>650</v>
      </c>
      <c r="B678" s="27" t="s">
        <v>141</v>
      </c>
      <c r="C678" s="23">
        <v>46086</v>
      </c>
      <c r="D678" s="28" t="str">
        <f>_xlfn.XLOOKUP(Table134526_79101120212223242526[[#This Row],[Name Surname]],Manpower!$C$4:$C$1048576,Manpower!$B$4:$B$1048576,"")</f>
        <v>Encogroup</v>
      </c>
      <c r="E678" s="21" t="s">
        <v>206</v>
      </c>
      <c r="F678" s="12">
        <f>_xlfn.XLOOKUP(Table134526_79101120212223242526[[#This Row],[Name Surname]],Manpower!C:C,Manpower!D:D,)</f>
        <v>140844848</v>
      </c>
      <c r="G678" s="28" t="str">
        <f>_xlfn.XLOOKUP(Table134526_79101120212223242526[[#This Row],[Name Surname]],Manpower!$C$4:$C$1048576,Manpower!$F$4:$F$1048576,"")</f>
        <v>Assistant/Helper</v>
      </c>
      <c r="H678" s="28" t="str">
        <f>_xlfn.XLOOKUP(Table134526_79101120212223242526[[#This Row],[Name Surname]],Manpower!$C$4:$C$1048576,Manpower!$H$4:$H$1048576,"")</f>
        <v>Manpower</v>
      </c>
      <c r="I678" s="24" t="str">
        <f>_xlfn.XLOOKUP(Table134526_79101120212223242526[[#This Row],[Name Surname]],Manpower!$C$4:$C$1048576,Manpower!$H$4:$H$1048576,"")</f>
        <v>Manpower</v>
      </c>
      <c r="J678" s="21" t="s">
        <v>143</v>
      </c>
      <c r="K678" s="21" t="s">
        <v>26</v>
      </c>
      <c r="L678" s="21" t="s">
        <v>144</v>
      </c>
      <c r="M678" s="21" t="s">
        <v>55</v>
      </c>
      <c r="N678" s="29">
        <v>10</v>
      </c>
      <c r="R678" s="21" t="s">
        <v>227</v>
      </c>
    </row>
    <row r="679" spans="1:18" ht="14.4" hidden="1">
      <c r="A679" s="33">
        <f>IF(C679="","",MAX($A$1:A678)+1)</f>
        <v>651</v>
      </c>
      <c r="B679" s="27" t="s">
        <v>141</v>
      </c>
      <c r="C679" s="23">
        <v>46086</v>
      </c>
      <c r="D679" s="28" t="str">
        <f>_xlfn.XLOOKUP(Table134526_79101120212223242526[[#This Row],[Name Surname]],Manpower!$C$4:$C$1048576,Manpower!$B$4:$B$1048576,"")</f>
        <v>Encogroup</v>
      </c>
      <c r="E679" s="21" t="s">
        <v>207</v>
      </c>
      <c r="F679" s="12">
        <f>_xlfn.XLOOKUP(Table134526_79101120212223242526[[#This Row],[Name Surname]],Manpower!C:C,Manpower!D:D,)</f>
        <v>141359216</v>
      </c>
      <c r="G679" s="28" t="str">
        <f>_xlfn.XLOOKUP(Table134526_79101120212223242526[[#This Row],[Name Surname]],Manpower!$C$4:$C$1048576,Manpower!$F$4:$F$1048576,"")</f>
        <v>Electrician</v>
      </c>
      <c r="H679" s="28" t="str">
        <f>_xlfn.XLOOKUP(Table134526_79101120212223242526[[#This Row],[Name Surname]],Manpower!$C$4:$C$1048576,Manpower!$H$4:$H$1048576,"")</f>
        <v>Manpower</v>
      </c>
      <c r="I679" s="24" t="str">
        <f>_xlfn.XLOOKUP(Table134526_79101120212223242526[[#This Row],[Name Surname]],Manpower!$C$4:$C$1048576,Manpower!$H$4:$H$1048576,"")</f>
        <v>Manpower</v>
      </c>
      <c r="J679" s="21" t="s">
        <v>158</v>
      </c>
      <c r="K679" s="21" t="s">
        <v>26</v>
      </c>
      <c r="L679" s="21" t="s">
        <v>26</v>
      </c>
      <c r="M679" s="21" t="s">
        <v>55</v>
      </c>
      <c r="N679" s="29">
        <v>10</v>
      </c>
      <c r="R679" s="21" t="s">
        <v>227</v>
      </c>
    </row>
    <row r="680" spans="1:18" ht="14.4" hidden="1">
      <c r="A680" s="33">
        <f>IF(C680="","",MAX($A$1:A679)+1)</f>
        <v>652</v>
      </c>
      <c r="B680" s="27" t="s">
        <v>141</v>
      </c>
      <c r="C680" s="23">
        <v>46086</v>
      </c>
      <c r="D680" s="28" t="str">
        <f>_xlfn.XLOOKUP(Table134526_79101120212223242526[[#This Row],[Name Surname]],Manpower!$C$4:$C$1048576,Manpower!$B$4:$B$1048576,"")</f>
        <v>Encogroup</v>
      </c>
      <c r="E680" s="21" t="s">
        <v>208</v>
      </c>
      <c r="F680" s="12">
        <f>_xlfn.XLOOKUP(Table134526_79101120212223242526[[#This Row],[Name Surname]],Manpower!C:C,Manpower!D:D,)</f>
        <v>140683399</v>
      </c>
      <c r="G680" s="28" t="str">
        <f>_xlfn.XLOOKUP(Table134526_79101120212223242526[[#This Row],[Name Surname]],Manpower!$C$4:$C$1048576,Manpower!$F$4:$F$1048576,"")</f>
        <v>Rigger</v>
      </c>
      <c r="H680" s="28" t="str">
        <f>_xlfn.XLOOKUP(Table134526_79101120212223242526[[#This Row],[Name Surname]],Manpower!$C$4:$C$1048576,Manpower!$H$4:$H$1048576,"")</f>
        <v>Manpower</v>
      </c>
      <c r="I680" s="24" t="str">
        <f>_xlfn.XLOOKUP(Table134526_79101120212223242526[[#This Row],[Name Surname]],Manpower!$C$4:$C$1048576,Manpower!$H$4:$H$1048576,"")</f>
        <v>Manpower</v>
      </c>
      <c r="J680" s="21" t="s">
        <v>143</v>
      </c>
      <c r="K680" s="21" t="s">
        <v>26</v>
      </c>
      <c r="L680" s="21" t="s">
        <v>144</v>
      </c>
      <c r="M680" s="21" t="s">
        <v>55</v>
      </c>
      <c r="N680" s="29">
        <v>10</v>
      </c>
      <c r="R680" s="21" t="s">
        <v>227</v>
      </c>
    </row>
    <row r="681" spans="1:18" ht="14.4" hidden="1">
      <c r="A681" s="33">
        <f>IF(C681="","",MAX($A$1:A680)+1)</f>
        <v>653</v>
      </c>
      <c r="B681" s="27" t="s">
        <v>141</v>
      </c>
      <c r="C681" s="23">
        <v>46086</v>
      </c>
      <c r="D681" s="28" t="str">
        <f>_xlfn.XLOOKUP(Table134526_79101120212223242526[[#This Row],[Name Surname]],Manpower!$C$4:$C$1048576,Manpower!$B$4:$B$1048576,"")</f>
        <v>Encogroup</v>
      </c>
      <c r="E681" s="21" t="s">
        <v>209</v>
      </c>
      <c r="F681" s="12">
        <f>_xlfn.XLOOKUP(Table134526_79101120212223242526[[#This Row],[Name Surname]],Manpower!C:C,Manpower!D:D,)</f>
        <v>141365164</v>
      </c>
      <c r="G681" s="28" t="str">
        <f>_xlfn.XLOOKUP(Table134526_79101120212223242526[[#This Row],[Name Surname]],Manpower!$C$4:$C$1048576,Manpower!$F$4:$F$1048576,"")</f>
        <v>Helper</v>
      </c>
      <c r="H681" s="28" t="str">
        <f>_xlfn.XLOOKUP(Table134526_79101120212223242526[[#This Row],[Name Surname]],Manpower!$C$4:$C$1048576,Manpower!$H$4:$H$1048576,"")</f>
        <v>Manpower</v>
      </c>
      <c r="I681" s="24" t="str">
        <f>_xlfn.XLOOKUP(Table134526_79101120212223242526[[#This Row],[Name Surname]],Manpower!$C$4:$C$1048576,Manpower!$H$4:$H$1048576,"")</f>
        <v>Manpower</v>
      </c>
      <c r="J681" s="21" t="s">
        <v>158</v>
      </c>
      <c r="K681" s="21" t="s">
        <v>26</v>
      </c>
      <c r="L681" s="21" t="s">
        <v>26</v>
      </c>
      <c r="M681" s="21" t="s">
        <v>55</v>
      </c>
      <c r="N681" s="29">
        <v>10</v>
      </c>
      <c r="R681" s="21" t="s">
        <v>227</v>
      </c>
    </row>
    <row r="682" spans="1:18" ht="14.4">
      <c r="A682" s="33">
        <f>IF(C682="","",MAX($A$1:A681)+1)</f>
        <v>654</v>
      </c>
      <c r="B682" s="27" t="s">
        <v>141</v>
      </c>
      <c r="C682" s="23">
        <v>46086</v>
      </c>
      <c r="D682" s="28" t="str">
        <f>_xlfn.XLOOKUP(Table134526_79101120212223242526[[#This Row],[Name Surname]],Manpower!$C$4:$C$1048576,Manpower!$B$4:$B$1048576,"")</f>
        <v>Bright Light</v>
      </c>
      <c r="E682" s="21" t="s">
        <v>210</v>
      </c>
      <c r="F682" s="12" t="e">
        <f>_xlfn.XLOOKUP(Table134526_79101120212223242526[[#This Row],[Name Surname]],Manpower!C:C,Manpower!D:D,)</f>
        <v>#N/A</v>
      </c>
      <c r="G682" s="28" t="str">
        <f>_xlfn.XLOOKUP(Table134526_79101120212223242526[[#This Row],[Name Surname]],Manpower!$C$4:$C$1048576,Manpower!$F$4:$F$1048576,"")</f>
        <v>Trailer</v>
      </c>
      <c r="H682" s="28" t="str">
        <f>_xlfn.XLOOKUP(Table134526_79101120212223242526[[#This Row],[Name Surname]],Manpower!$C$4:$C$1048576,Manpower!$H$4:$H$1048576,"")</f>
        <v>Equipment</v>
      </c>
      <c r="I682" s="24" t="str">
        <f>_xlfn.XLOOKUP(Table134526_79101120212223242526[[#This Row],[Name Surname]],Manpower!$C$4:$C$1048576,Manpower!$H$4:$H$1048576,"")</f>
        <v>Equipment</v>
      </c>
      <c r="J682" s="21" t="s">
        <v>143</v>
      </c>
      <c r="K682" s="21" t="s">
        <v>26</v>
      </c>
      <c r="L682" s="21" t="s">
        <v>144</v>
      </c>
      <c r="M682" s="21" t="s">
        <v>55</v>
      </c>
      <c r="N682" s="29">
        <v>10</v>
      </c>
      <c r="R682" s="21" t="s">
        <v>227</v>
      </c>
    </row>
    <row r="683" spans="1:18" ht="14.4" hidden="1">
      <c r="A683" s="33">
        <f>IF(C683="","",MAX($A$1:A682)+1)</f>
        <v>655</v>
      </c>
      <c r="B683" s="27" t="s">
        <v>141</v>
      </c>
      <c r="C683" s="23">
        <v>46086</v>
      </c>
      <c r="D683" s="28" t="str">
        <f>_xlfn.XLOOKUP(Table134526_79101120212223242526[[#This Row],[Name Surname]],Manpower!$C$4:$C$1048576,Manpower!$B$4:$B$1048576,"")</f>
        <v>Encogroup</v>
      </c>
      <c r="E683" s="21" t="s">
        <v>211</v>
      </c>
      <c r="F683" s="12">
        <f>_xlfn.XLOOKUP(Table134526_79101120212223242526[[#This Row],[Name Surname]],Manpower!C:C,Manpower!D:D,)</f>
        <v>140477664</v>
      </c>
      <c r="G683" s="28" t="str">
        <f>_xlfn.XLOOKUP(Table134526_79101120212223242526[[#This Row],[Name Surname]],Manpower!$C$4:$C$1048576,Manpower!$F$4:$F$1048576,"")</f>
        <v>Junior HSE Officer</v>
      </c>
      <c r="H683" s="28" t="str">
        <f>_xlfn.XLOOKUP(Table134526_79101120212223242526[[#This Row],[Name Surname]],Manpower!$C$4:$C$1048576,Manpower!$H$4:$H$1048576,"")</f>
        <v>Manpower</v>
      </c>
      <c r="I683" s="24" t="str">
        <f>_xlfn.XLOOKUP(Table134526_79101120212223242526[[#This Row],[Name Surname]],Manpower!$C$4:$C$1048576,Manpower!$H$4:$H$1048576,"")</f>
        <v>Manpower</v>
      </c>
      <c r="J683" s="21" t="s">
        <v>143</v>
      </c>
      <c r="K683" s="21" t="s">
        <v>26</v>
      </c>
      <c r="L683" s="21" t="s">
        <v>144</v>
      </c>
      <c r="M683" s="21" t="s">
        <v>55</v>
      </c>
      <c r="N683" s="29">
        <v>10</v>
      </c>
      <c r="R683" s="21" t="s">
        <v>227</v>
      </c>
    </row>
    <row r="684" spans="1:18" ht="14.4" hidden="1">
      <c r="A684" s="33">
        <f>IF(C684="","",MAX($A$1:A683)+1)</f>
        <v>656</v>
      </c>
      <c r="B684" s="27" t="s">
        <v>141</v>
      </c>
      <c r="C684" s="23">
        <v>46086</v>
      </c>
      <c r="D684" s="28" t="str">
        <f>_xlfn.XLOOKUP(Table134526_79101120212223242526[[#This Row],[Name Surname]],Manpower!$C$4:$C$1048576,Manpower!$B$4:$B$1048576,"")</f>
        <v>AL Omar International TRAD AND CONT</v>
      </c>
      <c r="E684" s="21" t="s">
        <v>212</v>
      </c>
      <c r="F684" s="12">
        <f>_xlfn.XLOOKUP(Table134526_79101120212223242526[[#This Row],[Name Surname]],Manpower!C:C,Manpower!D:D,)</f>
        <v>116676257</v>
      </c>
      <c r="G684" s="28" t="str">
        <f>_xlfn.XLOOKUP(Table134526_79101120212223242526[[#This Row],[Name Surname]],Manpower!$C$4:$C$1048576,Manpower!$F$4:$F$1048576,"")</f>
        <v>Scaffolder</v>
      </c>
      <c r="H684" s="28" t="str">
        <f>_xlfn.XLOOKUP(Table134526_79101120212223242526[[#This Row],[Name Surname]],Manpower!$C$4:$C$1048576,Manpower!$H$4:$H$1048576,"")</f>
        <v>Sub Contactor</v>
      </c>
      <c r="I684" s="24" t="str">
        <f>_xlfn.XLOOKUP(Table134526_79101120212223242526[[#This Row],[Name Surname]],Manpower!$C$4:$C$1048576,Manpower!$H$4:$H$1048576,"")</f>
        <v>Sub Contactor</v>
      </c>
      <c r="J684" s="21" t="s">
        <v>143</v>
      </c>
      <c r="K684" s="21" t="s">
        <v>26</v>
      </c>
      <c r="L684" s="21" t="s">
        <v>144</v>
      </c>
      <c r="M684" s="21" t="s">
        <v>55</v>
      </c>
      <c r="N684" s="29">
        <v>10</v>
      </c>
      <c r="R684" s="21" t="s">
        <v>227</v>
      </c>
    </row>
    <row r="685" spans="1:18" ht="14.4" hidden="1">
      <c r="A685" s="33">
        <f>IF(C685="","",MAX($A$1:A684)+1)</f>
        <v>657</v>
      </c>
      <c r="B685" s="27" t="s">
        <v>141</v>
      </c>
      <c r="C685" s="23">
        <v>46086</v>
      </c>
      <c r="D685" s="28" t="str">
        <f>_xlfn.XLOOKUP(Table134526_79101120212223242526[[#This Row],[Name Surname]],Manpower!$C$4:$C$1048576,Manpower!$B$4:$B$1048576,"")</f>
        <v>Encogroup</v>
      </c>
      <c r="E685" s="21" t="s">
        <v>213</v>
      </c>
      <c r="F685" s="12">
        <f>_xlfn.XLOOKUP(Table134526_79101120212223242526[[#This Row],[Name Surname]],Manpower!C:C,Manpower!D:D,)</f>
        <v>140846698</v>
      </c>
      <c r="G685" s="28" t="str">
        <f>_xlfn.XLOOKUP(Table134526_79101120212223242526[[#This Row],[Name Surname]],Manpower!$C$4:$C$1048576,Manpower!$F$4:$F$1048576,"")</f>
        <v>Assistant/Helper</v>
      </c>
      <c r="H685" s="28" t="str">
        <f>_xlfn.XLOOKUP(Table134526_79101120212223242526[[#This Row],[Name Surname]],Manpower!$C$4:$C$1048576,Manpower!$H$4:$H$1048576,"")</f>
        <v>Manpower</v>
      </c>
      <c r="I685" s="24" t="str">
        <f>_xlfn.XLOOKUP(Table134526_79101120212223242526[[#This Row],[Name Surname]],Manpower!$C$4:$C$1048576,Manpower!$H$4:$H$1048576,"")</f>
        <v>Manpower</v>
      </c>
      <c r="J685" s="21" t="s">
        <v>143</v>
      </c>
      <c r="K685" s="21" t="s">
        <v>26</v>
      </c>
      <c r="L685" s="21" t="s">
        <v>144</v>
      </c>
      <c r="M685" s="21" t="s">
        <v>55</v>
      </c>
      <c r="N685" s="29">
        <v>10</v>
      </c>
      <c r="R685" s="21" t="s">
        <v>227</v>
      </c>
    </row>
    <row r="686" spans="1:18" ht="14.4" hidden="1">
      <c r="A686" s="33">
        <f>IF(C686="","",MAX($A$1:A685)+1)</f>
        <v>658</v>
      </c>
      <c r="B686" s="27" t="s">
        <v>141</v>
      </c>
      <c r="C686" s="23">
        <v>46086</v>
      </c>
      <c r="D686" s="28" t="str">
        <f>_xlfn.XLOOKUP(Table134526_79101120212223242526[[#This Row],[Name Surname]],Manpower!$C$4:$C$1048576,Manpower!$B$4:$B$1048576,"")</f>
        <v>SARENS NASS</v>
      </c>
      <c r="E686" s="21" t="s">
        <v>214</v>
      </c>
      <c r="F686" s="12">
        <f>_xlfn.XLOOKUP(Table134526_79101120212223242526[[#This Row],[Name Surname]],Manpower!C:C,Manpower!D:D,)</f>
        <v>109957631</v>
      </c>
      <c r="G686" s="28" t="str">
        <f>_xlfn.XLOOKUP(Table134526_79101120212223242526[[#This Row],[Name Surname]],Manpower!$C$4:$C$1048576,Manpower!$F$4:$F$1048576,"")</f>
        <v>Crane Operator-130T Liebherr Crawler</v>
      </c>
      <c r="H686" s="28" t="s">
        <v>39</v>
      </c>
      <c r="I686" s="24" t="s">
        <v>39</v>
      </c>
      <c r="J686" s="21" t="s">
        <v>143</v>
      </c>
      <c r="K686" s="21" t="s">
        <v>26</v>
      </c>
      <c r="L686" s="21" t="s">
        <v>144</v>
      </c>
      <c r="M686" s="21" t="s">
        <v>55</v>
      </c>
      <c r="N686" s="29">
        <v>10</v>
      </c>
      <c r="R686" s="21" t="s">
        <v>227</v>
      </c>
    </row>
    <row r="687" spans="1:18" ht="14.4" hidden="1">
      <c r="A687" s="33">
        <f>IF(C687="","",MAX($A$1:A686)+1)</f>
        <v>659</v>
      </c>
      <c r="B687" s="27" t="s">
        <v>141</v>
      </c>
      <c r="C687" s="23">
        <v>46086</v>
      </c>
      <c r="D687" s="28" t="str">
        <f>_xlfn.XLOOKUP(Table134526_79101120212223242526[[#This Row],[Name Surname]],Manpower!$C$4:$C$1048576,Manpower!$B$4:$B$1048576,"")</f>
        <v>Encogroup</v>
      </c>
      <c r="E687" s="21" t="s">
        <v>217</v>
      </c>
      <c r="F687" s="12">
        <f>_xlfn.XLOOKUP(Table134526_79101120212223242526[[#This Row],[Name Surname]],Manpower!C:C,Manpower!D:D,)</f>
        <v>140742177</v>
      </c>
      <c r="G687" s="28" t="str">
        <f>_xlfn.XLOOKUP(Table134526_79101120212223242526[[#This Row],[Name Surname]],Manpower!$C$4:$C$1048576,Manpower!$F$4:$F$1048576,"")</f>
        <v>Grinder</v>
      </c>
      <c r="H687" s="28" t="str">
        <f>_xlfn.XLOOKUP(Table134526_79101120212223242526[[#This Row],[Name Surname]],Manpower!$C$4:$C$1048576,Manpower!$H$4:$H$1048576,"")</f>
        <v>Manpower</v>
      </c>
      <c r="I687" s="24" t="str">
        <f>_xlfn.XLOOKUP(Table134526_79101120212223242526[[#This Row],[Name Surname]],Manpower!$C$4:$C$1048576,Manpower!$H$4:$H$1048576,"")</f>
        <v>Manpower</v>
      </c>
      <c r="J687" s="21" t="s">
        <v>143</v>
      </c>
      <c r="K687" s="21" t="s">
        <v>26</v>
      </c>
      <c r="L687" s="21" t="s">
        <v>144</v>
      </c>
      <c r="M687" s="21" t="s">
        <v>55</v>
      </c>
      <c r="N687" s="29">
        <v>10</v>
      </c>
      <c r="R687" s="21" t="s">
        <v>227</v>
      </c>
    </row>
    <row r="688" spans="1:18" ht="14.4" hidden="1">
      <c r="A688" s="33">
        <f>IF(C688="","",MAX($A$1:A687)+1)</f>
        <v>660</v>
      </c>
      <c r="B688" s="27" t="s">
        <v>141</v>
      </c>
      <c r="C688" s="23">
        <v>46086</v>
      </c>
      <c r="D688" s="28" t="str">
        <f>_xlfn.XLOOKUP(Table134526_79101120212223242526[[#This Row],[Name Surname]],Manpower!$C$4:$C$1048576,Manpower!$B$4:$B$1048576,"")</f>
        <v>Encogroup</v>
      </c>
      <c r="E688" s="21" t="s">
        <v>218</v>
      </c>
      <c r="F688" s="12">
        <f>_xlfn.XLOOKUP(Table134526_79101120212223242526[[#This Row],[Name Surname]],Manpower!C:C,Manpower!D:D,)</f>
        <v>116853914</v>
      </c>
      <c r="G688" s="28" t="str">
        <f>_xlfn.XLOOKUP(Table134526_79101120212223242526[[#This Row],[Name Surname]],Manpower!$C$4:$C$1048576,Manpower!$F$4:$F$1048576,"")</f>
        <v>Electrical Supervisor</v>
      </c>
      <c r="H688" s="28" t="str">
        <f>_xlfn.XLOOKUP(Table134526_79101120212223242526[[#This Row],[Name Surname]],Manpower!$C$4:$C$1048576,Manpower!$H$4:$H$1048576,"")</f>
        <v>Manpower</v>
      </c>
      <c r="I688" s="24" t="str">
        <f>_xlfn.XLOOKUP(Table134526_79101120212223242526[[#This Row],[Name Surname]],Manpower!$C$4:$C$1048576,Manpower!$H$4:$H$1048576,"")</f>
        <v>Manpower</v>
      </c>
      <c r="J688" s="21" t="s">
        <v>158</v>
      </c>
      <c r="K688" s="21" t="s">
        <v>26</v>
      </c>
      <c r="L688" s="21" t="s">
        <v>26</v>
      </c>
      <c r="M688" s="21" t="s">
        <v>55</v>
      </c>
      <c r="N688" s="29">
        <v>10</v>
      </c>
      <c r="R688" s="21" t="s">
        <v>227</v>
      </c>
    </row>
    <row r="689" spans="1:18" ht="14.4">
      <c r="A689" s="33">
        <f>IF(C689="","",MAX($A$1:A688)+1)</f>
        <v>661</v>
      </c>
      <c r="B689" s="27" t="s">
        <v>141</v>
      </c>
      <c r="C689" s="23">
        <v>46086</v>
      </c>
      <c r="D689" s="28" t="str">
        <f>_xlfn.XLOOKUP(Table134526_79101120212223242526[[#This Row],[Name Surname]],Manpower!$C$4:$C$1048576,Manpower!$B$4:$B$1048576,"")</f>
        <v>Encogroup</v>
      </c>
      <c r="E689" s="23" t="s">
        <v>219</v>
      </c>
      <c r="F689" s="12" t="e">
        <f>_xlfn.XLOOKUP(Table134526_79101120212223242526[[#This Row],[Name Surname]],Manpower!C:C,Manpower!D:D,)</f>
        <v>#N/A</v>
      </c>
      <c r="G689" s="28" t="str">
        <f>_xlfn.XLOOKUP(Table134526_79101120212223242526[[#This Row],[Name Surname]],Manpower!$C$4:$C$1048576,Manpower!$F$4:$F$1048576,"")</f>
        <v>TOWER LIGHT</v>
      </c>
      <c r="H689" s="28" t="str">
        <f>_xlfn.XLOOKUP(Table134526_79101120212223242526[[#This Row],[Name Surname]],Manpower!$C$4:$C$1048576,Manpower!$H$4:$H$1048576,"")</f>
        <v>Equipment</v>
      </c>
      <c r="I689" s="24" t="str">
        <f>_xlfn.XLOOKUP(Table134526_79101120212223242526[[#This Row],[Name Surname]],Manpower!$C$4:$C$1048576,Manpower!$H$4:$H$1048576,"")</f>
        <v>Equipment</v>
      </c>
      <c r="J689" s="21" t="s">
        <v>143</v>
      </c>
      <c r="K689" s="21" t="s">
        <v>26</v>
      </c>
      <c r="L689" s="21" t="s">
        <v>144</v>
      </c>
      <c r="M689" s="21" t="s">
        <v>55</v>
      </c>
      <c r="N689" s="29">
        <v>10</v>
      </c>
      <c r="R689" s="21" t="s">
        <v>227</v>
      </c>
    </row>
    <row r="690" spans="1:18" ht="14.4">
      <c r="A690" s="33">
        <f>IF(C690="","",MAX($A$1:A689)+1)</f>
        <v>662</v>
      </c>
      <c r="B690" s="27" t="s">
        <v>141</v>
      </c>
      <c r="C690" s="23">
        <v>46086</v>
      </c>
      <c r="D690" s="28" t="str">
        <f>_xlfn.XLOOKUP(Table134526_79101120212223242526[[#This Row],[Name Surname]],Manpower!$C$4:$C$1048576,Manpower!$B$4:$B$1048576,"")</f>
        <v>Encogroup</v>
      </c>
      <c r="E690" s="23" t="s">
        <v>220</v>
      </c>
      <c r="F690" s="12" t="e">
        <f>_xlfn.XLOOKUP(Table134526_79101120212223242526[[#This Row],[Name Surname]],Manpower!C:C,Manpower!D:D,)</f>
        <v>#N/A</v>
      </c>
      <c r="G690" s="28" t="str">
        <f>_xlfn.XLOOKUP(Table134526_79101120212223242526[[#This Row],[Name Surname]],Manpower!$C$4:$C$1048576,Manpower!$F$4:$F$1048576,"")</f>
        <v>TOWER LIGHT</v>
      </c>
      <c r="H690" s="28" t="str">
        <f>_xlfn.XLOOKUP(Table134526_79101120212223242526[[#This Row],[Name Surname]],Manpower!$C$4:$C$1048576,Manpower!$H$4:$H$1048576,"")</f>
        <v>Equipment</v>
      </c>
      <c r="I690" s="24" t="str">
        <f>_xlfn.XLOOKUP(Table134526_79101120212223242526[[#This Row],[Name Surname]],Manpower!$C$4:$C$1048576,Manpower!$H$4:$H$1048576,"")</f>
        <v>Equipment</v>
      </c>
      <c r="J690" s="21" t="s">
        <v>143</v>
      </c>
      <c r="K690" s="21" t="s">
        <v>26</v>
      </c>
      <c r="L690" s="21" t="s">
        <v>144</v>
      </c>
      <c r="M690" s="21" t="s">
        <v>55</v>
      </c>
      <c r="N690" s="29">
        <v>10</v>
      </c>
      <c r="R690" s="21" t="s">
        <v>227</v>
      </c>
    </row>
    <row r="691" spans="1:18" ht="14.4" hidden="1">
      <c r="A691" s="33">
        <f>IF(C691="","",MAX($A$1:A690)+1)</f>
        <v>663</v>
      </c>
      <c r="B691" s="27" t="s">
        <v>141</v>
      </c>
      <c r="C691" s="23">
        <v>46086</v>
      </c>
      <c r="D691" s="28" t="str">
        <f>_xlfn.XLOOKUP(Table134526_79101120212223242526[[#This Row],[Name Surname]],Manpower!$C$4:$C$1048576,Manpower!$B$4:$B$1048576,"")</f>
        <v>AL Omar International Tarde&amp;Contracting SPC</v>
      </c>
      <c r="E691" s="21" t="s">
        <v>221</v>
      </c>
      <c r="F691" s="12">
        <f>_xlfn.XLOOKUP(Table134526_79101120212223242526[[#This Row],[Name Surname]],Manpower!C:C,Manpower!D:D,)</f>
        <v>115122635</v>
      </c>
      <c r="G691" s="28" t="str">
        <f>_xlfn.XLOOKUP(Table134526_79101120212223242526[[#This Row],[Name Surname]],Manpower!$C$4:$C$1048576,Manpower!$F$4:$F$1048576,"")</f>
        <v>Scaffolder</v>
      </c>
      <c r="H691" s="28" t="str">
        <f>_xlfn.XLOOKUP(Table134526_79101120212223242526[[#This Row],[Name Surname]],Manpower!$C$4:$C$1048576,Manpower!$H$4:$H$1048576,"")</f>
        <v>Sub Contactor</v>
      </c>
      <c r="I691" s="24" t="str">
        <f>_xlfn.XLOOKUP(Table134526_79101120212223242526[[#This Row],[Name Surname]],Manpower!$C$4:$C$1048576,Manpower!$H$4:$H$1048576,"")</f>
        <v>Sub Contactor</v>
      </c>
      <c r="J691" s="21" t="s">
        <v>143</v>
      </c>
      <c r="K691" s="21" t="s">
        <v>26</v>
      </c>
      <c r="L691" s="21" t="s">
        <v>144</v>
      </c>
      <c r="M691" s="21" t="s">
        <v>55</v>
      </c>
      <c r="N691" s="29">
        <v>10</v>
      </c>
      <c r="R691" s="21" t="s">
        <v>227</v>
      </c>
    </row>
    <row r="692" spans="1:18" ht="14.4" hidden="1">
      <c r="A692" s="33">
        <f>IF(C692="","",MAX($A$1:A691)+1)</f>
        <v>664</v>
      </c>
      <c r="B692" s="27" t="s">
        <v>141</v>
      </c>
      <c r="C692" s="23">
        <v>46086</v>
      </c>
      <c r="D692" s="28" t="str">
        <f>_xlfn.XLOOKUP(Table134526_79101120212223242526[[#This Row],[Name Surname]],Manpower!$C$4:$C$1048576,Manpower!$B$4:$B$1048576,"")</f>
        <v>Encogroup</v>
      </c>
      <c r="E692" s="21" t="s">
        <v>168</v>
      </c>
      <c r="F692" s="12">
        <f>_xlfn.XLOOKUP(Table134526_79101120212223242526[[#This Row],[Name Surname]],Manpower!C:C,Manpower!D:D,)</f>
        <v>137114773</v>
      </c>
      <c r="G692" s="28" t="str">
        <f>_xlfn.XLOOKUP(Table134526_79101120212223242526[[#This Row],[Name Surname]],Manpower!$C$4:$C$1048576,Manpower!$F$4:$F$1048576,"")</f>
        <v>Rigger</v>
      </c>
      <c r="H692" s="28" t="str">
        <f>_xlfn.XLOOKUP(Table134526_79101120212223242526[[#This Row],[Name Surname]],Manpower!$C$4:$C$1048576,Manpower!$H$4:$H$1048576,"")</f>
        <v>Manpower</v>
      </c>
      <c r="I692" s="24" t="str">
        <f>_xlfn.XLOOKUP(Table134526_79101120212223242526[[#This Row],[Name Surname]],Manpower!$C$4:$C$1048576,Manpower!$H$4:$H$1048576,"")</f>
        <v>Manpower</v>
      </c>
      <c r="J692" s="21" t="s">
        <v>143</v>
      </c>
      <c r="K692" s="21" t="s">
        <v>26</v>
      </c>
      <c r="L692" s="21" t="s">
        <v>144</v>
      </c>
      <c r="M692" s="21" t="s">
        <v>55</v>
      </c>
      <c r="N692" s="29">
        <v>10</v>
      </c>
      <c r="R692" s="21" t="s">
        <v>227</v>
      </c>
    </row>
    <row r="693" spans="1:18" ht="14.4" hidden="1">
      <c r="A693" s="33">
        <f>IF(C693="","",MAX($A$1:A692)+1)</f>
        <v>665</v>
      </c>
      <c r="B693" s="27" t="s">
        <v>141</v>
      </c>
      <c r="C693" s="23">
        <v>46086</v>
      </c>
      <c r="D693" s="28" t="str">
        <f>_xlfn.XLOOKUP(Table134526_79101120212223242526[[#This Row],[Name Surname]],Manpower!$C$4:$C$1048576,Manpower!$B$4:$B$1048576,"")</f>
        <v>Encogroup</v>
      </c>
      <c r="E693" s="21" t="s">
        <v>222</v>
      </c>
      <c r="F693" s="12">
        <f>_xlfn.XLOOKUP(Table134526_79101120212223242526[[#This Row],[Name Surname]],Manpower!C:C,Manpower!D:D,)</f>
        <v>122082863</v>
      </c>
      <c r="G693" s="28" t="str">
        <f>_xlfn.XLOOKUP(Table134526_79101120212223242526[[#This Row],[Name Surname]],Manpower!$C$4:$C$1048576,Manpower!$F$4:$F$1048576,"")</f>
        <v>Grinder</v>
      </c>
      <c r="H693" s="28" t="str">
        <f>_xlfn.XLOOKUP(Table134526_79101120212223242526[[#This Row],[Name Surname]],Manpower!$C$4:$C$1048576,Manpower!$H$4:$H$1048576,"")</f>
        <v>Manpower</v>
      </c>
      <c r="I693" s="24" t="str">
        <f>_xlfn.XLOOKUP(Table134526_79101120212223242526[[#This Row],[Name Surname]],Manpower!$C$4:$C$1048576,Manpower!$H$4:$H$1048576,"")</f>
        <v>Manpower</v>
      </c>
      <c r="J693" s="21" t="s">
        <v>143</v>
      </c>
      <c r="K693" s="21" t="s">
        <v>26</v>
      </c>
      <c r="L693" s="21" t="s">
        <v>144</v>
      </c>
      <c r="M693" s="21" t="s">
        <v>55</v>
      </c>
      <c r="N693" s="29">
        <v>10</v>
      </c>
      <c r="R693" s="21" t="s">
        <v>227</v>
      </c>
    </row>
    <row r="694" spans="1:18" ht="14.4" hidden="1">
      <c r="A694" s="33">
        <f>IF(C694="","",MAX($A$1:A693)+1)</f>
        <v>666</v>
      </c>
      <c r="B694" s="27" t="s">
        <v>141</v>
      </c>
      <c r="C694" s="23">
        <v>46086</v>
      </c>
      <c r="D694" s="28" t="str">
        <f>_xlfn.XLOOKUP(Table134526_79101120212223242526[[#This Row],[Name Surname]],Manpower!$C$4:$C$1048576,Manpower!$B$4:$B$1048576,"")</f>
        <v>Encogroup</v>
      </c>
      <c r="E694" s="21" t="s">
        <v>223</v>
      </c>
      <c r="F694" s="12">
        <f>_xlfn.XLOOKUP(Table134526_79101120212223242526[[#This Row],[Name Surname]],Manpower!C:C,Manpower!D:D,)</f>
        <v>140696989</v>
      </c>
      <c r="G694" s="28" t="str">
        <f>_xlfn.XLOOKUP(Table134526_79101120212223242526[[#This Row],[Name Surname]],Manpower!$C$4:$C$1048576,Manpower!$F$4:$F$1048576,"")</f>
        <v>Assistant/Helper</v>
      </c>
      <c r="H694" s="28" t="str">
        <f>_xlfn.XLOOKUP(Table134526_79101120212223242526[[#This Row],[Name Surname]],Manpower!$C$4:$C$1048576,Manpower!$H$4:$H$1048576,"")</f>
        <v>Manpower</v>
      </c>
      <c r="I694" s="24" t="str">
        <f>_xlfn.XLOOKUP(Table134526_79101120212223242526[[#This Row],[Name Surname]],Manpower!$C$4:$C$1048576,Manpower!$H$4:$H$1048576,"")</f>
        <v>Manpower</v>
      </c>
      <c r="J694" s="21" t="s">
        <v>158</v>
      </c>
      <c r="K694" s="21" t="s">
        <v>26</v>
      </c>
      <c r="L694" s="21" t="s">
        <v>26</v>
      </c>
      <c r="M694" s="21" t="s">
        <v>55</v>
      </c>
      <c r="N694" s="29">
        <v>10</v>
      </c>
      <c r="R694" s="21" t="s">
        <v>227</v>
      </c>
    </row>
    <row r="695" spans="1:18" ht="14.4" hidden="1">
      <c r="A695" s="33">
        <f>IF(C695="","",MAX($A$1:A694)+1)</f>
        <v>667</v>
      </c>
      <c r="B695" s="27" t="s">
        <v>141</v>
      </c>
      <c r="C695" s="23">
        <v>46086</v>
      </c>
      <c r="D695" s="28" t="str">
        <f>_xlfn.XLOOKUP(Table134526_79101120212223242526[[#This Row],[Name Surname]],Manpower!$C$4:$C$1048576,Manpower!$B$4:$B$1048576,"")</f>
        <v>Encogroup</v>
      </c>
      <c r="E695" s="21" t="s">
        <v>224</v>
      </c>
      <c r="F695" s="12">
        <f>_xlfn.XLOOKUP(Table134526_79101120212223242526[[#This Row],[Name Surname]],Manpower!C:C,Manpower!D:D,)</f>
        <v>141365094</v>
      </c>
      <c r="G695" s="28" t="str">
        <f>_xlfn.XLOOKUP(Table134526_79101120212223242526[[#This Row],[Name Surname]],Manpower!$C$4:$C$1048576,Manpower!$F$4:$F$1048576,"")</f>
        <v>Helper</v>
      </c>
      <c r="H695" s="28" t="str">
        <f>_xlfn.XLOOKUP(Table134526_79101120212223242526[[#This Row],[Name Surname]],Manpower!$C$4:$C$1048576,Manpower!$H$4:$H$1048576,"")</f>
        <v>Manpower</v>
      </c>
      <c r="I695" s="24" t="str">
        <f>_xlfn.XLOOKUP(Table134526_79101120212223242526[[#This Row],[Name Surname]],Manpower!$C$4:$C$1048576,Manpower!$H$4:$H$1048576,"")</f>
        <v>Manpower</v>
      </c>
      <c r="J695" s="21" t="s">
        <v>143</v>
      </c>
      <c r="K695" s="21" t="s">
        <v>26</v>
      </c>
      <c r="L695" s="21" t="s">
        <v>144</v>
      </c>
      <c r="M695" s="21" t="s">
        <v>55</v>
      </c>
      <c r="N695" s="29">
        <v>10</v>
      </c>
      <c r="R695" s="21" t="s">
        <v>227</v>
      </c>
    </row>
    <row r="696" spans="1:18" ht="14.4" hidden="1">
      <c r="A696" s="33">
        <f>IF(C696="","",MAX($A$1:A695)+1)</f>
        <v>668</v>
      </c>
      <c r="B696" s="27" t="s">
        <v>141</v>
      </c>
      <c r="C696" s="23">
        <v>46086</v>
      </c>
      <c r="D696" s="28" t="str">
        <f>_xlfn.XLOOKUP(Table134526_79101120212223242526[[#This Row],[Name Surname]],Manpower!$C$4:$C$1048576,Manpower!$B$4:$B$1048576,"")</f>
        <v xml:space="preserve">FAL Transport </v>
      </c>
      <c r="E696" s="21" t="s">
        <v>225</v>
      </c>
      <c r="F696" s="12">
        <f>_xlfn.XLOOKUP(Table134526_79101120212223242526[[#This Row],[Name Surname]],Manpower!C:C,Manpower!D:D,)</f>
        <v>124233837</v>
      </c>
      <c r="G696" s="28" t="str">
        <f>_xlfn.XLOOKUP(Table134526_79101120212223242526[[#This Row],[Name Surname]],Manpower!$C$4:$C$1048576,Manpower!$F$4:$F$1048576,"")</f>
        <v>Trailer Driver</v>
      </c>
      <c r="H696" s="28" t="str">
        <f>_xlfn.XLOOKUP(Table134526_79101120212223242526[[#This Row],[Name Surname]],Manpower!$C$4:$C$1048576,Manpower!$H$4:$H$1048576,"")</f>
        <v>Sub Contactor</v>
      </c>
      <c r="I696" s="24" t="str">
        <f>_xlfn.XLOOKUP(Table134526_79101120212223242526[[#This Row],[Name Surname]],Manpower!$C$4:$C$1048576,Manpower!$H$4:$H$1048576,"")</f>
        <v>Sub Contactor</v>
      </c>
      <c r="J696" s="21" t="s">
        <v>143</v>
      </c>
      <c r="K696" s="21" t="s">
        <v>26</v>
      </c>
      <c r="L696" s="21" t="s">
        <v>144</v>
      </c>
      <c r="M696" s="21" t="s">
        <v>55</v>
      </c>
      <c r="N696" s="29">
        <v>10</v>
      </c>
      <c r="R696" s="21" t="s">
        <v>227</v>
      </c>
    </row>
    <row r="697" spans="1:18" ht="14.4">
      <c r="A697" s="33">
        <f>IF(C697="","",MAX($A$1:A696)+1)</f>
        <v>669</v>
      </c>
      <c r="B697" s="22" t="s">
        <v>19</v>
      </c>
      <c r="C697" s="23">
        <v>46088</v>
      </c>
      <c r="D697" s="28" t="str">
        <f>_xlfn.XLOOKUP(Table134526_79101120212223242526[[#This Row],[Name Surname]],Manpower!$C$4:$C$1048576,Manpower!$B$4:$B$1048576,"")</f>
        <v>Riyan Al Khaleej</v>
      </c>
      <c r="E697" s="21" t="s">
        <v>20</v>
      </c>
      <c r="F697" s="12" t="e">
        <f>_xlfn.XLOOKUP(Table134526_79101120212223242526[[#This Row],[Name Surname]],Manpower!C:C,Manpower!D:D,)</f>
        <v>#N/A</v>
      </c>
      <c r="G697" s="28" t="str">
        <f>_xlfn.XLOOKUP(Table134526_79101120212223242526[[#This Row],[Name Surname]],Manpower!$C$4:$C$1048576,Manpower!$F$4:$F$1048576,"")</f>
        <v>100T Telescopic Crane</v>
      </c>
      <c r="H697" s="28" t="str">
        <f>_xlfn.XLOOKUP(Table134526_79101120212223242526[[#This Row],[Name Surname]],Manpower!$C$4:$C$1048576,Manpower!$H$4:$H$1048576,"")</f>
        <v>Equipment</v>
      </c>
      <c r="I697" s="24" t="str">
        <f>_xlfn.XLOOKUP(Table134526_79101120212223242526[[#This Row],[Name Surname]],Manpower!$C$4:$C$1048576,Manpower!$H$4:$H$1048576,"")</f>
        <v>Equipment</v>
      </c>
      <c r="J697" s="21" t="s">
        <v>21</v>
      </c>
      <c r="K697" s="21" t="s">
        <v>22</v>
      </c>
      <c r="L697" s="21" t="s">
        <v>23</v>
      </c>
      <c r="M697" s="21" t="s">
        <v>55</v>
      </c>
      <c r="N697" s="29">
        <v>10</v>
      </c>
      <c r="R697" s="21" t="s">
        <v>227</v>
      </c>
    </row>
    <row r="698" spans="1:18" ht="14.4" hidden="1">
      <c r="A698" s="33">
        <f>IF(C698="","",MAX($A$1:A697)+1)</f>
        <v>670</v>
      </c>
      <c r="B698" s="22" t="s">
        <v>19</v>
      </c>
      <c r="C698" s="23">
        <v>46088</v>
      </c>
      <c r="D698" s="28" t="str">
        <f>_xlfn.XLOOKUP(Table134526_79101120212223242526[[#This Row],[Name Surname]],Manpower!$C$4:$C$1048576,Manpower!$B$4:$B$1048576,"")</f>
        <v>Encogroup</v>
      </c>
      <c r="E698" s="21" t="s">
        <v>27</v>
      </c>
      <c r="F698" s="12">
        <f>_xlfn.XLOOKUP(Table134526_79101120212223242526[[#This Row],[Name Surname]],Manpower!C:C,Manpower!D:D,)</f>
        <v>127414586</v>
      </c>
      <c r="G698" s="28" t="str">
        <f>_xlfn.XLOOKUP(Table134526_79101120212223242526[[#This Row],[Name Surname]],Manpower!$C$4:$C$1048576,Manpower!$F$4:$F$1048576,"")</f>
        <v>Electrician</v>
      </c>
      <c r="H698" s="28" t="str">
        <f>_xlfn.XLOOKUP(Table134526_79101120212223242526[[#This Row],[Name Surname]],Manpower!$C$4:$C$1048576,Manpower!$H$4:$H$1048576,"")</f>
        <v>Manpower</v>
      </c>
      <c r="I698" s="24" t="str">
        <f>_xlfn.XLOOKUP(Table134526_79101120212223242526[[#This Row],[Name Surname]],Manpower!$C$4:$C$1048576,Manpower!$H$4:$H$1048576,"")</f>
        <v>Manpower</v>
      </c>
      <c r="J698" s="21" t="s">
        <v>21</v>
      </c>
      <c r="K698" s="21" t="s">
        <v>22</v>
      </c>
      <c r="L698" s="21" t="s">
        <v>23</v>
      </c>
      <c r="M698" s="21" t="s">
        <v>55</v>
      </c>
      <c r="N698" s="29">
        <v>5</v>
      </c>
      <c r="R698" s="21" t="s">
        <v>227</v>
      </c>
    </row>
    <row r="699" spans="1:18" ht="14.4" hidden="1">
      <c r="A699" s="33">
        <f>IF(C699="","",MAX($A$1:A698)+1)</f>
        <v>671</v>
      </c>
      <c r="B699" s="22" t="s">
        <v>19</v>
      </c>
      <c r="C699" s="23">
        <v>46088</v>
      </c>
      <c r="D699" s="28" t="str">
        <f>_xlfn.XLOOKUP(Table134526_79101120212223242526[[#This Row],[Name Surname]],Manpower!$C$4:$C$1048576,Manpower!$B$4:$B$1048576,"")</f>
        <v>Encogroup</v>
      </c>
      <c r="E699" s="21" t="s">
        <v>29</v>
      </c>
      <c r="F699" s="12">
        <f>_xlfn.XLOOKUP(Table134526_79101120212223242526[[#This Row],[Name Surname]],Manpower!C:C,Manpower!D:D,)</f>
        <v>127331574</v>
      </c>
      <c r="G699" s="28" t="str">
        <f>_xlfn.XLOOKUP(Table134526_79101120212223242526[[#This Row],[Name Surname]],Manpower!$C$4:$C$1048576,Manpower!$F$4:$F$1048576,"")</f>
        <v>Permit Receiver</v>
      </c>
      <c r="H699" s="28" t="str">
        <f>_xlfn.XLOOKUP(Table134526_79101120212223242526[[#This Row],[Name Surname]],Manpower!$C$4:$C$1048576,Manpower!$H$4:$H$1048576,"")</f>
        <v>Manpower</v>
      </c>
      <c r="I699" s="24" t="str">
        <f>_xlfn.XLOOKUP(Table134526_79101120212223242526[[#This Row],[Name Surname]],Manpower!$C$4:$C$1048576,Manpower!$H$4:$H$1048576,"")</f>
        <v>Manpower</v>
      </c>
      <c r="J699" s="21" t="s">
        <v>21</v>
      </c>
      <c r="K699" s="21" t="s">
        <v>22</v>
      </c>
      <c r="L699" s="21" t="s">
        <v>23</v>
      </c>
      <c r="M699" s="21" t="s">
        <v>55</v>
      </c>
      <c r="N699" s="29">
        <v>10</v>
      </c>
      <c r="R699" s="21" t="s">
        <v>227</v>
      </c>
    </row>
    <row r="700" spans="1:18" ht="14.4" hidden="1">
      <c r="A700" s="33">
        <f>IF(C700="","",MAX($A$1:A699)+1)</f>
        <v>672</v>
      </c>
      <c r="B700" s="22" t="s">
        <v>19</v>
      </c>
      <c r="C700" s="23">
        <v>46088</v>
      </c>
      <c r="D700" s="28" t="str">
        <f>_xlfn.XLOOKUP(Table134526_79101120212223242526[[#This Row],[Name Surname]],Manpower!$C$4:$C$1048576,Manpower!$B$4:$B$1048576,"")</f>
        <v>Encogroup</v>
      </c>
      <c r="E700" s="21" t="s">
        <v>30</v>
      </c>
      <c r="F700" s="12">
        <f>_xlfn.XLOOKUP(Table134526_79101120212223242526[[#This Row],[Name Surname]],Manpower!C:C,Manpower!D:D,)</f>
        <v>116589569</v>
      </c>
      <c r="G700" s="28" t="str">
        <f>_xlfn.XLOOKUP(Table134526_79101120212223242526[[#This Row],[Name Surname]],Manpower!$C$4:$C$1048576,Manpower!$F$4:$F$1048576,"")</f>
        <v>Mechanical Engineer</v>
      </c>
      <c r="H700" s="28" t="str">
        <f>_xlfn.XLOOKUP(Table134526_79101120212223242526[[#This Row],[Name Surname]],Manpower!$C$4:$C$1048576,Manpower!$H$4:$H$1048576,"")</f>
        <v>Manpower</v>
      </c>
      <c r="I700" s="24" t="str">
        <f>_xlfn.XLOOKUP(Table134526_79101120212223242526[[#This Row],[Name Surname]],Manpower!$C$4:$C$1048576,Manpower!$H$4:$H$1048576,"")</f>
        <v>Manpower</v>
      </c>
      <c r="J700" s="21" t="s">
        <v>21</v>
      </c>
      <c r="K700" s="21" t="s">
        <v>22</v>
      </c>
      <c r="L700" s="21" t="s">
        <v>23</v>
      </c>
      <c r="M700" s="21" t="s">
        <v>55</v>
      </c>
      <c r="N700" s="29">
        <v>10</v>
      </c>
      <c r="R700" s="21" t="s">
        <v>227</v>
      </c>
    </row>
    <row r="701" spans="1:18" ht="14.4" hidden="1">
      <c r="A701" s="33">
        <f>IF(C701="","",MAX($A$1:A700)+1)</f>
        <v>673</v>
      </c>
      <c r="B701" s="22" t="s">
        <v>19</v>
      </c>
      <c r="C701" s="23">
        <v>46088</v>
      </c>
      <c r="D701" s="28" t="str">
        <f>_xlfn.XLOOKUP(Table134526_79101120212223242526[[#This Row],[Name Surname]],Manpower!$C$4:$C$1048576,Manpower!$B$4:$B$1048576,"")</f>
        <v>Encogroup</v>
      </c>
      <c r="E701" s="21" t="s">
        <v>31</v>
      </c>
      <c r="F701" s="12">
        <f>_xlfn.XLOOKUP(Table134526_79101120212223242526[[#This Row],[Name Surname]],Manpower!C:C,Manpower!D:D,)</f>
        <v>99596058</v>
      </c>
      <c r="G701" s="28" t="str">
        <f>_xlfn.XLOOKUP(Table134526_79101120212223242526[[#This Row],[Name Surname]],Manpower!$C$4:$C$1048576,Manpower!$F$4:$F$1048576,"")</f>
        <v>HSE Officer</v>
      </c>
      <c r="H701" s="28" t="str">
        <f>_xlfn.XLOOKUP(Table134526_79101120212223242526[[#This Row],[Name Surname]],Manpower!$C$4:$C$1048576,Manpower!$H$4:$H$1048576,"")</f>
        <v>Manpower</v>
      </c>
      <c r="I701" s="24" t="str">
        <f>_xlfn.XLOOKUP(Table134526_79101120212223242526[[#This Row],[Name Surname]],Manpower!$C$4:$C$1048576,Manpower!$H$4:$H$1048576,"")</f>
        <v>Manpower</v>
      </c>
      <c r="J701" s="21" t="s">
        <v>21</v>
      </c>
      <c r="K701" s="21" t="s">
        <v>22</v>
      </c>
      <c r="L701" s="21" t="s">
        <v>23</v>
      </c>
      <c r="M701" s="21" t="s">
        <v>55</v>
      </c>
      <c r="N701" s="29">
        <v>10</v>
      </c>
      <c r="R701" s="21" t="s">
        <v>227</v>
      </c>
    </row>
    <row r="702" spans="1:18" ht="14.4" hidden="1">
      <c r="A702" s="33">
        <f>IF(C702="","",MAX($A$1:A701)+1)</f>
        <v>674</v>
      </c>
      <c r="B702" s="22" t="s">
        <v>19</v>
      </c>
      <c r="C702" s="23">
        <v>46088</v>
      </c>
      <c r="D702" s="28" t="str">
        <f>_xlfn.XLOOKUP(Table134526_79101120212223242526[[#This Row],[Name Surname]],Manpower!$C$4:$C$1048576,Manpower!$B$4:$B$1048576,"")</f>
        <v>Encogroup</v>
      </c>
      <c r="E702" s="21" t="s">
        <v>32</v>
      </c>
      <c r="F702" s="12">
        <f>_xlfn.XLOOKUP(Table134526_79101120212223242526[[#This Row],[Name Surname]],Manpower!C:C,Manpower!D:D,)</f>
        <v>140697039</v>
      </c>
      <c r="G702" s="28" t="str">
        <f>_xlfn.XLOOKUP(Table134526_79101120212223242526[[#This Row],[Name Surname]],Manpower!$C$4:$C$1048576,Manpower!$F$4:$F$1048576,"")</f>
        <v>Fitter/Erector</v>
      </c>
      <c r="H702" s="28" t="str">
        <f>_xlfn.XLOOKUP(Table134526_79101120212223242526[[#This Row],[Name Surname]],Manpower!$C$4:$C$1048576,Manpower!$H$4:$H$1048576,"")</f>
        <v>Manpower</v>
      </c>
      <c r="I702" s="24" t="str">
        <f>_xlfn.XLOOKUP(Table134526_79101120212223242526[[#This Row],[Name Surname]],Manpower!$C$4:$C$1048576,Manpower!$H$4:$H$1048576,"")</f>
        <v>Manpower</v>
      </c>
      <c r="J702" s="21" t="s">
        <v>21</v>
      </c>
      <c r="K702" s="21" t="s">
        <v>22</v>
      </c>
      <c r="L702" s="21" t="s">
        <v>23</v>
      </c>
      <c r="M702" s="21" t="s">
        <v>55</v>
      </c>
      <c r="N702" s="29">
        <v>10</v>
      </c>
      <c r="R702" s="21" t="s">
        <v>227</v>
      </c>
    </row>
    <row r="703" spans="1:18" ht="14.4" hidden="1">
      <c r="A703" s="33">
        <f>IF(C703="","",MAX($A$1:A702)+1)</f>
        <v>675</v>
      </c>
      <c r="B703" s="22" t="s">
        <v>19</v>
      </c>
      <c r="C703" s="23">
        <v>46088</v>
      </c>
      <c r="D703" s="28" t="str">
        <f>_xlfn.XLOOKUP(Table134526_79101120212223242526[[#This Row],[Name Surname]],Manpower!$C$4:$C$1048576,Manpower!$B$4:$B$1048576,"")</f>
        <v>Encogroup</v>
      </c>
      <c r="E703" s="21" t="s">
        <v>33</v>
      </c>
      <c r="F703" s="12">
        <f>_xlfn.XLOOKUP(Table134526_79101120212223242526[[#This Row],[Name Surname]],Manpower!C:C,Manpower!D:D,)</f>
        <v>124565057</v>
      </c>
      <c r="G703" s="28" t="str">
        <f>_xlfn.XLOOKUP(Table134526_79101120212223242526[[#This Row],[Name Surname]],Manpower!$C$4:$C$1048576,Manpower!$F$4:$F$1048576,"")</f>
        <v>Fitter/Erector</v>
      </c>
      <c r="H703" s="28" t="str">
        <f>_xlfn.XLOOKUP(Table134526_79101120212223242526[[#This Row],[Name Surname]],Manpower!$C$4:$C$1048576,Manpower!$H$4:$H$1048576,"")</f>
        <v>Manpower</v>
      </c>
      <c r="I703" s="24" t="str">
        <f>_xlfn.XLOOKUP(Table134526_79101120212223242526[[#This Row],[Name Surname]],Manpower!$C$4:$C$1048576,Manpower!$H$4:$H$1048576,"")</f>
        <v>Manpower</v>
      </c>
      <c r="J703" s="21" t="s">
        <v>21</v>
      </c>
      <c r="K703" s="21" t="s">
        <v>22</v>
      </c>
      <c r="L703" s="21" t="s">
        <v>23</v>
      </c>
      <c r="M703" s="21" t="s">
        <v>55</v>
      </c>
      <c r="N703" s="29">
        <v>10</v>
      </c>
      <c r="R703" s="21" t="s">
        <v>227</v>
      </c>
    </row>
    <row r="704" spans="1:18" ht="14.4" hidden="1">
      <c r="A704" s="33">
        <f>IF(C704="","",MAX($A$1:A703)+1)</f>
        <v>676</v>
      </c>
      <c r="B704" s="22" t="s">
        <v>19</v>
      </c>
      <c r="C704" s="23">
        <v>46088</v>
      </c>
      <c r="D704" s="28" t="str">
        <f>_xlfn.XLOOKUP(Table134526_79101120212223242526[[#This Row],[Name Surname]],Manpower!$C$4:$C$1048576,Manpower!$B$4:$B$1048576,"")</f>
        <v>Encogroup</v>
      </c>
      <c r="E704" s="21" t="s">
        <v>34</v>
      </c>
      <c r="F704" s="12">
        <f>_xlfn.XLOOKUP(Table134526_79101120212223242526[[#This Row],[Name Surname]],Manpower!C:C,Manpower!D:D,)</f>
        <v>141365023</v>
      </c>
      <c r="G704" s="28" t="str">
        <f>_xlfn.XLOOKUP(Table134526_79101120212223242526[[#This Row],[Name Surname]],Manpower!$C$4:$C$1048576,Manpower!$F$4:$F$1048576,"")</f>
        <v>Grinder</v>
      </c>
      <c r="H704" s="28" t="str">
        <f>_xlfn.XLOOKUP(Table134526_79101120212223242526[[#This Row],[Name Surname]],Manpower!$C$4:$C$1048576,Manpower!$H$4:$H$1048576,"")</f>
        <v>Manpower</v>
      </c>
      <c r="I704" s="24" t="str">
        <f>_xlfn.XLOOKUP(Table134526_79101120212223242526[[#This Row],[Name Surname]],Manpower!$C$4:$C$1048576,Manpower!$H$4:$H$1048576,"")</f>
        <v>Manpower</v>
      </c>
      <c r="J704" s="21" t="s">
        <v>21</v>
      </c>
      <c r="K704" s="21" t="s">
        <v>22</v>
      </c>
      <c r="L704" s="21" t="s">
        <v>23</v>
      </c>
      <c r="M704" s="21" t="s">
        <v>55</v>
      </c>
      <c r="N704" s="29">
        <v>10</v>
      </c>
      <c r="R704" s="21" t="s">
        <v>227</v>
      </c>
    </row>
    <row r="705" spans="1:18" ht="14.4" hidden="1">
      <c r="A705" s="33">
        <f>IF(C705="","",MAX($A$1:A704)+1)</f>
        <v>677</v>
      </c>
      <c r="B705" s="22" t="s">
        <v>19</v>
      </c>
      <c r="C705" s="23">
        <v>46088</v>
      </c>
      <c r="D705" s="28" t="str">
        <f>_xlfn.XLOOKUP(Table134526_79101120212223242526[[#This Row],[Name Surname]],Manpower!$C$4:$C$1048576,Manpower!$B$4:$B$1048576,"")</f>
        <v>AL Omar International TRAD AND CONT</v>
      </c>
      <c r="E705" s="21" t="s">
        <v>36</v>
      </c>
      <c r="F705" s="12">
        <f>_xlfn.XLOOKUP(Table134526_79101120212223242526[[#This Row],[Name Surname]],Manpower!C:C,Manpower!D:D,)</f>
        <v>114929202</v>
      </c>
      <c r="G705" s="28" t="str">
        <f>_xlfn.XLOOKUP(Table134526_79101120212223242526[[#This Row],[Name Surname]],Manpower!$C$4:$C$1048576,Manpower!$F$4:$F$1048576,"")</f>
        <v>RIgger</v>
      </c>
      <c r="H705" s="28" t="str">
        <f>_xlfn.XLOOKUP(Table134526_79101120212223242526[[#This Row],[Name Surname]],Manpower!$C$4:$C$1048576,Manpower!$H$4:$H$1048576,"")</f>
        <v>Sub Contactor</v>
      </c>
      <c r="I705" s="24" t="str">
        <f>_xlfn.XLOOKUP(Table134526_79101120212223242526[[#This Row],[Name Surname]],Manpower!$C$4:$C$1048576,Manpower!$H$4:$H$1048576,"")</f>
        <v>Sub Contactor</v>
      </c>
      <c r="J705" s="21" t="s">
        <v>21</v>
      </c>
      <c r="K705" s="21" t="s">
        <v>22</v>
      </c>
      <c r="L705" s="21" t="s">
        <v>23</v>
      </c>
      <c r="M705" s="21" t="s">
        <v>55</v>
      </c>
      <c r="N705" s="29">
        <v>10</v>
      </c>
      <c r="R705" s="21" t="s">
        <v>227</v>
      </c>
    </row>
    <row r="706" spans="1:18" ht="14.4" hidden="1">
      <c r="A706" s="33">
        <f>IF(C706="","",MAX($A$1:A705)+1)</f>
        <v>678</v>
      </c>
      <c r="B706" s="22" t="s">
        <v>19</v>
      </c>
      <c r="C706" s="23">
        <v>46088</v>
      </c>
      <c r="D706" s="28" t="str">
        <f>_xlfn.XLOOKUP(Table134526_79101120212223242526[[#This Row],[Name Surname]],Manpower!$C$4:$C$1048576,Manpower!$B$4:$B$1048576,"")</f>
        <v>Encogroup</v>
      </c>
      <c r="E706" s="21" t="s">
        <v>37</v>
      </c>
      <c r="F706" s="12">
        <f>_xlfn.XLOOKUP(Table134526_79101120212223242526[[#This Row],[Name Surname]],Manpower!C:C,Manpower!D:D,)</f>
        <v>140742088</v>
      </c>
      <c r="G706" s="28" t="str">
        <f>_xlfn.XLOOKUP(Table134526_79101120212223242526[[#This Row],[Name Surname]],Manpower!$C$4:$C$1048576,Manpower!$F$4:$F$1048576,"")</f>
        <v>Fitter/Erector</v>
      </c>
      <c r="H706" s="28" t="str">
        <f>_xlfn.XLOOKUP(Table134526_79101120212223242526[[#This Row],[Name Surname]],Manpower!$C$4:$C$1048576,Manpower!$H$4:$H$1048576,"")</f>
        <v>Manpower</v>
      </c>
      <c r="I706" s="24" t="str">
        <f>_xlfn.XLOOKUP(Table134526_79101120212223242526[[#This Row],[Name Surname]],Manpower!$C$4:$C$1048576,Manpower!$H$4:$H$1048576,"")</f>
        <v>Manpower</v>
      </c>
      <c r="J706" s="21" t="s">
        <v>21</v>
      </c>
      <c r="K706" s="21" t="s">
        <v>22</v>
      </c>
      <c r="L706" s="21" t="s">
        <v>23</v>
      </c>
      <c r="M706" s="21" t="s">
        <v>55</v>
      </c>
      <c r="N706" s="29">
        <v>10</v>
      </c>
      <c r="R706" s="21" t="s">
        <v>227</v>
      </c>
    </row>
    <row r="707" spans="1:18" ht="14.4" hidden="1">
      <c r="A707" s="33">
        <f>IF(C707="","",MAX($A$1:A706)+1)</f>
        <v>679</v>
      </c>
      <c r="B707" s="22" t="s">
        <v>19</v>
      </c>
      <c r="C707" s="23">
        <v>46088</v>
      </c>
      <c r="D707" s="28" t="str">
        <f>_xlfn.XLOOKUP(Table134526_79101120212223242526[[#This Row],[Name Surname]],Manpower!$C$4:$C$1048576,Manpower!$B$4:$B$1048576,"")</f>
        <v>Rial Al Khaleej</v>
      </c>
      <c r="E707" s="21" t="s">
        <v>38</v>
      </c>
      <c r="F707" s="12">
        <f>_xlfn.XLOOKUP(Table134526_79101120212223242526[[#This Row],[Name Surname]],Manpower!C:C,Manpower!D:D,)</f>
        <v>98845403</v>
      </c>
      <c r="G707" s="28" t="str">
        <f>_xlfn.XLOOKUP(Table134526_79101120212223242526[[#This Row],[Name Surname]],Manpower!$C$4:$C$1048576,Manpower!$F$4:$F$1048576,"")</f>
        <v>Crane Operator-100T Zoomlion Telescopic</v>
      </c>
      <c r="H707" s="28" t="s">
        <v>39</v>
      </c>
      <c r="I707" s="24" t="s">
        <v>39</v>
      </c>
      <c r="J707" s="21" t="s">
        <v>21</v>
      </c>
      <c r="K707" s="21" t="s">
        <v>22</v>
      </c>
      <c r="L707" s="21" t="s">
        <v>23</v>
      </c>
      <c r="M707" s="21" t="s">
        <v>55</v>
      </c>
      <c r="N707" s="29">
        <v>10</v>
      </c>
      <c r="R707" s="21" t="s">
        <v>227</v>
      </c>
    </row>
    <row r="708" spans="1:18" ht="14.4" hidden="1">
      <c r="A708" s="33">
        <f>IF(C708="","",MAX($A$1:A707)+1)</f>
        <v>680</v>
      </c>
      <c r="B708" s="22" t="s">
        <v>19</v>
      </c>
      <c r="C708" s="23">
        <v>46088</v>
      </c>
      <c r="D708" s="28" t="str">
        <f>_xlfn.XLOOKUP(Table134526_79101120212223242526[[#This Row],[Name Surname]],Manpower!$C$4:$C$1048576,Manpower!$B$4:$B$1048576,"")</f>
        <v>Encogroup</v>
      </c>
      <c r="E708" s="21" t="s">
        <v>44</v>
      </c>
      <c r="F708" s="12">
        <f>_xlfn.XLOOKUP(Table134526_79101120212223242526[[#This Row],[Name Surname]],Manpower!C:C,Manpower!D:D,)</f>
        <v>140806218</v>
      </c>
      <c r="G708" s="28" t="str">
        <f>_xlfn.XLOOKUP(Table134526_79101120212223242526[[#This Row],[Name Surname]],Manpower!$C$4:$C$1048576,Manpower!$F$4:$F$1048576,"")</f>
        <v>Fitter/Erector</v>
      </c>
      <c r="H708" s="28" t="str">
        <f>_xlfn.XLOOKUP(Table134526_79101120212223242526[[#This Row],[Name Surname]],Manpower!$C$4:$C$1048576,Manpower!$H$4:$H$1048576,"")</f>
        <v>Manpower</v>
      </c>
      <c r="I708" s="24" t="str">
        <f>_xlfn.XLOOKUP(Table134526_79101120212223242526[[#This Row],[Name Surname]],Manpower!$C$4:$C$1048576,Manpower!$H$4:$H$1048576,"")</f>
        <v>Manpower</v>
      </c>
      <c r="J708" s="21" t="s">
        <v>21</v>
      </c>
      <c r="K708" s="21" t="s">
        <v>22</v>
      </c>
      <c r="L708" s="21" t="s">
        <v>23</v>
      </c>
      <c r="M708" s="21" t="s">
        <v>55</v>
      </c>
      <c r="N708" s="29">
        <v>10</v>
      </c>
      <c r="R708" s="21" t="s">
        <v>227</v>
      </c>
    </row>
    <row r="709" spans="1:18" ht="14.4" hidden="1">
      <c r="A709" s="33">
        <f>IF(C709="","",MAX($A$1:A708)+1)</f>
        <v>681</v>
      </c>
      <c r="B709" s="22" t="s">
        <v>19</v>
      </c>
      <c r="C709" s="23">
        <v>46088</v>
      </c>
      <c r="D709" s="28" t="str">
        <f>_xlfn.XLOOKUP(Table134526_79101120212223242526[[#This Row],[Name Surname]],Manpower!$C$4:$C$1048576,Manpower!$B$4:$B$1048576,"")</f>
        <v>Encogroup</v>
      </c>
      <c r="E709" s="21" t="s">
        <v>46</v>
      </c>
      <c r="F709" s="12">
        <f>_xlfn.XLOOKUP(Table134526_79101120212223242526[[#This Row],[Name Surname]],Manpower!C:C,Manpower!D:D,)</f>
        <v>140844618</v>
      </c>
      <c r="G709" s="28" t="str">
        <f>_xlfn.XLOOKUP(Table134526_79101120212223242526[[#This Row],[Name Surname]],Manpower!$C$4:$C$1048576,Manpower!$F$4:$F$1048576,"")</f>
        <v>Assistant/Helper</v>
      </c>
      <c r="H709" s="28" t="str">
        <f>_xlfn.XLOOKUP(Table134526_79101120212223242526[[#This Row],[Name Surname]],Manpower!$C$4:$C$1048576,Manpower!$H$4:$H$1048576,"")</f>
        <v>Manpower</v>
      </c>
      <c r="I709" s="24" t="str">
        <f>_xlfn.XLOOKUP(Table134526_79101120212223242526[[#This Row],[Name Surname]],Manpower!$C$4:$C$1048576,Manpower!$H$4:$H$1048576,"")</f>
        <v>Manpower</v>
      </c>
      <c r="J709" s="21" t="s">
        <v>21</v>
      </c>
      <c r="K709" s="21" t="s">
        <v>22</v>
      </c>
      <c r="L709" s="21" t="s">
        <v>23</v>
      </c>
      <c r="M709" s="21" t="s">
        <v>55</v>
      </c>
      <c r="N709" s="29">
        <v>10</v>
      </c>
      <c r="R709" s="21" t="s">
        <v>227</v>
      </c>
    </row>
    <row r="710" spans="1:18" ht="14.4">
      <c r="A710" s="33">
        <f>IF(C710="","",MAX($A$1:A709)+1)</f>
        <v>682</v>
      </c>
      <c r="B710" s="25" t="s">
        <v>19</v>
      </c>
      <c r="C710" s="23">
        <v>46088</v>
      </c>
      <c r="D710" s="28" t="str">
        <f>_xlfn.XLOOKUP(Table134526_79101120212223242526[[#This Row],[Name Surname]],Manpower!$C$4:$C$1048576,Manpower!$B$4:$B$1048576,"")</f>
        <v>Bright Light</v>
      </c>
      <c r="E710" s="23" t="s">
        <v>47</v>
      </c>
      <c r="F710" s="12" t="e">
        <f>_xlfn.XLOOKUP(Table134526_79101120212223242526[[#This Row],[Name Surname]],Manpower!C:C,Manpower!D:D,)</f>
        <v>#N/A</v>
      </c>
      <c r="G710" s="28" t="str">
        <f>_xlfn.XLOOKUP(Table134526_79101120212223242526[[#This Row],[Name Surname]],Manpower!$C$4:$C$1048576,Manpower!$F$4:$F$1048576,"")</f>
        <v>100T Telescopic Crane</v>
      </c>
      <c r="H710" s="28" t="str">
        <f>_xlfn.XLOOKUP(Table134526_79101120212223242526[[#This Row],[Name Surname]],Manpower!$C$4:$C$1048576,Manpower!$H$4:$H$1048576,"")</f>
        <v>Equipment</v>
      </c>
      <c r="I710" s="24" t="str">
        <f>_xlfn.XLOOKUP(Table134526_79101120212223242526[[#This Row],[Name Surname]],Manpower!$C$4:$C$1048576,Manpower!$H$4:$H$1048576,"")</f>
        <v>Equipment</v>
      </c>
      <c r="J710" s="21" t="s">
        <v>48</v>
      </c>
      <c r="K710" s="21" t="s">
        <v>26</v>
      </c>
      <c r="L710" s="21" t="s">
        <v>49</v>
      </c>
      <c r="M710" s="21" t="s">
        <v>55</v>
      </c>
      <c r="N710" s="29">
        <v>10</v>
      </c>
      <c r="R710" s="21" t="s">
        <v>227</v>
      </c>
    </row>
    <row r="711" spans="1:18" ht="14.4">
      <c r="A711" s="33">
        <f>IF(C711="","",MAX($A$1:A710)+1)</f>
        <v>683</v>
      </c>
      <c r="B711" s="25" t="s">
        <v>19</v>
      </c>
      <c r="C711" s="23">
        <v>46088</v>
      </c>
      <c r="D711" s="28" t="str">
        <f>_xlfn.XLOOKUP(Table134526_79101120212223242526[[#This Row],[Name Surname]],Manpower!$C$4:$C$1048576,Manpower!$B$4:$B$1048576,"")</f>
        <v>Bright Light</v>
      </c>
      <c r="E711" s="21" t="s">
        <v>51</v>
      </c>
      <c r="F711" s="12" t="e">
        <f>_xlfn.XLOOKUP(Table134526_79101120212223242526[[#This Row],[Name Surname]],Manpower!C:C,Manpower!D:D,)</f>
        <v>#N/A</v>
      </c>
      <c r="G711" s="28" t="str">
        <f>_xlfn.XLOOKUP(Table134526_79101120212223242526[[#This Row],[Name Surname]],Manpower!$C$4:$C$1048576,Manpower!$F$4:$F$1048576,"")</f>
        <v>150T-Crawler Crane</v>
      </c>
      <c r="H711" s="28" t="str">
        <f>_xlfn.XLOOKUP(Table134526_79101120212223242526[[#This Row],[Name Surname]],Manpower!$C$4:$C$1048576,Manpower!$H$4:$H$1048576,"")</f>
        <v>Equipment</v>
      </c>
      <c r="I711" s="24" t="str">
        <f>_xlfn.XLOOKUP(Table134526_79101120212223242526[[#This Row],[Name Surname]],Manpower!$C$4:$C$1048576,Manpower!$H$4:$H$1048576,"")</f>
        <v>Equipment</v>
      </c>
      <c r="J711" s="21" t="s">
        <v>48</v>
      </c>
      <c r="K711" s="21" t="s">
        <v>26</v>
      </c>
      <c r="L711" s="21" t="s">
        <v>49</v>
      </c>
      <c r="M711" s="21" t="s">
        <v>55</v>
      </c>
      <c r="N711" s="29">
        <v>10</v>
      </c>
      <c r="R711" s="21" t="s">
        <v>227</v>
      </c>
    </row>
    <row r="712" spans="1:18" ht="14.4">
      <c r="A712" s="33">
        <f>IF(C712="","",MAX($A$1:A711)+1)</f>
        <v>684</v>
      </c>
      <c r="B712" s="25" t="s">
        <v>19</v>
      </c>
      <c r="C712" s="23">
        <v>46088</v>
      </c>
      <c r="D712" s="28" t="str">
        <f>_xlfn.XLOOKUP(Table134526_79101120212223242526[[#This Row],[Name Surname]],Manpower!$C$4:$C$1048576,Manpower!$B$4:$B$1048576,"")</f>
        <v>Encogroup</v>
      </c>
      <c r="E712" s="21" t="s">
        <v>53</v>
      </c>
      <c r="F712" s="12" t="e">
        <f>_xlfn.XLOOKUP(Table134526_79101120212223242526[[#This Row],[Name Surname]],Manpower!C:C,Manpower!D:D,)</f>
        <v>#N/A</v>
      </c>
      <c r="G712" s="28" t="str">
        <f>_xlfn.XLOOKUP(Table134526_79101120212223242526[[#This Row],[Name Surname]],Manpower!$C$4:$C$1048576,Manpower!$F$4:$F$1048576,"")</f>
        <v>22M-Manlift</v>
      </c>
      <c r="H712" s="28" t="str">
        <f>_xlfn.XLOOKUP(Table134526_79101120212223242526[[#This Row],[Name Surname]],Manpower!$C$4:$C$1048576,Manpower!$H$4:$H$1048576,"")</f>
        <v>Equipment</v>
      </c>
      <c r="I712" s="24" t="str">
        <f>_xlfn.XLOOKUP(Table134526_79101120212223242526[[#This Row],[Name Surname]],Manpower!$C$4:$C$1048576,Manpower!$H$4:$H$1048576,"")</f>
        <v>Equipment</v>
      </c>
      <c r="J712" s="21" t="s">
        <v>48</v>
      </c>
      <c r="K712" s="21" t="s">
        <v>26</v>
      </c>
      <c r="L712" s="21" t="s">
        <v>49</v>
      </c>
      <c r="M712" s="21" t="s">
        <v>55</v>
      </c>
      <c r="N712" s="29">
        <v>10</v>
      </c>
      <c r="R712" s="21" t="s">
        <v>227</v>
      </c>
    </row>
    <row r="713" spans="1:18" ht="14.4">
      <c r="A713" s="33">
        <f>IF(C713="","",MAX($A$1:A712)+1)</f>
        <v>685</v>
      </c>
      <c r="B713" s="25" t="s">
        <v>19</v>
      </c>
      <c r="C713" s="23">
        <v>46088</v>
      </c>
      <c r="D713" s="28" t="str">
        <f>_xlfn.XLOOKUP(Table134526_79101120212223242526[[#This Row],[Name Surname]],Manpower!$C$4:$C$1048576,Manpower!$B$4:$B$1048576,"")</f>
        <v>Encogroup</v>
      </c>
      <c r="E713" s="21" t="s">
        <v>54</v>
      </c>
      <c r="F713" s="12" t="e">
        <f>_xlfn.XLOOKUP(Table134526_79101120212223242526[[#This Row],[Name Surname]],Manpower!C:C,Manpower!D:D,)</f>
        <v>#N/A</v>
      </c>
      <c r="G713" s="28" t="str">
        <f>_xlfn.XLOOKUP(Table134526_79101120212223242526[[#This Row],[Name Surname]],Manpower!$C$4:$C$1048576,Manpower!$F$4:$F$1048576,"")</f>
        <v>28M-Manlift</v>
      </c>
      <c r="H713" s="28" t="str">
        <f>_xlfn.XLOOKUP(Table134526_79101120212223242526[[#This Row],[Name Surname]],Manpower!$C$4:$C$1048576,Manpower!$H$4:$H$1048576,"")</f>
        <v>Equipment</v>
      </c>
      <c r="I713" s="24" t="str">
        <f>_xlfn.XLOOKUP(Table134526_79101120212223242526[[#This Row],[Name Surname]],Manpower!$C$4:$C$1048576,Manpower!$H$4:$H$1048576,"")</f>
        <v>Equipment</v>
      </c>
      <c r="J713" s="21" t="s">
        <v>48</v>
      </c>
      <c r="K713" s="21" t="s">
        <v>26</v>
      </c>
      <c r="L713" s="21" t="s">
        <v>49</v>
      </c>
      <c r="M713" s="21" t="s">
        <v>55</v>
      </c>
      <c r="N713" s="29">
        <v>10</v>
      </c>
      <c r="R713" s="21" t="s">
        <v>227</v>
      </c>
    </row>
    <row r="714" spans="1:18" ht="14.4" hidden="1">
      <c r="A714" s="33">
        <f>IF(C714="","",MAX($A$1:A713)+1)</f>
        <v>686</v>
      </c>
      <c r="B714" s="25" t="s">
        <v>19</v>
      </c>
      <c r="C714" s="23">
        <v>46088</v>
      </c>
      <c r="D714" s="28" t="str">
        <f>_xlfn.XLOOKUP(Table134526_79101120212223242526[[#This Row],[Name Surname]],Manpower!$C$4:$C$1048576,Manpower!$B$4:$B$1048576,"")</f>
        <v>Encogroup</v>
      </c>
      <c r="E714" s="21" t="s">
        <v>57</v>
      </c>
      <c r="F714" s="12">
        <f>_xlfn.XLOOKUP(Table134526_79101120212223242526[[#This Row],[Name Surname]],Manpower!C:C,Manpower!D:D,)</f>
        <v>140693697</v>
      </c>
      <c r="G714" s="28" t="str">
        <f>_xlfn.XLOOKUP(Table134526_79101120212223242526[[#This Row],[Name Surname]],Manpower!$C$4:$C$1048576,Manpower!$F$4:$F$1048576,"")</f>
        <v>HSE Officer</v>
      </c>
      <c r="H714" s="28" t="str">
        <f>_xlfn.XLOOKUP(Table134526_79101120212223242526[[#This Row],[Name Surname]],Manpower!$C$4:$C$1048576,Manpower!$H$4:$H$1048576,"")</f>
        <v>Manpower</v>
      </c>
      <c r="I714" s="24" t="str">
        <f>_xlfn.XLOOKUP(Table134526_79101120212223242526[[#This Row],[Name Surname]],Manpower!$C$4:$C$1048576,Manpower!$H$4:$H$1048576,"")</f>
        <v>Manpower</v>
      </c>
      <c r="J714" s="21" t="s">
        <v>48</v>
      </c>
      <c r="K714" s="21" t="s">
        <v>26</v>
      </c>
      <c r="L714" s="21" t="s">
        <v>49</v>
      </c>
      <c r="M714" s="21" t="s">
        <v>55</v>
      </c>
      <c r="N714" s="29">
        <v>10</v>
      </c>
      <c r="R714" s="21" t="s">
        <v>227</v>
      </c>
    </row>
    <row r="715" spans="1:18" ht="14.4" hidden="1">
      <c r="A715" s="33">
        <f>IF(C715="","",MAX($A$1:A714)+1)</f>
        <v>687</v>
      </c>
      <c r="B715" s="25" t="s">
        <v>19</v>
      </c>
      <c r="C715" s="23">
        <v>46088</v>
      </c>
      <c r="D715" s="28" t="str">
        <f>_xlfn.XLOOKUP(Table134526_79101120212223242526[[#This Row],[Name Surname]],Manpower!$C$4:$C$1048576,Manpower!$B$4:$B$1048576,"")</f>
        <v>Encogroup</v>
      </c>
      <c r="E715" s="21" t="s">
        <v>27</v>
      </c>
      <c r="F715" s="12">
        <f>_xlfn.XLOOKUP(Table134526_79101120212223242526[[#This Row],[Name Surname]],Manpower!C:C,Manpower!D:D,)</f>
        <v>127414586</v>
      </c>
      <c r="G715" s="28" t="str">
        <f>_xlfn.XLOOKUP(Table134526_79101120212223242526[[#This Row],[Name Surname]],Manpower!$C$4:$C$1048576,Manpower!$F$4:$F$1048576,"")</f>
        <v>Electrician</v>
      </c>
      <c r="H715" s="28" t="str">
        <f>_xlfn.XLOOKUP(Table134526_79101120212223242526[[#This Row],[Name Surname]],Manpower!$C$4:$C$1048576,Manpower!$H$4:$H$1048576,"")</f>
        <v>Manpower</v>
      </c>
      <c r="I715" s="24" t="str">
        <f>_xlfn.XLOOKUP(Table134526_79101120212223242526[[#This Row],[Name Surname]],Manpower!$C$4:$C$1048576,Manpower!$H$4:$H$1048576,"")</f>
        <v>Manpower</v>
      </c>
      <c r="J715" s="21" t="s">
        <v>48</v>
      </c>
      <c r="K715" s="21" t="s">
        <v>26</v>
      </c>
      <c r="L715" s="21" t="s">
        <v>49</v>
      </c>
      <c r="M715" s="21" t="s">
        <v>55</v>
      </c>
      <c r="N715" s="29">
        <v>5</v>
      </c>
      <c r="R715" s="21" t="s">
        <v>227</v>
      </c>
    </row>
    <row r="716" spans="1:18" ht="14.4" hidden="1">
      <c r="A716" s="33">
        <f>IF(C716="","",MAX($A$1:A715)+1)</f>
        <v>688</v>
      </c>
      <c r="B716" s="25" t="s">
        <v>19</v>
      </c>
      <c r="C716" s="23">
        <v>46088</v>
      </c>
      <c r="D716" s="28" t="str">
        <f>_xlfn.XLOOKUP(Table134526_79101120212223242526[[#This Row],[Name Surname]],Manpower!$C$4:$C$1048576,Manpower!$B$4:$B$1048576,"")</f>
        <v>Encogroup</v>
      </c>
      <c r="E716" s="21" t="s">
        <v>59</v>
      </c>
      <c r="F716" s="12">
        <f>_xlfn.XLOOKUP(Table134526_79101120212223242526[[#This Row],[Name Surname]],Manpower!C:C,Manpower!D:D,)</f>
        <v>141169085</v>
      </c>
      <c r="G716" s="28" t="str">
        <f>_xlfn.XLOOKUP(Table134526_79101120212223242526[[#This Row],[Name Surname]],Manpower!$C$4:$C$1048576,Manpower!$F$4:$F$1048576,"")</f>
        <v>Welder</v>
      </c>
      <c r="H716" s="28" t="str">
        <f>_xlfn.XLOOKUP(Table134526_79101120212223242526[[#This Row],[Name Surname]],Manpower!$C$4:$C$1048576,Manpower!$H$4:$H$1048576,"")</f>
        <v>Manpower</v>
      </c>
      <c r="I716" s="24" t="str">
        <f>_xlfn.XLOOKUP(Table134526_79101120212223242526[[#This Row],[Name Surname]],Manpower!$C$4:$C$1048576,Manpower!$H$4:$H$1048576,"")</f>
        <v>Manpower</v>
      </c>
      <c r="J716" s="21" t="s">
        <v>48</v>
      </c>
      <c r="K716" s="21" t="s">
        <v>26</v>
      </c>
      <c r="L716" s="21" t="s">
        <v>49</v>
      </c>
      <c r="M716" s="21" t="s">
        <v>55</v>
      </c>
      <c r="N716" s="29">
        <v>10</v>
      </c>
      <c r="R716" s="21" t="s">
        <v>227</v>
      </c>
    </row>
    <row r="717" spans="1:18" ht="14.4" hidden="1">
      <c r="A717" s="33">
        <f>IF(C717="","",MAX($A$1:A716)+1)</f>
        <v>689</v>
      </c>
      <c r="B717" s="25" t="s">
        <v>19</v>
      </c>
      <c r="C717" s="23">
        <v>46088</v>
      </c>
      <c r="D717" s="28" t="str">
        <f>_xlfn.XLOOKUP(Table134526_79101120212223242526[[#This Row],[Name Surname]],Manpower!$C$4:$C$1048576,Manpower!$B$4:$B$1048576,"")</f>
        <v>Encogroup</v>
      </c>
      <c r="E717" s="21" t="s">
        <v>61</v>
      </c>
      <c r="F717" s="12">
        <f>_xlfn.XLOOKUP(Table134526_79101120212223242526[[#This Row],[Name Surname]],Manpower!C:C,Manpower!D:D,)</f>
        <v>141169047</v>
      </c>
      <c r="G717" s="28" t="str">
        <f>_xlfn.XLOOKUP(Table134526_79101120212223242526[[#This Row],[Name Surname]],Manpower!$C$4:$C$1048576,Manpower!$F$4:$F$1048576,"")</f>
        <v>Welder</v>
      </c>
      <c r="H717" s="28" t="str">
        <f>_xlfn.XLOOKUP(Table134526_79101120212223242526[[#This Row],[Name Surname]],Manpower!$C$4:$C$1048576,Manpower!$H$4:$H$1048576,"")</f>
        <v>Manpower</v>
      </c>
      <c r="I717" s="24" t="str">
        <f>_xlfn.XLOOKUP(Table134526_79101120212223242526[[#This Row],[Name Surname]],Manpower!$C$4:$C$1048576,Manpower!$H$4:$H$1048576,"")</f>
        <v>Manpower</v>
      </c>
      <c r="J717" s="21" t="s">
        <v>48</v>
      </c>
      <c r="K717" s="21" t="s">
        <v>26</v>
      </c>
      <c r="L717" s="21" t="s">
        <v>49</v>
      </c>
      <c r="M717" s="21" t="s">
        <v>55</v>
      </c>
      <c r="N717" s="29">
        <v>10</v>
      </c>
      <c r="R717" s="21" t="s">
        <v>227</v>
      </c>
    </row>
    <row r="718" spans="1:18" ht="14.4" hidden="1">
      <c r="A718" s="33">
        <f>IF(C718="","",MAX($A$1:A717)+1)</f>
        <v>690</v>
      </c>
      <c r="B718" s="25" t="s">
        <v>19</v>
      </c>
      <c r="C718" s="23">
        <v>46088</v>
      </c>
      <c r="D718" s="28" t="str">
        <f>_xlfn.XLOOKUP(Table134526_79101120212223242526[[#This Row],[Name Surname]],Manpower!$C$4:$C$1048576,Manpower!$B$4:$B$1048576,"")</f>
        <v>Encogroup</v>
      </c>
      <c r="E718" s="21" t="s">
        <v>62</v>
      </c>
      <c r="F718" s="12">
        <f>_xlfn.XLOOKUP(Table134526_79101120212223242526[[#This Row],[Name Surname]],Manpower!C:C,Manpower!D:D,)</f>
        <v>140844797</v>
      </c>
      <c r="G718" s="28" t="str">
        <f>_xlfn.XLOOKUP(Table134526_79101120212223242526[[#This Row],[Name Surname]],Manpower!$C$4:$C$1048576,Manpower!$F$4:$F$1048576,"")</f>
        <v>Fitter/Erector</v>
      </c>
      <c r="H718" s="28" t="str">
        <f>_xlfn.XLOOKUP(Table134526_79101120212223242526[[#This Row],[Name Surname]],Manpower!$C$4:$C$1048576,Manpower!$H$4:$H$1048576,"")</f>
        <v>Manpower</v>
      </c>
      <c r="I718" s="24" t="str">
        <f>_xlfn.XLOOKUP(Table134526_79101120212223242526[[#This Row],[Name Surname]],Manpower!$C$4:$C$1048576,Manpower!$H$4:$H$1048576,"")</f>
        <v>Manpower</v>
      </c>
      <c r="J718" s="21" t="s">
        <v>48</v>
      </c>
      <c r="K718" s="21" t="s">
        <v>26</v>
      </c>
      <c r="L718" s="21" t="s">
        <v>49</v>
      </c>
      <c r="M718" s="21" t="s">
        <v>55</v>
      </c>
      <c r="N718" s="29">
        <v>10</v>
      </c>
      <c r="R718" s="21" t="s">
        <v>227</v>
      </c>
    </row>
    <row r="719" spans="1:18" ht="14.4">
      <c r="A719" s="33">
        <f>IF(C719="","",MAX($A$1:A718)+1)</f>
        <v>691</v>
      </c>
      <c r="B719" s="25" t="s">
        <v>19</v>
      </c>
      <c r="C719" s="23">
        <v>46088</v>
      </c>
      <c r="D719" s="24" t="str">
        <f>_xlfn.XLOOKUP(Table134526_79101120212223242526[[#This Row],[Name Surname]],Manpower!$C$4:$C$1048576,Manpower!$B$4:$B$1048576,"")</f>
        <v>Encogroup</v>
      </c>
      <c r="E719" s="23" t="s">
        <v>63</v>
      </c>
      <c r="F719" s="12" t="e">
        <f>_xlfn.XLOOKUP(Table134526_79101120212223242526[[#This Row],[Name Surname]],Manpower!C:C,Manpower!D:D,)</f>
        <v>#N/A</v>
      </c>
      <c r="G719" s="24" t="str">
        <f>_xlfn.XLOOKUP(Table134526_79101120212223242526[[#This Row],[Name Surname]],Manpower!$C$4:$C$1048576,Manpower!$F$4:$F$1048576,"")</f>
        <v>22KVA-Generator</v>
      </c>
      <c r="H719" s="24" t="str">
        <f>_xlfn.XLOOKUP(Table134526_79101120212223242526[[#This Row],[Name Surname]],Manpower!$C$4:$C$1048576,Manpower!$H$4:$H$1048576,"")</f>
        <v>Equipment</v>
      </c>
      <c r="I719" s="24" t="str">
        <f>_xlfn.XLOOKUP(Table134526_79101120212223242526[[#This Row],[Name Surname]],Manpower!$C$4:$C$1048576,Manpower!$H$4:$H$1048576,"")</f>
        <v>Equipment</v>
      </c>
      <c r="J719" s="21" t="s">
        <v>48</v>
      </c>
      <c r="K719" s="21" t="s">
        <v>26</v>
      </c>
      <c r="L719" s="21" t="s">
        <v>49</v>
      </c>
      <c r="M719" s="21" t="s">
        <v>55</v>
      </c>
      <c r="N719" s="29">
        <v>10</v>
      </c>
      <c r="R719" s="21" t="s">
        <v>227</v>
      </c>
    </row>
    <row r="720" spans="1:18" ht="14.4" hidden="1">
      <c r="A720" s="33">
        <f>IF(C720="","",MAX($A$1:A718)+1)</f>
        <v>691</v>
      </c>
      <c r="B720" s="25" t="s">
        <v>19</v>
      </c>
      <c r="C720" s="23">
        <v>46088</v>
      </c>
      <c r="D720" s="28" t="str">
        <f>_xlfn.XLOOKUP(Table134526_79101120212223242526[[#This Row],[Name Surname]],Manpower!$C$4:$C$1048576,Manpower!$B$4:$B$1048576,"")</f>
        <v>Bright Light</v>
      </c>
      <c r="E720" s="21" t="s">
        <v>64</v>
      </c>
      <c r="F720" s="12">
        <f>_xlfn.XLOOKUP(Table134526_79101120212223242526[[#This Row],[Name Surname]],Manpower!C:C,Manpower!D:D,)</f>
        <v>114531608</v>
      </c>
      <c r="G720" s="28" t="str">
        <f>_xlfn.XLOOKUP(Table134526_79101120212223242526[[#This Row],[Name Surname]],Manpower!$C$4:$C$1048576,Manpower!$F$4:$F$1048576,"")</f>
        <v>Crane Operator-150T Sany Crawler</v>
      </c>
      <c r="H720" s="28" t="s">
        <v>39</v>
      </c>
      <c r="I720" s="24" t="s">
        <v>39</v>
      </c>
      <c r="J720" s="21" t="s">
        <v>48</v>
      </c>
      <c r="K720" s="21" t="s">
        <v>26</v>
      </c>
      <c r="L720" s="21" t="s">
        <v>49</v>
      </c>
      <c r="M720" s="21" t="s">
        <v>55</v>
      </c>
      <c r="N720" s="29">
        <v>10</v>
      </c>
      <c r="R720" s="21" t="s">
        <v>227</v>
      </c>
    </row>
    <row r="721" spans="1:18" ht="14.4" hidden="1">
      <c r="A721" s="33">
        <f>IF(C721="","",MAX($A$1:A720)+1)</f>
        <v>692</v>
      </c>
      <c r="B721" s="25" t="s">
        <v>19</v>
      </c>
      <c r="C721" s="23">
        <v>46088</v>
      </c>
      <c r="D721" s="28" t="str">
        <f>_xlfn.XLOOKUP(Table134526_79101120212223242526[[#This Row],[Name Surname]],Manpower!$C$4:$C$1048576,Manpower!$B$4:$B$1048576,"")</f>
        <v>AL Saif &amp; Al QALLM ENT LLC</v>
      </c>
      <c r="E721" s="21" t="s">
        <v>65</v>
      </c>
      <c r="F721" s="12">
        <f>_xlfn.XLOOKUP(Table134526_79101120212223242526[[#This Row],[Name Surname]],Manpower!C:C,Manpower!D:D,)</f>
        <v>108478006</v>
      </c>
      <c r="G721" s="28" t="str">
        <f>_xlfn.XLOOKUP(Table134526_79101120212223242526[[#This Row],[Name Surname]],Manpower!$C$4:$C$1048576,Manpower!$F$4:$F$1048576,"")</f>
        <v>RIgger</v>
      </c>
      <c r="H721" s="28" t="str">
        <f>_xlfn.XLOOKUP(Table134526_79101120212223242526[[#This Row],[Name Surname]],Manpower!$C$4:$C$1048576,Manpower!$H$4:$H$1048576,"")</f>
        <v>Sub Contactor</v>
      </c>
      <c r="I721" s="24" t="str">
        <f>_xlfn.XLOOKUP(Table134526_79101120212223242526[[#This Row],[Name Surname]],Manpower!$C$4:$C$1048576,Manpower!$H$4:$H$1048576,"")</f>
        <v>Sub Contactor</v>
      </c>
      <c r="J721" s="21" t="s">
        <v>48</v>
      </c>
      <c r="K721" s="21" t="s">
        <v>26</v>
      </c>
      <c r="L721" s="21" t="s">
        <v>49</v>
      </c>
      <c r="M721" s="21" t="s">
        <v>55</v>
      </c>
      <c r="N721" s="29">
        <v>10</v>
      </c>
      <c r="R721" s="21" t="s">
        <v>227</v>
      </c>
    </row>
    <row r="722" spans="1:18" ht="14.4" hidden="1">
      <c r="A722" s="33">
        <f>IF(C722="","",MAX($A$1:A721)+1)</f>
        <v>693</v>
      </c>
      <c r="B722" s="25" t="s">
        <v>19</v>
      </c>
      <c r="C722" s="23">
        <v>46088</v>
      </c>
      <c r="D722" s="28" t="str">
        <f>_xlfn.XLOOKUP(Table134526_79101120212223242526[[#This Row],[Name Surname]],Manpower!$C$4:$C$1048576,Manpower!$B$4:$B$1048576,"")</f>
        <v>AL Omar International TRAD AND CONT</v>
      </c>
      <c r="E722" s="21" t="s">
        <v>66</v>
      </c>
      <c r="F722" s="12">
        <f>_xlfn.XLOOKUP(Table134526_79101120212223242526[[#This Row],[Name Surname]],Manpower!C:C,Manpower!D:D,)</f>
        <v>115018512</v>
      </c>
      <c r="G722" s="28" t="str">
        <f>_xlfn.XLOOKUP(Table134526_79101120212223242526[[#This Row],[Name Surname]],Manpower!$C$4:$C$1048576,Manpower!$F$4:$F$1048576,"")</f>
        <v>RIgger</v>
      </c>
      <c r="H722" s="28" t="str">
        <f>_xlfn.XLOOKUP(Table134526_79101120212223242526[[#This Row],[Name Surname]],Manpower!$C$4:$C$1048576,Manpower!$H$4:$H$1048576,"")</f>
        <v>Sub Contactor</v>
      </c>
      <c r="I722" s="24" t="str">
        <f>_xlfn.XLOOKUP(Table134526_79101120212223242526[[#This Row],[Name Surname]],Manpower!$C$4:$C$1048576,Manpower!$H$4:$H$1048576,"")</f>
        <v>Sub Contactor</v>
      </c>
      <c r="J722" s="21" t="s">
        <v>48</v>
      </c>
      <c r="K722" s="21" t="s">
        <v>26</v>
      </c>
      <c r="L722" s="21" t="s">
        <v>49</v>
      </c>
      <c r="M722" s="21" t="s">
        <v>55</v>
      </c>
      <c r="N722" s="29">
        <v>10</v>
      </c>
      <c r="R722" s="21" t="s">
        <v>227</v>
      </c>
    </row>
    <row r="723" spans="1:18" ht="14.4" hidden="1">
      <c r="A723" s="33">
        <f>IF(C723="","",MAX($A$1:A722)+1)</f>
        <v>694</v>
      </c>
      <c r="B723" s="25" t="s">
        <v>19</v>
      </c>
      <c r="C723" s="23">
        <v>46088</v>
      </c>
      <c r="D723" s="28" t="str">
        <f>_xlfn.XLOOKUP(Table134526_79101120212223242526[[#This Row],[Name Surname]],Manpower!$C$4:$C$1048576,Manpower!$B$4:$B$1048576,"")</f>
        <v>Encogroup</v>
      </c>
      <c r="E723" s="21" t="s">
        <v>67</v>
      </c>
      <c r="F723" s="12">
        <f>_xlfn.XLOOKUP(Table134526_79101120212223242526[[#This Row],[Name Surname]],Manpower!C:C,Manpower!D:D,)</f>
        <v>122082769</v>
      </c>
      <c r="G723" s="28" t="str">
        <f>_xlfn.XLOOKUP(Table134526_79101120212223242526[[#This Row],[Name Surname]],Manpower!$C$4:$C$1048576,Manpower!$F$4:$F$1048576,"")</f>
        <v>Grinder</v>
      </c>
      <c r="H723" s="28" t="str">
        <f>_xlfn.XLOOKUP(Table134526_79101120212223242526[[#This Row],[Name Surname]],Manpower!$C$4:$C$1048576,Manpower!$H$4:$H$1048576,"")</f>
        <v>Manpower</v>
      </c>
      <c r="I723" s="24" t="str">
        <f>_xlfn.XLOOKUP(Table134526_79101120212223242526[[#This Row],[Name Surname]],Manpower!$C$4:$C$1048576,Manpower!$H$4:$H$1048576,"")</f>
        <v>Manpower</v>
      </c>
      <c r="J723" s="21" t="s">
        <v>48</v>
      </c>
      <c r="K723" s="21" t="s">
        <v>26</v>
      </c>
      <c r="L723" s="21" t="s">
        <v>49</v>
      </c>
      <c r="M723" s="21" t="s">
        <v>55</v>
      </c>
      <c r="N723" s="29">
        <v>10</v>
      </c>
      <c r="R723" s="21" t="s">
        <v>227</v>
      </c>
    </row>
    <row r="724" spans="1:18" ht="14.4" hidden="1">
      <c r="A724" s="33">
        <f>IF(C724="","",MAX($A$1:A723)+1)</f>
        <v>695</v>
      </c>
      <c r="B724" s="25" t="s">
        <v>19</v>
      </c>
      <c r="C724" s="23">
        <v>46088</v>
      </c>
      <c r="D724" s="28" t="str">
        <f>_xlfn.XLOOKUP(Table134526_79101120212223242526[[#This Row],[Name Surname]],Manpower!$C$4:$C$1048576,Manpower!$B$4:$B$1048576,"")</f>
        <v>Encogroup</v>
      </c>
      <c r="E724" s="21" t="s">
        <v>68</v>
      </c>
      <c r="F724" s="12">
        <f>_xlfn.XLOOKUP(Table134526_79101120212223242526[[#This Row],[Name Surname]],Manpower!C:C,Manpower!D:D,)</f>
        <v>116915582</v>
      </c>
      <c r="G724" s="28" t="str">
        <f>_xlfn.XLOOKUP(Table134526_79101120212223242526[[#This Row],[Name Surname]],Manpower!$C$4:$C$1048576,Manpower!$F$4:$F$1048576,"")</f>
        <v>Mechanical Superintendent</v>
      </c>
      <c r="H724" s="28" t="str">
        <f>_xlfn.XLOOKUP(Table134526_79101120212223242526[[#This Row],[Name Surname]],Manpower!$C$4:$C$1048576,Manpower!$H$4:$H$1048576,"")</f>
        <v>Manpower</v>
      </c>
      <c r="I724" s="24" t="str">
        <f>_xlfn.XLOOKUP(Table134526_79101120212223242526[[#This Row],[Name Surname]],Manpower!$C$4:$C$1048576,Manpower!$H$4:$H$1048576,"")</f>
        <v>Manpower</v>
      </c>
      <c r="J724" s="21" t="s">
        <v>48</v>
      </c>
      <c r="K724" s="21" t="s">
        <v>26</v>
      </c>
      <c r="L724" s="21" t="s">
        <v>49</v>
      </c>
      <c r="M724" s="21" t="s">
        <v>55</v>
      </c>
      <c r="N724" s="29">
        <v>10</v>
      </c>
      <c r="R724" s="21" t="s">
        <v>227</v>
      </c>
    </row>
    <row r="725" spans="1:18" ht="14.4" hidden="1">
      <c r="A725" s="33">
        <f>IF(C725="","",MAX($A$1:A724)+1)</f>
        <v>696</v>
      </c>
      <c r="B725" s="25" t="s">
        <v>19</v>
      </c>
      <c r="C725" s="23">
        <v>46088</v>
      </c>
      <c r="D725" s="28" t="str">
        <f>_xlfn.XLOOKUP(Table134526_79101120212223242526[[#This Row],[Name Surname]],Manpower!$C$4:$C$1048576,Manpower!$B$4:$B$1048576,"")</f>
        <v>Encogroup</v>
      </c>
      <c r="E725" s="21" t="s">
        <v>69</v>
      </c>
      <c r="F725" s="12">
        <f>_xlfn.XLOOKUP(Table134526_79101120212223242526[[#This Row],[Name Surname]],Manpower!C:C,Manpower!D:D,)</f>
        <v>141169071</v>
      </c>
      <c r="G725" s="28" t="str">
        <f>_xlfn.XLOOKUP(Table134526_79101120212223242526[[#This Row],[Name Surname]],Manpower!$C$4:$C$1048576,Manpower!$F$4:$F$1048576,"")</f>
        <v>Welding Supervisor</v>
      </c>
      <c r="H725" s="28" t="str">
        <f>_xlfn.XLOOKUP(Table134526_79101120212223242526[[#This Row],[Name Surname]],Manpower!$C$4:$C$1048576,Manpower!$H$4:$H$1048576,"")</f>
        <v>Manpower</v>
      </c>
      <c r="I725" s="24" t="str">
        <f>_xlfn.XLOOKUP(Table134526_79101120212223242526[[#This Row],[Name Surname]],Manpower!$C$4:$C$1048576,Manpower!$H$4:$H$1048576,"")</f>
        <v>Manpower</v>
      </c>
      <c r="J725" s="21" t="s">
        <v>48</v>
      </c>
      <c r="K725" s="21" t="s">
        <v>26</v>
      </c>
      <c r="L725" s="21" t="s">
        <v>49</v>
      </c>
      <c r="M725" s="21" t="s">
        <v>55</v>
      </c>
      <c r="N725" s="29">
        <v>10</v>
      </c>
      <c r="R725" s="21" t="s">
        <v>227</v>
      </c>
    </row>
    <row r="726" spans="1:18" ht="14.4" hidden="1">
      <c r="A726" s="33">
        <f>IF(C726="","",MAX($A$1:A725)+1)</f>
        <v>697</v>
      </c>
      <c r="B726" s="25" t="s">
        <v>19</v>
      </c>
      <c r="C726" s="23">
        <v>46088</v>
      </c>
      <c r="D726" s="28" t="str">
        <f>_xlfn.XLOOKUP(Table134526_79101120212223242526[[#This Row],[Name Surname]],Manpower!$C$4:$C$1048576,Manpower!$B$4:$B$1048576,"")</f>
        <v>Encogroup</v>
      </c>
      <c r="E726" s="21" t="s">
        <v>70</v>
      </c>
      <c r="F726" s="12">
        <f>_xlfn.XLOOKUP(Table134526_79101120212223242526[[#This Row],[Name Surname]],Manpower!C:C,Manpower!D:D,)</f>
        <v>141365126</v>
      </c>
      <c r="G726" s="28" t="str">
        <f>_xlfn.XLOOKUP(Table134526_79101120212223242526[[#This Row],[Name Surname]],Manpower!$C$4:$C$1048576,Manpower!$F$4:$F$1048576,"")</f>
        <v>Helper</v>
      </c>
      <c r="H726" s="28" t="str">
        <f>_xlfn.XLOOKUP(Table134526_79101120212223242526[[#This Row],[Name Surname]],Manpower!$C$4:$C$1048576,Manpower!$H$4:$H$1048576,"")</f>
        <v>Manpower</v>
      </c>
      <c r="I726" s="24" t="str">
        <f>_xlfn.XLOOKUP(Table134526_79101120212223242526[[#This Row],[Name Surname]],Manpower!$C$4:$C$1048576,Manpower!$H$4:$H$1048576,"")</f>
        <v>Manpower</v>
      </c>
      <c r="J726" s="21" t="s">
        <v>48</v>
      </c>
      <c r="K726" s="21" t="s">
        <v>26</v>
      </c>
      <c r="L726" s="21" t="s">
        <v>49</v>
      </c>
      <c r="M726" s="21" t="s">
        <v>55</v>
      </c>
      <c r="N726" s="29">
        <v>10</v>
      </c>
      <c r="R726" s="21" t="s">
        <v>227</v>
      </c>
    </row>
    <row r="727" spans="1:18" ht="14.4" hidden="1">
      <c r="A727" s="33">
        <f>IF(C727="","",MAX($A$1:A726)+1)</f>
        <v>698</v>
      </c>
      <c r="B727" s="25" t="s">
        <v>19</v>
      </c>
      <c r="C727" s="23">
        <v>46088</v>
      </c>
      <c r="D727" s="28" t="str">
        <f>_xlfn.XLOOKUP(Table134526_79101120212223242526[[#This Row],[Name Surname]],Manpower!$C$4:$C$1048576,Manpower!$B$4:$B$1048576,"")</f>
        <v>Bright Light</v>
      </c>
      <c r="E727" s="21" t="s">
        <v>71</v>
      </c>
      <c r="F727" s="12">
        <f>_xlfn.XLOOKUP(Table134526_79101120212223242526[[#This Row],[Name Surname]],Manpower!C:C,Manpower!D:D,)</f>
        <v>81379273</v>
      </c>
      <c r="G727" s="28" t="str">
        <f>_xlfn.XLOOKUP(Table134526_79101120212223242526[[#This Row],[Name Surname]],Manpower!$C$4:$C$1048576,Manpower!$F$4:$F$1048576,"")</f>
        <v>Crane Operator-100T Sany Telescopic</v>
      </c>
      <c r="H727" s="28" t="s">
        <v>39</v>
      </c>
      <c r="I727" s="24" t="s">
        <v>39</v>
      </c>
      <c r="J727" s="21" t="s">
        <v>48</v>
      </c>
      <c r="K727" s="21" t="s">
        <v>26</v>
      </c>
      <c r="L727" s="21" t="s">
        <v>49</v>
      </c>
      <c r="M727" s="21" t="s">
        <v>55</v>
      </c>
      <c r="N727" s="29">
        <v>10</v>
      </c>
      <c r="R727" s="21" t="s">
        <v>227</v>
      </c>
    </row>
    <row r="728" spans="1:18" ht="14.4" hidden="1">
      <c r="A728" s="33">
        <f>IF(C728="","",MAX($A$1:A727)+1)</f>
        <v>699</v>
      </c>
      <c r="B728" s="25" t="s">
        <v>19</v>
      </c>
      <c r="C728" s="23">
        <v>46088</v>
      </c>
      <c r="D728" s="28" t="str">
        <f>_xlfn.XLOOKUP(Table134526_79101120212223242526[[#This Row],[Name Surname]],Manpower!$C$4:$C$1048576,Manpower!$B$4:$B$1048576,"")</f>
        <v>Encogroup</v>
      </c>
      <c r="E728" s="21" t="s">
        <v>72</v>
      </c>
      <c r="F728" s="12">
        <f>_xlfn.XLOOKUP(Table134526_79101120212223242526[[#This Row],[Name Surname]],Manpower!C:C,Manpower!D:D,)</f>
        <v>140764706</v>
      </c>
      <c r="G728" s="28" t="str">
        <f>_xlfn.XLOOKUP(Table134526_79101120212223242526[[#This Row],[Name Surname]],Manpower!$C$4:$C$1048576,Manpower!$F$4:$F$1048576,"")</f>
        <v>Rigger</v>
      </c>
      <c r="H728" s="28" t="str">
        <f>_xlfn.XLOOKUP(Table134526_79101120212223242526[[#This Row],[Name Surname]],Manpower!$C$4:$C$1048576,Manpower!$H$4:$H$1048576,"")</f>
        <v>Manpower</v>
      </c>
      <c r="I728" s="24" t="str">
        <f>_xlfn.XLOOKUP(Table134526_79101120212223242526[[#This Row],[Name Surname]],Manpower!$C$4:$C$1048576,Manpower!$H$4:$H$1048576,"")</f>
        <v>Manpower</v>
      </c>
      <c r="J728" s="21" t="s">
        <v>48</v>
      </c>
      <c r="K728" s="21" t="s">
        <v>26</v>
      </c>
      <c r="L728" s="21" t="s">
        <v>49</v>
      </c>
      <c r="M728" s="21" t="s">
        <v>55</v>
      </c>
      <c r="N728" s="29">
        <v>10</v>
      </c>
      <c r="R728" s="21" t="s">
        <v>227</v>
      </c>
    </row>
    <row r="729" spans="1:18" ht="14.4" hidden="1">
      <c r="A729" s="33">
        <f>IF(C729="","",MAX($A$1:A728)+1)</f>
        <v>700</v>
      </c>
      <c r="B729" s="25" t="s">
        <v>19</v>
      </c>
      <c r="C729" s="23">
        <v>46088</v>
      </c>
      <c r="D729" s="28" t="str">
        <f>_xlfn.XLOOKUP(Table134526_79101120212223242526[[#This Row],[Name Surname]],Manpower!$C$4:$C$1048576,Manpower!$B$4:$B$1048576,"")</f>
        <v>Encogroup</v>
      </c>
      <c r="E729" s="21" t="s">
        <v>73</v>
      </c>
      <c r="F729" s="12">
        <f>_xlfn.XLOOKUP(Table134526_79101120212223242526[[#This Row],[Name Surname]],Manpower!C:C,Manpower!D:D,)</f>
        <v>135325259</v>
      </c>
      <c r="G729" s="28" t="str">
        <f>_xlfn.XLOOKUP(Table134526_79101120212223242526[[#This Row],[Name Surname]],Manpower!$C$4:$C$1048576,Manpower!$F$4:$F$1048576,"")</f>
        <v>Permit Receiver</v>
      </c>
      <c r="H729" s="28" t="str">
        <f>_xlfn.XLOOKUP(Table134526_79101120212223242526[[#This Row],[Name Surname]],Manpower!$C$4:$C$1048576,Manpower!$H$4:$H$1048576,"")</f>
        <v>Manpower</v>
      </c>
      <c r="I729" s="24" t="str">
        <f>_xlfn.XLOOKUP(Table134526_79101120212223242526[[#This Row],[Name Surname]],Manpower!$C$4:$C$1048576,Manpower!$H$4:$H$1048576,"")</f>
        <v>Manpower</v>
      </c>
      <c r="J729" s="21" t="s">
        <v>48</v>
      </c>
      <c r="K729" s="21" t="s">
        <v>26</v>
      </c>
      <c r="L729" s="21" t="s">
        <v>49</v>
      </c>
      <c r="M729" s="21" t="s">
        <v>55</v>
      </c>
      <c r="N729" s="29">
        <v>10</v>
      </c>
      <c r="R729" s="21" t="s">
        <v>227</v>
      </c>
    </row>
    <row r="730" spans="1:18" ht="14.4" hidden="1">
      <c r="A730" s="33">
        <f>IF(C730="","",MAX($A$1:A729)+1)</f>
        <v>701</v>
      </c>
      <c r="B730" s="25" t="s">
        <v>19</v>
      </c>
      <c r="C730" s="23">
        <v>46088</v>
      </c>
      <c r="D730" s="28" t="str">
        <f>_xlfn.XLOOKUP(Table134526_79101120212223242526[[#This Row],[Name Surname]],Manpower!$C$4:$C$1048576,Manpower!$B$4:$B$1048576,"")</f>
        <v>Encogroup</v>
      </c>
      <c r="E730" s="21" t="s">
        <v>74</v>
      </c>
      <c r="F730" s="12">
        <f>_xlfn.XLOOKUP(Table134526_79101120212223242526[[#This Row],[Name Surname]],Manpower!C:C,Manpower!D:D,)</f>
        <v>141365089</v>
      </c>
      <c r="G730" s="28" t="str">
        <f>_xlfn.XLOOKUP(Table134526_79101120212223242526[[#This Row],[Name Surname]],Manpower!$C$4:$C$1048576,Manpower!$F$4:$F$1048576,"")</f>
        <v>Fitter</v>
      </c>
      <c r="H730" s="28" t="str">
        <f>_xlfn.XLOOKUP(Table134526_79101120212223242526[[#This Row],[Name Surname]],Manpower!$C$4:$C$1048576,Manpower!$H$4:$H$1048576,"")</f>
        <v>Manpower</v>
      </c>
      <c r="I730" s="24" t="str">
        <f>_xlfn.XLOOKUP(Table134526_79101120212223242526[[#This Row],[Name Surname]],Manpower!$C$4:$C$1048576,Manpower!$H$4:$H$1048576,"")</f>
        <v>Manpower</v>
      </c>
      <c r="J730" s="21" t="s">
        <v>48</v>
      </c>
      <c r="K730" s="21" t="s">
        <v>26</v>
      </c>
      <c r="L730" s="21" t="s">
        <v>49</v>
      </c>
      <c r="M730" s="21" t="s">
        <v>55</v>
      </c>
      <c r="N730" s="29">
        <v>10</v>
      </c>
      <c r="R730" s="21" t="s">
        <v>227</v>
      </c>
    </row>
    <row r="731" spans="1:18" ht="14.4" hidden="1">
      <c r="A731" s="33">
        <f>IF(C731="","",MAX($A$1:A730)+1)</f>
        <v>702</v>
      </c>
      <c r="B731" s="25" t="s">
        <v>19</v>
      </c>
      <c r="C731" s="23">
        <v>46088</v>
      </c>
      <c r="D731" s="28" t="str">
        <f>_xlfn.XLOOKUP(Table134526_79101120212223242526[[#This Row],[Name Surname]],Manpower!$C$4:$C$1048576,Manpower!$B$4:$B$1048576,"")</f>
        <v>Encogroup</v>
      </c>
      <c r="E731" s="21" t="s">
        <v>75</v>
      </c>
      <c r="F731" s="12">
        <f>_xlfn.XLOOKUP(Table134526_79101120212223242526[[#This Row],[Name Surname]],Manpower!C:C,Manpower!D:D,)</f>
        <v>122179604</v>
      </c>
      <c r="G731" s="28" t="str">
        <f>_xlfn.XLOOKUP(Table134526_79101120212223242526[[#This Row],[Name Surname]],Manpower!$C$4:$C$1048576,Manpower!$F$4:$F$1048576,"")</f>
        <v>Fitter/Erector</v>
      </c>
      <c r="H731" s="28" t="str">
        <f>_xlfn.XLOOKUP(Table134526_79101120212223242526[[#This Row],[Name Surname]],Manpower!$C$4:$C$1048576,Manpower!$H$4:$H$1048576,"")</f>
        <v>Manpower</v>
      </c>
      <c r="I731" s="24" t="str">
        <f>_xlfn.XLOOKUP(Table134526_79101120212223242526[[#This Row],[Name Surname]],Manpower!$C$4:$C$1048576,Manpower!$H$4:$H$1048576,"")</f>
        <v>Manpower</v>
      </c>
      <c r="J731" s="21" t="s">
        <v>48</v>
      </c>
      <c r="K731" s="21" t="s">
        <v>26</v>
      </c>
      <c r="L731" s="21" t="s">
        <v>49</v>
      </c>
      <c r="M731" s="21" t="s">
        <v>55</v>
      </c>
      <c r="N731" s="29">
        <v>10</v>
      </c>
      <c r="R731" s="21" t="s">
        <v>227</v>
      </c>
    </row>
    <row r="732" spans="1:18" ht="14.4" hidden="1">
      <c r="A732" s="33">
        <f>IF(C732="","",MAX($A$1:A731)+1)</f>
        <v>703</v>
      </c>
      <c r="B732" s="25" t="s">
        <v>19</v>
      </c>
      <c r="C732" s="23">
        <v>46088</v>
      </c>
      <c r="D732" s="28" t="str">
        <f>_xlfn.XLOOKUP(Table134526_79101120212223242526[[#This Row],[Name Surname]],Manpower!$C$4:$C$1048576,Manpower!$B$4:$B$1048576,"")</f>
        <v>Encogroup</v>
      </c>
      <c r="E732" s="21" t="s">
        <v>78</v>
      </c>
      <c r="F732" s="12">
        <f>_xlfn.XLOOKUP(Table134526_79101120212223242526[[#This Row],[Name Surname]],Manpower!C:C,Manpower!D:D,)</f>
        <v>117255966</v>
      </c>
      <c r="G732" s="28" t="str">
        <f>_xlfn.XLOOKUP(Table134526_79101120212223242526[[#This Row],[Name Surname]],Manpower!$C$4:$C$1048576,Manpower!$F$4:$F$1048576,"")</f>
        <v>Mechanical Supervisor</v>
      </c>
      <c r="H732" s="28" t="str">
        <f>_xlfn.XLOOKUP(Table134526_79101120212223242526[[#This Row],[Name Surname]],Manpower!$C$4:$C$1048576,Manpower!$H$4:$H$1048576,"")</f>
        <v>Manpower</v>
      </c>
      <c r="I732" s="24" t="str">
        <f>_xlfn.XLOOKUP(Table134526_79101120212223242526[[#This Row],[Name Surname]],Manpower!$C$4:$C$1048576,Manpower!$H$4:$H$1048576,"")</f>
        <v>Manpower</v>
      </c>
      <c r="J732" s="21" t="s">
        <v>48</v>
      </c>
      <c r="K732" s="21" t="s">
        <v>26</v>
      </c>
      <c r="L732" s="21" t="s">
        <v>49</v>
      </c>
      <c r="M732" s="21" t="s">
        <v>55</v>
      </c>
      <c r="N732" s="29">
        <v>10</v>
      </c>
      <c r="R732" s="21" t="s">
        <v>227</v>
      </c>
    </row>
    <row r="733" spans="1:18" ht="14.4">
      <c r="A733" s="33">
        <f>IF(C733="","",MAX($A$1:A732)+1)</f>
        <v>704</v>
      </c>
      <c r="B733" s="26" t="s">
        <v>79</v>
      </c>
      <c r="C733" s="23">
        <v>46088</v>
      </c>
      <c r="D733" s="28" t="str">
        <f>_xlfn.XLOOKUP(Table134526_79101120212223242526[[#This Row],[Name Surname]],Manpower!$C$4:$C$1048576,Manpower!$B$4:$B$1048576,"")</f>
        <v>Encogroup</v>
      </c>
      <c r="E733" s="21" t="s">
        <v>80</v>
      </c>
      <c r="F733" s="12" t="e">
        <f>_xlfn.XLOOKUP(Table134526_79101120212223242526[[#This Row],[Name Surname]],Manpower!C:C,Manpower!D:D,)</f>
        <v>#N/A</v>
      </c>
      <c r="G733" s="28" t="str">
        <f>_xlfn.XLOOKUP(Table134526_79101120212223242526[[#This Row],[Name Surname]],Manpower!$C$4:$C$1048576,Manpower!$F$4:$F$1048576,"")</f>
        <v>22M-Manlift</v>
      </c>
      <c r="H733" s="28" t="str">
        <f>_xlfn.XLOOKUP(Table134526_79101120212223242526[[#This Row],[Name Surname]],Manpower!$C$4:$C$1048576,Manpower!$H$4:$H$1048576,"")</f>
        <v>Equipment</v>
      </c>
      <c r="I733" s="24" t="str">
        <f>_xlfn.XLOOKUP(Table134526_79101120212223242526[[#This Row],[Name Surname]],Manpower!$C$4:$C$1048576,Manpower!$H$4:$H$1048576,"")</f>
        <v>Equipment</v>
      </c>
      <c r="J733" s="21" t="s">
        <v>35</v>
      </c>
      <c r="K733" s="21" t="s">
        <v>81</v>
      </c>
      <c r="L733" s="21" t="s">
        <v>82</v>
      </c>
      <c r="M733" s="21" t="s">
        <v>55</v>
      </c>
      <c r="N733" s="29">
        <v>10</v>
      </c>
      <c r="R733" s="21" t="s">
        <v>227</v>
      </c>
    </row>
    <row r="734" spans="1:18" ht="14.4">
      <c r="A734" s="33">
        <f>IF(C734="","",MAX($A$1:A733)+1)</f>
        <v>705</v>
      </c>
      <c r="B734" s="26" t="s">
        <v>79</v>
      </c>
      <c r="C734" s="23">
        <v>46088</v>
      </c>
      <c r="D734" s="28" t="str">
        <f>_xlfn.XLOOKUP(Table134526_79101120212223242526[[#This Row],[Name Surname]],Manpower!$C$4:$C$1048576,Manpower!$B$4:$B$1048576,"")</f>
        <v>Encogroup</v>
      </c>
      <c r="E734" s="21" t="s">
        <v>84</v>
      </c>
      <c r="F734" s="12" t="e">
        <f>_xlfn.XLOOKUP(Table134526_79101120212223242526[[#This Row],[Name Surname]],Manpower!C:C,Manpower!D:D,)</f>
        <v>#N/A</v>
      </c>
      <c r="G734" s="28" t="str">
        <f>_xlfn.XLOOKUP(Table134526_79101120212223242526[[#This Row],[Name Surname]],Manpower!$C$4:$C$1048576,Manpower!$F$4:$F$1048576,"")</f>
        <v>22M-Manlift</v>
      </c>
      <c r="H734" s="28" t="str">
        <f>_xlfn.XLOOKUP(Table134526_79101120212223242526[[#This Row],[Name Surname]],Manpower!$C$4:$C$1048576,Manpower!$H$4:$H$1048576,"")</f>
        <v>Equipment</v>
      </c>
      <c r="I734" s="24" t="str">
        <f>_xlfn.XLOOKUP(Table134526_79101120212223242526[[#This Row],[Name Surname]],Manpower!$C$4:$C$1048576,Manpower!$H$4:$H$1048576,"")</f>
        <v>Equipment</v>
      </c>
      <c r="J734" s="21" t="s">
        <v>35</v>
      </c>
      <c r="K734" s="21" t="s">
        <v>81</v>
      </c>
      <c r="L734" s="21" t="s">
        <v>82</v>
      </c>
      <c r="M734" s="21" t="s">
        <v>55</v>
      </c>
      <c r="N734" s="29">
        <v>10</v>
      </c>
      <c r="R734" s="21" t="s">
        <v>227</v>
      </c>
    </row>
    <row r="735" spans="1:18" ht="14.4">
      <c r="A735" s="33">
        <f>IF(C735="","",MAX($A$1:A734)+1)</f>
        <v>706</v>
      </c>
      <c r="B735" s="26" t="s">
        <v>79</v>
      </c>
      <c r="C735" s="23">
        <v>46088</v>
      </c>
      <c r="D735" s="28" t="str">
        <f>_xlfn.XLOOKUP(Table134526_79101120212223242526[[#This Row],[Name Surname]],Manpower!$C$4:$C$1048576,Manpower!$B$4:$B$1048576,"")</f>
        <v>Nass Group</v>
      </c>
      <c r="E735" s="21" t="s">
        <v>86</v>
      </c>
      <c r="F735" s="12" t="e">
        <f>_xlfn.XLOOKUP(Table134526_79101120212223242526[[#This Row],[Name Surname]],Manpower!C:C,Manpower!D:D,)</f>
        <v>#N/A</v>
      </c>
      <c r="G735" s="28" t="str">
        <f>_xlfn.XLOOKUP(Table134526_79101120212223242526[[#This Row],[Name Surname]],Manpower!$C$4:$C$1048576,Manpower!$F$4:$F$1048576,"")</f>
        <v>70T-Telescopic crane</v>
      </c>
      <c r="H735" s="28" t="str">
        <f>_xlfn.XLOOKUP(Table134526_79101120212223242526[[#This Row],[Name Surname]],Manpower!$C$4:$C$1048576,Manpower!$H$4:$H$1048576,"")</f>
        <v>Equipment</v>
      </c>
      <c r="I735" s="24" t="str">
        <f>_xlfn.XLOOKUP(Table134526_79101120212223242526[[#This Row],[Name Surname]],Manpower!$C$4:$C$1048576,Manpower!$H$4:$H$1048576,"")</f>
        <v>Equipment</v>
      </c>
      <c r="J735" s="21" t="s">
        <v>35</v>
      </c>
      <c r="K735" s="21" t="s">
        <v>81</v>
      </c>
      <c r="L735" s="21" t="s">
        <v>82</v>
      </c>
      <c r="M735" s="21" t="s">
        <v>55</v>
      </c>
      <c r="N735" s="29">
        <v>10</v>
      </c>
      <c r="R735" s="21" t="s">
        <v>227</v>
      </c>
    </row>
    <row r="736" spans="1:18" ht="14.4" hidden="1">
      <c r="A736" s="33">
        <f>IF(C736="","",MAX($A$1:A735)+1)</f>
        <v>707</v>
      </c>
      <c r="B736" s="26" t="s">
        <v>79</v>
      </c>
      <c r="C736" s="23">
        <v>46088</v>
      </c>
      <c r="D736" s="28" t="str">
        <f>_xlfn.XLOOKUP(Table134526_79101120212223242526[[#This Row],[Name Surname]],Manpower!$C$4:$C$1048576,Manpower!$B$4:$B$1048576,"")</f>
        <v>Encogroup</v>
      </c>
      <c r="E736" s="21" t="s">
        <v>87</v>
      </c>
      <c r="F736" s="12">
        <f>_xlfn.XLOOKUP(Table134526_79101120212223242526[[#This Row],[Name Surname]],Manpower!C:C,Manpower!D:D,)</f>
        <v>126724428</v>
      </c>
      <c r="G736" s="28" t="str">
        <f>_xlfn.XLOOKUP(Table134526_79101120212223242526[[#This Row],[Name Surname]],Manpower!$C$4:$C$1048576,Manpower!$F$4:$F$1048576,"")</f>
        <v>Surveyor</v>
      </c>
      <c r="H736" s="28" t="str">
        <f>_xlfn.XLOOKUP(Table134526_79101120212223242526[[#This Row],[Name Surname]],Manpower!$C$4:$C$1048576,Manpower!$H$4:$H$1048576,"")</f>
        <v>Manpower</v>
      </c>
      <c r="I736" s="24" t="str">
        <f>_xlfn.XLOOKUP(Table134526_79101120212223242526[[#This Row],[Name Surname]],Manpower!$C$4:$C$1048576,Manpower!$H$4:$H$1048576,"")</f>
        <v>Manpower</v>
      </c>
      <c r="J736" s="21" t="s">
        <v>35</v>
      </c>
      <c r="K736" s="21" t="s">
        <v>88</v>
      </c>
      <c r="L736" s="21" t="s">
        <v>82</v>
      </c>
      <c r="M736" s="21" t="s">
        <v>55</v>
      </c>
      <c r="N736" s="29">
        <v>10</v>
      </c>
      <c r="R736" s="21" t="s">
        <v>227</v>
      </c>
    </row>
    <row r="737" spans="1:18" ht="14.4" hidden="1">
      <c r="A737" s="33">
        <f>IF(C737="","",MAX($A$1:A736)+1)</f>
        <v>708</v>
      </c>
      <c r="B737" s="26" t="s">
        <v>79</v>
      </c>
      <c r="C737" s="23">
        <v>46088</v>
      </c>
      <c r="D737" s="28" t="str">
        <f>_xlfn.XLOOKUP(Table134526_79101120212223242526[[#This Row],[Name Surname]],Manpower!$C$4:$C$1048576,Manpower!$B$4:$B$1048576,"")</f>
        <v>Encogroup</v>
      </c>
      <c r="E737" s="21" t="s">
        <v>91</v>
      </c>
      <c r="F737" s="12">
        <f>_xlfn.XLOOKUP(Table134526_79101120212223242526[[#This Row],[Name Surname]],Manpower!C:C,Manpower!D:D,)</f>
        <v>132915855</v>
      </c>
      <c r="G737" s="28" t="str">
        <f>_xlfn.XLOOKUP(Table134526_79101120212223242526[[#This Row],[Name Surname]],Manpower!$C$4:$C$1048576,Manpower!$F$4:$F$1048576,"")</f>
        <v>Mechanical Supervisor</v>
      </c>
      <c r="H737" s="28" t="str">
        <f>_xlfn.XLOOKUP(Table134526_79101120212223242526[[#This Row],[Name Surname]],Manpower!$C$4:$C$1048576,Manpower!$H$4:$H$1048576,"")</f>
        <v>Manpower</v>
      </c>
      <c r="I737" s="24" t="str">
        <f>_xlfn.XLOOKUP(Table134526_79101120212223242526[[#This Row],[Name Surname]],Manpower!$C$4:$C$1048576,Manpower!$H$4:$H$1048576,"")</f>
        <v>Manpower</v>
      </c>
      <c r="J737" s="21" t="s">
        <v>35</v>
      </c>
      <c r="K737" s="21" t="s">
        <v>81</v>
      </c>
      <c r="L737" s="21" t="s">
        <v>82</v>
      </c>
      <c r="M737" s="21" t="s">
        <v>55</v>
      </c>
      <c r="N737" s="29">
        <v>6</v>
      </c>
      <c r="R737" s="21" t="s">
        <v>227</v>
      </c>
    </row>
    <row r="738" spans="1:18" ht="14.4" hidden="1">
      <c r="A738" s="33">
        <f>IF(C738="","",MAX($A$1:A737)+1)</f>
        <v>709</v>
      </c>
      <c r="B738" s="26" t="s">
        <v>79</v>
      </c>
      <c r="C738" s="23">
        <v>46088</v>
      </c>
      <c r="D738" s="28" t="str">
        <f>_xlfn.XLOOKUP(Table134526_79101120212223242526[[#This Row],[Name Surname]],Manpower!$C$4:$C$1048576,Manpower!$B$4:$B$1048576,"")</f>
        <v>Encogroup</v>
      </c>
      <c r="E738" s="21" t="s">
        <v>92</v>
      </c>
      <c r="F738" s="12">
        <f>_xlfn.XLOOKUP(Table134526_79101120212223242526[[#This Row],[Name Surname]],Manpower!C:C,Manpower!D:D,)</f>
        <v>141377747</v>
      </c>
      <c r="G738" s="28" t="str">
        <f>_xlfn.XLOOKUP(Table134526_79101120212223242526[[#This Row],[Name Surname]],Manpower!$C$4:$C$1048576,Manpower!$F$4:$F$1048576,"")</f>
        <v>Painter</v>
      </c>
      <c r="H738" s="28" t="str">
        <f>_xlfn.XLOOKUP(Table134526_79101120212223242526[[#This Row],[Name Surname]],Manpower!$C$4:$C$1048576,Manpower!$H$4:$H$1048576,"")</f>
        <v>Manpower</v>
      </c>
      <c r="I738" s="24" t="str">
        <f>_xlfn.XLOOKUP(Table134526_79101120212223242526[[#This Row],[Name Surname]],Manpower!$C$4:$C$1048576,Manpower!$H$4:$H$1048576,"")</f>
        <v>Manpower</v>
      </c>
      <c r="J738" s="21" t="s">
        <v>35</v>
      </c>
      <c r="K738" s="21" t="s">
        <v>93</v>
      </c>
      <c r="L738" s="21" t="s">
        <v>82</v>
      </c>
      <c r="M738" s="21" t="s">
        <v>55</v>
      </c>
      <c r="N738" s="29">
        <v>10</v>
      </c>
      <c r="R738" s="21" t="s">
        <v>227</v>
      </c>
    </row>
    <row r="739" spans="1:18" ht="14.4" hidden="1">
      <c r="A739" s="33">
        <f>IF(C739="","",MAX($A$1:A738)+1)</f>
        <v>710</v>
      </c>
      <c r="B739" s="26" t="s">
        <v>79</v>
      </c>
      <c r="C739" s="23">
        <v>46088</v>
      </c>
      <c r="D739" s="28" t="str">
        <f>_xlfn.XLOOKUP(Table134526_79101120212223242526[[#This Row],[Name Surname]],Manpower!$C$4:$C$1048576,Manpower!$B$4:$B$1048576,"")</f>
        <v>Encogroup</v>
      </c>
      <c r="E739" s="21" t="s">
        <v>97</v>
      </c>
      <c r="F739" s="12">
        <f>_xlfn.XLOOKUP(Table134526_79101120212223242526[[#This Row],[Name Surname]],Manpower!C:C,Manpower!D:D,)</f>
        <v>141359235</v>
      </c>
      <c r="G739" s="28" t="str">
        <f>_xlfn.XLOOKUP(Table134526_79101120212223242526[[#This Row],[Name Surname]],Manpower!$C$4:$C$1048576,Manpower!$F$4:$F$1048576,"")</f>
        <v>Fitter</v>
      </c>
      <c r="H739" s="28" t="str">
        <f>_xlfn.XLOOKUP(Table134526_79101120212223242526[[#This Row],[Name Surname]],Manpower!$C$4:$C$1048576,Manpower!$H$4:$H$1048576,"")</f>
        <v>Manpower</v>
      </c>
      <c r="I739" s="24" t="str">
        <f>_xlfn.XLOOKUP(Table134526_79101120212223242526[[#This Row],[Name Surname]],Manpower!$C$4:$C$1048576,Manpower!$H$4:$H$1048576,"")</f>
        <v>Manpower</v>
      </c>
      <c r="J739" s="21" t="s">
        <v>35</v>
      </c>
      <c r="K739" s="21" t="s">
        <v>98</v>
      </c>
      <c r="L739" s="21" t="s">
        <v>82</v>
      </c>
      <c r="M739" s="21" t="s">
        <v>55</v>
      </c>
      <c r="N739" s="29">
        <v>10</v>
      </c>
      <c r="R739" s="21" t="s">
        <v>227</v>
      </c>
    </row>
    <row r="740" spans="1:18" ht="14.4" hidden="1">
      <c r="A740" s="33">
        <f>IF(C740="","",MAX($A$1:A739)+1)</f>
        <v>711</v>
      </c>
      <c r="B740" s="26" t="s">
        <v>79</v>
      </c>
      <c r="C740" s="23">
        <v>46088</v>
      </c>
      <c r="D740" s="28" t="str">
        <f>_xlfn.XLOOKUP(Table134526_79101120212223242526[[#This Row],[Name Surname]],Manpower!$C$4:$C$1048576,Manpower!$B$4:$B$1048576,"")</f>
        <v>Encogroup</v>
      </c>
      <c r="E740" s="21" t="s">
        <v>99</v>
      </c>
      <c r="F740" s="12">
        <f>_xlfn.XLOOKUP(Table134526_79101120212223242526[[#This Row],[Name Surname]],Manpower!C:C,Manpower!D:D,)</f>
        <v>140697025</v>
      </c>
      <c r="G740" s="28" t="str">
        <f>_xlfn.XLOOKUP(Table134526_79101120212223242526[[#This Row],[Name Surname]],Manpower!$C$4:$C$1048576,Manpower!$F$4:$F$1048576,"")</f>
        <v>Assistant/Helper</v>
      </c>
      <c r="H740" s="28" t="str">
        <f>_xlfn.XLOOKUP(Table134526_79101120212223242526[[#This Row],[Name Surname]],Manpower!$C$4:$C$1048576,Manpower!$H$4:$H$1048576,"")</f>
        <v>Manpower</v>
      </c>
      <c r="I740" s="24" t="str">
        <f>_xlfn.XLOOKUP(Table134526_79101120212223242526[[#This Row],[Name Surname]],Manpower!$C$4:$C$1048576,Manpower!$H$4:$H$1048576,"")</f>
        <v>Manpower</v>
      </c>
      <c r="J740" s="21" t="s">
        <v>35</v>
      </c>
      <c r="K740" s="21" t="s">
        <v>81</v>
      </c>
      <c r="L740" s="21" t="s">
        <v>82</v>
      </c>
      <c r="M740" s="21" t="s">
        <v>55</v>
      </c>
      <c r="N740" s="29">
        <v>10</v>
      </c>
      <c r="R740" s="21" t="s">
        <v>227</v>
      </c>
    </row>
    <row r="741" spans="1:18" ht="14.4" hidden="1">
      <c r="A741" s="33">
        <f>IF(C741="","",MAX($A$1:A740)+1)</f>
        <v>712</v>
      </c>
      <c r="B741" s="26" t="s">
        <v>79</v>
      </c>
      <c r="C741" s="23">
        <v>46088</v>
      </c>
      <c r="D741" s="28" t="str">
        <f>_xlfn.XLOOKUP(Table134526_79101120212223242526[[#This Row],[Name Surname]],Manpower!$C$4:$C$1048576,Manpower!$B$4:$B$1048576,"")</f>
        <v>Encogroup</v>
      </c>
      <c r="E741" s="21" t="s">
        <v>101</v>
      </c>
      <c r="F741" s="12">
        <f>_xlfn.XLOOKUP(Table134526_79101120212223242526[[#This Row],[Name Surname]],Manpower!C:C,Manpower!D:D,)</f>
        <v>141169052</v>
      </c>
      <c r="G741" s="28" t="str">
        <f>_xlfn.XLOOKUP(Table134526_79101120212223242526[[#This Row],[Name Surname]],Manpower!$C$4:$C$1048576,Manpower!$F$4:$F$1048576,"")</f>
        <v>Welder</v>
      </c>
      <c r="H741" s="28" t="str">
        <f>_xlfn.XLOOKUP(Table134526_79101120212223242526[[#This Row],[Name Surname]],Manpower!$C$4:$C$1048576,Manpower!$H$4:$H$1048576,"")</f>
        <v>Manpower</v>
      </c>
      <c r="I741" s="24" t="str">
        <f>_xlfn.XLOOKUP(Table134526_79101120212223242526[[#This Row],[Name Surname]],Manpower!$C$4:$C$1048576,Manpower!$H$4:$H$1048576,"")</f>
        <v>Manpower</v>
      </c>
      <c r="J741" s="21" t="s">
        <v>35</v>
      </c>
      <c r="K741" s="21" t="s">
        <v>98</v>
      </c>
      <c r="L741" s="21" t="s">
        <v>82</v>
      </c>
      <c r="M741" s="21" t="s">
        <v>55</v>
      </c>
      <c r="N741" s="29">
        <v>10</v>
      </c>
      <c r="R741" s="21" t="s">
        <v>227</v>
      </c>
    </row>
    <row r="742" spans="1:18" ht="14.4" hidden="1">
      <c r="A742" s="33">
        <f>IF(C742="","",MAX($A$1:A741)+1)</f>
        <v>713</v>
      </c>
      <c r="B742" s="26" t="s">
        <v>79</v>
      </c>
      <c r="C742" s="23">
        <v>46088</v>
      </c>
      <c r="D742" s="28" t="str">
        <f>_xlfn.XLOOKUP(Table134526_79101120212223242526[[#This Row],[Name Surname]],Manpower!$C$4:$C$1048576,Manpower!$B$4:$B$1048576,"")</f>
        <v>Encogroup</v>
      </c>
      <c r="E742" s="21" t="s">
        <v>102</v>
      </c>
      <c r="F742" s="12">
        <f>_xlfn.XLOOKUP(Table134526_79101120212223242526[[#This Row],[Name Surname]],Manpower!C:C,Manpower!D:D,)</f>
        <v>141365075</v>
      </c>
      <c r="G742" s="28" t="str">
        <f>_xlfn.XLOOKUP(Table134526_79101120212223242526[[#This Row],[Name Surname]],Manpower!$C$4:$C$1048576,Manpower!$F$4:$F$1048576,"")</f>
        <v>Helper</v>
      </c>
      <c r="H742" s="28" t="str">
        <f>_xlfn.XLOOKUP(Table134526_79101120212223242526[[#This Row],[Name Surname]],Manpower!$C$4:$C$1048576,Manpower!$H$4:$H$1048576,"")</f>
        <v>Manpower</v>
      </c>
      <c r="I742" s="24" t="str">
        <f>_xlfn.XLOOKUP(Table134526_79101120212223242526[[#This Row],[Name Surname]],Manpower!$C$4:$C$1048576,Manpower!$H$4:$H$1048576,"")</f>
        <v>Manpower</v>
      </c>
      <c r="J742" s="21" t="s">
        <v>35</v>
      </c>
      <c r="K742" s="21" t="s">
        <v>88</v>
      </c>
      <c r="L742" s="21" t="s">
        <v>82</v>
      </c>
      <c r="M742" s="21" t="s">
        <v>55</v>
      </c>
      <c r="N742" s="29">
        <v>10</v>
      </c>
      <c r="R742" s="21" t="s">
        <v>227</v>
      </c>
    </row>
    <row r="743" spans="1:18" ht="14.4" hidden="1">
      <c r="A743" s="33">
        <f>IF(C743="","",MAX($A$1:A742)+1)</f>
        <v>714</v>
      </c>
      <c r="B743" s="26" t="s">
        <v>79</v>
      </c>
      <c r="C743" s="23">
        <v>46088</v>
      </c>
      <c r="D743" s="28" t="str">
        <f>_xlfn.XLOOKUP(Table134526_79101120212223242526[[#This Row],[Name Surname]],Manpower!$C$4:$C$1048576,Manpower!$B$4:$B$1048576,"")</f>
        <v>SARENS NASS</v>
      </c>
      <c r="E743" s="21" t="s">
        <v>103</v>
      </c>
      <c r="F743" s="12">
        <f>_xlfn.XLOOKUP(Table134526_79101120212223242526[[#This Row],[Name Surname]],Manpower!C:C,Manpower!D:D,)</f>
        <v>79502392</v>
      </c>
      <c r="G743" s="28" t="str">
        <f>_xlfn.XLOOKUP(Table134526_79101120212223242526[[#This Row],[Name Surname]],Manpower!$C$4:$C$1048576,Manpower!$F$4:$F$1048576,"")</f>
        <v>Crane Operator- 70T Liebherr Telescopic Crane-01</v>
      </c>
      <c r="H743" s="28" t="s">
        <v>39</v>
      </c>
      <c r="I743" s="24" t="s">
        <v>39</v>
      </c>
      <c r="J743" s="21" t="s">
        <v>35</v>
      </c>
      <c r="K743" s="21" t="s">
        <v>104</v>
      </c>
      <c r="L743" s="21" t="s">
        <v>82</v>
      </c>
      <c r="M743" s="21" t="s">
        <v>55</v>
      </c>
      <c r="N743" s="29">
        <v>10</v>
      </c>
      <c r="R743" s="21" t="s">
        <v>227</v>
      </c>
    </row>
    <row r="744" spans="1:18" ht="14.4" hidden="1">
      <c r="A744" s="33">
        <f>IF(C744="","",MAX($A$1:A743)+1)</f>
        <v>715</v>
      </c>
      <c r="B744" s="26" t="s">
        <v>79</v>
      </c>
      <c r="C744" s="23">
        <v>46088</v>
      </c>
      <c r="D744" s="28" t="str">
        <f>_xlfn.XLOOKUP(Table134526_79101120212223242526[[#This Row],[Name Surname]],Manpower!$C$4:$C$1048576,Manpower!$B$4:$B$1048576,"")</f>
        <v>Encogroup</v>
      </c>
      <c r="E744" s="21" t="s">
        <v>105</v>
      </c>
      <c r="F744" s="12">
        <f>_xlfn.XLOOKUP(Table134526_79101120212223242526[[#This Row],[Name Surname]],Manpower!C:C,Manpower!D:D,)</f>
        <v>141358993</v>
      </c>
      <c r="G744" s="28" t="str">
        <f>_xlfn.XLOOKUP(Table134526_79101120212223242526[[#This Row],[Name Surname]],Manpower!$C$4:$C$1048576,Manpower!$F$4:$F$1048576,"")</f>
        <v>Fitter</v>
      </c>
      <c r="H744" s="28" t="str">
        <f>_xlfn.XLOOKUP(Table134526_79101120212223242526[[#This Row],[Name Surname]],Manpower!$C$4:$C$1048576,Manpower!$H$4:$H$1048576,"")</f>
        <v>Manpower</v>
      </c>
      <c r="I744" s="24" t="str">
        <f>_xlfn.XLOOKUP(Table134526_79101120212223242526[[#This Row],[Name Surname]],Manpower!$C$4:$C$1048576,Manpower!$H$4:$H$1048576,"")</f>
        <v>Manpower</v>
      </c>
      <c r="J744" s="21" t="s">
        <v>35</v>
      </c>
      <c r="K744" s="21" t="s">
        <v>98</v>
      </c>
      <c r="L744" s="21" t="s">
        <v>82</v>
      </c>
      <c r="M744" s="21" t="s">
        <v>55</v>
      </c>
      <c r="N744" s="29">
        <v>6</v>
      </c>
      <c r="R744" s="21" t="s">
        <v>227</v>
      </c>
    </row>
    <row r="745" spans="1:18" ht="14.4" hidden="1">
      <c r="A745" s="33">
        <f>IF(C745="","",MAX($A$1:A744)+1)</f>
        <v>716</v>
      </c>
      <c r="B745" s="26" t="s">
        <v>79</v>
      </c>
      <c r="C745" s="23">
        <v>46088</v>
      </c>
      <c r="D745" s="28" t="str">
        <f>_xlfn.XLOOKUP(Table134526_79101120212223242526[[#This Row],[Name Surname]],Manpower!$C$4:$C$1048576,Manpower!$B$4:$B$1048576,"")</f>
        <v>Encogroup</v>
      </c>
      <c r="E745" s="21" t="s">
        <v>106</v>
      </c>
      <c r="F745" s="12" t="str">
        <f>_xlfn.XLOOKUP(Table134526_79101120212223242526[[#This Row],[Name Surname]],Manpower!C:C,Manpower!D:D,)</f>
        <v>R3971143</v>
      </c>
      <c r="G745" s="28" t="str">
        <f>_xlfn.XLOOKUP(Table134526_79101120212223242526[[#This Row],[Name Surname]],Manpower!$C$4:$C$1048576,Manpower!$F$4:$F$1048576,"")</f>
        <v>Mechanical Foreman</v>
      </c>
      <c r="H745" s="28" t="str">
        <f>_xlfn.XLOOKUP(Table134526_79101120212223242526[[#This Row],[Name Surname]],Manpower!$C$4:$C$1048576,Manpower!$H$4:$H$1048576,"")</f>
        <v>Manpower</v>
      </c>
      <c r="I745" s="24" t="str">
        <f>_xlfn.XLOOKUP(Table134526_79101120212223242526[[#This Row],[Name Surname]],Manpower!$C$4:$C$1048576,Manpower!$H$4:$H$1048576,"")</f>
        <v>Manpower</v>
      </c>
      <c r="J745" s="21" t="s">
        <v>35</v>
      </c>
      <c r="K745" s="21" t="s">
        <v>81</v>
      </c>
      <c r="L745" s="21" t="s">
        <v>82</v>
      </c>
      <c r="M745" s="21" t="s">
        <v>55</v>
      </c>
      <c r="N745" s="29">
        <v>10</v>
      </c>
      <c r="R745" s="21" t="s">
        <v>227</v>
      </c>
    </row>
    <row r="746" spans="1:18" ht="14.4" hidden="1">
      <c r="A746" s="33">
        <f>IF(C746="","",MAX($A$1:A745)+1)</f>
        <v>717</v>
      </c>
      <c r="B746" s="26" t="s">
        <v>79</v>
      </c>
      <c r="C746" s="23">
        <v>46088</v>
      </c>
      <c r="D746" s="28" t="str">
        <f>_xlfn.XLOOKUP(Table134526_79101120212223242526[[#This Row],[Name Surname]],Manpower!$C$4:$C$1048576,Manpower!$B$4:$B$1048576,"")</f>
        <v>Encogroup</v>
      </c>
      <c r="E746" s="21" t="s">
        <v>107</v>
      </c>
      <c r="F746" s="12">
        <f>_xlfn.XLOOKUP(Table134526_79101120212223242526[[#This Row],[Name Surname]],Manpower!C:C,Manpower!D:D,)</f>
        <v>116858297</v>
      </c>
      <c r="G746" s="28" t="str">
        <f>_xlfn.XLOOKUP(Table134526_79101120212223242526[[#This Row],[Name Surname]],Manpower!$C$4:$C$1048576,Manpower!$F$4:$F$1048576,"")</f>
        <v>Mechanical Superintendent</v>
      </c>
      <c r="H746" s="28" t="str">
        <f>_xlfn.XLOOKUP(Table134526_79101120212223242526[[#This Row],[Name Surname]],Manpower!$C$4:$C$1048576,Manpower!$H$4:$H$1048576,"")</f>
        <v>Manpower</v>
      </c>
      <c r="I746" s="24" t="str">
        <f>_xlfn.XLOOKUP(Table134526_79101120212223242526[[#This Row],[Name Surname]],Manpower!$C$4:$C$1048576,Manpower!$H$4:$H$1048576,"")</f>
        <v>Manpower</v>
      </c>
      <c r="J746" s="21" t="s">
        <v>35</v>
      </c>
      <c r="K746" s="21" t="s">
        <v>81</v>
      </c>
      <c r="L746" s="21" t="s">
        <v>82</v>
      </c>
      <c r="M746" s="21" t="s">
        <v>55</v>
      </c>
      <c r="N746" s="29">
        <v>10</v>
      </c>
      <c r="R746" s="21" t="s">
        <v>227</v>
      </c>
    </row>
    <row r="747" spans="1:18" ht="14.4" hidden="1">
      <c r="A747" s="33">
        <f>IF(C747="","",MAX($A$1:A746)+1)</f>
        <v>718</v>
      </c>
      <c r="B747" s="26" t="s">
        <v>79</v>
      </c>
      <c r="C747" s="23">
        <v>46088</v>
      </c>
      <c r="D747" s="28" t="str">
        <f>_xlfn.XLOOKUP(Table134526_79101120212223242526[[#This Row],[Name Surname]],Manpower!$C$4:$C$1048576,Manpower!$B$4:$B$1048576,"")</f>
        <v>Encogroup</v>
      </c>
      <c r="E747" s="21" t="s">
        <v>109</v>
      </c>
      <c r="F747" s="12">
        <f>_xlfn.XLOOKUP(Table134526_79101120212223242526[[#This Row],[Name Surname]],Manpower!C:C,Manpower!D:D,)</f>
        <v>123805496</v>
      </c>
      <c r="G747" s="28" t="str">
        <f>_xlfn.XLOOKUP(Table134526_79101120212223242526[[#This Row],[Name Surname]],Manpower!$C$4:$C$1048576,Manpower!$F$4:$F$1048576,"")</f>
        <v>Fitter/Erector</v>
      </c>
      <c r="H747" s="28" t="str">
        <f>_xlfn.XLOOKUP(Table134526_79101120212223242526[[#This Row],[Name Surname]],Manpower!$C$4:$C$1048576,Manpower!$H$4:$H$1048576,"")</f>
        <v>Manpower</v>
      </c>
      <c r="I747" s="24" t="str">
        <f>_xlfn.XLOOKUP(Table134526_79101120212223242526[[#This Row],[Name Surname]],Manpower!$C$4:$C$1048576,Manpower!$H$4:$H$1048576,"")</f>
        <v>Manpower</v>
      </c>
      <c r="J747" s="21" t="s">
        <v>35</v>
      </c>
      <c r="K747" s="21" t="s">
        <v>81</v>
      </c>
      <c r="L747" s="21" t="s">
        <v>82</v>
      </c>
      <c r="M747" s="21" t="s">
        <v>55</v>
      </c>
      <c r="N747" s="29">
        <v>10</v>
      </c>
      <c r="R747" s="21" t="s">
        <v>227</v>
      </c>
    </row>
    <row r="748" spans="1:18" ht="14.4" hidden="1">
      <c r="A748" s="33">
        <f>IF(C748="","",MAX($A$1:A747)+1)</f>
        <v>719</v>
      </c>
      <c r="B748" s="26" t="s">
        <v>79</v>
      </c>
      <c r="C748" s="23">
        <v>46088</v>
      </c>
      <c r="D748" s="28" t="str">
        <f>_xlfn.XLOOKUP(Table134526_79101120212223242526[[#This Row],[Name Surname]],Manpower!$C$4:$C$1048576,Manpower!$B$4:$B$1048576,"")</f>
        <v>Encogroup</v>
      </c>
      <c r="E748" s="21" t="s">
        <v>110</v>
      </c>
      <c r="F748" s="12">
        <f>_xlfn.XLOOKUP(Table134526_79101120212223242526[[#This Row],[Name Surname]],Manpower!C:C,Manpower!D:D,)</f>
        <v>136277866</v>
      </c>
      <c r="G748" s="28" t="str">
        <f>_xlfn.XLOOKUP(Table134526_79101120212223242526[[#This Row],[Name Surname]],Manpower!$C$4:$C$1048576,Manpower!$F$4:$F$1048576,"")</f>
        <v>Permit Receiver</v>
      </c>
      <c r="H748" s="28" t="str">
        <f>_xlfn.XLOOKUP(Table134526_79101120212223242526[[#This Row],[Name Surname]],Manpower!$C$4:$C$1048576,Manpower!$H$4:$H$1048576,"")</f>
        <v>Manpower</v>
      </c>
      <c r="I748" s="24" t="str">
        <f>_xlfn.XLOOKUP(Table134526_79101120212223242526[[#This Row],[Name Surname]],Manpower!$C$4:$C$1048576,Manpower!$H$4:$H$1048576,"")</f>
        <v>Manpower</v>
      </c>
      <c r="J748" s="21" t="s">
        <v>35</v>
      </c>
      <c r="K748" s="21" t="s">
        <v>81</v>
      </c>
      <c r="L748" s="21" t="s">
        <v>82</v>
      </c>
      <c r="M748" s="21" t="s">
        <v>55</v>
      </c>
      <c r="N748" s="29">
        <v>10</v>
      </c>
      <c r="R748" s="21" t="s">
        <v>227</v>
      </c>
    </row>
    <row r="749" spans="1:18" ht="14.4" hidden="1">
      <c r="A749" s="33">
        <f>IF(C749="","",MAX($A$1:A748)+1)</f>
        <v>720</v>
      </c>
      <c r="B749" s="26" t="s">
        <v>79</v>
      </c>
      <c r="C749" s="23">
        <v>46088</v>
      </c>
      <c r="D749" s="28" t="str">
        <f>_xlfn.XLOOKUP(Table134526_79101120212223242526[[#This Row],[Name Surname]],Manpower!$C$4:$C$1048576,Manpower!$B$4:$B$1048576,"")</f>
        <v>Encogroup</v>
      </c>
      <c r="E749" s="21" t="s">
        <v>111</v>
      </c>
      <c r="F749" s="12">
        <f>_xlfn.XLOOKUP(Table134526_79101120212223242526[[#This Row],[Name Surname]],Manpower!C:C,Manpower!D:D,)</f>
        <v>120653364</v>
      </c>
      <c r="G749" s="28" t="str">
        <f>_xlfn.XLOOKUP(Table134526_79101120212223242526[[#This Row],[Name Surname]],Manpower!$C$4:$C$1048576,Manpower!$F$4:$F$1048576,"")</f>
        <v>Surveyor</v>
      </c>
      <c r="H749" s="28" t="str">
        <f>_xlfn.XLOOKUP(Table134526_79101120212223242526[[#This Row],[Name Surname]],Manpower!$C$4:$C$1048576,Manpower!$H$4:$H$1048576,"")</f>
        <v>Manpower</v>
      </c>
      <c r="I749" s="24" t="str">
        <f>_xlfn.XLOOKUP(Table134526_79101120212223242526[[#This Row],[Name Surname]],Manpower!$C$4:$C$1048576,Manpower!$H$4:$H$1048576,"")</f>
        <v>Manpower</v>
      </c>
      <c r="J749" s="21" t="s">
        <v>35</v>
      </c>
      <c r="K749" s="21" t="s">
        <v>88</v>
      </c>
      <c r="L749" s="21" t="s">
        <v>82</v>
      </c>
      <c r="M749" s="21" t="s">
        <v>55</v>
      </c>
      <c r="N749" s="29">
        <v>10</v>
      </c>
      <c r="R749" s="21" t="s">
        <v>227</v>
      </c>
    </row>
    <row r="750" spans="1:18" ht="14.4" hidden="1">
      <c r="A750" s="33">
        <f>IF(C750="","",MAX($A$1:A749)+1)</f>
        <v>721</v>
      </c>
      <c r="B750" s="26" t="s">
        <v>79</v>
      </c>
      <c r="C750" s="23">
        <v>46088</v>
      </c>
      <c r="D750" s="28" t="str">
        <f>_xlfn.XLOOKUP(Table134526_79101120212223242526[[#This Row],[Name Surname]],Manpower!$C$4:$C$1048576,Manpower!$B$4:$B$1048576,"")</f>
        <v>Encogroup</v>
      </c>
      <c r="E750" s="21" t="s">
        <v>112</v>
      </c>
      <c r="F750" s="12">
        <f>_xlfn.XLOOKUP(Table134526_79101120212223242526[[#This Row],[Name Surname]],Manpower!C:C,Manpower!D:D,)</f>
        <v>140663253</v>
      </c>
      <c r="G750" s="28" t="str">
        <f>_xlfn.XLOOKUP(Table134526_79101120212223242526[[#This Row],[Name Surname]],Manpower!$C$4:$C$1048576,Manpower!$F$4:$F$1048576,"")</f>
        <v>Painting Inspector</v>
      </c>
      <c r="H750" s="28" t="str">
        <f>_xlfn.XLOOKUP(Table134526_79101120212223242526[[#This Row],[Name Surname]],Manpower!$C$4:$C$1048576,Manpower!$H$4:$H$1048576,"")</f>
        <v>Manpower</v>
      </c>
      <c r="I750" s="24" t="str">
        <f>_xlfn.XLOOKUP(Table134526_79101120212223242526[[#This Row],[Name Surname]],Manpower!$C$4:$C$1048576,Manpower!$H$4:$H$1048576,"")</f>
        <v>Manpower</v>
      </c>
      <c r="J750" s="21" t="s">
        <v>35</v>
      </c>
      <c r="K750" s="21" t="s">
        <v>113</v>
      </c>
      <c r="L750" s="21" t="s">
        <v>82</v>
      </c>
      <c r="M750" s="21" t="s">
        <v>55</v>
      </c>
      <c r="N750" s="29">
        <v>10</v>
      </c>
      <c r="R750" s="21" t="s">
        <v>227</v>
      </c>
    </row>
    <row r="751" spans="1:18" ht="14.4" hidden="1">
      <c r="A751" s="33">
        <f>IF(C751="","",MAX($A$1:A750)+1)</f>
        <v>722</v>
      </c>
      <c r="B751" s="26" t="s">
        <v>79</v>
      </c>
      <c r="C751" s="23">
        <v>46088</v>
      </c>
      <c r="D751" s="28" t="str">
        <f>_xlfn.XLOOKUP(Table134526_79101120212223242526[[#This Row],[Name Surname]],Manpower!$C$4:$C$1048576,Manpower!$B$4:$B$1048576,"")</f>
        <v>Encogroup</v>
      </c>
      <c r="E751" s="21" t="s">
        <v>116</v>
      </c>
      <c r="F751" s="12">
        <f>_xlfn.XLOOKUP(Table134526_79101120212223242526[[#This Row],[Name Surname]],Manpower!C:C,Manpower!D:D,)</f>
        <v>140844604</v>
      </c>
      <c r="G751" s="28" t="str">
        <f>_xlfn.XLOOKUP(Table134526_79101120212223242526[[#This Row],[Name Surname]],Manpower!$C$4:$C$1048576,Manpower!$F$4:$F$1048576,"")</f>
        <v>Painter</v>
      </c>
      <c r="H751" s="28" t="str">
        <f>_xlfn.XLOOKUP(Table134526_79101120212223242526[[#This Row],[Name Surname]],Manpower!$C$4:$C$1048576,Manpower!$H$4:$H$1048576,"")</f>
        <v>Manpower</v>
      </c>
      <c r="I751" s="24" t="str">
        <f>_xlfn.XLOOKUP(Table134526_79101120212223242526[[#This Row],[Name Surname]],Manpower!$C$4:$C$1048576,Manpower!$H$4:$H$1048576,"")</f>
        <v>Manpower</v>
      </c>
      <c r="J751" s="21" t="s">
        <v>35</v>
      </c>
      <c r="K751" s="21" t="s">
        <v>113</v>
      </c>
      <c r="L751" s="21" t="s">
        <v>82</v>
      </c>
      <c r="M751" s="21" t="s">
        <v>55</v>
      </c>
      <c r="N751" s="29">
        <v>10</v>
      </c>
      <c r="R751" s="21" t="s">
        <v>227</v>
      </c>
    </row>
    <row r="752" spans="1:18" ht="14.4" hidden="1">
      <c r="A752" s="33">
        <f>IF(C752="","",MAX($A$1:A751)+1)</f>
        <v>723</v>
      </c>
      <c r="B752" s="26" t="s">
        <v>79</v>
      </c>
      <c r="C752" s="23">
        <v>46088</v>
      </c>
      <c r="D752" s="28" t="str">
        <f>_xlfn.XLOOKUP(Table134526_79101120212223242526[[#This Row],[Name Surname]],Manpower!$C$4:$C$1048576,Manpower!$B$4:$B$1048576,"")</f>
        <v>Encogroup</v>
      </c>
      <c r="E752" s="21" t="s">
        <v>117</v>
      </c>
      <c r="F752" s="12">
        <f>_xlfn.XLOOKUP(Table134526_79101120212223242526[[#This Row],[Name Surname]],Manpower!C:C,Manpower!D:D,)</f>
        <v>140844783</v>
      </c>
      <c r="G752" s="28" t="str">
        <f>_xlfn.XLOOKUP(Table134526_79101120212223242526[[#This Row],[Name Surname]],Manpower!$C$4:$C$1048576,Manpower!$F$4:$F$1048576,"")</f>
        <v>Painter</v>
      </c>
      <c r="H752" s="28" t="str">
        <f>_xlfn.XLOOKUP(Table134526_79101120212223242526[[#This Row],[Name Surname]],Manpower!$C$4:$C$1048576,Manpower!$H$4:$H$1048576,"")</f>
        <v>Manpower</v>
      </c>
      <c r="I752" s="24" t="str">
        <f>_xlfn.XLOOKUP(Table134526_79101120212223242526[[#This Row],[Name Surname]],Manpower!$C$4:$C$1048576,Manpower!$H$4:$H$1048576,"")</f>
        <v>Manpower</v>
      </c>
      <c r="J752" s="21" t="s">
        <v>35</v>
      </c>
      <c r="K752" s="21" t="s">
        <v>113</v>
      </c>
      <c r="L752" s="21" t="s">
        <v>82</v>
      </c>
      <c r="M752" s="21" t="s">
        <v>55</v>
      </c>
      <c r="N752" s="29">
        <v>10</v>
      </c>
      <c r="R752" s="21" t="s">
        <v>227</v>
      </c>
    </row>
    <row r="753" spans="1:18" ht="14.4" hidden="1">
      <c r="A753" s="33">
        <f>IF(C753="","",MAX($A$1:A752)+1)</f>
        <v>724</v>
      </c>
      <c r="B753" s="26" t="s">
        <v>79</v>
      </c>
      <c r="C753" s="23">
        <v>46088</v>
      </c>
      <c r="D753" s="28" t="str">
        <f>_xlfn.XLOOKUP(Table134526_79101120212223242526[[#This Row],[Name Surname]],Manpower!$C$4:$C$1048576,Manpower!$B$4:$B$1048576,"")</f>
        <v>Encogroup</v>
      </c>
      <c r="E753" s="21" t="s">
        <v>118</v>
      </c>
      <c r="F753" s="12" t="str">
        <f>_xlfn.XLOOKUP(Table134526_79101120212223242526[[#This Row],[Name Surname]],Manpower!C:C,Manpower!D:D,)</f>
        <v>AG111207</v>
      </c>
      <c r="G753" s="28" t="str">
        <f>_xlfn.XLOOKUP(Table134526_79101120212223242526[[#This Row],[Name Surname]],Manpower!$C$4:$C$1048576,Manpower!$F$4:$F$1048576,"")</f>
        <v>Assistant/Helper</v>
      </c>
      <c r="H753" s="28" t="str">
        <f>_xlfn.XLOOKUP(Table134526_79101120212223242526[[#This Row],[Name Surname]],Manpower!$C$4:$C$1048576,Manpower!$H$4:$H$1048576,"")</f>
        <v>Manpower</v>
      </c>
      <c r="I753" s="24" t="str">
        <f>_xlfn.XLOOKUP(Table134526_79101120212223242526[[#This Row],[Name Surname]],Manpower!$C$4:$C$1048576,Manpower!$H$4:$H$1048576,"")</f>
        <v>Manpower</v>
      </c>
      <c r="J753" s="21" t="s">
        <v>35</v>
      </c>
      <c r="K753" s="21" t="s">
        <v>113</v>
      </c>
      <c r="L753" s="21" t="s">
        <v>82</v>
      </c>
      <c r="M753" s="21" t="s">
        <v>55</v>
      </c>
      <c r="N753" s="29">
        <v>10</v>
      </c>
      <c r="R753" s="21" t="s">
        <v>227</v>
      </c>
    </row>
    <row r="754" spans="1:18" ht="14.4" hidden="1">
      <c r="A754" s="33">
        <f>IF(C754="","",MAX($A$1:A753)+1)</f>
        <v>725</v>
      </c>
      <c r="B754" s="26" t="s">
        <v>79</v>
      </c>
      <c r="C754" s="23">
        <v>46088</v>
      </c>
      <c r="D754" s="28" t="str">
        <f>_xlfn.XLOOKUP(Table134526_79101120212223242526[[#This Row],[Name Surname]],Manpower!$C$4:$C$1048576,Manpower!$B$4:$B$1048576,"")</f>
        <v>Encogroup</v>
      </c>
      <c r="E754" s="21" t="s">
        <v>119</v>
      </c>
      <c r="F754" s="12">
        <f>_xlfn.XLOOKUP(Table134526_79101120212223242526[[#This Row],[Name Surname]],Manpower!C:C,Manpower!D:D,)</f>
        <v>140844778</v>
      </c>
      <c r="G754" s="28" t="str">
        <f>_xlfn.XLOOKUP(Table134526_79101120212223242526[[#This Row],[Name Surname]],Manpower!$C$4:$C$1048576,Manpower!$F$4:$F$1048576,"")</f>
        <v>Painter</v>
      </c>
      <c r="H754" s="28" t="str">
        <f>_xlfn.XLOOKUP(Table134526_79101120212223242526[[#This Row],[Name Surname]],Manpower!$C$4:$C$1048576,Manpower!$H$4:$H$1048576,"")</f>
        <v>Manpower</v>
      </c>
      <c r="I754" s="24" t="str">
        <f>_xlfn.XLOOKUP(Table134526_79101120212223242526[[#This Row],[Name Surname]],Manpower!$C$4:$C$1048576,Manpower!$H$4:$H$1048576,"")</f>
        <v>Manpower</v>
      </c>
      <c r="J754" s="21" t="s">
        <v>35</v>
      </c>
      <c r="K754" s="21" t="s">
        <v>113</v>
      </c>
      <c r="L754" s="21" t="s">
        <v>82</v>
      </c>
      <c r="M754" s="21" t="s">
        <v>55</v>
      </c>
      <c r="N754" s="29">
        <v>6</v>
      </c>
      <c r="R754" s="21" t="s">
        <v>227</v>
      </c>
    </row>
    <row r="755" spans="1:18" ht="14.4" hidden="1">
      <c r="A755" s="33">
        <f>IF(C755="","",MAX($A$1:A754)+1)</f>
        <v>726</v>
      </c>
      <c r="B755" s="26" t="s">
        <v>79</v>
      </c>
      <c r="C755" s="23">
        <v>46088</v>
      </c>
      <c r="D755" s="28" t="str">
        <f>_xlfn.XLOOKUP(Table134526_79101120212223242526[[#This Row],[Name Surname]],Manpower!$C$4:$C$1048576,Manpower!$B$4:$B$1048576,"")</f>
        <v>Encogroup</v>
      </c>
      <c r="E755" s="21" t="s">
        <v>120</v>
      </c>
      <c r="F755" s="12">
        <f>_xlfn.XLOOKUP(Table134526_79101120212223242526[[#This Row],[Name Surname]],Manpower!C:C,Manpower!D:D,)</f>
        <v>141365037</v>
      </c>
      <c r="G755" s="28" t="str">
        <f>_xlfn.XLOOKUP(Table134526_79101120212223242526[[#This Row],[Name Surname]],Manpower!$C$4:$C$1048576,Manpower!$F$4:$F$1048576,"")</f>
        <v>Painter</v>
      </c>
      <c r="H755" s="28" t="str">
        <f>_xlfn.XLOOKUP(Table134526_79101120212223242526[[#This Row],[Name Surname]],Manpower!$C$4:$C$1048576,Manpower!$H$4:$H$1048576,"")</f>
        <v>Manpower</v>
      </c>
      <c r="I755" s="24" t="str">
        <f>_xlfn.XLOOKUP(Table134526_79101120212223242526[[#This Row],[Name Surname]],Manpower!$C$4:$C$1048576,Manpower!$H$4:$H$1048576,"")</f>
        <v>Manpower</v>
      </c>
      <c r="J755" s="21" t="s">
        <v>35</v>
      </c>
      <c r="K755" s="21" t="s">
        <v>113</v>
      </c>
      <c r="L755" s="21" t="s">
        <v>82</v>
      </c>
      <c r="M755" s="21" t="s">
        <v>55</v>
      </c>
      <c r="N755" s="29">
        <v>10</v>
      </c>
      <c r="R755" s="21" t="s">
        <v>227</v>
      </c>
    </row>
    <row r="756" spans="1:18" ht="14.4" hidden="1">
      <c r="A756" s="33">
        <f>IF(C756="","",MAX($A$1:A755)+1)</f>
        <v>727</v>
      </c>
      <c r="B756" s="26" t="s">
        <v>79</v>
      </c>
      <c r="C756" s="23">
        <v>46088</v>
      </c>
      <c r="D756" s="28" t="str">
        <f>_xlfn.XLOOKUP(Table134526_79101120212223242526[[#This Row],[Name Surname]],Manpower!$C$4:$C$1048576,Manpower!$B$4:$B$1048576,"")</f>
        <v>Encogroup</v>
      </c>
      <c r="E756" s="21" t="s">
        <v>121</v>
      </c>
      <c r="F756" s="12">
        <f>_xlfn.XLOOKUP(Table134526_79101120212223242526[[#This Row],[Name Surname]],Manpower!C:C,Manpower!D:D,)</f>
        <v>141377709</v>
      </c>
      <c r="G756" s="28" t="str">
        <f>_xlfn.XLOOKUP(Table134526_79101120212223242526[[#This Row],[Name Surname]],Manpower!$C$4:$C$1048576,Manpower!$F$4:$F$1048576,"")</f>
        <v>Helper</v>
      </c>
      <c r="H756" s="28" t="str">
        <f>_xlfn.XLOOKUP(Table134526_79101120212223242526[[#This Row],[Name Surname]],Manpower!$C$4:$C$1048576,Manpower!$H$4:$H$1048576,"")</f>
        <v>Manpower</v>
      </c>
      <c r="I756" s="24" t="str">
        <f>_xlfn.XLOOKUP(Table134526_79101120212223242526[[#This Row],[Name Surname]],Manpower!$C$4:$C$1048576,Manpower!$H$4:$H$1048576,"")</f>
        <v>Manpower</v>
      </c>
      <c r="J756" s="21" t="s">
        <v>35</v>
      </c>
      <c r="K756" s="21" t="s">
        <v>113</v>
      </c>
      <c r="L756" s="21" t="s">
        <v>82</v>
      </c>
      <c r="M756" s="21" t="s">
        <v>55</v>
      </c>
      <c r="N756" s="29">
        <v>10</v>
      </c>
      <c r="R756" s="21" t="s">
        <v>227</v>
      </c>
    </row>
    <row r="757" spans="1:18" ht="14.4" hidden="1">
      <c r="A757" s="33">
        <f>IF(C757="","",MAX($A$1:A756)+1)</f>
        <v>728</v>
      </c>
      <c r="B757" s="26" t="s">
        <v>79</v>
      </c>
      <c r="C757" s="23">
        <v>46088</v>
      </c>
      <c r="D757" s="28" t="str">
        <f>_xlfn.XLOOKUP(Table134526_79101120212223242526[[#This Row],[Name Surname]],Manpower!$C$4:$C$1048576,Manpower!$B$4:$B$1048576,"")</f>
        <v>Encogroup</v>
      </c>
      <c r="E757" s="21" t="s">
        <v>122</v>
      </c>
      <c r="F757" s="12">
        <f>_xlfn.XLOOKUP(Table134526_79101120212223242526[[#This Row],[Name Surname]],Manpower!C:C,Manpower!D:D,)</f>
        <v>140805554</v>
      </c>
      <c r="G757" s="28" t="str">
        <f>_xlfn.XLOOKUP(Table134526_79101120212223242526[[#This Row],[Name Surname]],Manpower!$C$4:$C$1048576,Manpower!$F$4:$F$1048576,"")</f>
        <v>Assistant/Helper</v>
      </c>
      <c r="H757" s="28" t="str">
        <f>_xlfn.XLOOKUP(Table134526_79101120212223242526[[#This Row],[Name Surname]],Manpower!$C$4:$C$1048576,Manpower!$H$4:$H$1048576,"")</f>
        <v>Manpower</v>
      </c>
      <c r="I757" s="24" t="str">
        <f>_xlfn.XLOOKUP(Table134526_79101120212223242526[[#This Row],[Name Surname]],Manpower!$C$4:$C$1048576,Manpower!$H$4:$H$1048576,"")</f>
        <v>Manpower</v>
      </c>
      <c r="J757" s="21" t="s">
        <v>35</v>
      </c>
      <c r="K757" s="21" t="s">
        <v>98</v>
      </c>
      <c r="L757" s="21" t="s">
        <v>82</v>
      </c>
      <c r="M757" s="21" t="s">
        <v>55</v>
      </c>
      <c r="N757" s="29">
        <v>10</v>
      </c>
      <c r="R757" s="21" t="s">
        <v>227</v>
      </c>
    </row>
    <row r="758" spans="1:18" ht="14.4" hidden="1">
      <c r="A758" s="33">
        <f>IF(C758="","",MAX($A$1:A757)+1)</f>
        <v>729</v>
      </c>
      <c r="B758" s="26" t="s">
        <v>79</v>
      </c>
      <c r="C758" s="23">
        <v>46088</v>
      </c>
      <c r="D758" s="28" t="str">
        <f>_xlfn.XLOOKUP(Table134526_79101120212223242526[[#This Row],[Name Surname]],Manpower!$C$4:$C$1048576,Manpower!$B$4:$B$1048576,"")</f>
        <v>Encogroup</v>
      </c>
      <c r="E758" s="21" t="s">
        <v>124</v>
      </c>
      <c r="F758" s="12">
        <f>_xlfn.XLOOKUP(Table134526_79101120212223242526[[#This Row],[Name Surname]],Manpower!C:C,Manpower!D:D,)</f>
        <v>141169033</v>
      </c>
      <c r="G758" s="28" t="str">
        <f>_xlfn.XLOOKUP(Table134526_79101120212223242526[[#This Row],[Name Surname]],Manpower!$C$4:$C$1048576,Manpower!$F$4:$F$1048576,"")</f>
        <v>Welder</v>
      </c>
      <c r="H758" s="28" t="str">
        <f>_xlfn.XLOOKUP(Table134526_79101120212223242526[[#This Row],[Name Surname]],Manpower!$C$4:$C$1048576,Manpower!$H$4:$H$1048576,"")</f>
        <v>Manpower</v>
      </c>
      <c r="I758" s="24" t="str">
        <f>_xlfn.XLOOKUP(Table134526_79101120212223242526[[#This Row],[Name Surname]],Manpower!$C$4:$C$1048576,Manpower!$H$4:$H$1048576,"")</f>
        <v>Manpower</v>
      </c>
      <c r="J758" s="21" t="s">
        <v>35</v>
      </c>
      <c r="K758" s="21" t="s">
        <v>98</v>
      </c>
      <c r="L758" s="21" t="s">
        <v>82</v>
      </c>
      <c r="M758" s="21" t="s">
        <v>55</v>
      </c>
      <c r="N758" s="29">
        <v>10</v>
      </c>
      <c r="R758" s="21" t="s">
        <v>227</v>
      </c>
    </row>
    <row r="759" spans="1:18" ht="14.4" hidden="1">
      <c r="A759" s="33">
        <f>IF(C759="","",MAX($A$1:A758)+1)</f>
        <v>730</v>
      </c>
      <c r="B759" s="26" t="s">
        <v>79</v>
      </c>
      <c r="C759" s="23">
        <v>46088</v>
      </c>
      <c r="D759" s="28" t="str">
        <f>_xlfn.XLOOKUP(Table134526_79101120212223242526[[#This Row],[Name Surname]],Manpower!$C$4:$C$1048576,Manpower!$B$4:$B$1048576,"")</f>
        <v>Encogroup</v>
      </c>
      <c r="E759" s="21" t="s">
        <v>125</v>
      </c>
      <c r="F759" s="12">
        <f>_xlfn.XLOOKUP(Table134526_79101120212223242526[[#This Row],[Name Surname]],Manpower!C:C,Manpower!D:D,)</f>
        <v>141169028</v>
      </c>
      <c r="G759" s="28" t="str">
        <f>_xlfn.XLOOKUP(Table134526_79101120212223242526[[#This Row],[Name Surname]],Manpower!$C$4:$C$1048576,Manpower!$F$4:$F$1048576,"")</f>
        <v>Welder</v>
      </c>
      <c r="H759" s="28" t="str">
        <f>_xlfn.XLOOKUP(Table134526_79101120212223242526[[#This Row],[Name Surname]],Manpower!$C$4:$C$1048576,Manpower!$H$4:$H$1048576,"")</f>
        <v>Manpower</v>
      </c>
      <c r="I759" s="24" t="str">
        <f>_xlfn.XLOOKUP(Table134526_79101120212223242526[[#This Row],[Name Surname]],Manpower!$C$4:$C$1048576,Manpower!$H$4:$H$1048576,"")</f>
        <v>Manpower</v>
      </c>
      <c r="J759" s="21" t="s">
        <v>35</v>
      </c>
      <c r="K759" s="21" t="s">
        <v>104</v>
      </c>
      <c r="L759" s="21" t="s">
        <v>82</v>
      </c>
      <c r="M759" s="21" t="s">
        <v>55</v>
      </c>
      <c r="N759" s="29">
        <v>10</v>
      </c>
      <c r="R759" s="21" t="s">
        <v>227</v>
      </c>
    </row>
    <row r="760" spans="1:18" ht="14.4" hidden="1">
      <c r="A760" s="33">
        <f>IF(C760="","",MAX($A$1:A759)+1)</f>
        <v>731</v>
      </c>
      <c r="B760" s="26" t="s">
        <v>79</v>
      </c>
      <c r="C760" s="23">
        <v>46088</v>
      </c>
      <c r="D760" s="28" t="str">
        <f>_xlfn.XLOOKUP(Table134526_79101120212223242526[[#This Row],[Name Surname]],Manpower!$C$4:$C$1048576,Manpower!$B$4:$B$1048576,"")</f>
        <v>Encogroup</v>
      </c>
      <c r="E760" s="21" t="s">
        <v>126</v>
      </c>
      <c r="F760" s="12">
        <f>_xlfn.XLOOKUP(Table134526_79101120212223242526[[#This Row],[Name Surname]],Manpower!C:C,Manpower!D:D,)</f>
        <v>140805568</v>
      </c>
      <c r="G760" s="28" t="str">
        <f>_xlfn.XLOOKUP(Table134526_79101120212223242526[[#This Row],[Name Surname]],Manpower!$C$4:$C$1048576,Manpower!$F$4:$F$1048576,"")</f>
        <v>Assistant/Helper</v>
      </c>
      <c r="H760" s="28" t="str">
        <f>_xlfn.XLOOKUP(Table134526_79101120212223242526[[#This Row],[Name Surname]],Manpower!$C$4:$C$1048576,Manpower!$H$4:$H$1048576,"")</f>
        <v>Manpower</v>
      </c>
      <c r="I760" s="24" t="str">
        <f>_xlfn.XLOOKUP(Table134526_79101120212223242526[[#This Row],[Name Surname]],Manpower!$C$4:$C$1048576,Manpower!$H$4:$H$1048576,"")</f>
        <v>Manpower</v>
      </c>
      <c r="J760" s="21" t="s">
        <v>35</v>
      </c>
      <c r="K760" s="21" t="s">
        <v>127</v>
      </c>
      <c r="L760" s="21" t="s">
        <v>82</v>
      </c>
      <c r="M760" s="21" t="s">
        <v>55</v>
      </c>
      <c r="N760" s="29">
        <v>10</v>
      </c>
      <c r="R760" s="21" t="s">
        <v>227</v>
      </c>
    </row>
    <row r="761" spans="1:18" ht="14.4" hidden="1">
      <c r="A761" s="33">
        <f>IF(C761="","",MAX($A$1:A760)+1)</f>
        <v>732</v>
      </c>
      <c r="B761" s="26" t="s">
        <v>79</v>
      </c>
      <c r="C761" s="23">
        <v>46088</v>
      </c>
      <c r="D761" s="28" t="str">
        <f>_xlfn.XLOOKUP(Table134526_79101120212223242526[[#This Row],[Name Surname]],Manpower!$C$4:$C$1048576,Manpower!$B$4:$B$1048576,"")</f>
        <v>AL Saif &amp; Al QALLM ENT LLC</v>
      </c>
      <c r="E761" s="21" t="s">
        <v>130</v>
      </c>
      <c r="F761" s="12">
        <f>_xlfn.XLOOKUP(Table134526_79101120212223242526[[#This Row],[Name Surname]],Manpower!C:C,Manpower!D:D,)</f>
        <v>76647648</v>
      </c>
      <c r="G761" s="28" t="str">
        <f>_xlfn.XLOOKUP(Table134526_79101120212223242526[[#This Row],[Name Surname]],Manpower!$C$4:$C$1048576,Manpower!$F$4:$F$1048576,"")</f>
        <v>RIgger</v>
      </c>
      <c r="H761" s="28" t="str">
        <f>_xlfn.XLOOKUP(Table134526_79101120212223242526[[#This Row],[Name Surname]],Manpower!$C$4:$C$1048576,Manpower!$H$4:$H$1048576,"")</f>
        <v>Sub Contactor</v>
      </c>
      <c r="I761" s="24" t="str">
        <f>_xlfn.XLOOKUP(Table134526_79101120212223242526[[#This Row],[Name Surname]],Manpower!$C$4:$C$1048576,Manpower!$H$4:$H$1048576,"")</f>
        <v>Sub Contactor</v>
      </c>
      <c r="J761" s="21" t="s">
        <v>35</v>
      </c>
      <c r="K761" s="21" t="s">
        <v>104</v>
      </c>
      <c r="L761" s="21" t="s">
        <v>82</v>
      </c>
      <c r="M761" s="21" t="s">
        <v>55</v>
      </c>
      <c r="N761" s="29">
        <v>10</v>
      </c>
      <c r="R761" s="21" t="s">
        <v>227</v>
      </c>
    </row>
    <row r="762" spans="1:18" ht="14.4" hidden="1">
      <c r="A762" s="33">
        <f>IF(C762="","",MAX($A$1:A761)+1)</f>
        <v>733</v>
      </c>
      <c r="B762" s="26" t="s">
        <v>79</v>
      </c>
      <c r="C762" s="23">
        <v>46088</v>
      </c>
      <c r="D762" s="28" t="str">
        <f>_xlfn.XLOOKUP(Table134526_79101120212223242526[[#This Row],[Name Surname]],Manpower!$C$4:$C$1048576,Manpower!$B$4:$B$1048576,"")</f>
        <v>Rabwu Ahamal AL Khaleej Trad</v>
      </c>
      <c r="E762" s="21" t="s">
        <v>131</v>
      </c>
      <c r="F762" s="12">
        <f>_xlfn.XLOOKUP(Table134526_79101120212223242526[[#This Row],[Name Surname]],Manpower!C:C,Manpower!D:D,)</f>
        <v>131431131</v>
      </c>
      <c r="G762" s="28" t="str">
        <f>_xlfn.XLOOKUP(Table134526_79101120212223242526[[#This Row],[Name Surname]],Manpower!$C$4:$C$1048576,Manpower!$F$4:$F$1048576,"")</f>
        <v>RIgger</v>
      </c>
      <c r="H762" s="28" t="str">
        <f>_xlfn.XLOOKUP(Table134526_79101120212223242526[[#This Row],[Name Surname]],Manpower!$C$4:$C$1048576,Manpower!$H$4:$H$1048576,"")</f>
        <v>Sub Contactor</v>
      </c>
      <c r="I762" s="24" t="str">
        <f>_xlfn.XLOOKUP(Table134526_79101120212223242526[[#This Row],[Name Surname]],Manpower!$C$4:$C$1048576,Manpower!$H$4:$H$1048576,"")</f>
        <v>Sub Contactor</v>
      </c>
      <c r="J762" s="21" t="s">
        <v>35</v>
      </c>
      <c r="K762" s="21" t="s">
        <v>104</v>
      </c>
      <c r="L762" s="21" t="s">
        <v>82</v>
      </c>
      <c r="M762" s="21" t="s">
        <v>55</v>
      </c>
      <c r="N762" s="29">
        <v>10</v>
      </c>
      <c r="R762" s="21" t="s">
        <v>227</v>
      </c>
    </row>
    <row r="763" spans="1:18" ht="14.4" hidden="1">
      <c r="A763" s="33">
        <f>IF(C763="","",MAX($A$1:A762)+1)</f>
        <v>734</v>
      </c>
      <c r="B763" s="26" t="s">
        <v>79</v>
      </c>
      <c r="C763" s="23">
        <v>46088</v>
      </c>
      <c r="D763" s="28" t="str">
        <f>_xlfn.XLOOKUP(Table134526_79101120212223242526[[#This Row],[Name Surname]],Manpower!$C$4:$C$1048576,Manpower!$B$4:$B$1048576,"")</f>
        <v>AL Saif &amp; Al QALLM ENT LLC</v>
      </c>
      <c r="E763" s="21" t="s">
        <v>132</v>
      </c>
      <c r="F763" s="12">
        <f>_xlfn.XLOOKUP(Table134526_79101120212223242526[[#This Row],[Name Surname]],Manpower!C:C,Manpower!D:D,)</f>
        <v>135762195</v>
      </c>
      <c r="G763" s="28" t="str">
        <f>_xlfn.XLOOKUP(Table134526_79101120212223242526[[#This Row],[Name Surname]],Manpower!$C$4:$C$1048576,Manpower!$F$4:$F$1048576,"")</f>
        <v>HSE Officer</v>
      </c>
      <c r="H763" s="28" t="str">
        <f>_xlfn.XLOOKUP(Table134526_79101120212223242526[[#This Row],[Name Surname]],Manpower!$C$4:$C$1048576,Manpower!$H$4:$H$1048576,"")</f>
        <v>Sub Contactor</v>
      </c>
      <c r="I763" s="24" t="str">
        <f>_xlfn.XLOOKUP(Table134526_79101120212223242526[[#This Row],[Name Surname]],Manpower!$C$4:$C$1048576,Manpower!$H$4:$H$1048576,"")</f>
        <v>Sub Contactor</v>
      </c>
      <c r="J763" s="21" t="s">
        <v>35</v>
      </c>
      <c r="K763" s="21" t="s">
        <v>81</v>
      </c>
      <c r="L763" s="21" t="s">
        <v>82</v>
      </c>
      <c r="M763" s="21" t="s">
        <v>55</v>
      </c>
      <c r="N763" s="29">
        <v>10</v>
      </c>
      <c r="R763" s="21" t="s">
        <v>227</v>
      </c>
    </row>
    <row r="764" spans="1:18" ht="14.4" hidden="1">
      <c r="A764" s="33">
        <f>IF(C764="","",MAX($A$1:A763)+1)</f>
        <v>735</v>
      </c>
      <c r="B764" s="26" t="s">
        <v>79</v>
      </c>
      <c r="C764" s="23">
        <v>46088</v>
      </c>
      <c r="D764" s="28" t="str">
        <f>_xlfn.XLOOKUP(Table134526_79101120212223242526[[#This Row],[Name Surname]],Manpower!$C$4:$C$1048576,Manpower!$B$4:$B$1048576,"")</f>
        <v>Encogroup</v>
      </c>
      <c r="E764" s="21" t="s">
        <v>133</v>
      </c>
      <c r="F764" s="12">
        <f>_xlfn.XLOOKUP(Table134526_79101120212223242526[[#This Row],[Name Surname]],Manpower!C:C,Manpower!D:D,)</f>
        <v>140846684</v>
      </c>
      <c r="G764" s="28" t="str">
        <f>_xlfn.XLOOKUP(Table134526_79101120212223242526[[#This Row],[Name Surname]],Manpower!$C$4:$C$1048576,Manpower!$F$4:$F$1048576,"")</f>
        <v>Assistant/Helper</v>
      </c>
      <c r="H764" s="28" t="str">
        <f>_xlfn.XLOOKUP(Table134526_79101120212223242526[[#This Row],[Name Surname]],Manpower!$C$4:$C$1048576,Manpower!$H$4:$H$1048576,"")</f>
        <v>Manpower</v>
      </c>
      <c r="I764" s="24" t="str">
        <f>_xlfn.XLOOKUP(Table134526_79101120212223242526[[#This Row],[Name Surname]],Manpower!$C$4:$C$1048576,Manpower!$H$4:$H$1048576,"")</f>
        <v>Manpower</v>
      </c>
      <c r="J764" s="21" t="s">
        <v>35</v>
      </c>
      <c r="K764" s="21" t="s">
        <v>81</v>
      </c>
      <c r="L764" s="21" t="s">
        <v>82</v>
      </c>
      <c r="M764" s="21" t="s">
        <v>55</v>
      </c>
      <c r="N764" s="29">
        <v>10</v>
      </c>
      <c r="R764" s="21" t="s">
        <v>227</v>
      </c>
    </row>
    <row r="765" spans="1:18" ht="14.4" hidden="1">
      <c r="A765" s="33">
        <f>IF(C765="","",MAX($A$1:A764)+1)</f>
        <v>736</v>
      </c>
      <c r="B765" s="26" t="s">
        <v>79</v>
      </c>
      <c r="C765" s="23">
        <v>46088</v>
      </c>
      <c r="D765" s="28" t="str">
        <f>_xlfn.XLOOKUP(Table134526_79101120212223242526[[#This Row],[Name Surname]],Manpower!$C$4:$C$1048576,Manpower!$B$4:$B$1048576,"")</f>
        <v>Encogroup</v>
      </c>
      <c r="E765" s="21" t="s">
        <v>136</v>
      </c>
      <c r="F765" s="12">
        <f>_xlfn.XLOOKUP(Table134526_79101120212223242526[[#This Row],[Name Surname]],Manpower!C:C,Manpower!D:D,)</f>
        <v>141250908</v>
      </c>
      <c r="G765" s="28" t="str">
        <f>_xlfn.XLOOKUP(Table134526_79101120212223242526[[#This Row],[Name Surname]],Manpower!$C$4:$C$1048576,Manpower!$F$4:$F$1048576,"")</f>
        <v>Mechanical Engineer</v>
      </c>
      <c r="H765" s="28" t="str">
        <f>_xlfn.XLOOKUP(Table134526_79101120212223242526[[#This Row],[Name Surname]],Manpower!$C$4:$C$1048576,Manpower!$H$4:$H$1048576,"")</f>
        <v>Manpower</v>
      </c>
      <c r="I765" s="24" t="str">
        <f>_xlfn.XLOOKUP(Table134526_79101120212223242526[[#This Row],[Name Surname]],Manpower!$C$4:$C$1048576,Manpower!$H$4:$H$1048576,"")</f>
        <v>Manpower</v>
      </c>
      <c r="J765" s="21" t="s">
        <v>35</v>
      </c>
      <c r="K765" s="21" t="s">
        <v>81</v>
      </c>
      <c r="L765" s="21" t="s">
        <v>82</v>
      </c>
      <c r="M765" s="21" t="s">
        <v>55</v>
      </c>
      <c r="N765" s="29">
        <v>10</v>
      </c>
      <c r="R765" s="21" t="s">
        <v>227</v>
      </c>
    </row>
    <row r="766" spans="1:18" ht="14.4">
      <c r="A766" s="33">
        <f>IF(C766="","",MAX($A$1:A765)+1)</f>
        <v>737</v>
      </c>
      <c r="B766" s="26" t="s">
        <v>79</v>
      </c>
      <c r="C766" s="23">
        <v>46088</v>
      </c>
      <c r="D766" s="28" t="str">
        <f>_xlfn.XLOOKUP(Table134526_79101120212223242526[[#This Row],[Name Surname]],Manpower!$C$4:$C$1048576,Manpower!$B$4:$B$1048576,"")</f>
        <v>Encogroup</v>
      </c>
      <c r="E766" s="21" t="s">
        <v>137</v>
      </c>
      <c r="F766" s="12" t="e">
        <f>_xlfn.XLOOKUP(Table134526_79101120212223242526[[#This Row],[Name Surname]],Manpower!C:C,Manpower!D:D,)</f>
        <v>#N/A</v>
      </c>
      <c r="G766" s="28" t="str">
        <f>_xlfn.XLOOKUP(Table134526_79101120212223242526[[#This Row],[Name Surname]],Manpower!$C$4:$C$1048576,Manpower!$F$4:$F$1048576,"")</f>
        <v>55 Seat Bus</v>
      </c>
      <c r="H766" s="28" t="str">
        <f>_xlfn.XLOOKUP(Table134526_79101120212223242526[[#This Row],[Name Surname]],Manpower!$C$4:$C$1048576,Manpower!$H$4:$H$1048576,"")</f>
        <v>Equipment</v>
      </c>
      <c r="I766" s="24" t="str">
        <f>_xlfn.XLOOKUP(Table134526_79101120212223242526[[#This Row],[Name Surname]],Manpower!$C$4:$C$1048576,Manpower!$H$4:$H$1048576,"")</f>
        <v>Equipment</v>
      </c>
      <c r="J766" s="21" t="s">
        <v>35</v>
      </c>
      <c r="K766" s="21" t="s">
        <v>81</v>
      </c>
      <c r="L766" s="21" t="s">
        <v>82</v>
      </c>
      <c r="M766" s="21" t="s">
        <v>55</v>
      </c>
      <c r="N766" s="29">
        <v>10</v>
      </c>
      <c r="R766" s="21" t="s">
        <v>227</v>
      </c>
    </row>
    <row r="767" spans="1:18" ht="14.4">
      <c r="A767" s="33">
        <f>IF(C767="","",MAX($A$1:A765)+1)</f>
        <v>737</v>
      </c>
      <c r="B767" s="26" t="s">
        <v>79</v>
      </c>
      <c r="C767" s="23">
        <v>46088</v>
      </c>
      <c r="D767" s="28" t="str">
        <f>_xlfn.XLOOKUP(Table134526_79101120212223242526[[#This Row],[Name Surname]],Manpower!$C$4:$C$1048576,Manpower!$B$4:$B$1048576,"")</f>
        <v>Encogroup</v>
      </c>
      <c r="E767" s="23" t="s">
        <v>139</v>
      </c>
      <c r="F767" s="12" t="e">
        <f>_xlfn.XLOOKUP(Table134526_79101120212223242526[[#This Row],[Name Surname]],Manpower!C:C,Manpower!D:D,)</f>
        <v>#N/A</v>
      </c>
      <c r="G767" s="28" t="str">
        <f>_xlfn.XLOOKUP(Table134526_79101120212223242526[[#This Row],[Name Surname]],Manpower!$C$4:$C$1048576,Manpower!$F$4:$F$1048576,"")</f>
        <v>TOWER LIGHT</v>
      </c>
      <c r="H767" s="28" t="str">
        <f>_xlfn.XLOOKUP(Table134526_79101120212223242526[[#This Row],[Name Surname]],Manpower!$C$4:$C$1048576,Manpower!$H$4:$H$1048576,"")</f>
        <v>Equipment</v>
      </c>
      <c r="I767" s="24" t="str">
        <f>_xlfn.XLOOKUP(Table134526_79101120212223242526[[#This Row],[Name Surname]],Manpower!$C$4:$C$1048576,Manpower!$H$4:$H$1048576,"")</f>
        <v>Equipment</v>
      </c>
      <c r="J767" s="21" t="s">
        <v>35</v>
      </c>
      <c r="K767" s="21" t="s">
        <v>81</v>
      </c>
      <c r="L767" s="21" t="s">
        <v>82</v>
      </c>
      <c r="M767" s="21" t="s">
        <v>55</v>
      </c>
      <c r="N767" s="29">
        <v>10</v>
      </c>
      <c r="R767" s="21" t="s">
        <v>227</v>
      </c>
    </row>
    <row r="768" spans="1:18" ht="14.4">
      <c r="A768" s="33">
        <f>IF(C768="","",MAX($A$1:A767)+1)</f>
        <v>738</v>
      </c>
      <c r="B768" s="27" t="s">
        <v>141</v>
      </c>
      <c r="C768" s="23">
        <v>46088</v>
      </c>
      <c r="D768" s="28" t="str">
        <f>_xlfn.XLOOKUP(Table134526_79101120212223242526[[#This Row],[Name Surname]],Manpower!$C$4:$C$1048576,Manpower!$B$4:$B$1048576,"")</f>
        <v>Encogroup</v>
      </c>
      <c r="E768" s="21" t="s">
        <v>142</v>
      </c>
      <c r="F768" s="12" t="e">
        <f>_xlfn.XLOOKUP(Table134526_79101120212223242526[[#This Row],[Name Surname]],Manpower!C:C,Manpower!D:D,)</f>
        <v>#N/A</v>
      </c>
      <c r="G768" s="28" t="str">
        <f>_xlfn.XLOOKUP(Table134526_79101120212223242526[[#This Row],[Name Surname]],Manpower!$C$4:$C$1048576,Manpower!$F$4:$F$1048576,"")</f>
        <v>13 Seat Bus</v>
      </c>
      <c r="H768" s="28" t="str">
        <f>_xlfn.XLOOKUP(Table134526_79101120212223242526[[#This Row],[Name Surname]],Manpower!$C$4:$C$1048576,Manpower!$H$4:$H$1048576,"")</f>
        <v>Equipment</v>
      </c>
      <c r="I768" s="24" t="str">
        <f>_xlfn.XLOOKUP(Table134526_79101120212223242526[[#This Row],[Name Surname]],Manpower!$C$4:$C$1048576,Manpower!$H$4:$H$1048576,"")</f>
        <v>Equipment</v>
      </c>
      <c r="J768" s="21" t="s">
        <v>143</v>
      </c>
      <c r="K768" s="21" t="s">
        <v>26</v>
      </c>
      <c r="L768" s="21" t="s">
        <v>144</v>
      </c>
      <c r="M768" s="21" t="s">
        <v>55</v>
      </c>
      <c r="N768" s="29">
        <v>10</v>
      </c>
      <c r="R768" s="21" t="s">
        <v>227</v>
      </c>
    </row>
    <row r="769" spans="1:18" ht="14.4">
      <c r="A769" s="33">
        <f>IF(C769="","",MAX($A$1:A768)+1)</f>
        <v>739</v>
      </c>
      <c r="B769" s="27" t="s">
        <v>141</v>
      </c>
      <c r="C769" s="23">
        <v>46088</v>
      </c>
      <c r="D769" s="28" t="str">
        <f>_xlfn.XLOOKUP(Table134526_79101120212223242526[[#This Row],[Name Surname]],Manpower!$C$4:$C$1048576,Manpower!$B$4:$B$1048576,"")</f>
        <v>Encogroup</v>
      </c>
      <c r="E769" s="21" t="s">
        <v>145</v>
      </c>
      <c r="F769" s="12" t="e">
        <f>_xlfn.XLOOKUP(Table134526_79101120212223242526[[#This Row],[Name Surname]],Manpower!C:C,Manpower!D:D,)</f>
        <v>#N/A</v>
      </c>
      <c r="G769" s="28" t="str">
        <f>_xlfn.XLOOKUP(Table134526_79101120212223242526[[#This Row],[Name Surname]],Manpower!$C$4:$C$1048576,Manpower!$F$4:$F$1048576,"")</f>
        <v>15 Seat Bus</v>
      </c>
      <c r="H769" s="28" t="str">
        <f>_xlfn.XLOOKUP(Table134526_79101120212223242526[[#This Row],[Name Surname]],Manpower!$C$4:$C$1048576,Manpower!$H$4:$H$1048576,"")</f>
        <v>Equipment</v>
      </c>
      <c r="I769" s="24" t="str">
        <f>_xlfn.XLOOKUP(Table134526_79101120212223242526[[#This Row],[Name Surname]],Manpower!$C$4:$C$1048576,Manpower!$H$4:$H$1048576,"")</f>
        <v>Equipment</v>
      </c>
      <c r="J769" s="21" t="s">
        <v>143</v>
      </c>
      <c r="K769" s="21" t="s">
        <v>26</v>
      </c>
      <c r="L769" s="21" t="s">
        <v>144</v>
      </c>
      <c r="M769" s="21" t="s">
        <v>55</v>
      </c>
      <c r="N769" s="29">
        <v>10</v>
      </c>
      <c r="R769" s="21" t="s">
        <v>227</v>
      </c>
    </row>
    <row r="770" spans="1:18" ht="14.4">
      <c r="A770" s="33">
        <f>IF(C770="","",MAX($A$1:A768)+1)</f>
        <v>739</v>
      </c>
      <c r="B770" s="27" t="s">
        <v>141</v>
      </c>
      <c r="C770" s="23">
        <v>46088</v>
      </c>
      <c r="D770" s="28" t="str">
        <f>_xlfn.XLOOKUP(Table134526_79101120212223242526[[#This Row],[Name Surname]],Manpower!$C$4:$C$1048576,Manpower!$B$4:$B$1048576,"")</f>
        <v>Nass Group</v>
      </c>
      <c r="E770" s="21" t="s">
        <v>146</v>
      </c>
      <c r="F770" s="12" t="e">
        <f>_xlfn.XLOOKUP(Table134526_79101120212223242526[[#This Row],[Name Surname]],Manpower!C:C,Manpower!D:D,)</f>
        <v>#N/A</v>
      </c>
      <c r="G770" s="28" t="str">
        <f>_xlfn.XLOOKUP(Table134526_79101120212223242526[[#This Row],[Name Surname]],Manpower!$C$4:$C$1048576,Manpower!$F$4:$F$1048576,"")</f>
        <v>130T Crawler Crane</v>
      </c>
      <c r="H770" s="28" t="str">
        <f>_xlfn.XLOOKUP(Table134526_79101120212223242526[[#This Row],[Name Surname]],Manpower!$C$4:$C$1048576,Manpower!$H$4:$H$1048576,"")</f>
        <v>Equipment</v>
      </c>
      <c r="I770" s="24" t="str">
        <f>_xlfn.XLOOKUP(Table134526_79101120212223242526[[#This Row],[Name Surname]],Manpower!$C$4:$C$1048576,Manpower!$H$4:$H$1048576,"")</f>
        <v>Equipment</v>
      </c>
      <c r="J770" s="21" t="s">
        <v>143</v>
      </c>
      <c r="K770" s="21" t="s">
        <v>26</v>
      </c>
      <c r="L770" s="21" t="s">
        <v>144</v>
      </c>
      <c r="M770" s="21" t="s">
        <v>55</v>
      </c>
      <c r="N770" s="29">
        <v>10</v>
      </c>
      <c r="R770" s="21" t="s">
        <v>227</v>
      </c>
    </row>
    <row r="771" spans="1:18" ht="14.4">
      <c r="A771" s="33">
        <f>IF(C771="","",MAX($A$1:A770)+1)</f>
        <v>740</v>
      </c>
      <c r="B771" s="27" t="s">
        <v>141</v>
      </c>
      <c r="C771" s="23">
        <v>46088</v>
      </c>
      <c r="D771" s="28" t="str">
        <f>_xlfn.XLOOKUP(Table134526_79101120212223242526[[#This Row],[Name Surname]],Manpower!$C$4:$C$1048576,Manpower!$B$4:$B$1048576,"")</f>
        <v>Nass Group</v>
      </c>
      <c r="E771" s="21" t="s">
        <v>148</v>
      </c>
      <c r="F771" s="12" t="e">
        <f>_xlfn.XLOOKUP(Table134526_79101120212223242526[[#This Row],[Name Surname]],Manpower!C:C,Manpower!D:D,)</f>
        <v>#N/A</v>
      </c>
      <c r="G771" s="28" t="str">
        <f>_xlfn.XLOOKUP(Table134526_79101120212223242526[[#This Row],[Name Surname]],Manpower!$C$4:$C$1048576,Manpower!$F$4:$F$1048576,"")</f>
        <v>70T-Telescopic crane</v>
      </c>
      <c r="H771" s="28" t="str">
        <f>_xlfn.XLOOKUP(Table134526_79101120212223242526[[#This Row],[Name Surname]],Manpower!$C$4:$C$1048576,Manpower!$H$4:$H$1048576,"")</f>
        <v>Equipment</v>
      </c>
      <c r="I771" s="24" t="str">
        <f>_xlfn.XLOOKUP(Table134526_79101120212223242526[[#This Row],[Name Surname]],Manpower!$C$4:$C$1048576,Manpower!$H$4:$H$1048576,"")</f>
        <v>Equipment</v>
      </c>
      <c r="J771" s="21" t="s">
        <v>143</v>
      </c>
      <c r="K771" s="21" t="s">
        <v>26</v>
      </c>
      <c r="L771" s="21" t="s">
        <v>144</v>
      </c>
      <c r="M771" s="21" t="s">
        <v>55</v>
      </c>
      <c r="N771" s="29">
        <v>10</v>
      </c>
      <c r="R771" s="21" t="s">
        <v>227</v>
      </c>
    </row>
    <row r="772" spans="1:18" ht="14.4">
      <c r="A772" s="33">
        <f>IF(C772="","",MAX($A$1:A771)+1)</f>
        <v>741</v>
      </c>
      <c r="B772" s="27" t="s">
        <v>141</v>
      </c>
      <c r="C772" s="23">
        <v>46088</v>
      </c>
      <c r="D772" s="28" t="str">
        <f>_xlfn.XLOOKUP(Table134526_79101120212223242526[[#This Row],[Name Surname]],Manpower!$C$4:$C$1048576,Manpower!$B$4:$B$1048576,"")</f>
        <v>Encogroup</v>
      </c>
      <c r="E772" s="21" t="s">
        <v>150</v>
      </c>
      <c r="F772" s="12" t="e">
        <f>_xlfn.XLOOKUP(Table134526_79101120212223242526[[#This Row],[Name Surname]],Manpower!C:C,Manpower!D:D,)</f>
        <v>#N/A</v>
      </c>
      <c r="G772" s="28" t="str">
        <f>_xlfn.XLOOKUP(Table134526_79101120212223242526[[#This Row],[Name Surname]],Manpower!$C$4:$C$1048576,Manpower!$F$4:$F$1048576,"")</f>
        <v>14T Fork lift</v>
      </c>
      <c r="H772" s="28" t="str">
        <f>_xlfn.XLOOKUP(Table134526_79101120212223242526[[#This Row],[Name Surname]],Manpower!$C$4:$C$1048576,Manpower!$H$4:$H$1048576,"")</f>
        <v>Equipment</v>
      </c>
      <c r="I772" s="24" t="str">
        <f>_xlfn.XLOOKUP(Table134526_79101120212223242526[[#This Row],[Name Surname]],Manpower!$C$4:$C$1048576,Manpower!$H$4:$H$1048576,"")</f>
        <v>Equipment</v>
      </c>
      <c r="J772" s="21" t="s">
        <v>143</v>
      </c>
      <c r="K772" s="21" t="s">
        <v>26</v>
      </c>
      <c r="L772" s="21" t="s">
        <v>144</v>
      </c>
      <c r="M772" s="21" t="s">
        <v>55</v>
      </c>
      <c r="N772" s="29">
        <v>10</v>
      </c>
      <c r="R772" s="21" t="s">
        <v>227</v>
      </c>
    </row>
    <row r="773" spans="1:18" ht="14.4">
      <c r="A773" s="33">
        <f>IF(C773="","",MAX($A$1:A772)+1)</f>
        <v>742</v>
      </c>
      <c r="B773" s="27" t="s">
        <v>141</v>
      </c>
      <c r="C773" s="23">
        <v>46088</v>
      </c>
      <c r="D773" s="28" t="str">
        <f>_xlfn.XLOOKUP(Table134526_79101120212223242526[[#This Row],[Name Surname]],Manpower!$C$4:$C$1048576,Manpower!$B$4:$B$1048576,"")</f>
        <v>Al Jaber Heavy Lift</v>
      </c>
      <c r="E773" s="21" t="s">
        <v>151</v>
      </c>
      <c r="F773" s="12" t="e">
        <f>_xlfn.XLOOKUP(Table134526_79101120212223242526[[#This Row],[Name Surname]],Manpower!C:C,Manpower!D:D,)</f>
        <v>#N/A</v>
      </c>
      <c r="G773" s="28" t="str">
        <f>_xlfn.XLOOKUP(Table134526_79101120212223242526[[#This Row],[Name Surname]],Manpower!$C$4:$C$1048576,Manpower!$F$4:$F$1048576,"")</f>
        <v>150T-Crawler Crane</v>
      </c>
      <c r="H773" s="28" t="str">
        <f>_xlfn.XLOOKUP(Table134526_79101120212223242526[[#This Row],[Name Surname]],Manpower!$C$4:$C$1048576,Manpower!$H$4:$H$1048576,"")</f>
        <v>Equipment</v>
      </c>
      <c r="I773" s="24" t="str">
        <f>_xlfn.XLOOKUP(Table134526_79101120212223242526[[#This Row],[Name Surname]],Manpower!$C$4:$C$1048576,Manpower!$H$4:$H$1048576,"")</f>
        <v>Equipment</v>
      </c>
      <c r="J773" s="21" t="s">
        <v>143</v>
      </c>
      <c r="K773" s="21" t="s">
        <v>26</v>
      </c>
      <c r="L773" s="21" t="s">
        <v>144</v>
      </c>
      <c r="M773" s="21" t="s">
        <v>55</v>
      </c>
      <c r="N773" s="29">
        <v>10</v>
      </c>
      <c r="R773" s="21" t="s">
        <v>227</v>
      </c>
    </row>
    <row r="774" spans="1:18" ht="14.4">
      <c r="A774" s="33">
        <f>IF(C774="","",MAX($A$1:A773)+1)</f>
        <v>743</v>
      </c>
      <c r="B774" s="27" t="s">
        <v>141</v>
      </c>
      <c r="C774" s="23">
        <v>46088</v>
      </c>
      <c r="D774" s="28" t="str">
        <f>_xlfn.XLOOKUP(Table134526_79101120212223242526[[#This Row],[Name Surname]],Manpower!$C$4:$C$1048576,Manpower!$B$4:$B$1048576,"")</f>
        <v>Encogroup</v>
      </c>
      <c r="E774" s="21" t="s">
        <v>153</v>
      </c>
      <c r="F774" s="12" t="e">
        <f>_xlfn.XLOOKUP(Table134526_79101120212223242526[[#This Row],[Name Surname]],Manpower!C:C,Manpower!D:D,)</f>
        <v>#N/A</v>
      </c>
      <c r="G774" s="28" t="str">
        <f>_xlfn.XLOOKUP(Table134526_79101120212223242526[[#This Row],[Name Surname]],Manpower!$C$4:$C$1048576,Manpower!$F$4:$F$1048576,"")</f>
        <v>22 Seat Bus</v>
      </c>
      <c r="H774" s="28" t="str">
        <f>_xlfn.XLOOKUP(Table134526_79101120212223242526[[#This Row],[Name Surname]],Manpower!$C$4:$C$1048576,Manpower!$H$4:$H$1048576,"")</f>
        <v>Equipment</v>
      </c>
      <c r="I774" s="24" t="str">
        <f>_xlfn.XLOOKUP(Table134526_79101120212223242526[[#This Row],[Name Surname]],Manpower!$C$4:$C$1048576,Manpower!$H$4:$H$1048576,"")</f>
        <v>Equipment</v>
      </c>
      <c r="J774" s="21" t="s">
        <v>143</v>
      </c>
      <c r="K774" s="21" t="s">
        <v>26</v>
      </c>
      <c r="L774" s="21" t="s">
        <v>144</v>
      </c>
      <c r="M774" s="21" t="s">
        <v>55</v>
      </c>
      <c r="N774" s="29">
        <v>10</v>
      </c>
      <c r="R774" s="21" t="s">
        <v>227</v>
      </c>
    </row>
    <row r="775" spans="1:18" ht="14.4">
      <c r="A775" s="33">
        <f>IF(C775="","",MAX($A$1:A774)+1)</f>
        <v>744</v>
      </c>
      <c r="B775" s="27" t="s">
        <v>141</v>
      </c>
      <c r="C775" s="23">
        <v>46088</v>
      </c>
      <c r="D775" s="28" t="str">
        <f>_xlfn.XLOOKUP(Table134526_79101120212223242526[[#This Row],[Name Surname]],Manpower!$C$4:$C$1048576,Manpower!$B$4:$B$1048576,"")</f>
        <v>Encogroup</v>
      </c>
      <c r="E775" s="21" t="s">
        <v>154</v>
      </c>
      <c r="F775" s="12" t="e">
        <f>_xlfn.XLOOKUP(Table134526_79101120212223242526[[#This Row],[Name Surname]],Manpower!C:C,Manpower!D:D,)</f>
        <v>#N/A</v>
      </c>
      <c r="G775" s="28" t="str">
        <f>_xlfn.XLOOKUP(Table134526_79101120212223242526[[#This Row],[Name Surname]],Manpower!$C$4:$C$1048576,Manpower!$F$4:$F$1048576,"")</f>
        <v>22 Seat Bus</v>
      </c>
      <c r="H775" s="28" t="str">
        <f>_xlfn.XLOOKUP(Table134526_79101120212223242526[[#This Row],[Name Surname]],Manpower!$C$4:$C$1048576,Manpower!$H$4:$H$1048576,"")</f>
        <v>Equipment</v>
      </c>
      <c r="I775" s="24" t="str">
        <f>_xlfn.XLOOKUP(Table134526_79101120212223242526[[#This Row],[Name Surname]],Manpower!$C$4:$C$1048576,Manpower!$H$4:$H$1048576,"")</f>
        <v>Equipment</v>
      </c>
      <c r="J775" s="21" t="s">
        <v>143</v>
      </c>
      <c r="K775" s="21" t="s">
        <v>26</v>
      </c>
      <c r="L775" s="21" t="s">
        <v>144</v>
      </c>
      <c r="M775" s="21" t="s">
        <v>55</v>
      </c>
      <c r="N775" s="29">
        <v>10</v>
      </c>
      <c r="R775" s="21" t="s">
        <v>227</v>
      </c>
    </row>
    <row r="776" spans="1:18" ht="14.4">
      <c r="A776" s="33">
        <f>IF(C776="","",MAX($A$1:A775)+1)</f>
        <v>745</v>
      </c>
      <c r="B776" s="27" t="s">
        <v>141</v>
      </c>
      <c r="C776" s="23">
        <v>46088</v>
      </c>
      <c r="D776" s="28" t="str">
        <f>_xlfn.XLOOKUP(Table134526_79101120212223242526[[#This Row],[Name Surname]],Manpower!$C$4:$C$1048576,Manpower!$B$4:$B$1048576,"")</f>
        <v>Encogroup</v>
      </c>
      <c r="E776" s="21" t="s">
        <v>155</v>
      </c>
      <c r="F776" s="12" t="e">
        <f>_xlfn.XLOOKUP(Table134526_79101120212223242526[[#This Row],[Name Surname]],Manpower!C:C,Manpower!D:D,)</f>
        <v>#N/A</v>
      </c>
      <c r="G776" s="28" t="str">
        <f>_xlfn.XLOOKUP(Table134526_79101120212223242526[[#This Row],[Name Surname]],Manpower!$C$4:$C$1048576,Manpower!$F$4:$F$1048576,"")</f>
        <v>300 KVA Generator</v>
      </c>
      <c r="H776" s="28" t="str">
        <f>_xlfn.XLOOKUP(Table134526_79101120212223242526[[#This Row],[Name Surname]],Manpower!$C$4:$C$1048576,Manpower!$H$4:$H$1048576,"")</f>
        <v>Equipment</v>
      </c>
      <c r="I776" s="24" t="str">
        <f>_xlfn.XLOOKUP(Table134526_79101120212223242526[[#This Row],[Name Surname]],Manpower!$C$4:$C$1048576,Manpower!$H$4:$H$1048576,"")</f>
        <v>Equipment</v>
      </c>
      <c r="J776" s="21" t="s">
        <v>143</v>
      </c>
      <c r="K776" s="21" t="s">
        <v>26</v>
      </c>
      <c r="L776" s="21" t="s">
        <v>144</v>
      </c>
      <c r="M776" s="21" t="s">
        <v>24</v>
      </c>
      <c r="N776" s="29">
        <v>10</v>
      </c>
      <c r="R776" s="21" t="s">
        <v>227</v>
      </c>
    </row>
    <row r="777" spans="1:18" ht="14.4">
      <c r="A777" s="33">
        <f>IF(C777="","",MAX($A$1:A776)+1)</f>
        <v>746</v>
      </c>
      <c r="B777" s="27" t="s">
        <v>141</v>
      </c>
      <c r="C777" s="23">
        <v>46088</v>
      </c>
      <c r="D777" s="28" t="str">
        <f>_xlfn.XLOOKUP(Table134526_79101120212223242526[[#This Row],[Name Surname]],Manpower!$C$4:$C$1048576,Manpower!$B$4:$B$1048576,"")</f>
        <v>Encogroup</v>
      </c>
      <c r="E777" s="23" t="s">
        <v>156</v>
      </c>
      <c r="F777" s="12" t="e">
        <f>_xlfn.XLOOKUP(Table134526_79101120212223242526[[#This Row],[Name Surname]],Manpower!C:C,Manpower!D:D,)</f>
        <v>#N/A</v>
      </c>
      <c r="G777" s="28" t="str">
        <f>_xlfn.XLOOKUP(Table134526_79101120212223242526[[#This Row],[Name Surname]],Manpower!$C$4:$C$1048576,Manpower!$F$4:$F$1048576,"")</f>
        <v>35 KVA Generator</v>
      </c>
      <c r="H777" s="28" t="str">
        <f>_xlfn.XLOOKUP(Table134526_79101120212223242526[[#This Row],[Name Surname]],Manpower!$C$4:$C$1048576,Manpower!$H$4:$H$1048576,"")</f>
        <v>Equipment</v>
      </c>
      <c r="I777" s="24" t="str">
        <f>_xlfn.XLOOKUP(Table134526_79101120212223242526[[#This Row],[Name Surname]],Manpower!$C$4:$C$1048576,Manpower!$H$4:$H$1048576,"")</f>
        <v>Equipment</v>
      </c>
      <c r="J777" s="21" t="s">
        <v>143</v>
      </c>
      <c r="K777" s="21" t="s">
        <v>26</v>
      </c>
      <c r="L777" s="21" t="s">
        <v>144</v>
      </c>
      <c r="M777" s="21" t="s">
        <v>55</v>
      </c>
      <c r="N777" s="29">
        <v>10</v>
      </c>
      <c r="R777" s="21" t="s">
        <v>227</v>
      </c>
    </row>
    <row r="778" spans="1:18" ht="14.4" hidden="1">
      <c r="A778" s="33">
        <f>IF(C778="","",MAX($A$1:A777)+1)</f>
        <v>747</v>
      </c>
      <c r="B778" s="27" t="s">
        <v>141</v>
      </c>
      <c r="C778" s="23">
        <v>46088</v>
      </c>
      <c r="D778" s="28" t="str">
        <f>_xlfn.XLOOKUP(Table134526_79101120212223242526[[#This Row],[Name Surname]],Manpower!$C$4:$C$1048576,Manpower!$B$4:$B$1048576,"")</f>
        <v>Encogroup</v>
      </c>
      <c r="E778" s="21" t="s">
        <v>157</v>
      </c>
      <c r="F778" s="12">
        <f>_xlfn.XLOOKUP(Table134526_79101120212223242526[[#This Row],[Name Surname]],Manpower!C:C,Manpower!D:D,)</f>
        <v>140742144</v>
      </c>
      <c r="G778" s="28" t="str">
        <f>_xlfn.XLOOKUP(Table134526_79101120212223242526[[#This Row],[Name Surname]],Manpower!$C$4:$C$1048576,Manpower!$F$4:$F$1048576,"")</f>
        <v>Assistant/Helper</v>
      </c>
      <c r="H778" s="28" t="str">
        <f>_xlfn.XLOOKUP(Table134526_79101120212223242526[[#This Row],[Name Surname]],Manpower!$C$4:$C$1048576,Manpower!$H$4:$H$1048576,"")</f>
        <v>Manpower</v>
      </c>
      <c r="I778" s="24" t="str">
        <f>_xlfn.XLOOKUP(Table134526_79101120212223242526[[#This Row],[Name Surname]],Manpower!$C$4:$C$1048576,Manpower!$H$4:$H$1048576,"")</f>
        <v>Manpower</v>
      </c>
      <c r="J778" s="21" t="s">
        <v>158</v>
      </c>
      <c r="K778" s="21" t="s">
        <v>26</v>
      </c>
      <c r="L778" s="21" t="s">
        <v>26</v>
      </c>
      <c r="M778" s="21" t="s">
        <v>55</v>
      </c>
      <c r="N778" s="29">
        <v>10</v>
      </c>
      <c r="R778" s="21" t="s">
        <v>227</v>
      </c>
    </row>
    <row r="779" spans="1:18" ht="14.4" hidden="1">
      <c r="A779" s="33">
        <f>IF(C779="","",MAX($A$1:A778)+1)</f>
        <v>748</v>
      </c>
      <c r="B779" s="27" t="s">
        <v>141</v>
      </c>
      <c r="C779" s="23">
        <v>46088</v>
      </c>
      <c r="D779" s="28" t="str">
        <f>_xlfn.XLOOKUP(Table134526_79101120212223242526[[#This Row],[Name Surname]],Manpower!$C$4:$C$1048576,Manpower!$B$4:$B$1048576,"")</f>
        <v>SARENS NASS</v>
      </c>
      <c r="E779" s="21" t="s">
        <v>162</v>
      </c>
      <c r="F779" s="12">
        <f>_xlfn.XLOOKUP(Table134526_79101120212223242526[[#This Row],[Name Surname]],Manpower!C:C,Manpower!D:D,)</f>
        <v>78753612</v>
      </c>
      <c r="G779" s="28" t="str">
        <f>_xlfn.XLOOKUP(Table134526_79101120212223242526[[#This Row],[Name Surname]],Manpower!$C$4:$C$1048576,Manpower!$F$4:$F$1048576,"")</f>
        <v>Crane Operator- 70T Liebherr Telescopic Crane-02</v>
      </c>
      <c r="H779" s="28" t="s">
        <v>39</v>
      </c>
      <c r="I779" s="24" t="s">
        <v>39</v>
      </c>
      <c r="J779" s="21" t="s">
        <v>143</v>
      </c>
      <c r="K779" s="21" t="s">
        <v>26</v>
      </c>
      <c r="L779" s="21" t="s">
        <v>144</v>
      </c>
      <c r="M779" s="21" t="s">
        <v>55</v>
      </c>
      <c r="N779" s="29">
        <v>10</v>
      </c>
      <c r="R779" s="21" t="s">
        <v>227</v>
      </c>
    </row>
    <row r="780" spans="1:18" ht="14.4" hidden="1">
      <c r="A780" s="33">
        <f>IF(C780="","",MAX($A$1:A779)+1)</f>
        <v>749</v>
      </c>
      <c r="B780" s="27" t="s">
        <v>141</v>
      </c>
      <c r="C780" s="23">
        <v>46088</v>
      </c>
      <c r="D780" s="28" t="str">
        <f>_xlfn.XLOOKUP(Table134526_79101120212223242526[[#This Row],[Name Surname]],Manpower!$C$4:$C$1048576,Manpower!$B$4:$B$1048576,"")</f>
        <v>Al Jaber Heavy Lift</v>
      </c>
      <c r="E780" s="21" t="s">
        <v>164</v>
      </c>
      <c r="F780" s="12">
        <f>_xlfn.XLOOKUP(Table134526_79101120212223242526[[#This Row],[Name Surname]],Manpower!C:C,Manpower!D:D,)</f>
        <v>112778626</v>
      </c>
      <c r="G780" s="28" t="str">
        <f>_xlfn.XLOOKUP(Table134526_79101120212223242526[[#This Row],[Name Surname]],Manpower!$C$4:$C$1048576,Manpower!$F$4:$F$1048576,"")</f>
        <v>Crane Operator-150T Hitachi Crawler</v>
      </c>
      <c r="H780" s="28" t="s">
        <v>39</v>
      </c>
      <c r="I780" s="24" t="s">
        <v>39</v>
      </c>
      <c r="J780" s="21" t="s">
        <v>143</v>
      </c>
      <c r="K780" s="21" t="s">
        <v>26</v>
      </c>
      <c r="L780" s="21" t="s">
        <v>144</v>
      </c>
      <c r="M780" s="21" t="s">
        <v>55</v>
      </c>
      <c r="N780" s="29">
        <v>10</v>
      </c>
      <c r="R780" s="21" t="s">
        <v>227</v>
      </c>
    </row>
    <row r="781" spans="1:18" ht="14.4" hidden="1">
      <c r="A781" s="33">
        <f>IF(C781="","",MAX($A$1:A780)+1)</f>
        <v>750</v>
      </c>
      <c r="B781" s="27" t="s">
        <v>141</v>
      </c>
      <c r="C781" s="23">
        <v>46088</v>
      </c>
      <c r="D781" s="28" t="str">
        <f>_xlfn.XLOOKUP(Table134526_79101120212223242526[[#This Row],[Name Surname]],Manpower!$C$4:$C$1048576,Manpower!$B$4:$B$1048576,"")</f>
        <v>Encogroup</v>
      </c>
      <c r="E781" s="21" t="s">
        <v>166</v>
      </c>
      <c r="F781" s="12" t="str">
        <f>_xlfn.XLOOKUP(Table134526_79101120212223242526[[#This Row],[Name Surname]],Manpower!C:C,Manpower!D:D,)</f>
        <v>U4181508</v>
      </c>
      <c r="G781" s="28" t="str">
        <f>_xlfn.XLOOKUP(Table134526_79101120212223242526[[#This Row],[Name Surname]],Manpower!$C$4:$C$1048576,Manpower!$F$4:$F$1048576,"")</f>
        <v>Welder</v>
      </c>
      <c r="H781" s="28" t="str">
        <f>_xlfn.XLOOKUP(Table134526_79101120212223242526[[#This Row],[Name Surname]],Manpower!$C$4:$C$1048576,Manpower!$H$4:$H$1048576,"")</f>
        <v>Manpower</v>
      </c>
      <c r="I781" s="24" t="str">
        <f>_xlfn.XLOOKUP(Table134526_79101120212223242526[[#This Row],[Name Surname]],Manpower!$C$4:$C$1048576,Manpower!$H$4:$H$1048576,"")</f>
        <v>Manpower</v>
      </c>
      <c r="J781" s="21" t="s">
        <v>143</v>
      </c>
      <c r="K781" s="21" t="s">
        <v>26</v>
      </c>
      <c r="L781" s="21" t="s">
        <v>144</v>
      </c>
      <c r="M781" s="21" t="s">
        <v>55</v>
      </c>
      <c r="N781" s="29">
        <v>10</v>
      </c>
      <c r="R781" s="21" t="s">
        <v>227</v>
      </c>
    </row>
    <row r="782" spans="1:18" ht="14.4" hidden="1">
      <c r="A782" s="33">
        <f>IF(C782="","",MAX($A$1:A781)+1)</f>
        <v>751</v>
      </c>
      <c r="B782" s="27" t="s">
        <v>141</v>
      </c>
      <c r="C782" s="23">
        <v>46088</v>
      </c>
      <c r="D782" s="28" t="str">
        <f>_xlfn.XLOOKUP(Table134526_79101120212223242526[[#This Row],[Name Surname]],Manpower!$C$4:$C$1048576,Manpower!$B$4:$B$1048576,"")</f>
        <v>Encogroup</v>
      </c>
      <c r="E782" s="21" t="s">
        <v>167</v>
      </c>
      <c r="F782" s="12">
        <f>_xlfn.XLOOKUP(Table134526_79101120212223242526[[#This Row],[Name Surname]],Manpower!C:C,Manpower!D:D,)</f>
        <v>125440631</v>
      </c>
      <c r="G782" s="28" t="str">
        <f>_xlfn.XLOOKUP(Table134526_79101120212223242526[[#This Row],[Name Surname]],Manpower!$C$4:$C$1048576,Manpower!$F$4:$F$1048576,"")</f>
        <v>Rigger</v>
      </c>
      <c r="H782" s="28" t="str">
        <f>_xlfn.XLOOKUP(Table134526_79101120212223242526[[#This Row],[Name Surname]],Manpower!$C$4:$C$1048576,Manpower!$H$4:$H$1048576,"")</f>
        <v>Manpower</v>
      </c>
      <c r="I782" s="24" t="str">
        <f>_xlfn.XLOOKUP(Table134526_79101120212223242526[[#This Row],[Name Surname]],Manpower!$C$4:$C$1048576,Manpower!$H$4:$H$1048576,"")</f>
        <v>Manpower</v>
      </c>
      <c r="J782" s="21" t="s">
        <v>143</v>
      </c>
      <c r="K782" s="21" t="s">
        <v>26</v>
      </c>
      <c r="L782" s="21" t="s">
        <v>144</v>
      </c>
      <c r="M782" s="21" t="s">
        <v>55</v>
      </c>
      <c r="N782" s="29">
        <v>10</v>
      </c>
      <c r="R782" s="21" t="s">
        <v>227</v>
      </c>
    </row>
    <row r="783" spans="1:18" ht="14.4" hidden="1">
      <c r="A783" s="33">
        <f>IF(C783="","",MAX($A$1:A782)+1)</f>
        <v>752</v>
      </c>
      <c r="B783" s="27" t="s">
        <v>141</v>
      </c>
      <c r="C783" s="23">
        <v>46088</v>
      </c>
      <c r="D783" s="28" t="str">
        <f>_xlfn.XLOOKUP(Table134526_79101120212223242526[[#This Row],[Name Surname]],Manpower!$C$4:$C$1048576,Manpower!$B$4:$B$1048576,"")</f>
        <v>AL Omar International TRAD AND CONT</v>
      </c>
      <c r="E783" s="21" t="s">
        <v>169</v>
      </c>
      <c r="F783" s="12">
        <f>_xlfn.XLOOKUP(Table134526_79101120212223242526[[#This Row],[Name Surname]],Manpower!C:C,Manpower!D:D,)</f>
        <v>115731078</v>
      </c>
      <c r="G783" s="28" t="str">
        <f>_xlfn.XLOOKUP(Table134526_79101120212223242526[[#This Row],[Name Surname]],Manpower!$C$4:$C$1048576,Manpower!$F$4:$F$1048576,"")</f>
        <v>Scaffolder</v>
      </c>
      <c r="H783" s="28" t="str">
        <f>_xlfn.XLOOKUP(Table134526_79101120212223242526[[#This Row],[Name Surname]],Manpower!$C$4:$C$1048576,Manpower!$H$4:$H$1048576,"")</f>
        <v>Sub Contactor</v>
      </c>
      <c r="I783" s="24" t="str">
        <f>_xlfn.XLOOKUP(Table134526_79101120212223242526[[#This Row],[Name Surname]],Manpower!$C$4:$C$1048576,Manpower!$H$4:$H$1048576,"")</f>
        <v>Sub Contactor</v>
      </c>
      <c r="J783" s="21" t="s">
        <v>143</v>
      </c>
      <c r="K783" s="21" t="s">
        <v>26</v>
      </c>
      <c r="L783" s="21" t="s">
        <v>144</v>
      </c>
      <c r="M783" s="21" t="s">
        <v>55</v>
      </c>
      <c r="N783" s="29">
        <v>10</v>
      </c>
      <c r="R783" s="21" t="s">
        <v>227</v>
      </c>
    </row>
    <row r="784" spans="1:18" ht="14.4" hidden="1">
      <c r="A784" s="33">
        <f>IF(C784="","",MAX($A$1:A783)+1)</f>
        <v>753</v>
      </c>
      <c r="B784" s="27" t="s">
        <v>141</v>
      </c>
      <c r="C784" s="23">
        <v>46088</v>
      </c>
      <c r="D784" s="28" t="str">
        <f>_xlfn.XLOOKUP(Table134526_79101120212223242526[[#This Row],[Name Surname]],Manpower!$C$4:$C$1048576,Manpower!$B$4:$B$1048576,"")</f>
        <v>Encogroup</v>
      </c>
      <c r="E784" s="21" t="s">
        <v>172</v>
      </c>
      <c r="F784" s="12">
        <f>_xlfn.XLOOKUP(Table134526_79101120212223242526[[#This Row],[Name Surname]],Manpower!C:C,Manpower!D:D,)</f>
        <v>140764355</v>
      </c>
      <c r="G784" s="28" t="str">
        <f>_xlfn.XLOOKUP(Table134526_79101120212223242526[[#This Row],[Name Surname]],Manpower!$C$4:$C$1048576,Manpower!$F$4:$F$1048576,"")</f>
        <v>Fitter/Erector</v>
      </c>
      <c r="H784" s="28" t="str">
        <f>_xlfn.XLOOKUP(Table134526_79101120212223242526[[#This Row],[Name Surname]],Manpower!$C$4:$C$1048576,Manpower!$H$4:$H$1048576,"")</f>
        <v>Manpower</v>
      </c>
      <c r="I784" s="24" t="str">
        <f>_xlfn.XLOOKUP(Table134526_79101120212223242526[[#This Row],[Name Surname]],Manpower!$C$4:$C$1048576,Manpower!$H$4:$H$1048576,"")</f>
        <v>Manpower</v>
      </c>
      <c r="J784" s="21" t="s">
        <v>143</v>
      </c>
      <c r="K784" s="21" t="s">
        <v>26</v>
      </c>
      <c r="L784" s="21" t="s">
        <v>144</v>
      </c>
      <c r="M784" s="21" t="s">
        <v>55</v>
      </c>
      <c r="N784" s="29">
        <v>10</v>
      </c>
      <c r="R784" s="21" t="s">
        <v>227</v>
      </c>
    </row>
    <row r="785" spans="1:18" ht="14.4" hidden="1">
      <c r="A785" s="33">
        <f>IF(C785="","",MAX($A$1:A784)+1)</f>
        <v>754</v>
      </c>
      <c r="B785" s="27" t="s">
        <v>141</v>
      </c>
      <c r="C785" s="23">
        <v>46088</v>
      </c>
      <c r="D785" s="28" t="str">
        <f>_xlfn.XLOOKUP(Table134526_79101120212223242526[[#This Row],[Name Surname]],Manpower!$C$4:$C$1048576,Manpower!$B$4:$B$1048576,"")</f>
        <v>Encogroup</v>
      </c>
      <c r="E785" s="21" t="s">
        <v>173</v>
      </c>
      <c r="F785" s="12" t="str">
        <f>_xlfn.XLOOKUP(Table134526_79101120212223242526[[#This Row],[Name Surname]],Manpower!C:C,Manpower!D:D,)</f>
        <v>S3549132</v>
      </c>
      <c r="G785" s="28" t="str">
        <f>_xlfn.XLOOKUP(Table134526_79101120212223242526[[#This Row],[Name Surname]],Manpower!$C$4:$C$1048576,Manpower!$F$4:$F$1048576,"")</f>
        <v>Grinder</v>
      </c>
      <c r="H785" s="28" t="str">
        <f>_xlfn.XLOOKUP(Table134526_79101120212223242526[[#This Row],[Name Surname]],Manpower!$C$4:$C$1048576,Manpower!$H$4:$H$1048576,"")</f>
        <v>Manpower</v>
      </c>
      <c r="I785" s="24" t="str">
        <f>_xlfn.XLOOKUP(Table134526_79101120212223242526[[#This Row],[Name Surname]],Manpower!$C$4:$C$1048576,Manpower!$H$4:$H$1048576,"")</f>
        <v>Manpower</v>
      </c>
      <c r="J785" s="21" t="s">
        <v>143</v>
      </c>
      <c r="K785" s="21" t="s">
        <v>26</v>
      </c>
      <c r="L785" s="21" t="s">
        <v>144</v>
      </c>
      <c r="M785" s="21" t="s">
        <v>55</v>
      </c>
      <c r="N785" s="29">
        <v>10</v>
      </c>
      <c r="R785" s="21" t="s">
        <v>227</v>
      </c>
    </row>
    <row r="786" spans="1:18" ht="14.4" hidden="1">
      <c r="A786" s="33">
        <f>IF(C786="","",MAX($A$1:A785)+1)</f>
        <v>755</v>
      </c>
      <c r="B786" s="27" t="s">
        <v>141</v>
      </c>
      <c r="C786" s="23">
        <v>46088</v>
      </c>
      <c r="D786" s="28" t="str">
        <f>_xlfn.XLOOKUP(Table134526_79101120212223242526[[#This Row],[Name Surname]],Manpower!$C$4:$C$1048576,Manpower!$B$4:$B$1048576,"")</f>
        <v>Encogroup</v>
      </c>
      <c r="E786" s="21" t="s">
        <v>175</v>
      </c>
      <c r="F786" s="12">
        <f>_xlfn.XLOOKUP(Table134526_79101120212223242526[[#This Row],[Name Surname]],Manpower!C:C,Manpower!D:D,)</f>
        <v>140742125</v>
      </c>
      <c r="G786" s="28" t="str">
        <f>_xlfn.XLOOKUP(Table134526_79101120212223242526[[#This Row],[Name Surname]],Manpower!$C$4:$C$1048576,Manpower!$F$4:$F$1048576,"")</f>
        <v>Assistant/Helper</v>
      </c>
      <c r="H786" s="28" t="str">
        <f>_xlfn.XLOOKUP(Table134526_79101120212223242526[[#This Row],[Name Surname]],Manpower!$C$4:$C$1048576,Manpower!$H$4:$H$1048576,"")</f>
        <v>Manpower</v>
      </c>
      <c r="I786" s="24" t="str">
        <f>_xlfn.XLOOKUP(Table134526_79101120212223242526[[#This Row],[Name Surname]],Manpower!$C$4:$C$1048576,Manpower!$H$4:$H$1048576,"")</f>
        <v>Manpower</v>
      </c>
      <c r="J786" s="21" t="s">
        <v>158</v>
      </c>
      <c r="K786" s="21" t="s">
        <v>26</v>
      </c>
      <c r="L786" s="21" t="s">
        <v>26</v>
      </c>
      <c r="M786" s="21" t="s">
        <v>55</v>
      </c>
      <c r="N786" s="29">
        <v>10</v>
      </c>
      <c r="R786" s="21" t="s">
        <v>227</v>
      </c>
    </row>
    <row r="787" spans="1:18" ht="14.4" hidden="1">
      <c r="A787" s="33">
        <f>IF(C787="","",MAX($A$1:A786)+1)</f>
        <v>756</v>
      </c>
      <c r="B787" s="27" t="s">
        <v>141</v>
      </c>
      <c r="C787" s="23">
        <v>46088</v>
      </c>
      <c r="D787" s="28" t="str">
        <f>_xlfn.XLOOKUP(Table134526_79101120212223242526[[#This Row],[Name Surname]],Manpower!$C$4:$C$1048576,Manpower!$B$4:$B$1048576,"")</f>
        <v>Encogroup</v>
      </c>
      <c r="E787" s="21" t="s">
        <v>228</v>
      </c>
      <c r="F787" s="12">
        <f>_xlfn.XLOOKUP(Table134526_79101120212223242526[[#This Row],[Name Surname]],Manpower!C:C,Manpower!D:D,)</f>
        <v>125199963</v>
      </c>
      <c r="G787" s="28" t="str">
        <f>_xlfn.XLOOKUP(Table134526_79101120212223242526[[#This Row],[Name Surname]],Manpower!$C$4:$C$1048576,Manpower!$F$4:$F$1048576,"")</f>
        <v>Electrician</v>
      </c>
      <c r="H787" s="28" t="str">
        <f>_xlfn.XLOOKUP(Table134526_79101120212223242526[[#This Row],[Name Surname]],Manpower!$C$4:$C$1048576,Manpower!$H$4:$H$1048576,"")</f>
        <v>Manpower</v>
      </c>
      <c r="I787" s="24" t="str">
        <f>_xlfn.XLOOKUP(Table134526_79101120212223242526[[#This Row],[Name Surname]],Manpower!$C$4:$C$1048576,Manpower!$H$4:$H$1048576,"")</f>
        <v>Manpower</v>
      </c>
      <c r="J787" s="21" t="s">
        <v>158</v>
      </c>
      <c r="K787" s="21" t="s">
        <v>26</v>
      </c>
      <c r="L787" s="21" t="s">
        <v>26</v>
      </c>
      <c r="M787" s="21" t="s">
        <v>55</v>
      </c>
      <c r="N787" s="29">
        <v>10</v>
      </c>
      <c r="R787" s="21" t="s">
        <v>227</v>
      </c>
    </row>
    <row r="788" spans="1:18" ht="14.4" hidden="1">
      <c r="A788" s="33">
        <f>IF(C788="","",MAX($A$1:A787)+1)</f>
        <v>757</v>
      </c>
      <c r="B788" s="27" t="s">
        <v>141</v>
      </c>
      <c r="C788" s="23">
        <v>46088</v>
      </c>
      <c r="D788" s="28" t="str">
        <f>_xlfn.XLOOKUP(Table134526_79101120212223242526[[#This Row],[Name Surname]],Manpower!$C$4:$C$1048576,Manpower!$B$4:$B$1048576,"")</f>
        <v>Encogroup</v>
      </c>
      <c r="E788" s="21" t="s">
        <v>176</v>
      </c>
      <c r="F788" s="12">
        <f>_xlfn.XLOOKUP(Table134526_79101120212223242526[[#This Row],[Name Surname]],Manpower!C:C,Manpower!D:D,)</f>
        <v>124398279</v>
      </c>
      <c r="G788" s="28" t="str">
        <f>_xlfn.XLOOKUP(Table134526_79101120212223242526[[#This Row],[Name Surname]],Manpower!$C$4:$C$1048576,Manpower!$F$4:$F$1048576,"")</f>
        <v>Permit Receiver</v>
      </c>
      <c r="H788" s="28" t="str">
        <f>_xlfn.XLOOKUP(Table134526_79101120212223242526[[#This Row],[Name Surname]],Manpower!$C$4:$C$1048576,Manpower!$H$4:$H$1048576,"")</f>
        <v>Manpower</v>
      </c>
      <c r="I788" s="24" t="str">
        <f>_xlfn.XLOOKUP(Table134526_79101120212223242526[[#This Row],[Name Surname]],Manpower!$C$4:$C$1048576,Manpower!$H$4:$H$1048576,"")</f>
        <v>Manpower</v>
      </c>
      <c r="J788" s="21" t="s">
        <v>143</v>
      </c>
      <c r="K788" s="21" t="s">
        <v>26</v>
      </c>
      <c r="L788" s="21" t="s">
        <v>144</v>
      </c>
      <c r="M788" s="21" t="s">
        <v>55</v>
      </c>
      <c r="N788" s="29">
        <v>10</v>
      </c>
      <c r="R788" s="21" t="s">
        <v>227</v>
      </c>
    </row>
    <row r="789" spans="1:18" ht="14.4" hidden="1">
      <c r="A789" s="33">
        <f>IF(C789="","",MAX($A$1:A788)+1)</f>
        <v>758</v>
      </c>
      <c r="B789" s="27" t="s">
        <v>141</v>
      </c>
      <c r="C789" s="23">
        <v>46088</v>
      </c>
      <c r="D789" s="28" t="str">
        <f>_xlfn.XLOOKUP(Table134526_79101120212223242526[[#This Row],[Name Surname]],Manpower!$C$4:$C$1048576,Manpower!$B$4:$B$1048576,"")</f>
        <v>Encogroup</v>
      </c>
      <c r="E789" s="21" t="s">
        <v>177</v>
      </c>
      <c r="F789" s="12">
        <f>_xlfn.XLOOKUP(Table134526_79101120212223242526[[#This Row],[Name Surname]],Manpower!C:C,Manpower!D:D,)</f>
        <v>140809004</v>
      </c>
      <c r="G789" s="28" t="str">
        <f>_xlfn.XLOOKUP(Table134526_79101120212223242526[[#This Row],[Name Surname]],Manpower!$C$4:$C$1048576,Manpower!$F$4:$F$1048576,"")</f>
        <v>Fitter/Erector</v>
      </c>
      <c r="H789" s="28" t="str">
        <f>_xlfn.XLOOKUP(Table134526_79101120212223242526[[#This Row],[Name Surname]],Manpower!$C$4:$C$1048576,Manpower!$H$4:$H$1048576,"")</f>
        <v>Manpower</v>
      </c>
      <c r="I789" s="24" t="str">
        <f>_xlfn.XLOOKUP(Table134526_79101120212223242526[[#This Row],[Name Surname]],Manpower!$C$4:$C$1048576,Manpower!$H$4:$H$1048576,"")</f>
        <v>Manpower</v>
      </c>
      <c r="J789" s="21" t="s">
        <v>143</v>
      </c>
      <c r="K789" s="21" t="s">
        <v>26</v>
      </c>
      <c r="L789" s="21" t="s">
        <v>144</v>
      </c>
      <c r="M789" s="21" t="s">
        <v>55</v>
      </c>
      <c r="N789" s="29">
        <v>10</v>
      </c>
      <c r="R789" s="21" t="s">
        <v>227</v>
      </c>
    </row>
    <row r="790" spans="1:18" ht="14.4" hidden="1">
      <c r="A790" s="33">
        <f>IF(C790="","",MAX($A$1:A789)+1)</f>
        <v>759</v>
      </c>
      <c r="B790" s="27" t="s">
        <v>141</v>
      </c>
      <c r="C790" s="23">
        <v>46088</v>
      </c>
      <c r="D790" s="28" t="str">
        <f>_xlfn.XLOOKUP(Table134526_79101120212223242526[[#This Row],[Name Surname]],Manpower!$C$4:$C$1048576,Manpower!$B$4:$B$1048576,"")</f>
        <v>Encogroup</v>
      </c>
      <c r="E790" s="21" t="s">
        <v>178</v>
      </c>
      <c r="F790" s="12">
        <f>_xlfn.XLOOKUP(Table134526_79101120212223242526[[#This Row],[Name Surname]],Manpower!C:C,Manpower!D:D,)</f>
        <v>140683436</v>
      </c>
      <c r="G790" s="28" t="str">
        <f>_xlfn.XLOOKUP(Table134526_79101120212223242526[[#This Row],[Name Surname]],Manpower!$C$4:$C$1048576,Manpower!$F$4:$F$1048576,"")</f>
        <v>Scaffolder</v>
      </c>
      <c r="H790" s="28" t="str">
        <f>_xlfn.XLOOKUP(Table134526_79101120212223242526[[#This Row],[Name Surname]],Manpower!$C$4:$C$1048576,Manpower!$H$4:$H$1048576,"")</f>
        <v>Manpower</v>
      </c>
      <c r="I790" s="24" t="str">
        <f>_xlfn.XLOOKUP(Table134526_79101120212223242526[[#This Row],[Name Surname]],Manpower!$C$4:$C$1048576,Manpower!$H$4:$H$1048576,"")</f>
        <v>Manpower</v>
      </c>
      <c r="J790" s="21" t="s">
        <v>158</v>
      </c>
      <c r="K790" s="21" t="s">
        <v>26</v>
      </c>
      <c r="L790" s="21" t="s">
        <v>26</v>
      </c>
      <c r="M790" s="21" t="s">
        <v>55</v>
      </c>
      <c r="N790" s="29">
        <v>10</v>
      </c>
      <c r="R790" s="21" t="s">
        <v>227</v>
      </c>
    </row>
    <row r="791" spans="1:18" ht="14.4">
      <c r="A791" s="33">
        <f>IF(C791="","",MAX($A$1:A790)+1)</f>
        <v>760</v>
      </c>
      <c r="B791" s="27" t="s">
        <v>141</v>
      </c>
      <c r="C791" s="23">
        <v>46088</v>
      </c>
      <c r="D791" s="28" t="str">
        <f>_xlfn.XLOOKUP(Table134526_79101120212223242526[[#This Row],[Name Surname]],Manpower!$C$4:$C$1048576,Manpower!$B$4:$B$1048576,"")</f>
        <v>Encogroup</v>
      </c>
      <c r="E791" s="23" t="s">
        <v>179</v>
      </c>
      <c r="F791" s="12" t="e">
        <f>_xlfn.XLOOKUP(Table134526_79101120212223242526[[#This Row],[Name Surname]],Manpower!C:C,Manpower!D:D,)</f>
        <v>#N/A</v>
      </c>
      <c r="G791" s="28" t="str">
        <f>_xlfn.XLOOKUP(Table134526_79101120212223242526[[#This Row],[Name Surname]],Manpower!$C$4:$C$1048576,Manpower!$F$4:$F$1048576,"")</f>
        <v>7T-HIAB</v>
      </c>
      <c r="H791" s="28" t="str">
        <f>_xlfn.XLOOKUP(Table134526_79101120212223242526[[#This Row],[Name Surname]],Manpower!$C$4:$C$1048576,Manpower!$H$4:$H$1048576,"")</f>
        <v>Equipment</v>
      </c>
      <c r="I791" s="24" t="str">
        <f>_xlfn.XLOOKUP(Table134526_79101120212223242526[[#This Row],[Name Surname]],Manpower!$C$4:$C$1048576,Manpower!$H$4:$H$1048576,"")</f>
        <v>Equipment</v>
      </c>
      <c r="J791" s="21" t="s">
        <v>143</v>
      </c>
      <c r="K791" s="21" t="s">
        <v>26</v>
      </c>
      <c r="L791" s="21" t="s">
        <v>144</v>
      </c>
      <c r="M791" s="21" t="s">
        <v>55</v>
      </c>
      <c r="N791" s="29">
        <v>10</v>
      </c>
      <c r="R791" s="21" t="s">
        <v>227</v>
      </c>
    </row>
    <row r="792" spans="1:18" ht="14.4" hidden="1">
      <c r="A792" s="33">
        <f>IF(C792="","",MAX($A$1:A791)+1)</f>
        <v>761</v>
      </c>
      <c r="B792" s="27" t="s">
        <v>141</v>
      </c>
      <c r="C792" s="23">
        <v>46088</v>
      </c>
      <c r="D792" s="28" t="str">
        <f>_xlfn.XLOOKUP(Table134526_79101120212223242526[[#This Row],[Name Surname]],Manpower!$C$4:$C$1048576,Manpower!$B$4:$B$1048576,"")</f>
        <v>Encogroup</v>
      </c>
      <c r="E792" s="21" t="s">
        <v>180</v>
      </c>
      <c r="F792" s="12">
        <f>_xlfn.XLOOKUP(Table134526_79101120212223242526[[#This Row],[Name Surname]],Manpower!C:C,Manpower!D:D,)</f>
        <v>9138415</v>
      </c>
      <c r="G792" s="28" t="str">
        <f>_xlfn.XLOOKUP(Table134526_79101120212223242526[[#This Row],[Name Surname]],Manpower!$C$4:$C$1048576,Manpower!$F$4:$F$1048576,"")</f>
        <v>HIAB Driver</v>
      </c>
      <c r="H792" s="28" t="str">
        <f>_xlfn.XLOOKUP(Table134526_79101120212223242526[[#This Row],[Name Surname]],Manpower!$C$4:$C$1048576,Manpower!$H$4:$H$1048576,"")</f>
        <v>Manpower</v>
      </c>
      <c r="I792" s="24" t="str">
        <f>_xlfn.XLOOKUP(Table134526_79101120212223242526[[#This Row],[Name Surname]],Manpower!$C$4:$C$1048576,Manpower!$H$4:$H$1048576,"")</f>
        <v>Manpower</v>
      </c>
      <c r="J792" s="21" t="s">
        <v>143</v>
      </c>
      <c r="K792" s="21" t="s">
        <v>26</v>
      </c>
      <c r="L792" s="21" t="s">
        <v>144</v>
      </c>
      <c r="M792" s="21" t="s">
        <v>55</v>
      </c>
      <c r="N792" s="29">
        <v>10</v>
      </c>
      <c r="R792" s="21" t="s">
        <v>227</v>
      </c>
    </row>
    <row r="793" spans="1:18" ht="14.4" hidden="1">
      <c r="A793" s="33">
        <f>IF(C793="","",MAX($A$1:A792)+1)</f>
        <v>762</v>
      </c>
      <c r="B793" s="27" t="s">
        <v>141</v>
      </c>
      <c r="C793" s="23">
        <v>46088</v>
      </c>
      <c r="D793" s="28" t="str">
        <f>_xlfn.XLOOKUP(Table134526_79101120212223242526[[#This Row],[Name Surname]],Manpower!$C$4:$C$1048576,Manpower!$B$4:$B$1048576,"")</f>
        <v>GAF</v>
      </c>
      <c r="E793" s="21" t="s">
        <v>182</v>
      </c>
      <c r="F793" s="12">
        <f>_xlfn.XLOOKUP(Table134526_79101120212223242526[[#This Row],[Name Surname]],Manpower!C:C,Manpower!D:D,)</f>
        <v>78785394</v>
      </c>
      <c r="G793" s="28" t="str">
        <f>_xlfn.XLOOKUP(Table134526_79101120212223242526[[#This Row],[Name Surname]],Manpower!$C$4:$C$1048576,Manpower!$F$4:$F$1048576,"")</f>
        <v>Helper</v>
      </c>
      <c r="H793" s="28" t="str">
        <f>_xlfn.XLOOKUP(Table134526_79101120212223242526[[#This Row],[Name Surname]],Manpower!$C$4:$C$1048576,Manpower!$H$4:$H$1048576,"")</f>
        <v>Sub Contactor</v>
      </c>
      <c r="I793" s="24" t="str">
        <f>_xlfn.XLOOKUP(Table134526_79101120212223242526[[#This Row],[Name Surname]],Manpower!$C$4:$C$1048576,Manpower!$H$4:$H$1048576,"")</f>
        <v>Sub Contactor</v>
      </c>
      <c r="J793" s="21" t="s">
        <v>158</v>
      </c>
      <c r="K793" s="21" t="s">
        <v>26</v>
      </c>
      <c r="L793" s="21" t="s">
        <v>26</v>
      </c>
      <c r="M793" s="21" t="s">
        <v>55</v>
      </c>
      <c r="N793" s="29">
        <v>10</v>
      </c>
      <c r="R793" s="21" t="s">
        <v>227</v>
      </c>
    </row>
    <row r="794" spans="1:18" ht="14.4" hidden="1">
      <c r="A794" s="33">
        <f>IF(C794="","",MAX($A$1:A793)+1)</f>
        <v>763</v>
      </c>
      <c r="B794" s="27" t="s">
        <v>141</v>
      </c>
      <c r="C794" s="23">
        <v>46088</v>
      </c>
      <c r="D794" s="28" t="str">
        <f>_xlfn.XLOOKUP(Table134526_79101120212223242526[[#This Row],[Name Surname]],Manpower!$C$4:$C$1048576,Manpower!$B$4:$B$1048576,"")</f>
        <v>Encogroup</v>
      </c>
      <c r="E794" s="21" t="s">
        <v>183</v>
      </c>
      <c r="F794" s="12">
        <f>_xlfn.XLOOKUP(Table134526_79101120212223242526[[#This Row],[Name Surname]],Manpower!C:C,Manpower!D:D,)</f>
        <v>141359024</v>
      </c>
      <c r="G794" s="28" t="str">
        <f>_xlfn.XLOOKUP(Table134526_79101120212223242526[[#This Row],[Name Surname]],Manpower!$C$4:$C$1048576,Manpower!$F$4:$F$1048576,"")</f>
        <v>Hydraulic Mechanic</v>
      </c>
      <c r="H794" s="28" t="str">
        <f>_xlfn.XLOOKUP(Table134526_79101120212223242526[[#This Row],[Name Surname]],Manpower!$C$4:$C$1048576,Manpower!$H$4:$H$1048576,"")</f>
        <v>Manpower</v>
      </c>
      <c r="I794" s="24" t="str">
        <f>_xlfn.XLOOKUP(Table134526_79101120212223242526[[#This Row],[Name Surname]],Manpower!$C$4:$C$1048576,Manpower!$H$4:$H$1048576,"")</f>
        <v>Manpower</v>
      </c>
      <c r="J794" s="21" t="s">
        <v>143</v>
      </c>
      <c r="K794" s="21" t="s">
        <v>26</v>
      </c>
      <c r="L794" s="21" t="s">
        <v>144</v>
      </c>
      <c r="M794" s="21" t="s">
        <v>55</v>
      </c>
      <c r="N794" s="29">
        <v>10</v>
      </c>
      <c r="R794" s="21" t="s">
        <v>227</v>
      </c>
    </row>
    <row r="795" spans="1:18" ht="14.4" hidden="1">
      <c r="A795" s="33">
        <f>IF(C795="","",MAX($A$1:A794)+1)</f>
        <v>764</v>
      </c>
      <c r="B795" s="27" t="s">
        <v>141</v>
      </c>
      <c r="C795" s="23">
        <v>46088</v>
      </c>
      <c r="D795" s="28" t="str">
        <f>_xlfn.XLOOKUP(Table134526_79101120212223242526[[#This Row],[Name Surname]],Manpower!$C$4:$C$1048576,Manpower!$B$4:$B$1048576,"")</f>
        <v>Encogroup</v>
      </c>
      <c r="E795" s="21" t="s">
        <v>184</v>
      </c>
      <c r="F795" s="12">
        <f>_xlfn.XLOOKUP(Table134526_79101120212223242526[[#This Row],[Name Surname]],Manpower!C:C,Manpower!D:D,)</f>
        <v>140844759</v>
      </c>
      <c r="G795" s="28" t="str">
        <f>_xlfn.XLOOKUP(Table134526_79101120212223242526[[#This Row],[Name Surname]],Manpower!$C$4:$C$1048576,Manpower!$F$4:$F$1048576,"")</f>
        <v>Welder</v>
      </c>
      <c r="H795" s="28" t="str">
        <f>_xlfn.XLOOKUP(Table134526_79101120212223242526[[#This Row],[Name Surname]],Manpower!$C$4:$C$1048576,Manpower!$H$4:$H$1048576,"")</f>
        <v>Manpower</v>
      </c>
      <c r="I795" s="24" t="str">
        <f>_xlfn.XLOOKUP(Table134526_79101120212223242526[[#This Row],[Name Surname]],Manpower!$C$4:$C$1048576,Manpower!$H$4:$H$1048576,"")</f>
        <v>Manpower</v>
      </c>
      <c r="J795" s="21" t="s">
        <v>143</v>
      </c>
      <c r="K795" s="21" t="s">
        <v>26</v>
      </c>
      <c r="L795" s="21" t="s">
        <v>144</v>
      </c>
      <c r="M795" s="21" t="s">
        <v>55</v>
      </c>
      <c r="N795" s="29">
        <v>10</v>
      </c>
      <c r="R795" s="21" t="s">
        <v>227</v>
      </c>
    </row>
    <row r="796" spans="1:18" ht="14.4" hidden="1">
      <c r="A796" s="33">
        <f>IF(C796="","",MAX($A$1:A795)+1)</f>
        <v>765</v>
      </c>
      <c r="B796" s="27" t="s">
        <v>141</v>
      </c>
      <c r="C796" s="23">
        <v>46088</v>
      </c>
      <c r="D796" s="28" t="str">
        <f>_xlfn.XLOOKUP(Table134526_79101120212223242526[[#This Row],[Name Surname]],Manpower!$C$4:$C$1048576,Manpower!$B$4:$B$1048576,"")</f>
        <v>Encogroup</v>
      </c>
      <c r="E796" s="21" t="s">
        <v>185</v>
      </c>
      <c r="F796" s="12">
        <f>_xlfn.XLOOKUP(Table134526_79101120212223242526[[#This Row],[Name Surname]],Manpower!C:C,Manpower!D:D,)</f>
        <v>140848828</v>
      </c>
      <c r="G796" s="28" t="str">
        <f>_xlfn.XLOOKUP(Table134526_79101120212223242526[[#This Row],[Name Surname]],Manpower!$C$4:$C$1048576,Manpower!$F$4:$F$1048576,"")</f>
        <v>Pipe Fitter</v>
      </c>
      <c r="H796" s="28" t="str">
        <f>_xlfn.XLOOKUP(Table134526_79101120212223242526[[#This Row],[Name Surname]],Manpower!$C$4:$C$1048576,Manpower!$H$4:$H$1048576,"")</f>
        <v>Manpower</v>
      </c>
      <c r="I796" s="24" t="str">
        <f>_xlfn.XLOOKUP(Table134526_79101120212223242526[[#This Row],[Name Surname]],Manpower!$C$4:$C$1048576,Manpower!$H$4:$H$1048576,"")</f>
        <v>Manpower</v>
      </c>
      <c r="J796" s="21" t="s">
        <v>143</v>
      </c>
      <c r="K796" s="21" t="s">
        <v>26</v>
      </c>
      <c r="L796" s="21" t="s">
        <v>144</v>
      </c>
      <c r="M796" s="21" t="s">
        <v>55</v>
      </c>
      <c r="N796" s="29">
        <v>10</v>
      </c>
      <c r="R796" s="21" t="s">
        <v>227</v>
      </c>
    </row>
    <row r="797" spans="1:18" ht="14.4" hidden="1">
      <c r="A797" s="33">
        <f>IF(C797="","",MAX($A$1:A796)+1)</f>
        <v>766</v>
      </c>
      <c r="B797" s="27" t="s">
        <v>141</v>
      </c>
      <c r="C797" s="23">
        <v>46088</v>
      </c>
      <c r="D797" s="28" t="str">
        <f>_xlfn.XLOOKUP(Table134526_79101120212223242526[[#This Row],[Name Surname]],Manpower!$C$4:$C$1048576,Manpower!$B$4:$B$1048576,"")</f>
        <v>Encogroup</v>
      </c>
      <c r="E797" s="21" t="s">
        <v>186</v>
      </c>
      <c r="F797" s="12">
        <f>_xlfn.XLOOKUP(Table134526_79101120212223242526[[#This Row],[Name Surname]],Manpower!C:C,Manpower!D:D,)</f>
        <v>140696961</v>
      </c>
      <c r="G797" s="28" t="str">
        <f>_xlfn.XLOOKUP(Table134526_79101120212223242526[[#This Row],[Name Surname]],Manpower!$C$4:$C$1048576,Manpower!$F$4:$F$1048576,"")</f>
        <v>Assistant/Helper</v>
      </c>
      <c r="H797" s="28" t="str">
        <f>_xlfn.XLOOKUP(Table134526_79101120212223242526[[#This Row],[Name Surname]],Manpower!$C$4:$C$1048576,Manpower!$H$4:$H$1048576,"")</f>
        <v>Manpower</v>
      </c>
      <c r="I797" s="24" t="str">
        <f>_xlfn.XLOOKUP(Table134526_79101120212223242526[[#This Row],[Name Surname]],Manpower!$C$4:$C$1048576,Manpower!$H$4:$H$1048576,"")</f>
        <v>Manpower</v>
      </c>
      <c r="J797" s="21" t="s">
        <v>158</v>
      </c>
      <c r="K797" s="21" t="s">
        <v>26</v>
      </c>
      <c r="L797" s="21" t="s">
        <v>26</v>
      </c>
      <c r="M797" s="21" t="s">
        <v>55</v>
      </c>
      <c r="N797" s="29">
        <v>10</v>
      </c>
      <c r="R797" s="21" t="s">
        <v>227</v>
      </c>
    </row>
    <row r="798" spans="1:18" ht="14.4" hidden="1">
      <c r="A798" s="33">
        <f>IF(C798="","",MAX($A$1:A797)+1)</f>
        <v>767</v>
      </c>
      <c r="B798" s="27" t="s">
        <v>141</v>
      </c>
      <c r="C798" s="23">
        <v>46088</v>
      </c>
      <c r="D798" s="28" t="str">
        <f>_xlfn.XLOOKUP(Table134526_79101120212223242526[[#This Row],[Name Surname]],Manpower!$C$4:$C$1048576,Manpower!$B$4:$B$1048576,"")</f>
        <v>Encogroup</v>
      </c>
      <c r="E798" s="21" t="s">
        <v>187</v>
      </c>
      <c r="F798" s="12">
        <f>_xlfn.XLOOKUP(Table134526_79101120212223242526[[#This Row],[Name Surname]],Manpower!C:C,Manpower!D:D,)</f>
        <v>140623599</v>
      </c>
      <c r="G798" s="28" t="str">
        <f>_xlfn.XLOOKUP(Table134526_79101120212223242526[[#This Row],[Name Surname]],Manpower!$C$4:$C$1048576,Manpower!$F$4:$F$1048576,"")</f>
        <v>Mechanical Supervisor</v>
      </c>
      <c r="H798" s="28" t="str">
        <f>_xlfn.XLOOKUP(Table134526_79101120212223242526[[#This Row],[Name Surname]],Manpower!$C$4:$C$1048576,Manpower!$H$4:$H$1048576,"")</f>
        <v>Manpower</v>
      </c>
      <c r="I798" s="24" t="str">
        <f>_xlfn.XLOOKUP(Table134526_79101120212223242526[[#This Row],[Name Surname]],Manpower!$C$4:$C$1048576,Manpower!$H$4:$H$1048576,"")</f>
        <v>Manpower</v>
      </c>
      <c r="J798" s="21" t="s">
        <v>143</v>
      </c>
      <c r="K798" s="21" t="s">
        <v>26</v>
      </c>
      <c r="L798" s="21" t="s">
        <v>144</v>
      </c>
      <c r="M798" s="21" t="s">
        <v>55</v>
      </c>
      <c r="N798" s="29">
        <v>10</v>
      </c>
      <c r="R798" s="21" t="s">
        <v>227</v>
      </c>
    </row>
    <row r="799" spans="1:18" ht="14.4" hidden="1">
      <c r="A799" s="33">
        <f>IF(C799="","",MAX($A$1:A798)+1)</f>
        <v>768</v>
      </c>
      <c r="B799" s="27" t="s">
        <v>141</v>
      </c>
      <c r="C799" s="23">
        <v>46088</v>
      </c>
      <c r="D799" s="28" t="str">
        <f>_xlfn.XLOOKUP(Table134526_79101120212223242526[[#This Row],[Name Surname]],Manpower!$C$4:$C$1048576,Manpower!$B$4:$B$1048576,"")</f>
        <v>Encogroup</v>
      </c>
      <c r="E799" s="21" t="s">
        <v>188</v>
      </c>
      <c r="F799" s="12">
        <f>_xlfn.XLOOKUP(Table134526_79101120212223242526[[#This Row],[Name Surname]],Manpower!C:C,Manpower!D:D,)</f>
        <v>140696975</v>
      </c>
      <c r="G799" s="28" t="str">
        <f>_xlfn.XLOOKUP(Table134526_79101120212223242526[[#This Row],[Name Surname]],Manpower!$C$4:$C$1048576,Manpower!$F$4:$F$1048576,"")</f>
        <v>Assistant/Helper</v>
      </c>
      <c r="H799" s="28" t="str">
        <f>_xlfn.XLOOKUP(Table134526_79101120212223242526[[#This Row],[Name Surname]],Manpower!$C$4:$C$1048576,Manpower!$H$4:$H$1048576,"")</f>
        <v>Manpower</v>
      </c>
      <c r="I799" s="24" t="str">
        <f>_xlfn.XLOOKUP(Table134526_79101120212223242526[[#This Row],[Name Surname]],Manpower!$C$4:$C$1048576,Manpower!$H$4:$H$1048576,"")</f>
        <v>Manpower</v>
      </c>
      <c r="J799" s="21" t="s">
        <v>143</v>
      </c>
      <c r="K799" s="21" t="s">
        <v>26</v>
      </c>
      <c r="L799" s="21" t="s">
        <v>144</v>
      </c>
      <c r="M799" s="21" t="s">
        <v>55</v>
      </c>
      <c r="N799" s="29">
        <v>10</v>
      </c>
      <c r="R799" s="21" t="s">
        <v>227</v>
      </c>
    </row>
    <row r="800" spans="1:18" ht="14.4" hidden="1">
      <c r="A800" s="33">
        <f>IF(C800="","",MAX($A$1:A799)+1)</f>
        <v>769</v>
      </c>
      <c r="B800" s="27" t="s">
        <v>141</v>
      </c>
      <c r="C800" s="23">
        <v>46088</v>
      </c>
      <c r="D800" s="28" t="str">
        <f>_xlfn.XLOOKUP(Table134526_79101120212223242526[[#This Row],[Name Surname]],Manpower!$C$4:$C$1048576,Manpower!$B$4:$B$1048576,"")</f>
        <v>Encogroup</v>
      </c>
      <c r="E800" s="21" t="s">
        <v>189</v>
      </c>
      <c r="F800" s="12">
        <f>_xlfn.XLOOKUP(Table134526_79101120212223242526[[#This Row],[Name Surname]],Manpower!C:C,Manpower!D:D,)</f>
        <v>121937785</v>
      </c>
      <c r="G800" s="28" t="str">
        <f>_xlfn.XLOOKUP(Table134526_79101120212223242526[[#This Row],[Name Surname]],Manpower!$C$4:$C$1048576,Manpower!$F$4:$F$1048576,"")</f>
        <v>Scaffolding Inspector</v>
      </c>
      <c r="H800" s="28" t="str">
        <f>_xlfn.XLOOKUP(Table134526_79101120212223242526[[#This Row],[Name Surname]],Manpower!$C$4:$C$1048576,Manpower!$H$4:$H$1048576,"")</f>
        <v>Manpower</v>
      </c>
      <c r="I800" s="24" t="str">
        <f>_xlfn.XLOOKUP(Table134526_79101120212223242526[[#This Row],[Name Surname]],Manpower!$C$4:$C$1048576,Manpower!$H$4:$H$1048576,"")</f>
        <v>Manpower</v>
      </c>
      <c r="J800" s="21" t="s">
        <v>143</v>
      </c>
      <c r="K800" s="21" t="s">
        <v>26</v>
      </c>
      <c r="L800" s="21" t="s">
        <v>144</v>
      </c>
      <c r="M800" s="21" t="s">
        <v>55</v>
      </c>
      <c r="N800" s="29">
        <v>10</v>
      </c>
      <c r="R800" s="21" t="s">
        <v>227</v>
      </c>
    </row>
    <row r="801" spans="1:18" ht="14.4" hidden="1">
      <c r="A801" s="33">
        <f>IF(C801="","",MAX($A$1:A800)+1)</f>
        <v>770</v>
      </c>
      <c r="B801" s="27" t="s">
        <v>141</v>
      </c>
      <c r="C801" s="23">
        <v>46088</v>
      </c>
      <c r="D801" s="28" t="str">
        <f>_xlfn.XLOOKUP(Table134526_79101120212223242526[[#This Row],[Name Surname]],Manpower!$C$4:$C$1048576,Manpower!$B$4:$B$1048576,"")</f>
        <v xml:space="preserve">AL Omar International </v>
      </c>
      <c r="E801" s="21" t="s">
        <v>190</v>
      </c>
      <c r="F801" s="12">
        <f>_xlfn.XLOOKUP(Table134526_79101120212223242526[[#This Row],[Name Surname]],Manpower!C:C,Manpower!D:D,)</f>
        <v>85812175</v>
      </c>
      <c r="G801" s="28" t="str">
        <f>_xlfn.XLOOKUP(Table134526_79101120212223242526[[#This Row],[Name Surname]],Manpower!$C$4:$C$1048576,Manpower!$F$4:$F$1048576,"")</f>
        <v>Scaffolding Supervisor</v>
      </c>
      <c r="H801" s="28" t="str">
        <f>_xlfn.XLOOKUP(Table134526_79101120212223242526[[#This Row],[Name Surname]],Manpower!$C$4:$C$1048576,Manpower!$H$4:$H$1048576,"")</f>
        <v>Sub Contactor</v>
      </c>
      <c r="I801" s="24" t="str">
        <f>_xlfn.XLOOKUP(Table134526_79101120212223242526[[#This Row],[Name Surname]],Manpower!$C$4:$C$1048576,Manpower!$H$4:$H$1048576,"")</f>
        <v>Sub Contactor</v>
      </c>
      <c r="J801" s="21" t="s">
        <v>143</v>
      </c>
      <c r="K801" s="21" t="s">
        <v>26</v>
      </c>
      <c r="L801" s="21" t="s">
        <v>144</v>
      </c>
      <c r="M801" s="21" t="s">
        <v>55</v>
      </c>
      <c r="N801" s="29">
        <v>10</v>
      </c>
      <c r="R801" s="21" t="s">
        <v>227</v>
      </c>
    </row>
    <row r="802" spans="1:18" ht="14.4" hidden="1">
      <c r="A802" s="33">
        <f>IF(C802="","",MAX($A$1:A801)+1)</f>
        <v>771</v>
      </c>
      <c r="B802" s="27" t="s">
        <v>141</v>
      </c>
      <c r="C802" s="23">
        <v>46088</v>
      </c>
      <c r="D802" s="28" t="str">
        <f>_xlfn.XLOOKUP(Table134526_79101120212223242526[[#This Row],[Name Surname]],Manpower!$C$4:$C$1048576,Manpower!$B$4:$B$1048576,"")</f>
        <v>AL Omar International TRAD AND CONT</v>
      </c>
      <c r="E802" s="21" t="s">
        <v>191</v>
      </c>
      <c r="F802" s="12">
        <f>_xlfn.XLOOKUP(Table134526_79101120212223242526[[#This Row],[Name Surname]],Manpower!C:C,Manpower!D:D,)</f>
        <v>95335424</v>
      </c>
      <c r="G802" s="28" t="str">
        <f>_xlfn.XLOOKUP(Table134526_79101120212223242526[[#This Row],[Name Surname]],Manpower!$C$4:$C$1048576,Manpower!$F$4:$F$1048576,"")</f>
        <v>Scaffolder</v>
      </c>
      <c r="H802" s="28" t="str">
        <f>_xlfn.XLOOKUP(Table134526_79101120212223242526[[#This Row],[Name Surname]],Manpower!$C$4:$C$1048576,Manpower!$H$4:$H$1048576,"")</f>
        <v>Sub Contactor</v>
      </c>
      <c r="I802" s="24" t="str">
        <f>_xlfn.XLOOKUP(Table134526_79101120212223242526[[#This Row],[Name Surname]],Manpower!$C$4:$C$1048576,Manpower!$H$4:$H$1048576,"")</f>
        <v>Sub Contactor</v>
      </c>
      <c r="J802" s="21" t="s">
        <v>143</v>
      </c>
      <c r="K802" s="21" t="s">
        <v>26</v>
      </c>
      <c r="L802" s="21" t="s">
        <v>144</v>
      </c>
      <c r="M802" s="21" t="s">
        <v>55</v>
      </c>
      <c r="N802" s="29">
        <v>10</v>
      </c>
      <c r="R802" s="21" t="s">
        <v>227</v>
      </c>
    </row>
    <row r="803" spans="1:18" ht="14.4" hidden="1">
      <c r="A803" s="33">
        <f>IF(C803="","",MAX($A$1:A802)+1)</f>
        <v>772</v>
      </c>
      <c r="B803" s="27" t="s">
        <v>141</v>
      </c>
      <c r="C803" s="23">
        <v>46088</v>
      </c>
      <c r="D803" s="28" t="str">
        <f>_xlfn.XLOOKUP(Table134526_79101120212223242526[[#This Row],[Name Surname]],Manpower!$C$4:$C$1048576,Manpower!$B$4:$B$1048576,"")</f>
        <v>AL Omar International TRAD AND CONT</v>
      </c>
      <c r="E803" s="21" t="s">
        <v>192</v>
      </c>
      <c r="F803" s="12">
        <f>_xlfn.XLOOKUP(Table134526_79101120212223242526[[#This Row],[Name Surname]],Manpower!C:C,Manpower!D:D,)</f>
        <v>96409155</v>
      </c>
      <c r="G803" s="28" t="str">
        <f>_xlfn.XLOOKUP(Table134526_79101120212223242526[[#This Row],[Name Surname]],Manpower!$C$4:$C$1048576,Manpower!$F$4:$F$1048576,"")</f>
        <v>Scaffolder</v>
      </c>
      <c r="H803" s="28" t="str">
        <f>_xlfn.XLOOKUP(Table134526_79101120212223242526[[#This Row],[Name Surname]],Manpower!$C$4:$C$1048576,Manpower!$H$4:$H$1048576,"")</f>
        <v>Sub Contactor</v>
      </c>
      <c r="I803" s="24" t="str">
        <f>_xlfn.XLOOKUP(Table134526_79101120212223242526[[#This Row],[Name Surname]],Manpower!$C$4:$C$1048576,Manpower!$H$4:$H$1048576,"")</f>
        <v>Sub Contactor</v>
      </c>
      <c r="J803" s="21" t="s">
        <v>143</v>
      </c>
      <c r="K803" s="21" t="s">
        <v>26</v>
      </c>
      <c r="L803" s="21" t="s">
        <v>144</v>
      </c>
      <c r="M803" s="21" t="s">
        <v>55</v>
      </c>
      <c r="N803" s="29">
        <v>10</v>
      </c>
      <c r="R803" s="21" t="s">
        <v>227</v>
      </c>
    </row>
    <row r="804" spans="1:18" ht="14.4" hidden="1">
      <c r="A804" s="33">
        <f>IF(C804="","",MAX($A$1:A803)+1)</f>
        <v>773</v>
      </c>
      <c r="B804" s="27" t="s">
        <v>141</v>
      </c>
      <c r="C804" s="23">
        <v>46088</v>
      </c>
      <c r="D804" s="28" t="str">
        <f>_xlfn.XLOOKUP(Table134526_79101120212223242526[[#This Row],[Name Surname]],Manpower!$C$4:$C$1048576,Manpower!$B$4:$B$1048576,"")</f>
        <v>AL Omar International TRAD AND CONT</v>
      </c>
      <c r="E804" s="21" t="s">
        <v>193</v>
      </c>
      <c r="F804" s="12">
        <f>_xlfn.XLOOKUP(Table134526_79101120212223242526[[#This Row],[Name Surname]],Manpower!C:C,Manpower!D:D,)</f>
        <v>105813698</v>
      </c>
      <c r="G804" s="28" t="str">
        <f>_xlfn.XLOOKUP(Table134526_79101120212223242526[[#This Row],[Name Surname]],Manpower!$C$4:$C$1048576,Manpower!$F$4:$F$1048576,"")</f>
        <v>Scaffolding Inspector</v>
      </c>
      <c r="H804" s="28" t="str">
        <f>_xlfn.XLOOKUP(Table134526_79101120212223242526[[#This Row],[Name Surname]],Manpower!$C$4:$C$1048576,Manpower!$H$4:$H$1048576,"")</f>
        <v>Sub Contactor</v>
      </c>
      <c r="I804" s="24" t="str">
        <f>_xlfn.XLOOKUP(Table134526_79101120212223242526[[#This Row],[Name Surname]],Manpower!$C$4:$C$1048576,Manpower!$H$4:$H$1048576,"")</f>
        <v>Sub Contactor</v>
      </c>
      <c r="J804" s="21" t="s">
        <v>143</v>
      </c>
      <c r="K804" s="21" t="s">
        <v>26</v>
      </c>
      <c r="L804" s="21" t="s">
        <v>144</v>
      </c>
      <c r="M804" s="21" t="s">
        <v>55</v>
      </c>
      <c r="N804" s="29">
        <v>10</v>
      </c>
      <c r="R804" s="21" t="s">
        <v>227</v>
      </c>
    </row>
    <row r="805" spans="1:18" ht="14.4" hidden="1">
      <c r="A805" s="33">
        <f>IF(C805="","",MAX($A$1:A804)+1)</f>
        <v>774</v>
      </c>
      <c r="B805" s="27" t="s">
        <v>141</v>
      </c>
      <c r="C805" s="23">
        <v>46088</v>
      </c>
      <c r="D805" s="28" t="str">
        <f>_xlfn.XLOOKUP(Table134526_79101120212223242526[[#This Row],[Name Surname]],Manpower!$C$4:$C$1048576,Manpower!$B$4:$B$1048576,"")</f>
        <v>AL Saif &amp; Al QALLM ENT LLC</v>
      </c>
      <c r="E805" s="21" t="s">
        <v>194</v>
      </c>
      <c r="F805" s="12">
        <f>_xlfn.XLOOKUP(Table134526_79101120212223242526[[#This Row],[Name Surname]],Manpower!C:C,Manpower!D:D,)</f>
        <v>135340657</v>
      </c>
      <c r="G805" s="28" t="str">
        <f>_xlfn.XLOOKUP(Table134526_79101120212223242526[[#This Row],[Name Surname]],Manpower!$C$4:$C$1048576,Manpower!$F$4:$F$1048576,"")</f>
        <v>Forklift Operator</v>
      </c>
      <c r="H805" s="28" t="str">
        <f>_xlfn.XLOOKUP(Table134526_79101120212223242526[[#This Row],[Name Surname]],Manpower!$C$4:$C$1048576,Manpower!$H$4:$H$1048576,"")</f>
        <v>Sub Contactor</v>
      </c>
      <c r="I805" s="24" t="str">
        <f>_xlfn.XLOOKUP(Table134526_79101120212223242526[[#This Row],[Name Surname]],Manpower!$C$4:$C$1048576,Manpower!$H$4:$H$1048576,"")</f>
        <v>Sub Contactor</v>
      </c>
      <c r="J805" s="21" t="s">
        <v>143</v>
      </c>
      <c r="K805" s="21" t="s">
        <v>26</v>
      </c>
      <c r="L805" s="21" t="s">
        <v>144</v>
      </c>
      <c r="M805" s="21" t="s">
        <v>55</v>
      </c>
      <c r="N805" s="29">
        <v>10</v>
      </c>
      <c r="R805" s="21" t="s">
        <v>227</v>
      </c>
    </row>
    <row r="806" spans="1:18" ht="14.4" hidden="1">
      <c r="A806" s="33">
        <f>IF(C806="","",MAX($A$1:A805)+1)</f>
        <v>775</v>
      </c>
      <c r="B806" s="27" t="s">
        <v>141</v>
      </c>
      <c r="C806" s="23">
        <v>46088</v>
      </c>
      <c r="D806" s="28" t="str">
        <f>_xlfn.XLOOKUP(Table134526_79101120212223242526[[#This Row],[Name Surname]],Manpower!$C$4:$C$1048576,Manpower!$B$4:$B$1048576,"")</f>
        <v>Encogroup</v>
      </c>
      <c r="E806" s="21" t="s">
        <v>196</v>
      </c>
      <c r="F806" s="12">
        <f>_xlfn.XLOOKUP(Table134526_79101120212223242526[[#This Row],[Name Surname]],Manpower!C:C,Manpower!D:D,)</f>
        <v>140844586</v>
      </c>
      <c r="G806" s="28" t="str">
        <f>_xlfn.XLOOKUP(Table134526_79101120212223242526[[#This Row],[Name Surname]],Manpower!$C$4:$C$1048576,Manpower!$F$4:$F$1048576,"")</f>
        <v>Assistant/Helper</v>
      </c>
      <c r="H806" s="28" t="str">
        <f>_xlfn.XLOOKUP(Table134526_79101120212223242526[[#This Row],[Name Surname]],Manpower!$C$4:$C$1048576,Manpower!$H$4:$H$1048576,"")</f>
        <v>Manpower</v>
      </c>
      <c r="I806" s="24" t="str">
        <f>_xlfn.XLOOKUP(Table134526_79101120212223242526[[#This Row],[Name Surname]],Manpower!$C$4:$C$1048576,Manpower!$H$4:$H$1048576,"")</f>
        <v>Manpower</v>
      </c>
      <c r="J806" s="21" t="s">
        <v>158</v>
      </c>
      <c r="K806" s="21" t="s">
        <v>26</v>
      </c>
      <c r="L806" s="21" t="s">
        <v>26</v>
      </c>
      <c r="M806" s="21" t="s">
        <v>55</v>
      </c>
      <c r="N806" s="29">
        <v>10</v>
      </c>
      <c r="R806" s="21" t="s">
        <v>227</v>
      </c>
    </row>
    <row r="807" spans="1:18" ht="14.4" hidden="1">
      <c r="A807" s="33">
        <f>IF(C807="","",MAX($A$1:A806)+1)</f>
        <v>776</v>
      </c>
      <c r="B807" s="27" t="s">
        <v>141</v>
      </c>
      <c r="C807" s="23">
        <v>46088</v>
      </c>
      <c r="D807" s="28" t="str">
        <f>_xlfn.XLOOKUP(Table134526_79101120212223242526[[#This Row],[Name Surname]],Manpower!$C$4:$C$1048576,Manpower!$B$4:$B$1048576,"")</f>
        <v>AL Omar International TRAD AND CONT</v>
      </c>
      <c r="E807" s="21" t="s">
        <v>197</v>
      </c>
      <c r="F807" s="12">
        <f>_xlfn.XLOOKUP(Table134526_79101120212223242526[[#This Row],[Name Surname]],Manpower!C:C,Manpower!D:D,)</f>
        <v>106093463</v>
      </c>
      <c r="G807" s="28" t="str">
        <f>_xlfn.XLOOKUP(Table134526_79101120212223242526[[#This Row],[Name Surname]],Manpower!$C$4:$C$1048576,Manpower!$F$4:$F$1048576,"")</f>
        <v>RIgger</v>
      </c>
      <c r="H807" s="28" t="str">
        <f>_xlfn.XLOOKUP(Table134526_79101120212223242526[[#This Row],[Name Surname]],Manpower!$C$4:$C$1048576,Manpower!$H$4:$H$1048576,"")</f>
        <v>Sub Contactor</v>
      </c>
      <c r="I807" s="24" t="str">
        <f>_xlfn.XLOOKUP(Table134526_79101120212223242526[[#This Row],[Name Surname]],Manpower!$C$4:$C$1048576,Manpower!$H$4:$H$1048576,"")</f>
        <v>Sub Contactor</v>
      </c>
      <c r="J807" s="21" t="s">
        <v>143</v>
      </c>
      <c r="K807" s="21" t="s">
        <v>26</v>
      </c>
      <c r="L807" s="21" t="s">
        <v>144</v>
      </c>
      <c r="M807" s="21" t="s">
        <v>55</v>
      </c>
      <c r="N807" s="29">
        <v>10</v>
      </c>
      <c r="R807" s="21" t="s">
        <v>227</v>
      </c>
    </row>
    <row r="808" spans="1:18" ht="14.4">
      <c r="A808" s="33">
        <f>IF(C808="","",MAX($A$1:A807)+1)</f>
        <v>777</v>
      </c>
      <c r="B808" s="27" t="s">
        <v>141</v>
      </c>
      <c r="C808" s="23">
        <v>46088</v>
      </c>
      <c r="D808" s="28" t="str">
        <f>_xlfn.XLOOKUP(Table134526_79101120212223242526[[#This Row],[Name Surname]],Manpower!$C$4:$C$1048576,Manpower!$B$4:$B$1048576,"")</f>
        <v>Al Asrah Al Mumayaza Trad</v>
      </c>
      <c r="E808" s="21" t="s">
        <v>198</v>
      </c>
      <c r="F808" s="12" t="e">
        <f>_xlfn.XLOOKUP(Table134526_79101120212223242526[[#This Row],[Name Surname]],Manpower!C:C,Manpower!D:D,)</f>
        <v>#N/A</v>
      </c>
      <c r="G808" s="28" t="str">
        <f>_xlfn.XLOOKUP(Table134526_79101120212223242526[[#This Row],[Name Surname]],Manpower!$C$4:$C$1048576,Manpower!$F$4:$F$1048576,"")</f>
        <v>PICK-UP</v>
      </c>
      <c r="H808" s="28" t="str">
        <f>_xlfn.XLOOKUP(Table134526_79101120212223242526[[#This Row],[Name Surname]],Manpower!$C$4:$C$1048576,Manpower!$H$4:$H$1048576,"")</f>
        <v>Equipment</v>
      </c>
      <c r="I808" s="24" t="str">
        <f>_xlfn.XLOOKUP(Table134526_79101120212223242526[[#This Row],[Name Surname]],Manpower!$C$4:$C$1048576,Manpower!$H$4:$H$1048576,"")</f>
        <v>Equipment</v>
      </c>
      <c r="J808" s="21" t="s">
        <v>143</v>
      </c>
      <c r="K808" s="21" t="s">
        <v>26</v>
      </c>
      <c r="L808" s="21" t="s">
        <v>144</v>
      </c>
      <c r="M808" s="21" t="s">
        <v>55</v>
      </c>
      <c r="N808" s="29">
        <v>10</v>
      </c>
      <c r="R808" s="21" t="s">
        <v>227</v>
      </c>
    </row>
    <row r="809" spans="1:18" ht="14.4">
      <c r="A809" s="33">
        <f>IF(C809="","",MAX($A$1:A808)+1)</f>
        <v>778</v>
      </c>
      <c r="B809" s="27" t="s">
        <v>141</v>
      </c>
      <c r="C809" s="23">
        <v>46088</v>
      </c>
      <c r="D809" s="28" t="str">
        <f>_xlfn.XLOOKUP(Table134526_79101120212223242526[[#This Row],[Name Surname]],Manpower!$C$4:$C$1048576,Manpower!$B$4:$B$1048576,"")</f>
        <v>Al Asrah Al Mumayaza Trad</v>
      </c>
      <c r="E809" s="21" t="s">
        <v>199</v>
      </c>
      <c r="F809" s="12" t="e">
        <f>_xlfn.XLOOKUP(Table134526_79101120212223242526[[#This Row],[Name Surname]],Manpower!C:C,Manpower!D:D,)</f>
        <v>#N/A</v>
      </c>
      <c r="G809" s="28" t="str">
        <f>_xlfn.XLOOKUP(Table134526_79101120212223242526[[#This Row],[Name Surname]],Manpower!$C$4:$C$1048576,Manpower!$F$4:$F$1048576,"")</f>
        <v>PICK-UP</v>
      </c>
      <c r="H809" s="28" t="str">
        <f>_xlfn.XLOOKUP(Table134526_79101120212223242526[[#This Row],[Name Surname]],Manpower!$C$4:$C$1048576,Manpower!$H$4:$H$1048576,"")</f>
        <v>Equipment</v>
      </c>
      <c r="I809" s="24" t="str">
        <f>_xlfn.XLOOKUP(Table134526_79101120212223242526[[#This Row],[Name Surname]],Manpower!$C$4:$C$1048576,Manpower!$H$4:$H$1048576,"")</f>
        <v>Equipment</v>
      </c>
      <c r="J809" s="21" t="s">
        <v>143</v>
      </c>
      <c r="K809" s="21" t="s">
        <v>26</v>
      </c>
      <c r="L809" s="21" t="s">
        <v>144</v>
      </c>
      <c r="M809" s="21" t="s">
        <v>55</v>
      </c>
      <c r="N809" s="29">
        <v>10</v>
      </c>
      <c r="R809" s="21" t="s">
        <v>227</v>
      </c>
    </row>
    <row r="810" spans="1:18" ht="14.4">
      <c r="A810" s="33">
        <f>IF(C810="","",MAX($A$1:A809)+1)</f>
        <v>779</v>
      </c>
      <c r="B810" s="27" t="s">
        <v>141</v>
      </c>
      <c r="C810" s="23">
        <v>46088</v>
      </c>
      <c r="D810" s="28" t="str">
        <f>_xlfn.XLOOKUP(Table134526_79101120212223242526[[#This Row],[Name Surname]],Manpower!$C$4:$C$1048576,Manpower!$B$4:$B$1048576,"")</f>
        <v>Al Asrah Al Mumayaza Trad</v>
      </c>
      <c r="E810" s="21" t="s">
        <v>200</v>
      </c>
      <c r="F810" s="12" t="e">
        <f>_xlfn.XLOOKUP(Table134526_79101120212223242526[[#This Row],[Name Surname]],Manpower!C:C,Manpower!D:D,)</f>
        <v>#N/A</v>
      </c>
      <c r="G810" s="28" t="str">
        <f>_xlfn.XLOOKUP(Table134526_79101120212223242526[[#This Row],[Name Surname]],Manpower!$C$4:$C$1048576,Manpower!$F$4:$F$1048576,"")</f>
        <v>PICK-UP</v>
      </c>
      <c r="H810" s="28" t="str">
        <f>_xlfn.XLOOKUP(Table134526_79101120212223242526[[#This Row],[Name Surname]],Manpower!$C$4:$C$1048576,Manpower!$H$4:$H$1048576,"")</f>
        <v>Equipment</v>
      </c>
      <c r="I810" s="24" t="str">
        <f>_xlfn.XLOOKUP(Table134526_79101120212223242526[[#This Row],[Name Surname]],Manpower!$C$4:$C$1048576,Manpower!$H$4:$H$1048576,"")</f>
        <v>Equipment</v>
      </c>
      <c r="J810" s="21" t="s">
        <v>143</v>
      </c>
      <c r="K810" s="21" t="s">
        <v>26</v>
      </c>
      <c r="L810" s="21" t="s">
        <v>144</v>
      </c>
      <c r="M810" s="21" t="s">
        <v>55</v>
      </c>
      <c r="N810" s="29">
        <v>10</v>
      </c>
      <c r="R810" s="21" t="s">
        <v>227</v>
      </c>
    </row>
    <row r="811" spans="1:18" ht="14.4">
      <c r="A811" s="33">
        <f>IF(C811="","",MAX($A$1:A810)+1)</f>
        <v>780</v>
      </c>
      <c r="B811" s="27" t="s">
        <v>141</v>
      </c>
      <c r="C811" s="23">
        <v>46088</v>
      </c>
      <c r="D811" s="28" t="str">
        <f>_xlfn.XLOOKUP(Table134526_79101120212223242526[[#This Row],[Name Surname]],Manpower!$C$4:$C$1048576,Manpower!$B$4:$B$1048576,"")</f>
        <v>Al Asrah Al Mumayaza Trad</v>
      </c>
      <c r="E811" s="21" t="s">
        <v>201</v>
      </c>
      <c r="F811" s="12" t="e">
        <f>_xlfn.XLOOKUP(Table134526_79101120212223242526[[#This Row],[Name Surname]],Manpower!C:C,Manpower!D:D,)</f>
        <v>#N/A</v>
      </c>
      <c r="G811" s="28" t="str">
        <f>_xlfn.XLOOKUP(Table134526_79101120212223242526[[#This Row],[Name Surname]],Manpower!$C$4:$C$1048576,Manpower!$F$4:$F$1048576,"")</f>
        <v>PICK-UP</v>
      </c>
      <c r="H811" s="28" t="str">
        <f>_xlfn.XLOOKUP(Table134526_79101120212223242526[[#This Row],[Name Surname]],Manpower!$C$4:$C$1048576,Manpower!$H$4:$H$1048576,"")</f>
        <v>Equipment</v>
      </c>
      <c r="I811" s="24" t="str">
        <f>_xlfn.XLOOKUP(Table134526_79101120212223242526[[#This Row],[Name Surname]],Manpower!$C$4:$C$1048576,Manpower!$H$4:$H$1048576,"")</f>
        <v>Equipment</v>
      </c>
      <c r="J811" s="21" t="s">
        <v>143</v>
      </c>
      <c r="K811" s="21" t="s">
        <v>26</v>
      </c>
      <c r="L811" s="21" t="s">
        <v>144</v>
      </c>
      <c r="M811" s="21" t="s">
        <v>55</v>
      </c>
      <c r="N811" s="29">
        <v>10</v>
      </c>
      <c r="R811" s="21" t="s">
        <v>227</v>
      </c>
    </row>
    <row r="812" spans="1:18" ht="14.4" hidden="1">
      <c r="A812" s="33">
        <f>IF(C812="","",MAX($A$1:A811)+1)</f>
        <v>781</v>
      </c>
      <c r="B812" s="27" t="s">
        <v>141</v>
      </c>
      <c r="C812" s="23">
        <v>46088</v>
      </c>
      <c r="D812" s="28" t="str">
        <f>_xlfn.XLOOKUP(Table134526_79101120212223242526[[#This Row],[Name Surname]],Manpower!$C$4:$C$1048576,Manpower!$B$4:$B$1048576,"")</f>
        <v>Encogroup</v>
      </c>
      <c r="E812" s="21" t="s">
        <v>202</v>
      </c>
      <c r="F812" s="12">
        <f>_xlfn.XLOOKUP(Table134526_79101120212223242526[[#This Row],[Name Surname]],Manpower!C:C,Manpower!D:D,)</f>
        <v>140805592</v>
      </c>
      <c r="G812" s="28" t="str">
        <f>_xlfn.XLOOKUP(Table134526_79101120212223242526[[#This Row],[Name Surname]],Manpower!$C$4:$C$1048576,Manpower!$F$4:$F$1048576,"")</f>
        <v>Assistant/Helper</v>
      </c>
      <c r="H812" s="28" t="str">
        <f>_xlfn.XLOOKUP(Table134526_79101120212223242526[[#This Row],[Name Surname]],Manpower!$C$4:$C$1048576,Manpower!$H$4:$H$1048576,"")</f>
        <v>Manpower</v>
      </c>
      <c r="I812" s="24" t="str">
        <f>_xlfn.XLOOKUP(Table134526_79101120212223242526[[#This Row],[Name Surname]],Manpower!$C$4:$C$1048576,Manpower!$H$4:$H$1048576,"")</f>
        <v>Manpower</v>
      </c>
      <c r="J812" s="21" t="s">
        <v>143</v>
      </c>
      <c r="K812" s="21" t="s">
        <v>26</v>
      </c>
      <c r="L812" s="21" t="s">
        <v>144</v>
      </c>
      <c r="M812" s="21" t="s">
        <v>55</v>
      </c>
      <c r="N812" s="29">
        <v>10</v>
      </c>
      <c r="R812" s="21" t="s">
        <v>227</v>
      </c>
    </row>
    <row r="813" spans="1:18" ht="14.4" hidden="1">
      <c r="A813" s="33">
        <f>IF(C813="","",MAX($A$1:A812)+1)</f>
        <v>782</v>
      </c>
      <c r="B813" s="27" t="s">
        <v>141</v>
      </c>
      <c r="C813" s="23">
        <v>46088</v>
      </c>
      <c r="D813" s="28" t="str">
        <f>_xlfn.XLOOKUP(Table134526_79101120212223242526[[#This Row],[Name Surname]],Manpower!$C$4:$C$1048576,Manpower!$B$4:$B$1048576,"")</f>
        <v>Encogroup</v>
      </c>
      <c r="E813" s="21" t="s">
        <v>203</v>
      </c>
      <c r="F813" s="12">
        <f>_xlfn.XLOOKUP(Table134526_79101120212223242526[[#This Row],[Name Surname]],Manpower!C:C,Manpower!D:D,)</f>
        <v>140683371</v>
      </c>
      <c r="G813" s="28" t="str">
        <f>_xlfn.XLOOKUP(Table134526_79101120212223242526[[#This Row],[Name Surname]],Manpower!$C$4:$C$1048576,Manpower!$F$4:$F$1048576,"")</f>
        <v>Rigger</v>
      </c>
      <c r="H813" s="28" t="str">
        <f>_xlfn.XLOOKUP(Table134526_79101120212223242526[[#This Row],[Name Surname]],Manpower!$C$4:$C$1048576,Manpower!$H$4:$H$1048576,"")</f>
        <v>Manpower</v>
      </c>
      <c r="I813" s="24" t="str">
        <f>_xlfn.XLOOKUP(Table134526_79101120212223242526[[#This Row],[Name Surname]],Manpower!$C$4:$C$1048576,Manpower!$H$4:$H$1048576,"")</f>
        <v>Manpower</v>
      </c>
      <c r="J813" s="21" t="s">
        <v>143</v>
      </c>
      <c r="K813" s="21" t="s">
        <v>26</v>
      </c>
      <c r="L813" s="21" t="s">
        <v>144</v>
      </c>
      <c r="M813" s="21" t="s">
        <v>55</v>
      </c>
      <c r="N813" s="29">
        <v>10</v>
      </c>
      <c r="R813" s="21" t="s">
        <v>227</v>
      </c>
    </row>
    <row r="814" spans="1:18" ht="14.4" hidden="1">
      <c r="A814" s="33">
        <f>IF(C814="","",MAX($A$1:A813)+1)</f>
        <v>783</v>
      </c>
      <c r="B814" s="27" t="s">
        <v>141</v>
      </c>
      <c r="C814" s="23">
        <v>46088</v>
      </c>
      <c r="D814" s="28" t="str">
        <f>_xlfn.XLOOKUP(Table134526_79101120212223242526[[#This Row],[Name Surname]],Manpower!$C$4:$C$1048576,Manpower!$B$4:$B$1048576,"")</f>
        <v>Encogroup</v>
      </c>
      <c r="E814" s="21" t="s">
        <v>204</v>
      </c>
      <c r="F814" s="12">
        <f>_xlfn.XLOOKUP(Table134526_79101120212223242526[[#This Row],[Name Surname]],Manpower!C:C,Manpower!D:D,)</f>
        <v>140844572</v>
      </c>
      <c r="G814" s="28" t="str">
        <f>_xlfn.XLOOKUP(Table134526_79101120212223242526[[#This Row],[Name Surname]],Manpower!$C$4:$C$1048576,Manpower!$F$4:$F$1048576,"")</f>
        <v>Assistant/Helper</v>
      </c>
      <c r="H814" s="28" t="str">
        <f>_xlfn.XLOOKUP(Table134526_79101120212223242526[[#This Row],[Name Surname]],Manpower!$C$4:$C$1048576,Manpower!$H$4:$H$1048576,"")</f>
        <v>Manpower</v>
      </c>
      <c r="I814" s="24" t="str">
        <f>_xlfn.XLOOKUP(Table134526_79101120212223242526[[#This Row],[Name Surname]],Manpower!$C$4:$C$1048576,Manpower!$H$4:$H$1048576,"")</f>
        <v>Manpower</v>
      </c>
      <c r="J814" s="21" t="s">
        <v>143</v>
      </c>
      <c r="K814" s="21" t="s">
        <v>26</v>
      </c>
      <c r="L814" s="21" t="s">
        <v>144</v>
      </c>
      <c r="M814" s="21" t="s">
        <v>55</v>
      </c>
      <c r="N814" s="29">
        <v>10</v>
      </c>
      <c r="R814" s="21" t="s">
        <v>227</v>
      </c>
    </row>
    <row r="815" spans="1:18" ht="14.4" hidden="1">
      <c r="A815" s="33">
        <f>IF(C815="","",MAX($A$1:A814)+1)</f>
        <v>784</v>
      </c>
      <c r="B815" s="27" t="s">
        <v>141</v>
      </c>
      <c r="C815" s="23">
        <v>46088</v>
      </c>
      <c r="D815" s="28" t="str">
        <f>_xlfn.XLOOKUP(Table134526_79101120212223242526[[#This Row],[Name Surname]],Manpower!$C$4:$C$1048576,Manpower!$B$4:$B$1048576,"")</f>
        <v>Encogroup</v>
      </c>
      <c r="E815" s="21" t="s">
        <v>206</v>
      </c>
      <c r="F815" s="12">
        <f>_xlfn.XLOOKUP(Table134526_79101120212223242526[[#This Row],[Name Surname]],Manpower!C:C,Manpower!D:D,)</f>
        <v>140844848</v>
      </c>
      <c r="G815" s="28" t="str">
        <f>_xlfn.XLOOKUP(Table134526_79101120212223242526[[#This Row],[Name Surname]],Manpower!$C$4:$C$1048576,Manpower!$F$4:$F$1048576,"")</f>
        <v>Assistant/Helper</v>
      </c>
      <c r="H815" s="28" t="str">
        <f>_xlfn.XLOOKUP(Table134526_79101120212223242526[[#This Row],[Name Surname]],Manpower!$C$4:$C$1048576,Manpower!$H$4:$H$1048576,"")</f>
        <v>Manpower</v>
      </c>
      <c r="I815" s="24" t="str">
        <f>_xlfn.XLOOKUP(Table134526_79101120212223242526[[#This Row],[Name Surname]],Manpower!$C$4:$C$1048576,Manpower!$H$4:$H$1048576,"")</f>
        <v>Manpower</v>
      </c>
      <c r="J815" s="21" t="s">
        <v>143</v>
      </c>
      <c r="K815" s="21" t="s">
        <v>26</v>
      </c>
      <c r="L815" s="21" t="s">
        <v>144</v>
      </c>
      <c r="M815" s="21" t="s">
        <v>55</v>
      </c>
      <c r="N815" s="29">
        <v>10</v>
      </c>
      <c r="R815" s="21" t="s">
        <v>227</v>
      </c>
    </row>
    <row r="816" spans="1:18" ht="14.4" hidden="1">
      <c r="A816" s="33">
        <f>IF(C816="","",MAX($A$1:A815)+1)</f>
        <v>785</v>
      </c>
      <c r="B816" s="27" t="s">
        <v>141</v>
      </c>
      <c r="C816" s="23">
        <v>46088</v>
      </c>
      <c r="D816" s="28" t="str">
        <f>_xlfn.XLOOKUP(Table134526_79101120212223242526[[#This Row],[Name Surname]],Manpower!$C$4:$C$1048576,Manpower!$B$4:$B$1048576,"")</f>
        <v>Encogroup</v>
      </c>
      <c r="E816" s="21" t="s">
        <v>207</v>
      </c>
      <c r="F816" s="12">
        <f>_xlfn.XLOOKUP(Table134526_79101120212223242526[[#This Row],[Name Surname]],Manpower!C:C,Manpower!D:D,)</f>
        <v>141359216</v>
      </c>
      <c r="G816" s="28" t="str">
        <f>_xlfn.XLOOKUP(Table134526_79101120212223242526[[#This Row],[Name Surname]],Manpower!$C$4:$C$1048576,Manpower!$F$4:$F$1048576,"")</f>
        <v>Electrician</v>
      </c>
      <c r="H816" s="28" t="str">
        <f>_xlfn.XLOOKUP(Table134526_79101120212223242526[[#This Row],[Name Surname]],Manpower!$C$4:$C$1048576,Manpower!$H$4:$H$1048576,"")</f>
        <v>Manpower</v>
      </c>
      <c r="I816" s="24" t="str">
        <f>_xlfn.XLOOKUP(Table134526_79101120212223242526[[#This Row],[Name Surname]],Manpower!$C$4:$C$1048576,Manpower!$H$4:$H$1048576,"")</f>
        <v>Manpower</v>
      </c>
      <c r="J816" s="21" t="s">
        <v>158</v>
      </c>
      <c r="K816" s="21" t="s">
        <v>26</v>
      </c>
      <c r="L816" s="21" t="s">
        <v>26</v>
      </c>
      <c r="M816" s="21" t="s">
        <v>55</v>
      </c>
      <c r="N816" s="29">
        <v>10</v>
      </c>
      <c r="R816" s="21" t="s">
        <v>227</v>
      </c>
    </row>
    <row r="817" spans="1:18" ht="14.4" hidden="1">
      <c r="A817" s="33">
        <f>IF(C817="","",MAX($A$1:A816)+1)</f>
        <v>786</v>
      </c>
      <c r="B817" s="27" t="s">
        <v>141</v>
      </c>
      <c r="C817" s="23">
        <v>46088</v>
      </c>
      <c r="D817" s="28" t="str">
        <f>_xlfn.XLOOKUP(Table134526_79101120212223242526[[#This Row],[Name Surname]],Manpower!$C$4:$C$1048576,Manpower!$B$4:$B$1048576,"")</f>
        <v>Encogroup</v>
      </c>
      <c r="E817" s="21" t="s">
        <v>208</v>
      </c>
      <c r="F817" s="12">
        <f>_xlfn.XLOOKUP(Table134526_79101120212223242526[[#This Row],[Name Surname]],Manpower!C:C,Manpower!D:D,)</f>
        <v>140683399</v>
      </c>
      <c r="G817" s="28" t="str">
        <f>_xlfn.XLOOKUP(Table134526_79101120212223242526[[#This Row],[Name Surname]],Manpower!$C$4:$C$1048576,Manpower!$F$4:$F$1048576,"")</f>
        <v>Rigger</v>
      </c>
      <c r="H817" s="28" t="str">
        <f>_xlfn.XLOOKUP(Table134526_79101120212223242526[[#This Row],[Name Surname]],Manpower!$C$4:$C$1048576,Manpower!$H$4:$H$1048576,"")</f>
        <v>Manpower</v>
      </c>
      <c r="I817" s="24" t="str">
        <f>_xlfn.XLOOKUP(Table134526_79101120212223242526[[#This Row],[Name Surname]],Manpower!$C$4:$C$1048576,Manpower!$H$4:$H$1048576,"")</f>
        <v>Manpower</v>
      </c>
      <c r="J817" s="21" t="s">
        <v>143</v>
      </c>
      <c r="K817" s="21" t="s">
        <v>26</v>
      </c>
      <c r="L817" s="21" t="s">
        <v>144</v>
      </c>
      <c r="M817" s="21" t="s">
        <v>55</v>
      </c>
      <c r="N817" s="29">
        <v>10</v>
      </c>
      <c r="R817" s="21" t="s">
        <v>227</v>
      </c>
    </row>
    <row r="818" spans="1:18" ht="14.4" hidden="1">
      <c r="A818" s="33">
        <f>IF(C818="","",MAX($A$1:A817)+1)</f>
        <v>787</v>
      </c>
      <c r="B818" s="27" t="s">
        <v>141</v>
      </c>
      <c r="C818" s="23">
        <v>46088</v>
      </c>
      <c r="D818" s="28" t="str">
        <f>_xlfn.XLOOKUP(Table134526_79101120212223242526[[#This Row],[Name Surname]],Manpower!$C$4:$C$1048576,Manpower!$B$4:$B$1048576,"")</f>
        <v>Encogroup</v>
      </c>
      <c r="E818" s="21" t="s">
        <v>209</v>
      </c>
      <c r="F818" s="12">
        <f>_xlfn.XLOOKUP(Table134526_79101120212223242526[[#This Row],[Name Surname]],Manpower!C:C,Manpower!D:D,)</f>
        <v>141365164</v>
      </c>
      <c r="G818" s="28" t="str">
        <f>_xlfn.XLOOKUP(Table134526_79101120212223242526[[#This Row],[Name Surname]],Manpower!$C$4:$C$1048576,Manpower!$F$4:$F$1048576,"")</f>
        <v>Helper</v>
      </c>
      <c r="H818" s="28" t="str">
        <f>_xlfn.XLOOKUP(Table134526_79101120212223242526[[#This Row],[Name Surname]],Manpower!$C$4:$C$1048576,Manpower!$H$4:$H$1048576,"")</f>
        <v>Manpower</v>
      </c>
      <c r="I818" s="24" t="str">
        <f>_xlfn.XLOOKUP(Table134526_79101120212223242526[[#This Row],[Name Surname]],Manpower!$C$4:$C$1048576,Manpower!$H$4:$H$1048576,"")</f>
        <v>Manpower</v>
      </c>
      <c r="J818" s="21" t="s">
        <v>158</v>
      </c>
      <c r="K818" s="21" t="s">
        <v>26</v>
      </c>
      <c r="L818" s="21" t="s">
        <v>26</v>
      </c>
      <c r="M818" s="21" t="s">
        <v>55</v>
      </c>
      <c r="N818" s="29">
        <v>10</v>
      </c>
      <c r="R818" s="21" t="s">
        <v>227</v>
      </c>
    </row>
    <row r="819" spans="1:18" ht="14.4">
      <c r="A819" s="33">
        <f>IF(C819="","",MAX($A$1:A818)+1)</f>
        <v>788</v>
      </c>
      <c r="B819" s="27" t="s">
        <v>141</v>
      </c>
      <c r="C819" s="23">
        <v>46088</v>
      </c>
      <c r="D819" s="28" t="str">
        <f>_xlfn.XLOOKUP(Table134526_79101120212223242526[[#This Row],[Name Surname]],Manpower!$C$4:$C$1048576,Manpower!$B$4:$B$1048576,"")</f>
        <v>Bright Light</v>
      </c>
      <c r="E819" s="21" t="s">
        <v>210</v>
      </c>
      <c r="F819" s="12" t="e">
        <f>_xlfn.XLOOKUP(Table134526_79101120212223242526[[#This Row],[Name Surname]],Manpower!C:C,Manpower!D:D,)</f>
        <v>#N/A</v>
      </c>
      <c r="G819" s="28" t="str">
        <f>_xlfn.XLOOKUP(Table134526_79101120212223242526[[#This Row],[Name Surname]],Manpower!$C$4:$C$1048576,Manpower!$F$4:$F$1048576,"")</f>
        <v>Trailer</v>
      </c>
      <c r="H819" s="28" t="str">
        <f>_xlfn.XLOOKUP(Table134526_79101120212223242526[[#This Row],[Name Surname]],Manpower!$C$4:$C$1048576,Manpower!$H$4:$H$1048576,"")</f>
        <v>Equipment</v>
      </c>
      <c r="I819" s="24" t="str">
        <f>_xlfn.XLOOKUP(Table134526_79101120212223242526[[#This Row],[Name Surname]],Manpower!$C$4:$C$1048576,Manpower!$H$4:$H$1048576,"")</f>
        <v>Equipment</v>
      </c>
      <c r="J819" s="21" t="s">
        <v>143</v>
      </c>
      <c r="K819" s="21" t="s">
        <v>26</v>
      </c>
      <c r="L819" s="21" t="s">
        <v>144</v>
      </c>
      <c r="M819" s="21" t="s">
        <v>55</v>
      </c>
      <c r="N819" s="29">
        <v>10</v>
      </c>
      <c r="R819" s="21" t="s">
        <v>227</v>
      </c>
    </row>
    <row r="820" spans="1:18" ht="14.4" hidden="1">
      <c r="A820" s="33">
        <f>IF(C820="","",MAX($A$1:A819)+1)</f>
        <v>789</v>
      </c>
      <c r="B820" s="27" t="s">
        <v>141</v>
      </c>
      <c r="C820" s="23">
        <v>46088</v>
      </c>
      <c r="D820" s="28" t="str">
        <f>_xlfn.XLOOKUP(Table134526_79101120212223242526[[#This Row],[Name Surname]],Manpower!$C$4:$C$1048576,Manpower!$B$4:$B$1048576,"")</f>
        <v>Encogroup</v>
      </c>
      <c r="E820" s="21" t="s">
        <v>211</v>
      </c>
      <c r="F820" s="12">
        <f>_xlfn.XLOOKUP(Table134526_79101120212223242526[[#This Row],[Name Surname]],Manpower!C:C,Manpower!D:D,)</f>
        <v>140477664</v>
      </c>
      <c r="G820" s="28" t="str">
        <f>_xlfn.XLOOKUP(Table134526_79101120212223242526[[#This Row],[Name Surname]],Manpower!$C$4:$C$1048576,Manpower!$F$4:$F$1048576,"")</f>
        <v>Junior HSE Officer</v>
      </c>
      <c r="H820" s="28" t="str">
        <f>_xlfn.XLOOKUP(Table134526_79101120212223242526[[#This Row],[Name Surname]],Manpower!$C$4:$C$1048576,Manpower!$H$4:$H$1048576,"")</f>
        <v>Manpower</v>
      </c>
      <c r="I820" s="24" t="str">
        <f>_xlfn.XLOOKUP(Table134526_79101120212223242526[[#This Row],[Name Surname]],Manpower!$C$4:$C$1048576,Manpower!$H$4:$H$1048576,"")</f>
        <v>Manpower</v>
      </c>
      <c r="J820" s="21" t="s">
        <v>143</v>
      </c>
      <c r="K820" s="21" t="s">
        <v>26</v>
      </c>
      <c r="L820" s="21" t="s">
        <v>144</v>
      </c>
      <c r="M820" s="21" t="s">
        <v>55</v>
      </c>
      <c r="N820" s="29">
        <v>10</v>
      </c>
      <c r="R820" s="21" t="s">
        <v>227</v>
      </c>
    </row>
    <row r="821" spans="1:18" ht="14.4" hidden="1">
      <c r="A821" s="33">
        <f>IF(C821="","",MAX($A$1:A820)+1)</f>
        <v>790</v>
      </c>
      <c r="B821" s="27" t="s">
        <v>141</v>
      </c>
      <c r="C821" s="23">
        <v>46088</v>
      </c>
      <c r="D821" s="28" t="str">
        <f>_xlfn.XLOOKUP(Table134526_79101120212223242526[[#This Row],[Name Surname]],Manpower!$C$4:$C$1048576,Manpower!$B$4:$B$1048576,"")</f>
        <v>AL Omar International TRAD AND CONT</v>
      </c>
      <c r="E821" s="21" t="s">
        <v>212</v>
      </c>
      <c r="F821" s="12">
        <f>_xlfn.XLOOKUP(Table134526_79101120212223242526[[#This Row],[Name Surname]],Manpower!C:C,Manpower!D:D,)</f>
        <v>116676257</v>
      </c>
      <c r="G821" s="28" t="str">
        <f>_xlfn.XLOOKUP(Table134526_79101120212223242526[[#This Row],[Name Surname]],Manpower!$C$4:$C$1048576,Manpower!$F$4:$F$1048576,"")</f>
        <v>Scaffolder</v>
      </c>
      <c r="H821" s="28" t="str">
        <f>_xlfn.XLOOKUP(Table134526_79101120212223242526[[#This Row],[Name Surname]],Manpower!$C$4:$C$1048576,Manpower!$H$4:$H$1048576,"")</f>
        <v>Sub Contactor</v>
      </c>
      <c r="I821" s="24" t="str">
        <f>_xlfn.XLOOKUP(Table134526_79101120212223242526[[#This Row],[Name Surname]],Manpower!$C$4:$C$1048576,Manpower!$H$4:$H$1048576,"")</f>
        <v>Sub Contactor</v>
      </c>
      <c r="J821" s="21" t="s">
        <v>143</v>
      </c>
      <c r="K821" s="21" t="s">
        <v>26</v>
      </c>
      <c r="L821" s="21" t="s">
        <v>144</v>
      </c>
      <c r="M821" s="21" t="s">
        <v>55</v>
      </c>
      <c r="N821" s="29">
        <v>10</v>
      </c>
      <c r="R821" s="21" t="s">
        <v>227</v>
      </c>
    </row>
    <row r="822" spans="1:18" ht="14.4" hidden="1">
      <c r="A822" s="33">
        <f>IF(C822="","",MAX($A$1:A821)+1)</f>
        <v>791</v>
      </c>
      <c r="B822" s="27" t="s">
        <v>141</v>
      </c>
      <c r="C822" s="23">
        <v>46088</v>
      </c>
      <c r="D822" s="28" t="str">
        <f>_xlfn.XLOOKUP(Table134526_79101120212223242526[[#This Row],[Name Surname]],Manpower!$C$4:$C$1048576,Manpower!$B$4:$B$1048576,"")</f>
        <v>Encogroup</v>
      </c>
      <c r="E822" s="21" t="s">
        <v>213</v>
      </c>
      <c r="F822" s="12">
        <f>_xlfn.XLOOKUP(Table134526_79101120212223242526[[#This Row],[Name Surname]],Manpower!C:C,Manpower!D:D,)</f>
        <v>140846698</v>
      </c>
      <c r="G822" s="28" t="str">
        <f>_xlfn.XLOOKUP(Table134526_79101120212223242526[[#This Row],[Name Surname]],Manpower!$C$4:$C$1048576,Manpower!$F$4:$F$1048576,"")</f>
        <v>Assistant/Helper</v>
      </c>
      <c r="H822" s="28" t="str">
        <f>_xlfn.XLOOKUP(Table134526_79101120212223242526[[#This Row],[Name Surname]],Manpower!$C$4:$C$1048576,Manpower!$H$4:$H$1048576,"")</f>
        <v>Manpower</v>
      </c>
      <c r="I822" s="24" t="str">
        <f>_xlfn.XLOOKUP(Table134526_79101120212223242526[[#This Row],[Name Surname]],Manpower!$C$4:$C$1048576,Manpower!$H$4:$H$1048576,"")</f>
        <v>Manpower</v>
      </c>
      <c r="J822" s="21" t="s">
        <v>143</v>
      </c>
      <c r="K822" s="21" t="s">
        <v>26</v>
      </c>
      <c r="L822" s="21" t="s">
        <v>144</v>
      </c>
      <c r="M822" s="21" t="s">
        <v>55</v>
      </c>
      <c r="N822" s="29">
        <v>10</v>
      </c>
      <c r="R822" s="21" t="s">
        <v>227</v>
      </c>
    </row>
    <row r="823" spans="1:18" ht="14.4" hidden="1">
      <c r="A823" s="33">
        <f>IF(C823="","",MAX($A$1:A822)+1)</f>
        <v>792</v>
      </c>
      <c r="B823" s="27" t="s">
        <v>141</v>
      </c>
      <c r="C823" s="23">
        <v>46088</v>
      </c>
      <c r="D823" s="28" t="str">
        <f>_xlfn.XLOOKUP(Table134526_79101120212223242526[[#This Row],[Name Surname]],Manpower!$C$4:$C$1048576,Manpower!$B$4:$B$1048576,"")</f>
        <v>SARENS NASS</v>
      </c>
      <c r="E823" s="21" t="s">
        <v>214</v>
      </c>
      <c r="F823" s="12">
        <f>_xlfn.XLOOKUP(Table134526_79101120212223242526[[#This Row],[Name Surname]],Manpower!C:C,Manpower!D:D,)</f>
        <v>109957631</v>
      </c>
      <c r="G823" s="28" t="str">
        <f>_xlfn.XLOOKUP(Table134526_79101120212223242526[[#This Row],[Name Surname]],Manpower!$C$4:$C$1048576,Manpower!$F$4:$F$1048576,"")</f>
        <v>Crane Operator-130T Liebherr Crawler</v>
      </c>
      <c r="H823" s="28" t="s">
        <v>39</v>
      </c>
      <c r="I823" s="24" t="s">
        <v>39</v>
      </c>
      <c r="J823" s="21" t="s">
        <v>143</v>
      </c>
      <c r="K823" s="21" t="s">
        <v>26</v>
      </c>
      <c r="L823" s="21" t="s">
        <v>144</v>
      </c>
      <c r="M823" s="21" t="s">
        <v>55</v>
      </c>
      <c r="N823" s="29">
        <v>10</v>
      </c>
      <c r="R823" s="21" t="s">
        <v>227</v>
      </c>
    </row>
    <row r="824" spans="1:18" ht="14.4" hidden="1">
      <c r="A824" s="33">
        <f>IF(C824="","",MAX($A$1:A823)+1)</f>
        <v>793</v>
      </c>
      <c r="B824" s="27" t="s">
        <v>141</v>
      </c>
      <c r="C824" s="23">
        <v>46088</v>
      </c>
      <c r="D824" s="28" t="str">
        <f>_xlfn.XLOOKUP(Table134526_79101120212223242526[[#This Row],[Name Surname]],Manpower!$C$4:$C$1048576,Manpower!$B$4:$B$1048576,"")</f>
        <v>Encogroup</v>
      </c>
      <c r="E824" s="21" t="s">
        <v>217</v>
      </c>
      <c r="F824" s="12">
        <f>_xlfn.XLOOKUP(Table134526_79101120212223242526[[#This Row],[Name Surname]],Manpower!C:C,Manpower!D:D,)</f>
        <v>140742177</v>
      </c>
      <c r="G824" s="28" t="str">
        <f>_xlfn.XLOOKUP(Table134526_79101120212223242526[[#This Row],[Name Surname]],Manpower!$C$4:$C$1048576,Manpower!$F$4:$F$1048576,"")</f>
        <v>Grinder</v>
      </c>
      <c r="H824" s="28" t="str">
        <f>_xlfn.XLOOKUP(Table134526_79101120212223242526[[#This Row],[Name Surname]],Manpower!$C$4:$C$1048576,Manpower!$H$4:$H$1048576,"")</f>
        <v>Manpower</v>
      </c>
      <c r="I824" s="24" t="str">
        <f>_xlfn.XLOOKUP(Table134526_79101120212223242526[[#This Row],[Name Surname]],Manpower!$C$4:$C$1048576,Manpower!$H$4:$H$1048576,"")</f>
        <v>Manpower</v>
      </c>
      <c r="J824" s="21" t="s">
        <v>143</v>
      </c>
      <c r="K824" s="21" t="s">
        <v>26</v>
      </c>
      <c r="L824" s="21" t="s">
        <v>144</v>
      </c>
      <c r="M824" s="21" t="s">
        <v>55</v>
      </c>
      <c r="N824" s="29">
        <v>10</v>
      </c>
      <c r="R824" s="21" t="s">
        <v>227</v>
      </c>
    </row>
    <row r="825" spans="1:18" ht="14.4" hidden="1">
      <c r="A825" s="33">
        <f>IF(C825="","",MAX($A$1:A824)+1)</f>
        <v>794</v>
      </c>
      <c r="B825" s="27" t="s">
        <v>141</v>
      </c>
      <c r="C825" s="23">
        <v>46088</v>
      </c>
      <c r="D825" s="28" t="str">
        <f>_xlfn.XLOOKUP(Table134526_79101120212223242526[[#This Row],[Name Surname]],Manpower!$C$4:$C$1048576,Manpower!$B$4:$B$1048576,"")</f>
        <v>Encogroup</v>
      </c>
      <c r="E825" s="21" t="s">
        <v>218</v>
      </c>
      <c r="F825" s="12">
        <f>_xlfn.XLOOKUP(Table134526_79101120212223242526[[#This Row],[Name Surname]],Manpower!C:C,Manpower!D:D,)</f>
        <v>116853914</v>
      </c>
      <c r="G825" s="28" t="str">
        <f>_xlfn.XLOOKUP(Table134526_79101120212223242526[[#This Row],[Name Surname]],Manpower!$C$4:$C$1048576,Manpower!$F$4:$F$1048576,"")</f>
        <v>Electrical Supervisor</v>
      </c>
      <c r="H825" s="28" t="str">
        <f>_xlfn.XLOOKUP(Table134526_79101120212223242526[[#This Row],[Name Surname]],Manpower!$C$4:$C$1048576,Manpower!$H$4:$H$1048576,"")</f>
        <v>Manpower</v>
      </c>
      <c r="I825" s="24" t="str">
        <f>_xlfn.XLOOKUP(Table134526_79101120212223242526[[#This Row],[Name Surname]],Manpower!$C$4:$C$1048576,Manpower!$H$4:$H$1048576,"")</f>
        <v>Manpower</v>
      </c>
      <c r="J825" s="21" t="s">
        <v>158</v>
      </c>
      <c r="K825" s="21" t="s">
        <v>26</v>
      </c>
      <c r="L825" s="21" t="s">
        <v>26</v>
      </c>
      <c r="M825" s="21" t="s">
        <v>55</v>
      </c>
      <c r="N825" s="29">
        <v>10</v>
      </c>
      <c r="R825" s="21" t="s">
        <v>227</v>
      </c>
    </row>
    <row r="826" spans="1:18" ht="14.4">
      <c r="A826" s="33">
        <f>IF(C826="","",MAX($A$1:A825)+1)</f>
        <v>795</v>
      </c>
      <c r="B826" s="27" t="s">
        <v>141</v>
      </c>
      <c r="C826" s="23">
        <v>46088</v>
      </c>
      <c r="D826" s="28" t="str">
        <f>_xlfn.XLOOKUP(Table134526_79101120212223242526[[#This Row],[Name Surname]],Manpower!$C$4:$C$1048576,Manpower!$B$4:$B$1048576,"")</f>
        <v>Encogroup</v>
      </c>
      <c r="E826" s="23" t="s">
        <v>219</v>
      </c>
      <c r="F826" s="12" t="e">
        <f>_xlfn.XLOOKUP(Table134526_79101120212223242526[[#This Row],[Name Surname]],Manpower!C:C,Manpower!D:D,)</f>
        <v>#N/A</v>
      </c>
      <c r="G826" s="28" t="str">
        <f>_xlfn.XLOOKUP(Table134526_79101120212223242526[[#This Row],[Name Surname]],Manpower!$C$4:$C$1048576,Manpower!$F$4:$F$1048576,"")</f>
        <v>TOWER LIGHT</v>
      </c>
      <c r="H826" s="28" t="str">
        <f>_xlfn.XLOOKUP(Table134526_79101120212223242526[[#This Row],[Name Surname]],Manpower!$C$4:$C$1048576,Manpower!$H$4:$H$1048576,"")</f>
        <v>Equipment</v>
      </c>
      <c r="I826" s="24" t="str">
        <f>_xlfn.XLOOKUP(Table134526_79101120212223242526[[#This Row],[Name Surname]],Manpower!$C$4:$C$1048576,Manpower!$H$4:$H$1048576,"")</f>
        <v>Equipment</v>
      </c>
      <c r="J826" s="21" t="s">
        <v>143</v>
      </c>
      <c r="K826" s="21" t="s">
        <v>26</v>
      </c>
      <c r="L826" s="21" t="s">
        <v>144</v>
      </c>
      <c r="M826" s="21" t="s">
        <v>55</v>
      </c>
      <c r="N826" s="29">
        <v>10</v>
      </c>
      <c r="R826" s="21" t="s">
        <v>227</v>
      </c>
    </row>
    <row r="827" spans="1:18" ht="14.4">
      <c r="A827" s="33">
        <f>IF(C827="","",MAX($A$1:A826)+1)</f>
        <v>796</v>
      </c>
      <c r="B827" s="27" t="s">
        <v>141</v>
      </c>
      <c r="C827" s="23">
        <v>46088</v>
      </c>
      <c r="D827" s="28" t="str">
        <f>_xlfn.XLOOKUP(Table134526_79101120212223242526[[#This Row],[Name Surname]],Manpower!$C$4:$C$1048576,Manpower!$B$4:$B$1048576,"")</f>
        <v>Encogroup</v>
      </c>
      <c r="E827" s="23" t="s">
        <v>220</v>
      </c>
      <c r="F827" s="12" t="e">
        <f>_xlfn.XLOOKUP(Table134526_79101120212223242526[[#This Row],[Name Surname]],Manpower!C:C,Manpower!D:D,)</f>
        <v>#N/A</v>
      </c>
      <c r="G827" s="28" t="str">
        <f>_xlfn.XLOOKUP(Table134526_79101120212223242526[[#This Row],[Name Surname]],Manpower!$C$4:$C$1048576,Manpower!$F$4:$F$1048576,"")</f>
        <v>TOWER LIGHT</v>
      </c>
      <c r="H827" s="28" t="str">
        <f>_xlfn.XLOOKUP(Table134526_79101120212223242526[[#This Row],[Name Surname]],Manpower!$C$4:$C$1048576,Manpower!$H$4:$H$1048576,"")</f>
        <v>Equipment</v>
      </c>
      <c r="I827" s="24" t="str">
        <f>_xlfn.XLOOKUP(Table134526_79101120212223242526[[#This Row],[Name Surname]],Manpower!$C$4:$C$1048576,Manpower!$H$4:$H$1048576,"")</f>
        <v>Equipment</v>
      </c>
      <c r="J827" s="21" t="s">
        <v>143</v>
      </c>
      <c r="K827" s="21" t="s">
        <v>26</v>
      </c>
      <c r="L827" s="21" t="s">
        <v>144</v>
      </c>
      <c r="M827" s="21" t="s">
        <v>55</v>
      </c>
      <c r="N827" s="29">
        <v>10</v>
      </c>
      <c r="R827" s="21" t="s">
        <v>227</v>
      </c>
    </row>
    <row r="828" spans="1:18" ht="14.4" hidden="1">
      <c r="A828" s="33">
        <f>IF(C828="","",MAX($A$1:A827)+1)</f>
        <v>797</v>
      </c>
      <c r="B828" s="27" t="s">
        <v>141</v>
      </c>
      <c r="C828" s="23">
        <v>46088</v>
      </c>
      <c r="D828" s="28" t="str">
        <f>_xlfn.XLOOKUP(Table134526_79101120212223242526[[#This Row],[Name Surname]],Manpower!$C$4:$C$1048576,Manpower!$B$4:$B$1048576,"")</f>
        <v>AL Omar International Tarde&amp;Contracting SPC</v>
      </c>
      <c r="E828" s="21" t="s">
        <v>221</v>
      </c>
      <c r="F828" s="12">
        <f>_xlfn.XLOOKUP(Table134526_79101120212223242526[[#This Row],[Name Surname]],Manpower!C:C,Manpower!D:D,)</f>
        <v>115122635</v>
      </c>
      <c r="G828" s="28" t="str">
        <f>_xlfn.XLOOKUP(Table134526_79101120212223242526[[#This Row],[Name Surname]],Manpower!$C$4:$C$1048576,Manpower!$F$4:$F$1048576,"")</f>
        <v>Scaffolder</v>
      </c>
      <c r="H828" s="28" t="str">
        <f>_xlfn.XLOOKUP(Table134526_79101120212223242526[[#This Row],[Name Surname]],Manpower!$C$4:$C$1048576,Manpower!$H$4:$H$1048576,"")</f>
        <v>Sub Contactor</v>
      </c>
      <c r="I828" s="24" t="str">
        <f>_xlfn.XLOOKUP(Table134526_79101120212223242526[[#This Row],[Name Surname]],Manpower!$C$4:$C$1048576,Manpower!$H$4:$H$1048576,"")</f>
        <v>Sub Contactor</v>
      </c>
      <c r="J828" s="21" t="s">
        <v>143</v>
      </c>
      <c r="K828" s="21" t="s">
        <v>26</v>
      </c>
      <c r="L828" s="21" t="s">
        <v>144</v>
      </c>
      <c r="M828" s="21" t="s">
        <v>55</v>
      </c>
      <c r="N828" s="29">
        <v>10</v>
      </c>
      <c r="R828" s="21" t="s">
        <v>227</v>
      </c>
    </row>
    <row r="829" spans="1:18" ht="14.4" hidden="1">
      <c r="A829" s="33">
        <f>IF(C829="","",MAX($A$1:A828)+1)</f>
        <v>798</v>
      </c>
      <c r="B829" s="27" t="s">
        <v>141</v>
      </c>
      <c r="C829" s="23">
        <v>46088</v>
      </c>
      <c r="D829" s="28" t="str">
        <f>_xlfn.XLOOKUP(Table134526_79101120212223242526[[#This Row],[Name Surname]],Manpower!$C$4:$C$1048576,Manpower!$B$4:$B$1048576,"")</f>
        <v>Encogroup</v>
      </c>
      <c r="E829" s="21" t="s">
        <v>168</v>
      </c>
      <c r="F829" s="12">
        <f>_xlfn.XLOOKUP(Table134526_79101120212223242526[[#This Row],[Name Surname]],Manpower!C:C,Manpower!D:D,)</f>
        <v>137114773</v>
      </c>
      <c r="G829" s="28" t="str">
        <f>_xlfn.XLOOKUP(Table134526_79101120212223242526[[#This Row],[Name Surname]],Manpower!$C$4:$C$1048576,Manpower!$F$4:$F$1048576,"")</f>
        <v>Rigger</v>
      </c>
      <c r="H829" s="28" t="str">
        <f>_xlfn.XLOOKUP(Table134526_79101120212223242526[[#This Row],[Name Surname]],Manpower!$C$4:$C$1048576,Manpower!$H$4:$H$1048576,"")</f>
        <v>Manpower</v>
      </c>
      <c r="I829" s="24" t="str">
        <f>_xlfn.XLOOKUP(Table134526_79101120212223242526[[#This Row],[Name Surname]],Manpower!$C$4:$C$1048576,Manpower!$H$4:$H$1048576,"")</f>
        <v>Manpower</v>
      </c>
      <c r="J829" s="21" t="s">
        <v>143</v>
      </c>
      <c r="K829" s="21" t="s">
        <v>26</v>
      </c>
      <c r="L829" s="21" t="s">
        <v>144</v>
      </c>
      <c r="M829" s="21" t="s">
        <v>55</v>
      </c>
      <c r="N829" s="29">
        <v>10</v>
      </c>
      <c r="R829" s="21" t="s">
        <v>227</v>
      </c>
    </row>
    <row r="830" spans="1:18" ht="14.4" hidden="1">
      <c r="A830" s="33">
        <f>IF(C830="","",MAX($A$1:A829)+1)</f>
        <v>799</v>
      </c>
      <c r="B830" s="27" t="s">
        <v>141</v>
      </c>
      <c r="C830" s="23">
        <v>46088</v>
      </c>
      <c r="D830" s="28" t="str">
        <f>_xlfn.XLOOKUP(Table134526_79101120212223242526[[#This Row],[Name Surname]],Manpower!$C$4:$C$1048576,Manpower!$B$4:$B$1048576,"")</f>
        <v>Encogroup</v>
      </c>
      <c r="E830" s="21" t="s">
        <v>222</v>
      </c>
      <c r="F830" s="12">
        <f>_xlfn.XLOOKUP(Table134526_79101120212223242526[[#This Row],[Name Surname]],Manpower!C:C,Manpower!D:D,)</f>
        <v>122082863</v>
      </c>
      <c r="G830" s="28" t="str">
        <f>_xlfn.XLOOKUP(Table134526_79101120212223242526[[#This Row],[Name Surname]],Manpower!$C$4:$C$1048576,Manpower!$F$4:$F$1048576,"")</f>
        <v>Grinder</v>
      </c>
      <c r="H830" s="28" t="str">
        <f>_xlfn.XLOOKUP(Table134526_79101120212223242526[[#This Row],[Name Surname]],Manpower!$C$4:$C$1048576,Manpower!$H$4:$H$1048576,"")</f>
        <v>Manpower</v>
      </c>
      <c r="I830" s="24" t="str">
        <f>_xlfn.XLOOKUP(Table134526_79101120212223242526[[#This Row],[Name Surname]],Manpower!$C$4:$C$1048576,Manpower!$H$4:$H$1048576,"")</f>
        <v>Manpower</v>
      </c>
      <c r="J830" s="21" t="s">
        <v>143</v>
      </c>
      <c r="K830" s="21" t="s">
        <v>26</v>
      </c>
      <c r="L830" s="21" t="s">
        <v>144</v>
      </c>
      <c r="M830" s="21" t="s">
        <v>55</v>
      </c>
      <c r="N830" s="29">
        <v>10</v>
      </c>
      <c r="R830" s="21" t="s">
        <v>227</v>
      </c>
    </row>
    <row r="831" spans="1:18" ht="14.4" hidden="1">
      <c r="A831" s="33">
        <f>IF(C831="","",MAX($A$1:A830)+1)</f>
        <v>800</v>
      </c>
      <c r="B831" s="27" t="s">
        <v>141</v>
      </c>
      <c r="C831" s="23">
        <v>46088</v>
      </c>
      <c r="D831" s="28" t="str">
        <f>_xlfn.XLOOKUP(Table134526_79101120212223242526[[#This Row],[Name Surname]],Manpower!$C$4:$C$1048576,Manpower!$B$4:$B$1048576,"")</f>
        <v>Encogroup</v>
      </c>
      <c r="E831" s="21" t="s">
        <v>223</v>
      </c>
      <c r="F831" s="12">
        <f>_xlfn.XLOOKUP(Table134526_79101120212223242526[[#This Row],[Name Surname]],Manpower!C:C,Manpower!D:D,)</f>
        <v>140696989</v>
      </c>
      <c r="G831" s="28" t="str">
        <f>_xlfn.XLOOKUP(Table134526_79101120212223242526[[#This Row],[Name Surname]],Manpower!$C$4:$C$1048576,Manpower!$F$4:$F$1048576,"")</f>
        <v>Assistant/Helper</v>
      </c>
      <c r="H831" s="28" t="str">
        <f>_xlfn.XLOOKUP(Table134526_79101120212223242526[[#This Row],[Name Surname]],Manpower!$C$4:$C$1048576,Manpower!$H$4:$H$1048576,"")</f>
        <v>Manpower</v>
      </c>
      <c r="I831" s="24" t="str">
        <f>_xlfn.XLOOKUP(Table134526_79101120212223242526[[#This Row],[Name Surname]],Manpower!$C$4:$C$1048576,Manpower!$H$4:$H$1048576,"")</f>
        <v>Manpower</v>
      </c>
      <c r="J831" s="21" t="s">
        <v>158</v>
      </c>
      <c r="K831" s="21" t="s">
        <v>26</v>
      </c>
      <c r="L831" s="21" t="s">
        <v>26</v>
      </c>
      <c r="M831" s="21" t="s">
        <v>55</v>
      </c>
      <c r="N831" s="29">
        <v>10</v>
      </c>
      <c r="R831" s="21" t="s">
        <v>227</v>
      </c>
    </row>
    <row r="832" spans="1:18" ht="14.4" hidden="1">
      <c r="A832" s="33">
        <f>IF(C832="","",MAX($A$1:A831)+1)</f>
        <v>801</v>
      </c>
      <c r="B832" s="27" t="s">
        <v>141</v>
      </c>
      <c r="C832" s="23">
        <v>46088</v>
      </c>
      <c r="D832" s="28" t="str">
        <f>_xlfn.XLOOKUP(Table134526_79101120212223242526[[#This Row],[Name Surname]],Manpower!$C$4:$C$1048576,Manpower!$B$4:$B$1048576,"")</f>
        <v>Encogroup</v>
      </c>
      <c r="E832" s="21" t="s">
        <v>224</v>
      </c>
      <c r="F832" s="12">
        <f>_xlfn.XLOOKUP(Table134526_79101120212223242526[[#This Row],[Name Surname]],Manpower!C:C,Manpower!D:D,)</f>
        <v>141365094</v>
      </c>
      <c r="G832" s="28" t="str">
        <f>_xlfn.XLOOKUP(Table134526_79101120212223242526[[#This Row],[Name Surname]],Manpower!$C$4:$C$1048576,Manpower!$F$4:$F$1048576,"")</f>
        <v>Helper</v>
      </c>
      <c r="H832" s="28" t="str">
        <f>_xlfn.XLOOKUP(Table134526_79101120212223242526[[#This Row],[Name Surname]],Manpower!$C$4:$C$1048576,Manpower!$H$4:$H$1048576,"")</f>
        <v>Manpower</v>
      </c>
      <c r="I832" s="24" t="str">
        <f>_xlfn.XLOOKUP(Table134526_79101120212223242526[[#This Row],[Name Surname]],Manpower!$C$4:$C$1048576,Manpower!$H$4:$H$1048576,"")</f>
        <v>Manpower</v>
      </c>
      <c r="J832" s="21" t="s">
        <v>143</v>
      </c>
      <c r="K832" s="21" t="s">
        <v>26</v>
      </c>
      <c r="L832" s="21" t="s">
        <v>144</v>
      </c>
      <c r="M832" s="21" t="s">
        <v>55</v>
      </c>
      <c r="N832" s="29">
        <v>10</v>
      </c>
      <c r="R832" s="21" t="s">
        <v>227</v>
      </c>
    </row>
    <row r="833" spans="1:19" ht="14.4" hidden="1">
      <c r="A833" s="33">
        <f>IF(C833="","",MAX($A$1:A832)+1)</f>
        <v>802</v>
      </c>
      <c r="B833" s="27" t="s">
        <v>141</v>
      </c>
      <c r="C833" s="23">
        <v>46088</v>
      </c>
      <c r="D833" s="28" t="str">
        <f>_xlfn.XLOOKUP(Table134526_79101120212223242526[[#This Row],[Name Surname]],Manpower!$C$4:$C$1048576,Manpower!$B$4:$B$1048576,"")</f>
        <v xml:space="preserve">FAL Transport </v>
      </c>
      <c r="E833" s="21" t="s">
        <v>225</v>
      </c>
      <c r="F833" s="12">
        <f>_xlfn.XLOOKUP(Table134526_79101120212223242526[[#This Row],[Name Surname]],Manpower!C:C,Manpower!D:D,)</f>
        <v>124233837</v>
      </c>
      <c r="G833" s="28" t="str">
        <f>_xlfn.XLOOKUP(Table134526_79101120212223242526[[#This Row],[Name Surname]],Manpower!$C$4:$C$1048576,Manpower!$F$4:$F$1048576,"")</f>
        <v>Trailer Driver</v>
      </c>
      <c r="H833" s="28" t="str">
        <f>_xlfn.XLOOKUP(Table134526_79101120212223242526[[#This Row],[Name Surname]],Manpower!$C$4:$C$1048576,Manpower!$H$4:$H$1048576,"")</f>
        <v>Sub Contactor</v>
      </c>
      <c r="I833" s="24" t="str">
        <f>_xlfn.XLOOKUP(Table134526_79101120212223242526[[#This Row],[Name Surname]],Manpower!$C$4:$C$1048576,Manpower!$H$4:$H$1048576,"")</f>
        <v>Sub Contactor</v>
      </c>
      <c r="J833" s="21" t="s">
        <v>143</v>
      </c>
      <c r="K833" s="21" t="s">
        <v>26</v>
      </c>
      <c r="L833" s="21" t="s">
        <v>144</v>
      </c>
      <c r="M833" s="21" t="s">
        <v>55</v>
      </c>
      <c r="N833" s="29">
        <v>10</v>
      </c>
      <c r="R833" s="21" t="s">
        <v>227</v>
      </c>
    </row>
    <row r="834" spans="1:19" ht="14.4">
      <c r="A834" s="33">
        <f>IF(C834="","",MAX($A$1:A833)+1)</f>
        <v>803</v>
      </c>
      <c r="B834" s="30" t="s">
        <v>19</v>
      </c>
      <c r="C834" s="23">
        <v>46089</v>
      </c>
      <c r="D834" s="28" t="str">
        <f>_xlfn.XLOOKUP(Table134526_79101120212223242526[[#This Row],[Name Surname]],Manpower!$C$4:$C$1048576,Manpower!$B$4:$B$1048576,"")</f>
        <v>Riyan Al Khaleej</v>
      </c>
      <c r="E834" s="21" t="s">
        <v>20</v>
      </c>
      <c r="F834" s="12" t="e">
        <f>_xlfn.XLOOKUP(Table134526_79101120212223242526[[#This Row],[Name Surname]],Manpower!C:C,Manpower!D:D,)</f>
        <v>#N/A</v>
      </c>
      <c r="G834" s="28" t="str">
        <f>_xlfn.XLOOKUP(Table134526_79101120212223242526[[#This Row],[Name Surname]],Manpower!$C$4:$C$1048576,Manpower!$F$4:$F$1048576,"")</f>
        <v>100T Telescopic Crane</v>
      </c>
      <c r="H834" s="28" t="str">
        <f>_xlfn.XLOOKUP(Table134526_79101120212223242526[[#This Row],[Name Surname]],Manpower!$C$4:$C$1048576,Manpower!$H$4:$H$1048576,"")</f>
        <v>Equipment</v>
      </c>
      <c r="I834" s="24" t="str">
        <f>_xlfn.XLOOKUP(Table134526_79101120212223242526[[#This Row],[Name Surname]],Manpower!$C$4:$C$1048576,Manpower!$H$4:$H$1048576,"")</f>
        <v>Equipment</v>
      </c>
      <c r="J834" s="21" t="s">
        <v>21</v>
      </c>
      <c r="K834" s="21" t="s">
        <v>231</v>
      </c>
      <c r="L834" s="21" t="s">
        <v>49</v>
      </c>
      <c r="M834" s="21" t="s">
        <v>24</v>
      </c>
      <c r="N834" s="29">
        <v>8</v>
      </c>
      <c r="O834" s="21" t="s">
        <v>40</v>
      </c>
      <c r="P834" s="21" t="s">
        <v>41</v>
      </c>
      <c r="Q834" s="21" t="s">
        <v>42</v>
      </c>
      <c r="R834" s="21" t="s">
        <v>26</v>
      </c>
    </row>
    <row r="835" spans="1:19" s="45" customFormat="1" ht="14.4" hidden="1">
      <c r="A835" s="25">
        <f>IF(C835="","",MAX($A$1:A834)+1)</f>
        <v>804</v>
      </c>
      <c r="B835" s="25" t="s">
        <v>19</v>
      </c>
      <c r="C835" s="41">
        <v>46089</v>
      </c>
      <c r="D835" s="48" t="str">
        <f>_xlfn.XLOOKUP(Table134526_79101120212223242526[[#This Row],[Name Surname]],Manpower!$C$4:$C$1048576,Manpower!$B$4:$B$1048576,"")</f>
        <v>Encogroup</v>
      </c>
      <c r="E835" s="43" t="s">
        <v>27</v>
      </c>
      <c r="F835" s="12">
        <f>_xlfn.XLOOKUP(Table134526_79101120212223242526[[#This Row],[Name Surname]],Manpower!C:C,Manpower!D:D,)</f>
        <v>127414586</v>
      </c>
      <c r="G835" s="48" t="str">
        <f>_xlfn.XLOOKUP(Table134526_79101120212223242526[[#This Row],[Name Surname]],Manpower!$C$4:$C$1048576,Manpower!$F$4:$F$1048576,"")</f>
        <v>Electrician</v>
      </c>
      <c r="H835" s="48" t="str">
        <f>_xlfn.XLOOKUP(Table134526_79101120212223242526[[#This Row],[Name Surname]],Manpower!$C$4:$C$1048576,Manpower!$H$4:$H$1048576,"")</f>
        <v>Manpower</v>
      </c>
      <c r="I835" s="42" t="str">
        <f>_xlfn.XLOOKUP(Table134526_79101120212223242526[[#This Row],[Name Surname]],Manpower!$C$4:$C$1048576,Manpower!$H$4:$H$1048576,"")</f>
        <v>Manpower</v>
      </c>
      <c r="J835" s="43" t="s">
        <v>21</v>
      </c>
      <c r="K835" s="43" t="s">
        <v>231</v>
      </c>
      <c r="L835" s="43" t="s">
        <v>49</v>
      </c>
      <c r="M835" s="43" t="s">
        <v>24</v>
      </c>
      <c r="N835" s="44">
        <v>5</v>
      </c>
      <c r="O835" s="43" t="s">
        <v>25</v>
      </c>
      <c r="P835" s="43" t="s">
        <v>41</v>
      </c>
      <c r="Q835" s="43" t="s">
        <v>60</v>
      </c>
      <c r="R835" s="43" t="s">
        <v>26</v>
      </c>
      <c r="S835" s="43"/>
    </row>
    <row r="836" spans="1:19" s="45" customFormat="1" ht="14.4" hidden="1">
      <c r="A836" s="25">
        <f>IF(C836="","",MAX($A$1:A835)+1)</f>
        <v>805</v>
      </c>
      <c r="B836" s="25" t="s">
        <v>19</v>
      </c>
      <c r="C836" s="41">
        <v>46089</v>
      </c>
      <c r="D836" s="48" t="str">
        <f>_xlfn.XLOOKUP(Table134526_79101120212223242526[[#This Row],[Name Surname]],Manpower!$C$4:$C$1048576,Manpower!$B$4:$B$1048576,"")</f>
        <v>Encogroup</v>
      </c>
      <c r="E836" s="43" t="s">
        <v>29</v>
      </c>
      <c r="F836" s="12">
        <f>_xlfn.XLOOKUP(Table134526_79101120212223242526[[#This Row],[Name Surname]],Manpower!C:C,Manpower!D:D,)</f>
        <v>127331574</v>
      </c>
      <c r="G836" s="48" t="str">
        <f>_xlfn.XLOOKUP(Table134526_79101120212223242526[[#This Row],[Name Surname]],Manpower!$C$4:$C$1048576,Manpower!$F$4:$F$1048576,"")</f>
        <v>Permit Receiver</v>
      </c>
      <c r="H836" s="48" t="str">
        <f>_xlfn.XLOOKUP(Table134526_79101120212223242526[[#This Row],[Name Surname]],Manpower!$C$4:$C$1048576,Manpower!$H$4:$H$1048576,"")</f>
        <v>Manpower</v>
      </c>
      <c r="I836" s="42" t="str">
        <f>_xlfn.XLOOKUP(Table134526_79101120212223242526[[#This Row],[Name Surname]],Manpower!$C$4:$C$1048576,Manpower!$H$4:$H$1048576,"")</f>
        <v>Manpower</v>
      </c>
      <c r="J836" s="43" t="s">
        <v>21</v>
      </c>
      <c r="K836" s="43" t="s">
        <v>231</v>
      </c>
      <c r="L836" s="43" t="s">
        <v>49</v>
      </c>
      <c r="M836" s="43" t="s">
        <v>24</v>
      </c>
      <c r="N836" s="44">
        <v>10</v>
      </c>
      <c r="O836" s="43" t="s">
        <v>25</v>
      </c>
      <c r="P836" s="43" t="s">
        <v>41</v>
      </c>
      <c r="Q836" s="43" t="s">
        <v>60</v>
      </c>
      <c r="R836" s="43" t="s">
        <v>26</v>
      </c>
      <c r="S836" s="43"/>
    </row>
    <row r="837" spans="1:19" s="45" customFormat="1" ht="14.4" hidden="1">
      <c r="A837" s="25">
        <f>IF(C837="","",MAX($A$1:A836)+1)</f>
        <v>806</v>
      </c>
      <c r="B837" s="25" t="s">
        <v>19</v>
      </c>
      <c r="C837" s="41">
        <v>46089</v>
      </c>
      <c r="D837" s="48" t="str">
        <f>_xlfn.XLOOKUP(Table134526_79101120212223242526[[#This Row],[Name Surname]],Manpower!$C$4:$C$1048576,Manpower!$B$4:$B$1048576,"")</f>
        <v>Encogroup</v>
      </c>
      <c r="E837" s="43" t="s">
        <v>30</v>
      </c>
      <c r="F837" s="12">
        <f>_xlfn.XLOOKUP(Table134526_79101120212223242526[[#This Row],[Name Surname]],Manpower!C:C,Manpower!D:D,)</f>
        <v>116589569</v>
      </c>
      <c r="G837" s="48" t="str">
        <f>_xlfn.XLOOKUP(Table134526_79101120212223242526[[#This Row],[Name Surname]],Manpower!$C$4:$C$1048576,Manpower!$F$4:$F$1048576,"")</f>
        <v>Mechanical Engineer</v>
      </c>
      <c r="H837" s="48" t="str">
        <f>_xlfn.XLOOKUP(Table134526_79101120212223242526[[#This Row],[Name Surname]],Manpower!$C$4:$C$1048576,Manpower!$H$4:$H$1048576,"")</f>
        <v>Manpower</v>
      </c>
      <c r="I837" s="42" t="str">
        <f>_xlfn.XLOOKUP(Table134526_79101120212223242526[[#This Row],[Name Surname]],Manpower!$C$4:$C$1048576,Manpower!$H$4:$H$1048576,"")</f>
        <v>Manpower</v>
      </c>
      <c r="J837" s="43" t="s">
        <v>21</v>
      </c>
      <c r="K837" s="43" t="s">
        <v>231</v>
      </c>
      <c r="L837" s="43" t="s">
        <v>49</v>
      </c>
      <c r="M837" s="43" t="s">
        <v>24</v>
      </c>
      <c r="N837" s="44">
        <v>10</v>
      </c>
      <c r="O837" s="43" t="s">
        <v>25</v>
      </c>
      <c r="P837" s="43" t="s">
        <v>41</v>
      </c>
      <c r="Q837" s="43" t="s">
        <v>60</v>
      </c>
      <c r="R837" s="43" t="s">
        <v>26</v>
      </c>
      <c r="S837" s="43"/>
    </row>
    <row r="838" spans="1:19" ht="14.4" hidden="1">
      <c r="A838" s="33">
        <f>IF(C838="","",MAX($A$1:A837)+1)</f>
        <v>807</v>
      </c>
      <c r="B838" s="30" t="s">
        <v>19</v>
      </c>
      <c r="C838" s="23">
        <v>46089</v>
      </c>
      <c r="D838" s="28" t="str">
        <f>_xlfn.XLOOKUP(Table134526_79101120212223242526[[#This Row],[Name Surname]],Manpower!$C$4:$C$1048576,Manpower!$B$4:$B$1048576,"")</f>
        <v>Encogroup</v>
      </c>
      <c r="E838" s="21" t="s">
        <v>31</v>
      </c>
      <c r="F838" s="12">
        <f>_xlfn.XLOOKUP(Table134526_79101120212223242526[[#This Row],[Name Surname]],Manpower!C:C,Manpower!D:D,)</f>
        <v>99596058</v>
      </c>
      <c r="G838" s="28" t="str">
        <f>_xlfn.XLOOKUP(Table134526_79101120212223242526[[#This Row],[Name Surname]],Manpower!$C$4:$C$1048576,Manpower!$F$4:$F$1048576,"")</f>
        <v>HSE Officer</v>
      </c>
      <c r="H838" s="28" t="str">
        <f>_xlfn.XLOOKUP(Table134526_79101120212223242526[[#This Row],[Name Surname]],Manpower!$C$4:$C$1048576,Manpower!$H$4:$H$1048576,"")</f>
        <v>Manpower</v>
      </c>
      <c r="I838" s="24" t="str">
        <f>_xlfn.XLOOKUP(Table134526_79101120212223242526[[#This Row],[Name Surname]],Manpower!$C$4:$C$1048576,Manpower!$H$4:$H$1048576,"")</f>
        <v>Manpower</v>
      </c>
      <c r="J838" s="21" t="s">
        <v>21</v>
      </c>
      <c r="K838" s="21" t="s">
        <v>231</v>
      </c>
      <c r="L838" s="21" t="s">
        <v>49</v>
      </c>
      <c r="M838" s="21" t="s">
        <v>24</v>
      </c>
      <c r="N838" s="29">
        <v>10</v>
      </c>
      <c r="O838" s="21" t="s">
        <v>25</v>
      </c>
      <c r="P838" s="21" t="s">
        <v>41</v>
      </c>
      <c r="Q838" s="21" t="s">
        <v>60</v>
      </c>
      <c r="R838" s="21" t="s">
        <v>26</v>
      </c>
    </row>
    <row r="839" spans="1:19" s="45" customFormat="1" ht="14.4" hidden="1">
      <c r="A839" s="25">
        <f>IF(C839="","",MAX($A$1:A838)+1)</f>
        <v>808</v>
      </c>
      <c r="B839" s="25" t="s">
        <v>19</v>
      </c>
      <c r="C839" s="41">
        <v>46089</v>
      </c>
      <c r="D839" s="48" t="str">
        <f>_xlfn.XLOOKUP(Table134526_79101120212223242526[[#This Row],[Name Surname]],Manpower!$C$4:$C$1048576,Manpower!$B$4:$B$1048576,"")</f>
        <v>Encogroup</v>
      </c>
      <c r="E839" s="43" t="s">
        <v>32</v>
      </c>
      <c r="F839" s="12">
        <f>_xlfn.XLOOKUP(Table134526_79101120212223242526[[#This Row],[Name Surname]],Manpower!C:C,Manpower!D:D,)</f>
        <v>140697039</v>
      </c>
      <c r="G839" s="48" t="str">
        <f>_xlfn.XLOOKUP(Table134526_79101120212223242526[[#This Row],[Name Surname]],Manpower!$C$4:$C$1048576,Manpower!$F$4:$F$1048576,"")</f>
        <v>Fitter/Erector</v>
      </c>
      <c r="H839" s="48" t="str">
        <f>_xlfn.XLOOKUP(Table134526_79101120212223242526[[#This Row],[Name Surname]],Manpower!$C$4:$C$1048576,Manpower!$H$4:$H$1048576,"")</f>
        <v>Manpower</v>
      </c>
      <c r="I839" s="42" t="str">
        <f>_xlfn.XLOOKUP(Table134526_79101120212223242526[[#This Row],[Name Surname]],Manpower!$C$4:$C$1048576,Manpower!$H$4:$H$1048576,"")</f>
        <v>Manpower</v>
      </c>
      <c r="J839" s="43" t="s">
        <v>21</v>
      </c>
      <c r="K839" s="43" t="s">
        <v>231</v>
      </c>
      <c r="L839" s="43" t="s">
        <v>49</v>
      </c>
      <c r="M839" s="43" t="s">
        <v>24</v>
      </c>
      <c r="N839" s="44">
        <v>10</v>
      </c>
      <c r="O839" s="43" t="s">
        <v>25</v>
      </c>
      <c r="P839" s="43" t="s">
        <v>41</v>
      </c>
      <c r="Q839" s="43" t="s">
        <v>60</v>
      </c>
      <c r="R839" s="43" t="s">
        <v>26</v>
      </c>
      <c r="S839" s="43"/>
    </row>
    <row r="840" spans="1:19" s="45" customFormat="1" ht="14.4" hidden="1">
      <c r="A840" s="25">
        <f>IF(C840="","",MAX($A$1:A839)+1)</f>
        <v>809</v>
      </c>
      <c r="B840" s="25" t="s">
        <v>19</v>
      </c>
      <c r="C840" s="41">
        <v>46089</v>
      </c>
      <c r="D840" s="48" t="str">
        <f>_xlfn.XLOOKUP(Table134526_79101120212223242526[[#This Row],[Name Surname]],Manpower!$C$4:$C$1048576,Manpower!$B$4:$B$1048576,"")</f>
        <v>Encogroup</v>
      </c>
      <c r="E840" s="43" t="s">
        <v>59</v>
      </c>
      <c r="F840" s="12">
        <f>_xlfn.XLOOKUP(Table134526_79101120212223242526[[#This Row],[Name Surname]],Manpower!C:C,Manpower!D:D,)</f>
        <v>141169085</v>
      </c>
      <c r="G840" s="48" t="str">
        <f>_xlfn.XLOOKUP(Table134526_79101120212223242526[[#This Row],[Name Surname]],Manpower!$C$4:$C$1048576,Manpower!$F$4:$F$1048576,"")</f>
        <v>Welder</v>
      </c>
      <c r="H840" s="48" t="str">
        <f>_xlfn.XLOOKUP(Table134526_79101120212223242526[[#This Row],[Name Surname]],Manpower!$C$4:$C$1048576,Manpower!$H$4:$H$1048576,"")</f>
        <v>Manpower</v>
      </c>
      <c r="I840" s="42" t="str">
        <f>_xlfn.XLOOKUP(Table134526_79101120212223242526[[#This Row],[Name Surname]],Manpower!$C$4:$C$1048576,Manpower!$H$4:$H$1048576,"")</f>
        <v>Manpower</v>
      </c>
      <c r="J840" s="43" t="s">
        <v>21</v>
      </c>
      <c r="K840" s="43" t="s">
        <v>231</v>
      </c>
      <c r="L840" s="43" t="s">
        <v>49</v>
      </c>
      <c r="M840" s="43" t="s">
        <v>24</v>
      </c>
      <c r="N840" s="44">
        <v>5</v>
      </c>
      <c r="O840" s="43" t="s">
        <v>25</v>
      </c>
      <c r="P840" s="43" t="s">
        <v>41</v>
      </c>
      <c r="Q840" s="43" t="s">
        <v>60</v>
      </c>
      <c r="R840" s="43" t="s">
        <v>26</v>
      </c>
      <c r="S840" s="43"/>
    </row>
    <row r="841" spans="1:19" s="45" customFormat="1" ht="14.4" hidden="1">
      <c r="A841" s="25">
        <f>IF(C841="","",MAX($A$1:A840)+1)</f>
        <v>810</v>
      </c>
      <c r="B841" s="25" t="s">
        <v>19</v>
      </c>
      <c r="C841" s="41">
        <v>46089</v>
      </c>
      <c r="D841" s="48" t="str">
        <f>_xlfn.XLOOKUP(Table134526_79101120212223242526[[#This Row],[Name Surname]],Manpower!$C$4:$C$1048576,Manpower!$B$4:$B$1048576,"")</f>
        <v>AL Omar International TRAD AND CONT</v>
      </c>
      <c r="E841" s="43" t="s">
        <v>36</v>
      </c>
      <c r="F841" s="12">
        <f>_xlfn.XLOOKUP(Table134526_79101120212223242526[[#This Row],[Name Surname]],Manpower!C:C,Manpower!D:D,)</f>
        <v>114929202</v>
      </c>
      <c r="G841" s="48" t="str">
        <f>_xlfn.XLOOKUP(Table134526_79101120212223242526[[#This Row],[Name Surname]],Manpower!$C$4:$C$1048576,Manpower!$F$4:$F$1048576,"")</f>
        <v>RIgger</v>
      </c>
      <c r="H841" s="48" t="str">
        <f>_xlfn.XLOOKUP(Table134526_79101120212223242526[[#This Row],[Name Surname]],Manpower!$C$4:$C$1048576,Manpower!$H$4:$H$1048576,"")</f>
        <v>Sub Contactor</v>
      </c>
      <c r="I841" s="42" t="str">
        <f>_xlfn.XLOOKUP(Table134526_79101120212223242526[[#This Row],[Name Surname]],Manpower!$C$4:$C$1048576,Manpower!$H$4:$H$1048576,"")</f>
        <v>Sub Contactor</v>
      </c>
      <c r="J841" s="43" t="s">
        <v>21</v>
      </c>
      <c r="K841" s="43" t="s">
        <v>231</v>
      </c>
      <c r="L841" s="43" t="s">
        <v>49</v>
      </c>
      <c r="M841" s="43" t="s">
        <v>24</v>
      </c>
      <c r="N841" s="44">
        <v>5</v>
      </c>
      <c r="O841" s="43" t="s">
        <v>25</v>
      </c>
      <c r="P841" s="43" t="s">
        <v>41</v>
      </c>
      <c r="Q841" s="43" t="s">
        <v>60</v>
      </c>
      <c r="R841" s="43" t="s">
        <v>26</v>
      </c>
      <c r="S841" s="43"/>
    </row>
    <row r="842" spans="1:19" s="45" customFormat="1" ht="14.4" hidden="1">
      <c r="A842" s="25">
        <f>IF(C842="","",MAX($A$1:A841)+1)</f>
        <v>811</v>
      </c>
      <c r="B842" s="25" t="s">
        <v>19</v>
      </c>
      <c r="C842" s="41">
        <v>46089</v>
      </c>
      <c r="D842" s="48" t="str">
        <f>_xlfn.XLOOKUP(Table134526_79101120212223242526[[#This Row],[Name Surname]],Manpower!$C$4:$C$1048576,Manpower!$B$4:$B$1048576,"")</f>
        <v>Encogroup</v>
      </c>
      <c r="E842" s="43" t="s">
        <v>37</v>
      </c>
      <c r="F842" s="12">
        <f>_xlfn.XLOOKUP(Table134526_79101120212223242526[[#This Row],[Name Surname]],Manpower!C:C,Manpower!D:D,)</f>
        <v>140742088</v>
      </c>
      <c r="G842" s="48" t="str">
        <f>_xlfn.XLOOKUP(Table134526_79101120212223242526[[#This Row],[Name Surname]],Manpower!$C$4:$C$1048576,Manpower!$F$4:$F$1048576,"")</f>
        <v>Fitter/Erector</v>
      </c>
      <c r="H842" s="48" t="str">
        <f>_xlfn.XLOOKUP(Table134526_79101120212223242526[[#This Row],[Name Surname]],Manpower!$C$4:$C$1048576,Manpower!$H$4:$H$1048576,"")</f>
        <v>Manpower</v>
      </c>
      <c r="I842" s="42" t="str">
        <f>_xlfn.XLOOKUP(Table134526_79101120212223242526[[#This Row],[Name Surname]],Manpower!$C$4:$C$1048576,Manpower!$H$4:$H$1048576,"")</f>
        <v>Manpower</v>
      </c>
      <c r="J842" s="43" t="s">
        <v>21</v>
      </c>
      <c r="K842" s="43" t="s">
        <v>231</v>
      </c>
      <c r="L842" s="43" t="s">
        <v>49</v>
      </c>
      <c r="M842" s="43" t="s">
        <v>24</v>
      </c>
      <c r="N842" s="44">
        <v>10</v>
      </c>
      <c r="O842" s="43" t="s">
        <v>25</v>
      </c>
      <c r="P842" s="43" t="s">
        <v>41</v>
      </c>
      <c r="Q842" s="43" t="s">
        <v>60</v>
      </c>
      <c r="R842" s="43" t="s">
        <v>26</v>
      </c>
      <c r="S842" s="43"/>
    </row>
    <row r="843" spans="1:19" s="45" customFormat="1" ht="14.4" hidden="1">
      <c r="A843" s="25"/>
      <c r="B843" s="25" t="s">
        <v>19</v>
      </c>
      <c r="C843" s="41">
        <v>46089</v>
      </c>
      <c r="D843" s="48" t="str">
        <f>_xlfn.XLOOKUP(Table134526_79101120212223242526[[#This Row],[Name Surname]],Manpower!$C$4:$C$1048576,Manpower!$B$4:$B$1048576,"")</f>
        <v>Encogroup</v>
      </c>
      <c r="E843" s="43" t="s">
        <v>61</v>
      </c>
      <c r="F843" s="12">
        <f>_xlfn.XLOOKUP(Table134526_79101120212223242526[[#This Row],[Name Surname]],Manpower!C:C,Manpower!D:D,)</f>
        <v>141169047</v>
      </c>
      <c r="G843" s="48" t="str">
        <f>_xlfn.XLOOKUP(Table134526_79101120212223242526[[#This Row],[Name Surname]],Manpower!$C$4:$C$1048576,Manpower!$F$4:$F$1048576,"")</f>
        <v>Welder</v>
      </c>
      <c r="H843" s="48" t="str">
        <f>_xlfn.XLOOKUP(Table134526_79101120212223242526[[#This Row],[Name Surname]],Manpower!$C$4:$C$1048576,Manpower!$H$4:$H$1048576,"")</f>
        <v>Manpower</v>
      </c>
      <c r="I843" s="42" t="str">
        <f>_xlfn.XLOOKUP(Table134526_79101120212223242526[[#This Row],[Name Surname]],Manpower!$C$4:$C$1048576,Manpower!$H$4:$H$1048576,"")</f>
        <v>Manpower</v>
      </c>
      <c r="J843" s="43" t="s">
        <v>21</v>
      </c>
      <c r="K843" s="43" t="s">
        <v>231</v>
      </c>
      <c r="L843" s="43" t="s">
        <v>49</v>
      </c>
      <c r="M843" s="43" t="s">
        <v>24</v>
      </c>
      <c r="N843" s="44">
        <v>10</v>
      </c>
      <c r="O843" s="43" t="s">
        <v>25</v>
      </c>
      <c r="P843" s="43" t="s">
        <v>41</v>
      </c>
      <c r="Q843" s="43" t="s">
        <v>60</v>
      </c>
      <c r="R843" s="43" t="s">
        <v>26</v>
      </c>
      <c r="S843" s="43"/>
    </row>
    <row r="844" spans="1:19" s="45" customFormat="1" ht="14.4" hidden="1">
      <c r="A844" s="25">
        <f>IF(C844="","",MAX($A$1:A842)+1)</f>
        <v>812</v>
      </c>
      <c r="B844" s="25" t="s">
        <v>19</v>
      </c>
      <c r="C844" s="41">
        <v>46089</v>
      </c>
      <c r="D844" s="48" t="str">
        <f>_xlfn.XLOOKUP(Table134526_79101120212223242526[[#This Row],[Name Surname]],Manpower!$C$4:$C$1048576,Manpower!$B$4:$B$1048576,"")</f>
        <v>Rial Al Khaleej</v>
      </c>
      <c r="E844" s="43" t="s">
        <v>38</v>
      </c>
      <c r="F844" s="12">
        <f>_xlfn.XLOOKUP(Table134526_79101120212223242526[[#This Row],[Name Surname]],Manpower!C:C,Manpower!D:D,)</f>
        <v>98845403</v>
      </c>
      <c r="G844" s="48" t="str">
        <f>_xlfn.XLOOKUP(Table134526_79101120212223242526[[#This Row],[Name Surname]],Manpower!$C$4:$C$1048576,Manpower!$F$4:$F$1048576,"")</f>
        <v>Crane Operator-100T Zoomlion Telescopic</v>
      </c>
      <c r="H844" s="48" t="s">
        <v>39</v>
      </c>
      <c r="I844" s="42" t="s">
        <v>39</v>
      </c>
      <c r="J844" s="43" t="s">
        <v>21</v>
      </c>
      <c r="K844" s="43" t="s">
        <v>231</v>
      </c>
      <c r="L844" s="43" t="s">
        <v>49</v>
      </c>
      <c r="M844" s="43" t="s">
        <v>24</v>
      </c>
      <c r="N844" s="44">
        <v>8</v>
      </c>
      <c r="O844" s="43" t="s">
        <v>40</v>
      </c>
      <c r="P844" s="43" t="s">
        <v>41</v>
      </c>
      <c r="Q844" s="43" t="s">
        <v>42</v>
      </c>
      <c r="R844" s="43" t="s">
        <v>43</v>
      </c>
      <c r="S844" s="43"/>
    </row>
    <row r="845" spans="1:19" s="45" customFormat="1" ht="14.4" hidden="1">
      <c r="A845" s="25">
        <f>IF(C845="","",MAX($A$1:A844)+1)</f>
        <v>813</v>
      </c>
      <c r="B845" s="25" t="s">
        <v>19</v>
      </c>
      <c r="C845" s="41">
        <v>46089</v>
      </c>
      <c r="D845" s="48" t="str">
        <f>_xlfn.XLOOKUP(Table134526_79101120212223242526[[#This Row],[Name Surname]],Manpower!$C$4:$C$1048576,Manpower!$B$4:$B$1048576,"")</f>
        <v>Encogroup</v>
      </c>
      <c r="E845" s="43" t="s">
        <v>44</v>
      </c>
      <c r="F845" s="12">
        <f>_xlfn.XLOOKUP(Table134526_79101120212223242526[[#This Row],[Name Surname]],Manpower!C:C,Manpower!D:D,)</f>
        <v>140806218</v>
      </c>
      <c r="G845" s="48" t="str">
        <f>_xlfn.XLOOKUP(Table134526_79101120212223242526[[#This Row],[Name Surname]],Manpower!$C$4:$C$1048576,Manpower!$F$4:$F$1048576,"")</f>
        <v>Fitter/Erector</v>
      </c>
      <c r="H845" s="48" t="str">
        <f>_xlfn.XLOOKUP(Table134526_79101120212223242526[[#This Row],[Name Surname]],Manpower!$C$4:$C$1048576,Manpower!$H$4:$H$1048576,"")</f>
        <v>Manpower</v>
      </c>
      <c r="I845" s="42" t="str">
        <f>_xlfn.XLOOKUP(Table134526_79101120212223242526[[#This Row],[Name Surname]],Manpower!$C$4:$C$1048576,Manpower!$H$4:$H$1048576,"")</f>
        <v>Manpower</v>
      </c>
      <c r="J845" s="43" t="s">
        <v>21</v>
      </c>
      <c r="K845" s="43" t="s">
        <v>231</v>
      </c>
      <c r="L845" s="43" t="s">
        <v>49</v>
      </c>
      <c r="M845" s="43" t="s">
        <v>24</v>
      </c>
      <c r="N845" s="44">
        <v>10</v>
      </c>
      <c r="O845" s="43" t="s">
        <v>25</v>
      </c>
      <c r="P845" s="43" t="s">
        <v>41</v>
      </c>
      <c r="Q845" s="43" t="s">
        <v>60</v>
      </c>
      <c r="R845" s="43" t="s">
        <v>26</v>
      </c>
      <c r="S845" s="43"/>
    </row>
    <row r="846" spans="1:19" s="45" customFormat="1" ht="14.4" hidden="1">
      <c r="A846" s="25">
        <f>IF(C846="","",MAX($A$1:A845)+1)</f>
        <v>814</v>
      </c>
      <c r="B846" s="25" t="s">
        <v>19</v>
      </c>
      <c r="C846" s="41">
        <v>46089</v>
      </c>
      <c r="D846" s="48" t="str">
        <f>_xlfn.XLOOKUP(Table134526_79101120212223242526[[#This Row],[Name Surname]],Manpower!$C$4:$C$1048576,Manpower!$B$4:$B$1048576,"")</f>
        <v>Encogroup</v>
      </c>
      <c r="E846" s="43" t="s">
        <v>46</v>
      </c>
      <c r="F846" s="12">
        <f>_xlfn.XLOOKUP(Table134526_79101120212223242526[[#This Row],[Name Surname]],Manpower!C:C,Manpower!D:D,)</f>
        <v>140844618</v>
      </c>
      <c r="G846" s="48" t="str">
        <f>_xlfn.XLOOKUP(Table134526_79101120212223242526[[#This Row],[Name Surname]],Manpower!$C$4:$C$1048576,Manpower!$F$4:$F$1048576,"")</f>
        <v>Assistant/Helper</v>
      </c>
      <c r="H846" s="48" t="str">
        <f>_xlfn.XLOOKUP(Table134526_79101120212223242526[[#This Row],[Name Surname]],Manpower!$C$4:$C$1048576,Manpower!$H$4:$H$1048576,"")</f>
        <v>Manpower</v>
      </c>
      <c r="I846" s="42" t="str">
        <f>_xlfn.XLOOKUP(Table134526_79101120212223242526[[#This Row],[Name Surname]],Manpower!$C$4:$C$1048576,Manpower!$H$4:$H$1048576,"")</f>
        <v>Manpower</v>
      </c>
      <c r="J846" s="43" t="s">
        <v>21</v>
      </c>
      <c r="K846" s="43" t="s">
        <v>231</v>
      </c>
      <c r="L846" s="43" t="s">
        <v>49</v>
      </c>
      <c r="M846" s="43" t="s">
        <v>24</v>
      </c>
      <c r="N846" s="44">
        <v>10</v>
      </c>
      <c r="O846" s="43" t="s">
        <v>25</v>
      </c>
      <c r="P846" s="43" t="s">
        <v>41</v>
      </c>
      <c r="Q846" s="43" t="s">
        <v>60</v>
      </c>
      <c r="R846" s="43" t="s">
        <v>26</v>
      </c>
      <c r="S846" s="43"/>
    </row>
    <row r="847" spans="1:19" ht="14.4">
      <c r="A847" s="33">
        <f>IF(C847="","",MAX($A$1:A846)+1)</f>
        <v>815</v>
      </c>
      <c r="B847" s="25" t="s">
        <v>19</v>
      </c>
      <c r="C847" s="23">
        <v>46089</v>
      </c>
      <c r="D847" s="28" t="str">
        <f>_xlfn.XLOOKUP(Table134526_79101120212223242526[[#This Row],[Name Surname]],Manpower!$C$4:$C$1048576,Manpower!$B$4:$B$1048576,"")</f>
        <v>Bright Light</v>
      </c>
      <c r="E847" s="23" t="s">
        <v>47</v>
      </c>
      <c r="F847" s="12" t="e">
        <f>_xlfn.XLOOKUP(Table134526_79101120212223242526[[#This Row],[Name Surname]],Manpower!C:C,Manpower!D:D,)</f>
        <v>#N/A</v>
      </c>
      <c r="G847" s="28" t="str">
        <f>_xlfn.XLOOKUP(Table134526_79101120212223242526[[#This Row],[Name Surname]],Manpower!$C$4:$C$1048576,Manpower!$F$4:$F$1048576,"")</f>
        <v>100T Telescopic Crane</v>
      </c>
      <c r="H847" s="28" t="str">
        <f>_xlfn.XLOOKUP(Table134526_79101120212223242526[[#This Row],[Name Surname]],Manpower!$C$4:$C$1048576,Manpower!$H$4:$H$1048576,"")</f>
        <v>Equipment</v>
      </c>
      <c r="I847" s="24" t="str">
        <f>_xlfn.XLOOKUP(Table134526_79101120212223242526[[#This Row],[Name Surname]],Manpower!$C$4:$C$1048576,Manpower!$H$4:$H$1048576,"")</f>
        <v>Equipment</v>
      </c>
      <c r="J847" s="21" t="s">
        <v>48</v>
      </c>
      <c r="K847" s="21" t="s">
        <v>26</v>
      </c>
      <c r="L847" s="21" t="s">
        <v>49</v>
      </c>
      <c r="M847" s="21" t="s">
        <v>24</v>
      </c>
      <c r="N847" s="29">
        <v>10</v>
      </c>
      <c r="O847" s="21" t="s">
        <v>40</v>
      </c>
      <c r="P847" s="21" t="s">
        <v>41</v>
      </c>
      <c r="Q847" s="21" t="s">
        <v>42</v>
      </c>
      <c r="R847" s="21" t="s">
        <v>50</v>
      </c>
    </row>
    <row r="848" spans="1:19" ht="14.4">
      <c r="A848" s="33">
        <f>IF(C848="","",MAX($A$1:A847)+1)</f>
        <v>816</v>
      </c>
      <c r="B848" s="25" t="s">
        <v>19</v>
      </c>
      <c r="C848" s="23">
        <v>46089</v>
      </c>
      <c r="D848" s="28" t="str">
        <f>_xlfn.XLOOKUP(Table134526_79101120212223242526[[#This Row],[Name Surname]],Manpower!$C$4:$C$1048576,Manpower!$B$4:$B$1048576,"")</f>
        <v>Bright Light</v>
      </c>
      <c r="E848" s="21" t="s">
        <v>51</v>
      </c>
      <c r="F848" s="12" t="e">
        <f>_xlfn.XLOOKUP(Table134526_79101120212223242526[[#This Row],[Name Surname]],Manpower!C:C,Manpower!D:D,)</f>
        <v>#N/A</v>
      </c>
      <c r="G848" s="28" t="str">
        <f>_xlfn.XLOOKUP(Table134526_79101120212223242526[[#This Row],[Name Surname]],Manpower!$C$4:$C$1048576,Manpower!$F$4:$F$1048576,"")</f>
        <v>150T-Crawler Crane</v>
      </c>
      <c r="H848" s="28" t="str">
        <f>_xlfn.XLOOKUP(Table134526_79101120212223242526[[#This Row],[Name Surname]],Manpower!$C$4:$C$1048576,Manpower!$H$4:$H$1048576,"")</f>
        <v>Equipment</v>
      </c>
      <c r="I848" s="24" t="str">
        <f>_xlfn.XLOOKUP(Table134526_79101120212223242526[[#This Row],[Name Surname]],Manpower!$C$4:$C$1048576,Manpower!$H$4:$H$1048576,"")</f>
        <v>Equipment</v>
      </c>
      <c r="J848" s="21" t="s">
        <v>48</v>
      </c>
      <c r="K848" s="21" t="s">
        <v>26</v>
      </c>
      <c r="L848" s="21" t="s">
        <v>49</v>
      </c>
      <c r="M848" s="21" t="s">
        <v>24</v>
      </c>
      <c r="N848" s="29">
        <v>10</v>
      </c>
      <c r="O848" s="21" t="s">
        <v>40</v>
      </c>
      <c r="P848" s="21" t="s">
        <v>41</v>
      </c>
      <c r="Q848" s="21" t="s">
        <v>42</v>
      </c>
      <c r="R848" s="21" t="s">
        <v>26</v>
      </c>
    </row>
    <row r="849" spans="1:20" ht="14.4">
      <c r="A849" s="33">
        <f>IF(C849="","",MAX($A$1:A848)+1)</f>
        <v>817</v>
      </c>
      <c r="B849" s="25" t="s">
        <v>19</v>
      </c>
      <c r="C849" s="23">
        <v>46089</v>
      </c>
      <c r="D849" s="28" t="str">
        <f>_xlfn.XLOOKUP(Table134526_79101120212223242526[[#This Row],[Name Surname]],Manpower!$C$4:$C$1048576,Manpower!$B$4:$B$1048576,"")</f>
        <v>Encogroup</v>
      </c>
      <c r="E849" s="21" t="s">
        <v>53</v>
      </c>
      <c r="F849" s="12" t="e">
        <f>_xlfn.XLOOKUP(Table134526_79101120212223242526[[#This Row],[Name Surname]],Manpower!C:C,Manpower!D:D,)</f>
        <v>#N/A</v>
      </c>
      <c r="G849" s="28" t="str">
        <f>_xlfn.XLOOKUP(Table134526_79101120212223242526[[#This Row],[Name Surname]],Manpower!$C$4:$C$1048576,Manpower!$F$4:$F$1048576,"")</f>
        <v>22M-Manlift</v>
      </c>
      <c r="H849" s="28" t="str">
        <f>_xlfn.XLOOKUP(Table134526_79101120212223242526[[#This Row],[Name Surname]],Manpower!$C$4:$C$1048576,Manpower!$H$4:$H$1048576,"")</f>
        <v>Equipment</v>
      </c>
      <c r="I849" s="24" t="str">
        <f>_xlfn.XLOOKUP(Table134526_79101120212223242526[[#This Row],[Name Surname]],Manpower!$C$4:$C$1048576,Manpower!$H$4:$H$1048576,"")</f>
        <v>Equipment</v>
      </c>
      <c r="J849" s="21" t="s">
        <v>48</v>
      </c>
      <c r="K849" s="21" t="s">
        <v>26</v>
      </c>
      <c r="L849" s="21" t="s">
        <v>49</v>
      </c>
      <c r="M849" s="21" t="s">
        <v>24</v>
      </c>
      <c r="N849" s="29">
        <v>10</v>
      </c>
      <c r="O849" s="21" t="s">
        <v>25</v>
      </c>
      <c r="P849" s="21" t="s">
        <v>41</v>
      </c>
      <c r="Q849" s="21" t="s">
        <v>41</v>
      </c>
      <c r="R849" s="21" t="s">
        <v>50</v>
      </c>
    </row>
    <row r="850" spans="1:20" ht="14.4">
      <c r="A850" s="33">
        <f>IF(C850="","",MAX($A$1:A849)+1)</f>
        <v>818</v>
      </c>
      <c r="B850" s="25" t="s">
        <v>19</v>
      </c>
      <c r="C850" s="23">
        <v>46089</v>
      </c>
      <c r="D850" s="28" t="str">
        <f>_xlfn.XLOOKUP(Table134526_79101120212223242526[[#This Row],[Name Surname]],Manpower!$C$4:$C$1048576,Manpower!$B$4:$B$1048576,"")</f>
        <v>Encogroup</v>
      </c>
      <c r="E850" s="21" t="s">
        <v>54</v>
      </c>
      <c r="F850" s="12" t="e">
        <f>_xlfn.XLOOKUP(Table134526_79101120212223242526[[#This Row],[Name Surname]],Manpower!C:C,Manpower!D:D,)</f>
        <v>#N/A</v>
      </c>
      <c r="G850" s="28" t="str">
        <f>_xlfn.XLOOKUP(Table134526_79101120212223242526[[#This Row],[Name Surname]],Manpower!$C$4:$C$1048576,Manpower!$F$4:$F$1048576,"")</f>
        <v>28M-Manlift</v>
      </c>
      <c r="H850" s="28" t="str">
        <f>_xlfn.XLOOKUP(Table134526_79101120212223242526[[#This Row],[Name Surname]],Manpower!$C$4:$C$1048576,Manpower!$H$4:$H$1048576,"")</f>
        <v>Equipment</v>
      </c>
      <c r="I850" s="24" t="str">
        <f>_xlfn.XLOOKUP(Table134526_79101120212223242526[[#This Row],[Name Surname]],Manpower!$C$4:$C$1048576,Manpower!$H$4:$H$1048576,"")</f>
        <v>Equipment</v>
      </c>
      <c r="J850" s="21" t="s">
        <v>48</v>
      </c>
      <c r="K850" s="21" t="s">
        <v>26</v>
      </c>
      <c r="L850" s="21" t="s">
        <v>49</v>
      </c>
      <c r="M850" s="21" t="s">
        <v>55</v>
      </c>
      <c r="N850" s="29">
        <v>10</v>
      </c>
      <c r="R850" s="21" t="s">
        <v>56</v>
      </c>
    </row>
    <row r="851" spans="1:20" ht="14.4" hidden="1">
      <c r="A851" s="33">
        <f>IF(C851="","",MAX($A$1:A850)+1)</f>
        <v>819</v>
      </c>
      <c r="B851" s="25" t="s">
        <v>19</v>
      </c>
      <c r="C851" s="23">
        <v>46089</v>
      </c>
      <c r="D851" s="28" t="str">
        <f>_xlfn.XLOOKUP(Table134526_79101120212223242526[[#This Row],[Name Surname]],Manpower!$C$4:$C$1048576,Manpower!$B$4:$B$1048576,"")</f>
        <v>Encogroup</v>
      </c>
      <c r="E851" s="21" t="s">
        <v>57</v>
      </c>
      <c r="F851" s="12">
        <f>_xlfn.XLOOKUP(Table134526_79101120212223242526[[#This Row],[Name Surname]],Manpower!C:C,Manpower!D:D,)</f>
        <v>140693697</v>
      </c>
      <c r="G851" s="28" t="str">
        <f>_xlfn.XLOOKUP(Table134526_79101120212223242526[[#This Row],[Name Surname]],Manpower!$C$4:$C$1048576,Manpower!$F$4:$F$1048576,"")</f>
        <v>HSE Officer</v>
      </c>
      <c r="H851" s="28" t="str">
        <f>_xlfn.XLOOKUP(Table134526_79101120212223242526[[#This Row],[Name Surname]],Manpower!$C$4:$C$1048576,Manpower!$H$4:$H$1048576,"")</f>
        <v>Manpower</v>
      </c>
      <c r="I851" s="24" t="str">
        <f>_xlfn.XLOOKUP(Table134526_79101120212223242526[[#This Row],[Name Surname]],Manpower!$C$4:$C$1048576,Manpower!$H$4:$H$1048576,"")</f>
        <v>Manpower</v>
      </c>
      <c r="J851" s="21" t="s">
        <v>48</v>
      </c>
      <c r="K851" s="21" t="s">
        <v>26</v>
      </c>
      <c r="L851" s="21" t="s">
        <v>49</v>
      </c>
      <c r="M851" s="21" t="s">
        <v>24</v>
      </c>
      <c r="N851" s="29">
        <v>10</v>
      </c>
      <c r="O851" s="21" t="s">
        <v>25</v>
      </c>
      <c r="P851" s="21" t="s">
        <v>41</v>
      </c>
      <c r="Q851" s="21" t="s">
        <v>41</v>
      </c>
      <c r="R851" s="21" t="s">
        <v>26</v>
      </c>
    </row>
    <row r="852" spans="1:20" ht="14.4" hidden="1">
      <c r="A852" s="33">
        <f>IF(C852="","",MAX($A$1:A851)+1)</f>
        <v>820</v>
      </c>
      <c r="B852" s="25" t="s">
        <v>19</v>
      </c>
      <c r="C852" s="23">
        <v>46089</v>
      </c>
      <c r="D852" s="28" t="str">
        <f>_xlfn.XLOOKUP(Table134526_79101120212223242526[[#This Row],[Name Surname]],Manpower!$C$4:$C$1048576,Manpower!$B$4:$B$1048576,"")</f>
        <v>Encogroup</v>
      </c>
      <c r="E852" s="21" t="s">
        <v>27</v>
      </c>
      <c r="F852" s="12">
        <f>_xlfn.XLOOKUP(Table134526_79101120212223242526[[#This Row],[Name Surname]],Manpower!C:C,Manpower!D:D,)</f>
        <v>127414586</v>
      </c>
      <c r="G852" s="28" t="str">
        <f>_xlfn.XLOOKUP(Table134526_79101120212223242526[[#This Row],[Name Surname]],Manpower!$C$4:$C$1048576,Manpower!$F$4:$F$1048576,"")</f>
        <v>Electrician</v>
      </c>
      <c r="H852" s="28" t="str">
        <f>_xlfn.XLOOKUP(Table134526_79101120212223242526[[#This Row],[Name Surname]],Manpower!$C$4:$C$1048576,Manpower!$H$4:$H$1048576,"")</f>
        <v>Manpower</v>
      </c>
      <c r="I852" s="24" t="str">
        <f>_xlfn.XLOOKUP(Table134526_79101120212223242526[[#This Row],[Name Surname]],Manpower!$C$4:$C$1048576,Manpower!$H$4:$H$1048576,"")</f>
        <v>Manpower</v>
      </c>
      <c r="J852" s="21" t="s">
        <v>48</v>
      </c>
      <c r="K852" s="21" t="s">
        <v>26</v>
      </c>
      <c r="L852" s="21" t="s">
        <v>49</v>
      </c>
      <c r="M852" s="21" t="s">
        <v>24</v>
      </c>
      <c r="N852" s="29">
        <v>5</v>
      </c>
      <c r="O852" s="21" t="s">
        <v>28</v>
      </c>
      <c r="P852" s="21" t="s">
        <v>41</v>
      </c>
      <c r="Q852" s="21" t="s">
        <v>41</v>
      </c>
      <c r="R852" s="21" t="s">
        <v>26</v>
      </c>
    </row>
    <row r="853" spans="1:20" s="45" customFormat="1" ht="14.4" hidden="1">
      <c r="A853" s="25">
        <f>IF(C853="","",MAX($A$1:A852)+1)</f>
        <v>821</v>
      </c>
      <c r="B853" s="25" t="s">
        <v>19</v>
      </c>
      <c r="C853" s="41">
        <v>46089</v>
      </c>
      <c r="D853" s="48" t="str">
        <f>_xlfn.XLOOKUP(Table134526_79101120212223242526[[#This Row],[Name Surname]],Manpower!$C$4:$C$1048576,Manpower!$B$4:$B$1048576,"")</f>
        <v>Encogroup</v>
      </c>
      <c r="E853" s="43" t="s">
        <v>33</v>
      </c>
      <c r="F853" s="12">
        <f>_xlfn.XLOOKUP(Table134526_79101120212223242526[[#This Row],[Name Surname]],Manpower!C:C,Manpower!D:D,)</f>
        <v>124565057</v>
      </c>
      <c r="G853" s="48" t="str">
        <f>_xlfn.XLOOKUP(Table134526_79101120212223242526[[#This Row],[Name Surname]],Manpower!$C$4:$C$1048576,Manpower!$F$4:$F$1048576,"")</f>
        <v>Fitter/Erector</v>
      </c>
      <c r="H853" s="48" t="str">
        <f>_xlfn.XLOOKUP(Table134526_79101120212223242526[[#This Row],[Name Surname]],Manpower!$C$4:$C$1048576,Manpower!$H$4:$H$1048576,"")</f>
        <v>Manpower</v>
      </c>
      <c r="I853" s="42" t="str">
        <f>_xlfn.XLOOKUP(Table134526_79101120212223242526[[#This Row],[Name Surname]],Manpower!$C$4:$C$1048576,Manpower!$H$4:$H$1048576,"")</f>
        <v>Manpower</v>
      </c>
      <c r="J853" s="43" t="s">
        <v>48</v>
      </c>
      <c r="K853" s="43" t="s">
        <v>26</v>
      </c>
      <c r="L853" s="43" t="s">
        <v>49</v>
      </c>
      <c r="M853" s="43" t="s">
        <v>24</v>
      </c>
      <c r="N853" s="44">
        <v>10</v>
      </c>
      <c r="O853" s="43" t="s">
        <v>25</v>
      </c>
      <c r="P853" s="43" t="s">
        <v>41</v>
      </c>
      <c r="Q853" s="43" t="s">
        <v>60</v>
      </c>
      <c r="R853" s="43" t="s">
        <v>26</v>
      </c>
      <c r="S853" s="43"/>
    </row>
    <row r="854" spans="1:20" s="45" customFormat="1" ht="14.4" hidden="1">
      <c r="A854" s="25">
        <f>IF(C854="","",MAX($A$1:A853)+1)</f>
        <v>822</v>
      </c>
      <c r="B854" s="25" t="s">
        <v>19</v>
      </c>
      <c r="C854" s="41">
        <v>46089</v>
      </c>
      <c r="D854" s="48" t="str">
        <f>_xlfn.XLOOKUP(Table134526_79101120212223242526[[#This Row],[Name Surname]],Manpower!$C$4:$C$1048576,Manpower!$B$4:$B$1048576,"")</f>
        <v>Encogroup</v>
      </c>
      <c r="E854" s="43" t="s">
        <v>59</v>
      </c>
      <c r="F854" s="12">
        <f>_xlfn.XLOOKUP(Table134526_79101120212223242526[[#This Row],[Name Surname]],Manpower!C:C,Manpower!D:D,)</f>
        <v>141169085</v>
      </c>
      <c r="G854" s="48" t="str">
        <f>_xlfn.XLOOKUP(Table134526_79101120212223242526[[#This Row],[Name Surname]],Manpower!$C$4:$C$1048576,Manpower!$F$4:$F$1048576,"")</f>
        <v>Welder</v>
      </c>
      <c r="H854" s="48" t="str">
        <f>_xlfn.XLOOKUP(Table134526_79101120212223242526[[#This Row],[Name Surname]],Manpower!$C$4:$C$1048576,Manpower!$H$4:$H$1048576,"")</f>
        <v>Manpower</v>
      </c>
      <c r="I854" s="42" t="str">
        <f>_xlfn.XLOOKUP(Table134526_79101120212223242526[[#This Row],[Name Surname]],Manpower!$C$4:$C$1048576,Manpower!$H$4:$H$1048576,"")</f>
        <v>Manpower</v>
      </c>
      <c r="J854" s="43" t="s">
        <v>48</v>
      </c>
      <c r="K854" s="43" t="s">
        <v>26</v>
      </c>
      <c r="L854" s="43" t="s">
        <v>49</v>
      </c>
      <c r="M854" s="43" t="s">
        <v>24</v>
      </c>
      <c r="N854" s="44">
        <v>5</v>
      </c>
      <c r="O854" s="43" t="s">
        <v>25</v>
      </c>
      <c r="P854" s="43" t="s">
        <v>41</v>
      </c>
      <c r="Q854" s="43" t="s">
        <v>60</v>
      </c>
      <c r="R854" s="43" t="s">
        <v>26</v>
      </c>
      <c r="S854" s="43"/>
    </row>
    <row r="855" spans="1:20" s="45" customFormat="1" ht="14.4" hidden="1">
      <c r="A855" s="25">
        <f>IF(C855="","",MAX($A$1:A854)+1)</f>
        <v>823</v>
      </c>
      <c r="B855" s="25" t="s">
        <v>19</v>
      </c>
      <c r="C855" s="41">
        <v>46089</v>
      </c>
      <c r="D855" s="48" t="str">
        <f>_xlfn.XLOOKUP(Table134526_79101120212223242526[[#This Row],[Name Surname]],Manpower!$C$4:$C$1048576,Manpower!$B$4:$B$1048576,"")</f>
        <v>Encogroup</v>
      </c>
      <c r="E855" s="43" t="s">
        <v>61</v>
      </c>
      <c r="F855" s="12">
        <f>_xlfn.XLOOKUP(Table134526_79101120212223242526[[#This Row],[Name Surname]],Manpower!C:C,Manpower!D:D,)</f>
        <v>141169047</v>
      </c>
      <c r="G855" s="48" t="str">
        <f>_xlfn.XLOOKUP(Table134526_79101120212223242526[[#This Row],[Name Surname]],Manpower!$C$4:$C$1048576,Manpower!$F$4:$F$1048576,"")</f>
        <v>Welder</v>
      </c>
      <c r="H855" s="48" t="str">
        <f>_xlfn.XLOOKUP(Table134526_79101120212223242526[[#This Row],[Name Surname]],Manpower!$C$4:$C$1048576,Manpower!$H$4:$H$1048576,"")</f>
        <v>Manpower</v>
      </c>
      <c r="I855" s="42" t="str">
        <f>_xlfn.XLOOKUP(Table134526_79101120212223242526[[#This Row],[Name Surname]],Manpower!$C$4:$C$1048576,Manpower!$H$4:$H$1048576,"")</f>
        <v>Manpower</v>
      </c>
      <c r="J855" s="43" t="s">
        <v>48</v>
      </c>
      <c r="K855" s="43" t="s">
        <v>26</v>
      </c>
      <c r="L855" s="43" t="s">
        <v>49</v>
      </c>
      <c r="M855" s="43" t="s">
        <v>24</v>
      </c>
      <c r="N855" s="44">
        <v>5</v>
      </c>
      <c r="O855" s="43" t="s">
        <v>25</v>
      </c>
      <c r="P855" s="43" t="s">
        <v>41</v>
      </c>
      <c r="Q855" s="43" t="s">
        <v>60</v>
      </c>
      <c r="R855" s="43" t="s">
        <v>26</v>
      </c>
      <c r="S855" s="43" t="s">
        <v>45</v>
      </c>
    </row>
    <row r="856" spans="1:20" s="45" customFormat="1" ht="14.4" hidden="1">
      <c r="A856" s="25">
        <f>IF(C856="","",MAX($A$1:A855)+1)</f>
        <v>824</v>
      </c>
      <c r="B856" s="25" t="s">
        <v>19</v>
      </c>
      <c r="C856" s="41">
        <v>46089</v>
      </c>
      <c r="D856" s="48" t="str">
        <f>_xlfn.XLOOKUP(Table134526_79101120212223242526[[#This Row],[Name Surname]],Manpower!$C$4:$C$1048576,Manpower!$B$4:$B$1048576,"")</f>
        <v>Encogroup</v>
      </c>
      <c r="E856" s="43" t="s">
        <v>62</v>
      </c>
      <c r="F856" s="12">
        <f>_xlfn.XLOOKUP(Table134526_79101120212223242526[[#This Row],[Name Surname]],Manpower!C:C,Manpower!D:D,)</f>
        <v>140844797</v>
      </c>
      <c r="G856" s="48" t="str">
        <f>_xlfn.XLOOKUP(Table134526_79101120212223242526[[#This Row],[Name Surname]],Manpower!$C$4:$C$1048576,Manpower!$F$4:$F$1048576,"")</f>
        <v>Fitter/Erector</v>
      </c>
      <c r="H856" s="48" t="str">
        <f>_xlfn.XLOOKUP(Table134526_79101120212223242526[[#This Row],[Name Surname]],Manpower!$C$4:$C$1048576,Manpower!$H$4:$H$1048576,"")</f>
        <v>Manpower</v>
      </c>
      <c r="I856" s="42" t="str">
        <f>_xlfn.XLOOKUP(Table134526_79101120212223242526[[#This Row],[Name Surname]],Manpower!$C$4:$C$1048576,Manpower!$H$4:$H$1048576,"")</f>
        <v>Manpower</v>
      </c>
      <c r="J856" s="43" t="s">
        <v>48</v>
      </c>
      <c r="K856" s="43" t="s">
        <v>26</v>
      </c>
      <c r="L856" s="43" t="s">
        <v>49</v>
      </c>
      <c r="M856" s="43" t="s">
        <v>24</v>
      </c>
      <c r="N856" s="44">
        <v>8</v>
      </c>
      <c r="O856" s="43" t="s">
        <v>25</v>
      </c>
      <c r="P856" s="43" t="s">
        <v>41</v>
      </c>
      <c r="Q856" s="43" t="s">
        <v>60</v>
      </c>
      <c r="R856" s="43" t="s">
        <v>26</v>
      </c>
      <c r="S856" s="43"/>
    </row>
    <row r="857" spans="1:20" ht="14.4">
      <c r="A857" s="33">
        <f>IF(C857="","",MAX($A$1:A856)+1)</f>
        <v>825</v>
      </c>
      <c r="B857" s="25" t="s">
        <v>19</v>
      </c>
      <c r="C857" s="23">
        <v>46089</v>
      </c>
      <c r="D857" s="24" t="str">
        <f>_xlfn.XLOOKUP(Table134526_79101120212223242526[[#This Row],[Name Surname]],Manpower!$C$4:$C$1048576,Manpower!$B$4:$B$1048576,"")</f>
        <v>Encogroup</v>
      </c>
      <c r="E857" s="23" t="s">
        <v>63</v>
      </c>
      <c r="F857" s="12" t="e">
        <f>_xlfn.XLOOKUP(Table134526_79101120212223242526[[#This Row],[Name Surname]],Manpower!C:C,Manpower!D:D,)</f>
        <v>#N/A</v>
      </c>
      <c r="G857" s="24" t="str">
        <f>_xlfn.XLOOKUP(Table134526_79101120212223242526[[#This Row],[Name Surname]],Manpower!$C$4:$C$1048576,Manpower!$F$4:$F$1048576,"")</f>
        <v>22KVA-Generator</v>
      </c>
      <c r="H857" s="24" t="str">
        <f>_xlfn.XLOOKUP(Table134526_79101120212223242526[[#This Row],[Name Surname]],Manpower!$C$4:$C$1048576,Manpower!$H$4:$H$1048576,"")</f>
        <v>Equipment</v>
      </c>
      <c r="I857" s="24" t="str">
        <f>_xlfn.XLOOKUP(Table134526_79101120212223242526[[#This Row],[Name Surname]],Manpower!$C$4:$C$1048576,Manpower!$H$4:$H$1048576,"")</f>
        <v>Equipment</v>
      </c>
      <c r="J857" s="21" t="s">
        <v>48</v>
      </c>
      <c r="K857" s="21" t="s">
        <v>26</v>
      </c>
      <c r="L857" s="21" t="s">
        <v>49</v>
      </c>
      <c r="M857" s="21" t="s">
        <v>24</v>
      </c>
      <c r="N857" s="29">
        <v>8</v>
      </c>
      <c r="O857" s="21" t="s">
        <v>25</v>
      </c>
      <c r="P857" s="21" t="s">
        <v>41</v>
      </c>
      <c r="Q857" s="21" t="s">
        <v>41</v>
      </c>
      <c r="R857" s="21" t="s">
        <v>26</v>
      </c>
      <c r="T857" s="45"/>
    </row>
    <row r="858" spans="1:20" s="45" customFormat="1" ht="14.4" hidden="1">
      <c r="A858" s="25">
        <f>IF(C858="","",MAX($A$1:A856)+1)</f>
        <v>825</v>
      </c>
      <c r="B858" s="25" t="s">
        <v>19</v>
      </c>
      <c r="C858" s="41">
        <v>46089</v>
      </c>
      <c r="D858" s="48" t="str">
        <f>_xlfn.XLOOKUP(Table134526_79101120212223242526[[#This Row],[Name Surname]],Manpower!$C$4:$C$1048576,Manpower!$B$4:$B$1048576,"")</f>
        <v>Bright Light</v>
      </c>
      <c r="E858" s="43" t="s">
        <v>64</v>
      </c>
      <c r="F858" s="12">
        <f>_xlfn.XLOOKUP(Table134526_79101120212223242526[[#This Row],[Name Surname]],Manpower!C:C,Manpower!D:D,)</f>
        <v>114531608</v>
      </c>
      <c r="G858" s="48" t="str">
        <f>_xlfn.XLOOKUP(Table134526_79101120212223242526[[#This Row],[Name Surname]],Manpower!$C$4:$C$1048576,Manpower!$F$4:$F$1048576,"")</f>
        <v>Crane Operator-150T Sany Crawler</v>
      </c>
      <c r="H858" s="48" t="s">
        <v>39</v>
      </c>
      <c r="I858" s="42" t="s">
        <v>39</v>
      </c>
      <c r="J858" s="43" t="s">
        <v>48</v>
      </c>
      <c r="K858" s="43" t="s">
        <v>26</v>
      </c>
      <c r="L858" s="43" t="s">
        <v>49</v>
      </c>
      <c r="M858" s="43" t="s">
        <v>24</v>
      </c>
      <c r="N858" s="44">
        <v>10</v>
      </c>
      <c r="O858" s="43" t="s">
        <v>40</v>
      </c>
      <c r="P858" s="43" t="s">
        <v>41</v>
      </c>
      <c r="Q858" s="43" t="s">
        <v>42</v>
      </c>
      <c r="R858" s="43" t="s">
        <v>26</v>
      </c>
      <c r="S858" s="43"/>
    </row>
    <row r="859" spans="1:20" s="45" customFormat="1" ht="14.4" hidden="1">
      <c r="A859" s="25">
        <f>IF(C859="","",MAX($A$1:A858)+1)</f>
        <v>826</v>
      </c>
      <c r="B859" s="25" t="s">
        <v>19</v>
      </c>
      <c r="C859" s="41">
        <v>46089</v>
      </c>
      <c r="D859" s="48" t="str">
        <f>_xlfn.XLOOKUP(Table134526_79101120212223242526[[#This Row],[Name Surname]],Manpower!$C$4:$C$1048576,Manpower!$B$4:$B$1048576,"")</f>
        <v>AL Saif &amp; Al QALLM ENT LLC</v>
      </c>
      <c r="E859" s="43" t="s">
        <v>65</v>
      </c>
      <c r="F859" s="12">
        <f>_xlfn.XLOOKUP(Table134526_79101120212223242526[[#This Row],[Name Surname]],Manpower!C:C,Manpower!D:D,)</f>
        <v>108478006</v>
      </c>
      <c r="G859" s="48" t="str">
        <f>_xlfn.XLOOKUP(Table134526_79101120212223242526[[#This Row],[Name Surname]],Manpower!$C$4:$C$1048576,Manpower!$F$4:$F$1048576,"")</f>
        <v>RIgger</v>
      </c>
      <c r="H859" s="48" t="str">
        <f>_xlfn.XLOOKUP(Table134526_79101120212223242526[[#This Row],[Name Surname]],Manpower!$C$4:$C$1048576,Manpower!$H$4:$H$1048576,"")</f>
        <v>Sub Contactor</v>
      </c>
      <c r="I859" s="42" t="str">
        <f>_xlfn.XLOOKUP(Table134526_79101120212223242526[[#This Row],[Name Surname]],Manpower!$C$4:$C$1048576,Manpower!$H$4:$H$1048576,"")</f>
        <v>Sub Contactor</v>
      </c>
      <c r="J859" s="43" t="s">
        <v>48</v>
      </c>
      <c r="K859" s="43" t="s">
        <v>26</v>
      </c>
      <c r="L859" s="43" t="s">
        <v>49</v>
      </c>
      <c r="M859" s="43" t="s">
        <v>24</v>
      </c>
      <c r="N859" s="44">
        <v>10</v>
      </c>
      <c r="O859" s="43" t="s">
        <v>25</v>
      </c>
      <c r="P859" s="43" t="s">
        <v>41</v>
      </c>
      <c r="Q859" s="43" t="s">
        <v>60</v>
      </c>
      <c r="R859" s="43" t="s">
        <v>26</v>
      </c>
      <c r="S859" s="43"/>
    </row>
    <row r="860" spans="1:20" s="45" customFormat="1" ht="14.4" hidden="1">
      <c r="A860" s="25">
        <f>IF(C860="","",MAX($A$1:A859)+1)</f>
        <v>827</v>
      </c>
      <c r="B860" s="25" t="s">
        <v>19</v>
      </c>
      <c r="C860" s="41">
        <v>46089</v>
      </c>
      <c r="D860" s="48" t="str">
        <f>_xlfn.XLOOKUP(Table134526_79101120212223242526[[#This Row],[Name Surname]],Manpower!$C$4:$C$1048576,Manpower!$B$4:$B$1048576,"")</f>
        <v>AL Omar International TRAD AND CONT</v>
      </c>
      <c r="E860" s="43" t="s">
        <v>66</v>
      </c>
      <c r="F860" s="12">
        <f>_xlfn.XLOOKUP(Table134526_79101120212223242526[[#This Row],[Name Surname]],Manpower!C:C,Manpower!D:D,)</f>
        <v>115018512</v>
      </c>
      <c r="G860" s="48" t="str">
        <f>_xlfn.XLOOKUP(Table134526_79101120212223242526[[#This Row],[Name Surname]],Manpower!$C$4:$C$1048576,Manpower!$F$4:$F$1048576,"")</f>
        <v>RIgger</v>
      </c>
      <c r="H860" s="48" t="str">
        <f>_xlfn.XLOOKUP(Table134526_79101120212223242526[[#This Row],[Name Surname]],Manpower!$C$4:$C$1048576,Manpower!$H$4:$H$1048576,"")</f>
        <v>Sub Contactor</v>
      </c>
      <c r="I860" s="42" t="str">
        <f>_xlfn.XLOOKUP(Table134526_79101120212223242526[[#This Row],[Name Surname]],Manpower!$C$4:$C$1048576,Manpower!$H$4:$H$1048576,"")</f>
        <v>Sub Contactor</v>
      </c>
      <c r="J860" s="43" t="s">
        <v>48</v>
      </c>
      <c r="K860" s="43" t="s">
        <v>26</v>
      </c>
      <c r="L860" s="43" t="s">
        <v>49</v>
      </c>
      <c r="M860" s="43" t="s">
        <v>24</v>
      </c>
      <c r="N860" s="44">
        <v>8</v>
      </c>
      <c r="O860" s="43" t="s">
        <v>25</v>
      </c>
      <c r="P860" s="43" t="s">
        <v>41</v>
      </c>
      <c r="Q860" s="43" t="s">
        <v>60</v>
      </c>
      <c r="R860" s="43" t="s">
        <v>26</v>
      </c>
      <c r="S860" s="43"/>
    </row>
    <row r="861" spans="1:20" s="45" customFormat="1" ht="14.4" hidden="1">
      <c r="A861" s="25">
        <f>IF(C861="","",MAX($A$1:A860)+1)</f>
        <v>828</v>
      </c>
      <c r="B861" s="25" t="s">
        <v>19</v>
      </c>
      <c r="C861" s="41">
        <v>46089</v>
      </c>
      <c r="D861" s="48" t="str">
        <f>_xlfn.XLOOKUP(Table134526_79101120212223242526[[#This Row],[Name Surname]],Manpower!$C$4:$C$1048576,Manpower!$B$4:$B$1048576,"")</f>
        <v>Encogroup</v>
      </c>
      <c r="E861" s="43" t="s">
        <v>67</v>
      </c>
      <c r="F861" s="12">
        <f>_xlfn.XLOOKUP(Table134526_79101120212223242526[[#This Row],[Name Surname]],Manpower!C:C,Manpower!D:D,)</f>
        <v>122082769</v>
      </c>
      <c r="G861" s="48" t="str">
        <f>_xlfn.XLOOKUP(Table134526_79101120212223242526[[#This Row],[Name Surname]],Manpower!$C$4:$C$1048576,Manpower!$F$4:$F$1048576,"")</f>
        <v>Grinder</v>
      </c>
      <c r="H861" s="48" t="str">
        <f>_xlfn.XLOOKUP(Table134526_79101120212223242526[[#This Row],[Name Surname]],Manpower!$C$4:$C$1048576,Manpower!$H$4:$H$1048576,"")</f>
        <v>Manpower</v>
      </c>
      <c r="I861" s="42" t="str">
        <f>_xlfn.XLOOKUP(Table134526_79101120212223242526[[#This Row],[Name Surname]],Manpower!$C$4:$C$1048576,Manpower!$H$4:$H$1048576,"")</f>
        <v>Manpower</v>
      </c>
      <c r="J861" s="43" t="s">
        <v>48</v>
      </c>
      <c r="K861" s="43" t="s">
        <v>26</v>
      </c>
      <c r="L861" s="43" t="s">
        <v>49</v>
      </c>
      <c r="M861" s="43" t="s">
        <v>24</v>
      </c>
      <c r="N861" s="44">
        <v>10</v>
      </c>
      <c r="O861" s="43" t="s">
        <v>25</v>
      </c>
      <c r="P861" s="43" t="s">
        <v>41</v>
      </c>
      <c r="Q861" s="43" t="s">
        <v>60</v>
      </c>
      <c r="R861" s="43" t="s">
        <v>26</v>
      </c>
      <c r="S861" s="43"/>
    </row>
    <row r="862" spans="1:20" s="45" customFormat="1" ht="14.4" hidden="1">
      <c r="A862" s="25">
        <f>IF(C862="","",MAX($A$1:A861)+1)</f>
        <v>829</v>
      </c>
      <c r="B862" s="25" t="s">
        <v>19</v>
      </c>
      <c r="C862" s="41">
        <v>46089</v>
      </c>
      <c r="D862" s="48" t="str">
        <f>_xlfn.XLOOKUP(Table134526_79101120212223242526[[#This Row],[Name Surname]],Manpower!$C$4:$C$1048576,Manpower!$B$4:$B$1048576,"")</f>
        <v>Encogroup</v>
      </c>
      <c r="E862" s="43" t="s">
        <v>68</v>
      </c>
      <c r="F862" s="12">
        <f>_xlfn.XLOOKUP(Table134526_79101120212223242526[[#This Row],[Name Surname]],Manpower!C:C,Manpower!D:D,)</f>
        <v>116915582</v>
      </c>
      <c r="G862" s="48" t="str">
        <f>_xlfn.XLOOKUP(Table134526_79101120212223242526[[#This Row],[Name Surname]],Manpower!$C$4:$C$1048576,Manpower!$F$4:$F$1048576,"")</f>
        <v>Mechanical Superintendent</v>
      </c>
      <c r="H862" s="48" t="str">
        <f>_xlfn.XLOOKUP(Table134526_79101120212223242526[[#This Row],[Name Surname]],Manpower!$C$4:$C$1048576,Manpower!$H$4:$H$1048576,"")</f>
        <v>Manpower</v>
      </c>
      <c r="I862" s="42" t="str">
        <f>_xlfn.XLOOKUP(Table134526_79101120212223242526[[#This Row],[Name Surname]],Manpower!$C$4:$C$1048576,Manpower!$H$4:$H$1048576,"")</f>
        <v>Manpower</v>
      </c>
      <c r="J862" s="43" t="s">
        <v>48</v>
      </c>
      <c r="K862" s="43" t="s">
        <v>26</v>
      </c>
      <c r="L862" s="43" t="s">
        <v>49</v>
      </c>
      <c r="M862" s="43" t="s">
        <v>24</v>
      </c>
      <c r="N862" s="44">
        <v>8</v>
      </c>
      <c r="O862" s="43" t="s">
        <v>25</v>
      </c>
      <c r="P862" s="43" t="s">
        <v>41</v>
      </c>
      <c r="Q862" s="43" t="s">
        <v>60</v>
      </c>
      <c r="R862" s="43" t="s">
        <v>26</v>
      </c>
      <c r="S862" s="43"/>
    </row>
    <row r="863" spans="1:20" ht="14.4" hidden="1">
      <c r="A863" s="33">
        <f>IF(C863="","",MAX($A$1:A862)+1)</f>
        <v>830</v>
      </c>
      <c r="B863" s="25" t="s">
        <v>19</v>
      </c>
      <c r="C863" s="23">
        <v>46089</v>
      </c>
      <c r="D863" s="28" t="str">
        <f>_xlfn.XLOOKUP(Table134526_79101120212223242526[[#This Row],[Name Surname]],Manpower!$C$4:$C$1048576,Manpower!$B$4:$B$1048576,"")</f>
        <v>Encogroup</v>
      </c>
      <c r="E863" s="21" t="s">
        <v>69</v>
      </c>
      <c r="F863" s="12">
        <f>_xlfn.XLOOKUP(Table134526_79101120212223242526[[#This Row],[Name Surname]],Manpower!C:C,Manpower!D:D,)</f>
        <v>141169071</v>
      </c>
      <c r="G863" s="28" t="str">
        <f>_xlfn.XLOOKUP(Table134526_79101120212223242526[[#This Row],[Name Surname]],Manpower!$C$4:$C$1048576,Manpower!$F$4:$F$1048576,"")</f>
        <v>Welding Supervisor</v>
      </c>
      <c r="H863" s="28" t="str">
        <f>_xlfn.XLOOKUP(Table134526_79101120212223242526[[#This Row],[Name Surname]],Manpower!$C$4:$C$1048576,Manpower!$H$4:$H$1048576,"")</f>
        <v>Manpower</v>
      </c>
      <c r="I863" s="24" t="str">
        <f>_xlfn.XLOOKUP(Table134526_79101120212223242526[[#This Row],[Name Surname]],Manpower!$C$4:$C$1048576,Manpower!$H$4:$H$1048576,"")</f>
        <v>Manpower</v>
      </c>
      <c r="J863" s="21" t="s">
        <v>48</v>
      </c>
      <c r="K863" s="21" t="s">
        <v>26</v>
      </c>
      <c r="L863" s="21" t="s">
        <v>49</v>
      </c>
      <c r="M863" s="21" t="s">
        <v>24</v>
      </c>
      <c r="N863" s="29">
        <v>10</v>
      </c>
      <c r="O863" s="21" t="s">
        <v>25</v>
      </c>
      <c r="P863" s="21" t="s">
        <v>41</v>
      </c>
      <c r="Q863" s="21" t="s">
        <v>60</v>
      </c>
      <c r="R863" s="21" t="s">
        <v>26</v>
      </c>
      <c r="T863" s="45"/>
    </row>
    <row r="864" spans="1:20" s="45" customFormat="1" ht="14.4" hidden="1">
      <c r="A864" s="25">
        <f>IF(C864="","",MAX($A$1:A863)+1)</f>
        <v>831</v>
      </c>
      <c r="B864" s="25" t="s">
        <v>19</v>
      </c>
      <c r="C864" s="41">
        <v>46089</v>
      </c>
      <c r="D864" s="48" t="str">
        <f>_xlfn.XLOOKUP(Table134526_79101120212223242526[[#This Row],[Name Surname]],Manpower!$C$4:$C$1048576,Manpower!$B$4:$B$1048576,"")</f>
        <v>Encogroup</v>
      </c>
      <c r="E864" s="43" t="s">
        <v>70</v>
      </c>
      <c r="F864" s="12">
        <f>_xlfn.XLOOKUP(Table134526_79101120212223242526[[#This Row],[Name Surname]],Manpower!C:C,Manpower!D:D,)</f>
        <v>141365126</v>
      </c>
      <c r="G864" s="48" t="str">
        <f>_xlfn.XLOOKUP(Table134526_79101120212223242526[[#This Row],[Name Surname]],Manpower!$C$4:$C$1048576,Manpower!$F$4:$F$1048576,"")</f>
        <v>Helper</v>
      </c>
      <c r="H864" s="48" t="str">
        <f>_xlfn.XLOOKUP(Table134526_79101120212223242526[[#This Row],[Name Surname]],Manpower!$C$4:$C$1048576,Manpower!$H$4:$H$1048576,"")</f>
        <v>Manpower</v>
      </c>
      <c r="I864" s="42" t="str">
        <f>_xlfn.XLOOKUP(Table134526_79101120212223242526[[#This Row],[Name Surname]],Manpower!$C$4:$C$1048576,Manpower!$H$4:$H$1048576,"")</f>
        <v>Manpower</v>
      </c>
      <c r="J864" s="43" t="s">
        <v>48</v>
      </c>
      <c r="K864" s="43" t="s">
        <v>26</v>
      </c>
      <c r="L864" s="43" t="s">
        <v>49</v>
      </c>
      <c r="M864" s="43" t="s">
        <v>24</v>
      </c>
      <c r="N864" s="44">
        <v>10</v>
      </c>
      <c r="O864" s="43" t="s">
        <v>25</v>
      </c>
      <c r="P864" s="43" t="s">
        <v>41</v>
      </c>
      <c r="Q864" s="43" t="s">
        <v>60</v>
      </c>
      <c r="R864" s="43" t="s">
        <v>26</v>
      </c>
      <c r="S864" s="43"/>
    </row>
    <row r="865" spans="1:20" s="45" customFormat="1" ht="14.4" hidden="1">
      <c r="A865" s="25">
        <f>IF(C865="","",MAX($A$1:A864)+1)</f>
        <v>832</v>
      </c>
      <c r="B865" s="25" t="s">
        <v>19</v>
      </c>
      <c r="C865" s="41">
        <v>46089</v>
      </c>
      <c r="D865" s="48" t="str">
        <f>_xlfn.XLOOKUP(Table134526_79101120212223242526[[#This Row],[Name Surname]],Manpower!$C$4:$C$1048576,Manpower!$B$4:$B$1048576,"")</f>
        <v>Bright Light</v>
      </c>
      <c r="E865" s="43" t="s">
        <v>71</v>
      </c>
      <c r="F865" s="12">
        <f>_xlfn.XLOOKUP(Table134526_79101120212223242526[[#This Row],[Name Surname]],Manpower!C:C,Manpower!D:D,)</f>
        <v>81379273</v>
      </c>
      <c r="G865" s="48" t="str">
        <f>_xlfn.XLOOKUP(Table134526_79101120212223242526[[#This Row],[Name Surname]],Manpower!$C$4:$C$1048576,Manpower!$F$4:$F$1048576,"")</f>
        <v>Crane Operator-100T Sany Telescopic</v>
      </c>
      <c r="H865" s="48" t="s">
        <v>39</v>
      </c>
      <c r="I865" s="42" t="s">
        <v>39</v>
      </c>
      <c r="J865" s="43" t="s">
        <v>48</v>
      </c>
      <c r="K865" s="43" t="s">
        <v>26</v>
      </c>
      <c r="L865" s="43" t="s">
        <v>49</v>
      </c>
      <c r="M865" s="43" t="s">
        <v>24</v>
      </c>
      <c r="N865" s="44">
        <v>10</v>
      </c>
      <c r="O865" s="43" t="s">
        <v>40</v>
      </c>
      <c r="P865" s="43" t="s">
        <v>41</v>
      </c>
      <c r="Q865" s="43" t="s">
        <v>42</v>
      </c>
      <c r="R865" s="43" t="s">
        <v>26</v>
      </c>
      <c r="S865" s="43"/>
    </row>
    <row r="866" spans="1:20" s="45" customFormat="1" ht="14.4" hidden="1">
      <c r="A866" s="25">
        <f>IF(C866="","",MAX($A$1:A865)+1)</f>
        <v>833</v>
      </c>
      <c r="B866" s="25" t="s">
        <v>19</v>
      </c>
      <c r="C866" s="41">
        <v>46089</v>
      </c>
      <c r="D866" s="48" t="str">
        <f>_xlfn.XLOOKUP(Table134526_79101120212223242526[[#This Row],[Name Surname]],Manpower!$C$4:$C$1048576,Manpower!$B$4:$B$1048576,"")</f>
        <v>Encogroup</v>
      </c>
      <c r="E866" s="43" t="s">
        <v>73</v>
      </c>
      <c r="F866" s="12">
        <f>_xlfn.XLOOKUP(Table134526_79101120212223242526[[#This Row],[Name Surname]],Manpower!C:C,Manpower!D:D,)</f>
        <v>135325259</v>
      </c>
      <c r="G866" s="48" t="str">
        <f>_xlfn.XLOOKUP(Table134526_79101120212223242526[[#This Row],[Name Surname]],Manpower!$C$4:$C$1048576,Manpower!$F$4:$F$1048576,"")</f>
        <v>Permit Receiver</v>
      </c>
      <c r="H866" s="48" t="str">
        <f>_xlfn.XLOOKUP(Table134526_79101120212223242526[[#This Row],[Name Surname]],Manpower!$C$4:$C$1048576,Manpower!$H$4:$H$1048576,"")</f>
        <v>Manpower</v>
      </c>
      <c r="I866" s="42" t="str">
        <f>_xlfn.XLOOKUP(Table134526_79101120212223242526[[#This Row],[Name Surname]],Manpower!$C$4:$C$1048576,Manpower!$H$4:$H$1048576,"")</f>
        <v>Manpower</v>
      </c>
      <c r="J866" s="43" t="s">
        <v>48</v>
      </c>
      <c r="K866" s="43" t="s">
        <v>26</v>
      </c>
      <c r="L866" s="43" t="s">
        <v>49</v>
      </c>
      <c r="M866" s="43" t="s">
        <v>24</v>
      </c>
      <c r="N866" s="44">
        <v>10</v>
      </c>
      <c r="O866" s="43" t="s">
        <v>25</v>
      </c>
      <c r="P866" s="43" t="s">
        <v>41</v>
      </c>
      <c r="Q866" s="43" t="s">
        <v>60</v>
      </c>
      <c r="R866" s="43" t="s">
        <v>26</v>
      </c>
      <c r="S866" s="43"/>
    </row>
    <row r="867" spans="1:20" s="45" customFormat="1" ht="14.4" hidden="1">
      <c r="A867" s="25">
        <f>IF(C867="","",MAX($A$1:A866)+1)</f>
        <v>834</v>
      </c>
      <c r="B867" s="25" t="s">
        <v>19</v>
      </c>
      <c r="C867" s="41">
        <v>46089</v>
      </c>
      <c r="D867" s="48" t="str">
        <f>_xlfn.XLOOKUP(Table134526_79101120212223242526[[#This Row],[Name Surname]],Manpower!$C$4:$C$1048576,Manpower!$B$4:$B$1048576,"")</f>
        <v>AL Omar International TRAD AND CONT</v>
      </c>
      <c r="E867" s="43" t="s">
        <v>36</v>
      </c>
      <c r="F867" s="12">
        <f>_xlfn.XLOOKUP(Table134526_79101120212223242526[[#This Row],[Name Surname]],Manpower!C:C,Manpower!D:D,)</f>
        <v>114929202</v>
      </c>
      <c r="G867" s="48" t="str">
        <f>_xlfn.XLOOKUP(Table134526_79101120212223242526[[#This Row],[Name Surname]],Manpower!$C$4:$C$1048576,Manpower!$F$4:$F$1048576,"")</f>
        <v>RIgger</v>
      </c>
      <c r="H867" s="48" t="str">
        <f>_xlfn.XLOOKUP(Table134526_79101120212223242526[[#This Row],[Name Surname]],Manpower!$C$4:$C$1048576,Manpower!$H$4:$H$1048576,"")</f>
        <v>Sub Contactor</v>
      </c>
      <c r="I867" s="42" t="str">
        <f>_xlfn.XLOOKUP(Table134526_79101120212223242526[[#This Row],[Name Surname]],Manpower!$C$4:$C$1048576,Manpower!$H$4:$H$1048576,"")</f>
        <v>Sub Contactor</v>
      </c>
      <c r="J867" s="43" t="s">
        <v>48</v>
      </c>
      <c r="K867" s="43" t="s">
        <v>26</v>
      </c>
      <c r="L867" s="43" t="s">
        <v>49</v>
      </c>
      <c r="M867" s="43" t="s">
        <v>24</v>
      </c>
      <c r="N867" s="44">
        <v>3</v>
      </c>
      <c r="O867" s="43" t="s">
        <v>25</v>
      </c>
      <c r="P867" s="43" t="s">
        <v>41</v>
      </c>
      <c r="Q867" s="43" t="s">
        <v>60</v>
      </c>
      <c r="R867" s="43" t="s">
        <v>26</v>
      </c>
      <c r="S867" s="43"/>
    </row>
    <row r="868" spans="1:20" s="45" customFormat="1" ht="14.4" hidden="1">
      <c r="A868" s="25">
        <f>IF(C868="","",MAX($A$1:A867)+1)</f>
        <v>835</v>
      </c>
      <c r="B868" s="25" t="s">
        <v>19</v>
      </c>
      <c r="C868" s="41">
        <v>46089</v>
      </c>
      <c r="D868" s="48" t="str">
        <f>_xlfn.XLOOKUP(Table134526_79101120212223242526[[#This Row],[Name Surname]],Manpower!$C$4:$C$1048576,Manpower!$B$4:$B$1048576,"")</f>
        <v>Encogroup</v>
      </c>
      <c r="E868" s="43" t="s">
        <v>72</v>
      </c>
      <c r="F868" s="12">
        <f>_xlfn.XLOOKUP(Table134526_79101120212223242526[[#This Row],[Name Surname]],Manpower!C:C,Manpower!D:D,)</f>
        <v>140764706</v>
      </c>
      <c r="G868" s="48" t="str">
        <f>_xlfn.XLOOKUP(Table134526_79101120212223242526[[#This Row],[Name Surname]],Manpower!$C$4:$C$1048576,Manpower!$F$4:$F$1048576,"")</f>
        <v>Rigger</v>
      </c>
      <c r="H868" s="48" t="str">
        <f>_xlfn.XLOOKUP(Table134526_79101120212223242526[[#This Row],[Name Surname]],Manpower!$C$4:$C$1048576,Manpower!$H$4:$H$1048576,"")</f>
        <v>Manpower</v>
      </c>
      <c r="I868" s="42" t="str">
        <f>_xlfn.XLOOKUP(Table134526_79101120212223242526[[#This Row],[Name Surname]],Manpower!$C$4:$C$1048576,Manpower!$H$4:$H$1048576,"")</f>
        <v>Manpower</v>
      </c>
      <c r="J868" s="43" t="s">
        <v>48</v>
      </c>
      <c r="K868" s="43" t="s">
        <v>26</v>
      </c>
      <c r="L868" s="43" t="s">
        <v>49</v>
      </c>
      <c r="M868" s="43" t="s">
        <v>24</v>
      </c>
      <c r="N868" s="44">
        <v>10</v>
      </c>
      <c r="O868" s="43" t="s">
        <v>25</v>
      </c>
      <c r="P868" s="43" t="s">
        <v>41</v>
      </c>
      <c r="Q868" s="43" t="s">
        <v>60</v>
      </c>
      <c r="R868" s="43" t="s">
        <v>26</v>
      </c>
      <c r="S868" s="43"/>
    </row>
    <row r="869" spans="1:20" s="45" customFormat="1" ht="14.4" hidden="1">
      <c r="A869" s="25">
        <f>IF(C869="","",MAX($A$1:A866)+1)</f>
        <v>834</v>
      </c>
      <c r="B869" s="25" t="s">
        <v>19</v>
      </c>
      <c r="C869" s="41">
        <v>46089</v>
      </c>
      <c r="D869" s="48" t="str">
        <f>_xlfn.XLOOKUP(Table134526_79101120212223242526[[#This Row],[Name Surname]],Manpower!$C$4:$C$1048576,Manpower!$B$4:$B$1048576,"")</f>
        <v>Encogroup</v>
      </c>
      <c r="E869" s="43" t="s">
        <v>74</v>
      </c>
      <c r="F869" s="12">
        <f>_xlfn.XLOOKUP(Table134526_79101120212223242526[[#This Row],[Name Surname]],Manpower!C:C,Manpower!D:D,)</f>
        <v>141365089</v>
      </c>
      <c r="G869" s="48" t="str">
        <f>_xlfn.XLOOKUP(Table134526_79101120212223242526[[#This Row],[Name Surname]],Manpower!$C$4:$C$1048576,Manpower!$F$4:$F$1048576,"")</f>
        <v>Fitter</v>
      </c>
      <c r="H869" s="48" t="str">
        <f>_xlfn.XLOOKUP(Table134526_79101120212223242526[[#This Row],[Name Surname]],Manpower!$C$4:$C$1048576,Manpower!$H$4:$H$1048576,"")</f>
        <v>Manpower</v>
      </c>
      <c r="I869" s="42" t="str">
        <f>_xlfn.XLOOKUP(Table134526_79101120212223242526[[#This Row],[Name Surname]],Manpower!$C$4:$C$1048576,Manpower!$H$4:$H$1048576,"")</f>
        <v>Manpower</v>
      </c>
      <c r="J869" s="43" t="s">
        <v>48</v>
      </c>
      <c r="K869" s="43" t="s">
        <v>26</v>
      </c>
      <c r="L869" s="43" t="s">
        <v>49</v>
      </c>
      <c r="M869" s="43" t="s">
        <v>24</v>
      </c>
      <c r="N869" s="44">
        <v>10</v>
      </c>
      <c r="O869" s="43" t="s">
        <v>25</v>
      </c>
      <c r="P869" s="43" t="s">
        <v>41</v>
      </c>
      <c r="Q869" s="43" t="s">
        <v>60</v>
      </c>
      <c r="R869" s="43" t="s">
        <v>26</v>
      </c>
      <c r="S869" s="43"/>
    </row>
    <row r="870" spans="1:20" s="45" customFormat="1" ht="14.4" hidden="1">
      <c r="A870" s="25">
        <f>IF(C870="","",MAX($A$1:A869)+1)</f>
        <v>836</v>
      </c>
      <c r="B870" s="25" t="s">
        <v>19</v>
      </c>
      <c r="C870" s="41">
        <v>46089</v>
      </c>
      <c r="D870" s="48" t="str">
        <f>_xlfn.XLOOKUP(Table134526_79101120212223242526[[#This Row],[Name Surname]],Manpower!$C$4:$C$1048576,Manpower!$B$4:$B$1048576,"")</f>
        <v>Encogroup</v>
      </c>
      <c r="E870" s="43" t="s">
        <v>75</v>
      </c>
      <c r="F870" s="12">
        <f>_xlfn.XLOOKUP(Table134526_79101120212223242526[[#This Row],[Name Surname]],Manpower!C:C,Manpower!D:D,)</f>
        <v>122179604</v>
      </c>
      <c r="G870" s="48" t="str">
        <f>_xlfn.XLOOKUP(Table134526_79101120212223242526[[#This Row],[Name Surname]],Manpower!$C$4:$C$1048576,Manpower!$F$4:$F$1048576,"")</f>
        <v>Fitter/Erector</v>
      </c>
      <c r="H870" s="48" t="str">
        <f>_xlfn.XLOOKUP(Table134526_79101120212223242526[[#This Row],[Name Surname]],Manpower!$C$4:$C$1048576,Manpower!$H$4:$H$1048576,"")</f>
        <v>Manpower</v>
      </c>
      <c r="I870" s="42" t="str">
        <f>_xlfn.XLOOKUP(Table134526_79101120212223242526[[#This Row],[Name Surname]],Manpower!$C$4:$C$1048576,Manpower!$H$4:$H$1048576,"")</f>
        <v>Manpower</v>
      </c>
      <c r="J870" s="43" t="s">
        <v>48</v>
      </c>
      <c r="K870" s="43" t="s">
        <v>26</v>
      </c>
      <c r="L870" s="43" t="s">
        <v>49</v>
      </c>
      <c r="M870" s="43" t="s">
        <v>24</v>
      </c>
      <c r="N870" s="44">
        <v>10</v>
      </c>
      <c r="O870" s="43" t="s">
        <v>25</v>
      </c>
      <c r="P870" s="43" t="s">
        <v>41</v>
      </c>
      <c r="Q870" s="43" t="s">
        <v>60</v>
      </c>
      <c r="R870" s="43" t="s">
        <v>26</v>
      </c>
      <c r="S870" s="43"/>
    </row>
    <row r="871" spans="1:20" s="45" customFormat="1" ht="14.4" hidden="1">
      <c r="A871" s="25">
        <f>IF(C871="","",MAX($A$1:A870)+1)</f>
        <v>837</v>
      </c>
      <c r="B871" s="25" t="s">
        <v>19</v>
      </c>
      <c r="C871" s="41">
        <v>46089</v>
      </c>
      <c r="D871" s="48" t="str">
        <f>_xlfn.XLOOKUP(Table134526_79101120212223242526[[#This Row],[Name Surname]],Manpower!$C$4:$C$1048576,Manpower!$B$4:$B$1048576,"")</f>
        <v>Encogroup</v>
      </c>
      <c r="E871" s="43" t="s">
        <v>78</v>
      </c>
      <c r="F871" s="12">
        <f>_xlfn.XLOOKUP(Table134526_79101120212223242526[[#This Row],[Name Surname]],Manpower!C:C,Manpower!D:D,)</f>
        <v>117255966</v>
      </c>
      <c r="G871" s="48" t="str">
        <f>_xlfn.XLOOKUP(Table134526_79101120212223242526[[#This Row],[Name Surname]],Manpower!$C$4:$C$1048576,Manpower!$F$4:$F$1048576,"")</f>
        <v>Mechanical Supervisor</v>
      </c>
      <c r="H871" s="48" t="str">
        <f>_xlfn.XLOOKUP(Table134526_79101120212223242526[[#This Row],[Name Surname]],Manpower!$C$4:$C$1048576,Manpower!$H$4:$H$1048576,"")</f>
        <v>Manpower</v>
      </c>
      <c r="I871" s="42" t="str">
        <f>_xlfn.XLOOKUP(Table134526_79101120212223242526[[#This Row],[Name Surname]],Manpower!$C$4:$C$1048576,Manpower!$H$4:$H$1048576,"")</f>
        <v>Manpower</v>
      </c>
      <c r="J871" s="43" t="s">
        <v>48</v>
      </c>
      <c r="K871" s="43" t="s">
        <v>26</v>
      </c>
      <c r="L871" s="43" t="s">
        <v>49</v>
      </c>
      <c r="M871" s="43" t="s">
        <v>24</v>
      </c>
      <c r="N871" s="44">
        <v>8</v>
      </c>
      <c r="O871" s="43" t="s">
        <v>25</v>
      </c>
      <c r="P871" s="43" t="s">
        <v>41</v>
      </c>
      <c r="Q871" s="43" t="s">
        <v>60</v>
      </c>
      <c r="R871" s="43" t="s">
        <v>26</v>
      </c>
      <c r="S871" s="43"/>
    </row>
    <row r="872" spans="1:20" ht="14.4">
      <c r="A872" s="33">
        <f>IF(C872="","",MAX($A$1:A871)+1)</f>
        <v>838</v>
      </c>
      <c r="B872" s="31" t="s">
        <v>79</v>
      </c>
      <c r="C872" s="23">
        <v>46089</v>
      </c>
      <c r="D872" s="28" t="str">
        <f>_xlfn.XLOOKUP(Table134526_79101120212223242526[[#This Row],[Name Surname]],Manpower!$C$4:$C$1048576,Manpower!$B$4:$B$1048576,"")</f>
        <v>Encogroup</v>
      </c>
      <c r="E872" s="21" t="s">
        <v>80</v>
      </c>
      <c r="F872" s="12" t="e">
        <f>_xlfn.XLOOKUP(Table134526_79101120212223242526[[#This Row],[Name Surname]],Manpower!C:C,Manpower!D:D,)</f>
        <v>#N/A</v>
      </c>
      <c r="G872" s="28" t="str">
        <f>_xlfn.XLOOKUP(Table134526_79101120212223242526[[#This Row],[Name Surname]],Manpower!$C$4:$C$1048576,Manpower!$F$4:$F$1048576,"")</f>
        <v>22M-Manlift</v>
      </c>
      <c r="H872" s="28" t="str">
        <f>_xlfn.XLOOKUP(Table134526_79101120212223242526[[#This Row],[Name Surname]],Manpower!$C$4:$C$1048576,Manpower!$H$4:$H$1048576,"")</f>
        <v>Equipment</v>
      </c>
      <c r="I872" s="24" t="str">
        <f>_xlfn.XLOOKUP(Table134526_79101120212223242526[[#This Row],[Name Surname]],Manpower!$C$4:$C$1048576,Manpower!$H$4:$H$1048576,"")</f>
        <v>Equipment</v>
      </c>
      <c r="J872" s="21" t="s">
        <v>35</v>
      </c>
      <c r="K872" s="21" t="s">
        <v>81</v>
      </c>
      <c r="L872" s="21" t="s">
        <v>82</v>
      </c>
      <c r="M872" s="21" t="s">
        <v>24</v>
      </c>
      <c r="N872" s="29">
        <v>10</v>
      </c>
      <c r="O872" s="21" t="s">
        <v>25</v>
      </c>
      <c r="P872" s="21" t="s">
        <v>41</v>
      </c>
      <c r="Q872" s="21" t="s">
        <v>77</v>
      </c>
      <c r="R872" s="21" t="s">
        <v>232</v>
      </c>
      <c r="T872" s="45"/>
    </row>
    <row r="873" spans="1:20" ht="14.4">
      <c r="A873" s="33">
        <f>IF(C873="","",MAX($A$1:A872)+1)</f>
        <v>839</v>
      </c>
      <c r="B873" s="31" t="s">
        <v>79</v>
      </c>
      <c r="C873" s="23">
        <v>46089</v>
      </c>
      <c r="D873" s="28" t="str">
        <f>_xlfn.XLOOKUP(Table134526_79101120212223242526[[#This Row],[Name Surname]],Manpower!$C$4:$C$1048576,Manpower!$B$4:$B$1048576,"")</f>
        <v>Encogroup</v>
      </c>
      <c r="E873" s="21" t="s">
        <v>84</v>
      </c>
      <c r="F873" s="12" t="e">
        <f>_xlfn.XLOOKUP(Table134526_79101120212223242526[[#This Row],[Name Surname]],Manpower!C:C,Manpower!D:D,)</f>
        <v>#N/A</v>
      </c>
      <c r="G873" s="28" t="str">
        <f>_xlfn.XLOOKUP(Table134526_79101120212223242526[[#This Row],[Name Surname]],Manpower!$C$4:$C$1048576,Manpower!$F$4:$F$1048576,"")</f>
        <v>22M-Manlift</v>
      </c>
      <c r="H873" s="28" t="str">
        <f>_xlfn.XLOOKUP(Table134526_79101120212223242526[[#This Row],[Name Surname]],Manpower!$C$4:$C$1048576,Manpower!$H$4:$H$1048576,"")</f>
        <v>Equipment</v>
      </c>
      <c r="I873" s="24" t="str">
        <f>_xlfn.XLOOKUP(Table134526_79101120212223242526[[#This Row],[Name Surname]],Manpower!$C$4:$C$1048576,Manpower!$H$4:$H$1048576,"")</f>
        <v>Equipment</v>
      </c>
      <c r="J873" s="21" t="s">
        <v>35</v>
      </c>
      <c r="K873" s="21" t="s">
        <v>81</v>
      </c>
      <c r="L873" s="21" t="s">
        <v>82</v>
      </c>
      <c r="M873" s="21" t="s">
        <v>24</v>
      </c>
      <c r="N873" s="29">
        <v>10</v>
      </c>
      <c r="O873" s="21" t="s">
        <v>25</v>
      </c>
      <c r="P873" s="21" t="s">
        <v>41</v>
      </c>
      <c r="Q873" s="21" t="s">
        <v>77</v>
      </c>
      <c r="R873" s="21" t="s">
        <v>85</v>
      </c>
      <c r="T873" s="45"/>
    </row>
    <row r="874" spans="1:20" ht="14.4">
      <c r="A874" s="33">
        <f>IF(C874="","",MAX($A$1:A873)+1)</f>
        <v>840</v>
      </c>
      <c r="B874" s="31" t="s">
        <v>79</v>
      </c>
      <c r="C874" s="23">
        <v>46089</v>
      </c>
      <c r="D874" s="28" t="str">
        <f>_xlfn.XLOOKUP(Table134526_79101120212223242526[[#This Row],[Name Surname]],Manpower!$C$4:$C$1048576,Manpower!$B$4:$B$1048576,"")</f>
        <v>Nass Group</v>
      </c>
      <c r="E874" s="21" t="s">
        <v>86</v>
      </c>
      <c r="F874" s="12" t="e">
        <f>_xlfn.XLOOKUP(Table134526_79101120212223242526[[#This Row],[Name Surname]],Manpower!C:C,Manpower!D:D,)</f>
        <v>#N/A</v>
      </c>
      <c r="G874" s="28" t="str">
        <f>_xlfn.XLOOKUP(Table134526_79101120212223242526[[#This Row],[Name Surname]],Manpower!$C$4:$C$1048576,Manpower!$F$4:$F$1048576,"")</f>
        <v>70T-Telescopic crane</v>
      </c>
      <c r="H874" s="28" t="str">
        <f>_xlfn.XLOOKUP(Table134526_79101120212223242526[[#This Row],[Name Surname]],Manpower!$C$4:$C$1048576,Manpower!$H$4:$H$1048576,"")</f>
        <v>Equipment</v>
      </c>
      <c r="I874" s="24" t="str">
        <f>_xlfn.XLOOKUP(Table134526_79101120212223242526[[#This Row],[Name Surname]],Manpower!$C$4:$C$1048576,Manpower!$H$4:$H$1048576,"")</f>
        <v>Equipment</v>
      </c>
      <c r="J874" s="21" t="s">
        <v>35</v>
      </c>
      <c r="K874" s="21" t="s">
        <v>81</v>
      </c>
      <c r="L874" s="21" t="s">
        <v>82</v>
      </c>
      <c r="M874" s="21" t="s">
        <v>24</v>
      </c>
      <c r="N874" s="29">
        <v>10</v>
      </c>
      <c r="O874" s="21" t="s">
        <v>40</v>
      </c>
      <c r="P874" s="21" t="s">
        <v>41</v>
      </c>
      <c r="Q874" s="21" t="s">
        <v>42</v>
      </c>
      <c r="R874" s="21" t="s">
        <v>83</v>
      </c>
      <c r="T874" s="45"/>
    </row>
    <row r="875" spans="1:20" ht="14.4" hidden="1">
      <c r="A875" s="33">
        <f>IF(C875="","",MAX($A$1:A874)+1)</f>
        <v>841</v>
      </c>
      <c r="B875" s="33" t="s">
        <v>79</v>
      </c>
      <c r="C875" s="23">
        <v>46089</v>
      </c>
      <c r="D875" s="28" t="str">
        <f>_xlfn.XLOOKUP(Table134526_79101120212223242526[[#This Row],[Name Surname]],Manpower!$C$4:$C$1048576,Manpower!$B$4:$B$1048576,"")</f>
        <v>Encogroup</v>
      </c>
      <c r="E875" s="21" t="s">
        <v>87</v>
      </c>
      <c r="F875" s="12">
        <f>_xlfn.XLOOKUP(Table134526_79101120212223242526[[#This Row],[Name Surname]],Manpower!C:C,Manpower!D:D,)</f>
        <v>126724428</v>
      </c>
      <c r="G875" s="28" t="str">
        <f>_xlfn.XLOOKUP(Table134526_79101120212223242526[[#This Row],[Name Surname]],Manpower!$C$4:$C$1048576,Manpower!$F$4:$F$1048576,"")</f>
        <v>Surveyor</v>
      </c>
      <c r="H875" s="28" t="str">
        <f>_xlfn.XLOOKUP(Table134526_79101120212223242526[[#This Row],[Name Surname]],Manpower!$C$4:$C$1048576,Manpower!$H$4:$H$1048576,"")</f>
        <v>Manpower</v>
      </c>
      <c r="I875" s="24" t="str">
        <f>_xlfn.XLOOKUP(Table134526_79101120212223242526[[#This Row],[Name Surname]],Manpower!$C$4:$C$1048576,Manpower!$H$4:$H$1048576,"")</f>
        <v>Manpower</v>
      </c>
      <c r="J875" s="21" t="s">
        <v>35</v>
      </c>
      <c r="K875" s="21" t="s">
        <v>98</v>
      </c>
      <c r="L875" s="21" t="s">
        <v>82</v>
      </c>
      <c r="M875" s="21" t="s">
        <v>24</v>
      </c>
      <c r="N875" s="29">
        <v>8</v>
      </c>
      <c r="O875" s="21" t="s">
        <v>89</v>
      </c>
      <c r="P875" s="21" t="s">
        <v>41</v>
      </c>
      <c r="Q875" s="21" t="s">
        <v>41</v>
      </c>
      <c r="R875" s="21" t="s">
        <v>233</v>
      </c>
      <c r="T875" s="45"/>
    </row>
    <row r="876" spans="1:20" s="45" customFormat="1" ht="14.4" hidden="1">
      <c r="A876" s="25">
        <f>IF(C876="","",MAX($A$1:A875)+1)</f>
        <v>842</v>
      </c>
      <c r="B876" s="25" t="s">
        <v>79</v>
      </c>
      <c r="C876" s="41">
        <v>46089</v>
      </c>
      <c r="D876" s="48" t="str">
        <f>_xlfn.XLOOKUP(Table134526_79101120212223242526[[#This Row],[Name Surname]],Manpower!$C$4:$C$1048576,Manpower!$B$4:$B$1048576,"")</f>
        <v>Encogroup</v>
      </c>
      <c r="E876" s="43" t="s">
        <v>34</v>
      </c>
      <c r="F876" s="12">
        <f>_xlfn.XLOOKUP(Table134526_79101120212223242526[[#This Row],[Name Surname]],Manpower!C:C,Manpower!D:D,)</f>
        <v>141365023</v>
      </c>
      <c r="G876" s="48" t="str">
        <f>_xlfn.XLOOKUP(Table134526_79101120212223242526[[#This Row],[Name Surname]],Manpower!$C$4:$C$1048576,Manpower!$F$4:$F$1048576,"")</f>
        <v>Grinder</v>
      </c>
      <c r="H876" s="48" t="str">
        <f>_xlfn.XLOOKUP(Table134526_79101120212223242526[[#This Row],[Name Surname]],Manpower!$C$4:$C$1048576,Manpower!$H$4:$H$1048576,"")</f>
        <v>Manpower</v>
      </c>
      <c r="I876" s="42" t="str">
        <f>_xlfn.XLOOKUP(Table134526_79101120212223242526[[#This Row],[Name Surname]],Manpower!$C$4:$C$1048576,Manpower!$H$4:$H$1048576,"")</f>
        <v>Manpower</v>
      </c>
      <c r="J876" s="43" t="s">
        <v>21</v>
      </c>
      <c r="K876" s="43" t="s">
        <v>98</v>
      </c>
      <c r="L876" s="43" t="s">
        <v>82</v>
      </c>
      <c r="M876" s="43" t="s">
        <v>24</v>
      </c>
      <c r="N876" s="44">
        <v>10</v>
      </c>
      <c r="O876" s="43" t="s">
        <v>89</v>
      </c>
      <c r="P876" s="43" t="s">
        <v>41</v>
      </c>
      <c r="Q876" s="43" t="s">
        <v>41</v>
      </c>
      <c r="R876" s="43" t="s">
        <v>233</v>
      </c>
      <c r="S876" s="43"/>
    </row>
    <row r="877" spans="1:20" s="45" customFormat="1" ht="14.4" hidden="1">
      <c r="A877" s="25">
        <f>IF(C877="","",MAX($A$1:A876)+1)</f>
        <v>843</v>
      </c>
      <c r="B877" s="25" t="s">
        <v>79</v>
      </c>
      <c r="C877" s="41">
        <v>46089</v>
      </c>
      <c r="D877" s="48" t="str">
        <f>_xlfn.XLOOKUP(Table134526_79101120212223242526[[#This Row],[Name Surname]],Manpower!$C$4:$C$1048576,Manpower!$B$4:$B$1048576,"")</f>
        <v>Encogroup</v>
      </c>
      <c r="E877" s="43" t="s">
        <v>91</v>
      </c>
      <c r="F877" s="12">
        <f>_xlfn.XLOOKUP(Table134526_79101120212223242526[[#This Row],[Name Surname]],Manpower!C:C,Manpower!D:D,)</f>
        <v>132915855</v>
      </c>
      <c r="G877" s="48" t="str">
        <f>_xlfn.XLOOKUP(Table134526_79101120212223242526[[#This Row],[Name Surname]],Manpower!$C$4:$C$1048576,Manpower!$F$4:$F$1048576,"")</f>
        <v>Mechanical Supervisor</v>
      </c>
      <c r="H877" s="48" t="str">
        <f>_xlfn.XLOOKUP(Table134526_79101120212223242526[[#This Row],[Name Surname]],Manpower!$C$4:$C$1048576,Manpower!$H$4:$H$1048576,"")</f>
        <v>Manpower</v>
      </c>
      <c r="I877" s="42" t="str">
        <f>_xlfn.XLOOKUP(Table134526_79101120212223242526[[#This Row],[Name Surname]],Manpower!$C$4:$C$1048576,Manpower!$H$4:$H$1048576,"")</f>
        <v>Manpower</v>
      </c>
      <c r="J877" s="43" t="s">
        <v>35</v>
      </c>
      <c r="K877" s="43" t="s">
        <v>81</v>
      </c>
      <c r="L877" s="43" t="s">
        <v>82</v>
      </c>
      <c r="M877" s="43" t="s">
        <v>24</v>
      </c>
      <c r="N877" s="44">
        <v>6</v>
      </c>
      <c r="O877" s="43" t="s">
        <v>25</v>
      </c>
      <c r="P877" s="43" t="s">
        <v>60</v>
      </c>
      <c r="Q877" s="43" t="s">
        <v>60</v>
      </c>
      <c r="R877" s="43" t="s">
        <v>108</v>
      </c>
      <c r="S877" s="43"/>
    </row>
    <row r="878" spans="1:20" s="45" customFormat="1" ht="14.4" hidden="1">
      <c r="A878" s="25">
        <f>IF(C878="","",MAX($A$1:A877)+1)</f>
        <v>844</v>
      </c>
      <c r="B878" s="25" t="s">
        <v>79</v>
      </c>
      <c r="C878" s="41">
        <v>46089</v>
      </c>
      <c r="D878" s="48" t="str">
        <f>_xlfn.XLOOKUP(Table134526_79101120212223242526[[#This Row],[Name Surname]],Manpower!$C$4:$C$1048576,Manpower!$B$4:$B$1048576,"")</f>
        <v>Encogroup</v>
      </c>
      <c r="E878" s="43" t="s">
        <v>92</v>
      </c>
      <c r="F878" s="12">
        <f>_xlfn.XLOOKUP(Table134526_79101120212223242526[[#This Row],[Name Surname]],Manpower!C:C,Manpower!D:D,)</f>
        <v>141377747</v>
      </c>
      <c r="G878" s="48" t="str">
        <f>_xlfn.XLOOKUP(Table134526_79101120212223242526[[#This Row],[Name Surname]],Manpower!$C$4:$C$1048576,Manpower!$F$4:$F$1048576,"")</f>
        <v>Painter</v>
      </c>
      <c r="H878" s="48" t="str">
        <f>_xlfn.XLOOKUP(Table134526_79101120212223242526[[#This Row],[Name Surname]],Manpower!$C$4:$C$1048576,Manpower!$H$4:$H$1048576,"")</f>
        <v>Manpower</v>
      </c>
      <c r="I878" s="42" t="str">
        <f>_xlfn.XLOOKUP(Table134526_79101120212223242526[[#This Row],[Name Surname]],Manpower!$C$4:$C$1048576,Manpower!$H$4:$H$1048576,"")</f>
        <v>Manpower</v>
      </c>
      <c r="J878" s="43" t="s">
        <v>35</v>
      </c>
      <c r="K878" s="43" t="s">
        <v>93</v>
      </c>
      <c r="L878" s="43" t="s">
        <v>82</v>
      </c>
      <c r="M878" s="43" t="s">
        <v>24</v>
      </c>
      <c r="N878" s="44">
        <v>10</v>
      </c>
      <c r="O878" s="43" t="s">
        <v>94</v>
      </c>
      <c r="P878" s="43" t="s">
        <v>95</v>
      </c>
      <c r="Q878" s="43" t="s">
        <v>95</v>
      </c>
      <c r="R878" s="43" t="s">
        <v>96</v>
      </c>
      <c r="S878" s="43"/>
    </row>
    <row r="879" spans="1:20" s="45" customFormat="1" ht="14.4" hidden="1">
      <c r="A879" s="25">
        <f>IF(C879="","",MAX($A$1:A878)+1)</f>
        <v>845</v>
      </c>
      <c r="B879" s="25" t="s">
        <v>79</v>
      </c>
      <c r="C879" s="41">
        <v>46089</v>
      </c>
      <c r="D879" s="48" t="str">
        <f>_xlfn.XLOOKUP(Table134526_79101120212223242526[[#This Row],[Name Surname]],Manpower!$C$4:$C$1048576,Manpower!$B$4:$B$1048576,"")</f>
        <v>Encogroup</v>
      </c>
      <c r="E879" s="43" t="s">
        <v>97</v>
      </c>
      <c r="F879" s="12">
        <f>_xlfn.XLOOKUP(Table134526_79101120212223242526[[#This Row],[Name Surname]],Manpower!C:C,Manpower!D:D,)</f>
        <v>141359235</v>
      </c>
      <c r="G879" s="48" t="str">
        <f>_xlfn.XLOOKUP(Table134526_79101120212223242526[[#This Row],[Name Surname]],Manpower!$C$4:$C$1048576,Manpower!$F$4:$F$1048576,"")</f>
        <v>Fitter</v>
      </c>
      <c r="H879" s="48" t="str">
        <f>_xlfn.XLOOKUP(Table134526_79101120212223242526[[#This Row],[Name Surname]],Manpower!$C$4:$C$1048576,Manpower!$H$4:$H$1048576,"")</f>
        <v>Manpower</v>
      </c>
      <c r="I879" s="42" t="str">
        <f>_xlfn.XLOOKUP(Table134526_79101120212223242526[[#This Row],[Name Surname]],Manpower!$C$4:$C$1048576,Manpower!$H$4:$H$1048576,"")</f>
        <v>Manpower</v>
      </c>
      <c r="J879" s="43" t="s">
        <v>35</v>
      </c>
      <c r="K879" s="43" t="s">
        <v>98</v>
      </c>
      <c r="L879" s="43" t="s">
        <v>82</v>
      </c>
      <c r="M879" s="43" t="s">
        <v>24</v>
      </c>
      <c r="N879" s="44">
        <v>10</v>
      </c>
      <c r="O879" s="43" t="s">
        <v>25</v>
      </c>
      <c r="P879" s="43" t="s">
        <v>41</v>
      </c>
      <c r="Q879" s="43" t="s">
        <v>77</v>
      </c>
      <c r="R879" s="43" t="s">
        <v>85</v>
      </c>
      <c r="S879" s="43"/>
    </row>
    <row r="880" spans="1:20" s="45" customFormat="1" ht="14.4" hidden="1">
      <c r="A880" s="25">
        <f>IF(C880="","",MAX($A$1:A879)+1)</f>
        <v>846</v>
      </c>
      <c r="B880" s="25" t="s">
        <v>79</v>
      </c>
      <c r="C880" s="41">
        <v>46089</v>
      </c>
      <c r="D880" s="48" t="str">
        <f>_xlfn.XLOOKUP(Table134526_79101120212223242526[[#This Row],[Name Surname]],Manpower!$C$4:$C$1048576,Manpower!$B$4:$B$1048576,"")</f>
        <v>Encogroup</v>
      </c>
      <c r="E880" s="43" t="s">
        <v>99</v>
      </c>
      <c r="F880" s="12">
        <f>_xlfn.XLOOKUP(Table134526_79101120212223242526[[#This Row],[Name Surname]],Manpower!C:C,Manpower!D:D,)</f>
        <v>140697025</v>
      </c>
      <c r="G880" s="48" t="str">
        <f>_xlfn.XLOOKUP(Table134526_79101120212223242526[[#This Row],[Name Surname]],Manpower!$C$4:$C$1048576,Manpower!$F$4:$F$1048576,"")</f>
        <v>Assistant/Helper</v>
      </c>
      <c r="H880" s="48" t="str">
        <f>_xlfn.XLOOKUP(Table134526_79101120212223242526[[#This Row],[Name Surname]],Manpower!$C$4:$C$1048576,Manpower!$H$4:$H$1048576,"")</f>
        <v>Manpower</v>
      </c>
      <c r="I880" s="42" t="str">
        <f>_xlfn.XLOOKUP(Table134526_79101120212223242526[[#This Row],[Name Surname]],Manpower!$C$4:$C$1048576,Manpower!$H$4:$H$1048576,"")</f>
        <v>Manpower</v>
      </c>
      <c r="J880" s="43" t="s">
        <v>35</v>
      </c>
      <c r="K880" s="43" t="s">
        <v>81</v>
      </c>
      <c r="L880" s="43" t="s">
        <v>82</v>
      </c>
      <c r="M880" s="43" t="s">
        <v>24</v>
      </c>
      <c r="N880" s="44">
        <v>10</v>
      </c>
      <c r="O880" s="43" t="s">
        <v>25</v>
      </c>
      <c r="P880" s="43" t="s">
        <v>41</v>
      </c>
      <c r="Q880" s="43" t="s">
        <v>60</v>
      </c>
      <c r="R880" s="43" t="s">
        <v>100</v>
      </c>
      <c r="S880" s="43"/>
    </row>
    <row r="881" spans="1:20" s="45" customFormat="1" ht="14.4" hidden="1">
      <c r="A881" s="25">
        <f>IF(C881="","",MAX($A$1:A880)+1)</f>
        <v>847</v>
      </c>
      <c r="B881" s="25" t="s">
        <v>79</v>
      </c>
      <c r="C881" s="41">
        <v>46089</v>
      </c>
      <c r="D881" s="48" t="str">
        <f>_xlfn.XLOOKUP(Table134526_79101120212223242526[[#This Row],[Name Surname]],Manpower!$C$4:$C$1048576,Manpower!$B$4:$B$1048576,"")</f>
        <v>Encogroup</v>
      </c>
      <c r="E881" s="43" t="s">
        <v>101</v>
      </c>
      <c r="F881" s="12">
        <f>_xlfn.XLOOKUP(Table134526_79101120212223242526[[#This Row],[Name Surname]],Manpower!C:C,Manpower!D:D,)</f>
        <v>141169052</v>
      </c>
      <c r="G881" s="48" t="str">
        <f>_xlfn.XLOOKUP(Table134526_79101120212223242526[[#This Row],[Name Surname]],Manpower!$C$4:$C$1048576,Manpower!$F$4:$F$1048576,"")</f>
        <v>Welder</v>
      </c>
      <c r="H881" s="48" t="str">
        <f>_xlfn.XLOOKUP(Table134526_79101120212223242526[[#This Row],[Name Surname]],Manpower!$C$4:$C$1048576,Manpower!$H$4:$H$1048576,"")</f>
        <v>Manpower</v>
      </c>
      <c r="I881" s="42" t="str">
        <f>_xlfn.XLOOKUP(Table134526_79101120212223242526[[#This Row],[Name Surname]],Manpower!$C$4:$C$1048576,Manpower!$H$4:$H$1048576,"")</f>
        <v>Manpower</v>
      </c>
      <c r="J881" s="43" t="s">
        <v>35</v>
      </c>
      <c r="K881" s="43" t="s">
        <v>104</v>
      </c>
      <c r="L881" s="43" t="s">
        <v>82</v>
      </c>
      <c r="M881" s="43" t="s">
        <v>24</v>
      </c>
      <c r="N881" s="44">
        <v>10</v>
      </c>
      <c r="O881" s="43" t="s">
        <v>25</v>
      </c>
      <c r="P881" s="43" t="s">
        <v>41</v>
      </c>
      <c r="Q881" s="43" t="s">
        <v>77</v>
      </c>
      <c r="R881" s="43" t="s">
        <v>234</v>
      </c>
      <c r="S881" s="43"/>
    </row>
    <row r="882" spans="1:20" s="45" customFormat="1" ht="14.4" hidden="1">
      <c r="A882" s="25">
        <f>IF(C882="","",MAX($A$1:A881)+1)</f>
        <v>848</v>
      </c>
      <c r="B882" s="25" t="s">
        <v>79</v>
      </c>
      <c r="C882" s="41">
        <v>46089</v>
      </c>
      <c r="D882" s="48" t="str">
        <f>_xlfn.XLOOKUP(Table134526_79101120212223242526[[#This Row],[Name Surname]],Manpower!$C$4:$C$1048576,Manpower!$B$4:$B$1048576,"")</f>
        <v>Encogroup</v>
      </c>
      <c r="E882" s="43" t="s">
        <v>102</v>
      </c>
      <c r="F882" s="12">
        <f>_xlfn.XLOOKUP(Table134526_79101120212223242526[[#This Row],[Name Surname]],Manpower!C:C,Manpower!D:D,)</f>
        <v>141365075</v>
      </c>
      <c r="G882" s="48" t="str">
        <f>_xlfn.XLOOKUP(Table134526_79101120212223242526[[#This Row],[Name Surname]],Manpower!$C$4:$C$1048576,Manpower!$F$4:$F$1048576,"")</f>
        <v>Helper</v>
      </c>
      <c r="H882" s="48" t="str">
        <f>_xlfn.XLOOKUP(Table134526_79101120212223242526[[#This Row],[Name Surname]],Manpower!$C$4:$C$1048576,Manpower!$H$4:$H$1048576,"")</f>
        <v>Manpower</v>
      </c>
      <c r="I882" s="42" t="str">
        <f>_xlfn.XLOOKUP(Table134526_79101120212223242526[[#This Row],[Name Surname]],Manpower!$C$4:$C$1048576,Manpower!$H$4:$H$1048576,"")</f>
        <v>Manpower</v>
      </c>
      <c r="J882" s="43" t="s">
        <v>21</v>
      </c>
      <c r="K882" s="43" t="s">
        <v>98</v>
      </c>
      <c r="L882" s="43" t="s">
        <v>82</v>
      </c>
      <c r="M882" s="43" t="s">
        <v>24</v>
      </c>
      <c r="N882" s="44">
        <v>10</v>
      </c>
      <c r="O882" s="43" t="s">
        <v>89</v>
      </c>
      <c r="P882" s="43" t="s">
        <v>41</v>
      </c>
      <c r="Q882" s="43" t="s">
        <v>41</v>
      </c>
      <c r="R882" s="43" t="s">
        <v>233</v>
      </c>
      <c r="S882" s="43"/>
    </row>
    <row r="883" spans="1:20" s="45" customFormat="1" ht="14.4" hidden="1">
      <c r="A883" s="25">
        <f>IF(C883="","",MAX($A$1:A882)+1)</f>
        <v>849</v>
      </c>
      <c r="B883" s="25" t="s">
        <v>79</v>
      </c>
      <c r="C883" s="41">
        <v>46089</v>
      </c>
      <c r="D883" s="48" t="str">
        <f>_xlfn.XLOOKUP(Table134526_79101120212223242526[[#This Row],[Name Surname]],Manpower!$C$4:$C$1048576,Manpower!$B$4:$B$1048576,"")</f>
        <v>SARENS NASS</v>
      </c>
      <c r="E883" s="43" t="s">
        <v>103</v>
      </c>
      <c r="F883" s="12">
        <f>_xlfn.XLOOKUP(Table134526_79101120212223242526[[#This Row],[Name Surname]],Manpower!C:C,Manpower!D:D,)</f>
        <v>79502392</v>
      </c>
      <c r="G883" s="48" t="str">
        <f>_xlfn.XLOOKUP(Table134526_79101120212223242526[[#This Row],[Name Surname]],Manpower!$C$4:$C$1048576,Manpower!$F$4:$F$1048576,"")</f>
        <v>Crane Operator- 70T Liebherr Telescopic Crane-01</v>
      </c>
      <c r="H883" s="48" t="s">
        <v>39</v>
      </c>
      <c r="I883" s="42" t="s">
        <v>39</v>
      </c>
      <c r="J883" s="43" t="s">
        <v>35</v>
      </c>
      <c r="K883" s="43" t="s">
        <v>104</v>
      </c>
      <c r="L883" s="43" t="s">
        <v>82</v>
      </c>
      <c r="M883" s="43" t="s">
        <v>24</v>
      </c>
      <c r="N883" s="44">
        <v>10</v>
      </c>
      <c r="O883" s="43" t="s">
        <v>40</v>
      </c>
      <c r="P883" s="43" t="s">
        <v>41</v>
      </c>
      <c r="Q883" s="43" t="s">
        <v>42</v>
      </c>
      <c r="R883" s="43" t="s">
        <v>43</v>
      </c>
      <c r="S883" s="43"/>
    </row>
    <row r="884" spans="1:20" s="45" customFormat="1" ht="14.4" hidden="1">
      <c r="A884" s="25">
        <f>IF(C884="","",MAX($A$1:A883)+1)</f>
        <v>850</v>
      </c>
      <c r="B884" s="25" t="s">
        <v>79</v>
      </c>
      <c r="C884" s="41">
        <v>46089</v>
      </c>
      <c r="D884" s="48" t="str">
        <f>_xlfn.XLOOKUP(Table134526_79101120212223242526[[#This Row],[Name Surname]],Manpower!$C$4:$C$1048576,Manpower!$B$4:$B$1048576,"")</f>
        <v>Encogroup</v>
      </c>
      <c r="E884" s="43" t="s">
        <v>105</v>
      </c>
      <c r="F884" s="12">
        <f>_xlfn.XLOOKUP(Table134526_79101120212223242526[[#This Row],[Name Surname]],Manpower!C:C,Manpower!D:D,)</f>
        <v>141358993</v>
      </c>
      <c r="G884" s="48" t="str">
        <f>_xlfn.XLOOKUP(Table134526_79101120212223242526[[#This Row],[Name Surname]],Manpower!$C$4:$C$1048576,Manpower!$F$4:$F$1048576,"")</f>
        <v>Fitter</v>
      </c>
      <c r="H884" s="48" t="str">
        <f>_xlfn.XLOOKUP(Table134526_79101120212223242526[[#This Row],[Name Surname]],Manpower!$C$4:$C$1048576,Manpower!$H$4:$H$1048576,"")</f>
        <v>Manpower</v>
      </c>
      <c r="I884" s="42" t="str">
        <f>_xlfn.XLOOKUP(Table134526_79101120212223242526[[#This Row],[Name Surname]],Manpower!$C$4:$C$1048576,Manpower!$H$4:$H$1048576,"")</f>
        <v>Manpower</v>
      </c>
      <c r="J884" s="43" t="s">
        <v>35</v>
      </c>
      <c r="K884" s="43" t="s">
        <v>98</v>
      </c>
      <c r="L884" s="43" t="s">
        <v>82</v>
      </c>
      <c r="M884" s="43" t="s">
        <v>24</v>
      </c>
      <c r="N884" s="44">
        <v>8</v>
      </c>
      <c r="O884" s="43" t="s">
        <v>25</v>
      </c>
      <c r="P884" s="43" t="s">
        <v>41</v>
      </c>
      <c r="Q884" s="43" t="s">
        <v>77</v>
      </c>
      <c r="R884" s="43" t="s">
        <v>85</v>
      </c>
      <c r="S884" s="43"/>
    </row>
    <row r="885" spans="1:20" s="45" customFormat="1" ht="14.4" hidden="1">
      <c r="A885" s="25">
        <f>IF(C885="","",MAX($A$1:A884)+1)</f>
        <v>851</v>
      </c>
      <c r="B885" s="25" t="s">
        <v>79</v>
      </c>
      <c r="C885" s="41">
        <v>46089</v>
      </c>
      <c r="D885" s="48" t="str">
        <f>_xlfn.XLOOKUP(Table134526_79101120212223242526[[#This Row],[Name Surname]],Manpower!$C$4:$C$1048576,Manpower!$B$4:$B$1048576,"")</f>
        <v>Encogroup</v>
      </c>
      <c r="E885" s="43" t="s">
        <v>106</v>
      </c>
      <c r="F885" s="12" t="str">
        <f>_xlfn.XLOOKUP(Table134526_79101120212223242526[[#This Row],[Name Surname]],Manpower!C:C,Manpower!D:D,)</f>
        <v>R3971143</v>
      </c>
      <c r="G885" s="48" t="str">
        <f>_xlfn.XLOOKUP(Table134526_79101120212223242526[[#This Row],[Name Surname]],Manpower!$C$4:$C$1048576,Manpower!$F$4:$F$1048576,"")</f>
        <v>Mechanical Foreman</v>
      </c>
      <c r="H885" s="48" t="str">
        <f>_xlfn.XLOOKUP(Table134526_79101120212223242526[[#This Row],[Name Surname]],Manpower!$C$4:$C$1048576,Manpower!$H$4:$H$1048576,"")</f>
        <v>Manpower</v>
      </c>
      <c r="I885" s="42" t="str">
        <f>_xlfn.XLOOKUP(Table134526_79101120212223242526[[#This Row],[Name Surname]],Manpower!$C$4:$C$1048576,Manpower!$H$4:$H$1048576,"")</f>
        <v>Manpower</v>
      </c>
      <c r="J885" s="43" t="s">
        <v>35</v>
      </c>
      <c r="K885" s="43" t="s">
        <v>81</v>
      </c>
      <c r="L885" s="43" t="s">
        <v>82</v>
      </c>
      <c r="M885" s="43" t="s">
        <v>24</v>
      </c>
      <c r="N885" s="44">
        <v>10</v>
      </c>
      <c r="O885" s="43" t="s">
        <v>25</v>
      </c>
      <c r="P885" s="43" t="s">
        <v>41</v>
      </c>
      <c r="Q885" s="43" t="s">
        <v>60</v>
      </c>
      <c r="R885" s="43" t="s">
        <v>83</v>
      </c>
      <c r="S885" s="43"/>
    </row>
    <row r="886" spans="1:20" s="45" customFormat="1" ht="14.4" hidden="1">
      <c r="A886" s="25">
        <f>IF(C886="","",MAX($A$1:A885)+1)</f>
        <v>852</v>
      </c>
      <c r="B886" s="25" t="s">
        <v>79</v>
      </c>
      <c r="C886" s="41">
        <v>46089</v>
      </c>
      <c r="D886" s="48" t="str">
        <f>_xlfn.XLOOKUP(Table134526_79101120212223242526[[#This Row],[Name Surname]],Manpower!$C$4:$C$1048576,Manpower!$B$4:$B$1048576,"")</f>
        <v>Encogroup</v>
      </c>
      <c r="E886" s="43" t="s">
        <v>107</v>
      </c>
      <c r="F886" s="12">
        <f>_xlfn.XLOOKUP(Table134526_79101120212223242526[[#This Row],[Name Surname]],Manpower!C:C,Manpower!D:D,)</f>
        <v>116858297</v>
      </c>
      <c r="G886" s="48" t="str">
        <f>_xlfn.XLOOKUP(Table134526_79101120212223242526[[#This Row],[Name Surname]],Manpower!$C$4:$C$1048576,Manpower!$F$4:$F$1048576,"")</f>
        <v>Mechanical Superintendent</v>
      </c>
      <c r="H886" s="48" t="str">
        <f>_xlfn.XLOOKUP(Table134526_79101120212223242526[[#This Row],[Name Surname]],Manpower!$C$4:$C$1048576,Manpower!$H$4:$H$1048576,"")</f>
        <v>Manpower</v>
      </c>
      <c r="I886" s="42" t="str">
        <f>_xlfn.XLOOKUP(Table134526_79101120212223242526[[#This Row],[Name Surname]],Manpower!$C$4:$C$1048576,Manpower!$H$4:$H$1048576,"")</f>
        <v>Manpower</v>
      </c>
      <c r="J886" s="43" t="s">
        <v>35</v>
      </c>
      <c r="K886" s="43" t="s">
        <v>81</v>
      </c>
      <c r="L886" s="43" t="s">
        <v>82</v>
      </c>
      <c r="M886" s="43" t="s">
        <v>24</v>
      </c>
      <c r="N886" s="44">
        <v>8</v>
      </c>
      <c r="O886" s="43" t="s">
        <v>25</v>
      </c>
      <c r="P886" s="43" t="s">
        <v>41</v>
      </c>
      <c r="Q886" s="43" t="s">
        <v>60</v>
      </c>
      <c r="R886" s="43" t="s">
        <v>108</v>
      </c>
      <c r="S886" s="43"/>
    </row>
    <row r="887" spans="1:20" s="45" customFormat="1" ht="14.4" hidden="1">
      <c r="A887" s="25">
        <f>IF(C887="","",MAX($A$1:A886)+1)</f>
        <v>853</v>
      </c>
      <c r="B887" s="25" t="s">
        <v>79</v>
      </c>
      <c r="C887" s="41">
        <v>46089</v>
      </c>
      <c r="D887" s="48" t="str">
        <f>_xlfn.XLOOKUP(Table134526_79101120212223242526[[#This Row],[Name Surname]],Manpower!$C$4:$C$1048576,Manpower!$B$4:$B$1048576,"")</f>
        <v>Encogroup</v>
      </c>
      <c r="E887" s="43" t="s">
        <v>109</v>
      </c>
      <c r="F887" s="12">
        <f>_xlfn.XLOOKUP(Table134526_79101120212223242526[[#This Row],[Name Surname]],Manpower!C:C,Manpower!D:D,)</f>
        <v>123805496</v>
      </c>
      <c r="G887" s="48" t="str">
        <f>_xlfn.XLOOKUP(Table134526_79101120212223242526[[#This Row],[Name Surname]],Manpower!$C$4:$C$1048576,Manpower!$F$4:$F$1048576,"")</f>
        <v>Fitter/Erector</v>
      </c>
      <c r="H887" s="48" t="str">
        <f>_xlfn.XLOOKUP(Table134526_79101120212223242526[[#This Row],[Name Surname]],Manpower!$C$4:$C$1048576,Manpower!$H$4:$H$1048576,"")</f>
        <v>Manpower</v>
      </c>
      <c r="I887" s="42" t="str">
        <f>_xlfn.XLOOKUP(Table134526_79101120212223242526[[#This Row],[Name Surname]],Manpower!$C$4:$C$1048576,Manpower!$H$4:$H$1048576,"")</f>
        <v>Manpower</v>
      </c>
      <c r="J887" s="43" t="s">
        <v>35</v>
      </c>
      <c r="K887" s="43" t="s">
        <v>81</v>
      </c>
      <c r="L887" s="43" t="s">
        <v>82</v>
      </c>
      <c r="M887" s="43" t="s">
        <v>24</v>
      </c>
      <c r="N887" s="44">
        <v>8</v>
      </c>
      <c r="O887" s="43" t="s">
        <v>25</v>
      </c>
      <c r="P887" s="43" t="s">
        <v>41</v>
      </c>
      <c r="Q887" s="43" t="s">
        <v>60</v>
      </c>
      <c r="R887" s="43" t="s">
        <v>83</v>
      </c>
      <c r="S887" s="43"/>
    </row>
    <row r="888" spans="1:20" ht="14.4" hidden="1">
      <c r="A888" s="33">
        <f>IF(C888="","",MAX($A$1:A887)+1)</f>
        <v>854</v>
      </c>
      <c r="B888" s="31" t="s">
        <v>79</v>
      </c>
      <c r="C888" s="23">
        <v>46089</v>
      </c>
      <c r="D888" s="28" t="str">
        <f>_xlfn.XLOOKUP(Table134526_79101120212223242526[[#This Row],[Name Surname]],Manpower!$C$4:$C$1048576,Manpower!$B$4:$B$1048576,"")</f>
        <v>Encogroup</v>
      </c>
      <c r="E888" s="21" t="s">
        <v>110</v>
      </c>
      <c r="F888" s="12">
        <f>_xlfn.XLOOKUP(Table134526_79101120212223242526[[#This Row],[Name Surname]],Manpower!C:C,Manpower!D:D,)</f>
        <v>136277866</v>
      </c>
      <c r="G888" s="28" t="str">
        <f>_xlfn.XLOOKUP(Table134526_79101120212223242526[[#This Row],[Name Surname]],Manpower!$C$4:$C$1048576,Manpower!$F$4:$F$1048576,"")</f>
        <v>Permit Receiver</v>
      </c>
      <c r="H888" s="28" t="str">
        <f>_xlfn.XLOOKUP(Table134526_79101120212223242526[[#This Row],[Name Surname]],Manpower!$C$4:$C$1048576,Manpower!$H$4:$H$1048576,"")</f>
        <v>Manpower</v>
      </c>
      <c r="I888" s="24" t="str">
        <f>_xlfn.XLOOKUP(Table134526_79101120212223242526[[#This Row],[Name Surname]],Manpower!$C$4:$C$1048576,Manpower!$H$4:$H$1048576,"")</f>
        <v>Manpower</v>
      </c>
      <c r="J888" s="21" t="s">
        <v>35</v>
      </c>
      <c r="K888" s="21" t="s">
        <v>81</v>
      </c>
      <c r="L888" s="21" t="s">
        <v>82</v>
      </c>
      <c r="M888" s="21" t="s">
        <v>24</v>
      </c>
      <c r="N888" s="29">
        <v>10</v>
      </c>
      <c r="O888" s="21" t="s">
        <v>25</v>
      </c>
      <c r="P888" s="21" t="s">
        <v>41</v>
      </c>
      <c r="Q888" s="21" t="s">
        <v>60</v>
      </c>
      <c r="R888" s="21" t="s">
        <v>108</v>
      </c>
      <c r="T888" s="45"/>
    </row>
    <row r="889" spans="1:20" ht="14.4" hidden="1">
      <c r="A889" s="33">
        <f>IF(C889="","",MAX($A$1:A888)+1)</f>
        <v>855</v>
      </c>
      <c r="B889" s="31" t="s">
        <v>79</v>
      </c>
      <c r="C889" s="23">
        <v>46089</v>
      </c>
      <c r="D889" s="28" t="str">
        <f>_xlfn.XLOOKUP(Table134526_79101120212223242526[[#This Row],[Name Surname]],Manpower!$C$4:$C$1048576,Manpower!$B$4:$B$1048576,"")</f>
        <v>Encogroup</v>
      </c>
      <c r="E889" s="21" t="s">
        <v>111</v>
      </c>
      <c r="F889" s="12">
        <f>_xlfn.XLOOKUP(Table134526_79101120212223242526[[#This Row],[Name Surname]],Manpower!C:C,Manpower!D:D,)</f>
        <v>120653364</v>
      </c>
      <c r="G889" s="28" t="str">
        <f>_xlfn.XLOOKUP(Table134526_79101120212223242526[[#This Row],[Name Surname]],Manpower!$C$4:$C$1048576,Manpower!$F$4:$F$1048576,"")</f>
        <v>Surveyor</v>
      </c>
      <c r="H889" s="28" t="str">
        <f>_xlfn.XLOOKUP(Table134526_79101120212223242526[[#This Row],[Name Surname]],Manpower!$C$4:$C$1048576,Manpower!$H$4:$H$1048576,"")</f>
        <v>Manpower</v>
      </c>
      <c r="I889" s="24" t="str">
        <f>_xlfn.XLOOKUP(Table134526_79101120212223242526[[#This Row],[Name Surname]],Manpower!$C$4:$C$1048576,Manpower!$H$4:$H$1048576,"")</f>
        <v>Manpower</v>
      </c>
      <c r="J889" s="21" t="s">
        <v>35</v>
      </c>
      <c r="K889" s="21" t="s">
        <v>98</v>
      </c>
      <c r="L889" s="21" t="s">
        <v>82</v>
      </c>
      <c r="M889" s="21" t="s">
        <v>24</v>
      </c>
      <c r="N889" s="29">
        <v>10</v>
      </c>
      <c r="O889" s="21" t="s">
        <v>89</v>
      </c>
      <c r="P889" s="21" t="s">
        <v>41</v>
      </c>
      <c r="Q889" s="21" t="s">
        <v>41</v>
      </c>
      <c r="R889" s="21" t="s">
        <v>233</v>
      </c>
      <c r="T889" s="45"/>
    </row>
    <row r="890" spans="1:20" s="45" customFormat="1" ht="14.4" hidden="1">
      <c r="A890" s="25">
        <f>IF(C890="","",MAX($A$1:A889)+1)</f>
        <v>856</v>
      </c>
      <c r="B890" s="25" t="s">
        <v>79</v>
      </c>
      <c r="C890" s="41">
        <v>46089</v>
      </c>
      <c r="D890" s="48" t="str">
        <f>_xlfn.XLOOKUP(Table134526_79101120212223242526[[#This Row],[Name Surname]],Manpower!$C$4:$C$1048576,Manpower!$B$4:$B$1048576,"")</f>
        <v>Encogroup</v>
      </c>
      <c r="E890" s="43" t="s">
        <v>112</v>
      </c>
      <c r="F890" s="12">
        <f>_xlfn.XLOOKUP(Table134526_79101120212223242526[[#This Row],[Name Surname]],Manpower!C:C,Manpower!D:D,)</f>
        <v>140663253</v>
      </c>
      <c r="G890" s="48" t="str">
        <f>_xlfn.XLOOKUP(Table134526_79101120212223242526[[#This Row],[Name Surname]],Manpower!$C$4:$C$1048576,Manpower!$F$4:$F$1048576,"")</f>
        <v>Painting Inspector</v>
      </c>
      <c r="H890" s="48" t="str">
        <f>_xlfn.XLOOKUP(Table134526_79101120212223242526[[#This Row],[Name Surname]],Manpower!$C$4:$C$1048576,Manpower!$H$4:$H$1048576,"")</f>
        <v>Manpower</v>
      </c>
      <c r="I890" s="42" t="str">
        <f>_xlfn.XLOOKUP(Table134526_79101120212223242526[[#This Row],[Name Surname]],Manpower!$C$4:$C$1048576,Manpower!$H$4:$H$1048576,"")</f>
        <v>Manpower</v>
      </c>
      <c r="J890" s="43" t="s">
        <v>35</v>
      </c>
      <c r="K890" s="43" t="s">
        <v>113</v>
      </c>
      <c r="L890" s="43" t="s">
        <v>82</v>
      </c>
      <c r="M890" s="43" t="s">
        <v>24</v>
      </c>
      <c r="N890" s="44">
        <v>8</v>
      </c>
      <c r="O890" s="43" t="s">
        <v>94</v>
      </c>
      <c r="P890" s="43" t="s">
        <v>114</v>
      </c>
      <c r="Q890" s="43" t="s">
        <v>114</v>
      </c>
      <c r="R890" s="43" t="s">
        <v>96</v>
      </c>
      <c r="S890" s="43"/>
    </row>
    <row r="891" spans="1:20" s="45" customFormat="1" ht="14.4" hidden="1">
      <c r="A891" s="25">
        <f>IF(C891="","",MAX($A$1:A890)+1)</f>
        <v>857</v>
      </c>
      <c r="B891" s="25" t="s">
        <v>79</v>
      </c>
      <c r="C891" s="41">
        <v>46089</v>
      </c>
      <c r="D891" s="48" t="str">
        <f>_xlfn.XLOOKUP(Table134526_79101120212223242526[[#This Row],[Name Surname]],Manpower!$C$4:$C$1048576,Manpower!$B$4:$B$1048576,"")</f>
        <v>Encogroup</v>
      </c>
      <c r="E891" s="43" t="s">
        <v>235</v>
      </c>
      <c r="F891" s="12">
        <f>_xlfn.XLOOKUP(Table134526_79101120212223242526[[#This Row],[Name Surname]],Manpower!C:C,Manpower!D:D,)</f>
        <v>132423982</v>
      </c>
      <c r="G891" s="48" t="str">
        <f>_xlfn.XLOOKUP(Table134526_79101120212223242526[[#This Row],[Name Surname]],Manpower!$C$4:$C$1048576,Manpower!$F$4:$F$1048576,"")</f>
        <v>Mechanic Supervisor</v>
      </c>
      <c r="H891" s="48" t="str">
        <f>_xlfn.XLOOKUP(Table134526_79101120212223242526[[#This Row],[Name Surname]],Manpower!$C$4:$C$1048576,Manpower!$H$4:$H$1048576,"")</f>
        <v>Manpower</v>
      </c>
      <c r="I891" s="42" t="str">
        <f>_xlfn.XLOOKUP(Table134526_79101120212223242526[[#This Row],[Name Surname]],Manpower!$C$4:$C$1048576,Manpower!$H$4:$H$1048576,"")</f>
        <v>Manpower</v>
      </c>
      <c r="J891" s="43" t="s">
        <v>135</v>
      </c>
      <c r="K891" s="43" t="s">
        <v>26</v>
      </c>
      <c r="L891" s="43"/>
      <c r="M891" s="43" t="s">
        <v>24</v>
      </c>
      <c r="N891" s="44">
        <v>10</v>
      </c>
      <c r="O891" s="43" t="s">
        <v>236</v>
      </c>
      <c r="P891" s="43" t="s">
        <v>236</v>
      </c>
      <c r="Q891" s="43" t="s">
        <v>236</v>
      </c>
      <c r="R891" s="43" t="s">
        <v>26</v>
      </c>
      <c r="S891" s="43"/>
    </row>
    <row r="892" spans="1:20" s="45" customFormat="1" ht="14.4" hidden="1">
      <c r="A892" s="25">
        <f>IF(C892="","",MAX($A$1:A891)+1)</f>
        <v>858</v>
      </c>
      <c r="B892" s="25" t="s">
        <v>79</v>
      </c>
      <c r="C892" s="41">
        <v>46089</v>
      </c>
      <c r="D892" s="48" t="str">
        <f>_xlfn.XLOOKUP(Table134526_79101120212223242526[[#This Row],[Name Surname]],Manpower!$C$4:$C$1048576,Manpower!$B$4:$B$1048576,"")</f>
        <v>Encogroup</v>
      </c>
      <c r="E892" s="43" t="s">
        <v>237</v>
      </c>
      <c r="F892" s="12">
        <f>_xlfn.XLOOKUP(Table134526_79101120212223242526[[#This Row],[Name Surname]],Manpower!C:C,Manpower!D:D,)</f>
        <v>75199413</v>
      </c>
      <c r="G892" s="48" t="str">
        <f>_xlfn.XLOOKUP(Table134526_79101120212223242526[[#This Row],[Name Surname]],Manpower!$C$4:$C$1048576,Manpower!$F$4:$F$1048576,"")</f>
        <v>Mechanic</v>
      </c>
      <c r="H892" s="48" t="str">
        <f>_xlfn.XLOOKUP(Table134526_79101120212223242526[[#This Row],[Name Surname]],Manpower!$C$4:$C$1048576,Manpower!$H$4:$H$1048576,"")</f>
        <v>Manpower</v>
      </c>
      <c r="I892" s="42" t="str">
        <f>_xlfn.XLOOKUP(Table134526_79101120212223242526[[#This Row],[Name Surname]],Manpower!$C$4:$C$1048576,Manpower!$H$4:$H$1048576,"")</f>
        <v>Manpower</v>
      </c>
      <c r="J892" s="43" t="s">
        <v>135</v>
      </c>
      <c r="K892" s="43" t="s">
        <v>26</v>
      </c>
      <c r="L892" s="43"/>
      <c r="M892" s="43" t="s">
        <v>24</v>
      </c>
      <c r="N892" s="44">
        <v>10</v>
      </c>
      <c r="O892" s="43" t="s">
        <v>236</v>
      </c>
      <c r="P892" s="43" t="s">
        <v>236</v>
      </c>
      <c r="Q892" s="43" t="s">
        <v>236</v>
      </c>
      <c r="R892" s="43" t="s">
        <v>26</v>
      </c>
      <c r="S892" s="43"/>
    </row>
    <row r="893" spans="1:20" s="45" customFormat="1" ht="14.4" hidden="1">
      <c r="A893" s="25">
        <f>IF(C893="","",MAX($A$1:A892)+1)</f>
        <v>859</v>
      </c>
      <c r="B893" s="25" t="s">
        <v>79</v>
      </c>
      <c r="C893" s="41">
        <v>46089</v>
      </c>
      <c r="D893" s="48" t="str">
        <f>_xlfn.XLOOKUP(Table134526_79101120212223242526[[#This Row],[Name Surname]],Manpower!$C$4:$C$1048576,Manpower!$B$4:$B$1048576,"")</f>
        <v xml:space="preserve">FAL Transport </v>
      </c>
      <c r="E893" s="43" t="s">
        <v>225</v>
      </c>
      <c r="F893" s="12">
        <f>_xlfn.XLOOKUP(Table134526_79101120212223242526[[#This Row],[Name Surname]],Manpower!C:C,Manpower!D:D,)</f>
        <v>124233837</v>
      </c>
      <c r="G893" s="48" t="str">
        <f>_xlfn.XLOOKUP(Table134526_79101120212223242526[[#This Row],[Name Surname]],Manpower!$C$4:$C$1048576,Manpower!$F$4:$F$1048576,"")</f>
        <v>Trailer Driver</v>
      </c>
      <c r="H893" s="48" t="str">
        <f>_xlfn.XLOOKUP(Table134526_79101120212223242526[[#This Row],[Name Surname]],Manpower!$C$4:$C$1048576,Manpower!$H$4:$H$1048576,"")</f>
        <v>Sub Contactor</v>
      </c>
      <c r="I893" s="42" t="str">
        <f>_xlfn.XLOOKUP(Table134526_79101120212223242526[[#This Row],[Name Surname]],Manpower!$C$4:$C$1048576,Manpower!$H$4:$H$1048576,"")</f>
        <v>Sub Contactor</v>
      </c>
      <c r="J893" s="43"/>
      <c r="K893" s="43"/>
      <c r="L893" s="43"/>
      <c r="M893" s="43"/>
      <c r="N893" s="44"/>
      <c r="O893" s="43"/>
      <c r="P893" s="43"/>
      <c r="Q893" s="43"/>
      <c r="R893" s="43"/>
      <c r="S893" s="43"/>
    </row>
    <row r="894" spans="1:20" s="45" customFormat="1" ht="14.4" hidden="1">
      <c r="A894" s="25">
        <f>IF(C894="","",MAX($A$1:A892)+1)</f>
        <v>859</v>
      </c>
      <c r="B894" s="25" t="s">
        <v>79</v>
      </c>
      <c r="C894" s="41">
        <v>46089</v>
      </c>
      <c r="D894" s="48" t="str">
        <f>_xlfn.XLOOKUP(Table134526_79101120212223242526[[#This Row],[Name Surname]],Manpower!$C$4:$C$1048576,Manpower!$B$4:$B$1048576,"")</f>
        <v>Encogroup</v>
      </c>
      <c r="E894" s="43" t="s">
        <v>134</v>
      </c>
      <c r="F894" s="12">
        <f>_xlfn.XLOOKUP(Table134526_79101120212223242526[[#This Row],[Name Surname]],Manpower!C:C,Manpower!D:D,)</f>
        <v>18114443</v>
      </c>
      <c r="G894" s="48" t="str">
        <f>_xlfn.XLOOKUP(Table134526_79101120212223242526[[#This Row],[Name Surname]],Manpower!$C$4:$C$1048576,Manpower!$F$4:$F$1048576,"")</f>
        <v>Driver</v>
      </c>
      <c r="H894" s="48" t="str">
        <f>_xlfn.XLOOKUP(Table134526_79101120212223242526[[#This Row],[Name Surname]],Manpower!$C$4:$C$1048576,Manpower!$H$4:$H$1048576,"")</f>
        <v>Manpower</v>
      </c>
      <c r="I894" s="42" t="str">
        <f>_xlfn.XLOOKUP(Table134526_79101120212223242526[[#This Row],[Name Surname]],Manpower!$C$4:$C$1048576,Manpower!$H$4:$H$1048576,"")</f>
        <v>Manpower</v>
      </c>
      <c r="J894" s="43" t="s">
        <v>35</v>
      </c>
      <c r="K894" s="43"/>
      <c r="L894" s="43"/>
      <c r="M894" s="43"/>
      <c r="N894" s="44"/>
      <c r="O894" s="43"/>
      <c r="P894" s="43"/>
      <c r="Q894" s="43"/>
      <c r="R894" s="43"/>
      <c r="S894" s="43"/>
    </row>
    <row r="895" spans="1:20" s="45" customFormat="1" ht="14.4" hidden="1">
      <c r="A895" s="25">
        <f>IF(C895="","",MAX($A$1:A892)+1)</f>
        <v>859</v>
      </c>
      <c r="B895" s="25" t="s">
        <v>79</v>
      </c>
      <c r="C895" s="41">
        <v>46089</v>
      </c>
      <c r="D895" s="48" t="str">
        <f>_xlfn.XLOOKUP(Table134526_79101120212223242526[[#This Row],[Name Surname]],Manpower!$C$4:$C$1048576,Manpower!$B$4:$B$1048576,"")</f>
        <v>Encogroup</v>
      </c>
      <c r="E895" s="43" t="s">
        <v>238</v>
      </c>
      <c r="F895" s="12">
        <f>_xlfn.XLOOKUP(Table134526_79101120212223242526[[#This Row],[Name Surname]],Manpower!C:C,Manpower!D:D,)</f>
        <v>19753414</v>
      </c>
      <c r="G895" s="48" t="str">
        <f>_xlfn.XLOOKUP(Table134526_79101120212223242526[[#This Row],[Name Surname]],Manpower!$C$4:$C$1048576,Manpower!$F$4:$F$1048576,"")</f>
        <v>Bus Driver</v>
      </c>
      <c r="H895" s="48" t="str">
        <f>_xlfn.XLOOKUP(Table134526_79101120212223242526[[#This Row],[Name Surname]],Manpower!$C$4:$C$1048576,Manpower!$H$4:$H$1048576,"")</f>
        <v>Manpower</v>
      </c>
      <c r="I895" s="42" t="str">
        <f>_xlfn.XLOOKUP(Table134526_79101120212223242526[[#This Row],[Name Surname]],Manpower!$C$4:$C$1048576,Manpower!$H$4:$H$1048576,"")</f>
        <v>Manpower</v>
      </c>
      <c r="J895" s="43" t="s">
        <v>35</v>
      </c>
      <c r="K895" s="43"/>
      <c r="L895" s="43"/>
      <c r="M895" s="43"/>
      <c r="N895" s="44"/>
      <c r="O895" s="43"/>
      <c r="P895" s="43"/>
      <c r="Q895" s="43"/>
      <c r="R895" s="43"/>
      <c r="S895" s="43"/>
    </row>
    <row r="896" spans="1:20" s="45" customFormat="1" ht="14.4" hidden="1">
      <c r="A896" s="25">
        <f>IF(C896="","",MAX($A$1:A890)+1)</f>
        <v>857</v>
      </c>
      <c r="B896" s="25" t="s">
        <v>79</v>
      </c>
      <c r="C896" s="41">
        <v>46089</v>
      </c>
      <c r="D896" s="48" t="str">
        <f>_xlfn.XLOOKUP(Table134526_79101120212223242526[[#This Row],[Name Surname]],Manpower!$C$4:$C$1048576,Manpower!$B$4:$B$1048576,"")</f>
        <v>Encogroup</v>
      </c>
      <c r="E896" s="43" t="s">
        <v>117</v>
      </c>
      <c r="F896" s="12">
        <f>_xlfn.XLOOKUP(Table134526_79101120212223242526[[#This Row],[Name Surname]],Manpower!C:C,Manpower!D:D,)</f>
        <v>140844783</v>
      </c>
      <c r="G896" s="48" t="str">
        <f>_xlfn.XLOOKUP(Table134526_79101120212223242526[[#This Row],[Name Surname]],Manpower!$C$4:$C$1048576,Manpower!$F$4:$F$1048576,"")</f>
        <v>Painter</v>
      </c>
      <c r="H896" s="48" t="str">
        <f>_xlfn.XLOOKUP(Table134526_79101120212223242526[[#This Row],[Name Surname]],Manpower!$C$4:$C$1048576,Manpower!$H$4:$H$1048576,"")</f>
        <v>Manpower</v>
      </c>
      <c r="I896" s="42" t="str">
        <f>_xlfn.XLOOKUP(Table134526_79101120212223242526[[#This Row],[Name Surname]],Manpower!$C$4:$C$1048576,Manpower!$H$4:$H$1048576,"")</f>
        <v>Manpower</v>
      </c>
      <c r="J896" s="43" t="s">
        <v>35</v>
      </c>
      <c r="K896" s="43" t="s">
        <v>113</v>
      </c>
      <c r="L896" s="43" t="s">
        <v>82</v>
      </c>
      <c r="M896" s="43" t="s">
        <v>24</v>
      </c>
      <c r="N896" s="44">
        <v>10</v>
      </c>
      <c r="O896" s="43" t="s">
        <v>94</v>
      </c>
      <c r="P896" s="43" t="s">
        <v>114</v>
      </c>
      <c r="Q896" s="43" t="s">
        <v>114</v>
      </c>
      <c r="R896" s="43" t="s">
        <v>96</v>
      </c>
      <c r="S896" s="43"/>
    </row>
    <row r="897" spans="1:19" s="45" customFormat="1" ht="14.4" hidden="1">
      <c r="A897" s="25">
        <f>IF(C897="","",MAX($A$1:A896)+1)</f>
        <v>860</v>
      </c>
      <c r="B897" s="25" t="s">
        <v>79</v>
      </c>
      <c r="C897" s="41">
        <v>46089</v>
      </c>
      <c r="D897" s="48" t="str">
        <f>_xlfn.XLOOKUP(Table134526_79101120212223242526[[#This Row],[Name Surname]],Manpower!$C$4:$C$1048576,Manpower!$B$4:$B$1048576,"")</f>
        <v>Encogroup</v>
      </c>
      <c r="E897" s="43" t="s">
        <v>118</v>
      </c>
      <c r="F897" s="12" t="str">
        <f>_xlfn.XLOOKUP(Table134526_79101120212223242526[[#This Row],[Name Surname]],Manpower!C:C,Manpower!D:D,)</f>
        <v>AG111207</v>
      </c>
      <c r="G897" s="48" t="str">
        <f>_xlfn.XLOOKUP(Table134526_79101120212223242526[[#This Row],[Name Surname]],Manpower!$C$4:$C$1048576,Manpower!$F$4:$F$1048576,"")</f>
        <v>Assistant/Helper</v>
      </c>
      <c r="H897" s="48" t="str">
        <f>_xlfn.XLOOKUP(Table134526_79101120212223242526[[#This Row],[Name Surname]],Manpower!$C$4:$C$1048576,Manpower!$H$4:$H$1048576,"")</f>
        <v>Manpower</v>
      </c>
      <c r="I897" s="42" t="str">
        <f>_xlfn.XLOOKUP(Table134526_79101120212223242526[[#This Row],[Name Surname]],Manpower!$C$4:$C$1048576,Manpower!$H$4:$H$1048576,"")</f>
        <v>Manpower</v>
      </c>
      <c r="J897" s="43" t="s">
        <v>35</v>
      </c>
      <c r="K897" s="43" t="s">
        <v>113</v>
      </c>
      <c r="L897" s="43" t="s">
        <v>82</v>
      </c>
      <c r="M897" s="43" t="s">
        <v>24</v>
      </c>
      <c r="N897" s="44">
        <v>10</v>
      </c>
      <c r="O897" s="43" t="s">
        <v>94</v>
      </c>
      <c r="P897" s="43" t="s">
        <v>114</v>
      </c>
      <c r="Q897" s="43" t="s">
        <v>114</v>
      </c>
      <c r="R897" s="43" t="s">
        <v>96</v>
      </c>
      <c r="S897" s="43"/>
    </row>
    <row r="898" spans="1:19" s="45" customFormat="1" ht="14.4" hidden="1">
      <c r="A898" s="25">
        <f>IF(C898="","",MAX($A$1:A897)+1)</f>
        <v>861</v>
      </c>
      <c r="B898" s="25" t="s">
        <v>79</v>
      </c>
      <c r="C898" s="41">
        <v>46089</v>
      </c>
      <c r="D898" s="48" t="str">
        <f>_xlfn.XLOOKUP(Table134526_79101120212223242526[[#This Row],[Name Surname]],Manpower!$C$4:$C$1048576,Manpower!$B$4:$B$1048576,"")</f>
        <v>Encogroup</v>
      </c>
      <c r="E898" s="43" t="s">
        <v>119</v>
      </c>
      <c r="F898" s="12">
        <f>_xlfn.XLOOKUP(Table134526_79101120212223242526[[#This Row],[Name Surname]],Manpower!C:C,Manpower!D:D,)</f>
        <v>140844778</v>
      </c>
      <c r="G898" s="48" t="str">
        <f>_xlfn.XLOOKUP(Table134526_79101120212223242526[[#This Row],[Name Surname]],Manpower!$C$4:$C$1048576,Manpower!$F$4:$F$1048576,"")</f>
        <v>Painter</v>
      </c>
      <c r="H898" s="48" t="str">
        <f>_xlfn.XLOOKUP(Table134526_79101120212223242526[[#This Row],[Name Surname]],Manpower!$C$4:$C$1048576,Manpower!$H$4:$H$1048576,"")</f>
        <v>Manpower</v>
      </c>
      <c r="I898" s="42" t="str">
        <f>_xlfn.XLOOKUP(Table134526_79101120212223242526[[#This Row],[Name Surname]],Manpower!$C$4:$C$1048576,Manpower!$H$4:$H$1048576,"")</f>
        <v>Manpower</v>
      </c>
      <c r="J898" s="43" t="s">
        <v>35</v>
      </c>
      <c r="K898" s="43" t="s">
        <v>113</v>
      </c>
      <c r="L898" s="43" t="s">
        <v>82</v>
      </c>
      <c r="M898" s="43" t="s">
        <v>24</v>
      </c>
      <c r="N898" s="44">
        <v>8</v>
      </c>
      <c r="O898" s="43" t="s">
        <v>94</v>
      </c>
      <c r="P898" s="43" t="s">
        <v>114</v>
      </c>
      <c r="Q898" s="43" t="s">
        <v>114</v>
      </c>
      <c r="R898" s="43" t="s">
        <v>96</v>
      </c>
      <c r="S898" s="43"/>
    </row>
    <row r="899" spans="1:19" s="45" customFormat="1" ht="14.4" hidden="1">
      <c r="A899" s="25">
        <f>IF(C899="","",MAX($A$1:A898)+1)</f>
        <v>862</v>
      </c>
      <c r="B899" s="25" t="s">
        <v>79</v>
      </c>
      <c r="C899" s="41">
        <v>46089</v>
      </c>
      <c r="D899" s="48" t="str">
        <f>_xlfn.XLOOKUP(Table134526_79101120212223242526[[#This Row],[Name Surname]],Manpower!$C$4:$C$1048576,Manpower!$B$4:$B$1048576,"")</f>
        <v>Encogroup</v>
      </c>
      <c r="E899" s="43" t="s">
        <v>120</v>
      </c>
      <c r="F899" s="12">
        <f>_xlfn.XLOOKUP(Table134526_79101120212223242526[[#This Row],[Name Surname]],Manpower!C:C,Manpower!D:D,)</f>
        <v>141365037</v>
      </c>
      <c r="G899" s="48" t="str">
        <f>_xlfn.XLOOKUP(Table134526_79101120212223242526[[#This Row],[Name Surname]],Manpower!$C$4:$C$1048576,Manpower!$F$4:$F$1048576,"")</f>
        <v>Painter</v>
      </c>
      <c r="H899" s="48" t="str">
        <f>_xlfn.XLOOKUP(Table134526_79101120212223242526[[#This Row],[Name Surname]],Manpower!$C$4:$C$1048576,Manpower!$H$4:$H$1048576,"")</f>
        <v>Manpower</v>
      </c>
      <c r="I899" s="42" t="str">
        <f>_xlfn.XLOOKUP(Table134526_79101120212223242526[[#This Row],[Name Surname]],Manpower!$C$4:$C$1048576,Manpower!$H$4:$H$1048576,"")</f>
        <v>Manpower</v>
      </c>
      <c r="J899" s="43" t="s">
        <v>35</v>
      </c>
      <c r="K899" s="43" t="s">
        <v>113</v>
      </c>
      <c r="L899" s="43" t="s">
        <v>82</v>
      </c>
      <c r="M899" s="43" t="s">
        <v>24</v>
      </c>
      <c r="N899" s="44">
        <v>10</v>
      </c>
      <c r="O899" s="43" t="s">
        <v>94</v>
      </c>
      <c r="P899" s="43" t="s">
        <v>114</v>
      </c>
      <c r="Q899" s="43" t="s">
        <v>114</v>
      </c>
      <c r="R899" s="43" t="s">
        <v>96</v>
      </c>
      <c r="S899" s="43"/>
    </row>
    <row r="900" spans="1:19" s="45" customFormat="1" ht="14.4" hidden="1">
      <c r="A900" s="25">
        <f>IF(C900="","",MAX($A$1:A899)+1)</f>
        <v>863</v>
      </c>
      <c r="B900" s="25" t="s">
        <v>79</v>
      </c>
      <c r="C900" s="41">
        <v>46089</v>
      </c>
      <c r="D900" s="48" t="str">
        <f>_xlfn.XLOOKUP(Table134526_79101120212223242526[[#This Row],[Name Surname]],Manpower!$C$4:$C$1048576,Manpower!$B$4:$B$1048576,"")</f>
        <v>Encogroup</v>
      </c>
      <c r="E900" s="43" t="s">
        <v>122</v>
      </c>
      <c r="F900" s="12">
        <f>_xlfn.XLOOKUP(Table134526_79101120212223242526[[#This Row],[Name Surname]],Manpower!C:C,Manpower!D:D,)</f>
        <v>140805554</v>
      </c>
      <c r="G900" s="48" t="str">
        <f>_xlfn.XLOOKUP(Table134526_79101120212223242526[[#This Row],[Name Surname]],Manpower!$C$4:$C$1048576,Manpower!$F$4:$F$1048576,"")</f>
        <v>Assistant/Helper</v>
      </c>
      <c r="H900" s="48" t="str">
        <f>_xlfn.XLOOKUP(Table134526_79101120212223242526[[#This Row],[Name Surname]],Manpower!$C$4:$C$1048576,Manpower!$H$4:$H$1048576,"")</f>
        <v>Manpower</v>
      </c>
      <c r="I900" s="42" t="str">
        <f>_xlfn.XLOOKUP(Table134526_79101120212223242526[[#This Row],[Name Surname]],Manpower!$C$4:$C$1048576,Manpower!$H$4:$H$1048576,"")</f>
        <v>Manpower</v>
      </c>
      <c r="J900" s="43" t="s">
        <v>35</v>
      </c>
      <c r="K900" s="43" t="s">
        <v>104</v>
      </c>
      <c r="L900" s="43" t="s">
        <v>82</v>
      </c>
      <c r="M900" s="43" t="s">
        <v>24</v>
      </c>
      <c r="N900" s="44">
        <v>10</v>
      </c>
      <c r="O900" s="43" t="s">
        <v>25</v>
      </c>
      <c r="P900" s="43" t="s">
        <v>41</v>
      </c>
      <c r="Q900" s="43" t="s">
        <v>77</v>
      </c>
      <c r="R900" s="43" t="s">
        <v>234</v>
      </c>
      <c r="S900" s="43"/>
    </row>
    <row r="901" spans="1:19" s="45" customFormat="1" ht="14.4" hidden="1">
      <c r="A901" s="25">
        <f>IF(C901="","",MAX($A$1:A900)+1)</f>
        <v>864</v>
      </c>
      <c r="B901" s="25" t="s">
        <v>79</v>
      </c>
      <c r="C901" s="41">
        <v>46089</v>
      </c>
      <c r="D901" s="48" t="str">
        <f>_xlfn.XLOOKUP(Table134526_79101120212223242526[[#This Row],[Name Surname]],Manpower!$C$4:$C$1048576,Manpower!$B$4:$B$1048576,"")</f>
        <v>Encogroup</v>
      </c>
      <c r="E901" s="43" t="s">
        <v>125</v>
      </c>
      <c r="F901" s="12">
        <f>_xlfn.XLOOKUP(Table134526_79101120212223242526[[#This Row],[Name Surname]],Manpower!C:C,Manpower!D:D,)</f>
        <v>141169028</v>
      </c>
      <c r="G901" s="48" t="str">
        <f>_xlfn.XLOOKUP(Table134526_79101120212223242526[[#This Row],[Name Surname]],Manpower!$C$4:$C$1048576,Manpower!$F$4:$F$1048576,"")</f>
        <v>Welder</v>
      </c>
      <c r="H901" s="48" t="str">
        <f>_xlfn.XLOOKUP(Table134526_79101120212223242526[[#This Row],[Name Surname]],Manpower!$C$4:$C$1048576,Manpower!$H$4:$H$1048576,"")</f>
        <v>Manpower</v>
      </c>
      <c r="I901" s="42" t="str">
        <f>_xlfn.XLOOKUP(Table134526_79101120212223242526[[#This Row],[Name Surname]],Manpower!$C$4:$C$1048576,Manpower!$H$4:$H$1048576,"")</f>
        <v>Manpower</v>
      </c>
      <c r="J901" s="43" t="s">
        <v>35</v>
      </c>
      <c r="K901" s="43" t="s">
        <v>104</v>
      </c>
      <c r="L901" s="43" t="s">
        <v>82</v>
      </c>
      <c r="M901" s="43" t="s">
        <v>24</v>
      </c>
      <c r="N901" s="44">
        <v>10</v>
      </c>
      <c r="O901" s="43" t="s">
        <v>25</v>
      </c>
      <c r="P901" s="43" t="s">
        <v>41</v>
      </c>
      <c r="Q901" s="43" t="s">
        <v>60</v>
      </c>
      <c r="R901" s="43" t="s">
        <v>239</v>
      </c>
      <c r="S901" s="43"/>
    </row>
    <row r="902" spans="1:19" s="45" customFormat="1" ht="14.4" hidden="1">
      <c r="A902" s="25">
        <f>IF(C902="","",MAX($A$1:A901)+1)</f>
        <v>865</v>
      </c>
      <c r="B902" s="25" t="s">
        <v>79</v>
      </c>
      <c r="C902" s="41">
        <v>46089</v>
      </c>
      <c r="D902" s="48" t="str">
        <f>_xlfn.XLOOKUP(Table134526_79101120212223242526[[#This Row],[Name Surname]],Manpower!$C$4:$C$1048576,Manpower!$B$4:$B$1048576,"")</f>
        <v>Encogroup</v>
      </c>
      <c r="E902" s="43" t="s">
        <v>126</v>
      </c>
      <c r="F902" s="12">
        <f>_xlfn.XLOOKUP(Table134526_79101120212223242526[[#This Row],[Name Surname]],Manpower!C:C,Manpower!D:D,)</f>
        <v>140805568</v>
      </c>
      <c r="G902" s="48" t="str">
        <f>_xlfn.XLOOKUP(Table134526_79101120212223242526[[#This Row],[Name Surname]],Manpower!$C$4:$C$1048576,Manpower!$F$4:$F$1048576,"")</f>
        <v>Assistant/Helper</v>
      </c>
      <c r="H902" s="48" t="str">
        <f>_xlfn.XLOOKUP(Table134526_79101120212223242526[[#This Row],[Name Surname]],Manpower!$C$4:$C$1048576,Manpower!$H$4:$H$1048576,"")</f>
        <v>Manpower</v>
      </c>
      <c r="I902" s="42" t="str">
        <f>_xlfn.XLOOKUP(Table134526_79101120212223242526[[#This Row],[Name Surname]],Manpower!$C$4:$C$1048576,Manpower!$H$4:$H$1048576,"")</f>
        <v>Manpower</v>
      </c>
      <c r="J902" s="43" t="s">
        <v>35</v>
      </c>
      <c r="K902" s="43" t="s">
        <v>127</v>
      </c>
      <c r="L902" s="43" t="s">
        <v>82</v>
      </c>
      <c r="M902" s="43" t="s">
        <v>24</v>
      </c>
      <c r="N902" s="44">
        <v>10</v>
      </c>
      <c r="O902" s="43" t="s">
        <v>40</v>
      </c>
      <c r="P902" s="43" t="s">
        <v>41</v>
      </c>
      <c r="Q902" s="43" t="s">
        <v>128</v>
      </c>
      <c r="R902" s="43" t="s">
        <v>129</v>
      </c>
      <c r="S902" s="43"/>
    </row>
    <row r="903" spans="1:19" s="45" customFormat="1" ht="14.4" hidden="1">
      <c r="A903" s="25">
        <f>IF(C903="","",MAX($A$1:A902)+1)</f>
        <v>866</v>
      </c>
      <c r="B903" s="25" t="s">
        <v>79</v>
      </c>
      <c r="C903" s="41">
        <v>46089</v>
      </c>
      <c r="D903" s="48" t="str">
        <f>_xlfn.XLOOKUP(Table134526_79101120212223242526[[#This Row],[Name Surname]],Manpower!$C$4:$C$1048576,Manpower!$B$4:$B$1048576,"")</f>
        <v>AL Saif &amp; Al QALLM ENT LLC</v>
      </c>
      <c r="E903" s="43" t="s">
        <v>130</v>
      </c>
      <c r="F903" s="12">
        <f>_xlfn.XLOOKUP(Table134526_79101120212223242526[[#This Row],[Name Surname]],Manpower!C:C,Manpower!D:D,)</f>
        <v>76647648</v>
      </c>
      <c r="G903" s="48" t="str">
        <f>_xlfn.XLOOKUP(Table134526_79101120212223242526[[#This Row],[Name Surname]],Manpower!$C$4:$C$1048576,Manpower!$F$4:$F$1048576,"")</f>
        <v>RIgger</v>
      </c>
      <c r="H903" s="48" t="str">
        <f>_xlfn.XLOOKUP(Table134526_79101120212223242526[[#This Row],[Name Surname]],Manpower!$C$4:$C$1048576,Manpower!$H$4:$H$1048576,"")</f>
        <v>Sub Contactor</v>
      </c>
      <c r="I903" s="42" t="str">
        <f>_xlfn.XLOOKUP(Table134526_79101120212223242526[[#This Row],[Name Surname]],Manpower!$C$4:$C$1048576,Manpower!$H$4:$H$1048576,"")</f>
        <v>Sub Contactor</v>
      </c>
      <c r="J903" s="43" t="s">
        <v>35</v>
      </c>
      <c r="K903" s="43" t="s">
        <v>104</v>
      </c>
      <c r="L903" s="43" t="s">
        <v>82</v>
      </c>
      <c r="M903" s="43" t="s">
        <v>24</v>
      </c>
      <c r="N903" s="44">
        <v>8</v>
      </c>
      <c r="O903" s="43" t="s">
        <v>25</v>
      </c>
      <c r="P903" s="43" t="s">
        <v>41</v>
      </c>
      <c r="Q903" s="43" t="s">
        <v>60</v>
      </c>
      <c r="R903" s="43" t="s">
        <v>83</v>
      </c>
      <c r="S903" s="43"/>
    </row>
    <row r="904" spans="1:19" s="45" customFormat="1" ht="14.4" hidden="1">
      <c r="A904" s="25">
        <f>IF(C904="","",MAX($A$1:A903)+1)</f>
        <v>867</v>
      </c>
      <c r="B904" s="25" t="s">
        <v>79</v>
      </c>
      <c r="C904" s="41">
        <v>46089</v>
      </c>
      <c r="D904" s="48" t="str">
        <f>_xlfn.XLOOKUP(Table134526_79101120212223242526[[#This Row],[Name Surname]],Manpower!$C$4:$C$1048576,Manpower!$B$4:$B$1048576,"")</f>
        <v>Rabwu Ahamal AL Khaleej Trad</v>
      </c>
      <c r="E904" s="43" t="s">
        <v>131</v>
      </c>
      <c r="F904" s="12">
        <f>_xlfn.XLOOKUP(Table134526_79101120212223242526[[#This Row],[Name Surname]],Manpower!C:C,Manpower!D:D,)</f>
        <v>131431131</v>
      </c>
      <c r="G904" s="48" t="str">
        <f>_xlfn.XLOOKUP(Table134526_79101120212223242526[[#This Row],[Name Surname]],Manpower!$C$4:$C$1048576,Manpower!$F$4:$F$1048576,"")</f>
        <v>RIgger</v>
      </c>
      <c r="H904" s="48" t="str">
        <f>_xlfn.XLOOKUP(Table134526_79101120212223242526[[#This Row],[Name Surname]],Manpower!$C$4:$C$1048576,Manpower!$H$4:$H$1048576,"")</f>
        <v>Sub Contactor</v>
      </c>
      <c r="I904" s="42" t="str">
        <f>_xlfn.XLOOKUP(Table134526_79101120212223242526[[#This Row],[Name Surname]],Manpower!$C$4:$C$1048576,Manpower!$H$4:$H$1048576,"")</f>
        <v>Sub Contactor</v>
      </c>
      <c r="J904" s="43" t="s">
        <v>35</v>
      </c>
      <c r="K904" s="43" t="s">
        <v>104</v>
      </c>
      <c r="L904" s="43" t="s">
        <v>82</v>
      </c>
      <c r="M904" s="43" t="s">
        <v>24</v>
      </c>
      <c r="N904" s="44">
        <v>10</v>
      </c>
      <c r="O904" s="43" t="s">
        <v>25</v>
      </c>
      <c r="P904" s="43" t="s">
        <v>41</v>
      </c>
      <c r="Q904" s="43" t="s">
        <v>60</v>
      </c>
      <c r="R904" s="43" t="s">
        <v>83</v>
      </c>
      <c r="S904" s="43"/>
    </row>
    <row r="905" spans="1:19" ht="14.4" hidden="1">
      <c r="A905" s="33">
        <f>IF(C905="","",MAX($A$1:A904)+1)</f>
        <v>868</v>
      </c>
      <c r="B905" s="31" t="s">
        <v>79</v>
      </c>
      <c r="C905" s="23">
        <v>46089</v>
      </c>
      <c r="D905" s="28" t="str">
        <f>_xlfn.XLOOKUP(Table134526_79101120212223242526[[#This Row],[Name Surname]],Manpower!$C$4:$C$1048576,Manpower!$B$4:$B$1048576,"")</f>
        <v>AL Saif &amp; Al QALLM ENT LLC</v>
      </c>
      <c r="E905" s="21" t="s">
        <v>132</v>
      </c>
      <c r="F905" s="12">
        <f>_xlfn.XLOOKUP(Table134526_79101120212223242526[[#This Row],[Name Surname]],Manpower!C:C,Manpower!D:D,)</f>
        <v>135762195</v>
      </c>
      <c r="G905" s="28" t="str">
        <f>_xlfn.XLOOKUP(Table134526_79101120212223242526[[#This Row],[Name Surname]],Manpower!$C$4:$C$1048576,Manpower!$F$4:$F$1048576,"")</f>
        <v>HSE Officer</v>
      </c>
      <c r="H905" s="28" t="str">
        <f>_xlfn.XLOOKUP(Table134526_79101120212223242526[[#This Row],[Name Surname]],Manpower!$C$4:$C$1048576,Manpower!$H$4:$H$1048576,"")</f>
        <v>Sub Contactor</v>
      </c>
      <c r="I905" s="24" t="str">
        <f>_xlfn.XLOOKUP(Table134526_79101120212223242526[[#This Row],[Name Surname]],Manpower!$C$4:$C$1048576,Manpower!$H$4:$H$1048576,"")</f>
        <v>Sub Contactor</v>
      </c>
      <c r="J905" s="21" t="s">
        <v>35</v>
      </c>
      <c r="K905" s="21" t="s">
        <v>81</v>
      </c>
      <c r="L905" s="21" t="s">
        <v>82</v>
      </c>
      <c r="M905" s="21" t="s">
        <v>24</v>
      </c>
      <c r="N905" s="29">
        <v>10</v>
      </c>
      <c r="O905" s="21" t="s">
        <v>25</v>
      </c>
      <c r="P905" s="21" t="s">
        <v>41</v>
      </c>
      <c r="Q905" s="21" t="s">
        <v>60</v>
      </c>
      <c r="R905" s="21" t="s">
        <v>108</v>
      </c>
    </row>
    <row r="906" spans="1:19" ht="14.4" hidden="1">
      <c r="A906" s="33">
        <f>IF(C906="","",MAX($A$1:A905)+1)</f>
        <v>869</v>
      </c>
      <c r="B906" s="33" t="s">
        <v>79</v>
      </c>
      <c r="C906" s="23">
        <v>46089</v>
      </c>
      <c r="D906" s="28" t="str">
        <f>_xlfn.XLOOKUP(Table134526_79101120212223242526[[#This Row],[Name Surname]],Manpower!$C$4:$C$1048576,Manpower!$B$4:$B$1048576,"")</f>
        <v>Encogroup</v>
      </c>
      <c r="E906" s="21" t="s">
        <v>133</v>
      </c>
      <c r="F906" s="12">
        <f>_xlfn.XLOOKUP(Table134526_79101120212223242526[[#This Row],[Name Surname]],Manpower!C:C,Manpower!D:D,)</f>
        <v>140846684</v>
      </c>
      <c r="G906" s="28" t="str">
        <f>_xlfn.XLOOKUP(Table134526_79101120212223242526[[#This Row],[Name Surname]],Manpower!$C$4:$C$1048576,Manpower!$F$4:$F$1048576,"")</f>
        <v>Assistant/Helper</v>
      </c>
      <c r="H906" s="28" t="str">
        <f>_xlfn.XLOOKUP(Table134526_79101120212223242526[[#This Row],[Name Surname]],Manpower!$C$4:$C$1048576,Manpower!$H$4:$H$1048576,"")</f>
        <v>Manpower</v>
      </c>
      <c r="I906" s="24" t="str">
        <f>_xlfn.XLOOKUP(Table134526_79101120212223242526[[#This Row],[Name Surname]],Manpower!$C$4:$C$1048576,Manpower!$H$4:$H$1048576,"")</f>
        <v>Manpower</v>
      </c>
      <c r="J906" s="21" t="s">
        <v>35</v>
      </c>
      <c r="K906" s="21" t="s">
        <v>81</v>
      </c>
      <c r="L906" s="21" t="s">
        <v>82</v>
      </c>
      <c r="M906" s="21" t="s">
        <v>24</v>
      </c>
      <c r="N906" s="29">
        <v>10</v>
      </c>
      <c r="O906" s="21" t="s">
        <v>25</v>
      </c>
      <c r="P906" s="21" t="s">
        <v>41</v>
      </c>
      <c r="Q906" s="21" t="s">
        <v>60</v>
      </c>
      <c r="R906" s="21" t="s">
        <v>100</v>
      </c>
    </row>
    <row r="907" spans="1:19" s="45" customFormat="1" ht="14.4" hidden="1">
      <c r="A907" s="25">
        <f>IF(C907="","",MAX($A$1:A906)+1)</f>
        <v>870</v>
      </c>
      <c r="B907" s="25" t="s">
        <v>79</v>
      </c>
      <c r="C907" s="41">
        <v>46089</v>
      </c>
      <c r="D907" s="48" t="str">
        <f>_xlfn.XLOOKUP(Table134526_79101120212223242526[[#This Row],[Name Surname]],Manpower!$C$4:$C$1048576,Manpower!$B$4:$B$1048576,"")</f>
        <v>Encogroup</v>
      </c>
      <c r="E907" s="43" t="s">
        <v>136</v>
      </c>
      <c r="F907" s="12">
        <f>_xlfn.XLOOKUP(Table134526_79101120212223242526[[#This Row],[Name Surname]],Manpower!C:C,Manpower!D:D,)</f>
        <v>141250908</v>
      </c>
      <c r="G907" s="48" t="str">
        <f>_xlfn.XLOOKUP(Table134526_79101120212223242526[[#This Row],[Name Surname]],Manpower!$C$4:$C$1048576,Manpower!$F$4:$F$1048576,"")</f>
        <v>Mechanical Engineer</v>
      </c>
      <c r="H907" s="48" t="str">
        <f>_xlfn.XLOOKUP(Table134526_79101120212223242526[[#This Row],[Name Surname]],Manpower!$C$4:$C$1048576,Manpower!$H$4:$H$1048576,"")</f>
        <v>Manpower</v>
      </c>
      <c r="I907" s="42" t="str">
        <f>_xlfn.XLOOKUP(Table134526_79101120212223242526[[#This Row],[Name Surname]],Manpower!$C$4:$C$1048576,Manpower!$H$4:$H$1048576,"")</f>
        <v>Manpower</v>
      </c>
      <c r="J907" s="43" t="s">
        <v>35</v>
      </c>
      <c r="K907" s="43" t="s">
        <v>81</v>
      </c>
      <c r="L907" s="43" t="s">
        <v>82</v>
      </c>
      <c r="M907" s="43" t="s">
        <v>24</v>
      </c>
      <c r="N907" s="44">
        <v>10</v>
      </c>
      <c r="O907" s="43" t="s">
        <v>25</v>
      </c>
      <c r="P907" s="43" t="s">
        <v>41</v>
      </c>
      <c r="Q907" s="43" t="s">
        <v>60</v>
      </c>
      <c r="R907" s="43" t="s">
        <v>108</v>
      </c>
      <c r="S907" s="43"/>
    </row>
    <row r="908" spans="1:19" ht="14.4">
      <c r="A908" s="33">
        <f>IF(C908="","",MAX($A$1:A907)+1)</f>
        <v>871</v>
      </c>
      <c r="B908" s="31" t="s">
        <v>79</v>
      </c>
      <c r="C908" s="23">
        <v>46089</v>
      </c>
      <c r="D908" s="28" t="str">
        <f>_xlfn.XLOOKUP(Table134526_79101120212223242526[[#This Row],[Name Surname]],Manpower!$C$4:$C$1048576,Manpower!$B$4:$B$1048576,"")</f>
        <v>Encogroup</v>
      </c>
      <c r="E908" s="21" t="s">
        <v>137</v>
      </c>
      <c r="F908" s="12" t="e">
        <f>_xlfn.XLOOKUP(Table134526_79101120212223242526[[#This Row],[Name Surname]],Manpower!C:C,Manpower!D:D,)</f>
        <v>#N/A</v>
      </c>
      <c r="G908" s="28" t="str">
        <f>_xlfn.XLOOKUP(Table134526_79101120212223242526[[#This Row],[Name Surname]],Manpower!$C$4:$C$1048576,Manpower!$F$4:$F$1048576,"")</f>
        <v>55 Seat Bus</v>
      </c>
      <c r="H908" s="28" t="str">
        <f>_xlfn.XLOOKUP(Table134526_79101120212223242526[[#This Row],[Name Surname]],Manpower!$C$4:$C$1048576,Manpower!$H$4:$H$1048576,"")</f>
        <v>Equipment</v>
      </c>
      <c r="I908" s="24" t="str">
        <f>_xlfn.XLOOKUP(Table134526_79101120212223242526[[#This Row],[Name Surname]],Manpower!$C$4:$C$1048576,Manpower!$H$4:$H$1048576,"")</f>
        <v>Equipment</v>
      </c>
      <c r="J908" s="21" t="s">
        <v>35</v>
      </c>
      <c r="K908" s="21" t="s">
        <v>81</v>
      </c>
      <c r="L908" s="21" t="s">
        <v>82</v>
      </c>
      <c r="M908" s="21" t="s">
        <v>24</v>
      </c>
      <c r="N908" s="29">
        <v>10</v>
      </c>
      <c r="O908" s="21" t="s">
        <v>138</v>
      </c>
      <c r="P908" s="21" t="s">
        <v>138</v>
      </c>
      <c r="Q908" s="21" t="s">
        <v>138</v>
      </c>
      <c r="R908" s="21" t="s">
        <v>26</v>
      </c>
    </row>
    <row r="909" spans="1:19" ht="14.4">
      <c r="A909" s="33">
        <f>IF(C909="","",MAX($A$1:A907)+1)</f>
        <v>871</v>
      </c>
      <c r="B909" s="31" t="s">
        <v>79</v>
      </c>
      <c r="C909" s="23">
        <v>46089</v>
      </c>
      <c r="D909" s="28" t="str">
        <f>_xlfn.XLOOKUP(Table134526_79101120212223242526[[#This Row],[Name Surname]],Manpower!$C$4:$C$1048576,Manpower!$B$4:$B$1048576,"")</f>
        <v>Encogroup</v>
      </c>
      <c r="E909" s="23" t="s">
        <v>139</v>
      </c>
      <c r="F909" s="12" t="e">
        <f>_xlfn.XLOOKUP(Table134526_79101120212223242526[[#This Row],[Name Surname]],Manpower!C:C,Manpower!D:D,)</f>
        <v>#N/A</v>
      </c>
      <c r="G909" s="28" t="str">
        <f>_xlfn.XLOOKUP(Table134526_79101120212223242526[[#This Row],[Name Surname]],Manpower!$C$4:$C$1048576,Manpower!$F$4:$F$1048576,"")</f>
        <v>TOWER LIGHT</v>
      </c>
      <c r="H909" s="28" t="str">
        <f>_xlfn.XLOOKUP(Table134526_79101120212223242526[[#This Row],[Name Surname]],Manpower!$C$4:$C$1048576,Manpower!$H$4:$H$1048576,"")</f>
        <v>Equipment</v>
      </c>
      <c r="I909" s="24" t="str">
        <f>_xlfn.XLOOKUP(Table134526_79101120212223242526[[#This Row],[Name Surname]],Manpower!$C$4:$C$1048576,Manpower!$H$4:$H$1048576,"")</f>
        <v>Equipment</v>
      </c>
      <c r="J909" s="21" t="s">
        <v>35</v>
      </c>
      <c r="K909" s="21" t="s">
        <v>81</v>
      </c>
      <c r="L909" s="21" t="s">
        <v>82</v>
      </c>
      <c r="M909" s="21" t="s">
        <v>24</v>
      </c>
      <c r="N909" s="29">
        <v>10</v>
      </c>
      <c r="O909" s="21" t="s">
        <v>140</v>
      </c>
      <c r="P909" s="21" t="s">
        <v>140</v>
      </c>
      <c r="Q909" s="21" t="s">
        <v>140</v>
      </c>
      <c r="R909" s="21" t="s">
        <v>26</v>
      </c>
    </row>
    <row r="910" spans="1:19" ht="14.4">
      <c r="A910" s="33">
        <f>IF(C910="","",MAX($A$1:A909)+1)</f>
        <v>872</v>
      </c>
      <c r="B910" s="32" t="s">
        <v>141</v>
      </c>
      <c r="C910" s="23">
        <v>46089</v>
      </c>
      <c r="D910" s="28" t="str">
        <f>_xlfn.XLOOKUP(Table134526_79101120212223242526[[#This Row],[Name Surname]],Manpower!$C$4:$C$1048576,Manpower!$B$4:$B$1048576,"")</f>
        <v>Encogroup</v>
      </c>
      <c r="E910" s="21" t="s">
        <v>142</v>
      </c>
      <c r="F910" s="12" t="e">
        <f>_xlfn.XLOOKUP(Table134526_79101120212223242526[[#This Row],[Name Surname]],Manpower!C:C,Manpower!D:D,)</f>
        <v>#N/A</v>
      </c>
      <c r="G910" s="28" t="str">
        <f>_xlfn.XLOOKUP(Table134526_79101120212223242526[[#This Row],[Name Surname]],Manpower!$C$4:$C$1048576,Manpower!$F$4:$F$1048576,"")</f>
        <v>13 Seat Bus</v>
      </c>
      <c r="H910" s="28" t="str">
        <f>_xlfn.XLOOKUP(Table134526_79101120212223242526[[#This Row],[Name Surname]],Manpower!$C$4:$C$1048576,Manpower!$H$4:$H$1048576,"")</f>
        <v>Equipment</v>
      </c>
      <c r="I910" s="24" t="str">
        <f>_xlfn.XLOOKUP(Table134526_79101120212223242526[[#This Row],[Name Surname]],Manpower!$C$4:$C$1048576,Manpower!$H$4:$H$1048576,"")</f>
        <v>Equipment</v>
      </c>
      <c r="J910" s="21" t="s">
        <v>143</v>
      </c>
      <c r="K910" s="21" t="s">
        <v>26</v>
      </c>
      <c r="L910" s="21" t="s">
        <v>144</v>
      </c>
      <c r="M910" s="21" t="s">
        <v>24</v>
      </c>
      <c r="N910" s="29">
        <v>10</v>
      </c>
      <c r="O910" s="21" t="s">
        <v>138</v>
      </c>
      <c r="P910" s="21" t="s">
        <v>138</v>
      </c>
      <c r="Q910" s="21" t="s">
        <v>138</v>
      </c>
      <c r="R910" s="21" t="s">
        <v>26</v>
      </c>
    </row>
    <row r="911" spans="1:19" ht="14.4">
      <c r="A911" s="33">
        <f>IF(C911="","",MAX($A$1:A910)+1)</f>
        <v>873</v>
      </c>
      <c r="B911" s="32" t="s">
        <v>141</v>
      </c>
      <c r="C911" s="23">
        <v>46089</v>
      </c>
      <c r="D911" s="28" t="str">
        <f>_xlfn.XLOOKUP(Table134526_79101120212223242526[[#This Row],[Name Surname]],Manpower!$C$4:$C$1048576,Manpower!$B$4:$B$1048576,"")</f>
        <v>Encogroup</v>
      </c>
      <c r="E911" s="21" t="s">
        <v>145</v>
      </c>
      <c r="F911" s="12" t="e">
        <f>_xlfn.XLOOKUP(Table134526_79101120212223242526[[#This Row],[Name Surname]],Manpower!C:C,Manpower!D:D,)</f>
        <v>#N/A</v>
      </c>
      <c r="G911" s="28" t="str">
        <f>_xlfn.XLOOKUP(Table134526_79101120212223242526[[#This Row],[Name Surname]],Manpower!$C$4:$C$1048576,Manpower!$F$4:$F$1048576,"")</f>
        <v>15 Seat Bus</v>
      </c>
      <c r="H911" s="28" t="str">
        <f>_xlfn.XLOOKUP(Table134526_79101120212223242526[[#This Row],[Name Surname]],Manpower!$C$4:$C$1048576,Manpower!$H$4:$H$1048576,"")</f>
        <v>Equipment</v>
      </c>
      <c r="I911" s="24" t="str">
        <f>_xlfn.XLOOKUP(Table134526_79101120212223242526[[#This Row],[Name Surname]],Manpower!$C$4:$C$1048576,Manpower!$H$4:$H$1048576,"")</f>
        <v>Equipment</v>
      </c>
      <c r="J911" s="21" t="s">
        <v>143</v>
      </c>
      <c r="K911" s="21" t="s">
        <v>26</v>
      </c>
      <c r="L911" s="21" t="s">
        <v>144</v>
      </c>
      <c r="M911" s="21" t="s">
        <v>24</v>
      </c>
      <c r="N911" s="29">
        <v>10</v>
      </c>
      <c r="O911" s="21" t="s">
        <v>138</v>
      </c>
      <c r="P911" s="21" t="s">
        <v>138</v>
      </c>
      <c r="Q911" s="21" t="s">
        <v>138</v>
      </c>
      <c r="R911" s="21" t="s">
        <v>26</v>
      </c>
    </row>
    <row r="912" spans="1:19" ht="14.4">
      <c r="A912" s="33">
        <f>IF(C912="","",MAX($A$1:A910)+1)</f>
        <v>873</v>
      </c>
      <c r="B912" s="32" t="s">
        <v>141</v>
      </c>
      <c r="C912" s="23">
        <v>46089</v>
      </c>
      <c r="D912" s="28" t="str">
        <f>_xlfn.XLOOKUP(Table134526_79101120212223242526[[#This Row],[Name Surname]],Manpower!$C$4:$C$1048576,Manpower!$B$4:$B$1048576,"")</f>
        <v>Nass Group</v>
      </c>
      <c r="E912" s="21" t="s">
        <v>146</v>
      </c>
      <c r="F912" s="12" t="e">
        <f>_xlfn.XLOOKUP(Table134526_79101120212223242526[[#This Row],[Name Surname]],Manpower!C:C,Manpower!D:D,)</f>
        <v>#N/A</v>
      </c>
      <c r="G912" s="28" t="str">
        <f>_xlfn.XLOOKUP(Table134526_79101120212223242526[[#This Row],[Name Surname]],Manpower!$C$4:$C$1048576,Manpower!$F$4:$F$1048576,"")</f>
        <v>130T Crawler Crane</v>
      </c>
      <c r="H912" s="28" t="str">
        <f>_xlfn.XLOOKUP(Table134526_79101120212223242526[[#This Row],[Name Surname]],Manpower!$C$4:$C$1048576,Manpower!$H$4:$H$1048576,"")</f>
        <v>Equipment</v>
      </c>
      <c r="I912" s="24" t="str">
        <f>_xlfn.XLOOKUP(Table134526_79101120212223242526[[#This Row],[Name Surname]],Manpower!$C$4:$C$1048576,Manpower!$H$4:$H$1048576,"")</f>
        <v>Equipment</v>
      </c>
      <c r="J912" s="21" t="s">
        <v>143</v>
      </c>
      <c r="K912" s="21" t="s">
        <v>26</v>
      </c>
      <c r="L912" s="21" t="s">
        <v>144</v>
      </c>
      <c r="M912" s="21" t="s">
        <v>55</v>
      </c>
      <c r="N912" s="29">
        <v>10</v>
      </c>
      <c r="R912" s="21" t="s">
        <v>240</v>
      </c>
    </row>
    <row r="913" spans="1:19" ht="14.4">
      <c r="A913" s="33">
        <f>IF(C913="","",MAX($A$1:A912)+1)</f>
        <v>874</v>
      </c>
      <c r="B913" s="32" t="s">
        <v>141</v>
      </c>
      <c r="C913" s="23">
        <v>46089</v>
      </c>
      <c r="D913" s="28" t="str">
        <f>_xlfn.XLOOKUP(Table134526_79101120212223242526[[#This Row],[Name Surname]],Manpower!$C$4:$C$1048576,Manpower!$B$4:$B$1048576,"")</f>
        <v>Nass Group</v>
      </c>
      <c r="E913" s="21" t="s">
        <v>148</v>
      </c>
      <c r="F913" s="12" t="e">
        <f>_xlfn.XLOOKUP(Table134526_79101120212223242526[[#This Row],[Name Surname]],Manpower!C:C,Manpower!D:D,)</f>
        <v>#N/A</v>
      </c>
      <c r="G913" s="28" t="str">
        <f>_xlfn.XLOOKUP(Table134526_79101120212223242526[[#This Row],[Name Surname]],Manpower!$C$4:$C$1048576,Manpower!$F$4:$F$1048576,"")</f>
        <v>70T-Telescopic crane</v>
      </c>
      <c r="H913" s="28" t="str">
        <f>_xlfn.XLOOKUP(Table134526_79101120212223242526[[#This Row],[Name Surname]],Manpower!$C$4:$C$1048576,Manpower!$H$4:$H$1048576,"")</f>
        <v>Equipment</v>
      </c>
      <c r="I913" s="24" t="str">
        <f>_xlfn.XLOOKUP(Table134526_79101120212223242526[[#This Row],[Name Surname]],Manpower!$C$4:$C$1048576,Manpower!$H$4:$H$1048576,"")</f>
        <v>Equipment</v>
      </c>
      <c r="J913" s="21" t="s">
        <v>143</v>
      </c>
      <c r="K913" s="21" t="s">
        <v>26</v>
      </c>
      <c r="L913" s="21" t="s">
        <v>144</v>
      </c>
      <c r="M913" s="21" t="s">
        <v>55</v>
      </c>
      <c r="N913" s="29">
        <v>10</v>
      </c>
      <c r="R913" s="21" t="s">
        <v>241</v>
      </c>
    </row>
    <row r="914" spans="1:19" ht="14.4">
      <c r="A914" s="33">
        <f>IF(C914="","",MAX($A$1:A913)+1)</f>
        <v>875</v>
      </c>
      <c r="B914" s="32" t="s">
        <v>141</v>
      </c>
      <c r="C914" s="23">
        <v>46089</v>
      </c>
      <c r="D914" s="28" t="str">
        <f>_xlfn.XLOOKUP(Table134526_79101120212223242526[[#This Row],[Name Surname]],Manpower!$C$4:$C$1048576,Manpower!$B$4:$B$1048576,"")</f>
        <v>Encogroup</v>
      </c>
      <c r="E914" s="21" t="s">
        <v>150</v>
      </c>
      <c r="F914" s="12" t="e">
        <f>_xlfn.XLOOKUP(Table134526_79101120212223242526[[#This Row],[Name Surname]],Manpower!C:C,Manpower!D:D,)</f>
        <v>#N/A</v>
      </c>
      <c r="G914" s="28" t="str">
        <f>_xlfn.XLOOKUP(Table134526_79101120212223242526[[#This Row],[Name Surname]],Manpower!$C$4:$C$1048576,Manpower!$F$4:$F$1048576,"")</f>
        <v>14T Fork lift</v>
      </c>
      <c r="H914" s="28" t="str">
        <f>_xlfn.XLOOKUP(Table134526_79101120212223242526[[#This Row],[Name Surname]],Manpower!$C$4:$C$1048576,Manpower!$H$4:$H$1048576,"")</f>
        <v>Equipment</v>
      </c>
      <c r="I914" s="24" t="str">
        <f>_xlfn.XLOOKUP(Table134526_79101120212223242526[[#This Row],[Name Surname]],Manpower!$C$4:$C$1048576,Manpower!$H$4:$H$1048576,"")</f>
        <v>Equipment</v>
      </c>
      <c r="J914" s="21" t="s">
        <v>143</v>
      </c>
      <c r="K914" s="21" t="s">
        <v>26</v>
      </c>
      <c r="L914" s="21" t="s">
        <v>144</v>
      </c>
      <c r="M914" s="21" t="s">
        <v>24</v>
      </c>
      <c r="N914" s="29">
        <v>10</v>
      </c>
      <c r="O914" s="21" t="s">
        <v>40</v>
      </c>
      <c r="P914" s="21" t="s">
        <v>42</v>
      </c>
      <c r="Q914" s="21" t="s">
        <v>41</v>
      </c>
      <c r="R914" s="21" t="s">
        <v>26</v>
      </c>
    </row>
    <row r="915" spans="1:19" ht="14.4">
      <c r="A915" s="33">
        <f>IF(C915="","",MAX($A$1:A914)+1)</f>
        <v>876</v>
      </c>
      <c r="B915" s="32" t="s">
        <v>141</v>
      </c>
      <c r="C915" s="23">
        <v>46089</v>
      </c>
      <c r="D915" s="28" t="str">
        <f>_xlfn.XLOOKUP(Table134526_79101120212223242526[[#This Row],[Name Surname]],Manpower!$C$4:$C$1048576,Manpower!$B$4:$B$1048576,"")</f>
        <v>Al Jaber Heavy Lift</v>
      </c>
      <c r="E915" s="21" t="s">
        <v>151</v>
      </c>
      <c r="F915" s="12" t="e">
        <f>_xlfn.XLOOKUP(Table134526_79101120212223242526[[#This Row],[Name Surname]],Manpower!C:C,Manpower!D:D,)</f>
        <v>#N/A</v>
      </c>
      <c r="G915" s="28" t="str">
        <f>_xlfn.XLOOKUP(Table134526_79101120212223242526[[#This Row],[Name Surname]],Manpower!$C$4:$C$1048576,Manpower!$F$4:$F$1048576,"")</f>
        <v>150T-Crawler Crane</v>
      </c>
      <c r="H915" s="28" t="str">
        <f>_xlfn.XLOOKUP(Table134526_79101120212223242526[[#This Row],[Name Surname]],Manpower!$C$4:$C$1048576,Manpower!$H$4:$H$1048576,"")</f>
        <v>Equipment</v>
      </c>
      <c r="I915" s="24" t="str">
        <f>_xlfn.XLOOKUP(Table134526_79101120212223242526[[#This Row],[Name Surname]],Manpower!$C$4:$C$1048576,Manpower!$H$4:$H$1048576,"")</f>
        <v>Equipment</v>
      </c>
      <c r="J915" s="21" t="s">
        <v>143</v>
      </c>
      <c r="K915" s="21" t="s">
        <v>26</v>
      </c>
      <c r="L915" s="21" t="s">
        <v>144</v>
      </c>
      <c r="M915" s="21" t="s">
        <v>55</v>
      </c>
      <c r="N915" s="29">
        <v>8</v>
      </c>
      <c r="R915" s="21" t="s">
        <v>242</v>
      </c>
    </row>
    <row r="916" spans="1:19" ht="14.4">
      <c r="A916" s="33">
        <f>IF(C916="","",MAX($A$1:A915)+1)</f>
        <v>877</v>
      </c>
      <c r="B916" s="32" t="s">
        <v>141</v>
      </c>
      <c r="C916" s="23">
        <v>46089</v>
      </c>
      <c r="D916" s="28" t="str">
        <f>_xlfn.XLOOKUP(Table134526_79101120212223242526[[#This Row],[Name Surname]],Manpower!$C$4:$C$1048576,Manpower!$B$4:$B$1048576,"")</f>
        <v>Encogroup</v>
      </c>
      <c r="E916" s="21" t="s">
        <v>153</v>
      </c>
      <c r="F916" s="12" t="e">
        <f>_xlfn.XLOOKUP(Table134526_79101120212223242526[[#This Row],[Name Surname]],Manpower!C:C,Manpower!D:D,)</f>
        <v>#N/A</v>
      </c>
      <c r="G916" s="28" t="str">
        <f>_xlfn.XLOOKUP(Table134526_79101120212223242526[[#This Row],[Name Surname]],Manpower!$C$4:$C$1048576,Manpower!$F$4:$F$1048576,"")</f>
        <v>22 Seat Bus</v>
      </c>
      <c r="H916" s="28" t="str">
        <f>_xlfn.XLOOKUP(Table134526_79101120212223242526[[#This Row],[Name Surname]],Manpower!$C$4:$C$1048576,Manpower!$H$4:$H$1048576,"")</f>
        <v>Equipment</v>
      </c>
      <c r="I916" s="24" t="str">
        <f>_xlfn.XLOOKUP(Table134526_79101120212223242526[[#This Row],[Name Surname]],Manpower!$C$4:$C$1048576,Manpower!$H$4:$H$1048576,"")</f>
        <v>Equipment</v>
      </c>
      <c r="J916" s="21" t="s">
        <v>143</v>
      </c>
      <c r="K916" s="21" t="s">
        <v>26</v>
      </c>
      <c r="L916" s="21" t="s">
        <v>144</v>
      </c>
      <c r="M916" s="21" t="s">
        <v>24</v>
      </c>
      <c r="N916" s="29">
        <v>10</v>
      </c>
      <c r="O916" s="21" t="s">
        <v>138</v>
      </c>
      <c r="P916" s="21" t="s">
        <v>138</v>
      </c>
      <c r="Q916" s="21" t="s">
        <v>138</v>
      </c>
      <c r="R916" s="21" t="s">
        <v>26</v>
      </c>
    </row>
    <row r="917" spans="1:19" ht="14.4">
      <c r="A917" s="33">
        <f>IF(C917="","",MAX($A$1:A916)+1)</f>
        <v>878</v>
      </c>
      <c r="B917" s="32" t="s">
        <v>141</v>
      </c>
      <c r="C917" s="23">
        <v>46089</v>
      </c>
      <c r="D917" s="28" t="str">
        <f>_xlfn.XLOOKUP(Table134526_79101120212223242526[[#This Row],[Name Surname]],Manpower!$C$4:$C$1048576,Manpower!$B$4:$B$1048576,"")</f>
        <v>Encogroup</v>
      </c>
      <c r="E917" s="21" t="s">
        <v>154</v>
      </c>
      <c r="F917" s="12" t="e">
        <f>_xlfn.XLOOKUP(Table134526_79101120212223242526[[#This Row],[Name Surname]],Manpower!C:C,Manpower!D:D,)</f>
        <v>#N/A</v>
      </c>
      <c r="G917" s="28" t="str">
        <f>_xlfn.XLOOKUP(Table134526_79101120212223242526[[#This Row],[Name Surname]],Manpower!$C$4:$C$1048576,Manpower!$F$4:$F$1048576,"")</f>
        <v>22 Seat Bus</v>
      </c>
      <c r="H917" s="28" t="str">
        <f>_xlfn.XLOOKUP(Table134526_79101120212223242526[[#This Row],[Name Surname]],Manpower!$C$4:$C$1048576,Manpower!$H$4:$H$1048576,"")</f>
        <v>Equipment</v>
      </c>
      <c r="I917" s="24" t="str">
        <f>_xlfn.XLOOKUP(Table134526_79101120212223242526[[#This Row],[Name Surname]],Manpower!$C$4:$C$1048576,Manpower!$H$4:$H$1048576,"")</f>
        <v>Equipment</v>
      </c>
      <c r="J917" s="21" t="s">
        <v>143</v>
      </c>
      <c r="K917" s="21" t="s">
        <v>26</v>
      </c>
      <c r="L917" s="21" t="s">
        <v>144</v>
      </c>
      <c r="M917" s="21" t="s">
        <v>24</v>
      </c>
      <c r="N917" s="29">
        <v>10</v>
      </c>
      <c r="O917" s="21" t="s">
        <v>138</v>
      </c>
      <c r="P917" s="21" t="s">
        <v>138</v>
      </c>
      <c r="Q917" s="21" t="s">
        <v>138</v>
      </c>
      <c r="R917" s="21" t="s">
        <v>26</v>
      </c>
    </row>
    <row r="918" spans="1:19" ht="14.4">
      <c r="A918" s="33">
        <f>IF(C918="","",MAX($A$1:A917)+1)</f>
        <v>879</v>
      </c>
      <c r="B918" s="32" t="s">
        <v>141</v>
      </c>
      <c r="C918" s="23">
        <v>46089</v>
      </c>
      <c r="D918" s="28" t="str">
        <f>_xlfn.XLOOKUP(Table134526_79101120212223242526[[#This Row],[Name Surname]],Manpower!$C$4:$C$1048576,Manpower!$B$4:$B$1048576,"")</f>
        <v>Encogroup</v>
      </c>
      <c r="E918" s="21" t="s">
        <v>155</v>
      </c>
      <c r="F918" s="12" t="e">
        <f>_xlfn.XLOOKUP(Table134526_79101120212223242526[[#This Row],[Name Surname]],Manpower!C:C,Manpower!D:D,)</f>
        <v>#N/A</v>
      </c>
      <c r="G918" s="28" t="str">
        <f>_xlfn.XLOOKUP(Table134526_79101120212223242526[[#This Row],[Name Surname]],Manpower!$C$4:$C$1048576,Manpower!$F$4:$F$1048576,"")</f>
        <v>300 KVA Generator</v>
      </c>
      <c r="H918" s="28" t="str">
        <f>_xlfn.XLOOKUP(Table134526_79101120212223242526[[#This Row],[Name Surname]],Manpower!$C$4:$C$1048576,Manpower!$H$4:$H$1048576,"")</f>
        <v>Equipment</v>
      </c>
      <c r="I918" s="24" t="str">
        <f>_xlfn.XLOOKUP(Table134526_79101120212223242526[[#This Row],[Name Surname]],Manpower!$C$4:$C$1048576,Manpower!$H$4:$H$1048576,"")</f>
        <v>Equipment</v>
      </c>
      <c r="J918" s="21" t="s">
        <v>143</v>
      </c>
      <c r="K918" s="21" t="s">
        <v>26</v>
      </c>
      <c r="L918" s="21" t="s">
        <v>144</v>
      </c>
      <c r="M918" s="21" t="s">
        <v>24</v>
      </c>
      <c r="N918" s="29">
        <v>10</v>
      </c>
      <c r="R918" s="21" t="s">
        <v>26</v>
      </c>
    </row>
    <row r="919" spans="1:19" ht="14.4">
      <c r="A919" s="33">
        <f>IF(C919="","",MAX($A$1:A918)+1)</f>
        <v>880</v>
      </c>
      <c r="B919" s="32" t="s">
        <v>141</v>
      </c>
      <c r="C919" s="23">
        <v>46089</v>
      </c>
      <c r="D919" s="28" t="str">
        <f>_xlfn.XLOOKUP(Table134526_79101120212223242526[[#This Row],[Name Surname]],Manpower!$C$4:$C$1048576,Manpower!$B$4:$B$1048576,"")</f>
        <v>Encogroup</v>
      </c>
      <c r="E919" s="23" t="s">
        <v>156</v>
      </c>
      <c r="F919" s="12" t="e">
        <f>_xlfn.XLOOKUP(Table134526_79101120212223242526[[#This Row],[Name Surname]],Manpower!C:C,Manpower!D:D,)</f>
        <v>#N/A</v>
      </c>
      <c r="G919" s="28" t="str">
        <f>_xlfn.XLOOKUP(Table134526_79101120212223242526[[#This Row],[Name Surname]],Manpower!$C$4:$C$1048576,Manpower!$F$4:$F$1048576,"")</f>
        <v>35 KVA Generator</v>
      </c>
      <c r="H919" s="28" t="str">
        <f>_xlfn.XLOOKUP(Table134526_79101120212223242526[[#This Row],[Name Surname]],Manpower!$C$4:$C$1048576,Manpower!$H$4:$H$1048576,"")</f>
        <v>Equipment</v>
      </c>
      <c r="I919" s="24" t="str">
        <f>_xlfn.XLOOKUP(Table134526_79101120212223242526[[#This Row],[Name Surname]],Manpower!$C$4:$C$1048576,Manpower!$H$4:$H$1048576,"")</f>
        <v>Equipment</v>
      </c>
      <c r="J919" s="21" t="s">
        <v>143</v>
      </c>
      <c r="K919" s="21" t="s">
        <v>26</v>
      </c>
      <c r="L919" s="21" t="s">
        <v>144</v>
      </c>
      <c r="M919" s="21" t="s">
        <v>55</v>
      </c>
      <c r="N919" s="29">
        <v>10</v>
      </c>
      <c r="R919" s="21" t="s">
        <v>56</v>
      </c>
    </row>
    <row r="920" spans="1:19" ht="14.4" hidden="1">
      <c r="A920" s="33">
        <f>IF(C920="","",MAX($A$1:A919)+1)</f>
        <v>881</v>
      </c>
      <c r="B920" s="32" t="s">
        <v>141</v>
      </c>
      <c r="C920" s="23">
        <v>46089</v>
      </c>
      <c r="D920" s="28" t="str">
        <f>_xlfn.XLOOKUP(Table134526_79101120212223242526[[#This Row],[Name Surname]],Manpower!$C$4:$C$1048576,Manpower!$B$4:$B$1048576,"")</f>
        <v>Encogroup</v>
      </c>
      <c r="E920" s="21" t="s">
        <v>157</v>
      </c>
      <c r="F920" s="12">
        <f>_xlfn.XLOOKUP(Table134526_79101120212223242526[[#This Row],[Name Surname]],Manpower!C:C,Manpower!D:D,)</f>
        <v>140742144</v>
      </c>
      <c r="G920" s="28" t="str">
        <f>_xlfn.XLOOKUP(Table134526_79101120212223242526[[#This Row],[Name Surname]],Manpower!$C$4:$C$1048576,Manpower!$F$4:$F$1048576,"")</f>
        <v>Assistant/Helper</v>
      </c>
      <c r="H920" s="28" t="str">
        <f>_xlfn.XLOOKUP(Table134526_79101120212223242526[[#This Row],[Name Surname]],Manpower!$C$4:$C$1048576,Manpower!$H$4:$H$1048576,"")</f>
        <v>Manpower</v>
      </c>
      <c r="I920" s="24" t="str">
        <f>_xlfn.XLOOKUP(Table134526_79101120212223242526[[#This Row],[Name Surname]],Manpower!$C$4:$C$1048576,Manpower!$H$4:$H$1048576,"")</f>
        <v>Manpower</v>
      </c>
      <c r="J920" s="21" t="s">
        <v>158</v>
      </c>
      <c r="K920" s="21" t="s">
        <v>26</v>
      </c>
      <c r="L920" s="21" t="s">
        <v>26</v>
      </c>
      <c r="M920" s="21" t="s">
        <v>24</v>
      </c>
      <c r="N920" s="29">
        <v>10</v>
      </c>
      <c r="O920" s="21" t="s">
        <v>159</v>
      </c>
      <c r="P920" s="21" t="s">
        <v>160</v>
      </c>
      <c r="Q920" s="21" t="s">
        <v>160</v>
      </c>
      <c r="R920" s="21" t="s">
        <v>161</v>
      </c>
    </row>
    <row r="921" spans="1:19" ht="14.4" hidden="1">
      <c r="A921" s="33">
        <f>IF(C921="","",MAX($A$1:A920)+1)</f>
        <v>882</v>
      </c>
      <c r="B921" s="32" t="s">
        <v>141</v>
      </c>
      <c r="C921" s="23">
        <v>46089</v>
      </c>
      <c r="D921" s="28" t="str">
        <f>_xlfn.XLOOKUP(Table134526_79101120212223242526[[#This Row],[Name Surname]],Manpower!$C$4:$C$1048576,Manpower!$B$4:$B$1048576,"")</f>
        <v>Al Jaber Heavy Lift</v>
      </c>
      <c r="E921" s="21" t="s">
        <v>164</v>
      </c>
      <c r="F921" s="12">
        <f>_xlfn.XLOOKUP(Table134526_79101120212223242526[[#This Row],[Name Surname]],Manpower!C:C,Manpower!D:D,)</f>
        <v>112778626</v>
      </c>
      <c r="G921" s="28" t="str">
        <f>_xlfn.XLOOKUP(Table134526_79101120212223242526[[#This Row],[Name Surname]],Manpower!$C$4:$C$1048576,Manpower!$F$4:$F$1048576,"")</f>
        <v>Crane Operator-150T Hitachi Crawler</v>
      </c>
      <c r="H921" s="28" t="s">
        <v>39</v>
      </c>
      <c r="I921" s="24" t="s">
        <v>39</v>
      </c>
      <c r="J921" s="21" t="s">
        <v>143</v>
      </c>
      <c r="K921" s="21" t="s">
        <v>26</v>
      </c>
      <c r="L921" s="21" t="s">
        <v>144</v>
      </c>
      <c r="M921" s="21" t="s">
        <v>55</v>
      </c>
      <c r="N921" s="29">
        <v>8</v>
      </c>
      <c r="R921" s="21" t="s">
        <v>152</v>
      </c>
    </row>
    <row r="922" spans="1:19" s="45" customFormat="1" ht="14.4" hidden="1">
      <c r="A922" s="25">
        <f>IF(C922="","",MAX($A$1:A921)+1)</f>
        <v>883</v>
      </c>
      <c r="B922" s="25" t="s">
        <v>141</v>
      </c>
      <c r="C922" s="41">
        <v>46089</v>
      </c>
      <c r="D922" s="48" t="str">
        <f>_xlfn.XLOOKUP(Table134526_79101120212223242526[[#This Row],[Name Surname]],Manpower!$C$4:$C$1048576,Manpower!$B$4:$B$1048576,"")</f>
        <v>Encogroup</v>
      </c>
      <c r="E922" s="43" t="s">
        <v>166</v>
      </c>
      <c r="F922" s="12" t="str">
        <f>_xlfn.XLOOKUP(Table134526_79101120212223242526[[#This Row],[Name Surname]],Manpower!C:C,Manpower!D:D,)</f>
        <v>U4181508</v>
      </c>
      <c r="G922" s="48" t="str">
        <f>_xlfn.XLOOKUP(Table134526_79101120212223242526[[#This Row],[Name Surname]],Manpower!$C$4:$C$1048576,Manpower!$F$4:$F$1048576,"")</f>
        <v>Welder</v>
      </c>
      <c r="H922" s="48" t="str">
        <f>_xlfn.XLOOKUP(Table134526_79101120212223242526[[#This Row],[Name Surname]],Manpower!$C$4:$C$1048576,Manpower!$H$4:$H$1048576,"")</f>
        <v>Manpower</v>
      </c>
      <c r="I922" s="42" t="str">
        <f>_xlfn.XLOOKUP(Table134526_79101120212223242526[[#This Row],[Name Surname]],Manpower!$C$4:$C$1048576,Manpower!$H$4:$H$1048576,"")</f>
        <v>Manpower</v>
      </c>
      <c r="J922" s="43" t="s">
        <v>143</v>
      </c>
      <c r="K922" s="43" t="s">
        <v>26</v>
      </c>
      <c r="L922" s="43" t="s">
        <v>144</v>
      </c>
      <c r="M922" s="43" t="s">
        <v>24</v>
      </c>
      <c r="N922" s="44">
        <v>10</v>
      </c>
      <c r="O922" s="43" t="s">
        <v>40</v>
      </c>
      <c r="P922" s="43" t="s">
        <v>42</v>
      </c>
      <c r="Q922" s="43" t="s">
        <v>42</v>
      </c>
      <c r="R922" s="43" t="s">
        <v>243</v>
      </c>
      <c r="S922" s="43"/>
    </row>
    <row r="923" spans="1:19" ht="14.4" hidden="1">
      <c r="A923" s="33">
        <f>IF(C923="","",MAX($A$1:A922)+1)</f>
        <v>884</v>
      </c>
      <c r="B923" s="32" t="s">
        <v>141</v>
      </c>
      <c r="C923" s="23">
        <v>46089</v>
      </c>
      <c r="D923" s="28" t="str">
        <f>_xlfn.XLOOKUP(Table134526_79101120212223242526[[#This Row],[Name Surname]],Manpower!$C$4:$C$1048576,Manpower!$B$4:$B$1048576,"")</f>
        <v>Encogroup</v>
      </c>
      <c r="E923" s="21" t="s">
        <v>167</v>
      </c>
      <c r="F923" s="12">
        <f>_xlfn.XLOOKUP(Table134526_79101120212223242526[[#This Row],[Name Surname]],Manpower!C:C,Manpower!D:D,)</f>
        <v>125440631</v>
      </c>
      <c r="G923" s="28" t="str">
        <f>_xlfn.XLOOKUP(Table134526_79101120212223242526[[#This Row],[Name Surname]],Manpower!$C$4:$C$1048576,Manpower!$F$4:$F$1048576,"")</f>
        <v>Rigger</v>
      </c>
      <c r="H923" s="28" t="str">
        <f>_xlfn.XLOOKUP(Table134526_79101120212223242526[[#This Row],[Name Surname]],Manpower!$C$4:$C$1048576,Manpower!$H$4:$H$1048576,"")</f>
        <v>Manpower</v>
      </c>
      <c r="I923" s="24" t="str">
        <f>_xlfn.XLOOKUP(Table134526_79101120212223242526[[#This Row],[Name Surname]],Manpower!$C$4:$C$1048576,Manpower!$H$4:$H$1048576,"")</f>
        <v>Manpower</v>
      </c>
      <c r="J923" s="21" t="s">
        <v>143</v>
      </c>
      <c r="K923" s="21" t="s">
        <v>26</v>
      </c>
      <c r="L923" s="21" t="s">
        <v>144</v>
      </c>
      <c r="M923" s="21" t="s">
        <v>24</v>
      </c>
      <c r="N923" s="29">
        <v>8</v>
      </c>
      <c r="O923" s="21" t="s">
        <v>40</v>
      </c>
      <c r="P923" s="21" t="s">
        <v>42</v>
      </c>
      <c r="Q923" s="21" t="s">
        <v>42</v>
      </c>
      <c r="R923" s="21" t="s">
        <v>244</v>
      </c>
    </row>
    <row r="924" spans="1:19" ht="14.4" hidden="1">
      <c r="A924" s="33">
        <f>IF(C924="","",MAX($A$1:A923)+1)</f>
        <v>885</v>
      </c>
      <c r="B924" s="32" t="s">
        <v>141</v>
      </c>
      <c r="C924" s="23">
        <v>46089</v>
      </c>
      <c r="D924" s="28" t="str">
        <f>_xlfn.XLOOKUP(Table134526_79101120212223242526[[#This Row],[Name Surname]],Manpower!$C$4:$C$1048576,Manpower!$B$4:$B$1048576,"")</f>
        <v>AL Omar International TRAD AND CONT</v>
      </c>
      <c r="E924" s="21" t="s">
        <v>169</v>
      </c>
      <c r="F924" s="12">
        <f>_xlfn.XLOOKUP(Table134526_79101120212223242526[[#This Row],[Name Surname]],Manpower!C:C,Manpower!D:D,)</f>
        <v>115731078</v>
      </c>
      <c r="G924" s="28" t="str">
        <f>_xlfn.XLOOKUP(Table134526_79101120212223242526[[#This Row],[Name Surname]],Manpower!$C$4:$C$1048576,Manpower!$F$4:$F$1048576,"")</f>
        <v>Scaffolder</v>
      </c>
      <c r="H924" s="28" t="str">
        <f>_xlfn.XLOOKUP(Table134526_79101120212223242526[[#This Row],[Name Surname]],Manpower!$C$4:$C$1048576,Manpower!$H$4:$H$1048576,"")</f>
        <v>Sub Contactor</v>
      </c>
      <c r="I924" s="24" t="str">
        <f>_xlfn.XLOOKUP(Table134526_79101120212223242526[[#This Row],[Name Surname]],Manpower!$C$4:$C$1048576,Manpower!$H$4:$H$1048576,"")</f>
        <v>Sub Contactor</v>
      </c>
      <c r="J924" s="21" t="s">
        <v>143</v>
      </c>
      <c r="K924" s="21" t="s">
        <v>26</v>
      </c>
      <c r="L924" s="21" t="s">
        <v>170</v>
      </c>
      <c r="M924" s="21" t="s">
        <v>24</v>
      </c>
      <c r="N924" s="29">
        <v>8</v>
      </c>
      <c r="O924" s="21" t="s">
        <v>40</v>
      </c>
      <c r="P924" s="21" t="s">
        <v>128</v>
      </c>
      <c r="Q924" s="21" t="s">
        <v>128</v>
      </c>
      <c r="R924" s="21" t="s">
        <v>171</v>
      </c>
    </row>
    <row r="925" spans="1:19" ht="14.4" hidden="1">
      <c r="A925" s="33">
        <f>IF(C925="","",MAX($A$1:A924)+1)</f>
        <v>886</v>
      </c>
      <c r="B925" s="32" t="s">
        <v>141</v>
      </c>
      <c r="C925" s="23">
        <v>46089</v>
      </c>
      <c r="D925" s="28" t="str">
        <f>_xlfn.XLOOKUP(Table134526_79101120212223242526[[#This Row],[Name Surname]],Manpower!$C$4:$C$1048576,Manpower!$B$4:$B$1048576,"")</f>
        <v>Encogroup</v>
      </c>
      <c r="E925" s="21" t="s">
        <v>172</v>
      </c>
      <c r="F925" s="12">
        <f>_xlfn.XLOOKUP(Table134526_79101120212223242526[[#This Row],[Name Surname]],Manpower!C:C,Manpower!D:D,)</f>
        <v>140764355</v>
      </c>
      <c r="G925" s="28" t="str">
        <f>_xlfn.XLOOKUP(Table134526_79101120212223242526[[#This Row],[Name Surname]],Manpower!$C$4:$C$1048576,Manpower!$F$4:$F$1048576,"")</f>
        <v>Fitter/Erector</v>
      </c>
      <c r="H925" s="28" t="str">
        <f>_xlfn.XLOOKUP(Table134526_79101120212223242526[[#This Row],[Name Surname]],Manpower!$C$4:$C$1048576,Manpower!$H$4:$H$1048576,"")</f>
        <v>Manpower</v>
      </c>
      <c r="I925" s="24" t="str">
        <f>_xlfn.XLOOKUP(Table134526_79101120212223242526[[#This Row],[Name Surname]],Manpower!$C$4:$C$1048576,Manpower!$H$4:$H$1048576,"")</f>
        <v>Manpower</v>
      </c>
      <c r="J925" s="21" t="s">
        <v>143</v>
      </c>
      <c r="K925" s="21" t="s">
        <v>26</v>
      </c>
      <c r="L925" s="21" t="s">
        <v>144</v>
      </c>
      <c r="M925" s="21" t="s">
        <v>24</v>
      </c>
      <c r="N925" s="29">
        <v>10</v>
      </c>
      <c r="O925" s="21" t="s">
        <v>40</v>
      </c>
      <c r="P925" s="21" t="s">
        <v>42</v>
      </c>
      <c r="Q925" s="21" t="s">
        <v>42</v>
      </c>
      <c r="R925" s="21" t="s">
        <v>244</v>
      </c>
    </row>
    <row r="926" spans="1:19" s="45" customFormat="1" ht="14.4" hidden="1">
      <c r="A926" s="25">
        <f>IF(C926="","",MAX($A$1:A925)+1)</f>
        <v>887</v>
      </c>
      <c r="B926" s="25" t="s">
        <v>141</v>
      </c>
      <c r="C926" s="41">
        <v>46089</v>
      </c>
      <c r="D926" s="48" t="str">
        <f>_xlfn.XLOOKUP(Table134526_79101120212223242526[[#This Row],[Name Surname]],Manpower!$C$4:$C$1048576,Manpower!$B$4:$B$1048576,"")</f>
        <v>Encogroup</v>
      </c>
      <c r="E926" s="43" t="s">
        <v>173</v>
      </c>
      <c r="F926" s="12" t="str">
        <f>_xlfn.XLOOKUP(Table134526_79101120212223242526[[#This Row],[Name Surname]],Manpower!C:C,Manpower!D:D,)</f>
        <v>S3549132</v>
      </c>
      <c r="G926" s="48" t="str">
        <f>_xlfn.XLOOKUP(Table134526_79101120212223242526[[#This Row],[Name Surname]],Manpower!$C$4:$C$1048576,Manpower!$F$4:$F$1048576,"")</f>
        <v>Grinder</v>
      </c>
      <c r="H926" s="48" t="str">
        <f>_xlfn.XLOOKUP(Table134526_79101120212223242526[[#This Row],[Name Surname]],Manpower!$C$4:$C$1048576,Manpower!$H$4:$H$1048576,"")</f>
        <v>Manpower</v>
      </c>
      <c r="I926" s="42" t="str">
        <f>_xlfn.XLOOKUP(Table134526_79101120212223242526[[#This Row],[Name Surname]],Manpower!$C$4:$C$1048576,Manpower!$H$4:$H$1048576,"")</f>
        <v>Manpower</v>
      </c>
      <c r="J926" s="43" t="s">
        <v>143</v>
      </c>
      <c r="K926" s="43" t="s">
        <v>26</v>
      </c>
      <c r="L926" s="43" t="s">
        <v>144</v>
      </c>
      <c r="M926" s="43" t="s">
        <v>24</v>
      </c>
      <c r="N926" s="44">
        <v>10</v>
      </c>
      <c r="O926" s="43" t="s">
        <v>40</v>
      </c>
      <c r="P926" s="43" t="s">
        <v>42</v>
      </c>
      <c r="Q926" s="43" t="s">
        <v>42</v>
      </c>
      <c r="R926" s="43" t="s">
        <v>243</v>
      </c>
      <c r="S926" s="43" t="s">
        <v>245</v>
      </c>
    </row>
    <row r="927" spans="1:19" ht="14.4" hidden="1">
      <c r="A927" s="33">
        <f>IF(C927="","",MAX($A$1:A926)+1)</f>
        <v>888</v>
      </c>
      <c r="B927" s="32" t="s">
        <v>141</v>
      </c>
      <c r="C927" s="23">
        <v>46089</v>
      </c>
      <c r="D927" s="28" t="str">
        <f>_xlfn.XLOOKUP(Table134526_79101120212223242526[[#This Row],[Name Surname]],Manpower!$C$4:$C$1048576,Manpower!$B$4:$B$1048576,"")</f>
        <v>Encogroup</v>
      </c>
      <c r="E927" s="21" t="s">
        <v>175</v>
      </c>
      <c r="F927" s="12">
        <f>_xlfn.XLOOKUP(Table134526_79101120212223242526[[#This Row],[Name Surname]],Manpower!C:C,Manpower!D:D,)</f>
        <v>140742125</v>
      </c>
      <c r="G927" s="28" t="str">
        <f>_xlfn.XLOOKUP(Table134526_79101120212223242526[[#This Row],[Name Surname]],Manpower!$C$4:$C$1048576,Manpower!$F$4:$F$1048576,"")</f>
        <v>Assistant/Helper</v>
      </c>
      <c r="H927" s="28" t="str">
        <f>_xlfn.XLOOKUP(Table134526_79101120212223242526[[#This Row],[Name Surname]],Manpower!$C$4:$C$1048576,Manpower!$H$4:$H$1048576,"")</f>
        <v>Manpower</v>
      </c>
      <c r="I927" s="24" t="str">
        <f>_xlfn.XLOOKUP(Table134526_79101120212223242526[[#This Row],[Name Surname]],Manpower!$C$4:$C$1048576,Manpower!$H$4:$H$1048576,"")</f>
        <v>Manpower</v>
      </c>
      <c r="J927" s="21" t="s">
        <v>158</v>
      </c>
      <c r="K927" s="21" t="s">
        <v>26</v>
      </c>
      <c r="L927" s="21" t="s">
        <v>26</v>
      </c>
      <c r="M927" s="21" t="s">
        <v>24</v>
      </c>
      <c r="N927" s="29">
        <v>10</v>
      </c>
      <c r="O927" s="21" t="s">
        <v>159</v>
      </c>
      <c r="P927" s="21" t="s">
        <v>160</v>
      </c>
      <c r="Q927" s="21" t="s">
        <v>160</v>
      </c>
      <c r="R927" s="21" t="s">
        <v>161</v>
      </c>
    </row>
    <row r="928" spans="1:19" ht="14.4" hidden="1">
      <c r="A928" s="33">
        <f>IF(C928="","",MAX($A$1:A927)+1)</f>
        <v>889</v>
      </c>
      <c r="B928" s="32" t="s">
        <v>141</v>
      </c>
      <c r="C928" s="23">
        <v>46089</v>
      </c>
      <c r="D928" s="28" t="str">
        <f>_xlfn.XLOOKUP(Table134526_79101120212223242526[[#This Row],[Name Surname]],Manpower!$C$4:$C$1048576,Manpower!$B$4:$B$1048576,"")</f>
        <v>Encogroup</v>
      </c>
      <c r="E928" s="21" t="s">
        <v>228</v>
      </c>
      <c r="F928" s="12">
        <f>_xlfn.XLOOKUP(Table134526_79101120212223242526[[#This Row],[Name Surname]],Manpower!C:C,Manpower!D:D,)</f>
        <v>125199963</v>
      </c>
      <c r="G928" s="28" t="str">
        <f>_xlfn.XLOOKUP(Table134526_79101120212223242526[[#This Row],[Name Surname]],Manpower!$C$4:$C$1048576,Manpower!$F$4:$F$1048576,"")</f>
        <v>Electrician</v>
      </c>
      <c r="H928" s="28" t="str">
        <f>_xlfn.XLOOKUP(Table134526_79101120212223242526[[#This Row],[Name Surname]],Manpower!$C$4:$C$1048576,Manpower!$H$4:$H$1048576,"")</f>
        <v>Manpower</v>
      </c>
      <c r="I928" s="24" t="str">
        <f>_xlfn.XLOOKUP(Table134526_79101120212223242526[[#This Row],[Name Surname]],Manpower!$C$4:$C$1048576,Manpower!$H$4:$H$1048576,"")</f>
        <v>Manpower</v>
      </c>
      <c r="J928" s="21" t="s">
        <v>158</v>
      </c>
      <c r="K928" s="21" t="s">
        <v>26</v>
      </c>
      <c r="L928" s="21" t="s">
        <v>26</v>
      </c>
      <c r="M928" s="21" t="s">
        <v>24</v>
      </c>
      <c r="N928" s="29">
        <v>10</v>
      </c>
      <c r="O928" s="21" t="s">
        <v>159</v>
      </c>
      <c r="P928" s="21" t="s">
        <v>160</v>
      </c>
      <c r="Q928" s="21" t="s">
        <v>160</v>
      </c>
      <c r="R928" s="21" t="s">
        <v>161</v>
      </c>
    </row>
    <row r="929" spans="1:19" s="45" customFormat="1" ht="14.4" hidden="1">
      <c r="A929" s="25">
        <f>IF(C929="","",MAX($A$1:A928)+1)</f>
        <v>890</v>
      </c>
      <c r="B929" s="25" t="s">
        <v>141</v>
      </c>
      <c r="C929" s="41">
        <v>46089</v>
      </c>
      <c r="D929" s="48" t="str">
        <f>_xlfn.XLOOKUP(Table134526_79101120212223242526[[#This Row],[Name Surname]],Manpower!$C$4:$C$1048576,Manpower!$B$4:$B$1048576,"")</f>
        <v>Encogroup</v>
      </c>
      <c r="E929" s="43" t="s">
        <v>176</v>
      </c>
      <c r="F929" s="12">
        <f>_xlfn.XLOOKUP(Table134526_79101120212223242526[[#This Row],[Name Surname]],Manpower!C:C,Manpower!D:D,)</f>
        <v>124398279</v>
      </c>
      <c r="G929" s="48" t="str">
        <f>_xlfn.XLOOKUP(Table134526_79101120212223242526[[#This Row],[Name Surname]],Manpower!$C$4:$C$1048576,Manpower!$F$4:$F$1048576,"")</f>
        <v>Permit Receiver</v>
      </c>
      <c r="H929" s="48" t="str">
        <f>_xlfn.XLOOKUP(Table134526_79101120212223242526[[#This Row],[Name Surname]],Manpower!$C$4:$C$1048576,Manpower!$H$4:$H$1048576,"")</f>
        <v>Manpower</v>
      </c>
      <c r="I929" s="42" t="str">
        <f>_xlfn.XLOOKUP(Table134526_79101120212223242526[[#This Row],[Name Surname]],Manpower!$C$4:$C$1048576,Manpower!$H$4:$H$1048576,"")</f>
        <v>Manpower</v>
      </c>
      <c r="J929" s="43" t="s">
        <v>143</v>
      </c>
      <c r="K929" s="43" t="s">
        <v>26</v>
      </c>
      <c r="L929" s="43" t="s">
        <v>144</v>
      </c>
      <c r="M929" s="43" t="s">
        <v>24</v>
      </c>
      <c r="N929" s="44">
        <v>10</v>
      </c>
      <c r="O929" s="43" t="s">
        <v>40</v>
      </c>
      <c r="P929" s="43" t="s">
        <v>42</v>
      </c>
      <c r="Q929" s="43" t="s">
        <v>42</v>
      </c>
      <c r="R929" s="43" t="s">
        <v>243</v>
      </c>
      <c r="S929" s="43"/>
    </row>
    <row r="930" spans="1:19" ht="14.4" hidden="1">
      <c r="A930" s="33">
        <f>IF(C930="","",MAX($A$1:A929)+1)</f>
        <v>891</v>
      </c>
      <c r="B930" s="32" t="s">
        <v>141</v>
      </c>
      <c r="C930" s="23">
        <v>46089</v>
      </c>
      <c r="D930" s="28" t="str">
        <f>_xlfn.XLOOKUP(Table134526_79101120212223242526[[#This Row],[Name Surname]],Manpower!$C$4:$C$1048576,Manpower!$B$4:$B$1048576,"")</f>
        <v>Encogroup</v>
      </c>
      <c r="E930" s="21" t="s">
        <v>177</v>
      </c>
      <c r="F930" s="12">
        <f>_xlfn.XLOOKUP(Table134526_79101120212223242526[[#This Row],[Name Surname]],Manpower!C:C,Manpower!D:D,)</f>
        <v>140809004</v>
      </c>
      <c r="G930" s="28" t="str">
        <f>_xlfn.XLOOKUP(Table134526_79101120212223242526[[#This Row],[Name Surname]],Manpower!$C$4:$C$1048576,Manpower!$F$4:$F$1048576,"")</f>
        <v>Fitter/Erector</v>
      </c>
      <c r="H930" s="28" t="str">
        <f>_xlfn.XLOOKUP(Table134526_79101120212223242526[[#This Row],[Name Surname]],Manpower!$C$4:$C$1048576,Manpower!$H$4:$H$1048576,"")</f>
        <v>Manpower</v>
      </c>
      <c r="I930" s="24" t="str">
        <f>_xlfn.XLOOKUP(Table134526_79101120212223242526[[#This Row],[Name Surname]],Manpower!$C$4:$C$1048576,Manpower!$H$4:$H$1048576,"")</f>
        <v>Manpower</v>
      </c>
      <c r="J930" s="21" t="s">
        <v>143</v>
      </c>
      <c r="K930" s="21" t="s">
        <v>26</v>
      </c>
      <c r="L930" s="21" t="s">
        <v>144</v>
      </c>
      <c r="M930" s="21" t="s">
        <v>24</v>
      </c>
      <c r="N930" s="29">
        <v>10</v>
      </c>
      <c r="O930" s="21" t="s">
        <v>40</v>
      </c>
      <c r="P930" s="21" t="s">
        <v>42</v>
      </c>
      <c r="Q930" s="21" t="s">
        <v>42</v>
      </c>
      <c r="R930" s="21" t="s">
        <v>243</v>
      </c>
    </row>
    <row r="931" spans="1:19" ht="14.4" hidden="1">
      <c r="A931" s="33">
        <f>IF(C931="","",MAX($A$1:A930)+1)</f>
        <v>892</v>
      </c>
      <c r="B931" s="32" t="s">
        <v>141</v>
      </c>
      <c r="C931" s="23">
        <v>46089</v>
      </c>
      <c r="D931" s="28" t="str">
        <f>_xlfn.XLOOKUP(Table134526_79101120212223242526[[#This Row],[Name Surname]],Manpower!$C$4:$C$1048576,Manpower!$B$4:$B$1048576,"")</f>
        <v>Encogroup</v>
      </c>
      <c r="E931" s="21" t="s">
        <v>178</v>
      </c>
      <c r="F931" s="12">
        <f>_xlfn.XLOOKUP(Table134526_79101120212223242526[[#This Row],[Name Surname]],Manpower!C:C,Manpower!D:D,)</f>
        <v>140683436</v>
      </c>
      <c r="G931" s="28" t="str">
        <f>_xlfn.XLOOKUP(Table134526_79101120212223242526[[#This Row],[Name Surname]],Manpower!$C$4:$C$1048576,Manpower!$F$4:$F$1048576,"")</f>
        <v>Scaffolder</v>
      </c>
      <c r="H931" s="28" t="str">
        <f>_xlfn.XLOOKUP(Table134526_79101120212223242526[[#This Row],[Name Surname]],Manpower!$C$4:$C$1048576,Manpower!$H$4:$H$1048576,"")</f>
        <v>Manpower</v>
      </c>
      <c r="I931" s="24" t="str">
        <f>_xlfn.XLOOKUP(Table134526_79101120212223242526[[#This Row],[Name Surname]],Manpower!$C$4:$C$1048576,Manpower!$H$4:$H$1048576,"")</f>
        <v>Manpower</v>
      </c>
      <c r="J931" s="21" t="s">
        <v>158</v>
      </c>
      <c r="K931" s="21" t="s">
        <v>26</v>
      </c>
      <c r="L931" s="21" t="s">
        <v>26</v>
      </c>
      <c r="M931" s="21" t="s">
        <v>24</v>
      </c>
      <c r="N931" s="29">
        <v>10</v>
      </c>
      <c r="O931" s="21" t="s">
        <v>159</v>
      </c>
      <c r="P931" s="21" t="s">
        <v>160</v>
      </c>
      <c r="Q931" s="21" t="s">
        <v>160</v>
      </c>
      <c r="R931" s="21" t="s">
        <v>161</v>
      </c>
    </row>
    <row r="932" spans="1:19" ht="14.4">
      <c r="A932" s="33">
        <f>IF(C932="","",MAX($A$1:A931)+1)</f>
        <v>893</v>
      </c>
      <c r="B932" s="32" t="s">
        <v>141</v>
      </c>
      <c r="C932" s="23">
        <v>46089</v>
      </c>
      <c r="D932" s="28" t="str">
        <f>_xlfn.XLOOKUP(Table134526_79101120212223242526[[#This Row],[Name Surname]],Manpower!$C$4:$C$1048576,Manpower!$B$4:$B$1048576,"")</f>
        <v>Encogroup</v>
      </c>
      <c r="E932" s="23" t="s">
        <v>179</v>
      </c>
      <c r="F932" s="12" t="e">
        <f>_xlfn.XLOOKUP(Table134526_79101120212223242526[[#This Row],[Name Surname]],Manpower!C:C,Manpower!D:D,)</f>
        <v>#N/A</v>
      </c>
      <c r="G932" s="28" t="str">
        <f>_xlfn.XLOOKUP(Table134526_79101120212223242526[[#This Row],[Name Surname]],Manpower!$C$4:$C$1048576,Manpower!$F$4:$F$1048576,"")</f>
        <v>7T-HIAB</v>
      </c>
      <c r="H932" s="28" t="str">
        <f>_xlfn.XLOOKUP(Table134526_79101120212223242526[[#This Row],[Name Surname]],Manpower!$C$4:$C$1048576,Manpower!$H$4:$H$1048576,"")</f>
        <v>Equipment</v>
      </c>
      <c r="I932" s="24" t="str">
        <f>_xlfn.XLOOKUP(Table134526_79101120212223242526[[#This Row],[Name Surname]],Manpower!$C$4:$C$1048576,Manpower!$H$4:$H$1048576,"")</f>
        <v>Equipment</v>
      </c>
      <c r="J932" s="21" t="s">
        <v>143</v>
      </c>
      <c r="K932" s="21" t="s">
        <v>26</v>
      </c>
      <c r="L932" s="21" t="s">
        <v>144</v>
      </c>
      <c r="M932" s="21" t="s">
        <v>24</v>
      </c>
      <c r="N932" s="29">
        <v>10</v>
      </c>
      <c r="O932" s="21" t="s">
        <v>138</v>
      </c>
      <c r="P932" s="21" t="s">
        <v>138</v>
      </c>
      <c r="Q932" s="21" t="s">
        <v>138</v>
      </c>
      <c r="R932" s="21" t="s">
        <v>26</v>
      </c>
    </row>
    <row r="933" spans="1:19" s="45" customFormat="1" ht="14.4" hidden="1">
      <c r="A933" s="25">
        <f>IF(C933="","",MAX($A$1:A932)+1)</f>
        <v>894</v>
      </c>
      <c r="B933" s="25" t="s">
        <v>141</v>
      </c>
      <c r="C933" s="41">
        <v>46089</v>
      </c>
      <c r="D933" s="48" t="str">
        <f>_xlfn.XLOOKUP(Table134526_79101120212223242526[[#This Row],[Name Surname]],Manpower!$C$4:$C$1048576,Manpower!$B$4:$B$1048576,"")</f>
        <v>Encogroup</v>
      </c>
      <c r="E933" s="43" t="s">
        <v>180</v>
      </c>
      <c r="F933" s="12">
        <f>_xlfn.XLOOKUP(Table134526_79101120212223242526[[#This Row],[Name Surname]],Manpower!C:C,Manpower!D:D,)</f>
        <v>9138415</v>
      </c>
      <c r="G933" s="48" t="str">
        <f>_xlfn.XLOOKUP(Table134526_79101120212223242526[[#This Row],[Name Surname]],Manpower!$C$4:$C$1048576,Manpower!$F$4:$F$1048576,"")</f>
        <v>HIAB Driver</v>
      </c>
      <c r="H933" s="48" t="str">
        <f>_xlfn.XLOOKUP(Table134526_79101120212223242526[[#This Row],[Name Surname]],Manpower!$C$4:$C$1048576,Manpower!$H$4:$H$1048576,"")</f>
        <v>Manpower</v>
      </c>
      <c r="I933" s="42" t="str">
        <f>_xlfn.XLOOKUP(Table134526_79101120212223242526[[#This Row],[Name Surname]],Manpower!$C$4:$C$1048576,Manpower!$H$4:$H$1048576,"")</f>
        <v>Manpower</v>
      </c>
      <c r="J933" s="43" t="s">
        <v>143</v>
      </c>
      <c r="K933" s="43" t="s">
        <v>26</v>
      </c>
      <c r="L933" s="43" t="s">
        <v>144</v>
      </c>
      <c r="M933" s="43" t="s">
        <v>24</v>
      </c>
      <c r="N933" s="44">
        <v>10</v>
      </c>
      <c r="O933" s="43" t="s">
        <v>40</v>
      </c>
      <c r="P933" s="43" t="s">
        <v>42</v>
      </c>
      <c r="Q933" s="43" t="s">
        <v>42</v>
      </c>
      <c r="R933" s="43" t="s">
        <v>181</v>
      </c>
      <c r="S933" s="43" t="s">
        <v>245</v>
      </c>
    </row>
    <row r="934" spans="1:19" ht="14.4" hidden="1">
      <c r="A934" s="33">
        <f>IF(C934="","",MAX($A$1:A933)+1)</f>
        <v>895</v>
      </c>
      <c r="B934" s="32" t="s">
        <v>141</v>
      </c>
      <c r="C934" s="23">
        <v>46089</v>
      </c>
      <c r="D934" s="28" t="str">
        <f>_xlfn.XLOOKUP(Table134526_79101120212223242526[[#This Row],[Name Surname]],Manpower!$C$4:$C$1048576,Manpower!$B$4:$B$1048576,"")</f>
        <v>GAF</v>
      </c>
      <c r="E934" s="21" t="s">
        <v>182</v>
      </c>
      <c r="F934" s="12">
        <f>_xlfn.XLOOKUP(Table134526_79101120212223242526[[#This Row],[Name Surname]],Manpower!C:C,Manpower!D:D,)</f>
        <v>78785394</v>
      </c>
      <c r="G934" s="28" t="str">
        <f>_xlfn.XLOOKUP(Table134526_79101120212223242526[[#This Row],[Name Surname]],Manpower!$C$4:$C$1048576,Manpower!$F$4:$F$1048576,"")</f>
        <v>Helper</v>
      </c>
      <c r="H934" s="28" t="str">
        <f>_xlfn.XLOOKUP(Table134526_79101120212223242526[[#This Row],[Name Surname]],Manpower!$C$4:$C$1048576,Manpower!$H$4:$H$1048576,"")</f>
        <v>Sub Contactor</v>
      </c>
      <c r="I934" s="24" t="str">
        <f>_xlfn.XLOOKUP(Table134526_79101120212223242526[[#This Row],[Name Surname]],Manpower!$C$4:$C$1048576,Manpower!$H$4:$H$1048576,"")</f>
        <v>Sub Contactor</v>
      </c>
      <c r="J934" s="21" t="s">
        <v>158</v>
      </c>
      <c r="K934" s="21" t="s">
        <v>26</v>
      </c>
      <c r="L934" s="21" t="s">
        <v>26</v>
      </c>
      <c r="M934" s="21" t="s">
        <v>24</v>
      </c>
      <c r="N934" s="29">
        <v>8</v>
      </c>
      <c r="O934" s="21" t="s">
        <v>159</v>
      </c>
      <c r="P934" s="21" t="s">
        <v>160</v>
      </c>
      <c r="Q934" s="21" t="s">
        <v>160</v>
      </c>
      <c r="R934" s="21" t="s">
        <v>161</v>
      </c>
    </row>
    <row r="935" spans="1:19" ht="14.4" hidden="1">
      <c r="A935" s="33">
        <f>IF(C935="","",MAX($A$1:A934)+1)</f>
        <v>896</v>
      </c>
      <c r="B935" s="32" t="s">
        <v>141</v>
      </c>
      <c r="C935" s="23">
        <v>46089</v>
      </c>
      <c r="D935" s="28" t="str">
        <f>_xlfn.XLOOKUP(Table134526_79101120212223242526[[#This Row],[Name Surname]],Manpower!$C$4:$C$1048576,Manpower!$B$4:$B$1048576,"")</f>
        <v>Encogroup</v>
      </c>
      <c r="E935" s="21" t="s">
        <v>183</v>
      </c>
      <c r="F935" s="12">
        <f>_xlfn.XLOOKUP(Table134526_79101120212223242526[[#This Row],[Name Surname]],Manpower!C:C,Manpower!D:D,)</f>
        <v>141359024</v>
      </c>
      <c r="G935" s="28" t="str">
        <f>_xlfn.XLOOKUP(Table134526_79101120212223242526[[#This Row],[Name Surname]],Manpower!$C$4:$C$1048576,Manpower!$F$4:$F$1048576,"")</f>
        <v>Hydraulic Mechanic</v>
      </c>
      <c r="H935" s="28" t="str">
        <f>_xlfn.XLOOKUP(Table134526_79101120212223242526[[#This Row],[Name Surname]],Manpower!$C$4:$C$1048576,Manpower!$H$4:$H$1048576,"")</f>
        <v>Manpower</v>
      </c>
      <c r="I935" s="24" t="str">
        <f>_xlfn.XLOOKUP(Table134526_79101120212223242526[[#This Row],[Name Surname]],Manpower!$C$4:$C$1048576,Manpower!$H$4:$H$1048576,"")</f>
        <v>Manpower</v>
      </c>
      <c r="J935" s="21" t="s">
        <v>143</v>
      </c>
      <c r="K935" s="21" t="s">
        <v>26</v>
      </c>
      <c r="L935" s="21" t="s">
        <v>170</v>
      </c>
      <c r="M935" s="21" t="s">
        <v>24</v>
      </c>
      <c r="N935" s="29">
        <v>8</v>
      </c>
      <c r="O935" s="21" t="s">
        <v>40</v>
      </c>
      <c r="P935" s="21" t="s">
        <v>128</v>
      </c>
      <c r="Q935" s="21" t="s">
        <v>128</v>
      </c>
      <c r="R935" s="21" t="s">
        <v>171</v>
      </c>
    </row>
    <row r="936" spans="1:19" ht="14.4" hidden="1">
      <c r="A936" s="33">
        <f>IF(C936="","",MAX($A$1:A935)+1)</f>
        <v>897</v>
      </c>
      <c r="B936" s="32" t="s">
        <v>141</v>
      </c>
      <c r="C936" s="23">
        <v>46089</v>
      </c>
      <c r="D936" s="28" t="str">
        <f>_xlfn.XLOOKUP(Table134526_79101120212223242526[[#This Row],[Name Surname]],Manpower!$C$4:$C$1048576,Manpower!$B$4:$B$1048576,"")</f>
        <v>Encogroup</v>
      </c>
      <c r="E936" s="21" t="s">
        <v>184</v>
      </c>
      <c r="F936" s="12">
        <f>_xlfn.XLOOKUP(Table134526_79101120212223242526[[#This Row],[Name Surname]],Manpower!C:C,Manpower!D:D,)</f>
        <v>140844759</v>
      </c>
      <c r="G936" s="28" t="str">
        <f>_xlfn.XLOOKUP(Table134526_79101120212223242526[[#This Row],[Name Surname]],Manpower!$C$4:$C$1048576,Manpower!$F$4:$F$1048576,"")</f>
        <v>Welder</v>
      </c>
      <c r="H936" s="28" t="str">
        <f>_xlfn.XLOOKUP(Table134526_79101120212223242526[[#This Row],[Name Surname]],Manpower!$C$4:$C$1048576,Manpower!$H$4:$H$1048576,"")</f>
        <v>Manpower</v>
      </c>
      <c r="I936" s="24" t="str">
        <f>_xlfn.XLOOKUP(Table134526_79101120212223242526[[#This Row],[Name Surname]],Manpower!$C$4:$C$1048576,Manpower!$H$4:$H$1048576,"")</f>
        <v>Manpower</v>
      </c>
      <c r="J936" s="21" t="s">
        <v>143</v>
      </c>
      <c r="K936" s="21" t="s">
        <v>26</v>
      </c>
      <c r="L936" s="21" t="s">
        <v>144</v>
      </c>
      <c r="M936" s="21" t="s">
        <v>24</v>
      </c>
      <c r="N936" s="29">
        <v>10</v>
      </c>
      <c r="O936" s="21" t="s">
        <v>40</v>
      </c>
      <c r="P936" s="21" t="s">
        <v>42</v>
      </c>
      <c r="Q936" s="21" t="s">
        <v>42</v>
      </c>
      <c r="R936" s="21" t="s">
        <v>243</v>
      </c>
    </row>
    <row r="937" spans="1:19" ht="14.4" hidden="1">
      <c r="A937" s="33">
        <f>IF(C937="","",MAX($A$1:A936)+1)</f>
        <v>898</v>
      </c>
      <c r="B937" s="32" t="s">
        <v>141</v>
      </c>
      <c r="C937" s="23">
        <v>46089</v>
      </c>
      <c r="D937" s="28" t="str">
        <f>_xlfn.XLOOKUP(Table134526_79101120212223242526[[#This Row],[Name Surname]],Manpower!$C$4:$C$1048576,Manpower!$B$4:$B$1048576,"")</f>
        <v>Encogroup</v>
      </c>
      <c r="E937" s="21" t="s">
        <v>185</v>
      </c>
      <c r="F937" s="12">
        <f>_xlfn.XLOOKUP(Table134526_79101120212223242526[[#This Row],[Name Surname]],Manpower!C:C,Manpower!D:D,)</f>
        <v>140848828</v>
      </c>
      <c r="G937" s="28" t="str">
        <f>_xlfn.XLOOKUP(Table134526_79101120212223242526[[#This Row],[Name Surname]],Manpower!$C$4:$C$1048576,Manpower!$F$4:$F$1048576,"")</f>
        <v>Pipe Fitter</v>
      </c>
      <c r="H937" s="28" t="str">
        <f>_xlfn.XLOOKUP(Table134526_79101120212223242526[[#This Row],[Name Surname]],Manpower!$C$4:$C$1048576,Manpower!$H$4:$H$1048576,"")</f>
        <v>Manpower</v>
      </c>
      <c r="I937" s="24" t="str">
        <f>_xlfn.XLOOKUP(Table134526_79101120212223242526[[#This Row],[Name Surname]],Manpower!$C$4:$C$1048576,Manpower!$H$4:$H$1048576,"")</f>
        <v>Manpower</v>
      </c>
      <c r="J937" s="21" t="s">
        <v>143</v>
      </c>
      <c r="K937" s="21" t="s">
        <v>26</v>
      </c>
      <c r="L937" s="21" t="s">
        <v>144</v>
      </c>
      <c r="M937" s="21" t="s">
        <v>24</v>
      </c>
      <c r="N937" s="29">
        <v>10</v>
      </c>
      <c r="O937" s="21" t="s">
        <v>40</v>
      </c>
      <c r="P937" s="21" t="s">
        <v>42</v>
      </c>
      <c r="Q937" s="21" t="s">
        <v>42</v>
      </c>
      <c r="R937" s="21" t="s">
        <v>244</v>
      </c>
    </row>
    <row r="938" spans="1:19" ht="14.4" hidden="1">
      <c r="A938" s="33">
        <f>IF(C938="","",MAX($A$1:A937)+1)</f>
        <v>899</v>
      </c>
      <c r="B938" s="32" t="s">
        <v>141</v>
      </c>
      <c r="C938" s="23">
        <v>46089</v>
      </c>
      <c r="D938" s="28" t="str">
        <f>_xlfn.XLOOKUP(Table134526_79101120212223242526[[#This Row],[Name Surname]],Manpower!$C$4:$C$1048576,Manpower!$B$4:$B$1048576,"")</f>
        <v>Encogroup</v>
      </c>
      <c r="E938" s="21" t="s">
        <v>186</v>
      </c>
      <c r="F938" s="12">
        <f>_xlfn.XLOOKUP(Table134526_79101120212223242526[[#This Row],[Name Surname]],Manpower!C:C,Manpower!D:D,)</f>
        <v>140696961</v>
      </c>
      <c r="G938" s="28" t="str">
        <f>_xlfn.XLOOKUP(Table134526_79101120212223242526[[#This Row],[Name Surname]],Manpower!$C$4:$C$1048576,Manpower!$F$4:$F$1048576,"")</f>
        <v>Assistant/Helper</v>
      </c>
      <c r="H938" s="28" t="str">
        <f>_xlfn.XLOOKUP(Table134526_79101120212223242526[[#This Row],[Name Surname]],Manpower!$C$4:$C$1048576,Manpower!$H$4:$H$1048576,"")</f>
        <v>Manpower</v>
      </c>
      <c r="I938" s="24" t="str">
        <f>_xlfn.XLOOKUP(Table134526_79101120212223242526[[#This Row],[Name Surname]],Manpower!$C$4:$C$1048576,Manpower!$H$4:$H$1048576,"")</f>
        <v>Manpower</v>
      </c>
      <c r="J938" s="21" t="s">
        <v>158</v>
      </c>
      <c r="K938" s="21" t="s">
        <v>26</v>
      </c>
      <c r="L938" s="21" t="s">
        <v>26</v>
      </c>
      <c r="M938" s="21" t="s">
        <v>24</v>
      </c>
      <c r="N938" s="29">
        <v>10</v>
      </c>
      <c r="O938" s="21" t="s">
        <v>159</v>
      </c>
      <c r="P938" s="21" t="s">
        <v>160</v>
      </c>
      <c r="Q938" s="21" t="s">
        <v>160</v>
      </c>
      <c r="R938" s="21" t="s">
        <v>161</v>
      </c>
    </row>
    <row r="939" spans="1:19" s="45" customFormat="1" ht="14.4" hidden="1">
      <c r="A939" s="25">
        <f>IF(C939="","",MAX($A$1:A938)+1)</f>
        <v>900</v>
      </c>
      <c r="B939" s="25" t="s">
        <v>141</v>
      </c>
      <c r="C939" s="41">
        <v>46089</v>
      </c>
      <c r="D939" s="48" t="str">
        <f>_xlfn.XLOOKUP(Table134526_79101120212223242526[[#This Row],[Name Surname]],Manpower!$C$4:$C$1048576,Manpower!$B$4:$B$1048576,"")</f>
        <v>Encogroup</v>
      </c>
      <c r="E939" s="43" t="s">
        <v>187</v>
      </c>
      <c r="F939" s="12">
        <f>_xlfn.XLOOKUP(Table134526_79101120212223242526[[#This Row],[Name Surname]],Manpower!C:C,Manpower!D:D,)</f>
        <v>140623599</v>
      </c>
      <c r="G939" s="48" t="str">
        <f>_xlfn.XLOOKUP(Table134526_79101120212223242526[[#This Row],[Name Surname]],Manpower!$C$4:$C$1048576,Manpower!$F$4:$F$1048576,"")</f>
        <v>Mechanical Supervisor</v>
      </c>
      <c r="H939" s="48" t="str">
        <f>_xlfn.XLOOKUP(Table134526_79101120212223242526[[#This Row],[Name Surname]],Manpower!$C$4:$C$1048576,Manpower!$H$4:$H$1048576,"")</f>
        <v>Manpower</v>
      </c>
      <c r="I939" s="42" t="str">
        <f>_xlfn.XLOOKUP(Table134526_79101120212223242526[[#This Row],[Name Surname]],Manpower!$C$4:$C$1048576,Manpower!$H$4:$H$1048576,"")</f>
        <v>Manpower</v>
      </c>
      <c r="J939" s="43" t="s">
        <v>143</v>
      </c>
      <c r="K939" s="43" t="s">
        <v>26</v>
      </c>
      <c r="L939" s="43" t="s">
        <v>144</v>
      </c>
      <c r="M939" s="43" t="s">
        <v>24</v>
      </c>
      <c r="N939" s="44">
        <v>10</v>
      </c>
      <c r="O939" s="43" t="s">
        <v>40</v>
      </c>
      <c r="P939" s="43" t="s">
        <v>42</v>
      </c>
      <c r="Q939" s="43" t="s">
        <v>42</v>
      </c>
      <c r="R939" s="43" t="s">
        <v>244</v>
      </c>
      <c r="S939" s="43"/>
    </row>
    <row r="940" spans="1:19" ht="14.4" hidden="1">
      <c r="A940" s="33">
        <f>IF(C940="","",MAX($A$1:A939)+1)</f>
        <v>901</v>
      </c>
      <c r="B940" s="32" t="s">
        <v>141</v>
      </c>
      <c r="C940" s="23">
        <v>46089</v>
      </c>
      <c r="D940" s="28" t="str">
        <f>_xlfn.XLOOKUP(Table134526_79101120212223242526[[#This Row],[Name Surname]],Manpower!$C$4:$C$1048576,Manpower!$B$4:$B$1048576,"")</f>
        <v>Encogroup</v>
      </c>
      <c r="E940" s="21" t="s">
        <v>189</v>
      </c>
      <c r="F940" s="12">
        <f>_xlfn.XLOOKUP(Table134526_79101120212223242526[[#This Row],[Name Surname]],Manpower!C:C,Manpower!D:D,)</f>
        <v>121937785</v>
      </c>
      <c r="G940" s="28" t="str">
        <f>_xlfn.XLOOKUP(Table134526_79101120212223242526[[#This Row],[Name Surname]],Manpower!$C$4:$C$1048576,Manpower!$F$4:$F$1048576,"")</f>
        <v>Scaffolding Inspector</v>
      </c>
      <c r="H940" s="28" t="str">
        <f>_xlfn.XLOOKUP(Table134526_79101120212223242526[[#This Row],[Name Surname]],Manpower!$C$4:$C$1048576,Manpower!$H$4:$H$1048576,"")</f>
        <v>Manpower</v>
      </c>
      <c r="I940" s="24" t="str">
        <f>_xlfn.XLOOKUP(Table134526_79101120212223242526[[#This Row],[Name Surname]],Manpower!$C$4:$C$1048576,Manpower!$H$4:$H$1048576,"")</f>
        <v>Manpower</v>
      </c>
      <c r="J940" s="21" t="s">
        <v>143</v>
      </c>
      <c r="K940" s="21" t="s">
        <v>26</v>
      </c>
      <c r="L940" s="21" t="s">
        <v>144</v>
      </c>
      <c r="M940" s="21" t="s">
        <v>24</v>
      </c>
      <c r="N940" s="29">
        <v>8</v>
      </c>
      <c r="O940" s="21" t="s">
        <v>40</v>
      </c>
      <c r="P940" s="21" t="s">
        <v>128</v>
      </c>
      <c r="Q940" s="21" t="s">
        <v>128</v>
      </c>
      <c r="R940" s="21" t="s">
        <v>26</v>
      </c>
    </row>
    <row r="941" spans="1:19" ht="14.4" hidden="1">
      <c r="A941" s="33">
        <f>IF(C941="","",MAX($A$1:A940)+1)</f>
        <v>902</v>
      </c>
      <c r="B941" s="32" t="s">
        <v>141</v>
      </c>
      <c r="C941" s="23">
        <v>46089</v>
      </c>
      <c r="D941" s="28" t="str">
        <f>_xlfn.XLOOKUP(Table134526_79101120212223242526[[#This Row],[Name Surname]],Manpower!$C$4:$C$1048576,Manpower!$B$4:$B$1048576,"")</f>
        <v xml:space="preserve">AL Omar International </v>
      </c>
      <c r="E941" s="21" t="s">
        <v>190</v>
      </c>
      <c r="F941" s="12">
        <f>_xlfn.XLOOKUP(Table134526_79101120212223242526[[#This Row],[Name Surname]],Manpower!C:C,Manpower!D:D,)</f>
        <v>85812175</v>
      </c>
      <c r="G941" s="28" t="str">
        <f>_xlfn.XLOOKUP(Table134526_79101120212223242526[[#This Row],[Name Surname]],Manpower!$C$4:$C$1048576,Manpower!$F$4:$F$1048576,"")</f>
        <v>Scaffolding Supervisor</v>
      </c>
      <c r="H941" s="28" t="str">
        <f>_xlfn.XLOOKUP(Table134526_79101120212223242526[[#This Row],[Name Surname]],Manpower!$C$4:$C$1048576,Manpower!$H$4:$H$1048576,"")</f>
        <v>Sub Contactor</v>
      </c>
      <c r="I941" s="24" t="str">
        <f>_xlfn.XLOOKUP(Table134526_79101120212223242526[[#This Row],[Name Surname]],Manpower!$C$4:$C$1048576,Manpower!$H$4:$H$1048576,"")</f>
        <v>Sub Contactor</v>
      </c>
      <c r="J941" s="21" t="s">
        <v>143</v>
      </c>
      <c r="K941" s="21" t="s">
        <v>26</v>
      </c>
      <c r="L941" s="21" t="s">
        <v>170</v>
      </c>
      <c r="M941" s="21" t="s">
        <v>24</v>
      </c>
      <c r="N941" s="29">
        <v>8</v>
      </c>
      <c r="O941" s="21" t="s">
        <v>40</v>
      </c>
      <c r="P941" s="21" t="s">
        <v>128</v>
      </c>
      <c r="Q941" s="21" t="s">
        <v>128</v>
      </c>
      <c r="R941" s="21" t="s">
        <v>171</v>
      </c>
    </row>
    <row r="942" spans="1:19" ht="14.4" hidden="1">
      <c r="A942" s="33">
        <f>IF(C942="","",MAX($A$1:A941)+1)</f>
        <v>903</v>
      </c>
      <c r="B942" s="32" t="s">
        <v>141</v>
      </c>
      <c r="C942" s="23">
        <v>46089</v>
      </c>
      <c r="D942" s="28" t="str">
        <f>_xlfn.XLOOKUP(Table134526_79101120212223242526[[#This Row],[Name Surname]],Manpower!$C$4:$C$1048576,Manpower!$B$4:$B$1048576,"")</f>
        <v>AL Omar International TRAD AND CONT</v>
      </c>
      <c r="E942" s="21" t="s">
        <v>192</v>
      </c>
      <c r="F942" s="12">
        <f>_xlfn.XLOOKUP(Table134526_79101120212223242526[[#This Row],[Name Surname]],Manpower!C:C,Manpower!D:D,)</f>
        <v>96409155</v>
      </c>
      <c r="G942" s="28" t="str">
        <f>_xlfn.XLOOKUP(Table134526_79101120212223242526[[#This Row],[Name Surname]],Manpower!$C$4:$C$1048576,Manpower!$F$4:$F$1048576,"")</f>
        <v>Scaffolder</v>
      </c>
      <c r="H942" s="28" t="str">
        <f>_xlfn.XLOOKUP(Table134526_79101120212223242526[[#This Row],[Name Surname]],Manpower!$C$4:$C$1048576,Manpower!$H$4:$H$1048576,"")</f>
        <v>Sub Contactor</v>
      </c>
      <c r="I942" s="24" t="str">
        <f>_xlfn.XLOOKUP(Table134526_79101120212223242526[[#This Row],[Name Surname]],Manpower!$C$4:$C$1048576,Manpower!$H$4:$H$1048576,"")</f>
        <v>Sub Contactor</v>
      </c>
      <c r="J942" s="21" t="s">
        <v>143</v>
      </c>
      <c r="K942" s="21" t="s">
        <v>26</v>
      </c>
      <c r="L942" s="21" t="s">
        <v>170</v>
      </c>
      <c r="M942" s="21" t="s">
        <v>24</v>
      </c>
      <c r="N942" s="29">
        <v>8</v>
      </c>
      <c r="O942" s="21" t="s">
        <v>40</v>
      </c>
      <c r="P942" s="21" t="s">
        <v>128</v>
      </c>
      <c r="Q942" s="21" t="s">
        <v>128</v>
      </c>
      <c r="R942" s="21" t="s">
        <v>171</v>
      </c>
    </row>
    <row r="943" spans="1:19" ht="14.4" hidden="1">
      <c r="A943" s="33">
        <f>IF(C943="","",MAX($A$1:A942)+1)</f>
        <v>904</v>
      </c>
      <c r="B943" s="32" t="s">
        <v>141</v>
      </c>
      <c r="C943" s="23">
        <v>46089</v>
      </c>
      <c r="D943" s="28" t="str">
        <f>_xlfn.XLOOKUP(Table134526_79101120212223242526[[#This Row],[Name Surname]],Manpower!$C$4:$C$1048576,Manpower!$B$4:$B$1048576,"")</f>
        <v>AL Omar International TRAD AND CONT</v>
      </c>
      <c r="E943" s="21" t="s">
        <v>193</v>
      </c>
      <c r="F943" s="12">
        <f>_xlfn.XLOOKUP(Table134526_79101120212223242526[[#This Row],[Name Surname]],Manpower!C:C,Manpower!D:D,)</f>
        <v>105813698</v>
      </c>
      <c r="G943" s="28" t="str">
        <f>_xlfn.XLOOKUP(Table134526_79101120212223242526[[#This Row],[Name Surname]],Manpower!$C$4:$C$1048576,Manpower!$F$4:$F$1048576,"")</f>
        <v>Scaffolding Inspector</v>
      </c>
      <c r="H943" s="28" t="str">
        <f>_xlfn.XLOOKUP(Table134526_79101120212223242526[[#This Row],[Name Surname]],Manpower!$C$4:$C$1048576,Manpower!$H$4:$H$1048576,"")</f>
        <v>Sub Contactor</v>
      </c>
      <c r="I943" s="24" t="str">
        <f>_xlfn.XLOOKUP(Table134526_79101120212223242526[[#This Row],[Name Surname]],Manpower!$C$4:$C$1048576,Manpower!$H$4:$H$1048576,"")</f>
        <v>Sub Contactor</v>
      </c>
      <c r="J943" s="21" t="s">
        <v>143</v>
      </c>
      <c r="K943" s="21" t="s">
        <v>26</v>
      </c>
      <c r="L943" s="21" t="s">
        <v>170</v>
      </c>
      <c r="M943" s="21" t="s">
        <v>24</v>
      </c>
      <c r="N943" s="29">
        <v>8</v>
      </c>
      <c r="O943" s="21" t="s">
        <v>40</v>
      </c>
      <c r="P943" s="21" t="s">
        <v>128</v>
      </c>
      <c r="Q943" s="21" t="s">
        <v>128</v>
      </c>
      <c r="R943" s="21" t="s">
        <v>171</v>
      </c>
    </row>
    <row r="944" spans="1:19" s="45" customFormat="1" ht="14.4" hidden="1">
      <c r="A944" s="25">
        <f>IF(C944="","",MAX($A$1:A943)+1)</f>
        <v>905</v>
      </c>
      <c r="B944" s="25" t="s">
        <v>141</v>
      </c>
      <c r="C944" s="41">
        <v>46089</v>
      </c>
      <c r="D944" s="48" t="str">
        <f>_xlfn.XLOOKUP(Table134526_79101120212223242526[[#This Row],[Name Surname]],Manpower!$C$4:$C$1048576,Manpower!$B$4:$B$1048576,"")</f>
        <v>AL Saif &amp; Al QALLM ENT LLC</v>
      </c>
      <c r="E944" s="43" t="s">
        <v>194</v>
      </c>
      <c r="F944" s="12">
        <f>_xlfn.XLOOKUP(Table134526_79101120212223242526[[#This Row],[Name Surname]],Manpower!C:C,Manpower!D:D,)</f>
        <v>135340657</v>
      </c>
      <c r="G944" s="48" t="str">
        <f>_xlfn.XLOOKUP(Table134526_79101120212223242526[[#This Row],[Name Surname]],Manpower!$C$4:$C$1048576,Manpower!$F$4:$F$1048576,"")</f>
        <v>Forklift Operator</v>
      </c>
      <c r="H944" s="48" t="str">
        <f>_xlfn.XLOOKUP(Table134526_79101120212223242526[[#This Row],[Name Surname]],Manpower!$C$4:$C$1048576,Manpower!$H$4:$H$1048576,"")</f>
        <v>Sub Contactor</v>
      </c>
      <c r="I944" s="42" t="str">
        <f>_xlfn.XLOOKUP(Table134526_79101120212223242526[[#This Row],[Name Surname]],Manpower!$C$4:$C$1048576,Manpower!$H$4:$H$1048576,"")</f>
        <v>Sub Contactor</v>
      </c>
      <c r="J944" s="43" t="s">
        <v>143</v>
      </c>
      <c r="K944" s="43" t="s">
        <v>26</v>
      </c>
      <c r="L944" s="43" t="s">
        <v>144</v>
      </c>
      <c r="M944" s="43" t="s">
        <v>24</v>
      </c>
      <c r="N944" s="44">
        <v>10</v>
      </c>
      <c r="O944" s="43" t="s">
        <v>40</v>
      </c>
      <c r="P944" s="43" t="s">
        <v>42</v>
      </c>
      <c r="Q944" s="43" t="s">
        <v>42</v>
      </c>
      <c r="R944" s="43" t="s">
        <v>195</v>
      </c>
      <c r="S944" s="43" t="s">
        <v>246</v>
      </c>
    </row>
    <row r="945" spans="1:19" ht="14.4" hidden="1">
      <c r="A945" s="33">
        <f>IF(C945="","",MAX($A$1:A944)+1)</f>
        <v>906</v>
      </c>
      <c r="B945" s="32" t="s">
        <v>141</v>
      </c>
      <c r="C945" s="23">
        <v>46089</v>
      </c>
      <c r="D945" s="28" t="str">
        <f>_xlfn.XLOOKUP(Table134526_79101120212223242526[[#This Row],[Name Surname]],Manpower!$C$4:$C$1048576,Manpower!$B$4:$B$1048576,"")</f>
        <v>Encogroup</v>
      </c>
      <c r="E945" s="21" t="s">
        <v>196</v>
      </c>
      <c r="F945" s="12">
        <f>_xlfn.XLOOKUP(Table134526_79101120212223242526[[#This Row],[Name Surname]],Manpower!C:C,Manpower!D:D,)</f>
        <v>140844586</v>
      </c>
      <c r="G945" s="28" t="str">
        <f>_xlfn.XLOOKUP(Table134526_79101120212223242526[[#This Row],[Name Surname]],Manpower!$C$4:$C$1048576,Manpower!$F$4:$F$1048576,"")</f>
        <v>Assistant/Helper</v>
      </c>
      <c r="H945" s="28" t="str">
        <f>_xlfn.XLOOKUP(Table134526_79101120212223242526[[#This Row],[Name Surname]],Manpower!$C$4:$C$1048576,Manpower!$H$4:$H$1048576,"")</f>
        <v>Manpower</v>
      </c>
      <c r="I945" s="24" t="str">
        <f>_xlfn.XLOOKUP(Table134526_79101120212223242526[[#This Row],[Name Surname]],Manpower!$C$4:$C$1048576,Manpower!$H$4:$H$1048576,"")</f>
        <v>Manpower</v>
      </c>
      <c r="J945" s="21" t="s">
        <v>158</v>
      </c>
      <c r="K945" s="21" t="s">
        <v>26</v>
      </c>
      <c r="L945" s="21" t="s">
        <v>26</v>
      </c>
      <c r="M945" s="21" t="s">
        <v>24</v>
      </c>
      <c r="N945" s="29">
        <v>10</v>
      </c>
      <c r="O945" s="21" t="s">
        <v>159</v>
      </c>
      <c r="P945" s="21" t="s">
        <v>160</v>
      </c>
      <c r="Q945" s="21" t="s">
        <v>160</v>
      </c>
      <c r="R945" s="21" t="s">
        <v>161</v>
      </c>
    </row>
    <row r="946" spans="1:19" s="45" customFormat="1" ht="14.4" hidden="1">
      <c r="A946" s="25">
        <f>IF(C946="","",MAX($A$1:A945)+1)</f>
        <v>907</v>
      </c>
      <c r="B946" s="25" t="s">
        <v>141</v>
      </c>
      <c r="C946" s="41">
        <v>46089</v>
      </c>
      <c r="D946" s="48" t="str">
        <f>_xlfn.XLOOKUP(Table134526_79101120212223242526[[#This Row],[Name Surname]],Manpower!$C$4:$C$1048576,Manpower!$B$4:$B$1048576,"")</f>
        <v>AL Omar International TRAD AND CONT</v>
      </c>
      <c r="E946" s="43" t="s">
        <v>197</v>
      </c>
      <c r="F946" s="12">
        <f>_xlfn.XLOOKUP(Table134526_79101120212223242526[[#This Row],[Name Surname]],Manpower!C:C,Manpower!D:D,)</f>
        <v>106093463</v>
      </c>
      <c r="G946" s="48" t="str">
        <f>_xlfn.XLOOKUP(Table134526_79101120212223242526[[#This Row],[Name Surname]],Manpower!$C$4:$C$1048576,Manpower!$F$4:$F$1048576,"")</f>
        <v>RIgger</v>
      </c>
      <c r="H946" s="48" t="str">
        <f>_xlfn.XLOOKUP(Table134526_79101120212223242526[[#This Row],[Name Surname]],Manpower!$C$4:$C$1048576,Manpower!$H$4:$H$1048576,"")</f>
        <v>Sub Contactor</v>
      </c>
      <c r="I946" s="42" t="str">
        <f>_xlfn.XLOOKUP(Table134526_79101120212223242526[[#This Row],[Name Surname]],Manpower!$C$4:$C$1048576,Manpower!$H$4:$H$1048576,"")</f>
        <v>Sub Contactor</v>
      </c>
      <c r="J946" s="43" t="s">
        <v>143</v>
      </c>
      <c r="K946" s="43" t="s">
        <v>26</v>
      </c>
      <c r="L946" s="43" t="s">
        <v>144</v>
      </c>
      <c r="M946" s="43" t="s">
        <v>24</v>
      </c>
      <c r="N946" s="44">
        <v>8</v>
      </c>
      <c r="O946" s="43" t="s">
        <v>40</v>
      </c>
      <c r="P946" s="43" t="s">
        <v>42</v>
      </c>
      <c r="Q946" s="43" t="s">
        <v>42</v>
      </c>
      <c r="R946" s="43" t="s">
        <v>244</v>
      </c>
      <c r="S946" s="43" t="s">
        <v>245</v>
      </c>
    </row>
    <row r="947" spans="1:19" ht="14.4">
      <c r="A947" s="33">
        <f>IF(C947="","",MAX($A$1:A946)+1)</f>
        <v>908</v>
      </c>
      <c r="B947" s="32" t="s">
        <v>141</v>
      </c>
      <c r="C947" s="23">
        <v>46089</v>
      </c>
      <c r="D947" s="28" t="str">
        <f>_xlfn.XLOOKUP(Table134526_79101120212223242526[[#This Row],[Name Surname]],Manpower!$C$4:$C$1048576,Manpower!$B$4:$B$1048576,"")</f>
        <v>Al Asrah Al Mumayaza Trad</v>
      </c>
      <c r="E947" s="21" t="s">
        <v>198</v>
      </c>
      <c r="F947" s="12" t="e">
        <f>_xlfn.XLOOKUP(Table134526_79101120212223242526[[#This Row],[Name Surname]],Manpower!C:C,Manpower!D:D,)</f>
        <v>#N/A</v>
      </c>
      <c r="G947" s="28" t="str">
        <f>_xlfn.XLOOKUP(Table134526_79101120212223242526[[#This Row],[Name Surname]],Manpower!$C$4:$C$1048576,Manpower!$F$4:$F$1048576,"")</f>
        <v>PICK-UP</v>
      </c>
      <c r="H947" s="28" t="str">
        <f>_xlfn.XLOOKUP(Table134526_79101120212223242526[[#This Row],[Name Surname]],Manpower!$C$4:$C$1048576,Manpower!$H$4:$H$1048576,"")</f>
        <v>Equipment</v>
      </c>
      <c r="I947" s="24" t="str">
        <f>_xlfn.XLOOKUP(Table134526_79101120212223242526[[#This Row],[Name Surname]],Manpower!$C$4:$C$1048576,Manpower!$H$4:$H$1048576,"")</f>
        <v>Equipment</v>
      </c>
      <c r="J947" s="21" t="s">
        <v>143</v>
      </c>
      <c r="K947" s="21" t="s">
        <v>26</v>
      </c>
      <c r="L947" s="21" t="s">
        <v>144</v>
      </c>
      <c r="M947" s="21" t="s">
        <v>24</v>
      </c>
      <c r="N947" s="29">
        <v>10</v>
      </c>
      <c r="O947" s="21" t="s">
        <v>138</v>
      </c>
      <c r="P947" s="21" t="s">
        <v>138</v>
      </c>
      <c r="Q947" s="21" t="s">
        <v>138</v>
      </c>
      <c r="R947" s="21" t="s">
        <v>26</v>
      </c>
    </row>
    <row r="948" spans="1:19" ht="14.4">
      <c r="A948" s="33">
        <f>IF(C948="","",MAX($A$1:A947)+1)</f>
        <v>909</v>
      </c>
      <c r="B948" s="32" t="s">
        <v>141</v>
      </c>
      <c r="C948" s="23">
        <v>46089</v>
      </c>
      <c r="D948" s="28" t="str">
        <f>_xlfn.XLOOKUP(Table134526_79101120212223242526[[#This Row],[Name Surname]],Manpower!$C$4:$C$1048576,Manpower!$B$4:$B$1048576,"")</f>
        <v>Al Asrah Al Mumayaza Trad</v>
      </c>
      <c r="E948" s="21" t="s">
        <v>199</v>
      </c>
      <c r="F948" s="12" t="e">
        <f>_xlfn.XLOOKUP(Table134526_79101120212223242526[[#This Row],[Name Surname]],Manpower!C:C,Manpower!D:D,)</f>
        <v>#N/A</v>
      </c>
      <c r="G948" s="28" t="str">
        <f>_xlfn.XLOOKUP(Table134526_79101120212223242526[[#This Row],[Name Surname]],Manpower!$C$4:$C$1048576,Manpower!$F$4:$F$1048576,"")</f>
        <v>PICK-UP</v>
      </c>
      <c r="H948" s="28" t="str">
        <f>_xlfn.XLOOKUP(Table134526_79101120212223242526[[#This Row],[Name Surname]],Manpower!$C$4:$C$1048576,Manpower!$H$4:$H$1048576,"")</f>
        <v>Equipment</v>
      </c>
      <c r="I948" s="24" t="str">
        <f>_xlfn.XLOOKUP(Table134526_79101120212223242526[[#This Row],[Name Surname]],Manpower!$C$4:$C$1048576,Manpower!$H$4:$H$1048576,"")</f>
        <v>Equipment</v>
      </c>
      <c r="J948" s="21" t="s">
        <v>143</v>
      </c>
      <c r="K948" s="21" t="s">
        <v>26</v>
      </c>
      <c r="L948" s="21" t="s">
        <v>144</v>
      </c>
      <c r="M948" s="21" t="s">
        <v>24</v>
      </c>
      <c r="N948" s="29">
        <v>10</v>
      </c>
      <c r="O948" s="21" t="s">
        <v>138</v>
      </c>
      <c r="P948" s="21" t="s">
        <v>138</v>
      </c>
      <c r="Q948" s="21" t="s">
        <v>138</v>
      </c>
      <c r="R948" s="21" t="s">
        <v>26</v>
      </c>
    </row>
    <row r="949" spans="1:19" ht="14.4">
      <c r="A949" s="33">
        <f>IF(C949="","",MAX($A$1:A948)+1)</f>
        <v>910</v>
      </c>
      <c r="B949" s="32" t="s">
        <v>141</v>
      </c>
      <c r="C949" s="23">
        <v>46089</v>
      </c>
      <c r="D949" s="28" t="str">
        <f>_xlfn.XLOOKUP(Table134526_79101120212223242526[[#This Row],[Name Surname]],Manpower!$C$4:$C$1048576,Manpower!$B$4:$B$1048576,"")</f>
        <v>Al Asrah Al Mumayaza Trad</v>
      </c>
      <c r="E949" s="21" t="s">
        <v>200</v>
      </c>
      <c r="F949" s="12" t="e">
        <f>_xlfn.XLOOKUP(Table134526_79101120212223242526[[#This Row],[Name Surname]],Manpower!C:C,Manpower!D:D,)</f>
        <v>#N/A</v>
      </c>
      <c r="G949" s="28" t="str">
        <f>_xlfn.XLOOKUP(Table134526_79101120212223242526[[#This Row],[Name Surname]],Manpower!$C$4:$C$1048576,Manpower!$F$4:$F$1048576,"")</f>
        <v>PICK-UP</v>
      </c>
      <c r="H949" s="28" t="str">
        <f>_xlfn.XLOOKUP(Table134526_79101120212223242526[[#This Row],[Name Surname]],Manpower!$C$4:$C$1048576,Manpower!$H$4:$H$1048576,"")</f>
        <v>Equipment</v>
      </c>
      <c r="I949" s="24" t="str">
        <f>_xlfn.XLOOKUP(Table134526_79101120212223242526[[#This Row],[Name Surname]],Manpower!$C$4:$C$1048576,Manpower!$H$4:$H$1048576,"")</f>
        <v>Equipment</v>
      </c>
      <c r="J949" s="21" t="s">
        <v>143</v>
      </c>
      <c r="K949" s="21" t="s">
        <v>26</v>
      </c>
      <c r="L949" s="21" t="s">
        <v>144</v>
      </c>
      <c r="M949" s="21" t="s">
        <v>24</v>
      </c>
      <c r="N949" s="29">
        <v>10</v>
      </c>
      <c r="O949" s="21" t="s">
        <v>138</v>
      </c>
      <c r="P949" s="21" t="s">
        <v>138</v>
      </c>
      <c r="Q949" s="21" t="s">
        <v>138</v>
      </c>
      <c r="R949" s="21" t="s">
        <v>26</v>
      </c>
    </row>
    <row r="950" spans="1:19" ht="14.4">
      <c r="A950" s="33">
        <f>IF(C950="","",MAX($A$1:A949)+1)</f>
        <v>911</v>
      </c>
      <c r="B950" s="32" t="s">
        <v>141</v>
      </c>
      <c r="C950" s="23">
        <v>46089</v>
      </c>
      <c r="D950" s="28" t="str">
        <f>_xlfn.XLOOKUP(Table134526_79101120212223242526[[#This Row],[Name Surname]],Manpower!$C$4:$C$1048576,Manpower!$B$4:$B$1048576,"")</f>
        <v>Al Asrah Al Mumayaza Trad</v>
      </c>
      <c r="E950" s="21" t="s">
        <v>201</v>
      </c>
      <c r="F950" s="12" t="e">
        <f>_xlfn.XLOOKUP(Table134526_79101120212223242526[[#This Row],[Name Surname]],Manpower!C:C,Manpower!D:D,)</f>
        <v>#N/A</v>
      </c>
      <c r="G950" s="28" t="str">
        <f>_xlfn.XLOOKUP(Table134526_79101120212223242526[[#This Row],[Name Surname]],Manpower!$C$4:$C$1048576,Manpower!$F$4:$F$1048576,"")</f>
        <v>PICK-UP</v>
      </c>
      <c r="H950" s="28" t="str">
        <f>_xlfn.XLOOKUP(Table134526_79101120212223242526[[#This Row],[Name Surname]],Manpower!$C$4:$C$1048576,Manpower!$H$4:$H$1048576,"")</f>
        <v>Equipment</v>
      </c>
      <c r="I950" s="24" t="str">
        <f>_xlfn.XLOOKUP(Table134526_79101120212223242526[[#This Row],[Name Surname]],Manpower!$C$4:$C$1048576,Manpower!$H$4:$H$1048576,"")</f>
        <v>Equipment</v>
      </c>
      <c r="J950" s="21" t="s">
        <v>143</v>
      </c>
      <c r="K950" s="21" t="s">
        <v>26</v>
      </c>
      <c r="L950" s="21" t="s">
        <v>144</v>
      </c>
      <c r="M950" s="21" t="s">
        <v>24</v>
      </c>
      <c r="N950" s="29">
        <v>10</v>
      </c>
      <c r="O950" s="21" t="s">
        <v>138</v>
      </c>
      <c r="P950" s="21" t="s">
        <v>138</v>
      </c>
      <c r="Q950" s="21" t="s">
        <v>138</v>
      </c>
      <c r="R950" s="21" t="s">
        <v>26</v>
      </c>
    </row>
    <row r="951" spans="1:19" ht="14.4" hidden="1">
      <c r="A951" s="33">
        <f>IF(C951="","",MAX($A$1:A950)+1)</f>
        <v>912</v>
      </c>
      <c r="B951" s="32" t="s">
        <v>141</v>
      </c>
      <c r="C951" s="23">
        <v>46089</v>
      </c>
      <c r="D951" s="28" t="str">
        <f>_xlfn.XLOOKUP(Table134526_79101120212223242526[[#This Row],[Name Surname]],Manpower!$C$4:$C$1048576,Manpower!$B$4:$B$1048576,"")</f>
        <v>Encogroup</v>
      </c>
      <c r="E951" s="21" t="s">
        <v>202</v>
      </c>
      <c r="F951" s="12">
        <f>_xlfn.XLOOKUP(Table134526_79101120212223242526[[#This Row],[Name Surname]],Manpower!C:C,Manpower!D:D,)</f>
        <v>140805592</v>
      </c>
      <c r="G951" s="28" t="str">
        <f>_xlfn.XLOOKUP(Table134526_79101120212223242526[[#This Row],[Name Surname]],Manpower!$C$4:$C$1048576,Manpower!$F$4:$F$1048576,"")</f>
        <v>Assistant/Helper</v>
      </c>
      <c r="H951" s="28" t="str">
        <f>_xlfn.XLOOKUP(Table134526_79101120212223242526[[#This Row],[Name Surname]],Manpower!$C$4:$C$1048576,Manpower!$H$4:$H$1048576,"")</f>
        <v>Manpower</v>
      </c>
      <c r="I951" s="24" t="str">
        <f>_xlfn.XLOOKUP(Table134526_79101120212223242526[[#This Row],[Name Surname]],Manpower!$C$4:$C$1048576,Manpower!$H$4:$H$1048576,"")</f>
        <v>Manpower</v>
      </c>
      <c r="J951" s="21" t="s">
        <v>143</v>
      </c>
      <c r="K951" s="21" t="s">
        <v>26</v>
      </c>
      <c r="L951" s="21" t="s">
        <v>144</v>
      </c>
      <c r="M951" s="21" t="s">
        <v>24</v>
      </c>
      <c r="N951" s="29">
        <v>10</v>
      </c>
      <c r="O951" s="21" t="s">
        <v>40</v>
      </c>
      <c r="P951" s="21" t="s">
        <v>42</v>
      </c>
      <c r="Q951" s="21" t="s">
        <v>42</v>
      </c>
      <c r="R951" s="21" t="s">
        <v>244</v>
      </c>
    </row>
    <row r="952" spans="1:19" ht="14.4" hidden="1">
      <c r="A952" s="33">
        <f>IF(C952="","",MAX($A$1:A951)+1)</f>
        <v>913</v>
      </c>
      <c r="B952" s="32" t="s">
        <v>141</v>
      </c>
      <c r="C952" s="23">
        <v>46089</v>
      </c>
      <c r="D952" s="28" t="str">
        <f>_xlfn.XLOOKUP(Table134526_79101120212223242526[[#This Row],[Name Surname]],Manpower!$C$4:$C$1048576,Manpower!$B$4:$B$1048576,"")</f>
        <v>Encogroup</v>
      </c>
      <c r="E952" s="21" t="s">
        <v>203</v>
      </c>
      <c r="F952" s="12">
        <f>_xlfn.XLOOKUP(Table134526_79101120212223242526[[#This Row],[Name Surname]],Manpower!C:C,Manpower!D:D,)</f>
        <v>140683371</v>
      </c>
      <c r="G952" s="28" t="str">
        <f>_xlfn.XLOOKUP(Table134526_79101120212223242526[[#This Row],[Name Surname]],Manpower!$C$4:$C$1048576,Manpower!$F$4:$F$1048576,"")</f>
        <v>Rigger</v>
      </c>
      <c r="H952" s="28" t="str">
        <f>_xlfn.XLOOKUP(Table134526_79101120212223242526[[#This Row],[Name Surname]],Manpower!$C$4:$C$1048576,Manpower!$H$4:$H$1048576,"")</f>
        <v>Manpower</v>
      </c>
      <c r="I952" s="24" t="str">
        <f>_xlfn.XLOOKUP(Table134526_79101120212223242526[[#This Row],[Name Surname]],Manpower!$C$4:$C$1048576,Manpower!$H$4:$H$1048576,"")</f>
        <v>Manpower</v>
      </c>
      <c r="J952" s="21" t="s">
        <v>143</v>
      </c>
      <c r="K952" s="21" t="s">
        <v>26</v>
      </c>
      <c r="L952" s="21" t="s">
        <v>144</v>
      </c>
      <c r="M952" s="21" t="s">
        <v>24</v>
      </c>
      <c r="N952" s="29">
        <v>10</v>
      </c>
      <c r="O952" s="21" t="s">
        <v>40</v>
      </c>
      <c r="P952" s="21" t="s">
        <v>42</v>
      </c>
      <c r="Q952" s="21" t="s">
        <v>42</v>
      </c>
      <c r="R952" s="21" t="s">
        <v>243</v>
      </c>
    </row>
    <row r="953" spans="1:19" ht="14.4" hidden="1">
      <c r="A953" s="33">
        <f>IF(C953="","",MAX($A$1:A952)+1)</f>
        <v>914</v>
      </c>
      <c r="B953" s="32" t="s">
        <v>141</v>
      </c>
      <c r="C953" s="23">
        <v>46089</v>
      </c>
      <c r="D953" s="28" t="str">
        <f>_xlfn.XLOOKUP(Table134526_79101120212223242526[[#This Row],[Name Surname]],Manpower!$C$4:$C$1048576,Manpower!$B$4:$B$1048576,"")</f>
        <v>Encogroup</v>
      </c>
      <c r="E953" s="21" t="s">
        <v>206</v>
      </c>
      <c r="F953" s="12">
        <f>_xlfn.XLOOKUP(Table134526_79101120212223242526[[#This Row],[Name Surname]],Manpower!C:C,Manpower!D:D,)</f>
        <v>140844848</v>
      </c>
      <c r="G953" s="28" t="str">
        <f>_xlfn.XLOOKUP(Table134526_79101120212223242526[[#This Row],[Name Surname]],Manpower!$C$4:$C$1048576,Manpower!$F$4:$F$1048576,"")</f>
        <v>Assistant/Helper</v>
      </c>
      <c r="H953" s="28" t="str">
        <f>_xlfn.XLOOKUP(Table134526_79101120212223242526[[#This Row],[Name Surname]],Manpower!$C$4:$C$1048576,Manpower!$H$4:$H$1048576,"")</f>
        <v>Manpower</v>
      </c>
      <c r="I953" s="24" t="str">
        <f>_xlfn.XLOOKUP(Table134526_79101120212223242526[[#This Row],[Name Surname]],Manpower!$C$4:$C$1048576,Manpower!$H$4:$H$1048576,"")</f>
        <v>Manpower</v>
      </c>
      <c r="J953" s="21" t="s">
        <v>143</v>
      </c>
      <c r="K953" s="21" t="s">
        <v>26</v>
      </c>
      <c r="L953" s="21" t="s">
        <v>144</v>
      </c>
      <c r="M953" s="21" t="s">
        <v>24</v>
      </c>
      <c r="N953" s="29">
        <v>10</v>
      </c>
      <c r="O953" s="21" t="s">
        <v>40</v>
      </c>
      <c r="P953" s="21" t="s">
        <v>42</v>
      </c>
      <c r="Q953" s="21" t="s">
        <v>42</v>
      </c>
      <c r="R953" s="21" t="s">
        <v>243</v>
      </c>
    </row>
    <row r="954" spans="1:19" ht="14.4" hidden="1">
      <c r="A954" s="33">
        <f>IF(C954="","",MAX($A$1:A953)+1)</f>
        <v>915</v>
      </c>
      <c r="B954" s="32" t="s">
        <v>141</v>
      </c>
      <c r="C954" s="23">
        <v>46089</v>
      </c>
      <c r="D954" s="28" t="str">
        <f>_xlfn.XLOOKUP(Table134526_79101120212223242526[[#This Row],[Name Surname]],Manpower!$C$4:$C$1048576,Manpower!$B$4:$B$1048576,"")</f>
        <v>Encogroup</v>
      </c>
      <c r="E954" s="21" t="s">
        <v>207</v>
      </c>
      <c r="F954" s="12">
        <f>_xlfn.XLOOKUP(Table134526_79101120212223242526[[#This Row],[Name Surname]],Manpower!C:C,Manpower!D:D,)</f>
        <v>141359216</v>
      </c>
      <c r="G954" s="28" t="str">
        <f>_xlfn.XLOOKUP(Table134526_79101120212223242526[[#This Row],[Name Surname]],Manpower!$C$4:$C$1048576,Manpower!$F$4:$F$1048576,"")</f>
        <v>Electrician</v>
      </c>
      <c r="H954" s="28" t="str">
        <f>_xlfn.XLOOKUP(Table134526_79101120212223242526[[#This Row],[Name Surname]],Manpower!$C$4:$C$1048576,Manpower!$H$4:$H$1048576,"")</f>
        <v>Manpower</v>
      </c>
      <c r="I954" s="24" t="str">
        <f>_xlfn.XLOOKUP(Table134526_79101120212223242526[[#This Row],[Name Surname]],Manpower!$C$4:$C$1048576,Manpower!$H$4:$H$1048576,"")</f>
        <v>Manpower</v>
      </c>
      <c r="J954" s="21" t="s">
        <v>158</v>
      </c>
      <c r="K954" s="21" t="s">
        <v>26</v>
      </c>
      <c r="L954" s="21" t="s">
        <v>26</v>
      </c>
      <c r="M954" s="21" t="s">
        <v>24</v>
      </c>
      <c r="N954" s="29">
        <v>10</v>
      </c>
      <c r="O954" s="21" t="s">
        <v>159</v>
      </c>
      <c r="P954" s="21" t="s">
        <v>160</v>
      </c>
      <c r="Q954" s="21" t="s">
        <v>160</v>
      </c>
      <c r="R954" s="21" t="s">
        <v>161</v>
      </c>
    </row>
    <row r="955" spans="1:19" ht="14.4" hidden="1">
      <c r="A955" s="33">
        <f>IF(C955="","",MAX($A$1:A954)+1)</f>
        <v>916</v>
      </c>
      <c r="B955" s="32" t="s">
        <v>141</v>
      </c>
      <c r="C955" s="23">
        <v>46089</v>
      </c>
      <c r="D955" s="28" t="str">
        <f>_xlfn.XLOOKUP(Table134526_79101120212223242526[[#This Row],[Name Surname]],Manpower!$C$4:$C$1048576,Manpower!$B$4:$B$1048576,"")</f>
        <v>Encogroup</v>
      </c>
      <c r="E955" s="21" t="s">
        <v>72</v>
      </c>
      <c r="F955" s="12">
        <f>_xlfn.XLOOKUP(Table134526_79101120212223242526[[#This Row],[Name Surname]],Manpower!C:C,Manpower!D:D,)</f>
        <v>140764706</v>
      </c>
      <c r="G955" s="28" t="str">
        <f>_xlfn.XLOOKUP(Table134526_79101120212223242526[[#This Row],[Name Surname]],Manpower!$C$4:$C$1048576,Manpower!$F$4:$F$1048576,"")</f>
        <v>Rigger</v>
      </c>
      <c r="H955" s="28" t="str">
        <f>_xlfn.XLOOKUP(Table134526_79101120212223242526[[#This Row],[Name Surname]],Manpower!$C$4:$C$1048576,Manpower!$H$4:$H$1048576,"")</f>
        <v>Manpower</v>
      </c>
      <c r="I955" s="24" t="str">
        <f>_xlfn.XLOOKUP(Table134526_79101120212223242526[[#This Row],[Name Surname]],Manpower!$C$4:$C$1048576,Manpower!$H$4:$H$1048576,"")</f>
        <v>Manpower</v>
      </c>
      <c r="J955" s="21" t="s">
        <v>143</v>
      </c>
      <c r="K955" s="21" t="s">
        <v>26</v>
      </c>
      <c r="L955" s="21" t="s">
        <v>144</v>
      </c>
      <c r="M955" s="21" t="s">
        <v>24</v>
      </c>
      <c r="N955" s="29">
        <v>10</v>
      </c>
      <c r="O955" s="21" t="s">
        <v>40</v>
      </c>
      <c r="P955" s="21" t="s">
        <v>42</v>
      </c>
      <c r="Q955" s="21" t="s">
        <v>42</v>
      </c>
      <c r="R955" s="21" t="s">
        <v>243</v>
      </c>
    </row>
    <row r="956" spans="1:19" ht="14.4" hidden="1">
      <c r="A956" s="33">
        <f>IF(C956="","",MAX($A$1:A955)+1)</f>
        <v>917</v>
      </c>
      <c r="B956" s="32" t="s">
        <v>141</v>
      </c>
      <c r="C956" s="23">
        <v>46089</v>
      </c>
      <c r="D956" s="28" t="str">
        <f>_xlfn.XLOOKUP(Table134526_79101120212223242526[[#This Row],[Name Surname]],Manpower!$C$4:$C$1048576,Manpower!$B$4:$B$1048576,"")</f>
        <v>Encogroup</v>
      </c>
      <c r="E956" s="21" t="s">
        <v>208</v>
      </c>
      <c r="F956" s="12">
        <f>_xlfn.XLOOKUP(Table134526_79101120212223242526[[#This Row],[Name Surname]],Manpower!C:C,Manpower!D:D,)</f>
        <v>140683399</v>
      </c>
      <c r="G956" s="28" t="str">
        <f>_xlfn.XLOOKUP(Table134526_79101120212223242526[[#This Row],[Name Surname]],Manpower!$C$4:$C$1048576,Manpower!$F$4:$F$1048576,"")</f>
        <v>Rigger</v>
      </c>
      <c r="H956" s="28" t="str">
        <f>_xlfn.XLOOKUP(Table134526_79101120212223242526[[#This Row],[Name Surname]],Manpower!$C$4:$C$1048576,Manpower!$H$4:$H$1048576,"")</f>
        <v>Manpower</v>
      </c>
      <c r="I956" s="24" t="str">
        <f>_xlfn.XLOOKUP(Table134526_79101120212223242526[[#This Row],[Name Surname]],Manpower!$C$4:$C$1048576,Manpower!$H$4:$H$1048576,"")</f>
        <v>Manpower</v>
      </c>
      <c r="J956" s="21" t="s">
        <v>143</v>
      </c>
      <c r="K956" s="21" t="s">
        <v>26</v>
      </c>
      <c r="L956" s="21" t="s">
        <v>144</v>
      </c>
      <c r="M956" s="21" t="s">
        <v>24</v>
      </c>
      <c r="N956" s="29">
        <v>10</v>
      </c>
      <c r="O956" s="21" t="s">
        <v>40</v>
      </c>
      <c r="P956" s="21" t="s">
        <v>42</v>
      </c>
      <c r="Q956" s="21" t="s">
        <v>42</v>
      </c>
      <c r="R956" s="21" t="s">
        <v>244</v>
      </c>
    </row>
    <row r="957" spans="1:19" ht="14.4">
      <c r="A957" s="33">
        <f>IF(C957="","",MAX($A$1:A956)+1)</f>
        <v>918</v>
      </c>
      <c r="B957" s="32" t="s">
        <v>141</v>
      </c>
      <c r="C957" s="23">
        <v>46089</v>
      </c>
      <c r="D957" s="28" t="str">
        <f>_xlfn.XLOOKUP(Table134526_79101120212223242526[[#This Row],[Name Surname]],Manpower!$C$4:$C$1048576,Manpower!$B$4:$B$1048576,"")</f>
        <v>Bright Light</v>
      </c>
      <c r="E957" s="21" t="s">
        <v>210</v>
      </c>
      <c r="F957" s="12" t="e">
        <f>_xlfn.XLOOKUP(Table134526_79101120212223242526[[#This Row],[Name Surname]],Manpower!C:C,Manpower!D:D,)</f>
        <v>#N/A</v>
      </c>
      <c r="G957" s="28" t="str">
        <f>_xlfn.XLOOKUP(Table134526_79101120212223242526[[#This Row],[Name Surname]],Manpower!$C$4:$C$1048576,Manpower!$F$4:$F$1048576,"")</f>
        <v>Trailer</v>
      </c>
      <c r="H957" s="28" t="str">
        <f>_xlfn.XLOOKUP(Table134526_79101120212223242526[[#This Row],[Name Surname]],Manpower!$C$4:$C$1048576,Manpower!$H$4:$H$1048576,"")</f>
        <v>Equipment</v>
      </c>
      <c r="I957" s="24" t="str">
        <f>_xlfn.XLOOKUP(Table134526_79101120212223242526[[#This Row],[Name Surname]],Manpower!$C$4:$C$1048576,Manpower!$H$4:$H$1048576,"")</f>
        <v>Equipment</v>
      </c>
      <c r="J957" s="21" t="s">
        <v>143</v>
      </c>
      <c r="K957" s="21" t="s">
        <v>26</v>
      </c>
      <c r="L957" s="21" t="s">
        <v>144</v>
      </c>
      <c r="M957" s="21" t="s">
        <v>24</v>
      </c>
      <c r="N957" s="29">
        <v>8</v>
      </c>
      <c r="O957" s="21" t="s">
        <v>40</v>
      </c>
      <c r="P957" s="21" t="s">
        <v>42</v>
      </c>
      <c r="Q957" s="21" t="s">
        <v>42</v>
      </c>
      <c r="R957" s="21" t="s">
        <v>26</v>
      </c>
    </row>
    <row r="958" spans="1:19" ht="14.4" hidden="1">
      <c r="A958" s="33">
        <f>IF(C958="","",MAX($A$1:A957)+1)</f>
        <v>919</v>
      </c>
      <c r="B958" s="32" t="s">
        <v>141</v>
      </c>
      <c r="C958" s="23">
        <v>46089</v>
      </c>
      <c r="D958" s="28" t="str">
        <f>_xlfn.XLOOKUP(Table134526_79101120212223242526[[#This Row],[Name Surname]],Manpower!$C$4:$C$1048576,Manpower!$B$4:$B$1048576,"")</f>
        <v>Encogroup</v>
      </c>
      <c r="E958" s="21" t="s">
        <v>211</v>
      </c>
      <c r="F958" s="12">
        <f>_xlfn.XLOOKUP(Table134526_79101120212223242526[[#This Row],[Name Surname]],Manpower!C:C,Manpower!D:D,)</f>
        <v>140477664</v>
      </c>
      <c r="G958" s="28" t="str">
        <f>_xlfn.XLOOKUP(Table134526_79101120212223242526[[#This Row],[Name Surname]],Manpower!$C$4:$C$1048576,Manpower!$F$4:$F$1048576,"")</f>
        <v>Junior HSE Officer</v>
      </c>
      <c r="H958" s="28" t="str">
        <f>_xlfn.XLOOKUP(Table134526_79101120212223242526[[#This Row],[Name Surname]],Manpower!$C$4:$C$1048576,Manpower!$H$4:$H$1048576,"")</f>
        <v>Manpower</v>
      </c>
      <c r="I958" s="24" t="str">
        <f>_xlfn.XLOOKUP(Table134526_79101120212223242526[[#This Row],[Name Surname]],Manpower!$C$4:$C$1048576,Manpower!$H$4:$H$1048576,"")</f>
        <v>Manpower</v>
      </c>
      <c r="J958" s="21" t="s">
        <v>143</v>
      </c>
      <c r="K958" s="21" t="s">
        <v>26</v>
      </c>
      <c r="L958" s="21" t="s">
        <v>144</v>
      </c>
      <c r="M958" s="21" t="s">
        <v>24</v>
      </c>
      <c r="N958" s="29">
        <v>10</v>
      </c>
      <c r="O958" s="21" t="s">
        <v>40</v>
      </c>
      <c r="P958" s="21" t="s">
        <v>42</v>
      </c>
      <c r="Q958" s="21" t="s">
        <v>42</v>
      </c>
      <c r="R958" s="21" t="s">
        <v>243</v>
      </c>
    </row>
    <row r="959" spans="1:19" ht="14.4" hidden="1">
      <c r="A959" s="33">
        <f>IF(C959="","",MAX($A$1:A958)+1)</f>
        <v>920</v>
      </c>
      <c r="B959" s="32" t="s">
        <v>141</v>
      </c>
      <c r="C959" s="23">
        <v>46089</v>
      </c>
      <c r="D959" s="28" t="str">
        <f>_xlfn.XLOOKUP(Table134526_79101120212223242526[[#This Row],[Name Surname]],Manpower!$C$4:$C$1048576,Manpower!$B$4:$B$1048576,"")</f>
        <v>AL Omar International TRAD AND CONT</v>
      </c>
      <c r="E959" s="21" t="s">
        <v>212</v>
      </c>
      <c r="F959" s="12">
        <f>_xlfn.XLOOKUP(Table134526_79101120212223242526[[#This Row],[Name Surname]],Manpower!C:C,Manpower!D:D,)</f>
        <v>116676257</v>
      </c>
      <c r="G959" s="28" t="str">
        <f>_xlfn.XLOOKUP(Table134526_79101120212223242526[[#This Row],[Name Surname]],Manpower!$C$4:$C$1048576,Manpower!$F$4:$F$1048576,"")</f>
        <v>Scaffolder</v>
      </c>
      <c r="H959" s="28" t="str">
        <f>_xlfn.XLOOKUP(Table134526_79101120212223242526[[#This Row],[Name Surname]],Manpower!$C$4:$C$1048576,Manpower!$H$4:$H$1048576,"")</f>
        <v>Sub Contactor</v>
      </c>
      <c r="I959" s="24" t="str">
        <f>_xlfn.XLOOKUP(Table134526_79101120212223242526[[#This Row],[Name Surname]],Manpower!$C$4:$C$1048576,Manpower!$H$4:$H$1048576,"")</f>
        <v>Sub Contactor</v>
      </c>
      <c r="J959" s="21" t="s">
        <v>143</v>
      </c>
      <c r="K959" s="21" t="s">
        <v>26</v>
      </c>
      <c r="L959" s="21" t="s">
        <v>170</v>
      </c>
      <c r="M959" s="21" t="s">
        <v>24</v>
      </c>
      <c r="N959" s="29">
        <v>8</v>
      </c>
      <c r="O959" s="21" t="s">
        <v>40</v>
      </c>
      <c r="P959" s="21" t="s">
        <v>128</v>
      </c>
      <c r="Q959" s="21" t="s">
        <v>128</v>
      </c>
      <c r="R959" s="21" t="s">
        <v>171</v>
      </c>
    </row>
    <row r="960" spans="1:19" ht="14.4" hidden="1">
      <c r="A960" s="33">
        <f>IF(C960="","",MAX($A$1:A959)+1)</f>
        <v>921</v>
      </c>
      <c r="B960" s="32" t="s">
        <v>141</v>
      </c>
      <c r="C960" s="23">
        <v>46089</v>
      </c>
      <c r="D960" s="28" t="str">
        <f>_xlfn.XLOOKUP(Table134526_79101120212223242526[[#This Row],[Name Surname]],Manpower!$C$4:$C$1048576,Manpower!$B$4:$B$1048576,"")</f>
        <v>Encogroup</v>
      </c>
      <c r="E960" s="21" t="s">
        <v>213</v>
      </c>
      <c r="F960" s="12">
        <f>_xlfn.XLOOKUP(Table134526_79101120212223242526[[#This Row],[Name Surname]],Manpower!C:C,Manpower!D:D,)</f>
        <v>140846698</v>
      </c>
      <c r="G960" s="28" t="str">
        <f>_xlfn.XLOOKUP(Table134526_79101120212223242526[[#This Row],[Name Surname]],Manpower!$C$4:$C$1048576,Manpower!$F$4:$F$1048576,"")</f>
        <v>Assistant/Helper</v>
      </c>
      <c r="H960" s="28" t="str">
        <f>_xlfn.XLOOKUP(Table134526_79101120212223242526[[#This Row],[Name Surname]],Manpower!$C$4:$C$1048576,Manpower!$H$4:$H$1048576,"")</f>
        <v>Manpower</v>
      </c>
      <c r="I960" s="24" t="str">
        <f>_xlfn.XLOOKUP(Table134526_79101120212223242526[[#This Row],[Name Surname]],Manpower!$C$4:$C$1048576,Manpower!$H$4:$H$1048576,"")</f>
        <v>Manpower</v>
      </c>
      <c r="J960" s="21" t="s">
        <v>143</v>
      </c>
      <c r="K960" s="21" t="s">
        <v>26</v>
      </c>
      <c r="L960" s="21" t="s">
        <v>144</v>
      </c>
      <c r="M960" s="21" t="s">
        <v>24</v>
      </c>
      <c r="N960" s="29">
        <v>10</v>
      </c>
      <c r="O960" s="21" t="s">
        <v>40</v>
      </c>
      <c r="P960" s="21" t="s">
        <v>42</v>
      </c>
      <c r="Q960" s="21" t="s">
        <v>42</v>
      </c>
      <c r="R960" s="21" t="s">
        <v>244</v>
      </c>
    </row>
    <row r="961" spans="1:19" ht="14.4" hidden="1">
      <c r="A961" s="33">
        <f>IF(C961="","",MAX($A$1:A960)+1)</f>
        <v>922</v>
      </c>
      <c r="B961" s="32" t="s">
        <v>141</v>
      </c>
      <c r="C961" s="23">
        <v>46089</v>
      </c>
      <c r="D961" s="28" t="str">
        <f>_xlfn.XLOOKUP(Table134526_79101120212223242526[[#This Row],[Name Surname]],Manpower!$C$4:$C$1048576,Manpower!$B$4:$B$1048576,"")</f>
        <v>SARENS NASS</v>
      </c>
      <c r="E961" s="21" t="s">
        <v>214</v>
      </c>
      <c r="F961" s="12">
        <f>_xlfn.XLOOKUP(Table134526_79101120212223242526[[#This Row],[Name Surname]],Manpower!C:C,Manpower!D:D,)</f>
        <v>109957631</v>
      </c>
      <c r="G961" s="28" t="str">
        <f>_xlfn.XLOOKUP(Table134526_79101120212223242526[[#This Row],[Name Surname]],Manpower!$C$4:$C$1048576,Manpower!$F$4:$F$1048576,"")</f>
        <v>Crane Operator-130T Liebherr Crawler</v>
      </c>
      <c r="H961" s="28" t="s">
        <v>39</v>
      </c>
      <c r="I961" s="24" t="s">
        <v>39</v>
      </c>
      <c r="J961" s="21" t="s">
        <v>143</v>
      </c>
      <c r="K961" s="21" t="s">
        <v>26</v>
      </c>
      <c r="L961" s="21" t="s">
        <v>144</v>
      </c>
      <c r="M961" s="21" t="s">
        <v>55</v>
      </c>
      <c r="N961" s="29">
        <v>10</v>
      </c>
      <c r="R961" s="21" t="s">
        <v>240</v>
      </c>
    </row>
    <row r="962" spans="1:19" ht="14.4" hidden="1">
      <c r="A962" s="33">
        <f>IF(C962="","",MAX($A$1:A961)+1)</f>
        <v>923</v>
      </c>
      <c r="B962" s="32" t="s">
        <v>141</v>
      </c>
      <c r="C962" s="23">
        <v>46089</v>
      </c>
      <c r="D962" s="28" t="str">
        <f>_xlfn.XLOOKUP(Table134526_79101120212223242526[[#This Row],[Name Surname]],Manpower!$C$4:$C$1048576,Manpower!$B$4:$B$1048576,"")</f>
        <v>Encogroup</v>
      </c>
      <c r="E962" s="21" t="s">
        <v>217</v>
      </c>
      <c r="F962" s="12">
        <f>_xlfn.XLOOKUP(Table134526_79101120212223242526[[#This Row],[Name Surname]],Manpower!C:C,Manpower!D:D,)</f>
        <v>140742177</v>
      </c>
      <c r="G962" s="28" t="str">
        <f>_xlfn.XLOOKUP(Table134526_79101120212223242526[[#This Row],[Name Surname]],Manpower!$C$4:$C$1048576,Manpower!$F$4:$F$1048576,"")</f>
        <v>Grinder</v>
      </c>
      <c r="H962" s="28" t="str">
        <f>_xlfn.XLOOKUP(Table134526_79101120212223242526[[#This Row],[Name Surname]],Manpower!$C$4:$C$1048576,Manpower!$H$4:$H$1048576,"")</f>
        <v>Manpower</v>
      </c>
      <c r="I962" s="24" t="str">
        <f>_xlfn.XLOOKUP(Table134526_79101120212223242526[[#This Row],[Name Surname]],Manpower!$C$4:$C$1048576,Manpower!$H$4:$H$1048576,"")</f>
        <v>Manpower</v>
      </c>
      <c r="J962" s="21" t="s">
        <v>143</v>
      </c>
      <c r="K962" s="21" t="s">
        <v>26</v>
      </c>
      <c r="L962" s="21" t="s">
        <v>144</v>
      </c>
      <c r="M962" s="21" t="s">
        <v>24</v>
      </c>
      <c r="N962" s="29">
        <v>10</v>
      </c>
      <c r="O962" s="21" t="s">
        <v>40</v>
      </c>
      <c r="P962" s="21" t="s">
        <v>42</v>
      </c>
      <c r="Q962" s="21" t="s">
        <v>42</v>
      </c>
      <c r="R962" s="21" t="s">
        <v>243</v>
      </c>
    </row>
    <row r="963" spans="1:19" ht="14.4" hidden="1">
      <c r="A963" s="33">
        <f>IF(C963="","",MAX($A$1:A962)+1)</f>
        <v>924</v>
      </c>
      <c r="B963" s="32" t="s">
        <v>141</v>
      </c>
      <c r="C963" s="23">
        <v>46089</v>
      </c>
      <c r="D963" s="28" t="str">
        <f>_xlfn.XLOOKUP(Table134526_79101120212223242526[[#This Row],[Name Surname]],Manpower!$C$4:$C$1048576,Manpower!$B$4:$B$1048576,"")</f>
        <v>Encogroup</v>
      </c>
      <c r="E963" s="21" t="s">
        <v>188</v>
      </c>
      <c r="F963" s="12">
        <f>_xlfn.XLOOKUP(Table134526_79101120212223242526[[#This Row],[Name Surname]],Manpower!C:C,Manpower!D:D,)</f>
        <v>140696975</v>
      </c>
      <c r="G963" s="28" t="str">
        <f>_xlfn.XLOOKUP(Table134526_79101120212223242526[[#This Row],[Name Surname]],Manpower!$C$4:$C$1048576,Manpower!$F$4:$F$1048576,"")</f>
        <v>Assistant/Helper</v>
      </c>
      <c r="H963" s="28" t="str">
        <f>_xlfn.XLOOKUP(Table134526_79101120212223242526[[#This Row],[Name Surname]],Manpower!$C$4:$C$1048576,Manpower!$H$4:$H$1048576,"")</f>
        <v>Manpower</v>
      </c>
      <c r="I963" s="24" t="str">
        <f>_xlfn.XLOOKUP(Table134526_79101120212223242526[[#This Row],[Name Surname]],Manpower!$C$4:$C$1048576,Manpower!$H$4:$H$1048576,"")</f>
        <v>Manpower</v>
      </c>
      <c r="J963" s="21" t="s">
        <v>158</v>
      </c>
      <c r="K963" s="21" t="s">
        <v>26</v>
      </c>
      <c r="L963" s="21" t="s">
        <v>26</v>
      </c>
      <c r="M963" s="21" t="s">
        <v>24</v>
      </c>
      <c r="N963" s="29">
        <v>10</v>
      </c>
      <c r="O963" s="21" t="s">
        <v>159</v>
      </c>
      <c r="P963" s="21" t="s">
        <v>160</v>
      </c>
      <c r="Q963" s="21" t="s">
        <v>160</v>
      </c>
      <c r="R963" s="21" t="s">
        <v>161</v>
      </c>
    </row>
    <row r="964" spans="1:19" ht="14.4" hidden="1">
      <c r="A964" s="33">
        <f>IF(C964="","",MAX($A$1:A963)+1)</f>
        <v>925</v>
      </c>
      <c r="B964" s="32" t="s">
        <v>141</v>
      </c>
      <c r="C964" s="23">
        <v>46089</v>
      </c>
      <c r="D964" s="28" t="str">
        <f>_xlfn.XLOOKUP(Table134526_79101120212223242526[[#This Row],[Name Surname]],Manpower!$C$4:$C$1048576,Manpower!$B$4:$B$1048576,"")</f>
        <v>Encogroup</v>
      </c>
      <c r="E964" s="21" t="s">
        <v>204</v>
      </c>
      <c r="F964" s="12">
        <f>_xlfn.XLOOKUP(Table134526_79101120212223242526[[#This Row],[Name Surname]],Manpower!C:C,Manpower!D:D,)</f>
        <v>140844572</v>
      </c>
      <c r="G964" s="28" t="str">
        <f>_xlfn.XLOOKUP(Table134526_79101120212223242526[[#This Row],[Name Surname]],Manpower!$C$4:$C$1048576,Manpower!$F$4:$F$1048576,"")</f>
        <v>Assistant/Helper</v>
      </c>
      <c r="H964" s="28" t="str">
        <f>_xlfn.XLOOKUP(Table134526_79101120212223242526[[#This Row],[Name Surname]],Manpower!$C$4:$C$1048576,Manpower!$H$4:$H$1048576,"")</f>
        <v>Manpower</v>
      </c>
      <c r="I964" s="24" t="str">
        <f>_xlfn.XLOOKUP(Table134526_79101120212223242526[[#This Row],[Name Surname]],Manpower!$C$4:$C$1048576,Manpower!$H$4:$H$1048576,"")</f>
        <v>Manpower</v>
      </c>
      <c r="J964" s="21" t="s">
        <v>158</v>
      </c>
      <c r="K964" s="21" t="s">
        <v>26</v>
      </c>
      <c r="L964" s="21" t="s">
        <v>26</v>
      </c>
      <c r="M964" s="21" t="s">
        <v>24</v>
      </c>
      <c r="N964" s="29">
        <v>10</v>
      </c>
      <c r="O964" s="21" t="s">
        <v>159</v>
      </c>
      <c r="P964" s="21" t="s">
        <v>160</v>
      </c>
      <c r="Q964" s="21" t="s">
        <v>160</v>
      </c>
      <c r="R964" s="21" t="s">
        <v>161</v>
      </c>
    </row>
    <row r="965" spans="1:19" ht="14.4" hidden="1">
      <c r="A965" s="33">
        <f>IF(C965="","",MAX($A$1:A964)+1)</f>
        <v>926</v>
      </c>
      <c r="B965" s="32" t="s">
        <v>141</v>
      </c>
      <c r="C965" s="23">
        <v>46089</v>
      </c>
      <c r="D965" s="28" t="str">
        <f>_xlfn.XLOOKUP(Table134526_79101120212223242526[[#This Row],[Name Surname]],Manpower!$C$4:$C$1048576,Manpower!$B$4:$B$1048576,"")</f>
        <v>Encogroup</v>
      </c>
      <c r="E965" s="21" t="s">
        <v>218</v>
      </c>
      <c r="F965" s="12">
        <f>_xlfn.XLOOKUP(Table134526_79101120212223242526[[#This Row],[Name Surname]],Manpower!C:C,Manpower!D:D,)</f>
        <v>116853914</v>
      </c>
      <c r="G965" s="28" t="str">
        <f>_xlfn.XLOOKUP(Table134526_79101120212223242526[[#This Row],[Name Surname]],Manpower!$C$4:$C$1048576,Manpower!$F$4:$F$1048576,"")</f>
        <v>Electrical Supervisor</v>
      </c>
      <c r="H965" s="28" t="str">
        <f>_xlfn.XLOOKUP(Table134526_79101120212223242526[[#This Row],[Name Surname]],Manpower!$C$4:$C$1048576,Manpower!$H$4:$H$1048576,"")</f>
        <v>Manpower</v>
      </c>
      <c r="I965" s="24" t="str">
        <f>_xlfn.XLOOKUP(Table134526_79101120212223242526[[#This Row],[Name Surname]],Manpower!$C$4:$C$1048576,Manpower!$H$4:$H$1048576,"")</f>
        <v>Manpower</v>
      </c>
      <c r="J965" s="21" t="s">
        <v>158</v>
      </c>
      <c r="K965" s="21" t="s">
        <v>26</v>
      </c>
      <c r="L965" s="21" t="s">
        <v>26</v>
      </c>
      <c r="M965" s="21" t="s">
        <v>24</v>
      </c>
      <c r="N965" s="29">
        <v>10</v>
      </c>
      <c r="O965" s="21" t="s">
        <v>159</v>
      </c>
      <c r="P965" s="21" t="s">
        <v>160</v>
      </c>
      <c r="Q965" s="21" t="s">
        <v>160</v>
      </c>
      <c r="R965" s="21" t="s">
        <v>161</v>
      </c>
    </row>
    <row r="966" spans="1:19" ht="14.4">
      <c r="A966" s="33">
        <f>IF(C966="","",MAX($A$1:A965)+1)</f>
        <v>927</v>
      </c>
      <c r="B966" s="32" t="s">
        <v>141</v>
      </c>
      <c r="C966" s="23">
        <v>46089</v>
      </c>
      <c r="D966" s="28" t="str">
        <f>_xlfn.XLOOKUP(Table134526_79101120212223242526[[#This Row],[Name Surname]],Manpower!$C$4:$C$1048576,Manpower!$B$4:$B$1048576,"")</f>
        <v>Encogroup</v>
      </c>
      <c r="E966" s="23" t="s">
        <v>219</v>
      </c>
      <c r="F966" s="12" t="e">
        <f>_xlfn.XLOOKUP(Table134526_79101120212223242526[[#This Row],[Name Surname]],Manpower!C:C,Manpower!D:D,)</f>
        <v>#N/A</v>
      </c>
      <c r="G966" s="28" t="str">
        <f>_xlfn.XLOOKUP(Table134526_79101120212223242526[[#This Row],[Name Surname]],Manpower!$C$4:$C$1048576,Manpower!$F$4:$F$1048576,"")</f>
        <v>TOWER LIGHT</v>
      </c>
      <c r="H966" s="28" t="str">
        <f>_xlfn.XLOOKUP(Table134526_79101120212223242526[[#This Row],[Name Surname]],Manpower!$C$4:$C$1048576,Manpower!$H$4:$H$1048576,"")</f>
        <v>Equipment</v>
      </c>
      <c r="I966" s="24" t="str">
        <f>_xlfn.XLOOKUP(Table134526_79101120212223242526[[#This Row],[Name Surname]],Manpower!$C$4:$C$1048576,Manpower!$H$4:$H$1048576,"")</f>
        <v>Equipment</v>
      </c>
      <c r="J966" s="21" t="s">
        <v>143</v>
      </c>
      <c r="K966" s="21" t="s">
        <v>26</v>
      </c>
      <c r="L966" s="21" t="s">
        <v>144</v>
      </c>
      <c r="M966" s="21" t="s">
        <v>55</v>
      </c>
      <c r="N966" s="29">
        <v>10</v>
      </c>
      <c r="R966" s="21" t="s">
        <v>56</v>
      </c>
    </row>
    <row r="967" spans="1:19" ht="14.4">
      <c r="A967" s="33">
        <f>IF(C967="","",MAX($A$1:A966)+1)</f>
        <v>928</v>
      </c>
      <c r="B967" s="32" t="s">
        <v>141</v>
      </c>
      <c r="C967" s="23">
        <v>46089</v>
      </c>
      <c r="D967" s="28" t="str">
        <f>_xlfn.XLOOKUP(Table134526_79101120212223242526[[#This Row],[Name Surname]],Manpower!$C$4:$C$1048576,Manpower!$B$4:$B$1048576,"")</f>
        <v>Encogroup</v>
      </c>
      <c r="E967" s="23" t="s">
        <v>220</v>
      </c>
      <c r="F967" s="12" t="e">
        <f>_xlfn.XLOOKUP(Table134526_79101120212223242526[[#This Row],[Name Surname]],Manpower!C:C,Manpower!D:D,)</f>
        <v>#N/A</v>
      </c>
      <c r="G967" s="28" t="str">
        <f>_xlfn.XLOOKUP(Table134526_79101120212223242526[[#This Row],[Name Surname]],Manpower!$C$4:$C$1048576,Manpower!$F$4:$F$1048576,"")</f>
        <v>TOWER LIGHT</v>
      </c>
      <c r="H967" s="28" t="str">
        <f>_xlfn.XLOOKUP(Table134526_79101120212223242526[[#This Row],[Name Surname]],Manpower!$C$4:$C$1048576,Manpower!$H$4:$H$1048576,"")</f>
        <v>Equipment</v>
      </c>
      <c r="I967" s="24" t="str">
        <f>_xlfn.XLOOKUP(Table134526_79101120212223242526[[#This Row],[Name Surname]],Manpower!$C$4:$C$1048576,Manpower!$H$4:$H$1048576,"")</f>
        <v>Equipment</v>
      </c>
      <c r="J967" s="21" t="s">
        <v>143</v>
      </c>
      <c r="K967" s="21" t="s">
        <v>26</v>
      </c>
      <c r="L967" s="21" t="s">
        <v>144</v>
      </c>
      <c r="M967" s="21" t="s">
        <v>55</v>
      </c>
      <c r="N967" s="29">
        <v>10</v>
      </c>
      <c r="R967" s="21" t="s">
        <v>56</v>
      </c>
    </row>
    <row r="968" spans="1:19" ht="14.4" hidden="1">
      <c r="A968" s="33">
        <f>IF(C968="","",MAX($A$1:A967)+1)</f>
        <v>929</v>
      </c>
      <c r="B968" s="32" t="s">
        <v>141</v>
      </c>
      <c r="C968" s="23">
        <v>46089</v>
      </c>
      <c r="D968" s="28" t="str">
        <f>_xlfn.XLOOKUP(Table134526_79101120212223242526[[#This Row],[Name Surname]],Manpower!$C$4:$C$1048576,Manpower!$B$4:$B$1048576,"")</f>
        <v>AL Omar International Tarde&amp;Contracting SPC</v>
      </c>
      <c r="E968" s="21" t="s">
        <v>221</v>
      </c>
      <c r="F968" s="12">
        <f>_xlfn.XLOOKUP(Table134526_79101120212223242526[[#This Row],[Name Surname]],Manpower!C:C,Manpower!D:D,)</f>
        <v>115122635</v>
      </c>
      <c r="G968" s="28" t="str">
        <f>_xlfn.XLOOKUP(Table134526_79101120212223242526[[#This Row],[Name Surname]],Manpower!$C$4:$C$1048576,Manpower!$F$4:$F$1048576,"")</f>
        <v>Scaffolder</v>
      </c>
      <c r="H968" s="28" t="str">
        <f>_xlfn.XLOOKUP(Table134526_79101120212223242526[[#This Row],[Name Surname]],Manpower!$C$4:$C$1048576,Manpower!$H$4:$H$1048576,"")</f>
        <v>Sub Contactor</v>
      </c>
      <c r="I968" s="24" t="str">
        <f>_xlfn.XLOOKUP(Table134526_79101120212223242526[[#This Row],[Name Surname]],Manpower!$C$4:$C$1048576,Manpower!$H$4:$H$1048576,"")</f>
        <v>Sub Contactor</v>
      </c>
      <c r="J968" s="21" t="s">
        <v>143</v>
      </c>
      <c r="K968" s="21" t="s">
        <v>26</v>
      </c>
      <c r="L968" s="21" t="s">
        <v>144</v>
      </c>
      <c r="M968" s="21" t="s">
        <v>24</v>
      </c>
      <c r="N968" s="29">
        <v>10</v>
      </c>
      <c r="O968" s="21" t="s">
        <v>40</v>
      </c>
      <c r="P968" s="21" t="s">
        <v>42</v>
      </c>
      <c r="Q968" s="21" t="s">
        <v>42</v>
      </c>
      <c r="R968" s="21" t="s">
        <v>244</v>
      </c>
    </row>
    <row r="969" spans="1:19" ht="14.4" hidden="1">
      <c r="A969" s="33">
        <f>IF(C969="","",MAX($A$1:A968)+1)</f>
        <v>930</v>
      </c>
      <c r="B969" s="32" t="s">
        <v>141</v>
      </c>
      <c r="C969" s="23">
        <v>46089</v>
      </c>
      <c r="D969" s="28" t="str">
        <f>_xlfn.XLOOKUP(Table134526_79101120212223242526[[#This Row],[Name Surname]],Manpower!$C$4:$C$1048576,Manpower!$B$4:$B$1048576,"")</f>
        <v>Encogroup</v>
      </c>
      <c r="E969" s="21" t="s">
        <v>168</v>
      </c>
      <c r="F969" s="12">
        <f>_xlfn.XLOOKUP(Table134526_79101120212223242526[[#This Row],[Name Surname]],Manpower!C:C,Manpower!D:D,)</f>
        <v>137114773</v>
      </c>
      <c r="G969" s="28" t="str">
        <f>_xlfn.XLOOKUP(Table134526_79101120212223242526[[#This Row],[Name Surname]],Manpower!$C$4:$C$1048576,Manpower!$F$4:$F$1048576,"")</f>
        <v>Rigger</v>
      </c>
      <c r="H969" s="28" t="str">
        <f>_xlfn.XLOOKUP(Table134526_79101120212223242526[[#This Row],[Name Surname]],Manpower!$C$4:$C$1048576,Manpower!$H$4:$H$1048576,"")</f>
        <v>Manpower</v>
      </c>
      <c r="I969" s="24" t="str">
        <f>_xlfn.XLOOKUP(Table134526_79101120212223242526[[#This Row],[Name Surname]],Manpower!$C$4:$C$1048576,Manpower!$H$4:$H$1048576,"")</f>
        <v>Manpower</v>
      </c>
      <c r="J969" s="21" t="s">
        <v>143</v>
      </c>
      <c r="K969" s="21" t="s">
        <v>26</v>
      </c>
      <c r="L969" s="21" t="s">
        <v>144</v>
      </c>
      <c r="M969" s="21" t="s">
        <v>24</v>
      </c>
      <c r="N969" s="29">
        <v>10</v>
      </c>
      <c r="O969" s="21" t="s">
        <v>40</v>
      </c>
      <c r="P969" s="21" t="s">
        <v>42</v>
      </c>
      <c r="Q969" s="21" t="s">
        <v>42</v>
      </c>
      <c r="R969" s="21" t="s">
        <v>244</v>
      </c>
    </row>
    <row r="970" spans="1:19" ht="14.4" hidden="1">
      <c r="A970" s="33">
        <f>IF(C970="","",MAX($A$1:A969)+1)</f>
        <v>931</v>
      </c>
      <c r="B970" s="32" t="s">
        <v>141</v>
      </c>
      <c r="C970" s="23">
        <v>46089</v>
      </c>
      <c r="D970" s="28" t="str">
        <f>_xlfn.XLOOKUP(Table134526_79101120212223242526[[#This Row],[Name Surname]],Manpower!$C$4:$C$1048576,Manpower!$B$4:$B$1048576,"")</f>
        <v>Encogroup</v>
      </c>
      <c r="E970" s="21" t="s">
        <v>222</v>
      </c>
      <c r="F970" s="12">
        <f>_xlfn.XLOOKUP(Table134526_79101120212223242526[[#This Row],[Name Surname]],Manpower!C:C,Manpower!D:D,)</f>
        <v>122082863</v>
      </c>
      <c r="G970" s="28" t="str">
        <f>_xlfn.XLOOKUP(Table134526_79101120212223242526[[#This Row],[Name Surname]],Manpower!$C$4:$C$1048576,Manpower!$F$4:$F$1048576,"")</f>
        <v>Grinder</v>
      </c>
      <c r="H970" s="28" t="str">
        <f>_xlfn.XLOOKUP(Table134526_79101120212223242526[[#This Row],[Name Surname]],Manpower!$C$4:$C$1048576,Manpower!$H$4:$H$1048576,"")</f>
        <v>Manpower</v>
      </c>
      <c r="I970" s="24" t="str">
        <f>_xlfn.XLOOKUP(Table134526_79101120212223242526[[#This Row],[Name Surname]],Manpower!$C$4:$C$1048576,Manpower!$H$4:$H$1048576,"")</f>
        <v>Manpower</v>
      </c>
      <c r="J970" s="21" t="s">
        <v>143</v>
      </c>
      <c r="K970" s="21" t="s">
        <v>26</v>
      </c>
      <c r="L970" s="21" t="s">
        <v>144</v>
      </c>
      <c r="M970" s="21" t="s">
        <v>24</v>
      </c>
      <c r="N970" s="29">
        <v>8</v>
      </c>
      <c r="O970" s="21" t="s">
        <v>40</v>
      </c>
      <c r="P970" s="21" t="s">
        <v>42</v>
      </c>
      <c r="Q970" s="21" t="s">
        <v>42</v>
      </c>
      <c r="R970" s="21" t="s">
        <v>243</v>
      </c>
    </row>
    <row r="971" spans="1:19" ht="14.4" hidden="1">
      <c r="A971" s="33">
        <f>IF(C971="","",MAX($A$1:A970)+1)</f>
        <v>932</v>
      </c>
      <c r="B971" s="32" t="s">
        <v>141</v>
      </c>
      <c r="C971" s="23">
        <v>46089</v>
      </c>
      <c r="D971" s="28" t="str">
        <f>_xlfn.XLOOKUP(Table134526_79101120212223242526[[#This Row],[Name Surname]],Manpower!$C$4:$C$1048576,Manpower!$B$4:$B$1048576,"")</f>
        <v>Encogroup</v>
      </c>
      <c r="E971" s="21" t="s">
        <v>223</v>
      </c>
      <c r="F971" s="12">
        <f>_xlfn.XLOOKUP(Table134526_79101120212223242526[[#This Row],[Name Surname]],Manpower!C:C,Manpower!D:D,)</f>
        <v>140696989</v>
      </c>
      <c r="G971" s="28" t="str">
        <f>_xlfn.XLOOKUP(Table134526_79101120212223242526[[#This Row],[Name Surname]],Manpower!$C$4:$C$1048576,Manpower!$F$4:$F$1048576,"")</f>
        <v>Assistant/Helper</v>
      </c>
      <c r="H971" s="28" t="str">
        <f>_xlfn.XLOOKUP(Table134526_79101120212223242526[[#This Row],[Name Surname]],Manpower!$C$4:$C$1048576,Manpower!$H$4:$H$1048576,"")</f>
        <v>Manpower</v>
      </c>
      <c r="I971" s="24" t="str">
        <f>_xlfn.XLOOKUP(Table134526_79101120212223242526[[#This Row],[Name Surname]],Manpower!$C$4:$C$1048576,Manpower!$H$4:$H$1048576,"")</f>
        <v>Manpower</v>
      </c>
      <c r="J971" s="21" t="s">
        <v>158</v>
      </c>
      <c r="K971" s="21" t="s">
        <v>26</v>
      </c>
      <c r="L971" s="21" t="s">
        <v>26</v>
      </c>
      <c r="M971" s="21" t="s">
        <v>24</v>
      </c>
      <c r="N971" s="29">
        <v>10</v>
      </c>
      <c r="O971" s="21" t="s">
        <v>159</v>
      </c>
      <c r="P971" s="21" t="s">
        <v>160</v>
      </c>
      <c r="Q971" s="21" t="s">
        <v>160</v>
      </c>
      <c r="R971" s="21" t="s">
        <v>161</v>
      </c>
    </row>
    <row r="972" spans="1:19" s="45" customFormat="1" ht="14.4" hidden="1">
      <c r="A972" s="25">
        <f>IF(C972="","",MAX($A$1:A971)+1)</f>
        <v>933</v>
      </c>
      <c r="B972" s="25" t="s">
        <v>141</v>
      </c>
      <c r="C972" s="41">
        <v>46089</v>
      </c>
      <c r="D972" s="48" t="str">
        <f>_xlfn.XLOOKUP(Table134526_79101120212223242526[[#This Row],[Name Surname]],Manpower!$C$4:$C$1048576,Manpower!$B$4:$B$1048576,"")</f>
        <v>Encogroup</v>
      </c>
      <c r="E972" s="43" t="s">
        <v>209</v>
      </c>
      <c r="F972" s="12">
        <f>_xlfn.XLOOKUP(Table134526_79101120212223242526[[#This Row],[Name Surname]],Manpower!C:C,Manpower!D:D,)</f>
        <v>141365164</v>
      </c>
      <c r="G972" s="48" t="str">
        <f>_xlfn.XLOOKUP(Table134526_79101120212223242526[[#This Row],[Name Surname]],Manpower!$C$4:$C$1048576,Manpower!$F$4:$F$1048576,"")</f>
        <v>Helper</v>
      </c>
      <c r="H972" s="48" t="str">
        <f>_xlfn.XLOOKUP(Table134526_79101120212223242526[[#This Row],[Name Surname]],Manpower!$C$4:$C$1048576,Manpower!$H$4:$H$1048576,"")</f>
        <v>Manpower</v>
      </c>
      <c r="I972" s="42" t="str">
        <f>_xlfn.XLOOKUP(Table134526_79101120212223242526[[#This Row],[Name Surname]],Manpower!$C$4:$C$1048576,Manpower!$H$4:$H$1048576,"")</f>
        <v>Manpower</v>
      </c>
      <c r="J972" s="43" t="s">
        <v>143</v>
      </c>
      <c r="K972" s="43" t="s">
        <v>26</v>
      </c>
      <c r="L972" s="43" t="s">
        <v>144</v>
      </c>
      <c r="M972" s="43" t="s">
        <v>24</v>
      </c>
      <c r="N972" s="44">
        <v>10</v>
      </c>
      <c r="O972" s="43" t="s">
        <v>40</v>
      </c>
      <c r="P972" s="43" t="s">
        <v>42</v>
      </c>
      <c r="Q972" s="43" t="s">
        <v>42</v>
      </c>
      <c r="R972" s="43" t="s">
        <v>243</v>
      </c>
      <c r="S972" s="43"/>
    </row>
    <row r="973" spans="1:19" s="45" customFormat="1" ht="14.4" hidden="1">
      <c r="A973" s="25">
        <f>IF(C973="","",MAX($A$1:A972)+1)</f>
        <v>934</v>
      </c>
      <c r="B973" s="25" t="s">
        <v>141</v>
      </c>
      <c r="C973" s="41">
        <v>46089</v>
      </c>
      <c r="D973" s="48" t="str">
        <f>_xlfn.XLOOKUP(Table134526_79101120212223242526[[#This Row],[Name Surname]],Manpower!$C$4:$C$1048576,Manpower!$B$4:$B$1048576,"")</f>
        <v>Encogroup</v>
      </c>
      <c r="E973" s="43" t="s">
        <v>224</v>
      </c>
      <c r="F973" s="12">
        <f>_xlfn.XLOOKUP(Table134526_79101120212223242526[[#This Row],[Name Surname]],Manpower!C:C,Manpower!D:D,)</f>
        <v>141365094</v>
      </c>
      <c r="G973" s="48" t="str">
        <f>_xlfn.XLOOKUP(Table134526_79101120212223242526[[#This Row],[Name Surname]],Manpower!$C$4:$C$1048576,Manpower!$F$4:$F$1048576,"")</f>
        <v>Helper</v>
      </c>
      <c r="H973" s="48" t="str">
        <f>_xlfn.XLOOKUP(Table134526_79101120212223242526[[#This Row],[Name Surname]],Manpower!$C$4:$C$1048576,Manpower!$H$4:$H$1048576,"")</f>
        <v>Manpower</v>
      </c>
      <c r="I973" s="42" t="str">
        <f>_xlfn.XLOOKUP(Table134526_79101120212223242526[[#This Row],[Name Surname]],Manpower!$C$4:$C$1048576,Manpower!$H$4:$H$1048576,"")</f>
        <v>Manpower</v>
      </c>
      <c r="J973" s="43" t="s">
        <v>143</v>
      </c>
      <c r="K973" s="43" t="s">
        <v>26</v>
      </c>
      <c r="L973" s="43" t="s">
        <v>144</v>
      </c>
      <c r="M973" s="43" t="s">
        <v>24</v>
      </c>
      <c r="N973" s="44">
        <v>10</v>
      </c>
      <c r="O973" s="43" t="s">
        <v>40</v>
      </c>
      <c r="P973" s="43" t="s">
        <v>42</v>
      </c>
      <c r="Q973" s="43" t="s">
        <v>42</v>
      </c>
      <c r="R973" s="43" t="s">
        <v>243</v>
      </c>
      <c r="S973" s="43"/>
    </row>
    <row r="974" spans="1:19" ht="14.4" hidden="1">
      <c r="A974" s="33">
        <f>IF(C974="","",MAX($A$1:A973)+1)</f>
        <v>935</v>
      </c>
      <c r="B974" s="32" t="s">
        <v>141</v>
      </c>
      <c r="C974" s="23">
        <v>46089</v>
      </c>
      <c r="D974" s="28" t="str">
        <f>_xlfn.XLOOKUP(Table134526_79101120212223242526[[#This Row],[Name Surname]],Manpower!$C$4:$C$1048576,Manpower!$B$4:$B$1048576,"")</f>
        <v xml:space="preserve">FAL Transport </v>
      </c>
      <c r="E974" s="21" t="s">
        <v>225</v>
      </c>
      <c r="F974" s="12">
        <f>_xlfn.XLOOKUP(Table134526_79101120212223242526[[#This Row],[Name Surname]],Manpower!C:C,Manpower!D:D,)</f>
        <v>124233837</v>
      </c>
      <c r="G974" s="28" t="str">
        <f>_xlfn.XLOOKUP(Table134526_79101120212223242526[[#This Row],[Name Surname]],Manpower!$C$4:$C$1048576,Manpower!$F$4:$F$1048576,"")</f>
        <v>Trailer Driver</v>
      </c>
      <c r="H974" s="28" t="str">
        <f>_xlfn.XLOOKUP(Table134526_79101120212223242526[[#This Row],[Name Surname]],Manpower!$C$4:$C$1048576,Manpower!$H$4:$H$1048576,"")</f>
        <v>Sub Contactor</v>
      </c>
      <c r="I974" s="24" t="str">
        <f>_xlfn.XLOOKUP(Table134526_79101120212223242526[[#This Row],[Name Surname]],Manpower!$C$4:$C$1048576,Manpower!$H$4:$H$1048576,"")</f>
        <v>Sub Contactor</v>
      </c>
      <c r="J974" s="21" t="s">
        <v>143</v>
      </c>
      <c r="K974" s="21" t="s">
        <v>26</v>
      </c>
      <c r="L974" s="21" t="s">
        <v>144</v>
      </c>
      <c r="M974" s="21" t="s">
        <v>24</v>
      </c>
      <c r="N974" s="29">
        <v>8</v>
      </c>
      <c r="O974" s="21" t="s">
        <v>40</v>
      </c>
      <c r="P974" s="21" t="s">
        <v>42</v>
      </c>
      <c r="Q974" s="21" t="s">
        <v>42</v>
      </c>
      <c r="R974" s="21" t="s">
        <v>226</v>
      </c>
    </row>
    <row r="975" spans="1:19" ht="14.4">
      <c r="A975" s="33">
        <f>IF(C975="","",MAX($A$1:A974)+1)</f>
        <v>936</v>
      </c>
      <c r="B975" s="22" t="s">
        <v>19</v>
      </c>
      <c r="C975" s="23">
        <v>46090</v>
      </c>
      <c r="D975" s="28" t="str">
        <f>_xlfn.XLOOKUP(Table134526_79101120212223242526[[#This Row],[Name Surname]],Manpower!$C$4:$C$1048576,Manpower!$B$4:$B$1048576,"")</f>
        <v>Riyan Al Khaleej</v>
      </c>
      <c r="E975" s="23" t="s">
        <v>20</v>
      </c>
      <c r="F975" s="12" t="e">
        <f>_xlfn.XLOOKUP(Table134526_79101120212223242526[[#This Row],[Name Surname]],Manpower!C:C,Manpower!D:D,)</f>
        <v>#N/A</v>
      </c>
      <c r="G975" s="28" t="str">
        <f>_xlfn.XLOOKUP(Table134526_79101120212223242526[[#This Row],[Name Surname]],Manpower!$C$4:$C$1048576,Manpower!$F$4:$F$1048576,"")</f>
        <v>100T Telescopic Crane</v>
      </c>
      <c r="H975" s="28" t="str">
        <f>_xlfn.XLOOKUP(Table134526_79101120212223242526[[#This Row],[Name Surname]],Manpower!$C$4:$C$1048576,Manpower!$H$4:$H$1048576,"")</f>
        <v>Equipment</v>
      </c>
      <c r="I975" s="24" t="str">
        <f>_xlfn.XLOOKUP(Table134526_79101120212223242526[[#This Row],[Name Surname]],Manpower!$C$4:$C$1048576,Manpower!$H$4:$H$1048576,"")</f>
        <v>Equipment</v>
      </c>
      <c r="J975" s="21" t="s">
        <v>21</v>
      </c>
      <c r="K975" s="21" t="s">
        <v>231</v>
      </c>
      <c r="L975" s="21" t="s">
        <v>49</v>
      </c>
      <c r="M975" s="21" t="s">
        <v>24</v>
      </c>
      <c r="N975" s="29">
        <v>8</v>
      </c>
      <c r="O975" s="21" t="s">
        <v>40</v>
      </c>
      <c r="P975" s="21" t="s">
        <v>41</v>
      </c>
      <c r="Q975" s="21" t="s">
        <v>42</v>
      </c>
      <c r="R975" s="21" t="s">
        <v>26</v>
      </c>
    </row>
    <row r="976" spans="1:19" s="45" customFormat="1" ht="14.4" hidden="1">
      <c r="A976" s="25">
        <f>IF(C976="","",MAX($A$1:A975)+1)</f>
        <v>937</v>
      </c>
      <c r="B976" s="25" t="s">
        <v>19</v>
      </c>
      <c r="C976" s="41">
        <v>46090</v>
      </c>
      <c r="D976" s="48" t="str">
        <f>_xlfn.XLOOKUP(Table134526_79101120212223242526[[#This Row],[Name Surname]],Manpower!$C$4:$C$1048576,Manpower!$B$4:$B$1048576,"")</f>
        <v>Encogroup</v>
      </c>
      <c r="E976" s="41" t="s">
        <v>27</v>
      </c>
      <c r="F976" s="12">
        <f>_xlfn.XLOOKUP(Table134526_79101120212223242526[[#This Row],[Name Surname]],Manpower!C:C,Manpower!D:D,)</f>
        <v>127414586</v>
      </c>
      <c r="G976" s="48" t="str">
        <f>_xlfn.XLOOKUP(Table134526_79101120212223242526[[#This Row],[Name Surname]],Manpower!$C$4:$C$1048576,Manpower!$F$4:$F$1048576,"")</f>
        <v>Electrician</v>
      </c>
      <c r="H976" s="48" t="str">
        <f>_xlfn.XLOOKUP(Table134526_79101120212223242526[[#This Row],[Name Surname]],Manpower!$C$4:$C$1048576,Manpower!$H$4:$H$1048576,"")</f>
        <v>Manpower</v>
      </c>
      <c r="I976" s="42" t="str">
        <f>_xlfn.XLOOKUP(Table134526_79101120212223242526[[#This Row],[Name Surname]],Manpower!$C$4:$C$1048576,Manpower!$H$4:$H$1048576,"")</f>
        <v>Manpower</v>
      </c>
      <c r="J976" s="43" t="s">
        <v>21</v>
      </c>
      <c r="K976" s="43" t="s">
        <v>231</v>
      </c>
      <c r="L976" s="43" t="s">
        <v>49</v>
      </c>
      <c r="M976" s="43" t="s">
        <v>24</v>
      </c>
      <c r="N976" s="44">
        <v>5</v>
      </c>
      <c r="O976" s="43" t="s">
        <v>25</v>
      </c>
      <c r="P976" s="43" t="s">
        <v>41</v>
      </c>
      <c r="Q976" s="43" t="s">
        <v>60</v>
      </c>
      <c r="R976" s="43" t="s">
        <v>26</v>
      </c>
      <c r="S976" s="43"/>
    </row>
    <row r="977" spans="1:19" s="45" customFormat="1" ht="14.4" hidden="1">
      <c r="A977" s="25">
        <f>IF(C977="","",MAX($A$1:A976)+1)</f>
        <v>938</v>
      </c>
      <c r="B977" s="25" t="s">
        <v>19</v>
      </c>
      <c r="C977" s="41">
        <v>46090</v>
      </c>
      <c r="D977" s="48" t="str">
        <f>_xlfn.XLOOKUP(Table134526_79101120212223242526[[#This Row],[Name Surname]],Manpower!$C$4:$C$1048576,Manpower!$B$4:$B$1048576,"")</f>
        <v>Encogroup</v>
      </c>
      <c r="E977" s="41" t="s">
        <v>29</v>
      </c>
      <c r="F977" s="12">
        <f>_xlfn.XLOOKUP(Table134526_79101120212223242526[[#This Row],[Name Surname]],Manpower!C:C,Manpower!D:D,)</f>
        <v>127331574</v>
      </c>
      <c r="G977" s="48" t="str">
        <f>_xlfn.XLOOKUP(Table134526_79101120212223242526[[#This Row],[Name Surname]],Manpower!$C$4:$C$1048576,Manpower!$F$4:$F$1048576,"")</f>
        <v>Permit Receiver</v>
      </c>
      <c r="H977" s="48" t="str">
        <f>_xlfn.XLOOKUP(Table134526_79101120212223242526[[#This Row],[Name Surname]],Manpower!$C$4:$C$1048576,Manpower!$H$4:$H$1048576,"")</f>
        <v>Manpower</v>
      </c>
      <c r="I977" s="42" t="str">
        <f>_xlfn.XLOOKUP(Table134526_79101120212223242526[[#This Row],[Name Surname]],Manpower!$C$4:$C$1048576,Manpower!$H$4:$H$1048576,"")</f>
        <v>Manpower</v>
      </c>
      <c r="J977" s="43" t="s">
        <v>21</v>
      </c>
      <c r="K977" s="43" t="s">
        <v>231</v>
      </c>
      <c r="L977" s="43" t="s">
        <v>49</v>
      </c>
      <c r="M977" s="43" t="s">
        <v>24</v>
      </c>
      <c r="N977" s="44">
        <v>10</v>
      </c>
      <c r="O977" s="43" t="s">
        <v>25</v>
      </c>
      <c r="P977" s="43" t="s">
        <v>41</v>
      </c>
      <c r="Q977" s="43" t="s">
        <v>60</v>
      </c>
      <c r="R977" s="43" t="s">
        <v>26</v>
      </c>
      <c r="S977" s="43"/>
    </row>
    <row r="978" spans="1:19" s="45" customFormat="1" ht="14.4" hidden="1">
      <c r="A978" s="25">
        <f>IF(C978="","",MAX($A$1:A977)+1)</f>
        <v>939</v>
      </c>
      <c r="B978" s="25" t="s">
        <v>19</v>
      </c>
      <c r="C978" s="41">
        <v>46090</v>
      </c>
      <c r="D978" s="48" t="str">
        <f>_xlfn.XLOOKUP(Table134526_79101120212223242526[[#This Row],[Name Surname]],Manpower!$C$4:$C$1048576,Manpower!$B$4:$B$1048576,"")</f>
        <v>Encogroup</v>
      </c>
      <c r="E978" s="41" t="s">
        <v>30</v>
      </c>
      <c r="F978" s="12">
        <f>_xlfn.XLOOKUP(Table134526_79101120212223242526[[#This Row],[Name Surname]],Manpower!C:C,Manpower!D:D,)</f>
        <v>116589569</v>
      </c>
      <c r="G978" s="48" t="str">
        <f>_xlfn.XLOOKUP(Table134526_79101120212223242526[[#This Row],[Name Surname]],Manpower!$C$4:$C$1048576,Manpower!$F$4:$F$1048576,"")</f>
        <v>Mechanical Engineer</v>
      </c>
      <c r="H978" s="48" t="str">
        <f>_xlfn.XLOOKUP(Table134526_79101120212223242526[[#This Row],[Name Surname]],Manpower!$C$4:$C$1048576,Manpower!$H$4:$H$1048576,"")</f>
        <v>Manpower</v>
      </c>
      <c r="I978" s="42" t="str">
        <f>_xlfn.XLOOKUP(Table134526_79101120212223242526[[#This Row],[Name Surname]],Manpower!$C$4:$C$1048576,Manpower!$H$4:$H$1048576,"")</f>
        <v>Manpower</v>
      </c>
      <c r="J978" s="43" t="s">
        <v>21</v>
      </c>
      <c r="K978" s="43" t="s">
        <v>231</v>
      </c>
      <c r="L978" s="43" t="s">
        <v>49</v>
      </c>
      <c r="M978" s="43" t="s">
        <v>24</v>
      </c>
      <c r="N978" s="44">
        <v>10</v>
      </c>
      <c r="O978" s="43" t="s">
        <v>25</v>
      </c>
      <c r="P978" s="43" t="s">
        <v>41</v>
      </c>
      <c r="Q978" s="43" t="s">
        <v>60</v>
      </c>
      <c r="R978" s="43" t="s">
        <v>26</v>
      </c>
      <c r="S978" s="43"/>
    </row>
    <row r="979" spans="1:19" ht="14.4" hidden="1">
      <c r="A979" s="33">
        <f>IF(C979="","",MAX($A$1:A978)+1)</f>
        <v>940</v>
      </c>
      <c r="B979" s="22" t="s">
        <v>19</v>
      </c>
      <c r="C979" s="23">
        <v>46090</v>
      </c>
      <c r="D979" s="28" t="str">
        <f>_xlfn.XLOOKUP(Table134526_79101120212223242526[[#This Row],[Name Surname]],Manpower!$C$4:$C$1048576,Manpower!$B$4:$B$1048576,"")</f>
        <v>Encogroup</v>
      </c>
      <c r="E979" s="23" t="s">
        <v>31</v>
      </c>
      <c r="F979" s="12">
        <f>_xlfn.XLOOKUP(Table134526_79101120212223242526[[#This Row],[Name Surname]],Manpower!C:C,Manpower!D:D,)</f>
        <v>99596058</v>
      </c>
      <c r="G979" s="28" t="str">
        <f>_xlfn.XLOOKUP(Table134526_79101120212223242526[[#This Row],[Name Surname]],Manpower!$C$4:$C$1048576,Manpower!$F$4:$F$1048576,"")</f>
        <v>HSE Officer</v>
      </c>
      <c r="H979" s="28" t="str">
        <f>_xlfn.XLOOKUP(Table134526_79101120212223242526[[#This Row],[Name Surname]],Manpower!$C$4:$C$1048576,Manpower!$H$4:$H$1048576,"")</f>
        <v>Manpower</v>
      </c>
      <c r="I979" s="24" t="str">
        <f>_xlfn.XLOOKUP(Table134526_79101120212223242526[[#This Row],[Name Surname]],Manpower!$C$4:$C$1048576,Manpower!$H$4:$H$1048576,"")</f>
        <v>Manpower</v>
      </c>
      <c r="J979" s="21" t="s">
        <v>21</v>
      </c>
      <c r="K979" s="21" t="s">
        <v>231</v>
      </c>
      <c r="L979" s="21" t="s">
        <v>49</v>
      </c>
      <c r="M979" s="21" t="s">
        <v>24</v>
      </c>
      <c r="N979" s="29">
        <v>10</v>
      </c>
      <c r="O979" s="21" t="s">
        <v>25</v>
      </c>
      <c r="P979" s="21" t="s">
        <v>41</v>
      </c>
      <c r="Q979" s="21" t="s">
        <v>60</v>
      </c>
      <c r="R979" s="21" t="s">
        <v>26</v>
      </c>
    </row>
    <row r="980" spans="1:19" s="45" customFormat="1" ht="14.4" hidden="1">
      <c r="A980" s="25">
        <f>IF(C980="","",MAX($A$1:A979)+1)</f>
        <v>941</v>
      </c>
      <c r="B980" s="25" t="s">
        <v>19</v>
      </c>
      <c r="C980" s="41">
        <v>46090</v>
      </c>
      <c r="D980" s="48" t="str">
        <f>_xlfn.XLOOKUP(Table134526_79101120212223242526[[#This Row],[Name Surname]],Manpower!$C$4:$C$1048576,Manpower!$B$4:$B$1048576,"")</f>
        <v>Encogroup</v>
      </c>
      <c r="E980" s="47" t="s">
        <v>72</v>
      </c>
      <c r="F980" s="12">
        <f>_xlfn.XLOOKUP(Table134526_79101120212223242526[[#This Row],[Name Surname]],Manpower!C:C,Manpower!D:D,)</f>
        <v>140764706</v>
      </c>
      <c r="G980" s="48" t="str">
        <f>_xlfn.XLOOKUP(Table134526_79101120212223242526[[#This Row],[Name Surname]],Manpower!$C$4:$C$1048576,Manpower!$F$4:$F$1048576,"")</f>
        <v>Rigger</v>
      </c>
      <c r="H980" s="48" t="str">
        <f>_xlfn.XLOOKUP(Table134526_79101120212223242526[[#This Row],[Name Surname]],Manpower!$C$4:$C$1048576,Manpower!$H$4:$H$1048576,"")</f>
        <v>Manpower</v>
      </c>
      <c r="I980" s="42" t="str">
        <f>_xlfn.XLOOKUP(Table134526_79101120212223242526[[#This Row],[Name Surname]],Manpower!$C$4:$C$1048576,Manpower!$H$4:$H$1048576,"")</f>
        <v>Manpower</v>
      </c>
      <c r="J980" s="43" t="s">
        <v>21</v>
      </c>
      <c r="K980" s="43" t="s">
        <v>231</v>
      </c>
      <c r="L980" s="43" t="s">
        <v>49</v>
      </c>
      <c r="M980" s="43" t="s">
        <v>24</v>
      </c>
      <c r="N980" s="44">
        <v>10</v>
      </c>
      <c r="O980" s="43" t="s">
        <v>25</v>
      </c>
      <c r="P980" s="43" t="s">
        <v>41</v>
      </c>
      <c r="Q980" s="43" t="s">
        <v>60</v>
      </c>
      <c r="R980" s="43" t="s">
        <v>26</v>
      </c>
      <c r="S980" s="43" t="s">
        <v>247</v>
      </c>
    </row>
    <row r="981" spans="1:19" s="45" customFormat="1" ht="14.4" hidden="1">
      <c r="A981" s="25">
        <f>IF(C981="","",MAX($A$1:A980)+1)</f>
        <v>942</v>
      </c>
      <c r="B981" s="25" t="s">
        <v>19</v>
      </c>
      <c r="C981" s="41">
        <v>46090</v>
      </c>
      <c r="D981" s="48" t="str">
        <f>_xlfn.XLOOKUP(Table134526_79101120212223242526[[#This Row],[Name Surname]],Manpower!$C$4:$C$1048576,Manpower!$B$4:$B$1048576,"")</f>
        <v>Encogroup</v>
      </c>
      <c r="E981" s="47" t="s">
        <v>59</v>
      </c>
      <c r="F981" s="12">
        <f>_xlfn.XLOOKUP(Table134526_79101120212223242526[[#This Row],[Name Surname]],Manpower!C:C,Manpower!D:D,)</f>
        <v>141169085</v>
      </c>
      <c r="G981" s="48" t="str">
        <f>_xlfn.XLOOKUP(Table134526_79101120212223242526[[#This Row],[Name Surname]],Manpower!$C$4:$C$1048576,Manpower!$F$4:$F$1048576,"")</f>
        <v>Welder</v>
      </c>
      <c r="H981" s="48" t="str">
        <f>_xlfn.XLOOKUP(Table134526_79101120212223242526[[#This Row],[Name Surname]],Manpower!$C$4:$C$1048576,Manpower!$H$4:$H$1048576,"")</f>
        <v>Manpower</v>
      </c>
      <c r="I981" s="42" t="str">
        <f>_xlfn.XLOOKUP(Table134526_79101120212223242526[[#This Row],[Name Surname]],Manpower!$C$4:$C$1048576,Manpower!$H$4:$H$1048576,"")</f>
        <v>Manpower</v>
      </c>
      <c r="J981" s="43" t="s">
        <v>21</v>
      </c>
      <c r="K981" s="43" t="s">
        <v>231</v>
      </c>
      <c r="L981" s="43" t="s">
        <v>49</v>
      </c>
      <c r="M981" s="43" t="s">
        <v>24</v>
      </c>
      <c r="N981" s="44">
        <v>5</v>
      </c>
      <c r="O981" s="43" t="s">
        <v>25</v>
      </c>
      <c r="P981" s="43" t="s">
        <v>41</v>
      </c>
      <c r="Q981" s="43" t="s">
        <v>60</v>
      </c>
      <c r="R981" s="43" t="s">
        <v>26</v>
      </c>
      <c r="S981" s="43"/>
    </row>
    <row r="982" spans="1:19" s="45" customFormat="1" ht="14.4" hidden="1">
      <c r="A982" s="25">
        <f>IF(C982="","",MAX($A$1:A981)+1)</f>
        <v>943</v>
      </c>
      <c r="B982" s="25" t="s">
        <v>19</v>
      </c>
      <c r="C982" s="41">
        <v>46090</v>
      </c>
      <c r="D982" s="48" t="str">
        <f>_xlfn.XLOOKUP(Table134526_79101120212223242526[[#This Row],[Name Surname]],Manpower!$C$4:$C$1048576,Manpower!$B$4:$B$1048576,"")</f>
        <v>Encogroup</v>
      </c>
      <c r="E982" s="47" t="s">
        <v>61</v>
      </c>
      <c r="F982" s="12">
        <f>_xlfn.XLOOKUP(Table134526_79101120212223242526[[#This Row],[Name Surname]],Manpower!C:C,Manpower!D:D,)</f>
        <v>141169047</v>
      </c>
      <c r="G982" s="48" t="str">
        <f>_xlfn.XLOOKUP(Table134526_79101120212223242526[[#This Row],[Name Surname]],Manpower!$C$4:$C$1048576,Manpower!$F$4:$F$1048576,"")</f>
        <v>Welder</v>
      </c>
      <c r="H982" s="48" t="str">
        <f>_xlfn.XLOOKUP(Table134526_79101120212223242526[[#This Row],[Name Surname]],Manpower!$C$4:$C$1048576,Manpower!$H$4:$H$1048576,"")</f>
        <v>Manpower</v>
      </c>
      <c r="I982" s="42" t="str">
        <f>_xlfn.XLOOKUP(Table134526_79101120212223242526[[#This Row],[Name Surname]],Manpower!$C$4:$C$1048576,Manpower!$H$4:$H$1048576,"")</f>
        <v>Manpower</v>
      </c>
      <c r="J982" s="43" t="s">
        <v>21</v>
      </c>
      <c r="K982" s="43" t="s">
        <v>231</v>
      </c>
      <c r="L982" s="43" t="s">
        <v>49</v>
      </c>
      <c r="M982" s="43" t="s">
        <v>24</v>
      </c>
      <c r="N982" s="44">
        <v>5</v>
      </c>
      <c r="O982" s="43" t="s">
        <v>25</v>
      </c>
      <c r="P982" s="43" t="s">
        <v>41</v>
      </c>
      <c r="Q982" s="43" t="s">
        <v>60</v>
      </c>
      <c r="R982" s="43" t="s">
        <v>26</v>
      </c>
      <c r="S982" s="43"/>
    </row>
    <row r="983" spans="1:19" s="45" customFormat="1" ht="14.4" hidden="1">
      <c r="A983" s="25">
        <f>IF(C983="","",MAX($A$1:A982)+1)</f>
        <v>944</v>
      </c>
      <c r="B983" s="25" t="s">
        <v>19</v>
      </c>
      <c r="C983" s="41">
        <v>46090</v>
      </c>
      <c r="D983" s="48" t="str">
        <f>_xlfn.XLOOKUP(Table134526_79101120212223242526[[#This Row],[Name Surname]],Manpower!$C$4:$C$1048576,Manpower!$B$4:$B$1048576,"")</f>
        <v>AL Omar International TRAD AND CONT</v>
      </c>
      <c r="E983" s="47" t="s">
        <v>36</v>
      </c>
      <c r="F983" s="12">
        <f>_xlfn.XLOOKUP(Table134526_79101120212223242526[[#This Row],[Name Surname]],Manpower!C:C,Manpower!D:D,)</f>
        <v>114929202</v>
      </c>
      <c r="G983" s="48" t="str">
        <f>_xlfn.XLOOKUP(Table134526_79101120212223242526[[#This Row],[Name Surname]],Manpower!$C$4:$C$1048576,Manpower!$F$4:$F$1048576,"")</f>
        <v>RIgger</v>
      </c>
      <c r="H983" s="48" t="str">
        <f>_xlfn.XLOOKUP(Table134526_79101120212223242526[[#This Row],[Name Surname]],Manpower!$C$4:$C$1048576,Manpower!$H$4:$H$1048576,"")</f>
        <v>Sub Contactor</v>
      </c>
      <c r="I983" s="42" t="str">
        <f>_xlfn.XLOOKUP(Table134526_79101120212223242526[[#This Row],[Name Surname]],Manpower!$C$4:$C$1048576,Manpower!$H$4:$H$1048576,"")</f>
        <v>Sub Contactor</v>
      </c>
      <c r="J983" s="43" t="s">
        <v>21</v>
      </c>
      <c r="K983" s="43" t="s">
        <v>231</v>
      </c>
      <c r="L983" s="43" t="s">
        <v>49</v>
      </c>
      <c r="M983" s="43" t="s">
        <v>24</v>
      </c>
      <c r="N983" s="44">
        <v>8</v>
      </c>
      <c r="O983" s="43" t="s">
        <v>25</v>
      </c>
      <c r="P983" s="43" t="s">
        <v>41</v>
      </c>
      <c r="Q983" s="43" t="s">
        <v>60</v>
      </c>
      <c r="R983" s="43" t="s">
        <v>26</v>
      </c>
      <c r="S983" s="43"/>
    </row>
    <row r="984" spans="1:19" s="45" customFormat="1" ht="14.4" hidden="1">
      <c r="A984" s="25">
        <f>IF(C984="","",MAX($A$1:A983)+1)</f>
        <v>945</v>
      </c>
      <c r="B984" s="25" t="s">
        <v>19</v>
      </c>
      <c r="C984" s="41">
        <v>46090</v>
      </c>
      <c r="D984" s="48" t="str">
        <f>_xlfn.XLOOKUP(Table134526_79101120212223242526[[#This Row],[Name Surname]],Manpower!$C$4:$C$1048576,Manpower!$B$4:$B$1048576,"")</f>
        <v>Encogroup</v>
      </c>
      <c r="E984" s="41" t="s">
        <v>37</v>
      </c>
      <c r="F984" s="12">
        <f>_xlfn.XLOOKUP(Table134526_79101120212223242526[[#This Row],[Name Surname]],Manpower!C:C,Manpower!D:D,)</f>
        <v>140742088</v>
      </c>
      <c r="G984" s="48" t="str">
        <f>_xlfn.XLOOKUP(Table134526_79101120212223242526[[#This Row],[Name Surname]],Manpower!$C$4:$C$1048576,Manpower!$F$4:$F$1048576,"")</f>
        <v>Fitter/Erector</v>
      </c>
      <c r="H984" s="48" t="str">
        <f>_xlfn.XLOOKUP(Table134526_79101120212223242526[[#This Row],[Name Surname]],Manpower!$C$4:$C$1048576,Manpower!$H$4:$H$1048576,"")</f>
        <v>Manpower</v>
      </c>
      <c r="I984" s="42" t="str">
        <f>_xlfn.XLOOKUP(Table134526_79101120212223242526[[#This Row],[Name Surname]],Manpower!$C$4:$C$1048576,Manpower!$H$4:$H$1048576,"")</f>
        <v>Manpower</v>
      </c>
      <c r="J984" s="43" t="s">
        <v>21</v>
      </c>
      <c r="K984" s="43" t="s">
        <v>231</v>
      </c>
      <c r="L984" s="43" t="s">
        <v>49</v>
      </c>
      <c r="M984" s="43" t="s">
        <v>24</v>
      </c>
      <c r="N984" s="44">
        <v>10</v>
      </c>
      <c r="O984" s="43" t="s">
        <v>25</v>
      </c>
      <c r="P984" s="43" t="s">
        <v>41</v>
      </c>
      <c r="Q984" s="43" t="s">
        <v>60</v>
      </c>
      <c r="R984" s="43" t="s">
        <v>26</v>
      </c>
      <c r="S984" s="43"/>
    </row>
    <row r="985" spans="1:19" s="45" customFormat="1" ht="14.4" hidden="1">
      <c r="A985" s="25">
        <f>IF(C985="","",MAX($A$1:A984)+1)</f>
        <v>946</v>
      </c>
      <c r="B985" s="25" t="s">
        <v>19</v>
      </c>
      <c r="C985" s="41">
        <v>46090</v>
      </c>
      <c r="D985" s="48" t="str">
        <f>_xlfn.XLOOKUP(Table134526_79101120212223242526[[#This Row],[Name Surname]],Manpower!$C$4:$C$1048576,Manpower!$B$4:$B$1048576,"")</f>
        <v>Rial Al Khaleej</v>
      </c>
      <c r="E985" s="41" t="s">
        <v>38</v>
      </c>
      <c r="F985" s="12">
        <f>_xlfn.XLOOKUP(Table134526_79101120212223242526[[#This Row],[Name Surname]],Manpower!C:C,Manpower!D:D,)</f>
        <v>98845403</v>
      </c>
      <c r="G985" s="48" t="str">
        <f>_xlfn.XLOOKUP(Table134526_79101120212223242526[[#This Row],[Name Surname]],Manpower!$C$4:$C$1048576,Manpower!$F$4:$F$1048576,"")</f>
        <v>Crane Operator-100T Zoomlion Telescopic</v>
      </c>
      <c r="H985" s="48" t="s">
        <v>39</v>
      </c>
      <c r="I985" s="42" t="s">
        <v>39</v>
      </c>
      <c r="J985" s="43" t="s">
        <v>21</v>
      </c>
      <c r="K985" s="43" t="s">
        <v>231</v>
      </c>
      <c r="L985" s="43" t="s">
        <v>49</v>
      </c>
      <c r="M985" s="43" t="s">
        <v>24</v>
      </c>
      <c r="N985" s="44">
        <v>8</v>
      </c>
      <c r="O985" s="43" t="s">
        <v>40</v>
      </c>
      <c r="P985" s="43" t="s">
        <v>41</v>
      </c>
      <c r="Q985" s="43" t="s">
        <v>42</v>
      </c>
      <c r="R985" s="43" t="s">
        <v>43</v>
      </c>
      <c r="S985" s="43"/>
    </row>
    <row r="986" spans="1:19" s="45" customFormat="1" ht="14.4" hidden="1">
      <c r="A986" s="25">
        <f>IF(C986="","",MAX($A$1:A985)+1)</f>
        <v>947</v>
      </c>
      <c r="B986" s="25" t="s">
        <v>19</v>
      </c>
      <c r="C986" s="41">
        <v>46090</v>
      </c>
      <c r="D986" s="48" t="str">
        <f>_xlfn.XLOOKUP(Table134526_79101120212223242526[[#This Row],[Name Surname]],Manpower!$C$4:$C$1048576,Manpower!$B$4:$B$1048576,"")</f>
        <v>Encogroup</v>
      </c>
      <c r="E986" s="41" t="s">
        <v>32</v>
      </c>
      <c r="F986" s="12">
        <f>_xlfn.XLOOKUP(Table134526_79101120212223242526[[#This Row],[Name Surname]],Manpower!C:C,Manpower!D:D,)</f>
        <v>140697039</v>
      </c>
      <c r="G986" s="48" t="str">
        <f>_xlfn.XLOOKUP(Table134526_79101120212223242526[[#This Row],[Name Surname]],Manpower!$C$4:$C$1048576,Manpower!$F$4:$F$1048576,"")</f>
        <v>Fitter/Erector</v>
      </c>
      <c r="H986" s="48" t="str">
        <f>_xlfn.XLOOKUP(Table134526_79101120212223242526[[#This Row],[Name Surname]],Manpower!$C$4:$C$1048576,Manpower!$H$4:$H$1048576,"")</f>
        <v>Manpower</v>
      </c>
      <c r="I986" s="42" t="str">
        <f>_xlfn.XLOOKUP(Table134526_79101120212223242526[[#This Row],[Name Surname]],Manpower!$C$4:$C$1048576,Manpower!$H$4:$H$1048576,"")</f>
        <v>Manpower</v>
      </c>
      <c r="J986" s="43" t="s">
        <v>21</v>
      </c>
      <c r="K986" s="43" t="s">
        <v>231</v>
      </c>
      <c r="L986" s="43" t="s">
        <v>49</v>
      </c>
      <c r="M986" s="43" t="s">
        <v>24</v>
      </c>
      <c r="N986" s="44">
        <v>10</v>
      </c>
      <c r="O986" s="43" t="s">
        <v>40</v>
      </c>
      <c r="P986" s="43" t="s">
        <v>41</v>
      </c>
      <c r="Q986" s="43" t="s">
        <v>42</v>
      </c>
      <c r="R986" s="43" t="s">
        <v>43</v>
      </c>
      <c r="S986" s="43"/>
    </row>
    <row r="987" spans="1:19" s="45" customFormat="1" ht="14.4" hidden="1">
      <c r="A987" s="25">
        <f>IF(C987="","",MAX($A$1:A985)+1)</f>
        <v>947</v>
      </c>
      <c r="B987" s="25" t="s">
        <v>19</v>
      </c>
      <c r="C987" s="41">
        <v>46090</v>
      </c>
      <c r="D987" s="48" t="str">
        <f>_xlfn.XLOOKUP(Table134526_79101120212223242526[[#This Row],[Name Surname]],Manpower!$C$4:$C$1048576,Manpower!$B$4:$B$1048576,"")</f>
        <v>Encogroup</v>
      </c>
      <c r="E987" s="47" t="s">
        <v>44</v>
      </c>
      <c r="F987" s="12">
        <f>_xlfn.XLOOKUP(Table134526_79101120212223242526[[#This Row],[Name Surname]],Manpower!C:C,Manpower!D:D,)</f>
        <v>140806218</v>
      </c>
      <c r="G987" s="48" t="str">
        <f>_xlfn.XLOOKUP(Table134526_79101120212223242526[[#This Row],[Name Surname]],Manpower!$C$4:$C$1048576,Manpower!$F$4:$F$1048576,"")</f>
        <v>Fitter/Erector</v>
      </c>
      <c r="H987" s="48" t="str">
        <f>_xlfn.XLOOKUP(Table134526_79101120212223242526[[#This Row],[Name Surname]],Manpower!$C$4:$C$1048576,Manpower!$H$4:$H$1048576,"")</f>
        <v>Manpower</v>
      </c>
      <c r="I987" s="42" t="str">
        <f>_xlfn.XLOOKUP(Table134526_79101120212223242526[[#This Row],[Name Surname]],Manpower!$C$4:$C$1048576,Manpower!$H$4:$H$1048576,"")</f>
        <v>Manpower</v>
      </c>
      <c r="J987" s="43" t="s">
        <v>21</v>
      </c>
      <c r="K987" s="43" t="s">
        <v>231</v>
      </c>
      <c r="L987" s="43" t="s">
        <v>49</v>
      </c>
      <c r="M987" s="43" t="s">
        <v>24</v>
      </c>
      <c r="N987" s="44">
        <v>10</v>
      </c>
      <c r="O987" s="43" t="s">
        <v>25</v>
      </c>
      <c r="P987" s="43" t="s">
        <v>41</v>
      </c>
      <c r="Q987" s="43" t="s">
        <v>60</v>
      </c>
      <c r="R987" s="43" t="s">
        <v>26</v>
      </c>
      <c r="S987" s="43"/>
    </row>
    <row r="988" spans="1:19" s="45" customFormat="1" ht="14.4" hidden="1">
      <c r="A988" s="25">
        <f>IF(C988="","",MAX($A$1:A987)+1)</f>
        <v>948</v>
      </c>
      <c r="B988" s="25" t="s">
        <v>19</v>
      </c>
      <c r="C988" s="41">
        <v>46090</v>
      </c>
      <c r="D988" s="48" t="str">
        <f>_xlfn.XLOOKUP(Table134526_79101120212223242526[[#This Row],[Name Surname]],Manpower!$C$4:$C$1048576,Manpower!$B$4:$B$1048576,"")</f>
        <v>Encogroup</v>
      </c>
      <c r="E988" s="41" t="s">
        <v>46</v>
      </c>
      <c r="F988" s="12">
        <f>_xlfn.XLOOKUP(Table134526_79101120212223242526[[#This Row],[Name Surname]],Manpower!C:C,Manpower!D:D,)</f>
        <v>140844618</v>
      </c>
      <c r="G988" s="48" t="str">
        <f>_xlfn.XLOOKUP(Table134526_79101120212223242526[[#This Row],[Name Surname]],Manpower!$C$4:$C$1048576,Manpower!$F$4:$F$1048576,"")</f>
        <v>Assistant/Helper</v>
      </c>
      <c r="H988" s="48" t="str">
        <f>_xlfn.XLOOKUP(Table134526_79101120212223242526[[#This Row],[Name Surname]],Manpower!$C$4:$C$1048576,Manpower!$H$4:$H$1048576,"")</f>
        <v>Manpower</v>
      </c>
      <c r="I988" s="42" t="str">
        <f>_xlfn.XLOOKUP(Table134526_79101120212223242526[[#This Row],[Name Surname]],Manpower!$C$4:$C$1048576,Manpower!$H$4:$H$1048576,"")</f>
        <v>Manpower</v>
      </c>
      <c r="J988" s="43" t="s">
        <v>21</v>
      </c>
      <c r="K988" s="43" t="s">
        <v>231</v>
      </c>
      <c r="L988" s="43" t="s">
        <v>49</v>
      </c>
      <c r="M988" s="43" t="s">
        <v>24</v>
      </c>
      <c r="N988" s="44">
        <v>10</v>
      </c>
      <c r="O988" s="43" t="s">
        <v>25</v>
      </c>
      <c r="P988" s="43" t="s">
        <v>41</v>
      </c>
      <c r="Q988" s="43" t="s">
        <v>60</v>
      </c>
      <c r="R988" s="43" t="s">
        <v>26</v>
      </c>
      <c r="S988" s="43" t="s">
        <v>247</v>
      </c>
    </row>
    <row r="989" spans="1:19" ht="14.4">
      <c r="A989" s="33">
        <f>IF(C989="","",MAX($A$1:A988)+1)</f>
        <v>949</v>
      </c>
      <c r="B989" s="25" t="s">
        <v>19</v>
      </c>
      <c r="C989" s="23">
        <v>46090</v>
      </c>
      <c r="D989" s="28" t="str">
        <f>_xlfn.XLOOKUP(Table134526_79101120212223242526[[#This Row],[Name Surname]],Manpower!$C$4:$C$1048576,Manpower!$B$4:$B$1048576,"")</f>
        <v>Bright Light</v>
      </c>
      <c r="E989" s="23" t="s">
        <v>47</v>
      </c>
      <c r="F989" s="12" t="e">
        <f>_xlfn.XLOOKUP(Table134526_79101120212223242526[[#This Row],[Name Surname]],Manpower!C:C,Manpower!D:D,)</f>
        <v>#N/A</v>
      </c>
      <c r="G989" s="28" t="str">
        <f>_xlfn.XLOOKUP(Table134526_79101120212223242526[[#This Row],[Name Surname]],Manpower!$C$4:$C$1048576,Manpower!$F$4:$F$1048576,"")</f>
        <v>100T Telescopic Crane</v>
      </c>
      <c r="H989" s="28" t="str">
        <f>_xlfn.XLOOKUP(Table134526_79101120212223242526[[#This Row],[Name Surname]],Manpower!$C$4:$C$1048576,Manpower!$H$4:$H$1048576,"")</f>
        <v>Equipment</v>
      </c>
      <c r="I989" s="24" t="str">
        <f>_xlfn.XLOOKUP(Table134526_79101120212223242526[[#This Row],[Name Surname]],Manpower!$C$4:$C$1048576,Manpower!$H$4:$H$1048576,"")</f>
        <v>Equipment</v>
      </c>
      <c r="J989" s="21" t="s">
        <v>48</v>
      </c>
      <c r="K989" s="21" t="s">
        <v>26</v>
      </c>
      <c r="L989" s="21" t="s">
        <v>49</v>
      </c>
      <c r="M989" s="21" t="s">
        <v>24</v>
      </c>
      <c r="N989" s="29">
        <v>10</v>
      </c>
      <c r="O989" s="21" t="s">
        <v>40</v>
      </c>
      <c r="P989" s="21" t="s">
        <v>41</v>
      </c>
      <c r="Q989" s="21" t="s">
        <v>42</v>
      </c>
      <c r="R989" s="21" t="s">
        <v>26</v>
      </c>
    </row>
    <row r="990" spans="1:19" ht="14.4">
      <c r="A990" s="33">
        <f>IF(C990="","",MAX($A$1:A989)+1)</f>
        <v>950</v>
      </c>
      <c r="B990" s="25" t="s">
        <v>19</v>
      </c>
      <c r="C990" s="23">
        <v>46090</v>
      </c>
      <c r="D990" s="28" t="str">
        <f>_xlfn.XLOOKUP(Table134526_79101120212223242526[[#This Row],[Name Surname]],Manpower!$C$4:$C$1048576,Manpower!$B$4:$B$1048576,"")</f>
        <v>Bright Light</v>
      </c>
      <c r="E990" s="23" t="s">
        <v>51</v>
      </c>
      <c r="F990" s="12" t="e">
        <f>_xlfn.XLOOKUP(Table134526_79101120212223242526[[#This Row],[Name Surname]],Manpower!C:C,Manpower!D:D,)</f>
        <v>#N/A</v>
      </c>
      <c r="G990" s="28" t="str">
        <f>_xlfn.XLOOKUP(Table134526_79101120212223242526[[#This Row],[Name Surname]],Manpower!$C$4:$C$1048576,Manpower!$F$4:$F$1048576,"")</f>
        <v>150T-Crawler Crane</v>
      </c>
      <c r="H990" s="28" t="str">
        <f>_xlfn.XLOOKUP(Table134526_79101120212223242526[[#This Row],[Name Surname]],Manpower!$C$4:$C$1048576,Manpower!$H$4:$H$1048576,"")</f>
        <v>Equipment</v>
      </c>
      <c r="I990" s="24" t="str">
        <f>_xlfn.XLOOKUP(Table134526_79101120212223242526[[#This Row],[Name Surname]],Manpower!$C$4:$C$1048576,Manpower!$H$4:$H$1048576,"")</f>
        <v>Equipment</v>
      </c>
      <c r="J990" s="21" t="s">
        <v>48</v>
      </c>
      <c r="K990" s="21" t="s">
        <v>26</v>
      </c>
      <c r="L990" s="21" t="s">
        <v>49</v>
      </c>
      <c r="M990" s="21" t="s">
        <v>24</v>
      </c>
      <c r="N990" s="29">
        <v>10</v>
      </c>
      <c r="O990" s="21" t="s">
        <v>40</v>
      </c>
      <c r="P990" s="21" t="s">
        <v>41</v>
      </c>
      <c r="Q990" s="21" t="s">
        <v>42</v>
      </c>
      <c r="R990" s="21" t="s">
        <v>26</v>
      </c>
    </row>
    <row r="991" spans="1:19" ht="14.4">
      <c r="A991" s="33">
        <f>IF(C991="","",MAX($A$1:A990)+1)</f>
        <v>951</v>
      </c>
      <c r="B991" s="25" t="s">
        <v>19</v>
      </c>
      <c r="C991" s="23">
        <v>46090</v>
      </c>
      <c r="D991" s="28" t="str">
        <f>_xlfn.XLOOKUP(Table134526_79101120212223242526[[#This Row],[Name Surname]],Manpower!$C$4:$C$1048576,Manpower!$B$4:$B$1048576,"")</f>
        <v>Encogroup</v>
      </c>
      <c r="E991" s="23" t="s">
        <v>53</v>
      </c>
      <c r="F991" s="12" t="e">
        <f>_xlfn.XLOOKUP(Table134526_79101120212223242526[[#This Row],[Name Surname]],Manpower!C:C,Manpower!D:D,)</f>
        <v>#N/A</v>
      </c>
      <c r="G991" s="28" t="str">
        <f>_xlfn.XLOOKUP(Table134526_79101120212223242526[[#This Row],[Name Surname]],Manpower!$C$4:$C$1048576,Manpower!$F$4:$F$1048576,"")</f>
        <v>22M-Manlift</v>
      </c>
      <c r="H991" s="28" t="str">
        <f>_xlfn.XLOOKUP(Table134526_79101120212223242526[[#This Row],[Name Surname]],Manpower!$C$4:$C$1048576,Manpower!$H$4:$H$1048576,"")</f>
        <v>Equipment</v>
      </c>
      <c r="I991" s="24" t="str">
        <f>_xlfn.XLOOKUP(Table134526_79101120212223242526[[#This Row],[Name Surname]],Manpower!$C$4:$C$1048576,Manpower!$H$4:$H$1048576,"")</f>
        <v>Equipment</v>
      </c>
      <c r="J991" s="21" t="s">
        <v>48</v>
      </c>
      <c r="K991" s="21" t="s">
        <v>26</v>
      </c>
      <c r="L991" s="21" t="s">
        <v>49</v>
      </c>
      <c r="M991" s="21" t="s">
        <v>24</v>
      </c>
      <c r="N991" s="29">
        <v>10</v>
      </c>
      <c r="O991" s="21" t="s">
        <v>25</v>
      </c>
      <c r="P991" s="21" t="s">
        <v>41</v>
      </c>
      <c r="Q991" s="21" t="s">
        <v>60</v>
      </c>
      <c r="R991" s="21" t="s">
        <v>26</v>
      </c>
    </row>
    <row r="992" spans="1:19" ht="14.4">
      <c r="A992" s="33">
        <f>IF(C992="","",MAX($A$1:A991)+1)</f>
        <v>952</v>
      </c>
      <c r="B992" s="25" t="s">
        <v>19</v>
      </c>
      <c r="C992" s="23">
        <v>46090</v>
      </c>
      <c r="D992" s="28" t="str">
        <f>_xlfn.XLOOKUP(Table134526_79101120212223242526[[#This Row],[Name Surname]],Manpower!$C$4:$C$1048576,Manpower!$B$4:$B$1048576,"")</f>
        <v>Encogroup</v>
      </c>
      <c r="E992" s="23" t="s">
        <v>54</v>
      </c>
      <c r="F992" s="12" t="e">
        <f>_xlfn.XLOOKUP(Table134526_79101120212223242526[[#This Row],[Name Surname]],Manpower!C:C,Manpower!D:D,)</f>
        <v>#N/A</v>
      </c>
      <c r="G992" s="28" t="str">
        <f>_xlfn.XLOOKUP(Table134526_79101120212223242526[[#This Row],[Name Surname]],Manpower!$C$4:$C$1048576,Manpower!$F$4:$F$1048576,"")</f>
        <v>28M-Manlift</v>
      </c>
      <c r="H992" s="28" t="str">
        <f>_xlfn.XLOOKUP(Table134526_79101120212223242526[[#This Row],[Name Surname]],Manpower!$C$4:$C$1048576,Manpower!$H$4:$H$1048576,"")</f>
        <v>Equipment</v>
      </c>
      <c r="I992" s="24" t="str">
        <f>_xlfn.XLOOKUP(Table134526_79101120212223242526[[#This Row],[Name Surname]],Manpower!$C$4:$C$1048576,Manpower!$H$4:$H$1048576,"")</f>
        <v>Equipment</v>
      </c>
      <c r="J992" s="21" t="s">
        <v>48</v>
      </c>
      <c r="K992" s="21" t="s">
        <v>26</v>
      </c>
      <c r="L992" s="21" t="s">
        <v>49</v>
      </c>
      <c r="M992" s="21" t="s">
        <v>55</v>
      </c>
      <c r="N992" s="29">
        <v>10</v>
      </c>
      <c r="R992" s="21" t="s">
        <v>56</v>
      </c>
    </row>
    <row r="993" spans="1:19" ht="14.4" hidden="1">
      <c r="A993" s="33">
        <f>IF(C993="","",MAX($A$1:A992)+1)</f>
        <v>953</v>
      </c>
      <c r="B993" s="25" t="s">
        <v>19</v>
      </c>
      <c r="C993" s="23">
        <v>46090</v>
      </c>
      <c r="D993" s="28" t="str">
        <f>_xlfn.XLOOKUP(Table134526_79101120212223242526[[#This Row],[Name Surname]],Manpower!$C$4:$C$1048576,Manpower!$B$4:$B$1048576,"")</f>
        <v>Encogroup</v>
      </c>
      <c r="E993" s="23" t="s">
        <v>57</v>
      </c>
      <c r="F993" s="12">
        <f>_xlfn.XLOOKUP(Table134526_79101120212223242526[[#This Row],[Name Surname]],Manpower!C:C,Manpower!D:D,)</f>
        <v>140693697</v>
      </c>
      <c r="G993" s="28" t="str">
        <f>_xlfn.XLOOKUP(Table134526_79101120212223242526[[#This Row],[Name Surname]],Manpower!$C$4:$C$1048576,Manpower!$F$4:$F$1048576,"")</f>
        <v>HSE Officer</v>
      </c>
      <c r="H993" s="28" t="str">
        <f>_xlfn.XLOOKUP(Table134526_79101120212223242526[[#This Row],[Name Surname]],Manpower!$C$4:$C$1048576,Manpower!$H$4:$H$1048576,"")</f>
        <v>Manpower</v>
      </c>
      <c r="I993" s="24" t="str">
        <f>_xlfn.XLOOKUP(Table134526_79101120212223242526[[#This Row],[Name Surname]],Manpower!$C$4:$C$1048576,Manpower!$H$4:$H$1048576,"")</f>
        <v>Manpower</v>
      </c>
      <c r="J993" s="21" t="s">
        <v>48</v>
      </c>
      <c r="K993" s="21" t="s">
        <v>26</v>
      </c>
      <c r="L993" s="21" t="s">
        <v>49</v>
      </c>
      <c r="M993" s="21" t="s">
        <v>24</v>
      </c>
      <c r="N993" s="29">
        <v>10</v>
      </c>
      <c r="O993" s="21" t="s">
        <v>25</v>
      </c>
      <c r="P993" s="21" t="s">
        <v>41</v>
      </c>
      <c r="Q993" s="21" t="s">
        <v>60</v>
      </c>
      <c r="R993" s="21" t="s">
        <v>26</v>
      </c>
    </row>
    <row r="994" spans="1:19" ht="14.4" hidden="1">
      <c r="A994" s="33">
        <f>IF(C994="","",MAX($A$1:A993)+1)</f>
        <v>954</v>
      </c>
      <c r="B994" s="25" t="s">
        <v>19</v>
      </c>
      <c r="C994" s="23">
        <v>46090</v>
      </c>
      <c r="D994" s="28" t="str">
        <f>_xlfn.XLOOKUP(Table134526_79101120212223242526[[#This Row],[Name Surname]],Manpower!$C$4:$C$1048576,Manpower!$B$4:$B$1048576,"")</f>
        <v>Encogroup</v>
      </c>
      <c r="E994" s="18" t="s">
        <v>27</v>
      </c>
      <c r="F994" s="12">
        <f>_xlfn.XLOOKUP(Table134526_79101120212223242526[[#This Row],[Name Surname]],Manpower!C:C,Manpower!D:D,)</f>
        <v>127414586</v>
      </c>
      <c r="G994" s="28" t="str">
        <f>_xlfn.XLOOKUP(Table134526_79101120212223242526[[#This Row],[Name Surname]],Manpower!$C$4:$C$1048576,Manpower!$F$4:$F$1048576,"")</f>
        <v>Electrician</v>
      </c>
      <c r="H994" s="28" t="str">
        <f>_xlfn.XLOOKUP(Table134526_79101120212223242526[[#This Row],[Name Surname]],Manpower!$C$4:$C$1048576,Manpower!$H$4:$H$1048576,"")</f>
        <v>Manpower</v>
      </c>
      <c r="I994" s="24" t="str">
        <f>_xlfn.XLOOKUP(Table134526_79101120212223242526[[#This Row],[Name Surname]],Manpower!$C$4:$C$1048576,Manpower!$H$4:$H$1048576,"")</f>
        <v>Manpower</v>
      </c>
      <c r="J994" s="21" t="s">
        <v>48</v>
      </c>
      <c r="K994" s="21" t="s">
        <v>26</v>
      </c>
      <c r="L994" s="21" t="s">
        <v>49</v>
      </c>
      <c r="M994" s="21" t="s">
        <v>24</v>
      </c>
      <c r="N994" s="29">
        <v>5</v>
      </c>
      <c r="O994" s="21" t="s">
        <v>28</v>
      </c>
      <c r="P994" s="21" t="s">
        <v>41</v>
      </c>
      <c r="Q994" s="21" t="s">
        <v>41</v>
      </c>
      <c r="R994" s="21" t="s">
        <v>26</v>
      </c>
    </row>
    <row r="995" spans="1:19" s="45" customFormat="1" ht="14.4" hidden="1">
      <c r="A995" s="25">
        <f>IF(C995="","",MAX($A$1:A994)+1)</f>
        <v>955</v>
      </c>
      <c r="B995" s="25" t="s">
        <v>19</v>
      </c>
      <c r="C995" s="41">
        <v>46090</v>
      </c>
      <c r="D995" s="48" t="str">
        <f>_xlfn.XLOOKUP(Table134526_79101120212223242526[[#This Row],[Name Surname]],Manpower!$C$4:$C$1048576,Manpower!$B$4:$B$1048576,"")</f>
        <v>Encogroup</v>
      </c>
      <c r="E995" s="41" t="s">
        <v>33</v>
      </c>
      <c r="F995" s="12">
        <f>_xlfn.XLOOKUP(Table134526_79101120212223242526[[#This Row],[Name Surname]],Manpower!C:C,Manpower!D:D,)</f>
        <v>124565057</v>
      </c>
      <c r="G995" s="48" t="str">
        <f>_xlfn.XLOOKUP(Table134526_79101120212223242526[[#This Row],[Name Surname]],Manpower!$C$4:$C$1048576,Manpower!$F$4:$F$1048576,"")</f>
        <v>Fitter/Erector</v>
      </c>
      <c r="H995" s="48" t="str">
        <f>_xlfn.XLOOKUP(Table134526_79101120212223242526[[#This Row],[Name Surname]],Manpower!$C$4:$C$1048576,Manpower!$H$4:$H$1048576,"")</f>
        <v>Manpower</v>
      </c>
      <c r="I995" s="42" t="str">
        <f>_xlfn.XLOOKUP(Table134526_79101120212223242526[[#This Row],[Name Surname]],Manpower!$C$4:$C$1048576,Manpower!$H$4:$H$1048576,"")</f>
        <v>Manpower</v>
      </c>
      <c r="J995" s="43" t="s">
        <v>48</v>
      </c>
      <c r="K995" s="43" t="s">
        <v>26</v>
      </c>
      <c r="L995" s="43" t="s">
        <v>49</v>
      </c>
      <c r="M995" s="43" t="s">
        <v>24</v>
      </c>
      <c r="N995" s="44">
        <v>10</v>
      </c>
      <c r="O995" s="43" t="s">
        <v>25</v>
      </c>
      <c r="P995" s="43" t="s">
        <v>41</v>
      </c>
      <c r="Q995" s="43" t="s">
        <v>60</v>
      </c>
      <c r="R995" s="43" t="s">
        <v>26</v>
      </c>
      <c r="S995" s="43"/>
    </row>
    <row r="996" spans="1:19" s="45" customFormat="1" ht="14.4" hidden="1">
      <c r="A996" s="25">
        <f>IF(C996="","",MAX($A$1:A995)+1)</f>
        <v>956</v>
      </c>
      <c r="B996" s="25" t="s">
        <v>19</v>
      </c>
      <c r="C996" s="41">
        <v>46090</v>
      </c>
      <c r="D996" s="48" t="str">
        <f>_xlfn.XLOOKUP(Table134526_79101120212223242526[[#This Row],[Name Surname]],Manpower!$C$4:$C$1048576,Manpower!$B$4:$B$1048576,"")</f>
        <v>Encogroup</v>
      </c>
      <c r="E996" s="41" t="s">
        <v>62</v>
      </c>
      <c r="F996" s="12">
        <f>_xlfn.XLOOKUP(Table134526_79101120212223242526[[#This Row],[Name Surname]],Manpower!C:C,Manpower!D:D,)</f>
        <v>140844797</v>
      </c>
      <c r="G996" s="48" t="str">
        <f>_xlfn.XLOOKUP(Table134526_79101120212223242526[[#This Row],[Name Surname]],Manpower!$C$4:$C$1048576,Manpower!$F$4:$F$1048576,"")</f>
        <v>Fitter/Erector</v>
      </c>
      <c r="H996" s="48" t="str">
        <f>_xlfn.XLOOKUP(Table134526_79101120212223242526[[#This Row],[Name Surname]],Manpower!$C$4:$C$1048576,Manpower!$H$4:$H$1048576,"")</f>
        <v>Manpower</v>
      </c>
      <c r="I996" s="42" t="str">
        <f>_xlfn.XLOOKUP(Table134526_79101120212223242526[[#This Row],[Name Surname]],Manpower!$C$4:$C$1048576,Manpower!$H$4:$H$1048576,"")</f>
        <v>Manpower</v>
      </c>
      <c r="J996" s="43" t="s">
        <v>48</v>
      </c>
      <c r="K996" s="43" t="s">
        <v>26</v>
      </c>
      <c r="L996" s="43" t="s">
        <v>49</v>
      </c>
      <c r="M996" s="43" t="s">
        <v>24</v>
      </c>
      <c r="N996" s="44">
        <v>10</v>
      </c>
      <c r="O996" s="43" t="s">
        <v>25</v>
      </c>
      <c r="P996" s="43" t="s">
        <v>41</v>
      </c>
      <c r="Q996" s="43" t="s">
        <v>60</v>
      </c>
      <c r="R996" s="43" t="s">
        <v>26</v>
      </c>
      <c r="S996" s="43"/>
    </row>
    <row r="997" spans="1:19" ht="14.4">
      <c r="A997" s="33">
        <f>IF(C997="","",MAX($A$1:A996)+1)</f>
        <v>957</v>
      </c>
      <c r="B997" s="25" t="s">
        <v>19</v>
      </c>
      <c r="C997" s="23">
        <v>46090</v>
      </c>
      <c r="D997" s="24" t="str">
        <f>_xlfn.XLOOKUP(Table134526_79101120212223242526[[#This Row],[Name Surname]],Manpower!$C$4:$C$1048576,Manpower!$B$4:$B$1048576,"")</f>
        <v>Encogroup</v>
      </c>
      <c r="E997" s="23" t="s">
        <v>63</v>
      </c>
      <c r="F997" s="12" t="e">
        <f>_xlfn.XLOOKUP(Table134526_79101120212223242526[[#This Row],[Name Surname]],Manpower!C:C,Manpower!D:D,)</f>
        <v>#N/A</v>
      </c>
      <c r="G997" s="24" t="str">
        <f>_xlfn.XLOOKUP(Table134526_79101120212223242526[[#This Row],[Name Surname]],Manpower!$C$4:$C$1048576,Manpower!$F$4:$F$1048576,"")</f>
        <v>22KVA-Generator</v>
      </c>
      <c r="H997" s="24" t="str">
        <f>_xlfn.XLOOKUP(Table134526_79101120212223242526[[#This Row],[Name Surname]],Manpower!$C$4:$C$1048576,Manpower!$H$4:$H$1048576,"")</f>
        <v>Equipment</v>
      </c>
      <c r="I997" s="24" t="str">
        <f>_xlfn.XLOOKUP(Table134526_79101120212223242526[[#This Row],[Name Surname]],Manpower!$C$4:$C$1048576,Manpower!$H$4:$H$1048576,"")</f>
        <v>Equipment</v>
      </c>
      <c r="J997" s="21" t="s">
        <v>48</v>
      </c>
      <c r="K997" s="21" t="s">
        <v>26</v>
      </c>
      <c r="L997" s="21" t="s">
        <v>49</v>
      </c>
      <c r="M997" s="21" t="s">
        <v>24</v>
      </c>
      <c r="N997" s="29">
        <v>10</v>
      </c>
      <c r="O997" s="21" t="s">
        <v>25</v>
      </c>
      <c r="P997" s="21" t="s">
        <v>41</v>
      </c>
      <c r="Q997" s="21" t="s">
        <v>41</v>
      </c>
      <c r="R997" s="21" t="s">
        <v>26</v>
      </c>
    </row>
    <row r="998" spans="1:19" s="45" customFormat="1" ht="14.4" hidden="1">
      <c r="A998" s="25">
        <f>IF(C998="","",MAX($A$1:A996)+1)</f>
        <v>957</v>
      </c>
      <c r="B998" s="25" t="s">
        <v>19</v>
      </c>
      <c r="C998" s="41">
        <v>46090</v>
      </c>
      <c r="D998" s="48" t="str">
        <f>_xlfn.XLOOKUP(Table134526_79101120212223242526[[#This Row],[Name Surname]],Manpower!$C$4:$C$1048576,Manpower!$B$4:$B$1048576,"")</f>
        <v>Bright Light</v>
      </c>
      <c r="E998" s="41" t="s">
        <v>64</v>
      </c>
      <c r="F998" s="12">
        <f>_xlfn.XLOOKUP(Table134526_79101120212223242526[[#This Row],[Name Surname]],Manpower!C:C,Manpower!D:D,)</f>
        <v>114531608</v>
      </c>
      <c r="G998" s="48" t="str">
        <f>_xlfn.XLOOKUP(Table134526_79101120212223242526[[#This Row],[Name Surname]],Manpower!$C$4:$C$1048576,Manpower!$F$4:$F$1048576,"")</f>
        <v>Crane Operator-150T Sany Crawler</v>
      </c>
      <c r="H998" s="48" t="s">
        <v>39</v>
      </c>
      <c r="I998" s="42" t="s">
        <v>39</v>
      </c>
      <c r="J998" s="43" t="s">
        <v>48</v>
      </c>
      <c r="K998" s="43" t="s">
        <v>26</v>
      </c>
      <c r="L998" s="43" t="s">
        <v>49</v>
      </c>
      <c r="M998" s="43" t="s">
        <v>24</v>
      </c>
      <c r="N998" s="44">
        <v>10</v>
      </c>
      <c r="O998" s="43" t="s">
        <v>40</v>
      </c>
      <c r="P998" s="43" t="s">
        <v>41</v>
      </c>
      <c r="Q998" s="43" t="s">
        <v>42</v>
      </c>
      <c r="R998" s="43" t="s">
        <v>26</v>
      </c>
      <c r="S998" s="43"/>
    </row>
    <row r="999" spans="1:19" s="45" customFormat="1" ht="14.4" hidden="1">
      <c r="A999" s="25">
        <f>IF(C999="","",MAX($A$1:A998)+1)</f>
        <v>958</v>
      </c>
      <c r="B999" s="25" t="s">
        <v>19</v>
      </c>
      <c r="C999" s="41">
        <v>46090</v>
      </c>
      <c r="D999" s="48" t="str">
        <f>_xlfn.XLOOKUP(Table134526_79101120212223242526[[#This Row],[Name Surname]],Manpower!$C$4:$C$1048576,Manpower!$B$4:$B$1048576,"")</f>
        <v>AL Saif &amp; Al QALLM ENT LLC</v>
      </c>
      <c r="E999" s="47" t="s">
        <v>65</v>
      </c>
      <c r="F999" s="12">
        <f>_xlfn.XLOOKUP(Table134526_79101120212223242526[[#This Row],[Name Surname]],Manpower!C:C,Manpower!D:D,)</f>
        <v>108478006</v>
      </c>
      <c r="G999" s="48" t="str">
        <f>_xlfn.XLOOKUP(Table134526_79101120212223242526[[#This Row],[Name Surname]],Manpower!$C$4:$C$1048576,Manpower!$F$4:$F$1048576,"")</f>
        <v>RIgger</v>
      </c>
      <c r="H999" s="48" t="str">
        <f>_xlfn.XLOOKUP(Table134526_79101120212223242526[[#This Row],[Name Surname]],Manpower!$C$4:$C$1048576,Manpower!$H$4:$H$1048576,"")</f>
        <v>Sub Contactor</v>
      </c>
      <c r="I999" s="42" t="str">
        <f>_xlfn.XLOOKUP(Table134526_79101120212223242526[[#This Row],[Name Surname]],Manpower!$C$4:$C$1048576,Manpower!$H$4:$H$1048576,"")</f>
        <v>Sub Contactor</v>
      </c>
      <c r="J999" s="43" t="s">
        <v>48</v>
      </c>
      <c r="K999" s="43" t="s">
        <v>26</v>
      </c>
      <c r="L999" s="43" t="s">
        <v>49</v>
      </c>
      <c r="M999" s="43" t="s">
        <v>24</v>
      </c>
      <c r="N999" s="44">
        <v>8</v>
      </c>
      <c r="O999" s="43" t="s">
        <v>25</v>
      </c>
      <c r="P999" s="43" t="s">
        <v>41</v>
      </c>
      <c r="Q999" s="43" t="s">
        <v>60</v>
      </c>
      <c r="R999" s="43" t="s">
        <v>26</v>
      </c>
      <c r="S999" s="43"/>
    </row>
    <row r="1000" spans="1:19" s="45" customFormat="1" ht="14.4" hidden="1">
      <c r="A1000" s="25">
        <f>IF(C1000="","",MAX($A$1:A999)+1)</f>
        <v>959</v>
      </c>
      <c r="B1000" s="25" t="s">
        <v>19</v>
      </c>
      <c r="C1000" s="41">
        <v>46090</v>
      </c>
      <c r="D1000" s="48" t="str">
        <f>_xlfn.XLOOKUP(Table134526_79101120212223242526[[#This Row],[Name Surname]],Manpower!$C$4:$C$1048576,Manpower!$B$4:$B$1048576,"")</f>
        <v>AL Omar International TRAD AND CONT</v>
      </c>
      <c r="E1000" s="41" t="s">
        <v>66</v>
      </c>
      <c r="F1000" s="12">
        <f>_xlfn.XLOOKUP(Table134526_79101120212223242526[[#This Row],[Name Surname]],Manpower!C:C,Manpower!D:D,)</f>
        <v>115018512</v>
      </c>
      <c r="G1000" s="48" t="str">
        <f>_xlfn.XLOOKUP(Table134526_79101120212223242526[[#This Row],[Name Surname]],Manpower!$C$4:$C$1048576,Manpower!$F$4:$F$1048576,"")</f>
        <v>RIgger</v>
      </c>
      <c r="H1000" s="48" t="str">
        <f>_xlfn.XLOOKUP(Table134526_79101120212223242526[[#This Row],[Name Surname]],Manpower!$C$4:$C$1048576,Manpower!$H$4:$H$1048576,"")</f>
        <v>Sub Contactor</v>
      </c>
      <c r="I1000" s="42" t="str">
        <f>_xlfn.XLOOKUP(Table134526_79101120212223242526[[#This Row],[Name Surname]],Manpower!$C$4:$C$1048576,Manpower!$H$4:$H$1048576,"")</f>
        <v>Sub Contactor</v>
      </c>
      <c r="J1000" s="43" t="s">
        <v>48</v>
      </c>
      <c r="K1000" s="43" t="s">
        <v>26</v>
      </c>
      <c r="L1000" s="43" t="s">
        <v>49</v>
      </c>
      <c r="M1000" s="43" t="s">
        <v>24</v>
      </c>
      <c r="N1000" s="44">
        <v>8</v>
      </c>
      <c r="O1000" s="43" t="s">
        <v>25</v>
      </c>
      <c r="P1000" s="43" t="s">
        <v>41</v>
      </c>
      <c r="Q1000" s="43" t="s">
        <v>60</v>
      </c>
      <c r="R1000" s="43" t="s">
        <v>26</v>
      </c>
      <c r="S1000" s="43"/>
    </row>
    <row r="1001" spans="1:19" s="45" customFormat="1" ht="14.4" hidden="1">
      <c r="A1001" s="25">
        <f>IF(C1001="","",MAX($A$1:A1000)+1)</f>
        <v>960</v>
      </c>
      <c r="B1001" s="25" t="s">
        <v>19</v>
      </c>
      <c r="C1001" s="41">
        <v>46090</v>
      </c>
      <c r="D1001" s="48" t="str">
        <f>_xlfn.XLOOKUP(Table134526_79101120212223242526[[#This Row],[Name Surname]],Manpower!$C$4:$C$1048576,Manpower!$B$4:$B$1048576,"")</f>
        <v>Encogroup</v>
      </c>
      <c r="E1001" s="41" t="s">
        <v>67</v>
      </c>
      <c r="F1001" s="12">
        <f>_xlfn.XLOOKUP(Table134526_79101120212223242526[[#This Row],[Name Surname]],Manpower!C:C,Manpower!D:D,)</f>
        <v>122082769</v>
      </c>
      <c r="G1001" s="48" t="str">
        <f>_xlfn.XLOOKUP(Table134526_79101120212223242526[[#This Row],[Name Surname]],Manpower!$C$4:$C$1048576,Manpower!$F$4:$F$1048576,"")</f>
        <v>Grinder</v>
      </c>
      <c r="H1001" s="48" t="str">
        <f>_xlfn.XLOOKUP(Table134526_79101120212223242526[[#This Row],[Name Surname]],Manpower!$C$4:$C$1048576,Manpower!$H$4:$H$1048576,"")</f>
        <v>Manpower</v>
      </c>
      <c r="I1001" s="42" t="str">
        <f>_xlfn.XLOOKUP(Table134526_79101120212223242526[[#This Row],[Name Surname]],Manpower!$C$4:$C$1048576,Manpower!$H$4:$H$1048576,"")</f>
        <v>Manpower</v>
      </c>
      <c r="J1001" s="43" t="s">
        <v>48</v>
      </c>
      <c r="K1001" s="43" t="s">
        <v>26</v>
      </c>
      <c r="L1001" s="43" t="s">
        <v>49</v>
      </c>
      <c r="M1001" s="43" t="s">
        <v>24</v>
      </c>
      <c r="N1001" s="44">
        <v>10</v>
      </c>
      <c r="O1001" s="43" t="s">
        <v>25</v>
      </c>
      <c r="P1001" s="43" t="s">
        <v>41</v>
      </c>
      <c r="Q1001" s="43" t="s">
        <v>60</v>
      </c>
      <c r="R1001" s="43" t="s">
        <v>26</v>
      </c>
      <c r="S1001" s="43"/>
    </row>
    <row r="1002" spans="1:19" ht="14.4" hidden="1">
      <c r="A1002" s="33">
        <f>IF(C1002="","",MAX($A$1:A1001)+1)</f>
        <v>961</v>
      </c>
      <c r="B1002" s="25" t="s">
        <v>19</v>
      </c>
      <c r="C1002" s="23">
        <v>46090</v>
      </c>
      <c r="D1002" s="28" t="str">
        <f>_xlfn.XLOOKUP(Table134526_79101120212223242526[[#This Row],[Name Surname]],Manpower!$C$4:$C$1048576,Manpower!$B$4:$B$1048576,"")</f>
        <v>Encogroup</v>
      </c>
      <c r="E1002" s="23" t="s">
        <v>59</v>
      </c>
      <c r="F1002" s="12">
        <f>_xlfn.XLOOKUP(Table134526_79101120212223242526[[#This Row],[Name Surname]],Manpower!C:C,Manpower!D:D,)</f>
        <v>141169085</v>
      </c>
      <c r="G1002" s="28" t="str">
        <f>_xlfn.XLOOKUP(Table134526_79101120212223242526[[#This Row],[Name Surname]],Manpower!$C$4:$C$1048576,Manpower!$F$4:$F$1048576,"")</f>
        <v>Welder</v>
      </c>
      <c r="H1002" s="28" t="str">
        <f>_xlfn.XLOOKUP(Table134526_79101120212223242526[[#This Row],[Name Surname]],Manpower!$C$4:$C$1048576,Manpower!$H$4:$H$1048576,"")</f>
        <v>Manpower</v>
      </c>
      <c r="I1002" s="24" t="str">
        <f>_xlfn.XLOOKUP(Table134526_79101120212223242526[[#This Row],[Name Surname]],Manpower!$C$4:$C$1048576,Manpower!$H$4:$H$1048576,"")</f>
        <v>Manpower</v>
      </c>
      <c r="J1002" s="21" t="s">
        <v>48</v>
      </c>
      <c r="K1002" s="21" t="s">
        <v>26</v>
      </c>
      <c r="L1002" s="21" t="s">
        <v>49</v>
      </c>
      <c r="M1002" s="21" t="s">
        <v>24</v>
      </c>
      <c r="N1002" s="29">
        <v>5</v>
      </c>
      <c r="O1002" s="21" t="s">
        <v>25</v>
      </c>
      <c r="P1002" s="21" t="s">
        <v>41</v>
      </c>
      <c r="Q1002" s="21" t="s">
        <v>60</v>
      </c>
      <c r="R1002" s="21" t="s">
        <v>26</v>
      </c>
    </row>
    <row r="1003" spans="1:19" ht="14.4" hidden="1">
      <c r="A1003" s="33">
        <f>IF(C1003="","",MAX($A$1:A1002)+1)</f>
        <v>962</v>
      </c>
      <c r="B1003" s="25" t="s">
        <v>19</v>
      </c>
      <c r="C1003" s="23">
        <v>46090</v>
      </c>
      <c r="D1003" s="28" t="str">
        <f>_xlfn.XLOOKUP(Table134526_79101120212223242526[[#This Row],[Name Surname]],Manpower!$C$4:$C$1048576,Manpower!$B$4:$B$1048576,"")</f>
        <v>Encogroup</v>
      </c>
      <c r="E1003" s="23" t="s">
        <v>61</v>
      </c>
      <c r="F1003" s="12">
        <f>_xlfn.XLOOKUP(Table134526_79101120212223242526[[#This Row],[Name Surname]],Manpower!C:C,Manpower!D:D,)</f>
        <v>141169047</v>
      </c>
      <c r="G1003" s="28" t="str">
        <f>_xlfn.XLOOKUP(Table134526_79101120212223242526[[#This Row],[Name Surname]],Manpower!$C$4:$C$1048576,Manpower!$F$4:$F$1048576,"")</f>
        <v>Welder</v>
      </c>
      <c r="H1003" s="28" t="str">
        <f>_xlfn.XLOOKUP(Table134526_79101120212223242526[[#This Row],[Name Surname]],Manpower!$C$4:$C$1048576,Manpower!$H$4:$H$1048576,"")</f>
        <v>Manpower</v>
      </c>
      <c r="I1003" s="24" t="str">
        <f>_xlfn.XLOOKUP(Table134526_79101120212223242526[[#This Row],[Name Surname]],Manpower!$C$4:$C$1048576,Manpower!$H$4:$H$1048576,"")</f>
        <v>Manpower</v>
      </c>
      <c r="J1003" s="21" t="s">
        <v>48</v>
      </c>
      <c r="K1003" s="21" t="s">
        <v>26</v>
      </c>
      <c r="L1003" s="21" t="s">
        <v>49</v>
      </c>
      <c r="M1003" s="21" t="s">
        <v>24</v>
      </c>
      <c r="N1003" s="29">
        <v>5</v>
      </c>
      <c r="O1003" s="21" t="s">
        <v>25</v>
      </c>
      <c r="P1003" s="21" t="s">
        <v>41</v>
      </c>
      <c r="Q1003" s="21" t="s">
        <v>60</v>
      </c>
      <c r="R1003" s="21" t="s">
        <v>26</v>
      </c>
    </row>
    <row r="1004" spans="1:19" s="45" customFormat="1" ht="14.4" hidden="1">
      <c r="A1004" s="25">
        <f>IF(C1004="","",MAX($A$1:A1003)+1)</f>
        <v>963</v>
      </c>
      <c r="B1004" s="25" t="s">
        <v>19</v>
      </c>
      <c r="C1004" s="41">
        <v>46090</v>
      </c>
      <c r="D1004" s="48" t="str">
        <f>_xlfn.XLOOKUP(Table134526_79101120212223242526[[#This Row],[Name Surname]],Manpower!$C$4:$C$1048576,Manpower!$B$4:$B$1048576,"")</f>
        <v>BUSHRA</v>
      </c>
      <c r="E1004" s="41" t="s">
        <v>248</v>
      </c>
      <c r="F1004" s="12" t="e">
        <f>_xlfn.XLOOKUP(Table134526_79101120212223242526[[#This Row],[Name Surname]],Manpower!C:C,Manpower!D:D,)</f>
        <v>#N/A</v>
      </c>
      <c r="G1004" s="48" t="str">
        <f>_xlfn.XLOOKUP(Table134526_79101120212223242526[[#This Row],[Name Surname]],Manpower!$C$4:$C$1048576,Manpower!$F$4:$F$1048576,"")</f>
        <v>Diesel Re-fueling team</v>
      </c>
      <c r="H1004" s="48" t="str">
        <f>_xlfn.XLOOKUP(Table134526_79101120212223242526[[#This Row],[Name Surname]],Manpower!$C$4:$C$1048576,Manpower!$H$4:$H$1048576,"")</f>
        <v>Manpower</v>
      </c>
      <c r="I1004" s="42" t="str">
        <f>_xlfn.XLOOKUP(Table134526_79101120212223242526[[#This Row],[Name Surname]],Manpower!$C$4:$C$1048576,Manpower!$H$4:$H$1048576,"")</f>
        <v>Manpower</v>
      </c>
      <c r="J1004" s="43" t="s">
        <v>48</v>
      </c>
      <c r="K1004" s="43" t="s">
        <v>26</v>
      </c>
      <c r="L1004" s="43" t="s">
        <v>49</v>
      </c>
      <c r="M1004" s="43" t="s">
        <v>24</v>
      </c>
      <c r="N1004" s="44">
        <v>1</v>
      </c>
      <c r="O1004" s="43" t="s">
        <v>249</v>
      </c>
      <c r="P1004" s="43" t="s">
        <v>249</v>
      </c>
      <c r="Q1004" s="43" t="s">
        <v>249</v>
      </c>
      <c r="R1004" s="43" t="s">
        <v>26</v>
      </c>
      <c r="S1004" s="43"/>
    </row>
    <row r="1005" spans="1:19" s="45" customFormat="1" ht="14.4" hidden="1">
      <c r="A1005" s="25">
        <f>IF(C1005="","",MAX($A$1:A1003)+1)</f>
        <v>963</v>
      </c>
      <c r="B1005" s="25" t="s">
        <v>19</v>
      </c>
      <c r="C1005" s="41">
        <v>46090</v>
      </c>
      <c r="D1005" s="48" t="str">
        <f>_xlfn.XLOOKUP(Table134526_79101120212223242526[[#This Row],[Name Surname]],Manpower!$C$4:$C$1048576,Manpower!$B$4:$B$1048576,"")</f>
        <v>BUSHRA</v>
      </c>
      <c r="E1005" s="41" t="s">
        <v>250</v>
      </c>
      <c r="F1005" s="12" t="str">
        <f>_xlfn.XLOOKUP(Table134526_79101120212223242526[[#This Row],[Name Surname]],Manpower!C:C,Manpower!D:D,)</f>
        <v>Not Required</v>
      </c>
      <c r="G1005" s="48" t="str">
        <f>_xlfn.XLOOKUP(Table134526_79101120212223242526[[#This Row],[Name Surname]],Manpower!$C$4:$C$1048576,Manpower!$F$4:$F$1048576,"")</f>
        <v>Diesel Re-fueling team</v>
      </c>
      <c r="H1005" s="48" t="str">
        <f>_xlfn.XLOOKUP(Table134526_79101120212223242526[[#This Row],[Name Surname]],Manpower!$C$4:$C$1048576,Manpower!$H$4:$H$1048576,"")</f>
        <v>Manpower</v>
      </c>
      <c r="I1005" s="42" t="str">
        <f>_xlfn.XLOOKUP(Table134526_79101120212223242526[[#This Row],[Name Surname]],Manpower!$C$4:$C$1048576,Manpower!$H$4:$H$1048576,"")</f>
        <v>Manpower</v>
      </c>
      <c r="J1005" s="43" t="s">
        <v>48</v>
      </c>
      <c r="K1005" s="43" t="s">
        <v>26</v>
      </c>
      <c r="L1005" s="43" t="s">
        <v>49</v>
      </c>
      <c r="M1005" s="43" t="s">
        <v>24</v>
      </c>
      <c r="N1005" s="44">
        <v>1</v>
      </c>
      <c r="O1005" s="43" t="s">
        <v>249</v>
      </c>
      <c r="P1005" s="43" t="s">
        <v>249</v>
      </c>
      <c r="Q1005" s="43" t="s">
        <v>249</v>
      </c>
      <c r="R1005" s="43" t="s">
        <v>26</v>
      </c>
      <c r="S1005" s="43"/>
    </row>
    <row r="1006" spans="1:19" s="45" customFormat="1" ht="14.4" hidden="1">
      <c r="A1006" s="25">
        <f>IF(C1006="","",MAX($A$1:A1005)+1)</f>
        <v>964</v>
      </c>
      <c r="B1006" s="25" t="s">
        <v>19</v>
      </c>
      <c r="C1006" s="41">
        <v>46090</v>
      </c>
      <c r="D1006" s="48" t="str">
        <f>_xlfn.XLOOKUP(Table134526_79101120212223242526[[#This Row],[Name Surname]],Manpower!$C$4:$C$1048576,Manpower!$B$4:$B$1048576,"")</f>
        <v>AL Omar International TRAD AND CONT</v>
      </c>
      <c r="E1006" s="41" t="s">
        <v>197</v>
      </c>
      <c r="F1006" s="12">
        <f>_xlfn.XLOOKUP(Table134526_79101120212223242526[[#This Row],[Name Surname]],Manpower!C:C,Manpower!D:D,)</f>
        <v>106093463</v>
      </c>
      <c r="G1006" s="48" t="str">
        <f>_xlfn.XLOOKUP(Table134526_79101120212223242526[[#This Row],[Name Surname]],Manpower!$C$4:$C$1048576,Manpower!$F$4:$F$1048576,"")</f>
        <v>RIgger</v>
      </c>
      <c r="H1006" s="48" t="str">
        <f>_xlfn.XLOOKUP(Table134526_79101120212223242526[[#This Row],[Name Surname]],Manpower!$C$4:$C$1048576,Manpower!$H$4:$H$1048576,"")</f>
        <v>Sub Contactor</v>
      </c>
      <c r="I1006" s="42" t="str">
        <f>_xlfn.XLOOKUP(Table134526_79101120212223242526[[#This Row],[Name Surname]],Manpower!$C$4:$C$1048576,Manpower!$H$4:$H$1048576,"")</f>
        <v>Sub Contactor</v>
      </c>
      <c r="J1006" s="43" t="s">
        <v>48</v>
      </c>
      <c r="K1006" s="43" t="s">
        <v>26</v>
      </c>
      <c r="L1006" s="43" t="s">
        <v>49</v>
      </c>
      <c r="M1006" s="43" t="s">
        <v>24</v>
      </c>
      <c r="N1006" s="44">
        <v>8</v>
      </c>
      <c r="O1006" s="43" t="s">
        <v>25</v>
      </c>
      <c r="P1006" s="43" t="s">
        <v>41</v>
      </c>
      <c r="Q1006" s="43" t="s">
        <v>60</v>
      </c>
      <c r="R1006" s="43" t="s">
        <v>26</v>
      </c>
      <c r="S1006" s="43"/>
    </row>
    <row r="1007" spans="1:19" s="45" customFormat="1" ht="14.4" hidden="1">
      <c r="A1007" s="25">
        <f>IF(C1007="","",MAX($A$1:A1003)+1)</f>
        <v>963</v>
      </c>
      <c r="B1007" s="25" t="s">
        <v>19</v>
      </c>
      <c r="C1007" s="41">
        <v>46090</v>
      </c>
      <c r="D1007" s="48" t="str">
        <f>_xlfn.XLOOKUP(Table134526_79101120212223242526[[#This Row],[Name Surname]],Manpower!$C$4:$C$1048576,Manpower!$B$4:$B$1048576,"")</f>
        <v>Encogroup</v>
      </c>
      <c r="E1007" s="41" t="s">
        <v>68</v>
      </c>
      <c r="F1007" s="12">
        <f>_xlfn.XLOOKUP(Table134526_79101120212223242526[[#This Row],[Name Surname]],Manpower!C:C,Manpower!D:D,)</f>
        <v>116915582</v>
      </c>
      <c r="G1007" s="48" t="str">
        <f>_xlfn.XLOOKUP(Table134526_79101120212223242526[[#This Row],[Name Surname]],Manpower!$C$4:$C$1048576,Manpower!$F$4:$F$1048576,"")</f>
        <v>Mechanical Superintendent</v>
      </c>
      <c r="H1007" s="48" t="str">
        <f>_xlfn.XLOOKUP(Table134526_79101120212223242526[[#This Row],[Name Surname]],Manpower!$C$4:$C$1048576,Manpower!$H$4:$H$1048576,"")</f>
        <v>Manpower</v>
      </c>
      <c r="I1007" s="42" t="str">
        <f>_xlfn.XLOOKUP(Table134526_79101120212223242526[[#This Row],[Name Surname]],Manpower!$C$4:$C$1048576,Manpower!$H$4:$H$1048576,"")</f>
        <v>Manpower</v>
      </c>
      <c r="J1007" s="43" t="s">
        <v>48</v>
      </c>
      <c r="K1007" s="43" t="s">
        <v>26</v>
      </c>
      <c r="L1007" s="43" t="s">
        <v>49</v>
      </c>
      <c r="M1007" s="43" t="s">
        <v>24</v>
      </c>
      <c r="N1007" s="44">
        <v>8</v>
      </c>
      <c r="O1007" s="43" t="s">
        <v>25</v>
      </c>
      <c r="P1007" s="43" t="s">
        <v>41</v>
      </c>
      <c r="Q1007" s="43" t="s">
        <v>60</v>
      </c>
      <c r="R1007" s="43" t="s">
        <v>26</v>
      </c>
      <c r="S1007" s="43"/>
    </row>
    <row r="1008" spans="1:19" s="45" customFormat="1" ht="14.4" hidden="1">
      <c r="A1008" s="25">
        <f>IF(C1008="","",MAX($A$1:A1007)+1)</f>
        <v>965</v>
      </c>
      <c r="B1008" s="25" t="s">
        <v>19</v>
      </c>
      <c r="C1008" s="41">
        <v>46090</v>
      </c>
      <c r="D1008" s="48" t="str">
        <f>_xlfn.XLOOKUP(Table134526_79101120212223242526[[#This Row],[Name Surname]],Manpower!$C$4:$C$1048576,Manpower!$B$4:$B$1048576,"")</f>
        <v>Encogroup</v>
      </c>
      <c r="E1008" s="41" t="s">
        <v>69</v>
      </c>
      <c r="F1008" s="12">
        <f>_xlfn.XLOOKUP(Table134526_79101120212223242526[[#This Row],[Name Surname]],Manpower!C:C,Manpower!D:D,)</f>
        <v>141169071</v>
      </c>
      <c r="G1008" s="48" t="str">
        <f>_xlfn.XLOOKUP(Table134526_79101120212223242526[[#This Row],[Name Surname]],Manpower!$C$4:$C$1048576,Manpower!$F$4:$F$1048576,"")</f>
        <v>Welding Supervisor</v>
      </c>
      <c r="H1008" s="48" t="str">
        <f>_xlfn.XLOOKUP(Table134526_79101120212223242526[[#This Row],[Name Surname]],Manpower!$C$4:$C$1048576,Manpower!$H$4:$H$1048576,"")</f>
        <v>Manpower</v>
      </c>
      <c r="I1008" s="42" t="str">
        <f>_xlfn.XLOOKUP(Table134526_79101120212223242526[[#This Row],[Name Surname]],Manpower!$C$4:$C$1048576,Manpower!$H$4:$H$1048576,"")</f>
        <v>Manpower</v>
      </c>
      <c r="J1008" s="43" t="s">
        <v>48</v>
      </c>
      <c r="K1008" s="43" t="s">
        <v>26</v>
      </c>
      <c r="L1008" s="43" t="s">
        <v>49</v>
      </c>
      <c r="M1008" s="43" t="s">
        <v>24</v>
      </c>
      <c r="N1008" s="44">
        <v>10</v>
      </c>
      <c r="O1008" s="43" t="s">
        <v>25</v>
      </c>
      <c r="P1008" s="43" t="s">
        <v>41</v>
      </c>
      <c r="Q1008" s="43" t="s">
        <v>60</v>
      </c>
      <c r="R1008" s="43" t="s">
        <v>26</v>
      </c>
      <c r="S1008" s="43"/>
    </row>
    <row r="1009" spans="1:19" s="45" customFormat="1" ht="14.4" hidden="1">
      <c r="A1009" s="25">
        <f>IF(C1009="","",MAX($A$1:A1008)+1)</f>
        <v>966</v>
      </c>
      <c r="B1009" s="25" t="s">
        <v>19</v>
      </c>
      <c r="C1009" s="41">
        <v>46090</v>
      </c>
      <c r="D1009" s="48" t="str">
        <f>_xlfn.XLOOKUP(Table134526_79101120212223242526[[#This Row],[Name Surname]],Manpower!$C$4:$C$1048576,Manpower!$B$4:$B$1048576,"")</f>
        <v>Encogroup</v>
      </c>
      <c r="E1009" s="41" t="s">
        <v>70</v>
      </c>
      <c r="F1009" s="12">
        <f>_xlfn.XLOOKUP(Table134526_79101120212223242526[[#This Row],[Name Surname]],Manpower!C:C,Manpower!D:D,)</f>
        <v>141365126</v>
      </c>
      <c r="G1009" s="48" t="str">
        <f>_xlfn.XLOOKUP(Table134526_79101120212223242526[[#This Row],[Name Surname]],Manpower!$C$4:$C$1048576,Manpower!$F$4:$F$1048576,"")</f>
        <v>Helper</v>
      </c>
      <c r="H1009" s="48" t="str">
        <f>_xlfn.XLOOKUP(Table134526_79101120212223242526[[#This Row],[Name Surname]],Manpower!$C$4:$C$1048576,Manpower!$H$4:$H$1048576,"")</f>
        <v>Manpower</v>
      </c>
      <c r="I1009" s="42" t="str">
        <f>_xlfn.XLOOKUP(Table134526_79101120212223242526[[#This Row],[Name Surname]],Manpower!$C$4:$C$1048576,Manpower!$H$4:$H$1048576,"")</f>
        <v>Manpower</v>
      </c>
      <c r="J1009" s="43" t="s">
        <v>48</v>
      </c>
      <c r="K1009" s="43" t="s">
        <v>26</v>
      </c>
      <c r="L1009" s="43" t="s">
        <v>49</v>
      </c>
      <c r="M1009" s="43" t="s">
        <v>24</v>
      </c>
      <c r="N1009" s="44">
        <v>10</v>
      </c>
      <c r="O1009" s="43" t="s">
        <v>25</v>
      </c>
      <c r="P1009" s="43" t="s">
        <v>41</v>
      </c>
      <c r="Q1009" s="43" t="s">
        <v>60</v>
      </c>
      <c r="R1009" s="43" t="s">
        <v>26</v>
      </c>
      <c r="S1009" s="43"/>
    </row>
    <row r="1010" spans="1:19" s="45" customFormat="1" ht="14.4" hidden="1">
      <c r="A1010" s="25">
        <f>IF(C1010="","",MAX($A$1:A1009)+1)</f>
        <v>967</v>
      </c>
      <c r="B1010" s="25" t="s">
        <v>19</v>
      </c>
      <c r="C1010" s="41">
        <v>46090</v>
      </c>
      <c r="D1010" s="48" t="str">
        <f>_xlfn.XLOOKUP(Table134526_79101120212223242526[[#This Row],[Name Surname]],Manpower!$C$4:$C$1048576,Manpower!$B$4:$B$1048576,"")</f>
        <v>Bright Light</v>
      </c>
      <c r="E1010" s="41" t="s">
        <v>71</v>
      </c>
      <c r="F1010" s="12">
        <f>_xlfn.XLOOKUP(Table134526_79101120212223242526[[#This Row],[Name Surname]],Manpower!C:C,Manpower!D:D,)</f>
        <v>81379273</v>
      </c>
      <c r="G1010" s="48" t="str">
        <f>_xlfn.XLOOKUP(Table134526_79101120212223242526[[#This Row],[Name Surname]],Manpower!$C$4:$C$1048576,Manpower!$F$4:$F$1048576,"")</f>
        <v>Crane Operator-100T Sany Telescopic</v>
      </c>
      <c r="H1010" s="48" t="s">
        <v>39</v>
      </c>
      <c r="I1010" s="42" t="s">
        <v>39</v>
      </c>
      <c r="J1010" s="43" t="s">
        <v>48</v>
      </c>
      <c r="K1010" s="43" t="s">
        <v>26</v>
      </c>
      <c r="L1010" s="43" t="s">
        <v>49</v>
      </c>
      <c r="M1010" s="43" t="s">
        <v>24</v>
      </c>
      <c r="N1010" s="44">
        <v>10</v>
      </c>
      <c r="O1010" s="43" t="s">
        <v>40</v>
      </c>
      <c r="P1010" s="43" t="s">
        <v>41</v>
      </c>
      <c r="Q1010" s="43" t="s">
        <v>42</v>
      </c>
      <c r="R1010" s="43" t="s">
        <v>26</v>
      </c>
      <c r="S1010" s="43"/>
    </row>
    <row r="1011" spans="1:19" s="45" customFormat="1" ht="14.4" hidden="1">
      <c r="A1011" s="25">
        <f>IF(C1011="","",MAX($A$1:A1010)+1)</f>
        <v>968</v>
      </c>
      <c r="B1011" s="25" t="s">
        <v>19</v>
      </c>
      <c r="C1011" s="41">
        <v>46090</v>
      </c>
      <c r="D1011" s="48" t="str">
        <f>_xlfn.XLOOKUP(Table134526_79101120212223242526[[#This Row],[Name Surname]],Manpower!$C$4:$C$1048576,Manpower!$B$4:$B$1048576,"")</f>
        <v>Encogroup</v>
      </c>
      <c r="E1011" s="41" t="s">
        <v>73</v>
      </c>
      <c r="F1011" s="12">
        <f>_xlfn.XLOOKUP(Table134526_79101120212223242526[[#This Row],[Name Surname]],Manpower!C:C,Manpower!D:D,)</f>
        <v>135325259</v>
      </c>
      <c r="G1011" s="48" t="str">
        <f>_xlfn.XLOOKUP(Table134526_79101120212223242526[[#This Row],[Name Surname]],Manpower!$C$4:$C$1048576,Manpower!$F$4:$F$1048576,"")</f>
        <v>Permit Receiver</v>
      </c>
      <c r="H1011" s="48" t="str">
        <f>_xlfn.XLOOKUP(Table134526_79101120212223242526[[#This Row],[Name Surname]],Manpower!$C$4:$C$1048576,Manpower!$H$4:$H$1048576,"")</f>
        <v>Manpower</v>
      </c>
      <c r="I1011" s="42" t="str">
        <f>_xlfn.XLOOKUP(Table134526_79101120212223242526[[#This Row],[Name Surname]],Manpower!$C$4:$C$1048576,Manpower!$H$4:$H$1048576,"")</f>
        <v>Manpower</v>
      </c>
      <c r="J1011" s="43" t="s">
        <v>48</v>
      </c>
      <c r="K1011" s="43" t="s">
        <v>26</v>
      </c>
      <c r="L1011" s="43" t="s">
        <v>49</v>
      </c>
      <c r="M1011" s="43" t="s">
        <v>24</v>
      </c>
      <c r="N1011" s="44">
        <v>10</v>
      </c>
      <c r="O1011" s="43" t="s">
        <v>25</v>
      </c>
      <c r="P1011" s="43" t="s">
        <v>41</v>
      </c>
      <c r="Q1011" s="43" t="s">
        <v>60</v>
      </c>
      <c r="R1011" s="43" t="s">
        <v>26</v>
      </c>
      <c r="S1011" s="43"/>
    </row>
    <row r="1012" spans="1:19" s="45" customFormat="1" ht="14.4" hidden="1">
      <c r="A1012" s="25">
        <f>IF(C1012="","",MAX($A$1:A1011)+1)</f>
        <v>969</v>
      </c>
      <c r="B1012" s="25" t="s">
        <v>19</v>
      </c>
      <c r="C1012" s="41">
        <v>46090</v>
      </c>
      <c r="D1012" s="48" t="str">
        <f>_xlfn.XLOOKUP(Table134526_79101120212223242526[[#This Row],[Name Surname]],Manpower!$C$4:$C$1048576,Manpower!$B$4:$B$1048576,"")</f>
        <v>Encogroup</v>
      </c>
      <c r="E1012" s="47" t="s">
        <v>74</v>
      </c>
      <c r="F1012" s="12">
        <f>_xlfn.XLOOKUP(Table134526_79101120212223242526[[#This Row],[Name Surname]],Manpower!C:C,Manpower!D:D,)</f>
        <v>141365089</v>
      </c>
      <c r="G1012" s="48" t="str">
        <f>_xlfn.XLOOKUP(Table134526_79101120212223242526[[#This Row],[Name Surname]],Manpower!$C$4:$C$1048576,Manpower!$F$4:$F$1048576,"")</f>
        <v>Fitter</v>
      </c>
      <c r="H1012" s="48" t="str">
        <f>_xlfn.XLOOKUP(Table134526_79101120212223242526[[#This Row],[Name Surname]],Manpower!$C$4:$C$1048576,Manpower!$H$4:$H$1048576,"")</f>
        <v>Manpower</v>
      </c>
      <c r="I1012" s="42" t="str">
        <f>_xlfn.XLOOKUP(Table134526_79101120212223242526[[#This Row],[Name Surname]],Manpower!$C$4:$C$1048576,Manpower!$H$4:$H$1048576,"")</f>
        <v>Manpower</v>
      </c>
      <c r="J1012" s="43" t="s">
        <v>48</v>
      </c>
      <c r="K1012" s="43" t="s">
        <v>26</v>
      </c>
      <c r="L1012" s="43" t="s">
        <v>49</v>
      </c>
      <c r="M1012" s="43" t="s">
        <v>24</v>
      </c>
      <c r="N1012" s="44">
        <v>10</v>
      </c>
      <c r="O1012" s="43" t="s">
        <v>25</v>
      </c>
      <c r="P1012" s="43" t="s">
        <v>41</v>
      </c>
      <c r="Q1012" s="43" t="s">
        <v>60</v>
      </c>
      <c r="R1012" s="43" t="s">
        <v>26</v>
      </c>
      <c r="S1012" s="43"/>
    </row>
    <row r="1013" spans="1:19" s="45" customFormat="1" ht="14.4" hidden="1">
      <c r="A1013" s="25">
        <f>IF(C1013="","",MAX($A$1:A1012)+1)</f>
        <v>970</v>
      </c>
      <c r="B1013" s="25" t="s">
        <v>19</v>
      </c>
      <c r="C1013" s="41">
        <v>46090</v>
      </c>
      <c r="D1013" s="48" t="str">
        <f>_xlfn.XLOOKUP(Table134526_79101120212223242526[[#This Row],[Name Surname]],Manpower!$C$4:$C$1048576,Manpower!$B$4:$B$1048576,"")</f>
        <v>Encogroup</v>
      </c>
      <c r="E1013" s="41" t="s">
        <v>75</v>
      </c>
      <c r="F1013" s="12">
        <f>_xlfn.XLOOKUP(Table134526_79101120212223242526[[#This Row],[Name Surname]],Manpower!C:C,Manpower!D:D,)</f>
        <v>122179604</v>
      </c>
      <c r="G1013" s="48" t="str">
        <f>_xlfn.XLOOKUP(Table134526_79101120212223242526[[#This Row],[Name Surname]],Manpower!$C$4:$C$1048576,Manpower!$F$4:$F$1048576,"")</f>
        <v>Fitter/Erector</v>
      </c>
      <c r="H1013" s="48" t="str">
        <f>_xlfn.XLOOKUP(Table134526_79101120212223242526[[#This Row],[Name Surname]],Manpower!$C$4:$C$1048576,Manpower!$H$4:$H$1048576,"")</f>
        <v>Manpower</v>
      </c>
      <c r="I1013" s="42" t="str">
        <f>_xlfn.XLOOKUP(Table134526_79101120212223242526[[#This Row],[Name Surname]],Manpower!$C$4:$C$1048576,Manpower!$H$4:$H$1048576,"")</f>
        <v>Manpower</v>
      </c>
      <c r="J1013" s="43" t="s">
        <v>48</v>
      </c>
      <c r="K1013" s="43" t="s">
        <v>26</v>
      </c>
      <c r="L1013" s="43" t="s">
        <v>49</v>
      </c>
      <c r="M1013" s="43" t="s">
        <v>24</v>
      </c>
      <c r="N1013" s="44">
        <v>10</v>
      </c>
      <c r="O1013" s="43" t="s">
        <v>25</v>
      </c>
      <c r="P1013" s="43" t="s">
        <v>41</v>
      </c>
      <c r="Q1013" s="43" t="s">
        <v>60</v>
      </c>
      <c r="R1013" s="43" t="s">
        <v>26</v>
      </c>
      <c r="S1013" s="43"/>
    </row>
    <row r="1014" spans="1:19" s="45" customFormat="1" ht="14.4" hidden="1">
      <c r="A1014" s="25">
        <f>IF(C1014="","",MAX($A$1:A1013)+1)</f>
        <v>971</v>
      </c>
      <c r="B1014" s="25" t="s">
        <v>19</v>
      </c>
      <c r="C1014" s="41">
        <v>46090</v>
      </c>
      <c r="D1014" s="48" t="str">
        <f>_xlfn.XLOOKUP(Table134526_79101120212223242526[[#This Row],[Name Surname]],Manpower!$C$4:$C$1048576,Manpower!$B$4:$B$1048576,"")</f>
        <v>Encogroup</v>
      </c>
      <c r="E1014" s="41" t="s">
        <v>78</v>
      </c>
      <c r="F1014" s="12">
        <f>_xlfn.XLOOKUP(Table134526_79101120212223242526[[#This Row],[Name Surname]],Manpower!C:C,Manpower!D:D,)</f>
        <v>117255966</v>
      </c>
      <c r="G1014" s="48" t="str">
        <f>_xlfn.XLOOKUP(Table134526_79101120212223242526[[#This Row],[Name Surname]],Manpower!$C$4:$C$1048576,Manpower!$F$4:$F$1048576,"")</f>
        <v>Mechanical Supervisor</v>
      </c>
      <c r="H1014" s="48" t="str">
        <f>_xlfn.XLOOKUP(Table134526_79101120212223242526[[#This Row],[Name Surname]],Manpower!$C$4:$C$1048576,Manpower!$H$4:$H$1048576,"")</f>
        <v>Manpower</v>
      </c>
      <c r="I1014" s="42" t="str">
        <f>_xlfn.XLOOKUP(Table134526_79101120212223242526[[#This Row],[Name Surname]],Manpower!$C$4:$C$1048576,Manpower!$H$4:$H$1048576,"")</f>
        <v>Manpower</v>
      </c>
      <c r="J1014" s="43" t="s">
        <v>48</v>
      </c>
      <c r="K1014" s="43" t="s">
        <v>26</v>
      </c>
      <c r="L1014" s="43" t="s">
        <v>49</v>
      </c>
      <c r="M1014" s="43" t="s">
        <v>24</v>
      </c>
      <c r="N1014" s="44">
        <v>8</v>
      </c>
      <c r="O1014" s="43" t="s">
        <v>25</v>
      </c>
      <c r="P1014" s="43" t="s">
        <v>41</v>
      </c>
      <c r="Q1014" s="43" t="s">
        <v>60</v>
      </c>
      <c r="R1014" s="43" t="s">
        <v>26</v>
      </c>
      <c r="S1014" s="43"/>
    </row>
    <row r="1015" spans="1:19" ht="14.4">
      <c r="A1015" s="33">
        <f>IF(C1015="","",MAX($A$1:A1014)+1)</f>
        <v>972</v>
      </c>
      <c r="B1015" s="26" t="s">
        <v>79</v>
      </c>
      <c r="C1015" s="23">
        <v>46090</v>
      </c>
      <c r="D1015" s="28" t="str">
        <f>_xlfn.XLOOKUP(Table134526_79101120212223242526[[#This Row],[Name Surname]],Manpower!$C$4:$C$1048576,Manpower!$B$4:$B$1048576,"")</f>
        <v>Encogroup</v>
      </c>
      <c r="E1015" s="23" t="s">
        <v>80</v>
      </c>
      <c r="F1015" s="12" t="e">
        <f>_xlfn.XLOOKUP(Table134526_79101120212223242526[[#This Row],[Name Surname]],Manpower!C:C,Manpower!D:D,)</f>
        <v>#N/A</v>
      </c>
      <c r="G1015" s="28" t="str">
        <f>_xlfn.XLOOKUP(Table134526_79101120212223242526[[#This Row],[Name Surname]],Manpower!$C$4:$C$1048576,Manpower!$F$4:$F$1048576,"")</f>
        <v>22M-Manlift</v>
      </c>
      <c r="H1015" s="28" t="str">
        <f>_xlfn.XLOOKUP(Table134526_79101120212223242526[[#This Row],[Name Surname]],Manpower!$C$4:$C$1048576,Manpower!$H$4:$H$1048576,"")</f>
        <v>Equipment</v>
      </c>
      <c r="I1015" s="24" t="str">
        <f>_xlfn.XLOOKUP(Table134526_79101120212223242526[[#This Row],[Name Surname]],Manpower!$C$4:$C$1048576,Manpower!$H$4:$H$1048576,"")</f>
        <v>Equipment</v>
      </c>
      <c r="J1015" s="21" t="s">
        <v>35</v>
      </c>
      <c r="K1015" s="21" t="s">
        <v>104</v>
      </c>
      <c r="L1015" s="21" t="s">
        <v>82</v>
      </c>
      <c r="M1015" s="21" t="s">
        <v>24</v>
      </c>
      <c r="N1015" s="29">
        <v>10</v>
      </c>
      <c r="O1015" s="21" t="s">
        <v>25</v>
      </c>
      <c r="P1015" s="21" t="s">
        <v>41</v>
      </c>
      <c r="Q1015" s="21" t="s">
        <v>77</v>
      </c>
      <c r="R1015" s="21" t="s">
        <v>251</v>
      </c>
    </row>
    <row r="1016" spans="1:19" ht="14.4">
      <c r="A1016" s="33">
        <f>IF(C1016="","",MAX($A$1:A1015)+1)</f>
        <v>973</v>
      </c>
      <c r="B1016" s="26" t="s">
        <v>79</v>
      </c>
      <c r="C1016" s="23">
        <v>46090</v>
      </c>
      <c r="D1016" s="28" t="str">
        <f>_xlfn.XLOOKUP(Table134526_79101120212223242526[[#This Row],[Name Surname]],Manpower!$C$4:$C$1048576,Manpower!$B$4:$B$1048576,"")</f>
        <v>Encogroup</v>
      </c>
      <c r="E1016" s="23" t="s">
        <v>84</v>
      </c>
      <c r="F1016" s="12" t="e">
        <f>_xlfn.XLOOKUP(Table134526_79101120212223242526[[#This Row],[Name Surname]],Manpower!C:C,Manpower!D:D,)</f>
        <v>#N/A</v>
      </c>
      <c r="G1016" s="28" t="str">
        <f>_xlfn.XLOOKUP(Table134526_79101120212223242526[[#This Row],[Name Surname]],Manpower!$C$4:$C$1048576,Manpower!$F$4:$F$1048576,"")</f>
        <v>22M-Manlift</v>
      </c>
      <c r="H1016" s="28" t="str">
        <f>_xlfn.XLOOKUP(Table134526_79101120212223242526[[#This Row],[Name Surname]],Manpower!$C$4:$C$1048576,Manpower!$H$4:$H$1048576,"")</f>
        <v>Equipment</v>
      </c>
      <c r="I1016" s="24" t="str">
        <f>_xlfn.XLOOKUP(Table134526_79101120212223242526[[#This Row],[Name Surname]],Manpower!$C$4:$C$1048576,Manpower!$H$4:$H$1048576,"")</f>
        <v>Equipment</v>
      </c>
      <c r="J1016" s="21" t="s">
        <v>35</v>
      </c>
      <c r="K1016" s="21" t="s">
        <v>98</v>
      </c>
      <c r="L1016" s="21" t="s">
        <v>82</v>
      </c>
      <c r="M1016" s="21" t="s">
        <v>24</v>
      </c>
      <c r="N1016" s="29">
        <v>10</v>
      </c>
      <c r="O1016" s="21" t="s">
        <v>25</v>
      </c>
      <c r="P1016" s="21" t="s">
        <v>41</v>
      </c>
      <c r="Q1016" s="21" t="s">
        <v>77</v>
      </c>
      <c r="R1016" s="21" t="s">
        <v>85</v>
      </c>
    </row>
    <row r="1017" spans="1:19" ht="14.4">
      <c r="A1017" s="33">
        <f>IF(C1017="","",MAX($A$1:A1016)+1)</f>
        <v>974</v>
      </c>
      <c r="B1017" s="26" t="s">
        <v>79</v>
      </c>
      <c r="C1017" s="23">
        <v>46090</v>
      </c>
      <c r="D1017" s="28" t="str">
        <f>_xlfn.XLOOKUP(Table134526_79101120212223242526[[#This Row],[Name Surname]],Manpower!$C$4:$C$1048576,Manpower!$B$4:$B$1048576,"")</f>
        <v>Nass Group</v>
      </c>
      <c r="E1017" s="23" t="s">
        <v>86</v>
      </c>
      <c r="F1017" s="12" t="e">
        <f>_xlfn.XLOOKUP(Table134526_79101120212223242526[[#This Row],[Name Surname]],Manpower!C:C,Manpower!D:D,)</f>
        <v>#N/A</v>
      </c>
      <c r="G1017" s="28" t="str">
        <f>_xlfn.XLOOKUP(Table134526_79101120212223242526[[#This Row],[Name Surname]],Manpower!$C$4:$C$1048576,Manpower!$F$4:$F$1048576,"")</f>
        <v>70T-Telescopic crane</v>
      </c>
      <c r="H1017" s="28" t="str">
        <f>_xlfn.XLOOKUP(Table134526_79101120212223242526[[#This Row],[Name Surname]],Manpower!$C$4:$C$1048576,Manpower!$H$4:$H$1048576,"")</f>
        <v>Equipment</v>
      </c>
      <c r="I1017" s="24" t="str">
        <f>_xlfn.XLOOKUP(Table134526_79101120212223242526[[#This Row],[Name Surname]],Manpower!$C$4:$C$1048576,Manpower!$H$4:$H$1048576,"")</f>
        <v>Equipment</v>
      </c>
      <c r="J1017" s="21" t="s">
        <v>35</v>
      </c>
      <c r="K1017" s="21" t="s">
        <v>252</v>
      </c>
      <c r="L1017" s="21" t="s">
        <v>82</v>
      </c>
      <c r="M1017" s="21" t="s">
        <v>24</v>
      </c>
      <c r="N1017" s="29">
        <v>10</v>
      </c>
      <c r="O1017" s="21" t="s">
        <v>40</v>
      </c>
      <c r="P1017" s="21" t="s">
        <v>41</v>
      </c>
      <c r="Q1017" s="21" t="s">
        <v>42</v>
      </c>
      <c r="R1017" s="21" t="s">
        <v>253</v>
      </c>
    </row>
    <row r="1018" spans="1:19" s="45" customFormat="1" ht="14.4" hidden="1">
      <c r="A1018" s="25">
        <f>IF(C1018="","",MAX($A$1:A1017)+1)</f>
        <v>975</v>
      </c>
      <c r="B1018" s="25" t="s">
        <v>79</v>
      </c>
      <c r="C1018" s="41">
        <v>46090</v>
      </c>
      <c r="D1018" s="48" t="str">
        <f>_xlfn.XLOOKUP(Table134526_79101120212223242526[[#This Row],[Name Surname]],Manpower!$C$4:$C$1048576,Manpower!$B$4:$B$1048576,"")</f>
        <v>Encogroup</v>
      </c>
      <c r="E1018" s="41" t="s">
        <v>87</v>
      </c>
      <c r="F1018" s="12">
        <f>_xlfn.XLOOKUP(Table134526_79101120212223242526[[#This Row],[Name Surname]],Manpower!C:C,Manpower!D:D,)</f>
        <v>126724428</v>
      </c>
      <c r="G1018" s="48" t="str">
        <f>_xlfn.XLOOKUP(Table134526_79101120212223242526[[#This Row],[Name Surname]],Manpower!$C$4:$C$1048576,Manpower!$F$4:$F$1048576,"")</f>
        <v>Surveyor</v>
      </c>
      <c r="H1018" s="48" t="str">
        <f>_xlfn.XLOOKUP(Table134526_79101120212223242526[[#This Row],[Name Surname]],Manpower!$C$4:$C$1048576,Manpower!$H$4:$H$1048576,"")</f>
        <v>Manpower</v>
      </c>
      <c r="I1018" s="42" t="str">
        <f>_xlfn.XLOOKUP(Table134526_79101120212223242526[[#This Row],[Name Surname]],Manpower!$C$4:$C$1048576,Manpower!$H$4:$H$1048576,"")</f>
        <v>Manpower</v>
      </c>
      <c r="J1018" s="43" t="s">
        <v>35</v>
      </c>
      <c r="K1018" s="43" t="s">
        <v>98</v>
      </c>
      <c r="L1018" s="43" t="s">
        <v>82</v>
      </c>
      <c r="M1018" s="43" t="s">
        <v>24</v>
      </c>
      <c r="N1018" s="44">
        <v>8</v>
      </c>
      <c r="O1018" s="43" t="s">
        <v>89</v>
      </c>
      <c r="P1018" s="43" t="s">
        <v>41</v>
      </c>
      <c r="Q1018" s="43" t="s">
        <v>41</v>
      </c>
      <c r="R1018" s="43" t="s">
        <v>233</v>
      </c>
      <c r="S1018" s="43"/>
    </row>
    <row r="1019" spans="1:19" ht="14.4" hidden="1">
      <c r="A1019" s="33">
        <f>IF(C1019="","",MAX($A$1:A1018)+1)</f>
        <v>976</v>
      </c>
      <c r="B1019" s="26" t="s">
        <v>79</v>
      </c>
      <c r="C1019" s="23">
        <v>46090</v>
      </c>
      <c r="D1019" s="28" t="str">
        <f>_xlfn.XLOOKUP(Table134526_79101120212223242526[[#This Row],[Name Surname]],Manpower!$C$4:$C$1048576,Manpower!$B$4:$B$1048576,"")</f>
        <v>Encogroup</v>
      </c>
      <c r="E1019" s="23" t="s">
        <v>34</v>
      </c>
      <c r="F1019" s="12">
        <f>_xlfn.XLOOKUP(Table134526_79101120212223242526[[#This Row],[Name Surname]],Manpower!C:C,Manpower!D:D,)</f>
        <v>141365023</v>
      </c>
      <c r="G1019" s="28" t="str">
        <f>_xlfn.XLOOKUP(Table134526_79101120212223242526[[#This Row],[Name Surname]],Manpower!$C$4:$C$1048576,Manpower!$F$4:$F$1048576,"")</f>
        <v>Grinder</v>
      </c>
      <c r="H1019" s="28" t="str">
        <f>_xlfn.XLOOKUP(Table134526_79101120212223242526[[#This Row],[Name Surname]],Manpower!$C$4:$C$1048576,Manpower!$H$4:$H$1048576,"")</f>
        <v>Manpower</v>
      </c>
      <c r="I1019" s="24" t="str">
        <f>_xlfn.XLOOKUP(Table134526_79101120212223242526[[#This Row],[Name Surname]],Manpower!$C$4:$C$1048576,Manpower!$H$4:$H$1048576,"")</f>
        <v>Manpower</v>
      </c>
      <c r="J1019" s="21" t="s">
        <v>35</v>
      </c>
      <c r="K1019" s="21" t="s">
        <v>98</v>
      </c>
      <c r="L1019" s="21" t="s">
        <v>82</v>
      </c>
      <c r="M1019" s="21" t="s">
        <v>24</v>
      </c>
      <c r="N1019" s="29">
        <v>8</v>
      </c>
      <c r="O1019" s="21" t="s">
        <v>89</v>
      </c>
      <c r="P1019" s="21" t="s">
        <v>41</v>
      </c>
      <c r="Q1019" s="21" t="s">
        <v>41</v>
      </c>
      <c r="R1019" s="21" t="s">
        <v>233</v>
      </c>
    </row>
    <row r="1020" spans="1:19" s="45" customFormat="1" ht="14.4" hidden="1">
      <c r="A1020" s="25">
        <f>IF(C1020="","",MAX($A$1:A1019)+1)</f>
        <v>977</v>
      </c>
      <c r="B1020" s="25" t="s">
        <v>79</v>
      </c>
      <c r="C1020" s="41">
        <v>46090</v>
      </c>
      <c r="D1020" s="48" t="str">
        <f>_xlfn.XLOOKUP(Table134526_79101120212223242526[[#This Row],[Name Surname]],Manpower!$C$4:$C$1048576,Manpower!$B$4:$B$1048576,"")</f>
        <v>Encogroup</v>
      </c>
      <c r="E1020" s="41" t="s">
        <v>91</v>
      </c>
      <c r="F1020" s="12">
        <f>_xlfn.XLOOKUP(Table134526_79101120212223242526[[#This Row],[Name Surname]],Manpower!C:C,Manpower!D:D,)</f>
        <v>132915855</v>
      </c>
      <c r="G1020" s="48" t="str">
        <f>_xlfn.XLOOKUP(Table134526_79101120212223242526[[#This Row],[Name Surname]],Manpower!$C$4:$C$1048576,Manpower!$F$4:$F$1048576,"")</f>
        <v>Mechanical Supervisor</v>
      </c>
      <c r="H1020" s="48" t="str">
        <f>_xlfn.XLOOKUP(Table134526_79101120212223242526[[#This Row],[Name Surname]],Manpower!$C$4:$C$1048576,Manpower!$H$4:$H$1048576,"")</f>
        <v>Manpower</v>
      </c>
      <c r="I1020" s="42" t="str">
        <f>_xlfn.XLOOKUP(Table134526_79101120212223242526[[#This Row],[Name Surname]],Manpower!$C$4:$C$1048576,Manpower!$H$4:$H$1048576,"")</f>
        <v>Manpower</v>
      </c>
      <c r="J1020" s="43" t="s">
        <v>35</v>
      </c>
      <c r="K1020" s="43" t="s">
        <v>252</v>
      </c>
      <c r="L1020" s="43" t="s">
        <v>82</v>
      </c>
      <c r="M1020" s="43" t="s">
        <v>24</v>
      </c>
      <c r="N1020" s="44">
        <v>6</v>
      </c>
      <c r="O1020" s="43" t="s">
        <v>25</v>
      </c>
      <c r="P1020" s="43" t="s">
        <v>60</v>
      </c>
      <c r="Q1020" s="43" t="s">
        <v>60</v>
      </c>
      <c r="R1020" s="43" t="s">
        <v>254</v>
      </c>
      <c r="S1020" s="43"/>
    </row>
    <row r="1021" spans="1:19" s="45" customFormat="1" ht="14.4" hidden="1">
      <c r="A1021" s="25">
        <f>IF(C1021="","",MAX($A$1:A1020)+1)</f>
        <v>978</v>
      </c>
      <c r="B1021" s="25" t="s">
        <v>79</v>
      </c>
      <c r="C1021" s="41">
        <v>46090</v>
      </c>
      <c r="D1021" s="48" t="str">
        <f>_xlfn.XLOOKUP(Table134526_79101120212223242526[[#This Row],[Name Surname]],Manpower!$C$4:$C$1048576,Manpower!$B$4:$B$1048576,"")</f>
        <v>Encogroup</v>
      </c>
      <c r="E1021" s="41" t="s">
        <v>92</v>
      </c>
      <c r="F1021" s="12">
        <f>_xlfn.XLOOKUP(Table134526_79101120212223242526[[#This Row],[Name Surname]],Manpower!C:C,Manpower!D:D,)</f>
        <v>141377747</v>
      </c>
      <c r="G1021" s="48" t="str">
        <f>_xlfn.XLOOKUP(Table134526_79101120212223242526[[#This Row],[Name Surname]],Manpower!$C$4:$C$1048576,Manpower!$F$4:$F$1048576,"")</f>
        <v>Painter</v>
      </c>
      <c r="H1021" s="48" t="str">
        <f>_xlfn.XLOOKUP(Table134526_79101120212223242526[[#This Row],[Name Surname]],Manpower!$C$4:$C$1048576,Manpower!$H$4:$H$1048576,"")</f>
        <v>Manpower</v>
      </c>
      <c r="I1021" s="42" t="str">
        <f>_xlfn.XLOOKUP(Table134526_79101120212223242526[[#This Row],[Name Surname]],Manpower!$C$4:$C$1048576,Manpower!$H$4:$H$1048576,"")</f>
        <v>Manpower</v>
      </c>
      <c r="J1021" s="43" t="s">
        <v>35</v>
      </c>
      <c r="K1021" s="43" t="s">
        <v>255</v>
      </c>
      <c r="L1021" s="43" t="s">
        <v>82</v>
      </c>
      <c r="M1021" s="43" t="s">
        <v>24</v>
      </c>
      <c r="N1021" s="44">
        <v>10</v>
      </c>
      <c r="O1021" s="43" t="s">
        <v>94</v>
      </c>
      <c r="P1021" s="43" t="s">
        <v>95</v>
      </c>
      <c r="Q1021" s="43" t="s">
        <v>95</v>
      </c>
      <c r="R1021" s="43" t="s">
        <v>256</v>
      </c>
      <c r="S1021" s="43"/>
    </row>
    <row r="1022" spans="1:19" s="45" customFormat="1" ht="14.4" hidden="1">
      <c r="A1022" s="25">
        <f>IF(C1022="","",MAX($A$1:A1021)+1)</f>
        <v>979</v>
      </c>
      <c r="B1022" s="25" t="s">
        <v>79</v>
      </c>
      <c r="C1022" s="41">
        <v>46090</v>
      </c>
      <c r="D1022" s="48" t="str">
        <f>_xlfn.XLOOKUP(Table134526_79101120212223242526[[#This Row],[Name Surname]],Manpower!$C$4:$C$1048576,Manpower!$B$4:$B$1048576,"")</f>
        <v>Encogroup</v>
      </c>
      <c r="E1022" s="41" t="s">
        <v>97</v>
      </c>
      <c r="F1022" s="12">
        <f>_xlfn.XLOOKUP(Table134526_79101120212223242526[[#This Row],[Name Surname]],Manpower!C:C,Manpower!D:D,)</f>
        <v>141359235</v>
      </c>
      <c r="G1022" s="48" t="str">
        <f>_xlfn.XLOOKUP(Table134526_79101120212223242526[[#This Row],[Name Surname]],Manpower!$C$4:$C$1048576,Manpower!$F$4:$F$1048576,"")</f>
        <v>Fitter</v>
      </c>
      <c r="H1022" s="48" t="str">
        <f>_xlfn.XLOOKUP(Table134526_79101120212223242526[[#This Row],[Name Surname]],Manpower!$C$4:$C$1048576,Manpower!$H$4:$H$1048576,"")</f>
        <v>Manpower</v>
      </c>
      <c r="I1022" s="42" t="str">
        <f>_xlfn.XLOOKUP(Table134526_79101120212223242526[[#This Row],[Name Surname]],Manpower!$C$4:$C$1048576,Manpower!$H$4:$H$1048576,"")</f>
        <v>Manpower</v>
      </c>
      <c r="J1022" s="43" t="s">
        <v>35</v>
      </c>
      <c r="K1022" s="43" t="s">
        <v>98</v>
      </c>
      <c r="L1022" s="43" t="s">
        <v>82</v>
      </c>
      <c r="M1022" s="43" t="s">
        <v>24</v>
      </c>
      <c r="N1022" s="44">
        <v>10</v>
      </c>
      <c r="O1022" s="43" t="s">
        <v>25</v>
      </c>
      <c r="P1022" s="43" t="s">
        <v>41</v>
      </c>
      <c r="Q1022" s="43" t="s">
        <v>77</v>
      </c>
      <c r="R1022" s="43" t="s">
        <v>85</v>
      </c>
      <c r="S1022" s="43"/>
    </row>
    <row r="1023" spans="1:19" s="45" customFormat="1" ht="14.4" hidden="1">
      <c r="A1023" s="25">
        <f>IF(C1023="","",MAX($A$1:A1022)+1)</f>
        <v>980</v>
      </c>
      <c r="B1023" s="25" t="s">
        <v>79</v>
      </c>
      <c r="C1023" s="41">
        <v>46090</v>
      </c>
      <c r="D1023" s="48" t="str">
        <f>_xlfn.XLOOKUP(Table134526_79101120212223242526[[#This Row],[Name Surname]],Manpower!$C$4:$C$1048576,Manpower!$B$4:$B$1048576,"")</f>
        <v>Encogroup</v>
      </c>
      <c r="E1023" s="41" t="s">
        <v>99</v>
      </c>
      <c r="F1023" s="12">
        <f>_xlfn.XLOOKUP(Table134526_79101120212223242526[[#This Row],[Name Surname]],Manpower!C:C,Manpower!D:D,)</f>
        <v>140697025</v>
      </c>
      <c r="G1023" s="48" t="str">
        <f>_xlfn.XLOOKUP(Table134526_79101120212223242526[[#This Row],[Name Surname]],Manpower!$C$4:$C$1048576,Manpower!$F$4:$F$1048576,"")</f>
        <v>Assistant/Helper</v>
      </c>
      <c r="H1023" s="48" t="str">
        <f>_xlfn.XLOOKUP(Table134526_79101120212223242526[[#This Row],[Name Surname]],Manpower!$C$4:$C$1048576,Manpower!$H$4:$H$1048576,"")</f>
        <v>Manpower</v>
      </c>
      <c r="I1023" s="42" t="str">
        <f>_xlfn.XLOOKUP(Table134526_79101120212223242526[[#This Row],[Name Surname]],Manpower!$C$4:$C$1048576,Manpower!$H$4:$H$1048576,"")</f>
        <v>Manpower</v>
      </c>
      <c r="J1023" s="43" t="s">
        <v>35</v>
      </c>
      <c r="K1023" s="43" t="s">
        <v>81</v>
      </c>
      <c r="L1023" s="43" t="s">
        <v>82</v>
      </c>
      <c r="M1023" s="43" t="s">
        <v>24</v>
      </c>
      <c r="N1023" s="44">
        <v>10</v>
      </c>
      <c r="O1023" s="43" t="s">
        <v>25</v>
      </c>
      <c r="P1023" s="43" t="s">
        <v>41</v>
      </c>
      <c r="Q1023" s="43" t="s">
        <v>60</v>
      </c>
      <c r="R1023" s="43" t="s">
        <v>100</v>
      </c>
      <c r="S1023" s="43"/>
    </row>
    <row r="1024" spans="1:19" s="45" customFormat="1" ht="14.4" hidden="1">
      <c r="A1024" s="25">
        <f>IF(C1024="","",MAX($A$1:A1023)+1)</f>
        <v>981</v>
      </c>
      <c r="B1024" s="25" t="s">
        <v>79</v>
      </c>
      <c r="C1024" s="41">
        <v>46090</v>
      </c>
      <c r="D1024" s="48" t="str">
        <f>_xlfn.XLOOKUP(Table134526_79101120212223242526[[#This Row],[Name Surname]],Manpower!$C$4:$C$1048576,Manpower!$B$4:$B$1048576,"")</f>
        <v>Encogroup</v>
      </c>
      <c r="E1024" s="41" t="s">
        <v>101</v>
      </c>
      <c r="F1024" s="12">
        <f>_xlfn.XLOOKUP(Table134526_79101120212223242526[[#This Row],[Name Surname]],Manpower!C:C,Manpower!D:D,)</f>
        <v>141169052</v>
      </c>
      <c r="G1024" s="48" t="str">
        <f>_xlfn.XLOOKUP(Table134526_79101120212223242526[[#This Row],[Name Surname]],Manpower!$C$4:$C$1048576,Manpower!$F$4:$F$1048576,"")</f>
        <v>Welder</v>
      </c>
      <c r="H1024" s="48" t="str">
        <f>_xlfn.XLOOKUP(Table134526_79101120212223242526[[#This Row],[Name Surname]],Manpower!$C$4:$C$1048576,Manpower!$H$4:$H$1048576,"")</f>
        <v>Manpower</v>
      </c>
      <c r="I1024" s="42" t="str">
        <f>_xlfn.XLOOKUP(Table134526_79101120212223242526[[#This Row],[Name Surname]],Manpower!$C$4:$C$1048576,Manpower!$H$4:$H$1048576,"")</f>
        <v>Manpower</v>
      </c>
      <c r="J1024" s="43" t="s">
        <v>35</v>
      </c>
      <c r="K1024" s="43" t="s">
        <v>104</v>
      </c>
      <c r="L1024" s="43" t="s">
        <v>82</v>
      </c>
      <c r="M1024" s="43" t="s">
        <v>24</v>
      </c>
      <c r="N1024" s="44">
        <v>10</v>
      </c>
      <c r="O1024" s="43" t="s">
        <v>25</v>
      </c>
      <c r="P1024" s="43" t="s">
        <v>41</v>
      </c>
      <c r="Q1024" s="43" t="s">
        <v>77</v>
      </c>
      <c r="R1024" s="43" t="s">
        <v>251</v>
      </c>
      <c r="S1024" s="43"/>
    </row>
    <row r="1025" spans="1:19" s="45" customFormat="1" ht="14.4" hidden="1">
      <c r="A1025" s="25">
        <f>IF(C1025="","",MAX($A$1:A1024)+1)</f>
        <v>982</v>
      </c>
      <c r="B1025" s="25" t="s">
        <v>79</v>
      </c>
      <c r="C1025" s="41">
        <v>46090</v>
      </c>
      <c r="D1025" s="48" t="str">
        <f>_xlfn.XLOOKUP(Table134526_79101120212223242526[[#This Row],[Name Surname]],Manpower!$C$4:$C$1048576,Manpower!$B$4:$B$1048576,"")</f>
        <v>Encogroup</v>
      </c>
      <c r="E1025" s="41" t="s">
        <v>102</v>
      </c>
      <c r="F1025" s="12">
        <f>_xlfn.XLOOKUP(Table134526_79101120212223242526[[#This Row],[Name Surname]],Manpower!C:C,Manpower!D:D,)</f>
        <v>141365075</v>
      </c>
      <c r="G1025" s="48" t="str">
        <f>_xlfn.XLOOKUP(Table134526_79101120212223242526[[#This Row],[Name Surname]],Manpower!$C$4:$C$1048576,Manpower!$F$4:$F$1048576,"")</f>
        <v>Helper</v>
      </c>
      <c r="H1025" s="48" t="str">
        <f>_xlfn.XLOOKUP(Table134526_79101120212223242526[[#This Row],[Name Surname]],Manpower!$C$4:$C$1048576,Manpower!$H$4:$H$1048576,"")</f>
        <v>Manpower</v>
      </c>
      <c r="I1025" s="42" t="str">
        <f>_xlfn.XLOOKUP(Table134526_79101120212223242526[[#This Row],[Name Surname]],Manpower!$C$4:$C$1048576,Manpower!$H$4:$H$1048576,"")</f>
        <v>Manpower</v>
      </c>
      <c r="J1025" s="43" t="s">
        <v>35</v>
      </c>
      <c r="K1025" s="43" t="s">
        <v>98</v>
      </c>
      <c r="L1025" s="43" t="s">
        <v>82</v>
      </c>
      <c r="M1025" s="43" t="s">
        <v>24</v>
      </c>
      <c r="N1025" s="44">
        <v>10</v>
      </c>
      <c r="O1025" s="43" t="s">
        <v>89</v>
      </c>
      <c r="P1025" s="43" t="s">
        <v>41</v>
      </c>
      <c r="Q1025" s="43" t="s">
        <v>41</v>
      </c>
      <c r="R1025" s="43" t="s">
        <v>233</v>
      </c>
      <c r="S1025" s="43"/>
    </row>
    <row r="1026" spans="1:19" s="45" customFormat="1" ht="14.4" hidden="1">
      <c r="A1026" s="25">
        <f>IF(C1026="","",MAX($A$1:A1025)+1)</f>
        <v>983</v>
      </c>
      <c r="B1026" s="25" t="s">
        <v>79</v>
      </c>
      <c r="C1026" s="41">
        <v>46090</v>
      </c>
      <c r="D1026" s="48" t="str">
        <f>_xlfn.XLOOKUP(Table134526_79101120212223242526[[#This Row],[Name Surname]],Manpower!$C$4:$C$1048576,Manpower!$B$4:$B$1048576,"")</f>
        <v>SARENS NASS</v>
      </c>
      <c r="E1026" s="41" t="s">
        <v>103</v>
      </c>
      <c r="F1026" s="12">
        <f>_xlfn.XLOOKUP(Table134526_79101120212223242526[[#This Row],[Name Surname]],Manpower!C:C,Manpower!D:D,)</f>
        <v>79502392</v>
      </c>
      <c r="G1026" s="48" t="str">
        <f>_xlfn.XLOOKUP(Table134526_79101120212223242526[[#This Row],[Name Surname]],Manpower!$C$4:$C$1048576,Manpower!$F$4:$F$1048576,"")</f>
        <v>Crane Operator- 70T Liebherr Telescopic Crane-01</v>
      </c>
      <c r="H1026" s="48" t="s">
        <v>39</v>
      </c>
      <c r="I1026" s="42" t="s">
        <v>39</v>
      </c>
      <c r="J1026" s="43" t="s">
        <v>35</v>
      </c>
      <c r="K1026" s="43" t="s">
        <v>252</v>
      </c>
      <c r="L1026" s="43" t="s">
        <v>82</v>
      </c>
      <c r="M1026" s="43" t="s">
        <v>24</v>
      </c>
      <c r="N1026" s="44">
        <v>10</v>
      </c>
      <c r="O1026" s="43" t="s">
        <v>40</v>
      </c>
      <c r="P1026" s="43" t="s">
        <v>41</v>
      </c>
      <c r="Q1026" s="43" t="s">
        <v>42</v>
      </c>
      <c r="R1026" s="43" t="s">
        <v>43</v>
      </c>
      <c r="S1026" s="43"/>
    </row>
    <row r="1027" spans="1:19" ht="14.4" hidden="1">
      <c r="A1027" s="33">
        <f>IF(C1027="","",MAX($A$1:A1026)+1)</f>
        <v>984</v>
      </c>
      <c r="B1027" s="26" t="s">
        <v>79</v>
      </c>
      <c r="C1027" s="23">
        <v>46090</v>
      </c>
      <c r="D1027" s="28" t="str">
        <f>_xlfn.XLOOKUP(Table134526_79101120212223242526[[#This Row],[Name Surname]],Manpower!$C$4:$C$1048576,Manpower!$B$4:$B$1048576,"")</f>
        <v>Encogroup</v>
      </c>
      <c r="E1027" s="18" t="s">
        <v>105</v>
      </c>
      <c r="F1027" s="12">
        <f>_xlfn.XLOOKUP(Table134526_79101120212223242526[[#This Row],[Name Surname]],Manpower!C:C,Manpower!D:D,)</f>
        <v>141358993</v>
      </c>
      <c r="G1027" s="28" t="str">
        <f>_xlfn.XLOOKUP(Table134526_79101120212223242526[[#This Row],[Name Surname]],Manpower!$C$4:$C$1048576,Manpower!$F$4:$F$1048576,"")</f>
        <v>Fitter</v>
      </c>
      <c r="H1027" s="28" t="str">
        <f>_xlfn.XLOOKUP(Table134526_79101120212223242526[[#This Row],[Name Surname]],Manpower!$C$4:$C$1048576,Manpower!$H$4:$H$1048576,"")</f>
        <v>Manpower</v>
      </c>
      <c r="I1027" s="24" t="str">
        <f>_xlfn.XLOOKUP(Table134526_79101120212223242526[[#This Row],[Name Surname]],Manpower!$C$4:$C$1048576,Manpower!$H$4:$H$1048576,"")</f>
        <v>Manpower</v>
      </c>
      <c r="J1027" s="21" t="s">
        <v>35</v>
      </c>
      <c r="K1027" s="21" t="s">
        <v>98</v>
      </c>
      <c r="L1027" s="21" t="s">
        <v>82</v>
      </c>
      <c r="M1027" s="21" t="s">
        <v>24</v>
      </c>
      <c r="N1027" s="29">
        <v>8</v>
      </c>
      <c r="O1027" s="21" t="s">
        <v>25</v>
      </c>
      <c r="P1027" s="21" t="s">
        <v>41</v>
      </c>
      <c r="Q1027" s="21" t="s">
        <v>77</v>
      </c>
      <c r="R1027" s="21" t="s">
        <v>85</v>
      </c>
    </row>
    <row r="1028" spans="1:19" s="45" customFormat="1" ht="14.4" hidden="1">
      <c r="A1028" s="25">
        <f>IF(C1028="","",MAX($A$1:A1027)+1)</f>
        <v>985</v>
      </c>
      <c r="B1028" s="25" t="s">
        <v>79</v>
      </c>
      <c r="C1028" s="41">
        <v>46090</v>
      </c>
      <c r="D1028" s="48" t="str">
        <f>_xlfn.XLOOKUP(Table134526_79101120212223242526[[#This Row],[Name Surname]],Manpower!$C$4:$C$1048576,Manpower!$B$4:$B$1048576,"")</f>
        <v>Encogroup</v>
      </c>
      <c r="E1028" s="41" t="s">
        <v>106</v>
      </c>
      <c r="F1028" s="12" t="str">
        <f>_xlfn.XLOOKUP(Table134526_79101120212223242526[[#This Row],[Name Surname]],Manpower!C:C,Manpower!D:D,)</f>
        <v>R3971143</v>
      </c>
      <c r="G1028" s="48" t="str">
        <f>_xlfn.XLOOKUP(Table134526_79101120212223242526[[#This Row],[Name Surname]],Manpower!$C$4:$C$1048576,Manpower!$F$4:$F$1048576,"")</f>
        <v>Mechanical Foreman</v>
      </c>
      <c r="H1028" s="48" t="str">
        <f>_xlfn.XLOOKUP(Table134526_79101120212223242526[[#This Row],[Name Surname]],Manpower!$C$4:$C$1048576,Manpower!$H$4:$H$1048576,"")</f>
        <v>Manpower</v>
      </c>
      <c r="I1028" s="42" t="str">
        <f>_xlfn.XLOOKUP(Table134526_79101120212223242526[[#This Row],[Name Surname]],Manpower!$C$4:$C$1048576,Manpower!$H$4:$H$1048576,"")</f>
        <v>Manpower</v>
      </c>
      <c r="J1028" s="43" t="s">
        <v>35</v>
      </c>
      <c r="K1028" s="43" t="s">
        <v>252</v>
      </c>
      <c r="L1028" s="43" t="s">
        <v>82</v>
      </c>
      <c r="M1028" s="43" t="s">
        <v>24</v>
      </c>
      <c r="N1028" s="44">
        <v>10</v>
      </c>
      <c r="O1028" s="43" t="s">
        <v>25</v>
      </c>
      <c r="P1028" s="43" t="s">
        <v>41</v>
      </c>
      <c r="Q1028" s="43" t="s">
        <v>60</v>
      </c>
      <c r="R1028" s="43" t="s">
        <v>253</v>
      </c>
      <c r="S1028" s="43"/>
    </row>
    <row r="1029" spans="1:19" s="45" customFormat="1" ht="14.4" hidden="1">
      <c r="A1029" s="25">
        <f>IF(C1029="","",MAX($A$1:A1028)+1)</f>
        <v>986</v>
      </c>
      <c r="B1029" s="25" t="s">
        <v>79</v>
      </c>
      <c r="C1029" s="41">
        <v>46090</v>
      </c>
      <c r="D1029" s="48" t="str">
        <f>_xlfn.XLOOKUP(Table134526_79101120212223242526[[#This Row],[Name Surname]],Manpower!$C$4:$C$1048576,Manpower!$B$4:$B$1048576,"")</f>
        <v>Encogroup</v>
      </c>
      <c r="E1029" s="41" t="s">
        <v>107</v>
      </c>
      <c r="F1029" s="12">
        <f>_xlfn.XLOOKUP(Table134526_79101120212223242526[[#This Row],[Name Surname]],Manpower!C:C,Manpower!D:D,)</f>
        <v>116858297</v>
      </c>
      <c r="G1029" s="48" t="str">
        <f>_xlfn.XLOOKUP(Table134526_79101120212223242526[[#This Row],[Name Surname]],Manpower!$C$4:$C$1048576,Manpower!$F$4:$F$1048576,"")</f>
        <v>Mechanical Superintendent</v>
      </c>
      <c r="H1029" s="48" t="str">
        <f>_xlfn.XLOOKUP(Table134526_79101120212223242526[[#This Row],[Name Surname]],Manpower!$C$4:$C$1048576,Manpower!$H$4:$H$1048576,"")</f>
        <v>Manpower</v>
      </c>
      <c r="I1029" s="42" t="str">
        <f>_xlfn.XLOOKUP(Table134526_79101120212223242526[[#This Row],[Name Surname]],Manpower!$C$4:$C$1048576,Manpower!$H$4:$H$1048576,"")</f>
        <v>Manpower</v>
      </c>
      <c r="J1029" s="43" t="s">
        <v>35</v>
      </c>
      <c r="K1029" s="43" t="s">
        <v>257</v>
      </c>
      <c r="L1029" s="43" t="s">
        <v>82</v>
      </c>
      <c r="M1029" s="43" t="s">
        <v>24</v>
      </c>
      <c r="N1029" s="44">
        <v>8</v>
      </c>
      <c r="O1029" s="43" t="s">
        <v>25</v>
      </c>
      <c r="P1029" s="43" t="s">
        <v>41</v>
      </c>
      <c r="Q1029" s="43" t="s">
        <v>60</v>
      </c>
      <c r="R1029" s="43" t="s">
        <v>254</v>
      </c>
      <c r="S1029" s="43"/>
    </row>
    <row r="1030" spans="1:19" s="45" customFormat="1" ht="14.4" hidden="1">
      <c r="A1030" s="25">
        <f>IF(C1030="","",MAX($A$1:A1029)+1)</f>
        <v>987</v>
      </c>
      <c r="B1030" s="25" t="s">
        <v>79</v>
      </c>
      <c r="C1030" s="41">
        <v>46090</v>
      </c>
      <c r="D1030" s="48" t="str">
        <f>_xlfn.XLOOKUP(Table134526_79101120212223242526[[#This Row],[Name Surname]],Manpower!$C$4:$C$1048576,Manpower!$B$4:$B$1048576,"")</f>
        <v>Encogroup</v>
      </c>
      <c r="E1030" s="41" t="s">
        <v>109</v>
      </c>
      <c r="F1030" s="12">
        <f>_xlfn.XLOOKUP(Table134526_79101120212223242526[[#This Row],[Name Surname]],Manpower!C:C,Manpower!D:D,)</f>
        <v>123805496</v>
      </c>
      <c r="G1030" s="48" t="str">
        <f>_xlfn.XLOOKUP(Table134526_79101120212223242526[[#This Row],[Name Surname]],Manpower!$C$4:$C$1048576,Manpower!$F$4:$F$1048576,"")</f>
        <v>Fitter/Erector</v>
      </c>
      <c r="H1030" s="48" t="str">
        <f>_xlfn.XLOOKUP(Table134526_79101120212223242526[[#This Row],[Name Surname]],Manpower!$C$4:$C$1048576,Manpower!$H$4:$H$1048576,"")</f>
        <v>Manpower</v>
      </c>
      <c r="I1030" s="42" t="str">
        <f>_xlfn.XLOOKUP(Table134526_79101120212223242526[[#This Row],[Name Surname]],Manpower!$C$4:$C$1048576,Manpower!$H$4:$H$1048576,"")</f>
        <v>Manpower</v>
      </c>
      <c r="J1030" s="43" t="s">
        <v>35</v>
      </c>
      <c r="K1030" s="43" t="s">
        <v>252</v>
      </c>
      <c r="L1030" s="43" t="s">
        <v>82</v>
      </c>
      <c r="M1030" s="43" t="s">
        <v>24</v>
      </c>
      <c r="N1030" s="44">
        <v>8</v>
      </c>
      <c r="O1030" s="43" t="s">
        <v>25</v>
      </c>
      <c r="P1030" s="43" t="s">
        <v>41</v>
      </c>
      <c r="Q1030" s="43" t="s">
        <v>60</v>
      </c>
      <c r="R1030" s="43" t="s">
        <v>253</v>
      </c>
      <c r="S1030" s="43"/>
    </row>
    <row r="1031" spans="1:19" ht="14.4" hidden="1">
      <c r="A1031" s="33">
        <f>IF(C1031="","",MAX($A$1:A1030)+1)</f>
        <v>988</v>
      </c>
      <c r="B1031" s="26" t="s">
        <v>79</v>
      </c>
      <c r="C1031" s="23">
        <v>46090</v>
      </c>
      <c r="D1031" s="28" t="str">
        <f>_xlfn.XLOOKUP(Table134526_79101120212223242526[[#This Row],[Name Surname]],Manpower!$C$4:$C$1048576,Manpower!$B$4:$B$1048576,"")</f>
        <v>Encogroup</v>
      </c>
      <c r="E1031" s="18" t="s">
        <v>110</v>
      </c>
      <c r="F1031" s="12">
        <f>_xlfn.XLOOKUP(Table134526_79101120212223242526[[#This Row],[Name Surname]],Manpower!C:C,Manpower!D:D,)</f>
        <v>136277866</v>
      </c>
      <c r="G1031" s="28" t="str">
        <f>_xlfn.XLOOKUP(Table134526_79101120212223242526[[#This Row],[Name Surname]],Manpower!$C$4:$C$1048576,Manpower!$F$4:$F$1048576,"")</f>
        <v>Permit Receiver</v>
      </c>
      <c r="H1031" s="28" t="str">
        <f>_xlfn.XLOOKUP(Table134526_79101120212223242526[[#This Row],[Name Surname]],Manpower!$C$4:$C$1048576,Manpower!$H$4:$H$1048576,"")</f>
        <v>Manpower</v>
      </c>
      <c r="I1031" s="24" t="str">
        <f>_xlfn.XLOOKUP(Table134526_79101120212223242526[[#This Row],[Name Surname]],Manpower!$C$4:$C$1048576,Manpower!$H$4:$H$1048576,"")</f>
        <v>Manpower</v>
      </c>
      <c r="J1031" s="21" t="s">
        <v>35</v>
      </c>
      <c r="K1031" s="21" t="s">
        <v>252</v>
      </c>
      <c r="L1031" s="21" t="s">
        <v>82</v>
      </c>
      <c r="M1031" s="21" t="s">
        <v>24</v>
      </c>
      <c r="N1031" s="29">
        <v>10</v>
      </c>
      <c r="O1031" s="21" t="s">
        <v>25</v>
      </c>
      <c r="P1031" s="21" t="s">
        <v>41</v>
      </c>
      <c r="Q1031" s="21" t="s">
        <v>60</v>
      </c>
      <c r="R1031" s="21" t="s">
        <v>253</v>
      </c>
    </row>
    <row r="1032" spans="1:19" ht="14.4" hidden="1">
      <c r="A1032" s="33">
        <f>IF(C1032="","",MAX($A$1:A1031)+1)</f>
        <v>989</v>
      </c>
      <c r="B1032" s="26" t="s">
        <v>79</v>
      </c>
      <c r="C1032" s="23">
        <v>46090</v>
      </c>
      <c r="D1032" s="28" t="str">
        <f>_xlfn.XLOOKUP(Table134526_79101120212223242526[[#This Row],[Name Surname]],Manpower!$C$4:$C$1048576,Manpower!$B$4:$B$1048576,"")</f>
        <v>Encogroup</v>
      </c>
      <c r="E1032" s="23" t="s">
        <v>111</v>
      </c>
      <c r="F1032" s="12">
        <f>_xlfn.XLOOKUP(Table134526_79101120212223242526[[#This Row],[Name Surname]],Manpower!C:C,Manpower!D:D,)</f>
        <v>120653364</v>
      </c>
      <c r="G1032" s="28" t="str">
        <f>_xlfn.XLOOKUP(Table134526_79101120212223242526[[#This Row],[Name Surname]],Manpower!$C$4:$C$1048576,Manpower!$F$4:$F$1048576,"")</f>
        <v>Surveyor</v>
      </c>
      <c r="H1032" s="28" t="str">
        <f>_xlfn.XLOOKUP(Table134526_79101120212223242526[[#This Row],[Name Surname]],Manpower!$C$4:$C$1048576,Manpower!$H$4:$H$1048576,"")</f>
        <v>Manpower</v>
      </c>
      <c r="I1032" s="24" t="str">
        <f>_xlfn.XLOOKUP(Table134526_79101120212223242526[[#This Row],[Name Surname]],Manpower!$C$4:$C$1048576,Manpower!$H$4:$H$1048576,"")</f>
        <v>Manpower</v>
      </c>
      <c r="J1032" s="21" t="s">
        <v>35</v>
      </c>
      <c r="K1032" s="21" t="s">
        <v>98</v>
      </c>
      <c r="L1032" s="21" t="s">
        <v>82</v>
      </c>
      <c r="M1032" s="21" t="s">
        <v>24</v>
      </c>
      <c r="N1032" s="29">
        <v>10</v>
      </c>
      <c r="O1032" s="21" t="s">
        <v>89</v>
      </c>
      <c r="P1032" s="21" t="s">
        <v>41</v>
      </c>
      <c r="Q1032" s="21" t="s">
        <v>41</v>
      </c>
      <c r="R1032" s="21" t="s">
        <v>233</v>
      </c>
    </row>
    <row r="1033" spans="1:19" s="45" customFormat="1" ht="14.4" hidden="1">
      <c r="A1033" s="25">
        <f>IF(C1033="","",MAX($A$1:A1032)+1)</f>
        <v>990</v>
      </c>
      <c r="B1033" s="25" t="s">
        <v>79</v>
      </c>
      <c r="C1033" s="41">
        <v>46090</v>
      </c>
      <c r="D1033" s="48" t="str">
        <f>_xlfn.XLOOKUP(Table134526_79101120212223242526[[#This Row],[Name Surname]],Manpower!$C$4:$C$1048576,Manpower!$B$4:$B$1048576,"")</f>
        <v>Encogroup</v>
      </c>
      <c r="E1033" s="41" t="s">
        <v>112</v>
      </c>
      <c r="F1033" s="12">
        <f>_xlfn.XLOOKUP(Table134526_79101120212223242526[[#This Row],[Name Surname]],Manpower!C:C,Manpower!D:D,)</f>
        <v>140663253</v>
      </c>
      <c r="G1033" s="48" t="str">
        <f>_xlfn.XLOOKUP(Table134526_79101120212223242526[[#This Row],[Name Surname]],Manpower!$C$4:$C$1048576,Manpower!$F$4:$F$1048576,"")</f>
        <v>Painting Inspector</v>
      </c>
      <c r="H1033" s="48" t="str">
        <f>_xlfn.XLOOKUP(Table134526_79101120212223242526[[#This Row],[Name Surname]],Manpower!$C$4:$C$1048576,Manpower!$H$4:$H$1048576,"")</f>
        <v>Manpower</v>
      </c>
      <c r="I1033" s="42" t="str">
        <f>_xlfn.XLOOKUP(Table134526_79101120212223242526[[#This Row],[Name Surname]],Manpower!$C$4:$C$1048576,Manpower!$H$4:$H$1048576,"")</f>
        <v>Manpower</v>
      </c>
      <c r="J1033" s="43" t="s">
        <v>35</v>
      </c>
      <c r="K1033" s="43" t="s">
        <v>255</v>
      </c>
      <c r="L1033" s="43" t="s">
        <v>82</v>
      </c>
      <c r="M1033" s="43" t="s">
        <v>24</v>
      </c>
      <c r="N1033" s="44">
        <v>8</v>
      </c>
      <c r="O1033" s="43" t="s">
        <v>94</v>
      </c>
      <c r="P1033" s="43" t="s">
        <v>114</v>
      </c>
      <c r="Q1033" s="43" t="s">
        <v>114</v>
      </c>
      <c r="R1033" s="43" t="s">
        <v>256</v>
      </c>
      <c r="S1033" s="43"/>
    </row>
    <row r="1034" spans="1:19" s="45" customFormat="1" ht="14.4" hidden="1">
      <c r="A1034" s="25">
        <f>IF(C1034="","",MAX($A$1:A1033)+1)</f>
        <v>991</v>
      </c>
      <c r="B1034" s="25" t="s">
        <v>79</v>
      </c>
      <c r="C1034" s="41">
        <v>46090</v>
      </c>
      <c r="D1034" s="48" t="str">
        <f>_xlfn.XLOOKUP(Table134526_79101120212223242526[[#This Row],[Name Surname]],Manpower!$C$4:$C$1048576,Manpower!$B$4:$B$1048576,"")</f>
        <v>Encogroup</v>
      </c>
      <c r="E1034" s="41" t="s">
        <v>117</v>
      </c>
      <c r="F1034" s="12">
        <f>_xlfn.XLOOKUP(Table134526_79101120212223242526[[#This Row],[Name Surname]],Manpower!C:C,Manpower!D:D,)</f>
        <v>140844783</v>
      </c>
      <c r="G1034" s="48" t="str">
        <f>_xlfn.XLOOKUP(Table134526_79101120212223242526[[#This Row],[Name Surname]],Manpower!$C$4:$C$1048576,Manpower!$F$4:$F$1048576,"")</f>
        <v>Painter</v>
      </c>
      <c r="H1034" s="48" t="str">
        <f>_xlfn.XLOOKUP(Table134526_79101120212223242526[[#This Row],[Name Surname]],Manpower!$C$4:$C$1048576,Manpower!$H$4:$H$1048576,"")</f>
        <v>Manpower</v>
      </c>
      <c r="I1034" s="42" t="str">
        <f>_xlfn.XLOOKUP(Table134526_79101120212223242526[[#This Row],[Name Surname]],Manpower!$C$4:$C$1048576,Manpower!$H$4:$H$1048576,"")</f>
        <v>Manpower</v>
      </c>
      <c r="J1034" s="43" t="s">
        <v>35</v>
      </c>
      <c r="K1034" s="43" t="s">
        <v>255</v>
      </c>
      <c r="L1034" s="43" t="s">
        <v>82</v>
      </c>
      <c r="M1034" s="43" t="s">
        <v>24</v>
      </c>
      <c r="N1034" s="44">
        <v>10</v>
      </c>
      <c r="O1034" s="43" t="s">
        <v>94</v>
      </c>
      <c r="P1034" s="43" t="s">
        <v>114</v>
      </c>
      <c r="Q1034" s="43" t="s">
        <v>114</v>
      </c>
      <c r="R1034" s="43" t="s">
        <v>256</v>
      </c>
      <c r="S1034" s="43"/>
    </row>
    <row r="1035" spans="1:19" s="45" customFormat="1" ht="14.4" hidden="1">
      <c r="A1035" s="25">
        <f>IF(C1035="","",MAX($A$1:A1034)+1)</f>
        <v>992</v>
      </c>
      <c r="B1035" s="25" t="s">
        <v>79</v>
      </c>
      <c r="C1035" s="41">
        <v>46090</v>
      </c>
      <c r="D1035" s="48" t="str">
        <f>_xlfn.XLOOKUP(Table134526_79101120212223242526[[#This Row],[Name Surname]],Manpower!$C$4:$C$1048576,Manpower!$B$4:$B$1048576,"")</f>
        <v>Encogroup</v>
      </c>
      <c r="E1035" s="41" t="s">
        <v>118</v>
      </c>
      <c r="F1035" s="12" t="str">
        <f>_xlfn.XLOOKUP(Table134526_79101120212223242526[[#This Row],[Name Surname]],Manpower!C:C,Manpower!D:D,)</f>
        <v>AG111207</v>
      </c>
      <c r="G1035" s="48" t="str">
        <f>_xlfn.XLOOKUP(Table134526_79101120212223242526[[#This Row],[Name Surname]],Manpower!$C$4:$C$1048576,Manpower!$F$4:$F$1048576,"")</f>
        <v>Assistant/Helper</v>
      </c>
      <c r="H1035" s="48" t="str">
        <f>_xlfn.XLOOKUP(Table134526_79101120212223242526[[#This Row],[Name Surname]],Manpower!$C$4:$C$1048576,Manpower!$H$4:$H$1048576,"")</f>
        <v>Manpower</v>
      </c>
      <c r="I1035" s="42" t="str">
        <f>_xlfn.XLOOKUP(Table134526_79101120212223242526[[#This Row],[Name Surname]],Manpower!$C$4:$C$1048576,Manpower!$H$4:$H$1048576,"")</f>
        <v>Manpower</v>
      </c>
      <c r="J1035" s="43" t="s">
        <v>35</v>
      </c>
      <c r="K1035" s="43" t="s">
        <v>255</v>
      </c>
      <c r="L1035" s="43" t="s">
        <v>82</v>
      </c>
      <c r="M1035" s="43" t="s">
        <v>24</v>
      </c>
      <c r="N1035" s="44">
        <v>10</v>
      </c>
      <c r="O1035" s="43" t="s">
        <v>94</v>
      </c>
      <c r="P1035" s="43" t="s">
        <v>114</v>
      </c>
      <c r="Q1035" s="43" t="s">
        <v>114</v>
      </c>
      <c r="R1035" s="43" t="s">
        <v>256</v>
      </c>
      <c r="S1035" s="43"/>
    </row>
    <row r="1036" spans="1:19" s="45" customFormat="1" ht="14.4" hidden="1">
      <c r="A1036" s="25">
        <f>IF(C1036="","",MAX($A$1:A1035)+1)</f>
        <v>993</v>
      </c>
      <c r="B1036" s="25" t="s">
        <v>79</v>
      </c>
      <c r="C1036" s="41">
        <v>46090</v>
      </c>
      <c r="D1036" s="48" t="str">
        <f>_xlfn.XLOOKUP(Table134526_79101120212223242526[[#This Row],[Name Surname]],Manpower!$C$4:$C$1048576,Manpower!$B$4:$B$1048576,"")</f>
        <v>Encogroup</v>
      </c>
      <c r="E1036" s="41" t="s">
        <v>119</v>
      </c>
      <c r="F1036" s="12">
        <f>_xlfn.XLOOKUP(Table134526_79101120212223242526[[#This Row],[Name Surname]],Manpower!C:C,Manpower!D:D,)</f>
        <v>140844778</v>
      </c>
      <c r="G1036" s="48" t="str">
        <f>_xlfn.XLOOKUP(Table134526_79101120212223242526[[#This Row],[Name Surname]],Manpower!$C$4:$C$1048576,Manpower!$F$4:$F$1048576,"")</f>
        <v>Painter</v>
      </c>
      <c r="H1036" s="48" t="str">
        <f>_xlfn.XLOOKUP(Table134526_79101120212223242526[[#This Row],[Name Surname]],Manpower!$C$4:$C$1048576,Manpower!$H$4:$H$1048576,"")</f>
        <v>Manpower</v>
      </c>
      <c r="I1036" s="42" t="str">
        <f>_xlfn.XLOOKUP(Table134526_79101120212223242526[[#This Row],[Name Surname]],Manpower!$C$4:$C$1048576,Manpower!$H$4:$H$1048576,"")</f>
        <v>Manpower</v>
      </c>
      <c r="J1036" s="43" t="s">
        <v>35</v>
      </c>
      <c r="K1036" s="43" t="s">
        <v>255</v>
      </c>
      <c r="L1036" s="43" t="s">
        <v>82</v>
      </c>
      <c r="M1036" s="43" t="s">
        <v>24</v>
      </c>
      <c r="N1036" s="44">
        <v>8</v>
      </c>
      <c r="O1036" s="43" t="s">
        <v>94</v>
      </c>
      <c r="P1036" s="43" t="s">
        <v>114</v>
      </c>
      <c r="Q1036" s="43" t="s">
        <v>114</v>
      </c>
      <c r="R1036" s="43" t="s">
        <v>256</v>
      </c>
      <c r="S1036" s="43"/>
    </row>
    <row r="1037" spans="1:19" s="45" customFormat="1" ht="14.4" hidden="1">
      <c r="A1037" s="25">
        <f>IF(C1037="","",MAX($A$1:A1036)+1)</f>
        <v>994</v>
      </c>
      <c r="B1037" s="25" t="s">
        <v>79</v>
      </c>
      <c r="C1037" s="41">
        <v>46090</v>
      </c>
      <c r="D1037" s="48" t="str">
        <f>_xlfn.XLOOKUP(Table134526_79101120212223242526[[#This Row],[Name Surname]],Manpower!$C$4:$C$1048576,Manpower!$B$4:$B$1048576,"")</f>
        <v>Encogroup</v>
      </c>
      <c r="E1037" s="41" t="s">
        <v>120</v>
      </c>
      <c r="F1037" s="12">
        <f>_xlfn.XLOOKUP(Table134526_79101120212223242526[[#This Row],[Name Surname]],Manpower!C:C,Manpower!D:D,)</f>
        <v>141365037</v>
      </c>
      <c r="G1037" s="48" t="str">
        <f>_xlfn.XLOOKUP(Table134526_79101120212223242526[[#This Row],[Name Surname]],Manpower!$C$4:$C$1048576,Manpower!$F$4:$F$1048576,"")</f>
        <v>Painter</v>
      </c>
      <c r="H1037" s="48" t="str">
        <f>_xlfn.XLOOKUP(Table134526_79101120212223242526[[#This Row],[Name Surname]],Manpower!$C$4:$C$1048576,Manpower!$H$4:$H$1048576,"")</f>
        <v>Manpower</v>
      </c>
      <c r="I1037" s="42" t="str">
        <f>_xlfn.XLOOKUP(Table134526_79101120212223242526[[#This Row],[Name Surname]],Manpower!$C$4:$C$1048576,Manpower!$H$4:$H$1048576,"")</f>
        <v>Manpower</v>
      </c>
      <c r="J1037" s="43" t="s">
        <v>35</v>
      </c>
      <c r="K1037" s="43" t="s">
        <v>255</v>
      </c>
      <c r="L1037" s="43" t="s">
        <v>82</v>
      </c>
      <c r="M1037" s="43" t="s">
        <v>24</v>
      </c>
      <c r="N1037" s="44">
        <v>10</v>
      </c>
      <c r="O1037" s="43" t="s">
        <v>94</v>
      </c>
      <c r="P1037" s="43" t="s">
        <v>114</v>
      </c>
      <c r="Q1037" s="43" t="s">
        <v>114</v>
      </c>
      <c r="R1037" s="43" t="s">
        <v>256</v>
      </c>
      <c r="S1037" s="43"/>
    </row>
    <row r="1038" spans="1:19" s="45" customFormat="1" ht="14.4" hidden="1">
      <c r="A1038" s="25">
        <f>IF(C1038="","",MAX($A$1:A1037)+1)</f>
        <v>995</v>
      </c>
      <c r="B1038" s="25" t="s">
        <v>79</v>
      </c>
      <c r="C1038" s="41">
        <v>46090</v>
      </c>
      <c r="D1038" s="48" t="str">
        <f>_xlfn.XLOOKUP(Table134526_79101120212223242526[[#This Row],[Name Surname]],Manpower!$C$4:$C$1048576,Manpower!$B$4:$B$1048576,"")</f>
        <v>Encogroup</v>
      </c>
      <c r="E1038" s="41" t="s">
        <v>122</v>
      </c>
      <c r="F1038" s="12">
        <f>_xlfn.XLOOKUP(Table134526_79101120212223242526[[#This Row],[Name Surname]],Manpower!C:C,Manpower!D:D,)</f>
        <v>140805554</v>
      </c>
      <c r="G1038" s="48" t="str">
        <f>_xlfn.XLOOKUP(Table134526_79101120212223242526[[#This Row],[Name Surname]],Manpower!$C$4:$C$1048576,Manpower!$F$4:$F$1048576,"")</f>
        <v>Assistant/Helper</v>
      </c>
      <c r="H1038" s="48" t="str">
        <f>_xlfn.XLOOKUP(Table134526_79101120212223242526[[#This Row],[Name Surname]],Manpower!$C$4:$C$1048576,Manpower!$H$4:$H$1048576,"")</f>
        <v>Manpower</v>
      </c>
      <c r="I1038" s="42" t="str">
        <f>_xlfn.XLOOKUP(Table134526_79101120212223242526[[#This Row],[Name Surname]],Manpower!$C$4:$C$1048576,Manpower!$H$4:$H$1048576,"")</f>
        <v>Manpower</v>
      </c>
      <c r="J1038" s="43" t="s">
        <v>35</v>
      </c>
      <c r="K1038" s="43" t="s">
        <v>104</v>
      </c>
      <c r="L1038" s="43" t="s">
        <v>82</v>
      </c>
      <c r="M1038" s="43" t="s">
        <v>24</v>
      </c>
      <c r="N1038" s="44">
        <v>10</v>
      </c>
      <c r="O1038" s="43" t="s">
        <v>25</v>
      </c>
      <c r="P1038" s="43" t="s">
        <v>41</v>
      </c>
      <c r="Q1038" s="43" t="s">
        <v>77</v>
      </c>
      <c r="R1038" s="43" t="s">
        <v>251</v>
      </c>
      <c r="S1038" s="43"/>
    </row>
    <row r="1039" spans="1:19" s="45" customFormat="1" ht="14.4" hidden="1">
      <c r="A1039" s="25">
        <f>IF(C1039="","",MAX($A$1:A1038)+1)</f>
        <v>996</v>
      </c>
      <c r="B1039" s="25" t="s">
        <v>79</v>
      </c>
      <c r="C1039" s="41">
        <v>46090</v>
      </c>
      <c r="D1039" s="48" t="str">
        <f>_xlfn.XLOOKUP(Table134526_79101120212223242526[[#This Row],[Name Surname]],Manpower!$C$4:$C$1048576,Manpower!$B$4:$B$1048576,"")</f>
        <v>Encogroup</v>
      </c>
      <c r="E1039" s="41" t="s">
        <v>125</v>
      </c>
      <c r="F1039" s="12">
        <f>_xlfn.XLOOKUP(Table134526_79101120212223242526[[#This Row],[Name Surname]],Manpower!C:C,Manpower!D:D,)</f>
        <v>141169028</v>
      </c>
      <c r="G1039" s="48" t="str">
        <f>_xlfn.XLOOKUP(Table134526_79101120212223242526[[#This Row],[Name Surname]],Manpower!$C$4:$C$1048576,Manpower!$F$4:$F$1048576,"")</f>
        <v>Welder</v>
      </c>
      <c r="H1039" s="48" t="str">
        <f>_xlfn.XLOOKUP(Table134526_79101120212223242526[[#This Row],[Name Surname]],Manpower!$C$4:$C$1048576,Manpower!$H$4:$H$1048576,"")</f>
        <v>Manpower</v>
      </c>
      <c r="I1039" s="42" t="str">
        <f>_xlfn.XLOOKUP(Table134526_79101120212223242526[[#This Row],[Name Surname]],Manpower!$C$4:$C$1048576,Manpower!$H$4:$H$1048576,"")</f>
        <v>Manpower</v>
      </c>
      <c r="J1039" s="43" t="s">
        <v>35</v>
      </c>
      <c r="K1039" s="43" t="s">
        <v>252</v>
      </c>
      <c r="L1039" s="43" t="s">
        <v>82</v>
      </c>
      <c r="M1039" s="43" t="s">
        <v>24</v>
      </c>
      <c r="N1039" s="44">
        <v>10</v>
      </c>
      <c r="O1039" s="43" t="s">
        <v>25</v>
      </c>
      <c r="P1039" s="43" t="s">
        <v>41</v>
      </c>
      <c r="Q1039" s="43" t="s">
        <v>60</v>
      </c>
      <c r="R1039" s="43" t="s">
        <v>253</v>
      </c>
      <c r="S1039" s="43"/>
    </row>
    <row r="1040" spans="1:19" ht="14.4" hidden="1">
      <c r="A1040" s="33">
        <f>IF(C1040="","",MAX($A$1:A1039)+1)</f>
        <v>997</v>
      </c>
      <c r="B1040" s="26" t="s">
        <v>79</v>
      </c>
      <c r="C1040" s="23">
        <v>46090</v>
      </c>
      <c r="D1040" s="28" t="str">
        <f>_xlfn.XLOOKUP(Table134526_79101120212223242526[[#This Row],[Name Surname]],Manpower!$C$4:$C$1048576,Manpower!$B$4:$B$1048576,"")</f>
        <v>Encogroup</v>
      </c>
      <c r="E1040" s="23" t="s">
        <v>126</v>
      </c>
      <c r="F1040" s="12">
        <f>_xlfn.XLOOKUP(Table134526_79101120212223242526[[#This Row],[Name Surname]],Manpower!C:C,Manpower!D:D,)</f>
        <v>140805568</v>
      </c>
      <c r="G1040" s="28" t="str">
        <f>_xlfn.XLOOKUP(Table134526_79101120212223242526[[#This Row],[Name Surname]],Manpower!$C$4:$C$1048576,Manpower!$F$4:$F$1048576,"")</f>
        <v>Assistant/Helper</v>
      </c>
      <c r="H1040" s="28" t="str">
        <f>_xlfn.XLOOKUP(Table134526_79101120212223242526[[#This Row],[Name Surname]],Manpower!$C$4:$C$1048576,Manpower!$H$4:$H$1048576,"")</f>
        <v>Manpower</v>
      </c>
      <c r="I1040" s="24" t="str">
        <f>_xlfn.XLOOKUP(Table134526_79101120212223242526[[#This Row],[Name Surname]],Manpower!$C$4:$C$1048576,Manpower!$H$4:$H$1048576,"")</f>
        <v>Manpower</v>
      </c>
      <c r="J1040" s="21" t="s">
        <v>35</v>
      </c>
      <c r="K1040" s="21" t="s">
        <v>127</v>
      </c>
      <c r="L1040" s="21" t="s">
        <v>82</v>
      </c>
      <c r="M1040" s="21" t="s">
        <v>24</v>
      </c>
      <c r="N1040" s="29">
        <v>10</v>
      </c>
      <c r="O1040" s="21" t="s">
        <v>40</v>
      </c>
      <c r="P1040" s="21" t="s">
        <v>41</v>
      </c>
      <c r="Q1040" s="21" t="s">
        <v>128</v>
      </c>
      <c r="R1040" s="21" t="s">
        <v>129</v>
      </c>
    </row>
    <row r="1041" spans="1:19" s="45" customFormat="1" ht="14.4" hidden="1">
      <c r="A1041" s="25">
        <f>IF(C1041="","",MAX($A$1:A1040)+1)</f>
        <v>998</v>
      </c>
      <c r="B1041" s="25" t="s">
        <v>79</v>
      </c>
      <c r="C1041" s="41">
        <v>46090</v>
      </c>
      <c r="D1041" s="48" t="str">
        <f>_xlfn.XLOOKUP(Table134526_79101120212223242526[[#This Row],[Name Surname]],Manpower!$C$4:$C$1048576,Manpower!$B$4:$B$1048576,"")</f>
        <v>AL Saif &amp; Al QALLM ENT LLC</v>
      </c>
      <c r="E1041" s="41" t="s">
        <v>130</v>
      </c>
      <c r="F1041" s="12">
        <f>_xlfn.XLOOKUP(Table134526_79101120212223242526[[#This Row],[Name Surname]],Manpower!C:C,Manpower!D:D,)</f>
        <v>76647648</v>
      </c>
      <c r="G1041" s="48" t="str">
        <f>_xlfn.XLOOKUP(Table134526_79101120212223242526[[#This Row],[Name Surname]],Manpower!$C$4:$C$1048576,Manpower!$F$4:$F$1048576,"")</f>
        <v>RIgger</v>
      </c>
      <c r="H1041" s="48" t="str">
        <f>_xlfn.XLOOKUP(Table134526_79101120212223242526[[#This Row],[Name Surname]],Manpower!$C$4:$C$1048576,Manpower!$H$4:$H$1048576,"")</f>
        <v>Sub Contactor</v>
      </c>
      <c r="I1041" s="42" t="str">
        <f>_xlfn.XLOOKUP(Table134526_79101120212223242526[[#This Row],[Name Surname]],Manpower!$C$4:$C$1048576,Manpower!$H$4:$H$1048576,"")</f>
        <v>Sub Contactor</v>
      </c>
      <c r="J1041" s="43" t="s">
        <v>35</v>
      </c>
      <c r="K1041" s="43" t="s">
        <v>252</v>
      </c>
      <c r="L1041" s="43" t="s">
        <v>82</v>
      </c>
      <c r="M1041" s="43" t="s">
        <v>24</v>
      </c>
      <c r="N1041" s="44">
        <v>8</v>
      </c>
      <c r="O1041" s="43" t="s">
        <v>25</v>
      </c>
      <c r="P1041" s="43" t="s">
        <v>41</v>
      </c>
      <c r="Q1041" s="43" t="s">
        <v>60</v>
      </c>
      <c r="R1041" s="43" t="s">
        <v>253</v>
      </c>
      <c r="S1041" s="43"/>
    </row>
    <row r="1042" spans="1:19" s="45" customFormat="1" ht="14.4" hidden="1">
      <c r="A1042" s="25">
        <f>IF(C1042="","",MAX($A$1:A1041)+1)</f>
        <v>999</v>
      </c>
      <c r="B1042" s="25" t="s">
        <v>79</v>
      </c>
      <c r="C1042" s="41">
        <v>46090</v>
      </c>
      <c r="D1042" s="48" t="str">
        <f>_xlfn.XLOOKUP(Table134526_79101120212223242526[[#This Row],[Name Surname]],Manpower!$C$4:$C$1048576,Manpower!$B$4:$B$1048576,"")</f>
        <v>Rabwu Ahamal AL Khaleej Trad</v>
      </c>
      <c r="E1042" s="41" t="s">
        <v>131</v>
      </c>
      <c r="F1042" s="12">
        <f>_xlfn.XLOOKUP(Table134526_79101120212223242526[[#This Row],[Name Surname]],Manpower!C:C,Manpower!D:D,)</f>
        <v>131431131</v>
      </c>
      <c r="G1042" s="48" t="str">
        <f>_xlfn.XLOOKUP(Table134526_79101120212223242526[[#This Row],[Name Surname]],Manpower!$C$4:$C$1048576,Manpower!$F$4:$F$1048576,"")</f>
        <v>RIgger</v>
      </c>
      <c r="H1042" s="48" t="str">
        <f>_xlfn.XLOOKUP(Table134526_79101120212223242526[[#This Row],[Name Surname]],Manpower!$C$4:$C$1048576,Manpower!$H$4:$H$1048576,"")</f>
        <v>Sub Contactor</v>
      </c>
      <c r="I1042" s="42" t="str">
        <f>_xlfn.XLOOKUP(Table134526_79101120212223242526[[#This Row],[Name Surname]],Manpower!$C$4:$C$1048576,Manpower!$H$4:$H$1048576,"")</f>
        <v>Sub Contactor</v>
      </c>
      <c r="J1042" s="43" t="s">
        <v>35</v>
      </c>
      <c r="K1042" s="43" t="s">
        <v>252</v>
      </c>
      <c r="L1042" s="43" t="s">
        <v>82</v>
      </c>
      <c r="M1042" s="43" t="s">
        <v>24</v>
      </c>
      <c r="N1042" s="44">
        <v>8</v>
      </c>
      <c r="O1042" s="43" t="s">
        <v>25</v>
      </c>
      <c r="P1042" s="43" t="s">
        <v>41</v>
      </c>
      <c r="Q1042" s="43" t="s">
        <v>60</v>
      </c>
      <c r="R1042" s="43" t="s">
        <v>253</v>
      </c>
      <c r="S1042" s="43"/>
    </row>
    <row r="1043" spans="1:19" ht="14.4" hidden="1">
      <c r="A1043" s="33">
        <f>IF(C1043="","",MAX($A$1:A1042)+1)</f>
        <v>1000</v>
      </c>
      <c r="B1043" s="26" t="s">
        <v>79</v>
      </c>
      <c r="C1043" s="23">
        <v>46090</v>
      </c>
      <c r="D1043" s="28" t="str">
        <f>_xlfn.XLOOKUP(Table134526_79101120212223242526[[#This Row],[Name Surname]],Manpower!$C$4:$C$1048576,Manpower!$B$4:$B$1048576,"")</f>
        <v>AL Saif &amp; Al QALLM ENT LLC</v>
      </c>
      <c r="E1043" s="23" t="s">
        <v>132</v>
      </c>
      <c r="F1043" s="12">
        <f>_xlfn.XLOOKUP(Table134526_79101120212223242526[[#This Row],[Name Surname]],Manpower!C:C,Manpower!D:D,)</f>
        <v>135762195</v>
      </c>
      <c r="G1043" s="28" t="str">
        <f>_xlfn.XLOOKUP(Table134526_79101120212223242526[[#This Row],[Name Surname]],Manpower!$C$4:$C$1048576,Manpower!$F$4:$F$1048576,"")</f>
        <v>HSE Officer</v>
      </c>
      <c r="H1043" s="28" t="str">
        <f>_xlfn.XLOOKUP(Table134526_79101120212223242526[[#This Row],[Name Surname]],Manpower!$C$4:$C$1048576,Manpower!$H$4:$H$1048576,"")</f>
        <v>Sub Contactor</v>
      </c>
      <c r="I1043" s="24" t="str">
        <f>_xlfn.XLOOKUP(Table134526_79101120212223242526[[#This Row],[Name Surname]],Manpower!$C$4:$C$1048576,Manpower!$H$4:$H$1048576,"")</f>
        <v>Sub Contactor</v>
      </c>
      <c r="J1043" s="21" t="s">
        <v>35</v>
      </c>
      <c r="K1043" s="21" t="s">
        <v>257</v>
      </c>
      <c r="L1043" s="21" t="s">
        <v>82</v>
      </c>
      <c r="M1043" s="21" t="s">
        <v>24</v>
      </c>
      <c r="N1043" s="29">
        <v>10</v>
      </c>
      <c r="O1043" s="21" t="s">
        <v>25</v>
      </c>
      <c r="P1043" s="21" t="s">
        <v>41</v>
      </c>
      <c r="Q1043" s="21" t="s">
        <v>60</v>
      </c>
      <c r="R1043" s="21" t="s">
        <v>254</v>
      </c>
    </row>
    <row r="1044" spans="1:19" s="45" customFormat="1" ht="14.4" hidden="1">
      <c r="A1044" s="25">
        <f>IF(C1044="","",MAX($A$1:A1043)+1)</f>
        <v>1001</v>
      </c>
      <c r="B1044" s="25" t="s">
        <v>79</v>
      </c>
      <c r="C1044" s="41">
        <v>46090</v>
      </c>
      <c r="D1044" s="48" t="str">
        <f>_xlfn.XLOOKUP(Table134526_79101120212223242526[[#This Row],[Name Surname]],Manpower!$C$4:$C$1048576,Manpower!$B$4:$B$1048576,"")</f>
        <v>Encogroup</v>
      </c>
      <c r="E1044" s="41" t="s">
        <v>133</v>
      </c>
      <c r="F1044" s="12">
        <f>_xlfn.XLOOKUP(Table134526_79101120212223242526[[#This Row],[Name Surname]],Manpower!C:C,Manpower!D:D,)</f>
        <v>140846684</v>
      </c>
      <c r="G1044" s="48" t="str">
        <f>_xlfn.XLOOKUP(Table134526_79101120212223242526[[#This Row],[Name Surname]],Manpower!$C$4:$C$1048576,Manpower!$F$4:$F$1048576,"")</f>
        <v>Assistant/Helper</v>
      </c>
      <c r="H1044" s="48" t="str">
        <f>_xlfn.XLOOKUP(Table134526_79101120212223242526[[#This Row],[Name Surname]],Manpower!$C$4:$C$1048576,Manpower!$H$4:$H$1048576,"")</f>
        <v>Manpower</v>
      </c>
      <c r="I1044" s="42" t="str">
        <f>_xlfn.XLOOKUP(Table134526_79101120212223242526[[#This Row],[Name Surname]],Manpower!$C$4:$C$1048576,Manpower!$H$4:$H$1048576,"")</f>
        <v>Manpower</v>
      </c>
      <c r="J1044" s="43" t="s">
        <v>35</v>
      </c>
      <c r="K1044" s="43" t="s">
        <v>257</v>
      </c>
      <c r="L1044" s="43" t="s">
        <v>82</v>
      </c>
      <c r="M1044" s="43" t="s">
        <v>24</v>
      </c>
      <c r="N1044" s="44">
        <v>10</v>
      </c>
      <c r="O1044" s="43" t="s">
        <v>25</v>
      </c>
      <c r="P1044" s="43" t="s">
        <v>41</v>
      </c>
      <c r="Q1044" s="43" t="s">
        <v>60</v>
      </c>
      <c r="R1044" s="43" t="s">
        <v>100</v>
      </c>
      <c r="S1044" s="43"/>
    </row>
    <row r="1045" spans="1:19" s="45" customFormat="1" ht="14.4" hidden="1">
      <c r="A1045" s="25">
        <f>IF(C1045="","",MAX($A$1:A1044)+1)</f>
        <v>1002</v>
      </c>
      <c r="B1045" s="25" t="s">
        <v>79</v>
      </c>
      <c r="C1045" s="41">
        <v>46090</v>
      </c>
      <c r="D1045" s="48" t="str">
        <f>_xlfn.XLOOKUP(Table134526_79101120212223242526[[#This Row],[Name Surname]],Manpower!$C$4:$C$1048576,Manpower!$B$4:$B$1048576,"")</f>
        <v>Encogroup</v>
      </c>
      <c r="E1045" s="41" t="s">
        <v>136</v>
      </c>
      <c r="F1045" s="12">
        <f>_xlfn.XLOOKUP(Table134526_79101120212223242526[[#This Row],[Name Surname]],Manpower!C:C,Manpower!D:D,)</f>
        <v>141250908</v>
      </c>
      <c r="G1045" s="48" t="str">
        <f>_xlfn.XLOOKUP(Table134526_79101120212223242526[[#This Row],[Name Surname]],Manpower!$C$4:$C$1048576,Manpower!$F$4:$F$1048576,"")</f>
        <v>Mechanical Engineer</v>
      </c>
      <c r="H1045" s="48" t="str">
        <f>_xlfn.XLOOKUP(Table134526_79101120212223242526[[#This Row],[Name Surname]],Manpower!$C$4:$C$1048576,Manpower!$H$4:$H$1048576,"")</f>
        <v>Manpower</v>
      </c>
      <c r="I1045" s="42" t="str">
        <f>_xlfn.XLOOKUP(Table134526_79101120212223242526[[#This Row],[Name Surname]],Manpower!$C$4:$C$1048576,Manpower!$H$4:$H$1048576,"")</f>
        <v>Manpower</v>
      </c>
      <c r="J1045" s="43" t="s">
        <v>35</v>
      </c>
      <c r="K1045" s="43" t="s">
        <v>257</v>
      </c>
      <c r="L1045" s="43" t="s">
        <v>82</v>
      </c>
      <c r="M1045" s="43" t="s">
        <v>24</v>
      </c>
      <c r="N1045" s="44">
        <v>10</v>
      </c>
      <c r="O1045" s="43" t="s">
        <v>25</v>
      </c>
      <c r="P1045" s="43" t="s">
        <v>41</v>
      </c>
      <c r="Q1045" s="43" t="s">
        <v>60</v>
      </c>
      <c r="R1045" s="43" t="s">
        <v>254</v>
      </c>
      <c r="S1045" s="43"/>
    </row>
    <row r="1046" spans="1:19" ht="14.4">
      <c r="A1046" s="33">
        <f>IF(C1046="","",MAX($A$1:A1045)+1)</f>
        <v>1003</v>
      </c>
      <c r="B1046" s="26" t="s">
        <v>79</v>
      </c>
      <c r="C1046" s="23">
        <v>46090</v>
      </c>
      <c r="D1046" s="28" t="str">
        <f>_xlfn.XLOOKUP(Table134526_79101120212223242526[[#This Row],[Name Surname]],Manpower!$C$4:$C$1048576,Manpower!$B$4:$B$1048576,"")</f>
        <v>Encogroup</v>
      </c>
      <c r="E1046" s="23" t="s">
        <v>137</v>
      </c>
      <c r="F1046" s="12" t="e">
        <f>_xlfn.XLOOKUP(Table134526_79101120212223242526[[#This Row],[Name Surname]],Manpower!C:C,Manpower!D:D,)</f>
        <v>#N/A</v>
      </c>
      <c r="G1046" s="28" t="str">
        <f>_xlfn.XLOOKUP(Table134526_79101120212223242526[[#This Row],[Name Surname]],Manpower!$C$4:$C$1048576,Manpower!$F$4:$F$1048576,"")</f>
        <v>55 Seat Bus</v>
      </c>
      <c r="H1046" s="28" t="str">
        <f>_xlfn.XLOOKUP(Table134526_79101120212223242526[[#This Row],[Name Surname]],Manpower!$C$4:$C$1048576,Manpower!$H$4:$H$1048576,"")</f>
        <v>Equipment</v>
      </c>
      <c r="I1046" s="24" t="str">
        <f>_xlfn.XLOOKUP(Table134526_79101120212223242526[[#This Row],[Name Surname]],Manpower!$C$4:$C$1048576,Manpower!$H$4:$H$1048576,"")</f>
        <v>Equipment</v>
      </c>
      <c r="J1046" s="21" t="s">
        <v>35</v>
      </c>
      <c r="K1046" s="21" t="s">
        <v>81</v>
      </c>
      <c r="L1046" s="21" t="s">
        <v>82</v>
      </c>
      <c r="M1046" s="21" t="s">
        <v>24</v>
      </c>
      <c r="N1046" s="29">
        <v>10</v>
      </c>
      <c r="O1046" s="21" t="s">
        <v>138</v>
      </c>
      <c r="P1046" s="21" t="s">
        <v>138</v>
      </c>
      <c r="Q1046" s="21" t="s">
        <v>138</v>
      </c>
      <c r="R1046" s="21" t="s">
        <v>26</v>
      </c>
    </row>
    <row r="1047" spans="1:19" s="45" customFormat="1" ht="14.4" hidden="1">
      <c r="A1047" s="25">
        <f>IF(C1047="","",MAX($A$1:A1046)+1)</f>
        <v>1004</v>
      </c>
      <c r="B1047" s="25" t="s">
        <v>79</v>
      </c>
      <c r="C1047" s="41">
        <v>46090</v>
      </c>
      <c r="D1047" s="48" t="str">
        <f>_xlfn.XLOOKUP(Table134526_79101120212223242526[[#This Row],[Name Surname]],Manpower!$C$4:$C$1048576,Manpower!$B$4:$B$1048576,"")</f>
        <v>Encogroup</v>
      </c>
      <c r="E1047" s="41" t="s">
        <v>134</v>
      </c>
      <c r="F1047" s="12">
        <f>_xlfn.XLOOKUP(Table134526_79101120212223242526[[#This Row],[Name Surname]],Manpower!C:C,Manpower!D:D,)</f>
        <v>18114443</v>
      </c>
      <c r="G1047" s="48" t="str">
        <f>_xlfn.XLOOKUP(Table134526_79101120212223242526[[#This Row],[Name Surname]],Manpower!$C$4:$C$1048576,Manpower!$F$4:$F$1048576,"")</f>
        <v>Driver</v>
      </c>
      <c r="H1047" s="48" t="str">
        <f>_xlfn.XLOOKUP(Table134526_79101120212223242526[[#This Row],[Name Surname]],Manpower!$C$4:$C$1048576,Manpower!$H$4:$H$1048576,"")</f>
        <v>Manpower</v>
      </c>
      <c r="I1047" s="42" t="str">
        <f>_xlfn.XLOOKUP(Table134526_79101120212223242526[[#This Row],[Name Surname]],Manpower!$C$4:$C$1048576,Manpower!$H$4:$H$1048576,"")</f>
        <v>Manpower</v>
      </c>
      <c r="J1047" s="43" t="s">
        <v>135</v>
      </c>
      <c r="K1047" s="43" t="s">
        <v>81</v>
      </c>
      <c r="L1047" s="43" t="s">
        <v>82</v>
      </c>
      <c r="M1047" s="43" t="s">
        <v>24</v>
      </c>
      <c r="N1047" s="44">
        <v>10</v>
      </c>
      <c r="O1047" s="43" t="s">
        <v>40</v>
      </c>
      <c r="P1047" s="43" t="s">
        <v>41</v>
      </c>
      <c r="Q1047" s="43" t="s">
        <v>42</v>
      </c>
      <c r="R1047" s="43" t="s">
        <v>26</v>
      </c>
      <c r="S1047" s="43"/>
    </row>
    <row r="1048" spans="1:19" ht="14.4">
      <c r="A1048" s="33">
        <f>IF(C1048="","",MAX($A$1:A1045)+1)</f>
        <v>1003</v>
      </c>
      <c r="B1048" s="26" t="s">
        <v>79</v>
      </c>
      <c r="C1048" s="23">
        <v>46090</v>
      </c>
      <c r="D1048" s="28" t="str">
        <f>_xlfn.XLOOKUP(Table134526_79101120212223242526[[#This Row],[Name Surname]],Manpower!$C$4:$C$1048576,Manpower!$B$4:$B$1048576,"")</f>
        <v>Encogroup</v>
      </c>
      <c r="E1048" s="23" t="s">
        <v>139</v>
      </c>
      <c r="F1048" s="12" t="e">
        <f>_xlfn.XLOOKUP(Table134526_79101120212223242526[[#This Row],[Name Surname]],Manpower!C:C,Manpower!D:D,)</f>
        <v>#N/A</v>
      </c>
      <c r="G1048" s="28" t="str">
        <f>_xlfn.XLOOKUP(Table134526_79101120212223242526[[#This Row],[Name Surname]],Manpower!$C$4:$C$1048576,Manpower!$F$4:$F$1048576,"")</f>
        <v>TOWER LIGHT</v>
      </c>
      <c r="H1048" s="28" t="str">
        <f>_xlfn.XLOOKUP(Table134526_79101120212223242526[[#This Row],[Name Surname]],Manpower!$C$4:$C$1048576,Manpower!$H$4:$H$1048576,"")</f>
        <v>Equipment</v>
      </c>
      <c r="I1048" s="24" t="str">
        <f>_xlfn.XLOOKUP(Table134526_79101120212223242526[[#This Row],[Name Surname]],Manpower!$C$4:$C$1048576,Manpower!$H$4:$H$1048576,"")</f>
        <v>Equipment</v>
      </c>
      <c r="J1048" s="21" t="s">
        <v>35</v>
      </c>
      <c r="K1048" s="21" t="s">
        <v>257</v>
      </c>
      <c r="L1048" s="21" t="s">
        <v>82</v>
      </c>
      <c r="M1048" s="21" t="s">
        <v>24</v>
      </c>
      <c r="N1048" s="29">
        <v>10</v>
      </c>
      <c r="O1048" s="21" t="s">
        <v>140</v>
      </c>
      <c r="P1048" s="21" t="s">
        <v>140</v>
      </c>
      <c r="Q1048" s="21" t="s">
        <v>140</v>
      </c>
      <c r="R1048" s="21" t="s">
        <v>26</v>
      </c>
    </row>
    <row r="1049" spans="1:19" ht="14.4">
      <c r="A1049" s="33">
        <f>IF(C1049="","",MAX($A$1:A1048)+1)</f>
        <v>1005</v>
      </c>
      <c r="B1049" s="27" t="s">
        <v>141</v>
      </c>
      <c r="C1049" s="23">
        <v>46090</v>
      </c>
      <c r="D1049" s="28" t="str">
        <f>_xlfn.XLOOKUP(Table134526_79101120212223242526[[#This Row],[Name Surname]],Manpower!$C$4:$C$1048576,Manpower!$B$4:$B$1048576,"")</f>
        <v>Encogroup</v>
      </c>
      <c r="E1049" s="23" t="s">
        <v>142</v>
      </c>
      <c r="F1049" s="12" t="e">
        <f>_xlfn.XLOOKUP(Table134526_79101120212223242526[[#This Row],[Name Surname]],Manpower!C:C,Manpower!D:D,)</f>
        <v>#N/A</v>
      </c>
      <c r="G1049" s="28" t="str">
        <f>_xlfn.XLOOKUP(Table134526_79101120212223242526[[#This Row],[Name Surname]],Manpower!$C$4:$C$1048576,Manpower!$F$4:$F$1048576,"")</f>
        <v>13 Seat Bus</v>
      </c>
      <c r="H1049" s="28" t="str">
        <f>_xlfn.XLOOKUP(Table134526_79101120212223242526[[#This Row],[Name Surname]],Manpower!$C$4:$C$1048576,Manpower!$H$4:$H$1048576,"")</f>
        <v>Equipment</v>
      </c>
      <c r="I1049" s="24" t="str">
        <f>_xlfn.XLOOKUP(Table134526_79101120212223242526[[#This Row],[Name Surname]],Manpower!$C$4:$C$1048576,Manpower!$H$4:$H$1048576,"")</f>
        <v>Equipment</v>
      </c>
      <c r="J1049" s="21" t="s">
        <v>143</v>
      </c>
      <c r="K1049" s="21" t="s">
        <v>26</v>
      </c>
      <c r="L1049" s="21" t="s">
        <v>144</v>
      </c>
      <c r="M1049" s="21" t="s">
        <v>24</v>
      </c>
      <c r="N1049" s="29">
        <v>10</v>
      </c>
      <c r="O1049" s="21" t="s">
        <v>138</v>
      </c>
      <c r="P1049" s="21" t="s">
        <v>138</v>
      </c>
      <c r="Q1049" s="21" t="s">
        <v>138</v>
      </c>
      <c r="R1049" s="21" t="s">
        <v>26</v>
      </c>
    </row>
    <row r="1050" spans="1:19" ht="14.4">
      <c r="A1050" s="33">
        <f>IF(C1050="","",MAX($A$1:A1049)+1)</f>
        <v>1006</v>
      </c>
      <c r="B1050" s="27" t="s">
        <v>141</v>
      </c>
      <c r="C1050" s="23">
        <v>46090</v>
      </c>
      <c r="D1050" s="28" t="str">
        <f>_xlfn.XLOOKUP(Table134526_79101120212223242526[[#This Row],[Name Surname]],Manpower!$C$4:$C$1048576,Manpower!$B$4:$B$1048576,"")</f>
        <v>Encogroup</v>
      </c>
      <c r="E1050" s="21" t="s">
        <v>145</v>
      </c>
      <c r="F1050" s="12" t="e">
        <f>_xlfn.XLOOKUP(Table134526_79101120212223242526[[#This Row],[Name Surname]],Manpower!C:C,Manpower!D:D,)</f>
        <v>#N/A</v>
      </c>
      <c r="G1050" s="28" t="str">
        <f>_xlfn.XLOOKUP(Table134526_79101120212223242526[[#This Row],[Name Surname]],Manpower!$C$4:$C$1048576,Manpower!$F$4:$F$1048576,"")</f>
        <v>15 Seat Bus</v>
      </c>
      <c r="H1050" s="28" t="str">
        <f>_xlfn.XLOOKUP(Table134526_79101120212223242526[[#This Row],[Name Surname]],Manpower!$C$4:$C$1048576,Manpower!$H$4:$H$1048576,"")</f>
        <v>Equipment</v>
      </c>
      <c r="I1050" s="24" t="str">
        <f>_xlfn.XLOOKUP(Table134526_79101120212223242526[[#This Row],[Name Surname]],Manpower!$C$4:$C$1048576,Manpower!$H$4:$H$1048576,"")</f>
        <v>Equipment</v>
      </c>
      <c r="J1050" s="21" t="s">
        <v>143</v>
      </c>
      <c r="K1050" s="21" t="s">
        <v>26</v>
      </c>
      <c r="L1050" s="21" t="s">
        <v>144</v>
      </c>
      <c r="M1050" s="21" t="s">
        <v>24</v>
      </c>
      <c r="N1050" s="29">
        <v>10</v>
      </c>
      <c r="O1050" s="21" t="s">
        <v>138</v>
      </c>
      <c r="P1050" s="21" t="s">
        <v>138</v>
      </c>
      <c r="Q1050" s="21" t="s">
        <v>138</v>
      </c>
      <c r="R1050" s="21" t="s">
        <v>26</v>
      </c>
    </row>
    <row r="1051" spans="1:19" ht="14.4">
      <c r="A1051" s="33">
        <f>IF(C1051="","",MAX($A$1:A1049)+1)</f>
        <v>1006</v>
      </c>
      <c r="B1051" s="27" t="s">
        <v>141</v>
      </c>
      <c r="C1051" s="23">
        <v>46090</v>
      </c>
      <c r="D1051" s="28" t="str">
        <f>_xlfn.XLOOKUP(Table134526_79101120212223242526[[#This Row],[Name Surname]],Manpower!$C$4:$C$1048576,Manpower!$B$4:$B$1048576,"")</f>
        <v>Nass Group</v>
      </c>
      <c r="E1051" s="23" t="s">
        <v>146</v>
      </c>
      <c r="F1051" s="12" t="e">
        <f>_xlfn.XLOOKUP(Table134526_79101120212223242526[[#This Row],[Name Surname]],Manpower!C:C,Manpower!D:D,)</f>
        <v>#N/A</v>
      </c>
      <c r="G1051" s="28" t="str">
        <f>_xlfn.XLOOKUP(Table134526_79101120212223242526[[#This Row],[Name Surname]],Manpower!$C$4:$C$1048576,Manpower!$F$4:$F$1048576,"")</f>
        <v>130T Crawler Crane</v>
      </c>
      <c r="H1051" s="28" t="str">
        <f>_xlfn.XLOOKUP(Table134526_79101120212223242526[[#This Row],[Name Surname]],Manpower!$C$4:$C$1048576,Manpower!$H$4:$H$1048576,"")</f>
        <v>Equipment</v>
      </c>
      <c r="I1051" s="24" t="str">
        <f>_xlfn.XLOOKUP(Table134526_79101120212223242526[[#This Row],[Name Surname]],Manpower!$C$4:$C$1048576,Manpower!$H$4:$H$1048576,"")</f>
        <v>Equipment</v>
      </c>
      <c r="J1051" s="21" t="s">
        <v>143</v>
      </c>
      <c r="K1051" s="21" t="s">
        <v>26</v>
      </c>
      <c r="L1051" s="21" t="s">
        <v>144</v>
      </c>
      <c r="M1051" s="21" t="s">
        <v>55</v>
      </c>
      <c r="N1051" s="29">
        <v>10</v>
      </c>
      <c r="R1051" s="21" t="s">
        <v>258</v>
      </c>
    </row>
    <row r="1052" spans="1:19" ht="14.4">
      <c r="A1052" s="33">
        <f>IF(C1052="","",MAX($A$1:A1051)+1)</f>
        <v>1007</v>
      </c>
      <c r="B1052" s="27" t="s">
        <v>141</v>
      </c>
      <c r="C1052" s="23">
        <v>46090</v>
      </c>
      <c r="D1052" s="28" t="str">
        <f>_xlfn.XLOOKUP(Table134526_79101120212223242526[[#This Row],[Name Surname]],Manpower!$C$4:$C$1048576,Manpower!$B$4:$B$1048576,"")</f>
        <v>Nass Group</v>
      </c>
      <c r="E1052" s="23" t="s">
        <v>148</v>
      </c>
      <c r="F1052" s="12" t="e">
        <f>_xlfn.XLOOKUP(Table134526_79101120212223242526[[#This Row],[Name Surname]],Manpower!C:C,Manpower!D:D,)</f>
        <v>#N/A</v>
      </c>
      <c r="G1052" s="28" t="str">
        <f>_xlfn.XLOOKUP(Table134526_79101120212223242526[[#This Row],[Name Surname]],Manpower!$C$4:$C$1048576,Manpower!$F$4:$F$1048576,"")</f>
        <v>70T-Telescopic crane</v>
      </c>
      <c r="H1052" s="28" t="str">
        <f>_xlfn.XLOOKUP(Table134526_79101120212223242526[[#This Row],[Name Surname]],Manpower!$C$4:$C$1048576,Manpower!$H$4:$H$1048576,"")</f>
        <v>Equipment</v>
      </c>
      <c r="I1052" s="24" t="str">
        <f>_xlfn.XLOOKUP(Table134526_79101120212223242526[[#This Row],[Name Surname]],Manpower!$C$4:$C$1048576,Manpower!$H$4:$H$1048576,"")</f>
        <v>Equipment</v>
      </c>
      <c r="J1052" s="21" t="s">
        <v>143</v>
      </c>
      <c r="K1052" s="21" t="s">
        <v>26</v>
      </c>
      <c r="L1052" s="21" t="s">
        <v>144</v>
      </c>
      <c r="M1052" s="21" t="s">
        <v>55</v>
      </c>
      <c r="N1052" s="29">
        <v>10</v>
      </c>
      <c r="R1052" s="21" t="s">
        <v>241</v>
      </c>
    </row>
    <row r="1053" spans="1:19" ht="14.4">
      <c r="A1053" s="33">
        <f>IF(C1053="","",MAX($A$1:A1052)+1)</f>
        <v>1008</v>
      </c>
      <c r="B1053" s="27" t="s">
        <v>141</v>
      </c>
      <c r="C1053" s="23">
        <v>46090</v>
      </c>
      <c r="D1053" s="28" t="str">
        <f>_xlfn.XLOOKUP(Table134526_79101120212223242526[[#This Row],[Name Surname]],Manpower!$C$4:$C$1048576,Manpower!$B$4:$B$1048576,"")</f>
        <v>Encogroup</v>
      </c>
      <c r="E1053" s="23" t="s">
        <v>150</v>
      </c>
      <c r="F1053" s="12" t="e">
        <f>_xlfn.XLOOKUP(Table134526_79101120212223242526[[#This Row],[Name Surname]],Manpower!C:C,Manpower!D:D,)</f>
        <v>#N/A</v>
      </c>
      <c r="G1053" s="28" t="str">
        <f>_xlfn.XLOOKUP(Table134526_79101120212223242526[[#This Row],[Name Surname]],Manpower!$C$4:$C$1048576,Manpower!$F$4:$F$1048576,"")</f>
        <v>14T Fork lift</v>
      </c>
      <c r="H1053" s="28" t="str">
        <f>_xlfn.XLOOKUP(Table134526_79101120212223242526[[#This Row],[Name Surname]],Manpower!$C$4:$C$1048576,Manpower!$H$4:$H$1048576,"")</f>
        <v>Equipment</v>
      </c>
      <c r="I1053" s="24" t="str">
        <f>_xlfn.XLOOKUP(Table134526_79101120212223242526[[#This Row],[Name Surname]],Manpower!$C$4:$C$1048576,Manpower!$H$4:$H$1048576,"")</f>
        <v>Equipment</v>
      </c>
      <c r="J1053" s="21" t="s">
        <v>143</v>
      </c>
      <c r="K1053" s="21" t="s">
        <v>26</v>
      </c>
      <c r="L1053" s="21" t="s">
        <v>144</v>
      </c>
      <c r="M1053" s="21" t="s">
        <v>24</v>
      </c>
      <c r="N1053" s="29">
        <v>10</v>
      </c>
      <c r="O1053" s="21" t="s">
        <v>40</v>
      </c>
      <c r="P1053" s="21" t="s">
        <v>42</v>
      </c>
      <c r="Q1053" s="21" t="s">
        <v>41</v>
      </c>
      <c r="R1053" s="21" t="s">
        <v>26</v>
      </c>
    </row>
    <row r="1054" spans="1:19" ht="14.4">
      <c r="A1054" s="33">
        <f>IF(C1054="","",MAX($A$1:A1053)+1)</f>
        <v>1009</v>
      </c>
      <c r="B1054" s="27" t="s">
        <v>141</v>
      </c>
      <c r="C1054" s="23">
        <v>46090</v>
      </c>
      <c r="D1054" s="28" t="str">
        <f>_xlfn.XLOOKUP(Table134526_79101120212223242526[[#This Row],[Name Surname]],Manpower!$C$4:$C$1048576,Manpower!$B$4:$B$1048576,"")</f>
        <v>Al Jaber Heavy Lift</v>
      </c>
      <c r="E1054" s="23" t="s">
        <v>151</v>
      </c>
      <c r="F1054" s="12" t="e">
        <f>_xlfn.XLOOKUP(Table134526_79101120212223242526[[#This Row],[Name Surname]],Manpower!C:C,Manpower!D:D,)</f>
        <v>#N/A</v>
      </c>
      <c r="G1054" s="28" t="str">
        <f>_xlfn.XLOOKUP(Table134526_79101120212223242526[[#This Row],[Name Surname]],Manpower!$C$4:$C$1048576,Manpower!$F$4:$F$1048576,"")</f>
        <v>150T-Crawler Crane</v>
      </c>
      <c r="H1054" s="28" t="str">
        <f>_xlfn.XLOOKUP(Table134526_79101120212223242526[[#This Row],[Name Surname]],Manpower!$C$4:$C$1048576,Manpower!$H$4:$H$1048576,"")</f>
        <v>Equipment</v>
      </c>
      <c r="I1054" s="24" t="str">
        <f>_xlfn.XLOOKUP(Table134526_79101120212223242526[[#This Row],[Name Surname]],Manpower!$C$4:$C$1048576,Manpower!$H$4:$H$1048576,"")</f>
        <v>Equipment</v>
      </c>
      <c r="J1054" s="21" t="s">
        <v>143</v>
      </c>
      <c r="K1054" s="21" t="s">
        <v>26</v>
      </c>
      <c r="L1054" s="21" t="s">
        <v>144</v>
      </c>
      <c r="M1054" s="21" t="s">
        <v>55</v>
      </c>
      <c r="N1054" s="29">
        <v>10</v>
      </c>
      <c r="R1054" s="21" t="s">
        <v>242</v>
      </c>
    </row>
    <row r="1055" spans="1:19" ht="14.4">
      <c r="A1055" s="33">
        <f>IF(C1055="","",MAX($A$1:A1054)+1)</f>
        <v>1010</v>
      </c>
      <c r="B1055" s="27" t="s">
        <v>141</v>
      </c>
      <c r="C1055" s="23">
        <v>46090</v>
      </c>
      <c r="D1055" s="28" t="str">
        <f>_xlfn.XLOOKUP(Table134526_79101120212223242526[[#This Row],[Name Surname]],Manpower!$C$4:$C$1048576,Manpower!$B$4:$B$1048576,"")</f>
        <v>Encogroup</v>
      </c>
      <c r="E1055" s="23" t="s">
        <v>153</v>
      </c>
      <c r="F1055" s="12" t="e">
        <f>_xlfn.XLOOKUP(Table134526_79101120212223242526[[#This Row],[Name Surname]],Manpower!C:C,Manpower!D:D,)</f>
        <v>#N/A</v>
      </c>
      <c r="G1055" s="28" t="str">
        <f>_xlfn.XLOOKUP(Table134526_79101120212223242526[[#This Row],[Name Surname]],Manpower!$C$4:$C$1048576,Manpower!$F$4:$F$1048576,"")</f>
        <v>22 Seat Bus</v>
      </c>
      <c r="H1055" s="28" t="str">
        <f>_xlfn.XLOOKUP(Table134526_79101120212223242526[[#This Row],[Name Surname]],Manpower!$C$4:$C$1048576,Manpower!$H$4:$H$1048576,"")</f>
        <v>Equipment</v>
      </c>
      <c r="I1055" s="24" t="str">
        <f>_xlfn.XLOOKUP(Table134526_79101120212223242526[[#This Row],[Name Surname]],Manpower!$C$4:$C$1048576,Manpower!$H$4:$H$1048576,"")</f>
        <v>Equipment</v>
      </c>
      <c r="J1055" s="21" t="s">
        <v>143</v>
      </c>
      <c r="K1055" s="21" t="s">
        <v>26</v>
      </c>
      <c r="L1055" s="21" t="s">
        <v>144</v>
      </c>
      <c r="M1055" s="21" t="s">
        <v>24</v>
      </c>
      <c r="N1055" s="29">
        <v>10</v>
      </c>
      <c r="O1055" s="21" t="s">
        <v>138</v>
      </c>
      <c r="P1055" s="21" t="s">
        <v>138</v>
      </c>
      <c r="Q1055" s="21" t="s">
        <v>138</v>
      </c>
      <c r="R1055" s="21" t="s">
        <v>26</v>
      </c>
    </row>
    <row r="1056" spans="1:19" ht="14.4">
      <c r="A1056" s="33">
        <f>IF(C1056="","",MAX($A$1:A1055)+1)</f>
        <v>1011</v>
      </c>
      <c r="B1056" s="27" t="s">
        <v>141</v>
      </c>
      <c r="C1056" s="23">
        <v>46090</v>
      </c>
      <c r="D1056" s="28" t="str">
        <f>_xlfn.XLOOKUP(Table134526_79101120212223242526[[#This Row],[Name Surname]],Manpower!$C$4:$C$1048576,Manpower!$B$4:$B$1048576,"")</f>
        <v>Encogroup</v>
      </c>
      <c r="E1056" s="23" t="s">
        <v>154</v>
      </c>
      <c r="F1056" s="12" t="e">
        <f>_xlfn.XLOOKUP(Table134526_79101120212223242526[[#This Row],[Name Surname]],Manpower!C:C,Manpower!D:D,)</f>
        <v>#N/A</v>
      </c>
      <c r="G1056" s="28" t="str">
        <f>_xlfn.XLOOKUP(Table134526_79101120212223242526[[#This Row],[Name Surname]],Manpower!$C$4:$C$1048576,Manpower!$F$4:$F$1048576,"")</f>
        <v>22 Seat Bus</v>
      </c>
      <c r="H1056" s="28" t="str">
        <f>_xlfn.XLOOKUP(Table134526_79101120212223242526[[#This Row],[Name Surname]],Manpower!$C$4:$C$1048576,Manpower!$H$4:$H$1048576,"")</f>
        <v>Equipment</v>
      </c>
      <c r="I1056" s="24" t="str">
        <f>_xlfn.XLOOKUP(Table134526_79101120212223242526[[#This Row],[Name Surname]],Manpower!$C$4:$C$1048576,Manpower!$H$4:$H$1048576,"")</f>
        <v>Equipment</v>
      </c>
      <c r="J1056" s="21" t="s">
        <v>143</v>
      </c>
      <c r="K1056" s="21" t="s">
        <v>26</v>
      </c>
      <c r="L1056" s="21" t="s">
        <v>144</v>
      </c>
      <c r="M1056" s="21" t="s">
        <v>24</v>
      </c>
      <c r="N1056" s="29">
        <v>10</v>
      </c>
      <c r="O1056" s="21" t="s">
        <v>138</v>
      </c>
      <c r="P1056" s="21" t="s">
        <v>138</v>
      </c>
      <c r="Q1056" s="21" t="s">
        <v>138</v>
      </c>
      <c r="R1056" s="21" t="s">
        <v>26</v>
      </c>
    </row>
    <row r="1057" spans="1:19" ht="14.4">
      <c r="A1057" s="33">
        <f>IF(C1057="","",MAX($A$1:A1056)+1)</f>
        <v>1012</v>
      </c>
      <c r="B1057" s="27" t="s">
        <v>141</v>
      </c>
      <c r="C1057" s="23">
        <v>46090</v>
      </c>
      <c r="D1057" s="28" t="str">
        <f>_xlfn.XLOOKUP(Table134526_79101120212223242526[[#This Row],[Name Surname]],Manpower!$C$4:$C$1048576,Manpower!$B$4:$B$1048576,"")</f>
        <v>Encogroup</v>
      </c>
      <c r="E1057" s="23" t="s">
        <v>155</v>
      </c>
      <c r="F1057" s="12" t="e">
        <f>_xlfn.XLOOKUP(Table134526_79101120212223242526[[#This Row],[Name Surname]],Manpower!C:C,Manpower!D:D,)</f>
        <v>#N/A</v>
      </c>
      <c r="G1057" s="28" t="str">
        <f>_xlfn.XLOOKUP(Table134526_79101120212223242526[[#This Row],[Name Surname]],Manpower!$C$4:$C$1048576,Manpower!$F$4:$F$1048576,"")</f>
        <v>300 KVA Generator</v>
      </c>
      <c r="H1057" s="28" t="str">
        <f>_xlfn.XLOOKUP(Table134526_79101120212223242526[[#This Row],[Name Surname]],Manpower!$C$4:$C$1048576,Manpower!$H$4:$H$1048576,"")</f>
        <v>Equipment</v>
      </c>
      <c r="I1057" s="24" t="str">
        <f>_xlfn.XLOOKUP(Table134526_79101120212223242526[[#This Row],[Name Surname]],Manpower!$C$4:$C$1048576,Manpower!$H$4:$H$1048576,"")</f>
        <v>Equipment</v>
      </c>
      <c r="J1057" s="21" t="s">
        <v>143</v>
      </c>
      <c r="K1057" s="21" t="s">
        <v>26</v>
      </c>
      <c r="L1057" s="21" t="s">
        <v>144</v>
      </c>
      <c r="M1057" s="21" t="s">
        <v>24</v>
      </c>
      <c r="N1057" s="29">
        <v>10</v>
      </c>
      <c r="R1057" s="21" t="s">
        <v>26</v>
      </c>
    </row>
    <row r="1058" spans="1:19" ht="14.4">
      <c r="A1058" s="33">
        <f>IF(C1058="","",MAX($A$1:A1057)+1)</f>
        <v>1013</v>
      </c>
      <c r="B1058" s="27" t="s">
        <v>141</v>
      </c>
      <c r="C1058" s="23">
        <v>46090</v>
      </c>
      <c r="D1058" s="28" t="str">
        <f>_xlfn.XLOOKUP(Table134526_79101120212223242526[[#This Row],[Name Surname]],Manpower!$C$4:$C$1048576,Manpower!$B$4:$B$1048576,"")</f>
        <v>Encogroup</v>
      </c>
      <c r="E1058" s="23" t="s">
        <v>156</v>
      </c>
      <c r="F1058" s="12" t="e">
        <f>_xlfn.XLOOKUP(Table134526_79101120212223242526[[#This Row],[Name Surname]],Manpower!C:C,Manpower!D:D,)</f>
        <v>#N/A</v>
      </c>
      <c r="G1058" s="28" t="str">
        <f>_xlfn.XLOOKUP(Table134526_79101120212223242526[[#This Row],[Name Surname]],Manpower!$C$4:$C$1048576,Manpower!$F$4:$F$1048576,"")</f>
        <v>35 KVA Generator</v>
      </c>
      <c r="H1058" s="28" t="str">
        <f>_xlfn.XLOOKUP(Table134526_79101120212223242526[[#This Row],[Name Surname]],Manpower!$C$4:$C$1048576,Manpower!$H$4:$H$1048576,"")</f>
        <v>Equipment</v>
      </c>
      <c r="I1058" s="24" t="str">
        <f>_xlfn.XLOOKUP(Table134526_79101120212223242526[[#This Row],[Name Surname]],Manpower!$C$4:$C$1048576,Manpower!$H$4:$H$1048576,"")</f>
        <v>Equipment</v>
      </c>
      <c r="J1058" s="21" t="s">
        <v>143</v>
      </c>
      <c r="K1058" s="21" t="s">
        <v>26</v>
      </c>
      <c r="L1058" s="21" t="s">
        <v>144</v>
      </c>
      <c r="M1058" s="21" t="s">
        <v>55</v>
      </c>
      <c r="N1058" s="29">
        <v>10</v>
      </c>
      <c r="R1058" s="21" t="s">
        <v>56</v>
      </c>
    </row>
    <row r="1059" spans="1:19" ht="14.4" hidden="1">
      <c r="A1059" s="33">
        <f>IF(C1059="","",MAX($A$1:A1058)+1)</f>
        <v>1014</v>
      </c>
      <c r="B1059" s="27" t="s">
        <v>141</v>
      </c>
      <c r="C1059" s="23">
        <v>46090</v>
      </c>
      <c r="D1059" s="28" t="str">
        <f>_xlfn.XLOOKUP(Table134526_79101120212223242526[[#This Row],[Name Surname]],Manpower!$C$4:$C$1048576,Manpower!$B$4:$B$1048576,"")</f>
        <v>Encogroup</v>
      </c>
      <c r="E1059" s="23" t="s">
        <v>157</v>
      </c>
      <c r="F1059" s="12">
        <f>_xlfn.XLOOKUP(Table134526_79101120212223242526[[#This Row],[Name Surname]],Manpower!C:C,Manpower!D:D,)</f>
        <v>140742144</v>
      </c>
      <c r="G1059" s="28" t="str">
        <f>_xlfn.XLOOKUP(Table134526_79101120212223242526[[#This Row],[Name Surname]],Manpower!$C$4:$C$1048576,Manpower!$F$4:$F$1048576,"")</f>
        <v>Assistant/Helper</v>
      </c>
      <c r="H1059" s="28" t="str">
        <f>_xlfn.XLOOKUP(Table134526_79101120212223242526[[#This Row],[Name Surname]],Manpower!$C$4:$C$1048576,Manpower!$H$4:$H$1048576,"")</f>
        <v>Manpower</v>
      </c>
      <c r="I1059" s="24" t="str">
        <f>_xlfn.XLOOKUP(Table134526_79101120212223242526[[#This Row],[Name Surname]],Manpower!$C$4:$C$1048576,Manpower!$H$4:$H$1048576,"")</f>
        <v>Manpower</v>
      </c>
      <c r="J1059" s="21" t="s">
        <v>158</v>
      </c>
      <c r="K1059" s="21" t="s">
        <v>26</v>
      </c>
      <c r="L1059" s="21" t="s">
        <v>26</v>
      </c>
      <c r="M1059" s="21" t="s">
        <v>24</v>
      </c>
      <c r="N1059" s="29">
        <v>11</v>
      </c>
      <c r="O1059" s="21" t="s">
        <v>159</v>
      </c>
      <c r="P1059" s="21" t="s">
        <v>160</v>
      </c>
      <c r="Q1059" s="21" t="s">
        <v>160</v>
      </c>
      <c r="R1059" s="21" t="s">
        <v>259</v>
      </c>
    </row>
    <row r="1060" spans="1:19" s="45" customFormat="1" ht="14.4" hidden="1">
      <c r="A1060" s="25">
        <f>IF(C1060="","",MAX($A$1:A1059)+1)</f>
        <v>1015</v>
      </c>
      <c r="B1060" s="25" t="s">
        <v>141</v>
      </c>
      <c r="C1060" s="41">
        <v>46090</v>
      </c>
      <c r="D1060" s="48" t="str">
        <f>_xlfn.XLOOKUP(Table134526_79101120212223242526[[#This Row],[Name Surname]],Manpower!$C$4:$C$1048576,Manpower!$B$4:$B$1048576,"")</f>
        <v>Encogroup</v>
      </c>
      <c r="E1060" s="47" t="s">
        <v>166</v>
      </c>
      <c r="F1060" s="12" t="str">
        <f>_xlfn.XLOOKUP(Table134526_79101120212223242526[[#This Row],[Name Surname]],Manpower!C:C,Manpower!D:D,)</f>
        <v>U4181508</v>
      </c>
      <c r="G1060" s="48" t="str">
        <f>_xlfn.XLOOKUP(Table134526_79101120212223242526[[#This Row],[Name Surname]],Manpower!$C$4:$C$1048576,Manpower!$F$4:$F$1048576,"")</f>
        <v>Welder</v>
      </c>
      <c r="H1060" s="48" t="str">
        <f>_xlfn.XLOOKUP(Table134526_79101120212223242526[[#This Row],[Name Surname]],Manpower!$C$4:$C$1048576,Manpower!$H$4:$H$1048576,"")</f>
        <v>Manpower</v>
      </c>
      <c r="I1060" s="42" t="str">
        <f>_xlfn.XLOOKUP(Table134526_79101120212223242526[[#This Row],[Name Surname]],Manpower!$C$4:$C$1048576,Manpower!$H$4:$H$1048576,"")</f>
        <v>Manpower</v>
      </c>
      <c r="J1060" s="43" t="s">
        <v>143</v>
      </c>
      <c r="K1060" s="43" t="s">
        <v>26</v>
      </c>
      <c r="L1060" s="43" t="s">
        <v>144</v>
      </c>
      <c r="M1060" s="43" t="s">
        <v>24</v>
      </c>
      <c r="N1060" s="44">
        <v>10</v>
      </c>
      <c r="O1060" s="43" t="s">
        <v>40</v>
      </c>
      <c r="P1060" s="43" t="s">
        <v>42</v>
      </c>
      <c r="Q1060" s="43" t="s">
        <v>42</v>
      </c>
      <c r="R1060" s="43" t="s">
        <v>260</v>
      </c>
      <c r="S1060" s="43"/>
    </row>
    <row r="1061" spans="1:19" s="45" customFormat="1" ht="14.4" hidden="1">
      <c r="A1061" s="25">
        <f>IF(C1061="","",MAX($A$1:A1060)+1)</f>
        <v>1016</v>
      </c>
      <c r="B1061" s="25" t="s">
        <v>141</v>
      </c>
      <c r="C1061" s="41">
        <v>46090</v>
      </c>
      <c r="D1061" s="48" t="str">
        <f>_xlfn.XLOOKUP(Table134526_79101120212223242526[[#This Row],[Name Surname]],Manpower!$C$4:$C$1048576,Manpower!$B$4:$B$1048576,"")</f>
        <v>Encogroup</v>
      </c>
      <c r="E1061" s="41" t="s">
        <v>167</v>
      </c>
      <c r="F1061" s="12">
        <f>_xlfn.XLOOKUP(Table134526_79101120212223242526[[#This Row],[Name Surname]],Manpower!C:C,Manpower!D:D,)</f>
        <v>125440631</v>
      </c>
      <c r="G1061" s="48" t="str">
        <f>_xlfn.XLOOKUP(Table134526_79101120212223242526[[#This Row],[Name Surname]],Manpower!$C$4:$C$1048576,Manpower!$F$4:$F$1048576,"")</f>
        <v>Rigger</v>
      </c>
      <c r="H1061" s="48" t="str">
        <f>_xlfn.XLOOKUP(Table134526_79101120212223242526[[#This Row],[Name Surname]],Manpower!$C$4:$C$1048576,Manpower!$H$4:$H$1048576,"")</f>
        <v>Manpower</v>
      </c>
      <c r="I1061" s="42" t="str">
        <f>_xlfn.XLOOKUP(Table134526_79101120212223242526[[#This Row],[Name Surname]],Manpower!$C$4:$C$1048576,Manpower!$H$4:$H$1048576,"")</f>
        <v>Manpower</v>
      </c>
      <c r="J1061" s="43" t="s">
        <v>143</v>
      </c>
      <c r="K1061" s="43" t="s">
        <v>26</v>
      </c>
      <c r="L1061" s="43" t="s">
        <v>144</v>
      </c>
      <c r="M1061" s="43" t="s">
        <v>24</v>
      </c>
      <c r="N1061" s="44">
        <v>8</v>
      </c>
      <c r="O1061" s="43" t="s">
        <v>40</v>
      </c>
      <c r="P1061" s="43" t="s">
        <v>42</v>
      </c>
      <c r="Q1061" s="43" t="s">
        <v>42</v>
      </c>
      <c r="R1061" s="43" t="s">
        <v>260</v>
      </c>
      <c r="S1061" s="43"/>
    </row>
    <row r="1062" spans="1:19" ht="14.4" hidden="1">
      <c r="A1062" s="33">
        <f>IF(C1062="","",MAX($A$1:A1061)+1)</f>
        <v>1017</v>
      </c>
      <c r="B1062" s="27" t="s">
        <v>141</v>
      </c>
      <c r="C1062" s="23">
        <v>46090</v>
      </c>
      <c r="D1062" s="28" t="str">
        <f>_xlfn.XLOOKUP(Table134526_79101120212223242526[[#This Row],[Name Surname]],Manpower!$C$4:$C$1048576,Manpower!$B$4:$B$1048576,"")</f>
        <v>AL Omar International TRAD AND CONT</v>
      </c>
      <c r="E1062" s="23" t="s">
        <v>169</v>
      </c>
      <c r="F1062" s="12">
        <f>_xlfn.XLOOKUP(Table134526_79101120212223242526[[#This Row],[Name Surname]],Manpower!C:C,Manpower!D:D,)</f>
        <v>115731078</v>
      </c>
      <c r="G1062" s="28" t="str">
        <f>_xlfn.XLOOKUP(Table134526_79101120212223242526[[#This Row],[Name Surname]],Manpower!$C$4:$C$1048576,Manpower!$F$4:$F$1048576,"")</f>
        <v>Scaffolder</v>
      </c>
      <c r="H1062" s="28" t="str">
        <f>_xlfn.XLOOKUP(Table134526_79101120212223242526[[#This Row],[Name Surname]],Manpower!$C$4:$C$1048576,Manpower!$H$4:$H$1048576,"")</f>
        <v>Sub Contactor</v>
      </c>
      <c r="I1062" s="24" t="str">
        <f>_xlfn.XLOOKUP(Table134526_79101120212223242526[[#This Row],[Name Surname]],Manpower!$C$4:$C$1048576,Manpower!$H$4:$H$1048576,"")</f>
        <v>Sub Contactor</v>
      </c>
      <c r="J1062" s="21" t="s">
        <v>143</v>
      </c>
      <c r="K1062" s="21" t="s">
        <v>26</v>
      </c>
      <c r="L1062" s="21" t="s">
        <v>170</v>
      </c>
      <c r="M1062" s="21" t="s">
        <v>24</v>
      </c>
      <c r="N1062" s="29">
        <v>8</v>
      </c>
      <c r="O1062" s="21" t="s">
        <v>40</v>
      </c>
      <c r="P1062" s="21" t="s">
        <v>128</v>
      </c>
      <c r="Q1062" s="21" t="s">
        <v>128</v>
      </c>
      <c r="R1062" s="21" t="s">
        <v>171</v>
      </c>
    </row>
    <row r="1063" spans="1:19" s="45" customFormat="1" ht="14.4" hidden="1">
      <c r="A1063" s="25">
        <f>IF(C1063="","",MAX($A$1:A1062)+1)</f>
        <v>1018</v>
      </c>
      <c r="B1063" s="25" t="s">
        <v>141</v>
      </c>
      <c r="C1063" s="41">
        <v>46090</v>
      </c>
      <c r="D1063" s="48" t="str">
        <f>_xlfn.XLOOKUP(Table134526_79101120212223242526[[#This Row],[Name Surname]],Manpower!$C$4:$C$1048576,Manpower!$B$4:$B$1048576,"")</f>
        <v>Encogroup</v>
      </c>
      <c r="E1063" s="41" t="s">
        <v>172</v>
      </c>
      <c r="F1063" s="12">
        <f>_xlfn.XLOOKUP(Table134526_79101120212223242526[[#This Row],[Name Surname]],Manpower!C:C,Manpower!D:D,)</f>
        <v>140764355</v>
      </c>
      <c r="G1063" s="48" t="str">
        <f>_xlfn.XLOOKUP(Table134526_79101120212223242526[[#This Row],[Name Surname]],Manpower!$C$4:$C$1048576,Manpower!$F$4:$F$1048576,"")</f>
        <v>Fitter/Erector</v>
      </c>
      <c r="H1063" s="48" t="str">
        <f>_xlfn.XLOOKUP(Table134526_79101120212223242526[[#This Row],[Name Surname]],Manpower!$C$4:$C$1048576,Manpower!$H$4:$H$1048576,"")</f>
        <v>Manpower</v>
      </c>
      <c r="I1063" s="42" t="str">
        <f>_xlfn.XLOOKUP(Table134526_79101120212223242526[[#This Row],[Name Surname]],Manpower!$C$4:$C$1048576,Manpower!$H$4:$H$1048576,"")</f>
        <v>Manpower</v>
      </c>
      <c r="J1063" s="43" t="s">
        <v>143</v>
      </c>
      <c r="K1063" s="43" t="s">
        <v>26</v>
      </c>
      <c r="L1063" s="43" t="s">
        <v>144</v>
      </c>
      <c r="M1063" s="43" t="s">
        <v>24</v>
      </c>
      <c r="N1063" s="44">
        <v>10</v>
      </c>
      <c r="O1063" s="43" t="s">
        <v>40</v>
      </c>
      <c r="P1063" s="43" t="s">
        <v>42</v>
      </c>
      <c r="Q1063" s="43" t="s">
        <v>42</v>
      </c>
      <c r="R1063" s="43" t="s">
        <v>260</v>
      </c>
      <c r="S1063" s="43"/>
    </row>
    <row r="1064" spans="1:19" s="45" customFormat="1" ht="14.4" hidden="1">
      <c r="A1064" s="25">
        <f>IF(C1064="","",MAX($A$1:A1063)+1)</f>
        <v>1019</v>
      </c>
      <c r="B1064" s="25" t="s">
        <v>141</v>
      </c>
      <c r="C1064" s="41">
        <v>46090</v>
      </c>
      <c r="D1064" s="48" t="str">
        <f>_xlfn.XLOOKUP(Table134526_79101120212223242526[[#This Row],[Name Surname]],Manpower!$C$4:$C$1048576,Manpower!$B$4:$B$1048576,"")</f>
        <v>Encogroup</v>
      </c>
      <c r="E1064" s="41" t="s">
        <v>173</v>
      </c>
      <c r="F1064" s="12" t="str">
        <f>_xlfn.XLOOKUP(Table134526_79101120212223242526[[#This Row],[Name Surname]],Manpower!C:C,Manpower!D:D,)</f>
        <v>S3549132</v>
      </c>
      <c r="G1064" s="48" t="str">
        <f>_xlfn.XLOOKUP(Table134526_79101120212223242526[[#This Row],[Name Surname]],Manpower!$C$4:$C$1048576,Manpower!$F$4:$F$1048576,"")</f>
        <v>Grinder</v>
      </c>
      <c r="H1064" s="48" t="str">
        <f>_xlfn.XLOOKUP(Table134526_79101120212223242526[[#This Row],[Name Surname]],Manpower!$C$4:$C$1048576,Manpower!$H$4:$H$1048576,"")</f>
        <v>Manpower</v>
      </c>
      <c r="I1064" s="42" t="str">
        <f>_xlfn.XLOOKUP(Table134526_79101120212223242526[[#This Row],[Name Surname]],Manpower!$C$4:$C$1048576,Manpower!$H$4:$H$1048576,"")</f>
        <v>Manpower</v>
      </c>
      <c r="J1064" s="43" t="s">
        <v>143</v>
      </c>
      <c r="K1064" s="43" t="s">
        <v>26</v>
      </c>
      <c r="L1064" s="43" t="s">
        <v>144</v>
      </c>
      <c r="M1064" s="43" t="s">
        <v>24</v>
      </c>
      <c r="N1064" s="44">
        <v>10</v>
      </c>
      <c r="O1064" s="43" t="s">
        <v>40</v>
      </c>
      <c r="P1064" s="43" t="s">
        <v>42</v>
      </c>
      <c r="Q1064" s="43" t="s">
        <v>42</v>
      </c>
      <c r="R1064" s="43" t="s">
        <v>260</v>
      </c>
      <c r="S1064" s="43" t="s">
        <v>245</v>
      </c>
    </row>
    <row r="1065" spans="1:19" ht="14.4" hidden="1">
      <c r="A1065" s="33">
        <f>IF(C1065="","",MAX($A$1:A1064)+1)</f>
        <v>1020</v>
      </c>
      <c r="B1065" s="27" t="s">
        <v>141</v>
      </c>
      <c r="C1065" s="23">
        <v>46090</v>
      </c>
      <c r="D1065" s="28" t="str">
        <f>_xlfn.XLOOKUP(Table134526_79101120212223242526[[#This Row],[Name Surname]],Manpower!$C$4:$C$1048576,Manpower!$B$4:$B$1048576,"")</f>
        <v>Encogroup</v>
      </c>
      <c r="E1065" s="23" t="s">
        <v>175</v>
      </c>
      <c r="F1065" s="12">
        <f>_xlfn.XLOOKUP(Table134526_79101120212223242526[[#This Row],[Name Surname]],Manpower!C:C,Manpower!D:D,)</f>
        <v>140742125</v>
      </c>
      <c r="G1065" s="28" t="str">
        <f>_xlfn.XLOOKUP(Table134526_79101120212223242526[[#This Row],[Name Surname]],Manpower!$C$4:$C$1048576,Manpower!$F$4:$F$1048576,"")</f>
        <v>Assistant/Helper</v>
      </c>
      <c r="H1065" s="28" t="str">
        <f>_xlfn.XLOOKUP(Table134526_79101120212223242526[[#This Row],[Name Surname]],Manpower!$C$4:$C$1048576,Manpower!$H$4:$H$1048576,"")</f>
        <v>Manpower</v>
      </c>
      <c r="I1065" s="24" t="str">
        <f>_xlfn.XLOOKUP(Table134526_79101120212223242526[[#This Row],[Name Surname]],Manpower!$C$4:$C$1048576,Manpower!$H$4:$H$1048576,"")</f>
        <v>Manpower</v>
      </c>
      <c r="J1065" s="21" t="s">
        <v>158</v>
      </c>
      <c r="K1065" s="21" t="s">
        <v>26</v>
      </c>
      <c r="L1065" s="21" t="s">
        <v>26</v>
      </c>
      <c r="M1065" s="21" t="s">
        <v>24</v>
      </c>
      <c r="N1065" s="29">
        <v>10</v>
      </c>
      <c r="O1065" s="21" t="s">
        <v>159</v>
      </c>
      <c r="P1065" s="21" t="s">
        <v>160</v>
      </c>
      <c r="Q1065" s="21" t="s">
        <v>160</v>
      </c>
      <c r="R1065" s="21" t="s">
        <v>161</v>
      </c>
    </row>
    <row r="1066" spans="1:19" ht="14.4" hidden="1">
      <c r="A1066" s="33">
        <f>IF(C1066="","",MAX($A$1:A1065)+1)</f>
        <v>1021</v>
      </c>
      <c r="B1066" s="27" t="s">
        <v>141</v>
      </c>
      <c r="C1066" s="23">
        <v>46090</v>
      </c>
      <c r="D1066" s="28" t="str">
        <f>_xlfn.XLOOKUP(Table134526_79101120212223242526[[#This Row],[Name Surname]],Manpower!$C$4:$C$1048576,Manpower!$B$4:$B$1048576,"")</f>
        <v>Encogroup</v>
      </c>
      <c r="E1066" s="23" t="s">
        <v>228</v>
      </c>
      <c r="F1066" s="12">
        <f>_xlfn.XLOOKUP(Table134526_79101120212223242526[[#This Row],[Name Surname]],Manpower!C:C,Manpower!D:D,)</f>
        <v>125199963</v>
      </c>
      <c r="G1066" s="28" t="str">
        <f>_xlfn.XLOOKUP(Table134526_79101120212223242526[[#This Row],[Name Surname]],Manpower!$C$4:$C$1048576,Manpower!$F$4:$F$1048576,"")</f>
        <v>Electrician</v>
      </c>
      <c r="H1066" s="28" t="str">
        <f>_xlfn.XLOOKUP(Table134526_79101120212223242526[[#This Row],[Name Surname]],Manpower!$C$4:$C$1048576,Manpower!$H$4:$H$1048576,"")</f>
        <v>Manpower</v>
      </c>
      <c r="I1066" s="24" t="str">
        <f>_xlfn.XLOOKUP(Table134526_79101120212223242526[[#This Row],[Name Surname]],Manpower!$C$4:$C$1048576,Manpower!$H$4:$H$1048576,"")</f>
        <v>Manpower</v>
      </c>
      <c r="J1066" s="21" t="s">
        <v>158</v>
      </c>
      <c r="K1066" s="21" t="s">
        <v>26</v>
      </c>
      <c r="L1066" s="21" t="s">
        <v>26</v>
      </c>
      <c r="M1066" s="21" t="s">
        <v>24</v>
      </c>
      <c r="N1066" s="29">
        <v>10</v>
      </c>
      <c r="O1066" s="21" t="s">
        <v>159</v>
      </c>
      <c r="P1066" s="21" t="s">
        <v>160</v>
      </c>
      <c r="Q1066" s="21" t="s">
        <v>160</v>
      </c>
      <c r="R1066" s="21" t="s">
        <v>161</v>
      </c>
    </row>
    <row r="1067" spans="1:19" s="45" customFormat="1" ht="14.4" hidden="1">
      <c r="A1067" s="25">
        <f>IF(C1067="","",MAX($A$1:A1066)+1)</f>
        <v>1022</v>
      </c>
      <c r="B1067" s="25" t="s">
        <v>141</v>
      </c>
      <c r="C1067" s="41">
        <v>46090</v>
      </c>
      <c r="D1067" s="48" t="str">
        <f>_xlfn.XLOOKUP(Table134526_79101120212223242526[[#This Row],[Name Surname]],Manpower!$C$4:$C$1048576,Manpower!$B$4:$B$1048576,"")</f>
        <v>Encogroup</v>
      </c>
      <c r="E1067" s="41" t="s">
        <v>176</v>
      </c>
      <c r="F1067" s="12">
        <f>_xlfn.XLOOKUP(Table134526_79101120212223242526[[#This Row],[Name Surname]],Manpower!C:C,Manpower!D:D,)</f>
        <v>124398279</v>
      </c>
      <c r="G1067" s="48" t="str">
        <f>_xlfn.XLOOKUP(Table134526_79101120212223242526[[#This Row],[Name Surname]],Manpower!$C$4:$C$1048576,Manpower!$F$4:$F$1048576,"")</f>
        <v>Permit Receiver</v>
      </c>
      <c r="H1067" s="48" t="str">
        <f>_xlfn.XLOOKUP(Table134526_79101120212223242526[[#This Row],[Name Surname]],Manpower!$C$4:$C$1048576,Manpower!$H$4:$H$1048576,"")</f>
        <v>Manpower</v>
      </c>
      <c r="I1067" s="42" t="str">
        <f>_xlfn.XLOOKUP(Table134526_79101120212223242526[[#This Row],[Name Surname]],Manpower!$C$4:$C$1048576,Manpower!$H$4:$H$1048576,"")</f>
        <v>Manpower</v>
      </c>
      <c r="J1067" s="43" t="s">
        <v>143</v>
      </c>
      <c r="K1067" s="43" t="s">
        <v>26</v>
      </c>
      <c r="L1067" s="43" t="s">
        <v>144</v>
      </c>
      <c r="M1067" s="43" t="s">
        <v>24</v>
      </c>
      <c r="N1067" s="44">
        <v>10</v>
      </c>
      <c r="O1067" s="43" t="s">
        <v>40</v>
      </c>
      <c r="P1067" s="43" t="s">
        <v>42</v>
      </c>
      <c r="Q1067" s="43" t="s">
        <v>42</v>
      </c>
      <c r="R1067" s="43" t="s">
        <v>260</v>
      </c>
      <c r="S1067" s="43"/>
    </row>
    <row r="1068" spans="1:19" s="45" customFormat="1" ht="14.4" hidden="1">
      <c r="A1068" s="25">
        <f>IF(C1068="","",MAX($A$1:A1067)+1)</f>
        <v>1023</v>
      </c>
      <c r="B1068" s="25" t="s">
        <v>141</v>
      </c>
      <c r="C1068" s="41">
        <v>46089</v>
      </c>
      <c r="D1068" s="48" t="str">
        <f>_xlfn.XLOOKUP(Table134526_79101120212223242526[[#This Row],[Name Surname]],Manpower!$C$4:$C$1048576,Manpower!$B$4:$B$1048576,"")</f>
        <v>Encogroup</v>
      </c>
      <c r="E1068" s="41" t="s">
        <v>177</v>
      </c>
      <c r="F1068" s="12">
        <f>_xlfn.XLOOKUP(Table134526_79101120212223242526[[#This Row],[Name Surname]],Manpower!C:C,Manpower!D:D,)</f>
        <v>140809004</v>
      </c>
      <c r="G1068" s="48" t="str">
        <f>_xlfn.XLOOKUP(Table134526_79101120212223242526[[#This Row],[Name Surname]],Manpower!$C$4:$C$1048576,Manpower!$F$4:$F$1048576,"")</f>
        <v>Fitter/Erector</v>
      </c>
      <c r="H1068" s="48" t="str">
        <f>_xlfn.XLOOKUP(Table134526_79101120212223242526[[#This Row],[Name Surname]],Manpower!$C$4:$C$1048576,Manpower!$H$4:$H$1048576,"")</f>
        <v>Manpower</v>
      </c>
      <c r="I1068" s="42" t="str">
        <f>_xlfn.XLOOKUP(Table134526_79101120212223242526[[#This Row],[Name Surname]],Manpower!$C$4:$C$1048576,Manpower!$H$4:$H$1048576,"")</f>
        <v>Manpower</v>
      </c>
      <c r="J1068" s="43" t="s">
        <v>143</v>
      </c>
      <c r="K1068" s="43" t="s">
        <v>26</v>
      </c>
      <c r="L1068" s="43" t="s">
        <v>144</v>
      </c>
      <c r="M1068" s="43" t="s">
        <v>24</v>
      </c>
      <c r="N1068" s="44">
        <v>10</v>
      </c>
      <c r="O1068" s="43" t="s">
        <v>40</v>
      </c>
      <c r="P1068" s="43" t="s">
        <v>42</v>
      </c>
      <c r="Q1068" s="43" t="s">
        <v>42</v>
      </c>
      <c r="R1068" s="43" t="s">
        <v>260</v>
      </c>
      <c r="S1068" s="43"/>
    </row>
    <row r="1069" spans="1:19" ht="14.4" hidden="1">
      <c r="A1069" s="33">
        <f>IF(C1069="","",MAX($A$1:A1068)+1)</f>
        <v>1024</v>
      </c>
      <c r="B1069" s="27" t="s">
        <v>141</v>
      </c>
      <c r="C1069" s="23">
        <v>46090</v>
      </c>
      <c r="D1069" s="28" t="str">
        <f>_xlfn.XLOOKUP(Table134526_79101120212223242526[[#This Row],[Name Surname]],Manpower!$C$4:$C$1048576,Manpower!$B$4:$B$1048576,"")</f>
        <v>Encogroup</v>
      </c>
      <c r="E1069" s="23" t="s">
        <v>178</v>
      </c>
      <c r="F1069" s="12">
        <f>_xlfn.XLOOKUP(Table134526_79101120212223242526[[#This Row],[Name Surname]],Manpower!C:C,Manpower!D:D,)</f>
        <v>140683436</v>
      </c>
      <c r="G1069" s="28" t="str">
        <f>_xlfn.XLOOKUP(Table134526_79101120212223242526[[#This Row],[Name Surname]],Manpower!$C$4:$C$1048576,Manpower!$F$4:$F$1048576,"")</f>
        <v>Scaffolder</v>
      </c>
      <c r="H1069" s="28" t="str">
        <f>_xlfn.XLOOKUP(Table134526_79101120212223242526[[#This Row],[Name Surname]],Manpower!$C$4:$C$1048576,Manpower!$H$4:$H$1048576,"")</f>
        <v>Manpower</v>
      </c>
      <c r="I1069" s="24" t="str">
        <f>_xlfn.XLOOKUP(Table134526_79101120212223242526[[#This Row],[Name Surname]],Manpower!$C$4:$C$1048576,Manpower!$H$4:$H$1048576,"")</f>
        <v>Manpower</v>
      </c>
      <c r="J1069" s="21" t="s">
        <v>158</v>
      </c>
      <c r="K1069" s="21" t="s">
        <v>26</v>
      </c>
      <c r="L1069" s="21" t="s">
        <v>26</v>
      </c>
      <c r="M1069" s="21" t="s">
        <v>24</v>
      </c>
      <c r="N1069" s="29">
        <v>8</v>
      </c>
      <c r="O1069" s="21" t="s">
        <v>159</v>
      </c>
      <c r="P1069" s="21" t="s">
        <v>160</v>
      </c>
      <c r="Q1069" s="21" t="s">
        <v>160</v>
      </c>
      <c r="R1069" s="21" t="s">
        <v>161</v>
      </c>
    </row>
    <row r="1070" spans="1:19" ht="14.4">
      <c r="A1070" s="33">
        <f>IF(C1070="","",MAX($A$1:A1069)+1)</f>
        <v>1025</v>
      </c>
      <c r="B1070" s="27" t="s">
        <v>141</v>
      </c>
      <c r="C1070" s="23">
        <v>46090</v>
      </c>
      <c r="D1070" s="28" t="str">
        <f>_xlfn.XLOOKUP(Table134526_79101120212223242526[[#This Row],[Name Surname]],Manpower!$C$4:$C$1048576,Manpower!$B$4:$B$1048576,"")</f>
        <v>Encogroup</v>
      </c>
      <c r="E1070" s="23" t="s">
        <v>179</v>
      </c>
      <c r="F1070" s="12" t="e">
        <f>_xlfn.XLOOKUP(Table134526_79101120212223242526[[#This Row],[Name Surname]],Manpower!C:C,Manpower!D:D,)</f>
        <v>#N/A</v>
      </c>
      <c r="G1070" s="28" t="str">
        <f>_xlfn.XLOOKUP(Table134526_79101120212223242526[[#This Row],[Name Surname]],Manpower!$C$4:$C$1048576,Manpower!$F$4:$F$1048576,"")</f>
        <v>7T-HIAB</v>
      </c>
      <c r="H1070" s="28" t="str">
        <f>_xlfn.XLOOKUP(Table134526_79101120212223242526[[#This Row],[Name Surname]],Manpower!$C$4:$C$1048576,Manpower!$H$4:$H$1048576,"")</f>
        <v>Equipment</v>
      </c>
      <c r="I1070" s="24" t="str">
        <f>_xlfn.XLOOKUP(Table134526_79101120212223242526[[#This Row],[Name Surname]],Manpower!$C$4:$C$1048576,Manpower!$H$4:$H$1048576,"")</f>
        <v>Equipment</v>
      </c>
      <c r="J1070" s="21" t="s">
        <v>143</v>
      </c>
      <c r="K1070" s="21" t="s">
        <v>26</v>
      </c>
      <c r="L1070" s="21" t="s">
        <v>144</v>
      </c>
      <c r="M1070" s="21" t="s">
        <v>24</v>
      </c>
      <c r="N1070" s="29">
        <v>10</v>
      </c>
      <c r="O1070" s="21" t="s">
        <v>138</v>
      </c>
      <c r="P1070" s="21" t="s">
        <v>138</v>
      </c>
      <c r="Q1070" s="21" t="s">
        <v>138</v>
      </c>
      <c r="R1070" s="21" t="s">
        <v>26</v>
      </c>
    </row>
    <row r="1071" spans="1:19" s="45" customFormat="1" ht="14.4" hidden="1">
      <c r="A1071" s="25">
        <f>IF(C1071="","",MAX($A$1:A1070)+1)</f>
        <v>1026</v>
      </c>
      <c r="B1071" s="25" t="s">
        <v>141</v>
      </c>
      <c r="C1071" s="41">
        <v>46090</v>
      </c>
      <c r="D1071" s="48" t="str">
        <f>_xlfn.XLOOKUP(Table134526_79101120212223242526[[#This Row],[Name Surname]],Manpower!$C$4:$C$1048576,Manpower!$B$4:$B$1048576,"")</f>
        <v>Encogroup</v>
      </c>
      <c r="E1071" s="41" t="s">
        <v>180</v>
      </c>
      <c r="F1071" s="12">
        <f>_xlfn.XLOOKUP(Table134526_79101120212223242526[[#This Row],[Name Surname]],Manpower!C:C,Manpower!D:D,)</f>
        <v>9138415</v>
      </c>
      <c r="G1071" s="48" t="str">
        <f>_xlfn.XLOOKUP(Table134526_79101120212223242526[[#This Row],[Name Surname]],Manpower!$C$4:$C$1048576,Manpower!$F$4:$F$1048576,"")</f>
        <v>HIAB Driver</v>
      </c>
      <c r="H1071" s="48" t="str">
        <f>_xlfn.XLOOKUP(Table134526_79101120212223242526[[#This Row],[Name Surname]],Manpower!$C$4:$C$1048576,Manpower!$H$4:$H$1048576,"")</f>
        <v>Manpower</v>
      </c>
      <c r="I1071" s="42" t="str">
        <f>_xlfn.XLOOKUP(Table134526_79101120212223242526[[#This Row],[Name Surname]],Manpower!$C$4:$C$1048576,Manpower!$H$4:$H$1048576,"")</f>
        <v>Manpower</v>
      </c>
      <c r="J1071" s="43" t="s">
        <v>143</v>
      </c>
      <c r="K1071" s="43" t="s">
        <v>26</v>
      </c>
      <c r="L1071" s="43" t="s">
        <v>144</v>
      </c>
      <c r="M1071" s="43" t="s">
        <v>24</v>
      </c>
      <c r="N1071" s="44">
        <v>10</v>
      </c>
      <c r="O1071" s="43" t="s">
        <v>40</v>
      </c>
      <c r="P1071" s="43" t="s">
        <v>42</v>
      </c>
      <c r="Q1071" s="43" t="s">
        <v>42</v>
      </c>
      <c r="R1071" s="43" t="s">
        <v>181</v>
      </c>
      <c r="S1071" s="43" t="s">
        <v>245</v>
      </c>
    </row>
    <row r="1072" spans="1:19" ht="14.4" hidden="1">
      <c r="A1072" s="33">
        <f>IF(C1072="","",MAX($A$1:A1071)+1)</f>
        <v>1027</v>
      </c>
      <c r="B1072" s="27" t="s">
        <v>141</v>
      </c>
      <c r="C1072" s="23">
        <v>46090</v>
      </c>
      <c r="D1072" s="28" t="str">
        <f>_xlfn.XLOOKUP(Table134526_79101120212223242526[[#This Row],[Name Surname]],Manpower!$C$4:$C$1048576,Manpower!$B$4:$B$1048576,"")</f>
        <v>GAF</v>
      </c>
      <c r="E1072" s="23" t="s">
        <v>182</v>
      </c>
      <c r="F1072" s="12">
        <f>_xlfn.XLOOKUP(Table134526_79101120212223242526[[#This Row],[Name Surname]],Manpower!C:C,Manpower!D:D,)</f>
        <v>78785394</v>
      </c>
      <c r="G1072" s="28" t="str">
        <f>_xlfn.XLOOKUP(Table134526_79101120212223242526[[#This Row],[Name Surname]],Manpower!$C$4:$C$1048576,Manpower!$F$4:$F$1048576,"")</f>
        <v>Helper</v>
      </c>
      <c r="H1072" s="28" t="str">
        <f>_xlfn.XLOOKUP(Table134526_79101120212223242526[[#This Row],[Name Surname]],Manpower!$C$4:$C$1048576,Manpower!$H$4:$H$1048576,"")</f>
        <v>Sub Contactor</v>
      </c>
      <c r="I1072" s="24" t="str">
        <f>_xlfn.XLOOKUP(Table134526_79101120212223242526[[#This Row],[Name Surname]],Manpower!$C$4:$C$1048576,Manpower!$H$4:$H$1048576,"")</f>
        <v>Sub Contactor</v>
      </c>
      <c r="J1072" s="21" t="s">
        <v>158</v>
      </c>
      <c r="K1072" s="21" t="s">
        <v>26</v>
      </c>
      <c r="L1072" s="21" t="s">
        <v>26</v>
      </c>
      <c r="M1072" s="21" t="s">
        <v>24</v>
      </c>
      <c r="N1072" s="29">
        <v>11</v>
      </c>
      <c r="O1072" s="21" t="s">
        <v>159</v>
      </c>
      <c r="P1072" s="21" t="s">
        <v>160</v>
      </c>
      <c r="Q1072" s="21" t="s">
        <v>160</v>
      </c>
      <c r="R1072" s="21" t="s">
        <v>259</v>
      </c>
    </row>
    <row r="1073" spans="1:19" ht="14.4" hidden="1">
      <c r="A1073" s="33">
        <f>IF(C1073="","",MAX($A$1:A1072)+1)</f>
        <v>1028</v>
      </c>
      <c r="B1073" s="27" t="s">
        <v>141</v>
      </c>
      <c r="C1073" s="23">
        <v>46090</v>
      </c>
      <c r="D1073" s="28" t="str">
        <f>_xlfn.XLOOKUP(Table134526_79101120212223242526[[#This Row],[Name Surname]],Manpower!$C$4:$C$1048576,Manpower!$B$4:$B$1048576,"")</f>
        <v>Encogroup</v>
      </c>
      <c r="E1073" s="23" t="s">
        <v>183</v>
      </c>
      <c r="F1073" s="12">
        <f>_xlfn.XLOOKUP(Table134526_79101120212223242526[[#This Row],[Name Surname]],Manpower!C:C,Manpower!D:D,)</f>
        <v>141359024</v>
      </c>
      <c r="G1073" s="28" t="str">
        <f>_xlfn.XLOOKUP(Table134526_79101120212223242526[[#This Row],[Name Surname]],Manpower!$C$4:$C$1048576,Manpower!$F$4:$F$1048576,"")</f>
        <v>Hydraulic Mechanic</v>
      </c>
      <c r="H1073" s="28" t="str">
        <f>_xlfn.XLOOKUP(Table134526_79101120212223242526[[#This Row],[Name Surname]],Manpower!$C$4:$C$1048576,Manpower!$H$4:$H$1048576,"")</f>
        <v>Manpower</v>
      </c>
      <c r="I1073" s="24" t="str">
        <f>_xlfn.XLOOKUP(Table134526_79101120212223242526[[#This Row],[Name Surname]],Manpower!$C$4:$C$1048576,Manpower!$H$4:$H$1048576,"")</f>
        <v>Manpower</v>
      </c>
      <c r="J1073" s="21" t="s">
        <v>143</v>
      </c>
      <c r="K1073" s="21" t="s">
        <v>26</v>
      </c>
      <c r="L1073" s="21" t="s">
        <v>170</v>
      </c>
      <c r="M1073" s="21" t="s">
        <v>24</v>
      </c>
      <c r="N1073" s="29">
        <v>8</v>
      </c>
      <c r="O1073" s="21" t="s">
        <v>40</v>
      </c>
      <c r="P1073" s="21" t="s">
        <v>128</v>
      </c>
      <c r="Q1073" s="21" t="s">
        <v>128</v>
      </c>
      <c r="R1073" s="21" t="s">
        <v>171</v>
      </c>
    </row>
    <row r="1074" spans="1:19" s="45" customFormat="1" ht="14.4" hidden="1">
      <c r="A1074" s="25">
        <f>IF(C1074="","",MAX($A$1:A1073)+1)</f>
        <v>1029</v>
      </c>
      <c r="B1074" s="25" t="s">
        <v>141</v>
      </c>
      <c r="C1074" s="41">
        <v>46090</v>
      </c>
      <c r="D1074" s="48" t="str">
        <f>_xlfn.XLOOKUP(Table134526_79101120212223242526[[#This Row],[Name Surname]],Manpower!$C$4:$C$1048576,Manpower!$B$4:$B$1048576,"")</f>
        <v>Encogroup</v>
      </c>
      <c r="E1074" s="41" t="s">
        <v>184</v>
      </c>
      <c r="F1074" s="12">
        <f>_xlfn.XLOOKUP(Table134526_79101120212223242526[[#This Row],[Name Surname]],Manpower!C:C,Manpower!D:D,)</f>
        <v>140844759</v>
      </c>
      <c r="G1074" s="48" t="str">
        <f>_xlfn.XLOOKUP(Table134526_79101120212223242526[[#This Row],[Name Surname]],Manpower!$C$4:$C$1048576,Manpower!$F$4:$F$1048576,"")</f>
        <v>Welder</v>
      </c>
      <c r="H1074" s="48" t="str">
        <f>_xlfn.XLOOKUP(Table134526_79101120212223242526[[#This Row],[Name Surname]],Manpower!$C$4:$C$1048576,Manpower!$H$4:$H$1048576,"")</f>
        <v>Manpower</v>
      </c>
      <c r="I1074" s="42" t="str">
        <f>_xlfn.XLOOKUP(Table134526_79101120212223242526[[#This Row],[Name Surname]],Manpower!$C$4:$C$1048576,Manpower!$H$4:$H$1048576,"")</f>
        <v>Manpower</v>
      </c>
      <c r="J1074" s="43" t="s">
        <v>143</v>
      </c>
      <c r="K1074" s="43" t="s">
        <v>26</v>
      </c>
      <c r="L1074" s="43" t="s">
        <v>144</v>
      </c>
      <c r="M1074" s="43" t="s">
        <v>24</v>
      </c>
      <c r="N1074" s="44">
        <v>10</v>
      </c>
      <c r="O1074" s="43" t="s">
        <v>40</v>
      </c>
      <c r="P1074" s="43" t="s">
        <v>42</v>
      </c>
      <c r="Q1074" s="43" t="s">
        <v>42</v>
      </c>
      <c r="R1074" s="43" t="s">
        <v>260</v>
      </c>
      <c r="S1074" s="43"/>
    </row>
    <row r="1075" spans="1:19" s="45" customFormat="1" ht="14.4" hidden="1">
      <c r="A1075" s="25">
        <f>IF(C1075="","",MAX($A$1:A1074)+1)</f>
        <v>1030</v>
      </c>
      <c r="B1075" s="25" t="s">
        <v>141</v>
      </c>
      <c r="C1075" s="41">
        <v>46090</v>
      </c>
      <c r="D1075" s="48" t="str">
        <f>_xlfn.XLOOKUP(Table134526_79101120212223242526[[#This Row],[Name Surname]],Manpower!$C$4:$C$1048576,Manpower!$B$4:$B$1048576,"")</f>
        <v>Encogroup</v>
      </c>
      <c r="E1075" s="41" t="s">
        <v>185</v>
      </c>
      <c r="F1075" s="12">
        <f>_xlfn.XLOOKUP(Table134526_79101120212223242526[[#This Row],[Name Surname]],Manpower!C:C,Manpower!D:D,)</f>
        <v>140848828</v>
      </c>
      <c r="G1075" s="48" t="str">
        <f>_xlfn.XLOOKUP(Table134526_79101120212223242526[[#This Row],[Name Surname]],Manpower!$C$4:$C$1048576,Manpower!$F$4:$F$1048576,"")</f>
        <v>Pipe Fitter</v>
      </c>
      <c r="H1075" s="48" t="str">
        <f>_xlfn.XLOOKUP(Table134526_79101120212223242526[[#This Row],[Name Surname]],Manpower!$C$4:$C$1048576,Manpower!$H$4:$H$1048576,"")</f>
        <v>Manpower</v>
      </c>
      <c r="I1075" s="42" t="str">
        <f>_xlfn.XLOOKUP(Table134526_79101120212223242526[[#This Row],[Name Surname]],Manpower!$C$4:$C$1048576,Manpower!$H$4:$H$1048576,"")</f>
        <v>Manpower</v>
      </c>
      <c r="J1075" s="43" t="s">
        <v>143</v>
      </c>
      <c r="K1075" s="43" t="s">
        <v>26</v>
      </c>
      <c r="L1075" s="43" t="s">
        <v>144</v>
      </c>
      <c r="M1075" s="43" t="s">
        <v>24</v>
      </c>
      <c r="N1075" s="44">
        <v>8</v>
      </c>
      <c r="O1075" s="43" t="s">
        <v>40</v>
      </c>
      <c r="P1075" s="43" t="s">
        <v>42</v>
      </c>
      <c r="Q1075" s="43" t="s">
        <v>42</v>
      </c>
      <c r="R1075" s="43" t="s">
        <v>260</v>
      </c>
      <c r="S1075" s="43"/>
    </row>
    <row r="1076" spans="1:19" ht="14.4" hidden="1">
      <c r="A1076" s="33">
        <f>IF(C1076="","",MAX($A$1:A1075)+1)</f>
        <v>1031</v>
      </c>
      <c r="B1076" s="27" t="s">
        <v>141</v>
      </c>
      <c r="C1076" s="23">
        <v>46090</v>
      </c>
      <c r="D1076" s="28" t="str">
        <f>_xlfn.XLOOKUP(Table134526_79101120212223242526[[#This Row],[Name Surname]],Manpower!$C$4:$C$1048576,Manpower!$B$4:$B$1048576,"")</f>
        <v>Encogroup</v>
      </c>
      <c r="E1076" s="23" t="s">
        <v>186</v>
      </c>
      <c r="F1076" s="12">
        <f>_xlfn.XLOOKUP(Table134526_79101120212223242526[[#This Row],[Name Surname]],Manpower!C:C,Manpower!D:D,)</f>
        <v>140696961</v>
      </c>
      <c r="G1076" s="28" t="str">
        <f>_xlfn.XLOOKUP(Table134526_79101120212223242526[[#This Row],[Name Surname]],Manpower!$C$4:$C$1048576,Manpower!$F$4:$F$1048576,"")</f>
        <v>Assistant/Helper</v>
      </c>
      <c r="H1076" s="28" t="str">
        <f>_xlfn.XLOOKUP(Table134526_79101120212223242526[[#This Row],[Name Surname]],Manpower!$C$4:$C$1048576,Manpower!$H$4:$H$1048576,"")</f>
        <v>Manpower</v>
      </c>
      <c r="I1076" s="24" t="str">
        <f>_xlfn.XLOOKUP(Table134526_79101120212223242526[[#This Row],[Name Surname]],Manpower!$C$4:$C$1048576,Manpower!$H$4:$H$1048576,"")</f>
        <v>Manpower</v>
      </c>
      <c r="J1076" s="21" t="s">
        <v>158</v>
      </c>
      <c r="K1076" s="21" t="s">
        <v>26</v>
      </c>
      <c r="L1076" s="21" t="s">
        <v>26</v>
      </c>
      <c r="M1076" s="21" t="s">
        <v>24</v>
      </c>
      <c r="N1076" s="29">
        <v>10</v>
      </c>
      <c r="O1076" s="21" t="s">
        <v>159</v>
      </c>
      <c r="P1076" s="21" t="s">
        <v>160</v>
      </c>
      <c r="Q1076" s="21" t="s">
        <v>160</v>
      </c>
      <c r="R1076" s="21" t="s">
        <v>161</v>
      </c>
    </row>
    <row r="1077" spans="1:19" ht="14.4" hidden="1">
      <c r="A1077" s="33">
        <f>IF(C1077="","",MAX($A$1:A1076)+1)</f>
        <v>1032</v>
      </c>
      <c r="B1077" s="27" t="s">
        <v>141</v>
      </c>
      <c r="C1077" s="23">
        <v>46090</v>
      </c>
      <c r="D1077" s="28" t="str">
        <f>_xlfn.XLOOKUP(Table134526_79101120212223242526[[#This Row],[Name Surname]],Manpower!$C$4:$C$1048576,Manpower!$B$4:$B$1048576,"")</f>
        <v>Encogroup</v>
      </c>
      <c r="E1077" s="23" t="s">
        <v>187</v>
      </c>
      <c r="F1077" s="12">
        <f>_xlfn.XLOOKUP(Table134526_79101120212223242526[[#This Row],[Name Surname]],Manpower!C:C,Manpower!D:D,)</f>
        <v>140623599</v>
      </c>
      <c r="G1077" s="28" t="str">
        <f>_xlfn.XLOOKUP(Table134526_79101120212223242526[[#This Row],[Name Surname]],Manpower!$C$4:$C$1048576,Manpower!$F$4:$F$1048576,"")</f>
        <v>Mechanical Supervisor</v>
      </c>
      <c r="H1077" s="28" t="str">
        <f>_xlfn.XLOOKUP(Table134526_79101120212223242526[[#This Row],[Name Surname]],Manpower!$C$4:$C$1048576,Manpower!$H$4:$H$1048576,"")</f>
        <v>Manpower</v>
      </c>
      <c r="I1077" s="24" t="str">
        <f>_xlfn.XLOOKUP(Table134526_79101120212223242526[[#This Row],[Name Surname]],Manpower!$C$4:$C$1048576,Manpower!$H$4:$H$1048576,"")</f>
        <v>Manpower</v>
      </c>
      <c r="J1077" s="21" t="s">
        <v>143</v>
      </c>
      <c r="K1077" s="21" t="s">
        <v>26</v>
      </c>
      <c r="L1077" s="21" t="s">
        <v>144</v>
      </c>
      <c r="M1077" s="21" t="s">
        <v>24</v>
      </c>
      <c r="N1077" s="29">
        <v>10</v>
      </c>
      <c r="O1077" s="21" t="s">
        <v>40</v>
      </c>
      <c r="P1077" s="21" t="s">
        <v>42</v>
      </c>
      <c r="Q1077" s="21" t="s">
        <v>42</v>
      </c>
      <c r="R1077" s="21" t="s">
        <v>260</v>
      </c>
    </row>
    <row r="1078" spans="1:19" ht="14.4" hidden="1">
      <c r="A1078" s="33">
        <f>IF(C1078="","",MAX($A$1:A1077)+1)</f>
        <v>1033</v>
      </c>
      <c r="B1078" s="27" t="s">
        <v>141</v>
      </c>
      <c r="C1078" s="23">
        <v>46090</v>
      </c>
      <c r="D1078" s="28" t="str">
        <f>_xlfn.XLOOKUP(Table134526_79101120212223242526[[#This Row],[Name Surname]],Manpower!$C$4:$C$1048576,Manpower!$B$4:$B$1048576,"")</f>
        <v>Encogroup</v>
      </c>
      <c r="E1078" s="23" t="s">
        <v>189</v>
      </c>
      <c r="F1078" s="12">
        <f>_xlfn.XLOOKUP(Table134526_79101120212223242526[[#This Row],[Name Surname]],Manpower!C:C,Manpower!D:D,)</f>
        <v>121937785</v>
      </c>
      <c r="G1078" s="28" t="str">
        <f>_xlfn.XLOOKUP(Table134526_79101120212223242526[[#This Row],[Name Surname]],Manpower!$C$4:$C$1048576,Manpower!$F$4:$F$1048576,"")</f>
        <v>Scaffolding Inspector</v>
      </c>
      <c r="H1078" s="28" t="str">
        <f>_xlfn.XLOOKUP(Table134526_79101120212223242526[[#This Row],[Name Surname]],Manpower!$C$4:$C$1048576,Manpower!$H$4:$H$1048576,"")</f>
        <v>Manpower</v>
      </c>
      <c r="I1078" s="24" t="str">
        <f>_xlfn.XLOOKUP(Table134526_79101120212223242526[[#This Row],[Name Surname]],Manpower!$C$4:$C$1048576,Manpower!$H$4:$H$1048576,"")</f>
        <v>Manpower</v>
      </c>
      <c r="J1078" s="21" t="s">
        <v>143</v>
      </c>
      <c r="K1078" s="21" t="s">
        <v>26</v>
      </c>
      <c r="L1078" s="21" t="s">
        <v>144</v>
      </c>
      <c r="M1078" s="21" t="s">
        <v>24</v>
      </c>
      <c r="N1078" s="29">
        <v>8</v>
      </c>
      <c r="O1078" s="21" t="s">
        <v>40</v>
      </c>
      <c r="P1078" s="21" t="s">
        <v>128</v>
      </c>
      <c r="Q1078" s="21" t="s">
        <v>128</v>
      </c>
      <c r="R1078" s="21" t="s">
        <v>26</v>
      </c>
    </row>
    <row r="1079" spans="1:19" ht="14.4" hidden="1">
      <c r="A1079" s="33">
        <f>IF(C1079="","",MAX($A$1:A1078)+1)</f>
        <v>1034</v>
      </c>
      <c r="B1079" s="27" t="s">
        <v>141</v>
      </c>
      <c r="C1079" s="23">
        <v>46090</v>
      </c>
      <c r="D1079" s="28" t="str">
        <f>_xlfn.XLOOKUP(Table134526_79101120212223242526[[#This Row],[Name Surname]],Manpower!$C$4:$C$1048576,Manpower!$B$4:$B$1048576,"")</f>
        <v xml:space="preserve">AL Omar International </v>
      </c>
      <c r="E1079" s="23" t="s">
        <v>190</v>
      </c>
      <c r="F1079" s="12">
        <f>_xlfn.XLOOKUP(Table134526_79101120212223242526[[#This Row],[Name Surname]],Manpower!C:C,Manpower!D:D,)</f>
        <v>85812175</v>
      </c>
      <c r="G1079" s="28" t="str">
        <f>_xlfn.XLOOKUP(Table134526_79101120212223242526[[#This Row],[Name Surname]],Manpower!$C$4:$C$1048576,Manpower!$F$4:$F$1048576,"")</f>
        <v>Scaffolding Supervisor</v>
      </c>
      <c r="H1079" s="28" t="str">
        <f>_xlfn.XLOOKUP(Table134526_79101120212223242526[[#This Row],[Name Surname]],Manpower!$C$4:$C$1048576,Manpower!$H$4:$H$1048576,"")</f>
        <v>Sub Contactor</v>
      </c>
      <c r="I1079" s="24" t="str">
        <f>_xlfn.XLOOKUP(Table134526_79101120212223242526[[#This Row],[Name Surname]],Manpower!$C$4:$C$1048576,Manpower!$H$4:$H$1048576,"")</f>
        <v>Sub Contactor</v>
      </c>
      <c r="J1079" s="21" t="s">
        <v>143</v>
      </c>
      <c r="K1079" s="21" t="s">
        <v>26</v>
      </c>
      <c r="L1079" s="21" t="s">
        <v>170</v>
      </c>
      <c r="M1079" s="21" t="s">
        <v>24</v>
      </c>
      <c r="N1079" s="29">
        <v>8</v>
      </c>
      <c r="O1079" s="21" t="s">
        <v>40</v>
      </c>
      <c r="P1079" s="21" t="s">
        <v>128</v>
      </c>
      <c r="Q1079" s="21" t="s">
        <v>128</v>
      </c>
      <c r="R1079" s="21" t="s">
        <v>171</v>
      </c>
    </row>
    <row r="1080" spans="1:19" ht="14.4" hidden="1">
      <c r="A1080" s="33">
        <f>IF(C1080="","",MAX($A$1:A1079)+1)</f>
        <v>1035</v>
      </c>
      <c r="B1080" s="27" t="s">
        <v>141</v>
      </c>
      <c r="C1080" s="23">
        <v>46090</v>
      </c>
      <c r="D1080" s="28" t="str">
        <f>_xlfn.XLOOKUP(Table134526_79101120212223242526[[#This Row],[Name Surname]],Manpower!$C$4:$C$1048576,Manpower!$B$4:$B$1048576,"")</f>
        <v>AL Omar International TRAD AND CONT</v>
      </c>
      <c r="E1080" s="23" t="s">
        <v>192</v>
      </c>
      <c r="F1080" s="12">
        <f>_xlfn.XLOOKUP(Table134526_79101120212223242526[[#This Row],[Name Surname]],Manpower!C:C,Manpower!D:D,)</f>
        <v>96409155</v>
      </c>
      <c r="G1080" s="28" t="str">
        <f>_xlfn.XLOOKUP(Table134526_79101120212223242526[[#This Row],[Name Surname]],Manpower!$C$4:$C$1048576,Manpower!$F$4:$F$1048576,"")</f>
        <v>Scaffolder</v>
      </c>
      <c r="H1080" s="28" t="str">
        <f>_xlfn.XLOOKUP(Table134526_79101120212223242526[[#This Row],[Name Surname]],Manpower!$C$4:$C$1048576,Manpower!$H$4:$H$1048576,"")</f>
        <v>Sub Contactor</v>
      </c>
      <c r="I1080" s="24" t="str">
        <f>_xlfn.XLOOKUP(Table134526_79101120212223242526[[#This Row],[Name Surname]],Manpower!$C$4:$C$1048576,Manpower!$H$4:$H$1048576,"")</f>
        <v>Sub Contactor</v>
      </c>
      <c r="J1080" s="21" t="s">
        <v>143</v>
      </c>
      <c r="K1080" s="21" t="s">
        <v>26</v>
      </c>
      <c r="L1080" s="21" t="s">
        <v>170</v>
      </c>
      <c r="M1080" s="21" t="s">
        <v>24</v>
      </c>
      <c r="N1080" s="29">
        <v>8</v>
      </c>
      <c r="O1080" s="21" t="s">
        <v>40</v>
      </c>
      <c r="P1080" s="21" t="s">
        <v>128</v>
      </c>
      <c r="Q1080" s="21" t="s">
        <v>128</v>
      </c>
      <c r="R1080" s="21" t="s">
        <v>171</v>
      </c>
    </row>
    <row r="1081" spans="1:19" ht="14.4" hidden="1">
      <c r="A1081" s="33">
        <f>IF(C1081="","",MAX($A$1:A1080)+1)</f>
        <v>1036</v>
      </c>
      <c r="B1081" s="27" t="s">
        <v>141</v>
      </c>
      <c r="C1081" s="23">
        <v>46090</v>
      </c>
      <c r="D1081" s="28" t="str">
        <f>_xlfn.XLOOKUP(Table134526_79101120212223242526[[#This Row],[Name Surname]],Manpower!$C$4:$C$1048576,Manpower!$B$4:$B$1048576,"")</f>
        <v>AL Omar International TRAD AND CONT</v>
      </c>
      <c r="E1081" s="23" t="s">
        <v>193</v>
      </c>
      <c r="F1081" s="12">
        <f>_xlfn.XLOOKUP(Table134526_79101120212223242526[[#This Row],[Name Surname]],Manpower!C:C,Manpower!D:D,)</f>
        <v>105813698</v>
      </c>
      <c r="G1081" s="28" t="str">
        <f>_xlfn.XLOOKUP(Table134526_79101120212223242526[[#This Row],[Name Surname]],Manpower!$C$4:$C$1048576,Manpower!$F$4:$F$1048576,"")</f>
        <v>Scaffolding Inspector</v>
      </c>
      <c r="H1081" s="28" t="str">
        <f>_xlfn.XLOOKUP(Table134526_79101120212223242526[[#This Row],[Name Surname]],Manpower!$C$4:$C$1048576,Manpower!$H$4:$H$1048576,"")</f>
        <v>Sub Contactor</v>
      </c>
      <c r="I1081" s="24" t="str">
        <f>_xlfn.XLOOKUP(Table134526_79101120212223242526[[#This Row],[Name Surname]],Manpower!$C$4:$C$1048576,Manpower!$H$4:$H$1048576,"")</f>
        <v>Sub Contactor</v>
      </c>
      <c r="J1081" s="21" t="s">
        <v>143</v>
      </c>
      <c r="K1081" s="21" t="s">
        <v>26</v>
      </c>
      <c r="L1081" s="21" t="s">
        <v>170</v>
      </c>
      <c r="M1081" s="21" t="s">
        <v>24</v>
      </c>
      <c r="N1081" s="29">
        <v>8</v>
      </c>
      <c r="O1081" s="21" t="s">
        <v>40</v>
      </c>
      <c r="P1081" s="21" t="s">
        <v>128</v>
      </c>
      <c r="Q1081" s="21" t="s">
        <v>128</v>
      </c>
      <c r="R1081" s="21" t="s">
        <v>171</v>
      </c>
    </row>
    <row r="1082" spans="1:19" s="45" customFormat="1" ht="14.4" hidden="1">
      <c r="A1082" s="25">
        <f>IF(C1082="","",MAX($A$1:A1081)+1)</f>
        <v>1037</v>
      </c>
      <c r="B1082" s="25" t="s">
        <v>141</v>
      </c>
      <c r="C1082" s="41">
        <v>46090</v>
      </c>
      <c r="D1082" s="48" t="str">
        <f>_xlfn.XLOOKUP(Table134526_79101120212223242526[[#This Row],[Name Surname]],Manpower!$C$4:$C$1048576,Manpower!$B$4:$B$1048576,"")</f>
        <v>AL Saif &amp; Al QALLM ENT LLC</v>
      </c>
      <c r="E1082" s="41" t="s">
        <v>194</v>
      </c>
      <c r="F1082" s="12">
        <f>_xlfn.XLOOKUP(Table134526_79101120212223242526[[#This Row],[Name Surname]],Manpower!C:C,Manpower!D:D,)</f>
        <v>135340657</v>
      </c>
      <c r="G1082" s="48" t="str">
        <f>_xlfn.XLOOKUP(Table134526_79101120212223242526[[#This Row],[Name Surname]],Manpower!$C$4:$C$1048576,Manpower!$F$4:$F$1048576,"")</f>
        <v>Forklift Operator</v>
      </c>
      <c r="H1082" s="48" t="str">
        <f>_xlfn.XLOOKUP(Table134526_79101120212223242526[[#This Row],[Name Surname]],Manpower!$C$4:$C$1048576,Manpower!$H$4:$H$1048576,"")</f>
        <v>Sub Contactor</v>
      </c>
      <c r="I1082" s="42" t="str">
        <f>_xlfn.XLOOKUP(Table134526_79101120212223242526[[#This Row],[Name Surname]],Manpower!$C$4:$C$1048576,Manpower!$H$4:$H$1048576,"")</f>
        <v>Sub Contactor</v>
      </c>
      <c r="J1082" s="43" t="s">
        <v>143</v>
      </c>
      <c r="K1082" s="43" t="s">
        <v>26</v>
      </c>
      <c r="L1082" s="43" t="s">
        <v>144</v>
      </c>
      <c r="M1082" s="43" t="s">
        <v>24</v>
      </c>
      <c r="N1082" s="44">
        <v>10</v>
      </c>
      <c r="O1082" s="43" t="s">
        <v>40</v>
      </c>
      <c r="P1082" s="43" t="s">
        <v>42</v>
      </c>
      <c r="Q1082" s="43" t="s">
        <v>42</v>
      </c>
      <c r="R1082" s="43" t="s">
        <v>195</v>
      </c>
      <c r="S1082" s="43"/>
    </row>
    <row r="1083" spans="1:19" ht="14.4" hidden="1">
      <c r="A1083" s="33">
        <f>IF(C1083="","",MAX($A$1:A1082)+1)</f>
        <v>1038</v>
      </c>
      <c r="B1083" s="27" t="s">
        <v>141</v>
      </c>
      <c r="C1083" s="23">
        <v>46090</v>
      </c>
      <c r="D1083" s="28" t="str">
        <f>_xlfn.XLOOKUP(Table134526_79101120212223242526[[#This Row],[Name Surname]],Manpower!$C$4:$C$1048576,Manpower!$B$4:$B$1048576,"")</f>
        <v>Encogroup</v>
      </c>
      <c r="E1083" s="23" t="s">
        <v>196</v>
      </c>
      <c r="F1083" s="12">
        <f>_xlfn.XLOOKUP(Table134526_79101120212223242526[[#This Row],[Name Surname]],Manpower!C:C,Manpower!D:D,)</f>
        <v>140844586</v>
      </c>
      <c r="G1083" s="28" t="str">
        <f>_xlfn.XLOOKUP(Table134526_79101120212223242526[[#This Row],[Name Surname]],Manpower!$C$4:$C$1048576,Manpower!$F$4:$F$1048576,"")</f>
        <v>Assistant/Helper</v>
      </c>
      <c r="H1083" s="28" t="str">
        <f>_xlfn.XLOOKUP(Table134526_79101120212223242526[[#This Row],[Name Surname]],Manpower!$C$4:$C$1048576,Manpower!$H$4:$H$1048576,"")</f>
        <v>Manpower</v>
      </c>
      <c r="I1083" s="24" t="str">
        <f>_xlfn.XLOOKUP(Table134526_79101120212223242526[[#This Row],[Name Surname]],Manpower!$C$4:$C$1048576,Manpower!$H$4:$H$1048576,"")</f>
        <v>Manpower</v>
      </c>
      <c r="J1083" s="21" t="s">
        <v>158</v>
      </c>
      <c r="K1083" s="21" t="s">
        <v>26</v>
      </c>
      <c r="L1083" s="21" t="s">
        <v>26</v>
      </c>
      <c r="M1083" s="21" t="s">
        <v>24</v>
      </c>
      <c r="N1083" s="29">
        <v>11</v>
      </c>
      <c r="O1083" s="21" t="s">
        <v>159</v>
      </c>
      <c r="P1083" s="21" t="s">
        <v>160</v>
      </c>
      <c r="Q1083" s="21" t="s">
        <v>160</v>
      </c>
      <c r="R1083" s="21" t="s">
        <v>259</v>
      </c>
    </row>
    <row r="1084" spans="1:19" s="45" customFormat="1" ht="14.4" hidden="1">
      <c r="A1084" s="25">
        <f>IF(C1084="","",MAX($A$1:A1083)+1)</f>
        <v>1039</v>
      </c>
      <c r="B1084" s="25" t="s">
        <v>141</v>
      </c>
      <c r="C1084" s="41">
        <v>46090</v>
      </c>
      <c r="D1084" s="48" t="str">
        <f>_xlfn.XLOOKUP(Table134526_79101120212223242526[[#This Row],[Name Surname]],Manpower!$C$4:$C$1048576,Manpower!$B$4:$B$1048576,"")</f>
        <v>AL Omar International TRAD AND CONT</v>
      </c>
      <c r="E1084" s="41" t="s">
        <v>197</v>
      </c>
      <c r="F1084" s="12">
        <f>_xlfn.XLOOKUP(Table134526_79101120212223242526[[#This Row],[Name Surname]],Manpower!C:C,Manpower!D:D,)</f>
        <v>106093463</v>
      </c>
      <c r="G1084" s="48" t="str">
        <f>_xlfn.XLOOKUP(Table134526_79101120212223242526[[#This Row],[Name Surname]],Manpower!$C$4:$C$1048576,Manpower!$F$4:$F$1048576,"")</f>
        <v>RIgger</v>
      </c>
      <c r="H1084" s="48" t="str">
        <f>_xlfn.XLOOKUP(Table134526_79101120212223242526[[#This Row],[Name Surname]],Manpower!$C$4:$C$1048576,Manpower!$H$4:$H$1048576,"")</f>
        <v>Sub Contactor</v>
      </c>
      <c r="I1084" s="42" t="str">
        <f>_xlfn.XLOOKUP(Table134526_79101120212223242526[[#This Row],[Name Surname]],Manpower!$C$4:$C$1048576,Manpower!$H$4:$H$1048576,"")</f>
        <v>Sub Contactor</v>
      </c>
      <c r="J1084" s="43" t="s">
        <v>143</v>
      </c>
      <c r="K1084" s="43" t="s">
        <v>26</v>
      </c>
      <c r="L1084" s="43" t="s">
        <v>144</v>
      </c>
      <c r="M1084" s="43" t="s">
        <v>24</v>
      </c>
      <c r="N1084" s="44">
        <v>8</v>
      </c>
      <c r="O1084" s="43" t="s">
        <v>40</v>
      </c>
      <c r="P1084" s="43" t="s">
        <v>42</v>
      </c>
      <c r="Q1084" s="43" t="s">
        <v>42</v>
      </c>
      <c r="R1084" s="43" t="s">
        <v>260</v>
      </c>
      <c r="S1084" s="43"/>
    </row>
    <row r="1085" spans="1:19" ht="14.4">
      <c r="A1085" s="33">
        <f>IF(C1085="","",MAX($A$1:A1084)+1)</f>
        <v>1040</v>
      </c>
      <c r="B1085" s="27" t="s">
        <v>141</v>
      </c>
      <c r="C1085" s="23">
        <v>46090</v>
      </c>
      <c r="D1085" s="28" t="str">
        <f>_xlfn.XLOOKUP(Table134526_79101120212223242526[[#This Row],[Name Surname]],Manpower!$C$4:$C$1048576,Manpower!$B$4:$B$1048576,"")</f>
        <v>Al Asrah Al Mumayaza Trad</v>
      </c>
      <c r="E1085" s="23" t="s">
        <v>198</v>
      </c>
      <c r="F1085" s="12" t="e">
        <f>_xlfn.XLOOKUP(Table134526_79101120212223242526[[#This Row],[Name Surname]],Manpower!C:C,Manpower!D:D,)</f>
        <v>#N/A</v>
      </c>
      <c r="G1085" s="28" t="str">
        <f>_xlfn.XLOOKUP(Table134526_79101120212223242526[[#This Row],[Name Surname]],Manpower!$C$4:$C$1048576,Manpower!$F$4:$F$1048576,"")</f>
        <v>PICK-UP</v>
      </c>
      <c r="H1085" s="28" t="str">
        <f>_xlfn.XLOOKUP(Table134526_79101120212223242526[[#This Row],[Name Surname]],Manpower!$C$4:$C$1048576,Manpower!$H$4:$H$1048576,"")</f>
        <v>Equipment</v>
      </c>
      <c r="I1085" s="24" t="str">
        <f>_xlfn.XLOOKUP(Table134526_79101120212223242526[[#This Row],[Name Surname]],Manpower!$C$4:$C$1048576,Manpower!$H$4:$H$1048576,"")</f>
        <v>Equipment</v>
      </c>
      <c r="J1085" s="21" t="s">
        <v>143</v>
      </c>
      <c r="K1085" s="21" t="s">
        <v>26</v>
      </c>
      <c r="L1085" s="21" t="s">
        <v>144</v>
      </c>
      <c r="M1085" s="21" t="s">
        <v>24</v>
      </c>
      <c r="N1085" s="29">
        <v>10</v>
      </c>
      <c r="O1085" s="21" t="s">
        <v>138</v>
      </c>
      <c r="P1085" s="21" t="s">
        <v>138</v>
      </c>
      <c r="Q1085" s="21" t="s">
        <v>138</v>
      </c>
      <c r="R1085" s="21" t="s">
        <v>26</v>
      </c>
    </row>
    <row r="1086" spans="1:19" ht="14.4">
      <c r="A1086" s="33">
        <f>IF(C1086="","",MAX($A$1:A1085)+1)</f>
        <v>1041</v>
      </c>
      <c r="B1086" s="27" t="s">
        <v>141</v>
      </c>
      <c r="C1086" s="23">
        <v>46090</v>
      </c>
      <c r="D1086" s="28" t="str">
        <f>_xlfn.XLOOKUP(Table134526_79101120212223242526[[#This Row],[Name Surname]],Manpower!$C$4:$C$1048576,Manpower!$B$4:$B$1048576,"")</f>
        <v>Al Asrah Al Mumayaza Trad</v>
      </c>
      <c r="E1086" s="23" t="s">
        <v>199</v>
      </c>
      <c r="F1086" s="12" t="e">
        <f>_xlfn.XLOOKUP(Table134526_79101120212223242526[[#This Row],[Name Surname]],Manpower!C:C,Manpower!D:D,)</f>
        <v>#N/A</v>
      </c>
      <c r="G1086" s="28" t="str">
        <f>_xlfn.XLOOKUP(Table134526_79101120212223242526[[#This Row],[Name Surname]],Manpower!$C$4:$C$1048576,Manpower!$F$4:$F$1048576,"")</f>
        <v>PICK-UP</v>
      </c>
      <c r="H1086" s="28" t="str">
        <f>_xlfn.XLOOKUP(Table134526_79101120212223242526[[#This Row],[Name Surname]],Manpower!$C$4:$C$1048576,Manpower!$H$4:$H$1048576,"")</f>
        <v>Equipment</v>
      </c>
      <c r="I1086" s="24" t="str">
        <f>_xlfn.XLOOKUP(Table134526_79101120212223242526[[#This Row],[Name Surname]],Manpower!$C$4:$C$1048576,Manpower!$H$4:$H$1048576,"")</f>
        <v>Equipment</v>
      </c>
      <c r="J1086" s="21" t="s">
        <v>143</v>
      </c>
      <c r="K1086" s="21" t="s">
        <v>26</v>
      </c>
      <c r="L1086" s="21" t="s">
        <v>144</v>
      </c>
      <c r="M1086" s="21" t="s">
        <v>24</v>
      </c>
      <c r="N1086" s="29">
        <v>10</v>
      </c>
      <c r="O1086" s="21" t="s">
        <v>138</v>
      </c>
      <c r="P1086" s="21" t="s">
        <v>138</v>
      </c>
      <c r="Q1086" s="21" t="s">
        <v>138</v>
      </c>
      <c r="R1086" s="21" t="s">
        <v>26</v>
      </c>
    </row>
    <row r="1087" spans="1:19" ht="14.4">
      <c r="A1087" s="33">
        <f>IF(C1087="","",MAX($A$1:A1086)+1)</f>
        <v>1042</v>
      </c>
      <c r="B1087" s="27" t="s">
        <v>141</v>
      </c>
      <c r="C1087" s="23">
        <v>46090</v>
      </c>
      <c r="D1087" s="28" t="str">
        <f>_xlfn.XLOOKUP(Table134526_79101120212223242526[[#This Row],[Name Surname]],Manpower!$C$4:$C$1048576,Manpower!$B$4:$B$1048576,"")</f>
        <v>Al Asrah Al Mumayaza Trad</v>
      </c>
      <c r="E1087" s="23" t="s">
        <v>200</v>
      </c>
      <c r="F1087" s="12" t="e">
        <f>_xlfn.XLOOKUP(Table134526_79101120212223242526[[#This Row],[Name Surname]],Manpower!C:C,Manpower!D:D,)</f>
        <v>#N/A</v>
      </c>
      <c r="G1087" s="28" t="str">
        <f>_xlfn.XLOOKUP(Table134526_79101120212223242526[[#This Row],[Name Surname]],Manpower!$C$4:$C$1048576,Manpower!$F$4:$F$1048576,"")</f>
        <v>PICK-UP</v>
      </c>
      <c r="H1087" s="28" t="str">
        <f>_xlfn.XLOOKUP(Table134526_79101120212223242526[[#This Row],[Name Surname]],Manpower!$C$4:$C$1048576,Manpower!$H$4:$H$1048576,"")</f>
        <v>Equipment</v>
      </c>
      <c r="I1087" s="24" t="str">
        <f>_xlfn.XLOOKUP(Table134526_79101120212223242526[[#This Row],[Name Surname]],Manpower!$C$4:$C$1048576,Manpower!$H$4:$H$1048576,"")</f>
        <v>Equipment</v>
      </c>
      <c r="J1087" s="21" t="s">
        <v>143</v>
      </c>
      <c r="K1087" s="21" t="s">
        <v>26</v>
      </c>
      <c r="L1087" s="21" t="s">
        <v>144</v>
      </c>
      <c r="M1087" s="21" t="s">
        <v>24</v>
      </c>
      <c r="N1087" s="29">
        <v>10</v>
      </c>
      <c r="O1087" s="21" t="s">
        <v>138</v>
      </c>
      <c r="P1087" s="21" t="s">
        <v>138</v>
      </c>
      <c r="Q1087" s="21" t="s">
        <v>138</v>
      </c>
      <c r="R1087" s="21" t="s">
        <v>26</v>
      </c>
    </row>
    <row r="1088" spans="1:19" ht="14.4">
      <c r="A1088" s="33">
        <f>IF(C1088="","",MAX($A$1:A1087)+1)</f>
        <v>1043</v>
      </c>
      <c r="B1088" s="27" t="s">
        <v>141</v>
      </c>
      <c r="C1088" s="23">
        <v>46090</v>
      </c>
      <c r="D1088" s="28" t="str">
        <f>_xlfn.XLOOKUP(Table134526_79101120212223242526[[#This Row],[Name Surname]],Manpower!$C$4:$C$1048576,Manpower!$B$4:$B$1048576,"")</f>
        <v>Al Asrah Al Mumayaza Trad</v>
      </c>
      <c r="E1088" s="23" t="s">
        <v>201</v>
      </c>
      <c r="F1088" s="12" t="e">
        <f>_xlfn.XLOOKUP(Table134526_79101120212223242526[[#This Row],[Name Surname]],Manpower!C:C,Manpower!D:D,)</f>
        <v>#N/A</v>
      </c>
      <c r="G1088" s="28" t="str">
        <f>_xlfn.XLOOKUP(Table134526_79101120212223242526[[#This Row],[Name Surname]],Manpower!$C$4:$C$1048576,Manpower!$F$4:$F$1048576,"")</f>
        <v>PICK-UP</v>
      </c>
      <c r="H1088" s="28" t="str">
        <f>_xlfn.XLOOKUP(Table134526_79101120212223242526[[#This Row],[Name Surname]],Manpower!$C$4:$C$1048576,Manpower!$H$4:$H$1048576,"")</f>
        <v>Equipment</v>
      </c>
      <c r="I1088" s="24" t="str">
        <f>_xlfn.XLOOKUP(Table134526_79101120212223242526[[#This Row],[Name Surname]],Manpower!$C$4:$C$1048576,Manpower!$H$4:$H$1048576,"")</f>
        <v>Equipment</v>
      </c>
      <c r="J1088" s="21" t="s">
        <v>143</v>
      </c>
      <c r="K1088" s="21" t="s">
        <v>26</v>
      </c>
      <c r="L1088" s="21" t="s">
        <v>144</v>
      </c>
      <c r="M1088" s="21" t="s">
        <v>24</v>
      </c>
      <c r="N1088" s="29">
        <v>10</v>
      </c>
      <c r="O1088" s="21" t="s">
        <v>138</v>
      </c>
      <c r="P1088" s="21" t="s">
        <v>138</v>
      </c>
      <c r="Q1088" s="21" t="s">
        <v>138</v>
      </c>
      <c r="R1088" s="21" t="s">
        <v>26</v>
      </c>
    </row>
    <row r="1089" spans="1:19" s="45" customFormat="1" ht="14.4" hidden="1">
      <c r="A1089" s="25">
        <f>IF(C1089="","",MAX($A$1:A1088)+1)</f>
        <v>1044</v>
      </c>
      <c r="B1089" s="25" t="s">
        <v>141</v>
      </c>
      <c r="C1089" s="41">
        <v>46090</v>
      </c>
      <c r="D1089" s="48" t="str">
        <f>_xlfn.XLOOKUP(Table134526_79101120212223242526[[#This Row],[Name Surname]],Manpower!$C$4:$C$1048576,Manpower!$B$4:$B$1048576,"")</f>
        <v>Encogroup</v>
      </c>
      <c r="E1089" s="41" t="s">
        <v>202</v>
      </c>
      <c r="F1089" s="12">
        <f>_xlfn.XLOOKUP(Table134526_79101120212223242526[[#This Row],[Name Surname]],Manpower!C:C,Manpower!D:D,)</f>
        <v>140805592</v>
      </c>
      <c r="G1089" s="48" t="str">
        <f>_xlfn.XLOOKUP(Table134526_79101120212223242526[[#This Row],[Name Surname]],Manpower!$C$4:$C$1048576,Manpower!$F$4:$F$1048576,"")</f>
        <v>Assistant/Helper</v>
      </c>
      <c r="H1089" s="48" t="str">
        <f>_xlfn.XLOOKUP(Table134526_79101120212223242526[[#This Row],[Name Surname]],Manpower!$C$4:$C$1048576,Manpower!$H$4:$H$1048576,"")</f>
        <v>Manpower</v>
      </c>
      <c r="I1089" s="42" t="str">
        <f>_xlfn.XLOOKUP(Table134526_79101120212223242526[[#This Row],[Name Surname]],Manpower!$C$4:$C$1048576,Manpower!$H$4:$H$1048576,"")</f>
        <v>Manpower</v>
      </c>
      <c r="J1089" s="43" t="s">
        <v>143</v>
      </c>
      <c r="K1089" s="43" t="s">
        <v>26</v>
      </c>
      <c r="L1089" s="43" t="s">
        <v>144</v>
      </c>
      <c r="M1089" s="43" t="s">
        <v>24</v>
      </c>
      <c r="N1089" s="44">
        <v>10</v>
      </c>
      <c r="O1089" s="43" t="s">
        <v>40</v>
      </c>
      <c r="P1089" s="43" t="s">
        <v>42</v>
      </c>
      <c r="Q1089" s="43" t="s">
        <v>42</v>
      </c>
      <c r="R1089" s="43" t="s">
        <v>260</v>
      </c>
      <c r="S1089" s="43"/>
    </row>
    <row r="1090" spans="1:19" s="45" customFormat="1" ht="14.4" hidden="1">
      <c r="A1090" s="25">
        <f>IF(C1090="","",MAX($A$1:A1089)+1)</f>
        <v>1045</v>
      </c>
      <c r="B1090" s="25" t="s">
        <v>141</v>
      </c>
      <c r="C1090" s="41">
        <v>46090</v>
      </c>
      <c r="D1090" s="48" t="str">
        <f>_xlfn.XLOOKUP(Table134526_79101120212223242526[[#This Row],[Name Surname]],Manpower!$C$4:$C$1048576,Manpower!$B$4:$B$1048576,"")</f>
        <v>Encogroup</v>
      </c>
      <c r="E1090" s="41" t="s">
        <v>203</v>
      </c>
      <c r="F1090" s="12">
        <f>_xlfn.XLOOKUP(Table134526_79101120212223242526[[#This Row],[Name Surname]],Manpower!C:C,Manpower!D:D,)</f>
        <v>140683371</v>
      </c>
      <c r="G1090" s="48" t="str">
        <f>_xlfn.XLOOKUP(Table134526_79101120212223242526[[#This Row],[Name Surname]],Manpower!$C$4:$C$1048576,Manpower!$F$4:$F$1048576,"")</f>
        <v>Rigger</v>
      </c>
      <c r="H1090" s="48" t="str">
        <f>_xlfn.XLOOKUP(Table134526_79101120212223242526[[#This Row],[Name Surname]],Manpower!$C$4:$C$1048576,Manpower!$H$4:$H$1048576,"")</f>
        <v>Manpower</v>
      </c>
      <c r="I1090" s="42" t="str">
        <f>_xlfn.XLOOKUP(Table134526_79101120212223242526[[#This Row],[Name Surname]],Manpower!$C$4:$C$1048576,Manpower!$H$4:$H$1048576,"")</f>
        <v>Manpower</v>
      </c>
      <c r="J1090" s="43" t="s">
        <v>143</v>
      </c>
      <c r="K1090" s="43" t="s">
        <v>26</v>
      </c>
      <c r="L1090" s="43" t="s">
        <v>144</v>
      </c>
      <c r="M1090" s="43" t="s">
        <v>24</v>
      </c>
      <c r="N1090" s="44">
        <v>10</v>
      </c>
      <c r="O1090" s="43" t="s">
        <v>40</v>
      </c>
      <c r="P1090" s="43" t="s">
        <v>42</v>
      </c>
      <c r="Q1090" s="43" t="s">
        <v>42</v>
      </c>
      <c r="R1090" s="43" t="s">
        <v>260</v>
      </c>
      <c r="S1090" s="43"/>
    </row>
    <row r="1091" spans="1:19" s="45" customFormat="1" ht="14.4" hidden="1">
      <c r="A1091" s="25">
        <f>IF(C1091="","",MAX($A$1:A1090)+1)</f>
        <v>1046</v>
      </c>
      <c r="B1091" s="25" t="s">
        <v>141</v>
      </c>
      <c r="C1091" s="41">
        <v>46090</v>
      </c>
      <c r="D1091" s="48" t="str">
        <f>_xlfn.XLOOKUP(Table134526_79101120212223242526[[#This Row],[Name Surname]],Manpower!$C$4:$C$1048576,Manpower!$B$4:$B$1048576,"")</f>
        <v>Encogroup</v>
      </c>
      <c r="E1091" s="41" t="s">
        <v>206</v>
      </c>
      <c r="F1091" s="12">
        <f>_xlfn.XLOOKUP(Table134526_79101120212223242526[[#This Row],[Name Surname]],Manpower!C:C,Manpower!D:D,)</f>
        <v>140844848</v>
      </c>
      <c r="G1091" s="48" t="str">
        <f>_xlfn.XLOOKUP(Table134526_79101120212223242526[[#This Row],[Name Surname]],Manpower!$C$4:$C$1048576,Manpower!$F$4:$F$1048576,"")</f>
        <v>Assistant/Helper</v>
      </c>
      <c r="H1091" s="48" t="str">
        <f>_xlfn.XLOOKUP(Table134526_79101120212223242526[[#This Row],[Name Surname]],Manpower!$C$4:$C$1048576,Manpower!$H$4:$H$1048576,"")</f>
        <v>Manpower</v>
      </c>
      <c r="I1091" s="42" t="str">
        <f>_xlfn.XLOOKUP(Table134526_79101120212223242526[[#This Row],[Name Surname]],Manpower!$C$4:$C$1048576,Manpower!$H$4:$H$1048576,"")</f>
        <v>Manpower</v>
      </c>
      <c r="J1091" s="43" t="s">
        <v>143</v>
      </c>
      <c r="K1091" s="43" t="s">
        <v>26</v>
      </c>
      <c r="L1091" s="43" t="s">
        <v>144</v>
      </c>
      <c r="M1091" s="43" t="s">
        <v>24</v>
      </c>
      <c r="N1091" s="44">
        <v>10</v>
      </c>
      <c r="O1091" s="43" t="s">
        <v>40</v>
      </c>
      <c r="P1091" s="43" t="s">
        <v>42</v>
      </c>
      <c r="Q1091" s="43" t="s">
        <v>42</v>
      </c>
      <c r="R1091" s="43" t="s">
        <v>260</v>
      </c>
      <c r="S1091" s="43"/>
    </row>
    <row r="1092" spans="1:19" ht="14.4" hidden="1">
      <c r="A1092" s="33">
        <f>IF(C1092="","",MAX($A$1:A1091)+1)</f>
        <v>1047</v>
      </c>
      <c r="B1092" s="27" t="s">
        <v>141</v>
      </c>
      <c r="C1092" s="23">
        <v>46090</v>
      </c>
      <c r="D1092" s="28" t="str">
        <f>_xlfn.XLOOKUP(Table134526_79101120212223242526[[#This Row],[Name Surname]],Manpower!$C$4:$C$1048576,Manpower!$B$4:$B$1048576,"")</f>
        <v>Encogroup</v>
      </c>
      <c r="E1092" s="18" t="s">
        <v>207</v>
      </c>
      <c r="F1092" s="12">
        <f>_xlfn.XLOOKUP(Table134526_79101120212223242526[[#This Row],[Name Surname]],Manpower!C:C,Manpower!D:D,)</f>
        <v>141359216</v>
      </c>
      <c r="G1092" s="28" t="str">
        <f>_xlfn.XLOOKUP(Table134526_79101120212223242526[[#This Row],[Name Surname]],Manpower!$C$4:$C$1048576,Manpower!$F$4:$F$1048576,"")</f>
        <v>Electrician</v>
      </c>
      <c r="H1092" s="28" t="str">
        <f>_xlfn.XLOOKUP(Table134526_79101120212223242526[[#This Row],[Name Surname]],Manpower!$C$4:$C$1048576,Manpower!$H$4:$H$1048576,"")</f>
        <v>Manpower</v>
      </c>
      <c r="I1092" s="24" t="str">
        <f>_xlfn.XLOOKUP(Table134526_79101120212223242526[[#This Row],[Name Surname]],Manpower!$C$4:$C$1048576,Manpower!$H$4:$H$1048576,"")</f>
        <v>Manpower</v>
      </c>
      <c r="J1092" s="21" t="s">
        <v>158</v>
      </c>
      <c r="K1092" s="21" t="s">
        <v>26</v>
      </c>
      <c r="L1092" s="21" t="s">
        <v>26</v>
      </c>
      <c r="M1092" s="21" t="s">
        <v>24</v>
      </c>
      <c r="N1092" s="29">
        <v>10</v>
      </c>
      <c r="O1092" s="21" t="s">
        <v>159</v>
      </c>
      <c r="P1092" s="21" t="s">
        <v>160</v>
      </c>
      <c r="Q1092" s="21" t="s">
        <v>160</v>
      </c>
      <c r="R1092" s="21" t="s">
        <v>161</v>
      </c>
    </row>
    <row r="1093" spans="1:19" s="45" customFormat="1" ht="14.4" hidden="1">
      <c r="A1093" s="25">
        <f>IF(C1093="","",MAX($A$1:A1092)+1)</f>
        <v>1048</v>
      </c>
      <c r="B1093" s="25" t="s">
        <v>141</v>
      </c>
      <c r="C1093" s="41">
        <v>46090</v>
      </c>
      <c r="D1093" s="48" t="str">
        <f>_xlfn.XLOOKUP(Table134526_79101120212223242526[[#This Row],[Name Surname]],Manpower!$C$4:$C$1048576,Manpower!$B$4:$B$1048576,"")</f>
        <v>Encogroup</v>
      </c>
      <c r="E1093" s="41" t="s">
        <v>208</v>
      </c>
      <c r="F1093" s="12">
        <f>_xlfn.XLOOKUP(Table134526_79101120212223242526[[#This Row],[Name Surname]],Manpower!C:C,Manpower!D:D,)</f>
        <v>140683399</v>
      </c>
      <c r="G1093" s="48" t="str">
        <f>_xlfn.XLOOKUP(Table134526_79101120212223242526[[#This Row],[Name Surname]],Manpower!$C$4:$C$1048576,Manpower!$F$4:$F$1048576,"")</f>
        <v>Rigger</v>
      </c>
      <c r="H1093" s="48" t="str">
        <f>_xlfn.XLOOKUP(Table134526_79101120212223242526[[#This Row],[Name Surname]],Manpower!$C$4:$C$1048576,Manpower!$H$4:$H$1048576,"")</f>
        <v>Manpower</v>
      </c>
      <c r="I1093" s="42" t="str">
        <f>_xlfn.XLOOKUP(Table134526_79101120212223242526[[#This Row],[Name Surname]],Manpower!$C$4:$C$1048576,Manpower!$H$4:$H$1048576,"")</f>
        <v>Manpower</v>
      </c>
      <c r="J1093" s="43" t="s">
        <v>143</v>
      </c>
      <c r="K1093" s="43" t="s">
        <v>26</v>
      </c>
      <c r="L1093" s="43" t="s">
        <v>144</v>
      </c>
      <c r="M1093" s="43" t="s">
        <v>24</v>
      </c>
      <c r="N1093" s="44">
        <v>10</v>
      </c>
      <c r="O1093" s="43" t="s">
        <v>40</v>
      </c>
      <c r="P1093" s="43" t="s">
        <v>42</v>
      </c>
      <c r="Q1093" s="43" t="s">
        <v>42</v>
      </c>
      <c r="R1093" s="43" t="s">
        <v>260</v>
      </c>
      <c r="S1093" s="43"/>
    </row>
    <row r="1094" spans="1:19" ht="14.4">
      <c r="A1094" s="33">
        <f>IF(C1094="","",MAX($A$1:A1093)+1)</f>
        <v>1049</v>
      </c>
      <c r="B1094" s="27" t="s">
        <v>141</v>
      </c>
      <c r="C1094" s="23">
        <v>46090</v>
      </c>
      <c r="D1094" s="28" t="str">
        <f>_xlfn.XLOOKUP(Table134526_79101120212223242526[[#This Row],[Name Surname]],Manpower!$C$4:$C$1048576,Manpower!$B$4:$B$1048576,"")</f>
        <v>Bright Light</v>
      </c>
      <c r="E1094" s="23" t="s">
        <v>210</v>
      </c>
      <c r="F1094" s="12" t="e">
        <f>_xlfn.XLOOKUP(Table134526_79101120212223242526[[#This Row],[Name Surname]],Manpower!C:C,Manpower!D:D,)</f>
        <v>#N/A</v>
      </c>
      <c r="G1094" s="28" t="str">
        <f>_xlfn.XLOOKUP(Table134526_79101120212223242526[[#This Row],[Name Surname]],Manpower!$C$4:$C$1048576,Manpower!$F$4:$F$1048576,"")</f>
        <v>Trailer</v>
      </c>
      <c r="H1094" s="28" t="str">
        <f>_xlfn.XLOOKUP(Table134526_79101120212223242526[[#This Row],[Name Surname]],Manpower!$C$4:$C$1048576,Manpower!$H$4:$H$1048576,"")</f>
        <v>Equipment</v>
      </c>
      <c r="I1094" s="24" t="str">
        <f>_xlfn.XLOOKUP(Table134526_79101120212223242526[[#This Row],[Name Surname]],Manpower!$C$4:$C$1048576,Manpower!$H$4:$H$1048576,"")</f>
        <v>Equipment</v>
      </c>
      <c r="J1094" s="21" t="s">
        <v>143</v>
      </c>
      <c r="K1094" s="21" t="s">
        <v>26</v>
      </c>
      <c r="L1094" s="21" t="s">
        <v>144</v>
      </c>
      <c r="M1094" s="21" t="s">
        <v>24</v>
      </c>
      <c r="N1094" s="29">
        <v>8</v>
      </c>
      <c r="O1094" s="21" t="s">
        <v>40</v>
      </c>
      <c r="P1094" s="21" t="s">
        <v>42</v>
      </c>
      <c r="Q1094" s="21" t="s">
        <v>42</v>
      </c>
      <c r="R1094" s="21" t="s">
        <v>26</v>
      </c>
    </row>
    <row r="1095" spans="1:19" ht="14.4" hidden="1">
      <c r="A1095" s="33">
        <f>IF(C1095="","",MAX($A$1:A1094)+1)</f>
        <v>1050</v>
      </c>
      <c r="B1095" s="27" t="s">
        <v>141</v>
      </c>
      <c r="C1095" s="23">
        <v>46090</v>
      </c>
      <c r="D1095" s="28" t="str">
        <f>_xlfn.XLOOKUP(Table134526_79101120212223242526[[#This Row],[Name Surname]],Manpower!$C$4:$C$1048576,Manpower!$B$4:$B$1048576,"")</f>
        <v>Encogroup</v>
      </c>
      <c r="E1095" s="23" t="s">
        <v>211</v>
      </c>
      <c r="F1095" s="12">
        <f>_xlfn.XLOOKUP(Table134526_79101120212223242526[[#This Row],[Name Surname]],Manpower!C:C,Manpower!D:D,)</f>
        <v>140477664</v>
      </c>
      <c r="G1095" s="28" t="str">
        <f>_xlfn.XLOOKUP(Table134526_79101120212223242526[[#This Row],[Name Surname]],Manpower!$C$4:$C$1048576,Manpower!$F$4:$F$1048576,"")</f>
        <v>Junior HSE Officer</v>
      </c>
      <c r="H1095" s="28" t="str">
        <f>_xlfn.XLOOKUP(Table134526_79101120212223242526[[#This Row],[Name Surname]],Manpower!$C$4:$C$1048576,Manpower!$H$4:$H$1048576,"")</f>
        <v>Manpower</v>
      </c>
      <c r="I1095" s="24" t="str">
        <f>_xlfn.XLOOKUP(Table134526_79101120212223242526[[#This Row],[Name Surname]],Manpower!$C$4:$C$1048576,Manpower!$H$4:$H$1048576,"")</f>
        <v>Manpower</v>
      </c>
      <c r="J1095" s="21" t="s">
        <v>143</v>
      </c>
      <c r="K1095" s="21" t="s">
        <v>26</v>
      </c>
      <c r="L1095" s="21" t="s">
        <v>144</v>
      </c>
      <c r="M1095" s="21" t="s">
        <v>24</v>
      </c>
      <c r="N1095" s="29">
        <v>10</v>
      </c>
      <c r="O1095" s="21" t="s">
        <v>40</v>
      </c>
      <c r="P1095" s="21" t="s">
        <v>42</v>
      </c>
      <c r="Q1095" s="21" t="s">
        <v>42</v>
      </c>
      <c r="R1095" s="21" t="s">
        <v>260</v>
      </c>
    </row>
    <row r="1096" spans="1:19" ht="14.4" hidden="1">
      <c r="A1096" s="33">
        <f>IF(C1096="","",MAX($A$1:A1095)+1)</f>
        <v>1051</v>
      </c>
      <c r="B1096" s="27" t="s">
        <v>141</v>
      </c>
      <c r="C1096" s="23">
        <v>46090</v>
      </c>
      <c r="D1096" s="28" t="str">
        <f>_xlfn.XLOOKUP(Table134526_79101120212223242526[[#This Row],[Name Surname]],Manpower!$C$4:$C$1048576,Manpower!$B$4:$B$1048576,"")</f>
        <v>AL Omar International TRAD AND CONT</v>
      </c>
      <c r="E1096" s="23" t="s">
        <v>212</v>
      </c>
      <c r="F1096" s="12">
        <f>_xlfn.XLOOKUP(Table134526_79101120212223242526[[#This Row],[Name Surname]],Manpower!C:C,Manpower!D:D,)</f>
        <v>116676257</v>
      </c>
      <c r="G1096" s="28" t="str">
        <f>_xlfn.XLOOKUP(Table134526_79101120212223242526[[#This Row],[Name Surname]],Manpower!$C$4:$C$1048576,Manpower!$F$4:$F$1048576,"")</f>
        <v>Scaffolder</v>
      </c>
      <c r="H1096" s="28" t="str">
        <f>_xlfn.XLOOKUP(Table134526_79101120212223242526[[#This Row],[Name Surname]],Manpower!$C$4:$C$1048576,Manpower!$H$4:$H$1048576,"")</f>
        <v>Sub Contactor</v>
      </c>
      <c r="I1096" s="24" t="str">
        <f>_xlfn.XLOOKUP(Table134526_79101120212223242526[[#This Row],[Name Surname]],Manpower!$C$4:$C$1048576,Manpower!$H$4:$H$1048576,"")</f>
        <v>Sub Contactor</v>
      </c>
      <c r="J1096" s="21" t="s">
        <v>143</v>
      </c>
      <c r="K1096" s="21" t="s">
        <v>26</v>
      </c>
      <c r="L1096" s="21" t="s">
        <v>170</v>
      </c>
      <c r="M1096" s="21" t="s">
        <v>24</v>
      </c>
      <c r="N1096" s="29">
        <v>8</v>
      </c>
      <c r="O1096" s="21" t="s">
        <v>40</v>
      </c>
      <c r="P1096" s="21" t="s">
        <v>128</v>
      </c>
      <c r="Q1096" s="21" t="s">
        <v>128</v>
      </c>
      <c r="R1096" s="21" t="s">
        <v>171</v>
      </c>
    </row>
    <row r="1097" spans="1:19" s="45" customFormat="1" ht="14.4" hidden="1">
      <c r="A1097" s="25">
        <f>IF(C1097="","",MAX($A$1:A1096)+1)</f>
        <v>1052</v>
      </c>
      <c r="B1097" s="25" t="s">
        <v>141</v>
      </c>
      <c r="C1097" s="41">
        <v>46090</v>
      </c>
      <c r="D1097" s="48" t="str">
        <f>_xlfn.XLOOKUP(Table134526_79101120212223242526[[#This Row],[Name Surname]],Manpower!$C$4:$C$1048576,Manpower!$B$4:$B$1048576,"")</f>
        <v>Encogroup</v>
      </c>
      <c r="E1097" s="41" t="s">
        <v>213</v>
      </c>
      <c r="F1097" s="12">
        <f>_xlfn.XLOOKUP(Table134526_79101120212223242526[[#This Row],[Name Surname]],Manpower!C:C,Manpower!D:D,)</f>
        <v>140846698</v>
      </c>
      <c r="G1097" s="48" t="str">
        <f>_xlfn.XLOOKUP(Table134526_79101120212223242526[[#This Row],[Name Surname]],Manpower!$C$4:$C$1048576,Manpower!$F$4:$F$1048576,"")</f>
        <v>Assistant/Helper</v>
      </c>
      <c r="H1097" s="48" t="str">
        <f>_xlfn.XLOOKUP(Table134526_79101120212223242526[[#This Row],[Name Surname]],Manpower!$C$4:$C$1048576,Manpower!$H$4:$H$1048576,"")</f>
        <v>Manpower</v>
      </c>
      <c r="I1097" s="42" t="str">
        <f>_xlfn.XLOOKUP(Table134526_79101120212223242526[[#This Row],[Name Surname]],Manpower!$C$4:$C$1048576,Manpower!$H$4:$H$1048576,"")</f>
        <v>Manpower</v>
      </c>
      <c r="J1097" s="43" t="s">
        <v>143</v>
      </c>
      <c r="K1097" s="43" t="s">
        <v>26</v>
      </c>
      <c r="L1097" s="43" t="s">
        <v>144</v>
      </c>
      <c r="M1097" s="43" t="s">
        <v>24</v>
      </c>
      <c r="N1097" s="44">
        <v>10</v>
      </c>
      <c r="O1097" s="43" t="s">
        <v>40</v>
      </c>
      <c r="P1097" s="43" t="s">
        <v>42</v>
      </c>
      <c r="Q1097" s="43" t="s">
        <v>42</v>
      </c>
      <c r="R1097" s="43" t="s">
        <v>260</v>
      </c>
      <c r="S1097" s="43"/>
    </row>
    <row r="1098" spans="1:19" s="45" customFormat="1" ht="14.4" hidden="1">
      <c r="A1098" s="25">
        <f>IF(C1098="","",MAX($A$1:A1097)+1)</f>
        <v>1053</v>
      </c>
      <c r="B1098" s="25" t="s">
        <v>141</v>
      </c>
      <c r="C1098" s="41">
        <v>46089</v>
      </c>
      <c r="D1098" s="48" t="str">
        <f>_xlfn.XLOOKUP(Table134526_79101120212223242526[[#This Row],[Name Surname]],Manpower!$C$4:$C$1048576,Manpower!$B$4:$B$1048576,"")</f>
        <v>SARENS NASS</v>
      </c>
      <c r="E1098" s="41" t="s">
        <v>214</v>
      </c>
      <c r="F1098" s="12">
        <f>_xlfn.XLOOKUP(Table134526_79101120212223242526[[#This Row],[Name Surname]],Manpower!C:C,Manpower!D:D,)</f>
        <v>109957631</v>
      </c>
      <c r="G1098" s="48" t="str">
        <f>_xlfn.XLOOKUP(Table134526_79101120212223242526[[#This Row],[Name Surname]],Manpower!$C$4:$C$1048576,Manpower!$F$4:$F$1048576,"")</f>
        <v>Crane Operator-130T Liebherr Crawler</v>
      </c>
      <c r="H1098" s="48" t="str">
        <f>_xlfn.XLOOKUP(Table134526_79101120212223242526[[#This Row],[Name Surname]],Manpower!$C$4:$C$1048576,Manpower!$H$4:$H$1048576,"")</f>
        <v>Manpower</v>
      </c>
      <c r="I1098" s="42" t="str">
        <f>_xlfn.XLOOKUP(Table134526_79101120212223242526[[#This Row],[Name Surname]],Manpower!$C$4:$C$1048576,Manpower!$H$4:$H$1048576,"")</f>
        <v>Manpower</v>
      </c>
      <c r="J1098" s="43" t="s">
        <v>143</v>
      </c>
      <c r="K1098" s="43" t="s">
        <v>26</v>
      </c>
      <c r="L1098" s="43" t="s">
        <v>144</v>
      </c>
      <c r="M1098" s="43" t="s">
        <v>24</v>
      </c>
      <c r="N1098" s="44">
        <v>10</v>
      </c>
      <c r="O1098" s="43"/>
      <c r="P1098" s="43"/>
      <c r="Q1098" s="43"/>
      <c r="R1098" s="43" t="s">
        <v>258</v>
      </c>
      <c r="S1098" s="43"/>
    </row>
    <row r="1099" spans="1:19" s="45" customFormat="1" ht="14.4" hidden="1">
      <c r="A1099" s="25">
        <f>IF(C1099="","",MAX($A$1:A1098)+1)</f>
        <v>1054</v>
      </c>
      <c r="B1099" s="25" t="s">
        <v>141</v>
      </c>
      <c r="C1099" s="41">
        <v>46090</v>
      </c>
      <c r="D1099" s="48" t="str">
        <f>_xlfn.XLOOKUP(Table134526_79101120212223242526[[#This Row],[Name Surname]],Manpower!$C$4:$C$1048576,Manpower!$B$4:$B$1048576,"")</f>
        <v>Encogroup</v>
      </c>
      <c r="E1099" s="41" t="s">
        <v>217</v>
      </c>
      <c r="F1099" s="12">
        <f>_xlfn.XLOOKUP(Table134526_79101120212223242526[[#This Row],[Name Surname]],Manpower!C:C,Manpower!D:D,)</f>
        <v>140742177</v>
      </c>
      <c r="G1099" s="48" t="str">
        <f>_xlfn.XLOOKUP(Table134526_79101120212223242526[[#This Row],[Name Surname]],Manpower!$C$4:$C$1048576,Manpower!$F$4:$F$1048576,"")</f>
        <v>Grinder</v>
      </c>
      <c r="H1099" s="48" t="str">
        <f>_xlfn.XLOOKUP(Table134526_79101120212223242526[[#This Row],[Name Surname]],Manpower!$C$4:$C$1048576,Manpower!$H$4:$H$1048576,"")</f>
        <v>Manpower</v>
      </c>
      <c r="I1099" s="42" t="str">
        <f>_xlfn.XLOOKUP(Table134526_79101120212223242526[[#This Row],[Name Surname]],Manpower!$C$4:$C$1048576,Manpower!$H$4:$H$1048576,"")</f>
        <v>Manpower</v>
      </c>
      <c r="J1099" s="43" t="s">
        <v>143</v>
      </c>
      <c r="K1099" s="43" t="s">
        <v>26</v>
      </c>
      <c r="L1099" s="43" t="s">
        <v>144</v>
      </c>
      <c r="M1099" s="43" t="s">
        <v>24</v>
      </c>
      <c r="N1099" s="44">
        <v>10</v>
      </c>
      <c r="O1099" s="43" t="s">
        <v>40</v>
      </c>
      <c r="P1099" s="43" t="s">
        <v>42</v>
      </c>
      <c r="Q1099" s="43" t="s">
        <v>42</v>
      </c>
      <c r="R1099" s="43" t="s">
        <v>260</v>
      </c>
      <c r="S1099" s="43"/>
    </row>
    <row r="1100" spans="1:19" ht="14.4" hidden="1">
      <c r="A1100" s="33">
        <f>IF(C1100="","",MAX($A$1:A1099)+1)</f>
        <v>1055</v>
      </c>
      <c r="B1100" s="27" t="s">
        <v>141</v>
      </c>
      <c r="C1100" s="23">
        <v>46090</v>
      </c>
      <c r="D1100" s="28" t="str">
        <f>_xlfn.XLOOKUP(Table134526_79101120212223242526[[#This Row],[Name Surname]],Manpower!$C$4:$C$1048576,Manpower!$B$4:$B$1048576,"")</f>
        <v>Encogroup</v>
      </c>
      <c r="E1100" s="23" t="s">
        <v>188</v>
      </c>
      <c r="F1100" s="12">
        <f>_xlfn.XLOOKUP(Table134526_79101120212223242526[[#This Row],[Name Surname]],Manpower!C:C,Manpower!D:D,)</f>
        <v>140696975</v>
      </c>
      <c r="G1100" s="28" t="str">
        <f>_xlfn.XLOOKUP(Table134526_79101120212223242526[[#This Row],[Name Surname]],Manpower!$C$4:$C$1048576,Manpower!$F$4:$F$1048576,"")</f>
        <v>Assistant/Helper</v>
      </c>
      <c r="H1100" s="28" t="str">
        <f>_xlfn.XLOOKUP(Table134526_79101120212223242526[[#This Row],[Name Surname]],Manpower!$C$4:$C$1048576,Manpower!$H$4:$H$1048576,"")</f>
        <v>Manpower</v>
      </c>
      <c r="I1100" s="24" t="str">
        <f>_xlfn.XLOOKUP(Table134526_79101120212223242526[[#This Row],[Name Surname]],Manpower!$C$4:$C$1048576,Manpower!$H$4:$H$1048576,"")</f>
        <v>Manpower</v>
      </c>
      <c r="J1100" s="21" t="s">
        <v>158</v>
      </c>
      <c r="K1100" s="21" t="s">
        <v>26</v>
      </c>
      <c r="L1100" s="21" t="s">
        <v>26</v>
      </c>
      <c r="M1100" s="21" t="s">
        <v>24</v>
      </c>
      <c r="N1100" s="29">
        <v>11</v>
      </c>
      <c r="O1100" s="21" t="s">
        <v>159</v>
      </c>
      <c r="P1100" s="21" t="s">
        <v>160</v>
      </c>
      <c r="Q1100" s="21" t="s">
        <v>160</v>
      </c>
      <c r="R1100" s="21" t="s">
        <v>259</v>
      </c>
    </row>
    <row r="1101" spans="1:19" ht="14.4" hidden="1">
      <c r="A1101" s="33">
        <f>IF(C1101="","",MAX($A$1:A1100)+1)</f>
        <v>1056</v>
      </c>
      <c r="B1101" s="27" t="s">
        <v>141</v>
      </c>
      <c r="C1101" s="23">
        <v>46090</v>
      </c>
      <c r="D1101" s="28" t="str">
        <f>_xlfn.XLOOKUP(Table134526_79101120212223242526[[#This Row],[Name Surname]],Manpower!$C$4:$C$1048576,Manpower!$B$4:$B$1048576,"")</f>
        <v>Encogroup</v>
      </c>
      <c r="E1101" s="23" t="s">
        <v>204</v>
      </c>
      <c r="F1101" s="12">
        <f>_xlfn.XLOOKUP(Table134526_79101120212223242526[[#This Row],[Name Surname]],Manpower!C:C,Manpower!D:D,)</f>
        <v>140844572</v>
      </c>
      <c r="G1101" s="28" t="str">
        <f>_xlfn.XLOOKUP(Table134526_79101120212223242526[[#This Row],[Name Surname]],Manpower!$C$4:$C$1048576,Manpower!$F$4:$F$1048576,"")</f>
        <v>Assistant/Helper</v>
      </c>
      <c r="H1101" s="28" t="str">
        <f>_xlfn.XLOOKUP(Table134526_79101120212223242526[[#This Row],[Name Surname]],Manpower!$C$4:$C$1048576,Manpower!$H$4:$H$1048576,"")</f>
        <v>Manpower</v>
      </c>
      <c r="I1101" s="24" t="str">
        <f>_xlfn.XLOOKUP(Table134526_79101120212223242526[[#This Row],[Name Surname]],Manpower!$C$4:$C$1048576,Manpower!$H$4:$H$1048576,"")</f>
        <v>Manpower</v>
      </c>
      <c r="J1101" s="21" t="s">
        <v>158</v>
      </c>
      <c r="K1101" s="21" t="s">
        <v>26</v>
      </c>
      <c r="L1101" s="21" t="s">
        <v>26</v>
      </c>
      <c r="M1101" s="21" t="s">
        <v>24</v>
      </c>
      <c r="N1101" s="29">
        <v>11</v>
      </c>
      <c r="O1101" s="21" t="s">
        <v>159</v>
      </c>
      <c r="P1101" s="21" t="s">
        <v>160</v>
      </c>
      <c r="Q1101" s="21" t="s">
        <v>160</v>
      </c>
      <c r="R1101" s="21" t="s">
        <v>259</v>
      </c>
    </row>
    <row r="1102" spans="1:19" ht="14.4" hidden="1">
      <c r="A1102" s="33">
        <f>IF(C1102="","",MAX($A$1:A1101)+1)</f>
        <v>1057</v>
      </c>
      <c r="B1102" s="27" t="s">
        <v>141</v>
      </c>
      <c r="C1102" s="23">
        <v>46090</v>
      </c>
      <c r="D1102" s="28" t="str">
        <f>_xlfn.XLOOKUP(Table134526_79101120212223242526[[#This Row],[Name Surname]],Manpower!$C$4:$C$1048576,Manpower!$B$4:$B$1048576,"")</f>
        <v>Encogroup</v>
      </c>
      <c r="E1102" s="23" t="s">
        <v>218</v>
      </c>
      <c r="F1102" s="12">
        <f>_xlfn.XLOOKUP(Table134526_79101120212223242526[[#This Row],[Name Surname]],Manpower!C:C,Manpower!D:D,)</f>
        <v>116853914</v>
      </c>
      <c r="G1102" s="28" t="str">
        <f>_xlfn.XLOOKUP(Table134526_79101120212223242526[[#This Row],[Name Surname]],Manpower!$C$4:$C$1048576,Manpower!$F$4:$F$1048576,"")</f>
        <v>Electrical Supervisor</v>
      </c>
      <c r="H1102" s="28" t="str">
        <f>_xlfn.XLOOKUP(Table134526_79101120212223242526[[#This Row],[Name Surname]],Manpower!$C$4:$C$1048576,Manpower!$H$4:$H$1048576,"")</f>
        <v>Manpower</v>
      </c>
      <c r="I1102" s="24" t="str">
        <f>_xlfn.XLOOKUP(Table134526_79101120212223242526[[#This Row],[Name Surname]],Manpower!$C$4:$C$1048576,Manpower!$H$4:$H$1048576,"")</f>
        <v>Manpower</v>
      </c>
      <c r="J1102" s="21" t="s">
        <v>158</v>
      </c>
      <c r="K1102" s="21" t="s">
        <v>26</v>
      </c>
      <c r="L1102" s="21" t="s">
        <v>26</v>
      </c>
      <c r="M1102" s="21" t="s">
        <v>24</v>
      </c>
      <c r="N1102" s="29">
        <v>10</v>
      </c>
      <c r="O1102" s="21" t="s">
        <v>159</v>
      </c>
      <c r="P1102" s="21" t="s">
        <v>160</v>
      </c>
      <c r="Q1102" s="21" t="s">
        <v>160</v>
      </c>
      <c r="R1102" s="21" t="s">
        <v>161</v>
      </c>
    </row>
    <row r="1103" spans="1:19" ht="14.4">
      <c r="A1103" s="33">
        <f>IF(C1103="","",MAX($A$1:A1102)+1)</f>
        <v>1058</v>
      </c>
      <c r="B1103" s="27" t="s">
        <v>141</v>
      </c>
      <c r="C1103" s="23">
        <v>46090</v>
      </c>
      <c r="D1103" s="28" t="str">
        <f>_xlfn.XLOOKUP(Table134526_79101120212223242526[[#This Row],[Name Surname]],Manpower!$C$4:$C$1048576,Manpower!$B$4:$B$1048576,"")</f>
        <v>Encogroup</v>
      </c>
      <c r="E1103" s="23" t="s">
        <v>219</v>
      </c>
      <c r="F1103" s="12" t="e">
        <f>_xlfn.XLOOKUP(Table134526_79101120212223242526[[#This Row],[Name Surname]],Manpower!C:C,Manpower!D:D,)</f>
        <v>#N/A</v>
      </c>
      <c r="G1103" s="28" t="str">
        <f>_xlfn.XLOOKUP(Table134526_79101120212223242526[[#This Row],[Name Surname]],Manpower!$C$4:$C$1048576,Manpower!$F$4:$F$1048576,"")</f>
        <v>TOWER LIGHT</v>
      </c>
      <c r="H1103" s="28" t="str">
        <f>_xlfn.XLOOKUP(Table134526_79101120212223242526[[#This Row],[Name Surname]],Manpower!$C$4:$C$1048576,Manpower!$H$4:$H$1048576,"")</f>
        <v>Equipment</v>
      </c>
      <c r="I1103" s="24" t="str">
        <f>_xlfn.XLOOKUP(Table134526_79101120212223242526[[#This Row],[Name Surname]],Manpower!$C$4:$C$1048576,Manpower!$H$4:$H$1048576,"")</f>
        <v>Equipment</v>
      </c>
      <c r="J1103" s="21" t="s">
        <v>143</v>
      </c>
      <c r="K1103" s="21" t="s">
        <v>26</v>
      </c>
      <c r="L1103" s="21" t="s">
        <v>144</v>
      </c>
      <c r="M1103" s="21" t="s">
        <v>55</v>
      </c>
      <c r="N1103" s="29">
        <v>10</v>
      </c>
      <c r="R1103" s="21" t="s">
        <v>56</v>
      </c>
    </row>
    <row r="1104" spans="1:19" ht="14.4">
      <c r="A1104" s="33">
        <f>IF(C1104="","",MAX($A$1:A1103)+1)</f>
        <v>1059</v>
      </c>
      <c r="B1104" s="27" t="s">
        <v>141</v>
      </c>
      <c r="C1104" s="23">
        <v>46090</v>
      </c>
      <c r="D1104" s="28" t="str">
        <f>_xlfn.XLOOKUP(Table134526_79101120212223242526[[#This Row],[Name Surname]],Manpower!$C$4:$C$1048576,Manpower!$B$4:$B$1048576,"")</f>
        <v>Encogroup</v>
      </c>
      <c r="E1104" s="23" t="s">
        <v>220</v>
      </c>
      <c r="F1104" s="12" t="e">
        <f>_xlfn.XLOOKUP(Table134526_79101120212223242526[[#This Row],[Name Surname]],Manpower!C:C,Manpower!D:D,)</f>
        <v>#N/A</v>
      </c>
      <c r="G1104" s="28" t="str">
        <f>_xlfn.XLOOKUP(Table134526_79101120212223242526[[#This Row],[Name Surname]],Manpower!$C$4:$C$1048576,Manpower!$F$4:$F$1048576,"")</f>
        <v>TOWER LIGHT</v>
      </c>
      <c r="H1104" s="28" t="str">
        <f>_xlfn.XLOOKUP(Table134526_79101120212223242526[[#This Row],[Name Surname]],Manpower!$C$4:$C$1048576,Manpower!$H$4:$H$1048576,"")</f>
        <v>Equipment</v>
      </c>
      <c r="I1104" s="24" t="str">
        <f>_xlfn.XLOOKUP(Table134526_79101120212223242526[[#This Row],[Name Surname]],Manpower!$C$4:$C$1048576,Manpower!$H$4:$H$1048576,"")</f>
        <v>Equipment</v>
      </c>
      <c r="J1104" s="21" t="s">
        <v>143</v>
      </c>
      <c r="K1104" s="21" t="s">
        <v>26</v>
      </c>
      <c r="L1104" s="21" t="s">
        <v>144</v>
      </c>
      <c r="M1104" s="21" t="s">
        <v>55</v>
      </c>
      <c r="N1104" s="29">
        <v>10</v>
      </c>
      <c r="R1104" s="21" t="s">
        <v>56</v>
      </c>
    </row>
    <row r="1105" spans="1:19" ht="14.4" hidden="1">
      <c r="A1105" s="33">
        <f>IF(C1105="","",MAX($A$1:A1104)+1)</f>
        <v>1060</v>
      </c>
      <c r="B1105" s="27" t="s">
        <v>141</v>
      </c>
      <c r="C1105" s="23">
        <v>46090</v>
      </c>
      <c r="D1105" s="28" t="str">
        <f>_xlfn.XLOOKUP(Table134526_79101120212223242526[[#This Row],[Name Surname]],Manpower!$C$4:$C$1048576,Manpower!$B$4:$B$1048576,"")</f>
        <v>AL Omar International Tarde&amp;Contracting SPC</v>
      </c>
      <c r="E1105" s="23" t="s">
        <v>221</v>
      </c>
      <c r="F1105" s="12">
        <f>_xlfn.XLOOKUP(Table134526_79101120212223242526[[#This Row],[Name Surname]],Manpower!C:C,Manpower!D:D,)</f>
        <v>115122635</v>
      </c>
      <c r="G1105" s="28" t="str">
        <f>_xlfn.XLOOKUP(Table134526_79101120212223242526[[#This Row],[Name Surname]],Manpower!$C$4:$C$1048576,Manpower!$F$4:$F$1048576,"")</f>
        <v>Scaffolder</v>
      </c>
      <c r="H1105" s="28" t="str">
        <f>_xlfn.XLOOKUP(Table134526_79101120212223242526[[#This Row],[Name Surname]],Manpower!$C$4:$C$1048576,Manpower!$H$4:$H$1048576,"")</f>
        <v>Sub Contactor</v>
      </c>
      <c r="I1105" s="24" t="str">
        <f>_xlfn.XLOOKUP(Table134526_79101120212223242526[[#This Row],[Name Surname]],Manpower!$C$4:$C$1048576,Manpower!$H$4:$H$1048576,"")</f>
        <v>Sub Contactor</v>
      </c>
      <c r="J1105" s="21" t="s">
        <v>143</v>
      </c>
      <c r="K1105" s="21" t="s">
        <v>26</v>
      </c>
      <c r="L1105" s="21" t="s">
        <v>144</v>
      </c>
      <c r="M1105" s="21" t="s">
        <v>24</v>
      </c>
      <c r="N1105" s="29">
        <v>8</v>
      </c>
      <c r="O1105" s="21" t="s">
        <v>40</v>
      </c>
      <c r="P1105" s="21" t="s">
        <v>42</v>
      </c>
      <c r="Q1105" s="21" t="s">
        <v>42</v>
      </c>
      <c r="R1105" s="21" t="s">
        <v>260</v>
      </c>
    </row>
    <row r="1106" spans="1:19" s="45" customFormat="1" ht="14.4" hidden="1">
      <c r="A1106" s="25">
        <f>IF(C1106="","",MAX($A$1:A1105)+1)</f>
        <v>1061</v>
      </c>
      <c r="B1106" s="25" t="s">
        <v>141</v>
      </c>
      <c r="C1106" s="41">
        <v>46090</v>
      </c>
      <c r="D1106" s="48" t="str">
        <f>_xlfn.XLOOKUP(Table134526_79101120212223242526[[#This Row],[Name Surname]],Manpower!$C$4:$C$1048576,Manpower!$B$4:$B$1048576,"")</f>
        <v>Encogroup</v>
      </c>
      <c r="E1106" s="41" t="s">
        <v>168</v>
      </c>
      <c r="F1106" s="12">
        <f>_xlfn.XLOOKUP(Table134526_79101120212223242526[[#This Row],[Name Surname]],Manpower!C:C,Manpower!D:D,)</f>
        <v>137114773</v>
      </c>
      <c r="G1106" s="48" t="str">
        <f>_xlfn.XLOOKUP(Table134526_79101120212223242526[[#This Row],[Name Surname]],Manpower!$C$4:$C$1048576,Manpower!$F$4:$F$1048576,"")</f>
        <v>Rigger</v>
      </c>
      <c r="H1106" s="48" t="str">
        <f>_xlfn.XLOOKUP(Table134526_79101120212223242526[[#This Row],[Name Surname]],Manpower!$C$4:$C$1048576,Manpower!$H$4:$H$1048576,"")</f>
        <v>Manpower</v>
      </c>
      <c r="I1106" s="42" t="str">
        <f>_xlfn.XLOOKUP(Table134526_79101120212223242526[[#This Row],[Name Surname]],Manpower!$C$4:$C$1048576,Manpower!$H$4:$H$1048576,"")</f>
        <v>Manpower</v>
      </c>
      <c r="J1106" s="43" t="s">
        <v>143</v>
      </c>
      <c r="K1106" s="43" t="s">
        <v>26</v>
      </c>
      <c r="L1106" s="43" t="s">
        <v>144</v>
      </c>
      <c r="M1106" s="43" t="s">
        <v>24</v>
      </c>
      <c r="N1106" s="44">
        <v>10</v>
      </c>
      <c r="O1106" s="43" t="s">
        <v>40</v>
      </c>
      <c r="P1106" s="43" t="s">
        <v>42</v>
      </c>
      <c r="Q1106" s="43" t="s">
        <v>42</v>
      </c>
      <c r="R1106" s="43" t="s">
        <v>260</v>
      </c>
      <c r="S1106" s="43"/>
    </row>
    <row r="1107" spans="1:19" s="45" customFormat="1" ht="14.4" hidden="1">
      <c r="A1107" s="25">
        <f>IF(C1107="","",MAX($A$1:A1106)+1)</f>
        <v>1062</v>
      </c>
      <c r="B1107" s="25" t="s">
        <v>141</v>
      </c>
      <c r="C1107" s="41">
        <v>46090</v>
      </c>
      <c r="D1107" s="48" t="str">
        <f>_xlfn.XLOOKUP(Table134526_79101120212223242526[[#This Row],[Name Surname]],Manpower!$C$4:$C$1048576,Manpower!$B$4:$B$1048576,"")</f>
        <v>Encogroup</v>
      </c>
      <c r="E1107" s="41" t="s">
        <v>222</v>
      </c>
      <c r="F1107" s="12">
        <f>_xlfn.XLOOKUP(Table134526_79101120212223242526[[#This Row],[Name Surname]],Manpower!C:C,Manpower!D:D,)</f>
        <v>122082863</v>
      </c>
      <c r="G1107" s="48" t="str">
        <f>_xlfn.XLOOKUP(Table134526_79101120212223242526[[#This Row],[Name Surname]],Manpower!$C$4:$C$1048576,Manpower!$F$4:$F$1048576,"")</f>
        <v>Grinder</v>
      </c>
      <c r="H1107" s="48" t="str">
        <f>_xlfn.XLOOKUP(Table134526_79101120212223242526[[#This Row],[Name Surname]],Manpower!$C$4:$C$1048576,Manpower!$H$4:$H$1048576,"")</f>
        <v>Manpower</v>
      </c>
      <c r="I1107" s="42" t="str">
        <f>_xlfn.XLOOKUP(Table134526_79101120212223242526[[#This Row],[Name Surname]],Manpower!$C$4:$C$1048576,Manpower!$H$4:$H$1048576,"")</f>
        <v>Manpower</v>
      </c>
      <c r="J1107" s="43" t="s">
        <v>143</v>
      </c>
      <c r="K1107" s="43" t="s">
        <v>26</v>
      </c>
      <c r="L1107" s="43" t="s">
        <v>144</v>
      </c>
      <c r="M1107" s="43" t="s">
        <v>24</v>
      </c>
      <c r="N1107" s="44">
        <v>8</v>
      </c>
      <c r="O1107" s="43" t="s">
        <v>40</v>
      </c>
      <c r="P1107" s="43" t="s">
        <v>42</v>
      </c>
      <c r="Q1107" s="43" t="s">
        <v>42</v>
      </c>
      <c r="R1107" s="43" t="s">
        <v>260</v>
      </c>
      <c r="S1107" s="43"/>
    </row>
    <row r="1108" spans="1:19" ht="14.4" hidden="1">
      <c r="A1108" s="33">
        <f>IF(C1108="","",MAX($A$1:A1107)+1)</f>
        <v>1063</v>
      </c>
      <c r="B1108" s="27" t="s">
        <v>141</v>
      </c>
      <c r="C1108" s="23">
        <v>46090</v>
      </c>
      <c r="D1108" s="28" t="str">
        <f>_xlfn.XLOOKUP(Table134526_79101120212223242526[[#This Row],[Name Surname]],Manpower!$C$4:$C$1048576,Manpower!$B$4:$B$1048576,"")</f>
        <v>Bright Light</v>
      </c>
      <c r="E1108" s="23" t="s">
        <v>165</v>
      </c>
      <c r="F1108" s="12">
        <f>_xlfn.XLOOKUP(Table134526_79101120212223242526[[#This Row],[Name Surname]],Manpower!C:C,Manpower!D:D,)</f>
        <v>122771611</v>
      </c>
      <c r="G1108" s="28" t="str">
        <f>_xlfn.XLOOKUP(Table134526_79101120212223242526[[#This Row],[Name Surname]],Manpower!$C$4:$C$1048576,Manpower!$F$4:$F$1048576,"")</f>
        <v>Mechanic</v>
      </c>
      <c r="H1108" s="28" t="str">
        <f>_xlfn.XLOOKUP(Table134526_79101120212223242526[[#This Row],[Name Surname]],Manpower!$C$4:$C$1048576,Manpower!$H$4:$H$1048576,"")</f>
        <v>Sub Contactor</v>
      </c>
      <c r="I1108" s="24" t="str">
        <f>_xlfn.XLOOKUP(Table134526_79101120212223242526[[#This Row],[Name Surname]],Manpower!$C$4:$C$1048576,Manpower!$H$4:$H$1048576,"")</f>
        <v>Sub Contactor</v>
      </c>
      <c r="J1108" s="21" t="s">
        <v>158</v>
      </c>
      <c r="K1108" s="21" t="s">
        <v>26</v>
      </c>
      <c r="L1108" s="21" t="s">
        <v>26</v>
      </c>
      <c r="M1108" s="21" t="s">
        <v>24</v>
      </c>
      <c r="N1108" s="29">
        <v>8</v>
      </c>
      <c r="O1108" s="21" t="s">
        <v>205</v>
      </c>
      <c r="P1108" s="21" t="s">
        <v>261</v>
      </c>
      <c r="Q1108" s="21" t="s">
        <v>261</v>
      </c>
      <c r="R1108" s="21" t="s">
        <v>262</v>
      </c>
    </row>
    <row r="1109" spans="1:19" ht="14.4" hidden="1">
      <c r="A1109" s="33">
        <f>IF(C1109="","",MAX($A$1:A1108)+1)</f>
        <v>1064</v>
      </c>
      <c r="B1109" s="27" t="s">
        <v>141</v>
      </c>
      <c r="C1109" s="23">
        <v>46090</v>
      </c>
      <c r="D1109" s="28" t="str">
        <f>_xlfn.XLOOKUP(Table134526_79101120212223242526[[#This Row],[Name Surname]],Manpower!$C$4:$C$1048576,Manpower!$B$4:$B$1048576,"")</f>
        <v>Bright Light</v>
      </c>
      <c r="E1109" s="23" t="s">
        <v>263</v>
      </c>
      <c r="F1109" s="12">
        <f>_xlfn.XLOOKUP(Table134526_79101120212223242526[[#This Row],[Name Surname]],Manpower!C:C,Manpower!D:D,)</f>
        <v>125287583</v>
      </c>
      <c r="G1109" s="28" t="str">
        <f>_xlfn.XLOOKUP(Table134526_79101120212223242526[[#This Row],[Name Surname]],Manpower!$C$4:$C$1048576,Manpower!$F$4:$F$1048576,"")</f>
        <v>Mechanic</v>
      </c>
      <c r="H1109" s="28" t="str">
        <f>_xlfn.XLOOKUP(Table134526_79101120212223242526[[#This Row],[Name Surname]],Manpower!$C$4:$C$1048576,Manpower!$H$4:$H$1048576,"")</f>
        <v>Sub Contactor</v>
      </c>
      <c r="I1109" s="24" t="str">
        <f>_xlfn.XLOOKUP(Table134526_79101120212223242526[[#This Row],[Name Surname]],Manpower!$C$4:$C$1048576,Manpower!$H$4:$H$1048576,"")</f>
        <v>Sub Contactor</v>
      </c>
      <c r="J1109" s="21" t="s">
        <v>158</v>
      </c>
      <c r="K1109" s="21" t="s">
        <v>26</v>
      </c>
      <c r="L1109" s="21" t="s">
        <v>26</v>
      </c>
      <c r="M1109" s="21" t="s">
        <v>24</v>
      </c>
      <c r="N1109" s="29">
        <v>8</v>
      </c>
      <c r="O1109" s="21" t="s">
        <v>205</v>
      </c>
      <c r="P1109" s="21" t="s">
        <v>261</v>
      </c>
      <c r="Q1109" s="21" t="s">
        <v>261</v>
      </c>
      <c r="R1109" s="21" t="s">
        <v>262</v>
      </c>
    </row>
    <row r="1110" spans="1:19" ht="14.4" hidden="1">
      <c r="A1110" s="33">
        <f>IF(C1110="","",MAX($A$1:A1109)+1)</f>
        <v>1065</v>
      </c>
      <c r="B1110" s="27" t="s">
        <v>141</v>
      </c>
      <c r="C1110" s="23">
        <v>46090</v>
      </c>
      <c r="D1110" s="28" t="str">
        <f>_xlfn.XLOOKUP(Table134526_79101120212223242526[[#This Row],[Name Surname]],Manpower!$C$4:$C$1048576,Manpower!$B$4:$B$1048576,"")</f>
        <v>Encogroup</v>
      </c>
      <c r="E1110" s="23" t="s">
        <v>223</v>
      </c>
      <c r="F1110" s="12">
        <f>_xlfn.XLOOKUP(Table134526_79101120212223242526[[#This Row],[Name Surname]],Manpower!C:C,Manpower!D:D,)</f>
        <v>140696989</v>
      </c>
      <c r="G1110" s="28" t="str">
        <f>_xlfn.XLOOKUP(Table134526_79101120212223242526[[#This Row],[Name Surname]],Manpower!$C$4:$C$1048576,Manpower!$F$4:$F$1048576,"")</f>
        <v>Assistant/Helper</v>
      </c>
      <c r="H1110" s="28" t="str">
        <f>_xlfn.XLOOKUP(Table134526_79101120212223242526[[#This Row],[Name Surname]],Manpower!$C$4:$C$1048576,Manpower!$H$4:$H$1048576,"")</f>
        <v>Manpower</v>
      </c>
      <c r="I1110" s="24" t="str">
        <f>_xlfn.XLOOKUP(Table134526_79101120212223242526[[#This Row],[Name Surname]],Manpower!$C$4:$C$1048576,Manpower!$H$4:$H$1048576,"")</f>
        <v>Manpower</v>
      </c>
      <c r="J1110" s="21" t="s">
        <v>158</v>
      </c>
      <c r="K1110" s="21" t="s">
        <v>26</v>
      </c>
      <c r="L1110" s="21" t="s">
        <v>26</v>
      </c>
      <c r="M1110" s="21" t="s">
        <v>24</v>
      </c>
      <c r="N1110" s="29">
        <v>10</v>
      </c>
      <c r="O1110" s="21" t="s">
        <v>159</v>
      </c>
      <c r="P1110" s="21" t="s">
        <v>160</v>
      </c>
      <c r="Q1110" s="21" t="s">
        <v>160</v>
      </c>
      <c r="R1110" s="21" t="s">
        <v>161</v>
      </c>
    </row>
    <row r="1111" spans="1:19" s="45" customFormat="1" ht="14.4" hidden="1">
      <c r="A1111" s="25">
        <f>IF(C1111="","",MAX($A$1:A1110)+1)</f>
        <v>1066</v>
      </c>
      <c r="B1111" s="25" t="s">
        <v>141</v>
      </c>
      <c r="C1111" s="41">
        <v>46090</v>
      </c>
      <c r="D1111" s="48" t="str">
        <f>_xlfn.XLOOKUP(Table134526_79101120212223242526[[#This Row],[Name Surname]],Manpower!$C$4:$C$1048576,Manpower!$B$4:$B$1048576,"")</f>
        <v>Encogroup</v>
      </c>
      <c r="E1111" s="41" t="s">
        <v>209</v>
      </c>
      <c r="F1111" s="12">
        <f>_xlfn.XLOOKUP(Table134526_79101120212223242526[[#This Row],[Name Surname]],Manpower!C:C,Manpower!D:D,)</f>
        <v>141365164</v>
      </c>
      <c r="G1111" s="48" t="str">
        <f>_xlfn.XLOOKUP(Table134526_79101120212223242526[[#This Row],[Name Surname]],Manpower!$C$4:$C$1048576,Manpower!$F$4:$F$1048576,"")</f>
        <v>Helper</v>
      </c>
      <c r="H1111" s="48" t="str">
        <f>_xlfn.XLOOKUP(Table134526_79101120212223242526[[#This Row],[Name Surname]],Manpower!$C$4:$C$1048576,Manpower!$H$4:$H$1048576,"")</f>
        <v>Manpower</v>
      </c>
      <c r="I1111" s="42" t="str">
        <f>_xlfn.XLOOKUP(Table134526_79101120212223242526[[#This Row],[Name Surname]],Manpower!$C$4:$C$1048576,Manpower!$H$4:$H$1048576,"")</f>
        <v>Manpower</v>
      </c>
      <c r="J1111" s="43" t="s">
        <v>143</v>
      </c>
      <c r="K1111" s="43" t="s">
        <v>26</v>
      </c>
      <c r="L1111" s="43" t="s">
        <v>144</v>
      </c>
      <c r="M1111" s="43" t="s">
        <v>24</v>
      </c>
      <c r="N1111" s="44">
        <v>10</v>
      </c>
      <c r="O1111" s="43" t="s">
        <v>40</v>
      </c>
      <c r="P1111" s="43" t="s">
        <v>42</v>
      </c>
      <c r="Q1111" s="43" t="s">
        <v>42</v>
      </c>
      <c r="R1111" s="43" t="s">
        <v>260</v>
      </c>
      <c r="S1111" s="43"/>
    </row>
    <row r="1112" spans="1:19" s="45" customFormat="1" ht="14.4" hidden="1">
      <c r="A1112" s="25">
        <f>IF(C1112="","",MAX($A$1:A1111)+1)</f>
        <v>1067</v>
      </c>
      <c r="B1112" s="25" t="s">
        <v>141</v>
      </c>
      <c r="C1112" s="41">
        <v>46090</v>
      </c>
      <c r="D1112" s="48" t="str">
        <f>_xlfn.XLOOKUP(Table134526_79101120212223242526[[#This Row],[Name Surname]],Manpower!$C$4:$C$1048576,Manpower!$B$4:$B$1048576,"")</f>
        <v>Encogroup</v>
      </c>
      <c r="E1112" s="41" t="s">
        <v>224</v>
      </c>
      <c r="F1112" s="12">
        <f>_xlfn.XLOOKUP(Table134526_79101120212223242526[[#This Row],[Name Surname]],Manpower!C:C,Manpower!D:D,)</f>
        <v>141365094</v>
      </c>
      <c r="G1112" s="48" t="str">
        <f>_xlfn.XLOOKUP(Table134526_79101120212223242526[[#This Row],[Name Surname]],Manpower!$C$4:$C$1048576,Manpower!$F$4:$F$1048576,"")</f>
        <v>Helper</v>
      </c>
      <c r="H1112" s="48" t="str">
        <f>_xlfn.XLOOKUP(Table134526_79101120212223242526[[#This Row],[Name Surname]],Manpower!$C$4:$C$1048576,Manpower!$H$4:$H$1048576,"")</f>
        <v>Manpower</v>
      </c>
      <c r="I1112" s="42" t="str">
        <f>_xlfn.XLOOKUP(Table134526_79101120212223242526[[#This Row],[Name Surname]],Manpower!$C$4:$C$1048576,Manpower!$H$4:$H$1048576,"")</f>
        <v>Manpower</v>
      </c>
      <c r="J1112" s="43" t="s">
        <v>143</v>
      </c>
      <c r="K1112" s="43" t="s">
        <v>26</v>
      </c>
      <c r="L1112" s="43" t="s">
        <v>144</v>
      </c>
      <c r="M1112" s="43" t="s">
        <v>24</v>
      </c>
      <c r="N1112" s="44">
        <v>10</v>
      </c>
      <c r="O1112" s="43" t="s">
        <v>40</v>
      </c>
      <c r="P1112" s="43" t="s">
        <v>42</v>
      </c>
      <c r="Q1112" s="43" t="s">
        <v>42</v>
      </c>
      <c r="R1112" s="43" t="s">
        <v>260</v>
      </c>
      <c r="S1112" s="43"/>
    </row>
    <row r="1113" spans="1:19" s="45" customFormat="1" ht="14.4" hidden="1">
      <c r="A1113" s="25">
        <f>IF(C1113="","",MAX($A$1:A1112)+1)</f>
        <v>1068</v>
      </c>
      <c r="B1113" s="25" t="s">
        <v>141</v>
      </c>
      <c r="C1113" s="41">
        <v>46089</v>
      </c>
      <c r="D1113" s="48" t="str">
        <f>_xlfn.XLOOKUP(Table134526_79101120212223242526[[#This Row],[Name Surname]],Manpower!$C$4:$C$1048576,Manpower!$B$4:$B$1048576,"")</f>
        <v>Encogroup</v>
      </c>
      <c r="E1113" s="41" t="s">
        <v>264</v>
      </c>
      <c r="F1113" s="12">
        <f>_xlfn.XLOOKUP(Table134526_79101120212223242526[[#This Row],[Name Surname]],Manpower!C:C,Manpower!D:D,)</f>
        <v>141365061</v>
      </c>
      <c r="G1113" s="48" t="str">
        <f>_xlfn.XLOOKUP(Table134526_79101120212223242526[[#This Row],[Name Surname]],Manpower!$C$4:$C$1048576,Manpower!$F$4:$F$1048576,"")</f>
        <v>Helper</v>
      </c>
      <c r="H1113" s="48" t="str">
        <f>_xlfn.XLOOKUP(Table134526_79101120212223242526[[#This Row],[Name Surname]],Manpower!$C$4:$C$1048576,Manpower!$H$4:$H$1048576,"")</f>
        <v>Manpower</v>
      </c>
      <c r="I1113" s="42" t="str">
        <f>_xlfn.XLOOKUP(Table134526_79101120212223242526[[#This Row],[Name Surname]],Manpower!$C$4:$C$1048576,Manpower!$H$4:$H$1048576,"")</f>
        <v>Manpower</v>
      </c>
      <c r="J1113" s="43" t="s">
        <v>143</v>
      </c>
      <c r="K1113" s="43" t="s">
        <v>26</v>
      </c>
      <c r="L1113" s="43" t="s">
        <v>144</v>
      </c>
      <c r="M1113" s="43" t="s">
        <v>24</v>
      </c>
      <c r="N1113" s="44">
        <v>10</v>
      </c>
      <c r="O1113" s="43" t="s">
        <v>40</v>
      </c>
      <c r="P1113" s="43" t="s">
        <v>42</v>
      </c>
      <c r="Q1113" s="43" t="s">
        <v>42</v>
      </c>
      <c r="R1113" s="43" t="s">
        <v>260</v>
      </c>
      <c r="S1113" s="43"/>
    </row>
    <row r="1114" spans="1:19" s="45" customFormat="1" ht="14.4" hidden="1">
      <c r="A1114" s="25">
        <f>IF(C1114="","",MAX($A$1:A1112)+1)</f>
        <v>1068</v>
      </c>
      <c r="B1114" s="25" t="s">
        <v>141</v>
      </c>
      <c r="C1114" s="41">
        <v>46090</v>
      </c>
      <c r="D1114" s="48" t="str">
        <f>_xlfn.XLOOKUP(Table134526_79101120212223242526[[#This Row],[Name Surname]],Manpower!$C$4:$C$1048576,Manpower!$B$4:$B$1048576,"")</f>
        <v xml:space="preserve">FAL Transport </v>
      </c>
      <c r="E1114" s="41" t="s">
        <v>225</v>
      </c>
      <c r="F1114" s="12">
        <f>_xlfn.XLOOKUP(Table134526_79101120212223242526[[#This Row],[Name Surname]],Manpower!C:C,Manpower!D:D,)</f>
        <v>124233837</v>
      </c>
      <c r="G1114" s="48" t="str">
        <f>_xlfn.XLOOKUP(Table134526_79101120212223242526[[#This Row],[Name Surname]],Manpower!$C$4:$C$1048576,Manpower!$F$4:$F$1048576,"")</f>
        <v>Trailer Driver</v>
      </c>
      <c r="H1114" s="48" t="str">
        <f>_xlfn.XLOOKUP(Table134526_79101120212223242526[[#This Row],[Name Surname]],Manpower!$C$4:$C$1048576,Manpower!$H$4:$H$1048576,"")</f>
        <v>Sub Contactor</v>
      </c>
      <c r="I1114" s="42" t="str">
        <f>_xlfn.XLOOKUP(Table134526_79101120212223242526[[#This Row],[Name Surname]],Manpower!$C$4:$C$1048576,Manpower!$H$4:$H$1048576,"")</f>
        <v>Sub Contactor</v>
      </c>
      <c r="J1114" s="43" t="s">
        <v>143</v>
      </c>
      <c r="K1114" s="43" t="s">
        <v>26</v>
      </c>
      <c r="L1114" s="43" t="s">
        <v>144</v>
      </c>
      <c r="M1114" s="43" t="s">
        <v>24</v>
      </c>
      <c r="N1114" s="44">
        <v>8</v>
      </c>
      <c r="O1114" s="43" t="s">
        <v>40</v>
      </c>
      <c r="P1114" s="43" t="s">
        <v>42</v>
      </c>
      <c r="Q1114" s="43" t="s">
        <v>42</v>
      </c>
      <c r="R1114" s="43" t="s">
        <v>226</v>
      </c>
      <c r="S1114" s="43"/>
    </row>
    <row r="1115" spans="1:19" ht="14.4">
      <c r="A1115" s="33">
        <f>IF(C1115="","",MAX($A$1:A1114)+1)</f>
        <v>1069</v>
      </c>
      <c r="B1115" s="22" t="s">
        <v>19</v>
      </c>
      <c r="C1115" s="23">
        <v>46091</v>
      </c>
      <c r="D1115" s="28" t="str">
        <f>_xlfn.XLOOKUP(Table134526_79101120212223242526[[#This Row],[Name Surname]],Manpower!$C$4:$C$1048576,Manpower!$B$4:$B$1048576,"")</f>
        <v>Riyan Al Khaleej</v>
      </c>
      <c r="E1115" s="21" t="s">
        <v>20</v>
      </c>
      <c r="F1115" s="12" t="e">
        <f>_xlfn.XLOOKUP(Table134526_79101120212223242526[[#This Row],[Name Surname]],Manpower!C:C,Manpower!D:D,)</f>
        <v>#N/A</v>
      </c>
      <c r="G1115" s="28" t="str">
        <f>_xlfn.XLOOKUP(Table134526_79101120212223242526[[#This Row],[Name Surname]],Manpower!$C$4:$C$1048576,Manpower!$F$4:$F$1048576,"")</f>
        <v>100T Telescopic Crane</v>
      </c>
      <c r="H1115" s="28" t="str">
        <f>_xlfn.XLOOKUP(Table134526_79101120212223242526[[#This Row],[Name Surname]],Manpower!$C$4:$C$1048576,Manpower!$H$4:$H$1048576,"")</f>
        <v>Equipment</v>
      </c>
      <c r="I1115" s="24" t="str">
        <f>_xlfn.XLOOKUP(Table134526_79101120212223242526[[#This Row],[Name Surname]],Manpower!$C$4:$C$1048576,Manpower!$H$4:$H$1048576,"")</f>
        <v>Equipment</v>
      </c>
      <c r="J1115" s="21" t="s">
        <v>21</v>
      </c>
      <c r="K1115" s="21" t="s">
        <v>231</v>
      </c>
      <c r="L1115" s="21" t="s">
        <v>49</v>
      </c>
      <c r="M1115" s="21" t="s">
        <v>24</v>
      </c>
      <c r="N1115" s="29">
        <v>3</v>
      </c>
      <c r="O1115" s="21" t="s">
        <v>40</v>
      </c>
      <c r="P1115" s="21" t="s">
        <v>41</v>
      </c>
      <c r="Q1115" s="21" t="s">
        <v>42</v>
      </c>
      <c r="R1115" s="21" t="s">
        <v>265</v>
      </c>
    </row>
    <row r="1116" spans="1:19" s="45" customFormat="1" ht="14.4" hidden="1">
      <c r="A1116" s="25">
        <f>IF(C1116="","",MAX($A$1:A1115)+1)</f>
        <v>1070</v>
      </c>
      <c r="B1116" s="25" t="s">
        <v>19</v>
      </c>
      <c r="C1116" s="41">
        <v>46091</v>
      </c>
      <c r="D1116" s="48" t="str">
        <f>_xlfn.XLOOKUP(Table134526_79101120212223242526[[#This Row],[Name Surname]],Manpower!$C$4:$C$1048576,Manpower!$B$4:$B$1048576,"")</f>
        <v>Encogroup</v>
      </c>
      <c r="E1116" s="43" t="s">
        <v>27</v>
      </c>
      <c r="F1116" s="12">
        <f>_xlfn.XLOOKUP(Table134526_79101120212223242526[[#This Row],[Name Surname]],Manpower!C:C,Manpower!D:D,)</f>
        <v>127414586</v>
      </c>
      <c r="G1116" s="48" t="str">
        <f>_xlfn.XLOOKUP(Table134526_79101120212223242526[[#This Row],[Name Surname]],Manpower!$C$4:$C$1048576,Manpower!$F$4:$F$1048576,"")</f>
        <v>Electrician</v>
      </c>
      <c r="H1116" s="48" t="str">
        <f>_xlfn.XLOOKUP(Table134526_79101120212223242526[[#This Row],[Name Surname]],Manpower!$C$4:$C$1048576,Manpower!$H$4:$H$1048576,"")</f>
        <v>Manpower</v>
      </c>
      <c r="I1116" s="42" t="str">
        <f>_xlfn.XLOOKUP(Table134526_79101120212223242526[[#This Row],[Name Surname]],Manpower!$C$4:$C$1048576,Manpower!$H$4:$H$1048576,"")</f>
        <v>Manpower</v>
      </c>
      <c r="J1116" s="43" t="s">
        <v>21</v>
      </c>
      <c r="K1116" s="43" t="s">
        <v>231</v>
      </c>
      <c r="L1116" s="43" t="s">
        <v>49</v>
      </c>
      <c r="M1116" s="43" t="s">
        <v>24</v>
      </c>
      <c r="N1116" s="44">
        <v>5</v>
      </c>
      <c r="O1116" s="43" t="s">
        <v>25</v>
      </c>
      <c r="P1116" s="43" t="s">
        <v>41</v>
      </c>
      <c r="Q1116" s="43" t="s">
        <v>60</v>
      </c>
      <c r="R1116" s="43" t="s">
        <v>265</v>
      </c>
      <c r="S1116" s="43"/>
    </row>
    <row r="1117" spans="1:19" s="45" customFormat="1" ht="14.4" hidden="1">
      <c r="A1117" s="25">
        <f>IF(C1117="","",MAX($A$1:A1116)+1)</f>
        <v>1071</v>
      </c>
      <c r="B1117" s="25" t="s">
        <v>19</v>
      </c>
      <c r="C1117" s="41">
        <v>46091</v>
      </c>
      <c r="D1117" s="48" t="str">
        <f>_xlfn.XLOOKUP(Table134526_79101120212223242526[[#This Row],[Name Surname]],Manpower!$C$4:$C$1048576,Manpower!$B$4:$B$1048576,"")</f>
        <v>Encogroup</v>
      </c>
      <c r="E1117" s="43" t="s">
        <v>29</v>
      </c>
      <c r="F1117" s="12">
        <f>_xlfn.XLOOKUP(Table134526_79101120212223242526[[#This Row],[Name Surname]],Manpower!C:C,Manpower!D:D,)</f>
        <v>127331574</v>
      </c>
      <c r="G1117" s="48" t="str">
        <f>_xlfn.XLOOKUP(Table134526_79101120212223242526[[#This Row],[Name Surname]],Manpower!$C$4:$C$1048576,Manpower!$F$4:$F$1048576,"")</f>
        <v>Permit Receiver</v>
      </c>
      <c r="H1117" s="48" t="str">
        <f>_xlfn.XLOOKUP(Table134526_79101120212223242526[[#This Row],[Name Surname]],Manpower!$C$4:$C$1048576,Manpower!$H$4:$H$1048576,"")</f>
        <v>Manpower</v>
      </c>
      <c r="I1117" s="42" t="str">
        <f>_xlfn.XLOOKUP(Table134526_79101120212223242526[[#This Row],[Name Surname]],Manpower!$C$4:$C$1048576,Manpower!$H$4:$H$1048576,"")</f>
        <v>Manpower</v>
      </c>
      <c r="J1117" s="43" t="s">
        <v>21</v>
      </c>
      <c r="K1117" s="43" t="s">
        <v>231</v>
      </c>
      <c r="L1117" s="43" t="s">
        <v>49</v>
      </c>
      <c r="M1117" s="43" t="s">
        <v>24</v>
      </c>
      <c r="N1117" s="44">
        <v>10</v>
      </c>
      <c r="O1117" s="43" t="s">
        <v>25</v>
      </c>
      <c r="P1117" s="43" t="s">
        <v>41</v>
      </c>
      <c r="Q1117" s="43" t="s">
        <v>60</v>
      </c>
      <c r="R1117" s="43" t="s">
        <v>265</v>
      </c>
      <c r="S1117" s="43"/>
    </row>
    <row r="1118" spans="1:19" s="45" customFormat="1" ht="14.4" hidden="1">
      <c r="A1118" s="25">
        <f>IF(C1118="","",MAX($A$1:A1117)+1)</f>
        <v>1072</v>
      </c>
      <c r="B1118" s="25" t="s">
        <v>19</v>
      </c>
      <c r="C1118" s="41">
        <v>46091</v>
      </c>
      <c r="D1118" s="48" t="str">
        <f>_xlfn.XLOOKUP(Table134526_79101120212223242526[[#This Row],[Name Surname]],Manpower!$C$4:$C$1048576,Manpower!$B$4:$B$1048576,"")</f>
        <v>Encogroup</v>
      </c>
      <c r="E1118" s="43" t="s">
        <v>30</v>
      </c>
      <c r="F1118" s="12">
        <f>_xlfn.XLOOKUP(Table134526_79101120212223242526[[#This Row],[Name Surname]],Manpower!C:C,Manpower!D:D,)</f>
        <v>116589569</v>
      </c>
      <c r="G1118" s="48" t="str">
        <f>_xlfn.XLOOKUP(Table134526_79101120212223242526[[#This Row],[Name Surname]],Manpower!$C$4:$C$1048576,Manpower!$F$4:$F$1048576,"")</f>
        <v>Mechanical Engineer</v>
      </c>
      <c r="H1118" s="48" t="str">
        <f>_xlfn.XLOOKUP(Table134526_79101120212223242526[[#This Row],[Name Surname]],Manpower!$C$4:$C$1048576,Manpower!$H$4:$H$1048576,"")</f>
        <v>Manpower</v>
      </c>
      <c r="I1118" s="42" t="str">
        <f>_xlfn.XLOOKUP(Table134526_79101120212223242526[[#This Row],[Name Surname]],Manpower!$C$4:$C$1048576,Manpower!$H$4:$H$1048576,"")</f>
        <v>Manpower</v>
      </c>
      <c r="J1118" s="43" t="s">
        <v>21</v>
      </c>
      <c r="K1118" s="43" t="s">
        <v>231</v>
      </c>
      <c r="L1118" s="43" t="s">
        <v>49</v>
      </c>
      <c r="M1118" s="43" t="s">
        <v>24</v>
      </c>
      <c r="N1118" s="44">
        <v>10</v>
      </c>
      <c r="O1118" s="43" t="s">
        <v>25</v>
      </c>
      <c r="P1118" s="43" t="s">
        <v>41</v>
      </c>
      <c r="Q1118" s="43" t="s">
        <v>60</v>
      </c>
      <c r="R1118" s="43" t="s">
        <v>265</v>
      </c>
      <c r="S1118" s="43"/>
    </row>
    <row r="1119" spans="1:19" ht="14.4" hidden="1">
      <c r="A1119" s="33">
        <f>IF(C1119="","",MAX($A$1:A1118)+1)</f>
        <v>1073</v>
      </c>
      <c r="B1119" s="22" t="s">
        <v>19</v>
      </c>
      <c r="C1119" s="23">
        <v>46091</v>
      </c>
      <c r="D1119" s="28" t="str">
        <f>_xlfn.XLOOKUP(Table134526_79101120212223242526[[#This Row],[Name Surname]],Manpower!$C$4:$C$1048576,Manpower!$B$4:$B$1048576,"")</f>
        <v>Encogroup</v>
      </c>
      <c r="E1119" s="21" t="s">
        <v>31</v>
      </c>
      <c r="F1119" s="12">
        <f>_xlfn.XLOOKUP(Table134526_79101120212223242526[[#This Row],[Name Surname]],Manpower!C:C,Manpower!D:D,)</f>
        <v>99596058</v>
      </c>
      <c r="G1119" s="28" t="str">
        <f>_xlfn.XLOOKUP(Table134526_79101120212223242526[[#This Row],[Name Surname]],Manpower!$C$4:$C$1048576,Manpower!$F$4:$F$1048576,"")</f>
        <v>HSE Officer</v>
      </c>
      <c r="H1119" s="28" t="str">
        <f>_xlfn.XLOOKUP(Table134526_79101120212223242526[[#This Row],[Name Surname]],Manpower!$C$4:$C$1048576,Manpower!$H$4:$H$1048576,"")</f>
        <v>Manpower</v>
      </c>
      <c r="I1119" s="24" t="str">
        <f>_xlfn.XLOOKUP(Table134526_79101120212223242526[[#This Row],[Name Surname]],Manpower!$C$4:$C$1048576,Manpower!$H$4:$H$1048576,"")</f>
        <v>Manpower</v>
      </c>
      <c r="J1119" s="21" t="s">
        <v>21</v>
      </c>
      <c r="K1119" s="21" t="s">
        <v>231</v>
      </c>
      <c r="L1119" s="21" t="s">
        <v>49</v>
      </c>
      <c r="M1119" s="21" t="s">
        <v>24</v>
      </c>
      <c r="N1119" s="29">
        <v>10</v>
      </c>
      <c r="O1119" s="21" t="s">
        <v>25</v>
      </c>
      <c r="P1119" s="21" t="s">
        <v>41</v>
      </c>
      <c r="Q1119" s="21" t="s">
        <v>60</v>
      </c>
      <c r="R1119" s="21" t="s">
        <v>265</v>
      </c>
    </row>
    <row r="1120" spans="1:19" s="45" customFormat="1" ht="14.4" hidden="1">
      <c r="A1120" s="25">
        <f>IF(C1120="","",MAX($A$1:A1119)+1)</f>
        <v>1074</v>
      </c>
      <c r="B1120" s="25" t="s">
        <v>19</v>
      </c>
      <c r="C1120" s="41">
        <v>46091</v>
      </c>
      <c r="D1120" s="48" t="str">
        <f>_xlfn.XLOOKUP(Table134526_79101120212223242526[[#This Row],[Name Surname]],Manpower!$C$4:$C$1048576,Manpower!$B$4:$B$1048576,"")</f>
        <v>Encogroup</v>
      </c>
      <c r="E1120" s="43" t="s">
        <v>72</v>
      </c>
      <c r="F1120" s="12">
        <f>_xlfn.XLOOKUP(Table134526_79101120212223242526[[#This Row],[Name Surname]],Manpower!C:C,Manpower!D:D,)</f>
        <v>140764706</v>
      </c>
      <c r="G1120" s="48" t="str">
        <f>_xlfn.XLOOKUP(Table134526_79101120212223242526[[#This Row],[Name Surname]],Manpower!$C$4:$C$1048576,Manpower!$F$4:$F$1048576,"")</f>
        <v>Rigger</v>
      </c>
      <c r="H1120" s="48" t="str">
        <f>_xlfn.XLOOKUP(Table134526_79101120212223242526[[#This Row],[Name Surname]],Manpower!$C$4:$C$1048576,Manpower!$H$4:$H$1048576,"")</f>
        <v>Manpower</v>
      </c>
      <c r="I1120" s="42" t="str">
        <f>_xlfn.XLOOKUP(Table134526_79101120212223242526[[#This Row],[Name Surname]],Manpower!$C$4:$C$1048576,Manpower!$H$4:$H$1048576,"")</f>
        <v>Manpower</v>
      </c>
      <c r="J1120" s="43" t="s">
        <v>21</v>
      </c>
      <c r="K1120" s="43" t="s">
        <v>231</v>
      </c>
      <c r="L1120" s="43" t="s">
        <v>49</v>
      </c>
      <c r="M1120" s="43" t="s">
        <v>24</v>
      </c>
      <c r="N1120" s="44">
        <v>10</v>
      </c>
      <c r="O1120" s="43" t="s">
        <v>25</v>
      </c>
      <c r="P1120" s="43" t="s">
        <v>41</v>
      </c>
      <c r="Q1120" s="43" t="s">
        <v>60</v>
      </c>
      <c r="R1120" s="43" t="s">
        <v>265</v>
      </c>
      <c r="S1120" s="43"/>
    </row>
    <row r="1121" spans="1:19" s="45" customFormat="1" ht="14.4" hidden="1">
      <c r="A1121" s="25">
        <f>IF(C1121="","",MAX($A$1:A1120)+1)</f>
        <v>1075</v>
      </c>
      <c r="B1121" s="25" t="s">
        <v>19</v>
      </c>
      <c r="C1121" s="41">
        <v>46091</v>
      </c>
      <c r="D1121" s="48" t="str">
        <f>_xlfn.XLOOKUP(Table134526_79101120212223242526[[#This Row],[Name Surname]],Manpower!$C$4:$C$1048576,Manpower!$B$4:$B$1048576,"")</f>
        <v>Encogroup</v>
      </c>
      <c r="E1121" s="43" t="s">
        <v>59</v>
      </c>
      <c r="F1121" s="12">
        <f>_xlfn.XLOOKUP(Table134526_79101120212223242526[[#This Row],[Name Surname]],Manpower!C:C,Manpower!D:D,)</f>
        <v>141169085</v>
      </c>
      <c r="G1121" s="48" t="str">
        <f>_xlfn.XLOOKUP(Table134526_79101120212223242526[[#This Row],[Name Surname]],Manpower!$C$4:$C$1048576,Manpower!$F$4:$F$1048576,"")</f>
        <v>Welder</v>
      </c>
      <c r="H1121" s="48" t="str">
        <f>_xlfn.XLOOKUP(Table134526_79101120212223242526[[#This Row],[Name Surname]],Manpower!$C$4:$C$1048576,Manpower!$H$4:$H$1048576,"")</f>
        <v>Manpower</v>
      </c>
      <c r="I1121" s="42" t="str">
        <f>_xlfn.XLOOKUP(Table134526_79101120212223242526[[#This Row],[Name Surname]],Manpower!$C$4:$C$1048576,Manpower!$H$4:$H$1048576,"")</f>
        <v>Manpower</v>
      </c>
      <c r="J1121" s="43" t="s">
        <v>21</v>
      </c>
      <c r="K1121" s="43" t="s">
        <v>231</v>
      </c>
      <c r="L1121" s="43" t="s">
        <v>49</v>
      </c>
      <c r="M1121" s="43" t="s">
        <v>24</v>
      </c>
      <c r="N1121" s="44">
        <v>5</v>
      </c>
      <c r="O1121" s="43" t="s">
        <v>25</v>
      </c>
      <c r="P1121" s="43" t="s">
        <v>41</v>
      </c>
      <c r="Q1121" s="43" t="s">
        <v>60</v>
      </c>
      <c r="R1121" s="43" t="s">
        <v>265</v>
      </c>
      <c r="S1121" s="43"/>
    </row>
    <row r="1122" spans="1:19" s="45" customFormat="1" ht="14.4" hidden="1">
      <c r="A1122" s="25">
        <f>IF(C1122="","",MAX($A$1:A1121)+1)</f>
        <v>1076</v>
      </c>
      <c r="B1122" s="25" t="s">
        <v>19</v>
      </c>
      <c r="C1122" s="41">
        <v>46091</v>
      </c>
      <c r="D1122" s="48" t="str">
        <f>_xlfn.XLOOKUP(Table134526_79101120212223242526[[#This Row],[Name Surname]],Manpower!$C$4:$C$1048576,Manpower!$B$4:$B$1048576,"")</f>
        <v>Encogroup</v>
      </c>
      <c r="E1122" s="43" t="s">
        <v>61</v>
      </c>
      <c r="F1122" s="12">
        <f>_xlfn.XLOOKUP(Table134526_79101120212223242526[[#This Row],[Name Surname]],Manpower!C:C,Manpower!D:D,)</f>
        <v>141169047</v>
      </c>
      <c r="G1122" s="48" t="str">
        <f>_xlfn.XLOOKUP(Table134526_79101120212223242526[[#This Row],[Name Surname]],Manpower!$C$4:$C$1048576,Manpower!$F$4:$F$1048576,"")</f>
        <v>Welder</v>
      </c>
      <c r="H1122" s="48" t="str">
        <f>_xlfn.XLOOKUP(Table134526_79101120212223242526[[#This Row],[Name Surname]],Manpower!$C$4:$C$1048576,Manpower!$H$4:$H$1048576,"")</f>
        <v>Manpower</v>
      </c>
      <c r="I1122" s="42" t="str">
        <f>_xlfn.XLOOKUP(Table134526_79101120212223242526[[#This Row],[Name Surname]],Manpower!$C$4:$C$1048576,Manpower!$H$4:$H$1048576,"")</f>
        <v>Manpower</v>
      </c>
      <c r="J1122" s="43" t="s">
        <v>21</v>
      </c>
      <c r="K1122" s="43" t="s">
        <v>231</v>
      </c>
      <c r="L1122" s="43" t="s">
        <v>49</v>
      </c>
      <c r="M1122" s="43" t="s">
        <v>24</v>
      </c>
      <c r="N1122" s="44">
        <v>5</v>
      </c>
      <c r="O1122" s="43" t="s">
        <v>25</v>
      </c>
      <c r="P1122" s="43" t="s">
        <v>41</v>
      </c>
      <c r="Q1122" s="43" t="s">
        <v>60</v>
      </c>
      <c r="R1122" s="43" t="s">
        <v>265</v>
      </c>
      <c r="S1122" s="43"/>
    </row>
    <row r="1123" spans="1:19" s="45" customFormat="1" ht="14.4" hidden="1">
      <c r="A1123" s="25">
        <f>IF(C1123="","",MAX($A$1:A1122)+1)</f>
        <v>1077</v>
      </c>
      <c r="B1123" s="25" t="s">
        <v>19</v>
      </c>
      <c r="C1123" s="41">
        <v>46091</v>
      </c>
      <c r="D1123" s="48" t="str">
        <f>_xlfn.XLOOKUP(Table134526_79101120212223242526[[#This Row],[Name Surname]],Manpower!$C$4:$C$1048576,Manpower!$B$4:$B$1048576,"")</f>
        <v>Encogroup</v>
      </c>
      <c r="E1123" s="43" t="s">
        <v>32</v>
      </c>
      <c r="F1123" s="12">
        <f>_xlfn.XLOOKUP(Table134526_79101120212223242526[[#This Row],[Name Surname]],Manpower!C:C,Manpower!D:D,)</f>
        <v>140697039</v>
      </c>
      <c r="G1123" s="48" t="str">
        <f>_xlfn.XLOOKUP(Table134526_79101120212223242526[[#This Row],[Name Surname]],Manpower!$C$4:$C$1048576,Manpower!$F$4:$F$1048576,"")</f>
        <v>Fitter/Erector</v>
      </c>
      <c r="H1123" s="48" t="str">
        <f>_xlfn.XLOOKUP(Table134526_79101120212223242526[[#This Row],[Name Surname]],Manpower!$C$4:$C$1048576,Manpower!$H$4:$H$1048576,"")</f>
        <v>Manpower</v>
      </c>
      <c r="I1123" s="42" t="str">
        <f>_xlfn.XLOOKUP(Table134526_79101120212223242526[[#This Row],[Name Surname]],Manpower!$C$4:$C$1048576,Manpower!$H$4:$H$1048576,"")</f>
        <v>Manpower</v>
      </c>
      <c r="J1123" s="43" t="s">
        <v>21</v>
      </c>
      <c r="K1123" s="43" t="s">
        <v>231</v>
      </c>
      <c r="L1123" s="43" t="s">
        <v>49</v>
      </c>
      <c r="M1123" s="43" t="s">
        <v>24</v>
      </c>
      <c r="N1123" s="44">
        <v>10</v>
      </c>
      <c r="O1123" s="43" t="s">
        <v>25</v>
      </c>
      <c r="P1123" s="43" t="s">
        <v>41</v>
      </c>
      <c r="Q1123" s="43" t="s">
        <v>60</v>
      </c>
      <c r="R1123" s="43" t="s">
        <v>265</v>
      </c>
      <c r="S1123" s="43"/>
    </row>
    <row r="1124" spans="1:19" s="45" customFormat="1" ht="14.4" hidden="1">
      <c r="A1124" s="25">
        <f>IF(C1124="","",MAX($A$1:A1123)+1)</f>
        <v>1078</v>
      </c>
      <c r="B1124" s="25" t="s">
        <v>19</v>
      </c>
      <c r="C1124" s="41">
        <v>46091</v>
      </c>
      <c r="D1124" s="48" t="str">
        <f>_xlfn.XLOOKUP(Table134526_79101120212223242526[[#This Row],[Name Surname]],Manpower!$C$4:$C$1048576,Manpower!$B$4:$B$1048576,"")</f>
        <v>AL Omar International TRAD AND CONT</v>
      </c>
      <c r="E1124" s="43" t="s">
        <v>36</v>
      </c>
      <c r="F1124" s="12">
        <f>_xlfn.XLOOKUP(Table134526_79101120212223242526[[#This Row],[Name Surname]],Manpower!C:C,Manpower!D:D,)</f>
        <v>114929202</v>
      </c>
      <c r="G1124" s="48" t="str">
        <f>_xlfn.XLOOKUP(Table134526_79101120212223242526[[#This Row],[Name Surname]],Manpower!$C$4:$C$1048576,Manpower!$F$4:$F$1048576,"")</f>
        <v>RIgger</v>
      </c>
      <c r="H1124" s="48" t="str">
        <f>_xlfn.XLOOKUP(Table134526_79101120212223242526[[#This Row],[Name Surname]],Manpower!$C$4:$C$1048576,Manpower!$H$4:$H$1048576,"")</f>
        <v>Sub Contactor</v>
      </c>
      <c r="I1124" s="42" t="str">
        <f>_xlfn.XLOOKUP(Table134526_79101120212223242526[[#This Row],[Name Surname]],Manpower!$C$4:$C$1048576,Manpower!$H$4:$H$1048576,"")</f>
        <v>Sub Contactor</v>
      </c>
      <c r="J1124" s="43" t="s">
        <v>21</v>
      </c>
      <c r="K1124" s="43" t="s">
        <v>231</v>
      </c>
      <c r="L1124" s="43" t="s">
        <v>49</v>
      </c>
      <c r="M1124" s="43" t="s">
        <v>24</v>
      </c>
      <c r="N1124" s="44">
        <v>8</v>
      </c>
      <c r="O1124" s="43" t="s">
        <v>25</v>
      </c>
      <c r="P1124" s="43" t="s">
        <v>41</v>
      </c>
      <c r="Q1124" s="43" t="s">
        <v>60</v>
      </c>
      <c r="R1124" s="43" t="s">
        <v>265</v>
      </c>
      <c r="S1124" s="43"/>
    </row>
    <row r="1125" spans="1:19" s="45" customFormat="1" ht="15" hidden="1" customHeight="1">
      <c r="A1125" s="25">
        <f>IF(C1125="","",MAX($A$1:A1124)+1)</f>
        <v>1079</v>
      </c>
      <c r="B1125" s="25" t="s">
        <v>19</v>
      </c>
      <c r="C1125" s="41">
        <v>46091</v>
      </c>
      <c r="D1125" s="48" t="str">
        <f>_xlfn.XLOOKUP(Table134526_79101120212223242526[[#This Row],[Name Surname]],Manpower!$C$4:$C$1048576,Manpower!$B$4:$B$1048576,"")</f>
        <v>Encogroup</v>
      </c>
      <c r="E1125" s="43" t="s">
        <v>37</v>
      </c>
      <c r="F1125" s="12">
        <f>_xlfn.XLOOKUP(Table134526_79101120212223242526[[#This Row],[Name Surname]],Manpower!C:C,Manpower!D:D,)</f>
        <v>140742088</v>
      </c>
      <c r="G1125" s="48" t="str">
        <f>_xlfn.XLOOKUP(Table134526_79101120212223242526[[#This Row],[Name Surname]],Manpower!$C$4:$C$1048576,Manpower!$F$4:$F$1048576,"")</f>
        <v>Fitter/Erector</v>
      </c>
      <c r="H1125" s="48" t="str">
        <f>_xlfn.XLOOKUP(Table134526_79101120212223242526[[#This Row],[Name Surname]],Manpower!$C$4:$C$1048576,Manpower!$H$4:$H$1048576,"")</f>
        <v>Manpower</v>
      </c>
      <c r="I1125" s="42" t="str">
        <f>_xlfn.XLOOKUP(Table134526_79101120212223242526[[#This Row],[Name Surname]],Manpower!$C$4:$C$1048576,Manpower!$H$4:$H$1048576,"")</f>
        <v>Manpower</v>
      </c>
      <c r="J1125" s="43" t="s">
        <v>21</v>
      </c>
      <c r="K1125" s="43" t="s">
        <v>231</v>
      </c>
      <c r="L1125" s="43" t="s">
        <v>49</v>
      </c>
      <c r="M1125" s="43" t="s">
        <v>24</v>
      </c>
      <c r="N1125" s="44">
        <v>10</v>
      </c>
      <c r="O1125" s="43" t="s">
        <v>25</v>
      </c>
      <c r="P1125" s="43" t="s">
        <v>41</v>
      </c>
      <c r="Q1125" s="43" t="s">
        <v>60</v>
      </c>
      <c r="R1125" s="43" t="s">
        <v>265</v>
      </c>
      <c r="S1125" s="43"/>
    </row>
    <row r="1126" spans="1:19" s="45" customFormat="1" ht="14.4" hidden="1">
      <c r="A1126" s="25">
        <f>IF(C1126="","",MAX($A$1:A1125)+1)</f>
        <v>1080</v>
      </c>
      <c r="B1126" s="25" t="s">
        <v>19</v>
      </c>
      <c r="C1126" s="41">
        <v>46091</v>
      </c>
      <c r="D1126" s="48" t="str">
        <f>_xlfn.XLOOKUP(Table134526_79101120212223242526[[#This Row],[Name Surname]],Manpower!$C$4:$C$1048576,Manpower!$B$4:$B$1048576,"")</f>
        <v>AL Saif &amp; Al QALLM ENT LLC</v>
      </c>
      <c r="E1126" s="43" t="s">
        <v>194</v>
      </c>
      <c r="F1126" s="12">
        <f>_xlfn.XLOOKUP(Table134526_79101120212223242526[[#This Row],[Name Surname]],Manpower!C:C,Manpower!D:D,)</f>
        <v>135340657</v>
      </c>
      <c r="G1126" s="48" t="str">
        <f>_xlfn.XLOOKUP(Table134526_79101120212223242526[[#This Row],[Name Surname]],Manpower!$C$4:$C$1048576,Manpower!$F$4:$F$1048576,"")</f>
        <v>Forklift Operator</v>
      </c>
      <c r="H1126" s="48" t="str">
        <f>_xlfn.XLOOKUP(Table134526_79101120212223242526[[#This Row],[Name Surname]],Manpower!$C$4:$C$1048576,Manpower!$H$4:$H$1048576,"")</f>
        <v>Sub Contactor</v>
      </c>
      <c r="I1126" s="42" t="str">
        <f>_xlfn.XLOOKUP(Table134526_79101120212223242526[[#This Row],[Name Surname]],Manpower!$C$4:$C$1048576,Manpower!$H$4:$H$1048576,"")</f>
        <v>Sub Contactor</v>
      </c>
      <c r="J1126" s="43" t="s">
        <v>21</v>
      </c>
      <c r="K1126" s="43" t="s">
        <v>231</v>
      </c>
      <c r="L1126" s="43" t="s">
        <v>49</v>
      </c>
      <c r="M1126" s="43" t="s">
        <v>24</v>
      </c>
      <c r="N1126" s="44">
        <v>10</v>
      </c>
      <c r="O1126" s="43" t="s">
        <v>25</v>
      </c>
      <c r="P1126" s="43" t="s">
        <v>41</v>
      </c>
      <c r="Q1126" s="43" t="s">
        <v>60</v>
      </c>
      <c r="R1126" s="43" t="s">
        <v>265</v>
      </c>
      <c r="S1126" s="43"/>
    </row>
    <row r="1127" spans="1:19" s="45" customFormat="1" ht="14.4" hidden="1">
      <c r="A1127" s="25">
        <f>IF(C1127="","",MAX($A$1:A1125)+1)</f>
        <v>1080</v>
      </c>
      <c r="B1127" s="25" t="s">
        <v>19</v>
      </c>
      <c r="C1127" s="41">
        <v>46091</v>
      </c>
      <c r="D1127" s="48" t="str">
        <f>_xlfn.XLOOKUP(Table134526_79101120212223242526[[#This Row],[Name Surname]],Manpower!$C$4:$C$1048576,Manpower!$B$4:$B$1048576,"")</f>
        <v>Rial Al Khaleej</v>
      </c>
      <c r="E1127" s="43" t="s">
        <v>38</v>
      </c>
      <c r="F1127" s="12">
        <f>_xlfn.XLOOKUP(Table134526_79101120212223242526[[#This Row],[Name Surname]],Manpower!C:C,Manpower!D:D,)</f>
        <v>98845403</v>
      </c>
      <c r="G1127" s="48" t="str">
        <f>_xlfn.XLOOKUP(Table134526_79101120212223242526[[#This Row],[Name Surname]],Manpower!$C$4:$C$1048576,Manpower!$F$4:$F$1048576,"")</f>
        <v>Crane Operator-100T Zoomlion Telescopic</v>
      </c>
      <c r="H1127" s="48" t="str">
        <f>_xlfn.XLOOKUP(Table134526_79101120212223242526[[#This Row],[Name Surname]],Manpower!$C$4:$C$1048576,Manpower!$H$4:$H$1048576,"")</f>
        <v>Manpower</v>
      </c>
      <c r="I1127" s="42" t="str">
        <f>_xlfn.XLOOKUP(Table134526_79101120212223242526[[#This Row],[Name Surname]],Manpower!$C$4:$C$1048576,Manpower!$H$4:$H$1048576,"")</f>
        <v>Manpower</v>
      </c>
      <c r="J1127" s="43" t="s">
        <v>21</v>
      </c>
      <c r="K1127" s="43" t="s">
        <v>231</v>
      </c>
      <c r="L1127" s="43" t="s">
        <v>49</v>
      </c>
      <c r="M1127" s="43" t="s">
        <v>24</v>
      </c>
      <c r="N1127" s="44">
        <v>3</v>
      </c>
      <c r="O1127" s="43" t="s">
        <v>40</v>
      </c>
      <c r="P1127" s="43" t="s">
        <v>41</v>
      </c>
      <c r="Q1127" s="43" t="s">
        <v>42</v>
      </c>
      <c r="R1127" s="43" t="s">
        <v>265</v>
      </c>
      <c r="S1127" s="43"/>
    </row>
    <row r="1128" spans="1:19" s="45" customFormat="1" ht="14.4" hidden="1">
      <c r="A1128" s="25">
        <f>IF(C1128="","",MAX($A$1:A1127)+1)</f>
        <v>1081</v>
      </c>
      <c r="B1128" s="25" t="s">
        <v>19</v>
      </c>
      <c r="C1128" s="41">
        <v>46091</v>
      </c>
      <c r="D1128" s="48" t="str">
        <f>_xlfn.XLOOKUP(Table134526_79101120212223242526[[#This Row],[Name Surname]],Manpower!$C$4:$C$1048576,Manpower!$B$4:$B$1048576,"")</f>
        <v>SARENS NASS</v>
      </c>
      <c r="E1128" s="71" t="s">
        <v>266</v>
      </c>
      <c r="F1128" s="12">
        <f>_xlfn.XLOOKUP(Table134526_79101120212223242526[[#This Row],[Name Surname]],Manpower!C:C,Manpower!D:D,)</f>
        <v>14552941</v>
      </c>
      <c r="G1128" s="48" t="str">
        <f>_xlfn.XLOOKUP(Table134526_79101120212223242526[[#This Row],[Name Surname]],Manpower!$C$4:$C$1048576,Manpower!$F$4:$F$1048576,"")</f>
        <v>Crane Operator- 70T Hitachi Crawler crane</v>
      </c>
      <c r="H1128" s="48" t="str">
        <f>_xlfn.XLOOKUP(Table134526_79101120212223242526[[#This Row],[Name Surname]],Manpower!$C$4:$C$1048576,Manpower!$H$4:$H$1048576,"")</f>
        <v>Manpower</v>
      </c>
      <c r="I1128" s="42" t="str">
        <f>_xlfn.XLOOKUP(Table134526_79101120212223242526[[#This Row],[Name Surname]],Manpower!$C$4:$C$1048576,Manpower!$H$4:$H$1048576,"")</f>
        <v>Manpower</v>
      </c>
      <c r="J1128" s="43" t="s">
        <v>21</v>
      </c>
      <c r="K1128" s="43" t="s">
        <v>231</v>
      </c>
      <c r="L1128" s="43" t="s">
        <v>49</v>
      </c>
      <c r="M1128" s="43" t="s">
        <v>24</v>
      </c>
      <c r="N1128" s="44">
        <v>8</v>
      </c>
      <c r="O1128" s="43" t="s">
        <v>40</v>
      </c>
      <c r="P1128" s="43" t="s">
        <v>41</v>
      </c>
      <c r="Q1128" s="43" t="s">
        <v>42</v>
      </c>
      <c r="R1128" s="43" t="s">
        <v>265</v>
      </c>
      <c r="S1128" s="43"/>
    </row>
    <row r="1129" spans="1:19" s="45" customFormat="1" ht="14.4" hidden="1">
      <c r="A1129" s="25">
        <f>IF(C1129="","",MAX($A$1:A1127)+1)</f>
        <v>1081</v>
      </c>
      <c r="B1129" s="25" t="s">
        <v>19</v>
      </c>
      <c r="C1129" s="41">
        <v>46091</v>
      </c>
      <c r="D1129" s="48" t="str">
        <f>_xlfn.XLOOKUP(Table134526_79101120212223242526[[#This Row],[Name Surname]],Manpower!$C$4:$C$1048576,Manpower!$B$4:$B$1048576,"")</f>
        <v>Encogroup</v>
      </c>
      <c r="E1129" s="43" t="s">
        <v>44</v>
      </c>
      <c r="F1129" s="12">
        <f>_xlfn.XLOOKUP(Table134526_79101120212223242526[[#This Row],[Name Surname]],Manpower!C:C,Manpower!D:D,)</f>
        <v>140806218</v>
      </c>
      <c r="G1129" s="48" t="str">
        <f>_xlfn.XLOOKUP(Table134526_79101120212223242526[[#This Row],[Name Surname]],Manpower!$C$4:$C$1048576,Manpower!$F$4:$F$1048576,"")</f>
        <v>Fitter/Erector</v>
      </c>
      <c r="H1129" s="48" t="str">
        <f>_xlfn.XLOOKUP(Table134526_79101120212223242526[[#This Row],[Name Surname]],Manpower!$C$4:$C$1048576,Manpower!$H$4:$H$1048576,"")</f>
        <v>Manpower</v>
      </c>
      <c r="I1129" s="42" t="str">
        <f>_xlfn.XLOOKUP(Table134526_79101120212223242526[[#This Row],[Name Surname]],Manpower!$C$4:$C$1048576,Manpower!$H$4:$H$1048576,"")</f>
        <v>Manpower</v>
      </c>
      <c r="J1129" s="43" t="s">
        <v>21</v>
      </c>
      <c r="K1129" s="43" t="s">
        <v>231</v>
      </c>
      <c r="L1129" s="43" t="s">
        <v>49</v>
      </c>
      <c r="M1129" s="43" t="s">
        <v>24</v>
      </c>
      <c r="N1129" s="44">
        <v>10</v>
      </c>
      <c r="O1129" s="43" t="s">
        <v>25</v>
      </c>
      <c r="P1129" s="43" t="s">
        <v>41</v>
      </c>
      <c r="Q1129" s="43" t="s">
        <v>60</v>
      </c>
      <c r="R1129" s="43" t="s">
        <v>265</v>
      </c>
      <c r="S1129" s="43"/>
    </row>
    <row r="1130" spans="1:19" s="45" customFormat="1" ht="14.4" hidden="1">
      <c r="A1130" s="25">
        <f>IF(C1130="","",MAX($A$1:A1129)+1)</f>
        <v>1082</v>
      </c>
      <c r="B1130" s="25" t="s">
        <v>19</v>
      </c>
      <c r="C1130" s="41">
        <v>46091</v>
      </c>
      <c r="D1130" s="48" t="str">
        <f>_xlfn.XLOOKUP(Table134526_79101120212223242526[[#This Row],[Name Surname]],Manpower!$C$4:$C$1048576,Manpower!$B$4:$B$1048576,"")</f>
        <v>Encogroup</v>
      </c>
      <c r="E1130" s="43" t="s">
        <v>46</v>
      </c>
      <c r="F1130" s="12">
        <f>_xlfn.XLOOKUP(Table134526_79101120212223242526[[#This Row],[Name Surname]],Manpower!C:C,Manpower!D:D,)</f>
        <v>140844618</v>
      </c>
      <c r="G1130" s="48" t="str">
        <f>_xlfn.XLOOKUP(Table134526_79101120212223242526[[#This Row],[Name Surname]],Manpower!$C$4:$C$1048576,Manpower!$F$4:$F$1048576,"")</f>
        <v>Assistant/Helper</v>
      </c>
      <c r="H1130" s="48" t="str">
        <f>_xlfn.XLOOKUP(Table134526_79101120212223242526[[#This Row],[Name Surname]],Manpower!$C$4:$C$1048576,Manpower!$H$4:$H$1048576,"")</f>
        <v>Manpower</v>
      </c>
      <c r="I1130" s="42" t="str">
        <f>_xlfn.XLOOKUP(Table134526_79101120212223242526[[#This Row],[Name Surname]],Manpower!$C$4:$C$1048576,Manpower!$H$4:$H$1048576,"")</f>
        <v>Manpower</v>
      </c>
      <c r="J1130" s="43" t="s">
        <v>21</v>
      </c>
      <c r="K1130" s="43" t="s">
        <v>231</v>
      </c>
      <c r="L1130" s="43" t="s">
        <v>49</v>
      </c>
      <c r="M1130" s="43" t="s">
        <v>24</v>
      </c>
      <c r="N1130" s="44">
        <v>10</v>
      </c>
      <c r="O1130" s="43" t="s">
        <v>25</v>
      </c>
      <c r="P1130" s="43" t="s">
        <v>41</v>
      </c>
      <c r="Q1130" s="43" t="s">
        <v>60</v>
      </c>
      <c r="R1130" s="43" t="s">
        <v>265</v>
      </c>
      <c r="S1130" s="43"/>
    </row>
    <row r="1131" spans="1:19" ht="14.4" customHeight="1">
      <c r="A1131" s="33">
        <f>IF(C1131="","",MAX($A$1:A1130)+1)</f>
        <v>1083</v>
      </c>
      <c r="B1131" s="25" t="s">
        <v>19</v>
      </c>
      <c r="C1131" s="23">
        <v>46091</v>
      </c>
      <c r="D1131" s="28" t="str">
        <f>_xlfn.XLOOKUP(Table134526_79101120212223242526[[#This Row],[Name Surname]],Manpower!$C$4:$C$1048576,Manpower!$B$4:$B$1048576,"")</f>
        <v>Bright Light</v>
      </c>
      <c r="E1131" s="23" t="s">
        <v>47</v>
      </c>
      <c r="F1131" s="12" t="e">
        <f>_xlfn.XLOOKUP(Table134526_79101120212223242526[[#This Row],[Name Surname]],Manpower!C:C,Manpower!D:D,)</f>
        <v>#N/A</v>
      </c>
      <c r="G1131" s="28" t="str">
        <f>_xlfn.XLOOKUP(Table134526_79101120212223242526[[#This Row],[Name Surname]],Manpower!$C$4:$C$1048576,Manpower!$F$4:$F$1048576,"")</f>
        <v>100T Telescopic Crane</v>
      </c>
      <c r="H1131" s="28" t="str">
        <f>_xlfn.XLOOKUP(Table134526_79101120212223242526[[#This Row],[Name Surname]],Manpower!$C$4:$C$1048576,Manpower!$H$4:$H$1048576,"")</f>
        <v>Equipment</v>
      </c>
      <c r="I1131" s="24" t="str">
        <f>_xlfn.XLOOKUP(Table134526_79101120212223242526[[#This Row],[Name Surname]],Manpower!$C$4:$C$1048576,Manpower!$H$4:$H$1048576,"")</f>
        <v>Equipment</v>
      </c>
      <c r="J1131" s="21" t="s">
        <v>48</v>
      </c>
      <c r="K1131" s="21" t="s">
        <v>26</v>
      </c>
      <c r="L1131" s="21" t="s">
        <v>49</v>
      </c>
      <c r="M1131" s="21" t="s">
        <v>24</v>
      </c>
      <c r="N1131" s="29">
        <v>10</v>
      </c>
      <c r="O1131" s="21" t="s">
        <v>40</v>
      </c>
      <c r="P1131" s="21" t="s">
        <v>41</v>
      </c>
      <c r="Q1131" s="21" t="s">
        <v>42</v>
      </c>
      <c r="R1131" s="21" t="s">
        <v>26</v>
      </c>
    </row>
    <row r="1132" spans="1:19" ht="14.4">
      <c r="A1132" s="33">
        <f>IF(C1132="","",MAX($A$1:A1131)+1)</f>
        <v>1084</v>
      </c>
      <c r="B1132" s="25" t="s">
        <v>19</v>
      </c>
      <c r="C1132" s="23">
        <v>46091</v>
      </c>
      <c r="D1132" s="28" t="str">
        <f>_xlfn.XLOOKUP(Table134526_79101120212223242526[[#This Row],[Name Surname]],Manpower!$C$4:$C$1048576,Manpower!$B$4:$B$1048576,"")</f>
        <v>Bright Light</v>
      </c>
      <c r="E1132" s="21" t="s">
        <v>51</v>
      </c>
      <c r="F1132" s="12" t="e">
        <f>_xlfn.XLOOKUP(Table134526_79101120212223242526[[#This Row],[Name Surname]],Manpower!C:C,Manpower!D:D,)</f>
        <v>#N/A</v>
      </c>
      <c r="G1132" s="28" t="str">
        <f>_xlfn.XLOOKUP(Table134526_79101120212223242526[[#This Row],[Name Surname]],Manpower!$C$4:$C$1048576,Manpower!$F$4:$F$1048576,"")</f>
        <v>150T-Crawler Crane</v>
      </c>
      <c r="H1132" s="28" t="str">
        <f>_xlfn.XLOOKUP(Table134526_79101120212223242526[[#This Row],[Name Surname]],Manpower!$C$4:$C$1048576,Manpower!$H$4:$H$1048576,"")</f>
        <v>Equipment</v>
      </c>
      <c r="I1132" s="24" t="str">
        <f>_xlfn.XLOOKUP(Table134526_79101120212223242526[[#This Row],[Name Surname]],Manpower!$C$4:$C$1048576,Manpower!$H$4:$H$1048576,"")</f>
        <v>Equipment</v>
      </c>
      <c r="J1132" s="21" t="s">
        <v>48</v>
      </c>
      <c r="K1132" s="21" t="s">
        <v>26</v>
      </c>
      <c r="L1132" s="21" t="s">
        <v>49</v>
      </c>
      <c r="M1132" s="21" t="s">
        <v>24</v>
      </c>
      <c r="N1132" s="29">
        <v>10</v>
      </c>
      <c r="O1132" s="21" t="s">
        <v>40</v>
      </c>
      <c r="P1132" s="21" t="s">
        <v>41</v>
      </c>
      <c r="Q1132" s="21" t="s">
        <v>42</v>
      </c>
      <c r="R1132" s="21" t="s">
        <v>26</v>
      </c>
    </row>
    <row r="1133" spans="1:19" ht="14.4">
      <c r="A1133" s="33">
        <f>IF(C1133="","",MAX($A$1:A1132)+1)</f>
        <v>1085</v>
      </c>
      <c r="B1133" s="25" t="s">
        <v>19</v>
      </c>
      <c r="C1133" s="23">
        <v>46091</v>
      </c>
      <c r="D1133" s="28" t="str">
        <f>_xlfn.XLOOKUP(Table134526_79101120212223242526[[#This Row],[Name Surname]],Manpower!$C$4:$C$1048576,Manpower!$B$4:$B$1048576,"")</f>
        <v>Encogroup</v>
      </c>
      <c r="E1133" s="21" t="s">
        <v>53</v>
      </c>
      <c r="F1133" s="12" t="e">
        <f>_xlfn.XLOOKUP(Table134526_79101120212223242526[[#This Row],[Name Surname]],Manpower!C:C,Manpower!D:D,)</f>
        <v>#N/A</v>
      </c>
      <c r="G1133" s="28" t="str">
        <f>_xlfn.XLOOKUP(Table134526_79101120212223242526[[#This Row],[Name Surname]],Manpower!$C$4:$C$1048576,Manpower!$F$4:$F$1048576,"")</f>
        <v>22M-Manlift</v>
      </c>
      <c r="H1133" s="28" t="str">
        <f>_xlfn.XLOOKUP(Table134526_79101120212223242526[[#This Row],[Name Surname]],Manpower!$C$4:$C$1048576,Manpower!$H$4:$H$1048576,"")</f>
        <v>Equipment</v>
      </c>
      <c r="I1133" s="24" t="str">
        <f>_xlfn.XLOOKUP(Table134526_79101120212223242526[[#This Row],[Name Surname]],Manpower!$C$4:$C$1048576,Manpower!$H$4:$H$1048576,"")</f>
        <v>Equipment</v>
      </c>
      <c r="J1133" s="21" t="s">
        <v>48</v>
      </c>
      <c r="K1133" s="21" t="s">
        <v>26</v>
      </c>
      <c r="L1133" s="21" t="s">
        <v>49</v>
      </c>
      <c r="M1133" s="21" t="s">
        <v>24</v>
      </c>
      <c r="N1133" s="29">
        <v>10</v>
      </c>
      <c r="O1133" s="21" t="s">
        <v>25</v>
      </c>
      <c r="P1133" s="21" t="s">
        <v>41</v>
      </c>
      <c r="Q1133" s="21" t="s">
        <v>60</v>
      </c>
      <c r="R1133" s="21" t="s">
        <v>26</v>
      </c>
    </row>
    <row r="1134" spans="1:19" ht="14.4">
      <c r="A1134" s="33">
        <f>IF(C1134="","",MAX($A$1:A1133)+1)</f>
        <v>1086</v>
      </c>
      <c r="B1134" s="25" t="s">
        <v>19</v>
      </c>
      <c r="C1134" s="23">
        <v>46091</v>
      </c>
      <c r="D1134" s="28" t="str">
        <f>_xlfn.XLOOKUP(Table134526_79101120212223242526[[#This Row],[Name Surname]],Manpower!$C$4:$C$1048576,Manpower!$B$4:$B$1048576,"")</f>
        <v>Encogroup</v>
      </c>
      <c r="E1134" s="21" t="s">
        <v>54</v>
      </c>
      <c r="F1134" s="12" t="e">
        <f>_xlfn.XLOOKUP(Table134526_79101120212223242526[[#This Row],[Name Surname]],Manpower!C:C,Manpower!D:D,)</f>
        <v>#N/A</v>
      </c>
      <c r="G1134" s="28" t="str">
        <f>_xlfn.XLOOKUP(Table134526_79101120212223242526[[#This Row],[Name Surname]],Manpower!$C$4:$C$1048576,Manpower!$F$4:$F$1048576,"")</f>
        <v>28M-Manlift</v>
      </c>
      <c r="H1134" s="28" t="str">
        <f>_xlfn.XLOOKUP(Table134526_79101120212223242526[[#This Row],[Name Surname]],Manpower!$C$4:$C$1048576,Manpower!$H$4:$H$1048576,"")</f>
        <v>Equipment</v>
      </c>
      <c r="I1134" s="24" t="str">
        <f>_xlfn.XLOOKUP(Table134526_79101120212223242526[[#This Row],[Name Surname]],Manpower!$C$4:$C$1048576,Manpower!$H$4:$H$1048576,"")</f>
        <v>Equipment</v>
      </c>
      <c r="J1134" s="21" t="s">
        <v>48</v>
      </c>
      <c r="K1134" s="21" t="s">
        <v>26</v>
      </c>
      <c r="L1134" s="21" t="s">
        <v>49</v>
      </c>
      <c r="M1134" s="21" t="s">
        <v>24</v>
      </c>
      <c r="N1134" s="29">
        <v>10</v>
      </c>
      <c r="O1134" s="21" t="s">
        <v>25</v>
      </c>
      <c r="P1134" s="21" t="s">
        <v>41</v>
      </c>
      <c r="Q1134" s="21" t="s">
        <v>60</v>
      </c>
      <c r="R1134" s="21" t="s">
        <v>26</v>
      </c>
    </row>
    <row r="1135" spans="1:19" ht="14.4" hidden="1">
      <c r="A1135" s="33">
        <f>IF(C1135="","",MAX($A$1:A1134)+1)</f>
        <v>1087</v>
      </c>
      <c r="B1135" s="25" t="s">
        <v>19</v>
      </c>
      <c r="C1135" s="23">
        <v>46091</v>
      </c>
      <c r="D1135" s="28" t="str">
        <f>_xlfn.XLOOKUP(Table134526_79101120212223242526[[#This Row],[Name Surname]],Manpower!$C$4:$C$1048576,Manpower!$B$4:$B$1048576,"")</f>
        <v>Encogroup</v>
      </c>
      <c r="E1135" s="21" t="s">
        <v>57</v>
      </c>
      <c r="F1135" s="12">
        <f>_xlfn.XLOOKUP(Table134526_79101120212223242526[[#This Row],[Name Surname]],Manpower!C:C,Manpower!D:D,)</f>
        <v>140693697</v>
      </c>
      <c r="G1135" s="28" t="str">
        <f>_xlfn.XLOOKUP(Table134526_79101120212223242526[[#This Row],[Name Surname]],Manpower!$C$4:$C$1048576,Manpower!$F$4:$F$1048576,"")</f>
        <v>HSE Officer</v>
      </c>
      <c r="H1135" s="28" t="str">
        <f>_xlfn.XLOOKUP(Table134526_79101120212223242526[[#This Row],[Name Surname]],Manpower!$C$4:$C$1048576,Manpower!$H$4:$H$1048576,"")</f>
        <v>Manpower</v>
      </c>
      <c r="I1135" s="24" t="str">
        <f>_xlfn.XLOOKUP(Table134526_79101120212223242526[[#This Row],[Name Surname]],Manpower!$C$4:$C$1048576,Manpower!$H$4:$H$1048576,"")</f>
        <v>Manpower</v>
      </c>
      <c r="J1135" s="21" t="s">
        <v>48</v>
      </c>
      <c r="K1135" s="21" t="s">
        <v>26</v>
      </c>
      <c r="L1135" s="21" t="s">
        <v>49</v>
      </c>
      <c r="M1135" s="21" t="s">
        <v>24</v>
      </c>
      <c r="N1135" s="29">
        <v>10</v>
      </c>
      <c r="O1135" s="21" t="s">
        <v>25</v>
      </c>
      <c r="P1135" s="21" t="s">
        <v>41</v>
      </c>
      <c r="Q1135" s="21" t="s">
        <v>60</v>
      </c>
      <c r="R1135" s="21" t="s">
        <v>26</v>
      </c>
    </row>
    <row r="1136" spans="1:19" ht="14.4" hidden="1">
      <c r="A1136" s="33">
        <f>IF(C1136="","",MAX($A$1:A1135)+1)</f>
        <v>1088</v>
      </c>
      <c r="B1136" s="25" t="s">
        <v>19</v>
      </c>
      <c r="C1136" s="23">
        <v>46091</v>
      </c>
      <c r="D1136" s="28" t="str">
        <f>_xlfn.XLOOKUP(Table134526_79101120212223242526[[#This Row],[Name Surname]],Manpower!$C$4:$C$1048576,Manpower!$B$4:$B$1048576,"")</f>
        <v>Encogroup</v>
      </c>
      <c r="E1136" s="21" t="s">
        <v>27</v>
      </c>
      <c r="F1136" s="12">
        <f>_xlfn.XLOOKUP(Table134526_79101120212223242526[[#This Row],[Name Surname]],Manpower!C:C,Manpower!D:D,)</f>
        <v>127414586</v>
      </c>
      <c r="G1136" s="28" t="str">
        <f>_xlfn.XLOOKUP(Table134526_79101120212223242526[[#This Row],[Name Surname]],Manpower!$C$4:$C$1048576,Manpower!$F$4:$F$1048576,"")</f>
        <v>Electrician</v>
      </c>
      <c r="H1136" s="28" t="str">
        <f>_xlfn.XLOOKUP(Table134526_79101120212223242526[[#This Row],[Name Surname]],Manpower!$C$4:$C$1048576,Manpower!$H$4:$H$1048576,"")</f>
        <v>Manpower</v>
      </c>
      <c r="I1136" s="24" t="str">
        <f>_xlfn.XLOOKUP(Table134526_79101120212223242526[[#This Row],[Name Surname]],Manpower!$C$4:$C$1048576,Manpower!$H$4:$H$1048576,"")</f>
        <v>Manpower</v>
      </c>
      <c r="J1136" s="21" t="s">
        <v>48</v>
      </c>
      <c r="K1136" s="21" t="s">
        <v>26</v>
      </c>
      <c r="L1136" s="21" t="s">
        <v>49</v>
      </c>
      <c r="M1136" s="21" t="s">
        <v>24</v>
      </c>
      <c r="N1136" s="29">
        <v>5</v>
      </c>
      <c r="O1136" s="21" t="s">
        <v>28</v>
      </c>
      <c r="P1136" s="21" t="s">
        <v>41</v>
      </c>
      <c r="Q1136" s="21" t="s">
        <v>41</v>
      </c>
      <c r="R1136" s="21" t="s">
        <v>26</v>
      </c>
    </row>
    <row r="1137" spans="1:19" ht="14.4" hidden="1">
      <c r="A1137" s="33">
        <f>IF(C1137="","",MAX($A$1:A1136)+1)</f>
        <v>1089</v>
      </c>
      <c r="B1137" s="25" t="s">
        <v>19</v>
      </c>
      <c r="C1137" s="23">
        <v>46091</v>
      </c>
      <c r="D1137" s="28" t="str">
        <f>_xlfn.XLOOKUP(Table134526_79101120212223242526[[#This Row],[Name Surname]],Manpower!$C$4:$C$1048576,Manpower!$B$4:$B$1048576,"")</f>
        <v>Encogroup</v>
      </c>
      <c r="E1137" s="21" t="s">
        <v>33</v>
      </c>
      <c r="F1137" s="12">
        <f>_xlfn.XLOOKUP(Table134526_79101120212223242526[[#This Row],[Name Surname]],Manpower!C:C,Manpower!D:D,)</f>
        <v>124565057</v>
      </c>
      <c r="G1137" s="28" t="str">
        <f>_xlfn.XLOOKUP(Table134526_79101120212223242526[[#This Row],[Name Surname]],Manpower!$C$4:$C$1048576,Manpower!$F$4:$F$1048576,"")</f>
        <v>Fitter/Erector</v>
      </c>
      <c r="H1137" s="28" t="str">
        <f>_xlfn.XLOOKUP(Table134526_79101120212223242526[[#This Row],[Name Surname]],Manpower!$C$4:$C$1048576,Manpower!$H$4:$H$1048576,"")</f>
        <v>Manpower</v>
      </c>
      <c r="I1137" s="24" t="str">
        <f>_xlfn.XLOOKUP(Table134526_79101120212223242526[[#This Row],[Name Surname]],Manpower!$C$4:$C$1048576,Manpower!$H$4:$H$1048576,"")</f>
        <v>Manpower</v>
      </c>
      <c r="J1137" s="21" t="s">
        <v>48</v>
      </c>
      <c r="K1137" s="21" t="s">
        <v>26</v>
      </c>
      <c r="L1137" s="21" t="s">
        <v>49</v>
      </c>
      <c r="M1137" s="21" t="s">
        <v>24</v>
      </c>
      <c r="N1137" s="29">
        <v>10</v>
      </c>
      <c r="O1137" s="21" t="s">
        <v>25</v>
      </c>
      <c r="P1137" s="21" t="s">
        <v>41</v>
      </c>
      <c r="Q1137" s="21" t="s">
        <v>60</v>
      </c>
      <c r="R1137" s="21" t="s">
        <v>26</v>
      </c>
    </row>
    <row r="1138" spans="1:19" ht="14.4" hidden="1">
      <c r="A1138" s="33">
        <f>IF(C1138="","",MAX($A$1:A1137)+1)</f>
        <v>1090</v>
      </c>
      <c r="B1138" s="25" t="s">
        <v>19</v>
      </c>
      <c r="C1138" s="23">
        <v>46091</v>
      </c>
      <c r="D1138" s="28" t="str">
        <f>_xlfn.XLOOKUP(Table134526_79101120212223242526[[#This Row],[Name Surname]],Manpower!$C$4:$C$1048576,Manpower!$B$4:$B$1048576,"")</f>
        <v>Encogroup</v>
      </c>
      <c r="E1138" s="21" t="s">
        <v>62</v>
      </c>
      <c r="F1138" s="12">
        <f>_xlfn.XLOOKUP(Table134526_79101120212223242526[[#This Row],[Name Surname]],Manpower!C:C,Manpower!D:D,)</f>
        <v>140844797</v>
      </c>
      <c r="G1138" s="28" t="str">
        <f>_xlfn.XLOOKUP(Table134526_79101120212223242526[[#This Row],[Name Surname]],Manpower!$C$4:$C$1048576,Manpower!$F$4:$F$1048576,"")</f>
        <v>Fitter/Erector</v>
      </c>
      <c r="H1138" s="28" t="str">
        <f>_xlfn.XLOOKUP(Table134526_79101120212223242526[[#This Row],[Name Surname]],Manpower!$C$4:$C$1048576,Manpower!$H$4:$H$1048576,"")</f>
        <v>Manpower</v>
      </c>
      <c r="I1138" s="24" t="str">
        <f>_xlfn.XLOOKUP(Table134526_79101120212223242526[[#This Row],[Name Surname]],Manpower!$C$4:$C$1048576,Manpower!$H$4:$H$1048576,"")</f>
        <v>Manpower</v>
      </c>
      <c r="J1138" s="21" t="s">
        <v>48</v>
      </c>
      <c r="K1138" s="21" t="s">
        <v>26</v>
      </c>
      <c r="L1138" s="21" t="s">
        <v>49</v>
      </c>
      <c r="M1138" s="21" t="s">
        <v>24</v>
      </c>
      <c r="N1138" s="29">
        <v>10</v>
      </c>
      <c r="O1138" s="21" t="s">
        <v>25</v>
      </c>
      <c r="P1138" s="21" t="s">
        <v>41</v>
      </c>
      <c r="Q1138" s="21" t="s">
        <v>60</v>
      </c>
      <c r="R1138" s="21" t="s">
        <v>26</v>
      </c>
    </row>
    <row r="1139" spans="1:19" ht="14.4">
      <c r="A1139" s="33">
        <f>IF(C1139="","",MAX($A$1:A1138)+1)</f>
        <v>1091</v>
      </c>
      <c r="B1139" s="25" t="s">
        <v>19</v>
      </c>
      <c r="C1139" s="23">
        <v>46091</v>
      </c>
      <c r="D1139" s="24" t="str">
        <f>_xlfn.XLOOKUP(Table134526_79101120212223242526[[#This Row],[Name Surname]],Manpower!$C$4:$C$1048576,Manpower!$B$4:$B$1048576,"")</f>
        <v>Encogroup</v>
      </c>
      <c r="E1139" s="23" t="s">
        <v>63</v>
      </c>
      <c r="F1139" s="12" t="e">
        <f>_xlfn.XLOOKUP(Table134526_79101120212223242526[[#This Row],[Name Surname]],Manpower!C:C,Manpower!D:D,)</f>
        <v>#N/A</v>
      </c>
      <c r="G1139" s="24" t="str">
        <f>_xlfn.XLOOKUP(Table134526_79101120212223242526[[#This Row],[Name Surname]],Manpower!$C$4:$C$1048576,Manpower!$F$4:$F$1048576,"")</f>
        <v>22KVA-Generator</v>
      </c>
      <c r="H1139" s="24" t="str">
        <f>_xlfn.XLOOKUP(Table134526_79101120212223242526[[#This Row],[Name Surname]],Manpower!$C$4:$C$1048576,Manpower!$H$4:$H$1048576,"")</f>
        <v>Equipment</v>
      </c>
      <c r="I1139" s="24" t="str">
        <f>_xlfn.XLOOKUP(Table134526_79101120212223242526[[#This Row],[Name Surname]],Manpower!$C$4:$C$1048576,Manpower!$H$4:$H$1048576,"")</f>
        <v>Equipment</v>
      </c>
      <c r="J1139" s="21" t="s">
        <v>48</v>
      </c>
      <c r="K1139" s="21" t="s">
        <v>26</v>
      </c>
      <c r="L1139" s="21" t="s">
        <v>49</v>
      </c>
      <c r="M1139" s="21" t="s">
        <v>24</v>
      </c>
      <c r="N1139" s="29">
        <v>10</v>
      </c>
      <c r="O1139" s="21" t="s">
        <v>25</v>
      </c>
      <c r="P1139" s="21" t="s">
        <v>41</v>
      </c>
      <c r="Q1139" s="21" t="s">
        <v>41</v>
      </c>
      <c r="R1139" s="21" t="s">
        <v>26</v>
      </c>
    </row>
    <row r="1140" spans="1:19" ht="14.4" hidden="1">
      <c r="A1140" s="33">
        <f>IF(C1140="","",MAX($A$1:A1138)+1)</f>
        <v>1091</v>
      </c>
      <c r="B1140" s="25" t="s">
        <v>19</v>
      </c>
      <c r="C1140" s="23">
        <v>46091</v>
      </c>
      <c r="D1140" s="28" t="str">
        <f>_xlfn.XLOOKUP(Table134526_79101120212223242526[[#This Row],[Name Surname]],Manpower!$C$4:$C$1048576,Manpower!$B$4:$B$1048576,"")</f>
        <v>Bright Light</v>
      </c>
      <c r="E1140" s="21" t="s">
        <v>64</v>
      </c>
      <c r="F1140" s="12">
        <f>_xlfn.XLOOKUP(Table134526_79101120212223242526[[#This Row],[Name Surname]],Manpower!C:C,Manpower!D:D,)</f>
        <v>114531608</v>
      </c>
      <c r="G1140" s="28" t="str">
        <f>_xlfn.XLOOKUP(Table134526_79101120212223242526[[#This Row],[Name Surname]],Manpower!$C$4:$C$1048576,Manpower!$F$4:$F$1048576,"")</f>
        <v>Crane Operator-150T Sany Crawler</v>
      </c>
      <c r="H1140" s="28" t="str">
        <f>_xlfn.XLOOKUP(Table134526_79101120212223242526[[#This Row],[Name Surname]],Manpower!$C$4:$C$1048576,Manpower!$H$4:$H$1048576,"")</f>
        <v>Manpower</v>
      </c>
      <c r="I1140" s="24" t="str">
        <f>_xlfn.XLOOKUP(Table134526_79101120212223242526[[#This Row],[Name Surname]],Manpower!$C$4:$C$1048576,Manpower!$H$4:$H$1048576,"")</f>
        <v>Manpower</v>
      </c>
      <c r="J1140" s="21" t="s">
        <v>48</v>
      </c>
      <c r="K1140" s="21" t="s">
        <v>26</v>
      </c>
      <c r="L1140" s="21" t="s">
        <v>49</v>
      </c>
      <c r="M1140" s="21" t="s">
        <v>24</v>
      </c>
      <c r="N1140" s="29">
        <v>10</v>
      </c>
      <c r="O1140" s="21" t="s">
        <v>40</v>
      </c>
      <c r="P1140" s="21" t="s">
        <v>41</v>
      </c>
      <c r="Q1140" s="21" t="s">
        <v>42</v>
      </c>
      <c r="R1140" s="21" t="s">
        <v>26</v>
      </c>
    </row>
    <row r="1141" spans="1:19" ht="14.4" hidden="1">
      <c r="A1141" s="33">
        <f>IF(C1141="","",MAX($A$1:A1140)+1)</f>
        <v>1092</v>
      </c>
      <c r="B1141" s="25" t="s">
        <v>19</v>
      </c>
      <c r="C1141" s="23">
        <v>46091</v>
      </c>
      <c r="D1141" s="28" t="str">
        <f>_xlfn.XLOOKUP(Table134526_79101120212223242526[[#This Row],[Name Surname]],Manpower!$C$4:$C$1048576,Manpower!$B$4:$B$1048576,"")</f>
        <v>AL Saif &amp; Al QALLM ENT LLC</v>
      </c>
      <c r="E1141" s="21" t="s">
        <v>65</v>
      </c>
      <c r="F1141" s="12">
        <f>_xlfn.XLOOKUP(Table134526_79101120212223242526[[#This Row],[Name Surname]],Manpower!C:C,Manpower!D:D,)</f>
        <v>108478006</v>
      </c>
      <c r="G1141" s="28" t="str">
        <f>_xlfn.XLOOKUP(Table134526_79101120212223242526[[#This Row],[Name Surname]],Manpower!$C$4:$C$1048576,Manpower!$F$4:$F$1048576,"")</f>
        <v>RIgger</v>
      </c>
      <c r="H1141" s="28" t="str">
        <f>_xlfn.XLOOKUP(Table134526_79101120212223242526[[#This Row],[Name Surname]],Manpower!$C$4:$C$1048576,Manpower!$H$4:$H$1048576,"")</f>
        <v>Sub Contactor</v>
      </c>
      <c r="I1141" s="24" t="str">
        <f>_xlfn.XLOOKUP(Table134526_79101120212223242526[[#This Row],[Name Surname]],Manpower!$C$4:$C$1048576,Manpower!$H$4:$H$1048576,"")</f>
        <v>Sub Contactor</v>
      </c>
      <c r="J1141" s="21" t="s">
        <v>48</v>
      </c>
      <c r="K1141" s="21" t="s">
        <v>26</v>
      </c>
      <c r="L1141" s="21" t="s">
        <v>49</v>
      </c>
      <c r="M1141" s="21" t="s">
        <v>24</v>
      </c>
      <c r="N1141" s="29">
        <v>10</v>
      </c>
      <c r="O1141" s="21" t="s">
        <v>25</v>
      </c>
      <c r="P1141" s="21" t="s">
        <v>41</v>
      </c>
      <c r="Q1141" s="21" t="s">
        <v>60</v>
      </c>
      <c r="R1141" s="21" t="s">
        <v>26</v>
      </c>
    </row>
    <row r="1142" spans="1:19" ht="14.4" hidden="1">
      <c r="A1142" s="33">
        <f>IF(C1142="","",MAX($A$1:A1141)+1)</f>
        <v>1093</v>
      </c>
      <c r="B1142" s="25" t="s">
        <v>19</v>
      </c>
      <c r="C1142" s="23">
        <v>46091</v>
      </c>
      <c r="D1142" s="28" t="str">
        <f>_xlfn.XLOOKUP(Table134526_79101120212223242526[[#This Row],[Name Surname]],Manpower!$C$4:$C$1048576,Manpower!$B$4:$B$1048576,"")</f>
        <v>AL Omar International TRAD AND CONT</v>
      </c>
      <c r="E1142" s="21" t="s">
        <v>66</v>
      </c>
      <c r="F1142" s="12">
        <f>_xlfn.XLOOKUP(Table134526_79101120212223242526[[#This Row],[Name Surname]],Manpower!C:C,Manpower!D:D,)</f>
        <v>115018512</v>
      </c>
      <c r="G1142" s="28" t="str">
        <f>_xlfn.XLOOKUP(Table134526_79101120212223242526[[#This Row],[Name Surname]],Manpower!$C$4:$C$1048576,Manpower!$F$4:$F$1048576,"")</f>
        <v>RIgger</v>
      </c>
      <c r="H1142" s="28" t="str">
        <f>_xlfn.XLOOKUP(Table134526_79101120212223242526[[#This Row],[Name Surname]],Manpower!$C$4:$C$1048576,Manpower!$H$4:$H$1048576,"")</f>
        <v>Sub Contactor</v>
      </c>
      <c r="I1142" s="24" t="str">
        <f>_xlfn.XLOOKUP(Table134526_79101120212223242526[[#This Row],[Name Surname]],Manpower!$C$4:$C$1048576,Manpower!$H$4:$H$1048576,"")</f>
        <v>Sub Contactor</v>
      </c>
      <c r="J1142" s="21" t="s">
        <v>48</v>
      </c>
      <c r="K1142" s="21" t="s">
        <v>26</v>
      </c>
      <c r="L1142" s="21" t="s">
        <v>49</v>
      </c>
      <c r="M1142" s="21" t="s">
        <v>24</v>
      </c>
      <c r="N1142" s="29">
        <v>8</v>
      </c>
      <c r="O1142" s="21" t="s">
        <v>25</v>
      </c>
      <c r="P1142" s="21" t="s">
        <v>41</v>
      </c>
      <c r="Q1142" s="21" t="s">
        <v>60</v>
      </c>
      <c r="R1142" s="21" t="s">
        <v>26</v>
      </c>
    </row>
    <row r="1143" spans="1:19" ht="14.4" hidden="1">
      <c r="A1143" s="33">
        <f>IF(C1143="","",MAX($A$1:A1142)+1)</f>
        <v>1094</v>
      </c>
      <c r="B1143" s="25" t="s">
        <v>19</v>
      </c>
      <c r="C1143" s="23">
        <v>46091</v>
      </c>
      <c r="D1143" s="28" t="str">
        <f>_xlfn.XLOOKUP(Table134526_79101120212223242526[[#This Row],[Name Surname]],Manpower!$C$4:$C$1048576,Manpower!$B$4:$B$1048576,"")</f>
        <v>Encogroup</v>
      </c>
      <c r="E1143" s="21" t="s">
        <v>67</v>
      </c>
      <c r="F1143" s="12">
        <f>_xlfn.XLOOKUP(Table134526_79101120212223242526[[#This Row],[Name Surname]],Manpower!C:C,Manpower!D:D,)</f>
        <v>122082769</v>
      </c>
      <c r="G1143" s="28" t="str">
        <f>_xlfn.XLOOKUP(Table134526_79101120212223242526[[#This Row],[Name Surname]],Manpower!$C$4:$C$1048576,Manpower!$F$4:$F$1048576,"")</f>
        <v>Grinder</v>
      </c>
      <c r="H1143" s="28" t="str">
        <f>_xlfn.XLOOKUP(Table134526_79101120212223242526[[#This Row],[Name Surname]],Manpower!$C$4:$C$1048576,Manpower!$H$4:$H$1048576,"")</f>
        <v>Manpower</v>
      </c>
      <c r="I1143" s="24" t="str">
        <f>_xlfn.XLOOKUP(Table134526_79101120212223242526[[#This Row],[Name Surname]],Manpower!$C$4:$C$1048576,Manpower!$H$4:$H$1048576,"")</f>
        <v>Manpower</v>
      </c>
      <c r="J1143" s="21" t="s">
        <v>48</v>
      </c>
      <c r="K1143" s="21" t="s">
        <v>26</v>
      </c>
      <c r="L1143" s="21" t="s">
        <v>49</v>
      </c>
      <c r="M1143" s="21" t="s">
        <v>24</v>
      </c>
      <c r="N1143" s="29">
        <v>10</v>
      </c>
      <c r="O1143" s="21" t="s">
        <v>25</v>
      </c>
      <c r="P1143" s="21" t="s">
        <v>41</v>
      </c>
      <c r="Q1143" s="21" t="s">
        <v>60</v>
      </c>
      <c r="R1143" s="21" t="s">
        <v>26</v>
      </c>
    </row>
    <row r="1144" spans="1:19" ht="14.4" hidden="1">
      <c r="A1144" s="33">
        <f>IF(C1144="","",MAX($A$1:A1143)+1)</f>
        <v>1095</v>
      </c>
      <c r="B1144" s="25" t="s">
        <v>19</v>
      </c>
      <c r="C1144" s="23">
        <v>46091</v>
      </c>
      <c r="D1144" s="28" t="str">
        <f>_xlfn.XLOOKUP(Table134526_79101120212223242526[[#This Row],[Name Surname]],Manpower!$C$4:$C$1048576,Manpower!$B$4:$B$1048576,"")</f>
        <v>Encogroup</v>
      </c>
      <c r="E1144" s="21" t="s">
        <v>59</v>
      </c>
      <c r="F1144" s="12">
        <f>_xlfn.XLOOKUP(Table134526_79101120212223242526[[#This Row],[Name Surname]],Manpower!C:C,Manpower!D:D,)</f>
        <v>141169085</v>
      </c>
      <c r="G1144" s="28" t="str">
        <f>_xlfn.XLOOKUP(Table134526_79101120212223242526[[#This Row],[Name Surname]],Manpower!$C$4:$C$1048576,Manpower!$F$4:$F$1048576,"")</f>
        <v>Welder</v>
      </c>
      <c r="H1144" s="28" t="str">
        <f>_xlfn.XLOOKUP(Table134526_79101120212223242526[[#This Row],[Name Surname]],Manpower!$C$4:$C$1048576,Manpower!$H$4:$H$1048576,"")</f>
        <v>Manpower</v>
      </c>
      <c r="I1144" s="24" t="str">
        <f>_xlfn.XLOOKUP(Table134526_79101120212223242526[[#This Row],[Name Surname]],Manpower!$C$4:$C$1048576,Manpower!$H$4:$H$1048576,"")</f>
        <v>Manpower</v>
      </c>
      <c r="J1144" s="21" t="s">
        <v>48</v>
      </c>
      <c r="K1144" s="21" t="s">
        <v>26</v>
      </c>
      <c r="L1144" s="21" t="s">
        <v>49</v>
      </c>
      <c r="M1144" s="21" t="s">
        <v>24</v>
      </c>
      <c r="N1144" s="29">
        <v>5</v>
      </c>
      <c r="O1144" s="21" t="s">
        <v>25</v>
      </c>
      <c r="P1144" s="21" t="s">
        <v>41</v>
      </c>
      <c r="Q1144" s="21" t="s">
        <v>60</v>
      </c>
      <c r="R1144" s="21" t="s">
        <v>26</v>
      </c>
    </row>
    <row r="1145" spans="1:19" s="45" customFormat="1" ht="14.4" hidden="1">
      <c r="A1145" s="25">
        <f>IF(C1145="","",MAX($A$1:A1144)+1)</f>
        <v>1096</v>
      </c>
      <c r="B1145" s="25" t="s">
        <v>19</v>
      </c>
      <c r="C1145" s="41">
        <v>46091</v>
      </c>
      <c r="D1145" s="48" t="str">
        <f>_xlfn.XLOOKUP(Table134526_79101120212223242526[[#This Row],[Name Surname]],Manpower!$C$4:$C$1048576,Manpower!$B$4:$B$1048576,"")</f>
        <v>Encogroup</v>
      </c>
      <c r="E1145" s="43" t="s">
        <v>61</v>
      </c>
      <c r="F1145" s="12">
        <f>_xlfn.XLOOKUP(Table134526_79101120212223242526[[#This Row],[Name Surname]],Manpower!C:C,Manpower!D:D,)</f>
        <v>141169047</v>
      </c>
      <c r="G1145" s="48" t="str">
        <f>_xlfn.XLOOKUP(Table134526_79101120212223242526[[#This Row],[Name Surname]],Manpower!$C$4:$C$1048576,Manpower!$F$4:$F$1048576,"")</f>
        <v>Welder</v>
      </c>
      <c r="H1145" s="48" t="str">
        <f>_xlfn.XLOOKUP(Table134526_79101120212223242526[[#This Row],[Name Surname]],Manpower!$C$4:$C$1048576,Manpower!$H$4:$H$1048576,"")</f>
        <v>Manpower</v>
      </c>
      <c r="I1145" s="42" t="str">
        <f>_xlfn.XLOOKUP(Table134526_79101120212223242526[[#This Row],[Name Surname]],Manpower!$C$4:$C$1048576,Manpower!$H$4:$H$1048576,"")</f>
        <v>Manpower</v>
      </c>
      <c r="J1145" s="43" t="s">
        <v>48</v>
      </c>
      <c r="K1145" s="43" t="s">
        <v>26</v>
      </c>
      <c r="L1145" s="43" t="s">
        <v>49</v>
      </c>
      <c r="M1145" s="43" t="s">
        <v>24</v>
      </c>
      <c r="N1145" s="44">
        <v>5</v>
      </c>
      <c r="O1145" s="43" t="s">
        <v>25</v>
      </c>
      <c r="P1145" s="43" t="s">
        <v>41</v>
      </c>
      <c r="Q1145" s="43" t="s">
        <v>60</v>
      </c>
      <c r="R1145" s="43" t="s">
        <v>26</v>
      </c>
      <c r="S1145" s="43" t="s">
        <v>45</v>
      </c>
    </row>
    <row r="1146" spans="1:19" ht="14.4" hidden="1">
      <c r="A1146" s="33">
        <f>IF(C1146="","",MAX($A$1:A1145)+1)</f>
        <v>1097</v>
      </c>
      <c r="B1146" s="25" t="s">
        <v>19</v>
      </c>
      <c r="C1146" s="23">
        <v>46091</v>
      </c>
      <c r="D1146" s="28" t="str">
        <f>_xlfn.XLOOKUP(Table134526_79101120212223242526[[#This Row],[Name Surname]],Manpower!$C$4:$C$1048576,Manpower!$B$4:$B$1048576,"")</f>
        <v>Encogroup</v>
      </c>
      <c r="E1146" s="21" t="s">
        <v>68</v>
      </c>
      <c r="F1146" s="12">
        <f>_xlfn.XLOOKUP(Table134526_79101120212223242526[[#This Row],[Name Surname]],Manpower!C:C,Manpower!D:D,)</f>
        <v>116915582</v>
      </c>
      <c r="G1146" s="28" t="str">
        <f>_xlfn.XLOOKUP(Table134526_79101120212223242526[[#This Row],[Name Surname]],Manpower!$C$4:$C$1048576,Manpower!$F$4:$F$1048576,"")</f>
        <v>Mechanical Superintendent</v>
      </c>
      <c r="H1146" s="28" t="str">
        <f>_xlfn.XLOOKUP(Table134526_79101120212223242526[[#This Row],[Name Surname]],Manpower!$C$4:$C$1048576,Manpower!$H$4:$H$1048576,"")</f>
        <v>Manpower</v>
      </c>
      <c r="I1146" s="24" t="str">
        <f>_xlfn.XLOOKUP(Table134526_79101120212223242526[[#This Row],[Name Surname]],Manpower!$C$4:$C$1048576,Manpower!$H$4:$H$1048576,"")</f>
        <v>Manpower</v>
      </c>
      <c r="J1146" s="21" t="s">
        <v>48</v>
      </c>
      <c r="K1146" s="21" t="s">
        <v>26</v>
      </c>
      <c r="L1146" s="21" t="s">
        <v>49</v>
      </c>
      <c r="M1146" s="21" t="s">
        <v>24</v>
      </c>
      <c r="N1146" s="29">
        <v>8</v>
      </c>
      <c r="O1146" s="21" t="s">
        <v>25</v>
      </c>
      <c r="P1146" s="21" t="s">
        <v>41</v>
      </c>
      <c r="Q1146" s="21" t="s">
        <v>60</v>
      </c>
      <c r="R1146" s="21" t="s">
        <v>26</v>
      </c>
    </row>
    <row r="1147" spans="1:19" ht="14.4" hidden="1">
      <c r="A1147" s="33">
        <f>IF(C1147="","",MAX($A$1:A1146)+1)</f>
        <v>1098</v>
      </c>
      <c r="B1147" s="25" t="s">
        <v>19</v>
      </c>
      <c r="C1147" s="23">
        <v>46091</v>
      </c>
      <c r="D1147" s="28" t="str">
        <f>_xlfn.XLOOKUP(Table134526_79101120212223242526[[#This Row],[Name Surname]],Manpower!$C$4:$C$1048576,Manpower!$B$4:$B$1048576,"")</f>
        <v>Encogroup</v>
      </c>
      <c r="E1147" s="21" t="s">
        <v>69</v>
      </c>
      <c r="F1147" s="12">
        <f>_xlfn.XLOOKUP(Table134526_79101120212223242526[[#This Row],[Name Surname]],Manpower!C:C,Manpower!D:D,)</f>
        <v>141169071</v>
      </c>
      <c r="G1147" s="28" t="str">
        <f>_xlfn.XLOOKUP(Table134526_79101120212223242526[[#This Row],[Name Surname]],Manpower!$C$4:$C$1048576,Manpower!$F$4:$F$1048576,"")</f>
        <v>Welding Supervisor</v>
      </c>
      <c r="H1147" s="28" t="str">
        <f>_xlfn.XLOOKUP(Table134526_79101120212223242526[[#This Row],[Name Surname]],Manpower!$C$4:$C$1048576,Manpower!$H$4:$H$1048576,"")</f>
        <v>Manpower</v>
      </c>
      <c r="I1147" s="24" t="str">
        <f>_xlfn.XLOOKUP(Table134526_79101120212223242526[[#This Row],[Name Surname]],Manpower!$C$4:$C$1048576,Manpower!$H$4:$H$1048576,"")</f>
        <v>Manpower</v>
      </c>
      <c r="J1147" s="21" t="s">
        <v>48</v>
      </c>
      <c r="K1147" s="21" t="s">
        <v>26</v>
      </c>
      <c r="L1147" s="21" t="s">
        <v>49</v>
      </c>
      <c r="M1147" s="21" t="s">
        <v>24</v>
      </c>
      <c r="N1147" s="29">
        <v>10</v>
      </c>
      <c r="O1147" s="21" t="s">
        <v>25</v>
      </c>
      <c r="P1147" s="21" t="s">
        <v>41</v>
      </c>
      <c r="Q1147" s="21" t="s">
        <v>60</v>
      </c>
      <c r="R1147" s="21" t="s">
        <v>26</v>
      </c>
    </row>
    <row r="1148" spans="1:19" ht="14.4" hidden="1">
      <c r="A1148" s="33">
        <f>IF(C1148="","",MAX($A$1:A1147)+1)</f>
        <v>1099</v>
      </c>
      <c r="B1148" s="25" t="s">
        <v>19</v>
      </c>
      <c r="C1148" s="23">
        <v>46091</v>
      </c>
      <c r="D1148" s="28" t="str">
        <f>_xlfn.XLOOKUP(Table134526_79101120212223242526[[#This Row],[Name Surname]],Manpower!$C$4:$C$1048576,Manpower!$B$4:$B$1048576,"")</f>
        <v>Encogroup</v>
      </c>
      <c r="E1148" s="21" t="s">
        <v>70</v>
      </c>
      <c r="F1148" s="12">
        <f>_xlfn.XLOOKUP(Table134526_79101120212223242526[[#This Row],[Name Surname]],Manpower!C:C,Manpower!D:D,)</f>
        <v>141365126</v>
      </c>
      <c r="G1148" s="28" t="str">
        <f>_xlfn.XLOOKUP(Table134526_79101120212223242526[[#This Row],[Name Surname]],Manpower!$C$4:$C$1048576,Manpower!$F$4:$F$1048576,"")</f>
        <v>Helper</v>
      </c>
      <c r="H1148" s="28" t="str">
        <f>_xlfn.XLOOKUP(Table134526_79101120212223242526[[#This Row],[Name Surname]],Manpower!$C$4:$C$1048576,Manpower!$H$4:$H$1048576,"")</f>
        <v>Manpower</v>
      </c>
      <c r="I1148" s="24" t="str">
        <f>_xlfn.XLOOKUP(Table134526_79101120212223242526[[#This Row],[Name Surname]],Manpower!$C$4:$C$1048576,Manpower!$H$4:$H$1048576,"")</f>
        <v>Manpower</v>
      </c>
      <c r="J1148" s="21" t="s">
        <v>48</v>
      </c>
      <c r="K1148" s="21" t="s">
        <v>26</v>
      </c>
      <c r="L1148" s="21" t="s">
        <v>49</v>
      </c>
      <c r="M1148" s="21" t="s">
        <v>24</v>
      </c>
      <c r="N1148" s="29">
        <v>10</v>
      </c>
      <c r="O1148" s="21" t="s">
        <v>25</v>
      </c>
      <c r="P1148" s="21" t="s">
        <v>41</v>
      </c>
      <c r="Q1148" s="21" t="s">
        <v>60</v>
      </c>
      <c r="R1148" s="21" t="s">
        <v>26</v>
      </c>
    </row>
    <row r="1149" spans="1:19" ht="14.4" hidden="1">
      <c r="A1149" s="33">
        <f>IF(C1149="","",MAX($A$1:A1148)+1)</f>
        <v>1100</v>
      </c>
      <c r="B1149" s="25" t="s">
        <v>19</v>
      </c>
      <c r="C1149" s="23">
        <v>46091</v>
      </c>
      <c r="D1149" s="28" t="str">
        <f>_xlfn.XLOOKUP(Table134526_79101120212223242526[[#This Row],[Name Surname]],Manpower!$C$4:$C$1048576,Manpower!$B$4:$B$1048576,"")</f>
        <v>Bright Light</v>
      </c>
      <c r="E1149" s="21" t="s">
        <v>71</v>
      </c>
      <c r="F1149" s="12">
        <f>_xlfn.XLOOKUP(Table134526_79101120212223242526[[#This Row],[Name Surname]],Manpower!C:C,Manpower!D:D,)</f>
        <v>81379273</v>
      </c>
      <c r="G1149" s="28" t="str">
        <f>_xlfn.XLOOKUP(Table134526_79101120212223242526[[#This Row],[Name Surname]],Manpower!$C$4:$C$1048576,Manpower!$F$4:$F$1048576,"")</f>
        <v>Crane Operator-100T Sany Telescopic</v>
      </c>
      <c r="H1149" s="28" t="str">
        <f>_xlfn.XLOOKUP(Table134526_79101120212223242526[[#This Row],[Name Surname]],Manpower!$C$4:$C$1048576,Manpower!$H$4:$H$1048576,"")</f>
        <v>Manpower</v>
      </c>
      <c r="I1149" s="24" t="str">
        <f>_xlfn.XLOOKUP(Table134526_79101120212223242526[[#This Row],[Name Surname]],Manpower!$C$4:$C$1048576,Manpower!$H$4:$H$1048576,"")</f>
        <v>Manpower</v>
      </c>
      <c r="J1149" s="21" t="s">
        <v>48</v>
      </c>
      <c r="K1149" s="21" t="s">
        <v>26</v>
      </c>
      <c r="L1149" s="21" t="s">
        <v>49</v>
      </c>
      <c r="M1149" s="21" t="s">
        <v>24</v>
      </c>
      <c r="N1149" s="29">
        <v>10</v>
      </c>
      <c r="O1149" s="21" t="s">
        <v>40</v>
      </c>
      <c r="P1149" s="21" t="s">
        <v>41</v>
      </c>
      <c r="Q1149" s="21" t="s">
        <v>42</v>
      </c>
      <c r="R1149" s="21" t="s">
        <v>26</v>
      </c>
    </row>
    <row r="1150" spans="1:19" ht="14.4" hidden="1">
      <c r="A1150" s="33">
        <f>IF(C1150="","",MAX($A$1:A1149)+1)</f>
        <v>1101</v>
      </c>
      <c r="B1150" s="25" t="s">
        <v>19</v>
      </c>
      <c r="C1150" s="23">
        <v>46091</v>
      </c>
      <c r="D1150" s="28" t="str">
        <f>_xlfn.XLOOKUP(Table134526_79101120212223242526[[#This Row],[Name Surname]],Manpower!$C$4:$C$1048576,Manpower!$B$4:$B$1048576,"")</f>
        <v>Encogroup</v>
      </c>
      <c r="E1150" s="21" t="s">
        <v>73</v>
      </c>
      <c r="F1150" s="12">
        <f>_xlfn.XLOOKUP(Table134526_79101120212223242526[[#This Row],[Name Surname]],Manpower!C:C,Manpower!D:D,)</f>
        <v>135325259</v>
      </c>
      <c r="G1150" s="28" t="str">
        <f>_xlfn.XLOOKUP(Table134526_79101120212223242526[[#This Row],[Name Surname]],Manpower!$C$4:$C$1048576,Manpower!$F$4:$F$1048576,"")</f>
        <v>Permit Receiver</v>
      </c>
      <c r="H1150" s="28" t="str">
        <f>_xlfn.XLOOKUP(Table134526_79101120212223242526[[#This Row],[Name Surname]],Manpower!$C$4:$C$1048576,Manpower!$H$4:$H$1048576,"")</f>
        <v>Manpower</v>
      </c>
      <c r="I1150" s="24" t="str">
        <f>_xlfn.XLOOKUP(Table134526_79101120212223242526[[#This Row],[Name Surname]],Manpower!$C$4:$C$1048576,Manpower!$H$4:$H$1048576,"")</f>
        <v>Manpower</v>
      </c>
      <c r="J1150" s="21" t="s">
        <v>48</v>
      </c>
      <c r="K1150" s="21" t="s">
        <v>26</v>
      </c>
      <c r="L1150" s="21" t="s">
        <v>49</v>
      </c>
      <c r="M1150" s="21" t="s">
        <v>24</v>
      </c>
      <c r="N1150" s="29">
        <v>10</v>
      </c>
      <c r="O1150" s="21" t="s">
        <v>25</v>
      </c>
      <c r="P1150" s="21" t="s">
        <v>41</v>
      </c>
      <c r="Q1150" s="21" t="s">
        <v>60</v>
      </c>
      <c r="R1150" s="21" t="s">
        <v>26</v>
      </c>
    </row>
    <row r="1151" spans="1:19" ht="14.4" hidden="1">
      <c r="A1151" s="33">
        <f>IF(C1151="","",MAX($A$1:A1150)+1)</f>
        <v>1102</v>
      </c>
      <c r="B1151" s="25" t="s">
        <v>19</v>
      </c>
      <c r="C1151" s="23">
        <v>46091</v>
      </c>
      <c r="D1151" s="28" t="str">
        <f>_xlfn.XLOOKUP(Table134526_79101120212223242526[[#This Row],[Name Surname]],Manpower!$C$4:$C$1048576,Manpower!$B$4:$B$1048576,"")</f>
        <v>Encogroup</v>
      </c>
      <c r="E1151" s="21" t="s">
        <v>74</v>
      </c>
      <c r="F1151" s="12">
        <f>_xlfn.XLOOKUP(Table134526_79101120212223242526[[#This Row],[Name Surname]],Manpower!C:C,Manpower!D:D,)</f>
        <v>141365089</v>
      </c>
      <c r="G1151" s="28" t="str">
        <f>_xlfn.XLOOKUP(Table134526_79101120212223242526[[#This Row],[Name Surname]],Manpower!$C$4:$C$1048576,Manpower!$F$4:$F$1048576,"")</f>
        <v>Fitter</v>
      </c>
      <c r="H1151" s="28" t="str">
        <f>_xlfn.XLOOKUP(Table134526_79101120212223242526[[#This Row],[Name Surname]],Manpower!$C$4:$C$1048576,Manpower!$H$4:$H$1048576,"")</f>
        <v>Manpower</v>
      </c>
      <c r="I1151" s="24" t="str">
        <f>_xlfn.XLOOKUP(Table134526_79101120212223242526[[#This Row],[Name Surname]],Manpower!$C$4:$C$1048576,Manpower!$H$4:$H$1048576,"")</f>
        <v>Manpower</v>
      </c>
      <c r="J1151" s="21" t="s">
        <v>48</v>
      </c>
      <c r="K1151" s="21" t="s">
        <v>26</v>
      </c>
      <c r="L1151" s="21" t="s">
        <v>49</v>
      </c>
      <c r="M1151" s="21" t="s">
        <v>24</v>
      </c>
      <c r="N1151" s="29">
        <v>10</v>
      </c>
      <c r="O1151" s="21" t="s">
        <v>25</v>
      </c>
      <c r="P1151" s="21" t="s">
        <v>41</v>
      </c>
      <c r="Q1151" s="21" t="s">
        <v>60</v>
      </c>
      <c r="R1151" s="21" t="s">
        <v>26</v>
      </c>
    </row>
    <row r="1152" spans="1:19" ht="14.4" hidden="1">
      <c r="A1152" s="33">
        <f>IF(C1152="","",MAX($A$1:A1151)+1)</f>
        <v>1103</v>
      </c>
      <c r="B1152" s="25" t="s">
        <v>19</v>
      </c>
      <c r="C1152" s="23">
        <v>46091</v>
      </c>
      <c r="D1152" s="28" t="str">
        <f>_xlfn.XLOOKUP(Table134526_79101120212223242526[[#This Row],[Name Surname]],Manpower!$C$4:$C$1048576,Manpower!$B$4:$B$1048576,"")</f>
        <v>Encogroup</v>
      </c>
      <c r="E1152" s="21" t="s">
        <v>75</v>
      </c>
      <c r="F1152" s="12">
        <f>_xlfn.XLOOKUP(Table134526_79101120212223242526[[#This Row],[Name Surname]],Manpower!C:C,Manpower!D:D,)</f>
        <v>122179604</v>
      </c>
      <c r="G1152" s="28" t="str">
        <f>_xlfn.XLOOKUP(Table134526_79101120212223242526[[#This Row],[Name Surname]],Manpower!$C$4:$C$1048576,Manpower!$F$4:$F$1048576,"")</f>
        <v>Fitter/Erector</v>
      </c>
      <c r="H1152" s="28" t="str">
        <f>_xlfn.XLOOKUP(Table134526_79101120212223242526[[#This Row],[Name Surname]],Manpower!$C$4:$C$1048576,Manpower!$H$4:$H$1048576,"")</f>
        <v>Manpower</v>
      </c>
      <c r="I1152" s="24" t="str">
        <f>_xlfn.XLOOKUP(Table134526_79101120212223242526[[#This Row],[Name Surname]],Manpower!$C$4:$C$1048576,Manpower!$H$4:$H$1048576,"")</f>
        <v>Manpower</v>
      </c>
      <c r="J1152" s="21" t="s">
        <v>48</v>
      </c>
      <c r="K1152" s="21" t="s">
        <v>26</v>
      </c>
      <c r="L1152" s="21" t="s">
        <v>49</v>
      </c>
      <c r="M1152" s="21" t="s">
        <v>24</v>
      </c>
      <c r="N1152" s="29">
        <v>10</v>
      </c>
      <c r="O1152" s="21" t="s">
        <v>25</v>
      </c>
      <c r="P1152" s="21" t="s">
        <v>41</v>
      </c>
      <c r="Q1152" s="21" t="s">
        <v>60</v>
      </c>
      <c r="R1152" s="21" t="s">
        <v>26</v>
      </c>
    </row>
    <row r="1153" spans="1:19" ht="14.4" hidden="1">
      <c r="A1153" s="33">
        <f>IF(C1153="","",MAX($A$1:A1152)+1)</f>
        <v>1104</v>
      </c>
      <c r="B1153" s="25" t="s">
        <v>19</v>
      </c>
      <c r="C1153" s="23">
        <v>46091</v>
      </c>
      <c r="D1153" s="28" t="str">
        <f>_xlfn.XLOOKUP(Table134526_79101120212223242526[[#This Row],[Name Surname]],Manpower!$C$4:$C$1048576,Manpower!$B$4:$B$1048576,"")</f>
        <v>Encogroup</v>
      </c>
      <c r="E1153" s="21" t="s">
        <v>78</v>
      </c>
      <c r="F1153" s="12">
        <f>_xlfn.XLOOKUP(Table134526_79101120212223242526[[#This Row],[Name Surname]],Manpower!C:C,Manpower!D:D,)</f>
        <v>117255966</v>
      </c>
      <c r="G1153" s="28" t="str">
        <f>_xlfn.XLOOKUP(Table134526_79101120212223242526[[#This Row],[Name Surname]],Manpower!$C$4:$C$1048576,Manpower!$F$4:$F$1048576,"")</f>
        <v>Mechanical Supervisor</v>
      </c>
      <c r="H1153" s="28" t="str">
        <f>_xlfn.XLOOKUP(Table134526_79101120212223242526[[#This Row],[Name Surname]],Manpower!$C$4:$C$1048576,Manpower!$H$4:$H$1048576,"")</f>
        <v>Manpower</v>
      </c>
      <c r="I1153" s="24" t="str">
        <f>_xlfn.XLOOKUP(Table134526_79101120212223242526[[#This Row],[Name Surname]],Manpower!$C$4:$C$1048576,Manpower!$H$4:$H$1048576,"")</f>
        <v>Manpower</v>
      </c>
      <c r="J1153" s="21" t="s">
        <v>48</v>
      </c>
      <c r="K1153" s="21" t="s">
        <v>26</v>
      </c>
      <c r="L1153" s="21" t="s">
        <v>49</v>
      </c>
      <c r="M1153" s="21" t="s">
        <v>24</v>
      </c>
      <c r="N1153" s="29">
        <v>10</v>
      </c>
      <c r="O1153" s="21" t="s">
        <v>25</v>
      </c>
      <c r="P1153" s="21" t="s">
        <v>41</v>
      </c>
      <c r="Q1153" s="21" t="s">
        <v>60</v>
      </c>
      <c r="R1153" s="21" t="s">
        <v>26</v>
      </c>
    </row>
    <row r="1154" spans="1:19" ht="14.4">
      <c r="A1154" s="33">
        <f>IF(C1154="","",MAX($A$1:A1153)+1)</f>
        <v>1105</v>
      </c>
      <c r="B1154" s="26" t="s">
        <v>79</v>
      </c>
      <c r="C1154" s="23">
        <v>46091</v>
      </c>
      <c r="D1154" s="28" t="str">
        <f>_xlfn.XLOOKUP(Table134526_79101120212223242526[[#This Row],[Name Surname]],Manpower!$C$4:$C$1048576,Manpower!$B$4:$B$1048576,"")</f>
        <v>Encogroup</v>
      </c>
      <c r="E1154" s="21" t="s">
        <v>80</v>
      </c>
      <c r="F1154" s="12" t="e">
        <f>_xlfn.XLOOKUP(Table134526_79101120212223242526[[#This Row],[Name Surname]],Manpower!C:C,Manpower!D:D,)</f>
        <v>#N/A</v>
      </c>
      <c r="G1154" s="28" t="str">
        <f>_xlfn.XLOOKUP(Table134526_79101120212223242526[[#This Row],[Name Surname]],Manpower!$C$4:$C$1048576,Manpower!$F$4:$F$1048576,"")</f>
        <v>22M-Manlift</v>
      </c>
      <c r="H1154" s="28" t="str">
        <f>_xlfn.XLOOKUP(Table134526_79101120212223242526[[#This Row],[Name Surname]],Manpower!$C$4:$C$1048576,Manpower!$H$4:$H$1048576,"")</f>
        <v>Equipment</v>
      </c>
      <c r="I1154" s="24" t="str">
        <f>_xlfn.XLOOKUP(Table134526_79101120212223242526[[#This Row],[Name Surname]],Manpower!$C$4:$C$1048576,Manpower!$H$4:$H$1048576,"")</f>
        <v>Equipment</v>
      </c>
      <c r="J1154" s="21" t="s">
        <v>35</v>
      </c>
      <c r="K1154" s="21" t="s">
        <v>104</v>
      </c>
      <c r="L1154" s="21" t="s">
        <v>82</v>
      </c>
      <c r="M1154" s="21" t="s">
        <v>24</v>
      </c>
      <c r="N1154" s="29">
        <v>10</v>
      </c>
      <c r="O1154" s="21" t="s">
        <v>25</v>
      </c>
      <c r="P1154" s="21" t="s">
        <v>41</v>
      </c>
      <c r="Q1154" s="21" t="s">
        <v>77</v>
      </c>
      <c r="R1154" s="21" t="s">
        <v>267</v>
      </c>
    </row>
    <row r="1155" spans="1:19" ht="14.4">
      <c r="A1155" s="33">
        <f>IF(C1155="","",MAX($A$1:A1154)+1)</f>
        <v>1106</v>
      </c>
      <c r="B1155" s="26" t="s">
        <v>79</v>
      </c>
      <c r="C1155" s="23">
        <v>46091</v>
      </c>
      <c r="D1155" s="28" t="str">
        <f>_xlfn.XLOOKUP(Table134526_79101120212223242526[[#This Row],[Name Surname]],Manpower!$C$4:$C$1048576,Manpower!$B$4:$B$1048576,"")</f>
        <v>Encogroup</v>
      </c>
      <c r="E1155" s="21" t="s">
        <v>84</v>
      </c>
      <c r="F1155" s="12" t="e">
        <f>_xlfn.XLOOKUP(Table134526_79101120212223242526[[#This Row],[Name Surname]],Manpower!C:C,Manpower!D:D,)</f>
        <v>#N/A</v>
      </c>
      <c r="G1155" s="28" t="str">
        <f>_xlfn.XLOOKUP(Table134526_79101120212223242526[[#This Row],[Name Surname]],Manpower!$C$4:$C$1048576,Manpower!$F$4:$F$1048576,"")</f>
        <v>22M-Manlift</v>
      </c>
      <c r="H1155" s="28" t="str">
        <f>_xlfn.XLOOKUP(Table134526_79101120212223242526[[#This Row],[Name Surname]],Manpower!$C$4:$C$1048576,Manpower!$H$4:$H$1048576,"")</f>
        <v>Equipment</v>
      </c>
      <c r="I1155" s="24" t="str">
        <f>_xlfn.XLOOKUP(Table134526_79101120212223242526[[#This Row],[Name Surname]],Manpower!$C$4:$C$1048576,Manpower!$H$4:$H$1048576,"")</f>
        <v>Equipment</v>
      </c>
      <c r="J1155" s="21" t="s">
        <v>35</v>
      </c>
      <c r="K1155" s="21" t="s">
        <v>98</v>
      </c>
      <c r="L1155" s="21" t="s">
        <v>82</v>
      </c>
      <c r="M1155" s="21" t="s">
        <v>24</v>
      </c>
      <c r="N1155" s="29">
        <v>10</v>
      </c>
      <c r="O1155" s="21" t="s">
        <v>25</v>
      </c>
      <c r="P1155" s="21" t="s">
        <v>41</v>
      </c>
      <c r="Q1155" s="21" t="s">
        <v>77</v>
      </c>
      <c r="R1155" s="21" t="s">
        <v>85</v>
      </c>
    </row>
    <row r="1156" spans="1:19" ht="14.4">
      <c r="A1156" s="33">
        <f>IF(C1156="","",MAX($A$1:A1155)+1)</f>
        <v>1107</v>
      </c>
      <c r="B1156" s="26" t="s">
        <v>79</v>
      </c>
      <c r="C1156" s="23">
        <v>46091</v>
      </c>
      <c r="D1156" s="28" t="str">
        <f>_xlfn.XLOOKUP(Table134526_79101120212223242526[[#This Row],[Name Surname]],Manpower!$C$4:$C$1048576,Manpower!$B$4:$B$1048576,"")</f>
        <v>Nass Group</v>
      </c>
      <c r="E1156" s="21" t="s">
        <v>86</v>
      </c>
      <c r="F1156" s="12" t="e">
        <f>_xlfn.XLOOKUP(Table134526_79101120212223242526[[#This Row],[Name Surname]],Manpower!C:C,Manpower!D:D,)</f>
        <v>#N/A</v>
      </c>
      <c r="G1156" s="28" t="str">
        <f>_xlfn.XLOOKUP(Table134526_79101120212223242526[[#This Row],[Name Surname]],Manpower!$C$4:$C$1048576,Manpower!$F$4:$F$1048576,"")</f>
        <v>70T-Telescopic crane</v>
      </c>
      <c r="H1156" s="28" t="str">
        <f>_xlfn.XLOOKUP(Table134526_79101120212223242526[[#This Row],[Name Surname]],Manpower!$C$4:$C$1048576,Manpower!$H$4:$H$1048576,"")</f>
        <v>Equipment</v>
      </c>
      <c r="I1156" s="24" t="str">
        <f>_xlfn.XLOOKUP(Table134526_79101120212223242526[[#This Row],[Name Surname]],Manpower!$C$4:$C$1048576,Manpower!$H$4:$H$1048576,"")</f>
        <v>Equipment</v>
      </c>
      <c r="J1156" s="21" t="s">
        <v>35</v>
      </c>
      <c r="K1156" s="21" t="s">
        <v>252</v>
      </c>
      <c r="L1156" s="21" t="s">
        <v>82</v>
      </c>
      <c r="M1156" s="21" t="s">
        <v>24</v>
      </c>
      <c r="N1156" s="29">
        <v>10</v>
      </c>
      <c r="O1156" s="21" t="s">
        <v>40</v>
      </c>
      <c r="P1156" s="21" t="s">
        <v>41</v>
      </c>
      <c r="Q1156" s="21" t="s">
        <v>42</v>
      </c>
      <c r="R1156" s="21" t="s">
        <v>268</v>
      </c>
    </row>
    <row r="1157" spans="1:19" s="45" customFormat="1" ht="14.4" hidden="1">
      <c r="A1157" s="25">
        <f>IF(C1157="","",MAX($A$1:A1156)+1)</f>
        <v>1108</v>
      </c>
      <c r="B1157" s="25" t="s">
        <v>79</v>
      </c>
      <c r="C1157" s="41">
        <v>46091</v>
      </c>
      <c r="D1157" s="48" t="str">
        <f>_xlfn.XLOOKUP(Table134526_79101120212223242526[[#This Row],[Name Surname]],Manpower!$C$4:$C$1048576,Manpower!$B$4:$B$1048576,"")</f>
        <v>Encogroup</v>
      </c>
      <c r="E1157" s="43" t="s">
        <v>87</v>
      </c>
      <c r="F1157" s="12">
        <f>_xlfn.XLOOKUP(Table134526_79101120212223242526[[#This Row],[Name Surname]],Manpower!C:C,Manpower!D:D,)</f>
        <v>126724428</v>
      </c>
      <c r="G1157" s="48" t="str">
        <f>_xlfn.XLOOKUP(Table134526_79101120212223242526[[#This Row],[Name Surname]],Manpower!$C$4:$C$1048576,Manpower!$F$4:$F$1048576,"")</f>
        <v>Surveyor</v>
      </c>
      <c r="H1157" s="48" t="str">
        <f>_xlfn.XLOOKUP(Table134526_79101120212223242526[[#This Row],[Name Surname]],Manpower!$C$4:$C$1048576,Manpower!$H$4:$H$1048576,"")</f>
        <v>Manpower</v>
      </c>
      <c r="I1157" s="42" t="str">
        <f>_xlfn.XLOOKUP(Table134526_79101120212223242526[[#This Row],[Name Surname]],Manpower!$C$4:$C$1048576,Manpower!$H$4:$H$1048576,"")</f>
        <v>Manpower</v>
      </c>
      <c r="J1157" s="43" t="s">
        <v>35</v>
      </c>
      <c r="K1157" s="43" t="s">
        <v>98</v>
      </c>
      <c r="L1157" s="43" t="s">
        <v>82</v>
      </c>
      <c r="M1157" s="43" t="s">
        <v>24</v>
      </c>
      <c r="N1157" s="44">
        <v>8</v>
      </c>
      <c r="O1157" s="43" t="s">
        <v>89</v>
      </c>
      <c r="P1157" s="43" t="s">
        <v>41</v>
      </c>
      <c r="Q1157" s="43" t="s">
        <v>41</v>
      </c>
      <c r="R1157" s="43" t="s">
        <v>233</v>
      </c>
      <c r="S1157" s="43"/>
    </row>
    <row r="1158" spans="1:19" ht="14.4" hidden="1">
      <c r="A1158" s="33">
        <f>IF(C1158="","",MAX($A$1:A1157)+1)</f>
        <v>1109</v>
      </c>
      <c r="B1158" s="26" t="s">
        <v>79</v>
      </c>
      <c r="C1158" s="23">
        <v>46091</v>
      </c>
      <c r="D1158" s="28" t="str">
        <f>_xlfn.XLOOKUP(Table134526_79101120212223242526[[#This Row],[Name Surname]],Manpower!$C$4:$C$1048576,Manpower!$B$4:$B$1048576,"")</f>
        <v>Encogroup</v>
      </c>
      <c r="E1158" s="21" t="s">
        <v>34</v>
      </c>
      <c r="F1158" s="12">
        <f>_xlfn.XLOOKUP(Table134526_79101120212223242526[[#This Row],[Name Surname]],Manpower!C:C,Manpower!D:D,)</f>
        <v>141365023</v>
      </c>
      <c r="G1158" s="28" t="str">
        <f>_xlfn.XLOOKUP(Table134526_79101120212223242526[[#This Row],[Name Surname]],Manpower!$C$4:$C$1048576,Manpower!$F$4:$F$1048576,"")</f>
        <v>Grinder</v>
      </c>
      <c r="H1158" s="28" t="str">
        <f>_xlfn.XLOOKUP(Table134526_79101120212223242526[[#This Row],[Name Surname]],Manpower!$C$4:$C$1048576,Manpower!$H$4:$H$1048576,"")</f>
        <v>Manpower</v>
      </c>
      <c r="I1158" s="24" t="str">
        <f>_xlfn.XLOOKUP(Table134526_79101120212223242526[[#This Row],[Name Surname]],Manpower!$C$4:$C$1048576,Manpower!$H$4:$H$1048576,"")</f>
        <v>Manpower</v>
      </c>
      <c r="J1158" s="21" t="s">
        <v>35</v>
      </c>
      <c r="K1158" s="21" t="s">
        <v>98</v>
      </c>
      <c r="L1158" s="21" t="s">
        <v>82</v>
      </c>
      <c r="M1158" s="21" t="s">
        <v>24</v>
      </c>
      <c r="N1158" s="29">
        <v>8</v>
      </c>
      <c r="O1158" s="21" t="s">
        <v>89</v>
      </c>
      <c r="P1158" s="21" t="s">
        <v>41</v>
      </c>
      <c r="Q1158" s="21" t="s">
        <v>41</v>
      </c>
      <c r="R1158" s="21" t="s">
        <v>233</v>
      </c>
    </row>
    <row r="1159" spans="1:19" s="45" customFormat="1" ht="14.4" hidden="1">
      <c r="A1159" s="25">
        <f>IF(C1159="","",MAX($A$1:A1158)+1)</f>
        <v>1110</v>
      </c>
      <c r="B1159" s="25" t="s">
        <v>79</v>
      </c>
      <c r="C1159" s="41">
        <v>46091</v>
      </c>
      <c r="D1159" s="48" t="str">
        <f>_xlfn.XLOOKUP(Table134526_79101120212223242526[[#This Row],[Name Surname]],Manpower!$C$4:$C$1048576,Manpower!$B$4:$B$1048576,"")</f>
        <v>Encogroup</v>
      </c>
      <c r="E1159" s="43" t="s">
        <v>91</v>
      </c>
      <c r="F1159" s="12">
        <f>_xlfn.XLOOKUP(Table134526_79101120212223242526[[#This Row],[Name Surname]],Manpower!C:C,Manpower!D:D,)</f>
        <v>132915855</v>
      </c>
      <c r="G1159" s="48" t="str">
        <f>_xlfn.XLOOKUP(Table134526_79101120212223242526[[#This Row],[Name Surname]],Manpower!$C$4:$C$1048576,Manpower!$F$4:$F$1048576,"")</f>
        <v>Mechanical Supervisor</v>
      </c>
      <c r="H1159" s="48" t="str">
        <f>_xlfn.XLOOKUP(Table134526_79101120212223242526[[#This Row],[Name Surname]],Manpower!$C$4:$C$1048576,Manpower!$H$4:$H$1048576,"")</f>
        <v>Manpower</v>
      </c>
      <c r="I1159" s="42" t="str">
        <f>_xlfn.XLOOKUP(Table134526_79101120212223242526[[#This Row],[Name Surname]],Manpower!$C$4:$C$1048576,Manpower!$H$4:$H$1048576,"")</f>
        <v>Manpower</v>
      </c>
      <c r="J1159" s="43" t="s">
        <v>35</v>
      </c>
      <c r="K1159" s="43" t="s">
        <v>252</v>
      </c>
      <c r="L1159" s="43" t="s">
        <v>82</v>
      </c>
      <c r="M1159" s="43" t="s">
        <v>24</v>
      </c>
      <c r="N1159" s="44">
        <v>8</v>
      </c>
      <c r="O1159" s="43" t="s">
        <v>25</v>
      </c>
      <c r="P1159" s="43" t="s">
        <v>60</v>
      </c>
      <c r="Q1159" s="43" t="s">
        <v>60</v>
      </c>
      <c r="R1159" s="43" t="s">
        <v>269</v>
      </c>
      <c r="S1159" s="43"/>
    </row>
    <row r="1160" spans="1:19" s="45" customFormat="1" ht="14.4" hidden="1">
      <c r="A1160" s="25">
        <f>IF(C1160="","",MAX($A$1:A1159)+1)</f>
        <v>1111</v>
      </c>
      <c r="B1160" s="25" t="s">
        <v>79</v>
      </c>
      <c r="C1160" s="41">
        <v>46091</v>
      </c>
      <c r="D1160" s="48" t="str">
        <f>_xlfn.XLOOKUP(Table134526_79101120212223242526[[#This Row],[Name Surname]],Manpower!$C$4:$C$1048576,Manpower!$B$4:$B$1048576,"")</f>
        <v>Encogroup</v>
      </c>
      <c r="E1160" s="43" t="s">
        <v>97</v>
      </c>
      <c r="F1160" s="12">
        <f>_xlfn.XLOOKUP(Table134526_79101120212223242526[[#This Row],[Name Surname]],Manpower!C:C,Manpower!D:D,)</f>
        <v>141359235</v>
      </c>
      <c r="G1160" s="48" t="str">
        <f>_xlfn.XLOOKUP(Table134526_79101120212223242526[[#This Row],[Name Surname]],Manpower!$C$4:$C$1048576,Manpower!$F$4:$F$1048576,"")</f>
        <v>Fitter</v>
      </c>
      <c r="H1160" s="48" t="str">
        <f>_xlfn.XLOOKUP(Table134526_79101120212223242526[[#This Row],[Name Surname]],Manpower!$C$4:$C$1048576,Manpower!$H$4:$H$1048576,"")</f>
        <v>Manpower</v>
      </c>
      <c r="I1160" s="42" t="str">
        <f>_xlfn.XLOOKUP(Table134526_79101120212223242526[[#This Row],[Name Surname]],Manpower!$C$4:$C$1048576,Manpower!$H$4:$H$1048576,"")</f>
        <v>Manpower</v>
      </c>
      <c r="J1160" s="43" t="s">
        <v>35</v>
      </c>
      <c r="K1160" s="43" t="s">
        <v>98</v>
      </c>
      <c r="L1160" s="43" t="s">
        <v>82</v>
      </c>
      <c r="M1160" s="43" t="s">
        <v>24</v>
      </c>
      <c r="N1160" s="44">
        <v>10</v>
      </c>
      <c r="O1160" s="43" t="s">
        <v>25</v>
      </c>
      <c r="P1160" s="43" t="s">
        <v>41</v>
      </c>
      <c r="Q1160" s="43" t="s">
        <v>77</v>
      </c>
      <c r="R1160" s="43" t="s">
        <v>85</v>
      </c>
      <c r="S1160" s="43"/>
    </row>
    <row r="1161" spans="1:19" s="45" customFormat="1" ht="14.4" hidden="1">
      <c r="A1161" s="25">
        <f>IF(C1161="","",MAX($A$1:A1160)+1)</f>
        <v>1112</v>
      </c>
      <c r="B1161" s="25" t="s">
        <v>79</v>
      </c>
      <c r="C1161" s="41">
        <v>46091</v>
      </c>
      <c r="D1161" s="48" t="str">
        <f>_xlfn.XLOOKUP(Table134526_79101120212223242526[[#This Row],[Name Surname]],Manpower!$C$4:$C$1048576,Manpower!$B$4:$B$1048576,"")</f>
        <v>Encogroup</v>
      </c>
      <c r="E1161" s="43" t="s">
        <v>99</v>
      </c>
      <c r="F1161" s="12">
        <f>_xlfn.XLOOKUP(Table134526_79101120212223242526[[#This Row],[Name Surname]],Manpower!C:C,Manpower!D:D,)</f>
        <v>140697025</v>
      </c>
      <c r="G1161" s="48" t="str">
        <f>_xlfn.XLOOKUP(Table134526_79101120212223242526[[#This Row],[Name Surname]],Manpower!$C$4:$C$1048576,Manpower!$F$4:$F$1048576,"")</f>
        <v>Assistant/Helper</v>
      </c>
      <c r="H1161" s="48" t="str">
        <f>_xlfn.XLOOKUP(Table134526_79101120212223242526[[#This Row],[Name Surname]],Manpower!$C$4:$C$1048576,Manpower!$H$4:$H$1048576,"")</f>
        <v>Manpower</v>
      </c>
      <c r="I1161" s="42" t="str">
        <f>_xlfn.XLOOKUP(Table134526_79101120212223242526[[#This Row],[Name Surname]],Manpower!$C$4:$C$1048576,Manpower!$H$4:$H$1048576,"")</f>
        <v>Manpower</v>
      </c>
      <c r="J1161" s="43" t="s">
        <v>35</v>
      </c>
      <c r="K1161" s="43" t="s">
        <v>81</v>
      </c>
      <c r="L1161" s="43" t="s">
        <v>82</v>
      </c>
      <c r="M1161" s="43" t="s">
        <v>24</v>
      </c>
      <c r="N1161" s="44">
        <v>10</v>
      </c>
      <c r="O1161" s="43" t="s">
        <v>25</v>
      </c>
      <c r="P1161" s="43" t="s">
        <v>41</v>
      </c>
      <c r="Q1161" s="43" t="s">
        <v>60</v>
      </c>
      <c r="R1161" s="43" t="s">
        <v>100</v>
      </c>
      <c r="S1161" s="43"/>
    </row>
    <row r="1162" spans="1:19" s="45" customFormat="1" ht="14.4" hidden="1">
      <c r="A1162" s="25">
        <f>IF(C1162="","",MAX($A$1:A1161)+1)</f>
        <v>1113</v>
      </c>
      <c r="B1162" s="25" t="s">
        <v>79</v>
      </c>
      <c r="C1162" s="41">
        <v>46091</v>
      </c>
      <c r="D1162" s="48" t="str">
        <f>_xlfn.XLOOKUP(Table134526_79101120212223242526[[#This Row],[Name Surname]],Manpower!$C$4:$C$1048576,Manpower!$B$4:$B$1048576,"")</f>
        <v>Encogroup</v>
      </c>
      <c r="E1162" s="43" t="s">
        <v>101</v>
      </c>
      <c r="F1162" s="12">
        <f>_xlfn.XLOOKUP(Table134526_79101120212223242526[[#This Row],[Name Surname]],Manpower!C:C,Manpower!D:D,)</f>
        <v>141169052</v>
      </c>
      <c r="G1162" s="48" t="str">
        <f>_xlfn.XLOOKUP(Table134526_79101120212223242526[[#This Row],[Name Surname]],Manpower!$C$4:$C$1048576,Manpower!$F$4:$F$1048576,"")</f>
        <v>Welder</v>
      </c>
      <c r="H1162" s="48" t="str">
        <f>_xlfn.XLOOKUP(Table134526_79101120212223242526[[#This Row],[Name Surname]],Manpower!$C$4:$C$1048576,Manpower!$H$4:$H$1048576,"")</f>
        <v>Manpower</v>
      </c>
      <c r="I1162" s="42" t="str">
        <f>_xlfn.XLOOKUP(Table134526_79101120212223242526[[#This Row],[Name Surname]],Manpower!$C$4:$C$1048576,Manpower!$H$4:$H$1048576,"")</f>
        <v>Manpower</v>
      </c>
      <c r="J1162" s="43" t="s">
        <v>35</v>
      </c>
      <c r="K1162" s="43" t="s">
        <v>104</v>
      </c>
      <c r="L1162" s="43" t="s">
        <v>82</v>
      </c>
      <c r="M1162" s="43" t="s">
        <v>24</v>
      </c>
      <c r="N1162" s="44">
        <v>10</v>
      </c>
      <c r="O1162" s="43" t="s">
        <v>25</v>
      </c>
      <c r="P1162" s="43" t="s">
        <v>41</v>
      </c>
      <c r="Q1162" s="43" t="s">
        <v>77</v>
      </c>
      <c r="R1162" s="43" t="s">
        <v>267</v>
      </c>
      <c r="S1162" s="43"/>
    </row>
    <row r="1163" spans="1:19" s="45" customFormat="1" ht="14.4" hidden="1">
      <c r="A1163" s="25">
        <f>IF(C1163="","",MAX($A$1:A1162)+1)</f>
        <v>1114</v>
      </c>
      <c r="B1163" s="25" t="s">
        <v>79</v>
      </c>
      <c r="C1163" s="41">
        <v>46091</v>
      </c>
      <c r="D1163" s="48" t="str">
        <f>_xlfn.XLOOKUP(Table134526_79101120212223242526[[#This Row],[Name Surname]],Manpower!$C$4:$C$1048576,Manpower!$B$4:$B$1048576,"")</f>
        <v>Encogroup</v>
      </c>
      <c r="E1163" s="43" t="s">
        <v>102</v>
      </c>
      <c r="F1163" s="12">
        <f>_xlfn.XLOOKUP(Table134526_79101120212223242526[[#This Row],[Name Surname]],Manpower!C:C,Manpower!D:D,)</f>
        <v>141365075</v>
      </c>
      <c r="G1163" s="48" t="str">
        <f>_xlfn.XLOOKUP(Table134526_79101120212223242526[[#This Row],[Name Surname]],Manpower!$C$4:$C$1048576,Manpower!$F$4:$F$1048576,"")</f>
        <v>Helper</v>
      </c>
      <c r="H1163" s="48" t="str">
        <f>_xlfn.XLOOKUP(Table134526_79101120212223242526[[#This Row],[Name Surname]],Manpower!$C$4:$C$1048576,Manpower!$H$4:$H$1048576,"")</f>
        <v>Manpower</v>
      </c>
      <c r="I1163" s="42" t="str">
        <f>_xlfn.XLOOKUP(Table134526_79101120212223242526[[#This Row],[Name Surname]],Manpower!$C$4:$C$1048576,Manpower!$H$4:$H$1048576,"")</f>
        <v>Manpower</v>
      </c>
      <c r="J1163" s="43" t="s">
        <v>35</v>
      </c>
      <c r="K1163" s="43" t="s">
        <v>98</v>
      </c>
      <c r="L1163" s="43" t="s">
        <v>82</v>
      </c>
      <c r="M1163" s="43" t="s">
        <v>24</v>
      </c>
      <c r="N1163" s="44">
        <v>10</v>
      </c>
      <c r="O1163" s="43" t="s">
        <v>89</v>
      </c>
      <c r="P1163" s="43" t="s">
        <v>41</v>
      </c>
      <c r="Q1163" s="43" t="s">
        <v>41</v>
      </c>
      <c r="R1163" s="43" t="s">
        <v>233</v>
      </c>
      <c r="S1163" s="43" t="s">
        <v>45</v>
      </c>
    </row>
    <row r="1164" spans="1:19" s="45" customFormat="1" ht="14.4" hidden="1">
      <c r="A1164" s="25">
        <f>IF(C1164="","",MAX($A$1:A1163)+1)</f>
        <v>1115</v>
      </c>
      <c r="B1164" s="25" t="s">
        <v>79</v>
      </c>
      <c r="C1164" s="41">
        <v>46091</v>
      </c>
      <c r="D1164" s="48" t="str">
        <f>_xlfn.XLOOKUP(Table134526_79101120212223242526[[#This Row],[Name Surname]],Manpower!$C$4:$C$1048576,Manpower!$B$4:$B$1048576,"")</f>
        <v>SARENS NASS</v>
      </c>
      <c r="E1164" s="43" t="s">
        <v>103</v>
      </c>
      <c r="F1164" s="12">
        <f>_xlfn.XLOOKUP(Table134526_79101120212223242526[[#This Row],[Name Surname]],Manpower!C:C,Manpower!D:D,)</f>
        <v>79502392</v>
      </c>
      <c r="G1164" s="48" t="str">
        <f>_xlfn.XLOOKUP(Table134526_79101120212223242526[[#This Row],[Name Surname]],Manpower!$C$4:$C$1048576,Manpower!$F$4:$F$1048576,"")</f>
        <v>Crane Operator- 70T Liebherr Telescopic Crane-01</v>
      </c>
      <c r="H1164" s="48" t="s">
        <v>39</v>
      </c>
      <c r="I1164" s="42" t="s">
        <v>39</v>
      </c>
      <c r="J1164" s="43" t="s">
        <v>35</v>
      </c>
      <c r="K1164" s="43" t="s">
        <v>252</v>
      </c>
      <c r="L1164" s="43" t="s">
        <v>82</v>
      </c>
      <c r="M1164" s="43" t="s">
        <v>24</v>
      </c>
      <c r="N1164" s="44">
        <v>10</v>
      </c>
      <c r="O1164" s="43" t="s">
        <v>40</v>
      </c>
      <c r="P1164" s="43" t="s">
        <v>41</v>
      </c>
      <c r="Q1164" s="43" t="s">
        <v>42</v>
      </c>
      <c r="R1164" s="43" t="s">
        <v>43</v>
      </c>
      <c r="S1164" s="43"/>
    </row>
    <row r="1165" spans="1:19" s="45" customFormat="1" ht="14.4" hidden="1">
      <c r="A1165" s="25">
        <f>IF(C1165="","",MAX($A$1:A1164)+1)</f>
        <v>1116</v>
      </c>
      <c r="B1165" s="25" t="s">
        <v>79</v>
      </c>
      <c r="C1165" s="41">
        <v>46091</v>
      </c>
      <c r="D1165" s="48" t="str">
        <f>_xlfn.XLOOKUP(Table134526_79101120212223242526[[#This Row],[Name Surname]],Manpower!$C$4:$C$1048576,Manpower!$B$4:$B$1048576,"")</f>
        <v>Encogroup</v>
      </c>
      <c r="E1165" s="43" t="s">
        <v>105</v>
      </c>
      <c r="F1165" s="12">
        <f>_xlfn.XLOOKUP(Table134526_79101120212223242526[[#This Row],[Name Surname]],Manpower!C:C,Manpower!D:D,)</f>
        <v>141358993</v>
      </c>
      <c r="G1165" s="48" t="str">
        <f>_xlfn.XLOOKUP(Table134526_79101120212223242526[[#This Row],[Name Surname]],Manpower!$C$4:$C$1048576,Manpower!$F$4:$F$1048576,"")</f>
        <v>Fitter</v>
      </c>
      <c r="H1165" s="48" t="str">
        <f>_xlfn.XLOOKUP(Table134526_79101120212223242526[[#This Row],[Name Surname]],Manpower!$C$4:$C$1048576,Manpower!$H$4:$H$1048576,"")</f>
        <v>Manpower</v>
      </c>
      <c r="I1165" s="42" t="str">
        <f>_xlfn.XLOOKUP(Table134526_79101120212223242526[[#This Row],[Name Surname]],Manpower!$C$4:$C$1048576,Manpower!$H$4:$H$1048576,"")</f>
        <v>Manpower</v>
      </c>
      <c r="J1165" s="43" t="s">
        <v>35</v>
      </c>
      <c r="K1165" s="43" t="s">
        <v>98</v>
      </c>
      <c r="L1165" s="43" t="s">
        <v>82</v>
      </c>
      <c r="M1165" s="43" t="s">
        <v>24</v>
      </c>
      <c r="N1165" s="44">
        <v>8</v>
      </c>
      <c r="O1165" s="43" t="s">
        <v>25</v>
      </c>
      <c r="P1165" s="43" t="s">
        <v>41</v>
      </c>
      <c r="Q1165" s="43" t="s">
        <v>77</v>
      </c>
      <c r="R1165" s="43" t="s">
        <v>85</v>
      </c>
      <c r="S1165" s="43"/>
    </row>
    <row r="1166" spans="1:19" s="45" customFormat="1" ht="14.4" hidden="1">
      <c r="A1166" s="25">
        <f>IF(C1166="","",MAX($A$1:A1165)+1)</f>
        <v>1117</v>
      </c>
      <c r="B1166" s="25" t="s">
        <v>79</v>
      </c>
      <c r="C1166" s="41">
        <v>46091</v>
      </c>
      <c r="D1166" s="48" t="str">
        <f>_xlfn.XLOOKUP(Table134526_79101120212223242526[[#This Row],[Name Surname]],Manpower!$C$4:$C$1048576,Manpower!$B$4:$B$1048576,"")</f>
        <v>Encogroup</v>
      </c>
      <c r="E1166" s="43" t="s">
        <v>106</v>
      </c>
      <c r="F1166" s="12" t="str">
        <f>_xlfn.XLOOKUP(Table134526_79101120212223242526[[#This Row],[Name Surname]],Manpower!C:C,Manpower!D:D,)</f>
        <v>R3971143</v>
      </c>
      <c r="G1166" s="48" t="str">
        <f>_xlfn.XLOOKUP(Table134526_79101120212223242526[[#This Row],[Name Surname]],Manpower!$C$4:$C$1048576,Manpower!$F$4:$F$1048576,"")</f>
        <v>Mechanical Foreman</v>
      </c>
      <c r="H1166" s="48" t="str">
        <f>_xlfn.XLOOKUP(Table134526_79101120212223242526[[#This Row],[Name Surname]],Manpower!$C$4:$C$1048576,Manpower!$H$4:$H$1048576,"")</f>
        <v>Manpower</v>
      </c>
      <c r="I1166" s="42" t="str">
        <f>_xlfn.XLOOKUP(Table134526_79101120212223242526[[#This Row],[Name Surname]],Manpower!$C$4:$C$1048576,Manpower!$H$4:$H$1048576,"")</f>
        <v>Manpower</v>
      </c>
      <c r="J1166" s="43" t="s">
        <v>35</v>
      </c>
      <c r="K1166" s="43" t="s">
        <v>252</v>
      </c>
      <c r="L1166" s="43" t="s">
        <v>82</v>
      </c>
      <c r="M1166" s="43" t="s">
        <v>24</v>
      </c>
      <c r="N1166" s="44">
        <v>10</v>
      </c>
      <c r="O1166" s="43" t="s">
        <v>25</v>
      </c>
      <c r="P1166" s="43" t="s">
        <v>41</v>
      </c>
      <c r="Q1166" s="43" t="s">
        <v>60</v>
      </c>
      <c r="R1166" s="43" t="s">
        <v>268</v>
      </c>
      <c r="S1166" s="43"/>
    </row>
    <row r="1167" spans="1:19" s="45" customFormat="1" ht="14.4" hidden="1">
      <c r="A1167" s="25">
        <f>IF(C1167="","",MAX($A$1:A1166)+1)</f>
        <v>1118</v>
      </c>
      <c r="B1167" s="25" t="s">
        <v>79</v>
      </c>
      <c r="C1167" s="41">
        <v>46091</v>
      </c>
      <c r="D1167" s="48" t="str">
        <f>_xlfn.XLOOKUP(Table134526_79101120212223242526[[#This Row],[Name Surname]],Manpower!$C$4:$C$1048576,Manpower!$B$4:$B$1048576,"")</f>
        <v>Encogroup</v>
      </c>
      <c r="E1167" s="43" t="s">
        <v>107</v>
      </c>
      <c r="F1167" s="12">
        <f>_xlfn.XLOOKUP(Table134526_79101120212223242526[[#This Row],[Name Surname]],Manpower!C:C,Manpower!D:D,)</f>
        <v>116858297</v>
      </c>
      <c r="G1167" s="48" t="str">
        <f>_xlfn.XLOOKUP(Table134526_79101120212223242526[[#This Row],[Name Surname]],Manpower!$C$4:$C$1048576,Manpower!$F$4:$F$1048576,"")</f>
        <v>Mechanical Superintendent</v>
      </c>
      <c r="H1167" s="48" t="str">
        <f>_xlfn.XLOOKUP(Table134526_79101120212223242526[[#This Row],[Name Surname]],Manpower!$C$4:$C$1048576,Manpower!$H$4:$H$1048576,"")</f>
        <v>Manpower</v>
      </c>
      <c r="I1167" s="42" t="str">
        <f>_xlfn.XLOOKUP(Table134526_79101120212223242526[[#This Row],[Name Surname]],Manpower!$C$4:$C$1048576,Manpower!$H$4:$H$1048576,"")</f>
        <v>Manpower</v>
      </c>
      <c r="J1167" s="43" t="s">
        <v>35</v>
      </c>
      <c r="K1167" s="43" t="s">
        <v>257</v>
      </c>
      <c r="L1167" s="43" t="s">
        <v>82</v>
      </c>
      <c r="M1167" s="43" t="s">
        <v>24</v>
      </c>
      <c r="N1167" s="44">
        <v>8</v>
      </c>
      <c r="O1167" s="43" t="s">
        <v>25</v>
      </c>
      <c r="P1167" s="43" t="s">
        <v>41</v>
      </c>
      <c r="Q1167" s="43" t="s">
        <v>60</v>
      </c>
      <c r="R1167" s="43" t="s">
        <v>269</v>
      </c>
      <c r="S1167" s="43"/>
    </row>
    <row r="1168" spans="1:19" ht="14.4" hidden="1">
      <c r="A1168" s="33">
        <f>IF(C1168="","",MAX($A$1:A1167)+1)</f>
        <v>1119</v>
      </c>
      <c r="B1168" s="26" t="s">
        <v>79</v>
      </c>
      <c r="C1168" s="23">
        <v>46091</v>
      </c>
      <c r="D1168" s="28" t="str">
        <f>_xlfn.XLOOKUP(Table134526_79101120212223242526[[#This Row],[Name Surname]],Manpower!$C$4:$C$1048576,Manpower!$B$4:$B$1048576,"")</f>
        <v>Encogroup</v>
      </c>
      <c r="E1168" s="21" t="s">
        <v>126</v>
      </c>
      <c r="F1168" s="12">
        <f>_xlfn.XLOOKUP(Table134526_79101120212223242526[[#This Row],[Name Surname]],Manpower!C:C,Manpower!D:D,)</f>
        <v>140805568</v>
      </c>
      <c r="G1168" s="28" t="str">
        <f>_xlfn.XLOOKUP(Table134526_79101120212223242526[[#This Row],[Name Surname]],Manpower!$C$4:$C$1048576,Manpower!$F$4:$F$1048576,"")</f>
        <v>Assistant/Helper</v>
      </c>
      <c r="H1168" s="28" t="str">
        <f>_xlfn.XLOOKUP(Table134526_79101120212223242526[[#This Row],[Name Surname]],Manpower!$C$4:$C$1048576,Manpower!$H$4:$H$1048576,"")</f>
        <v>Manpower</v>
      </c>
      <c r="I1168" s="24" t="str">
        <f>_xlfn.XLOOKUP(Table134526_79101120212223242526[[#This Row],[Name Surname]],Manpower!$C$4:$C$1048576,Manpower!$H$4:$H$1048576,"")</f>
        <v>Manpower</v>
      </c>
      <c r="J1168" s="21" t="s">
        <v>35</v>
      </c>
      <c r="K1168" s="21" t="s">
        <v>257</v>
      </c>
      <c r="L1168" s="21" t="s">
        <v>82</v>
      </c>
      <c r="M1168" s="21" t="s">
        <v>24</v>
      </c>
      <c r="N1168" s="29">
        <v>10</v>
      </c>
      <c r="O1168" s="21" t="s">
        <v>40</v>
      </c>
      <c r="P1168" s="21" t="s">
        <v>41</v>
      </c>
      <c r="Q1168" s="21" t="s">
        <v>128</v>
      </c>
      <c r="R1168" s="21" t="s">
        <v>270</v>
      </c>
    </row>
    <row r="1169" spans="1:19" s="45" customFormat="1" ht="14.4" hidden="1">
      <c r="A1169" s="25">
        <f>IF(C1169="","",MAX($A$1:A1168)+1)</f>
        <v>1120</v>
      </c>
      <c r="B1169" s="25" t="s">
        <v>79</v>
      </c>
      <c r="C1169" s="41">
        <v>46091</v>
      </c>
      <c r="D1169" s="48" t="str">
        <f>_xlfn.XLOOKUP(Table134526_79101120212223242526[[#This Row],[Name Surname]],Manpower!$C$4:$C$1048576,Manpower!$B$4:$B$1048576,"")</f>
        <v>Encogroup</v>
      </c>
      <c r="E1169" s="43" t="s">
        <v>109</v>
      </c>
      <c r="F1169" s="12">
        <f>_xlfn.XLOOKUP(Table134526_79101120212223242526[[#This Row],[Name Surname]],Manpower!C:C,Manpower!D:D,)</f>
        <v>123805496</v>
      </c>
      <c r="G1169" s="48" t="str">
        <f>_xlfn.XLOOKUP(Table134526_79101120212223242526[[#This Row],[Name Surname]],Manpower!$C$4:$C$1048576,Manpower!$F$4:$F$1048576,"")</f>
        <v>Fitter/Erector</v>
      </c>
      <c r="H1169" s="48" t="str">
        <f>_xlfn.XLOOKUP(Table134526_79101120212223242526[[#This Row],[Name Surname]],Manpower!$C$4:$C$1048576,Manpower!$H$4:$H$1048576,"")</f>
        <v>Manpower</v>
      </c>
      <c r="I1169" s="42" t="str">
        <f>_xlfn.XLOOKUP(Table134526_79101120212223242526[[#This Row],[Name Surname]],Manpower!$C$4:$C$1048576,Manpower!$H$4:$H$1048576,"")</f>
        <v>Manpower</v>
      </c>
      <c r="J1169" s="43" t="s">
        <v>35</v>
      </c>
      <c r="K1169" s="43" t="s">
        <v>252</v>
      </c>
      <c r="L1169" s="43" t="s">
        <v>82</v>
      </c>
      <c r="M1169" s="43" t="s">
        <v>24</v>
      </c>
      <c r="N1169" s="44">
        <v>8</v>
      </c>
      <c r="O1169" s="43" t="s">
        <v>25</v>
      </c>
      <c r="P1169" s="43" t="s">
        <v>41</v>
      </c>
      <c r="Q1169" s="43" t="s">
        <v>60</v>
      </c>
      <c r="R1169" s="43" t="s">
        <v>268</v>
      </c>
      <c r="S1169" s="43"/>
    </row>
    <row r="1170" spans="1:19" ht="14.4" hidden="1">
      <c r="A1170" s="33">
        <f>IF(C1170="","",MAX($A$1:A1169)+1)</f>
        <v>1121</v>
      </c>
      <c r="B1170" s="26" t="s">
        <v>79</v>
      </c>
      <c r="C1170" s="23">
        <v>46091</v>
      </c>
      <c r="D1170" s="28" t="str">
        <f>_xlfn.XLOOKUP(Table134526_79101120212223242526[[#This Row],[Name Surname]],Manpower!$C$4:$C$1048576,Manpower!$B$4:$B$1048576,"")</f>
        <v>Encogroup</v>
      </c>
      <c r="E1170" s="21" t="s">
        <v>110</v>
      </c>
      <c r="F1170" s="12">
        <f>_xlfn.XLOOKUP(Table134526_79101120212223242526[[#This Row],[Name Surname]],Manpower!C:C,Manpower!D:D,)</f>
        <v>136277866</v>
      </c>
      <c r="G1170" s="28" t="str">
        <f>_xlfn.XLOOKUP(Table134526_79101120212223242526[[#This Row],[Name Surname]],Manpower!$C$4:$C$1048576,Manpower!$F$4:$F$1048576,"")</f>
        <v>Permit Receiver</v>
      </c>
      <c r="H1170" s="28" t="str">
        <f>_xlfn.XLOOKUP(Table134526_79101120212223242526[[#This Row],[Name Surname]],Manpower!$C$4:$C$1048576,Manpower!$H$4:$H$1048576,"")</f>
        <v>Manpower</v>
      </c>
      <c r="I1170" s="24" t="str">
        <f>_xlfn.XLOOKUP(Table134526_79101120212223242526[[#This Row],[Name Surname]],Manpower!$C$4:$C$1048576,Manpower!$H$4:$H$1048576,"")</f>
        <v>Manpower</v>
      </c>
      <c r="J1170" s="21" t="s">
        <v>35</v>
      </c>
      <c r="K1170" s="21" t="s">
        <v>252</v>
      </c>
      <c r="L1170" s="21" t="s">
        <v>82</v>
      </c>
      <c r="M1170" s="21" t="s">
        <v>24</v>
      </c>
      <c r="N1170" s="29">
        <v>10</v>
      </c>
      <c r="O1170" s="21" t="s">
        <v>25</v>
      </c>
      <c r="P1170" s="21" t="s">
        <v>41</v>
      </c>
      <c r="Q1170" s="21" t="s">
        <v>60</v>
      </c>
      <c r="R1170" s="21" t="s">
        <v>268</v>
      </c>
    </row>
    <row r="1171" spans="1:19" s="45" customFormat="1" ht="14.4" hidden="1">
      <c r="A1171" s="25">
        <f>IF(C1171="","",MAX($A$1:A1170)+1)</f>
        <v>1122</v>
      </c>
      <c r="B1171" s="25" t="s">
        <v>79</v>
      </c>
      <c r="C1171" s="41">
        <v>46091</v>
      </c>
      <c r="D1171" s="48" t="str">
        <f>_xlfn.XLOOKUP(Table134526_79101120212223242526[[#This Row],[Name Surname]],Manpower!$C$4:$C$1048576,Manpower!$B$4:$B$1048576,"")</f>
        <v>Encogroup</v>
      </c>
      <c r="E1171" s="43" t="s">
        <v>111</v>
      </c>
      <c r="F1171" s="12">
        <f>_xlfn.XLOOKUP(Table134526_79101120212223242526[[#This Row],[Name Surname]],Manpower!C:C,Manpower!D:D,)</f>
        <v>120653364</v>
      </c>
      <c r="G1171" s="48" t="str">
        <f>_xlfn.XLOOKUP(Table134526_79101120212223242526[[#This Row],[Name Surname]],Manpower!$C$4:$C$1048576,Manpower!$F$4:$F$1048576,"")</f>
        <v>Surveyor</v>
      </c>
      <c r="H1171" s="48" t="str">
        <f>_xlfn.XLOOKUP(Table134526_79101120212223242526[[#This Row],[Name Surname]],Manpower!$C$4:$C$1048576,Manpower!$H$4:$H$1048576,"")</f>
        <v>Manpower</v>
      </c>
      <c r="I1171" s="42" t="str">
        <f>_xlfn.XLOOKUP(Table134526_79101120212223242526[[#This Row],[Name Surname]],Manpower!$C$4:$C$1048576,Manpower!$H$4:$H$1048576,"")</f>
        <v>Manpower</v>
      </c>
      <c r="J1171" s="43" t="s">
        <v>135</v>
      </c>
      <c r="K1171" s="43" t="s">
        <v>98</v>
      </c>
      <c r="L1171" s="43" t="s">
        <v>82</v>
      </c>
      <c r="M1171" s="43" t="s">
        <v>24</v>
      </c>
      <c r="N1171" s="44">
        <v>10</v>
      </c>
      <c r="O1171" s="43" t="s">
        <v>89</v>
      </c>
      <c r="P1171" s="43" t="s">
        <v>41</v>
      </c>
      <c r="Q1171" s="43" t="s">
        <v>41</v>
      </c>
      <c r="R1171" s="43" t="s">
        <v>233</v>
      </c>
      <c r="S1171" s="43"/>
    </row>
    <row r="1172" spans="1:19" s="45" customFormat="1" ht="14.4" hidden="1">
      <c r="A1172" s="25">
        <f>IF(C1172="","",MAX($A$1:A1171)+1)</f>
        <v>1123</v>
      </c>
      <c r="B1172" s="25" t="s">
        <v>79</v>
      </c>
      <c r="C1172" s="41">
        <v>46091</v>
      </c>
      <c r="D1172" s="48" t="str">
        <f>_xlfn.XLOOKUP(Table134526_79101120212223242526[[#This Row],[Name Surname]],Manpower!$C$4:$C$1048576,Manpower!$B$4:$B$1048576,"")</f>
        <v>Encogroup</v>
      </c>
      <c r="E1172" s="43" t="s">
        <v>235</v>
      </c>
      <c r="F1172" s="12">
        <f>_xlfn.XLOOKUP(Table134526_79101120212223242526[[#This Row],[Name Surname]],Manpower!C:C,Manpower!D:D,)</f>
        <v>132423982</v>
      </c>
      <c r="G1172" s="48" t="str">
        <f>_xlfn.XLOOKUP(Table134526_79101120212223242526[[#This Row],[Name Surname]],Manpower!$C$4:$C$1048576,Manpower!$F$4:$F$1048576,"")</f>
        <v>Mechanic Supervisor</v>
      </c>
      <c r="H1172" s="48" t="str">
        <f>_xlfn.XLOOKUP(Table134526_79101120212223242526[[#This Row],[Name Surname]],Manpower!$C$4:$C$1048576,Manpower!$H$4:$H$1048576,"")</f>
        <v>Manpower</v>
      </c>
      <c r="I1172" s="42" t="str">
        <f>_xlfn.XLOOKUP(Table134526_79101120212223242526[[#This Row],[Name Surname]],Manpower!$C$4:$C$1048576,Manpower!$H$4:$H$1048576,"")</f>
        <v>Manpower</v>
      </c>
      <c r="J1172" s="43" t="s">
        <v>135</v>
      </c>
      <c r="K1172" s="43" t="s">
        <v>26</v>
      </c>
      <c r="L1172" s="43"/>
      <c r="M1172" s="43" t="s">
        <v>24</v>
      </c>
      <c r="N1172" s="44">
        <v>10</v>
      </c>
      <c r="O1172" s="43" t="s">
        <v>236</v>
      </c>
      <c r="P1172" s="43" t="s">
        <v>236</v>
      </c>
      <c r="Q1172" s="43" t="s">
        <v>236</v>
      </c>
      <c r="R1172" s="43" t="s">
        <v>26</v>
      </c>
      <c r="S1172" s="43"/>
    </row>
    <row r="1173" spans="1:19" s="45" customFormat="1" ht="14.4" hidden="1">
      <c r="A1173" s="25">
        <f>IF(C1173="","",MAX($A$1:A1171)+1)</f>
        <v>1123</v>
      </c>
      <c r="B1173" s="25" t="s">
        <v>79</v>
      </c>
      <c r="C1173" s="41">
        <v>46091</v>
      </c>
      <c r="D1173" s="48" t="str">
        <f>_xlfn.XLOOKUP(Table134526_79101120212223242526[[#This Row],[Name Surname]],Manpower!$C$4:$C$1048576,Manpower!$B$4:$B$1048576,"")</f>
        <v>Encogroup</v>
      </c>
      <c r="E1173" s="43" t="s">
        <v>134</v>
      </c>
      <c r="F1173" s="12">
        <f>_xlfn.XLOOKUP(Table134526_79101120212223242526[[#This Row],[Name Surname]],Manpower!C:C,Manpower!D:D,)</f>
        <v>18114443</v>
      </c>
      <c r="G1173" s="48" t="str">
        <f>_xlfn.XLOOKUP(Table134526_79101120212223242526[[#This Row],[Name Surname]],Manpower!$C$4:$C$1048576,Manpower!$F$4:$F$1048576,"")</f>
        <v>Driver</v>
      </c>
      <c r="H1173" s="48" t="str">
        <f>_xlfn.XLOOKUP(Table134526_79101120212223242526[[#This Row],[Name Surname]],Manpower!$C$4:$C$1048576,Manpower!$H$4:$H$1048576,"")</f>
        <v>Manpower</v>
      </c>
      <c r="I1173" s="42" t="str">
        <f>_xlfn.XLOOKUP(Table134526_79101120212223242526[[#This Row],[Name Surname]],Manpower!$C$4:$C$1048576,Manpower!$H$4:$H$1048576,"")</f>
        <v>Manpower</v>
      </c>
      <c r="J1173" s="43" t="s">
        <v>135</v>
      </c>
      <c r="K1173" s="43" t="s">
        <v>98</v>
      </c>
      <c r="L1173" s="43" t="s">
        <v>82</v>
      </c>
      <c r="M1173" s="43" t="s">
        <v>24</v>
      </c>
      <c r="N1173" s="44">
        <v>10</v>
      </c>
      <c r="O1173" s="43" t="s">
        <v>40</v>
      </c>
      <c r="P1173" s="43" t="s">
        <v>41</v>
      </c>
      <c r="Q1173" s="43" t="s">
        <v>42</v>
      </c>
      <c r="R1173" s="43"/>
      <c r="S1173" s="43"/>
    </row>
    <row r="1174" spans="1:19" s="45" customFormat="1" ht="14.4" hidden="1">
      <c r="A1174" s="25">
        <f>IF(C1174="","",MAX($A$1:A1171)+1)</f>
        <v>1123</v>
      </c>
      <c r="B1174" s="25" t="s">
        <v>79</v>
      </c>
      <c r="C1174" s="41">
        <v>46091</v>
      </c>
      <c r="D1174" s="48" t="str">
        <f>_xlfn.XLOOKUP(Table134526_79101120212223242526[[#This Row],[Name Surname]],Manpower!$C$4:$C$1048576,Manpower!$B$4:$B$1048576,"")</f>
        <v>Encogroup</v>
      </c>
      <c r="E1174" s="43" t="s">
        <v>112</v>
      </c>
      <c r="F1174" s="12">
        <f>_xlfn.XLOOKUP(Table134526_79101120212223242526[[#This Row],[Name Surname]],Manpower!C:C,Manpower!D:D,)</f>
        <v>140663253</v>
      </c>
      <c r="G1174" s="48" t="str">
        <f>_xlfn.XLOOKUP(Table134526_79101120212223242526[[#This Row],[Name Surname]],Manpower!$C$4:$C$1048576,Manpower!$F$4:$F$1048576,"")</f>
        <v>Painting Inspector</v>
      </c>
      <c r="H1174" s="48" t="str">
        <f>_xlfn.XLOOKUP(Table134526_79101120212223242526[[#This Row],[Name Surname]],Manpower!$C$4:$C$1048576,Manpower!$H$4:$H$1048576,"")</f>
        <v>Manpower</v>
      </c>
      <c r="I1174" s="42" t="str">
        <f>_xlfn.XLOOKUP(Table134526_79101120212223242526[[#This Row],[Name Surname]],Manpower!$C$4:$C$1048576,Manpower!$H$4:$H$1048576,"")</f>
        <v>Manpower</v>
      </c>
      <c r="J1174" s="43" t="s">
        <v>35</v>
      </c>
      <c r="K1174" s="43" t="s">
        <v>255</v>
      </c>
      <c r="L1174" s="43" t="s">
        <v>82</v>
      </c>
      <c r="M1174" s="43" t="s">
        <v>24</v>
      </c>
      <c r="N1174" s="44">
        <v>8</v>
      </c>
      <c r="O1174" s="43" t="s">
        <v>94</v>
      </c>
      <c r="P1174" s="43" t="s">
        <v>114</v>
      </c>
      <c r="Q1174" s="43" t="s">
        <v>114</v>
      </c>
      <c r="R1174" s="43" t="s">
        <v>256</v>
      </c>
      <c r="S1174" s="43"/>
    </row>
    <row r="1175" spans="1:19" s="45" customFormat="1" ht="14.4" hidden="1">
      <c r="A1175" s="25">
        <f>IF(C1175="","",MAX($A$1:A1174)+1)</f>
        <v>1124</v>
      </c>
      <c r="B1175" s="25" t="s">
        <v>79</v>
      </c>
      <c r="C1175" s="41">
        <v>46091</v>
      </c>
      <c r="D1175" s="48" t="str">
        <f>_xlfn.XLOOKUP(Table134526_79101120212223242526[[#This Row],[Name Surname]],Manpower!$C$4:$C$1048576,Manpower!$B$4:$B$1048576,"")</f>
        <v>Encogroup</v>
      </c>
      <c r="E1175" s="43" t="s">
        <v>115</v>
      </c>
      <c r="F1175" s="12">
        <f>_xlfn.XLOOKUP(Table134526_79101120212223242526[[#This Row],[Name Surname]],Manpower!C:C,Manpower!D:D,)</f>
        <v>140796986</v>
      </c>
      <c r="G1175" s="48" t="str">
        <f>_xlfn.XLOOKUP(Table134526_79101120212223242526[[#This Row],[Name Surname]],Manpower!$C$4:$C$1048576,Manpower!$F$4:$F$1048576,"")</f>
        <v>Mechanical QC</v>
      </c>
      <c r="H1175" s="48" t="str">
        <f>_xlfn.XLOOKUP(Table134526_79101120212223242526[[#This Row],[Name Surname]],Manpower!$C$4:$C$1048576,Manpower!$H$4:$H$1048576,"")</f>
        <v>Manpower</v>
      </c>
      <c r="I1175" s="42" t="str">
        <f>_xlfn.XLOOKUP(Table134526_79101120212223242526[[#This Row],[Name Surname]],Manpower!$C$4:$C$1048576,Manpower!$H$4:$H$1048576,"")</f>
        <v>Manpower</v>
      </c>
      <c r="J1175" s="43" t="s">
        <v>35</v>
      </c>
      <c r="K1175" s="43" t="s">
        <v>255</v>
      </c>
      <c r="L1175" s="43" t="s">
        <v>82</v>
      </c>
      <c r="M1175" s="43" t="s">
        <v>24</v>
      </c>
      <c r="N1175" s="44">
        <v>10</v>
      </c>
      <c r="O1175" s="43" t="s">
        <v>25</v>
      </c>
      <c r="P1175" s="43" t="s">
        <v>41</v>
      </c>
      <c r="Q1175" s="43" t="s">
        <v>77</v>
      </c>
      <c r="R1175" s="43" t="s">
        <v>267</v>
      </c>
      <c r="S1175" s="43"/>
    </row>
    <row r="1176" spans="1:19" s="45" customFormat="1" ht="14.4" hidden="1">
      <c r="A1176" s="25">
        <f>IF(C1176="","",MAX($A$1:A1174)+1)</f>
        <v>1124</v>
      </c>
      <c r="B1176" s="25" t="s">
        <v>79</v>
      </c>
      <c r="C1176" s="41">
        <v>46091</v>
      </c>
      <c r="D1176" s="48" t="str">
        <f>_xlfn.XLOOKUP(Table134526_79101120212223242526[[#This Row],[Name Surname]],Manpower!$C$4:$C$1048576,Manpower!$B$4:$B$1048576,"")</f>
        <v>Encogroup</v>
      </c>
      <c r="E1176" s="43" t="s">
        <v>271</v>
      </c>
      <c r="F1176" s="12">
        <f>_xlfn.XLOOKUP(Table134526_79101120212223242526[[#This Row],[Name Surname]],Manpower!C:C,Manpower!D:D,)</f>
        <v>140645388</v>
      </c>
      <c r="G1176" s="48" t="str">
        <f>_xlfn.XLOOKUP(Table134526_79101120212223242526[[#This Row],[Name Surname]],Manpower!$C$4:$C$1048576,Manpower!$F$4:$F$1048576,"")</f>
        <v>Store keeper</v>
      </c>
      <c r="H1176" s="48" t="str">
        <f>_xlfn.XLOOKUP(Table134526_79101120212223242526[[#This Row],[Name Surname]],Manpower!$C$4:$C$1048576,Manpower!$H$4:$H$1048576,"")</f>
        <v>Manpower</v>
      </c>
      <c r="I1176" s="42" t="str">
        <f>_xlfn.XLOOKUP(Table134526_79101120212223242526[[#This Row],[Name Surname]],Manpower!$C$4:$C$1048576,Manpower!$H$4:$H$1048576,"")</f>
        <v>Manpower</v>
      </c>
      <c r="J1176" s="43" t="s">
        <v>135</v>
      </c>
      <c r="K1176" s="43" t="s">
        <v>26</v>
      </c>
      <c r="L1176" s="43" t="s">
        <v>82</v>
      </c>
      <c r="M1176" s="43" t="s">
        <v>24</v>
      </c>
      <c r="N1176" s="44">
        <v>10</v>
      </c>
      <c r="O1176" s="43" t="s">
        <v>249</v>
      </c>
      <c r="P1176" s="43" t="s">
        <v>249</v>
      </c>
      <c r="Q1176" s="43" t="s">
        <v>249</v>
      </c>
      <c r="R1176" s="43" t="s">
        <v>26</v>
      </c>
      <c r="S1176" s="43"/>
    </row>
    <row r="1177" spans="1:19" s="45" customFormat="1" ht="14.4" hidden="1">
      <c r="A1177" s="25">
        <f>IF(C1177="","",MAX($A$1:A1174)+1)</f>
        <v>1124</v>
      </c>
      <c r="B1177" s="25" t="s">
        <v>79</v>
      </c>
      <c r="C1177" s="41">
        <v>46091</v>
      </c>
      <c r="D1177" s="48" t="str">
        <f>_xlfn.XLOOKUP(Table134526_79101120212223242526[[#This Row],[Name Surname]],Manpower!$C$4:$C$1048576,Manpower!$B$4:$B$1048576,"")</f>
        <v>Encogroup</v>
      </c>
      <c r="E1177" s="43" t="s">
        <v>117</v>
      </c>
      <c r="F1177" s="12">
        <f>_xlfn.XLOOKUP(Table134526_79101120212223242526[[#This Row],[Name Surname]],Manpower!C:C,Manpower!D:D,)</f>
        <v>140844783</v>
      </c>
      <c r="G1177" s="48" t="str">
        <f>_xlfn.XLOOKUP(Table134526_79101120212223242526[[#This Row],[Name Surname]],Manpower!$C$4:$C$1048576,Manpower!$F$4:$F$1048576,"")</f>
        <v>Painter</v>
      </c>
      <c r="H1177" s="48" t="str">
        <f>_xlfn.XLOOKUP(Table134526_79101120212223242526[[#This Row],[Name Surname]],Manpower!$C$4:$C$1048576,Manpower!$H$4:$H$1048576,"")</f>
        <v>Manpower</v>
      </c>
      <c r="I1177" s="42" t="str">
        <f>_xlfn.XLOOKUP(Table134526_79101120212223242526[[#This Row],[Name Surname]],Manpower!$C$4:$C$1048576,Manpower!$H$4:$H$1048576,"")</f>
        <v>Manpower</v>
      </c>
      <c r="J1177" s="43" t="s">
        <v>35</v>
      </c>
      <c r="K1177" s="43" t="s">
        <v>255</v>
      </c>
      <c r="L1177" s="43" t="s">
        <v>82</v>
      </c>
      <c r="M1177" s="43" t="s">
        <v>24</v>
      </c>
      <c r="N1177" s="44">
        <v>10</v>
      </c>
      <c r="O1177" s="43" t="s">
        <v>94</v>
      </c>
      <c r="P1177" s="43" t="s">
        <v>114</v>
      </c>
      <c r="Q1177" s="43" t="s">
        <v>114</v>
      </c>
      <c r="R1177" s="43" t="s">
        <v>256</v>
      </c>
      <c r="S1177" s="43"/>
    </row>
    <row r="1178" spans="1:19" s="45" customFormat="1" ht="14.4" hidden="1">
      <c r="A1178" s="25">
        <f>IF(C1178="","",MAX($A$1:A1177)+1)</f>
        <v>1125</v>
      </c>
      <c r="B1178" s="25" t="s">
        <v>79</v>
      </c>
      <c r="C1178" s="41">
        <v>46091</v>
      </c>
      <c r="D1178" s="48" t="str">
        <f>_xlfn.XLOOKUP(Table134526_79101120212223242526[[#This Row],[Name Surname]],Manpower!$C$4:$C$1048576,Manpower!$B$4:$B$1048576,"")</f>
        <v>Encogroup</v>
      </c>
      <c r="E1178" s="43" t="s">
        <v>118</v>
      </c>
      <c r="F1178" s="12" t="str">
        <f>_xlfn.XLOOKUP(Table134526_79101120212223242526[[#This Row],[Name Surname]],Manpower!C:C,Manpower!D:D,)</f>
        <v>AG111207</v>
      </c>
      <c r="G1178" s="48" t="str">
        <f>_xlfn.XLOOKUP(Table134526_79101120212223242526[[#This Row],[Name Surname]],Manpower!$C$4:$C$1048576,Manpower!$F$4:$F$1048576,"")</f>
        <v>Assistant/Helper</v>
      </c>
      <c r="H1178" s="48" t="str">
        <f>_xlfn.XLOOKUP(Table134526_79101120212223242526[[#This Row],[Name Surname]],Manpower!$C$4:$C$1048576,Manpower!$H$4:$H$1048576,"")</f>
        <v>Manpower</v>
      </c>
      <c r="I1178" s="42" t="str">
        <f>_xlfn.XLOOKUP(Table134526_79101120212223242526[[#This Row],[Name Surname]],Manpower!$C$4:$C$1048576,Manpower!$H$4:$H$1048576,"")</f>
        <v>Manpower</v>
      </c>
      <c r="J1178" s="43" t="s">
        <v>35</v>
      </c>
      <c r="K1178" s="43" t="s">
        <v>255</v>
      </c>
      <c r="L1178" s="43" t="s">
        <v>82</v>
      </c>
      <c r="M1178" s="43" t="s">
        <v>24</v>
      </c>
      <c r="N1178" s="44">
        <v>10</v>
      </c>
      <c r="O1178" s="43" t="s">
        <v>94</v>
      </c>
      <c r="P1178" s="43" t="s">
        <v>114</v>
      </c>
      <c r="Q1178" s="43" t="s">
        <v>114</v>
      </c>
      <c r="R1178" s="43" t="s">
        <v>256</v>
      </c>
      <c r="S1178" s="43"/>
    </row>
    <row r="1179" spans="1:19" s="45" customFormat="1" ht="14.4" hidden="1">
      <c r="A1179" s="25">
        <f>IF(C1179="","",MAX($A$1:A1178)+1)</f>
        <v>1126</v>
      </c>
      <c r="B1179" s="25" t="s">
        <v>79</v>
      </c>
      <c r="C1179" s="41">
        <v>46091</v>
      </c>
      <c r="D1179" s="48" t="str">
        <f>_xlfn.XLOOKUP(Table134526_79101120212223242526[[#This Row],[Name Surname]],Manpower!$C$4:$C$1048576,Manpower!$B$4:$B$1048576,"")</f>
        <v>Encogroup</v>
      </c>
      <c r="E1179" s="43" t="s">
        <v>173</v>
      </c>
      <c r="F1179" s="12" t="str">
        <f>_xlfn.XLOOKUP(Table134526_79101120212223242526[[#This Row],[Name Surname]],Manpower!C:C,Manpower!D:D,)</f>
        <v>S3549132</v>
      </c>
      <c r="G1179" s="48" t="str">
        <f>_xlfn.XLOOKUP(Table134526_79101120212223242526[[#This Row],[Name Surname]],Manpower!$C$4:$C$1048576,Manpower!$F$4:$F$1048576,"")</f>
        <v>Grinder</v>
      </c>
      <c r="H1179" s="48" t="str">
        <f>_xlfn.XLOOKUP(Table134526_79101120212223242526[[#This Row],[Name Surname]],Manpower!$C$4:$C$1048576,Manpower!$H$4:$H$1048576,"")</f>
        <v>Manpower</v>
      </c>
      <c r="I1179" s="42" t="str">
        <f>_xlfn.XLOOKUP(Table134526_79101120212223242526[[#This Row],[Name Surname]],Manpower!$C$4:$C$1048576,Manpower!$H$4:$H$1048576,"")</f>
        <v>Manpower</v>
      </c>
      <c r="J1179" s="43" t="s">
        <v>35</v>
      </c>
      <c r="K1179" s="43" t="s">
        <v>255</v>
      </c>
      <c r="L1179" s="43" t="s">
        <v>82</v>
      </c>
      <c r="M1179" s="43" t="s">
        <v>24</v>
      </c>
      <c r="N1179" s="44">
        <v>10</v>
      </c>
      <c r="O1179" s="43" t="s">
        <v>94</v>
      </c>
      <c r="P1179" s="43" t="s">
        <v>114</v>
      </c>
      <c r="Q1179" s="43" t="s">
        <v>114</v>
      </c>
      <c r="R1179" s="43" t="s">
        <v>256</v>
      </c>
      <c r="S1179" s="43"/>
    </row>
    <row r="1180" spans="1:19" s="45" customFormat="1" ht="14.4" hidden="1">
      <c r="A1180" s="25">
        <f>IF(C1180="","",MAX($A$1:A1179)+1)</f>
        <v>1127</v>
      </c>
      <c r="B1180" s="25" t="s">
        <v>79</v>
      </c>
      <c r="C1180" s="41">
        <v>46091</v>
      </c>
      <c r="D1180" s="48" t="str">
        <f>_xlfn.XLOOKUP(Table134526_79101120212223242526[[#This Row],[Name Surname]],Manpower!$C$4:$C$1048576,Manpower!$B$4:$B$1048576,"")</f>
        <v>Encogroup</v>
      </c>
      <c r="E1180" s="43" t="s">
        <v>119</v>
      </c>
      <c r="F1180" s="12">
        <f>_xlfn.XLOOKUP(Table134526_79101120212223242526[[#This Row],[Name Surname]],Manpower!C:C,Manpower!D:D,)</f>
        <v>140844778</v>
      </c>
      <c r="G1180" s="48" t="str">
        <f>_xlfn.XLOOKUP(Table134526_79101120212223242526[[#This Row],[Name Surname]],Manpower!$C$4:$C$1048576,Manpower!$F$4:$F$1048576,"")</f>
        <v>Painter</v>
      </c>
      <c r="H1180" s="48" t="str">
        <f>_xlfn.XLOOKUP(Table134526_79101120212223242526[[#This Row],[Name Surname]],Manpower!$C$4:$C$1048576,Manpower!$H$4:$H$1048576,"")</f>
        <v>Manpower</v>
      </c>
      <c r="I1180" s="42" t="str">
        <f>_xlfn.XLOOKUP(Table134526_79101120212223242526[[#This Row],[Name Surname]],Manpower!$C$4:$C$1048576,Manpower!$H$4:$H$1048576,"")</f>
        <v>Manpower</v>
      </c>
      <c r="J1180" s="43" t="s">
        <v>35</v>
      </c>
      <c r="K1180" s="43" t="s">
        <v>255</v>
      </c>
      <c r="L1180" s="43" t="s">
        <v>82</v>
      </c>
      <c r="M1180" s="43" t="s">
        <v>24</v>
      </c>
      <c r="N1180" s="44">
        <v>8</v>
      </c>
      <c r="O1180" s="43" t="s">
        <v>94</v>
      </c>
      <c r="P1180" s="43" t="s">
        <v>114</v>
      </c>
      <c r="Q1180" s="43" t="s">
        <v>114</v>
      </c>
      <c r="R1180" s="43" t="s">
        <v>256</v>
      </c>
      <c r="S1180" s="43"/>
    </row>
    <row r="1181" spans="1:19" s="45" customFormat="1" ht="14.4" hidden="1">
      <c r="A1181" s="25">
        <f>IF(C1181="","",MAX($A$1:A1180)+1)</f>
        <v>1128</v>
      </c>
      <c r="B1181" s="25" t="s">
        <v>79</v>
      </c>
      <c r="C1181" s="41">
        <v>46091</v>
      </c>
      <c r="D1181" s="48" t="str">
        <f>_xlfn.XLOOKUP(Table134526_79101120212223242526[[#This Row],[Name Surname]],Manpower!$C$4:$C$1048576,Manpower!$B$4:$B$1048576,"")</f>
        <v>Encogroup</v>
      </c>
      <c r="E1181" s="43" t="s">
        <v>122</v>
      </c>
      <c r="F1181" s="12">
        <f>_xlfn.XLOOKUP(Table134526_79101120212223242526[[#This Row],[Name Surname]],Manpower!C:C,Manpower!D:D,)</f>
        <v>140805554</v>
      </c>
      <c r="G1181" s="48" t="str">
        <f>_xlfn.XLOOKUP(Table134526_79101120212223242526[[#This Row],[Name Surname]],Manpower!$C$4:$C$1048576,Manpower!$F$4:$F$1048576,"")</f>
        <v>Assistant/Helper</v>
      </c>
      <c r="H1181" s="48" t="str">
        <f>_xlfn.XLOOKUP(Table134526_79101120212223242526[[#This Row],[Name Surname]],Manpower!$C$4:$C$1048576,Manpower!$H$4:$H$1048576,"")</f>
        <v>Manpower</v>
      </c>
      <c r="I1181" s="42" t="str">
        <f>_xlfn.XLOOKUP(Table134526_79101120212223242526[[#This Row],[Name Surname]],Manpower!$C$4:$C$1048576,Manpower!$H$4:$H$1048576,"")</f>
        <v>Manpower</v>
      </c>
      <c r="J1181" s="43" t="s">
        <v>35</v>
      </c>
      <c r="K1181" s="43" t="s">
        <v>104</v>
      </c>
      <c r="L1181" s="43" t="s">
        <v>82</v>
      </c>
      <c r="M1181" s="43" t="s">
        <v>24</v>
      </c>
      <c r="N1181" s="44">
        <v>10</v>
      </c>
      <c r="O1181" s="43" t="s">
        <v>25</v>
      </c>
      <c r="P1181" s="43" t="s">
        <v>41</v>
      </c>
      <c r="Q1181" s="43" t="s">
        <v>77</v>
      </c>
      <c r="R1181" s="43" t="s">
        <v>267</v>
      </c>
      <c r="S1181" s="43"/>
    </row>
    <row r="1182" spans="1:19" s="45" customFormat="1" ht="14.4" hidden="1">
      <c r="A1182" s="25">
        <f>IF(C1182="","",MAX($A$1:A1181)+1)</f>
        <v>1129</v>
      </c>
      <c r="B1182" s="25" t="s">
        <v>79</v>
      </c>
      <c r="C1182" s="41">
        <v>46091</v>
      </c>
      <c r="D1182" s="48" t="str">
        <f>_xlfn.XLOOKUP(Table134526_79101120212223242526[[#This Row],[Name Surname]],Manpower!$C$4:$C$1048576,Manpower!$B$4:$B$1048576,"")</f>
        <v>Encogroup</v>
      </c>
      <c r="E1182" s="43" t="s">
        <v>125</v>
      </c>
      <c r="F1182" s="12">
        <f>_xlfn.XLOOKUP(Table134526_79101120212223242526[[#This Row],[Name Surname]],Manpower!C:C,Manpower!D:D,)</f>
        <v>141169028</v>
      </c>
      <c r="G1182" s="48" t="str">
        <f>_xlfn.XLOOKUP(Table134526_79101120212223242526[[#This Row],[Name Surname]],Manpower!$C$4:$C$1048576,Manpower!$F$4:$F$1048576,"")</f>
        <v>Welder</v>
      </c>
      <c r="H1182" s="48" t="str">
        <f>_xlfn.XLOOKUP(Table134526_79101120212223242526[[#This Row],[Name Surname]],Manpower!$C$4:$C$1048576,Manpower!$H$4:$H$1048576,"")</f>
        <v>Manpower</v>
      </c>
      <c r="I1182" s="42" t="str">
        <f>_xlfn.XLOOKUP(Table134526_79101120212223242526[[#This Row],[Name Surname]],Manpower!$C$4:$C$1048576,Manpower!$H$4:$H$1048576,"")</f>
        <v>Manpower</v>
      </c>
      <c r="J1182" s="43" t="s">
        <v>35</v>
      </c>
      <c r="K1182" s="43" t="s">
        <v>252</v>
      </c>
      <c r="L1182" s="43" t="s">
        <v>82</v>
      </c>
      <c r="M1182" s="43" t="s">
        <v>24</v>
      </c>
      <c r="N1182" s="44">
        <v>10</v>
      </c>
      <c r="O1182" s="43" t="s">
        <v>25</v>
      </c>
      <c r="P1182" s="43" t="s">
        <v>41</v>
      </c>
      <c r="Q1182" s="43" t="s">
        <v>60</v>
      </c>
      <c r="R1182" s="43" t="s">
        <v>268</v>
      </c>
      <c r="S1182" s="43"/>
    </row>
    <row r="1183" spans="1:19" s="45" customFormat="1" ht="14.4" hidden="1">
      <c r="A1183" s="25">
        <f>IF(C1183="","",MAX($A$1:A1182)+1)</f>
        <v>1130</v>
      </c>
      <c r="B1183" s="25" t="s">
        <v>79</v>
      </c>
      <c r="C1183" s="41">
        <v>46091</v>
      </c>
      <c r="D1183" s="48" t="str">
        <f>_xlfn.XLOOKUP(Table134526_79101120212223242526[[#This Row],[Name Surname]],Manpower!$C$4:$C$1048576,Manpower!$B$4:$B$1048576,"")</f>
        <v>AL Saif &amp; Al QALLM ENT LLC</v>
      </c>
      <c r="E1183" s="43" t="s">
        <v>130</v>
      </c>
      <c r="F1183" s="12">
        <f>_xlfn.XLOOKUP(Table134526_79101120212223242526[[#This Row],[Name Surname]],Manpower!C:C,Manpower!D:D,)</f>
        <v>76647648</v>
      </c>
      <c r="G1183" s="48" t="str">
        <f>_xlfn.XLOOKUP(Table134526_79101120212223242526[[#This Row],[Name Surname]],Manpower!$C$4:$C$1048576,Manpower!$F$4:$F$1048576,"")</f>
        <v>RIgger</v>
      </c>
      <c r="H1183" s="48" t="str">
        <f>_xlfn.XLOOKUP(Table134526_79101120212223242526[[#This Row],[Name Surname]],Manpower!$C$4:$C$1048576,Manpower!$H$4:$H$1048576,"")</f>
        <v>Sub Contactor</v>
      </c>
      <c r="I1183" s="42" t="str">
        <f>_xlfn.XLOOKUP(Table134526_79101120212223242526[[#This Row],[Name Surname]],Manpower!$C$4:$C$1048576,Manpower!$H$4:$H$1048576,"")</f>
        <v>Sub Contactor</v>
      </c>
      <c r="J1183" s="43" t="s">
        <v>35</v>
      </c>
      <c r="K1183" s="43" t="s">
        <v>252</v>
      </c>
      <c r="L1183" s="43" t="s">
        <v>82</v>
      </c>
      <c r="M1183" s="43" t="s">
        <v>24</v>
      </c>
      <c r="N1183" s="44">
        <v>8</v>
      </c>
      <c r="O1183" s="43" t="s">
        <v>25</v>
      </c>
      <c r="P1183" s="43" t="s">
        <v>41</v>
      </c>
      <c r="Q1183" s="43" t="s">
        <v>60</v>
      </c>
      <c r="R1183" s="43" t="s">
        <v>268</v>
      </c>
      <c r="S1183" s="43"/>
    </row>
    <row r="1184" spans="1:19" s="45" customFormat="1" ht="14.4" hidden="1">
      <c r="A1184" s="25">
        <f>IF(C1184="","",MAX($A$1:A1183)+1)</f>
        <v>1131</v>
      </c>
      <c r="B1184" s="25" t="s">
        <v>79</v>
      </c>
      <c r="C1184" s="41">
        <v>46091</v>
      </c>
      <c r="D1184" s="48" t="str">
        <f>_xlfn.XLOOKUP(Table134526_79101120212223242526[[#This Row],[Name Surname]],Manpower!$C$4:$C$1048576,Manpower!$B$4:$B$1048576,"")</f>
        <v>Rabwu Ahamal AL Khaleej Trad</v>
      </c>
      <c r="E1184" s="43" t="s">
        <v>131</v>
      </c>
      <c r="F1184" s="12">
        <f>_xlfn.XLOOKUP(Table134526_79101120212223242526[[#This Row],[Name Surname]],Manpower!C:C,Manpower!D:D,)</f>
        <v>131431131</v>
      </c>
      <c r="G1184" s="48" t="str">
        <f>_xlfn.XLOOKUP(Table134526_79101120212223242526[[#This Row],[Name Surname]],Manpower!$C$4:$C$1048576,Manpower!$F$4:$F$1048576,"")</f>
        <v>RIgger</v>
      </c>
      <c r="H1184" s="48" t="str">
        <f>_xlfn.XLOOKUP(Table134526_79101120212223242526[[#This Row],[Name Surname]],Manpower!$C$4:$C$1048576,Manpower!$H$4:$H$1048576,"")</f>
        <v>Sub Contactor</v>
      </c>
      <c r="I1184" s="42" t="str">
        <f>_xlfn.XLOOKUP(Table134526_79101120212223242526[[#This Row],[Name Surname]],Manpower!$C$4:$C$1048576,Manpower!$H$4:$H$1048576,"")</f>
        <v>Sub Contactor</v>
      </c>
      <c r="J1184" s="43" t="s">
        <v>35</v>
      </c>
      <c r="K1184" s="43" t="s">
        <v>252</v>
      </c>
      <c r="L1184" s="43" t="s">
        <v>82</v>
      </c>
      <c r="M1184" s="43" t="s">
        <v>24</v>
      </c>
      <c r="N1184" s="44">
        <v>8</v>
      </c>
      <c r="O1184" s="43" t="s">
        <v>25</v>
      </c>
      <c r="P1184" s="43" t="s">
        <v>41</v>
      </c>
      <c r="Q1184" s="43" t="s">
        <v>60</v>
      </c>
      <c r="R1184" s="43" t="s">
        <v>268</v>
      </c>
      <c r="S1184" s="43"/>
    </row>
    <row r="1185" spans="1:19" ht="14.4" hidden="1">
      <c r="A1185" s="33">
        <f>IF(C1185="","",MAX($A$1:A1184)+1)</f>
        <v>1132</v>
      </c>
      <c r="B1185" s="26" t="s">
        <v>79</v>
      </c>
      <c r="C1185" s="23">
        <v>46091</v>
      </c>
      <c r="D1185" s="28" t="str">
        <f>_xlfn.XLOOKUP(Table134526_79101120212223242526[[#This Row],[Name Surname]],Manpower!$C$4:$C$1048576,Manpower!$B$4:$B$1048576,"")</f>
        <v>AL Saif &amp; Al QALLM ENT LLC</v>
      </c>
      <c r="E1185" s="21" t="s">
        <v>132</v>
      </c>
      <c r="F1185" s="12">
        <f>_xlfn.XLOOKUP(Table134526_79101120212223242526[[#This Row],[Name Surname]],Manpower!C:C,Manpower!D:D,)</f>
        <v>135762195</v>
      </c>
      <c r="G1185" s="28" t="str">
        <f>_xlfn.XLOOKUP(Table134526_79101120212223242526[[#This Row],[Name Surname]],Manpower!$C$4:$C$1048576,Manpower!$F$4:$F$1048576,"")</f>
        <v>HSE Officer</v>
      </c>
      <c r="H1185" s="28" t="str">
        <f>_xlfn.XLOOKUP(Table134526_79101120212223242526[[#This Row],[Name Surname]],Manpower!$C$4:$C$1048576,Manpower!$H$4:$H$1048576,"")</f>
        <v>Sub Contactor</v>
      </c>
      <c r="I1185" s="24" t="str">
        <f>_xlfn.XLOOKUP(Table134526_79101120212223242526[[#This Row],[Name Surname]],Manpower!$C$4:$C$1048576,Manpower!$H$4:$H$1048576,"")</f>
        <v>Sub Contactor</v>
      </c>
      <c r="J1185" s="21" t="s">
        <v>35</v>
      </c>
      <c r="K1185" s="21" t="s">
        <v>257</v>
      </c>
      <c r="L1185" s="21" t="s">
        <v>82</v>
      </c>
      <c r="M1185" s="21" t="s">
        <v>24</v>
      </c>
      <c r="N1185" s="29">
        <v>10</v>
      </c>
      <c r="O1185" s="21" t="s">
        <v>25</v>
      </c>
      <c r="P1185" s="21" t="s">
        <v>41</v>
      </c>
      <c r="Q1185" s="21" t="s">
        <v>60</v>
      </c>
      <c r="R1185" s="21" t="s">
        <v>269</v>
      </c>
    </row>
    <row r="1186" spans="1:19" s="45" customFormat="1" ht="14.4" hidden="1">
      <c r="A1186" s="25">
        <f>IF(C1186="","",MAX($A$1:A1185)+1)</f>
        <v>1133</v>
      </c>
      <c r="B1186" s="25" t="s">
        <v>79</v>
      </c>
      <c r="C1186" s="41">
        <v>46091</v>
      </c>
      <c r="D1186" s="48" t="str">
        <f>_xlfn.XLOOKUP(Table134526_79101120212223242526[[#This Row],[Name Surname]],Manpower!$C$4:$C$1048576,Manpower!$B$4:$B$1048576,"")</f>
        <v>Encogroup</v>
      </c>
      <c r="E1186" s="43" t="s">
        <v>133</v>
      </c>
      <c r="F1186" s="12">
        <f>_xlfn.XLOOKUP(Table134526_79101120212223242526[[#This Row],[Name Surname]],Manpower!C:C,Manpower!D:D,)</f>
        <v>140846684</v>
      </c>
      <c r="G1186" s="48" t="str">
        <f>_xlfn.XLOOKUP(Table134526_79101120212223242526[[#This Row],[Name Surname]],Manpower!$C$4:$C$1048576,Manpower!$F$4:$F$1048576,"")</f>
        <v>Assistant/Helper</v>
      </c>
      <c r="H1186" s="48" t="str">
        <f>_xlfn.XLOOKUP(Table134526_79101120212223242526[[#This Row],[Name Surname]],Manpower!$C$4:$C$1048576,Manpower!$H$4:$H$1048576,"")</f>
        <v>Manpower</v>
      </c>
      <c r="I1186" s="42" t="str">
        <f>_xlfn.XLOOKUP(Table134526_79101120212223242526[[#This Row],[Name Surname]],Manpower!$C$4:$C$1048576,Manpower!$H$4:$H$1048576,"")</f>
        <v>Manpower</v>
      </c>
      <c r="J1186" s="43" t="s">
        <v>35</v>
      </c>
      <c r="K1186" s="43" t="s">
        <v>257</v>
      </c>
      <c r="L1186" s="43" t="s">
        <v>82</v>
      </c>
      <c r="M1186" s="43" t="s">
        <v>24</v>
      </c>
      <c r="N1186" s="44">
        <v>10</v>
      </c>
      <c r="O1186" s="43" t="s">
        <v>25</v>
      </c>
      <c r="P1186" s="43" t="s">
        <v>41</v>
      </c>
      <c r="Q1186" s="43" t="s">
        <v>60</v>
      </c>
      <c r="R1186" s="43" t="s">
        <v>100</v>
      </c>
      <c r="S1186" s="43"/>
    </row>
    <row r="1187" spans="1:19" s="45" customFormat="1" ht="14.4" hidden="1">
      <c r="A1187" s="25">
        <f>IF(C1187="","",MAX($A$1:A1186)+1)</f>
        <v>1134</v>
      </c>
      <c r="B1187" s="25" t="s">
        <v>79</v>
      </c>
      <c r="C1187" s="41">
        <v>46091</v>
      </c>
      <c r="D1187" s="48" t="str">
        <f>_xlfn.XLOOKUP(Table134526_79101120212223242526[[#This Row],[Name Surname]],Manpower!$C$4:$C$1048576,Manpower!$B$4:$B$1048576,"")</f>
        <v>Encogroup</v>
      </c>
      <c r="E1187" s="43" t="s">
        <v>136</v>
      </c>
      <c r="F1187" s="12">
        <f>_xlfn.XLOOKUP(Table134526_79101120212223242526[[#This Row],[Name Surname]],Manpower!C:C,Manpower!D:D,)</f>
        <v>141250908</v>
      </c>
      <c r="G1187" s="48" t="str">
        <f>_xlfn.XLOOKUP(Table134526_79101120212223242526[[#This Row],[Name Surname]],Manpower!$C$4:$C$1048576,Manpower!$F$4:$F$1048576,"")</f>
        <v>Mechanical Engineer</v>
      </c>
      <c r="H1187" s="48" t="str">
        <f>_xlfn.XLOOKUP(Table134526_79101120212223242526[[#This Row],[Name Surname]],Manpower!$C$4:$C$1048576,Manpower!$H$4:$H$1048576,"")</f>
        <v>Manpower</v>
      </c>
      <c r="I1187" s="42" t="str">
        <f>_xlfn.XLOOKUP(Table134526_79101120212223242526[[#This Row],[Name Surname]],Manpower!$C$4:$C$1048576,Manpower!$H$4:$H$1048576,"")</f>
        <v>Manpower</v>
      </c>
      <c r="J1187" s="43" t="s">
        <v>35</v>
      </c>
      <c r="K1187" s="43" t="s">
        <v>257</v>
      </c>
      <c r="L1187" s="43" t="s">
        <v>82</v>
      </c>
      <c r="M1187" s="43" t="s">
        <v>24</v>
      </c>
      <c r="N1187" s="44">
        <v>10</v>
      </c>
      <c r="O1187" s="43" t="s">
        <v>25</v>
      </c>
      <c r="P1187" s="43" t="s">
        <v>41</v>
      </c>
      <c r="Q1187" s="43" t="s">
        <v>60</v>
      </c>
      <c r="R1187" s="43" t="s">
        <v>269</v>
      </c>
      <c r="S1187" s="43"/>
    </row>
    <row r="1188" spans="1:19" ht="14.4">
      <c r="A1188" s="33">
        <f>IF(C1188="","",MAX($A$1:A1187)+1)</f>
        <v>1135</v>
      </c>
      <c r="B1188" s="26" t="s">
        <v>79</v>
      </c>
      <c r="C1188" s="23">
        <v>46091</v>
      </c>
      <c r="D1188" s="28" t="str">
        <f>_xlfn.XLOOKUP(Table134526_79101120212223242526[[#This Row],[Name Surname]],Manpower!$C$4:$C$1048576,Manpower!$B$4:$B$1048576,"")</f>
        <v>Encogroup</v>
      </c>
      <c r="E1188" s="23" t="s">
        <v>137</v>
      </c>
      <c r="F1188" s="12" t="e">
        <f>_xlfn.XLOOKUP(Table134526_79101120212223242526[[#This Row],[Name Surname]],Manpower!C:C,Manpower!D:D,)</f>
        <v>#N/A</v>
      </c>
      <c r="G1188" s="28" t="str">
        <f>_xlfn.XLOOKUP(Table134526_79101120212223242526[[#This Row],[Name Surname]],Manpower!$C$4:$C$1048576,Manpower!$F$4:$F$1048576,"")</f>
        <v>55 Seat Bus</v>
      </c>
      <c r="H1188" s="28" t="str">
        <f>_xlfn.XLOOKUP(Table134526_79101120212223242526[[#This Row],[Name Surname]],Manpower!$C$4:$C$1048576,Manpower!$H$4:$H$1048576,"")</f>
        <v>Equipment</v>
      </c>
      <c r="I1188" s="24" t="str">
        <f>_xlfn.XLOOKUP(Table134526_79101120212223242526[[#This Row],[Name Surname]],Manpower!$C$4:$C$1048576,Manpower!$H$4:$H$1048576,"")</f>
        <v>Equipment</v>
      </c>
      <c r="J1188" s="21" t="s">
        <v>35</v>
      </c>
      <c r="K1188" s="21" t="s">
        <v>257</v>
      </c>
      <c r="L1188" s="21" t="s">
        <v>82</v>
      </c>
      <c r="M1188" s="21" t="s">
        <v>24</v>
      </c>
      <c r="N1188" s="29">
        <v>10</v>
      </c>
      <c r="O1188" s="21" t="s">
        <v>138</v>
      </c>
      <c r="P1188" s="21" t="s">
        <v>138</v>
      </c>
      <c r="Q1188" s="21" t="s">
        <v>138</v>
      </c>
      <c r="R1188" s="21" t="s">
        <v>26</v>
      </c>
    </row>
    <row r="1189" spans="1:19" ht="14.4">
      <c r="A1189" s="33">
        <f>IF(C1189="","",MAX($A$1:A1187)+1)</f>
        <v>1135</v>
      </c>
      <c r="B1189" s="26" t="s">
        <v>79</v>
      </c>
      <c r="C1189" s="23">
        <v>46091</v>
      </c>
      <c r="D1189" s="28" t="str">
        <f>_xlfn.XLOOKUP(Table134526_79101120212223242526[[#This Row],[Name Surname]],Manpower!$C$4:$C$1048576,Manpower!$B$4:$B$1048576,"")</f>
        <v>Encogroup</v>
      </c>
      <c r="E1189" s="23" t="s">
        <v>139</v>
      </c>
      <c r="F1189" s="12" t="e">
        <f>_xlfn.XLOOKUP(Table134526_79101120212223242526[[#This Row],[Name Surname]],Manpower!C:C,Manpower!D:D,)</f>
        <v>#N/A</v>
      </c>
      <c r="G1189" s="28" t="str">
        <f>_xlfn.XLOOKUP(Table134526_79101120212223242526[[#This Row],[Name Surname]],Manpower!$C$4:$C$1048576,Manpower!$F$4:$F$1048576,"")</f>
        <v>TOWER LIGHT</v>
      </c>
      <c r="H1189" s="28" t="str">
        <f>_xlfn.XLOOKUP(Table134526_79101120212223242526[[#This Row],[Name Surname]],Manpower!$C$4:$C$1048576,Manpower!$H$4:$H$1048576,"")</f>
        <v>Equipment</v>
      </c>
      <c r="I1189" s="24" t="str">
        <f>_xlfn.XLOOKUP(Table134526_79101120212223242526[[#This Row],[Name Surname]],Manpower!$C$4:$C$1048576,Manpower!$H$4:$H$1048576,"")</f>
        <v>Equipment</v>
      </c>
      <c r="J1189" s="21" t="s">
        <v>35</v>
      </c>
      <c r="K1189" s="21" t="s">
        <v>257</v>
      </c>
      <c r="L1189" s="21" t="s">
        <v>82</v>
      </c>
      <c r="M1189" s="21" t="s">
        <v>24</v>
      </c>
      <c r="N1189" s="29">
        <v>10</v>
      </c>
      <c r="O1189" s="21" t="s">
        <v>140</v>
      </c>
      <c r="P1189" s="21" t="s">
        <v>140</v>
      </c>
      <c r="Q1189" s="21" t="s">
        <v>140</v>
      </c>
      <c r="R1189" s="21" t="s">
        <v>26</v>
      </c>
    </row>
    <row r="1190" spans="1:19" ht="14.4">
      <c r="A1190" s="33">
        <f>IF(C1190="","",MAX($A$1:A1189)+1)</f>
        <v>1136</v>
      </c>
      <c r="B1190" s="27" t="s">
        <v>141</v>
      </c>
      <c r="C1190" s="23">
        <v>46091</v>
      </c>
      <c r="D1190" s="28" t="str">
        <f>_xlfn.XLOOKUP(Table134526_79101120212223242526[[#This Row],[Name Surname]],Manpower!$C$4:$C$1048576,Manpower!$B$4:$B$1048576,"")</f>
        <v>Encogroup</v>
      </c>
      <c r="E1190" s="21" t="s">
        <v>142</v>
      </c>
      <c r="F1190" s="12" t="e">
        <f>_xlfn.XLOOKUP(Table134526_79101120212223242526[[#This Row],[Name Surname]],Manpower!C:C,Manpower!D:D,)</f>
        <v>#N/A</v>
      </c>
      <c r="G1190" s="28" t="str">
        <f>_xlfn.XLOOKUP(Table134526_79101120212223242526[[#This Row],[Name Surname]],Manpower!$C$4:$C$1048576,Manpower!$F$4:$F$1048576,"")</f>
        <v>13 Seat Bus</v>
      </c>
      <c r="H1190" s="28" t="str">
        <f>_xlfn.XLOOKUP(Table134526_79101120212223242526[[#This Row],[Name Surname]],Manpower!$C$4:$C$1048576,Manpower!$H$4:$H$1048576,"")</f>
        <v>Equipment</v>
      </c>
      <c r="I1190" s="24" t="str">
        <f>_xlfn.XLOOKUP(Table134526_79101120212223242526[[#This Row],[Name Surname]],Manpower!$C$4:$C$1048576,Manpower!$H$4:$H$1048576,"")</f>
        <v>Equipment</v>
      </c>
      <c r="J1190" s="21" t="s">
        <v>143</v>
      </c>
      <c r="K1190" s="21" t="s">
        <v>26</v>
      </c>
      <c r="L1190" s="21" t="s">
        <v>144</v>
      </c>
      <c r="M1190" s="21" t="s">
        <v>24</v>
      </c>
      <c r="N1190" s="29">
        <v>10</v>
      </c>
      <c r="O1190" s="21" t="s">
        <v>138</v>
      </c>
      <c r="P1190" s="21" t="s">
        <v>138</v>
      </c>
      <c r="Q1190" s="21" t="s">
        <v>138</v>
      </c>
      <c r="R1190" s="21" t="s">
        <v>26</v>
      </c>
    </row>
    <row r="1191" spans="1:19" ht="14.4">
      <c r="A1191" s="33">
        <f>IF(C1191="","",MAX($A$1:A1190)+1)</f>
        <v>1137</v>
      </c>
      <c r="B1191" s="27" t="s">
        <v>141</v>
      </c>
      <c r="C1191" s="23">
        <v>46091</v>
      </c>
      <c r="D1191" s="28" t="str">
        <f>_xlfn.XLOOKUP(Table134526_79101120212223242526[[#This Row],[Name Surname]],Manpower!$C$4:$C$1048576,Manpower!$B$4:$B$1048576,"")</f>
        <v>Encogroup</v>
      </c>
      <c r="E1191" s="21" t="s">
        <v>145</v>
      </c>
      <c r="F1191" s="12" t="e">
        <f>_xlfn.XLOOKUP(Table134526_79101120212223242526[[#This Row],[Name Surname]],Manpower!C:C,Manpower!D:D,)</f>
        <v>#N/A</v>
      </c>
      <c r="G1191" s="28" t="str">
        <f>_xlfn.XLOOKUP(Table134526_79101120212223242526[[#This Row],[Name Surname]],Manpower!$C$4:$C$1048576,Manpower!$F$4:$F$1048576,"")</f>
        <v>15 Seat Bus</v>
      </c>
      <c r="H1191" s="28" t="str">
        <f>_xlfn.XLOOKUP(Table134526_79101120212223242526[[#This Row],[Name Surname]],Manpower!$C$4:$C$1048576,Manpower!$H$4:$H$1048576,"")</f>
        <v>Equipment</v>
      </c>
      <c r="I1191" s="24" t="str">
        <f>_xlfn.XLOOKUP(Table134526_79101120212223242526[[#This Row],[Name Surname]],Manpower!$C$4:$C$1048576,Manpower!$H$4:$H$1048576,"")</f>
        <v>Equipment</v>
      </c>
      <c r="J1191" s="21" t="s">
        <v>143</v>
      </c>
      <c r="K1191" s="21" t="s">
        <v>26</v>
      </c>
      <c r="L1191" s="21" t="s">
        <v>144</v>
      </c>
      <c r="M1191" s="21" t="s">
        <v>24</v>
      </c>
      <c r="N1191" s="29">
        <v>10</v>
      </c>
      <c r="O1191" s="21" t="s">
        <v>138</v>
      </c>
      <c r="P1191" s="21" t="s">
        <v>138</v>
      </c>
      <c r="Q1191" s="21" t="s">
        <v>138</v>
      </c>
      <c r="R1191" s="21" t="s">
        <v>26</v>
      </c>
    </row>
    <row r="1192" spans="1:19" ht="14.4">
      <c r="A1192" s="33">
        <f>IF(C1192="","",MAX($A$1:A1190)+1)</f>
        <v>1137</v>
      </c>
      <c r="B1192" s="27" t="s">
        <v>141</v>
      </c>
      <c r="C1192" s="23">
        <v>46091</v>
      </c>
      <c r="D1192" s="28" t="str">
        <f>_xlfn.XLOOKUP(Table134526_79101120212223242526[[#This Row],[Name Surname]],Manpower!$C$4:$C$1048576,Manpower!$B$4:$B$1048576,"")</f>
        <v>Nass Group</v>
      </c>
      <c r="E1192" s="21" t="s">
        <v>146</v>
      </c>
      <c r="F1192" s="12" t="e">
        <f>_xlfn.XLOOKUP(Table134526_79101120212223242526[[#This Row],[Name Surname]],Manpower!C:C,Manpower!D:D,)</f>
        <v>#N/A</v>
      </c>
      <c r="G1192" s="28" t="str">
        <f>_xlfn.XLOOKUP(Table134526_79101120212223242526[[#This Row],[Name Surname]],Manpower!$C$4:$C$1048576,Manpower!$F$4:$F$1048576,"")</f>
        <v>130T Crawler Crane</v>
      </c>
      <c r="H1192" s="28" t="str">
        <f>_xlfn.XLOOKUP(Table134526_79101120212223242526[[#This Row],[Name Surname]],Manpower!$C$4:$C$1048576,Manpower!$H$4:$H$1048576,"")</f>
        <v>Equipment</v>
      </c>
      <c r="I1192" s="24" t="str">
        <f>_xlfn.XLOOKUP(Table134526_79101120212223242526[[#This Row],[Name Surname]],Manpower!$C$4:$C$1048576,Manpower!$H$4:$H$1048576,"")</f>
        <v>Equipment</v>
      </c>
      <c r="J1192" s="21" t="s">
        <v>143</v>
      </c>
      <c r="K1192" s="21" t="s">
        <v>26</v>
      </c>
      <c r="L1192" s="21" t="s">
        <v>144</v>
      </c>
      <c r="M1192" s="21" t="s">
        <v>55</v>
      </c>
      <c r="N1192" s="29">
        <v>10</v>
      </c>
      <c r="R1192" s="21" t="s">
        <v>258</v>
      </c>
    </row>
    <row r="1193" spans="1:19" ht="14.4">
      <c r="A1193" s="33">
        <f>IF(C1193="","",MAX($A$1:A1192)+1)</f>
        <v>1138</v>
      </c>
      <c r="B1193" s="27" t="s">
        <v>141</v>
      </c>
      <c r="C1193" s="23">
        <v>46091</v>
      </c>
      <c r="D1193" s="28" t="str">
        <f>_xlfn.XLOOKUP(Table134526_79101120212223242526[[#This Row],[Name Surname]],Manpower!$C$4:$C$1048576,Manpower!$B$4:$B$1048576,"")</f>
        <v>Riyan Al Khaleej</v>
      </c>
      <c r="E1193" s="21" t="s">
        <v>20</v>
      </c>
      <c r="F1193" s="12" t="e">
        <f>_xlfn.XLOOKUP(Table134526_79101120212223242526[[#This Row],[Name Surname]],Manpower!C:C,Manpower!D:D,)</f>
        <v>#N/A</v>
      </c>
      <c r="G1193" s="28" t="str">
        <f>_xlfn.XLOOKUP(Table134526_79101120212223242526[[#This Row],[Name Surname]],Manpower!$C$4:$C$1048576,Manpower!$F$4:$F$1048576,"")</f>
        <v>100T Telescopic Crane</v>
      </c>
      <c r="H1193" s="28" t="str">
        <f>_xlfn.XLOOKUP(Table134526_79101120212223242526[[#This Row],[Name Surname]],Manpower!$C$4:$C$1048576,Manpower!$H$4:$H$1048576,"")</f>
        <v>Equipment</v>
      </c>
      <c r="I1193" s="24" t="str">
        <f>_xlfn.XLOOKUP(Table134526_79101120212223242526[[#This Row],[Name Surname]],Manpower!$C$4:$C$1048576,Manpower!$H$4:$H$1048576,"")</f>
        <v>Equipment</v>
      </c>
      <c r="J1193" s="21" t="s">
        <v>143</v>
      </c>
      <c r="K1193" s="21" t="s">
        <v>26</v>
      </c>
      <c r="L1193" s="21" t="s">
        <v>144</v>
      </c>
      <c r="M1193" s="21" t="s">
        <v>24</v>
      </c>
      <c r="N1193" s="29">
        <v>5</v>
      </c>
      <c r="O1193" s="21" t="s">
        <v>40</v>
      </c>
      <c r="P1193" s="21" t="s">
        <v>42</v>
      </c>
      <c r="Q1193" s="21" t="s">
        <v>42</v>
      </c>
      <c r="R1193" s="21" t="s">
        <v>272</v>
      </c>
    </row>
    <row r="1194" spans="1:19" ht="14.4">
      <c r="A1194" s="33">
        <f>IF(C1194="","",MAX($A$1:A1192)+1)</f>
        <v>1138</v>
      </c>
      <c r="B1194" s="27" t="s">
        <v>141</v>
      </c>
      <c r="C1194" s="23">
        <v>46091</v>
      </c>
      <c r="D1194" s="28" t="str">
        <f>_xlfn.XLOOKUP(Table134526_79101120212223242526[[#This Row],[Name Surname]],Manpower!$C$4:$C$1048576,Manpower!$B$4:$B$1048576,"")</f>
        <v>Nass Group</v>
      </c>
      <c r="E1194" s="21" t="s">
        <v>148</v>
      </c>
      <c r="F1194" s="12" t="e">
        <f>_xlfn.XLOOKUP(Table134526_79101120212223242526[[#This Row],[Name Surname]],Manpower!C:C,Manpower!D:D,)</f>
        <v>#N/A</v>
      </c>
      <c r="G1194" s="28" t="str">
        <f>_xlfn.XLOOKUP(Table134526_79101120212223242526[[#This Row],[Name Surname]],Manpower!$C$4:$C$1048576,Manpower!$F$4:$F$1048576,"")</f>
        <v>70T-Telescopic crane</v>
      </c>
      <c r="H1194" s="28" t="str">
        <f>_xlfn.XLOOKUP(Table134526_79101120212223242526[[#This Row],[Name Surname]],Manpower!$C$4:$C$1048576,Manpower!$H$4:$H$1048576,"")</f>
        <v>Equipment</v>
      </c>
      <c r="I1194" s="24" t="str">
        <f>_xlfn.XLOOKUP(Table134526_79101120212223242526[[#This Row],[Name Surname]],Manpower!$C$4:$C$1048576,Manpower!$H$4:$H$1048576,"")</f>
        <v>Equipment</v>
      </c>
      <c r="J1194" s="21" t="s">
        <v>143</v>
      </c>
      <c r="K1194" s="21" t="s">
        <v>26</v>
      </c>
      <c r="L1194" s="21" t="s">
        <v>144</v>
      </c>
      <c r="M1194" s="21" t="s">
        <v>24</v>
      </c>
      <c r="N1194" s="29">
        <v>10</v>
      </c>
      <c r="O1194" s="21" t="s">
        <v>40</v>
      </c>
      <c r="P1194" s="21" t="s">
        <v>42</v>
      </c>
      <c r="Q1194" s="21" t="s">
        <v>42</v>
      </c>
      <c r="R1194" s="21" t="s">
        <v>272</v>
      </c>
    </row>
    <row r="1195" spans="1:19" ht="14.4">
      <c r="A1195" s="33">
        <f>IF(C1195="","",MAX($A$1:A1194)+1)</f>
        <v>1139</v>
      </c>
      <c r="B1195" s="27" t="s">
        <v>141</v>
      </c>
      <c r="C1195" s="23">
        <v>46091</v>
      </c>
      <c r="D1195" s="28" t="str">
        <f>_xlfn.XLOOKUP(Table134526_79101120212223242526[[#This Row],[Name Surname]],Manpower!$C$4:$C$1048576,Manpower!$B$4:$B$1048576,"")</f>
        <v>Encogroup</v>
      </c>
      <c r="E1195" s="21" t="s">
        <v>150</v>
      </c>
      <c r="F1195" s="12" t="e">
        <f>_xlfn.XLOOKUP(Table134526_79101120212223242526[[#This Row],[Name Surname]],Manpower!C:C,Manpower!D:D,)</f>
        <v>#N/A</v>
      </c>
      <c r="G1195" s="28" t="str">
        <f>_xlfn.XLOOKUP(Table134526_79101120212223242526[[#This Row],[Name Surname]],Manpower!$C$4:$C$1048576,Manpower!$F$4:$F$1048576,"")</f>
        <v>14T Fork lift</v>
      </c>
      <c r="H1195" s="28" t="str">
        <f>_xlfn.XLOOKUP(Table134526_79101120212223242526[[#This Row],[Name Surname]],Manpower!$C$4:$C$1048576,Manpower!$H$4:$H$1048576,"")</f>
        <v>Equipment</v>
      </c>
      <c r="I1195" s="24" t="str">
        <f>_xlfn.XLOOKUP(Table134526_79101120212223242526[[#This Row],[Name Surname]],Manpower!$C$4:$C$1048576,Manpower!$H$4:$H$1048576,"")</f>
        <v>Equipment</v>
      </c>
      <c r="J1195" s="21" t="s">
        <v>143</v>
      </c>
      <c r="K1195" s="21" t="s">
        <v>26</v>
      </c>
      <c r="L1195" s="21" t="s">
        <v>144</v>
      </c>
      <c r="M1195" s="21" t="s">
        <v>24</v>
      </c>
      <c r="N1195" s="29">
        <v>10</v>
      </c>
      <c r="O1195" s="21" t="s">
        <v>40</v>
      </c>
      <c r="P1195" s="21" t="s">
        <v>42</v>
      </c>
      <c r="Q1195" s="21" t="s">
        <v>41</v>
      </c>
      <c r="R1195" s="21" t="s">
        <v>26</v>
      </c>
    </row>
    <row r="1196" spans="1:19" ht="14.4">
      <c r="A1196" s="33">
        <f>IF(C1196="","",MAX($A$1:A1195)+1)</f>
        <v>1140</v>
      </c>
      <c r="B1196" s="27" t="s">
        <v>141</v>
      </c>
      <c r="C1196" s="23">
        <v>46091</v>
      </c>
      <c r="D1196" s="28" t="str">
        <f>_xlfn.XLOOKUP(Table134526_79101120212223242526[[#This Row],[Name Surname]],Manpower!$C$4:$C$1048576,Manpower!$B$4:$B$1048576,"")</f>
        <v>Al Jaber Heavy Lift</v>
      </c>
      <c r="E1196" s="21" t="s">
        <v>151</v>
      </c>
      <c r="F1196" s="12" t="e">
        <f>_xlfn.XLOOKUP(Table134526_79101120212223242526[[#This Row],[Name Surname]],Manpower!C:C,Manpower!D:D,)</f>
        <v>#N/A</v>
      </c>
      <c r="G1196" s="28" t="str">
        <f>_xlfn.XLOOKUP(Table134526_79101120212223242526[[#This Row],[Name Surname]],Manpower!$C$4:$C$1048576,Manpower!$F$4:$F$1048576,"")</f>
        <v>150T-Crawler Crane</v>
      </c>
      <c r="H1196" s="28" t="str">
        <f>_xlfn.XLOOKUP(Table134526_79101120212223242526[[#This Row],[Name Surname]],Manpower!$C$4:$C$1048576,Manpower!$H$4:$H$1048576,"")</f>
        <v>Equipment</v>
      </c>
      <c r="I1196" s="24" t="str">
        <f>_xlfn.XLOOKUP(Table134526_79101120212223242526[[#This Row],[Name Surname]],Manpower!$C$4:$C$1048576,Manpower!$H$4:$H$1048576,"")</f>
        <v>Equipment</v>
      </c>
      <c r="J1196" s="21" t="s">
        <v>143</v>
      </c>
      <c r="K1196" s="21" t="s">
        <v>26</v>
      </c>
      <c r="L1196" s="21" t="s">
        <v>144</v>
      </c>
      <c r="M1196" s="21" t="s">
        <v>55</v>
      </c>
      <c r="N1196" s="29">
        <v>10</v>
      </c>
      <c r="R1196" s="21" t="s">
        <v>242</v>
      </c>
    </row>
    <row r="1197" spans="1:19" ht="14.4">
      <c r="A1197" s="33">
        <f>IF(C1197="","",MAX($A$1:A1196)+1)</f>
        <v>1141</v>
      </c>
      <c r="B1197" s="27" t="s">
        <v>141</v>
      </c>
      <c r="C1197" s="23">
        <v>46091</v>
      </c>
      <c r="D1197" s="28" t="str">
        <f>_xlfn.XLOOKUP(Table134526_79101120212223242526[[#This Row],[Name Surname]],Manpower!$C$4:$C$1048576,Manpower!$B$4:$B$1048576,"")</f>
        <v>Encogroup</v>
      </c>
      <c r="E1197" s="21" t="s">
        <v>153</v>
      </c>
      <c r="F1197" s="12" t="e">
        <f>_xlfn.XLOOKUP(Table134526_79101120212223242526[[#This Row],[Name Surname]],Manpower!C:C,Manpower!D:D,)</f>
        <v>#N/A</v>
      </c>
      <c r="G1197" s="28" t="str">
        <f>_xlfn.XLOOKUP(Table134526_79101120212223242526[[#This Row],[Name Surname]],Manpower!$C$4:$C$1048576,Manpower!$F$4:$F$1048576,"")</f>
        <v>22 Seat Bus</v>
      </c>
      <c r="H1197" s="28" t="str">
        <f>_xlfn.XLOOKUP(Table134526_79101120212223242526[[#This Row],[Name Surname]],Manpower!$C$4:$C$1048576,Manpower!$H$4:$H$1048576,"")</f>
        <v>Equipment</v>
      </c>
      <c r="I1197" s="24" t="str">
        <f>_xlfn.XLOOKUP(Table134526_79101120212223242526[[#This Row],[Name Surname]],Manpower!$C$4:$C$1048576,Manpower!$H$4:$H$1048576,"")</f>
        <v>Equipment</v>
      </c>
      <c r="J1197" s="21" t="s">
        <v>143</v>
      </c>
      <c r="K1197" s="21" t="s">
        <v>26</v>
      </c>
      <c r="L1197" s="21" t="s">
        <v>144</v>
      </c>
      <c r="M1197" s="21" t="s">
        <v>24</v>
      </c>
      <c r="N1197" s="29">
        <v>10</v>
      </c>
      <c r="O1197" s="21" t="s">
        <v>138</v>
      </c>
      <c r="P1197" s="21" t="s">
        <v>138</v>
      </c>
      <c r="Q1197" s="21" t="s">
        <v>138</v>
      </c>
      <c r="R1197" s="21" t="s">
        <v>26</v>
      </c>
    </row>
    <row r="1198" spans="1:19" ht="14.4">
      <c r="A1198" s="33">
        <f>IF(C1198="","",MAX($A$1:A1197)+1)</f>
        <v>1142</v>
      </c>
      <c r="B1198" s="27" t="s">
        <v>141</v>
      </c>
      <c r="C1198" s="23">
        <v>46091</v>
      </c>
      <c r="D1198" s="28" t="str">
        <f>_xlfn.XLOOKUP(Table134526_79101120212223242526[[#This Row],[Name Surname]],Manpower!$C$4:$C$1048576,Manpower!$B$4:$B$1048576,"")</f>
        <v>Encogroup</v>
      </c>
      <c r="E1198" s="21" t="s">
        <v>154</v>
      </c>
      <c r="F1198" s="12" t="e">
        <f>_xlfn.XLOOKUP(Table134526_79101120212223242526[[#This Row],[Name Surname]],Manpower!C:C,Manpower!D:D,)</f>
        <v>#N/A</v>
      </c>
      <c r="G1198" s="28" t="str">
        <f>_xlfn.XLOOKUP(Table134526_79101120212223242526[[#This Row],[Name Surname]],Manpower!$C$4:$C$1048576,Manpower!$F$4:$F$1048576,"")</f>
        <v>22 Seat Bus</v>
      </c>
      <c r="H1198" s="28" t="str">
        <f>_xlfn.XLOOKUP(Table134526_79101120212223242526[[#This Row],[Name Surname]],Manpower!$C$4:$C$1048576,Manpower!$H$4:$H$1048576,"")</f>
        <v>Equipment</v>
      </c>
      <c r="I1198" s="24" t="str">
        <f>_xlfn.XLOOKUP(Table134526_79101120212223242526[[#This Row],[Name Surname]],Manpower!$C$4:$C$1048576,Manpower!$H$4:$H$1048576,"")</f>
        <v>Equipment</v>
      </c>
      <c r="J1198" s="21" t="s">
        <v>143</v>
      </c>
      <c r="K1198" s="21" t="s">
        <v>26</v>
      </c>
      <c r="L1198" s="21" t="s">
        <v>144</v>
      </c>
      <c r="M1198" s="21" t="s">
        <v>24</v>
      </c>
      <c r="N1198" s="29">
        <v>10</v>
      </c>
      <c r="O1198" s="21" t="s">
        <v>138</v>
      </c>
      <c r="P1198" s="21" t="s">
        <v>138</v>
      </c>
      <c r="Q1198" s="21" t="s">
        <v>138</v>
      </c>
      <c r="R1198" s="21" t="s">
        <v>26</v>
      </c>
    </row>
    <row r="1199" spans="1:19" ht="14.4">
      <c r="A1199" s="33">
        <f>IF(C1199="","",MAX($A$1:A1198)+1)</f>
        <v>1143</v>
      </c>
      <c r="B1199" s="27" t="s">
        <v>141</v>
      </c>
      <c r="C1199" s="23">
        <v>46091</v>
      </c>
      <c r="D1199" s="28" t="str">
        <f>_xlfn.XLOOKUP(Table134526_79101120212223242526[[#This Row],[Name Surname]],Manpower!$C$4:$C$1048576,Manpower!$B$4:$B$1048576,"")</f>
        <v>Encogroup</v>
      </c>
      <c r="E1199" s="21" t="s">
        <v>155</v>
      </c>
      <c r="F1199" s="12" t="e">
        <f>_xlfn.XLOOKUP(Table134526_79101120212223242526[[#This Row],[Name Surname]],Manpower!C:C,Manpower!D:D,)</f>
        <v>#N/A</v>
      </c>
      <c r="G1199" s="28" t="str">
        <f>_xlfn.XLOOKUP(Table134526_79101120212223242526[[#This Row],[Name Surname]],Manpower!$C$4:$C$1048576,Manpower!$F$4:$F$1048576,"")</f>
        <v>300 KVA Generator</v>
      </c>
      <c r="H1199" s="28" t="str">
        <f>_xlfn.XLOOKUP(Table134526_79101120212223242526[[#This Row],[Name Surname]],Manpower!$C$4:$C$1048576,Manpower!$H$4:$H$1048576,"")</f>
        <v>Equipment</v>
      </c>
      <c r="I1199" s="24" t="str">
        <f>_xlfn.XLOOKUP(Table134526_79101120212223242526[[#This Row],[Name Surname]],Manpower!$C$4:$C$1048576,Manpower!$H$4:$H$1048576,"")</f>
        <v>Equipment</v>
      </c>
      <c r="J1199" s="21" t="s">
        <v>143</v>
      </c>
      <c r="K1199" s="21" t="s">
        <v>26</v>
      </c>
      <c r="L1199" s="21" t="s">
        <v>144</v>
      </c>
      <c r="M1199" s="21" t="s">
        <v>24</v>
      </c>
      <c r="N1199" s="29">
        <v>10</v>
      </c>
      <c r="R1199" s="21" t="s">
        <v>26</v>
      </c>
    </row>
    <row r="1200" spans="1:19" ht="14.4">
      <c r="A1200" s="33">
        <f>IF(C1200="","",MAX($A$1:A1199)+1)</f>
        <v>1144</v>
      </c>
      <c r="B1200" s="27" t="s">
        <v>141</v>
      </c>
      <c r="C1200" s="23">
        <v>46091</v>
      </c>
      <c r="D1200" s="28" t="str">
        <f>_xlfn.XLOOKUP(Table134526_79101120212223242526[[#This Row],[Name Surname]],Manpower!$C$4:$C$1048576,Manpower!$B$4:$B$1048576,"")</f>
        <v>Encogroup</v>
      </c>
      <c r="E1200" s="23" t="s">
        <v>156</v>
      </c>
      <c r="F1200" s="12" t="e">
        <f>_xlfn.XLOOKUP(Table134526_79101120212223242526[[#This Row],[Name Surname]],Manpower!C:C,Manpower!D:D,)</f>
        <v>#N/A</v>
      </c>
      <c r="G1200" s="28" t="str">
        <f>_xlfn.XLOOKUP(Table134526_79101120212223242526[[#This Row],[Name Surname]],Manpower!$C$4:$C$1048576,Manpower!$F$4:$F$1048576,"")</f>
        <v>35 KVA Generator</v>
      </c>
      <c r="H1200" s="28" t="str">
        <f>_xlfn.XLOOKUP(Table134526_79101120212223242526[[#This Row],[Name Surname]],Manpower!$C$4:$C$1048576,Manpower!$H$4:$H$1048576,"")</f>
        <v>Equipment</v>
      </c>
      <c r="I1200" s="24" t="str">
        <f>_xlfn.XLOOKUP(Table134526_79101120212223242526[[#This Row],[Name Surname]],Manpower!$C$4:$C$1048576,Manpower!$H$4:$H$1048576,"")</f>
        <v>Equipment</v>
      </c>
      <c r="J1200" s="21" t="s">
        <v>143</v>
      </c>
      <c r="K1200" s="21" t="s">
        <v>26</v>
      </c>
      <c r="L1200" s="21" t="s">
        <v>144</v>
      </c>
      <c r="M1200" s="21" t="s">
        <v>55</v>
      </c>
      <c r="N1200" s="29">
        <v>10</v>
      </c>
      <c r="R1200" s="21" t="s">
        <v>56</v>
      </c>
    </row>
    <row r="1201" spans="1:19" s="45" customFormat="1" ht="14.4" hidden="1">
      <c r="A1201" s="25">
        <f>IF(C1201="","",MAX($A$1:A1200)+1)</f>
        <v>1145</v>
      </c>
      <c r="B1201" s="25" t="s">
        <v>141</v>
      </c>
      <c r="C1201" s="41">
        <v>46091</v>
      </c>
      <c r="D1201" s="48" t="str">
        <f>_xlfn.XLOOKUP(Table134526_79101120212223242526[[#This Row],[Name Surname]],Manpower!$C$4:$C$1048576,Manpower!$B$4:$B$1048576,"")</f>
        <v>Encogroup</v>
      </c>
      <c r="E1201" s="43" t="s">
        <v>157</v>
      </c>
      <c r="F1201" s="12">
        <f>_xlfn.XLOOKUP(Table134526_79101120212223242526[[#This Row],[Name Surname]],Manpower!C:C,Manpower!D:D,)</f>
        <v>140742144</v>
      </c>
      <c r="G1201" s="48" t="str">
        <f>_xlfn.XLOOKUP(Table134526_79101120212223242526[[#This Row],[Name Surname]],Manpower!$C$4:$C$1048576,Manpower!$F$4:$F$1048576,"")</f>
        <v>Assistant/Helper</v>
      </c>
      <c r="H1201" s="48" t="str">
        <f>_xlfn.XLOOKUP(Table134526_79101120212223242526[[#This Row],[Name Surname]],Manpower!$C$4:$C$1048576,Manpower!$H$4:$H$1048576,"")</f>
        <v>Manpower</v>
      </c>
      <c r="I1201" s="42" t="str">
        <f>_xlfn.XLOOKUP(Table134526_79101120212223242526[[#This Row],[Name Surname]],Manpower!$C$4:$C$1048576,Manpower!$H$4:$H$1048576,"")</f>
        <v>Manpower</v>
      </c>
      <c r="J1201" s="43" t="s">
        <v>158</v>
      </c>
      <c r="K1201" s="43" t="s">
        <v>26</v>
      </c>
      <c r="L1201" s="43" t="s">
        <v>26</v>
      </c>
      <c r="M1201" s="43" t="s">
        <v>24</v>
      </c>
      <c r="N1201" s="44">
        <v>11</v>
      </c>
      <c r="O1201" s="43" t="s">
        <v>159</v>
      </c>
      <c r="P1201" s="43" t="s">
        <v>160</v>
      </c>
      <c r="Q1201" s="43" t="s">
        <v>160</v>
      </c>
      <c r="R1201" s="43" t="s">
        <v>259</v>
      </c>
      <c r="S1201" s="43"/>
    </row>
    <row r="1202" spans="1:19" s="45" customFormat="1" ht="14.4" hidden="1">
      <c r="A1202" s="25">
        <f>IF(C1202="","",MAX($A$1:A1201)+1)</f>
        <v>1146</v>
      </c>
      <c r="B1202" s="25" t="s">
        <v>141</v>
      </c>
      <c r="C1202" s="41">
        <v>46091</v>
      </c>
      <c r="D1202" s="48" t="str">
        <f>_xlfn.XLOOKUP(Table134526_79101120212223242526[[#This Row],[Name Surname]],Manpower!$C$4:$C$1048576,Manpower!$B$4:$B$1048576,"")</f>
        <v>Encogroup</v>
      </c>
      <c r="E1202" s="43" t="s">
        <v>166</v>
      </c>
      <c r="F1202" s="12" t="str">
        <f>_xlfn.XLOOKUP(Table134526_79101120212223242526[[#This Row],[Name Surname]],Manpower!C:C,Manpower!D:D,)</f>
        <v>U4181508</v>
      </c>
      <c r="G1202" s="48" t="str">
        <f>_xlfn.XLOOKUP(Table134526_79101120212223242526[[#This Row],[Name Surname]],Manpower!$C$4:$C$1048576,Manpower!$F$4:$F$1048576,"")</f>
        <v>Welder</v>
      </c>
      <c r="H1202" s="48" t="str">
        <f>_xlfn.XLOOKUP(Table134526_79101120212223242526[[#This Row],[Name Surname]],Manpower!$C$4:$C$1048576,Manpower!$H$4:$H$1048576,"")</f>
        <v>Manpower</v>
      </c>
      <c r="I1202" s="42" t="str">
        <f>_xlfn.XLOOKUP(Table134526_79101120212223242526[[#This Row],[Name Surname]],Manpower!$C$4:$C$1048576,Manpower!$H$4:$H$1048576,"")</f>
        <v>Manpower</v>
      </c>
      <c r="J1202" s="43" t="s">
        <v>143</v>
      </c>
      <c r="K1202" s="43" t="s">
        <v>26</v>
      </c>
      <c r="L1202" s="43" t="s">
        <v>144</v>
      </c>
      <c r="M1202" s="43" t="s">
        <v>24</v>
      </c>
      <c r="N1202" s="44">
        <v>10</v>
      </c>
      <c r="O1202" s="43" t="s">
        <v>40</v>
      </c>
      <c r="P1202" s="43" t="s">
        <v>42</v>
      </c>
      <c r="Q1202" s="43" t="s">
        <v>42</v>
      </c>
      <c r="R1202" s="43" t="s">
        <v>260</v>
      </c>
      <c r="S1202" s="43"/>
    </row>
    <row r="1203" spans="1:19" s="45" customFormat="1" ht="14.4" hidden="1">
      <c r="A1203" s="25">
        <f>IF(C1203="","",MAX($A$1:A1202)+1)</f>
        <v>1147</v>
      </c>
      <c r="B1203" s="25" t="s">
        <v>141</v>
      </c>
      <c r="C1203" s="41">
        <v>46091</v>
      </c>
      <c r="D1203" s="48" t="str">
        <f>_xlfn.XLOOKUP(Table134526_79101120212223242526[[#This Row],[Name Surname]],Manpower!$C$4:$C$1048576,Manpower!$B$4:$B$1048576,"")</f>
        <v>Encogroup</v>
      </c>
      <c r="E1203" s="43" t="s">
        <v>167</v>
      </c>
      <c r="F1203" s="12">
        <f>_xlfn.XLOOKUP(Table134526_79101120212223242526[[#This Row],[Name Surname]],Manpower!C:C,Manpower!D:D,)</f>
        <v>125440631</v>
      </c>
      <c r="G1203" s="48" t="str">
        <f>_xlfn.XLOOKUP(Table134526_79101120212223242526[[#This Row],[Name Surname]],Manpower!$C$4:$C$1048576,Manpower!$F$4:$F$1048576,"")</f>
        <v>Rigger</v>
      </c>
      <c r="H1203" s="48" t="str">
        <f>_xlfn.XLOOKUP(Table134526_79101120212223242526[[#This Row],[Name Surname]],Manpower!$C$4:$C$1048576,Manpower!$H$4:$H$1048576,"")</f>
        <v>Manpower</v>
      </c>
      <c r="I1203" s="42" t="str">
        <f>_xlfn.XLOOKUP(Table134526_79101120212223242526[[#This Row],[Name Surname]],Manpower!$C$4:$C$1048576,Manpower!$H$4:$H$1048576,"")</f>
        <v>Manpower</v>
      </c>
      <c r="J1203" s="43" t="s">
        <v>143</v>
      </c>
      <c r="K1203" s="43" t="s">
        <v>26</v>
      </c>
      <c r="L1203" s="43" t="s">
        <v>144</v>
      </c>
      <c r="M1203" s="43" t="s">
        <v>24</v>
      </c>
      <c r="N1203" s="44">
        <v>8</v>
      </c>
      <c r="O1203" s="43" t="s">
        <v>40</v>
      </c>
      <c r="P1203" s="43" t="s">
        <v>42</v>
      </c>
      <c r="Q1203" s="43" t="s">
        <v>42</v>
      </c>
      <c r="R1203" s="43" t="s">
        <v>260</v>
      </c>
      <c r="S1203" s="43"/>
    </row>
    <row r="1204" spans="1:19" ht="14.4" hidden="1">
      <c r="A1204" s="33">
        <f>IF(C1204="","",MAX($A$1:A1203)+1)</f>
        <v>1148</v>
      </c>
      <c r="B1204" s="27" t="s">
        <v>141</v>
      </c>
      <c r="C1204" s="23">
        <v>46091</v>
      </c>
      <c r="D1204" s="28" t="str">
        <f>_xlfn.XLOOKUP(Table134526_79101120212223242526[[#This Row],[Name Surname]],Manpower!$C$4:$C$1048576,Manpower!$B$4:$B$1048576,"")</f>
        <v>AL Omar International TRAD AND CONT</v>
      </c>
      <c r="E1204" s="21" t="s">
        <v>169</v>
      </c>
      <c r="F1204" s="12">
        <f>_xlfn.XLOOKUP(Table134526_79101120212223242526[[#This Row],[Name Surname]],Manpower!C:C,Manpower!D:D,)</f>
        <v>115731078</v>
      </c>
      <c r="G1204" s="28" t="str">
        <f>_xlfn.XLOOKUP(Table134526_79101120212223242526[[#This Row],[Name Surname]],Manpower!$C$4:$C$1048576,Manpower!$F$4:$F$1048576,"")</f>
        <v>Scaffolder</v>
      </c>
      <c r="H1204" s="28" t="str">
        <f>_xlfn.XLOOKUP(Table134526_79101120212223242526[[#This Row],[Name Surname]],Manpower!$C$4:$C$1048576,Manpower!$H$4:$H$1048576,"")</f>
        <v>Sub Contactor</v>
      </c>
      <c r="I1204" s="24" t="str">
        <f>_xlfn.XLOOKUP(Table134526_79101120212223242526[[#This Row],[Name Surname]],Manpower!$C$4:$C$1048576,Manpower!$H$4:$H$1048576,"")</f>
        <v>Sub Contactor</v>
      </c>
      <c r="J1204" s="21" t="s">
        <v>143</v>
      </c>
      <c r="K1204" s="21" t="s">
        <v>26</v>
      </c>
      <c r="L1204" s="21" t="s">
        <v>170</v>
      </c>
      <c r="M1204" s="21" t="s">
        <v>24</v>
      </c>
      <c r="N1204" s="29">
        <v>8</v>
      </c>
      <c r="O1204" s="21" t="s">
        <v>40</v>
      </c>
      <c r="P1204" s="21" t="s">
        <v>128</v>
      </c>
      <c r="Q1204" s="21" t="s">
        <v>128</v>
      </c>
      <c r="R1204" s="21" t="s">
        <v>171</v>
      </c>
    </row>
    <row r="1205" spans="1:19" s="45" customFormat="1" ht="14.4" hidden="1">
      <c r="A1205" s="25">
        <f>IF(C1205="","",MAX($A$1:A1204)+1)</f>
        <v>1149</v>
      </c>
      <c r="B1205" s="25" t="s">
        <v>141</v>
      </c>
      <c r="C1205" s="41">
        <v>46091</v>
      </c>
      <c r="D1205" s="48" t="str">
        <f>_xlfn.XLOOKUP(Table134526_79101120212223242526[[#This Row],[Name Surname]],Manpower!$C$4:$C$1048576,Manpower!$B$4:$B$1048576,"")</f>
        <v>Encogroup</v>
      </c>
      <c r="E1205" s="43" t="s">
        <v>172</v>
      </c>
      <c r="F1205" s="12">
        <f>_xlfn.XLOOKUP(Table134526_79101120212223242526[[#This Row],[Name Surname]],Manpower!C:C,Manpower!D:D,)</f>
        <v>140764355</v>
      </c>
      <c r="G1205" s="48" t="str">
        <f>_xlfn.XLOOKUP(Table134526_79101120212223242526[[#This Row],[Name Surname]],Manpower!$C$4:$C$1048576,Manpower!$F$4:$F$1048576,"")</f>
        <v>Fitter/Erector</v>
      </c>
      <c r="H1205" s="48" t="str">
        <f>_xlfn.XLOOKUP(Table134526_79101120212223242526[[#This Row],[Name Surname]],Manpower!$C$4:$C$1048576,Manpower!$H$4:$H$1048576,"")</f>
        <v>Manpower</v>
      </c>
      <c r="I1205" s="42" t="str">
        <f>_xlfn.XLOOKUP(Table134526_79101120212223242526[[#This Row],[Name Surname]],Manpower!$C$4:$C$1048576,Manpower!$H$4:$H$1048576,"")</f>
        <v>Manpower</v>
      </c>
      <c r="J1205" s="43" t="s">
        <v>143</v>
      </c>
      <c r="K1205" s="43" t="s">
        <v>26</v>
      </c>
      <c r="L1205" s="43" t="s">
        <v>144</v>
      </c>
      <c r="M1205" s="43" t="s">
        <v>24</v>
      </c>
      <c r="N1205" s="44">
        <v>10</v>
      </c>
      <c r="O1205" s="43" t="s">
        <v>40</v>
      </c>
      <c r="P1205" s="43" t="s">
        <v>42</v>
      </c>
      <c r="Q1205" s="43" t="s">
        <v>42</v>
      </c>
      <c r="R1205" s="43" t="s">
        <v>260</v>
      </c>
      <c r="S1205" s="43"/>
    </row>
    <row r="1206" spans="1:19" s="45" customFormat="1" ht="14.4" hidden="1">
      <c r="A1206" s="25">
        <f>IF(C1206="","",MAX($A$1:A1205)+1)</f>
        <v>1150</v>
      </c>
      <c r="B1206" s="25" t="s">
        <v>141</v>
      </c>
      <c r="C1206" s="41">
        <v>46091</v>
      </c>
      <c r="D1206" s="48" t="str">
        <f>_xlfn.XLOOKUP(Table134526_79101120212223242526[[#This Row],[Name Surname]],Manpower!$C$4:$C$1048576,Manpower!$B$4:$B$1048576,"")</f>
        <v>Encogroup</v>
      </c>
      <c r="E1206" s="43" t="s">
        <v>175</v>
      </c>
      <c r="F1206" s="12">
        <f>_xlfn.XLOOKUP(Table134526_79101120212223242526[[#This Row],[Name Surname]],Manpower!C:C,Manpower!D:D,)</f>
        <v>140742125</v>
      </c>
      <c r="G1206" s="48" t="str">
        <f>_xlfn.XLOOKUP(Table134526_79101120212223242526[[#This Row],[Name Surname]],Manpower!$C$4:$C$1048576,Manpower!$F$4:$F$1048576,"")</f>
        <v>Assistant/Helper</v>
      </c>
      <c r="H1206" s="48" t="str">
        <f>_xlfn.XLOOKUP(Table134526_79101120212223242526[[#This Row],[Name Surname]],Manpower!$C$4:$C$1048576,Manpower!$H$4:$H$1048576,"")</f>
        <v>Manpower</v>
      </c>
      <c r="I1206" s="42" t="str">
        <f>_xlfn.XLOOKUP(Table134526_79101120212223242526[[#This Row],[Name Surname]],Manpower!$C$4:$C$1048576,Manpower!$H$4:$H$1048576,"")</f>
        <v>Manpower</v>
      </c>
      <c r="J1206" s="43" t="s">
        <v>158</v>
      </c>
      <c r="K1206" s="43" t="s">
        <v>26</v>
      </c>
      <c r="L1206" s="43" t="s">
        <v>26</v>
      </c>
      <c r="M1206" s="43" t="s">
        <v>24</v>
      </c>
      <c r="N1206" s="44">
        <v>10</v>
      </c>
      <c r="O1206" s="43" t="s">
        <v>159</v>
      </c>
      <c r="P1206" s="43" t="s">
        <v>160</v>
      </c>
      <c r="Q1206" s="43" t="s">
        <v>160</v>
      </c>
      <c r="R1206" s="43" t="s">
        <v>161</v>
      </c>
      <c r="S1206" s="43"/>
    </row>
    <row r="1207" spans="1:19" s="45" customFormat="1" ht="14.4" hidden="1">
      <c r="A1207" s="25">
        <f>IF(C1207="","",MAX($A$1:A1206)+1)</f>
        <v>1151</v>
      </c>
      <c r="B1207" s="25" t="s">
        <v>141</v>
      </c>
      <c r="C1207" s="41">
        <v>46091</v>
      </c>
      <c r="D1207" s="48" t="str">
        <f>_xlfn.XLOOKUP(Table134526_79101120212223242526[[#This Row],[Name Surname]],Manpower!$C$4:$C$1048576,Manpower!$B$4:$B$1048576,"")</f>
        <v>Encogroup</v>
      </c>
      <c r="E1207" s="43" t="s">
        <v>228</v>
      </c>
      <c r="F1207" s="12">
        <f>_xlfn.XLOOKUP(Table134526_79101120212223242526[[#This Row],[Name Surname]],Manpower!C:C,Manpower!D:D,)</f>
        <v>125199963</v>
      </c>
      <c r="G1207" s="48" t="str">
        <f>_xlfn.XLOOKUP(Table134526_79101120212223242526[[#This Row],[Name Surname]],Manpower!$C$4:$C$1048576,Manpower!$F$4:$F$1048576,"")</f>
        <v>Electrician</v>
      </c>
      <c r="H1207" s="48" t="str">
        <f>_xlfn.XLOOKUP(Table134526_79101120212223242526[[#This Row],[Name Surname]],Manpower!$C$4:$C$1048576,Manpower!$H$4:$H$1048576,"")</f>
        <v>Manpower</v>
      </c>
      <c r="I1207" s="42" t="str">
        <f>_xlfn.XLOOKUP(Table134526_79101120212223242526[[#This Row],[Name Surname]],Manpower!$C$4:$C$1048576,Manpower!$H$4:$H$1048576,"")</f>
        <v>Manpower</v>
      </c>
      <c r="J1207" s="43" t="s">
        <v>158</v>
      </c>
      <c r="K1207" s="43" t="s">
        <v>26</v>
      </c>
      <c r="L1207" s="43" t="s">
        <v>26</v>
      </c>
      <c r="M1207" s="43" t="s">
        <v>24</v>
      </c>
      <c r="N1207" s="44">
        <v>10</v>
      </c>
      <c r="O1207" s="43" t="s">
        <v>159</v>
      </c>
      <c r="P1207" s="43" t="s">
        <v>160</v>
      </c>
      <c r="Q1207" s="43" t="s">
        <v>160</v>
      </c>
      <c r="R1207" s="43" t="s">
        <v>161</v>
      </c>
      <c r="S1207" s="43"/>
    </row>
    <row r="1208" spans="1:19" s="45" customFormat="1" ht="14.4" hidden="1">
      <c r="A1208" s="25">
        <f>IF(C1208="","",MAX($A$1:A1207)+1)</f>
        <v>1152</v>
      </c>
      <c r="B1208" s="25" t="s">
        <v>141</v>
      </c>
      <c r="C1208" s="41">
        <v>46091</v>
      </c>
      <c r="D1208" s="48" t="str">
        <f>_xlfn.XLOOKUP(Table134526_79101120212223242526[[#This Row],[Name Surname]],Manpower!$C$4:$C$1048576,Manpower!$B$4:$B$1048576,"")</f>
        <v>Encogroup</v>
      </c>
      <c r="E1208" s="43" t="s">
        <v>176</v>
      </c>
      <c r="F1208" s="12">
        <f>_xlfn.XLOOKUP(Table134526_79101120212223242526[[#This Row],[Name Surname]],Manpower!C:C,Manpower!D:D,)</f>
        <v>124398279</v>
      </c>
      <c r="G1208" s="48" t="str">
        <f>_xlfn.XLOOKUP(Table134526_79101120212223242526[[#This Row],[Name Surname]],Manpower!$C$4:$C$1048576,Manpower!$F$4:$F$1048576,"")</f>
        <v>Permit Receiver</v>
      </c>
      <c r="H1208" s="48" t="str">
        <f>_xlfn.XLOOKUP(Table134526_79101120212223242526[[#This Row],[Name Surname]],Manpower!$C$4:$C$1048576,Manpower!$H$4:$H$1048576,"")</f>
        <v>Manpower</v>
      </c>
      <c r="I1208" s="42" t="str">
        <f>_xlfn.XLOOKUP(Table134526_79101120212223242526[[#This Row],[Name Surname]],Manpower!$C$4:$C$1048576,Manpower!$H$4:$H$1048576,"")</f>
        <v>Manpower</v>
      </c>
      <c r="J1208" s="43" t="s">
        <v>143</v>
      </c>
      <c r="K1208" s="43" t="s">
        <v>26</v>
      </c>
      <c r="L1208" s="43" t="s">
        <v>144</v>
      </c>
      <c r="M1208" s="43" t="s">
        <v>24</v>
      </c>
      <c r="N1208" s="44">
        <v>10</v>
      </c>
      <c r="O1208" s="43" t="s">
        <v>40</v>
      </c>
      <c r="P1208" s="43" t="s">
        <v>42</v>
      </c>
      <c r="Q1208" s="43" t="s">
        <v>42</v>
      </c>
      <c r="R1208" s="43" t="s">
        <v>260</v>
      </c>
      <c r="S1208" s="43"/>
    </row>
    <row r="1209" spans="1:19" s="45" customFormat="1" ht="14.4" hidden="1">
      <c r="A1209" s="25">
        <f>IF(C1209="","",MAX($A$1:A1208)+1)</f>
        <v>1153</v>
      </c>
      <c r="B1209" s="25" t="s">
        <v>141</v>
      </c>
      <c r="C1209" s="41">
        <v>46091</v>
      </c>
      <c r="D1209" s="48" t="str">
        <f>_xlfn.XLOOKUP(Table134526_79101120212223242526[[#This Row],[Name Surname]],Manpower!$C$4:$C$1048576,Manpower!$B$4:$B$1048576,"")</f>
        <v>Encogroup</v>
      </c>
      <c r="E1209" s="43" t="s">
        <v>177</v>
      </c>
      <c r="F1209" s="12">
        <f>_xlfn.XLOOKUP(Table134526_79101120212223242526[[#This Row],[Name Surname]],Manpower!C:C,Manpower!D:D,)</f>
        <v>140809004</v>
      </c>
      <c r="G1209" s="48" t="str">
        <f>_xlfn.XLOOKUP(Table134526_79101120212223242526[[#This Row],[Name Surname]],Manpower!$C$4:$C$1048576,Manpower!$F$4:$F$1048576,"")</f>
        <v>Fitter/Erector</v>
      </c>
      <c r="H1209" s="48" t="str">
        <f>_xlfn.XLOOKUP(Table134526_79101120212223242526[[#This Row],[Name Surname]],Manpower!$C$4:$C$1048576,Manpower!$H$4:$H$1048576,"")</f>
        <v>Manpower</v>
      </c>
      <c r="I1209" s="42" t="str">
        <f>_xlfn.XLOOKUP(Table134526_79101120212223242526[[#This Row],[Name Surname]],Manpower!$C$4:$C$1048576,Manpower!$H$4:$H$1048576,"")</f>
        <v>Manpower</v>
      </c>
      <c r="J1209" s="43" t="s">
        <v>143</v>
      </c>
      <c r="K1209" s="43" t="s">
        <v>26</v>
      </c>
      <c r="L1209" s="43" t="s">
        <v>144</v>
      </c>
      <c r="M1209" s="43" t="s">
        <v>24</v>
      </c>
      <c r="N1209" s="44">
        <v>10</v>
      </c>
      <c r="O1209" s="43" t="s">
        <v>40</v>
      </c>
      <c r="P1209" s="43" t="s">
        <v>42</v>
      </c>
      <c r="Q1209" s="43" t="s">
        <v>42</v>
      </c>
      <c r="R1209" s="43" t="s">
        <v>260</v>
      </c>
      <c r="S1209" s="43"/>
    </row>
    <row r="1210" spans="1:19" s="45" customFormat="1" ht="14.4" hidden="1">
      <c r="A1210" s="25">
        <f>IF(C1210="","",MAX($A$1:A1209)+1)</f>
        <v>1154</v>
      </c>
      <c r="B1210" s="25" t="s">
        <v>141</v>
      </c>
      <c r="C1210" s="41">
        <v>46091</v>
      </c>
      <c r="D1210" s="48" t="str">
        <f>_xlfn.XLOOKUP(Table134526_79101120212223242526[[#This Row],[Name Surname]],Manpower!$C$4:$C$1048576,Manpower!$B$4:$B$1048576,"")</f>
        <v>Encogroup</v>
      </c>
      <c r="E1210" s="43" t="s">
        <v>178</v>
      </c>
      <c r="F1210" s="12">
        <f>_xlfn.XLOOKUP(Table134526_79101120212223242526[[#This Row],[Name Surname]],Manpower!C:C,Manpower!D:D,)</f>
        <v>140683436</v>
      </c>
      <c r="G1210" s="48" t="str">
        <f>_xlfn.XLOOKUP(Table134526_79101120212223242526[[#This Row],[Name Surname]],Manpower!$C$4:$C$1048576,Manpower!$F$4:$F$1048576,"")</f>
        <v>Scaffolder</v>
      </c>
      <c r="H1210" s="48" t="str">
        <f>_xlfn.XLOOKUP(Table134526_79101120212223242526[[#This Row],[Name Surname]],Manpower!$C$4:$C$1048576,Manpower!$H$4:$H$1048576,"")</f>
        <v>Manpower</v>
      </c>
      <c r="I1210" s="42" t="str">
        <f>_xlfn.XLOOKUP(Table134526_79101120212223242526[[#This Row],[Name Surname]],Manpower!$C$4:$C$1048576,Manpower!$H$4:$H$1048576,"")</f>
        <v>Manpower</v>
      </c>
      <c r="J1210" s="43" t="s">
        <v>158</v>
      </c>
      <c r="K1210" s="43" t="s">
        <v>26</v>
      </c>
      <c r="L1210" s="43" t="s">
        <v>26</v>
      </c>
      <c r="M1210" s="43" t="s">
        <v>24</v>
      </c>
      <c r="N1210" s="44">
        <v>8</v>
      </c>
      <c r="O1210" s="43" t="s">
        <v>159</v>
      </c>
      <c r="P1210" s="43" t="s">
        <v>160</v>
      </c>
      <c r="Q1210" s="43" t="s">
        <v>160</v>
      </c>
      <c r="R1210" s="43" t="s">
        <v>161</v>
      </c>
      <c r="S1210" s="43"/>
    </row>
    <row r="1211" spans="1:19" ht="14.4">
      <c r="A1211" s="33">
        <f>IF(C1211="","",MAX($A$1:A1210)+1)</f>
        <v>1155</v>
      </c>
      <c r="B1211" s="27" t="s">
        <v>141</v>
      </c>
      <c r="C1211" s="23">
        <v>46091</v>
      </c>
      <c r="D1211" s="28" t="str">
        <f>_xlfn.XLOOKUP(Table134526_79101120212223242526[[#This Row],[Name Surname]],Manpower!$C$4:$C$1048576,Manpower!$B$4:$B$1048576,"")</f>
        <v>Encogroup</v>
      </c>
      <c r="E1211" s="23" t="s">
        <v>179</v>
      </c>
      <c r="F1211" s="12" t="e">
        <f>_xlfn.XLOOKUP(Table134526_79101120212223242526[[#This Row],[Name Surname]],Manpower!C:C,Manpower!D:D,)</f>
        <v>#N/A</v>
      </c>
      <c r="G1211" s="28" t="str">
        <f>_xlfn.XLOOKUP(Table134526_79101120212223242526[[#This Row],[Name Surname]],Manpower!$C$4:$C$1048576,Manpower!$F$4:$F$1048576,"")</f>
        <v>7T-HIAB</v>
      </c>
      <c r="H1211" s="28" t="str">
        <f>_xlfn.XLOOKUP(Table134526_79101120212223242526[[#This Row],[Name Surname]],Manpower!$C$4:$C$1048576,Manpower!$H$4:$H$1048576,"")</f>
        <v>Equipment</v>
      </c>
      <c r="I1211" s="24" t="str">
        <f>_xlfn.XLOOKUP(Table134526_79101120212223242526[[#This Row],[Name Surname]],Manpower!$C$4:$C$1048576,Manpower!$H$4:$H$1048576,"")</f>
        <v>Equipment</v>
      </c>
      <c r="J1211" s="21" t="s">
        <v>143</v>
      </c>
      <c r="K1211" s="21" t="s">
        <v>26</v>
      </c>
      <c r="L1211" s="21" t="s">
        <v>144</v>
      </c>
      <c r="M1211" s="21" t="s">
        <v>24</v>
      </c>
      <c r="N1211" s="29">
        <v>10</v>
      </c>
      <c r="O1211" s="21" t="s">
        <v>138</v>
      </c>
      <c r="P1211" s="21" t="s">
        <v>138</v>
      </c>
      <c r="Q1211" s="21" t="s">
        <v>138</v>
      </c>
      <c r="R1211" s="21" t="s">
        <v>26</v>
      </c>
    </row>
    <row r="1212" spans="1:19" s="45" customFormat="1" ht="14.4" hidden="1">
      <c r="A1212" s="25">
        <f>IF(C1212="","",MAX($A$1:A1211)+1)</f>
        <v>1156</v>
      </c>
      <c r="B1212" s="25" t="s">
        <v>141</v>
      </c>
      <c r="C1212" s="41">
        <v>46091</v>
      </c>
      <c r="D1212" s="48" t="str">
        <f>_xlfn.XLOOKUP(Table134526_79101120212223242526[[#This Row],[Name Surname]],Manpower!$C$4:$C$1048576,Manpower!$B$4:$B$1048576,"")</f>
        <v>Encogroup</v>
      </c>
      <c r="E1212" s="43" t="s">
        <v>180</v>
      </c>
      <c r="F1212" s="12">
        <f>_xlfn.XLOOKUP(Table134526_79101120212223242526[[#This Row],[Name Surname]],Manpower!C:C,Manpower!D:D,)</f>
        <v>9138415</v>
      </c>
      <c r="G1212" s="48" t="str">
        <f>_xlfn.XLOOKUP(Table134526_79101120212223242526[[#This Row],[Name Surname]],Manpower!$C$4:$C$1048576,Manpower!$F$4:$F$1048576,"")</f>
        <v>HIAB Driver</v>
      </c>
      <c r="H1212" s="48" t="str">
        <f>_xlfn.XLOOKUP(Table134526_79101120212223242526[[#This Row],[Name Surname]],Manpower!$C$4:$C$1048576,Manpower!$H$4:$H$1048576,"")</f>
        <v>Manpower</v>
      </c>
      <c r="I1212" s="42" t="str">
        <f>_xlfn.XLOOKUP(Table134526_79101120212223242526[[#This Row],[Name Surname]],Manpower!$C$4:$C$1048576,Manpower!$H$4:$H$1048576,"")</f>
        <v>Manpower</v>
      </c>
      <c r="J1212" s="43" t="s">
        <v>143</v>
      </c>
      <c r="K1212" s="43" t="s">
        <v>26</v>
      </c>
      <c r="L1212" s="43" t="s">
        <v>144</v>
      </c>
      <c r="M1212" s="43" t="s">
        <v>24</v>
      </c>
      <c r="N1212" s="44">
        <v>10</v>
      </c>
      <c r="O1212" s="43" t="s">
        <v>40</v>
      </c>
      <c r="P1212" s="43" t="s">
        <v>42</v>
      </c>
      <c r="Q1212" s="43" t="s">
        <v>42</v>
      </c>
      <c r="R1212" s="43" t="s">
        <v>181</v>
      </c>
      <c r="S1212" s="43" t="s">
        <v>246</v>
      </c>
    </row>
    <row r="1213" spans="1:19" s="45" customFormat="1" ht="14.4" hidden="1">
      <c r="A1213" s="25">
        <f>IF(C1213="","",MAX($A$1:A1212)+1)</f>
        <v>1157</v>
      </c>
      <c r="B1213" s="25" t="s">
        <v>141</v>
      </c>
      <c r="C1213" s="41">
        <v>46091</v>
      </c>
      <c r="D1213" s="48" t="str">
        <f>_xlfn.XLOOKUP(Table134526_79101120212223242526[[#This Row],[Name Surname]],Manpower!$C$4:$C$1048576,Manpower!$B$4:$B$1048576,"")</f>
        <v>GAF</v>
      </c>
      <c r="E1213" s="43" t="s">
        <v>182</v>
      </c>
      <c r="F1213" s="12">
        <f>_xlfn.XLOOKUP(Table134526_79101120212223242526[[#This Row],[Name Surname]],Manpower!C:C,Manpower!D:D,)</f>
        <v>78785394</v>
      </c>
      <c r="G1213" s="48" t="str">
        <f>_xlfn.XLOOKUP(Table134526_79101120212223242526[[#This Row],[Name Surname]],Manpower!$C$4:$C$1048576,Manpower!$F$4:$F$1048576,"")</f>
        <v>Helper</v>
      </c>
      <c r="H1213" s="48" t="str">
        <f>_xlfn.XLOOKUP(Table134526_79101120212223242526[[#This Row],[Name Surname]],Manpower!$C$4:$C$1048576,Manpower!$H$4:$H$1048576,"")</f>
        <v>Sub Contactor</v>
      </c>
      <c r="I1213" s="42" t="str">
        <f>_xlfn.XLOOKUP(Table134526_79101120212223242526[[#This Row],[Name Surname]],Manpower!$C$4:$C$1048576,Manpower!$H$4:$H$1048576,"")</f>
        <v>Sub Contactor</v>
      </c>
      <c r="J1213" s="43" t="s">
        <v>158</v>
      </c>
      <c r="K1213" s="43" t="s">
        <v>26</v>
      </c>
      <c r="L1213" s="43" t="s">
        <v>26</v>
      </c>
      <c r="M1213" s="43" t="s">
        <v>24</v>
      </c>
      <c r="N1213" s="44">
        <v>11</v>
      </c>
      <c r="O1213" s="43" t="s">
        <v>159</v>
      </c>
      <c r="P1213" s="43" t="s">
        <v>160</v>
      </c>
      <c r="Q1213" s="43" t="s">
        <v>160</v>
      </c>
      <c r="R1213" s="43" t="s">
        <v>259</v>
      </c>
      <c r="S1213" s="43"/>
    </row>
    <row r="1214" spans="1:19" ht="14.4" hidden="1">
      <c r="A1214" s="33">
        <f>IF(C1214="","",MAX($A$1:A1213)+1)</f>
        <v>1158</v>
      </c>
      <c r="B1214" s="27" t="s">
        <v>141</v>
      </c>
      <c r="C1214" s="23">
        <v>46091</v>
      </c>
      <c r="D1214" s="28" t="str">
        <f>_xlfn.XLOOKUP(Table134526_79101120212223242526[[#This Row],[Name Surname]],Manpower!$C$4:$C$1048576,Manpower!$B$4:$B$1048576,"")</f>
        <v>Encogroup</v>
      </c>
      <c r="E1214" s="21" t="s">
        <v>183</v>
      </c>
      <c r="F1214" s="12">
        <f>_xlfn.XLOOKUP(Table134526_79101120212223242526[[#This Row],[Name Surname]],Manpower!C:C,Manpower!D:D,)</f>
        <v>141359024</v>
      </c>
      <c r="G1214" s="28" t="str">
        <f>_xlfn.XLOOKUP(Table134526_79101120212223242526[[#This Row],[Name Surname]],Manpower!$C$4:$C$1048576,Manpower!$F$4:$F$1048576,"")</f>
        <v>Hydraulic Mechanic</v>
      </c>
      <c r="H1214" s="28" t="str">
        <f>_xlfn.XLOOKUP(Table134526_79101120212223242526[[#This Row],[Name Surname]],Manpower!$C$4:$C$1048576,Manpower!$H$4:$H$1048576,"")</f>
        <v>Manpower</v>
      </c>
      <c r="I1214" s="24" t="str">
        <f>_xlfn.XLOOKUP(Table134526_79101120212223242526[[#This Row],[Name Surname]],Manpower!$C$4:$C$1048576,Manpower!$H$4:$H$1048576,"")</f>
        <v>Manpower</v>
      </c>
      <c r="J1214" s="21" t="s">
        <v>143</v>
      </c>
      <c r="K1214" s="21" t="s">
        <v>26</v>
      </c>
      <c r="L1214" s="21" t="s">
        <v>170</v>
      </c>
      <c r="M1214" s="21" t="s">
        <v>24</v>
      </c>
      <c r="N1214" s="29">
        <v>8</v>
      </c>
      <c r="O1214" s="21" t="s">
        <v>40</v>
      </c>
      <c r="P1214" s="21" t="s">
        <v>128</v>
      </c>
      <c r="Q1214" s="21" t="s">
        <v>128</v>
      </c>
      <c r="R1214" s="21" t="s">
        <v>171</v>
      </c>
    </row>
    <row r="1215" spans="1:19" s="45" customFormat="1" ht="14.4" hidden="1">
      <c r="A1215" s="25">
        <f>IF(C1215="","",MAX($A$1:A1214)+1)</f>
        <v>1159</v>
      </c>
      <c r="B1215" s="25" t="s">
        <v>141</v>
      </c>
      <c r="C1215" s="41">
        <v>46091</v>
      </c>
      <c r="D1215" s="48" t="str">
        <f>_xlfn.XLOOKUP(Table134526_79101120212223242526[[#This Row],[Name Surname]],Manpower!$C$4:$C$1048576,Manpower!$B$4:$B$1048576,"")</f>
        <v>Encogroup</v>
      </c>
      <c r="E1215" s="43" t="s">
        <v>184</v>
      </c>
      <c r="F1215" s="12">
        <f>_xlfn.XLOOKUP(Table134526_79101120212223242526[[#This Row],[Name Surname]],Manpower!C:C,Manpower!D:D,)</f>
        <v>140844759</v>
      </c>
      <c r="G1215" s="48" t="str">
        <f>_xlfn.XLOOKUP(Table134526_79101120212223242526[[#This Row],[Name Surname]],Manpower!$C$4:$C$1048576,Manpower!$F$4:$F$1048576,"")</f>
        <v>Welder</v>
      </c>
      <c r="H1215" s="48" t="str">
        <f>_xlfn.XLOOKUP(Table134526_79101120212223242526[[#This Row],[Name Surname]],Manpower!$C$4:$C$1048576,Manpower!$H$4:$H$1048576,"")</f>
        <v>Manpower</v>
      </c>
      <c r="I1215" s="42" t="str">
        <f>_xlfn.XLOOKUP(Table134526_79101120212223242526[[#This Row],[Name Surname]],Manpower!$C$4:$C$1048576,Manpower!$H$4:$H$1048576,"")</f>
        <v>Manpower</v>
      </c>
      <c r="J1215" s="43" t="s">
        <v>143</v>
      </c>
      <c r="K1215" s="43" t="s">
        <v>26</v>
      </c>
      <c r="L1215" s="43" t="s">
        <v>144</v>
      </c>
      <c r="M1215" s="43" t="s">
        <v>24</v>
      </c>
      <c r="N1215" s="44">
        <v>10</v>
      </c>
      <c r="O1215" s="43" t="s">
        <v>40</v>
      </c>
      <c r="P1215" s="43" t="s">
        <v>42</v>
      </c>
      <c r="Q1215" s="43" t="s">
        <v>42</v>
      </c>
      <c r="R1215" s="43" t="s">
        <v>260</v>
      </c>
      <c r="S1215" s="43"/>
    </row>
    <row r="1216" spans="1:19" s="45" customFormat="1" ht="14.4" hidden="1">
      <c r="A1216" s="25">
        <f>IF(C1216="","",MAX($A$1:A1215)+1)</f>
        <v>1160</v>
      </c>
      <c r="B1216" s="25" t="s">
        <v>141</v>
      </c>
      <c r="C1216" s="41">
        <v>46091</v>
      </c>
      <c r="D1216" s="48" t="str">
        <f>_xlfn.XLOOKUP(Table134526_79101120212223242526[[#This Row],[Name Surname]],Manpower!$C$4:$C$1048576,Manpower!$B$4:$B$1048576,"")</f>
        <v>Encogroup</v>
      </c>
      <c r="E1216" s="43" t="s">
        <v>185</v>
      </c>
      <c r="F1216" s="12">
        <f>_xlfn.XLOOKUP(Table134526_79101120212223242526[[#This Row],[Name Surname]],Manpower!C:C,Manpower!D:D,)</f>
        <v>140848828</v>
      </c>
      <c r="G1216" s="48" t="str">
        <f>_xlfn.XLOOKUP(Table134526_79101120212223242526[[#This Row],[Name Surname]],Manpower!$C$4:$C$1048576,Manpower!$F$4:$F$1048576,"")</f>
        <v>Pipe Fitter</v>
      </c>
      <c r="H1216" s="48" t="str">
        <f>_xlfn.XLOOKUP(Table134526_79101120212223242526[[#This Row],[Name Surname]],Manpower!$C$4:$C$1048576,Manpower!$H$4:$H$1048576,"")</f>
        <v>Manpower</v>
      </c>
      <c r="I1216" s="42" t="str">
        <f>_xlfn.XLOOKUP(Table134526_79101120212223242526[[#This Row],[Name Surname]],Manpower!$C$4:$C$1048576,Manpower!$H$4:$H$1048576,"")</f>
        <v>Manpower</v>
      </c>
      <c r="J1216" s="43" t="s">
        <v>143</v>
      </c>
      <c r="K1216" s="43" t="s">
        <v>26</v>
      </c>
      <c r="L1216" s="43" t="s">
        <v>144</v>
      </c>
      <c r="M1216" s="43" t="s">
        <v>24</v>
      </c>
      <c r="N1216" s="44">
        <v>8</v>
      </c>
      <c r="O1216" s="43" t="s">
        <v>40</v>
      </c>
      <c r="P1216" s="43" t="s">
        <v>42</v>
      </c>
      <c r="Q1216" s="43" t="s">
        <v>42</v>
      </c>
      <c r="R1216" s="43" t="s">
        <v>260</v>
      </c>
      <c r="S1216" s="43"/>
    </row>
    <row r="1217" spans="1:19" s="45" customFormat="1" ht="14.4" hidden="1">
      <c r="A1217" s="25">
        <f>IF(C1217="","",MAX($A$1:A1216)+1)</f>
        <v>1161</v>
      </c>
      <c r="B1217" s="25" t="s">
        <v>141</v>
      </c>
      <c r="C1217" s="41">
        <v>46091</v>
      </c>
      <c r="D1217" s="48" t="str">
        <f>_xlfn.XLOOKUP(Table134526_79101120212223242526[[#This Row],[Name Surname]],Manpower!$C$4:$C$1048576,Manpower!$B$4:$B$1048576,"")</f>
        <v>Encogroup</v>
      </c>
      <c r="E1217" s="43" t="s">
        <v>186</v>
      </c>
      <c r="F1217" s="12">
        <f>_xlfn.XLOOKUP(Table134526_79101120212223242526[[#This Row],[Name Surname]],Manpower!C:C,Manpower!D:D,)</f>
        <v>140696961</v>
      </c>
      <c r="G1217" s="48" t="str">
        <f>_xlfn.XLOOKUP(Table134526_79101120212223242526[[#This Row],[Name Surname]],Manpower!$C$4:$C$1048576,Manpower!$F$4:$F$1048576,"")</f>
        <v>Assistant/Helper</v>
      </c>
      <c r="H1217" s="48" t="str">
        <f>_xlfn.XLOOKUP(Table134526_79101120212223242526[[#This Row],[Name Surname]],Manpower!$C$4:$C$1048576,Manpower!$H$4:$H$1048576,"")</f>
        <v>Manpower</v>
      </c>
      <c r="I1217" s="42" t="str">
        <f>_xlfn.XLOOKUP(Table134526_79101120212223242526[[#This Row],[Name Surname]],Manpower!$C$4:$C$1048576,Manpower!$H$4:$H$1048576,"")</f>
        <v>Manpower</v>
      </c>
      <c r="J1217" s="43" t="s">
        <v>158</v>
      </c>
      <c r="K1217" s="43" t="s">
        <v>26</v>
      </c>
      <c r="L1217" s="43" t="s">
        <v>26</v>
      </c>
      <c r="M1217" s="43" t="s">
        <v>24</v>
      </c>
      <c r="N1217" s="44">
        <v>10</v>
      </c>
      <c r="O1217" s="43" t="s">
        <v>159</v>
      </c>
      <c r="P1217" s="43" t="s">
        <v>160</v>
      </c>
      <c r="Q1217" s="43" t="s">
        <v>160</v>
      </c>
      <c r="R1217" s="43" t="s">
        <v>161</v>
      </c>
      <c r="S1217" s="43"/>
    </row>
    <row r="1218" spans="1:19" s="45" customFormat="1" ht="14.4" hidden="1">
      <c r="A1218" s="25">
        <f>IF(C1218="","",MAX($A$1:A1217)+1)</f>
        <v>1162</v>
      </c>
      <c r="B1218" s="25" t="s">
        <v>141</v>
      </c>
      <c r="C1218" s="41">
        <v>46091</v>
      </c>
      <c r="D1218" s="48" t="str">
        <f>_xlfn.XLOOKUP(Table134526_79101120212223242526[[#This Row],[Name Surname]],Manpower!$C$4:$C$1048576,Manpower!$B$4:$B$1048576,"")</f>
        <v>Encogroup</v>
      </c>
      <c r="E1218" s="43" t="s">
        <v>187</v>
      </c>
      <c r="F1218" s="12">
        <f>_xlfn.XLOOKUP(Table134526_79101120212223242526[[#This Row],[Name Surname]],Manpower!C:C,Manpower!D:D,)</f>
        <v>140623599</v>
      </c>
      <c r="G1218" s="48" t="str">
        <f>_xlfn.XLOOKUP(Table134526_79101120212223242526[[#This Row],[Name Surname]],Manpower!$C$4:$C$1048576,Manpower!$F$4:$F$1048576,"")</f>
        <v>Mechanical Supervisor</v>
      </c>
      <c r="H1218" s="48" t="str">
        <f>_xlfn.XLOOKUP(Table134526_79101120212223242526[[#This Row],[Name Surname]],Manpower!$C$4:$C$1048576,Manpower!$H$4:$H$1048576,"")</f>
        <v>Manpower</v>
      </c>
      <c r="I1218" s="42" t="str">
        <f>_xlfn.XLOOKUP(Table134526_79101120212223242526[[#This Row],[Name Surname]],Manpower!$C$4:$C$1048576,Manpower!$H$4:$H$1048576,"")</f>
        <v>Manpower</v>
      </c>
      <c r="J1218" s="43" t="s">
        <v>143</v>
      </c>
      <c r="K1218" s="43" t="s">
        <v>26</v>
      </c>
      <c r="L1218" s="43" t="s">
        <v>144</v>
      </c>
      <c r="M1218" s="43" t="s">
        <v>24</v>
      </c>
      <c r="N1218" s="44">
        <v>10</v>
      </c>
      <c r="O1218" s="43" t="s">
        <v>40</v>
      </c>
      <c r="P1218" s="43" t="s">
        <v>42</v>
      </c>
      <c r="Q1218" s="43" t="s">
        <v>42</v>
      </c>
      <c r="R1218" s="43" t="s">
        <v>260</v>
      </c>
      <c r="S1218" s="43"/>
    </row>
    <row r="1219" spans="1:19" ht="14.4" hidden="1">
      <c r="A1219" s="33">
        <f>IF(C1219="","",MAX($A$1:A1218)+1)</f>
        <v>1163</v>
      </c>
      <c r="B1219" s="27" t="s">
        <v>141</v>
      </c>
      <c r="C1219" s="23">
        <v>46091</v>
      </c>
      <c r="D1219" s="28" t="str">
        <f>_xlfn.XLOOKUP(Table134526_79101120212223242526[[#This Row],[Name Surname]],Manpower!$C$4:$C$1048576,Manpower!$B$4:$B$1048576,"")</f>
        <v>Encogroup</v>
      </c>
      <c r="E1219" s="21" t="s">
        <v>189</v>
      </c>
      <c r="F1219" s="12">
        <f>_xlfn.XLOOKUP(Table134526_79101120212223242526[[#This Row],[Name Surname]],Manpower!C:C,Manpower!D:D,)</f>
        <v>121937785</v>
      </c>
      <c r="G1219" s="28" t="str">
        <f>_xlfn.XLOOKUP(Table134526_79101120212223242526[[#This Row],[Name Surname]],Manpower!$C$4:$C$1048576,Manpower!$F$4:$F$1048576,"")</f>
        <v>Scaffolding Inspector</v>
      </c>
      <c r="H1219" s="28" t="str">
        <f>_xlfn.XLOOKUP(Table134526_79101120212223242526[[#This Row],[Name Surname]],Manpower!$C$4:$C$1048576,Manpower!$H$4:$H$1048576,"")</f>
        <v>Manpower</v>
      </c>
      <c r="I1219" s="24" t="str">
        <f>_xlfn.XLOOKUP(Table134526_79101120212223242526[[#This Row],[Name Surname]],Manpower!$C$4:$C$1048576,Manpower!$H$4:$H$1048576,"")</f>
        <v>Manpower</v>
      </c>
      <c r="J1219" s="21" t="s">
        <v>143</v>
      </c>
      <c r="K1219" s="21" t="s">
        <v>26</v>
      </c>
      <c r="L1219" s="21" t="s">
        <v>144</v>
      </c>
      <c r="M1219" s="21" t="s">
        <v>24</v>
      </c>
      <c r="N1219" s="29">
        <v>8</v>
      </c>
      <c r="O1219" s="21" t="s">
        <v>40</v>
      </c>
      <c r="P1219" s="21" t="s">
        <v>128</v>
      </c>
      <c r="Q1219" s="21" t="s">
        <v>128</v>
      </c>
      <c r="R1219" s="21" t="s">
        <v>26</v>
      </c>
    </row>
    <row r="1220" spans="1:19" ht="14.4" hidden="1">
      <c r="A1220" s="33">
        <f>IF(C1220="","",MAX($A$1:A1219)+1)</f>
        <v>1164</v>
      </c>
      <c r="B1220" s="27" t="s">
        <v>141</v>
      </c>
      <c r="C1220" s="23">
        <v>46091</v>
      </c>
      <c r="D1220" s="28" t="str">
        <f>_xlfn.XLOOKUP(Table134526_79101120212223242526[[#This Row],[Name Surname]],Manpower!$C$4:$C$1048576,Manpower!$B$4:$B$1048576,"")</f>
        <v xml:space="preserve">AL Omar International </v>
      </c>
      <c r="E1220" s="21" t="s">
        <v>190</v>
      </c>
      <c r="F1220" s="12">
        <f>_xlfn.XLOOKUP(Table134526_79101120212223242526[[#This Row],[Name Surname]],Manpower!C:C,Manpower!D:D,)</f>
        <v>85812175</v>
      </c>
      <c r="G1220" s="28" t="str">
        <f>_xlfn.XLOOKUP(Table134526_79101120212223242526[[#This Row],[Name Surname]],Manpower!$C$4:$C$1048576,Manpower!$F$4:$F$1048576,"")</f>
        <v>Scaffolding Supervisor</v>
      </c>
      <c r="H1220" s="28" t="str">
        <f>_xlfn.XLOOKUP(Table134526_79101120212223242526[[#This Row],[Name Surname]],Manpower!$C$4:$C$1048576,Manpower!$H$4:$H$1048576,"")</f>
        <v>Sub Contactor</v>
      </c>
      <c r="I1220" s="24" t="str">
        <f>_xlfn.XLOOKUP(Table134526_79101120212223242526[[#This Row],[Name Surname]],Manpower!$C$4:$C$1048576,Manpower!$H$4:$H$1048576,"")</f>
        <v>Sub Contactor</v>
      </c>
      <c r="J1220" s="21" t="s">
        <v>143</v>
      </c>
      <c r="K1220" s="21" t="s">
        <v>26</v>
      </c>
      <c r="L1220" s="21" t="s">
        <v>170</v>
      </c>
      <c r="M1220" s="21" t="s">
        <v>24</v>
      </c>
      <c r="N1220" s="29">
        <v>8</v>
      </c>
      <c r="O1220" s="21" t="s">
        <v>40</v>
      </c>
      <c r="P1220" s="21" t="s">
        <v>128</v>
      </c>
      <c r="Q1220" s="21" t="s">
        <v>128</v>
      </c>
      <c r="R1220" s="21" t="s">
        <v>171</v>
      </c>
    </row>
    <row r="1221" spans="1:19" ht="14.4" hidden="1">
      <c r="A1221" s="33">
        <f>IF(C1221="","",MAX($A$1:A1220)+1)</f>
        <v>1165</v>
      </c>
      <c r="B1221" s="27" t="s">
        <v>141</v>
      </c>
      <c r="C1221" s="23">
        <v>46091</v>
      </c>
      <c r="D1221" s="28" t="str">
        <f>_xlfn.XLOOKUP(Table134526_79101120212223242526[[#This Row],[Name Surname]],Manpower!$C$4:$C$1048576,Manpower!$B$4:$B$1048576,"")</f>
        <v>AL Omar International TRAD AND CONT</v>
      </c>
      <c r="E1221" s="21" t="s">
        <v>192</v>
      </c>
      <c r="F1221" s="12">
        <f>_xlfn.XLOOKUP(Table134526_79101120212223242526[[#This Row],[Name Surname]],Manpower!C:C,Manpower!D:D,)</f>
        <v>96409155</v>
      </c>
      <c r="G1221" s="28" t="str">
        <f>_xlfn.XLOOKUP(Table134526_79101120212223242526[[#This Row],[Name Surname]],Manpower!$C$4:$C$1048576,Manpower!$F$4:$F$1048576,"")</f>
        <v>Scaffolder</v>
      </c>
      <c r="H1221" s="28" t="str">
        <f>_xlfn.XLOOKUP(Table134526_79101120212223242526[[#This Row],[Name Surname]],Manpower!$C$4:$C$1048576,Manpower!$H$4:$H$1048576,"")</f>
        <v>Sub Contactor</v>
      </c>
      <c r="I1221" s="24" t="str">
        <f>_xlfn.XLOOKUP(Table134526_79101120212223242526[[#This Row],[Name Surname]],Manpower!$C$4:$C$1048576,Manpower!$H$4:$H$1048576,"")</f>
        <v>Sub Contactor</v>
      </c>
      <c r="J1221" s="21" t="s">
        <v>143</v>
      </c>
      <c r="K1221" s="21" t="s">
        <v>26</v>
      </c>
      <c r="L1221" s="21" t="s">
        <v>170</v>
      </c>
      <c r="M1221" s="21" t="s">
        <v>24</v>
      </c>
      <c r="N1221" s="29">
        <v>8</v>
      </c>
      <c r="O1221" s="21" t="s">
        <v>40</v>
      </c>
      <c r="P1221" s="21" t="s">
        <v>128</v>
      </c>
      <c r="Q1221" s="21" t="s">
        <v>128</v>
      </c>
      <c r="R1221" s="21" t="s">
        <v>171</v>
      </c>
    </row>
    <row r="1222" spans="1:19" ht="14.4" hidden="1">
      <c r="A1222" s="33">
        <f>IF(C1222="","",MAX($A$1:A1221)+1)</f>
        <v>1166</v>
      </c>
      <c r="B1222" s="27" t="s">
        <v>141</v>
      </c>
      <c r="C1222" s="23">
        <v>46091</v>
      </c>
      <c r="D1222" s="28" t="str">
        <f>_xlfn.XLOOKUP(Table134526_79101120212223242526[[#This Row],[Name Surname]],Manpower!$C$4:$C$1048576,Manpower!$B$4:$B$1048576,"")</f>
        <v>AL Omar International TRAD AND CONT</v>
      </c>
      <c r="E1222" s="21" t="s">
        <v>193</v>
      </c>
      <c r="F1222" s="12">
        <f>_xlfn.XLOOKUP(Table134526_79101120212223242526[[#This Row],[Name Surname]],Manpower!C:C,Manpower!D:D,)</f>
        <v>105813698</v>
      </c>
      <c r="G1222" s="28" t="str">
        <f>_xlfn.XLOOKUP(Table134526_79101120212223242526[[#This Row],[Name Surname]],Manpower!$C$4:$C$1048576,Manpower!$F$4:$F$1048576,"")</f>
        <v>Scaffolding Inspector</v>
      </c>
      <c r="H1222" s="28" t="str">
        <f>_xlfn.XLOOKUP(Table134526_79101120212223242526[[#This Row],[Name Surname]],Manpower!$C$4:$C$1048576,Manpower!$H$4:$H$1048576,"")</f>
        <v>Sub Contactor</v>
      </c>
      <c r="I1222" s="24" t="str">
        <f>_xlfn.XLOOKUP(Table134526_79101120212223242526[[#This Row],[Name Surname]],Manpower!$C$4:$C$1048576,Manpower!$H$4:$H$1048576,"")</f>
        <v>Sub Contactor</v>
      </c>
      <c r="J1222" s="21" t="s">
        <v>143</v>
      </c>
      <c r="K1222" s="21" t="s">
        <v>26</v>
      </c>
      <c r="L1222" s="21" t="s">
        <v>170</v>
      </c>
      <c r="M1222" s="21" t="s">
        <v>24</v>
      </c>
      <c r="N1222" s="29">
        <v>8</v>
      </c>
      <c r="O1222" s="21" t="s">
        <v>40</v>
      </c>
      <c r="P1222" s="21" t="s">
        <v>128</v>
      </c>
      <c r="Q1222" s="21" t="s">
        <v>128</v>
      </c>
      <c r="R1222" s="21" t="s">
        <v>171</v>
      </c>
    </row>
    <row r="1223" spans="1:19" s="45" customFormat="1" ht="14.4" hidden="1">
      <c r="A1223" s="25">
        <f>IF(C1223="","",MAX($A$1:A1222)+1)</f>
        <v>1167</v>
      </c>
      <c r="B1223" s="25" t="s">
        <v>141</v>
      </c>
      <c r="C1223" s="41">
        <v>46091</v>
      </c>
      <c r="D1223" s="48" t="str">
        <f>_xlfn.XLOOKUP(Table134526_79101120212223242526[[#This Row],[Name Surname]],Manpower!$C$4:$C$1048576,Manpower!$B$4:$B$1048576,"")</f>
        <v>AL Saif &amp; Al QALLM ENT LLC</v>
      </c>
      <c r="E1223" s="43" t="s">
        <v>194</v>
      </c>
      <c r="F1223" s="12">
        <f>_xlfn.XLOOKUP(Table134526_79101120212223242526[[#This Row],[Name Surname]],Manpower!C:C,Manpower!D:D,)</f>
        <v>135340657</v>
      </c>
      <c r="G1223" s="48" t="str">
        <f>_xlfn.XLOOKUP(Table134526_79101120212223242526[[#This Row],[Name Surname]],Manpower!$C$4:$C$1048576,Manpower!$F$4:$F$1048576,"")</f>
        <v>Forklift Operator</v>
      </c>
      <c r="H1223" s="48" t="str">
        <f>_xlfn.XLOOKUP(Table134526_79101120212223242526[[#This Row],[Name Surname]],Manpower!$C$4:$C$1048576,Manpower!$H$4:$H$1048576,"")</f>
        <v>Sub Contactor</v>
      </c>
      <c r="I1223" s="42" t="str">
        <f>_xlfn.XLOOKUP(Table134526_79101120212223242526[[#This Row],[Name Surname]],Manpower!$C$4:$C$1048576,Manpower!$H$4:$H$1048576,"")</f>
        <v>Sub Contactor</v>
      </c>
      <c r="J1223" s="43" t="s">
        <v>143</v>
      </c>
      <c r="K1223" s="43" t="s">
        <v>26</v>
      </c>
      <c r="L1223" s="43" t="s">
        <v>144</v>
      </c>
      <c r="M1223" s="43" t="s">
        <v>24</v>
      </c>
      <c r="N1223" s="44">
        <v>10</v>
      </c>
      <c r="O1223" s="43" t="s">
        <v>40</v>
      </c>
      <c r="P1223" s="43" t="s">
        <v>42</v>
      </c>
      <c r="Q1223" s="43" t="s">
        <v>42</v>
      </c>
      <c r="R1223" s="43" t="s">
        <v>195</v>
      </c>
      <c r="S1223" s="43" t="s">
        <v>245</v>
      </c>
    </row>
    <row r="1224" spans="1:19" s="45" customFormat="1" ht="14.4" hidden="1">
      <c r="A1224" s="25">
        <f>IF(C1224="","",MAX($A$1:A1223)+1)</f>
        <v>1168</v>
      </c>
      <c r="B1224" s="25" t="s">
        <v>141</v>
      </c>
      <c r="C1224" s="41">
        <v>46091</v>
      </c>
      <c r="D1224" s="48" t="str">
        <f>_xlfn.XLOOKUP(Table134526_79101120212223242526[[#This Row],[Name Surname]],Manpower!$C$4:$C$1048576,Manpower!$B$4:$B$1048576,"")</f>
        <v>Encogroup</v>
      </c>
      <c r="E1224" s="43" t="s">
        <v>196</v>
      </c>
      <c r="F1224" s="12">
        <f>_xlfn.XLOOKUP(Table134526_79101120212223242526[[#This Row],[Name Surname]],Manpower!C:C,Manpower!D:D,)</f>
        <v>140844586</v>
      </c>
      <c r="G1224" s="48" t="str">
        <f>_xlfn.XLOOKUP(Table134526_79101120212223242526[[#This Row],[Name Surname]],Manpower!$C$4:$C$1048576,Manpower!$F$4:$F$1048576,"")</f>
        <v>Assistant/Helper</v>
      </c>
      <c r="H1224" s="48" t="str">
        <f>_xlfn.XLOOKUP(Table134526_79101120212223242526[[#This Row],[Name Surname]],Manpower!$C$4:$C$1048576,Manpower!$H$4:$H$1048576,"")</f>
        <v>Manpower</v>
      </c>
      <c r="I1224" s="42" t="str">
        <f>_xlfn.XLOOKUP(Table134526_79101120212223242526[[#This Row],[Name Surname]],Manpower!$C$4:$C$1048576,Manpower!$H$4:$H$1048576,"")</f>
        <v>Manpower</v>
      </c>
      <c r="J1224" s="43" t="s">
        <v>158</v>
      </c>
      <c r="K1224" s="43" t="s">
        <v>26</v>
      </c>
      <c r="L1224" s="43" t="s">
        <v>26</v>
      </c>
      <c r="M1224" s="43" t="s">
        <v>24</v>
      </c>
      <c r="N1224" s="44">
        <v>11</v>
      </c>
      <c r="O1224" s="43" t="s">
        <v>159</v>
      </c>
      <c r="P1224" s="43" t="s">
        <v>160</v>
      </c>
      <c r="Q1224" s="43" t="s">
        <v>160</v>
      </c>
      <c r="R1224" s="43" t="s">
        <v>259</v>
      </c>
      <c r="S1224" s="43"/>
    </row>
    <row r="1225" spans="1:19" ht="14.4" hidden="1">
      <c r="A1225" s="33">
        <f>IF(C1225="","",MAX($A$1:A1224)+1)</f>
        <v>1169</v>
      </c>
      <c r="B1225" s="27" t="s">
        <v>141</v>
      </c>
      <c r="C1225" s="23">
        <v>46091</v>
      </c>
      <c r="D1225" s="28" t="str">
        <f>_xlfn.XLOOKUP(Table134526_79101120212223242526[[#This Row],[Name Surname]],Manpower!$C$4:$C$1048576,Manpower!$B$4:$B$1048576,"")</f>
        <v>AL Omar International TRAD AND CONT</v>
      </c>
      <c r="E1225" s="21" t="s">
        <v>193</v>
      </c>
      <c r="F1225" s="12">
        <f>_xlfn.XLOOKUP(Table134526_79101120212223242526[[#This Row],[Name Surname]],Manpower!C:C,Manpower!D:D,)</f>
        <v>105813698</v>
      </c>
      <c r="G1225" s="28" t="str">
        <f>_xlfn.XLOOKUP(Table134526_79101120212223242526[[#This Row],[Name Surname]],Manpower!$C$4:$C$1048576,Manpower!$F$4:$F$1048576,"")</f>
        <v>Scaffolding Inspector</v>
      </c>
      <c r="H1225" s="28" t="str">
        <f>_xlfn.XLOOKUP(Table134526_79101120212223242526[[#This Row],[Name Surname]],Manpower!$C$4:$C$1048576,Manpower!$H$4:$H$1048576,"")</f>
        <v>Sub Contactor</v>
      </c>
      <c r="I1225" s="24" t="str">
        <f>_xlfn.XLOOKUP(Table134526_79101120212223242526[[#This Row],[Name Surname]],Manpower!$C$4:$C$1048576,Manpower!$H$4:$H$1048576,"")</f>
        <v>Sub Contactor</v>
      </c>
      <c r="J1225" s="21" t="s">
        <v>143</v>
      </c>
      <c r="K1225" s="21" t="s">
        <v>26</v>
      </c>
      <c r="L1225" s="21" t="s">
        <v>170</v>
      </c>
      <c r="M1225" s="21" t="s">
        <v>24</v>
      </c>
      <c r="N1225" s="29">
        <v>8</v>
      </c>
      <c r="O1225" s="21" t="s">
        <v>40</v>
      </c>
      <c r="P1225" s="21" t="s">
        <v>128</v>
      </c>
      <c r="Q1225" s="21" t="s">
        <v>128</v>
      </c>
      <c r="R1225" s="21" t="s">
        <v>171</v>
      </c>
    </row>
    <row r="1226" spans="1:19" ht="14.4" hidden="1">
      <c r="A1226" s="33">
        <f>IF(C1226="","",MAX($A$1:A1225)+1)</f>
        <v>1170</v>
      </c>
      <c r="B1226" s="27" t="s">
        <v>141</v>
      </c>
      <c r="C1226" s="23">
        <v>46091</v>
      </c>
      <c r="D1226" s="28" t="str">
        <f>_xlfn.XLOOKUP(Table134526_79101120212223242526[[#This Row],[Name Surname]],Manpower!$C$4:$C$1048576,Manpower!$B$4:$B$1048576,"")</f>
        <v>AL Omar International TRAD AND CONT</v>
      </c>
      <c r="E1226" s="21" t="s">
        <v>197</v>
      </c>
      <c r="F1226" s="12">
        <f>_xlfn.XLOOKUP(Table134526_79101120212223242526[[#This Row],[Name Surname]],Manpower!C:C,Manpower!D:D,)</f>
        <v>106093463</v>
      </c>
      <c r="G1226" s="28" t="str">
        <f>_xlfn.XLOOKUP(Table134526_79101120212223242526[[#This Row],[Name Surname]],Manpower!$C$4:$C$1048576,Manpower!$F$4:$F$1048576,"")</f>
        <v>RIgger</v>
      </c>
      <c r="H1226" s="28" t="str">
        <f>_xlfn.XLOOKUP(Table134526_79101120212223242526[[#This Row],[Name Surname]],Manpower!$C$4:$C$1048576,Manpower!$H$4:$H$1048576,"")</f>
        <v>Sub Contactor</v>
      </c>
      <c r="I1226" s="24" t="str">
        <f>_xlfn.XLOOKUP(Table134526_79101120212223242526[[#This Row],[Name Surname]],Manpower!$C$4:$C$1048576,Manpower!$H$4:$H$1048576,"")</f>
        <v>Sub Contactor</v>
      </c>
      <c r="J1226" s="21" t="s">
        <v>143</v>
      </c>
      <c r="K1226" s="21" t="s">
        <v>26</v>
      </c>
      <c r="L1226" s="21" t="s">
        <v>144</v>
      </c>
      <c r="M1226" s="21" t="s">
        <v>24</v>
      </c>
      <c r="N1226" s="29">
        <v>8</v>
      </c>
      <c r="O1226" s="21" t="s">
        <v>40</v>
      </c>
      <c r="P1226" s="21" t="s">
        <v>42</v>
      </c>
      <c r="Q1226" s="21" t="s">
        <v>42</v>
      </c>
      <c r="R1226" s="21" t="s">
        <v>260</v>
      </c>
    </row>
    <row r="1227" spans="1:19" ht="14.4">
      <c r="A1227" s="33">
        <f>IF(C1227="","",MAX($A$1:A1226)+1)</f>
        <v>1171</v>
      </c>
      <c r="B1227" s="27" t="s">
        <v>141</v>
      </c>
      <c r="C1227" s="23">
        <v>46091</v>
      </c>
      <c r="D1227" s="28" t="str">
        <f>_xlfn.XLOOKUP(Table134526_79101120212223242526[[#This Row],[Name Surname]],Manpower!$C$4:$C$1048576,Manpower!$B$4:$B$1048576,"")</f>
        <v>Al Asrah Al Mumayaza Trad</v>
      </c>
      <c r="E1227" s="21" t="s">
        <v>198</v>
      </c>
      <c r="F1227" s="12" t="e">
        <f>_xlfn.XLOOKUP(Table134526_79101120212223242526[[#This Row],[Name Surname]],Manpower!C:C,Manpower!D:D,)</f>
        <v>#N/A</v>
      </c>
      <c r="G1227" s="28" t="str">
        <f>_xlfn.XLOOKUP(Table134526_79101120212223242526[[#This Row],[Name Surname]],Manpower!$C$4:$C$1048576,Manpower!$F$4:$F$1048576,"")</f>
        <v>PICK-UP</v>
      </c>
      <c r="H1227" s="28" t="str">
        <f>_xlfn.XLOOKUP(Table134526_79101120212223242526[[#This Row],[Name Surname]],Manpower!$C$4:$C$1048576,Manpower!$H$4:$H$1048576,"")</f>
        <v>Equipment</v>
      </c>
      <c r="I1227" s="24" t="str">
        <f>_xlfn.XLOOKUP(Table134526_79101120212223242526[[#This Row],[Name Surname]],Manpower!$C$4:$C$1048576,Manpower!$H$4:$H$1048576,"")</f>
        <v>Equipment</v>
      </c>
      <c r="J1227" s="21" t="s">
        <v>143</v>
      </c>
      <c r="K1227" s="21" t="s">
        <v>26</v>
      </c>
      <c r="L1227" s="21" t="s">
        <v>144</v>
      </c>
      <c r="M1227" s="21" t="s">
        <v>24</v>
      </c>
      <c r="N1227" s="29">
        <v>10</v>
      </c>
      <c r="O1227" s="21" t="s">
        <v>138</v>
      </c>
      <c r="P1227" s="21" t="s">
        <v>138</v>
      </c>
      <c r="Q1227" s="21" t="s">
        <v>138</v>
      </c>
      <c r="R1227" s="21" t="s">
        <v>26</v>
      </c>
    </row>
    <row r="1228" spans="1:19" ht="14.4">
      <c r="A1228" s="33">
        <f>IF(C1228="","",MAX($A$1:A1227)+1)</f>
        <v>1172</v>
      </c>
      <c r="B1228" s="27" t="s">
        <v>141</v>
      </c>
      <c r="C1228" s="23">
        <v>46091</v>
      </c>
      <c r="D1228" s="28" t="str">
        <f>_xlfn.XLOOKUP(Table134526_79101120212223242526[[#This Row],[Name Surname]],Manpower!$C$4:$C$1048576,Manpower!$B$4:$B$1048576,"")</f>
        <v>Al Asrah Al Mumayaza Trad</v>
      </c>
      <c r="E1228" s="21" t="s">
        <v>199</v>
      </c>
      <c r="F1228" s="12" t="e">
        <f>_xlfn.XLOOKUP(Table134526_79101120212223242526[[#This Row],[Name Surname]],Manpower!C:C,Manpower!D:D,)</f>
        <v>#N/A</v>
      </c>
      <c r="G1228" s="28" t="str">
        <f>_xlfn.XLOOKUP(Table134526_79101120212223242526[[#This Row],[Name Surname]],Manpower!$C$4:$C$1048576,Manpower!$F$4:$F$1048576,"")</f>
        <v>PICK-UP</v>
      </c>
      <c r="H1228" s="28" t="str">
        <f>_xlfn.XLOOKUP(Table134526_79101120212223242526[[#This Row],[Name Surname]],Manpower!$C$4:$C$1048576,Manpower!$H$4:$H$1048576,"")</f>
        <v>Equipment</v>
      </c>
      <c r="I1228" s="24" t="str">
        <f>_xlfn.XLOOKUP(Table134526_79101120212223242526[[#This Row],[Name Surname]],Manpower!$C$4:$C$1048576,Manpower!$H$4:$H$1048576,"")</f>
        <v>Equipment</v>
      </c>
      <c r="J1228" s="21" t="s">
        <v>143</v>
      </c>
      <c r="K1228" s="21" t="s">
        <v>26</v>
      </c>
      <c r="L1228" s="21" t="s">
        <v>144</v>
      </c>
      <c r="M1228" s="21" t="s">
        <v>24</v>
      </c>
      <c r="N1228" s="29">
        <v>10</v>
      </c>
      <c r="O1228" s="21" t="s">
        <v>138</v>
      </c>
      <c r="P1228" s="21" t="s">
        <v>138</v>
      </c>
      <c r="Q1228" s="21" t="s">
        <v>138</v>
      </c>
      <c r="R1228" s="21" t="s">
        <v>26</v>
      </c>
    </row>
    <row r="1229" spans="1:19" ht="14.4">
      <c r="A1229" s="33">
        <f>IF(C1229="","",MAX($A$1:A1228)+1)</f>
        <v>1173</v>
      </c>
      <c r="B1229" s="27" t="s">
        <v>141</v>
      </c>
      <c r="C1229" s="23">
        <v>46091</v>
      </c>
      <c r="D1229" s="28" t="str">
        <f>_xlfn.XLOOKUP(Table134526_79101120212223242526[[#This Row],[Name Surname]],Manpower!$C$4:$C$1048576,Manpower!$B$4:$B$1048576,"")</f>
        <v>Al Asrah Al Mumayaza Trad</v>
      </c>
      <c r="E1229" s="21" t="s">
        <v>200</v>
      </c>
      <c r="F1229" s="12" t="e">
        <f>_xlfn.XLOOKUP(Table134526_79101120212223242526[[#This Row],[Name Surname]],Manpower!C:C,Manpower!D:D,)</f>
        <v>#N/A</v>
      </c>
      <c r="G1229" s="28" t="str">
        <f>_xlfn.XLOOKUP(Table134526_79101120212223242526[[#This Row],[Name Surname]],Manpower!$C$4:$C$1048576,Manpower!$F$4:$F$1048576,"")</f>
        <v>PICK-UP</v>
      </c>
      <c r="H1229" s="28" t="str">
        <f>_xlfn.XLOOKUP(Table134526_79101120212223242526[[#This Row],[Name Surname]],Manpower!$C$4:$C$1048576,Manpower!$H$4:$H$1048576,"")</f>
        <v>Equipment</v>
      </c>
      <c r="I1229" s="24" t="str">
        <f>_xlfn.XLOOKUP(Table134526_79101120212223242526[[#This Row],[Name Surname]],Manpower!$C$4:$C$1048576,Manpower!$H$4:$H$1048576,"")</f>
        <v>Equipment</v>
      </c>
      <c r="J1229" s="21" t="s">
        <v>143</v>
      </c>
      <c r="K1229" s="21" t="s">
        <v>26</v>
      </c>
      <c r="L1229" s="21" t="s">
        <v>144</v>
      </c>
      <c r="M1229" s="21" t="s">
        <v>24</v>
      </c>
      <c r="N1229" s="29">
        <v>10</v>
      </c>
      <c r="O1229" s="21" t="s">
        <v>138</v>
      </c>
      <c r="P1229" s="21" t="s">
        <v>138</v>
      </c>
      <c r="Q1229" s="21" t="s">
        <v>138</v>
      </c>
      <c r="R1229" s="21" t="s">
        <v>26</v>
      </c>
    </row>
    <row r="1230" spans="1:19" ht="14.4">
      <c r="A1230" s="33">
        <f>IF(C1230="","",MAX($A$1:A1229)+1)</f>
        <v>1174</v>
      </c>
      <c r="B1230" s="27" t="s">
        <v>141</v>
      </c>
      <c r="C1230" s="23">
        <v>46091</v>
      </c>
      <c r="D1230" s="28" t="str">
        <f>_xlfn.XLOOKUP(Table134526_79101120212223242526[[#This Row],[Name Surname]],Manpower!$C$4:$C$1048576,Manpower!$B$4:$B$1048576,"")</f>
        <v>Al Asrah Al Mumayaza Trad</v>
      </c>
      <c r="E1230" s="21" t="s">
        <v>201</v>
      </c>
      <c r="F1230" s="12" t="e">
        <f>_xlfn.XLOOKUP(Table134526_79101120212223242526[[#This Row],[Name Surname]],Manpower!C:C,Manpower!D:D,)</f>
        <v>#N/A</v>
      </c>
      <c r="G1230" s="28" t="str">
        <f>_xlfn.XLOOKUP(Table134526_79101120212223242526[[#This Row],[Name Surname]],Manpower!$C$4:$C$1048576,Manpower!$F$4:$F$1048576,"")</f>
        <v>PICK-UP</v>
      </c>
      <c r="H1230" s="28" t="str">
        <f>_xlfn.XLOOKUP(Table134526_79101120212223242526[[#This Row],[Name Surname]],Manpower!$C$4:$C$1048576,Manpower!$H$4:$H$1048576,"")</f>
        <v>Equipment</v>
      </c>
      <c r="I1230" s="24" t="str">
        <f>_xlfn.XLOOKUP(Table134526_79101120212223242526[[#This Row],[Name Surname]],Manpower!$C$4:$C$1048576,Manpower!$H$4:$H$1048576,"")</f>
        <v>Equipment</v>
      </c>
      <c r="J1230" s="21" t="s">
        <v>143</v>
      </c>
      <c r="K1230" s="21" t="s">
        <v>26</v>
      </c>
      <c r="L1230" s="21" t="s">
        <v>144</v>
      </c>
      <c r="M1230" s="21" t="s">
        <v>24</v>
      </c>
      <c r="N1230" s="29">
        <v>10</v>
      </c>
      <c r="O1230" s="21" t="s">
        <v>138</v>
      </c>
      <c r="P1230" s="21" t="s">
        <v>138</v>
      </c>
      <c r="Q1230" s="21" t="s">
        <v>138</v>
      </c>
      <c r="R1230" s="21" t="s">
        <v>26</v>
      </c>
    </row>
    <row r="1231" spans="1:19" s="45" customFormat="1" ht="14.4" hidden="1">
      <c r="A1231" s="25">
        <f>IF(C1231="","",MAX($A$1:A1230)+1)</f>
        <v>1175</v>
      </c>
      <c r="B1231" s="25" t="s">
        <v>141</v>
      </c>
      <c r="C1231" s="41">
        <v>46091</v>
      </c>
      <c r="D1231" s="48" t="str">
        <f>_xlfn.XLOOKUP(Table134526_79101120212223242526[[#This Row],[Name Surname]],Manpower!$C$4:$C$1048576,Manpower!$B$4:$B$1048576,"")</f>
        <v>Encogroup</v>
      </c>
      <c r="E1231" s="43" t="s">
        <v>202</v>
      </c>
      <c r="F1231" s="12">
        <f>_xlfn.XLOOKUP(Table134526_79101120212223242526[[#This Row],[Name Surname]],Manpower!C:C,Manpower!D:D,)</f>
        <v>140805592</v>
      </c>
      <c r="G1231" s="48" t="str">
        <f>_xlfn.XLOOKUP(Table134526_79101120212223242526[[#This Row],[Name Surname]],Manpower!$C$4:$C$1048576,Manpower!$F$4:$F$1048576,"")</f>
        <v>Assistant/Helper</v>
      </c>
      <c r="H1231" s="48" t="str">
        <f>_xlfn.XLOOKUP(Table134526_79101120212223242526[[#This Row],[Name Surname]],Manpower!$C$4:$C$1048576,Manpower!$H$4:$H$1048576,"")</f>
        <v>Manpower</v>
      </c>
      <c r="I1231" s="42" t="str">
        <f>_xlfn.XLOOKUP(Table134526_79101120212223242526[[#This Row],[Name Surname]],Manpower!$C$4:$C$1048576,Manpower!$H$4:$H$1048576,"")</f>
        <v>Manpower</v>
      </c>
      <c r="J1231" s="43" t="s">
        <v>143</v>
      </c>
      <c r="K1231" s="43" t="s">
        <v>26</v>
      </c>
      <c r="L1231" s="43" t="s">
        <v>144</v>
      </c>
      <c r="M1231" s="43" t="s">
        <v>24</v>
      </c>
      <c r="N1231" s="44">
        <v>10</v>
      </c>
      <c r="O1231" s="43" t="s">
        <v>40</v>
      </c>
      <c r="P1231" s="43" t="s">
        <v>42</v>
      </c>
      <c r="Q1231" s="43" t="s">
        <v>42</v>
      </c>
      <c r="R1231" s="43" t="s">
        <v>260</v>
      </c>
      <c r="S1231" s="43"/>
    </row>
    <row r="1232" spans="1:19" s="45" customFormat="1" ht="14.4" hidden="1">
      <c r="A1232" s="25">
        <f>IF(C1232="","",MAX($A$1:A1231)+1)</f>
        <v>1176</v>
      </c>
      <c r="B1232" s="25" t="s">
        <v>141</v>
      </c>
      <c r="C1232" s="41">
        <v>46091</v>
      </c>
      <c r="D1232" s="48" t="str">
        <f>_xlfn.XLOOKUP(Table134526_79101120212223242526[[#This Row],[Name Surname]],Manpower!$C$4:$C$1048576,Manpower!$B$4:$B$1048576,"")</f>
        <v>Encogroup</v>
      </c>
      <c r="E1232" s="43" t="s">
        <v>203</v>
      </c>
      <c r="F1232" s="12">
        <f>_xlfn.XLOOKUP(Table134526_79101120212223242526[[#This Row],[Name Surname]],Manpower!C:C,Manpower!D:D,)</f>
        <v>140683371</v>
      </c>
      <c r="G1232" s="48" t="str">
        <f>_xlfn.XLOOKUP(Table134526_79101120212223242526[[#This Row],[Name Surname]],Manpower!$C$4:$C$1048576,Manpower!$F$4:$F$1048576,"")</f>
        <v>Rigger</v>
      </c>
      <c r="H1232" s="48" t="str">
        <f>_xlfn.XLOOKUP(Table134526_79101120212223242526[[#This Row],[Name Surname]],Manpower!$C$4:$C$1048576,Manpower!$H$4:$H$1048576,"")</f>
        <v>Manpower</v>
      </c>
      <c r="I1232" s="42" t="str">
        <f>_xlfn.XLOOKUP(Table134526_79101120212223242526[[#This Row],[Name Surname]],Manpower!$C$4:$C$1048576,Manpower!$H$4:$H$1048576,"")</f>
        <v>Manpower</v>
      </c>
      <c r="J1232" s="43" t="s">
        <v>143</v>
      </c>
      <c r="K1232" s="43" t="s">
        <v>26</v>
      </c>
      <c r="L1232" s="43" t="s">
        <v>144</v>
      </c>
      <c r="M1232" s="43" t="s">
        <v>24</v>
      </c>
      <c r="N1232" s="44">
        <v>10</v>
      </c>
      <c r="O1232" s="43" t="s">
        <v>40</v>
      </c>
      <c r="P1232" s="43" t="s">
        <v>42</v>
      </c>
      <c r="Q1232" s="43" t="s">
        <v>42</v>
      </c>
      <c r="R1232" s="43" t="s">
        <v>260</v>
      </c>
      <c r="S1232" s="43"/>
    </row>
    <row r="1233" spans="1:19" ht="14.4" hidden="1">
      <c r="A1233" s="33">
        <f>IF(C1233="","",MAX($A$1:A1232)+1)</f>
        <v>1177</v>
      </c>
      <c r="B1233" s="27" t="s">
        <v>141</v>
      </c>
      <c r="C1233" s="23">
        <v>46091</v>
      </c>
      <c r="D1233" s="28" t="str">
        <f>_xlfn.XLOOKUP(Table134526_79101120212223242526[[#This Row],[Name Surname]],Manpower!$C$4:$C$1048576,Manpower!$B$4:$B$1048576,"")</f>
        <v>Encogroup</v>
      </c>
      <c r="E1233" s="21" t="s">
        <v>72</v>
      </c>
      <c r="F1233" s="12">
        <f>_xlfn.XLOOKUP(Table134526_79101120212223242526[[#This Row],[Name Surname]],Manpower!C:C,Manpower!D:D,)</f>
        <v>140764706</v>
      </c>
      <c r="G1233" s="28" t="str">
        <f>_xlfn.XLOOKUP(Table134526_79101120212223242526[[#This Row],[Name Surname]],Manpower!$C$4:$C$1048576,Manpower!$F$4:$F$1048576,"")</f>
        <v>Rigger</v>
      </c>
      <c r="H1233" s="28" t="str">
        <f>_xlfn.XLOOKUP(Table134526_79101120212223242526[[#This Row],[Name Surname]],Manpower!$C$4:$C$1048576,Manpower!$H$4:$H$1048576,"")</f>
        <v>Manpower</v>
      </c>
      <c r="I1233" s="24" t="str">
        <f>_xlfn.XLOOKUP(Table134526_79101120212223242526[[#This Row],[Name Surname]],Manpower!$C$4:$C$1048576,Manpower!$H$4:$H$1048576,"")</f>
        <v>Manpower</v>
      </c>
      <c r="J1233" s="21" t="s">
        <v>143</v>
      </c>
      <c r="K1233" s="21" t="s">
        <v>26</v>
      </c>
      <c r="L1233" s="21" t="s">
        <v>144</v>
      </c>
      <c r="M1233" s="21" t="s">
        <v>24</v>
      </c>
      <c r="N1233" s="29">
        <v>10</v>
      </c>
      <c r="O1233" s="21" t="s">
        <v>40</v>
      </c>
      <c r="P1233" s="21" t="s">
        <v>42</v>
      </c>
      <c r="Q1233" s="21" t="s">
        <v>42</v>
      </c>
      <c r="R1233" s="21" t="s">
        <v>260</v>
      </c>
    </row>
    <row r="1234" spans="1:19" s="45" customFormat="1" ht="14.4" hidden="1">
      <c r="A1234" s="25">
        <f>IF(C1234="","",MAX($A$1:A1233)+1)</f>
        <v>1178</v>
      </c>
      <c r="B1234" s="25" t="s">
        <v>141</v>
      </c>
      <c r="C1234" s="41">
        <v>46091</v>
      </c>
      <c r="D1234" s="48" t="str">
        <f>_xlfn.XLOOKUP(Table134526_79101120212223242526[[#This Row],[Name Surname]],Manpower!$C$4:$C$1048576,Manpower!$B$4:$B$1048576,"")</f>
        <v>Encogroup</v>
      </c>
      <c r="E1234" s="43" t="s">
        <v>206</v>
      </c>
      <c r="F1234" s="12">
        <f>_xlfn.XLOOKUP(Table134526_79101120212223242526[[#This Row],[Name Surname]],Manpower!C:C,Manpower!D:D,)</f>
        <v>140844848</v>
      </c>
      <c r="G1234" s="48" t="str">
        <f>_xlfn.XLOOKUP(Table134526_79101120212223242526[[#This Row],[Name Surname]],Manpower!$C$4:$C$1048576,Manpower!$F$4:$F$1048576,"")</f>
        <v>Assistant/Helper</v>
      </c>
      <c r="H1234" s="48" t="str">
        <f>_xlfn.XLOOKUP(Table134526_79101120212223242526[[#This Row],[Name Surname]],Manpower!$C$4:$C$1048576,Manpower!$H$4:$H$1048576,"")</f>
        <v>Manpower</v>
      </c>
      <c r="I1234" s="42" t="str">
        <f>_xlfn.XLOOKUP(Table134526_79101120212223242526[[#This Row],[Name Surname]],Manpower!$C$4:$C$1048576,Manpower!$H$4:$H$1048576,"")</f>
        <v>Manpower</v>
      </c>
      <c r="J1234" s="43" t="s">
        <v>143</v>
      </c>
      <c r="K1234" s="43" t="s">
        <v>26</v>
      </c>
      <c r="L1234" s="43" t="s">
        <v>144</v>
      </c>
      <c r="M1234" s="43" t="s">
        <v>24</v>
      </c>
      <c r="N1234" s="44">
        <v>10</v>
      </c>
      <c r="O1234" s="43" t="s">
        <v>40</v>
      </c>
      <c r="P1234" s="43" t="s">
        <v>42</v>
      </c>
      <c r="Q1234" s="43" t="s">
        <v>42</v>
      </c>
      <c r="R1234" s="43" t="s">
        <v>260</v>
      </c>
      <c r="S1234" s="43"/>
    </row>
    <row r="1235" spans="1:19" s="45" customFormat="1" ht="14.4" hidden="1">
      <c r="A1235" s="25">
        <f>IF(C1235="","",MAX($A$1:A1234)+1)</f>
        <v>1179</v>
      </c>
      <c r="B1235" s="25" t="s">
        <v>141</v>
      </c>
      <c r="C1235" s="41">
        <v>46091</v>
      </c>
      <c r="D1235" s="48" t="str">
        <f>_xlfn.XLOOKUP(Table134526_79101120212223242526[[#This Row],[Name Surname]],Manpower!$C$4:$C$1048576,Manpower!$B$4:$B$1048576,"")</f>
        <v>Encogroup</v>
      </c>
      <c r="E1235" s="43" t="s">
        <v>207</v>
      </c>
      <c r="F1235" s="12">
        <f>_xlfn.XLOOKUP(Table134526_79101120212223242526[[#This Row],[Name Surname]],Manpower!C:C,Manpower!D:D,)</f>
        <v>141359216</v>
      </c>
      <c r="G1235" s="48" t="str">
        <f>_xlfn.XLOOKUP(Table134526_79101120212223242526[[#This Row],[Name Surname]],Manpower!$C$4:$C$1048576,Manpower!$F$4:$F$1048576,"")</f>
        <v>Electrician</v>
      </c>
      <c r="H1235" s="48" t="str">
        <f>_xlfn.XLOOKUP(Table134526_79101120212223242526[[#This Row],[Name Surname]],Manpower!$C$4:$C$1048576,Manpower!$H$4:$H$1048576,"")</f>
        <v>Manpower</v>
      </c>
      <c r="I1235" s="42" t="str">
        <f>_xlfn.XLOOKUP(Table134526_79101120212223242526[[#This Row],[Name Surname]],Manpower!$C$4:$C$1048576,Manpower!$H$4:$H$1048576,"")</f>
        <v>Manpower</v>
      </c>
      <c r="J1235" s="43" t="s">
        <v>158</v>
      </c>
      <c r="K1235" s="43" t="s">
        <v>26</v>
      </c>
      <c r="L1235" s="43" t="s">
        <v>26</v>
      </c>
      <c r="M1235" s="43" t="s">
        <v>24</v>
      </c>
      <c r="N1235" s="44">
        <v>10</v>
      </c>
      <c r="O1235" s="43" t="s">
        <v>159</v>
      </c>
      <c r="P1235" s="43" t="s">
        <v>160</v>
      </c>
      <c r="Q1235" s="43" t="s">
        <v>160</v>
      </c>
      <c r="R1235" s="43" t="s">
        <v>161</v>
      </c>
      <c r="S1235" s="43"/>
    </row>
    <row r="1236" spans="1:19" s="45" customFormat="1" ht="14.4" hidden="1">
      <c r="A1236" s="25">
        <f>IF(C1236="","",MAX($A$1:A1235)+1)</f>
        <v>1180</v>
      </c>
      <c r="B1236" s="25" t="s">
        <v>141</v>
      </c>
      <c r="C1236" s="41">
        <v>46091</v>
      </c>
      <c r="D1236" s="48" t="str">
        <f>_xlfn.XLOOKUP(Table134526_79101120212223242526[[#This Row],[Name Surname]],Manpower!$C$4:$C$1048576,Manpower!$B$4:$B$1048576,"")</f>
        <v>Encogroup</v>
      </c>
      <c r="E1236" s="43" t="s">
        <v>208</v>
      </c>
      <c r="F1236" s="12">
        <f>_xlfn.XLOOKUP(Table134526_79101120212223242526[[#This Row],[Name Surname]],Manpower!C:C,Manpower!D:D,)</f>
        <v>140683399</v>
      </c>
      <c r="G1236" s="48" t="str">
        <f>_xlfn.XLOOKUP(Table134526_79101120212223242526[[#This Row],[Name Surname]],Manpower!$C$4:$C$1048576,Manpower!$F$4:$F$1048576,"")</f>
        <v>Rigger</v>
      </c>
      <c r="H1236" s="48" t="str">
        <f>_xlfn.XLOOKUP(Table134526_79101120212223242526[[#This Row],[Name Surname]],Manpower!$C$4:$C$1048576,Manpower!$H$4:$H$1048576,"")</f>
        <v>Manpower</v>
      </c>
      <c r="I1236" s="42" t="str">
        <f>_xlfn.XLOOKUP(Table134526_79101120212223242526[[#This Row],[Name Surname]],Manpower!$C$4:$C$1048576,Manpower!$H$4:$H$1048576,"")</f>
        <v>Manpower</v>
      </c>
      <c r="J1236" s="43" t="s">
        <v>143</v>
      </c>
      <c r="K1236" s="43" t="s">
        <v>26</v>
      </c>
      <c r="L1236" s="43" t="s">
        <v>144</v>
      </c>
      <c r="M1236" s="43" t="s">
        <v>24</v>
      </c>
      <c r="N1236" s="44">
        <v>10</v>
      </c>
      <c r="O1236" s="43" t="s">
        <v>40</v>
      </c>
      <c r="P1236" s="43" t="s">
        <v>42</v>
      </c>
      <c r="Q1236" s="43" t="s">
        <v>42</v>
      </c>
      <c r="R1236" s="43" t="s">
        <v>260</v>
      </c>
      <c r="S1236" s="43"/>
    </row>
    <row r="1237" spans="1:19" ht="14.4">
      <c r="A1237" s="33">
        <f>IF(C1237="","",MAX($A$1:A1236)+1)</f>
        <v>1181</v>
      </c>
      <c r="B1237" s="27" t="s">
        <v>141</v>
      </c>
      <c r="C1237" s="23">
        <v>46091</v>
      </c>
      <c r="D1237" s="28" t="str">
        <f>_xlfn.XLOOKUP(Table134526_79101120212223242526[[#This Row],[Name Surname]],Manpower!$C$4:$C$1048576,Manpower!$B$4:$B$1048576,"")</f>
        <v>Bright Light</v>
      </c>
      <c r="E1237" s="21" t="s">
        <v>210</v>
      </c>
      <c r="F1237" s="12" t="e">
        <f>_xlfn.XLOOKUP(Table134526_79101120212223242526[[#This Row],[Name Surname]],Manpower!C:C,Manpower!D:D,)</f>
        <v>#N/A</v>
      </c>
      <c r="G1237" s="28" t="str">
        <f>_xlfn.XLOOKUP(Table134526_79101120212223242526[[#This Row],[Name Surname]],Manpower!$C$4:$C$1048576,Manpower!$F$4:$F$1048576,"")</f>
        <v>Trailer</v>
      </c>
      <c r="H1237" s="28" t="str">
        <f>_xlfn.XLOOKUP(Table134526_79101120212223242526[[#This Row],[Name Surname]],Manpower!$C$4:$C$1048576,Manpower!$H$4:$H$1048576,"")</f>
        <v>Equipment</v>
      </c>
      <c r="I1237" s="24" t="str">
        <f>_xlfn.XLOOKUP(Table134526_79101120212223242526[[#This Row],[Name Surname]],Manpower!$C$4:$C$1048576,Manpower!$H$4:$H$1048576,"")</f>
        <v>Equipment</v>
      </c>
      <c r="J1237" s="21" t="s">
        <v>143</v>
      </c>
      <c r="K1237" s="21" t="s">
        <v>26</v>
      </c>
      <c r="L1237" s="21" t="s">
        <v>144</v>
      </c>
      <c r="M1237" s="21" t="s">
        <v>24</v>
      </c>
      <c r="N1237" s="29">
        <v>8</v>
      </c>
      <c r="O1237" s="21" t="s">
        <v>40</v>
      </c>
      <c r="P1237" s="21" t="s">
        <v>42</v>
      </c>
      <c r="Q1237" s="21" t="s">
        <v>42</v>
      </c>
      <c r="R1237" s="21" t="s">
        <v>26</v>
      </c>
    </row>
    <row r="1238" spans="1:19" ht="14.4" hidden="1">
      <c r="A1238" s="33">
        <f>IF(C1238="","",MAX($A$1:A1237)+1)</f>
        <v>1182</v>
      </c>
      <c r="B1238" s="27" t="s">
        <v>141</v>
      </c>
      <c r="C1238" s="23">
        <v>46091</v>
      </c>
      <c r="D1238" s="28" t="str">
        <f>_xlfn.XLOOKUP(Table134526_79101120212223242526[[#This Row],[Name Surname]],Manpower!$C$4:$C$1048576,Manpower!$B$4:$B$1048576,"")</f>
        <v>Encogroup</v>
      </c>
      <c r="E1238" s="21" t="s">
        <v>211</v>
      </c>
      <c r="F1238" s="12">
        <f>_xlfn.XLOOKUP(Table134526_79101120212223242526[[#This Row],[Name Surname]],Manpower!C:C,Manpower!D:D,)</f>
        <v>140477664</v>
      </c>
      <c r="G1238" s="28" t="str">
        <f>_xlfn.XLOOKUP(Table134526_79101120212223242526[[#This Row],[Name Surname]],Manpower!$C$4:$C$1048576,Manpower!$F$4:$F$1048576,"")</f>
        <v>Junior HSE Officer</v>
      </c>
      <c r="H1238" s="28" t="str">
        <f>_xlfn.XLOOKUP(Table134526_79101120212223242526[[#This Row],[Name Surname]],Manpower!$C$4:$C$1048576,Manpower!$H$4:$H$1048576,"")</f>
        <v>Manpower</v>
      </c>
      <c r="I1238" s="24" t="str">
        <f>_xlfn.XLOOKUP(Table134526_79101120212223242526[[#This Row],[Name Surname]],Manpower!$C$4:$C$1048576,Manpower!$H$4:$H$1048576,"")</f>
        <v>Manpower</v>
      </c>
      <c r="J1238" s="21" t="s">
        <v>143</v>
      </c>
      <c r="K1238" s="21" t="s">
        <v>26</v>
      </c>
      <c r="L1238" s="21" t="s">
        <v>144</v>
      </c>
      <c r="M1238" s="21" t="s">
        <v>24</v>
      </c>
      <c r="N1238" s="29">
        <v>10</v>
      </c>
      <c r="O1238" s="21" t="s">
        <v>40</v>
      </c>
      <c r="P1238" s="21" t="s">
        <v>42</v>
      </c>
      <c r="Q1238" s="21" t="s">
        <v>42</v>
      </c>
      <c r="R1238" s="21" t="s">
        <v>260</v>
      </c>
    </row>
    <row r="1239" spans="1:19" s="45" customFormat="1" ht="14.4" hidden="1">
      <c r="A1239" s="25">
        <f>IF(C1239="","",MAX($A$1:A1238)+1)</f>
        <v>1183</v>
      </c>
      <c r="B1239" s="25" t="s">
        <v>141</v>
      </c>
      <c r="C1239" s="41">
        <v>46091</v>
      </c>
      <c r="D1239" s="48" t="str">
        <f>_xlfn.XLOOKUP(Table134526_79101120212223242526[[#This Row],[Name Surname]],Manpower!$C$4:$C$1048576,Manpower!$B$4:$B$1048576,"")</f>
        <v>Encogroup</v>
      </c>
      <c r="E1239" s="43" t="s">
        <v>213</v>
      </c>
      <c r="F1239" s="12">
        <f>_xlfn.XLOOKUP(Table134526_79101120212223242526[[#This Row],[Name Surname]],Manpower!C:C,Manpower!D:D,)</f>
        <v>140846698</v>
      </c>
      <c r="G1239" s="48" t="str">
        <f>_xlfn.XLOOKUP(Table134526_79101120212223242526[[#This Row],[Name Surname]],Manpower!$C$4:$C$1048576,Manpower!$F$4:$F$1048576,"")</f>
        <v>Assistant/Helper</v>
      </c>
      <c r="H1239" s="48" t="str">
        <f>_xlfn.XLOOKUP(Table134526_79101120212223242526[[#This Row],[Name Surname]],Manpower!$C$4:$C$1048576,Manpower!$H$4:$H$1048576,"")</f>
        <v>Manpower</v>
      </c>
      <c r="I1239" s="42" t="str">
        <f>_xlfn.XLOOKUP(Table134526_79101120212223242526[[#This Row],[Name Surname]],Manpower!$C$4:$C$1048576,Manpower!$H$4:$H$1048576,"")</f>
        <v>Manpower</v>
      </c>
      <c r="J1239" s="43" t="s">
        <v>143</v>
      </c>
      <c r="K1239" s="43" t="s">
        <v>26</v>
      </c>
      <c r="L1239" s="43" t="s">
        <v>144</v>
      </c>
      <c r="M1239" s="43" t="s">
        <v>24</v>
      </c>
      <c r="N1239" s="44">
        <v>10</v>
      </c>
      <c r="O1239" s="43" t="s">
        <v>40</v>
      </c>
      <c r="P1239" s="43" t="s">
        <v>42</v>
      </c>
      <c r="Q1239" s="43" t="s">
        <v>42</v>
      </c>
      <c r="R1239" s="43" t="s">
        <v>260</v>
      </c>
      <c r="S1239" s="43"/>
    </row>
    <row r="1240" spans="1:19" s="45" customFormat="1" ht="14.4" hidden="1">
      <c r="A1240" s="25">
        <f>IF(C1240="","",MAX($A$1:A1239)+1)</f>
        <v>1184</v>
      </c>
      <c r="B1240" s="25" t="s">
        <v>141</v>
      </c>
      <c r="C1240" s="41">
        <v>46091</v>
      </c>
      <c r="D1240" s="48" t="str">
        <f>_xlfn.XLOOKUP(Table134526_79101120212223242526[[#This Row],[Name Surname]],Manpower!$C$4:$C$1048576,Manpower!$B$4:$B$1048576,"")</f>
        <v>SARENS NASS</v>
      </c>
      <c r="E1240" s="43" t="s">
        <v>214</v>
      </c>
      <c r="F1240" s="12">
        <f>_xlfn.XLOOKUP(Table134526_79101120212223242526[[#This Row],[Name Surname]],Manpower!C:C,Manpower!D:D,)</f>
        <v>109957631</v>
      </c>
      <c r="G1240" s="48" t="str">
        <f>_xlfn.XLOOKUP(Table134526_79101120212223242526[[#This Row],[Name Surname]],Manpower!$C$4:$C$1048576,Manpower!$F$4:$F$1048576,"")</f>
        <v>Crane Operator-130T Liebherr Crawler</v>
      </c>
      <c r="H1240" s="48" t="str">
        <f>_xlfn.XLOOKUP(Table134526_79101120212223242526[[#This Row],[Name Surname]],Manpower!$C$4:$C$1048576,Manpower!$H$4:$H$1048576,"")</f>
        <v>Manpower</v>
      </c>
      <c r="I1240" s="42" t="str">
        <f>_xlfn.XLOOKUP(Table134526_79101120212223242526[[#This Row],[Name Surname]],Manpower!$C$4:$C$1048576,Manpower!$H$4:$H$1048576,"")</f>
        <v>Manpower</v>
      </c>
      <c r="J1240" s="43" t="s">
        <v>143</v>
      </c>
      <c r="K1240" s="43" t="s">
        <v>26</v>
      </c>
      <c r="L1240" s="43" t="s">
        <v>144</v>
      </c>
      <c r="M1240" s="43" t="s">
        <v>55</v>
      </c>
      <c r="N1240" s="44">
        <v>10</v>
      </c>
      <c r="O1240" s="43"/>
      <c r="P1240" s="43"/>
      <c r="Q1240" s="43"/>
      <c r="R1240" s="43" t="s">
        <v>258</v>
      </c>
      <c r="S1240" s="43"/>
    </row>
    <row r="1241" spans="1:19" s="45" customFormat="1" ht="14.4" hidden="1">
      <c r="A1241" s="25">
        <f>IF(C1241="","",MAX($A$1:A1240)+1)</f>
        <v>1185</v>
      </c>
      <c r="B1241" s="25" t="s">
        <v>141</v>
      </c>
      <c r="C1241" s="41">
        <v>46091</v>
      </c>
      <c r="D1241" s="48" t="str">
        <f>_xlfn.XLOOKUP(Table134526_79101120212223242526[[#This Row],[Name Surname]],Manpower!$C$4:$C$1048576,Manpower!$B$4:$B$1048576,"")</f>
        <v>Encogroup</v>
      </c>
      <c r="E1241" s="43" t="s">
        <v>217</v>
      </c>
      <c r="F1241" s="12">
        <f>_xlfn.XLOOKUP(Table134526_79101120212223242526[[#This Row],[Name Surname]],Manpower!C:C,Manpower!D:D,)</f>
        <v>140742177</v>
      </c>
      <c r="G1241" s="48" t="str">
        <f>_xlfn.XLOOKUP(Table134526_79101120212223242526[[#This Row],[Name Surname]],Manpower!$C$4:$C$1048576,Manpower!$F$4:$F$1048576,"")</f>
        <v>Grinder</v>
      </c>
      <c r="H1241" s="48" t="str">
        <f>_xlfn.XLOOKUP(Table134526_79101120212223242526[[#This Row],[Name Surname]],Manpower!$C$4:$C$1048576,Manpower!$H$4:$H$1048576,"")</f>
        <v>Manpower</v>
      </c>
      <c r="I1241" s="42" t="str">
        <f>_xlfn.XLOOKUP(Table134526_79101120212223242526[[#This Row],[Name Surname]],Manpower!$C$4:$C$1048576,Manpower!$H$4:$H$1048576,"")</f>
        <v>Manpower</v>
      </c>
      <c r="J1241" s="43" t="s">
        <v>143</v>
      </c>
      <c r="K1241" s="43" t="s">
        <v>26</v>
      </c>
      <c r="L1241" s="43" t="s">
        <v>144</v>
      </c>
      <c r="M1241" s="43" t="s">
        <v>24</v>
      </c>
      <c r="N1241" s="44">
        <v>10</v>
      </c>
      <c r="O1241" s="43" t="s">
        <v>40</v>
      </c>
      <c r="P1241" s="43" t="s">
        <v>42</v>
      </c>
      <c r="Q1241" s="43" t="s">
        <v>42</v>
      </c>
      <c r="R1241" s="43" t="s">
        <v>260</v>
      </c>
      <c r="S1241" s="43"/>
    </row>
    <row r="1242" spans="1:19" s="45" customFormat="1" ht="14.4" hidden="1">
      <c r="A1242" s="25">
        <f>IF(C1242="","",MAX($A$1:A1241)+1)</f>
        <v>1186</v>
      </c>
      <c r="B1242" s="25" t="s">
        <v>141</v>
      </c>
      <c r="C1242" s="41">
        <v>46091</v>
      </c>
      <c r="D1242" s="48" t="str">
        <f>_xlfn.XLOOKUP(Table134526_79101120212223242526[[#This Row],[Name Surname]],Manpower!$C$4:$C$1048576,Manpower!$B$4:$B$1048576,"")</f>
        <v>Encogroup</v>
      </c>
      <c r="E1242" s="43" t="s">
        <v>188</v>
      </c>
      <c r="F1242" s="12">
        <f>_xlfn.XLOOKUP(Table134526_79101120212223242526[[#This Row],[Name Surname]],Manpower!C:C,Manpower!D:D,)</f>
        <v>140696975</v>
      </c>
      <c r="G1242" s="48" t="str">
        <f>_xlfn.XLOOKUP(Table134526_79101120212223242526[[#This Row],[Name Surname]],Manpower!$C$4:$C$1048576,Manpower!$F$4:$F$1048576,"")</f>
        <v>Assistant/Helper</v>
      </c>
      <c r="H1242" s="48" t="str">
        <f>_xlfn.XLOOKUP(Table134526_79101120212223242526[[#This Row],[Name Surname]],Manpower!$C$4:$C$1048576,Manpower!$H$4:$H$1048576,"")</f>
        <v>Manpower</v>
      </c>
      <c r="I1242" s="42" t="str">
        <f>_xlfn.XLOOKUP(Table134526_79101120212223242526[[#This Row],[Name Surname]],Manpower!$C$4:$C$1048576,Manpower!$H$4:$H$1048576,"")</f>
        <v>Manpower</v>
      </c>
      <c r="J1242" s="43" t="s">
        <v>158</v>
      </c>
      <c r="K1242" s="43" t="s">
        <v>26</v>
      </c>
      <c r="L1242" s="43" t="s">
        <v>26</v>
      </c>
      <c r="M1242" s="43" t="s">
        <v>24</v>
      </c>
      <c r="N1242" s="44">
        <v>11</v>
      </c>
      <c r="O1242" s="43" t="s">
        <v>159</v>
      </c>
      <c r="P1242" s="43" t="s">
        <v>160</v>
      </c>
      <c r="Q1242" s="43" t="s">
        <v>160</v>
      </c>
      <c r="R1242" s="43" t="s">
        <v>259</v>
      </c>
      <c r="S1242" s="43"/>
    </row>
    <row r="1243" spans="1:19" s="45" customFormat="1" ht="14.4" hidden="1">
      <c r="A1243" s="25">
        <f>IF(C1243="","",MAX($A$1:A1242)+1)</f>
        <v>1187</v>
      </c>
      <c r="B1243" s="25" t="s">
        <v>141</v>
      </c>
      <c r="C1243" s="41">
        <v>46091</v>
      </c>
      <c r="D1243" s="48" t="str">
        <f>_xlfn.XLOOKUP(Table134526_79101120212223242526[[#This Row],[Name Surname]],Manpower!$C$4:$C$1048576,Manpower!$B$4:$B$1048576,"")</f>
        <v>Encogroup</v>
      </c>
      <c r="E1243" s="43" t="s">
        <v>204</v>
      </c>
      <c r="F1243" s="12">
        <f>_xlfn.XLOOKUP(Table134526_79101120212223242526[[#This Row],[Name Surname]],Manpower!C:C,Manpower!D:D,)</f>
        <v>140844572</v>
      </c>
      <c r="G1243" s="48" t="str">
        <f>_xlfn.XLOOKUP(Table134526_79101120212223242526[[#This Row],[Name Surname]],Manpower!$C$4:$C$1048576,Manpower!$F$4:$F$1048576,"")</f>
        <v>Assistant/Helper</v>
      </c>
      <c r="H1243" s="48" t="str">
        <f>_xlfn.XLOOKUP(Table134526_79101120212223242526[[#This Row],[Name Surname]],Manpower!$C$4:$C$1048576,Manpower!$H$4:$H$1048576,"")</f>
        <v>Manpower</v>
      </c>
      <c r="I1243" s="42" t="str">
        <f>_xlfn.XLOOKUP(Table134526_79101120212223242526[[#This Row],[Name Surname]],Manpower!$C$4:$C$1048576,Manpower!$H$4:$H$1048576,"")</f>
        <v>Manpower</v>
      </c>
      <c r="J1243" s="43" t="s">
        <v>158</v>
      </c>
      <c r="K1243" s="43" t="s">
        <v>26</v>
      </c>
      <c r="L1243" s="43" t="s">
        <v>26</v>
      </c>
      <c r="M1243" s="43" t="s">
        <v>24</v>
      </c>
      <c r="N1243" s="44">
        <v>11</v>
      </c>
      <c r="O1243" s="43" t="s">
        <v>159</v>
      </c>
      <c r="P1243" s="43" t="s">
        <v>160</v>
      </c>
      <c r="Q1243" s="43" t="s">
        <v>160</v>
      </c>
      <c r="R1243" s="43" t="s">
        <v>259</v>
      </c>
      <c r="S1243" s="43"/>
    </row>
    <row r="1244" spans="1:19" s="45" customFormat="1" ht="14.4" hidden="1">
      <c r="A1244" s="25">
        <f>IF(C1244="","",MAX($A$1:A1243)+1)</f>
        <v>1188</v>
      </c>
      <c r="B1244" s="25" t="s">
        <v>141</v>
      </c>
      <c r="C1244" s="41">
        <v>46091</v>
      </c>
      <c r="D1244" s="48" t="str">
        <f>_xlfn.XLOOKUP(Table134526_79101120212223242526[[#This Row],[Name Surname]],Manpower!$C$4:$C$1048576,Manpower!$B$4:$B$1048576,"")</f>
        <v>Encogroup</v>
      </c>
      <c r="E1244" s="43" t="s">
        <v>218</v>
      </c>
      <c r="F1244" s="12">
        <f>_xlfn.XLOOKUP(Table134526_79101120212223242526[[#This Row],[Name Surname]],Manpower!C:C,Manpower!D:D,)</f>
        <v>116853914</v>
      </c>
      <c r="G1244" s="48" t="str">
        <f>_xlfn.XLOOKUP(Table134526_79101120212223242526[[#This Row],[Name Surname]],Manpower!$C$4:$C$1048576,Manpower!$F$4:$F$1048576,"")</f>
        <v>Electrical Supervisor</v>
      </c>
      <c r="H1244" s="48" t="str">
        <f>_xlfn.XLOOKUP(Table134526_79101120212223242526[[#This Row],[Name Surname]],Manpower!$C$4:$C$1048576,Manpower!$H$4:$H$1048576,"")</f>
        <v>Manpower</v>
      </c>
      <c r="I1244" s="42" t="str">
        <f>_xlfn.XLOOKUP(Table134526_79101120212223242526[[#This Row],[Name Surname]],Manpower!$C$4:$C$1048576,Manpower!$H$4:$H$1048576,"")</f>
        <v>Manpower</v>
      </c>
      <c r="J1244" s="43" t="s">
        <v>158</v>
      </c>
      <c r="K1244" s="43" t="s">
        <v>26</v>
      </c>
      <c r="L1244" s="43" t="s">
        <v>26</v>
      </c>
      <c r="M1244" s="43" t="s">
        <v>24</v>
      </c>
      <c r="N1244" s="44">
        <v>10</v>
      </c>
      <c r="O1244" s="43" t="s">
        <v>159</v>
      </c>
      <c r="P1244" s="43" t="s">
        <v>160</v>
      </c>
      <c r="Q1244" s="43" t="s">
        <v>160</v>
      </c>
      <c r="R1244" s="43" t="s">
        <v>161</v>
      </c>
      <c r="S1244" s="43"/>
    </row>
    <row r="1245" spans="1:19" ht="14.4">
      <c r="A1245" s="33">
        <f>IF(C1245="","",MAX($A$1:A1244)+1)</f>
        <v>1189</v>
      </c>
      <c r="B1245" s="27" t="s">
        <v>141</v>
      </c>
      <c r="C1245" s="23">
        <v>46091</v>
      </c>
      <c r="D1245" s="28" t="str">
        <f>_xlfn.XLOOKUP(Table134526_79101120212223242526[[#This Row],[Name Surname]],Manpower!$C$4:$C$1048576,Manpower!$B$4:$B$1048576,"")</f>
        <v>Encogroup</v>
      </c>
      <c r="E1245" s="23" t="s">
        <v>219</v>
      </c>
      <c r="F1245" s="12" t="e">
        <f>_xlfn.XLOOKUP(Table134526_79101120212223242526[[#This Row],[Name Surname]],Manpower!C:C,Manpower!D:D,)</f>
        <v>#N/A</v>
      </c>
      <c r="G1245" s="28" t="str">
        <f>_xlfn.XLOOKUP(Table134526_79101120212223242526[[#This Row],[Name Surname]],Manpower!$C$4:$C$1048576,Manpower!$F$4:$F$1048576,"")</f>
        <v>TOWER LIGHT</v>
      </c>
      <c r="H1245" s="28" t="str">
        <f>_xlfn.XLOOKUP(Table134526_79101120212223242526[[#This Row],[Name Surname]],Manpower!$C$4:$C$1048576,Manpower!$H$4:$H$1048576,"")</f>
        <v>Equipment</v>
      </c>
      <c r="I1245" s="24" t="str">
        <f>_xlfn.XLOOKUP(Table134526_79101120212223242526[[#This Row],[Name Surname]],Manpower!$C$4:$C$1048576,Manpower!$H$4:$H$1048576,"")</f>
        <v>Equipment</v>
      </c>
      <c r="J1245" s="21" t="s">
        <v>143</v>
      </c>
      <c r="K1245" s="21" t="s">
        <v>26</v>
      </c>
      <c r="L1245" s="21" t="s">
        <v>144</v>
      </c>
      <c r="M1245" s="21" t="s">
        <v>55</v>
      </c>
      <c r="N1245" s="29">
        <v>10</v>
      </c>
      <c r="R1245" s="21" t="s">
        <v>56</v>
      </c>
    </row>
    <row r="1246" spans="1:19" ht="14.4">
      <c r="A1246" s="33">
        <f>IF(C1246="","",MAX($A$1:A1245)+1)</f>
        <v>1190</v>
      </c>
      <c r="B1246" s="27" t="s">
        <v>141</v>
      </c>
      <c r="C1246" s="23">
        <v>46091</v>
      </c>
      <c r="D1246" s="28" t="str">
        <f>_xlfn.XLOOKUP(Table134526_79101120212223242526[[#This Row],[Name Surname]],Manpower!$C$4:$C$1048576,Manpower!$B$4:$B$1048576,"")</f>
        <v>Encogroup</v>
      </c>
      <c r="E1246" s="23" t="s">
        <v>220</v>
      </c>
      <c r="F1246" s="12" t="e">
        <f>_xlfn.XLOOKUP(Table134526_79101120212223242526[[#This Row],[Name Surname]],Manpower!C:C,Manpower!D:D,)</f>
        <v>#N/A</v>
      </c>
      <c r="G1246" s="28" t="str">
        <f>_xlfn.XLOOKUP(Table134526_79101120212223242526[[#This Row],[Name Surname]],Manpower!$C$4:$C$1048576,Manpower!$F$4:$F$1048576,"")</f>
        <v>TOWER LIGHT</v>
      </c>
      <c r="H1246" s="28" t="str">
        <f>_xlfn.XLOOKUP(Table134526_79101120212223242526[[#This Row],[Name Surname]],Manpower!$C$4:$C$1048576,Manpower!$H$4:$H$1048576,"")</f>
        <v>Equipment</v>
      </c>
      <c r="I1246" s="24" t="str">
        <f>_xlfn.XLOOKUP(Table134526_79101120212223242526[[#This Row],[Name Surname]],Manpower!$C$4:$C$1048576,Manpower!$H$4:$H$1048576,"")</f>
        <v>Equipment</v>
      </c>
      <c r="J1246" s="21" t="s">
        <v>143</v>
      </c>
      <c r="K1246" s="21" t="s">
        <v>26</v>
      </c>
      <c r="L1246" s="21" t="s">
        <v>144</v>
      </c>
      <c r="M1246" s="21" t="s">
        <v>55</v>
      </c>
      <c r="N1246" s="29">
        <v>10</v>
      </c>
      <c r="R1246" s="21" t="s">
        <v>56</v>
      </c>
    </row>
    <row r="1247" spans="1:19" ht="14.4" hidden="1">
      <c r="A1247" s="33">
        <f>IF(C1247="","",MAX($A$1:A1246)+1)</f>
        <v>1191</v>
      </c>
      <c r="B1247" s="27" t="s">
        <v>141</v>
      </c>
      <c r="C1247" s="23">
        <v>46091</v>
      </c>
      <c r="D1247" s="28" t="str">
        <f>_xlfn.XLOOKUP(Table134526_79101120212223242526[[#This Row],[Name Surname]],Manpower!$C$4:$C$1048576,Manpower!$B$4:$B$1048576,"")</f>
        <v>AL Omar International Tarde&amp;Contracting SPC</v>
      </c>
      <c r="E1247" s="21" t="s">
        <v>221</v>
      </c>
      <c r="F1247" s="12">
        <f>_xlfn.XLOOKUP(Table134526_79101120212223242526[[#This Row],[Name Surname]],Manpower!C:C,Manpower!D:D,)</f>
        <v>115122635</v>
      </c>
      <c r="G1247" s="28" t="str">
        <f>_xlfn.XLOOKUP(Table134526_79101120212223242526[[#This Row],[Name Surname]],Manpower!$C$4:$C$1048576,Manpower!$F$4:$F$1048576,"")</f>
        <v>Scaffolder</v>
      </c>
      <c r="H1247" s="28" t="str">
        <f>_xlfn.XLOOKUP(Table134526_79101120212223242526[[#This Row],[Name Surname]],Manpower!$C$4:$C$1048576,Manpower!$H$4:$H$1048576,"")</f>
        <v>Sub Contactor</v>
      </c>
      <c r="I1247" s="24" t="str">
        <f>_xlfn.XLOOKUP(Table134526_79101120212223242526[[#This Row],[Name Surname]],Manpower!$C$4:$C$1048576,Manpower!$H$4:$H$1048576,"")</f>
        <v>Sub Contactor</v>
      </c>
      <c r="J1247" s="21" t="s">
        <v>143</v>
      </c>
      <c r="K1247" s="21" t="s">
        <v>26</v>
      </c>
      <c r="L1247" s="21" t="s">
        <v>144</v>
      </c>
      <c r="M1247" s="21" t="s">
        <v>24</v>
      </c>
      <c r="N1247" s="29">
        <v>8</v>
      </c>
      <c r="O1247" s="21" t="s">
        <v>40</v>
      </c>
      <c r="P1247" s="21" t="s">
        <v>42</v>
      </c>
      <c r="Q1247" s="21" t="s">
        <v>42</v>
      </c>
      <c r="R1247" s="21" t="s">
        <v>260</v>
      </c>
    </row>
    <row r="1248" spans="1:19" s="45" customFormat="1" ht="14.4" hidden="1">
      <c r="A1248" s="25">
        <f>IF(C1248="","",MAX($A$1:A1247)+1)</f>
        <v>1192</v>
      </c>
      <c r="B1248" s="25" t="s">
        <v>141</v>
      </c>
      <c r="C1248" s="41">
        <v>46091</v>
      </c>
      <c r="D1248" s="48" t="str">
        <f>_xlfn.XLOOKUP(Table134526_79101120212223242526[[#This Row],[Name Surname]],Manpower!$C$4:$C$1048576,Manpower!$B$4:$B$1048576,"")</f>
        <v>Encogroup</v>
      </c>
      <c r="E1248" s="43" t="s">
        <v>168</v>
      </c>
      <c r="F1248" s="12">
        <f>_xlfn.XLOOKUP(Table134526_79101120212223242526[[#This Row],[Name Surname]],Manpower!C:C,Manpower!D:D,)</f>
        <v>137114773</v>
      </c>
      <c r="G1248" s="48" t="str">
        <f>_xlfn.XLOOKUP(Table134526_79101120212223242526[[#This Row],[Name Surname]],Manpower!$C$4:$C$1048576,Manpower!$F$4:$F$1048576,"")</f>
        <v>Rigger</v>
      </c>
      <c r="H1248" s="48" t="str">
        <f>_xlfn.XLOOKUP(Table134526_79101120212223242526[[#This Row],[Name Surname]],Manpower!$C$4:$C$1048576,Manpower!$H$4:$H$1048576,"")</f>
        <v>Manpower</v>
      </c>
      <c r="I1248" s="42" t="str">
        <f>_xlfn.XLOOKUP(Table134526_79101120212223242526[[#This Row],[Name Surname]],Manpower!$C$4:$C$1048576,Manpower!$H$4:$H$1048576,"")</f>
        <v>Manpower</v>
      </c>
      <c r="J1248" s="43" t="s">
        <v>143</v>
      </c>
      <c r="K1248" s="43" t="s">
        <v>26</v>
      </c>
      <c r="L1248" s="43" t="s">
        <v>144</v>
      </c>
      <c r="M1248" s="43" t="s">
        <v>24</v>
      </c>
      <c r="N1248" s="44">
        <v>10</v>
      </c>
      <c r="O1248" s="43" t="s">
        <v>40</v>
      </c>
      <c r="P1248" s="43" t="s">
        <v>42</v>
      </c>
      <c r="Q1248" s="43" t="s">
        <v>42</v>
      </c>
      <c r="R1248" s="43" t="s">
        <v>260</v>
      </c>
      <c r="S1248" s="43"/>
    </row>
    <row r="1249" spans="1:19" s="45" customFormat="1" ht="14.4" hidden="1">
      <c r="A1249" s="25">
        <f>IF(C1249="","",MAX($A$1:A1248)+1)</f>
        <v>1193</v>
      </c>
      <c r="B1249" s="25" t="s">
        <v>141</v>
      </c>
      <c r="C1249" s="41">
        <v>46091</v>
      </c>
      <c r="D1249" s="48" t="str">
        <f>_xlfn.XLOOKUP(Table134526_79101120212223242526[[#This Row],[Name Surname]],Manpower!$C$4:$C$1048576,Manpower!$B$4:$B$1048576,"")</f>
        <v>Encogroup</v>
      </c>
      <c r="E1249" s="43" t="s">
        <v>222</v>
      </c>
      <c r="F1249" s="12">
        <f>_xlfn.XLOOKUP(Table134526_79101120212223242526[[#This Row],[Name Surname]],Manpower!C:C,Manpower!D:D,)</f>
        <v>122082863</v>
      </c>
      <c r="G1249" s="48" t="str">
        <f>_xlfn.XLOOKUP(Table134526_79101120212223242526[[#This Row],[Name Surname]],Manpower!$C$4:$C$1048576,Manpower!$F$4:$F$1048576,"")</f>
        <v>Grinder</v>
      </c>
      <c r="H1249" s="48" t="str">
        <f>_xlfn.XLOOKUP(Table134526_79101120212223242526[[#This Row],[Name Surname]],Manpower!$C$4:$C$1048576,Manpower!$H$4:$H$1048576,"")</f>
        <v>Manpower</v>
      </c>
      <c r="I1249" s="42" t="str">
        <f>_xlfn.XLOOKUP(Table134526_79101120212223242526[[#This Row],[Name Surname]],Manpower!$C$4:$C$1048576,Manpower!$H$4:$H$1048576,"")</f>
        <v>Manpower</v>
      </c>
      <c r="J1249" s="43" t="s">
        <v>143</v>
      </c>
      <c r="K1249" s="43" t="s">
        <v>26</v>
      </c>
      <c r="L1249" s="43" t="s">
        <v>144</v>
      </c>
      <c r="M1249" s="43" t="s">
        <v>24</v>
      </c>
      <c r="N1249" s="44">
        <v>10</v>
      </c>
      <c r="O1249" s="43" t="s">
        <v>40</v>
      </c>
      <c r="P1249" s="43" t="s">
        <v>42</v>
      </c>
      <c r="Q1249" s="43" t="s">
        <v>42</v>
      </c>
      <c r="R1249" s="43" t="s">
        <v>260</v>
      </c>
      <c r="S1249" s="43"/>
    </row>
    <row r="1250" spans="1:19" s="45" customFormat="1" ht="14.4" hidden="1">
      <c r="A1250" s="25">
        <f>IF(C1250="","",MAX($A$1:A1249)+1)</f>
        <v>1194</v>
      </c>
      <c r="B1250" s="25" t="s">
        <v>141</v>
      </c>
      <c r="C1250" s="41">
        <v>46091</v>
      </c>
      <c r="D1250" s="48" t="str">
        <f>_xlfn.XLOOKUP(Table134526_79101120212223242526[[#This Row],[Name Surname]],Manpower!$C$4:$C$1048576,Manpower!$B$4:$B$1048576,"")</f>
        <v>Rial Al Khaleej</v>
      </c>
      <c r="E1250" s="43" t="s">
        <v>38</v>
      </c>
      <c r="F1250" s="12">
        <f>_xlfn.XLOOKUP(Table134526_79101120212223242526[[#This Row],[Name Surname]],Manpower!C:C,Manpower!D:D,)</f>
        <v>98845403</v>
      </c>
      <c r="G1250" s="48" t="str">
        <f>_xlfn.XLOOKUP(Table134526_79101120212223242526[[#This Row],[Name Surname]],Manpower!$C$4:$C$1048576,Manpower!$F$4:$F$1048576,"")</f>
        <v>Crane Operator-100T Zoomlion Telescopic</v>
      </c>
      <c r="H1250" s="48" t="str">
        <f>_xlfn.XLOOKUP(Table134526_79101120212223242526[[#This Row],[Name Surname]],Manpower!$C$4:$C$1048576,Manpower!$H$4:$H$1048576,"")</f>
        <v>Manpower</v>
      </c>
      <c r="I1250" s="42" t="str">
        <f>_xlfn.XLOOKUP(Table134526_79101120212223242526[[#This Row],[Name Surname]],Manpower!$C$4:$C$1048576,Manpower!$H$4:$H$1048576,"")</f>
        <v>Manpower</v>
      </c>
      <c r="J1250" s="43" t="s">
        <v>158</v>
      </c>
      <c r="K1250" s="43" t="s">
        <v>26</v>
      </c>
      <c r="L1250" s="43" t="s">
        <v>26</v>
      </c>
      <c r="M1250" s="43" t="s">
        <v>24</v>
      </c>
      <c r="N1250" s="44">
        <v>10</v>
      </c>
      <c r="O1250" s="43" t="s">
        <v>159</v>
      </c>
      <c r="P1250" s="43" t="s">
        <v>160</v>
      </c>
      <c r="Q1250" s="43" t="s">
        <v>160</v>
      </c>
      <c r="R1250" s="43" t="s">
        <v>161</v>
      </c>
      <c r="S1250" s="43"/>
    </row>
    <row r="1251" spans="1:19" s="45" customFormat="1" ht="14.4" hidden="1">
      <c r="A1251" s="25">
        <f>IF(C1251="","",MAX($A$1:A1249)+1)</f>
        <v>1194</v>
      </c>
      <c r="B1251" s="25" t="s">
        <v>141</v>
      </c>
      <c r="C1251" s="41">
        <v>46091</v>
      </c>
      <c r="D1251" s="48" t="str">
        <f>_xlfn.XLOOKUP(Table134526_79101120212223242526[[#This Row],[Name Surname]],Manpower!$C$4:$C$1048576,Manpower!$B$4:$B$1048576,"")</f>
        <v>Encogroup</v>
      </c>
      <c r="E1251" s="43" t="s">
        <v>223</v>
      </c>
      <c r="F1251" s="12">
        <f>_xlfn.XLOOKUP(Table134526_79101120212223242526[[#This Row],[Name Surname]],Manpower!C:C,Manpower!D:D,)</f>
        <v>140696989</v>
      </c>
      <c r="G1251" s="48" t="str">
        <f>_xlfn.XLOOKUP(Table134526_79101120212223242526[[#This Row],[Name Surname]],Manpower!$C$4:$C$1048576,Manpower!$F$4:$F$1048576,"")</f>
        <v>Assistant/Helper</v>
      </c>
      <c r="H1251" s="48" t="str">
        <f>_xlfn.XLOOKUP(Table134526_79101120212223242526[[#This Row],[Name Surname]],Manpower!$C$4:$C$1048576,Manpower!$H$4:$H$1048576,"")</f>
        <v>Manpower</v>
      </c>
      <c r="I1251" s="42" t="str">
        <f>_xlfn.XLOOKUP(Table134526_79101120212223242526[[#This Row],[Name Surname]],Manpower!$C$4:$C$1048576,Manpower!$H$4:$H$1048576,"")</f>
        <v>Manpower</v>
      </c>
      <c r="J1251" s="43" t="s">
        <v>158</v>
      </c>
      <c r="K1251" s="43" t="s">
        <v>26</v>
      </c>
      <c r="L1251" s="43" t="s">
        <v>26</v>
      </c>
      <c r="M1251" s="43" t="s">
        <v>24</v>
      </c>
      <c r="N1251" s="44">
        <v>10</v>
      </c>
      <c r="O1251" s="43" t="s">
        <v>159</v>
      </c>
      <c r="P1251" s="43" t="s">
        <v>160</v>
      </c>
      <c r="Q1251" s="43" t="s">
        <v>160</v>
      </c>
      <c r="R1251" s="43" t="s">
        <v>161</v>
      </c>
      <c r="S1251" s="43"/>
    </row>
    <row r="1252" spans="1:19" s="45" customFormat="1" ht="14.4" hidden="1">
      <c r="A1252" s="25">
        <f>IF(C1252="","",MAX($A$1:A1251)+1)</f>
        <v>1195</v>
      </c>
      <c r="B1252" s="25" t="s">
        <v>141</v>
      </c>
      <c r="C1252" s="41">
        <v>46091</v>
      </c>
      <c r="D1252" s="48" t="str">
        <f>_xlfn.XLOOKUP(Table134526_79101120212223242526[[#This Row],[Name Surname]],Manpower!$C$4:$C$1048576,Manpower!$B$4:$B$1048576,"")</f>
        <v>Encogroup</v>
      </c>
      <c r="E1252" s="43" t="s">
        <v>209</v>
      </c>
      <c r="F1252" s="12">
        <f>_xlfn.XLOOKUP(Table134526_79101120212223242526[[#This Row],[Name Surname]],Manpower!C:C,Manpower!D:D,)</f>
        <v>141365164</v>
      </c>
      <c r="G1252" s="48" t="str">
        <f>_xlfn.XLOOKUP(Table134526_79101120212223242526[[#This Row],[Name Surname]],Manpower!$C$4:$C$1048576,Manpower!$F$4:$F$1048576,"")</f>
        <v>Helper</v>
      </c>
      <c r="H1252" s="48" t="str">
        <f>_xlfn.XLOOKUP(Table134526_79101120212223242526[[#This Row],[Name Surname]],Manpower!$C$4:$C$1048576,Manpower!$H$4:$H$1048576,"")</f>
        <v>Manpower</v>
      </c>
      <c r="I1252" s="42" t="str">
        <f>_xlfn.XLOOKUP(Table134526_79101120212223242526[[#This Row],[Name Surname]],Manpower!$C$4:$C$1048576,Manpower!$H$4:$H$1048576,"")</f>
        <v>Manpower</v>
      </c>
      <c r="J1252" s="43" t="s">
        <v>143</v>
      </c>
      <c r="K1252" s="43" t="s">
        <v>26</v>
      </c>
      <c r="L1252" s="43" t="s">
        <v>144</v>
      </c>
      <c r="M1252" s="43" t="s">
        <v>24</v>
      </c>
      <c r="N1252" s="44">
        <v>10</v>
      </c>
      <c r="O1252" s="43" t="s">
        <v>40</v>
      </c>
      <c r="P1252" s="43" t="s">
        <v>42</v>
      </c>
      <c r="Q1252" s="43" t="s">
        <v>42</v>
      </c>
      <c r="R1252" s="43" t="s">
        <v>260</v>
      </c>
      <c r="S1252" s="43"/>
    </row>
    <row r="1253" spans="1:19" s="45" customFormat="1" ht="14.4" hidden="1">
      <c r="A1253" s="25">
        <f>IF(C1253="","",MAX($A$1:A1252)+1)</f>
        <v>1196</v>
      </c>
      <c r="B1253" s="25" t="s">
        <v>141</v>
      </c>
      <c r="C1253" s="41">
        <v>46091</v>
      </c>
      <c r="D1253" s="48" t="str">
        <f>_xlfn.XLOOKUP(Table134526_79101120212223242526[[#This Row],[Name Surname]],Manpower!$C$4:$C$1048576,Manpower!$B$4:$B$1048576,"")</f>
        <v>Encogroup</v>
      </c>
      <c r="E1253" s="43" t="s">
        <v>224</v>
      </c>
      <c r="F1253" s="12">
        <f>_xlfn.XLOOKUP(Table134526_79101120212223242526[[#This Row],[Name Surname]],Manpower!C:C,Manpower!D:D,)</f>
        <v>141365094</v>
      </c>
      <c r="G1253" s="48" t="str">
        <f>_xlfn.XLOOKUP(Table134526_79101120212223242526[[#This Row],[Name Surname]],Manpower!$C$4:$C$1048576,Manpower!$F$4:$F$1048576,"")</f>
        <v>Helper</v>
      </c>
      <c r="H1253" s="48" t="str">
        <f>_xlfn.XLOOKUP(Table134526_79101120212223242526[[#This Row],[Name Surname]],Manpower!$C$4:$C$1048576,Manpower!$H$4:$H$1048576,"")</f>
        <v>Manpower</v>
      </c>
      <c r="I1253" s="42" t="str">
        <f>_xlfn.XLOOKUP(Table134526_79101120212223242526[[#This Row],[Name Surname]],Manpower!$C$4:$C$1048576,Manpower!$H$4:$H$1048576,"")</f>
        <v>Manpower</v>
      </c>
      <c r="J1253" s="43" t="s">
        <v>143</v>
      </c>
      <c r="K1253" s="43" t="s">
        <v>26</v>
      </c>
      <c r="L1253" s="43" t="s">
        <v>144</v>
      </c>
      <c r="M1253" s="43" t="s">
        <v>24</v>
      </c>
      <c r="N1253" s="44">
        <v>10</v>
      </c>
      <c r="O1253" s="43" t="s">
        <v>40</v>
      </c>
      <c r="P1253" s="43" t="s">
        <v>42</v>
      </c>
      <c r="Q1253" s="43" t="s">
        <v>42</v>
      </c>
      <c r="R1253" s="43" t="s">
        <v>260</v>
      </c>
      <c r="S1253" s="43"/>
    </row>
    <row r="1254" spans="1:19" s="45" customFormat="1" ht="14.4" hidden="1">
      <c r="A1254" s="25">
        <f>IF(C1254="","",MAX($A$1:A1253)+1)</f>
        <v>1197</v>
      </c>
      <c r="B1254" s="25" t="s">
        <v>141</v>
      </c>
      <c r="C1254" s="41">
        <v>46091</v>
      </c>
      <c r="D1254" s="48" t="str">
        <f>_xlfn.XLOOKUP(Table134526_79101120212223242526[[#This Row],[Name Surname]],Manpower!$C$4:$C$1048576,Manpower!$B$4:$B$1048576,"")</f>
        <v>Encogroup</v>
      </c>
      <c r="E1254" s="43" t="s">
        <v>264</v>
      </c>
      <c r="F1254" s="12">
        <f>_xlfn.XLOOKUP(Table134526_79101120212223242526[[#This Row],[Name Surname]],Manpower!C:C,Manpower!D:D,)</f>
        <v>141365061</v>
      </c>
      <c r="G1254" s="48" t="str">
        <f>_xlfn.XLOOKUP(Table134526_79101120212223242526[[#This Row],[Name Surname]],Manpower!$C$4:$C$1048576,Manpower!$F$4:$F$1048576,"")</f>
        <v>Helper</v>
      </c>
      <c r="H1254" s="48" t="str">
        <f>_xlfn.XLOOKUP(Table134526_79101120212223242526[[#This Row],[Name Surname]],Manpower!$C$4:$C$1048576,Manpower!$H$4:$H$1048576,"")</f>
        <v>Manpower</v>
      </c>
      <c r="I1254" s="42" t="str">
        <f>_xlfn.XLOOKUP(Table134526_79101120212223242526[[#This Row],[Name Surname]],Manpower!$C$4:$C$1048576,Manpower!$H$4:$H$1048576,"")</f>
        <v>Manpower</v>
      </c>
      <c r="J1254" s="43" t="s">
        <v>143</v>
      </c>
      <c r="K1254" s="43" t="s">
        <v>26</v>
      </c>
      <c r="L1254" s="43" t="s">
        <v>144</v>
      </c>
      <c r="M1254" s="43" t="s">
        <v>24</v>
      </c>
      <c r="N1254" s="44">
        <v>10</v>
      </c>
      <c r="O1254" s="43" t="s">
        <v>40</v>
      </c>
      <c r="P1254" s="43" t="s">
        <v>42</v>
      </c>
      <c r="Q1254" s="43" t="s">
        <v>42</v>
      </c>
      <c r="R1254" s="43" t="s">
        <v>260</v>
      </c>
      <c r="S1254" s="43"/>
    </row>
    <row r="1255" spans="1:19" s="45" customFormat="1" ht="14.4" hidden="1">
      <c r="A1255" s="25">
        <f>IF(C1255="","",MAX($A$1:A1254)+1)</f>
        <v>1198</v>
      </c>
      <c r="B1255" s="25" t="s">
        <v>141</v>
      </c>
      <c r="C1255" s="41">
        <v>46091</v>
      </c>
      <c r="D1255" s="48" t="str">
        <f>_xlfn.XLOOKUP(Table134526_79101120212223242526[[#This Row],[Name Surname]],Manpower!$C$4:$C$1048576,Manpower!$B$4:$B$1048576,"")</f>
        <v>Rial Al Khaleej</v>
      </c>
      <c r="E1255" s="43" t="s">
        <v>38</v>
      </c>
      <c r="F1255" s="12">
        <f>_xlfn.XLOOKUP(Table134526_79101120212223242526[[#This Row],[Name Surname]],Manpower!C:C,Manpower!D:D,)</f>
        <v>98845403</v>
      </c>
      <c r="G1255" s="48" t="str">
        <f>_xlfn.XLOOKUP(Table134526_79101120212223242526[[#This Row],[Name Surname]],Manpower!$C$4:$C$1048576,Manpower!$F$4:$F$1048576,"")</f>
        <v>Crane Operator-100T Zoomlion Telescopic</v>
      </c>
      <c r="H1255" s="48" t="str">
        <f>_xlfn.XLOOKUP(Table134526_79101120212223242526[[#This Row],[Name Surname]],Manpower!$C$4:$C$1048576,Manpower!$H$4:$H$1048576,"")</f>
        <v>Manpower</v>
      </c>
      <c r="I1255" s="42" t="str">
        <f>_xlfn.XLOOKUP(Table134526_79101120212223242526[[#This Row],[Name Surname]],Manpower!$C$4:$C$1048576,Manpower!$H$4:$H$1048576,"")</f>
        <v>Manpower</v>
      </c>
      <c r="J1255" s="43" t="s">
        <v>143</v>
      </c>
      <c r="K1255" s="43" t="s">
        <v>26</v>
      </c>
      <c r="L1255" s="43" t="s">
        <v>144</v>
      </c>
      <c r="M1255" s="43" t="s">
        <v>24</v>
      </c>
      <c r="N1255" s="44">
        <v>5</v>
      </c>
      <c r="O1255" s="43" t="s">
        <v>40</v>
      </c>
      <c r="P1255" s="43" t="s">
        <v>42</v>
      </c>
      <c r="Q1255" s="43" t="s">
        <v>42</v>
      </c>
      <c r="R1255" s="43" t="s">
        <v>260</v>
      </c>
      <c r="S1255" s="43"/>
    </row>
    <row r="1256" spans="1:19" s="45" customFormat="1" ht="14.4" hidden="1">
      <c r="A1256" s="25">
        <f>IF(C1256="","",MAX($A$1:A1253)+1)</f>
        <v>1197</v>
      </c>
      <c r="B1256" s="25" t="s">
        <v>141</v>
      </c>
      <c r="C1256" s="41">
        <v>46091</v>
      </c>
      <c r="D1256" s="48" t="str">
        <f>_xlfn.XLOOKUP(Table134526_79101120212223242526[[#This Row],[Name Surname]],Manpower!$C$4:$C$1048576,Manpower!$B$4:$B$1048576,"")</f>
        <v>SARENS NASS</v>
      </c>
      <c r="E1256" s="43" t="s">
        <v>266</v>
      </c>
      <c r="F1256" s="12">
        <f>_xlfn.XLOOKUP(Table134526_79101120212223242526[[#This Row],[Name Surname]],Manpower!C:C,Manpower!D:D,)</f>
        <v>14552941</v>
      </c>
      <c r="G1256" s="48" t="str">
        <f>_xlfn.XLOOKUP(Table134526_79101120212223242526[[#This Row],[Name Surname]],Manpower!$C$4:$C$1048576,Manpower!$F$4:$F$1048576,"")</f>
        <v>Crane Operator- 70T Hitachi Crawler crane</v>
      </c>
      <c r="H1256" s="48" t="str">
        <f>_xlfn.XLOOKUP(Table134526_79101120212223242526[[#This Row],[Name Surname]],Manpower!$C$4:$C$1048576,Manpower!$H$4:$H$1048576,"")</f>
        <v>Manpower</v>
      </c>
      <c r="I1256" s="42" t="str">
        <f>_xlfn.XLOOKUP(Table134526_79101120212223242526[[#This Row],[Name Surname]],Manpower!$C$4:$C$1048576,Manpower!$H$4:$H$1048576,"")</f>
        <v>Manpower</v>
      </c>
      <c r="J1256" s="43" t="s">
        <v>143</v>
      </c>
      <c r="K1256" s="43" t="s">
        <v>26</v>
      </c>
      <c r="L1256" s="43" t="s">
        <v>144</v>
      </c>
      <c r="M1256" s="43" t="s">
        <v>24</v>
      </c>
      <c r="N1256" s="44">
        <v>10</v>
      </c>
      <c r="O1256" s="43" t="s">
        <v>40</v>
      </c>
      <c r="P1256" s="43" t="s">
        <v>42</v>
      </c>
      <c r="Q1256" s="43" t="s">
        <v>42</v>
      </c>
      <c r="R1256" s="43" t="s">
        <v>260</v>
      </c>
      <c r="S1256" s="43"/>
    </row>
    <row r="1257" spans="1:19" s="45" customFormat="1" ht="14.4" hidden="1">
      <c r="A1257" s="25">
        <f>IF(C1257="","",MAX($A$1:A1253)+1)</f>
        <v>1197</v>
      </c>
      <c r="B1257" s="25" t="s">
        <v>141</v>
      </c>
      <c r="C1257" s="41">
        <v>46091</v>
      </c>
      <c r="D1257" s="48" t="str">
        <f>_xlfn.XLOOKUP(Table134526_79101120212223242526[[#This Row],[Name Surname]],Manpower!$C$4:$C$1048576,Manpower!$B$4:$B$1048576,"")</f>
        <v xml:space="preserve">FAL Transport </v>
      </c>
      <c r="E1257" s="43" t="s">
        <v>225</v>
      </c>
      <c r="F1257" s="12">
        <f>_xlfn.XLOOKUP(Table134526_79101120212223242526[[#This Row],[Name Surname]],Manpower!C:C,Manpower!D:D,)</f>
        <v>124233837</v>
      </c>
      <c r="G1257" s="48" t="str">
        <f>_xlfn.XLOOKUP(Table134526_79101120212223242526[[#This Row],[Name Surname]],Manpower!$C$4:$C$1048576,Manpower!$F$4:$F$1048576,"")</f>
        <v>Trailer Driver</v>
      </c>
      <c r="H1257" s="48" t="str">
        <f>_xlfn.XLOOKUP(Table134526_79101120212223242526[[#This Row],[Name Surname]],Manpower!$C$4:$C$1048576,Manpower!$H$4:$H$1048576,"")</f>
        <v>Sub Contactor</v>
      </c>
      <c r="I1257" s="42" t="str">
        <f>_xlfn.XLOOKUP(Table134526_79101120212223242526[[#This Row],[Name Surname]],Manpower!$C$4:$C$1048576,Manpower!$H$4:$H$1048576,"")</f>
        <v>Sub Contactor</v>
      </c>
      <c r="J1257" s="43" t="s">
        <v>143</v>
      </c>
      <c r="K1257" s="43" t="s">
        <v>26</v>
      </c>
      <c r="L1257" s="43" t="s">
        <v>144</v>
      </c>
      <c r="M1257" s="43" t="s">
        <v>24</v>
      </c>
      <c r="N1257" s="44">
        <v>8</v>
      </c>
      <c r="O1257" s="43" t="s">
        <v>40</v>
      </c>
      <c r="P1257" s="43" t="s">
        <v>42</v>
      </c>
      <c r="Q1257" s="43" t="s">
        <v>42</v>
      </c>
      <c r="R1257" s="43" t="s">
        <v>226</v>
      </c>
      <c r="S1257" s="43" t="s">
        <v>45</v>
      </c>
    </row>
    <row r="1258" spans="1:19" ht="14.4">
      <c r="A1258" s="33">
        <f>IF(C1258="","",MAX($A$1:A1257)+1)</f>
        <v>1199</v>
      </c>
      <c r="B1258" s="22" t="s">
        <v>19</v>
      </c>
      <c r="C1258" s="23">
        <v>46092</v>
      </c>
      <c r="D1258" s="28" t="str">
        <f>_xlfn.XLOOKUP(Table134526_79101120212223242526[[#This Row],[Name Surname]],Manpower!$C$4:$C$1048576,Manpower!$B$4:$B$1048576,"")</f>
        <v>Nass Group</v>
      </c>
      <c r="E1258" s="21" t="s">
        <v>148</v>
      </c>
      <c r="F1258" s="12" t="e">
        <f>_xlfn.XLOOKUP(Table134526_79101120212223242526[[#This Row],[Name Surname]],Manpower!C:C,Manpower!D:D,)</f>
        <v>#N/A</v>
      </c>
      <c r="G1258" s="28" t="str">
        <f>_xlfn.XLOOKUP(Table134526_79101120212223242526[[#This Row],[Name Surname]],Manpower!$C$4:$C$1048576,Manpower!$F$4:$F$1048576,"")</f>
        <v>70T-Telescopic crane</v>
      </c>
      <c r="H1258" s="28" t="str">
        <f>_xlfn.XLOOKUP(Table134526_79101120212223242526[[#This Row],[Name Surname]],Manpower!$C$4:$C$1048576,Manpower!$H$4:$H$1048576,"")</f>
        <v>Equipment</v>
      </c>
      <c r="I1258" s="24" t="str">
        <f>_xlfn.XLOOKUP(Table134526_79101120212223242526[[#This Row],[Name Surname]],Manpower!$C$4:$C$1048576,Manpower!$H$4:$H$1048576,"")</f>
        <v>Equipment</v>
      </c>
      <c r="J1258" s="21" t="s">
        <v>21</v>
      </c>
      <c r="K1258" s="21" t="s">
        <v>231</v>
      </c>
      <c r="L1258" s="21" t="s">
        <v>49</v>
      </c>
      <c r="M1258" s="21" t="s">
        <v>24</v>
      </c>
      <c r="N1258" s="29">
        <v>10</v>
      </c>
      <c r="O1258" s="21" t="s">
        <v>40</v>
      </c>
      <c r="P1258" s="21" t="s">
        <v>41</v>
      </c>
      <c r="Q1258" s="21" t="s">
        <v>42</v>
      </c>
      <c r="R1258" s="21" t="s">
        <v>273</v>
      </c>
    </row>
    <row r="1259" spans="1:19" s="45" customFormat="1" ht="14.4" hidden="1">
      <c r="A1259" s="25">
        <f>IF(C1259="","",MAX($A$1:A1258)+1)</f>
        <v>1200</v>
      </c>
      <c r="B1259" s="25" t="s">
        <v>19</v>
      </c>
      <c r="C1259" s="41">
        <v>46092</v>
      </c>
      <c r="D1259" s="48" t="str">
        <f>_xlfn.XLOOKUP(Table134526_79101120212223242526[[#This Row],[Name Surname]],Manpower!$C$4:$C$1048576,Manpower!$B$4:$B$1048576,"")</f>
        <v>Encogroup</v>
      </c>
      <c r="E1259" s="43" t="s">
        <v>27</v>
      </c>
      <c r="F1259" s="12">
        <f>_xlfn.XLOOKUP(Table134526_79101120212223242526[[#This Row],[Name Surname]],Manpower!C:C,Manpower!D:D,)</f>
        <v>127414586</v>
      </c>
      <c r="G1259" s="48" t="str">
        <f>_xlfn.XLOOKUP(Table134526_79101120212223242526[[#This Row],[Name Surname]],Manpower!$C$4:$C$1048576,Manpower!$F$4:$F$1048576,"")</f>
        <v>Electrician</v>
      </c>
      <c r="H1259" s="48" t="str">
        <f>_xlfn.XLOOKUP(Table134526_79101120212223242526[[#This Row],[Name Surname]],Manpower!$C$4:$C$1048576,Manpower!$H$4:$H$1048576,"")</f>
        <v>Manpower</v>
      </c>
      <c r="I1259" s="42" t="str">
        <f>_xlfn.XLOOKUP(Table134526_79101120212223242526[[#This Row],[Name Surname]],Manpower!$C$4:$C$1048576,Manpower!$H$4:$H$1048576,"")</f>
        <v>Manpower</v>
      </c>
      <c r="J1259" s="43" t="s">
        <v>21</v>
      </c>
      <c r="K1259" s="43" t="s">
        <v>231</v>
      </c>
      <c r="L1259" s="43" t="s">
        <v>49</v>
      </c>
      <c r="M1259" s="43" t="s">
        <v>24</v>
      </c>
      <c r="N1259" s="44">
        <v>5</v>
      </c>
      <c r="O1259" s="43" t="s">
        <v>25</v>
      </c>
      <c r="P1259" s="43" t="s">
        <v>41</v>
      </c>
      <c r="Q1259" s="43" t="s">
        <v>60</v>
      </c>
      <c r="R1259" s="43" t="s">
        <v>273</v>
      </c>
      <c r="S1259" s="43"/>
    </row>
    <row r="1260" spans="1:19" s="45" customFormat="1" ht="14.4" hidden="1">
      <c r="A1260" s="25">
        <f>IF(C1260="","",MAX($A$1:A1259)+1)</f>
        <v>1201</v>
      </c>
      <c r="B1260" s="25" t="s">
        <v>19</v>
      </c>
      <c r="C1260" s="41">
        <v>46092</v>
      </c>
      <c r="D1260" s="48" t="str">
        <f>_xlfn.XLOOKUP(Table134526_79101120212223242526[[#This Row],[Name Surname]],Manpower!$C$4:$C$1048576,Manpower!$B$4:$B$1048576,"")</f>
        <v>Encogroup</v>
      </c>
      <c r="E1260" s="43" t="s">
        <v>29</v>
      </c>
      <c r="F1260" s="12">
        <f>_xlfn.XLOOKUP(Table134526_79101120212223242526[[#This Row],[Name Surname]],Manpower!C:C,Manpower!D:D,)</f>
        <v>127331574</v>
      </c>
      <c r="G1260" s="48" t="str">
        <f>_xlfn.XLOOKUP(Table134526_79101120212223242526[[#This Row],[Name Surname]],Manpower!$C$4:$C$1048576,Manpower!$F$4:$F$1048576,"")</f>
        <v>Permit Receiver</v>
      </c>
      <c r="H1260" s="48" t="str">
        <f>_xlfn.XLOOKUP(Table134526_79101120212223242526[[#This Row],[Name Surname]],Manpower!$C$4:$C$1048576,Manpower!$H$4:$H$1048576,"")</f>
        <v>Manpower</v>
      </c>
      <c r="I1260" s="42" t="str">
        <f>_xlfn.XLOOKUP(Table134526_79101120212223242526[[#This Row],[Name Surname]],Manpower!$C$4:$C$1048576,Manpower!$H$4:$H$1048576,"")</f>
        <v>Manpower</v>
      </c>
      <c r="J1260" s="43" t="s">
        <v>21</v>
      </c>
      <c r="K1260" s="43" t="s">
        <v>231</v>
      </c>
      <c r="L1260" s="43" t="s">
        <v>49</v>
      </c>
      <c r="M1260" s="43" t="s">
        <v>24</v>
      </c>
      <c r="N1260" s="44">
        <v>8</v>
      </c>
      <c r="O1260" s="43" t="s">
        <v>25</v>
      </c>
      <c r="P1260" s="43" t="s">
        <v>41</v>
      </c>
      <c r="Q1260" s="43" t="s">
        <v>60</v>
      </c>
      <c r="R1260" s="43" t="s">
        <v>273</v>
      </c>
      <c r="S1260" s="43"/>
    </row>
    <row r="1261" spans="1:19" s="45" customFormat="1" ht="14.4" hidden="1">
      <c r="A1261" s="25">
        <f>IF(C1261="","",MAX($A$1:A1260)+1)</f>
        <v>1202</v>
      </c>
      <c r="B1261" s="25" t="s">
        <v>19</v>
      </c>
      <c r="C1261" s="41">
        <v>46092</v>
      </c>
      <c r="D1261" s="48" t="str">
        <f>_xlfn.XLOOKUP(Table134526_79101120212223242526[[#This Row],[Name Surname]],Manpower!$C$4:$C$1048576,Manpower!$B$4:$B$1048576,"")</f>
        <v>Encogroup</v>
      </c>
      <c r="E1261" s="43" t="s">
        <v>30</v>
      </c>
      <c r="F1261" s="12">
        <f>_xlfn.XLOOKUP(Table134526_79101120212223242526[[#This Row],[Name Surname]],Manpower!C:C,Manpower!D:D,)</f>
        <v>116589569</v>
      </c>
      <c r="G1261" s="48" t="str">
        <f>_xlfn.XLOOKUP(Table134526_79101120212223242526[[#This Row],[Name Surname]],Manpower!$C$4:$C$1048576,Manpower!$F$4:$F$1048576,"")</f>
        <v>Mechanical Engineer</v>
      </c>
      <c r="H1261" s="48" t="str">
        <f>_xlfn.XLOOKUP(Table134526_79101120212223242526[[#This Row],[Name Surname]],Manpower!$C$4:$C$1048576,Manpower!$H$4:$H$1048576,"")</f>
        <v>Manpower</v>
      </c>
      <c r="I1261" s="42" t="str">
        <f>_xlfn.XLOOKUP(Table134526_79101120212223242526[[#This Row],[Name Surname]],Manpower!$C$4:$C$1048576,Manpower!$H$4:$H$1048576,"")</f>
        <v>Manpower</v>
      </c>
      <c r="J1261" s="43" t="s">
        <v>21</v>
      </c>
      <c r="K1261" s="43" t="s">
        <v>231</v>
      </c>
      <c r="L1261" s="43" t="s">
        <v>49</v>
      </c>
      <c r="M1261" s="43" t="s">
        <v>24</v>
      </c>
      <c r="N1261" s="44">
        <v>10</v>
      </c>
      <c r="O1261" s="43" t="s">
        <v>25</v>
      </c>
      <c r="P1261" s="43" t="s">
        <v>41</v>
      </c>
      <c r="Q1261" s="43" t="s">
        <v>60</v>
      </c>
      <c r="R1261" s="43" t="s">
        <v>273</v>
      </c>
      <c r="S1261" s="43" t="s">
        <v>274</v>
      </c>
    </row>
    <row r="1262" spans="1:19" ht="14.4" hidden="1">
      <c r="A1262" s="33">
        <f>IF(C1262="","",MAX($A$1:A1261)+1)</f>
        <v>1203</v>
      </c>
      <c r="B1262" s="22" t="s">
        <v>19</v>
      </c>
      <c r="C1262" s="23">
        <v>46092</v>
      </c>
      <c r="D1262" s="28" t="str">
        <f>_xlfn.XLOOKUP(Table134526_79101120212223242526[[#This Row],[Name Surname]],Manpower!$C$4:$C$1048576,Manpower!$B$4:$B$1048576,"")</f>
        <v>Encogroup</v>
      </c>
      <c r="E1262" s="21" t="s">
        <v>31</v>
      </c>
      <c r="F1262" s="12">
        <f>_xlfn.XLOOKUP(Table134526_79101120212223242526[[#This Row],[Name Surname]],Manpower!C:C,Manpower!D:D,)</f>
        <v>99596058</v>
      </c>
      <c r="G1262" s="28" t="str">
        <f>_xlfn.XLOOKUP(Table134526_79101120212223242526[[#This Row],[Name Surname]],Manpower!$C$4:$C$1048576,Manpower!$F$4:$F$1048576,"")</f>
        <v>HSE Officer</v>
      </c>
      <c r="H1262" s="28" t="str">
        <f>_xlfn.XLOOKUP(Table134526_79101120212223242526[[#This Row],[Name Surname]],Manpower!$C$4:$C$1048576,Manpower!$H$4:$H$1048576,"")</f>
        <v>Manpower</v>
      </c>
      <c r="I1262" s="24" t="str">
        <f>_xlfn.XLOOKUP(Table134526_79101120212223242526[[#This Row],[Name Surname]],Manpower!$C$4:$C$1048576,Manpower!$H$4:$H$1048576,"")</f>
        <v>Manpower</v>
      </c>
      <c r="J1262" s="21" t="s">
        <v>21</v>
      </c>
      <c r="K1262" s="21" t="s">
        <v>231</v>
      </c>
      <c r="L1262" s="21" t="s">
        <v>49</v>
      </c>
      <c r="M1262" s="21" t="s">
        <v>24</v>
      </c>
      <c r="N1262" s="29">
        <v>10</v>
      </c>
      <c r="O1262" s="21" t="s">
        <v>25</v>
      </c>
      <c r="P1262" s="21" t="s">
        <v>41</v>
      </c>
      <c r="Q1262" s="21" t="s">
        <v>60</v>
      </c>
      <c r="R1262" s="21" t="s">
        <v>273</v>
      </c>
    </row>
    <row r="1263" spans="1:19" s="45" customFormat="1" ht="14.4" hidden="1">
      <c r="A1263" s="25">
        <f>IF(C1263="","",MAX($A$1:A1262)+1)</f>
        <v>1204</v>
      </c>
      <c r="B1263" s="25" t="s">
        <v>19</v>
      </c>
      <c r="C1263" s="41">
        <v>46092</v>
      </c>
      <c r="D1263" s="48" t="str">
        <f>_xlfn.XLOOKUP(Table134526_79101120212223242526[[#This Row],[Name Surname]],Manpower!$C$4:$C$1048576,Manpower!$B$4:$B$1048576,"")</f>
        <v>Encogroup</v>
      </c>
      <c r="E1263" s="43" t="s">
        <v>72</v>
      </c>
      <c r="F1263" s="12">
        <f>_xlfn.XLOOKUP(Table134526_79101120212223242526[[#This Row],[Name Surname]],Manpower!C:C,Manpower!D:D,)</f>
        <v>140764706</v>
      </c>
      <c r="G1263" s="48" t="str">
        <f>_xlfn.XLOOKUP(Table134526_79101120212223242526[[#This Row],[Name Surname]],Manpower!$C$4:$C$1048576,Manpower!$F$4:$F$1048576,"")</f>
        <v>Rigger</v>
      </c>
      <c r="H1263" s="48" t="str">
        <f>_xlfn.XLOOKUP(Table134526_79101120212223242526[[#This Row],[Name Surname]],Manpower!$C$4:$C$1048576,Manpower!$H$4:$H$1048576,"")</f>
        <v>Manpower</v>
      </c>
      <c r="I1263" s="42" t="str">
        <f>_xlfn.XLOOKUP(Table134526_79101120212223242526[[#This Row],[Name Surname]],Manpower!$C$4:$C$1048576,Manpower!$H$4:$H$1048576,"")</f>
        <v>Manpower</v>
      </c>
      <c r="J1263" s="43" t="s">
        <v>21</v>
      </c>
      <c r="K1263" s="43" t="s">
        <v>231</v>
      </c>
      <c r="L1263" s="43" t="s">
        <v>49</v>
      </c>
      <c r="M1263" s="43" t="s">
        <v>24</v>
      </c>
      <c r="N1263" s="44">
        <v>10</v>
      </c>
      <c r="O1263" s="43" t="s">
        <v>25</v>
      </c>
      <c r="P1263" s="43" t="s">
        <v>41</v>
      </c>
      <c r="Q1263" s="43" t="s">
        <v>60</v>
      </c>
      <c r="R1263" s="43" t="s">
        <v>273</v>
      </c>
      <c r="S1263" s="43" t="s">
        <v>274</v>
      </c>
    </row>
    <row r="1264" spans="1:19" s="45" customFormat="1" ht="14.4" hidden="1">
      <c r="A1264" s="25">
        <f>IF(C1264="","",MAX($A$1:A1263)+1)</f>
        <v>1205</v>
      </c>
      <c r="B1264" s="25" t="s">
        <v>19</v>
      </c>
      <c r="C1264" s="41">
        <v>46092</v>
      </c>
      <c r="D1264" s="48" t="str">
        <f>_xlfn.XLOOKUP(Table134526_79101120212223242526[[#This Row],[Name Surname]],Manpower!$C$4:$C$1048576,Manpower!$B$4:$B$1048576,"")</f>
        <v>Encogroup</v>
      </c>
      <c r="E1264" s="43" t="s">
        <v>59</v>
      </c>
      <c r="F1264" s="12">
        <f>_xlfn.XLOOKUP(Table134526_79101120212223242526[[#This Row],[Name Surname]],Manpower!C:C,Manpower!D:D,)</f>
        <v>141169085</v>
      </c>
      <c r="G1264" s="48" t="str">
        <f>_xlfn.XLOOKUP(Table134526_79101120212223242526[[#This Row],[Name Surname]],Manpower!$C$4:$C$1048576,Manpower!$F$4:$F$1048576,"")</f>
        <v>Welder</v>
      </c>
      <c r="H1264" s="48" t="str">
        <f>_xlfn.XLOOKUP(Table134526_79101120212223242526[[#This Row],[Name Surname]],Manpower!$C$4:$C$1048576,Manpower!$H$4:$H$1048576,"")</f>
        <v>Manpower</v>
      </c>
      <c r="I1264" s="42" t="str">
        <f>_xlfn.XLOOKUP(Table134526_79101120212223242526[[#This Row],[Name Surname]],Manpower!$C$4:$C$1048576,Manpower!$H$4:$H$1048576,"")</f>
        <v>Manpower</v>
      </c>
      <c r="J1264" s="43" t="s">
        <v>21</v>
      </c>
      <c r="K1264" s="43" t="s">
        <v>231</v>
      </c>
      <c r="L1264" s="43" t="s">
        <v>49</v>
      </c>
      <c r="M1264" s="43" t="s">
        <v>24</v>
      </c>
      <c r="N1264" s="44">
        <v>5</v>
      </c>
      <c r="O1264" s="43" t="s">
        <v>25</v>
      </c>
      <c r="P1264" s="43" t="s">
        <v>41</v>
      </c>
      <c r="Q1264" s="43" t="s">
        <v>60</v>
      </c>
      <c r="R1264" s="43" t="s">
        <v>273</v>
      </c>
      <c r="S1264" s="43"/>
    </row>
    <row r="1265" spans="1:19" s="45" customFormat="1" ht="14.4" hidden="1">
      <c r="A1265" s="25">
        <f>IF(C1265="","",MAX($A$1:A1264)+1)</f>
        <v>1206</v>
      </c>
      <c r="B1265" s="25" t="s">
        <v>19</v>
      </c>
      <c r="C1265" s="41">
        <v>46092</v>
      </c>
      <c r="D1265" s="48" t="str">
        <f>_xlfn.XLOOKUP(Table134526_79101120212223242526[[#This Row],[Name Surname]],Manpower!$C$4:$C$1048576,Manpower!$B$4:$B$1048576,"")</f>
        <v>Encogroup</v>
      </c>
      <c r="E1265" s="43" t="s">
        <v>61</v>
      </c>
      <c r="F1265" s="12">
        <f>_xlfn.XLOOKUP(Table134526_79101120212223242526[[#This Row],[Name Surname]],Manpower!C:C,Manpower!D:D,)</f>
        <v>141169047</v>
      </c>
      <c r="G1265" s="48" t="str">
        <f>_xlfn.XLOOKUP(Table134526_79101120212223242526[[#This Row],[Name Surname]],Manpower!$C$4:$C$1048576,Manpower!$F$4:$F$1048576,"")</f>
        <v>Welder</v>
      </c>
      <c r="H1265" s="48" t="str">
        <f>_xlfn.XLOOKUP(Table134526_79101120212223242526[[#This Row],[Name Surname]],Manpower!$C$4:$C$1048576,Manpower!$H$4:$H$1048576,"")</f>
        <v>Manpower</v>
      </c>
      <c r="I1265" s="42" t="str">
        <f>_xlfn.XLOOKUP(Table134526_79101120212223242526[[#This Row],[Name Surname]],Manpower!$C$4:$C$1048576,Manpower!$H$4:$H$1048576,"")</f>
        <v>Manpower</v>
      </c>
      <c r="J1265" s="43" t="s">
        <v>21</v>
      </c>
      <c r="K1265" s="43" t="s">
        <v>231</v>
      </c>
      <c r="L1265" s="43" t="s">
        <v>49</v>
      </c>
      <c r="M1265" s="43" t="s">
        <v>24</v>
      </c>
      <c r="N1265" s="44">
        <v>5</v>
      </c>
      <c r="O1265" s="43" t="s">
        <v>25</v>
      </c>
      <c r="P1265" s="43" t="s">
        <v>41</v>
      </c>
      <c r="Q1265" s="43" t="s">
        <v>60</v>
      </c>
      <c r="R1265" s="43" t="s">
        <v>273</v>
      </c>
      <c r="S1265" s="43"/>
    </row>
    <row r="1266" spans="1:19" s="45" customFormat="1" ht="14.4" hidden="1">
      <c r="A1266" s="25">
        <f>IF(C1266="","",MAX($A$1:A1265)+1)</f>
        <v>1207</v>
      </c>
      <c r="B1266" s="25" t="s">
        <v>19</v>
      </c>
      <c r="C1266" s="41">
        <v>46092</v>
      </c>
      <c r="D1266" s="48" t="str">
        <f>_xlfn.XLOOKUP(Table134526_79101120212223242526[[#This Row],[Name Surname]],Manpower!$C$4:$C$1048576,Manpower!$B$4:$B$1048576,"")</f>
        <v>Encogroup</v>
      </c>
      <c r="E1266" s="43" t="s">
        <v>32</v>
      </c>
      <c r="F1266" s="12">
        <f>_xlfn.XLOOKUP(Table134526_79101120212223242526[[#This Row],[Name Surname]],Manpower!C:C,Manpower!D:D,)</f>
        <v>140697039</v>
      </c>
      <c r="G1266" s="48" t="str">
        <f>_xlfn.XLOOKUP(Table134526_79101120212223242526[[#This Row],[Name Surname]],Manpower!$C$4:$C$1048576,Manpower!$F$4:$F$1048576,"")</f>
        <v>Fitter/Erector</v>
      </c>
      <c r="H1266" s="48" t="str">
        <f>_xlfn.XLOOKUP(Table134526_79101120212223242526[[#This Row],[Name Surname]],Manpower!$C$4:$C$1048576,Manpower!$H$4:$H$1048576,"")</f>
        <v>Manpower</v>
      </c>
      <c r="I1266" s="42" t="str">
        <f>_xlfn.XLOOKUP(Table134526_79101120212223242526[[#This Row],[Name Surname]],Manpower!$C$4:$C$1048576,Manpower!$H$4:$H$1048576,"")</f>
        <v>Manpower</v>
      </c>
      <c r="J1266" s="43" t="s">
        <v>21</v>
      </c>
      <c r="K1266" s="43" t="s">
        <v>231</v>
      </c>
      <c r="L1266" s="43" t="s">
        <v>49</v>
      </c>
      <c r="M1266" s="43" t="s">
        <v>24</v>
      </c>
      <c r="N1266" s="44">
        <v>10</v>
      </c>
      <c r="O1266" s="43" t="s">
        <v>25</v>
      </c>
      <c r="P1266" s="43" t="s">
        <v>41</v>
      </c>
      <c r="Q1266" s="43" t="s">
        <v>60</v>
      </c>
      <c r="R1266" s="43" t="s">
        <v>273</v>
      </c>
      <c r="S1266" s="43"/>
    </row>
    <row r="1267" spans="1:19" s="45" customFormat="1" ht="14.4" hidden="1">
      <c r="A1267" s="25">
        <f>IF(C1267="","",MAX($A$1:A1266)+1)</f>
        <v>1208</v>
      </c>
      <c r="B1267" s="25" t="s">
        <v>19</v>
      </c>
      <c r="C1267" s="41">
        <v>46092</v>
      </c>
      <c r="D1267" s="48" t="str">
        <f>_xlfn.XLOOKUP(Table134526_79101120212223242526[[#This Row],[Name Surname]],Manpower!$C$4:$C$1048576,Manpower!$B$4:$B$1048576,"")</f>
        <v>AL Omar International TRAD AND CONT</v>
      </c>
      <c r="E1267" s="43" t="s">
        <v>36</v>
      </c>
      <c r="F1267" s="12">
        <f>_xlfn.XLOOKUP(Table134526_79101120212223242526[[#This Row],[Name Surname]],Manpower!C:C,Manpower!D:D,)</f>
        <v>114929202</v>
      </c>
      <c r="G1267" s="48" t="str">
        <f>_xlfn.XLOOKUP(Table134526_79101120212223242526[[#This Row],[Name Surname]],Manpower!$C$4:$C$1048576,Manpower!$F$4:$F$1048576,"")</f>
        <v>RIgger</v>
      </c>
      <c r="H1267" s="48" t="str">
        <f>_xlfn.XLOOKUP(Table134526_79101120212223242526[[#This Row],[Name Surname]],Manpower!$C$4:$C$1048576,Manpower!$H$4:$H$1048576,"")</f>
        <v>Sub Contactor</v>
      </c>
      <c r="I1267" s="42" t="str">
        <f>_xlfn.XLOOKUP(Table134526_79101120212223242526[[#This Row],[Name Surname]],Manpower!$C$4:$C$1048576,Manpower!$H$4:$H$1048576,"")</f>
        <v>Sub Contactor</v>
      </c>
      <c r="J1267" s="43" t="s">
        <v>21</v>
      </c>
      <c r="K1267" s="43" t="s">
        <v>231</v>
      </c>
      <c r="L1267" s="43" t="s">
        <v>49</v>
      </c>
      <c r="M1267" s="43" t="s">
        <v>24</v>
      </c>
      <c r="N1267" s="44">
        <v>8</v>
      </c>
      <c r="O1267" s="43" t="s">
        <v>25</v>
      </c>
      <c r="P1267" s="43" t="s">
        <v>41</v>
      </c>
      <c r="Q1267" s="43" t="s">
        <v>60</v>
      </c>
      <c r="R1267" s="43" t="s">
        <v>273</v>
      </c>
      <c r="S1267" s="43"/>
    </row>
    <row r="1268" spans="1:19" s="45" customFormat="1" ht="14.4" hidden="1">
      <c r="A1268" s="25">
        <f>IF(C1268="","",MAX($A$1:A1267)+1)</f>
        <v>1209</v>
      </c>
      <c r="B1268" s="25" t="s">
        <v>19</v>
      </c>
      <c r="C1268" s="41">
        <v>46092</v>
      </c>
      <c r="D1268" s="48" t="str">
        <f>_xlfn.XLOOKUP(Table134526_79101120212223242526[[#This Row],[Name Surname]],Manpower!$C$4:$C$1048576,Manpower!$B$4:$B$1048576,"")</f>
        <v>SARENS NASS</v>
      </c>
      <c r="E1268" s="43" t="s">
        <v>266</v>
      </c>
      <c r="F1268" s="12">
        <f>_xlfn.XLOOKUP(Table134526_79101120212223242526[[#This Row],[Name Surname]],Manpower!C:C,Manpower!D:D,)</f>
        <v>14552941</v>
      </c>
      <c r="G1268" s="48" t="str">
        <f>_xlfn.XLOOKUP(Table134526_79101120212223242526[[#This Row],[Name Surname]],Manpower!$C$4:$C$1048576,Manpower!$F$4:$F$1048576,"")</f>
        <v>Crane Operator- 70T Hitachi Crawler crane</v>
      </c>
      <c r="H1268" s="48" t="str">
        <f>_xlfn.XLOOKUP(Table134526_79101120212223242526[[#This Row],[Name Surname]],Manpower!$C$4:$C$1048576,Manpower!$H$4:$H$1048576,"")</f>
        <v>Manpower</v>
      </c>
      <c r="I1268" s="42" t="str">
        <f>_xlfn.XLOOKUP(Table134526_79101120212223242526[[#This Row],[Name Surname]],Manpower!$C$4:$C$1048576,Manpower!$H$4:$H$1048576,"")</f>
        <v>Manpower</v>
      </c>
      <c r="J1268" s="43" t="s">
        <v>21</v>
      </c>
      <c r="K1268" s="43" t="s">
        <v>231</v>
      </c>
      <c r="L1268" s="43" t="s">
        <v>49</v>
      </c>
      <c r="M1268" s="43" t="s">
        <v>24</v>
      </c>
      <c r="N1268" s="44">
        <v>8</v>
      </c>
      <c r="O1268" s="43" t="s">
        <v>40</v>
      </c>
      <c r="P1268" s="43" t="s">
        <v>41</v>
      </c>
      <c r="Q1268" s="43" t="s">
        <v>42</v>
      </c>
      <c r="R1268" s="43" t="s">
        <v>273</v>
      </c>
      <c r="S1268" s="43"/>
    </row>
    <row r="1269" spans="1:19" s="45" customFormat="1" ht="14.4" hidden="1">
      <c r="A1269" s="25">
        <f>IF(C1269="","",MAX($A$1:A1268)+1)</f>
        <v>1210</v>
      </c>
      <c r="B1269" s="25" t="s">
        <v>19</v>
      </c>
      <c r="C1269" s="41">
        <v>46092</v>
      </c>
      <c r="D1269" s="48" t="str">
        <f>_xlfn.XLOOKUP(Table134526_79101120212223242526[[#This Row],[Name Surname]],Manpower!$C$4:$C$1048576,Manpower!$B$4:$B$1048576,"")</f>
        <v>Al Jaber Heavy Lift</v>
      </c>
      <c r="E1269" s="43" t="s">
        <v>164</v>
      </c>
      <c r="F1269" s="12">
        <f>_xlfn.XLOOKUP(Table134526_79101120212223242526[[#This Row],[Name Surname]],Manpower!C:C,Manpower!D:D,)</f>
        <v>112778626</v>
      </c>
      <c r="G1269" s="48" t="str">
        <f>_xlfn.XLOOKUP(Table134526_79101120212223242526[[#This Row],[Name Surname]],Manpower!$C$4:$C$1048576,Manpower!$F$4:$F$1048576,"")</f>
        <v>Crane Operator-150T Hitachi Crawler</v>
      </c>
      <c r="H1269" s="48" t="str">
        <f>_xlfn.XLOOKUP(Table134526_79101120212223242526[[#This Row],[Name Surname]],Manpower!$C$4:$C$1048576,Manpower!$H$4:$H$1048576,"")</f>
        <v>Manpower</v>
      </c>
      <c r="I1269" s="42" t="str">
        <f>_xlfn.XLOOKUP(Table134526_79101120212223242526[[#This Row],[Name Surname]],Manpower!$C$4:$C$1048576,Manpower!$H$4:$H$1048576,"")</f>
        <v>Manpower</v>
      </c>
      <c r="J1269" s="43" t="s">
        <v>21</v>
      </c>
      <c r="K1269" s="43" t="s">
        <v>231</v>
      </c>
      <c r="L1269" s="43" t="s">
        <v>49</v>
      </c>
      <c r="M1269" s="43" t="s">
        <v>24</v>
      </c>
      <c r="N1269" s="44">
        <v>8</v>
      </c>
      <c r="O1269" s="43" t="s">
        <v>40</v>
      </c>
      <c r="P1269" s="43" t="s">
        <v>41</v>
      </c>
      <c r="Q1269" s="43" t="s">
        <v>42</v>
      </c>
      <c r="R1269" s="43" t="s">
        <v>273</v>
      </c>
      <c r="S1269" s="43"/>
    </row>
    <row r="1270" spans="1:19" s="45" customFormat="1" ht="14.4" hidden="1">
      <c r="A1270" s="25">
        <f>IF(C1270="","",MAX($A$1:A1268)+1)</f>
        <v>1210</v>
      </c>
      <c r="B1270" s="25" t="s">
        <v>19</v>
      </c>
      <c r="C1270" s="41">
        <v>46092</v>
      </c>
      <c r="D1270" s="48" t="str">
        <f>_xlfn.XLOOKUP(Table134526_79101120212223242526[[#This Row],[Name Surname]],Manpower!$C$4:$C$1048576,Manpower!$B$4:$B$1048576,"")</f>
        <v>Encogroup</v>
      </c>
      <c r="E1270" s="43" t="s">
        <v>37</v>
      </c>
      <c r="F1270" s="12">
        <f>_xlfn.XLOOKUP(Table134526_79101120212223242526[[#This Row],[Name Surname]],Manpower!C:C,Manpower!D:D,)</f>
        <v>140742088</v>
      </c>
      <c r="G1270" s="48" t="str">
        <f>_xlfn.XLOOKUP(Table134526_79101120212223242526[[#This Row],[Name Surname]],Manpower!$C$4:$C$1048576,Manpower!$F$4:$F$1048576,"")</f>
        <v>Fitter/Erector</v>
      </c>
      <c r="H1270" s="48" t="str">
        <f>_xlfn.XLOOKUP(Table134526_79101120212223242526[[#This Row],[Name Surname]],Manpower!$C$4:$C$1048576,Manpower!$H$4:$H$1048576,"")</f>
        <v>Manpower</v>
      </c>
      <c r="I1270" s="42" t="str">
        <f>_xlfn.XLOOKUP(Table134526_79101120212223242526[[#This Row],[Name Surname]],Manpower!$C$4:$C$1048576,Manpower!$H$4:$H$1048576,"")</f>
        <v>Manpower</v>
      </c>
      <c r="J1270" s="43" t="s">
        <v>21</v>
      </c>
      <c r="K1270" s="43" t="s">
        <v>231</v>
      </c>
      <c r="L1270" s="43" t="s">
        <v>49</v>
      </c>
      <c r="M1270" s="43" t="s">
        <v>24</v>
      </c>
      <c r="N1270" s="44">
        <v>10</v>
      </c>
      <c r="O1270" s="43" t="s">
        <v>25</v>
      </c>
      <c r="P1270" s="43" t="s">
        <v>41</v>
      </c>
      <c r="Q1270" s="43" t="s">
        <v>60</v>
      </c>
      <c r="R1270" s="43" t="s">
        <v>273</v>
      </c>
      <c r="S1270" s="43"/>
    </row>
    <row r="1271" spans="1:19" s="45" customFormat="1" ht="14.4" hidden="1">
      <c r="A1271" s="25">
        <f>IF(C1271="","",MAX($A$1:A1270)+1)</f>
        <v>1211</v>
      </c>
      <c r="B1271" s="25" t="s">
        <v>19</v>
      </c>
      <c r="C1271" s="41">
        <v>46092</v>
      </c>
      <c r="D1271" s="48" t="str">
        <f>_xlfn.XLOOKUP(Table134526_79101120212223242526[[#This Row],[Name Surname]],Manpower!$C$4:$C$1048576,Manpower!$B$4:$B$1048576,"")</f>
        <v>Al Jaber Heavy Lift</v>
      </c>
      <c r="E1271" s="43" t="s">
        <v>275</v>
      </c>
      <c r="F1271" s="12">
        <f>_xlfn.XLOOKUP(Table134526_79101120212223242526[[#This Row],[Name Surname]],Manpower!C:C,Manpower!D:D,)</f>
        <v>116448869</v>
      </c>
      <c r="G1271" s="48" t="str">
        <f>_xlfn.XLOOKUP(Table134526_79101120212223242526[[#This Row],[Name Surname]],Manpower!$C$4:$C$1048576,Manpower!$F$4:$F$1048576,"")</f>
        <v xml:space="preserve">Crane Operator </v>
      </c>
      <c r="H1271" s="48" t="str">
        <f>_xlfn.XLOOKUP(Table134526_79101120212223242526[[#This Row],[Name Surname]],Manpower!$C$4:$C$1048576,Manpower!$H$4:$H$1048576,"")</f>
        <v>Manpower</v>
      </c>
      <c r="I1271" s="42" t="str">
        <f>_xlfn.XLOOKUP(Table134526_79101120212223242526[[#This Row],[Name Surname]],Manpower!$C$4:$C$1048576,Manpower!$H$4:$H$1048576,"")</f>
        <v>Manpower</v>
      </c>
      <c r="J1271" s="43" t="s">
        <v>21</v>
      </c>
      <c r="K1271" s="43" t="s">
        <v>231</v>
      </c>
      <c r="L1271" s="43" t="s">
        <v>49</v>
      </c>
      <c r="M1271" s="43" t="s">
        <v>24</v>
      </c>
      <c r="N1271" s="44">
        <v>10</v>
      </c>
      <c r="O1271" s="43" t="s">
        <v>40</v>
      </c>
      <c r="P1271" s="43" t="s">
        <v>41</v>
      </c>
      <c r="Q1271" s="43" t="s">
        <v>42</v>
      </c>
      <c r="R1271" s="43" t="s">
        <v>273</v>
      </c>
      <c r="S1271" s="43"/>
    </row>
    <row r="1272" spans="1:19" s="45" customFormat="1" ht="14.4" hidden="1">
      <c r="A1272" s="25">
        <f>IF(C1272="","",MAX($A$1:A1270)+1)</f>
        <v>1211</v>
      </c>
      <c r="B1272" s="25" t="s">
        <v>19</v>
      </c>
      <c r="C1272" s="41">
        <v>46092</v>
      </c>
      <c r="D1272" s="48" t="str">
        <f>_xlfn.XLOOKUP(Table134526_79101120212223242526[[#This Row],[Name Surname]],Manpower!$C$4:$C$1048576,Manpower!$B$4:$B$1048576,"")</f>
        <v>Bright Light</v>
      </c>
      <c r="E1272" s="43" t="s">
        <v>165</v>
      </c>
      <c r="F1272" s="12">
        <f>_xlfn.XLOOKUP(Table134526_79101120212223242526[[#This Row],[Name Surname]],Manpower!C:C,Manpower!D:D,)</f>
        <v>122771611</v>
      </c>
      <c r="G1272" s="48" t="str">
        <f>_xlfn.XLOOKUP(Table134526_79101120212223242526[[#This Row],[Name Surname]],Manpower!$C$4:$C$1048576,Manpower!$F$4:$F$1048576,"")</f>
        <v>Mechanic</v>
      </c>
      <c r="H1272" s="48" t="str">
        <f>_xlfn.XLOOKUP(Table134526_79101120212223242526[[#This Row],[Name Surname]],Manpower!$C$4:$C$1048576,Manpower!$H$4:$H$1048576,"")</f>
        <v>Sub Contactor</v>
      </c>
      <c r="I1272" s="42" t="str">
        <f>_xlfn.XLOOKUP(Table134526_79101120212223242526[[#This Row],[Name Surname]],Manpower!$C$4:$C$1048576,Manpower!$H$4:$H$1048576,"")</f>
        <v>Sub Contactor</v>
      </c>
      <c r="J1272" s="43" t="s">
        <v>21</v>
      </c>
      <c r="K1272" s="43" t="s">
        <v>231</v>
      </c>
      <c r="L1272" s="43" t="s">
        <v>49</v>
      </c>
      <c r="M1272" s="43" t="s">
        <v>24</v>
      </c>
      <c r="N1272" s="44">
        <v>10</v>
      </c>
      <c r="O1272" s="43" t="s">
        <v>40</v>
      </c>
      <c r="P1272" s="43" t="s">
        <v>41</v>
      </c>
      <c r="Q1272" s="43" t="s">
        <v>42</v>
      </c>
      <c r="R1272" s="43" t="s">
        <v>273</v>
      </c>
      <c r="S1272" s="43"/>
    </row>
    <row r="1273" spans="1:19" s="45" customFormat="1" ht="14.4" hidden="1">
      <c r="A1273" s="25">
        <f>IF(C1273="","",MAX($A$1:A1272)+1)</f>
        <v>1212</v>
      </c>
      <c r="B1273" s="25" t="s">
        <v>19</v>
      </c>
      <c r="C1273" s="41">
        <v>46092</v>
      </c>
      <c r="D1273" s="48" t="str">
        <f>_xlfn.XLOOKUP(Table134526_79101120212223242526[[#This Row],[Name Surname]],Manpower!$C$4:$C$1048576,Manpower!$B$4:$B$1048576,"")</f>
        <v>Bright Light</v>
      </c>
      <c r="E1273" s="43" t="s">
        <v>263</v>
      </c>
      <c r="F1273" s="12">
        <f>_xlfn.XLOOKUP(Table134526_79101120212223242526[[#This Row],[Name Surname]],Manpower!C:C,Manpower!D:D,)</f>
        <v>125287583</v>
      </c>
      <c r="G1273" s="48" t="str">
        <f>_xlfn.XLOOKUP(Table134526_79101120212223242526[[#This Row],[Name Surname]],Manpower!$C$4:$C$1048576,Manpower!$F$4:$F$1048576,"")</f>
        <v>Mechanic</v>
      </c>
      <c r="H1273" s="48" t="str">
        <f>_xlfn.XLOOKUP(Table134526_79101120212223242526[[#This Row],[Name Surname]],Manpower!$C$4:$C$1048576,Manpower!$H$4:$H$1048576,"")</f>
        <v>Sub Contactor</v>
      </c>
      <c r="I1273" s="42" t="str">
        <f>_xlfn.XLOOKUP(Table134526_79101120212223242526[[#This Row],[Name Surname]],Manpower!$C$4:$C$1048576,Manpower!$H$4:$H$1048576,"")</f>
        <v>Sub Contactor</v>
      </c>
      <c r="J1273" s="43" t="s">
        <v>21</v>
      </c>
      <c r="K1273" s="43" t="s">
        <v>231</v>
      </c>
      <c r="L1273" s="43" t="s">
        <v>49</v>
      </c>
      <c r="M1273" s="43" t="s">
        <v>24</v>
      </c>
      <c r="N1273" s="44">
        <v>10</v>
      </c>
      <c r="O1273" s="43" t="s">
        <v>40</v>
      </c>
      <c r="P1273" s="43" t="s">
        <v>41</v>
      </c>
      <c r="Q1273" s="43" t="s">
        <v>42</v>
      </c>
      <c r="R1273" s="43" t="s">
        <v>273</v>
      </c>
      <c r="S1273" s="43"/>
    </row>
    <row r="1274" spans="1:19" s="45" customFormat="1" ht="14.4" hidden="1">
      <c r="A1274" s="25">
        <f>IF(C1274="","",MAX($A$1:A1273)+1)</f>
        <v>1213</v>
      </c>
      <c r="B1274" s="25" t="s">
        <v>19</v>
      </c>
      <c r="C1274" s="41">
        <v>46092</v>
      </c>
      <c r="D1274" s="48" t="str">
        <f>_xlfn.XLOOKUP(Table134526_79101120212223242526[[#This Row],[Name Surname]],Manpower!$C$4:$C$1048576,Manpower!$B$4:$B$1048576,"")</f>
        <v>Al Jaber Heavy Lift</v>
      </c>
      <c r="E1274" s="43" t="s">
        <v>276</v>
      </c>
      <c r="F1274" s="12" t="str">
        <f>_xlfn.XLOOKUP(Table134526_79101120212223242526[[#This Row],[Name Surname]],Manpower!C:C,Manpower!D:D,)</f>
        <v>102607563</v>
      </c>
      <c r="G1274" s="48" t="str">
        <f>_xlfn.XLOOKUP(Table134526_79101120212223242526[[#This Row],[Name Surname]],Manpower!$C$4:$C$1048576,Manpower!$F$4:$F$1048576,"")</f>
        <v>Technician</v>
      </c>
      <c r="H1274" s="48" t="str">
        <f>_xlfn.XLOOKUP(Table134526_79101120212223242526[[#This Row],[Name Surname]],Manpower!$C$4:$C$1048576,Manpower!$H$4:$H$1048576,"")</f>
        <v>Manpower</v>
      </c>
      <c r="I1274" s="42" t="str">
        <f>_xlfn.XLOOKUP(Table134526_79101120212223242526[[#This Row],[Name Surname]],Manpower!$C$4:$C$1048576,Manpower!$H$4:$H$1048576,"")</f>
        <v>Manpower</v>
      </c>
      <c r="J1274" s="43" t="s">
        <v>21</v>
      </c>
      <c r="K1274" s="43" t="s">
        <v>231</v>
      </c>
      <c r="L1274" s="43" t="s">
        <v>49</v>
      </c>
      <c r="M1274" s="43" t="s">
        <v>24</v>
      </c>
      <c r="N1274" s="44">
        <v>10</v>
      </c>
      <c r="O1274" s="43" t="s">
        <v>40</v>
      </c>
      <c r="P1274" s="43" t="s">
        <v>41</v>
      </c>
      <c r="Q1274" s="43" t="s">
        <v>42</v>
      </c>
      <c r="R1274" s="43" t="s">
        <v>273</v>
      </c>
      <c r="S1274" s="43"/>
    </row>
    <row r="1275" spans="1:19" s="45" customFormat="1" ht="14.4" hidden="1">
      <c r="A1275" s="25">
        <f>IF(C1275="","",MAX($A$1:A1270)+1)</f>
        <v>1211</v>
      </c>
      <c r="B1275" s="25" t="s">
        <v>19</v>
      </c>
      <c r="C1275" s="41">
        <v>46092</v>
      </c>
      <c r="D1275" s="48" t="str">
        <f>_xlfn.XLOOKUP(Table134526_79101120212223242526[[#This Row],[Name Surname]],Manpower!$C$4:$C$1048576,Manpower!$B$4:$B$1048576,"")</f>
        <v>Encogroup</v>
      </c>
      <c r="E1275" s="43" t="s">
        <v>44</v>
      </c>
      <c r="F1275" s="12">
        <f>_xlfn.XLOOKUP(Table134526_79101120212223242526[[#This Row],[Name Surname]],Manpower!C:C,Manpower!D:D,)</f>
        <v>140806218</v>
      </c>
      <c r="G1275" s="48" t="str">
        <f>_xlfn.XLOOKUP(Table134526_79101120212223242526[[#This Row],[Name Surname]],Manpower!$C$4:$C$1048576,Manpower!$F$4:$F$1048576,"")</f>
        <v>Fitter/Erector</v>
      </c>
      <c r="H1275" s="48" t="str">
        <f>_xlfn.XLOOKUP(Table134526_79101120212223242526[[#This Row],[Name Surname]],Manpower!$C$4:$C$1048576,Manpower!$H$4:$H$1048576,"")</f>
        <v>Manpower</v>
      </c>
      <c r="I1275" s="42" t="str">
        <f>_xlfn.XLOOKUP(Table134526_79101120212223242526[[#This Row],[Name Surname]],Manpower!$C$4:$C$1048576,Manpower!$H$4:$H$1048576,"")</f>
        <v>Manpower</v>
      </c>
      <c r="J1275" s="43" t="s">
        <v>21</v>
      </c>
      <c r="K1275" s="43" t="s">
        <v>231</v>
      </c>
      <c r="L1275" s="43" t="s">
        <v>49</v>
      </c>
      <c r="M1275" s="43" t="s">
        <v>24</v>
      </c>
      <c r="N1275" s="44">
        <v>10</v>
      </c>
      <c r="O1275" s="43" t="s">
        <v>25</v>
      </c>
      <c r="P1275" s="43" t="s">
        <v>41</v>
      </c>
      <c r="Q1275" s="43" t="s">
        <v>60</v>
      </c>
      <c r="R1275" s="43" t="s">
        <v>273</v>
      </c>
      <c r="S1275" s="43"/>
    </row>
    <row r="1276" spans="1:19" s="45" customFormat="1" ht="14.4" hidden="1">
      <c r="A1276" s="25">
        <f>IF(C1276="","",MAX($A$1:A1275)+1)</f>
        <v>1214</v>
      </c>
      <c r="B1276" s="25" t="s">
        <v>19</v>
      </c>
      <c r="C1276" s="41">
        <v>46092</v>
      </c>
      <c r="D1276" s="48" t="str">
        <f>_xlfn.XLOOKUP(Table134526_79101120212223242526[[#This Row],[Name Surname]],Manpower!$C$4:$C$1048576,Manpower!$B$4:$B$1048576,"")</f>
        <v>Encogroup</v>
      </c>
      <c r="E1276" s="43" t="s">
        <v>34</v>
      </c>
      <c r="F1276" s="12">
        <f>_xlfn.XLOOKUP(Table134526_79101120212223242526[[#This Row],[Name Surname]],Manpower!C:C,Manpower!D:D,)</f>
        <v>141365023</v>
      </c>
      <c r="G1276" s="48" t="str">
        <f>_xlfn.XLOOKUP(Table134526_79101120212223242526[[#This Row],[Name Surname]],Manpower!$C$4:$C$1048576,Manpower!$F$4:$F$1048576,"")</f>
        <v>Grinder</v>
      </c>
      <c r="H1276" s="48" t="str">
        <f>_xlfn.XLOOKUP(Table134526_79101120212223242526[[#This Row],[Name Surname]],Manpower!$C$4:$C$1048576,Manpower!$H$4:$H$1048576,"")</f>
        <v>Manpower</v>
      </c>
      <c r="I1276" s="42" t="str">
        <f>_xlfn.XLOOKUP(Table134526_79101120212223242526[[#This Row],[Name Surname]],Manpower!$C$4:$C$1048576,Manpower!$H$4:$H$1048576,"")</f>
        <v>Manpower</v>
      </c>
      <c r="J1276" s="43" t="s">
        <v>21</v>
      </c>
      <c r="K1276" s="43" t="s">
        <v>231</v>
      </c>
      <c r="L1276" s="43" t="s">
        <v>49</v>
      </c>
      <c r="M1276" s="43" t="s">
        <v>24</v>
      </c>
      <c r="N1276" s="44">
        <v>10</v>
      </c>
      <c r="O1276" s="43" t="s">
        <v>89</v>
      </c>
      <c r="P1276" s="43" t="s">
        <v>41</v>
      </c>
      <c r="Q1276" s="43" t="s">
        <v>60</v>
      </c>
      <c r="R1276" s="43" t="s">
        <v>277</v>
      </c>
      <c r="S1276" s="43"/>
    </row>
    <row r="1277" spans="1:19" s="45" customFormat="1" ht="14.4" hidden="1">
      <c r="A1277" s="25">
        <f>IF(C1277="","",MAX($A$1:A1276)+1)</f>
        <v>1215</v>
      </c>
      <c r="B1277" s="25" t="s">
        <v>19</v>
      </c>
      <c r="C1277" s="41">
        <v>46092</v>
      </c>
      <c r="D1277" s="48" t="str">
        <f>_xlfn.XLOOKUP(Table134526_79101120212223242526[[#This Row],[Name Surname]],Manpower!$C$4:$C$1048576,Manpower!$B$4:$B$1048576,"")</f>
        <v>Encogroup</v>
      </c>
      <c r="E1277" s="43" t="s">
        <v>102</v>
      </c>
      <c r="F1277" s="12">
        <f>_xlfn.XLOOKUP(Table134526_79101120212223242526[[#This Row],[Name Surname]],Manpower!C:C,Manpower!D:D,)</f>
        <v>141365075</v>
      </c>
      <c r="G1277" s="48" t="str">
        <f>_xlfn.XLOOKUP(Table134526_79101120212223242526[[#This Row],[Name Surname]],Manpower!$C$4:$C$1048576,Manpower!$F$4:$F$1048576,"")</f>
        <v>Helper</v>
      </c>
      <c r="H1277" s="48" t="str">
        <f>_xlfn.XLOOKUP(Table134526_79101120212223242526[[#This Row],[Name Surname]],Manpower!$C$4:$C$1048576,Manpower!$H$4:$H$1048576,"")</f>
        <v>Manpower</v>
      </c>
      <c r="I1277" s="42" t="str">
        <f>_xlfn.XLOOKUP(Table134526_79101120212223242526[[#This Row],[Name Surname]],Manpower!$C$4:$C$1048576,Manpower!$H$4:$H$1048576,"")</f>
        <v>Manpower</v>
      </c>
      <c r="J1277" s="43" t="s">
        <v>21</v>
      </c>
      <c r="K1277" s="43" t="s">
        <v>231</v>
      </c>
      <c r="L1277" s="43" t="s">
        <v>49</v>
      </c>
      <c r="M1277" s="43" t="s">
        <v>24</v>
      </c>
      <c r="N1277" s="44">
        <v>10</v>
      </c>
      <c r="O1277" s="43" t="s">
        <v>89</v>
      </c>
      <c r="P1277" s="43" t="s">
        <v>41</v>
      </c>
      <c r="Q1277" s="43" t="s">
        <v>60</v>
      </c>
      <c r="R1277" s="43" t="s">
        <v>277</v>
      </c>
      <c r="S1277" s="43"/>
    </row>
    <row r="1278" spans="1:19" s="45" customFormat="1" ht="14.4" hidden="1">
      <c r="A1278" s="25">
        <f>IF(C1278="","",MAX($A$1:A1277)+1)</f>
        <v>1216</v>
      </c>
      <c r="B1278" s="25" t="s">
        <v>19</v>
      </c>
      <c r="C1278" s="41">
        <v>46092</v>
      </c>
      <c r="D1278" s="48" t="str">
        <f>_xlfn.XLOOKUP(Table134526_79101120212223242526[[#This Row],[Name Surname]],Manpower!$C$4:$C$1048576,Manpower!$B$4:$B$1048576,"")</f>
        <v>Encogroup</v>
      </c>
      <c r="E1278" s="43" t="s">
        <v>46</v>
      </c>
      <c r="F1278" s="12">
        <f>_xlfn.XLOOKUP(Table134526_79101120212223242526[[#This Row],[Name Surname]],Manpower!C:C,Manpower!D:D,)</f>
        <v>140844618</v>
      </c>
      <c r="G1278" s="48" t="str">
        <f>_xlfn.XLOOKUP(Table134526_79101120212223242526[[#This Row],[Name Surname]],Manpower!$C$4:$C$1048576,Manpower!$F$4:$F$1048576,"")</f>
        <v>Assistant/Helper</v>
      </c>
      <c r="H1278" s="48" t="str">
        <f>_xlfn.XLOOKUP(Table134526_79101120212223242526[[#This Row],[Name Surname]],Manpower!$C$4:$C$1048576,Manpower!$H$4:$H$1048576,"")</f>
        <v>Manpower</v>
      </c>
      <c r="I1278" s="42" t="str">
        <f>_xlfn.XLOOKUP(Table134526_79101120212223242526[[#This Row],[Name Surname]],Manpower!$C$4:$C$1048576,Manpower!$H$4:$H$1048576,"")</f>
        <v>Manpower</v>
      </c>
      <c r="J1278" s="43" t="s">
        <v>21</v>
      </c>
      <c r="K1278" s="43" t="s">
        <v>231</v>
      </c>
      <c r="L1278" s="43" t="s">
        <v>49</v>
      </c>
      <c r="M1278" s="43" t="s">
        <v>24</v>
      </c>
      <c r="N1278" s="44">
        <v>10</v>
      </c>
      <c r="O1278" s="43" t="s">
        <v>25</v>
      </c>
      <c r="P1278" s="43" t="s">
        <v>41</v>
      </c>
      <c r="Q1278" s="43" t="s">
        <v>60</v>
      </c>
      <c r="R1278" s="43" t="s">
        <v>273</v>
      </c>
      <c r="S1278" s="43"/>
    </row>
    <row r="1279" spans="1:19" ht="13.95" customHeight="1">
      <c r="A1279" s="33">
        <f>IF(C1279="","",MAX($A$1:A1278)+1)</f>
        <v>1217</v>
      </c>
      <c r="B1279" s="25" t="s">
        <v>19</v>
      </c>
      <c r="C1279" s="23">
        <v>46092</v>
      </c>
      <c r="D1279" s="28" t="str">
        <f>_xlfn.XLOOKUP(Table134526_79101120212223242526[[#This Row],[Name Surname]],Manpower!$C$4:$C$1048576,Manpower!$B$4:$B$1048576,"")</f>
        <v>Bright Light</v>
      </c>
      <c r="E1279" s="23" t="s">
        <v>47</v>
      </c>
      <c r="F1279" s="12" t="e">
        <f>_xlfn.XLOOKUP(Table134526_79101120212223242526[[#This Row],[Name Surname]],Manpower!C:C,Manpower!D:D,)</f>
        <v>#N/A</v>
      </c>
      <c r="G1279" s="28" t="str">
        <f>_xlfn.XLOOKUP(Table134526_79101120212223242526[[#This Row],[Name Surname]],Manpower!$C$4:$C$1048576,Manpower!$F$4:$F$1048576,"")</f>
        <v>100T Telescopic Crane</v>
      </c>
      <c r="H1279" s="28" t="str">
        <f>_xlfn.XLOOKUP(Table134526_79101120212223242526[[#This Row],[Name Surname]],Manpower!$C$4:$C$1048576,Manpower!$H$4:$H$1048576,"")</f>
        <v>Equipment</v>
      </c>
      <c r="I1279" s="24" t="str">
        <f>_xlfn.XLOOKUP(Table134526_79101120212223242526[[#This Row],[Name Surname]],Manpower!$C$4:$C$1048576,Manpower!$H$4:$H$1048576,"")</f>
        <v>Equipment</v>
      </c>
      <c r="J1279" s="21" t="s">
        <v>48</v>
      </c>
      <c r="K1279" s="21" t="s">
        <v>26</v>
      </c>
      <c r="L1279" s="21" t="s">
        <v>49</v>
      </c>
      <c r="M1279" s="21" t="s">
        <v>24</v>
      </c>
      <c r="N1279" s="29">
        <v>10</v>
      </c>
      <c r="O1279" s="21" t="s">
        <v>40</v>
      </c>
      <c r="P1279" s="21" t="s">
        <v>41</v>
      </c>
      <c r="Q1279" s="21" t="s">
        <v>42</v>
      </c>
      <c r="R1279" s="21" t="s">
        <v>26</v>
      </c>
    </row>
    <row r="1280" spans="1:19" ht="14.4">
      <c r="A1280" s="33">
        <f>IF(C1280="","",MAX($A$1:A1279)+1)</f>
        <v>1218</v>
      </c>
      <c r="B1280" s="25" t="s">
        <v>19</v>
      </c>
      <c r="C1280" s="23">
        <v>46092</v>
      </c>
      <c r="D1280" s="28" t="str">
        <f>_xlfn.XLOOKUP(Table134526_79101120212223242526[[#This Row],[Name Surname]],Manpower!$C$4:$C$1048576,Manpower!$B$4:$B$1048576,"")</f>
        <v>Bright Light</v>
      </c>
      <c r="E1280" s="21" t="s">
        <v>51</v>
      </c>
      <c r="F1280" s="12" t="e">
        <f>_xlfn.XLOOKUP(Table134526_79101120212223242526[[#This Row],[Name Surname]],Manpower!C:C,Manpower!D:D,)</f>
        <v>#N/A</v>
      </c>
      <c r="G1280" s="28" t="str">
        <f>_xlfn.XLOOKUP(Table134526_79101120212223242526[[#This Row],[Name Surname]],Manpower!$C$4:$C$1048576,Manpower!$F$4:$F$1048576,"")</f>
        <v>150T-Crawler Crane</v>
      </c>
      <c r="H1280" s="28" t="str">
        <f>_xlfn.XLOOKUP(Table134526_79101120212223242526[[#This Row],[Name Surname]],Manpower!$C$4:$C$1048576,Manpower!$H$4:$H$1048576,"")</f>
        <v>Equipment</v>
      </c>
      <c r="I1280" s="24" t="str">
        <f>_xlfn.XLOOKUP(Table134526_79101120212223242526[[#This Row],[Name Surname]],Manpower!$C$4:$C$1048576,Manpower!$H$4:$H$1048576,"")</f>
        <v>Equipment</v>
      </c>
      <c r="J1280" s="21" t="s">
        <v>48</v>
      </c>
      <c r="K1280" s="21" t="s">
        <v>26</v>
      </c>
      <c r="L1280" s="21" t="s">
        <v>49</v>
      </c>
      <c r="M1280" s="21" t="s">
        <v>24</v>
      </c>
      <c r="N1280" s="29">
        <v>10</v>
      </c>
      <c r="O1280" s="21" t="s">
        <v>40</v>
      </c>
      <c r="P1280" s="21" t="s">
        <v>41</v>
      </c>
      <c r="Q1280" s="21" t="s">
        <v>42</v>
      </c>
      <c r="R1280" s="21" t="s">
        <v>26</v>
      </c>
    </row>
    <row r="1281" spans="1:19" ht="14.4">
      <c r="A1281" s="33">
        <f>IF(C1281="","",MAX($A$1:A1280)+1)</f>
        <v>1219</v>
      </c>
      <c r="B1281" s="25" t="s">
        <v>19</v>
      </c>
      <c r="C1281" s="23">
        <v>46092</v>
      </c>
      <c r="D1281" s="28" t="str">
        <f>_xlfn.XLOOKUP(Table134526_79101120212223242526[[#This Row],[Name Surname]],Manpower!$C$4:$C$1048576,Manpower!$B$4:$B$1048576,"")</f>
        <v>Encogroup</v>
      </c>
      <c r="E1281" s="21" t="s">
        <v>53</v>
      </c>
      <c r="F1281" s="12" t="e">
        <f>_xlfn.XLOOKUP(Table134526_79101120212223242526[[#This Row],[Name Surname]],Manpower!C:C,Manpower!D:D,)</f>
        <v>#N/A</v>
      </c>
      <c r="G1281" s="28" t="str">
        <f>_xlfn.XLOOKUP(Table134526_79101120212223242526[[#This Row],[Name Surname]],Manpower!$C$4:$C$1048576,Manpower!$F$4:$F$1048576,"")</f>
        <v>22M-Manlift</v>
      </c>
      <c r="H1281" s="28" t="str">
        <f>_xlfn.XLOOKUP(Table134526_79101120212223242526[[#This Row],[Name Surname]],Manpower!$C$4:$C$1048576,Manpower!$H$4:$H$1048576,"")</f>
        <v>Equipment</v>
      </c>
      <c r="I1281" s="24" t="str">
        <f>_xlfn.XLOOKUP(Table134526_79101120212223242526[[#This Row],[Name Surname]],Manpower!$C$4:$C$1048576,Manpower!$H$4:$H$1048576,"")</f>
        <v>Equipment</v>
      </c>
      <c r="J1281" s="21" t="s">
        <v>48</v>
      </c>
      <c r="K1281" s="21" t="s">
        <v>26</v>
      </c>
      <c r="L1281" s="21" t="s">
        <v>49</v>
      </c>
      <c r="M1281" s="21" t="s">
        <v>24</v>
      </c>
      <c r="N1281" s="29">
        <v>10</v>
      </c>
      <c r="O1281" s="21" t="s">
        <v>25</v>
      </c>
      <c r="P1281" s="21" t="s">
        <v>41</v>
      </c>
      <c r="Q1281" s="21" t="s">
        <v>60</v>
      </c>
      <c r="R1281" s="21" t="s">
        <v>26</v>
      </c>
    </row>
    <row r="1282" spans="1:19" ht="14.4">
      <c r="A1282" s="33">
        <f>IF(C1282="","",MAX($A$1:A1281)+1)</f>
        <v>1220</v>
      </c>
      <c r="B1282" s="25" t="s">
        <v>19</v>
      </c>
      <c r="C1282" s="23">
        <v>46092</v>
      </c>
      <c r="D1282" s="28" t="str">
        <f>_xlfn.XLOOKUP(Table134526_79101120212223242526[[#This Row],[Name Surname]],Manpower!$C$4:$C$1048576,Manpower!$B$4:$B$1048576,"")</f>
        <v>Encogroup</v>
      </c>
      <c r="E1282" s="21" t="s">
        <v>54</v>
      </c>
      <c r="F1282" s="12" t="e">
        <f>_xlfn.XLOOKUP(Table134526_79101120212223242526[[#This Row],[Name Surname]],Manpower!C:C,Manpower!D:D,)</f>
        <v>#N/A</v>
      </c>
      <c r="G1282" s="28" t="str">
        <f>_xlfn.XLOOKUP(Table134526_79101120212223242526[[#This Row],[Name Surname]],Manpower!$C$4:$C$1048576,Manpower!$F$4:$F$1048576,"")</f>
        <v>28M-Manlift</v>
      </c>
      <c r="H1282" s="28" t="str">
        <f>_xlfn.XLOOKUP(Table134526_79101120212223242526[[#This Row],[Name Surname]],Manpower!$C$4:$C$1048576,Manpower!$H$4:$H$1048576,"")</f>
        <v>Equipment</v>
      </c>
      <c r="I1282" s="24" t="str">
        <f>_xlfn.XLOOKUP(Table134526_79101120212223242526[[#This Row],[Name Surname]],Manpower!$C$4:$C$1048576,Manpower!$H$4:$H$1048576,"")</f>
        <v>Equipment</v>
      </c>
      <c r="J1282" s="21" t="s">
        <v>48</v>
      </c>
      <c r="K1282" s="21" t="s">
        <v>26</v>
      </c>
      <c r="L1282" s="21" t="s">
        <v>49</v>
      </c>
      <c r="M1282" s="21" t="s">
        <v>24</v>
      </c>
      <c r="N1282" s="29">
        <v>10</v>
      </c>
      <c r="O1282" s="21" t="s">
        <v>25</v>
      </c>
      <c r="P1282" s="21" t="s">
        <v>41</v>
      </c>
      <c r="Q1282" s="21" t="s">
        <v>60</v>
      </c>
      <c r="R1282" s="21" t="s">
        <v>26</v>
      </c>
    </row>
    <row r="1283" spans="1:19" ht="14.4" hidden="1">
      <c r="A1283" s="33">
        <f>IF(C1283="","",MAX($A$1:A1282)+1)</f>
        <v>1221</v>
      </c>
      <c r="B1283" s="25" t="s">
        <v>19</v>
      </c>
      <c r="C1283" s="23">
        <v>46092</v>
      </c>
      <c r="D1283" s="28" t="str">
        <f>_xlfn.XLOOKUP(Table134526_79101120212223242526[[#This Row],[Name Surname]],Manpower!$C$4:$C$1048576,Manpower!$B$4:$B$1048576,"")</f>
        <v>Encogroup</v>
      </c>
      <c r="E1283" s="21" t="s">
        <v>57</v>
      </c>
      <c r="F1283" s="12">
        <f>_xlfn.XLOOKUP(Table134526_79101120212223242526[[#This Row],[Name Surname]],Manpower!C:C,Manpower!D:D,)</f>
        <v>140693697</v>
      </c>
      <c r="G1283" s="28" t="str">
        <f>_xlfn.XLOOKUP(Table134526_79101120212223242526[[#This Row],[Name Surname]],Manpower!$C$4:$C$1048576,Manpower!$F$4:$F$1048576,"")</f>
        <v>HSE Officer</v>
      </c>
      <c r="H1283" s="28" t="str">
        <f>_xlfn.XLOOKUP(Table134526_79101120212223242526[[#This Row],[Name Surname]],Manpower!$C$4:$C$1048576,Manpower!$H$4:$H$1048576,"")</f>
        <v>Manpower</v>
      </c>
      <c r="I1283" s="24" t="str">
        <f>_xlfn.XLOOKUP(Table134526_79101120212223242526[[#This Row],[Name Surname]],Manpower!$C$4:$C$1048576,Manpower!$H$4:$H$1048576,"")</f>
        <v>Manpower</v>
      </c>
      <c r="J1283" s="21" t="s">
        <v>48</v>
      </c>
      <c r="K1283" s="21" t="s">
        <v>26</v>
      </c>
      <c r="L1283" s="21" t="s">
        <v>49</v>
      </c>
      <c r="M1283" s="21" t="s">
        <v>24</v>
      </c>
      <c r="N1283" s="29">
        <v>10</v>
      </c>
      <c r="O1283" s="21" t="s">
        <v>25</v>
      </c>
      <c r="P1283" s="21" t="s">
        <v>41</v>
      </c>
      <c r="Q1283" s="21" t="s">
        <v>60</v>
      </c>
      <c r="R1283" s="21" t="s">
        <v>26</v>
      </c>
    </row>
    <row r="1284" spans="1:19" ht="14.4" hidden="1">
      <c r="A1284" s="33">
        <f>IF(C1284="","",MAX($A$1:A1283)+1)</f>
        <v>1222</v>
      </c>
      <c r="B1284" s="25" t="s">
        <v>19</v>
      </c>
      <c r="C1284" s="23">
        <v>46092</v>
      </c>
      <c r="D1284" s="28" t="str">
        <f>_xlfn.XLOOKUP(Table134526_79101120212223242526[[#This Row],[Name Surname]],Manpower!$C$4:$C$1048576,Manpower!$B$4:$B$1048576,"")</f>
        <v>Encogroup</v>
      </c>
      <c r="E1284" s="21" t="s">
        <v>27</v>
      </c>
      <c r="F1284" s="12">
        <f>_xlfn.XLOOKUP(Table134526_79101120212223242526[[#This Row],[Name Surname]],Manpower!C:C,Manpower!D:D,)</f>
        <v>127414586</v>
      </c>
      <c r="G1284" s="28" t="str">
        <f>_xlfn.XLOOKUP(Table134526_79101120212223242526[[#This Row],[Name Surname]],Manpower!$C$4:$C$1048576,Manpower!$F$4:$F$1048576,"")</f>
        <v>Electrician</v>
      </c>
      <c r="H1284" s="28" t="str">
        <f>_xlfn.XLOOKUP(Table134526_79101120212223242526[[#This Row],[Name Surname]],Manpower!$C$4:$C$1048576,Manpower!$H$4:$H$1048576,"")</f>
        <v>Manpower</v>
      </c>
      <c r="I1284" s="24" t="str">
        <f>_xlfn.XLOOKUP(Table134526_79101120212223242526[[#This Row],[Name Surname]],Manpower!$C$4:$C$1048576,Manpower!$H$4:$H$1048576,"")</f>
        <v>Manpower</v>
      </c>
      <c r="J1284" s="21" t="s">
        <v>48</v>
      </c>
      <c r="K1284" s="21" t="s">
        <v>26</v>
      </c>
      <c r="L1284" s="21" t="s">
        <v>49</v>
      </c>
      <c r="M1284" s="21" t="s">
        <v>24</v>
      </c>
      <c r="N1284" s="29">
        <v>5</v>
      </c>
      <c r="O1284" s="21" t="s">
        <v>28</v>
      </c>
      <c r="P1284" s="21" t="s">
        <v>41</v>
      </c>
      <c r="Q1284" s="21" t="s">
        <v>41</v>
      </c>
      <c r="R1284" s="21" t="s">
        <v>26</v>
      </c>
    </row>
    <row r="1285" spans="1:19" s="45" customFormat="1" ht="14.4" hidden="1">
      <c r="A1285" s="25">
        <f>IF(C1285="","",MAX($A$1:A1284)+1)</f>
        <v>1223</v>
      </c>
      <c r="B1285" s="25" t="s">
        <v>19</v>
      </c>
      <c r="C1285" s="41">
        <v>46092</v>
      </c>
      <c r="D1285" s="48" t="str">
        <f>_xlfn.XLOOKUP(Table134526_79101120212223242526[[#This Row],[Name Surname]],Manpower!$C$4:$C$1048576,Manpower!$B$4:$B$1048576,"")</f>
        <v>Encogroup</v>
      </c>
      <c r="E1285" s="43" t="s">
        <v>33</v>
      </c>
      <c r="F1285" s="12">
        <f>_xlfn.XLOOKUP(Table134526_79101120212223242526[[#This Row],[Name Surname]],Manpower!C:C,Manpower!D:D,)</f>
        <v>124565057</v>
      </c>
      <c r="G1285" s="48" t="str">
        <f>_xlfn.XLOOKUP(Table134526_79101120212223242526[[#This Row],[Name Surname]],Manpower!$C$4:$C$1048576,Manpower!$F$4:$F$1048576,"")</f>
        <v>Fitter/Erector</v>
      </c>
      <c r="H1285" s="48" t="str">
        <f>_xlfn.XLOOKUP(Table134526_79101120212223242526[[#This Row],[Name Surname]],Manpower!$C$4:$C$1048576,Manpower!$H$4:$H$1048576,"")</f>
        <v>Manpower</v>
      </c>
      <c r="I1285" s="42" t="str">
        <f>_xlfn.XLOOKUP(Table134526_79101120212223242526[[#This Row],[Name Surname]],Manpower!$C$4:$C$1048576,Manpower!$H$4:$H$1048576,"")</f>
        <v>Manpower</v>
      </c>
      <c r="J1285" s="43" t="s">
        <v>48</v>
      </c>
      <c r="K1285" s="43" t="s">
        <v>26</v>
      </c>
      <c r="L1285" s="43" t="s">
        <v>49</v>
      </c>
      <c r="M1285" s="43" t="s">
        <v>24</v>
      </c>
      <c r="N1285" s="44">
        <v>10</v>
      </c>
      <c r="O1285" s="43" t="s">
        <v>25</v>
      </c>
      <c r="P1285" s="43" t="s">
        <v>41</v>
      </c>
      <c r="Q1285" s="43" t="s">
        <v>60</v>
      </c>
      <c r="R1285" s="43" t="s">
        <v>26</v>
      </c>
      <c r="S1285" s="43"/>
    </row>
    <row r="1286" spans="1:19" s="45" customFormat="1" ht="14.4" hidden="1">
      <c r="A1286" s="25">
        <f>IF(C1286="","",MAX($A$1:A1285)+1)</f>
        <v>1224</v>
      </c>
      <c r="B1286" s="25" t="s">
        <v>19</v>
      </c>
      <c r="C1286" s="41">
        <v>46092</v>
      </c>
      <c r="D1286" s="48" t="str">
        <f>_xlfn.XLOOKUP(Table134526_79101120212223242526[[#This Row],[Name Surname]],Manpower!$C$4:$C$1048576,Manpower!$B$4:$B$1048576,"")</f>
        <v>Encogroup</v>
      </c>
      <c r="E1286" s="43" t="s">
        <v>62</v>
      </c>
      <c r="F1286" s="12">
        <f>_xlfn.XLOOKUP(Table134526_79101120212223242526[[#This Row],[Name Surname]],Manpower!C:C,Manpower!D:D,)</f>
        <v>140844797</v>
      </c>
      <c r="G1286" s="48" t="str">
        <f>_xlfn.XLOOKUP(Table134526_79101120212223242526[[#This Row],[Name Surname]],Manpower!$C$4:$C$1048576,Manpower!$F$4:$F$1048576,"")</f>
        <v>Fitter/Erector</v>
      </c>
      <c r="H1286" s="48" t="str">
        <f>_xlfn.XLOOKUP(Table134526_79101120212223242526[[#This Row],[Name Surname]],Manpower!$C$4:$C$1048576,Manpower!$H$4:$H$1048576,"")</f>
        <v>Manpower</v>
      </c>
      <c r="I1286" s="42" t="str">
        <f>_xlfn.XLOOKUP(Table134526_79101120212223242526[[#This Row],[Name Surname]],Manpower!$C$4:$C$1048576,Manpower!$H$4:$H$1048576,"")</f>
        <v>Manpower</v>
      </c>
      <c r="J1286" s="43" t="s">
        <v>48</v>
      </c>
      <c r="K1286" s="43" t="s">
        <v>26</v>
      </c>
      <c r="L1286" s="43" t="s">
        <v>49</v>
      </c>
      <c r="M1286" s="43" t="s">
        <v>24</v>
      </c>
      <c r="N1286" s="44">
        <v>10</v>
      </c>
      <c r="O1286" s="43" t="s">
        <v>25</v>
      </c>
      <c r="P1286" s="43" t="s">
        <v>41</v>
      </c>
      <c r="Q1286" s="43" t="s">
        <v>60</v>
      </c>
      <c r="R1286" s="43" t="s">
        <v>26</v>
      </c>
      <c r="S1286" s="43"/>
    </row>
    <row r="1287" spans="1:19" ht="14.4">
      <c r="A1287" s="33">
        <f>IF(C1287="","",MAX($A$1:A1286)+1)</f>
        <v>1225</v>
      </c>
      <c r="B1287" s="25" t="s">
        <v>19</v>
      </c>
      <c r="C1287" s="23">
        <v>46092</v>
      </c>
      <c r="D1287" s="24" t="str">
        <f>_xlfn.XLOOKUP(Table134526_79101120212223242526[[#This Row],[Name Surname]],Manpower!$C$4:$C$1048576,Manpower!$B$4:$B$1048576,"")</f>
        <v>Encogroup</v>
      </c>
      <c r="E1287" s="23" t="s">
        <v>63</v>
      </c>
      <c r="F1287" s="12" t="e">
        <f>_xlfn.XLOOKUP(Table134526_79101120212223242526[[#This Row],[Name Surname]],Manpower!C:C,Manpower!D:D,)</f>
        <v>#N/A</v>
      </c>
      <c r="G1287" s="24" t="str">
        <f>_xlfn.XLOOKUP(Table134526_79101120212223242526[[#This Row],[Name Surname]],Manpower!$C$4:$C$1048576,Manpower!$F$4:$F$1048576,"")</f>
        <v>22KVA-Generator</v>
      </c>
      <c r="H1287" s="24" t="str">
        <f>_xlfn.XLOOKUP(Table134526_79101120212223242526[[#This Row],[Name Surname]],Manpower!$C$4:$C$1048576,Manpower!$H$4:$H$1048576,"")</f>
        <v>Equipment</v>
      </c>
      <c r="I1287" s="24" t="str">
        <f>_xlfn.XLOOKUP(Table134526_79101120212223242526[[#This Row],[Name Surname]],Manpower!$C$4:$C$1048576,Manpower!$H$4:$H$1048576,"")</f>
        <v>Equipment</v>
      </c>
      <c r="J1287" s="21" t="s">
        <v>48</v>
      </c>
      <c r="K1287" s="21" t="s">
        <v>26</v>
      </c>
      <c r="L1287" s="21" t="s">
        <v>49</v>
      </c>
      <c r="M1287" s="21" t="s">
        <v>24</v>
      </c>
      <c r="N1287" s="29">
        <v>10</v>
      </c>
      <c r="O1287" s="21" t="s">
        <v>25</v>
      </c>
      <c r="P1287" s="21" t="s">
        <v>41</v>
      </c>
      <c r="Q1287" s="21" t="s">
        <v>41</v>
      </c>
      <c r="R1287" s="21" t="s">
        <v>26</v>
      </c>
    </row>
    <row r="1288" spans="1:19" s="45" customFormat="1" ht="14.4" hidden="1">
      <c r="A1288" s="25">
        <f>IF(C1288="","",MAX($A$1:A1286)+1)</f>
        <v>1225</v>
      </c>
      <c r="B1288" s="25" t="s">
        <v>19</v>
      </c>
      <c r="C1288" s="41">
        <v>46092</v>
      </c>
      <c r="D1288" s="48" t="str">
        <f>_xlfn.XLOOKUP(Table134526_79101120212223242526[[#This Row],[Name Surname]],Manpower!$C$4:$C$1048576,Manpower!$B$4:$B$1048576,"")</f>
        <v>Bright Light</v>
      </c>
      <c r="E1288" s="43" t="s">
        <v>64</v>
      </c>
      <c r="F1288" s="12">
        <f>_xlfn.XLOOKUP(Table134526_79101120212223242526[[#This Row],[Name Surname]],Manpower!C:C,Manpower!D:D,)</f>
        <v>114531608</v>
      </c>
      <c r="G1288" s="48" t="str">
        <f>_xlfn.XLOOKUP(Table134526_79101120212223242526[[#This Row],[Name Surname]],Manpower!$C$4:$C$1048576,Manpower!$F$4:$F$1048576,"")</f>
        <v>Crane Operator-150T Sany Crawler</v>
      </c>
      <c r="H1288" s="48" t="s">
        <v>39</v>
      </c>
      <c r="I1288" s="42" t="s">
        <v>39</v>
      </c>
      <c r="J1288" s="43" t="s">
        <v>48</v>
      </c>
      <c r="K1288" s="43" t="s">
        <v>26</v>
      </c>
      <c r="L1288" s="43" t="s">
        <v>49</v>
      </c>
      <c r="M1288" s="43" t="s">
        <v>24</v>
      </c>
      <c r="N1288" s="44">
        <v>10</v>
      </c>
      <c r="O1288" s="43" t="s">
        <v>40</v>
      </c>
      <c r="P1288" s="43" t="s">
        <v>41</v>
      </c>
      <c r="Q1288" s="43" t="s">
        <v>42</v>
      </c>
      <c r="R1288" s="43" t="s">
        <v>26</v>
      </c>
      <c r="S1288" s="43"/>
    </row>
    <row r="1289" spans="1:19" s="45" customFormat="1" ht="14.4" hidden="1">
      <c r="A1289" s="25">
        <f>IF(C1289="","",MAX($A$1:A1288)+1)</f>
        <v>1226</v>
      </c>
      <c r="B1289" s="25" t="s">
        <v>19</v>
      </c>
      <c r="C1289" s="41">
        <v>46092</v>
      </c>
      <c r="D1289" s="48" t="str">
        <f>_xlfn.XLOOKUP(Table134526_79101120212223242526[[#This Row],[Name Surname]],Manpower!$C$4:$C$1048576,Manpower!$B$4:$B$1048576,"")</f>
        <v>AL Saif &amp; Al QALLM ENT LLC</v>
      </c>
      <c r="E1289" s="43" t="s">
        <v>65</v>
      </c>
      <c r="F1289" s="12">
        <f>_xlfn.XLOOKUP(Table134526_79101120212223242526[[#This Row],[Name Surname]],Manpower!C:C,Manpower!D:D,)</f>
        <v>108478006</v>
      </c>
      <c r="G1289" s="48" t="str">
        <f>_xlfn.XLOOKUP(Table134526_79101120212223242526[[#This Row],[Name Surname]],Manpower!$C$4:$C$1048576,Manpower!$F$4:$F$1048576,"")</f>
        <v>RIgger</v>
      </c>
      <c r="H1289" s="48" t="str">
        <f>_xlfn.XLOOKUP(Table134526_79101120212223242526[[#This Row],[Name Surname]],Manpower!$C$4:$C$1048576,Manpower!$H$4:$H$1048576,"")</f>
        <v>Sub Contactor</v>
      </c>
      <c r="I1289" s="42" t="str">
        <f>_xlfn.XLOOKUP(Table134526_79101120212223242526[[#This Row],[Name Surname]],Manpower!$C$4:$C$1048576,Manpower!$H$4:$H$1048576,"")</f>
        <v>Sub Contactor</v>
      </c>
      <c r="J1289" s="43" t="s">
        <v>48</v>
      </c>
      <c r="K1289" s="43" t="s">
        <v>26</v>
      </c>
      <c r="L1289" s="43" t="s">
        <v>49</v>
      </c>
      <c r="M1289" s="43" t="s">
        <v>24</v>
      </c>
      <c r="N1289" s="44">
        <v>8</v>
      </c>
      <c r="O1289" s="43" t="s">
        <v>25</v>
      </c>
      <c r="P1289" s="43" t="s">
        <v>41</v>
      </c>
      <c r="Q1289" s="43" t="s">
        <v>60</v>
      </c>
      <c r="R1289" s="43" t="s">
        <v>26</v>
      </c>
      <c r="S1289" s="43"/>
    </row>
    <row r="1290" spans="1:19" ht="14.4" hidden="1">
      <c r="A1290" s="33">
        <f>IF(C1290="","",MAX($A$1:A1289)+1)</f>
        <v>1227</v>
      </c>
      <c r="B1290" s="25" t="s">
        <v>19</v>
      </c>
      <c r="C1290" s="23">
        <v>46092</v>
      </c>
      <c r="D1290" s="28" t="str">
        <f>_xlfn.XLOOKUP(Table134526_79101120212223242526[[#This Row],[Name Surname]],Manpower!$C$4:$C$1048576,Manpower!$B$4:$B$1048576,"")</f>
        <v>AL Omar International TRAD AND CONT</v>
      </c>
      <c r="E1290" s="21" t="s">
        <v>66</v>
      </c>
      <c r="F1290" s="12">
        <f>_xlfn.XLOOKUP(Table134526_79101120212223242526[[#This Row],[Name Surname]],Manpower!C:C,Manpower!D:D,)</f>
        <v>115018512</v>
      </c>
      <c r="G1290" s="28" t="str">
        <f>_xlfn.XLOOKUP(Table134526_79101120212223242526[[#This Row],[Name Surname]],Manpower!$C$4:$C$1048576,Manpower!$F$4:$F$1048576,"")</f>
        <v>RIgger</v>
      </c>
      <c r="H1290" s="28" t="str">
        <f>_xlfn.XLOOKUP(Table134526_79101120212223242526[[#This Row],[Name Surname]],Manpower!$C$4:$C$1048576,Manpower!$H$4:$H$1048576,"")</f>
        <v>Sub Contactor</v>
      </c>
      <c r="I1290" s="24" t="str">
        <f>_xlfn.XLOOKUP(Table134526_79101120212223242526[[#This Row],[Name Surname]],Manpower!$C$4:$C$1048576,Manpower!$H$4:$H$1048576,"")</f>
        <v>Sub Contactor</v>
      </c>
      <c r="J1290" s="21" t="s">
        <v>48</v>
      </c>
      <c r="K1290" s="21" t="s">
        <v>26</v>
      </c>
      <c r="L1290" s="21" t="s">
        <v>49</v>
      </c>
      <c r="M1290" s="21" t="s">
        <v>24</v>
      </c>
      <c r="N1290" s="29">
        <v>8</v>
      </c>
      <c r="O1290" s="21" t="s">
        <v>25</v>
      </c>
      <c r="P1290" s="21" t="s">
        <v>41</v>
      </c>
      <c r="Q1290" s="21" t="s">
        <v>60</v>
      </c>
      <c r="R1290" s="21" t="s">
        <v>26</v>
      </c>
    </row>
    <row r="1291" spans="1:19" s="45" customFormat="1" ht="14.4" hidden="1">
      <c r="A1291" s="25">
        <f>IF(C1291="","",MAX($A$1:A1290)+1)</f>
        <v>1228</v>
      </c>
      <c r="B1291" s="25" t="s">
        <v>19</v>
      </c>
      <c r="C1291" s="41">
        <v>46092</v>
      </c>
      <c r="D1291" s="48" t="str">
        <f>_xlfn.XLOOKUP(Table134526_79101120212223242526[[#This Row],[Name Surname]],Manpower!$C$4:$C$1048576,Manpower!$B$4:$B$1048576,"")</f>
        <v>Encogroup</v>
      </c>
      <c r="E1291" s="43" t="s">
        <v>67</v>
      </c>
      <c r="F1291" s="12">
        <f>_xlfn.XLOOKUP(Table134526_79101120212223242526[[#This Row],[Name Surname]],Manpower!C:C,Manpower!D:D,)</f>
        <v>122082769</v>
      </c>
      <c r="G1291" s="48" t="str">
        <f>_xlfn.XLOOKUP(Table134526_79101120212223242526[[#This Row],[Name Surname]],Manpower!$C$4:$C$1048576,Manpower!$F$4:$F$1048576,"")</f>
        <v>Grinder</v>
      </c>
      <c r="H1291" s="48" t="str">
        <f>_xlfn.XLOOKUP(Table134526_79101120212223242526[[#This Row],[Name Surname]],Manpower!$C$4:$C$1048576,Manpower!$H$4:$H$1048576,"")</f>
        <v>Manpower</v>
      </c>
      <c r="I1291" s="42" t="str">
        <f>_xlfn.XLOOKUP(Table134526_79101120212223242526[[#This Row],[Name Surname]],Manpower!$C$4:$C$1048576,Manpower!$H$4:$H$1048576,"")</f>
        <v>Manpower</v>
      </c>
      <c r="J1291" s="43" t="s">
        <v>48</v>
      </c>
      <c r="K1291" s="43" t="s">
        <v>26</v>
      </c>
      <c r="L1291" s="43" t="s">
        <v>49</v>
      </c>
      <c r="M1291" s="43" t="s">
        <v>24</v>
      </c>
      <c r="N1291" s="44">
        <v>10</v>
      </c>
      <c r="O1291" s="43" t="s">
        <v>25</v>
      </c>
      <c r="P1291" s="43" t="s">
        <v>41</v>
      </c>
      <c r="Q1291" s="43" t="s">
        <v>60</v>
      </c>
      <c r="R1291" s="43" t="s">
        <v>26</v>
      </c>
      <c r="S1291" s="43"/>
    </row>
    <row r="1292" spans="1:19" s="45" customFormat="1" ht="14.4" hidden="1">
      <c r="A1292" s="25">
        <f>IF(C1292="","",MAX($A$1:A1291)+1)</f>
        <v>1229</v>
      </c>
      <c r="B1292" s="25" t="s">
        <v>19</v>
      </c>
      <c r="C1292" s="41">
        <v>46092</v>
      </c>
      <c r="D1292" s="48" t="str">
        <f>_xlfn.XLOOKUP(Table134526_79101120212223242526[[#This Row],[Name Surname]],Manpower!$C$4:$C$1048576,Manpower!$B$4:$B$1048576,"")</f>
        <v>AL Omar International TRAD AND CONT</v>
      </c>
      <c r="E1292" s="43" t="s">
        <v>197</v>
      </c>
      <c r="F1292" s="12">
        <f>_xlfn.XLOOKUP(Table134526_79101120212223242526[[#This Row],[Name Surname]],Manpower!C:C,Manpower!D:D,)</f>
        <v>106093463</v>
      </c>
      <c r="G1292" s="48" t="str">
        <f>_xlfn.XLOOKUP(Table134526_79101120212223242526[[#This Row],[Name Surname]],Manpower!$C$4:$C$1048576,Manpower!$F$4:$F$1048576,"")</f>
        <v>RIgger</v>
      </c>
      <c r="H1292" s="48" t="str">
        <f>_xlfn.XLOOKUP(Table134526_79101120212223242526[[#This Row],[Name Surname]],Manpower!$C$4:$C$1048576,Manpower!$H$4:$H$1048576,"")</f>
        <v>Sub Contactor</v>
      </c>
      <c r="I1292" s="42" t="str">
        <f>_xlfn.XLOOKUP(Table134526_79101120212223242526[[#This Row],[Name Surname]],Manpower!$C$4:$C$1048576,Manpower!$H$4:$H$1048576,"")</f>
        <v>Sub Contactor</v>
      </c>
      <c r="J1292" s="43" t="s">
        <v>48</v>
      </c>
      <c r="K1292" s="43" t="s">
        <v>26</v>
      </c>
      <c r="L1292" s="43" t="s">
        <v>49</v>
      </c>
      <c r="M1292" s="43" t="s">
        <v>24</v>
      </c>
      <c r="N1292" s="44">
        <v>10</v>
      </c>
      <c r="O1292" s="43" t="s">
        <v>25</v>
      </c>
      <c r="P1292" s="43" t="s">
        <v>41</v>
      </c>
      <c r="Q1292" s="43" t="s">
        <v>60</v>
      </c>
      <c r="R1292" s="43" t="s">
        <v>26</v>
      </c>
      <c r="S1292" s="43"/>
    </row>
    <row r="1293" spans="1:19" ht="14.4" hidden="1">
      <c r="A1293" s="33">
        <f>IF(C1293="","",MAX($A$1:A1291)+1)</f>
        <v>1229</v>
      </c>
      <c r="B1293" s="25" t="s">
        <v>19</v>
      </c>
      <c r="C1293" s="23">
        <v>46092</v>
      </c>
      <c r="D1293" s="28" t="str">
        <f>_xlfn.XLOOKUP(Table134526_79101120212223242526[[#This Row],[Name Surname]],Manpower!$C$4:$C$1048576,Manpower!$B$4:$B$1048576,"")</f>
        <v>Encogroup</v>
      </c>
      <c r="E1293" s="21" t="s">
        <v>59</v>
      </c>
      <c r="F1293" s="12">
        <f>_xlfn.XLOOKUP(Table134526_79101120212223242526[[#This Row],[Name Surname]],Manpower!C:C,Manpower!D:D,)</f>
        <v>141169085</v>
      </c>
      <c r="G1293" s="28" t="str">
        <f>_xlfn.XLOOKUP(Table134526_79101120212223242526[[#This Row],[Name Surname]],Manpower!$C$4:$C$1048576,Manpower!$F$4:$F$1048576,"")</f>
        <v>Welder</v>
      </c>
      <c r="H1293" s="28" t="str">
        <f>_xlfn.XLOOKUP(Table134526_79101120212223242526[[#This Row],[Name Surname]],Manpower!$C$4:$C$1048576,Manpower!$H$4:$H$1048576,"")</f>
        <v>Manpower</v>
      </c>
      <c r="I1293" s="24" t="str">
        <f>_xlfn.XLOOKUP(Table134526_79101120212223242526[[#This Row],[Name Surname]],Manpower!$C$4:$C$1048576,Manpower!$H$4:$H$1048576,"")</f>
        <v>Manpower</v>
      </c>
      <c r="J1293" s="21" t="s">
        <v>48</v>
      </c>
      <c r="K1293" s="21" t="s">
        <v>26</v>
      </c>
      <c r="L1293" s="21" t="s">
        <v>49</v>
      </c>
      <c r="M1293" s="21" t="s">
        <v>24</v>
      </c>
      <c r="N1293" s="29">
        <v>5</v>
      </c>
      <c r="O1293" s="21" t="s">
        <v>25</v>
      </c>
      <c r="P1293" s="21" t="s">
        <v>41</v>
      </c>
      <c r="Q1293" s="21" t="s">
        <v>60</v>
      </c>
      <c r="R1293" s="21" t="s">
        <v>26</v>
      </c>
    </row>
    <row r="1294" spans="1:19" ht="14.4" hidden="1">
      <c r="A1294" s="33">
        <f>IF(C1294="","",MAX($A$1:A1293)+1)</f>
        <v>1230</v>
      </c>
      <c r="B1294" s="25" t="s">
        <v>19</v>
      </c>
      <c r="C1294" s="23">
        <v>46092</v>
      </c>
      <c r="D1294" s="28" t="str">
        <f>_xlfn.XLOOKUP(Table134526_79101120212223242526[[#This Row],[Name Surname]],Manpower!$C$4:$C$1048576,Manpower!$B$4:$B$1048576,"")</f>
        <v>Encogroup</v>
      </c>
      <c r="E1294" s="21" t="s">
        <v>61</v>
      </c>
      <c r="F1294" s="12">
        <f>_xlfn.XLOOKUP(Table134526_79101120212223242526[[#This Row],[Name Surname]],Manpower!C:C,Manpower!D:D,)</f>
        <v>141169047</v>
      </c>
      <c r="G1294" s="28" t="str">
        <f>_xlfn.XLOOKUP(Table134526_79101120212223242526[[#This Row],[Name Surname]],Manpower!$C$4:$C$1048576,Manpower!$F$4:$F$1048576,"")</f>
        <v>Welder</v>
      </c>
      <c r="H1294" s="28" t="str">
        <f>_xlfn.XLOOKUP(Table134526_79101120212223242526[[#This Row],[Name Surname]],Manpower!$C$4:$C$1048576,Manpower!$H$4:$H$1048576,"")</f>
        <v>Manpower</v>
      </c>
      <c r="I1294" s="24" t="str">
        <f>_xlfn.XLOOKUP(Table134526_79101120212223242526[[#This Row],[Name Surname]],Manpower!$C$4:$C$1048576,Manpower!$H$4:$H$1048576,"")</f>
        <v>Manpower</v>
      </c>
      <c r="J1294" s="21" t="s">
        <v>48</v>
      </c>
      <c r="K1294" s="21" t="s">
        <v>26</v>
      </c>
      <c r="L1294" s="21" t="s">
        <v>49</v>
      </c>
      <c r="M1294" s="21" t="s">
        <v>24</v>
      </c>
      <c r="N1294" s="29">
        <v>5</v>
      </c>
      <c r="O1294" s="21" t="s">
        <v>25</v>
      </c>
      <c r="P1294" s="21" t="s">
        <v>41</v>
      </c>
      <c r="Q1294" s="21" t="s">
        <v>60</v>
      </c>
      <c r="R1294" s="21" t="s">
        <v>26</v>
      </c>
    </row>
    <row r="1295" spans="1:19" s="45" customFormat="1" ht="14.4" hidden="1">
      <c r="A1295" s="25">
        <f>IF(C1295="","",MAX($A$1:A1294)+1)</f>
        <v>1231</v>
      </c>
      <c r="B1295" s="25" t="s">
        <v>19</v>
      </c>
      <c r="C1295" s="41">
        <v>46092</v>
      </c>
      <c r="D1295" s="48" t="str">
        <f>_xlfn.XLOOKUP(Table134526_79101120212223242526[[#This Row],[Name Surname]],Manpower!$C$4:$C$1048576,Manpower!$B$4:$B$1048576,"")</f>
        <v>Encogroup</v>
      </c>
      <c r="E1295" s="43" t="s">
        <v>68</v>
      </c>
      <c r="F1295" s="12">
        <f>_xlfn.XLOOKUP(Table134526_79101120212223242526[[#This Row],[Name Surname]],Manpower!C:C,Manpower!D:D,)</f>
        <v>116915582</v>
      </c>
      <c r="G1295" s="48" t="str">
        <f>_xlfn.XLOOKUP(Table134526_79101120212223242526[[#This Row],[Name Surname]],Manpower!$C$4:$C$1048576,Manpower!$F$4:$F$1048576,"")</f>
        <v>Mechanical Superintendent</v>
      </c>
      <c r="H1295" s="48" t="str">
        <f>_xlfn.XLOOKUP(Table134526_79101120212223242526[[#This Row],[Name Surname]],Manpower!$C$4:$C$1048576,Manpower!$H$4:$H$1048576,"")</f>
        <v>Manpower</v>
      </c>
      <c r="I1295" s="42" t="str">
        <f>_xlfn.XLOOKUP(Table134526_79101120212223242526[[#This Row],[Name Surname]],Manpower!$C$4:$C$1048576,Manpower!$H$4:$H$1048576,"")</f>
        <v>Manpower</v>
      </c>
      <c r="J1295" s="43" t="s">
        <v>48</v>
      </c>
      <c r="K1295" s="43" t="s">
        <v>26</v>
      </c>
      <c r="L1295" s="43" t="s">
        <v>49</v>
      </c>
      <c r="M1295" s="43" t="s">
        <v>24</v>
      </c>
      <c r="N1295" s="44">
        <v>8</v>
      </c>
      <c r="O1295" s="43" t="s">
        <v>25</v>
      </c>
      <c r="P1295" s="43" t="s">
        <v>41</v>
      </c>
      <c r="Q1295" s="43" t="s">
        <v>60</v>
      </c>
      <c r="R1295" s="43" t="s">
        <v>26</v>
      </c>
      <c r="S1295" s="43"/>
    </row>
    <row r="1296" spans="1:19" s="45" customFormat="1" ht="14.4" hidden="1">
      <c r="A1296" s="25">
        <f>IF(C1296="","",MAX($A$1:A1295)+1)</f>
        <v>1232</v>
      </c>
      <c r="B1296" s="25" t="s">
        <v>19</v>
      </c>
      <c r="C1296" s="41">
        <v>46092</v>
      </c>
      <c r="D1296" s="48" t="str">
        <f>_xlfn.XLOOKUP(Table134526_79101120212223242526[[#This Row],[Name Surname]],Manpower!$C$4:$C$1048576,Manpower!$B$4:$B$1048576,"")</f>
        <v>Encogroup</v>
      </c>
      <c r="E1296" s="43" t="s">
        <v>69</v>
      </c>
      <c r="F1296" s="12">
        <f>_xlfn.XLOOKUP(Table134526_79101120212223242526[[#This Row],[Name Surname]],Manpower!C:C,Manpower!D:D,)</f>
        <v>141169071</v>
      </c>
      <c r="G1296" s="48" t="str">
        <f>_xlfn.XLOOKUP(Table134526_79101120212223242526[[#This Row],[Name Surname]],Manpower!$C$4:$C$1048576,Manpower!$F$4:$F$1048576,"")</f>
        <v>Welding Supervisor</v>
      </c>
      <c r="H1296" s="48" t="str">
        <f>_xlfn.XLOOKUP(Table134526_79101120212223242526[[#This Row],[Name Surname]],Manpower!$C$4:$C$1048576,Manpower!$H$4:$H$1048576,"")</f>
        <v>Manpower</v>
      </c>
      <c r="I1296" s="42" t="str">
        <f>_xlfn.XLOOKUP(Table134526_79101120212223242526[[#This Row],[Name Surname]],Manpower!$C$4:$C$1048576,Manpower!$H$4:$H$1048576,"")</f>
        <v>Manpower</v>
      </c>
      <c r="J1296" s="43" t="s">
        <v>48</v>
      </c>
      <c r="K1296" s="43" t="s">
        <v>26</v>
      </c>
      <c r="L1296" s="43" t="s">
        <v>49</v>
      </c>
      <c r="M1296" s="43" t="s">
        <v>24</v>
      </c>
      <c r="N1296" s="44">
        <v>10</v>
      </c>
      <c r="O1296" s="43" t="s">
        <v>25</v>
      </c>
      <c r="P1296" s="43" t="s">
        <v>41</v>
      </c>
      <c r="Q1296" s="43" t="s">
        <v>60</v>
      </c>
      <c r="R1296" s="43" t="s">
        <v>26</v>
      </c>
      <c r="S1296" s="43"/>
    </row>
    <row r="1297" spans="1:19" s="45" customFormat="1" ht="14.4" hidden="1">
      <c r="A1297" s="25">
        <f>IF(C1297="","",MAX($A$1:A1296)+1)</f>
        <v>1233</v>
      </c>
      <c r="B1297" s="25" t="s">
        <v>19</v>
      </c>
      <c r="C1297" s="41">
        <v>46092</v>
      </c>
      <c r="D1297" s="48" t="str">
        <f>_xlfn.XLOOKUP(Table134526_79101120212223242526[[#This Row],[Name Surname]],Manpower!$C$4:$C$1048576,Manpower!$B$4:$B$1048576,"")</f>
        <v>Encogroup</v>
      </c>
      <c r="E1297" s="43" t="s">
        <v>70</v>
      </c>
      <c r="F1297" s="12">
        <f>_xlfn.XLOOKUP(Table134526_79101120212223242526[[#This Row],[Name Surname]],Manpower!C:C,Manpower!D:D,)</f>
        <v>141365126</v>
      </c>
      <c r="G1297" s="48" t="str">
        <f>_xlfn.XLOOKUP(Table134526_79101120212223242526[[#This Row],[Name Surname]],Manpower!$C$4:$C$1048576,Manpower!$F$4:$F$1048576,"")</f>
        <v>Helper</v>
      </c>
      <c r="H1297" s="48" t="str">
        <f>_xlfn.XLOOKUP(Table134526_79101120212223242526[[#This Row],[Name Surname]],Manpower!$C$4:$C$1048576,Manpower!$H$4:$H$1048576,"")</f>
        <v>Manpower</v>
      </c>
      <c r="I1297" s="42" t="str">
        <f>_xlfn.XLOOKUP(Table134526_79101120212223242526[[#This Row],[Name Surname]],Manpower!$C$4:$C$1048576,Manpower!$H$4:$H$1048576,"")</f>
        <v>Manpower</v>
      </c>
      <c r="J1297" s="43" t="s">
        <v>48</v>
      </c>
      <c r="K1297" s="43" t="s">
        <v>26</v>
      </c>
      <c r="L1297" s="43" t="s">
        <v>49</v>
      </c>
      <c r="M1297" s="43" t="s">
        <v>24</v>
      </c>
      <c r="N1297" s="44">
        <v>10</v>
      </c>
      <c r="O1297" s="43" t="s">
        <v>25</v>
      </c>
      <c r="P1297" s="43" t="s">
        <v>41</v>
      </c>
      <c r="Q1297" s="43" t="s">
        <v>60</v>
      </c>
      <c r="R1297" s="43" t="s">
        <v>26</v>
      </c>
      <c r="S1297" s="43"/>
    </row>
    <row r="1298" spans="1:19" s="45" customFormat="1" ht="14.4" hidden="1">
      <c r="A1298" s="25">
        <f>IF(C1298="","",MAX($A$1:A1297)+1)</f>
        <v>1234</v>
      </c>
      <c r="B1298" s="25" t="s">
        <v>19</v>
      </c>
      <c r="C1298" s="41">
        <v>46092</v>
      </c>
      <c r="D1298" s="48" t="str">
        <f>_xlfn.XLOOKUP(Table134526_79101120212223242526[[#This Row],[Name Surname]],Manpower!$C$4:$C$1048576,Manpower!$B$4:$B$1048576,"")</f>
        <v>Encogroup</v>
      </c>
      <c r="E1298" s="43" t="s">
        <v>278</v>
      </c>
      <c r="F1298" s="12">
        <f>_xlfn.XLOOKUP(Table134526_79101120212223242526[[#This Row],[Name Surname]],Manpower!C:C,Manpower!D:D,)</f>
        <v>137098196</v>
      </c>
      <c r="G1298" s="48" t="str">
        <f>_xlfn.XLOOKUP(Table134526_79101120212223242526[[#This Row],[Name Surname]],Manpower!$C$4:$C$1048576,Manpower!$F$4:$F$1048576,"")</f>
        <v>Lifting engineer</v>
      </c>
      <c r="H1298" s="48" t="str">
        <f>_xlfn.XLOOKUP(Table134526_79101120212223242526[[#This Row],[Name Surname]],Manpower!$C$4:$C$1048576,Manpower!$H$4:$H$1048576,"")</f>
        <v>Manpower</v>
      </c>
      <c r="I1298" s="42" t="str">
        <f>_xlfn.XLOOKUP(Table134526_79101120212223242526[[#This Row],[Name Surname]],Manpower!$C$4:$C$1048576,Manpower!$H$4:$H$1048576,"")</f>
        <v>Manpower</v>
      </c>
      <c r="J1298" s="43" t="s">
        <v>48</v>
      </c>
      <c r="K1298" s="43" t="s">
        <v>26</v>
      </c>
      <c r="L1298" s="43" t="s">
        <v>49</v>
      </c>
      <c r="M1298" s="43" t="s">
        <v>24</v>
      </c>
      <c r="N1298" s="44">
        <v>10</v>
      </c>
      <c r="O1298" s="43" t="s">
        <v>25</v>
      </c>
      <c r="P1298" s="43" t="s">
        <v>41</v>
      </c>
      <c r="Q1298" s="43" t="s">
        <v>60</v>
      </c>
      <c r="R1298" s="43" t="s">
        <v>26</v>
      </c>
      <c r="S1298" s="43"/>
    </row>
    <row r="1299" spans="1:19" s="45" customFormat="1" ht="14.4" hidden="1">
      <c r="A1299" s="25">
        <f>IF(C1299="","",MAX($A$1:A1297)+1)</f>
        <v>1234</v>
      </c>
      <c r="B1299" s="25" t="s">
        <v>19</v>
      </c>
      <c r="C1299" s="41">
        <v>46092</v>
      </c>
      <c r="D1299" s="48" t="str">
        <f>_xlfn.XLOOKUP(Table134526_79101120212223242526[[#This Row],[Name Surname]],Manpower!$C$4:$C$1048576,Manpower!$B$4:$B$1048576,"")</f>
        <v>Bright Light</v>
      </c>
      <c r="E1299" s="43" t="s">
        <v>71</v>
      </c>
      <c r="F1299" s="12">
        <f>_xlfn.XLOOKUP(Table134526_79101120212223242526[[#This Row],[Name Surname]],Manpower!C:C,Manpower!D:D,)</f>
        <v>81379273</v>
      </c>
      <c r="G1299" s="48" t="str">
        <f>_xlfn.XLOOKUP(Table134526_79101120212223242526[[#This Row],[Name Surname]],Manpower!$C$4:$C$1048576,Manpower!$F$4:$F$1048576,"")</f>
        <v>Crane Operator-100T Sany Telescopic</v>
      </c>
      <c r="H1299" s="48" t="s">
        <v>39</v>
      </c>
      <c r="I1299" s="42" t="s">
        <v>39</v>
      </c>
      <c r="J1299" s="43" t="s">
        <v>48</v>
      </c>
      <c r="K1299" s="43" t="s">
        <v>26</v>
      </c>
      <c r="L1299" s="43" t="s">
        <v>49</v>
      </c>
      <c r="M1299" s="43" t="s">
        <v>24</v>
      </c>
      <c r="N1299" s="44">
        <v>10</v>
      </c>
      <c r="O1299" s="43" t="s">
        <v>40</v>
      </c>
      <c r="P1299" s="43" t="s">
        <v>41</v>
      </c>
      <c r="Q1299" s="43" t="s">
        <v>42</v>
      </c>
      <c r="R1299" s="43" t="s">
        <v>26</v>
      </c>
      <c r="S1299" s="43"/>
    </row>
    <row r="1300" spans="1:19" s="45" customFormat="1" ht="14.4" hidden="1">
      <c r="A1300" s="25">
        <f>IF(C1300="","",MAX($A$1:A1299)+1)</f>
        <v>1235</v>
      </c>
      <c r="B1300" s="25" t="s">
        <v>19</v>
      </c>
      <c r="C1300" s="41">
        <v>46092</v>
      </c>
      <c r="D1300" s="48" t="str">
        <f>_xlfn.XLOOKUP(Table134526_79101120212223242526[[#This Row],[Name Surname]],Manpower!$C$4:$C$1048576,Manpower!$B$4:$B$1048576,"")</f>
        <v>Encogroup</v>
      </c>
      <c r="E1300" s="43" t="s">
        <v>73</v>
      </c>
      <c r="F1300" s="12">
        <f>_xlfn.XLOOKUP(Table134526_79101120212223242526[[#This Row],[Name Surname]],Manpower!C:C,Manpower!D:D,)</f>
        <v>135325259</v>
      </c>
      <c r="G1300" s="48" t="str">
        <f>_xlfn.XLOOKUP(Table134526_79101120212223242526[[#This Row],[Name Surname]],Manpower!$C$4:$C$1048576,Manpower!$F$4:$F$1048576,"")</f>
        <v>Permit Receiver</v>
      </c>
      <c r="H1300" s="48" t="str">
        <f>_xlfn.XLOOKUP(Table134526_79101120212223242526[[#This Row],[Name Surname]],Manpower!$C$4:$C$1048576,Manpower!$H$4:$H$1048576,"")</f>
        <v>Manpower</v>
      </c>
      <c r="I1300" s="42" t="str">
        <f>_xlfn.XLOOKUP(Table134526_79101120212223242526[[#This Row],[Name Surname]],Manpower!$C$4:$C$1048576,Manpower!$H$4:$H$1048576,"")</f>
        <v>Manpower</v>
      </c>
      <c r="J1300" s="43" t="s">
        <v>48</v>
      </c>
      <c r="K1300" s="43" t="s">
        <v>26</v>
      </c>
      <c r="L1300" s="43" t="s">
        <v>49</v>
      </c>
      <c r="M1300" s="43" t="s">
        <v>24</v>
      </c>
      <c r="N1300" s="44">
        <v>10</v>
      </c>
      <c r="O1300" s="43" t="s">
        <v>25</v>
      </c>
      <c r="P1300" s="43" t="s">
        <v>41</v>
      </c>
      <c r="Q1300" s="43" t="s">
        <v>60</v>
      </c>
      <c r="R1300" s="43" t="s">
        <v>26</v>
      </c>
      <c r="S1300" s="43"/>
    </row>
    <row r="1301" spans="1:19" s="45" customFormat="1" ht="14.4" hidden="1">
      <c r="A1301" s="25">
        <f>IF(C1301="","",MAX($A$1:A1300)+1)</f>
        <v>1236</v>
      </c>
      <c r="B1301" s="25" t="s">
        <v>19</v>
      </c>
      <c r="C1301" s="41">
        <v>46092</v>
      </c>
      <c r="D1301" s="48" t="str">
        <f>_xlfn.XLOOKUP(Table134526_79101120212223242526[[#This Row],[Name Surname]],Manpower!$C$4:$C$1048576,Manpower!$B$4:$B$1048576,"")</f>
        <v>Encogroup</v>
      </c>
      <c r="E1301" s="43" t="s">
        <v>74</v>
      </c>
      <c r="F1301" s="12">
        <f>_xlfn.XLOOKUP(Table134526_79101120212223242526[[#This Row],[Name Surname]],Manpower!C:C,Manpower!D:D,)</f>
        <v>141365089</v>
      </c>
      <c r="G1301" s="48" t="str">
        <f>_xlfn.XLOOKUP(Table134526_79101120212223242526[[#This Row],[Name Surname]],Manpower!$C$4:$C$1048576,Manpower!$F$4:$F$1048576,"")</f>
        <v>Fitter</v>
      </c>
      <c r="H1301" s="48" t="str">
        <f>_xlfn.XLOOKUP(Table134526_79101120212223242526[[#This Row],[Name Surname]],Manpower!$C$4:$C$1048576,Manpower!$H$4:$H$1048576,"")</f>
        <v>Manpower</v>
      </c>
      <c r="I1301" s="42" t="str">
        <f>_xlfn.XLOOKUP(Table134526_79101120212223242526[[#This Row],[Name Surname]],Manpower!$C$4:$C$1048576,Manpower!$H$4:$H$1048576,"")</f>
        <v>Manpower</v>
      </c>
      <c r="J1301" s="43" t="s">
        <v>48</v>
      </c>
      <c r="K1301" s="43" t="s">
        <v>26</v>
      </c>
      <c r="L1301" s="43" t="s">
        <v>49</v>
      </c>
      <c r="M1301" s="43" t="s">
        <v>24</v>
      </c>
      <c r="N1301" s="44">
        <v>10</v>
      </c>
      <c r="O1301" s="43" t="s">
        <v>25</v>
      </c>
      <c r="P1301" s="43" t="s">
        <v>41</v>
      </c>
      <c r="Q1301" s="43" t="s">
        <v>60</v>
      </c>
      <c r="R1301" s="43" t="s">
        <v>26</v>
      </c>
      <c r="S1301" s="43"/>
    </row>
    <row r="1302" spans="1:19" s="45" customFormat="1" ht="14.4" hidden="1">
      <c r="A1302" s="25">
        <f>IF(C1302="","",MAX($A$1:A1301)+1)</f>
        <v>1237</v>
      </c>
      <c r="B1302" s="25" t="s">
        <v>19</v>
      </c>
      <c r="C1302" s="41">
        <v>46092</v>
      </c>
      <c r="D1302" s="48" t="str">
        <f>_xlfn.XLOOKUP(Table134526_79101120212223242526[[#This Row],[Name Surname]],Manpower!$C$4:$C$1048576,Manpower!$B$4:$B$1048576,"")</f>
        <v>Encogroup</v>
      </c>
      <c r="E1302" s="43" t="s">
        <v>75</v>
      </c>
      <c r="F1302" s="12">
        <f>_xlfn.XLOOKUP(Table134526_79101120212223242526[[#This Row],[Name Surname]],Manpower!C:C,Manpower!D:D,)</f>
        <v>122179604</v>
      </c>
      <c r="G1302" s="48" t="str">
        <f>_xlfn.XLOOKUP(Table134526_79101120212223242526[[#This Row],[Name Surname]],Manpower!$C$4:$C$1048576,Manpower!$F$4:$F$1048576,"")</f>
        <v>Fitter/Erector</v>
      </c>
      <c r="H1302" s="48" t="str">
        <f>_xlfn.XLOOKUP(Table134526_79101120212223242526[[#This Row],[Name Surname]],Manpower!$C$4:$C$1048576,Manpower!$H$4:$H$1048576,"")</f>
        <v>Manpower</v>
      </c>
      <c r="I1302" s="42" t="str">
        <f>_xlfn.XLOOKUP(Table134526_79101120212223242526[[#This Row],[Name Surname]],Manpower!$C$4:$C$1048576,Manpower!$H$4:$H$1048576,"")</f>
        <v>Manpower</v>
      </c>
      <c r="J1302" s="43" t="s">
        <v>48</v>
      </c>
      <c r="K1302" s="43" t="s">
        <v>26</v>
      </c>
      <c r="L1302" s="43" t="s">
        <v>49</v>
      </c>
      <c r="M1302" s="43" t="s">
        <v>24</v>
      </c>
      <c r="N1302" s="44">
        <v>10</v>
      </c>
      <c r="O1302" s="43" t="s">
        <v>25</v>
      </c>
      <c r="P1302" s="43" t="s">
        <v>41</v>
      </c>
      <c r="Q1302" s="43" t="s">
        <v>60</v>
      </c>
      <c r="R1302" s="43" t="s">
        <v>26</v>
      </c>
      <c r="S1302" s="43"/>
    </row>
    <row r="1303" spans="1:19" s="45" customFormat="1" ht="14.4" hidden="1">
      <c r="A1303" s="25">
        <f>IF(C1303="","",MAX($A$1:A1302)+1)</f>
        <v>1238</v>
      </c>
      <c r="B1303" s="25" t="s">
        <v>19</v>
      </c>
      <c r="C1303" s="41">
        <v>46092</v>
      </c>
      <c r="D1303" s="48" t="str">
        <f>_xlfn.XLOOKUP(Table134526_79101120212223242526[[#This Row],[Name Surname]],Manpower!$C$4:$C$1048576,Manpower!$B$4:$B$1048576,"")</f>
        <v>Encogroup</v>
      </c>
      <c r="E1303" s="43" t="s">
        <v>78</v>
      </c>
      <c r="F1303" s="12">
        <f>_xlfn.XLOOKUP(Table134526_79101120212223242526[[#This Row],[Name Surname]],Manpower!C:C,Manpower!D:D,)</f>
        <v>117255966</v>
      </c>
      <c r="G1303" s="48" t="str">
        <f>_xlfn.XLOOKUP(Table134526_79101120212223242526[[#This Row],[Name Surname]],Manpower!$C$4:$C$1048576,Manpower!$F$4:$F$1048576,"")</f>
        <v>Mechanical Supervisor</v>
      </c>
      <c r="H1303" s="48" t="str">
        <f>_xlfn.XLOOKUP(Table134526_79101120212223242526[[#This Row],[Name Surname]],Manpower!$C$4:$C$1048576,Manpower!$H$4:$H$1048576,"")</f>
        <v>Manpower</v>
      </c>
      <c r="I1303" s="42" t="str">
        <f>_xlfn.XLOOKUP(Table134526_79101120212223242526[[#This Row],[Name Surname]],Manpower!$C$4:$C$1048576,Manpower!$H$4:$H$1048576,"")</f>
        <v>Manpower</v>
      </c>
      <c r="J1303" s="43" t="s">
        <v>48</v>
      </c>
      <c r="K1303" s="43" t="s">
        <v>26</v>
      </c>
      <c r="L1303" s="43" t="s">
        <v>49</v>
      </c>
      <c r="M1303" s="43" t="s">
        <v>24</v>
      </c>
      <c r="N1303" s="44">
        <v>10</v>
      </c>
      <c r="O1303" s="43" t="s">
        <v>25</v>
      </c>
      <c r="P1303" s="43" t="s">
        <v>41</v>
      </c>
      <c r="Q1303" s="43" t="s">
        <v>60</v>
      </c>
      <c r="R1303" s="43" t="s">
        <v>26</v>
      </c>
      <c r="S1303" s="43"/>
    </row>
    <row r="1304" spans="1:19" ht="14.4">
      <c r="A1304" s="33">
        <f>IF(C1304="","",MAX($A$1:A1303)+1)</f>
        <v>1239</v>
      </c>
      <c r="B1304" s="26" t="s">
        <v>79</v>
      </c>
      <c r="C1304" s="23">
        <v>46092</v>
      </c>
      <c r="D1304" s="28" t="str">
        <f>_xlfn.XLOOKUP(Table134526_79101120212223242526[[#This Row],[Name Surname]],Manpower!$C$4:$C$1048576,Manpower!$B$4:$B$1048576,"")</f>
        <v>Encogroup</v>
      </c>
      <c r="E1304" s="21" t="s">
        <v>80</v>
      </c>
      <c r="F1304" s="12" t="e">
        <f>_xlfn.XLOOKUP(Table134526_79101120212223242526[[#This Row],[Name Surname]],Manpower!C:C,Manpower!D:D,)</f>
        <v>#N/A</v>
      </c>
      <c r="G1304" s="28" t="str">
        <f>_xlfn.XLOOKUP(Table134526_79101120212223242526[[#This Row],[Name Surname]],Manpower!$C$4:$C$1048576,Manpower!$F$4:$F$1048576,"")</f>
        <v>22M-Manlift</v>
      </c>
      <c r="H1304" s="28" t="str">
        <f>_xlfn.XLOOKUP(Table134526_79101120212223242526[[#This Row],[Name Surname]],Manpower!$C$4:$C$1048576,Manpower!$H$4:$H$1048576,"")</f>
        <v>Equipment</v>
      </c>
      <c r="I1304" s="24" t="str">
        <f>_xlfn.XLOOKUP(Table134526_79101120212223242526[[#This Row],[Name Surname]],Manpower!$C$4:$C$1048576,Manpower!$H$4:$H$1048576,"")</f>
        <v>Equipment</v>
      </c>
      <c r="J1304" s="21" t="s">
        <v>35</v>
      </c>
      <c r="K1304" s="21" t="s">
        <v>104</v>
      </c>
      <c r="L1304" s="21" t="s">
        <v>82</v>
      </c>
      <c r="M1304" s="21" t="s">
        <v>24</v>
      </c>
      <c r="N1304" s="29">
        <v>10</v>
      </c>
      <c r="O1304" s="21" t="s">
        <v>25</v>
      </c>
      <c r="P1304" s="21" t="s">
        <v>41</v>
      </c>
      <c r="Q1304" s="21" t="s">
        <v>77</v>
      </c>
      <c r="R1304" s="21" t="s">
        <v>267</v>
      </c>
    </row>
    <row r="1305" spans="1:19" ht="14.4">
      <c r="A1305" s="33">
        <f>IF(C1305="","",MAX($A$1:A1304)+1)</f>
        <v>1240</v>
      </c>
      <c r="B1305" s="26" t="s">
        <v>79</v>
      </c>
      <c r="C1305" s="23">
        <v>46092</v>
      </c>
      <c r="D1305" s="28" t="str">
        <f>_xlfn.XLOOKUP(Table134526_79101120212223242526[[#This Row],[Name Surname]],Manpower!$C$4:$C$1048576,Manpower!$B$4:$B$1048576,"")</f>
        <v>Encogroup</v>
      </c>
      <c r="E1305" s="21" t="s">
        <v>84</v>
      </c>
      <c r="F1305" s="12" t="e">
        <f>_xlfn.XLOOKUP(Table134526_79101120212223242526[[#This Row],[Name Surname]],Manpower!C:C,Manpower!D:D,)</f>
        <v>#N/A</v>
      </c>
      <c r="G1305" s="28" t="str">
        <f>_xlfn.XLOOKUP(Table134526_79101120212223242526[[#This Row],[Name Surname]],Manpower!$C$4:$C$1048576,Manpower!$F$4:$F$1048576,"")</f>
        <v>22M-Manlift</v>
      </c>
      <c r="H1305" s="28" t="str">
        <f>_xlfn.XLOOKUP(Table134526_79101120212223242526[[#This Row],[Name Surname]],Manpower!$C$4:$C$1048576,Manpower!$H$4:$H$1048576,"")</f>
        <v>Equipment</v>
      </c>
      <c r="I1305" s="24" t="str">
        <f>_xlfn.XLOOKUP(Table134526_79101120212223242526[[#This Row],[Name Surname]],Manpower!$C$4:$C$1048576,Manpower!$H$4:$H$1048576,"")</f>
        <v>Equipment</v>
      </c>
      <c r="J1305" s="21" t="s">
        <v>35</v>
      </c>
      <c r="K1305" s="21" t="s">
        <v>104</v>
      </c>
      <c r="L1305" s="21" t="s">
        <v>82</v>
      </c>
      <c r="M1305" s="21" t="s">
        <v>24</v>
      </c>
      <c r="N1305" s="29">
        <v>10</v>
      </c>
      <c r="O1305" s="21" t="s">
        <v>25</v>
      </c>
      <c r="P1305" s="21" t="s">
        <v>41</v>
      </c>
      <c r="Q1305" s="21" t="s">
        <v>77</v>
      </c>
      <c r="R1305" s="21" t="s">
        <v>267</v>
      </c>
    </row>
    <row r="1306" spans="1:19" ht="14.4">
      <c r="A1306" s="33">
        <f>IF(C1306="","",MAX($A$1:A1305)+1)</f>
        <v>1241</v>
      </c>
      <c r="B1306" s="26" t="s">
        <v>79</v>
      </c>
      <c r="C1306" s="23">
        <v>46092</v>
      </c>
      <c r="D1306" s="28" t="str">
        <f>_xlfn.XLOOKUP(Table134526_79101120212223242526[[#This Row],[Name Surname]],Manpower!$C$4:$C$1048576,Manpower!$B$4:$B$1048576,"")</f>
        <v>Nass Group</v>
      </c>
      <c r="E1306" s="21" t="s">
        <v>86</v>
      </c>
      <c r="F1306" s="12" t="e">
        <f>_xlfn.XLOOKUP(Table134526_79101120212223242526[[#This Row],[Name Surname]],Manpower!C:C,Manpower!D:D,)</f>
        <v>#N/A</v>
      </c>
      <c r="G1306" s="28" t="str">
        <f>_xlfn.XLOOKUP(Table134526_79101120212223242526[[#This Row],[Name Surname]],Manpower!$C$4:$C$1048576,Manpower!$F$4:$F$1048576,"")</f>
        <v>70T-Telescopic crane</v>
      </c>
      <c r="H1306" s="28" t="str">
        <f>_xlfn.XLOOKUP(Table134526_79101120212223242526[[#This Row],[Name Surname]],Manpower!$C$4:$C$1048576,Manpower!$H$4:$H$1048576,"")</f>
        <v>Equipment</v>
      </c>
      <c r="I1306" s="24" t="str">
        <f>_xlfn.XLOOKUP(Table134526_79101120212223242526[[#This Row],[Name Surname]],Manpower!$C$4:$C$1048576,Manpower!$H$4:$H$1048576,"")</f>
        <v>Equipment</v>
      </c>
      <c r="J1306" s="21" t="s">
        <v>35</v>
      </c>
      <c r="K1306" s="21" t="s">
        <v>279</v>
      </c>
      <c r="L1306" s="21" t="s">
        <v>82</v>
      </c>
      <c r="M1306" s="21" t="s">
        <v>24</v>
      </c>
      <c r="N1306" s="29">
        <v>5</v>
      </c>
      <c r="O1306" s="21" t="s">
        <v>40</v>
      </c>
      <c r="P1306" s="21" t="s">
        <v>41</v>
      </c>
      <c r="Q1306" s="21" t="s">
        <v>42</v>
      </c>
      <c r="R1306" s="21" t="s">
        <v>280</v>
      </c>
    </row>
    <row r="1307" spans="1:19" s="45" customFormat="1" ht="14.4" hidden="1">
      <c r="A1307" s="25">
        <f>IF(C1307="","",MAX($A$1:A1306)+1)</f>
        <v>1242</v>
      </c>
      <c r="B1307" s="25" t="s">
        <v>79</v>
      </c>
      <c r="C1307" s="41">
        <v>46092</v>
      </c>
      <c r="D1307" s="48" t="str">
        <f>_xlfn.XLOOKUP(Table134526_79101120212223242526[[#This Row],[Name Surname]],Manpower!$C$4:$C$1048576,Manpower!$B$4:$B$1048576,"")</f>
        <v>Encogroup</v>
      </c>
      <c r="E1307" s="43" t="s">
        <v>91</v>
      </c>
      <c r="F1307" s="12">
        <f>_xlfn.XLOOKUP(Table134526_79101120212223242526[[#This Row],[Name Surname]],Manpower!C:C,Manpower!D:D,)</f>
        <v>132915855</v>
      </c>
      <c r="G1307" s="48" t="str">
        <f>_xlfn.XLOOKUP(Table134526_79101120212223242526[[#This Row],[Name Surname]],Manpower!$C$4:$C$1048576,Manpower!$F$4:$F$1048576,"")</f>
        <v>Mechanical Supervisor</v>
      </c>
      <c r="H1307" s="48" t="str">
        <f>_xlfn.XLOOKUP(Table134526_79101120212223242526[[#This Row],[Name Surname]],Manpower!$C$4:$C$1048576,Manpower!$H$4:$H$1048576,"")</f>
        <v>Manpower</v>
      </c>
      <c r="I1307" s="42" t="str">
        <f>_xlfn.XLOOKUP(Table134526_79101120212223242526[[#This Row],[Name Surname]],Manpower!$C$4:$C$1048576,Manpower!$H$4:$H$1048576,"")</f>
        <v>Manpower</v>
      </c>
      <c r="J1307" s="43" t="s">
        <v>35</v>
      </c>
      <c r="K1307" s="43" t="s">
        <v>279</v>
      </c>
      <c r="L1307" s="43" t="s">
        <v>82</v>
      </c>
      <c r="M1307" s="43" t="s">
        <v>24</v>
      </c>
      <c r="N1307" s="44">
        <v>8</v>
      </c>
      <c r="O1307" s="43" t="s">
        <v>25</v>
      </c>
      <c r="P1307" s="43" t="s">
        <v>60</v>
      </c>
      <c r="Q1307" s="43" t="s">
        <v>60</v>
      </c>
      <c r="R1307" s="43" t="s">
        <v>269</v>
      </c>
      <c r="S1307" s="43"/>
    </row>
    <row r="1308" spans="1:19" s="45" customFormat="1" ht="14.4" hidden="1">
      <c r="A1308" s="25">
        <f>IF(C1308="","",MAX($A$1:A1307)+1)</f>
        <v>1243</v>
      </c>
      <c r="B1308" s="25" t="s">
        <v>79</v>
      </c>
      <c r="C1308" s="41">
        <v>46092</v>
      </c>
      <c r="D1308" s="48" t="str">
        <f>_xlfn.XLOOKUP(Table134526_79101120212223242526[[#This Row],[Name Surname]],Manpower!$C$4:$C$1048576,Manpower!$B$4:$B$1048576,"")</f>
        <v>Encogroup</v>
      </c>
      <c r="E1308" s="43" t="s">
        <v>124</v>
      </c>
      <c r="F1308" s="12">
        <f>_xlfn.XLOOKUP(Table134526_79101120212223242526[[#This Row],[Name Surname]],Manpower!C:C,Manpower!D:D,)</f>
        <v>141169033</v>
      </c>
      <c r="G1308" s="48" t="str">
        <f>_xlfn.XLOOKUP(Table134526_79101120212223242526[[#This Row],[Name Surname]],Manpower!$C$4:$C$1048576,Manpower!$F$4:$F$1048576,"")</f>
        <v>Welder</v>
      </c>
      <c r="H1308" s="48" t="str">
        <f>_xlfn.XLOOKUP(Table134526_79101120212223242526[[#This Row],[Name Surname]],Manpower!$C$4:$C$1048576,Manpower!$H$4:$H$1048576,"")</f>
        <v>Manpower</v>
      </c>
      <c r="I1308" s="42" t="str">
        <f>_xlfn.XLOOKUP(Table134526_79101120212223242526[[#This Row],[Name Surname]],Manpower!$C$4:$C$1048576,Manpower!$H$4:$H$1048576,"")</f>
        <v>Manpower</v>
      </c>
      <c r="J1308" s="43" t="s">
        <v>35</v>
      </c>
      <c r="K1308" s="43" t="s">
        <v>281</v>
      </c>
      <c r="L1308" s="43" t="s">
        <v>82</v>
      </c>
      <c r="M1308" s="43" t="s">
        <v>24</v>
      </c>
      <c r="N1308" s="44">
        <v>10</v>
      </c>
      <c r="O1308" s="43" t="s">
        <v>94</v>
      </c>
      <c r="P1308" s="43" t="s">
        <v>95</v>
      </c>
      <c r="Q1308" s="43" t="s">
        <v>95</v>
      </c>
      <c r="R1308" s="43" t="s">
        <v>282</v>
      </c>
      <c r="S1308" s="43"/>
    </row>
    <row r="1309" spans="1:19" s="45" customFormat="1" ht="14.4" hidden="1">
      <c r="A1309" s="25">
        <f>IF(C1309="","",MAX($A$1:A1308)+1)</f>
        <v>1244</v>
      </c>
      <c r="B1309" s="25" t="s">
        <v>79</v>
      </c>
      <c r="C1309" s="41">
        <v>46092</v>
      </c>
      <c r="D1309" s="48" t="str">
        <f>_xlfn.XLOOKUP(Table134526_79101120212223242526[[#This Row],[Name Surname]],Manpower!$C$4:$C$1048576,Manpower!$B$4:$B$1048576,"")</f>
        <v>Encogroup</v>
      </c>
      <c r="E1309" s="43" t="s">
        <v>97</v>
      </c>
      <c r="F1309" s="12">
        <f>_xlfn.XLOOKUP(Table134526_79101120212223242526[[#This Row],[Name Surname]],Manpower!C:C,Manpower!D:D,)</f>
        <v>141359235</v>
      </c>
      <c r="G1309" s="48" t="str">
        <f>_xlfn.XLOOKUP(Table134526_79101120212223242526[[#This Row],[Name Surname]],Manpower!$C$4:$C$1048576,Manpower!$F$4:$F$1048576,"")</f>
        <v>Fitter</v>
      </c>
      <c r="H1309" s="48" t="str">
        <f>_xlfn.XLOOKUP(Table134526_79101120212223242526[[#This Row],[Name Surname]],Manpower!$C$4:$C$1048576,Manpower!$H$4:$H$1048576,"")</f>
        <v>Manpower</v>
      </c>
      <c r="I1309" s="42" t="str">
        <f>_xlfn.XLOOKUP(Table134526_79101120212223242526[[#This Row],[Name Surname]],Manpower!$C$4:$C$1048576,Manpower!$H$4:$H$1048576,"")</f>
        <v>Manpower</v>
      </c>
      <c r="J1309" s="43" t="s">
        <v>35</v>
      </c>
      <c r="K1309" s="43" t="s">
        <v>104</v>
      </c>
      <c r="L1309" s="43" t="s">
        <v>82</v>
      </c>
      <c r="M1309" s="43" t="s">
        <v>24</v>
      </c>
      <c r="N1309" s="44">
        <v>10</v>
      </c>
      <c r="O1309" s="43" t="s">
        <v>25</v>
      </c>
      <c r="P1309" s="43" t="s">
        <v>41</v>
      </c>
      <c r="Q1309" s="43" t="s">
        <v>77</v>
      </c>
      <c r="R1309" s="43" t="s">
        <v>267</v>
      </c>
      <c r="S1309" s="43"/>
    </row>
    <row r="1310" spans="1:19" s="45" customFormat="1" ht="14.4" hidden="1">
      <c r="A1310" s="25">
        <f>IF(C1310="","",MAX($A$1:A1309)+1)</f>
        <v>1245</v>
      </c>
      <c r="B1310" s="25" t="s">
        <v>79</v>
      </c>
      <c r="C1310" s="41">
        <v>46092</v>
      </c>
      <c r="D1310" s="48" t="str">
        <f>_xlfn.XLOOKUP(Table134526_79101120212223242526[[#This Row],[Name Surname]],Manpower!$C$4:$C$1048576,Manpower!$B$4:$B$1048576,"")</f>
        <v>Encogroup</v>
      </c>
      <c r="E1310" s="43" t="s">
        <v>99</v>
      </c>
      <c r="F1310" s="12">
        <f>_xlfn.XLOOKUP(Table134526_79101120212223242526[[#This Row],[Name Surname]],Manpower!C:C,Manpower!D:D,)</f>
        <v>140697025</v>
      </c>
      <c r="G1310" s="48" t="str">
        <f>_xlfn.XLOOKUP(Table134526_79101120212223242526[[#This Row],[Name Surname]],Manpower!$C$4:$C$1048576,Manpower!$F$4:$F$1048576,"")</f>
        <v>Assistant/Helper</v>
      </c>
      <c r="H1310" s="48" t="str">
        <f>_xlfn.XLOOKUP(Table134526_79101120212223242526[[#This Row],[Name Surname]],Manpower!$C$4:$C$1048576,Manpower!$H$4:$H$1048576,"")</f>
        <v>Manpower</v>
      </c>
      <c r="I1310" s="42" t="str">
        <f>_xlfn.XLOOKUP(Table134526_79101120212223242526[[#This Row],[Name Surname]],Manpower!$C$4:$C$1048576,Manpower!$H$4:$H$1048576,"")</f>
        <v>Manpower</v>
      </c>
      <c r="J1310" s="43" t="s">
        <v>35</v>
      </c>
      <c r="K1310" s="43" t="s">
        <v>279</v>
      </c>
      <c r="L1310" s="43" t="s">
        <v>82</v>
      </c>
      <c r="M1310" s="43" t="s">
        <v>24</v>
      </c>
      <c r="N1310" s="44">
        <v>10</v>
      </c>
      <c r="O1310" s="43" t="s">
        <v>25</v>
      </c>
      <c r="P1310" s="43" t="s">
        <v>41</v>
      </c>
      <c r="Q1310" s="43" t="s">
        <v>60</v>
      </c>
      <c r="R1310" s="43" t="s">
        <v>100</v>
      </c>
      <c r="S1310" s="43"/>
    </row>
    <row r="1311" spans="1:19" s="45" customFormat="1" ht="14.4" hidden="1">
      <c r="A1311" s="25">
        <f>IF(C1311="","",MAX($A$1:A1310)+1)</f>
        <v>1246</v>
      </c>
      <c r="B1311" s="25" t="s">
        <v>79</v>
      </c>
      <c r="C1311" s="41">
        <v>46092</v>
      </c>
      <c r="D1311" s="48" t="str">
        <f>_xlfn.XLOOKUP(Table134526_79101120212223242526[[#This Row],[Name Surname]],Manpower!$C$4:$C$1048576,Manpower!$B$4:$B$1048576,"")</f>
        <v>Encogroup</v>
      </c>
      <c r="E1311" s="43" t="s">
        <v>101</v>
      </c>
      <c r="F1311" s="12">
        <f>_xlfn.XLOOKUP(Table134526_79101120212223242526[[#This Row],[Name Surname]],Manpower!C:C,Manpower!D:D,)</f>
        <v>141169052</v>
      </c>
      <c r="G1311" s="48" t="str">
        <f>_xlfn.XLOOKUP(Table134526_79101120212223242526[[#This Row],[Name Surname]],Manpower!$C$4:$C$1048576,Manpower!$F$4:$F$1048576,"")</f>
        <v>Welder</v>
      </c>
      <c r="H1311" s="48" t="str">
        <f>_xlfn.XLOOKUP(Table134526_79101120212223242526[[#This Row],[Name Surname]],Manpower!$C$4:$C$1048576,Manpower!$H$4:$H$1048576,"")</f>
        <v>Manpower</v>
      </c>
      <c r="I1311" s="42" t="str">
        <f>_xlfn.XLOOKUP(Table134526_79101120212223242526[[#This Row],[Name Surname]],Manpower!$C$4:$C$1048576,Manpower!$H$4:$H$1048576,"")</f>
        <v>Manpower</v>
      </c>
      <c r="J1311" s="43" t="s">
        <v>35</v>
      </c>
      <c r="K1311" s="43" t="s">
        <v>104</v>
      </c>
      <c r="L1311" s="43" t="s">
        <v>82</v>
      </c>
      <c r="M1311" s="43" t="s">
        <v>24</v>
      </c>
      <c r="N1311" s="44">
        <v>10</v>
      </c>
      <c r="O1311" s="43" t="s">
        <v>25</v>
      </c>
      <c r="P1311" s="43" t="s">
        <v>41</v>
      </c>
      <c r="Q1311" s="43" t="s">
        <v>77</v>
      </c>
      <c r="R1311" s="43" t="s">
        <v>267</v>
      </c>
      <c r="S1311" s="43"/>
    </row>
    <row r="1312" spans="1:19" ht="14.4" hidden="1">
      <c r="A1312" s="33">
        <f>IF(C1312="","",MAX($A$1:A1311)+1)</f>
        <v>1247</v>
      </c>
      <c r="B1312" s="26" t="s">
        <v>79</v>
      </c>
      <c r="C1312" s="23">
        <v>46092</v>
      </c>
      <c r="D1312" s="28" t="str">
        <f>_xlfn.XLOOKUP(Table134526_79101120212223242526[[#This Row],[Name Surname]],Manpower!$C$4:$C$1048576,Manpower!$B$4:$B$1048576,"")</f>
        <v>SARENS NASS</v>
      </c>
      <c r="E1312" s="21" t="s">
        <v>103</v>
      </c>
      <c r="F1312" s="12">
        <f>_xlfn.XLOOKUP(Table134526_79101120212223242526[[#This Row],[Name Surname]],Manpower!C:C,Manpower!D:D,)</f>
        <v>79502392</v>
      </c>
      <c r="G1312" s="28" t="str">
        <f>_xlfn.XLOOKUP(Table134526_79101120212223242526[[#This Row],[Name Surname]],Manpower!$C$4:$C$1048576,Manpower!$F$4:$F$1048576,"")</f>
        <v>Crane Operator- 70T Liebherr Telescopic Crane-01</v>
      </c>
      <c r="H1312" s="28" t="str">
        <f>_xlfn.XLOOKUP(Table134526_79101120212223242526[[#This Row],[Name Surname]],Manpower!$C$4:$C$1048576,Manpower!$H$4:$H$1048576,"")</f>
        <v>Manpower</v>
      </c>
      <c r="I1312" s="24" t="str">
        <f>_xlfn.XLOOKUP(Table134526_79101120212223242526[[#This Row],[Name Surname]],Manpower!$C$4:$C$1048576,Manpower!$H$4:$H$1048576,"")</f>
        <v>Manpower</v>
      </c>
      <c r="J1312" s="21" t="s">
        <v>35</v>
      </c>
      <c r="K1312" s="21" t="s">
        <v>279</v>
      </c>
      <c r="L1312" s="21" t="s">
        <v>82</v>
      </c>
      <c r="M1312" s="21" t="s">
        <v>24</v>
      </c>
      <c r="N1312" s="29">
        <v>5</v>
      </c>
      <c r="O1312" s="21" t="s">
        <v>40</v>
      </c>
      <c r="P1312" s="21" t="s">
        <v>41</v>
      </c>
      <c r="Q1312" s="21" t="s">
        <v>42</v>
      </c>
      <c r="R1312" s="21" t="s">
        <v>43</v>
      </c>
    </row>
    <row r="1313" spans="1:19" s="45" customFormat="1" ht="14.4" hidden="1">
      <c r="A1313" s="25">
        <f>IF(C1313="","",MAX($A$1:A1312)+1)</f>
        <v>1248</v>
      </c>
      <c r="B1313" s="25" t="s">
        <v>79</v>
      </c>
      <c r="C1313" s="41">
        <v>46092</v>
      </c>
      <c r="D1313" s="48" t="str">
        <f>_xlfn.XLOOKUP(Table134526_79101120212223242526[[#This Row],[Name Surname]],Manpower!$C$4:$C$1048576,Manpower!$B$4:$B$1048576,"")</f>
        <v>Encogroup</v>
      </c>
      <c r="E1313" s="43" t="s">
        <v>105</v>
      </c>
      <c r="F1313" s="12">
        <f>_xlfn.XLOOKUP(Table134526_79101120212223242526[[#This Row],[Name Surname]],Manpower!C:C,Manpower!D:D,)</f>
        <v>141358993</v>
      </c>
      <c r="G1313" s="48" t="str">
        <f>_xlfn.XLOOKUP(Table134526_79101120212223242526[[#This Row],[Name Surname]],Manpower!$C$4:$C$1048576,Manpower!$F$4:$F$1048576,"")</f>
        <v>Fitter</v>
      </c>
      <c r="H1313" s="48" t="str">
        <f>_xlfn.XLOOKUP(Table134526_79101120212223242526[[#This Row],[Name Surname]],Manpower!$C$4:$C$1048576,Manpower!$H$4:$H$1048576,"")</f>
        <v>Manpower</v>
      </c>
      <c r="I1313" s="42" t="str">
        <f>_xlfn.XLOOKUP(Table134526_79101120212223242526[[#This Row],[Name Surname]],Manpower!$C$4:$C$1048576,Manpower!$H$4:$H$1048576,"")</f>
        <v>Manpower</v>
      </c>
      <c r="J1313" s="43" t="s">
        <v>35</v>
      </c>
      <c r="K1313" s="43" t="s">
        <v>104</v>
      </c>
      <c r="L1313" s="43" t="s">
        <v>82</v>
      </c>
      <c r="M1313" s="43" t="s">
        <v>24</v>
      </c>
      <c r="N1313" s="44">
        <v>8</v>
      </c>
      <c r="O1313" s="43" t="s">
        <v>25</v>
      </c>
      <c r="P1313" s="43" t="s">
        <v>41</v>
      </c>
      <c r="Q1313" s="43" t="s">
        <v>77</v>
      </c>
      <c r="R1313" s="43" t="s">
        <v>267</v>
      </c>
      <c r="S1313" s="43"/>
    </row>
    <row r="1314" spans="1:19" s="45" customFormat="1" ht="14.4" hidden="1">
      <c r="A1314" s="25">
        <f>IF(C1314="","",MAX($A$1:A1313)+1)</f>
        <v>1249</v>
      </c>
      <c r="B1314" s="25" t="s">
        <v>79</v>
      </c>
      <c r="C1314" s="41">
        <v>46092</v>
      </c>
      <c r="D1314" s="48" t="str">
        <f>_xlfn.XLOOKUP(Table134526_79101120212223242526[[#This Row],[Name Surname]],Manpower!$C$4:$C$1048576,Manpower!$B$4:$B$1048576,"")</f>
        <v>Encogroup</v>
      </c>
      <c r="E1314" s="43" t="s">
        <v>106</v>
      </c>
      <c r="F1314" s="12" t="str">
        <f>_xlfn.XLOOKUP(Table134526_79101120212223242526[[#This Row],[Name Surname]],Manpower!C:C,Manpower!D:D,)</f>
        <v>R3971143</v>
      </c>
      <c r="G1314" s="48" t="str">
        <f>_xlfn.XLOOKUP(Table134526_79101120212223242526[[#This Row],[Name Surname]],Manpower!$C$4:$C$1048576,Manpower!$F$4:$F$1048576,"")</f>
        <v>Mechanical Foreman</v>
      </c>
      <c r="H1314" s="48" t="str">
        <f>_xlfn.XLOOKUP(Table134526_79101120212223242526[[#This Row],[Name Surname]],Manpower!$C$4:$C$1048576,Manpower!$H$4:$H$1048576,"")</f>
        <v>Manpower</v>
      </c>
      <c r="I1314" s="42" t="str">
        <f>_xlfn.XLOOKUP(Table134526_79101120212223242526[[#This Row],[Name Surname]],Manpower!$C$4:$C$1048576,Manpower!$H$4:$H$1048576,"")</f>
        <v>Manpower</v>
      </c>
      <c r="J1314" s="43" t="s">
        <v>35</v>
      </c>
      <c r="K1314" s="43" t="s">
        <v>279</v>
      </c>
      <c r="L1314" s="43" t="s">
        <v>82</v>
      </c>
      <c r="M1314" s="43" t="s">
        <v>24</v>
      </c>
      <c r="N1314" s="44">
        <v>10</v>
      </c>
      <c r="O1314" s="43" t="s">
        <v>25</v>
      </c>
      <c r="P1314" s="43" t="s">
        <v>41</v>
      </c>
      <c r="Q1314" s="43" t="s">
        <v>60</v>
      </c>
      <c r="R1314" s="43" t="s">
        <v>280</v>
      </c>
      <c r="S1314" s="43"/>
    </row>
    <row r="1315" spans="1:19" s="45" customFormat="1" ht="14.4" hidden="1">
      <c r="A1315" s="25">
        <f>IF(C1315="","",MAX($A$1:A1314)+1)</f>
        <v>1250</v>
      </c>
      <c r="B1315" s="25" t="s">
        <v>79</v>
      </c>
      <c r="C1315" s="41">
        <v>46092</v>
      </c>
      <c r="D1315" s="48" t="str">
        <f>_xlfn.XLOOKUP(Table134526_79101120212223242526[[#This Row],[Name Surname]],Manpower!$C$4:$C$1048576,Manpower!$B$4:$B$1048576,"")</f>
        <v>Encogroup</v>
      </c>
      <c r="E1315" s="43" t="s">
        <v>107</v>
      </c>
      <c r="F1315" s="12">
        <f>_xlfn.XLOOKUP(Table134526_79101120212223242526[[#This Row],[Name Surname]],Manpower!C:C,Manpower!D:D,)</f>
        <v>116858297</v>
      </c>
      <c r="G1315" s="48" t="str">
        <f>_xlfn.XLOOKUP(Table134526_79101120212223242526[[#This Row],[Name Surname]],Manpower!$C$4:$C$1048576,Manpower!$F$4:$F$1048576,"")</f>
        <v>Mechanical Superintendent</v>
      </c>
      <c r="H1315" s="48" t="str">
        <f>_xlfn.XLOOKUP(Table134526_79101120212223242526[[#This Row],[Name Surname]],Manpower!$C$4:$C$1048576,Manpower!$H$4:$H$1048576,"")</f>
        <v>Manpower</v>
      </c>
      <c r="I1315" s="42" t="str">
        <f>_xlfn.XLOOKUP(Table134526_79101120212223242526[[#This Row],[Name Surname]],Manpower!$C$4:$C$1048576,Manpower!$H$4:$H$1048576,"")</f>
        <v>Manpower</v>
      </c>
      <c r="J1315" s="43" t="s">
        <v>35</v>
      </c>
      <c r="K1315" s="43" t="s">
        <v>283</v>
      </c>
      <c r="L1315" s="43" t="s">
        <v>82</v>
      </c>
      <c r="M1315" s="43" t="s">
        <v>24</v>
      </c>
      <c r="N1315" s="44">
        <v>8</v>
      </c>
      <c r="O1315" s="43" t="s">
        <v>25</v>
      </c>
      <c r="P1315" s="43" t="s">
        <v>41</v>
      </c>
      <c r="Q1315" s="43" t="s">
        <v>60</v>
      </c>
      <c r="R1315" s="43" t="s">
        <v>284</v>
      </c>
      <c r="S1315" s="43"/>
    </row>
    <row r="1316" spans="1:19" s="45" customFormat="1" ht="14.4" hidden="1">
      <c r="A1316" s="25">
        <f>IF(C1316="","",MAX($A$1:A1315)+1)</f>
        <v>1251</v>
      </c>
      <c r="B1316" s="25" t="s">
        <v>79</v>
      </c>
      <c r="C1316" s="41">
        <v>46092</v>
      </c>
      <c r="D1316" s="48" t="str">
        <f>_xlfn.XLOOKUP(Table134526_79101120212223242526[[#This Row],[Name Surname]],Manpower!$C$4:$C$1048576,Manpower!$B$4:$B$1048576,"")</f>
        <v>Encogroup</v>
      </c>
      <c r="E1316" s="43" t="s">
        <v>126</v>
      </c>
      <c r="F1316" s="12">
        <f>_xlfn.XLOOKUP(Table134526_79101120212223242526[[#This Row],[Name Surname]],Manpower!C:C,Manpower!D:D,)</f>
        <v>140805568</v>
      </c>
      <c r="G1316" s="48" t="str">
        <f>_xlfn.XLOOKUP(Table134526_79101120212223242526[[#This Row],[Name Surname]],Manpower!$C$4:$C$1048576,Manpower!$F$4:$F$1048576,"")</f>
        <v>Assistant/Helper</v>
      </c>
      <c r="H1316" s="48" t="str">
        <f>_xlfn.XLOOKUP(Table134526_79101120212223242526[[#This Row],[Name Surname]],Manpower!$C$4:$C$1048576,Manpower!$H$4:$H$1048576,"")</f>
        <v>Manpower</v>
      </c>
      <c r="I1316" s="42" t="str">
        <f>_xlfn.XLOOKUP(Table134526_79101120212223242526[[#This Row],[Name Surname]],Manpower!$C$4:$C$1048576,Manpower!$H$4:$H$1048576,"")</f>
        <v>Manpower</v>
      </c>
      <c r="J1316" s="43" t="s">
        <v>35</v>
      </c>
      <c r="K1316" s="43" t="s">
        <v>26</v>
      </c>
      <c r="L1316" s="43" t="s">
        <v>82</v>
      </c>
      <c r="M1316" s="43" t="s">
        <v>24</v>
      </c>
      <c r="N1316" s="44">
        <v>10</v>
      </c>
      <c r="O1316" s="43" t="s">
        <v>40</v>
      </c>
      <c r="P1316" s="43" t="s">
        <v>41</v>
      </c>
      <c r="Q1316" s="43" t="s">
        <v>128</v>
      </c>
      <c r="R1316" s="43" t="s">
        <v>270</v>
      </c>
      <c r="S1316" s="43"/>
    </row>
    <row r="1317" spans="1:19" s="45" customFormat="1" ht="14.4" hidden="1">
      <c r="A1317" s="25">
        <f>IF(C1317="","",MAX($A$1:A1316)+1)</f>
        <v>1252</v>
      </c>
      <c r="B1317" s="25" t="s">
        <v>79</v>
      </c>
      <c r="C1317" s="41">
        <v>46092</v>
      </c>
      <c r="D1317" s="48" t="str">
        <f>_xlfn.XLOOKUP(Table134526_79101120212223242526[[#This Row],[Name Surname]],Manpower!$C$4:$C$1048576,Manpower!$B$4:$B$1048576,"")</f>
        <v>Encogroup</v>
      </c>
      <c r="E1317" s="43" t="s">
        <v>109</v>
      </c>
      <c r="F1317" s="12">
        <f>_xlfn.XLOOKUP(Table134526_79101120212223242526[[#This Row],[Name Surname]],Manpower!C:C,Manpower!D:D,)</f>
        <v>123805496</v>
      </c>
      <c r="G1317" s="48" t="str">
        <f>_xlfn.XLOOKUP(Table134526_79101120212223242526[[#This Row],[Name Surname]],Manpower!$C$4:$C$1048576,Manpower!$F$4:$F$1048576,"")</f>
        <v>Fitter/Erector</v>
      </c>
      <c r="H1317" s="48" t="str">
        <f>_xlfn.XLOOKUP(Table134526_79101120212223242526[[#This Row],[Name Surname]],Manpower!$C$4:$C$1048576,Manpower!$H$4:$H$1048576,"")</f>
        <v>Manpower</v>
      </c>
      <c r="I1317" s="42" t="str">
        <f>_xlfn.XLOOKUP(Table134526_79101120212223242526[[#This Row],[Name Surname]],Manpower!$C$4:$C$1048576,Manpower!$H$4:$H$1048576,"")</f>
        <v>Manpower</v>
      </c>
      <c r="J1317" s="43" t="s">
        <v>35</v>
      </c>
      <c r="K1317" s="43" t="s">
        <v>279</v>
      </c>
      <c r="L1317" s="43" t="s">
        <v>82</v>
      </c>
      <c r="M1317" s="43" t="s">
        <v>24</v>
      </c>
      <c r="N1317" s="44">
        <v>8</v>
      </c>
      <c r="O1317" s="43" t="s">
        <v>25</v>
      </c>
      <c r="P1317" s="43" t="s">
        <v>41</v>
      </c>
      <c r="Q1317" s="43" t="s">
        <v>60</v>
      </c>
      <c r="R1317" s="43" t="s">
        <v>280</v>
      </c>
      <c r="S1317" s="43"/>
    </row>
    <row r="1318" spans="1:19" ht="13.95" hidden="1" customHeight="1">
      <c r="A1318" s="33">
        <f>IF(C1318="","",MAX($A$1:A1317)+1)</f>
        <v>1253</v>
      </c>
      <c r="B1318" s="33" t="s">
        <v>79</v>
      </c>
      <c r="C1318" s="23">
        <v>46092</v>
      </c>
      <c r="D1318" s="28" t="str">
        <f>_xlfn.XLOOKUP(Table134526_79101120212223242526[[#This Row],[Name Surname]],Manpower!$C$4:$C$1048576,Manpower!$B$4:$B$1048576,"")</f>
        <v>Encogroup</v>
      </c>
      <c r="E1318" s="21" t="s">
        <v>110</v>
      </c>
      <c r="F1318" s="12">
        <f>_xlfn.XLOOKUP(Table134526_79101120212223242526[[#This Row],[Name Surname]],Manpower!C:C,Manpower!D:D,)</f>
        <v>136277866</v>
      </c>
      <c r="G1318" s="28" t="str">
        <f>_xlfn.XLOOKUP(Table134526_79101120212223242526[[#This Row],[Name Surname]],Manpower!$C$4:$C$1048576,Manpower!$F$4:$F$1048576,"")</f>
        <v>Permit Receiver</v>
      </c>
      <c r="H1318" s="28" t="str">
        <f>_xlfn.XLOOKUP(Table134526_79101120212223242526[[#This Row],[Name Surname]],Manpower!$C$4:$C$1048576,Manpower!$H$4:$H$1048576,"")</f>
        <v>Manpower</v>
      </c>
      <c r="I1318" s="24" t="str">
        <f>_xlfn.XLOOKUP(Table134526_79101120212223242526[[#This Row],[Name Surname]],Manpower!$C$4:$C$1048576,Manpower!$H$4:$H$1048576,"")</f>
        <v>Manpower</v>
      </c>
      <c r="J1318" s="21" t="s">
        <v>35</v>
      </c>
      <c r="K1318" s="21" t="s">
        <v>283</v>
      </c>
      <c r="L1318" s="21" t="s">
        <v>82</v>
      </c>
      <c r="M1318" s="21" t="s">
        <v>24</v>
      </c>
      <c r="N1318" s="29">
        <v>10</v>
      </c>
      <c r="O1318" s="21" t="s">
        <v>25</v>
      </c>
      <c r="P1318" s="21" t="s">
        <v>41</v>
      </c>
      <c r="Q1318" s="21" t="s">
        <v>60</v>
      </c>
      <c r="R1318" s="21" t="s">
        <v>280</v>
      </c>
    </row>
    <row r="1319" spans="1:19" s="45" customFormat="1" ht="14.4" hidden="1">
      <c r="A1319" s="25">
        <f>IF(C1319="","",MAX($A$1:A1318)+1)</f>
        <v>1254</v>
      </c>
      <c r="B1319" s="25" t="s">
        <v>79</v>
      </c>
      <c r="C1319" s="41">
        <v>46092</v>
      </c>
      <c r="D1319" s="48" t="str">
        <f>_xlfn.XLOOKUP(Table134526_79101120212223242526[[#This Row],[Name Surname]],Manpower!$C$4:$C$1048576,Manpower!$B$4:$B$1048576,"")</f>
        <v>Encogroup</v>
      </c>
      <c r="E1319" s="43" t="s">
        <v>238</v>
      </c>
      <c r="F1319" s="12">
        <f>_xlfn.XLOOKUP(Table134526_79101120212223242526[[#This Row],[Name Surname]],Manpower!C:C,Manpower!D:D,)</f>
        <v>19753414</v>
      </c>
      <c r="G1319" s="48" t="str">
        <f>_xlfn.XLOOKUP(Table134526_79101120212223242526[[#This Row],[Name Surname]],Manpower!$C$4:$C$1048576,Manpower!$F$4:$F$1048576,"")</f>
        <v>Bus Driver</v>
      </c>
      <c r="H1319" s="48" t="str">
        <f>_xlfn.XLOOKUP(Table134526_79101120212223242526[[#This Row],[Name Surname]],Manpower!$C$4:$C$1048576,Manpower!$H$4:$H$1048576,"")</f>
        <v>Manpower</v>
      </c>
      <c r="I1319" s="42" t="str">
        <f>_xlfn.XLOOKUP(Table134526_79101120212223242526[[#This Row],[Name Surname]],Manpower!$C$4:$C$1048576,Manpower!$H$4:$H$1048576,"")</f>
        <v>Manpower</v>
      </c>
      <c r="J1319" s="43" t="s">
        <v>135</v>
      </c>
      <c r="K1319" s="43" t="s">
        <v>26</v>
      </c>
      <c r="L1319" s="43" t="s">
        <v>82</v>
      </c>
      <c r="M1319" s="43" t="s">
        <v>24</v>
      </c>
      <c r="N1319" s="44">
        <v>10</v>
      </c>
      <c r="O1319" s="43"/>
      <c r="P1319" s="43"/>
      <c r="Q1319" s="43"/>
      <c r="R1319" s="43" t="s">
        <v>285</v>
      </c>
      <c r="S1319" s="43"/>
    </row>
    <row r="1320" spans="1:19" s="45" customFormat="1" ht="14.4" hidden="1">
      <c r="A1320" s="25">
        <f>IF(C1320="","",MAX($A$1:A1318)+1)</f>
        <v>1254</v>
      </c>
      <c r="B1320" s="25" t="s">
        <v>79</v>
      </c>
      <c r="C1320" s="41">
        <v>46092</v>
      </c>
      <c r="D1320" s="48" t="str">
        <f>_xlfn.XLOOKUP(Table134526_79101120212223242526[[#This Row],[Name Surname]],Manpower!$C$4:$C$1048576,Manpower!$B$4:$B$1048576,"")</f>
        <v>Encogroup</v>
      </c>
      <c r="E1320" s="43" t="s">
        <v>286</v>
      </c>
      <c r="F1320" s="12">
        <f>_xlfn.XLOOKUP(Table134526_79101120212223242526[[#This Row],[Name Surname]],Manpower!C:C,Manpower!D:D,)</f>
        <v>1487544</v>
      </c>
      <c r="G1320" s="48" t="str">
        <f>_xlfn.XLOOKUP(Table134526_79101120212223242526[[#This Row],[Name Surname]],Manpower!$C$4:$C$1048576,Manpower!$F$4:$F$1048576,"")</f>
        <v>Driver</v>
      </c>
      <c r="H1320" s="48" t="str">
        <f>_xlfn.XLOOKUP(Table134526_79101120212223242526[[#This Row],[Name Surname]],Manpower!$C$4:$C$1048576,Manpower!$H$4:$H$1048576,"")</f>
        <v>Manpower</v>
      </c>
      <c r="I1320" s="42" t="str">
        <f>_xlfn.XLOOKUP(Table134526_79101120212223242526[[#This Row],[Name Surname]],Manpower!$C$4:$C$1048576,Manpower!$H$4:$H$1048576,"")</f>
        <v>Manpower</v>
      </c>
      <c r="J1320" s="43" t="s">
        <v>135</v>
      </c>
      <c r="K1320" s="43" t="s">
        <v>26</v>
      </c>
      <c r="L1320" s="43" t="s">
        <v>82</v>
      </c>
      <c r="M1320" s="43" t="s">
        <v>24</v>
      </c>
      <c r="N1320" s="44">
        <v>10</v>
      </c>
      <c r="O1320" s="43"/>
      <c r="P1320" s="43"/>
      <c r="Q1320" s="43"/>
      <c r="R1320" s="43" t="s">
        <v>285</v>
      </c>
      <c r="S1320" s="43"/>
    </row>
    <row r="1321" spans="1:19" s="45" customFormat="1" ht="14.4" hidden="1">
      <c r="A1321" s="25">
        <f>IF(C1321="","",MAX($A$1:A1318)+1)</f>
        <v>1254</v>
      </c>
      <c r="B1321" s="25" t="s">
        <v>79</v>
      </c>
      <c r="C1321" s="41">
        <v>46092</v>
      </c>
      <c r="D1321" s="48" t="str">
        <f>_xlfn.XLOOKUP(Table134526_79101120212223242526[[#This Row],[Name Surname]],Manpower!$C$4:$C$1048576,Manpower!$B$4:$B$1048576,"")</f>
        <v>Encogroup</v>
      </c>
      <c r="E1321" s="43" t="s">
        <v>237</v>
      </c>
      <c r="F1321" s="12">
        <f>_xlfn.XLOOKUP(Table134526_79101120212223242526[[#This Row],[Name Surname]],Manpower!C:C,Manpower!D:D,)</f>
        <v>75199413</v>
      </c>
      <c r="G1321" s="48" t="str">
        <f>_xlfn.XLOOKUP(Table134526_79101120212223242526[[#This Row],[Name Surname]],Manpower!$C$4:$C$1048576,Manpower!$F$4:$F$1048576,"")</f>
        <v>Mechanic</v>
      </c>
      <c r="H1321" s="48" t="str">
        <f>_xlfn.XLOOKUP(Table134526_79101120212223242526[[#This Row],[Name Surname]],Manpower!$C$4:$C$1048576,Manpower!$H$4:$H$1048576,"")</f>
        <v>Manpower</v>
      </c>
      <c r="I1321" s="42" t="str">
        <f>_xlfn.XLOOKUP(Table134526_79101120212223242526[[#This Row],[Name Surname]],Manpower!$C$4:$C$1048576,Manpower!$H$4:$H$1048576,"")</f>
        <v>Manpower</v>
      </c>
      <c r="J1321" s="43" t="s">
        <v>135</v>
      </c>
      <c r="K1321" s="43" t="s">
        <v>26</v>
      </c>
      <c r="L1321" s="43"/>
      <c r="M1321" s="43" t="s">
        <v>24</v>
      </c>
      <c r="N1321" s="44">
        <v>10</v>
      </c>
      <c r="O1321" s="43" t="s">
        <v>236</v>
      </c>
      <c r="P1321" s="43" t="s">
        <v>236</v>
      </c>
      <c r="Q1321" s="43" t="s">
        <v>236</v>
      </c>
      <c r="R1321" s="43" t="s">
        <v>26</v>
      </c>
      <c r="S1321" s="43"/>
    </row>
    <row r="1322" spans="1:19" s="45" customFormat="1" ht="14.4" hidden="1">
      <c r="A1322" s="25">
        <f>IF(C1322="","",MAX($A$1:A1318)+1)</f>
        <v>1254</v>
      </c>
      <c r="B1322" s="25" t="s">
        <v>79</v>
      </c>
      <c r="C1322" s="41">
        <v>46092</v>
      </c>
      <c r="D1322" s="48" t="str">
        <f>_xlfn.XLOOKUP(Table134526_79101120212223242526[[#This Row],[Name Surname]],Manpower!$C$4:$C$1048576,Manpower!$B$4:$B$1048576,"")</f>
        <v>Encogroup</v>
      </c>
      <c r="E1322" s="43" t="s">
        <v>235</v>
      </c>
      <c r="F1322" s="12">
        <f>_xlfn.XLOOKUP(Table134526_79101120212223242526[[#This Row],[Name Surname]],Manpower!C:C,Manpower!D:D,)</f>
        <v>132423982</v>
      </c>
      <c r="G1322" s="48" t="str">
        <f>_xlfn.XLOOKUP(Table134526_79101120212223242526[[#This Row],[Name Surname]],Manpower!$C$4:$C$1048576,Manpower!$F$4:$F$1048576,"")</f>
        <v>Mechanic Supervisor</v>
      </c>
      <c r="H1322" s="48" t="str">
        <f>_xlfn.XLOOKUP(Table134526_79101120212223242526[[#This Row],[Name Surname]],Manpower!$C$4:$C$1048576,Manpower!$H$4:$H$1048576,"")</f>
        <v>Manpower</v>
      </c>
      <c r="I1322" s="42" t="str">
        <f>_xlfn.XLOOKUP(Table134526_79101120212223242526[[#This Row],[Name Surname]],Manpower!$C$4:$C$1048576,Manpower!$H$4:$H$1048576,"")</f>
        <v>Manpower</v>
      </c>
      <c r="J1322" s="43" t="s">
        <v>135</v>
      </c>
      <c r="K1322" s="43" t="s">
        <v>26</v>
      </c>
      <c r="L1322" s="43"/>
      <c r="M1322" s="43" t="s">
        <v>24</v>
      </c>
      <c r="N1322" s="44">
        <v>10</v>
      </c>
      <c r="O1322" s="43" t="s">
        <v>236</v>
      </c>
      <c r="P1322" s="43" t="s">
        <v>236</v>
      </c>
      <c r="Q1322" s="43" t="s">
        <v>236</v>
      </c>
      <c r="R1322" s="43" t="s">
        <v>287</v>
      </c>
      <c r="S1322" s="43"/>
    </row>
    <row r="1323" spans="1:19" s="45" customFormat="1" ht="14.4" hidden="1">
      <c r="A1323" s="25">
        <f>IF(C1323="","",MAX($A$1:A1318)+1)</f>
        <v>1254</v>
      </c>
      <c r="B1323" s="25" t="s">
        <v>79</v>
      </c>
      <c r="C1323" s="41">
        <v>46092</v>
      </c>
      <c r="D1323" s="48" t="str">
        <f>_xlfn.XLOOKUP(Table134526_79101120212223242526[[#This Row],[Name Surname]],Manpower!$C$4:$C$1048576,Manpower!$B$4:$B$1048576,"")</f>
        <v>Encogroup</v>
      </c>
      <c r="E1323" s="43" t="s">
        <v>278</v>
      </c>
      <c r="F1323" s="12">
        <f>_xlfn.XLOOKUP(Table134526_79101120212223242526[[#This Row],[Name Surname]],Manpower!C:C,Manpower!D:D,)</f>
        <v>137098196</v>
      </c>
      <c r="G1323" s="48" t="str">
        <f>_xlfn.XLOOKUP(Table134526_79101120212223242526[[#This Row],[Name Surname]],Manpower!$C$4:$C$1048576,Manpower!$F$4:$F$1048576,"")</f>
        <v>Lifting engineer</v>
      </c>
      <c r="H1323" s="48" t="str">
        <f>_xlfn.XLOOKUP(Table134526_79101120212223242526[[#This Row],[Name Surname]],Manpower!$C$4:$C$1048576,Manpower!$H$4:$H$1048576,"")</f>
        <v>Manpower</v>
      </c>
      <c r="I1323" s="42" t="str">
        <f>_xlfn.XLOOKUP(Table134526_79101120212223242526[[#This Row],[Name Surname]],Manpower!$C$4:$C$1048576,Manpower!$H$4:$H$1048576,"")</f>
        <v>Manpower</v>
      </c>
      <c r="J1323" s="43" t="s">
        <v>135</v>
      </c>
      <c r="K1323" s="43" t="s">
        <v>26</v>
      </c>
      <c r="L1323" s="43" t="s">
        <v>82</v>
      </c>
      <c r="M1323" s="43" t="s">
        <v>24</v>
      </c>
      <c r="N1323" s="44">
        <v>10</v>
      </c>
      <c r="O1323" s="43" t="s">
        <v>25</v>
      </c>
      <c r="P1323" s="43" t="s">
        <v>41</v>
      </c>
      <c r="Q1323" s="43" t="s">
        <v>60</v>
      </c>
      <c r="R1323" s="43" t="s">
        <v>288</v>
      </c>
      <c r="S1323" s="43"/>
    </row>
    <row r="1324" spans="1:19" s="45" customFormat="1" ht="14.4" hidden="1">
      <c r="A1324" s="25">
        <f>IF(C1324="","",MAX($A$1:A1318)+1)</f>
        <v>1254</v>
      </c>
      <c r="B1324" s="25" t="s">
        <v>79</v>
      </c>
      <c r="C1324" s="41">
        <v>46092</v>
      </c>
      <c r="D1324" s="48" t="str">
        <f>_xlfn.XLOOKUP(Table134526_79101120212223242526[[#This Row],[Name Surname]],Manpower!$C$4:$C$1048576,Manpower!$B$4:$B$1048576,"")</f>
        <v>Encogroup</v>
      </c>
      <c r="E1324" s="43" t="s">
        <v>112</v>
      </c>
      <c r="F1324" s="12">
        <f>_xlfn.XLOOKUP(Table134526_79101120212223242526[[#This Row],[Name Surname]],Manpower!C:C,Manpower!D:D,)</f>
        <v>140663253</v>
      </c>
      <c r="G1324" s="48" t="str">
        <f>_xlfn.XLOOKUP(Table134526_79101120212223242526[[#This Row],[Name Surname]],Manpower!$C$4:$C$1048576,Manpower!$F$4:$F$1048576,"")</f>
        <v>Painting Inspector</v>
      </c>
      <c r="H1324" s="48" t="str">
        <f>_xlfn.XLOOKUP(Table134526_79101120212223242526[[#This Row],[Name Surname]],Manpower!$C$4:$C$1048576,Manpower!$H$4:$H$1048576,"")</f>
        <v>Manpower</v>
      </c>
      <c r="I1324" s="42" t="str">
        <f>_xlfn.XLOOKUP(Table134526_79101120212223242526[[#This Row],[Name Surname]],Manpower!$C$4:$C$1048576,Manpower!$H$4:$H$1048576,"")</f>
        <v>Manpower</v>
      </c>
      <c r="J1324" s="43" t="s">
        <v>35</v>
      </c>
      <c r="K1324" s="43" t="s">
        <v>281</v>
      </c>
      <c r="L1324" s="43" t="s">
        <v>82</v>
      </c>
      <c r="M1324" s="43" t="s">
        <v>24</v>
      </c>
      <c r="N1324" s="44">
        <v>8</v>
      </c>
      <c r="O1324" s="43" t="s">
        <v>94</v>
      </c>
      <c r="P1324" s="43" t="s">
        <v>114</v>
      </c>
      <c r="Q1324" s="43" t="s">
        <v>114</v>
      </c>
      <c r="R1324" s="43" t="s">
        <v>282</v>
      </c>
      <c r="S1324" s="43"/>
    </row>
    <row r="1325" spans="1:19" s="45" customFormat="1" ht="14.4" hidden="1">
      <c r="A1325" s="25">
        <f>IF(C1325="","",MAX($A$1:A1324)+1)</f>
        <v>1255</v>
      </c>
      <c r="B1325" s="25" t="s">
        <v>79</v>
      </c>
      <c r="C1325" s="41">
        <v>46092</v>
      </c>
      <c r="D1325" s="48" t="str">
        <f>_xlfn.XLOOKUP(Table134526_79101120212223242526[[#This Row],[Name Surname]],Manpower!$C$4:$C$1048576,Manpower!$B$4:$B$1048576,"")</f>
        <v>Encogroup</v>
      </c>
      <c r="E1325" s="43" t="s">
        <v>115</v>
      </c>
      <c r="F1325" s="12">
        <f>_xlfn.XLOOKUP(Table134526_79101120212223242526[[#This Row],[Name Surname]],Manpower!C:C,Manpower!D:D,)</f>
        <v>140796986</v>
      </c>
      <c r="G1325" s="48" t="str">
        <f>_xlfn.XLOOKUP(Table134526_79101120212223242526[[#This Row],[Name Surname]],Manpower!$C$4:$C$1048576,Manpower!$F$4:$F$1048576,"")</f>
        <v>Mechanical QC</v>
      </c>
      <c r="H1325" s="48" t="str">
        <f>_xlfn.XLOOKUP(Table134526_79101120212223242526[[#This Row],[Name Surname]],Manpower!$C$4:$C$1048576,Manpower!$H$4:$H$1048576,"")</f>
        <v>Manpower</v>
      </c>
      <c r="I1325" s="42" t="str">
        <f>_xlfn.XLOOKUP(Table134526_79101120212223242526[[#This Row],[Name Surname]],Manpower!$C$4:$C$1048576,Manpower!$H$4:$H$1048576,"")</f>
        <v>Manpower</v>
      </c>
      <c r="J1325" s="43" t="s">
        <v>35</v>
      </c>
      <c r="K1325" s="43" t="s">
        <v>104</v>
      </c>
      <c r="L1325" s="43" t="s">
        <v>82</v>
      </c>
      <c r="M1325" s="43" t="s">
        <v>24</v>
      </c>
      <c r="N1325" s="44">
        <v>10</v>
      </c>
      <c r="O1325" s="43" t="s">
        <v>25</v>
      </c>
      <c r="P1325" s="43" t="s">
        <v>41</v>
      </c>
      <c r="Q1325" s="43" t="s">
        <v>77</v>
      </c>
      <c r="R1325" s="43" t="s">
        <v>267</v>
      </c>
      <c r="S1325" s="43"/>
    </row>
    <row r="1326" spans="1:19" s="45" customFormat="1" ht="14.4" hidden="1">
      <c r="A1326" s="25">
        <f>IF(C1326="","",MAX($A$1:A1325)+1)</f>
        <v>1256</v>
      </c>
      <c r="B1326" s="25" t="s">
        <v>79</v>
      </c>
      <c r="C1326" s="41">
        <v>46092</v>
      </c>
      <c r="D1326" s="48" t="str">
        <f>_xlfn.XLOOKUP(Table134526_79101120212223242526[[#This Row],[Name Surname]],Manpower!$C$4:$C$1048576,Manpower!$B$4:$B$1048576,"")</f>
        <v>Encogroup</v>
      </c>
      <c r="E1326" s="43" t="s">
        <v>87</v>
      </c>
      <c r="F1326" s="12">
        <f>_xlfn.XLOOKUP(Table134526_79101120212223242526[[#This Row],[Name Surname]],Manpower!C:C,Manpower!D:D,)</f>
        <v>126724428</v>
      </c>
      <c r="G1326" s="48" t="str">
        <f>_xlfn.XLOOKUP(Table134526_79101120212223242526[[#This Row],[Name Surname]],Manpower!$C$4:$C$1048576,Manpower!$F$4:$F$1048576,"")</f>
        <v>Surveyor</v>
      </c>
      <c r="H1326" s="48" t="str">
        <f>_xlfn.XLOOKUP(Table134526_79101120212223242526[[#This Row],[Name Surname]],Manpower!$C$4:$C$1048576,Manpower!$H$4:$H$1048576,"")</f>
        <v>Manpower</v>
      </c>
      <c r="I1326" s="42" t="str">
        <f>_xlfn.XLOOKUP(Table134526_79101120212223242526[[#This Row],[Name Surname]],Manpower!$C$4:$C$1048576,Manpower!$H$4:$H$1048576,"")</f>
        <v>Manpower</v>
      </c>
      <c r="J1326" s="43" t="s">
        <v>35</v>
      </c>
      <c r="K1326" s="43" t="s">
        <v>104</v>
      </c>
      <c r="L1326" s="43" t="s">
        <v>82</v>
      </c>
      <c r="M1326" s="43" t="s">
        <v>24</v>
      </c>
      <c r="N1326" s="44">
        <v>10</v>
      </c>
      <c r="O1326" s="43" t="s">
        <v>89</v>
      </c>
      <c r="P1326" s="43" t="s">
        <v>89</v>
      </c>
      <c r="Q1326" s="43" t="s">
        <v>89</v>
      </c>
      <c r="R1326" s="43" t="s">
        <v>289</v>
      </c>
      <c r="S1326" s="43"/>
    </row>
    <row r="1327" spans="1:19" s="45" customFormat="1" ht="14.4" hidden="1">
      <c r="A1327" s="25">
        <f>IF(C1327="","",MAX($A$1:A1324)+1)</f>
        <v>1255</v>
      </c>
      <c r="B1327" s="25" t="s">
        <v>79</v>
      </c>
      <c r="C1327" s="41">
        <v>46092</v>
      </c>
      <c r="D1327" s="48" t="str">
        <f>_xlfn.XLOOKUP(Table134526_79101120212223242526[[#This Row],[Name Surname]],Manpower!$C$4:$C$1048576,Manpower!$B$4:$B$1048576,"")</f>
        <v>Encogroup</v>
      </c>
      <c r="E1327" s="43" t="s">
        <v>117</v>
      </c>
      <c r="F1327" s="12">
        <f>_xlfn.XLOOKUP(Table134526_79101120212223242526[[#This Row],[Name Surname]],Manpower!C:C,Manpower!D:D,)</f>
        <v>140844783</v>
      </c>
      <c r="G1327" s="48" t="str">
        <f>_xlfn.XLOOKUP(Table134526_79101120212223242526[[#This Row],[Name Surname]],Manpower!$C$4:$C$1048576,Manpower!$F$4:$F$1048576,"")</f>
        <v>Painter</v>
      </c>
      <c r="H1327" s="48" t="str">
        <f>_xlfn.XLOOKUP(Table134526_79101120212223242526[[#This Row],[Name Surname]],Manpower!$C$4:$C$1048576,Manpower!$H$4:$H$1048576,"")</f>
        <v>Manpower</v>
      </c>
      <c r="I1327" s="42" t="str">
        <f>_xlfn.XLOOKUP(Table134526_79101120212223242526[[#This Row],[Name Surname]],Manpower!$C$4:$C$1048576,Manpower!$H$4:$H$1048576,"")</f>
        <v>Manpower</v>
      </c>
      <c r="J1327" s="43" t="s">
        <v>35</v>
      </c>
      <c r="K1327" s="43" t="s">
        <v>281</v>
      </c>
      <c r="L1327" s="43" t="s">
        <v>82</v>
      </c>
      <c r="M1327" s="43" t="s">
        <v>24</v>
      </c>
      <c r="N1327" s="44">
        <v>10</v>
      </c>
      <c r="O1327" s="43" t="s">
        <v>94</v>
      </c>
      <c r="P1327" s="43" t="s">
        <v>114</v>
      </c>
      <c r="Q1327" s="43" t="s">
        <v>114</v>
      </c>
      <c r="R1327" s="43" t="s">
        <v>282</v>
      </c>
      <c r="S1327" s="43"/>
    </row>
    <row r="1328" spans="1:19" s="45" customFormat="1" ht="14.4" hidden="1">
      <c r="A1328" s="25">
        <f>IF(C1328="","",MAX($A$1:A1327)+1)</f>
        <v>1257</v>
      </c>
      <c r="B1328" s="25" t="s">
        <v>79</v>
      </c>
      <c r="C1328" s="41">
        <v>46092</v>
      </c>
      <c r="D1328" s="48" t="str">
        <f>_xlfn.XLOOKUP(Table134526_79101120212223242526[[#This Row],[Name Surname]],Manpower!$C$4:$C$1048576,Manpower!$B$4:$B$1048576,"")</f>
        <v>Encogroup</v>
      </c>
      <c r="E1328" s="43" t="s">
        <v>118</v>
      </c>
      <c r="F1328" s="12" t="str">
        <f>_xlfn.XLOOKUP(Table134526_79101120212223242526[[#This Row],[Name Surname]],Manpower!C:C,Manpower!D:D,)</f>
        <v>AG111207</v>
      </c>
      <c r="G1328" s="48" t="str">
        <f>_xlfn.XLOOKUP(Table134526_79101120212223242526[[#This Row],[Name Surname]],Manpower!$C$4:$C$1048576,Manpower!$F$4:$F$1048576,"")</f>
        <v>Assistant/Helper</v>
      </c>
      <c r="H1328" s="48" t="str">
        <f>_xlfn.XLOOKUP(Table134526_79101120212223242526[[#This Row],[Name Surname]],Manpower!$C$4:$C$1048576,Manpower!$H$4:$H$1048576,"")</f>
        <v>Manpower</v>
      </c>
      <c r="I1328" s="42" t="str">
        <f>_xlfn.XLOOKUP(Table134526_79101120212223242526[[#This Row],[Name Surname]],Manpower!$C$4:$C$1048576,Manpower!$H$4:$H$1048576,"")</f>
        <v>Manpower</v>
      </c>
      <c r="J1328" s="43" t="s">
        <v>35</v>
      </c>
      <c r="K1328" s="43" t="s">
        <v>281</v>
      </c>
      <c r="L1328" s="43" t="s">
        <v>82</v>
      </c>
      <c r="M1328" s="43" t="s">
        <v>24</v>
      </c>
      <c r="N1328" s="44">
        <v>10</v>
      </c>
      <c r="O1328" s="43" t="s">
        <v>94</v>
      </c>
      <c r="P1328" s="43" t="s">
        <v>114</v>
      </c>
      <c r="Q1328" s="43" t="s">
        <v>114</v>
      </c>
      <c r="R1328" s="43" t="s">
        <v>282</v>
      </c>
      <c r="S1328" s="43"/>
    </row>
    <row r="1329" spans="1:19" s="45" customFormat="1" ht="14.4" hidden="1">
      <c r="A1329" s="25">
        <f>IF(C1329="","",MAX($A$1:A1328)+1)</f>
        <v>1258</v>
      </c>
      <c r="B1329" s="25" t="s">
        <v>79</v>
      </c>
      <c r="C1329" s="41">
        <v>46092</v>
      </c>
      <c r="D1329" s="48" t="str">
        <f>_xlfn.XLOOKUP(Table134526_79101120212223242526[[#This Row],[Name Surname]],Manpower!$C$4:$C$1048576,Manpower!$B$4:$B$1048576,"")</f>
        <v>Encogroup</v>
      </c>
      <c r="E1329" s="43" t="s">
        <v>173</v>
      </c>
      <c r="F1329" s="12" t="str">
        <f>_xlfn.XLOOKUP(Table134526_79101120212223242526[[#This Row],[Name Surname]],Manpower!C:C,Manpower!D:D,)</f>
        <v>S3549132</v>
      </c>
      <c r="G1329" s="48" t="str">
        <f>_xlfn.XLOOKUP(Table134526_79101120212223242526[[#This Row],[Name Surname]],Manpower!$C$4:$C$1048576,Manpower!$F$4:$F$1048576,"")</f>
        <v>Grinder</v>
      </c>
      <c r="H1329" s="48" t="str">
        <f>_xlfn.XLOOKUP(Table134526_79101120212223242526[[#This Row],[Name Surname]],Manpower!$C$4:$C$1048576,Manpower!$H$4:$H$1048576,"")</f>
        <v>Manpower</v>
      </c>
      <c r="I1329" s="42" t="str">
        <f>_xlfn.XLOOKUP(Table134526_79101120212223242526[[#This Row],[Name Surname]],Manpower!$C$4:$C$1048576,Manpower!$H$4:$H$1048576,"")</f>
        <v>Manpower</v>
      </c>
      <c r="J1329" s="43" t="s">
        <v>35</v>
      </c>
      <c r="K1329" s="43" t="s">
        <v>281</v>
      </c>
      <c r="L1329" s="43" t="s">
        <v>82</v>
      </c>
      <c r="M1329" s="43" t="s">
        <v>24</v>
      </c>
      <c r="N1329" s="44">
        <v>10</v>
      </c>
      <c r="O1329" s="43" t="s">
        <v>94</v>
      </c>
      <c r="P1329" s="43" t="s">
        <v>114</v>
      </c>
      <c r="Q1329" s="43" t="s">
        <v>114</v>
      </c>
      <c r="R1329" s="43" t="s">
        <v>282</v>
      </c>
      <c r="S1329" s="43"/>
    </row>
    <row r="1330" spans="1:19" s="45" customFormat="1" ht="14.4" hidden="1">
      <c r="A1330" s="25">
        <f>IF(C1330="","",MAX($A$1:A1329)+1)</f>
        <v>1259</v>
      </c>
      <c r="B1330" s="25" t="s">
        <v>79</v>
      </c>
      <c r="C1330" s="41">
        <v>46092</v>
      </c>
      <c r="D1330" s="48" t="str">
        <f>_xlfn.XLOOKUP(Table134526_79101120212223242526[[#This Row],[Name Surname]],Manpower!$C$4:$C$1048576,Manpower!$B$4:$B$1048576,"")</f>
        <v>Encogroup</v>
      </c>
      <c r="E1330" s="43" t="s">
        <v>119</v>
      </c>
      <c r="F1330" s="12">
        <f>_xlfn.XLOOKUP(Table134526_79101120212223242526[[#This Row],[Name Surname]],Manpower!C:C,Manpower!D:D,)</f>
        <v>140844778</v>
      </c>
      <c r="G1330" s="48" t="str">
        <f>_xlfn.XLOOKUP(Table134526_79101120212223242526[[#This Row],[Name Surname]],Manpower!$C$4:$C$1048576,Manpower!$F$4:$F$1048576,"")</f>
        <v>Painter</v>
      </c>
      <c r="H1330" s="48" t="str">
        <f>_xlfn.XLOOKUP(Table134526_79101120212223242526[[#This Row],[Name Surname]],Manpower!$C$4:$C$1048576,Manpower!$H$4:$H$1048576,"")</f>
        <v>Manpower</v>
      </c>
      <c r="I1330" s="42" t="str">
        <f>_xlfn.XLOOKUP(Table134526_79101120212223242526[[#This Row],[Name Surname]],Manpower!$C$4:$C$1048576,Manpower!$H$4:$H$1048576,"")</f>
        <v>Manpower</v>
      </c>
      <c r="J1330" s="43" t="s">
        <v>35</v>
      </c>
      <c r="K1330" s="43" t="s">
        <v>281</v>
      </c>
      <c r="L1330" s="43" t="s">
        <v>82</v>
      </c>
      <c r="M1330" s="43" t="s">
        <v>24</v>
      </c>
      <c r="N1330" s="44">
        <v>8</v>
      </c>
      <c r="O1330" s="43" t="s">
        <v>94</v>
      </c>
      <c r="P1330" s="43" t="s">
        <v>114</v>
      </c>
      <c r="Q1330" s="43" t="s">
        <v>114</v>
      </c>
      <c r="R1330" s="43" t="s">
        <v>282</v>
      </c>
      <c r="S1330" s="43"/>
    </row>
    <row r="1331" spans="1:19" s="45" customFormat="1" ht="14.4" hidden="1">
      <c r="A1331" s="25">
        <f>IF(C1331="","",MAX($A$1:A1330)+1)</f>
        <v>1260</v>
      </c>
      <c r="B1331" s="25" t="s">
        <v>79</v>
      </c>
      <c r="C1331" s="41">
        <v>46092</v>
      </c>
      <c r="D1331" s="48" t="str">
        <f>_xlfn.XLOOKUP(Table134526_79101120212223242526[[#This Row],[Name Surname]],Manpower!$C$4:$C$1048576,Manpower!$B$4:$B$1048576,"")</f>
        <v>Encogroup</v>
      </c>
      <c r="E1331" s="43" t="s">
        <v>122</v>
      </c>
      <c r="F1331" s="12">
        <f>_xlfn.XLOOKUP(Table134526_79101120212223242526[[#This Row],[Name Surname]],Manpower!C:C,Manpower!D:D,)</f>
        <v>140805554</v>
      </c>
      <c r="G1331" s="48" t="str">
        <f>_xlfn.XLOOKUP(Table134526_79101120212223242526[[#This Row],[Name Surname]],Manpower!$C$4:$C$1048576,Manpower!$F$4:$F$1048576,"")</f>
        <v>Assistant/Helper</v>
      </c>
      <c r="H1331" s="48" t="str">
        <f>_xlfn.XLOOKUP(Table134526_79101120212223242526[[#This Row],[Name Surname]],Manpower!$C$4:$C$1048576,Manpower!$H$4:$H$1048576,"")</f>
        <v>Manpower</v>
      </c>
      <c r="I1331" s="42" t="str">
        <f>_xlfn.XLOOKUP(Table134526_79101120212223242526[[#This Row],[Name Surname]],Manpower!$C$4:$C$1048576,Manpower!$H$4:$H$1048576,"")</f>
        <v>Manpower</v>
      </c>
      <c r="J1331" s="43" t="s">
        <v>35</v>
      </c>
      <c r="K1331" s="43" t="s">
        <v>104</v>
      </c>
      <c r="L1331" s="43" t="s">
        <v>82</v>
      </c>
      <c r="M1331" s="43" t="s">
        <v>24</v>
      </c>
      <c r="N1331" s="44">
        <v>10</v>
      </c>
      <c r="O1331" s="43" t="s">
        <v>25</v>
      </c>
      <c r="P1331" s="43" t="s">
        <v>41</v>
      </c>
      <c r="Q1331" s="43" t="s">
        <v>77</v>
      </c>
      <c r="R1331" s="43" t="s">
        <v>267</v>
      </c>
      <c r="S1331" s="43"/>
    </row>
    <row r="1332" spans="1:19" s="45" customFormat="1" ht="14.4" hidden="1">
      <c r="A1332" s="25">
        <f>IF(C1332="","",MAX($A$1:A1331)+1)</f>
        <v>1261</v>
      </c>
      <c r="B1332" s="25" t="s">
        <v>79</v>
      </c>
      <c r="C1332" s="41">
        <v>46092</v>
      </c>
      <c r="D1332" s="48" t="str">
        <f>_xlfn.XLOOKUP(Table134526_79101120212223242526[[#This Row],[Name Surname]],Manpower!$C$4:$C$1048576,Manpower!$B$4:$B$1048576,"")</f>
        <v>Encogroup</v>
      </c>
      <c r="E1332" s="43" t="s">
        <v>125</v>
      </c>
      <c r="F1332" s="12">
        <f>_xlfn.XLOOKUP(Table134526_79101120212223242526[[#This Row],[Name Surname]],Manpower!C:C,Manpower!D:D,)</f>
        <v>141169028</v>
      </c>
      <c r="G1332" s="48" t="str">
        <f>_xlfn.XLOOKUP(Table134526_79101120212223242526[[#This Row],[Name Surname]],Manpower!$C$4:$C$1048576,Manpower!$F$4:$F$1048576,"")</f>
        <v>Welder</v>
      </c>
      <c r="H1332" s="48" t="str">
        <f>_xlfn.XLOOKUP(Table134526_79101120212223242526[[#This Row],[Name Surname]],Manpower!$C$4:$C$1048576,Manpower!$H$4:$H$1048576,"")</f>
        <v>Manpower</v>
      </c>
      <c r="I1332" s="42" t="str">
        <f>_xlfn.XLOOKUP(Table134526_79101120212223242526[[#This Row],[Name Surname]],Manpower!$C$4:$C$1048576,Manpower!$H$4:$H$1048576,"")</f>
        <v>Manpower</v>
      </c>
      <c r="J1332" s="43" t="s">
        <v>35</v>
      </c>
      <c r="K1332" s="43" t="s">
        <v>279</v>
      </c>
      <c r="L1332" s="43" t="s">
        <v>82</v>
      </c>
      <c r="M1332" s="43" t="s">
        <v>24</v>
      </c>
      <c r="N1332" s="44">
        <v>10</v>
      </c>
      <c r="O1332" s="43" t="s">
        <v>25</v>
      </c>
      <c r="P1332" s="43" t="s">
        <v>41</v>
      </c>
      <c r="Q1332" s="43" t="s">
        <v>60</v>
      </c>
      <c r="R1332" s="43" t="s">
        <v>280</v>
      </c>
      <c r="S1332" s="43"/>
    </row>
    <row r="1333" spans="1:19" s="45" customFormat="1" ht="14.4" hidden="1">
      <c r="A1333" s="25">
        <f>IF(C1333="","",MAX($A$1:A1332)+1)</f>
        <v>1262</v>
      </c>
      <c r="B1333" s="25" t="s">
        <v>79</v>
      </c>
      <c r="C1333" s="41">
        <v>46092</v>
      </c>
      <c r="D1333" s="48" t="str">
        <f>_xlfn.XLOOKUP(Table134526_79101120212223242526[[#This Row],[Name Surname]],Manpower!$C$4:$C$1048576,Manpower!$B$4:$B$1048576,"")</f>
        <v>AL Saif &amp; Al QALLM ENT LLC</v>
      </c>
      <c r="E1333" s="43" t="s">
        <v>130</v>
      </c>
      <c r="F1333" s="12">
        <f>_xlfn.XLOOKUP(Table134526_79101120212223242526[[#This Row],[Name Surname]],Manpower!C:C,Manpower!D:D,)</f>
        <v>76647648</v>
      </c>
      <c r="G1333" s="48" t="str">
        <f>_xlfn.XLOOKUP(Table134526_79101120212223242526[[#This Row],[Name Surname]],Manpower!$C$4:$C$1048576,Manpower!$F$4:$F$1048576,"")</f>
        <v>RIgger</v>
      </c>
      <c r="H1333" s="48" t="str">
        <f>_xlfn.XLOOKUP(Table134526_79101120212223242526[[#This Row],[Name Surname]],Manpower!$C$4:$C$1048576,Manpower!$H$4:$H$1048576,"")</f>
        <v>Sub Contactor</v>
      </c>
      <c r="I1333" s="42" t="str">
        <f>_xlfn.XLOOKUP(Table134526_79101120212223242526[[#This Row],[Name Surname]],Manpower!$C$4:$C$1048576,Manpower!$H$4:$H$1048576,"")</f>
        <v>Sub Contactor</v>
      </c>
      <c r="J1333" s="43" t="s">
        <v>35</v>
      </c>
      <c r="K1333" s="43" t="s">
        <v>279</v>
      </c>
      <c r="L1333" s="43" t="s">
        <v>82</v>
      </c>
      <c r="M1333" s="43" t="s">
        <v>24</v>
      </c>
      <c r="N1333" s="44">
        <v>8</v>
      </c>
      <c r="O1333" s="43" t="s">
        <v>25</v>
      </c>
      <c r="P1333" s="43" t="s">
        <v>41</v>
      </c>
      <c r="Q1333" s="43" t="s">
        <v>60</v>
      </c>
      <c r="R1333" s="43" t="s">
        <v>280</v>
      </c>
      <c r="S1333" s="43" t="s">
        <v>230</v>
      </c>
    </row>
    <row r="1334" spans="1:19" s="45" customFormat="1" ht="14.4" hidden="1">
      <c r="A1334" s="25">
        <f>IF(C1334="","",MAX($A$1:A1333)+1)</f>
        <v>1263</v>
      </c>
      <c r="B1334" s="25" t="s">
        <v>79</v>
      </c>
      <c r="C1334" s="41">
        <v>46092</v>
      </c>
      <c r="D1334" s="48" t="str">
        <f>_xlfn.XLOOKUP(Table134526_79101120212223242526[[#This Row],[Name Surname]],Manpower!$C$4:$C$1048576,Manpower!$B$4:$B$1048576,"")</f>
        <v>Rabwu Ahamal AL Khaleej Trad</v>
      </c>
      <c r="E1334" s="43" t="s">
        <v>131</v>
      </c>
      <c r="F1334" s="12">
        <f>_xlfn.XLOOKUP(Table134526_79101120212223242526[[#This Row],[Name Surname]],Manpower!C:C,Manpower!D:D,)</f>
        <v>131431131</v>
      </c>
      <c r="G1334" s="48" t="str">
        <f>_xlfn.XLOOKUP(Table134526_79101120212223242526[[#This Row],[Name Surname]],Manpower!$C$4:$C$1048576,Manpower!$F$4:$F$1048576,"")</f>
        <v>RIgger</v>
      </c>
      <c r="H1334" s="48" t="str">
        <f>_xlfn.XLOOKUP(Table134526_79101120212223242526[[#This Row],[Name Surname]],Manpower!$C$4:$C$1048576,Manpower!$H$4:$H$1048576,"")</f>
        <v>Sub Contactor</v>
      </c>
      <c r="I1334" s="42" t="str">
        <f>_xlfn.XLOOKUP(Table134526_79101120212223242526[[#This Row],[Name Surname]],Manpower!$C$4:$C$1048576,Manpower!$H$4:$H$1048576,"")</f>
        <v>Sub Contactor</v>
      </c>
      <c r="J1334" s="43" t="s">
        <v>35</v>
      </c>
      <c r="K1334" s="43" t="s">
        <v>279</v>
      </c>
      <c r="L1334" s="43" t="s">
        <v>82</v>
      </c>
      <c r="M1334" s="43" t="s">
        <v>24</v>
      </c>
      <c r="N1334" s="44">
        <v>8</v>
      </c>
      <c r="O1334" s="43" t="s">
        <v>25</v>
      </c>
      <c r="P1334" s="43" t="s">
        <v>41</v>
      </c>
      <c r="Q1334" s="43" t="s">
        <v>60</v>
      </c>
      <c r="R1334" s="43" t="s">
        <v>280</v>
      </c>
      <c r="S1334" s="43" t="s">
        <v>230</v>
      </c>
    </row>
    <row r="1335" spans="1:19" ht="14.4" hidden="1">
      <c r="A1335" s="33">
        <f>IF(C1335="","",MAX($A$1:A1334)+1)</f>
        <v>1264</v>
      </c>
      <c r="B1335" s="26" t="s">
        <v>79</v>
      </c>
      <c r="C1335" s="23">
        <v>46092</v>
      </c>
      <c r="D1335" s="28" t="str">
        <f>_xlfn.XLOOKUP(Table134526_79101120212223242526[[#This Row],[Name Surname]],Manpower!$C$4:$C$1048576,Manpower!$B$4:$B$1048576,"")</f>
        <v>AL Saif &amp; Al QALLM ENT LLC</v>
      </c>
      <c r="E1335" s="21" t="s">
        <v>132</v>
      </c>
      <c r="F1335" s="12">
        <f>_xlfn.XLOOKUP(Table134526_79101120212223242526[[#This Row],[Name Surname]],Manpower!C:C,Manpower!D:D,)</f>
        <v>135762195</v>
      </c>
      <c r="G1335" s="28" t="str">
        <f>_xlfn.XLOOKUP(Table134526_79101120212223242526[[#This Row],[Name Surname]],Manpower!$C$4:$C$1048576,Manpower!$F$4:$F$1048576,"")</f>
        <v>HSE Officer</v>
      </c>
      <c r="H1335" s="28" t="str">
        <f>_xlfn.XLOOKUP(Table134526_79101120212223242526[[#This Row],[Name Surname]],Manpower!$C$4:$C$1048576,Manpower!$H$4:$H$1048576,"")</f>
        <v>Sub Contactor</v>
      </c>
      <c r="I1335" s="24" t="str">
        <f>_xlfn.XLOOKUP(Table134526_79101120212223242526[[#This Row],[Name Surname]],Manpower!$C$4:$C$1048576,Manpower!$H$4:$H$1048576,"")</f>
        <v>Sub Contactor</v>
      </c>
      <c r="J1335" s="21" t="s">
        <v>35</v>
      </c>
      <c r="K1335" s="21" t="s">
        <v>283</v>
      </c>
      <c r="L1335" s="21" t="s">
        <v>82</v>
      </c>
      <c r="M1335" s="21" t="s">
        <v>24</v>
      </c>
      <c r="N1335" s="29">
        <v>10</v>
      </c>
      <c r="O1335" s="21" t="s">
        <v>25</v>
      </c>
      <c r="P1335" s="21" t="s">
        <v>41</v>
      </c>
      <c r="Q1335" s="21" t="s">
        <v>60</v>
      </c>
      <c r="R1335" s="21" t="s">
        <v>284</v>
      </c>
    </row>
    <row r="1336" spans="1:19" s="45" customFormat="1" ht="14.4" hidden="1">
      <c r="A1336" s="25">
        <f>IF(C1336="","",MAX($A$1:A1335)+1)</f>
        <v>1265</v>
      </c>
      <c r="B1336" s="25" t="s">
        <v>79</v>
      </c>
      <c r="C1336" s="41">
        <v>46092</v>
      </c>
      <c r="D1336" s="48" t="str">
        <f>_xlfn.XLOOKUP(Table134526_79101120212223242526[[#This Row],[Name Surname]],Manpower!$C$4:$C$1048576,Manpower!$B$4:$B$1048576,"")</f>
        <v>Encogroup</v>
      </c>
      <c r="E1336" s="43" t="s">
        <v>133</v>
      </c>
      <c r="F1336" s="12">
        <f>_xlfn.XLOOKUP(Table134526_79101120212223242526[[#This Row],[Name Surname]],Manpower!C:C,Manpower!D:D,)</f>
        <v>140846684</v>
      </c>
      <c r="G1336" s="48" t="str">
        <f>_xlfn.XLOOKUP(Table134526_79101120212223242526[[#This Row],[Name Surname]],Manpower!$C$4:$C$1048576,Manpower!$F$4:$F$1048576,"")</f>
        <v>Assistant/Helper</v>
      </c>
      <c r="H1336" s="48" t="str">
        <f>_xlfn.XLOOKUP(Table134526_79101120212223242526[[#This Row],[Name Surname]],Manpower!$C$4:$C$1048576,Manpower!$H$4:$H$1048576,"")</f>
        <v>Manpower</v>
      </c>
      <c r="I1336" s="42" t="str">
        <f>_xlfn.XLOOKUP(Table134526_79101120212223242526[[#This Row],[Name Surname]],Manpower!$C$4:$C$1048576,Manpower!$H$4:$H$1048576,"")</f>
        <v>Manpower</v>
      </c>
      <c r="J1336" s="43" t="s">
        <v>35</v>
      </c>
      <c r="K1336" s="43" t="s">
        <v>283</v>
      </c>
      <c r="L1336" s="43" t="s">
        <v>82</v>
      </c>
      <c r="M1336" s="43" t="s">
        <v>24</v>
      </c>
      <c r="N1336" s="44">
        <v>10</v>
      </c>
      <c r="O1336" s="43" t="s">
        <v>25</v>
      </c>
      <c r="P1336" s="43" t="s">
        <v>41</v>
      </c>
      <c r="Q1336" s="43" t="s">
        <v>60</v>
      </c>
      <c r="R1336" s="43" t="s">
        <v>100</v>
      </c>
      <c r="S1336" s="43"/>
    </row>
    <row r="1337" spans="1:19" s="45" customFormat="1" ht="14.4" hidden="1">
      <c r="A1337" s="25">
        <f>IF(C1337="","",MAX($A$1:A1336)+1)</f>
        <v>1266</v>
      </c>
      <c r="B1337" s="25" t="s">
        <v>79</v>
      </c>
      <c r="C1337" s="41">
        <v>46092</v>
      </c>
      <c r="D1337" s="48" t="str">
        <f>_xlfn.XLOOKUP(Table134526_79101120212223242526[[#This Row],[Name Surname]],Manpower!$C$4:$C$1048576,Manpower!$B$4:$B$1048576,"")</f>
        <v>Encogroup</v>
      </c>
      <c r="E1337" s="43" t="s">
        <v>136</v>
      </c>
      <c r="F1337" s="12">
        <f>_xlfn.XLOOKUP(Table134526_79101120212223242526[[#This Row],[Name Surname]],Manpower!C:C,Manpower!D:D,)</f>
        <v>141250908</v>
      </c>
      <c r="G1337" s="48" t="str">
        <f>_xlfn.XLOOKUP(Table134526_79101120212223242526[[#This Row],[Name Surname]],Manpower!$C$4:$C$1048576,Manpower!$F$4:$F$1048576,"")</f>
        <v>Mechanical Engineer</v>
      </c>
      <c r="H1337" s="48" t="str">
        <f>_xlfn.XLOOKUP(Table134526_79101120212223242526[[#This Row],[Name Surname]],Manpower!$C$4:$C$1048576,Manpower!$H$4:$H$1048576,"")</f>
        <v>Manpower</v>
      </c>
      <c r="I1337" s="42" t="str">
        <f>_xlfn.XLOOKUP(Table134526_79101120212223242526[[#This Row],[Name Surname]],Manpower!$C$4:$C$1048576,Manpower!$H$4:$H$1048576,"")</f>
        <v>Manpower</v>
      </c>
      <c r="J1337" s="43" t="s">
        <v>35</v>
      </c>
      <c r="K1337" s="43" t="s">
        <v>283</v>
      </c>
      <c r="L1337" s="43" t="s">
        <v>82</v>
      </c>
      <c r="M1337" s="43" t="s">
        <v>24</v>
      </c>
      <c r="N1337" s="44">
        <v>10</v>
      </c>
      <c r="O1337" s="43" t="s">
        <v>25</v>
      </c>
      <c r="P1337" s="43" t="s">
        <v>41</v>
      </c>
      <c r="Q1337" s="43" t="s">
        <v>60</v>
      </c>
      <c r="R1337" s="43" t="s">
        <v>284</v>
      </c>
      <c r="S1337" s="43"/>
    </row>
    <row r="1338" spans="1:19" ht="14.4">
      <c r="A1338" s="33">
        <f>IF(C1338="","",MAX($A$1:A1337)+1)</f>
        <v>1267</v>
      </c>
      <c r="B1338" s="26" t="s">
        <v>79</v>
      </c>
      <c r="C1338" s="23">
        <v>46092</v>
      </c>
      <c r="D1338" s="28" t="str">
        <f>_xlfn.XLOOKUP(Table134526_79101120212223242526[[#This Row],[Name Surname]],Manpower!$C$4:$C$1048576,Manpower!$B$4:$B$1048576,"")</f>
        <v>Encogroup</v>
      </c>
      <c r="E1338" s="23" t="s">
        <v>137</v>
      </c>
      <c r="F1338" s="12" t="e">
        <f>_xlfn.XLOOKUP(Table134526_79101120212223242526[[#This Row],[Name Surname]],Manpower!C:C,Manpower!D:D,)</f>
        <v>#N/A</v>
      </c>
      <c r="G1338" s="28" t="str">
        <f>_xlfn.XLOOKUP(Table134526_79101120212223242526[[#This Row],[Name Surname]],Manpower!$C$4:$C$1048576,Manpower!$F$4:$F$1048576,"")</f>
        <v>55 Seat Bus</v>
      </c>
      <c r="H1338" s="28" t="str">
        <f>_xlfn.XLOOKUP(Table134526_79101120212223242526[[#This Row],[Name Surname]],Manpower!$C$4:$C$1048576,Manpower!$H$4:$H$1048576,"")</f>
        <v>Equipment</v>
      </c>
      <c r="I1338" s="24" t="str">
        <f>_xlfn.XLOOKUP(Table134526_79101120212223242526[[#This Row],[Name Surname]],Manpower!$C$4:$C$1048576,Manpower!$H$4:$H$1048576,"")</f>
        <v>Equipment</v>
      </c>
      <c r="J1338" s="21" t="s">
        <v>35</v>
      </c>
      <c r="K1338" s="21" t="s">
        <v>283</v>
      </c>
      <c r="L1338" s="21" t="s">
        <v>82</v>
      </c>
      <c r="M1338" s="21" t="s">
        <v>24</v>
      </c>
      <c r="N1338" s="29">
        <v>10</v>
      </c>
      <c r="O1338" s="21" t="s">
        <v>138</v>
      </c>
      <c r="P1338" s="21" t="s">
        <v>138</v>
      </c>
      <c r="Q1338" s="21" t="s">
        <v>138</v>
      </c>
      <c r="R1338" s="21" t="s">
        <v>26</v>
      </c>
    </row>
    <row r="1339" spans="1:19" ht="14.4">
      <c r="A1339" s="33">
        <f>IF(C1339="","",MAX($A$1:A1337)+1)</f>
        <v>1267</v>
      </c>
      <c r="B1339" s="26" t="s">
        <v>79</v>
      </c>
      <c r="C1339" s="23">
        <v>46092</v>
      </c>
      <c r="D1339" s="28" t="str">
        <f>_xlfn.XLOOKUP(Table134526_79101120212223242526[[#This Row],[Name Surname]],Manpower!$C$4:$C$1048576,Manpower!$B$4:$B$1048576,"")</f>
        <v>Encogroup</v>
      </c>
      <c r="E1339" s="23" t="s">
        <v>139</v>
      </c>
      <c r="F1339" s="12" t="e">
        <f>_xlfn.XLOOKUP(Table134526_79101120212223242526[[#This Row],[Name Surname]],Manpower!C:C,Manpower!D:D,)</f>
        <v>#N/A</v>
      </c>
      <c r="G1339" s="28" t="str">
        <f>_xlfn.XLOOKUP(Table134526_79101120212223242526[[#This Row],[Name Surname]],Manpower!$C$4:$C$1048576,Manpower!$F$4:$F$1048576,"")</f>
        <v>TOWER LIGHT</v>
      </c>
      <c r="H1339" s="28" t="str">
        <f>_xlfn.XLOOKUP(Table134526_79101120212223242526[[#This Row],[Name Surname]],Manpower!$C$4:$C$1048576,Manpower!$H$4:$H$1048576,"")</f>
        <v>Equipment</v>
      </c>
      <c r="I1339" s="24" t="str">
        <f>_xlfn.XLOOKUP(Table134526_79101120212223242526[[#This Row],[Name Surname]],Manpower!$C$4:$C$1048576,Manpower!$H$4:$H$1048576,"")</f>
        <v>Equipment</v>
      </c>
      <c r="J1339" s="21" t="s">
        <v>35</v>
      </c>
      <c r="K1339" s="21" t="s">
        <v>283</v>
      </c>
      <c r="L1339" s="21" t="s">
        <v>82</v>
      </c>
      <c r="M1339" s="21" t="s">
        <v>24</v>
      </c>
      <c r="N1339" s="29">
        <v>10</v>
      </c>
      <c r="O1339" s="21" t="s">
        <v>140</v>
      </c>
      <c r="P1339" s="21" t="s">
        <v>140</v>
      </c>
      <c r="Q1339" s="21" t="s">
        <v>140</v>
      </c>
      <c r="R1339" s="21" t="s">
        <v>26</v>
      </c>
    </row>
    <row r="1340" spans="1:19" ht="14.4">
      <c r="A1340" s="33">
        <f>IF(C1340="","",MAX($A$1:A1339)+1)</f>
        <v>1268</v>
      </c>
      <c r="B1340" s="27" t="s">
        <v>141</v>
      </c>
      <c r="C1340" s="23">
        <v>46092</v>
      </c>
      <c r="D1340" s="28" t="str">
        <f>_xlfn.XLOOKUP(Table134526_79101120212223242526[[#This Row],[Name Surname]],Manpower!$C$4:$C$1048576,Manpower!$B$4:$B$1048576,"")</f>
        <v>Encogroup</v>
      </c>
      <c r="E1340" s="21" t="s">
        <v>142</v>
      </c>
      <c r="F1340" s="12" t="e">
        <f>_xlfn.XLOOKUP(Table134526_79101120212223242526[[#This Row],[Name Surname]],Manpower!C:C,Manpower!D:D,)</f>
        <v>#N/A</v>
      </c>
      <c r="G1340" s="28" t="str">
        <f>_xlfn.XLOOKUP(Table134526_79101120212223242526[[#This Row],[Name Surname]],Manpower!$C$4:$C$1048576,Manpower!$F$4:$F$1048576,"")</f>
        <v>13 Seat Bus</v>
      </c>
      <c r="H1340" s="28" t="str">
        <f>_xlfn.XLOOKUP(Table134526_79101120212223242526[[#This Row],[Name Surname]],Manpower!$C$4:$C$1048576,Manpower!$H$4:$H$1048576,"")</f>
        <v>Equipment</v>
      </c>
      <c r="I1340" s="24" t="str">
        <f>_xlfn.XLOOKUP(Table134526_79101120212223242526[[#This Row],[Name Surname]],Manpower!$C$4:$C$1048576,Manpower!$H$4:$H$1048576,"")</f>
        <v>Equipment</v>
      </c>
      <c r="J1340" s="21" t="s">
        <v>143</v>
      </c>
      <c r="K1340" s="21" t="s">
        <v>26</v>
      </c>
      <c r="L1340" s="21" t="s">
        <v>144</v>
      </c>
      <c r="M1340" s="21" t="s">
        <v>24</v>
      </c>
      <c r="N1340" s="29">
        <v>10</v>
      </c>
      <c r="O1340" s="21" t="s">
        <v>138</v>
      </c>
      <c r="P1340" s="21" t="s">
        <v>138</v>
      </c>
      <c r="Q1340" s="21" t="s">
        <v>138</v>
      </c>
      <c r="R1340" s="21" t="s">
        <v>26</v>
      </c>
    </row>
    <row r="1341" spans="1:19" ht="14.4">
      <c r="A1341" s="33">
        <f>IF(C1341="","",MAX($A$1:A1340)+1)</f>
        <v>1269</v>
      </c>
      <c r="B1341" s="27" t="s">
        <v>141</v>
      </c>
      <c r="C1341" s="23">
        <v>46092</v>
      </c>
      <c r="D1341" s="28" t="str">
        <f>_xlfn.XLOOKUP(Table134526_79101120212223242526[[#This Row],[Name Surname]],Manpower!$C$4:$C$1048576,Manpower!$B$4:$B$1048576,"")</f>
        <v>Encogroup</v>
      </c>
      <c r="E1341" s="21" t="s">
        <v>145</v>
      </c>
      <c r="F1341" s="12" t="e">
        <f>_xlfn.XLOOKUP(Table134526_79101120212223242526[[#This Row],[Name Surname]],Manpower!C:C,Manpower!D:D,)</f>
        <v>#N/A</v>
      </c>
      <c r="G1341" s="28" t="str">
        <f>_xlfn.XLOOKUP(Table134526_79101120212223242526[[#This Row],[Name Surname]],Manpower!$C$4:$C$1048576,Manpower!$F$4:$F$1048576,"")</f>
        <v>15 Seat Bus</v>
      </c>
      <c r="H1341" s="28" t="str">
        <f>_xlfn.XLOOKUP(Table134526_79101120212223242526[[#This Row],[Name Surname]],Manpower!$C$4:$C$1048576,Manpower!$H$4:$H$1048576,"")</f>
        <v>Equipment</v>
      </c>
      <c r="I1341" s="24" t="str">
        <f>_xlfn.XLOOKUP(Table134526_79101120212223242526[[#This Row],[Name Surname]],Manpower!$C$4:$C$1048576,Manpower!$H$4:$H$1048576,"")</f>
        <v>Equipment</v>
      </c>
      <c r="J1341" s="21" t="s">
        <v>143</v>
      </c>
      <c r="K1341" s="21" t="s">
        <v>26</v>
      </c>
      <c r="L1341" s="21" t="s">
        <v>144</v>
      </c>
      <c r="M1341" s="21" t="s">
        <v>24</v>
      </c>
      <c r="N1341" s="29">
        <v>10</v>
      </c>
      <c r="O1341" s="21" t="s">
        <v>138</v>
      </c>
      <c r="P1341" s="21" t="s">
        <v>138</v>
      </c>
      <c r="Q1341" s="21" t="s">
        <v>138</v>
      </c>
      <c r="R1341" s="21" t="s">
        <v>26</v>
      </c>
    </row>
    <row r="1342" spans="1:19" ht="14.4">
      <c r="A1342" s="33">
        <f>IF(C1342="","",MAX($A$1:A1340)+1)</f>
        <v>1269</v>
      </c>
      <c r="B1342" s="27" t="s">
        <v>141</v>
      </c>
      <c r="C1342" s="23">
        <v>46092</v>
      </c>
      <c r="D1342" s="28" t="str">
        <f>_xlfn.XLOOKUP(Table134526_79101120212223242526[[#This Row],[Name Surname]],Manpower!$C$4:$C$1048576,Manpower!$B$4:$B$1048576,"")</f>
        <v>Nass Group</v>
      </c>
      <c r="E1342" s="21" t="s">
        <v>146</v>
      </c>
      <c r="F1342" s="12" t="e">
        <f>_xlfn.XLOOKUP(Table134526_79101120212223242526[[#This Row],[Name Surname]],Manpower!C:C,Manpower!D:D,)</f>
        <v>#N/A</v>
      </c>
      <c r="G1342" s="28" t="str">
        <f>_xlfn.XLOOKUP(Table134526_79101120212223242526[[#This Row],[Name Surname]],Manpower!$C$4:$C$1048576,Manpower!$F$4:$F$1048576,"")</f>
        <v>130T Crawler Crane</v>
      </c>
      <c r="H1342" s="28" t="str">
        <f>_xlfn.XLOOKUP(Table134526_79101120212223242526[[#This Row],[Name Surname]],Manpower!$C$4:$C$1048576,Manpower!$H$4:$H$1048576,"")</f>
        <v>Equipment</v>
      </c>
      <c r="I1342" s="24" t="str">
        <f>_xlfn.XLOOKUP(Table134526_79101120212223242526[[#This Row],[Name Surname]],Manpower!$C$4:$C$1048576,Manpower!$H$4:$H$1048576,"")</f>
        <v>Equipment</v>
      </c>
      <c r="J1342" s="21" t="s">
        <v>143</v>
      </c>
      <c r="K1342" s="21" t="s">
        <v>26</v>
      </c>
      <c r="L1342" s="21" t="s">
        <v>144</v>
      </c>
      <c r="M1342" s="21" t="s">
        <v>55</v>
      </c>
      <c r="N1342" s="29">
        <v>10</v>
      </c>
      <c r="R1342" s="21" t="s">
        <v>290</v>
      </c>
    </row>
    <row r="1343" spans="1:19" ht="14.4">
      <c r="A1343" s="33">
        <f>IF(C1343="","",MAX($A$1:A1342)+1)</f>
        <v>1270</v>
      </c>
      <c r="B1343" s="27" t="s">
        <v>141</v>
      </c>
      <c r="C1343" s="23">
        <v>46092</v>
      </c>
      <c r="D1343" s="28" t="str">
        <f>_xlfn.XLOOKUP(Table134526_79101120212223242526[[#This Row],[Name Surname]],Manpower!$C$4:$C$1048576,Manpower!$B$4:$B$1048576,"")</f>
        <v>Nass Group</v>
      </c>
      <c r="E1343" s="21" t="s">
        <v>148</v>
      </c>
      <c r="F1343" s="12" t="e">
        <f>_xlfn.XLOOKUP(Table134526_79101120212223242526[[#This Row],[Name Surname]],Manpower!C:C,Manpower!D:D,)</f>
        <v>#N/A</v>
      </c>
      <c r="G1343" s="28" t="str">
        <f>_xlfn.XLOOKUP(Table134526_79101120212223242526[[#This Row],[Name Surname]],Manpower!$C$4:$C$1048576,Manpower!$F$4:$F$1048576,"")</f>
        <v>70T-Telescopic crane</v>
      </c>
      <c r="H1343" s="28" t="str">
        <f>_xlfn.XLOOKUP(Table134526_79101120212223242526[[#This Row],[Name Surname]],Manpower!$C$4:$C$1048576,Manpower!$H$4:$H$1048576,"")</f>
        <v>Equipment</v>
      </c>
      <c r="I1343" s="24" t="str">
        <f>_xlfn.XLOOKUP(Table134526_79101120212223242526[[#This Row],[Name Surname]],Manpower!$C$4:$C$1048576,Manpower!$H$4:$H$1048576,"")</f>
        <v>Equipment</v>
      </c>
      <c r="J1343" s="21" t="s">
        <v>143</v>
      </c>
      <c r="K1343" s="21" t="s">
        <v>26</v>
      </c>
      <c r="L1343" s="21" t="s">
        <v>144</v>
      </c>
      <c r="M1343" s="21" t="s">
        <v>24</v>
      </c>
      <c r="N1343" s="29">
        <v>10</v>
      </c>
      <c r="O1343" s="43" t="s">
        <v>40</v>
      </c>
      <c r="P1343" s="43" t="s">
        <v>42</v>
      </c>
      <c r="Q1343" s="43" t="s">
        <v>42</v>
      </c>
      <c r="R1343" s="43" t="s">
        <v>291</v>
      </c>
    </row>
    <row r="1344" spans="1:19" ht="14.4">
      <c r="A1344" s="33">
        <f>IF(C1344="","",MAX($A$1:A1343)+1)</f>
        <v>1271</v>
      </c>
      <c r="B1344" s="27" t="s">
        <v>141</v>
      </c>
      <c r="C1344" s="23">
        <v>46092</v>
      </c>
      <c r="D1344" s="28" t="str">
        <f>_xlfn.XLOOKUP(Table134526_79101120212223242526[[#This Row],[Name Surname]],Manpower!$C$4:$C$1048576,Manpower!$B$4:$B$1048576,"")</f>
        <v>Riyan Al Khaleej</v>
      </c>
      <c r="E1344" s="21" t="s">
        <v>20</v>
      </c>
      <c r="F1344" s="12" t="e">
        <f>_xlfn.XLOOKUP(Table134526_79101120212223242526[[#This Row],[Name Surname]],Manpower!C:C,Manpower!D:D,)</f>
        <v>#N/A</v>
      </c>
      <c r="G1344" s="28" t="str">
        <f>_xlfn.XLOOKUP(Table134526_79101120212223242526[[#This Row],[Name Surname]],Manpower!$C$4:$C$1048576,Manpower!$F$4:$F$1048576,"")</f>
        <v>100T Telescopic Crane</v>
      </c>
      <c r="H1344" s="28" t="str">
        <f>_xlfn.XLOOKUP(Table134526_79101120212223242526[[#This Row],[Name Surname]],Manpower!$C$4:$C$1048576,Manpower!$H$4:$H$1048576,"")</f>
        <v>Equipment</v>
      </c>
      <c r="I1344" s="24" t="str">
        <f>_xlfn.XLOOKUP(Table134526_79101120212223242526[[#This Row],[Name Surname]],Manpower!$C$4:$C$1048576,Manpower!$H$4:$H$1048576,"")</f>
        <v>Equipment</v>
      </c>
      <c r="J1344" s="21" t="s">
        <v>143</v>
      </c>
      <c r="K1344" s="21" t="s">
        <v>26</v>
      </c>
      <c r="L1344" s="21" t="s">
        <v>144</v>
      </c>
      <c r="M1344" s="21" t="s">
        <v>24</v>
      </c>
      <c r="N1344" s="29">
        <v>8</v>
      </c>
      <c r="O1344" s="43" t="s">
        <v>40</v>
      </c>
      <c r="P1344" s="43" t="s">
        <v>42</v>
      </c>
      <c r="Q1344" s="43" t="s">
        <v>42</v>
      </c>
      <c r="R1344" s="43" t="s">
        <v>291</v>
      </c>
    </row>
    <row r="1345" spans="1:19" ht="14.4">
      <c r="A1345" s="33">
        <f>IF(C1345="","",MAX($A$1:A1344)+1)</f>
        <v>1272</v>
      </c>
      <c r="B1345" s="27" t="s">
        <v>141</v>
      </c>
      <c r="C1345" s="23">
        <v>46092</v>
      </c>
      <c r="D1345" s="28" t="str">
        <f>_xlfn.XLOOKUP(Table134526_79101120212223242526[[#This Row],[Name Surname]],Manpower!$C$4:$C$1048576,Manpower!$B$4:$B$1048576,"")</f>
        <v>Nass Group</v>
      </c>
      <c r="E1345" s="21" t="s">
        <v>86</v>
      </c>
      <c r="F1345" s="12" t="e">
        <f>_xlfn.XLOOKUP(Table134526_79101120212223242526[[#This Row],[Name Surname]],Manpower!C:C,Manpower!D:D,)</f>
        <v>#N/A</v>
      </c>
      <c r="G1345" s="28" t="str">
        <f>_xlfn.XLOOKUP(Table134526_79101120212223242526[[#This Row],[Name Surname]],Manpower!$C$4:$C$1048576,Manpower!$F$4:$F$1048576,"")</f>
        <v>70T-Telescopic crane</v>
      </c>
      <c r="H1345" s="28" t="str">
        <f>_xlfn.XLOOKUP(Table134526_79101120212223242526[[#This Row],[Name Surname]],Manpower!$C$4:$C$1048576,Manpower!$H$4:$H$1048576,"")</f>
        <v>Equipment</v>
      </c>
      <c r="I1345" s="24" t="str">
        <f>_xlfn.XLOOKUP(Table134526_79101120212223242526[[#This Row],[Name Surname]],Manpower!$C$4:$C$1048576,Manpower!$H$4:$H$1048576,"")</f>
        <v>Equipment</v>
      </c>
      <c r="J1345" s="21" t="s">
        <v>143</v>
      </c>
      <c r="K1345" s="21" t="s">
        <v>26</v>
      </c>
      <c r="L1345" s="21" t="s">
        <v>144</v>
      </c>
      <c r="M1345" s="21" t="s">
        <v>24</v>
      </c>
      <c r="N1345" s="29">
        <v>5</v>
      </c>
      <c r="O1345" s="43" t="s">
        <v>40</v>
      </c>
      <c r="P1345" s="43" t="s">
        <v>42</v>
      </c>
      <c r="Q1345" s="43" t="s">
        <v>42</v>
      </c>
      <c r="R1345" s="43" t="s">
        <v>291</v>
      </c>
    </row>
    <row r="1346" spans="1:19" s="45" customFormat="1" ht="14.4" hidden="1">
      <c r="A1346" s="25">
        <f>IF(C1346="","",MAX($A$1:A1344)+1)</f>
        <v>1272</v>
      </c>
      <c r="B1346" s="25" t="s">
        <v>141</v>
      </c>
      <c r="C1346" s="41">
        <v>46092</v>
      </c>
      <c r="D1346" s="48" t="str">
        <f>_xlfn.XLOOKUP(Table134526_79101120212223242526[[#This Row],[Name Surname]],Manpower!$C$4:$C$1048576,Manpower!$B$4:$B$1048576,"")</f>
        <v>SARENS NASS</v>
      </c>
      <c r="E1346" s="43" t="s">
        <v>103</v>
      </c>
      <c r="F1346" s="12">
        <f>_xlfn.XLOOKUP(Table134526_79101120212223242526[[#This Row],[Name Surname]],Manpower!C:C,Manpower!D:D,)</f>
        <v>79502392</v>
      </c>
      <c r="G1346" s="48" t="str">
        <f>_xlfn.XLOOKUP(Table134526_79101120212223242526[[#This Row],[Name Surname]],Manpower!$C$4:$C$1048576,Manpower!$F$4:$F$1048576,"")</f>
        <v>Crane Operator- 70T Liebherr Telescopic Crane-01</v>
      </c>
      <c r="H1346" s="48" t="str">
        <f>_xlfn.XLOOKUP(Table134526_79101120212223242526[[#This Row],[Name Surname]],Manpower!$C$4:$C$1048576,Manpower!$H$4:$H$1048576,"")</f>
        <v>Manpower</v>
      </c>
      <c r="I1346" s="42" t="str">
        <f>_xlfn.XLOOKUP(Table134526_79101120212223242526[[#This Row],[Name Surname]],Manpower!$C$4:$C$1048576,Manpower!$H$4:$H$1048576,"")</f>
        <v>Manpower</v>
      </c>
      <c r="J1346" s="43" t="s">
        <v>143</v>
      </c>
      <c r="K1346" s="43" t="s">
        <v>26</v>
      </c>
      <c r="L1346" s="43" t="s">
        <v>144</v>
      </c>
      <c r="M1346" s="43" t="s">
        <v>24</v>
      </c>
      <c r="N1346" s="44">
        <v>5</v>
      </c>
      <c r="O1346" s="43" t="s">
        <v>40</v>
      </c>
      <c r="P1346" s="43" t="s">
        <v>42</v>
      </c>
      <c r="Q1346" s="43" t="s">
        <v>42</v>
      </c>
      <c r="R1346" s="43" t="s">
        <v>291</v>
      </c>
      <c r="S1346" s="43"/>
    </row>
    <row r="1347" spans="1:19" ht="14.4">
      <c r="A1347" s="33">
        <f>IF(C1347="","",MAX($A$1:A1344)+1)</f>
        <v>1272</v>
      </c>
      <c r="B1347" s="33" t="s">
        <v>141</v>
      </c>
      <c r="C1347" s="23">
        <v>46092</v>
      </c>
      <c r="D1347" s="28" t="str">
        <f>_xlfn.XLOOKUP(Table134526_79101120212223242526[[#This Row],[Name Surname]],Manpower!$C$4:$C$1048576,Manpower!$B$4:$B$1048576,"")</f>
        <v>Encogroup</v>
      </c>
      <c r="E1347" s="21" t="s">
        <v>150</v>
      </c>
      <c r="F1347" s="12" t="e">
        <f>_xlfn.XLOOKUP(Table134526_79101120212223242526[[#This Row],[Name Surname]],Manpower!C:C,Manpower!D:D,)</f>
        <v>#N/A</v>
      </c>
      <c r="G1347" s="28" t="str">
        <f>_xlfn.XLOOKUP(Table134526_79101120212223242526[[#This Row],[Name Surname]],Manpower!$C$4:$C$1048576,Manpower!$F$4:$F$1048576,"")</f>
        <v>14T Fork lift</v>
      </c>
      <c r="H1347" s="28" t="str">
        <f>_xlfn.XLOOKUP(Table134526_79101120212223242526[[#This Row],[Name Surname]],Manpower!$C$4:$C$1048576,Manpower!$H$4:$H$1048576,"")</f>
        <v>Equipment</v>
      </c>
      <c r="I1347" s="24" t="str">
        <f>_xlfn.XLOOKUP(Table134526_79101120212223242526[[#This Row],[Name Surname]],Manpower!$C$4:$C$1048576,Manpower!$H$4:$H$1048576,"")</f>
        <v>Equipment</v>
      </c>
      <c r="J1347" s="21" t="s">
        <v>143</v>
      </c>
      <c r="K1347" s="21" t="s">
        <v>26</v>
      </c>
      <c r="L1347" s="21" t="s">
        <v>144</v>
      </c>
      <c r="M1347" s="21" t="s">
        <v>24</v>
      </c>
      <c r="N1347" s="29">
        <v>10</v>
      </c>
      <c r="O1347" s="21" t="s">
        <v>40</v>
      </c>
      <c r="P1347" s="21" t="s">
        <v>42</v>
      </c>
      <c r="Q1347" s="21" t="s">
        <v>42</v>
      </c>
      <c r="R1347" s="21" t="s">
        <v>291</v>
      </c>
    </row>
    <row r="1348" spans="1:19" ht="14.4">
      <c r="A1348" s="33">
        <f>IF(C1348="","",MAX($A$1:A1347)+1)</f>
        <v>1273</v>
      </c>
      <c r="B1348" s="27" t="s">
        <v>141</v>
      </c>
      <c r="C1348" s="23">
        <v>46092</v>
      </c>
      <c r="D1348" s="28" t="str">
        <f>_xlfn.XLOOKUP(Table134526_79101120212223242526[[#This Row],[Name Surname]],Manpower!$C$4:$C$1048576,Manpower!$B$4:$B$1048576,"")</f>
        <v>Al Jaber Heavy Lift</v>
      </c>
      <c r="E1348" s="21" t="s">
        <v>151</v>
      </c>
      <c r="F1348" s="12" t="e">
        <f>_xlfn.XLOOKUP(Table134526_79101120212223242526[[#This Row],[Name Surname]],Manpower!C:C,Manpower!D:D,)</f>
        <v>#N/A</v>
      </c>
      <c r="G1348" s="28" t="str">
        <f>_xlfn.XLOOKUP(Table134526_79101120212223242526[[#This Row],[Name Surname]],Manpower!$C$4:$C$1048576,Manpower!$F$4:$F$1048576,"")</f>
        <v>150T-Crawler Crane</v>
      </c>
      <c r="H1348" s="28" t="str">
        <f>_xlfn.XLOOKUP(Table134526_79101120212223242526[[#This Row],[Name Surname]],Manpower!$C$4:$C$1048576,Manpower!$H$4:$H$1048576,"")</f>
        <v>Equipment</v>
      </c>
      <c r="I1348" s="24" t="str">
        <f>_xlfn.XLOOKUP(Table134526_79101120212223242526[[#This Row],[Name Surname]],Manpower!$C$4:$C$1048576,Manpower!$H$4:$H$1048576,"")</f>
        <v>Equipment</v>
      </c>
      <c r="J1348" s="21" t="s">
        <v>143</v>
      </c>
      <c r="K1348" s="21" t="s">
        <v>26</v>
      </c>
      <c r="L1348" s="21" t="s">
        <v>144</v>
      </c>
      <c r="M1348" s="21" t="s">
        <v>55</v>
      </c>
      <c r="N1348" s="29">
        <v>8</v>
      </c>
      <c r="R1348" s="21" t="s">
        <v>242</v>
      </c>
    </row>
    <row r="1349" spans="1:19" ht="14.4">
      <c r="A1349" s="33">
        <f>IF(C1349="","",MAX($A$1:A1348)+1)</f>
        <v>1274</v>
      </c>
      <c r="B1349" s="27" t="s">
        <v>141</v>
      </c>
      <c r="C1349" s="23">
        <v>46092</v>
      </c>
      <c r="D1349" s="28" t="str">
        <f>_xlfn.XLOOKUP(Table134526_79101120212223242526[[#This Row],[Name Surname]],Manpower!$C$4:$C$1048576,Manpower!$B$4:$B$1048576,"")</f>
        <v>Encogroup</v>
      </c>
      <c r="E1349" s="21" t="s">
        <v>153</v>
      </c>
      <c r="F1349" s="12" t="e">
        <f>_xlfn.XLOOKUP(Table134526_79101120212223242526[[#This Row],[Name Surname]],Manpower!C:C,Manpower!D:D,)</f>
        <v>#N/A</v>
      </c>
      <c r="G1349" s="28" t="str">
        <f>_xlfn.XLOOKUP(Table134526_79101120212223242526[[#This Row],[Name Surname]],Manpower!$C$4:$C$1048576,Manpower!$F$4:$F$1048576,"")</f>
        <v>22 Seat Bus</v>
      </c>
      <c r="H1349" s="28" t="str">
        <f>_xlfn.XLOOKUP(Table134526_79101120212223242526[[#This Row],[Name Surname]],Manpower!$C$4:$C$1048576,Manpower!$H$4:$H$1048576,"")</f>
        <v>Equipment</v>
      </c>
      <c r="I1349" s="24" t="str">
        <f>_xlfn.XLOOKUP(Table134526_79101120212223242526[[#This Row],[Name Surname]],Manpower!$C$4:$C$1048576,Manpower!$H$4:$H$1048576,"")</f>
        <v>Equipment</v>
      </c>
      <c r="J1349" s="21" t="s">
        <v>143</v>
      </c>
      <c r="K1349" s="21" t="s">
        <v>26</v>
      </c>
      <c r="L1349" s="21" t="s">
        <v>144</v>
      </c>
      <c r="M1349" s="21" t="s">
        <v>24</v>
      </c>
      <c r="N1349" s="29">
        <v>10</v>
      </c>
      <c r="O1349" s="21" t="s">
        <v>138</v>
      </c>
      <c r="P1349" s="21" t="s">
        <v>138</v>
      </c>
      <c r="Q1349" s="21" t="s">
        <v>138</v>
      </c>
      <c r="R1349" s="21" t="s">
        <v>26</v>
      </c>
    </row>
    <row r="1350" spans="1:19" ht="14.4">
      <c r="A1350" s="33">
        <f>IF(C1350="","",MAX($A$1:A1349)+1)</f>
        <v>1275</v>
      </c>
      <c r="B1350" s="27" t="s">
        <v>141</v>
      </c>
      <c r="C1350" s="23">
        <v>46092</v>
      </c>
      <c r="D1350" s="28" t="str">
        <f>_xlfn.XLOOKUP(Table134526_79101120212223242526[[#This Row],[Name Surname]],Manpower!$C$4:$C$1048576,Manpower!$B$4:$B$1048576,"")</f>
        <v>Encogroup</v>
      </c>
      <c r="E1350" s="21" t="s">
        <v>154</v>
      </c>
      <c r="F1350" s="12" t="e">
        <f>_xlfn.XLOOKUP(Table134526_79101120212223242526[[#This Row],[Name Surname]],Manpower!C:C,Manpower!D:D,)</f>
        <v>#N/A</v>
      </c>
      <c r="G1350" s="28" t="str">
        <f>_xlfn.XLOOKUP(Table134526_79101120212223242526[[#This Row],[Name Surname]],Manpower!$C$4:$C$1048576,Manpower!$F$4:$F$1048576,"")</f>
        <v>22 Seat Bus</v>
      </c>
      <c r="H1350" s="28" t="str">
        <f>_xlfn.XLOOKUP(Table134526_79101120212223242526[[#This Row],[Name Surname]],Manpower!$C$4:$C$1048576,Manpower!$H$4:$H$1048576,"")</f>
        <v>Equipment</v>
      </c>
      <c r="I1350" s="24" t="str">
        <f>_xlfn.XLOOKUP(Table134526_79101120212223242526[[#This Row],[Name Surname]],Manpower!$C$4:$C$1048576,Manpower!$H$4:$H$1048576,"")</f>
        <v>Equipment</v>
      </c>
      <c r="J1350" s="21" t="s">
        <v>143</v>
      </c>
      <c r="K1350" s="21" t="s">
        <v>26</v>
      </c>
      <c r="L1350" s="21" t="s">
        <v>144</v>
      </c>
      <c r="M1350" s="21" t="s">
        <v>24</v>
      </c>
      <c r="N1350" s="29">
        <v>10</v>
      </c>
      <c r="O1350" s="21" t="s">
        <v>138</v>
      </c>
      <c r="P1350" s="21" t="s">
        <v>138</v>
      </c>
      <c r="Q1350" s="21" t="s">
        <v>138</v>
      </c>
      <c r="R1350" s="21" t="s">
        <v>26</v>
      </c>
    </row>
    <row r="1351" spans="1:19" ht="14.4">
      <c r="A1351" s="33">
        <f>IF(C1351="","",MAX($A$1:A1350)+1)</f>
        <v>1276</v>
      </c>
      <c r="B1351" s="27" t="s">
        <v>141</v>
      </c>
      <c r="C1351" s="23">
        <v>46092</v>
      </c>
      <c r="D1351" s="28" t="str">
        <f>_xlfn.XLOOKUP(Table134526_79101120212223242526[[#This Row],[Name Surname]],Manpower!$C$4:$C$1048576,Manpower!$B$4:$B$1048576,"")</f>
        <v>Encogroup</v>
      </c>
      <c r="E1351" s="21" t="s">
        <v>155</v>
      </c>
      <c r="F1351" s="12" t="e">
        <f>_xlfn.XLOOKUP(Table134526_79101120212223242526[[#This Row],[Name Surname]],Manpower!C:C,Manpower!D:D,)</f>
        <v>#N/A</v>
      </c>
      <c r="G1351" s="28" t="str">
        <f>_xlfn.XLOOKUP(Table134526_79101120212223242526[[#This Row],[Name Surname]],Manpower!$C$4:$C$1048576,Manpower!$F$4:$F$1048576,"")</f>
        <v>300 KVA Generator</v>
      </c>
      <c r="H1351" s="28" t="str">
        <f>_xlfn.XLOOKUP(Table134526_79101120212223242526[[#This Row],[Name Surname]],Manpower!$C$4:$C$1048576,Manpower!$H$4:$H$1048576,"")</f>
        <v>Equipment</v>
      </c>
      <c r="I1351" s="24" t="str">
        <f>_xlfn.XLOOKUP(Table134526_79101120212223242526[[#This Row],[Name Surname]],Manpower!$C$4:$C$1048576,Manpower!$H$4:$H$1048576,"")</f>
        <v>Equipment</v>
      </c>
      <c r="J1351" s="21" t="s">
        <v>143</v>
      </c>
      <c r="K1351" s="21" t="s">
        <v>26</v>
      </c>
      <c r="L1351" s="21" t="s">
        <v>144</v>
      </c>
      <c r="M1351" s="21" t="s">
        <v>24</v>
      </c>
      <c r="N1351" s="29">
        <v>10</v>
      </c>
      <c r="R1351" s="21" t="s">
        <v>26</v>
      </c>
    </row>
    <row r="1352" spans="1:19" ht="14.4">
      <c r="A1352" s="33">
        <f>IF(C1352="","",MAX($A$1:A1351)+1)</f>
        <v>1277</v>
      </c>
      <c r="B1352" s="27" t="s">
        <v>141</v>
      </c>
      <c r="C1352" s="23">
        <v>46092</v>
      </c>
      <c r="D1352" s="28" t="str">
        <f>_xlfn.XLOOKUP(Table134526_79101120212223242526[[#This Row],[Name Surname]],Manpower!$C$4:$C$1048576,Manpower!$B$4:$B$1048576,"")</f>
        <v>Encogroup</v>
      </c>
      <c r="E1352" s="23" t="s">
        <v>156</v>
      </c>
      <c r="F1352" s="12" t="e">
        <f>_xlfn.XLOOKUP(Table134526_79101120212223242526[[#This Row],[Name Surname]],Manpower!C:C,Manpower!D:D,)</f>
        <v>#N/A</v>
      </c>
      <c r="G1352" s="28" t="str">
        <f>_xlfn.XLOOKUP(Table134526_79101120212223242526[[#This Row],[Name Surname]],Manpower!$C$4:$C$1048576,Manpower!$F$4:$F$1048576,"")</f>
        <v>35 KVA Generator</v>
      </c>
      <c r="H1352" s="28" t="str">
        <f>_xlfn.XLOOKUP(Table134526_79101120212223242526[[#This Row],[Name Surname]],Manpower!$C$4:$C$1048576,Manpower!$H$4:$H$1048576,"")</f>
        <v>Equipment</v>
      </c>
      <c r="I1352" s="24" t="str">
        <f>_xlfn.XLOOKUP(Table134526_79101120212223242526[[#This Row],[Name Surname]],Manpower!$C$4:$C$1048576,Manpower!$H$4:$H$1048576,"")</f>
        <v>Equipment</v>
      </c>
      <c r="J1352" s="21" t="s">
        <v>143</v>
      </c>
      <c r="K1352" s="21" t="s">
        <v>26</v>
      </c>
      <c r="L1352" s="21" t="s">
        <v>144</v>
      </c>
      <c r="M1352" s="21" t="s">
        <v>55</v>
      </c>
      <c r="N1352" s="29">
        <v>10</v>
      </c>
      <c r="R1352" s="21" t="s">
        <v>56</v>
      </c>
    </row>
    <row r="1353" spans="1:19" ht="14.4" hidden="1">
      <c r="A1353" s="33">
        <f>IF(C1353="","",MAX($A$1:A1352)+1)</f>
        <v>1278</v>
      </c>
      <c r="B1353" s="27" t="s">
        <v>141</v>
      </c>
      <c r="C1353" s="23">
        <v>46092</v>
      </c>
      <c r="D1353" s="28" t="str">
        <f>_xlfn.XLOOKUP(Table134526_79101120212223242526[[#This Row],[Name Surname]],Manpower!$C$4:$C$1048576,Manpower!$B$4:$B$1048576,"")</f>
        <v>Encogroup</v>
      </c>
      <c r="E1353" s="21" t="s">
        <v>157</v>
      </c>
      <c r="F1353" s="12">
        <f>_xlfn.XLOOKUP(Table134526_79101120212223242526[[#This Row],[Name Surname]],Manpower!C:C,Manpower!D:D,)</f>
        <v>140742144</v>
      </c>
      <c r="G1353" s="28" t="str">
        <f>_xlfn.XLOOKUP(Table134526_79101120212223242526[[#This Row],[Name Surname]],Manpower!$C$4:$C$1048576,Manpower!$F$4:$F$1048576,"")</f>
        <v>Assistant/Helper</v>
      </c>
      <c r="H1353" s="28" t="str">
        <f>_xlfn.XLOOKUP(Table134526_79101120212223242526[[#This Row],[Name Surname]],Manpower!$C$4:$C$1048576,Manpower!$H$4:$H$1048576,"")</f>
        <v>Manpower</v>
      </c>
      <c r="I1353" s="24" t="str">
        <f>_xlfn.XLOOKUP(Table134526_79101120212223242526[[#This Row],[Name Surname]],Manpower!$C$4:$C$1048576,Manpower!$H$4:$H$1048576,"")</f>
        <v>Manpower</v>
      </c>
      <c r="J1353" s="21" t="s">
        <v>158</v>
      </c>
      <c r="K1353" s="21" t="s">
        <v>26</v>
      </c>
      <c r="L1353" s="21" t="s">
        <v>26</v>
      </c>
      <c r="M1353" s="21" t="s">
        <v>24</v>
      </c>
      <c r="N1353" s="29">
        <v>10</v>
      </c>
      <c r="O1353" s="21" t="s">
        <v>159</v>
      </c>
      <c r="P1353" s="21" t="s">
        <v>160</v>
      </c>
      <c r="Q1353" s="21" t="s">
        <v>160</v>
      </c>
      <c r="R1353" s="21" t="s">
        <v>161</v>
      </c>
    </row>
    <row r="1354" spans="1:19" s="45" customFormat="1" ht="14.4" hidden="1">
      <c r="A1354" s="25">
        <f>IF(C1354="","",MAX($A$1:A1353)+1)</f>
        <v>1279</v>
      </c>
      <c r="B1354" s="25" t="s">
        <v>141</v>
      </c>
      <c r="C1354" s="41">
        <v>46092</v>
      </c>
      <c r="D1354" s="48" t="str">
        <f>_xlfn.XLOOKUP(Table134526_79101120212223242526[[#This Row],[Name Surname]],Manpower!$C$4:$C$1048576,Manpower!$B$4:$B$1048576,"")</f>
        <v>Encogroup</v>
      </c>
      <c r="E1354" s="43" t="s">
        <v>166</v>
      </c>
      <c r="F1354" s="12" t="str">
        <f>_xlfn.XLOOKUP(Table134526_79101120212223242526[[#This Row],[Name Surname]],Manpower!C:C,Manpower!D:D,)</f>
        <v>U4181508</v>
      </c>
      <c r="G1354" s="48" t="str">
        <f>_xlfn.XLOOKUP(Table134526_79101120212223242526[[#This Row],[Name Surname]],Manpower!$C$4:$C$1048576,Manpower!$F$4:$F$1048576,"")</f>
        <v>Welder</v>
      </c>
      <c r="H1354" s="48" t="str">
        <f>_xlfn.XLOOKUP(Table134526_79101120212223242526[[#This Row],[Name Surname]],Manpower!$C$4:$C$1048576,Manpower!$H$4:$H$1048576,"")</f>
        <v>Manpower</v>
      </c>
      <c r="I1354" s="42" t="str">
        <f>_xlfn.XLOOKUP(Table134526_79101120212223242526[[#This Row],[Name Surname]],Manpower!$C$4:$C$1048576,Manpower!$H$4:$H$1048576,"")</f>
        <v>Manpower</v>
      </c>
      <c r="J1354" s="43" t="s">
        <v>143</v>
      </c>
      <c r="K1354" s="43" t="s">
        <v>26</v>
      </c>
      <c r="L1354" s="43" t="s">
        <v>144</v>
      </c>
      <c r="M1354" s="43" t="s">
        <v>24</v>
      </c>
      <c r="N1354" s="44">
        <v>10</v>
      </c>
      <c r="O1354" s="43" t="s">
        <v>40</v>
      </c>
      <c r="P1354" s="43" t="s">
        <v>42</v>
      </c>
      <c r="Q1354" s="43" t="s">
        <v>42</v>
      </c>
      <c r="R1354" s="43" t="s">
        <v>291</v>
      </c>
      <c r="S1354" s="43"/>
    </row>
    <row r="1355" spans="1:19" s="45" customFormat="1" ht="14.4" hidden="1">
      <c r="A1355" s="25">
        <f>IF(C1355="","",MAX($A$1:A1354)+1)</f>
        <v>1280</v>
      </c>
      <c r="B1355" s="25" t="s">
        <v>141</v>
      </c>
      <c r="C1355" s="41">
        <v>46092</v>
      </c>
      <c r="D1355" s="48" t="str">
        <f>_xlfn.XLOOKUP(Table134526_79101120212223242526[[#This Row],[Name Surname]],Manpower!$C$4:$C$1048576,Manpower!$B$4:$B$1048576,"")</f>
        <v>Encogroup</v>
      </c>
      <c r="E1355" s="43" t="s">
        <v>167</v>
      </c>
      <c r="F1355" s="12">
        <f>_xlfn.XLOOKUP(Table134526_79101120212223242526[[#This Row],[Name Surname]],Manpower!C:C,Manpower!D:D,)</f>
        <v>125440631</v>
      </c>
      <c r="G1355" s="48" t="str">
        <f>_xlfn.XLOOKUP(Table134526_79101120212223242526[[#This Row],[Name Surname]],Manpower!$C$4:$C$1048576,Manpower!$F$4:$F$1048576,"")</f>
        <v>Rigger</v>
      </c>
      <c r="H1355" s="48" t="str">
        <f>_xlfn.XLOOKUP(Table134526_79101120212223242526[[#This Row],[Name Surname]],Manpower!$C$4:$C$1048576,Manpower!$H$4:$H$1048576,"")</f>
        <v>Manpower</v>
      </c>
      <c r="I1355" s="42" t="str">
        <f>_xlfn.XLOOKUP(Table134526_79101120212223242526[[#This Row],[Name Surname]],Manpower!$C$4:$C$1048576,Manpower!$H$4:$H$1048576,"")</f>
        <v>Manpower</v>
      </c>
      <c r="J1355" s="43" t="s">
        <v>143</v>
      </c>
      <c r="K1355" s="43" t="s">
        <v>26</v>
      </c>
      <c r="L1355" s="43" t="s">
        <v>144</v>
      </c>
      <c r="M1355" s="43" t="s">
        <v>24</v>
      </c>
      <c r="N1355" s="44">
        <v>8</v>
      </c>
      <c r="O1355" s="43" t="s">
        <v>40</v>
      </c>
      <c r="P1355" s="43" t="s">
        <v>42</v>
      </c>
      <c r="Q1355" s="43" t="s">
        <v>42</v>
      </c>
      <c r="R1355" s="43" t="s">
        <v>291</v>
      </c>
      <c r="S1355" s="43"/>
    </row>
    <row r="1356" spans="1:19" ht="14.4" hidden="1">
      <c r="A1356" s="33">
        <f>IF(C1356="","",MAX($A$1:A1355)+1)</f>
        <v>1281</v>
      </c>
      <c r="B1356" s="27" t="s">
        <v>141</v>
      </c>
      <c r="C1356" s="23">
        <v>46092</v>
      </c>
      <c r="D1356" s="28" t="str">
        <f>_xlfn.XLOOKUP(Table134526_79101120212223242526[[#This Row],[Name Surname]],Manpower!$C$4:$C$1048576,Manpower!$B$4:$B$1048576,"")</f>
        <v>AL Omar International TRAD AND CONT</v>
      </c>
      <c r="E1356" s="21" t="s">
        <v>169</v>
      </c>
      <c r="F1356" s="12">
        <f>_xlfn.XLOOKUP(Table134526_79101120212223242526[[#This Row],[Name Surname]],Manpower!C:C,Manpower!D:D,)</f>
        <v>115731078</v>
      </c>
      <c r="G1356" s="28" t="str">
        <f>_xlfn.XLOOKUP(Table134526_79101120212223242526[[#This Row],[Name Surname]],Manpower!$C$4:$C$1048576,Manpower!$F$4:$F$1048576,"")</f>
        <v>Scaffolder</v>
      </c>
      <c r="H1356" s="28" t="str">
        <f>_xlfn.XLOOKUP(Table134526_79101120212223242526[[#This Row],[Name Surname]],Manpower!$C$4:$C$1048576,Manpower!$H$4:$H$1048576,"")</f>
        <v>Sub Contactor</v>
      </c>
      <c r="I1356" s="24" t="str">
        <f>_xlfn.XLOOKUP(Table134526_79101120212223242526[[#This Row],[Name Surname]],Manpower!$C$4:$C$1048576,Manpower!$H$4:$H$1048576,"")</f>
        <v>Sub Contactor</v>
      </c>
      <c r="J1356" s="21" t="s">
        <v>143</v>
      </c>
      <c r="K1356" s="21" t="s">
        <v>26</v>
      </c>
      <c r="L1356" s="21" t="s">
        <v>170</v>
      </c>
      <c r="M1356" s="21" t="s">
        <v>24</v>
      </c>
      <c r="N1356" s="29">
        <v>8</v>
      </c>
      <c r="O1356" s="21" t="s">
        <v>40</v>
      </c>
      <c r="P1356" s="21" t="s">
        <v>128</v>
      </c>
      <c r="Q1356" s="21" t="s">
        <v>128</v>
      </c>
      <c r="R1356" s="21" t="s">
        <v>171</v>
      </c>
    </row>
    <row r="1357" spans="1:19" s="45" customFormat="1" ht="14.4" hidden="1">
      <c r="A1357" s="25">
        <f>IF(C1357="","",MAX($A$1:A1356)+1)</f>
        <v>1282</v>
      </c>
      <c r="B1357" s="25" t="s">
        <v>141</v>
      </c>
      <c r="C1357" s="41">
        <v>46092</v>
      </c>
      <c r="D1357" s="48" t="str">
        <f>_xlfn.XLOOKUP(Table134526_79101120212223242526[[#This Row],[Name Surname]],Manpower!$C$4:$C$1048576,Manpower!$B$4:$B$1048576,"")</f>
        <v>Encogroup</v>
      </c>
      <c r="E1357" s="43" t="s">
        <v>172</v>
      </c>
      <c r="F1357" s="12">
        <f>_xlfn.XLOOKUP(Table134526_79101120212223242526[[#This Row],[Name Surname]],Manpower!C:C,Manpower!D:D,)</f>
        <v>140764355</v>
      </c>
      <c r="G1357" s="48" t="str">
        <f>_xlfn.XLOOKUP(Table134526_79101120212223242526[[#This Row],[Name Surname]],Manpower!$C$4:$C$1048576,Manpower!$F$4:$F$1048576,"")</f>
        <v>Fitter/Erector</v>
      </c>
      <c r="H1357" s="48" t="str">
        <f>_xlfn.XLOOKUP(Table134526_79101120212223242526[[#This Row],[Name Surname]],Manpower!$C$4:$C$1048576,Manpower!$H$4:$H$1048576,"")</f>
        <v>Manpower</v>
      </c>
      <c r="I1357" s="42" t="str">
        <f>_xlfn.XLOOKUP(Table134526_79101120212223242526[[#This Row],[Name Surname]],Manpower!$C$4:$C$1048576,Manpower!$H$4:$H$1048576,"")</f>
        <v>Manpower</v>
      </c>
      <c r="J1357" s="43" t="s">
        <v>143</v>
      </c>
      <c r="K1357" s="43" t="s">
        <v>26</v>
      </c>
      <c r="L1357" s="43" t="s">
        <v>144</v>
      </c>
      <c r="M1357" s="43" t="s">
        <v>24</v>
      </c>
      <c r="N1357" s="44">
        <v>10</v>
      </c>
      <c r="O1357" s="43" t="s">
        <v>40</v>
      </c>
      <c r="P1357" s="43" t="s">
        <v>42</v>
      </c>
      <c r="Q1357" s="43" t="s">
        <v>42</v>
      </c>
      <c r="R1357" s="43" t="s">
        <v>291</v>
      </c>
      <c r="S1357" s="43"/>
    </row>
    <row r="1358" spans="1:19" ht="14.4" hidden="1">
      <c r="A1358" s="33">
        <f>IF(C1358="","",MAX($A$1:A1357)+1)</f>
        <v>1283</v>
      </c>
      <c r="B1358" s="27" t="s">
        <v>141</v>
      </c>
      <c r="C1358" s="23">
        <v>46092</v>
      </c>
      <c r="D1358" s="28" t="str">
        <f>_xlfn.XLOOKUP(Table134526_79101120212223242526[[#This Row],[Name Surname]],Manpower!$C$4:$C$1048576,Manpower!$B$4:$B$1048576,"")</f>
        <v>Encogroup</v>
      </c>
      <c r="E1358" s="21" t="s">
        <v>175</v>
      </c>
      <c r="F1358" s="12">
        <f>_xlfn.XLOOKUP(Table134526_79101120212223242526[[#This Row],[Name Surname]],Manpower!C:C,Manpower!D:D,)</f>
        <v>140742125</v>
      </c>
      <c r="G1358" s="28" t="str">
        <f>_xlfn.XLOOKUP(Table134526_79101120212223242526[[#This Row],[Name Surname]],Manpower!$C$4:$C$1048576,Manpower!$F$4:$F$1048576,"")</f>
        <v>Assistant/Helper</v>
      </c>
      <c r="H1358" s="28" t="str">
        <f>_xlfn.XLOOKUP(Table134526_79101120212223242526[[#This Row],[Name Surname]],Manpower!$C$4:$C$1048576,Manpower!$H$4:$H$1048576,"")</f>
        <v>Manpower</v>
      </c>
      <c r="I1358" s="24" t="str">
        <f>_xlfn.XLOOKUP(Table134526_79101120212223242526[[#This Row],[Name Surname]],Manpower!$C$4:$C$1048576,Manpower!$H$4:$H$1048576,"")</f>
        <v>Manpower</v>
      </c>
      <c r="J1358" s="21" t="s">
        <v>158</v>
      </c>
      <c r="K1358" s="21" t="s">
        <v>26</v>
      </c>
      <c r="L1358" s="21" t="s">
        <v>26</v>
      </c>
      <c r="M1358" s="21" t="s">
        <v>24</v>
      </c>
      <c r="N1358" s="29">
        <v>10</v>
      </c>
      <c r="O1358" s="21" t="s">
        <v>159</v>
      </c>
      <c r="P1358" s="21" t="s">
        <v>160</v>
      </c>
      <c r="Q1358" s="21" t="s">
        <v>160</v>
      </c>
      <c r="R1358" s="21" t="s">
        <v>161</v>
      </c>
    </row>
    <row r="1359" spans="1:19" ht="14.4" hidden="1">
      <c r="A1359" s="33">
        <f>IF(C1359="","",MAX($A$1:A1358)+1)</f>
        <v>1284</v>
      </c>
      <c r="B1359" s="27" t="s">
        <v>141</v>
      </c>
      <c r="C1359" s="23">
        <v>46092</v>
      </c>
      <c r="D1359" s="28" t="str">
        <f>_xlfn.XLOOKUP(Table134526_79101120212223242526[[#This Row],[Name Surname]],Manpower!$C$4:$C$1048576,Manpower!$B$4:$B$1048576,"")</f>
        <v>Encogroup</v>
      </c>
      <c r="E1359" s="21" t="s">
        <v>228</v>
      </c>
      <c r="F1359" s="12">
        <f>_xlfn.XLOOKUP(Table134526_79101120212223242526[[#This Row],[Name Surname]],Manpower!C:C,Manpower!D:D,)</f>
        <v>125199963</v>
      </c>
      <c r="G1359" s="28" t="str">
        <f>_xlfn.XLOOKUP(Table134526_79101120212223242526[[#This Row],[Name Surname]],Manpower!$C$4:$C$1048576,Manpower!$F$4:$F$1048576,"")</f>
        <v>Electrician</v>
      </c>
      <c r="H1359" s="28" t="str">
        <f>_xlfn.XLOOKUP(Table134526_79101120212223242526[[#This Row],[Name Surname]],Manpower!$C$4:$C$1048576,Manpower!$H$4:$H$1048576,"")</f>
        <v>Manpower</v>
      </c>
      <c r="I1359" s="24" t="str">
        <f>_xlfn.XLOOKUP(Table134526_79101120212223242526[[#This Row],[Name Surname]],Manpower!$C$4:$C$1048576,Manpower!$H$4:$H$1048576,"")</f>
        <v>Manpower</v>
      </c>
      <c r="J1359" s="21" t="s">
        <v>158</v>
      </c>
      <c r="K1359" s="21" t="s">
        <v>26</v>
      </c>
      <c r="L1359" s="21" t="s">
        <v>26</v>
      </c>
      <c r="M1359" s="21" t="s">
        <v>24</v>
      </c>
      <c r="N1359" s="29">
        <v>10</v>
      </c>
      <c r="O1359" s="21" t="s">
        <v>159</v>
      </c>
      <c r="P1359" s="21" t="s">
        <v>160</v>
      </c>
      <c r="Q1359" s="21" t="s">
        <v>160</v>
      </c>
      <c r="R1359" s="21" t="s">
        <v>161</v>
      </c>
    </row>
    <row r="1360" spans="1:19" s="45" customFormat="1" ht="14.4" hidden="1">
      <c r="A1360" s="25">
        <f>IF(C1360="","",MAX($A$1:A1359)+1)</f>
        <v>1285</v>
      </c>
      <c r="B1360" s="25" t="s">
        <v>141</v>
      </c>
      <c r="C1360" s="41">
        <v>46092</v>
      </c>
      <c r="D1360" s="48" t="str">
        <f>_xlfn.XLOOKUP(Table134526_79101120212223242526[[#This Row],[Name Surname]],Manpower!$C$4:$C$1048576,Manpower!$B$4:$B$1048576,"")</f>
        <v>Encogroup</v>
      </c>
      <c r="E1360" s="43" t="s">
        <v>176</v>
      </c>
      <c r="F1360" s="12">
        <f>_xlfn.XLOOKUP(Table134526_79101120212223242526[[#This Row],[Name Surname]],Manpower!C:C,Manpower!D:D,)</f>
        <v>124398279</v>
      </c>
      <c r="G1360" s="48" t="str">
        <f>_xlfn.XLOOKUP(Table134526_79101120212223242526[[#This Row],[Name Surname]],Manpower!$C$4:$C$1048576,Manpower!$F$4:$F$1048576,"")</f>
        <v>Permit Receiver</v>
      </c>
      <c r="H1360" s="48" t="str">
        <f>_xlfn.XLOOKUP(Table134526_79101120212223242526[[#This Row],[Name Surname]],Manpower!$C$4:$C$1048576,Manpower!$H$4:$H$1048576,"")</f>
        <v>Manpower</v>
      </c>
      <c r="I1360" s="42" t="str">
        <f>_xlfn.XLOOKUP(Table134526_79101120212223242526[[#This Row],[Name Surname]],Manpower!$C$4:$C$1048576,Manpower!$H$4:$H$1048576,"")</f>
        <v>Manpower</v>
      </c>
      <c r="J1360" s="43" t="s">
        <v>143</v>
      </c>
      <c r="K1360" s="43" t="s">
        <v>26</v>
      </c>
      <c r="L1360" s="43" t="s">
        <v>144</v>
      </c>
      <c r="M1360" s="43" t="s">
        <v>24</v>
      </c>
      <c r="N1360" s="44">
        <v>10</v>
      </c>
      <c r="O1360" s="43" t="s">
        <v>40</v>
      </c>
      <c r="P1360" s="43" t="s">
        <v>42</v>
      </c>
      <c r="Q1360" s="43" t="s">
        <v>42</v>
      </c>
      <c r="R1360" s="43" t="s">
        <v>291</v>
      </c>
      <c r="S1360" s="43"/>
    </row>
    <row r="1361" spans="1:19" s="45" customFormat="1" ht="14.4" hidden="1">
      <c r="A1361" s="25">
        <f>IF(C1361="","",MAX($A$1:A1360)+1)</f>
        <v>1286</v>
      </c>
      <c r="B1361" s="25" t="s">
        <v>141</v>
      </c>
      <c r="C1361" s="41">
        <v>46092</v>
      </c>
      <c r="D1361" s="48" t="str">
        <f>_xlfn.XLOOKUP(Table134526_79101120212223242526[[#This Row],[Name Surname]],Manpower!$C$4:$C$1048576,Manpower!$B$4:$B$1048576,"")</f>
        <v>Encogroup</v>
      </c>
      <c r="E1361" s="43" t="s">
        <v>177</v>
      </c>
      <c r="F1361" s="12">
        <f>_xlfn.XLOOKUP(Table134526_79101120212223242526[[#This Row],[Name Surname]],Manpower!C:C,Manpower!D:D,)</f>
        <v>140809004</v>
      </c>
      <c r="G1361" s="48" t="str">
        <f>_xlfn.XLOOKUP(Table134526_79101120212223242526[[#This Row],[Name Surname]],Manpower!$C$4:$C$1048576,Manpower!$F$4:$F$1048576,"")</f>
        <v>Fitter/Erector</v>
      </c>
      <c r="H1361" s="48" t="str">
        <f>_xlfn.XLOOKUP(Table134526_79101120212223242526[[#This Row],[Name Surname]],Manpower!$C$4:$C$1048576,Manpower!$H$4:$H$1048576,"")</f>
        <v>Manpower</v>
      </c>
      <c r="I1361" s="42" t="str">
        <f>_xlfn.XLOOKUP(Table134526_79101120212223242526[[#This Row],[Name Surname]],Manpower!$C$4:$C$1048576,Manpower!$H$4:$H$1048576,"")</f>
        <v>Manpower</v>
      </c>
      <c r="J1361" s="43" t="s">
        <v>143</v>
      </c>
      <c r="K1361" s="43" t="s">
        <v>26</v>
      </c>
      <c r="L1361" s="43" t="s">
        <v>144</v>
      </c>
      <c r="M1361" s="43" t="s">
        <v>24</v>
      </c>
      <c r="N1361" s="44">
        <v>10</v>
      </c>
      <c r="O1361" s="43" t="s">
        <v>40</v>
      </c>
      <c r="P1361" s="43" t="s">
        <v>42</v>
      </c>
      <c r="Q1361" s="43" t="s">
        <v>42</v>
      </c>
      <c r="R1361" s="43" t="s">
        <v>291</v>
      </c>
      <c r="S1361" s="43"/>
    </row>
    <row r="1362" spans="1:19" ht="14.4" hidden="1">
      <c r="A1362" s="33">
        <f>IF(C1362="","",MAX($A$1:A1361)+1)</f>
        <v>1287</v>
      </c>
      <c r="B1362" s="27" t="s">
        <v>141</v>
      </c>
      <c r="C1362" s="23">
        <v>46092</v>
      </c>
      <c r="D1362" s="28" t="str">
        <f>_xlfn.XLOOKUP(Table134526_79101120212223242526[[#This Row],[Name Surname]],Manpower!$C$4:$C$1048576,Manpower!$B$4:$B$1048576,"")</f>
        <v>Encogroup</v>
      </c>
      <c r="E1362" s="21" t="s">
        <v>178</v>
      </c>
      <c r="F1362" s="12">
        <f>_xlfn.XLOOKUP(Table134526_79101120212223242526[[#This Row],[Name Surname]],Manpower!C:C,Manpower!D:D,)</f>
        <v>140683436</v>
      </c>
      <c r="G1362" s="28" t="str">
        <f>_xlfn.XLOOKUP(Table134526_79101120212223242526[[#This Row],[Name Surname]],Manpower!$C$4:$C$1048576,Manpower!$F$4:$F$1048576,"")</f>
        <v>Scaffolder</v>
      </c>
      <c r="H1362" s="28" t="str">
        <f>_xlfn.XLOOKUP(Table134526_79101120212223242526[[#This Row],[Name Surname]],Manpower!$C$4:$C$1048576,Manpower!$H$4:$H$1048576,"")</f>
        <v>Manpower</v>
      </c>
      <c r="I1362" s="24" t="str">
        <f>_xlfn.XLOOKUP(Table134526_79101120212223242526[[#This Row],[Name Surname]],Manpower!$C$4:$C$1048576,Manpower!$H$4:$H$1048576,"")</f>
        <v>Manpower</v>
      </c>
      <c r="J1362" s="21" t="s">
        <v>158</v>
      </c>
      <c r="K1362" s="21" t="s">
        <v>26</v>
      </c>
      <c r="L1362" s="21" t="s">
        <v>26</v>
      </c>
      <c r="M1362" s="21" t="s">
        <v>24</v>
      </c>
      <c r="N1362" s="29">
        <v>8</v>
      </c>
      <c r="O1362" s="21" t="s">
        <v>159</v>
      </c>
      <c r="P1362" s="21" t="s">
        <v>160</v>
      </c>
      <c r="Q1362" s="21" t="s">
        <v>160</v>
      </c>
      <c r="R1362" s="21" t="s">
        <v>161</v>
      </c>
    </row>
    <row r="1363" spans="1:19" ht="14.4">
      <c r="A1363" s="33">
        <f>IF(C1363="","",MAX($A$1:A1362)+1)</f>
        <v>1288</v>
      </c>
      <c r="B1363" s="27" t="s">
        <v>141</v>
      </c>
      <c r="C1363" s="23">
        <v>46092</v>
      </c>
      <c r="D1363" s="28" t="str">
        <f>_xlfn.XLOOKUP(Table134526_79101120212223242526[[#This Row],[Name Surname]],Manpower!$C$4:$C$1048576,Manpower!$B$4:$B$1048576,"")</f>
        <v>Encogroup</v>
      </c>
      <c r="E1363" s="23" t="s">
        <v>179</v>
      </c>
      <c r="F1363" s="12" t="e">
        <f>_xlfn.XLOOKUP(Table134526_79101120212223242526[[#This Row],[Name Surname]],Manpower!C:C,Manpower!D:D,)</f>
        <v>#N/A</v>
      </c>
      <c r="G1363" s="28" t="str">
        <f>_xlfn.XLOOKUP(Table134526_79101120212223242526[[#This Row],[Name Surname]],Manpower!$C$4:$C$1048576,Manpower!$F$4:$F$1048576,"")</f>
        <v>7T-HIAB</v>
      </c>
      <c r="H1363" s="28" t="str">
        <f>_xlfn.XLOOKUP(Table134526_79101120212223242526[[#This Row],[Name Surname]],Manpower!$C$4:$C$1048576,Manpower!$H$4:$H$1048576,"")</f>
        <v>Equipment</v>
      </c>
      <c r="I1363" s="24" t="str">
        <f>_xlfn.XLOOKUP(Table134526_79101120212223242526[[#This Row],[Name Surname]],Manpower!$C$4:$C$1048576,Manpower!$H$4:$H$1048576,"")</f>
        <v>Equipment</v>
      </c>
      <c r="J1363" s="21" t="s">
        <v>143</v>
      </c>
      <c r="K1363" s="21" t="s">
        <v>26</v>
      </c>
      <c r="L1363" s="21" t="s">
        <v>144</v>
      </c>
      <c r="M1363" s="21" t="s">
        <v>24</v>
      </c>
      <c r="N1363" s="29">
        <v>10</v>
      </c>
      <c r="O1363" s="21" t="s">
        <v>138</v>
      </c>
      <c r="P1363" s="21" t="s">
        <v>138</v>
      </c>
      <c r="Q1363" s="21" t="s">
        <v>138</v>
      </c>
      <c r="R1363" s="21" t="s">
        <v>26</v>
      </c>
    </row>
    <row r="1364" spans="1:19" s="45" customFormat="1" ht="14.4" hidden="1">
      <c r="A1364" s="25">
        <f>IF(C1364="","",MAX($A$1:A1363)+1)</f>
        <v>1289</v>
      </c>
      <c r="B1364" s="25" t="s">
        <v>141</v>
      </c>
      <c r="C1364" s="41">
        <v>46092</v>
      </c>
      <c r="D1364" s="48" t="str">
        <f>_xlfn.XLOOKUP(Table134526_79101120212223242526[[#This Row],[Name Surname]],Manpower!$C$4:$C$1048576,Manpower!$B$4:$B$1048576,"")</f>
        <v>Encogroup</v>
      </c>
      <c r="E1364" s="43" t="s">
        <v>180</v>
      </c>
      <c r="F1364" s="12">
        <f>_xlfn.XLOOKUP(Table134526_79101120212223242526[[#This Row],[Name Surname]],Manpower!C:C,Manpower!D:D,)</f>
        <v>9138415</v>
      </c>
      <c r="G1364" s="48" t="str">
        <f>_xlfn.XLOOKUP(Table134526_79101120212223242526[[#This Row],[Name Surname]],Manpower!$C$4:$C$1048576,Manpower!$F$4:$F$1048576,"")</f>
        <v>HIAB Driver</v>
      </c>
      <c r="H1364" s="48" t="str">
        <f>_xlfn.XLOOKUP(Table134526_79101120212223242526[[#This Row],[Name Surname]],Manpower!$C$4:$C$1048576,Manpower!$H$4:$H$1048576,"")</f>
        <v>Manpower</v>
      </c>
      <c r="I1364" s="42" t="str">
        <f>_xlfn.XLOOKUP(Table134526_79101120212223242526[[#This Row],[Name Surname]],Manpower!$C$4:$C$1048576,Manpower!$H$4:$H$1048576,"")</f>
        <v>Manpower</v>
      </c>
      <c r="J1364" s="43" t="s">
        <v>143</v>
      </c>
      <c r="K1364" s="43" t="s">
        <v>26</v>
      </c>
      <c r="L1364" s="43" t="s">
        <v>144</v>
      </c>
      <c r="M1364" s="43" t="s">
        <v>24</v>
      </c>
      <c r="N1364" s="44">
        <v>10</v>
      </c>
      <c r="O1364" s="43" t="s">
        <v>40</v>
      </c>
      <c r="P1364" s="43" t="s">
        <v>42</v>
      </c>
      <c r="Q1364" s="43" t="s">
        <v>42</v>
      </c>
      <c r="R1364" s="43" t="s">
        <v>181</v>
      </c>
      <c r="S1364" s="43" t="s">
        <v>245</v>
      </c>
    </row>
    <row r="1365" spans="1:19" ht="14.4" hidden="1">
      <c r="A1365" s="33">
        <f>IF(C1365="","",MAX($A$1:A1364)+1)</f>
        <v>1290</v>
      </c>
      <c r="B1365" s="27" t="s">
        <v>141</v>
      </c>
      <c r="C1365" s="23">
        <v>46092</v>
      </c>
      <c r="D1365" s="28" t="str">
        <f>_xlfn.XLOOKUP(Table134526_79101120212223242526[[#This Row],[Name Surname]],Manpower!$C$4:$C$1048576,Manpower!$B$4:$B$1048576,"")</f>
        <v>GAF</v>
      </c>
      <c r="E1365" s="21" t="s">
        <v>182</v>
      </c>
      <c r="F1365" s="12">
        <f>_xlfn.XLOOKUP(Table134526_79101120212223242526[[#This Row],[Name Surname]],Manpower!C:C,Manpower!D:D,)</f>
        <v>78785394</v>
      </c>
      <c r="G1365" s="28" t="str">
        <f>_xlfn.XLOOKUP(Table134526_79101120212223242526[[#This Row],[Name Surname]],Manpower!$C$4:$C$1048576,Manpower!$F$4:$F$1048576,"")</f>
        <v>Helper</v>
      </c>
      <c r="H1365" s="28" t="str">
        <f>_xlfn.XLOOKUP(Table134526_79101120212223242526[[#This Row],[Name Surname]],Manpower!$C$4:$C$1048576,Manpower!$H$4:$H$1048576,"")</f>
        <v>Sub Contactor</v>
      </c>
      <c r="I1365" s="24" t="str">
        <f>_xlfn.XLOOKUP(Table134526_79101120212223242526[[#This Row],[Name Surname]],Manpower!$C$4:$C$1048576,Manpower!$H$4:$H$1048576,"")</f>
        <v>Sub Contactor</v>
      </c>
      <c r="J1365" s="21" t="s">
        <v>158</v>
      </c>
      <c r="K1365" s="21" t="s">
        <v>26</v>
      </c>
      <c r="L1365" s="21" t="s">
        <v>26</v>
      </c>
      <c r="M1365" s="21" t="s">
        <v>24</v>
      </c>
      <c r="N1365" s="29">
        <v>8</v>
      </c>
      <c r="O1365" s="21" t="s">
        <v>159</v>
      </c>
      <c r="P1365" s="21" t="s">
        <v>160</v>
      </c>
      <c r="Q1365" s="21" t="s">
        <v>160</v>
      </c>
      <c r="R1365" s="21" t="s">
        <v>161</v>
      </c>
    </row>
    <row r="1366" spans="1:19" ht="14.4" hidden="1">
      <c r="A1366" s="33">
        <f>IF(C1366="","",MAX($A$1:A1365)+1)</f>
        <v>1291</v>
      </c>
      <c r="B1366" s="33" t="s">
        <v>141</v>
      </c>
      <c r="C1366" s="23">
        <v>46092</v>
      </c>
      <c r="D1366" s="28" t="str">
        <f>_xlfn.XLOOKUP(Table134526_79101120212223242526[[#This Row],[Name Surname]],Manpower!$C$4:$C$1048576,Manpower!$B$4:$B$1048576,"")</f>
        <v>Encogroup</v>
      </c>
      <c r="E1366" s="21" t="s">
        <v>183</v>
      </c>
      <c r="F1366" s="12">
        <f>_xlfn.XLOOKUP(Table134526_79101120212223242526[[#This Row],[Name Surname]],Manpower!C:C,Manpower!D:D,)</f>
        <v>141359024</v>
      </c>
      <c r="G1366" s="28" t="str">
        <f>_xlfn.XLOOKUP(Table134526_79101120212223242526[[#This Row],[Name Surname]],Manpower!$C$4:$C$1048576,Manpower!$F$4:$F$1048576,"")</f>
        <v>Hydraulic Mechanic</v>
      </c>
      <c r="H1366" s="28" t="str">
        <f>_xlfn.XLOOKUP(Table134526_79101120212223242526[[#This Row],[Name Surname]],Manpower!$C$4:$C$1048576,Manpower!$H$4:$H$1048576,"")</f>
        <v>Manpower</v>
      </c>
      <c r="I1366" s="24" t="str">
        <f>_xlfn.XLOOKUP(Table134526_79101120212223242526[[#This Row],[Name Surname]],Manpower!$C$4:$C$1048576,Manpower!$H$4:$H$1048576,"")</f>
        <v>Manpower</v>
      </c>
      <c r="J1366" s="21" t="s">
        <v>143</v>
      </c>
      <c r="K1366" s="21" t="s">
        <v>26</v>
      </c>
      <c r="L1366" s="21" t="s">
        <v>170</v>
      </c>
      <c r="M1366" s="21" t="s">
        <v>24</v>
      </c>
      <c r="N1366" s="29">
        <v>8</v>
      </c>
      <c r="O1366" s="21" t="s">
        <v>40</v>
      </c>
      <c r="P1366" s="21" t="s">
        <v>128</v>
      </c>
      <c r="Q1366" s="21" t="s">
        <v>128</v>
      </c>
      <c r="R1366" s="21" t="s">
        <v>171</v>
      </c>
    </row>
    <row r="1367" spans="1:19" s="45" customFormat="1" ht="14.4" hidden="1">
      <c r="A1367" s="25">
        <f>IF(C1367="","",MAX($A$1:A1366)+1)</f>
        <v>1292</v>
      </c>
      <c r="B1367" s="25" t="s">
        <v>141</v>
      </c>
      <c r="C1367" s="41">
        <v>46092</v>
      </c>
      <c r="D1367" s="48" t="str">
        <f>_xlfn.XLOOKUP(Table134526_79101120212223242526[[#This Row],[Name Surname]],Manpower!$C$4:$C$1048576,Manpower!$B$4:$B$1048576,"")</f>
        <v>Encogroup</v>
      </c>
      <c r="E1367" s="43" t="s">
        <v>184</v>
      </c>
      <c r="F1367" s="12">
        <f>_xlfn.XLOOKUP(Table134526_79101120212223242526[[#This Row],[Name Surname]],Manpower!C:C,Manpower!D:D,)</f>
        <v>140844759</v>
      </c>
      <c r="G1367" s="48" t="str">
        <f>_xlfn.XLOOKUP(Table134526_79101120212223242526[[#This Row],[Name Surname]],Manpower!$C$4:$C$1048576,Manpower!$F$4:$F$1048576,"")</f>
        <v>Welder</v>
      </c>
      <c r="H1367" s="48" t="str">
        <f>_xlfn.XLOOKUP(Table134526_79101120212223242526[[#This Row],[Name Surname]],Manpower!$C$4:$C$1048576,Manpower!$H$4:$H$1048576,"")</f>
        <v>Manpower</v>
      </c>
      <c r="I1367" s="42" t="str">
        <f>_xlfn.XLOOKUP(Table134526_79101120212223242526[[#This Row],[Name Surname]],Manpower!$C$4:$C$1048576,Manpower!$H$4:$H$1048576,"")</f>
        <v>Manpower</v>
      </c>
      <c r="J1367" s="43" t="s">
        <v>143</v>
      </c>
      <c r="K1367" s="43" t="s">
        <v>26</v>
      </c>
      <c r="L1367" s="43" t="s">
        <v>144</v>
      </c>
      <c r="M1367" s="43" t="s">
        <v>24</v>
      </c>
      <c r="N1367" s="44">
        <v>10</v>
      </c>
      <c r="O1367" s="43" t="s">
        <v>40</v>
      </c>
      <c r="P1367" s="43" t="s">
        <v>42</v>
      </c>
      <c r="Q1367" s="43" t="s">
        <v>42</v>
      </c>
      <c r="R1367" s="43" t="s">
        <v>291</v>
      </c>
      <c r="S1367" s="43"/>
    </row>
    <row r="1368" spans="1:19" s="45" customFormat="1" ht="14.4" hidden="1">
      <c r="A1368" s="25">
        <f>IF(C1368="","",MAX($A$1:A1367)+1)</f>
        <v>1293</v>
      </c>
      <c r="B1368" s="25" t="s">
        <v>141</v>
      </c>
      <c r="C1368" s="41">
        <v>46092</v>
      </c>
      <c r="D1368" s="48" t="str">
        <f>_xlfn.XLOOKUP(Table134526_79101120212223242526[[#This Row],[Name Surname]],Manpower!$C$4:$C$1048576,Manpower!$B$4:$B$1048576,"")</f>
        <v>Encogroup</v>
      </c>
      <c r="E1368" s="43" t="s">
        <v>185</v>
      </c>
      <c r="F1368" s="12">
        <f>_xlfn.XLOOKUP(Table134526_79101120212223242526[[#This Row],[Name Surname]],Manpower!C:C,Manpower!D:D,)</f>
        <v>140848828</v>
      </c>
      <c r="G1368" s="48" t="str">
        <f>_xlfn.XLOOKUP(Table134526_79101120212223242526[[#This Row],[Name Surname]],Manpower!$C$4:$C$1048576,Manpower!$F$4:$F$1048576,"")</f>
        <v>Pipe Fitter</v>
      </c>
      <c r="H1368" s="48" t="str">
        <f>_xlfn.XLOOKUP(Table134526_79101120212223242526[[#This Row],[Name Surname]],Manpower!$C$4:$C$1048576,Manpower!$H$4:$H$1048576,"")</f>
        <v>Manpower</v>
      </c>
      <c r="I1368" s="42" t="str">
        <f>_xlfn.XLOOKUP(Table134526_79101120212223242526[[#This Row],[Name Surname]],Manpower!$C$4:$C$1048576,Manpower!$H$4:$H$1048576,"")</f>
        <v>Manpower</v>
      </c>
      <c r="J1368" s="43" t="s">
        <v>143</v>
      </c>
      <c r="K1368" s="43" t="s">
        <v>26</v>
      </c>
      <c r="L1368" s="43" t="s">
        <v>144</v>
      </c>
      <c r="M1368" s="43" t="s">
        <v>24</v>
      </c>
      <c r="N1368" s="44">
        <v>8</v>
      </c>
      <c r="O1368" s="43" t="s">
        <v>40</v>
      </c>
      <c r="P1368" s="43" t="s">
        <v>42</v>
      </c>
      <c r="Q1368" s="43" t="s">
        <v>42</v>
      </c>
      <c r="R1368" s="43" t="s">
        <v>291</v>
      </c>
      <c r="S1368" s="43"/>
    </row>
    <row r="1369" spans="1:19" ht="14.4" hidden="1">
      <c r="A1369" s="33">
        <f>IF(C1369="","",MAX($A$1:A1368)+1)</f>
        <v>1294</v>
      </c>
      <c r="B1369" s="27" t="s">
        <v>141</v>
      </c>
      <c r="C1369" s="23">
        <v>46092</v>
      </c>
      <c r="D1369" s="28" t="str">
        <f>_xlfn.XLOOKUP(Table134526_79101120212223242526[[#This Row],[Name Surname]],Manpower!$C$4:$C$1048576,Manpower!$B$4:$B$1048576,"")</f>
        <v>Encogroup</v>
      </c>
      <c r="E1369" s="21" t="s">
        <v>186</v>
      </c>
      <c r="F1369" s="12">
        <f>_xlfn.XLOOKUP(Table134526_79101120212223242526[[#This Row],[Name Surname]],Manpower!C:C,Manpower!D:D,)</f>
        <v>140696961</v>
      </c>
      <c r="G1369" s="28" t="str">
        <f>_xlfn.XLOOKUP(Table134526_79101120212223242526[[#This Row],[Name Surname]],Manpower!$C$4:$C$1048576,Manpower!$F$4:$F$1048576,"")</f>
        <v>Assistant/Helper</v>
      </c>
      <c r="H1369" s="28" t="str">
        <f>_xlfn.XLOOKUP(Table134526_79101120212223242526[[#This Row],[Name Surname]],Manpower!$C$4:$C$1048576,Manpower!$H$4:$H$1048576,"")</f>
        <v>Manpower</v>
      </c>
      <c r="I1369" s="24" t="str">
        <f>_xlfn.XLOOKUP(Table134526_79101120212223242526[[#This Row],[Name Surname]],Manpower!$C$4:$C$1048576,Manpower!$H$4:$H$1048576,"")</f>
        <v>Manpower</v>
      </c>
      <c r="J1369" s="21" t="s">
        <v>158</v>
      </c>
      <c r="K1369" s="21" t="s">
        <v>26</v>
      </c>
      <c r="L1369" s="21" t="s">
        <v>26</v>
      </c>
      <c r="M1369" s="21" t="s">
        <v>24</v>
      </c>
      <c r="N1369" s="29">
        <v>10</v>
      </c>
      <c r="O1369" s="21" t="s">
        <v>159</v>
      </c>
      <c r="P1369" s="21" t="s">
        <v>160</v>
      </c>
      <c r="Q1369" s="21" t="s">
        <v>160</v>
      </c>
      <c r="R1369" s="21" t="s">
        <v>161</v>
      </c>
    </row>
    <row r="1370" spans="1:19" s="45" customFormat="1" ht="14.4" hidden="1">
      <c r="A1370" s="25">
        <f>IF(C1370="","",MAX($A$1:A1369)+1)</f>
        <v>1295</v>
      </c>
      <c r="B1370" s="25" t="s">
        <v>141</v>
      </c>
      <c r="C1370" s="41">
        <v>46092</v>
      </c>
      <c r="D1370" s="48" t="str">
        <f>_xlfn.XLOOKUP(Table134526_79101120212223242526[[#This Row],[Name Surname]],Manpower!$C$4:$C$1048576,Manpower!$B$4:$B$1048576,"")</f>
        <v>Encogroup</v>
      </c>
      <c r="E1370" s="43" t="s">
        <v>187</v>
      </c>
      <c r="F1370" s="12">
        <f>_xlfn.XLOOKUP(Table134526_79101120212223242526[[#This Row],[Name Surname]],Manpower!C:C,Manpower!D:D,)</f>
        <v>140623599</v>
      </c>
      <c r="G1370" s="48" t="str">
        <f>_xlfn.XLOOKUP(Table134526_79101120212223242526[[#This Row],[Name Surname]],Manpower!$C$4:$C$1048576,Manpower!$F$4:$F$1048576,"")</f>
        <v>Mechanical Supervisor</v>
      </c>
      <c r="H1370" s="48" t="str">
        <f>_xlfn.XLOOKUP(Table134526_79101120212223242526[[#This Row],[Name Surname]],Manpower!$C$4:$C$1048576,Manpower!$H$4:$H$1048576,"")</f>
        <v>Manpower</v>
      </c>
      <c r="I1370" s="42" t="str">
        <f>_xlfn.XLOOKUP(Table134526_79101120212223242526[[#This Row],[Name Surname]],Manpower!$C$4:$C$1048576,Manpower!$H$4:$H$1048576,"")</f>
        <v>Manpower</v>
      </c>
      <c r="J1370" s="43" t="s">
        <v>143</v>
      </c>
      <c r="K1370" s="43" t="s">
        <v>26</v>
      </c>
      <c r="L1370" s="43" t="s">
        <v>144</v>
      </c>
      <c r="M1370" s="43" t="s">
        <v>24</v>
      </c>
      <c r="N1370" s="44">
        <v>10</v>
      </c>
      <c r="O1370" s="43" t="s">
        <v>40</v>
      </c>
      <c r="P1370" s="43" t="s">
        <v>42</v>
      </c>
      <c r="Q1370" s="43" t="s">
        <v>42</v>
      </c>
      <c r="R1370" s="43" t="s">
        <v>291</v>
      </c>
      <c r="S1370" s="43"/>
    </row>
    <row r="1371" spans="1:19" ht="14.4" hidden="1">
      <c r="A1371" s="33">
        <f>IF(C1371="","",MAX($A$1:A1370)+1)</f>
        <v>1296</v>
      </c>
      <c r="B1371" s="27" t="s">
        <v>141</v>
      </c>
      <c r="C1371" s="23">
        <v>46092</v>
      </c>
      <c r="D1371" s="28" t="str">
        <f>_xlfn.XLOOKUP(Table134526_79101120212223242526[[#This Row],[Name Surname]],Manpower!$C$4:$C$1048576,Manpower!$B$4:$B$1048576,"")</f>
        <v>Encogroup</v>
      </c>
      <c r="E1371" s="21" t="s">
        <v>189</v>
      </c>
      <c r="F1371" s="12">
        <f>_xlfn.XLOOKUP(Table134526_79101120212223242526[[#This Row],[Name Surname]],Manpower!C:C,Manpower!D:D,)</f>
        <v>121937785</v>
      </c>
      <c r="G1371" s="28" t="str">
        <f>_xlfn.XLOOKUP(Table134526_79101120212223242526[[#This Row],[Name Surname]],Manpower!$C$4:$C$1048576,Manpower!$F$4:$F$1048576,"")</f>
        <v>Scaffolding Inspector</v>
      </c>
      <c r="H1371" s="28" t="str">
        <f>_xlfn.XLOOKUP(Table134526_79101120212223242526[[#This Row],[Name Surname]],Manpower!$C$4:$C$1048576,Manpower!$H$4:$H$1048576,"")</f>
        <v>Manpower</v>
      </c>
      <c r="I1371" s="24" t="str">
        <f>_xlfn.XLOOKUP(Table134526_79101120212223242526[[#This Row],[Name Surname]],Manpower!$C$4:$C$1048576,Manpower!$H$4:$H$1048576,"")</f>
        <v>Manpower</v>
      </c>
      <c r="J1371" s="21" t="s">
        <v>143</v>
      </c>
      <c r="K1371" s="21" t="s">
        <v>26</v>
      </c>
      <c r="L1371" s="21" t="s">
        <v>144</v>
      </c>
      <c r="M1371" s="21" t="s">
        <v>24</v>
      </c>
      <c r="N1371" s="29">
        <v>8</v>
      </c>
      <c r="O1371" s="21" t="s">
        <v>40</v>
      </c>
      <c r="P1371" s="21" t="s">
        <v>128</v>
      </c>
      <c r="Q1371" s="21" t="s">
        <v>128</v>
      </c>
      <c r="R1371" s="21" t="s">
        <v>26</v>
      </c>
    </row>
    <row r="1372" spans="1:19" ht="14.4" hidden="1">
      <c r="A1372" s="33">
        <f>IF(C1372="","",MAX($A$1:A1371)+1)</f>
        <v>1297</v>
      </c>
      <c r="B1372" s="27" t="s">
        <v>141</v>
      </c>
      <c r="C1372" s="23">
        <v>46092</v>
      </c>
      <c r="D1372" s="28" t="str">
        <f>_xlfn.XLOOKUP(Table134526_79101120212223242526[[#This Row],[Name Surname]],Manpower!$C$4:$C$1048576,Manpower!$B$4:$B$1048576,"")</f>
        <v xml:space="preserve">AL Omar International </v>
      </c>
      <c r="E1372" s="21" t="s">
        <v>190</v>
      </c>
      <c r="F1372" s="12">
        <f>_xlfn.XLOOKUP(Table134526_79101120212223242526[[#This Row],[Name Surname]],Manpower!C:C,Manpower!D:D,)</f>
        <v>85812175</v>
      </c>
      <c r="G1372" s="28" t="str">
        <f>_xlfn.XLOOKUP(Table134526_79101120212223242526[[#This Row],[Name Surname]],Manpower!$C$4:$C$1048576,Manpower!$F$4:$F$1048576,"")</f>
        <v>Scaffolding Supervisor</v>
      </c>
      <c r="H1372" s="28" t="str">
        <f>_xlfn.XLOOKUP(Table134526_79101120212223242526[[#This Row],[Name Surname]],Manpower!$C$4:$C$1048576,Manpower!$H$4:$H$1048576,"")</f>
        <v>Sub Contactor</v>
      </c>
      <c r="I1372" s="24" t="str">
        <f>_xlfn.XLOOKUP(Table134526_79101120212223242526[[#This Row],[Name Surname]],Manpower!$C$4:$C$1048576,Manpower!$H$4:$H$1048576,"")</f>
        <v>Sub Contactor</v>
      </c>
      <c r="J1372" s="21" t="s">
        <v>143</v>
      </c>
      <c r="K1372" s="21" t="s">
        <v>26</v>
      </c>
      <c r="L1372" s="21" t="s">
        <v>170</v>
      </c>
      <c r="M1372" s="21" t="s">
        <v>24</v>
      </c>
      <c r="N1372" s="29">
        <v>8</v>
      </c>
      <c r="O1372" s="21" t="s">
        <v>40</v>
      </c>
      <c r="P1372" s="21" t="s">
        <v>128</v>
      </c>
      <c r="Q1372" s="21" t="s">
        <v>128</v>
      </c>
      <c r="R1372" s="21" t="s">
        <v>171</v>
      </c>
    </row>
    <row r="1373" spans="1:19" ht="14.4" hidden="1">
      <c r="A1373" s="33">
        <f>IF(C1373="","",MAX($A$1:A1372)+1)</f>
        <v>1298</v>
      </c>
      <c r="B1373" s="27" t="s">
        <v>141</v>
      </c>
      <c r="C1373" s="23">
        <v>46092</v>
      </c>
      <c r="D1373" s="28" t="str">
        <f>_xlfn.XLOOKUP(Table134526_79101120212223242526[[#This Row],[Name Surname]],Manpower!$C$4:$C$1048576,Manpower!$B$4:$B$1048576,"")</f>
        <v>AL Omar International TRAD AND CONT</v>
      </c>
      <c r="E1373" s="21" t="s">
        <v>192</v>
      </c>
      <c r="F1373" s="12">
        <f>_xlfn.XLOOKUP(Table134526_79101120212223242526[[#This Row],[Name Surname]],Manpower!C:C,Manpower!D:D,)</f>
        <v>96409155</v>
      </c>
      <c r="G1373" s="28" t="str">
        <f>_xlfn.XLOOKUP(Table134526_79101120212223242526[[#This Row],[Name Surname]],Manpower!$C$4:$C$1048576,Manpower!$F$4:$F$1048576,"")</f>
        <v>Scaffolder</v>
      </c>
      <c r="H1373" s="28" t="str">
        <f>_xlfn.XLOOKUP(Table134526_79101120212223242526[[#This Row],[Name Surname]],Manpower!$C$4:$C$1048576,Manpower!$H$4:$H$1048576,"")</f>
        <v>Sub Contactor</v>
      </c>
      <c r="I1373" s="24" t="str">
        <f>_xlfn.XLOOKUP(Table134526_79101120212223242526[[#This Row],[Name Surname]],Manpower!$C$4:$C$1048576,Manpower!$H$4:$H$1048576,"")</f>
        <v>Sub Contactor</v>
      </c>
      <c r="J1373" s="21" t="s">
        <v>143</v>
      </c>
      <c r="K1373" s="21" t="s">
        <v>26</v>
      </c>
      <c r="L1373" s="21" t="s">
        <v>170</v>
      </c>
      <c r="M1373" s="21" t="s">
        <v>24</v>
      </c>
      <c r="N1373" s="29">
        <v>8</v>
      </c>
      <c r="O1373" s="21" t="s">
        <v>40</v>
      </c>
      <c r="P1373" s="21" t="s">
        <v>128</v>
      </c>
      <c r="Q1373" s="21" t="s">
        <v>128</v>
      </c>
      <c r="R1373" s="21" t="s">
        <v>171</v>
      </c>
    </row>
    <row r="1374" spans="1:19" ht="14.4" hidden="1">
      <c r="A1374" s="33">
        <f>IF(C1374="","",MAX($A$1:A1373)+1)</f>
        <v>1299</v>
      </c>
      <c r="B1374" s="27" t="s">
        <v>141</v>
      </c>
      <c r="C1374" s="23">
        <v>46092</v>
      </c>
      <c r="D1374" s="28" t="str">
        <f>_xlfn.XLOOKUP(Table134526_79101120212223242526[[#This Row],[Name Surname]],Manpower!$C$4:$C$1048576,Manpower!$B$4:$B$1048576,"")</f>
        <v>AL Omar International TRAD AND CONT</v>
      </c>
      <c r="E1374" s="21" t="s">
        <v>193</v>
      </c>
      <c r="F1374" s="12">
        <f>_xlfn.XLOOKUP(Table134526_79101120212223242526[[#This Row],[Name Surname]],Manpower!C:C,Manpower!D:D,)</f>
        <v>105813698</v>
      </c>
      <c r="G1374" s="28" t="str">
        <f>_xlfn.XLOOKUP(Table134526_79101120212223242526[[#This Row],[Name Surname]],Manpower!$C$4:$C$1048576,Manpower!$F$4:$F$1048576,"")</f>
        <v>Scaffolding Inspector</v>
      </c>
      <c r="H1374" s="28" t="str">
        <f>_xlfn.XLOOKUP(Table134526_79101120212223242526[[#This Row],[Name Surname]],Manpower!$C$4:$C$1048576,Manpower!$H$4:$H$1048576,"")</f>
        <v>Sub Contactor</v>
      </c>
      <c r="I1374" s="24" t="str">
        <f>_xlfn.XLOOKUP(Table134526_79101120212223242526[[#This Row],[Name Surname]],Manpower!$C$4:$C$1048576,Manpower!$H$4:$H$1048576,"")</f>
        <v>Sub Contactor</v>
      </c>
      <c r="J1374" s="21" t="s">
        <v>143</v>
      </c>
      <c r="K1374" s="21" t="s">
        <v>26</v>
      </c>
      <c r="L1374" s="21" t="s">
        <v>170</v>
      </c>
      <c r="M1374" s="21" t="s">
        <v>24</v>
      </c>
      <c r="N1374" s="29">
        <v>8</v>
      </c>
      <c r="O1374" s="21" t="s">
        <v>40</v>
      </c>
      <c r="P1374" s="21" t="s">
        <v>128</v>
      </c>
      <c r="Q1374" s="21" t="s">
        <v>128</v>
      </c>
      <c r="R1374" s="21" t="s">
        <v>171</v>
      </c>
    </row>
    <row r="1375" spans="1:19" ht="14.4" hidden="1">
      <c r="A1375" s="33">
        <f>IF(C1375="","",MAX($A$1:A1374)+1)</f>
        <v>1300</v>
      </c>
      <c r="B1375" s="27" t="s">
        <v>141</v>
      </c>
      <c r="C1375" s="23">
        <v>46092</v>
      </c>
      <c r="D1375" s="28" t="str">
        <f>_xlfn.XLOOKUP(Table134526_79101120212223242526[[#This Row],[Name Surname]],Manpower!$C$4:$C$1048576,Manpower!$B$4:$B$1048576,"")</f>
        <v>AL Omar International TRAD AND CONT</v>
      </c>
      <c r="E1375" s="21" t="s">
        <v>212</v>
      </c>
      <c r="F1375" s="12">
        <f>_xlfn.XLOOKUP(Table134526_79101120212223242526[[#This Row],[Name Surname]],Manpower!C:C,Manpower!D:D,)</f>
        <v>116676257</v>
      </c>
      <c r="G1375" s="28" t="str">
        <f>_xlfn.XLOOKUP(Table134526_79101120212223242526[[#This Row],[Name Surname]],Manpower!$C$4:$C$1048576,Manpower!$F$4:$F$1048576,"")</f>
        <v>Scaffolder</v>
      </c>
      <c r="H1375" s="28" t="str">
        <f>_xlfn.XLOOKUP(Table134526_79101120212223242526[[#This Row],[Name Surname]],Manpower!$C$4:$C$1048576,Manpower!$H$4:$H$1048576,"")</f>
        <v>Sub Contactor</v>
      </c>
      <c r="I1375" s="24" t="str">
        <f>_xlfn.XLOOKUP(Table134526_79101120212223242526[[#This Row],[Name Surname]],Manpower!$C$4:$C$1048576,Manpower!$H$4:$H$1048576,"")</f>
        <v>Sub Contactor</v>
      </c>
      <c r="J1375" s="21" t="s">
        <v>143</v>
      </c>
      <c r="K1375" s="21" t="s">
        <v>26</v>
      </c>
      <c r="L1375" s="21" t="s">
        <v>170</v>
      </c>
      <c r="M1375" s="21" t="s">
        <v>24</v>
      </c>
      <c r="N1375" s="29">
        <v>8</v>
      </c>
      <c r="O1375" s="21" t="s">
        <v>40</v>
      </c>
      <c r="P1375" s="21" t="s">
        <v>128</v>
      </c>
      <c r="Q1375" s="21" t="s">
        <v>128</v>
      </c>
      <c r="R1375" s="21" t="s">
        <v>171</v>
      </c>
    </row>
    <row r="1376" spans="1:19" s="45" customFormat="1" ht="14.4" hidden="1">
      <c r="A1376" s="25">
        <f>IF(C1376="","",MAX($A$1:A1375)+1)</f>
        <v>1301</v>
      </c>
      <c r="B1376" s="25" t="s">
        <v>141</v>
      </c>
      <c r="C1376" s="41">
        <v>46092</v>
      </c>
      <c r="D1376" s="48" t="str">
        <f>_xlfn.XLOOKUP(Table134526_79101120212223242526[[#This Row],[Name Surname]],Manpower!$C$4:$C$1048576,Manpower!$B$4:$B$1048576,"")</f>
        <v>AL Saif &amp; Al QALLM ENT LLC</v>
      </c>
      <c r="E1376" s="43" t="s">
        <v>194</v>
      </c>
      <c r="F1376" s="12">
        <f>_xlfn.XLOOKUP(Table134526_79101120212223242526[[#This Row],[Name Surname]],Manpower!C:C,Manpower!D:D,)</f>
        <v>135340657</v>
      </c>
      <c r="G1376" s="48" t="str">
        <f>_xlfn.XLOOKUP(Table134526_79101120212223242526[[#This Row],[Name Surname]],Manpower!$C$4:$C$1048576,Manpower!$F$4:$F$1048576,"")</f>
        <v>Forklift Operator</v>
      </c>
      <c r="H1376" s="48" t="str">
        <f>_xlfn.XLOOKUP(Table134526_79101120212223242526[[#This Row],[Name Surname]],Manpower!$C$4:$C$1048576,Manpower!$H$4:$H$1048576,"")</f>
        <v>Sub Contactor</v>
      </c>
      <c r="I1376" s="42" t="str">
        <f>_xlfn.XLOOKUP(Table134526_79101120212223242526[[#This Row],[Name Surname]],Manpower!$C$4:$C$1048576,Manpower!$H$4:$H$1048576,"")</f>
        <v>Sub Contactor</v>
      </c>
      <c r="J1376" s="43" t="s">
        <v>143</v>
      </c>
      <c r="K1376" s="43" t="s">
        <v>26</v>
      </c>
      <c r="L1376" s="43" t="s">
        <v>144</v>
      </c>
      <c r="M1376" s="43" t="s">
        <v>24</v>
      </c>
      <c r="N1376" s="44">
        <v>10</v>
      </c>
      <c r="O1376" s="43" t="s">
        <v>40</v>
      </c>
      <c r="P1376" s="43" t="s">
        <v>42</v>
      </c>
      <c r="Q1376" s="43" t="s">
        <v>42</v>
      </c>
      <c r="R1376" s="43" t="s">
        <v>195</v>
      </c>
      <c r="S1376" s="43" t="s">
        <v>245</v>
      </c>
    </row>
    <row r="1377" spans="1:19" ht="14.4" hidden="1">
      <c r="A1377" s="33">
        <f>IF(C1377="","",MAX($A$1:A1376)+1)</f>
        <v>1302</v>
      </c>
      <c r="B1377" s="27" t="s">
        <v>141</v>
      </c>
      <c r="C1377" s="23">
        <v>46092</v>
      </c>
      <c r="D1377" s="28" t="str">
        <f>_xlfn.XLOOKUP(Table134526_79101120212223242526[[#This Row],[Name Surname]],Manpower!$C$4:$C$1048576,Manpower!$B$4:$B$1048576,"")</f>
        <v>Encogroup</v>
      </c>
      <c r="E1377" s="21" t="s">
        <v>196</v>
      </c>
      <c r="F1377" s="12">
        <f>_xlfn.XLOOKUP(Table134526_79101120212223242526[[#This Row],[Name Surname]],Manpower!C:C,Manpower!D:D,)</f>
        <v>140844586</v>
      </c>
      <c r="G1377" s="28" t="str">
        <f>_xlfn.XLOOKUP(Table134526_79101120212223242526[[#This Row],[Name Surname]],Manpower!$C$4:$C$1048576,Manpower!$F$4:$F$1048576,"")</f>
        <v>Assistant/Helper</v>
      </c>
      <c r="H1377" s="28" t="str">
        <f>_xlfn.XLOOKUP(Table134526_79101120212223242526[[#This Row],[Name Surname]],Manpower!$C$4:$C$1048576,Manpower!$H$4:$H$1048576,"")</f>
        <v>Manpower</v>
      </c>
      <c r="I1377" s="24" t="str">
        <f>_xlfn.XLOOKUP(Table134526_79101120212223242526[[#This Row],[Name Surname]],Manpower!$C$4:$C$1048576,Manpower!$H$4:$H$1048576,"")</f>
        <v>Manpower</v>
      </c>
      <c r="J1377" s="21" t="s">
        <v>158</v>
      </c>
      <c r="K1377" s="21" t="s">
        <v>26</v>
      </c>
      <c r="L1377" s="21" t="s">
        <v>26</v>
      </c>
      <c r="M1377" s="21" t="s">
        <v>24</v>
      </c>
      <c r="N1377" s="29">
        <v>10</v>
      </c>
      <c r="O1377" s="21" t="s">
        <v>159</v>
      </c>
      <c r="P1377" s="21" t="s">
        <v>160</v>
      </c>
      <c r="Q1377" s="21" t="s">
        <v>160</v>
      </c>
      <c r="R1377" s="21" t="s">
        <v>161</v>
      </c>
    </row>
    <row r="1378" spans="1:19" ht="14.4" hidden="1">
      <c r="A1378" s="33">
        <f>IF(C1378="","",MAX($A$1:A1377)+1)</f>
        <v>1303</v>
      </c>
      <c r="B1378" s="27" t="s">
        <v>141</v>
      </c>
      <c r="C1378" s="23">
        <v>46092</v>
      </c>
      <c r="D1378" s="28" t="str">
        <f>_xlfn.XLOOKUP(Table134526_79101120212223242526[[#This Row],[Name Surname]],Manpower!$C$4:$C$1048576,Manpower!$B$4:$B$1048576,"")</f>
        <v>AL Omar International TRAD AND CONT</v>
      </c>
      <c r="E1378" s="21" t="s">
        <v>193</v>
      </c>
      <c r="F1378" s="12">
        <f>_xlfn.XLOOKUP(Table134526_79101120212223242526[[#This Row],[Name Surname]],Manpower!C:C,Manpower!D:D,)</f>
        <v>105813698</v>
      </c>
      <c r="G1378" s="28" t="str">
        <f>_xlfn.XLOOKUP(Table134526_79101120212223242526[[#This Row],[Name Surname]],Manpower!$C$4:$C$1048576,Manpower!$F$4:$F$1048576,"")</f>
        <v>Scaffolding Inspector</v>
      </c>
      <c r="H1378" s="28" t="str">
        <f>_xlfn.XLOOKUP(Table134526_79101120212223242526[[#This Row],[Name Surname]],Manpower!$C$4:$C$1048576,Manpower!$H$4:$H$1048576,"")</f>
        <v>Sub Contactor</v>
      </c>
      <c r="I1378" s="24" t="str">
        <f>_xlfn.XLOOKUP(Table134526_79101120212223242526[[#This Row],[Name Surname]],Manpower!$C$4:$C$1048576,Manpower!$H$4:$H$1048576,"")</f>
        <v>Sub Contactor</v>
      </c>
      <c r="J1378" s="21" t="s">
        <v>143</v>
      </c>
      <c r="K1378" s="21" t="s">
        <v>26</v>
      </c>
      <c r="L1378" s="21" t="s">
        <v>170</v>
      </c>
      <c r="M1378" s="21" t="s">
        <v>24</v>
      </c>
      <c r="N1378" s="29">
        <v>8</v>
      </c>
      <c r="O1378" s="21" t="s">
        <v>40</v>
      </c>
      <c r="P1378" s="21" t="s">
        <v>128</v>
      </c>
      <c r="Q1378" s="21" t="s">
        <v>128</v>
      </c>
      <c r="R1378" s="21" t="s">
        <v>171</v>
      </c>
    </row>
    <row r="1379" spans="1:19" ht="14.4" hidden="1">
      <c r="A1379" s="33">
        <f>IF(C1379="","",MAX($A$1:A1378)+1)</f>
        <v>1304</v>
      </c>
      <c r="B1379" s="27" t="s">
        <v>141</v>
      </c>
      <c r="C1379" s="23">
        <v>46092</v>
      </c>
      <c r="D1379" s="28" t="str">
        <f>_xlfn.XLOOKUP(Table134526_79101120212223242526[[#This Row],[Name Surname]],Manpower!$C$4:$C$1048576,Manpower!$B$4:$B$1048576,"")</f>
        <v>AL Omar International TRAD AND CONT</v>
      </c>
      <c r="E1379" s="21" t="s">
        <v>197</v>
      </c>
      <c r="F1379" s="12">
        <f>_xlfn.XLOOKUP(Table134526_79101120212223242526[[#This Row],[Name Surname]],Manpower!C:C,Manpower!D:D,)</f>
        <v>106093463</v>
      </c>
      <c r="G1379" s="28" t="str">
        <f>_xlfn.XLOOKUP(Table134526_79101120212223242526[[#This Row],[Name Surname]],Manpower!$C$4:$C$1048576,Manpower!$F$4:$F$1048576,"")</f>
        <v>RIgger</v>
      </c>
      <c r="H1379" s="28" t="str">
        <f>_xlfn.XLOOKUP(Table134526_79101120212223242526[[#This Row],[Name Surname]],Manpower!$C$4:$C$1048576,Manpower!$H$4:$H$1048576,"")</f>
        <v>Sub Contactor</v>
      </c>
      <c r="I1379" s="24" t="str">
        <f>_xlfn.XLOOKUP(Table134526_79101120212223242526[[#This Row],[Name Surname]],Manpower!$C$4:$C$1048576,Manpower!$H$4:$H$1048576,"")</f>
        <v>Sub Contactor</v>
      </c>
      <c r="J1379" s="21" t="s">
        <v>143</v>
      </c>
      <c r="K1379" s="21" t="s">
        <v>26</v>
      </c>
      <c r="L1379" s="21" t="s">
        <v>144</v>
      </c>
      <c r="M1379" s="21" t="s">
        <v>24</v>
      </c>
      <c r="N1379" s="29">
        <v>8</v>
      </c>
      <c r="O1379" s="21" t="s">
        <v>40</v>
      </c>
      <c r="P1379" s="21" t="s">
        <v>42</v>
      </c>
      <c r="Q1379" s="21" t="s">
        <v>42</v>
      </c>
      <c r="R1379" s="21" t="s">
        <v>291</v>
      </c>
    </row>
    <row r="1380" spans="1:19" ht="14.4">
      <c r="A1380" s="33">
        <f>IF(C1380="","",MAX($A$1:A1379)+1)</f>
        <v>1305</v>
      </c>
      <c r="B1380" s="27" t="s">
        <v>141</v>
      </c>
      <c r="C1380" s="23">
        <v>46092</v>
      </c>
      <c r="D1380" s="28" t="str">
        <f>_xlfn.XLOOKUP(Table134526_79101120212223242526[[#This Row],[Name Surname]],Manpower!$C$4:$C$1048576,Manpower!$B$4:$B$1048576,"")</f>
        <v>Al Asrah Al Mumayaza Trad</v>
      </c>
      <c r="E1380" s="21" t="s">
        <v>198</v>
      </c>
      <c r="F1380" s="12" t="e">
        <f>_xlfn.XLOOKUP(Table134526_79101120212223242526[[#This Row],[Name Surname]],Manpower!C:C,Manpower!D:D,)</f>
        <v>#N/A</v>
      </c>
      <c r="G1380" s="28" t="str">
        <f>_xlfn.XLOOKUP(Table134526_79101120212223242526[[#This Row],[Name Surname]],Manpower!$C$4:$C$1048576,Manpower!$F$4:$F$1048576,"")</f>
        <v>PICK-UP</v>
      </c>
      <c r="H1380" s="28" t="str">
        <f>_xlfn.XLOOKUP(Table134526_79101120212223242526[[#This Row],[Name Surname]],Manpower!$C$4:$C$1048576,Manpower!$H$4:$H$1048576,"")</f>
        <v>Equipment</v>
      </c>
      <c r="I1380" s="24" t="str">
        <f>_xlfn.XLOOKUP(Table134526_79101120212223242526[[#This Row],[Name Surname]],Manpower!$C$4:$C$1048576,Manpower!$H$4:$H$1048576,"")</f>
        <v>Equipment</v>
      </c>
      <c r="J1380" s="21" t="s">
        <v>143</v>
      </c>
      <c r="K1380" s="21" t="s">
        <v>26</v>
      </c>
      <c r="L1380" s="21" t="s">
        <v>144</v>
      </c>
      <c r="M1380" s="21" t="s">
        <v>24</v>
      </c>
      <c r="N1380" s="29">
        <v>10</v>
      </c>
      <c r="O1380" s="21" t="s">
        <v>138</v>
      </c>
      <c r="P1380" s="21" t="s">
        <v>138</v>
      </c>
      <c r="Q1380" s="21" t="s">
        <v>138</v>
      </c>
      <c r="R1380" s="21" t="s">
        <v>26</v>
      </c>
    </row>
    <row r="1381" spans="1:19" ht="14.4">
      <c r="A1381" s="33">
        <f>IF(C1381="","",MAX($A$1:A1380)+1)</f>
        <v>1306</v>
      </c>
      <c r="B1381" s="27" t="s">
        <v>141</v>
      </c>
      <c r="C1381" s="23">
        <v>46092</v>
      </c>
      <c r="D1381" s="28" t="str">
        <f>_xlfn.XLOOKUP(Table134526_79101120212223242526[[#This Row],[Name Surname]],Manpower!$C$4:$C$1048576,Manpower!$B$4:$B$1048576,"")</f>
        <v>Al Asrah Al Mumayaza Trad</v>
      </c>
      <c r="E1381" s="21" t="s">
        <v>199</v>
      </c>
      <c r="F1381" s="12" t="e">
        <f>_xlfn.XLOOKUP(Table134526_79101120212223242526[[#This Row],[Name Surname]],Manpower!C:C,Manpower!D:D,)</f>
        <v>#N/A</v>
      </c>
      <c r="G1381" s="28" t="str">
        <f>_xlfn.XLOOKUP(Table134526_79101120212223242526[[#This Row],[Name Surname]],Manpower!$C$4:$C$1048576,Manpower!$F$4:$F$1048576,"")</f>
        <v>PICK-UP</v>
      </c>
      <c r="H1381" s="28" t="str">
        <f>_xlfn.XLOOKUP(Table134526_79101120212223242526[[#This Row],[Name Surname]],Manpower!$C$4:$C$1048576,Manpower!$H$4:$H$1048576,"")</f>
        <v>Equipment</v>
      </c>
      <c r="I1381" s="24" t="str">
        <f>_xlfn.XLOOKUP(Table134526_79101120212223242526[[#This Row],[Name Surname]],Manpower!$C$4:$C$1048576,Manpower!$H$4:$H$1048576,"")</f>
        <v>Equipment</v>
      </c>
      <c r="J1381" s="21" t="s">
        <v>143</v>
      </c>
      <c r="K1381" s="21" t="s">
        <v>26</v>
      </c>
      <c r="L1381" s="21" t="s">
        <v>144</v>
      </c>
      <c r="M1381" s="21" t="s">
        <v>24</v>
      </c>
      <c r="N1381" s="29">
        <v>10</v>
      </c>
      <c r="O1381" s="21" t="s">
        <v>138</v>
      </c>
      <c r="P1381" s="21" t="s">
        <v>138</v>
      </c>
      <c r="Q1381" s="21" t="s">
        <v>138</v>
      </c>
      <c r="R1381" s="21" t="s">
        <v>26</v>
      </c>
    </row>
    <row r="1382" spans="1:19" ht="14.4">
      <c r="A1382" s="33">
        <f>IF(C1382="","",MAX($A$1:A1381)+1)</f>
        <v>1307</v>
      </c>
      <c r="B1382" s="27" t="s">
        <v>141</v>
      </c>
      <c r="C1382" s="23">
        <v>46092</v>
      </c>
      <c r="D1382" s="28" t="str">
        <f>_xlfn.XLOOKUP(Table134526_79101120212223242526[[#This Row],[Name Surname]],Manpower!$C$4:$C$1048576,Manpower!$B$4:$B$1048576,"")</f>
        <v>Al Asrah Al Mumayaza Trad</v>
      </c>
      <c r="E1382" s="21" t="s">
        <v>200</v>
      </c>
      <c r="F1382" s="12" t="e">
        <f>_xlfn.XLOOKUP(Table134526_79101120212223242526[[#This Row],[Name Surname]],Manpower!C:C,Manpower!D:D,)</f>
        <v>#N/A</v>
      </c>
      <c r="G1382" s="28" t="str">
        <f>_xlfn.XLOOKUP(Table134526_79101120212223242526[[#This Row],[Name Surname]],Manpower!$C$4:$C$1048576,Manpower!$F$4:$F$1048576,"")</f>
        <v>PICK-UP</v>
      </c>
      <c r="H1382" s="28" t="str">
        <f>_xlfn.XLOOKUP(Table134526_79101120212223242526[[#This Row],[Name Surname]],Manpower!$C$4:$C$1048576,Manpower!$H$4:$H$1048576,"")</f>
        <v>Equipment</v>
      </c>
      <c r="I1382" s="24" t="str">
        <f>_xlfn.XLOOKUP(Table134526_79101120212223242526[[#This Row],[Name Surname]],Manpower!$C$4:$C$1048576,Manpower!$H$4:$H$1048576,"")</f>
        <v>Equipment</v>
      </c>
      <c r="J1382" s="21" t="s">
        <v>143</v>
      </c>
      <c r="K1382" s="21" t="s">
        <v>26</v>
      </c>
      <c r="L1382" s="21" t="s">
        <v>144</v>
      </c>
      <c r="M1382" s="21" t="s">
        <v>24</v>
      </c>
      <c r="N1382" s="29">
        <v>10</v>
      </c>
      <c r="O1382" s="21" t="s">
        <v>138</v>
      </c>
      <c r="P1382" s="21" t="s">
        <v>138</v>
      </c>
      <c r="Q1382" s="21" t="s">
        <v>138</v>
      </c>
      <c r="R1382" s="21" t="s">
        <v>26</v>
      </c>
    </row>
    <row r="1383" spans="1:19" ht="14.4">
      <c r="A1383" s="33">
        <f>IF(C1383="","",MAX($A$1:A1382)+1)</f>
        <v>1308</v>
      </c>
      <c r="B1383" s="27" t="s">
        <v>141</v>
      </c>
      <c r="C1383" s="23">
        <v>46092</v>
      </c>
      <c r="D1383" s="28" t="str">
        <f>_xlfn.XLOOKUP(Table134526_79101120212223242526[[#This Row],[Name Surname]],Manpower!$C$4:$C$1048576,Manpower!$B$4:$B$1048576,"")</f>
        <v>Al Asrah Al Mumayaza Trad</v>
      </c>
      <c r="E1383" s="21" t="s">
        <v>201</v>
      </c>
      <c r="F1383" s="12" t="e">
        <f>_xlfn.XLOOKUP(Table134526_79101120212223242526[[#This Row],[Name Surname]],Manpower!C:C,Manpower!D:D,)</f>
        <v>#N/A</v>
      </c>
      <c r="G1383" s="28" t="str">
        <f>_xlfn.XLOOKUP(Table134526_79101120212223242526[[#This Row],[Name Surname]],Manpower!$C$4:$C$1048576,Manpower!$F$4:$F$1048576,"")</f>
        <v>PICK-UP</v>
      </c>
      <c r="H1383" s="28" t="str">
        <f>_xlfn.XLOOKUP(Table134526_79101120212223242526[[#This Row],[Name Surname]],Manpower!$C$4:$C$1048576,Manpower!$H$4:$H$1048576,"")</f>
        <v>Equipment</v>
      </c>
      <c r="I1383" s="24" t="str">
        <f>_xlfn.XLOOKUP(Table134526_79101120212223242526[[#This Row],[Name Surname]],Manpower!$C$4:$C$1048576,Manpower!$H$4:$H$1048576,"")</f>
        <v>Equipment</v>
      </c>
      <c r="J1383" s="21" t="s">
        <v>143</v>
      </c>
      <c r="K1383" s="21" t="s">
        <v>26</v>
      </c>
      <c r="L1383" s="21" t="s">
        <v>144</v>
      </c>
      <c r="M1383" s="21" t="s">
        <v>24</v>
      </c>
      <c r="N1383" s="29">
        <v>10</v>
      </c>
      <c r="O1383" s="21" t="s">
        <v>138</v>
      </c>
      <c r="P1383" s="21" t="s">
        <v>138</v>
      </c>
      <c r="Q1383" s="21" t="s">
        <v>138</v>
      </c>
      <c r="R1383" s="21" t="s">
        <v>26</v>
      </c>
    </row>
    <row r="1384" spans="1:19" s="45" customFormat="1" ht="14.4" hidden="1">
      <c r="A1384" s="25">
        <f>IF(C1384="","",MAX($A$1:A1383)+1)</f>
        <v>1309</v>
      </c>
      <c r="B1384" s="25" t="s">
        <v>141</v>
      </c>
      <c r="C1384" s="41">
        <v>46092</v>
      </c>
      <c r="D1384" s="48" t="str">
        <f>_xlfn.XLOOKUP(Table134526_79101120212223242526[[#This Row],[Name Surname]],Manpower!$C$4:$C$1048576,Manpower!$B$4:$B$1048576,"")</f>
        <v>Encogroup</v>
      </c>
      <c r="E1384" s="43" t="s">
        <v>202</v>
      </c>
      <c r="F1384" s="12">
        <f>_xlfn.XLOOKUP(Table134526_79101120212223242526[[#This Row],[Name Surname]],Manpower!C:C,Manpower!D:D,)</f>
        <v>140805592</v>
      </c>
      <c r="G1384" s="48" t="str">
        <f>_xlfn.XLOOKUP(Table134526_79101120212223242526[[#This Row],[Name Surname]],Manpower!$C$4:$C$1048576,Manpower!$F$4:$F$1048576,"")</f>
        <v>Assistant/Helper</v>
      </c>
      <c r="H1384" s="48" t="str">
        <f>_xlfn.XLOOKUP(Table134526_79101120212223242526[[#This Row],[Name Surname]],Manpower!$C$4:$C$1048576,Manpower!$H$4:$H$1048576,"")</f>
        <v>Manpower</v>
      </c>
      <c r="I1384" s="42" t="str">
        <f>_xlfn.XLOOKUP(Table134526_79101120212223242526[[#This Row],[Name Surname]],Manpower!$C$4:$C$1048576,Manpower!$H$4:$H$1048576,"")</f>
        <v>Manpower</v>
      </c>
      <c r="J1384" s="43" t="s">
        <v>143</v>
      </c>
      <c r="K1384" s="43" t="s">
        <v>26</v>
      </c>
      <c r="L1384" s="43" t="s">
        <v>144</v>
      </c>
      <c r="M1384" s="43" t="s">
        <v>24</v>
      </c>
      <c r="N1384" s="44">
        <v>10</v>
      </c>
      <c r="O1384" s="43" t="s">
        <v>40</v>
      </c>
      <c r="P1384" s="43" t="s">
        <v>42</v>
      </c>
      <c r="Q1384" s="43" t="s">
        <v>42</v>
      </c>
      <c r="R1384" s="43" t="s">
        <v>291</v>
      </c>
      <c r="S1384" s="43"/>
    </row>
    <row r="1385" spans="1:19" s="45" customFormat="1" ht="14.4" hidden="1">
      <c r="A1385" s="25">
        <f>IF(C1385="","",MAX($A$1:A1384)+1)</f>
        <v>1310</v>
      </c>
      <c r="B1385" s="25" t="s">
        <v>141</v>
      </c>
      <c r="C1385" s="41">
        <v>46092</v>
      </c>
      <c r="D1385" s="48" t="str">
        <f>_xlfn.XLOOKUP(Table134526_79101120212223242526[[#This Row],[Name Surname]],Manpower!$C$4:$C$1048576,Manpower!$B$4:$B$1048576,"")</f>
        <v>Encogroup</v>
      </c>
      <c r="E1385" s="43" t="s">
        <v>203</v>
      </c>
      <c r="F1385" s="12">
        <f>_xlfn.XLOOKUP(Table134526_79101120212223242526[[#This Row],[Name Surname]],Manpower!C:C,Manpower!D:D,)</f>
        <v>140683371</v>
      </c>
      <c r="G1385" s="48" t="str">
        <f>_xlfn.XLOOKUP(Table134526_79101120212223242526[[#This Row],[Name Surname]],Manpower!$C$4:$C$1048576,Manpower!$F$4:$F$1048576,"")</f>
        <v>Rigger</v>
      </c>
      <c r="H1385" s="48" t="str">
        <f>_xlfn.XLOOKUP(Table134526_79101120212223242526[[#This Row],[Name Surname]],Manpower!$C$4:$C$1048576,Manpower!$H$4:$H$1048576,"")</f>
        <v>Manpower</v>
      </c>
      <c r="I1385" s="42" t="str">
        <f>_xlfn.XLOOKUP(Table134526_79101120212223242526[[#This Row],[Name Surname]],Manpower!$C$4:$C$1048576,Manpower!$H$4:$H$1048576,"")</f>
        <v>Manpower</v>
      </c>
      <c r="J1385" s="43" t="s">
        <v>143</v>
      </c>
      <c r="K1385" s="43" t="s">
        <v>26</v>
      </c>
      <c r="L1385" s="43" t="s">
        <v>144</v>
      </c>
      <c r="M1385" s="43" t="s">
        <v>24</v>
      </c>
      <c r="N1385" s="44">
        <v>10</v>
      </c>
      <c r="O1385" s="43" t="s">
        <v>40</v>
      </c>
      <c r="P1385" s="43" t="s">
        <v>42</v>
      </c>
      <c r="Q1385" s="43" t="s">
        <v>42</v>
      </c>
      <c r="R1385" s="43" t="s">
        <v>291</v>
      </c>
      <c r="S1385" s="43"/>
    </row>
    <row r="1386" spans="1:19" s="45" customFormat="1" ht="14.4" hidden="1">
      <c r="A1386" s="25">
        <f>IF(C1386="","",MAX($A$1:A1385)+1)</f>
        <v>1311</v>
      </c>
      <c r="B1386" s="25" t="s">
        <v>141</v>
      </c>
      <c r="C1386" s="41">
        <v>46092</v>
      </c>
      <c r="D1386" s="48" t="str">
        <f>_xlfn.XLOOKUP(Table134526_79101120212223242526[[#This Row],[Name Surname]],Manpower!$C$4:$C$1048576,Manpower!$B$4:$B$1048576,"")</f>
        <v>Encogroup</v>
      </c>
      <c r="E1386" s="43" t="s">
        <v>206</v>
      </c>
      <c r="F1386" s="12">
        <f>_xlfn.XLOOKUP(Table134526_79101120212223242526[[#This Row],[Name Surname]],Manpower!C:C,Manpower!D:D,)</f>
        <v>140844848</v>
      </c>
      <c r="G1386" s="48" t="str">
        <f>_xlfn.XLOOKUP(Table134526_79101120212223242526[[#This Row],[Name Surname]],Manpower!$C$4:$C$1048576,Manpower!$F$4:$F$1048576,"")</f>
        <v>Assistant/Helper</v>
      </c>
      <c r="H1386" s="48" t="str">
        <f>_xlfn.XLOOKUP(Table134526_79101120212223242526[[#This Row],[Name Surname]],Manpower!$C$4:$C$1048576,Manpower!$H$4:$H$1048576,"")</f>
        <v>Manpower</v>
      </c>
      <c r="I1386" s="42" t="str">
        <f>_xlfn.XLOOKUP(Table134526_79101120212223242526[[#This Row],[Name Surname]],Manpower!$C$4:$C$1048576,Manpower!$H$4:$H$1048576,"")</f>
        <v>Manpower</v>
      </c>
      <c r="J1386" s="43" t="s">
        <v>143</v>
      </c>
      <c r="K1386" s="43" t="s">
        <v>26</v>
      </c>
      <c r="L1386" s="43" t="s">
        <v>144</v>
      </c>
      <c r="M1386" s="43" t="s">
        <v>24</v>
      </c>
      <c r="N1386" s="44">
        <v>10</v>
      </c>
      <c r="O1386" s="43" t="s">
        <v>40</v>
      </c>
      <c r="P1386" s="43" t="s">
        <v>42</v>
      </c>
      <c r="Q1386" s="43" t="s">
        <v>42</v>
      </c>
      <c r="R1386" s="43" t="s">
        <v>291</v>
      </c>
      <c r="S1386" s="43"/>
    </row>
    <row r="1387" spans="1:19" ht="14.4" hidden="1">
      <c r="A1387" s="33">
        <f>IF(C1387="","",MAX($A$1:A1386)+1)</f>
        <v>1312</v>
      </c>
      <c r="B1387" s="27" t="s">
        <v>141</v>
      </c>
      <c r="C1387" s="23">
        <v>46092</v>
      </c>
      <c r="D1387" s="28" t="str">
        <f>_xlfn.XLOOKUP(Table134526_79101120212223242526[[#This Row],[Name Surname]],Manpower!$C$4:$C$1048576,Manpower!$B$4:$B$1048576,"")</f>
        <v>Encogroup</v>
      </c>
      <c r="E1387" s="21" t="s">
        <v>207</v>
      </c>
      <c r="F1387" s="12">
        <f>_xlfn.XLOOKUP(Table134526_79101120212223242526[[#This Row],[Name Surname]],Manpower!C:C,Manpower!D:D,)</f>
        <v>141359216</v>
      </c>
      <c r="G1387" s="28" t="str">
        <f>_xlfn.XLOOKUP(Table134526_79101120212223242526[[#This Row],[Name Surname]],Manpower!$C$4:$C$1048576,Manpower!$F$4:$F$1048576,"")</f>
        <v>Electrician</v>
      </c>
      <c r="H1387" s="28" t="str">
        <f>_xlfn.XLOOKUP(Table134526_79101120212223242526[[#This Row],[Name Surname]],Manpower!$C$4:$C$1048576,Manpower!$H$4:$H$1048576,"")</f>
        <v>Manpower</v>
      </c>
      <c r="I1387" s="24" t="str">
        <f>_xlfn.XLOOKUP(Table134526_79101120212223242526[[#This Row],[Name Surname]],Manpower!$C$4:$C$1048576,Manpower!$H$4:$H$1048576,"")</f>
        <v>Manpower</v>
      </c>
      <c r="J1387" s="21" t="s">
        <v>158</v>
      </c>
      <c r="K1387" s="21" t="s">
        <v>26</v>
      </c>
      <c r="L1387" s="21" t="s">
        <v>26</v>
      </c>
      <c r="M1387" s="21" t="s">
        <v>24</v>
      </c>
      <c r="N1387" s="29">
        <v>10</v>
      </c>
      <c r="O1387" s="21" t="s">
        <v>159</v>
      </c>
      <c r="P1387" s="21" t="s">
        <v>160</v>
      </c>
      <c r="Q1387" s="21" t="s">
        <v>160</v>
      </c>
      <c r="R1387" s="21" t="s">
        <v>161</v>
      </c>
    </row>
    <row r="1388" spans="1:19" s="45" customFormat="1" ht="14.4" hidden="1">
      <c r="A1388" s="25">
        <f>IF(C1388="","",MAX($A$1:A1387)+1)</f>
        <v>1313</v>
      </c>
      <c r="B1388" s="25" t="s">
        <v>141</v>
      </c>
      <c r="C1388" s="41">
        <v>46092</v>
      </c>
      <c r="D1388" s="48" t="str">
        <f>_xlfn.XLOOKUP(Table134526_79101120212223242526[[#This Row],[Name Surname]],Manpower!$C$4:$C$1048576,Manpower!$B$4:$B$1048576,"")</f>
        <v>Encogroup</v>
      </c>
      <c r="E1388" s="43" t="s">
        <v>208</v>
      </c>
      <c r="F1388" s="12">
        <f>_xlfn.XLOOKUP(Table134526_79101120212223242526[[#This Row],[Name Surname]],Manpower!C:C,Manpower!D:D,)</f>
        <v>140683399</v>
      </c>
      <c r="G1388" s="48" t="str">
        <f>_xlfn.XLOOKUP(Table134526_79101120212223242526[[#This Row],[Name Surname]],Manpower!$C$4:$C$1048576,Manpower!$F$4:$F$1048576,"")</f>
        <v>Rigger</v>
      </c>
      <c r="H1388" s="48" t="str">
        <f>_xlfn.XLOOKUP(Table134526_79101120212223242526[[#This Row],[Name Surname]],Manpower!$C$4:$C$1048576,Manpower!$H$4:$H$1048576,"")</f>
        <v>Manpower</v>
      </c>
      <c r="I1388" s="42" t="str">
        <f>_xlfn.XLOOKUP(Table134526_79101120212223242526[[#This Row],[Name Surname]],Manpower!$C$4:$C$1048576,Manpower!$H$4:$H$1048576,"")</f>
        <v>Manpower</v>
      </c>
      <c r="J1388" s="43" t="s">
        <v>143</v>
      </c>
      <c r="K1388" s="43" t="s">
        <v>26</v>
      </c>
      <c r="L1388" s="43" t="s">
        <v>144</v>
      </c>
      <c r="M1388" s="43" t="s">
        <v>24</v>
      </c>
      <c r="N1388" s="44">
        <v>10</v>
      </c>
      <c r="O1388" s="43" t="s">
        <v>40</v>
      </c>
      <c r="P1388" s="43" t="s">
        <v>42</v>
      </c>
      <c r="Q1388" s="43" t="s">
        <v>42</v>
      </c>
      <c r="R1388" s="43" t="s">
        <v>291</v>
      </c>
      <c r="S1388" s="43"/>
    </row>
    <row r="1389" spans="1:19" ht="14.4">
      <c r="A1389" s="33">
        <f>IF(C1389="","",MAX($A$1:A1388)+1)</f>
        <v>1314</v>
      </c>
      <c r="B1389" s="27" t="s">
        <v>141</v>
      </c>
      <c r="C1389" s="23">
        <v>46092</v>
      </c>
      <c r="D1389" s="28" t="str">
        <f>_xlfn.XLOOKUP(Table134526_79101120212223242526[[#This Row],[Name Surname]],Manpower!$C$4:$C$1048576,Manpower!$B$4:$B$1048576,"")</f>
        <v>Bright Light</v>
      </c>
      <c r="E1389" s="21" t="s">
        <v>210</v>
      </c>
      <c r="F1389" s="12" t="e">
        <f>_xlfn.XLOOKUP(Table134526_79101120212223242526[[#This Row],[Name Surname]],Manpower!C:C,Manpower!D:D,)</f>
        <v>#N/A</v>
      </c>
      <c r="G1389" s="28" t="str">
        <f>_xlfn.XLOOKUP(Table134526_79101120212223242526[[#This Row],[Name Surname]],Manpower!$C$4:$C$1048576,Manpower!$F$4:$F$1048576,"")</f>
        <v>Trailer</v>
      </c>
      <c r="H1389" s="28" t="str">
        <f>_xlfn.XLOOKUP(Table134526_79101120212223242526[[#This Row],[Name Surname]],Manpower!$C$4:$C$1048576,Manpower!$H$4:$H$1048576,"")</f>
        <v>Equipment</v>
      </c>
      <c r="I1389" s="24" t="str">
        <f>_xlfn.XLOOKUP(Table134526_79101120212223242526[[#This Row],[Name Surname]],Manpower!$C$4:$C$1048576,Manpower!$H$4:$H$1048576,"")</f>
        <v>Equipment</v>
      </c>
      <c r="J1389" s="21" t="s">
        <v>143</v>
      </c>
      <c r="K1389" s="21" t="s">
        <v>26</v>
      </c>
      <c r="L1389" s="21" t="s">
        <v>144</v>
      </c>
      <c r="M1389" s="21" t="s">
        <v>24</v>
      </c>
      <c r="N1389" s="29">
        <v>8</v>
      </c>
      <c r="O1389" s="21" t="s">
        <v>40</v>
      </c>
      <c r="P1389" s="21" t="s">
        <v>42</v>
      </c>
      <c r="Q1389" s="21" t="s">
        <v>42</v>
      </c>
      <c r="R1389" s="21" t="s">
        <v>26</v>
      </c>
    </row>
    <row r="1390" spans="1:19" ht="14.4" hidden="1">
      <c r="A1390" s="33">
        <f>IF(C1390="","",MAX($A$1:A1389)+1)</f>
        <v>1315</v>
      </c>
      <c r="B1390" s="27" t="s">
        <v>141</v>
      </c>
      <c r="C1390" s="23">
        <v>46092</v>
      </c>
      <c r="D1390" s="28" t="str">
        <f>_xlfn.XLOOKUP(Table134526_79101120212223242526[[#This Row],[Name Surname]],Manpower!$C$4:$C$1048576,Manpower!$B$4:$B$1048576,"")</f>
        <v>Encogroup</v>
      </c>
      <c r="E1390" s="21" t="s">
        <v>211</v>
      </c>
      <c r="F1390" s="12">
        <f>_xlfn.XLOOKUP(Table134526_79101120212223242526[[#This Row],[Name Surname]],Manpower!C:C,Manpower!D:D,)</f>
        <v>140477664</v>
      </c>
      <c r="G1390" s="28" t="str">
        <f>_xlfn.XLOOKUP(Table134526_79101120212223242526[[#This Row],[Name Surname]],Manpower!$C$4:$C$1048576,Manpower!$F$4:$F$1048576,"")</f>
        <v>Junior HSE Officer</v>
      </c>
      <c r="H1390" s="28" t="str">
        <f>_xlfn.XLOOKUP(Table134526_79101120212223242526[[#This Row],[Name Surname]],Manpower!$C$4:$C$1048576,Manpower!$H$4:$H$1048576,"")</f>
        <v>Manpower</v>
      </c>
      <c r="I1390" s="24" t="str">
        <f>_xlfn.XLOOKUP(Table134526_79101120212223242526[[#This Row],[Name Surname]],Manpower!$C$4:$C$1048576,Manpower!$H$4:$H$1048576,"")</f>
        <v>Manpower</v>
      </c>
      <c r="J1390" s="21" t="s">
        <v>143</v>
      </c>
      <c r="K1390" s="21" t="s">
        <v>26</v>
      </c>
      <c r="L1390" s="21" t="s">
        <v>144</v>
      </c>
      <c r="M1390" s="21" t="s">
        <v>24</v>
      </c>
      <c r="N1390" s="29">
        <v>10</v>
      </c>
      <c r="O1390" s="21" t="s">
        <v>40</v>
      </c>
      <c r="P1390" s="21" t="s">
        <v>42</v>
      </c>
      <c r="Q1390" s="21" t="s">
        <v>42</v>
      </c>
      <c r="R1390" s="21" t="s">
        <v>291</v>
      </c>
    </row>
    <row r="1391" spans="1:19" s="45" customFormat="1" ht="14.4" hidden="1">
      <c r="A1391" s="25">
        <f>IF(C1391="","",MAX($A$1:A1390)+1)</f>
        <v>1316</v>
      </c>
      <c r="B1391" s="25" t="s">
        <v>141</v>
      </c>
      <c r="C1391" s="41">
        <v>46092</v>
      </c>
      <c r="D1391" s="48" t="str">
        <f>_xlfn.XLOOKUP(Table134526_79101120212223242526[[#This Row],[Name Surname]],Manpower!$C$4:$C$1048576,Manpower!$B$4:$B$1048576,"")</f>
        <v>Encogroup</v>
      </c>
      <c r="E1391" s="43" t="s">
        <v>213</v>
      </c>
      <c r="F1391" s="12">
        <f>_xlfn.XLOOKUP(Table134526_79101120212223242526[[#This Row],[Name Surname]],Manpower!C:C,Manpower!D:D,)</f>
        <v>140846698</v>
      </c>
      <c r="G1391" s="48" t="str">
        <f>_xlfn.XLOOKUP(Table134526_79101120212223242526[[#This Row],[Name Surname]],Manpower!$C$4:$C$1048576,Manpower!$F$4:$F$1048576,"")</f>
        <v>Assistant/Helper</v>
      </c>
      <c r="H1391" s="48" t="str">
        <f>_xlfn.XLOOKUP(Table134526_79101120212223242526[[#This Row],[Name Surname]],Manpower!$C$4:$C$1048576,Manpower!$H$4:$H$1048576,"")</f>
        <v>Manpower</v>
      </c>
      <c r="I1391" s="42" t="str">
        <f>_xlfn.XLOOKUP(Table134526_79101120212223242526[[#This Row],[Name Surname]],Manpower!$C$4:$C$1048576,Manpower!$H$4:$H$1048576,"")</f>
        <v>Manpower</v>
      </c>
      <c r="J1391" s="43" t="s">
        <v>143</v>
      </c>
      <c r="K1391" s="43" t="s">
        <v>26</v>
      </c>
      <c r="L1391" s="43" t="s">
        <v>144</v>
      </c>
      <c r="M1391" s="43" t="s">
        <v>24</v>
      </c>
      <c r="N1391" s="44">
        <v>10</v>
      </c>
      <c r="O1391" s="43" t="s">
        <v>40</v>
      </c>
      <c r="P1391" s="43" t="s">
        <v>42</v>
      </c>
      <c r="Q1391" s="43" t="s">
        <v>42</v>
      </c>
      <c r="R1391" s="43" t="s">
        <v>291</v>
      </c>
      <c r="S1391" s="43"/>
    </row>
    <row r="1392" spans="1:19" s="45" customFormat="1" ht="14.4" hidden="1">
      <c r="A1392" s="25">
        <f>IF(C1392="","",MAX($A$1:A1391)+1)</f>
        <v>1317</v>
      </c>
      <c r="B1392" s="25" t="s">
        <v>141</v>
      </c>
      <c r="C1392" s="41">
        <v>46092</v>
      </c>
      <c r="D1392" s="48" t="str">
        <f>_xlfn.XLOOKUP(Table134526_79101120212223242526[[#This Row],[Name Surname]],Manpower!$C$4:$C$1048576,Manpower!$B$4:$B$1048576,"")</f>
        <v>SARENS NASS</v>
      </c>
      <c r="E1392" s="43" t="s">
        <v>214</v>
      </c>
      <c r="F1392" s="12">
        <f>_xlfn.XLOOKUP(Table134526_79101120212223242526[[#This Row],[Name Surname]],Manpower!C:C,Manpower!D:D,)</f>
        <v>109957631</v>
      </c>
      <c r="G1392" s="48" t="str">
        <f>_xlfn.XLOOKUP(Table134526_79101120212223242526[[#This Row],[Name Surname]],Manpower!$C$4:$C$1048576,Manpower!$F$4:$F$1048576,"")</f>
        <v>Crane Operator-130T Liebherr Crawler</v>
      </c>
      <c r="H1392" s="48" t="str">
        <f>_xlfn.XLOOKUP(Table134526_79101120212223242526[[#This Row],[Name Surname]],Manpower!$C$4:$C$1048576,Manpower!$H$4:$H$1048576,"")</f>
        <v>Manpower</v>
      </c>
      <c r="I1392" s="42" t="str">
        <f>_xlfn.XLOOKUP(Table134526_79101120212223242526[[#This Row],[Name Surname]],Manpower!$C$4:$C$1048576,Manpower!$H$4:$H$1048576,"")</f>
        <v>Manpower</v>
      </c>
      <c r="J1392" s="43" t="s">
        <v>143</v>
      </c>
      <c r="K1392" s="43" t="s">
        <v>26</v>
      </c>
      <c r="L1392" s="43" t="s">
        <v>144</v>
      </c>
      <c r="M1392" s="43" t="s">
        <v>55</v>
      </c>
      <c r="N1392" s="44">
        <v>10</v>
      </c>
      <c r="O1392" s="43"/>
      <c r="P1392" s="43"/>
      <c r="Q1392" s="43"/>
      <c r="R1392" s="43" t="s">
        <v>290</v>
      </c>
      <c r="S1392" s="43"/>
    </row>
    <row r="1393" spans="1:19" s="45" customFormat="1" ht="14.4" hidden="1">
      <c r="A1393" s="25">
        <f>IF(C1393="","",MAX($A$1:A1392)+1)</f>
        <v>1318</v>
      </c>
      <c r="B1393" s="25" t="s">
        <v>141</v>
      </c>
      <c r="C1393" s="41">
        <v>46092</v>
      </c>
      <c r="D1393" s="48" t="str">
        <f>_xlfn.XLOOKUP(Table134526_79101120212223242526[[#This Row],[Name Surname]],Manpower!$C$4:$C$1048576,Manpower!$B$4:$B$1048576,"")</f>
        <v>Sarens Nass</v>
      </c>
      <c r="E1393" s="43" t="s">
        <v>216</v>
      </c>
      <c r="F1393" s="12" t="str">
        <f>_xlfn.XLOOKUP(Table134526_79101120212223242526[[#This Row],[Name Surname]],Manpower!C:C,Manpower!D:D,)</f>
        <v>77873529</v>
      </c>
      <c r="G1393" s="48" t="str">
        <f>_xlfn.XLOOKUP(Table134526_79101120212223242526[[#This Row],[Name Surname]],Manpower!$C$4:$C$1048576,Manpower!$F$4:$F$1048576,"")</f>
        <v>Mechanic</v>
      </c>
      <c r="H1393" s="48" t="str">
        <f>_xlfn.XLOOKUP(Table134526_79101120212223242526[[#This Row],[Name Surname]],Manpower!$C$4:$C$1048576,Manpower!$H$4:$H$1048576,"")</f>
        <v>Sub Contactor</v>
      </c>
      <c r="I1393" s="42" t="str">
        <f>_xlfn.XLOOKUP(Table134526_79101120212223242526[[#This Row],[Name Surname]],Manpower!$C$4:$C$1048576,Manpower!$H$4:$H$1048576,"")</f>
        <v>Sub Contactor</v>
      </c>
      <c r="J1393" s="43" t="s">
        <v>143</v>
      </c>
      <c r="K1393" s="43" t="s">
        <v>26</v>
      </c>
      <c r="L1393" s="43" t="s">
        <v>144</v>
      </c>
      <c r="M1393" s="43" t="s">
        <v>24</v>
      </c>
      <c r="N1393" s="44">
        <v>10</v>
      </c>
      <c r="O1393" s="43" t="s">
        <v>40</v>
      </c>
      <c r="P1393" s="43" t="s">
        <v>42</v>
      </c>
      <c r="Q1393" s="43" t="s">
        <v>42</v>
      </c>
      <c r="R1393" s="43" t="s">
        <v>292</v>
      </c>
      <c r="S1393" s="43"/>
    </row>
    <row r="1394" spans="1:19" s="45" customFormat="1" ht="14.4" hidden="1">
      <c r="A1394" s="25">
        <f>IF(C1394="","",MAX($A$1:A1393)+1)</f>
        <v>1319</v>
      </c>
      <c r="B1394" s="25" t="s">
        <v>141</v>
      </c>
      <c r="C1394" s="41">
        <v>46092</v>
      </c>
      <c r="D1394" s="48" t="str">
        <f>_xlfn.XLOOKUP(Table134526_79101120212223242526[[#This Row],[Name Surname]],Manpower!$C$4:$C$1048576,Manpower!$B$4:$B$1048576,"")</f>
        <v>Sarens Nass</v>
      </c>
      <c r="E1394" s="43" t="s">
        <v>293</v>
      </c>
      <c r="F1394" s="12" t="str">
        <f>_xlfn.XLOOKUP(Table134526_79101120212223242526[[#This Row],[Name Surname]],Manpower!C:C,Manpower!D:D,)</f>
        <v>12284034</v>
      </c>
      <c r="G1394" s="48" t="str">
        <f>_xlfn.XLOOKUP(Table134526_79101120212223242526[[#This Row],[Name Surname]],Manpower!$C$4:$C$1048576,Manpower!$F$4:$F$1048576,"")</f>
        <v>Rigger</v>
      </c>
      <c r="H1394" s="48" t="str">
        <f>_xlfn.XLOOKUP(Table134526_79101120212223242526[[#This Row],[Name Surname]],Manpower!$C$4:$C$1048576,Manpower!$H$4:$H$1048576,"")</f>
        <v>Sub Contactor</v>
      </c>
      <c r="I1394" s="42" t="str">
        <f>_xlfn.XLOOKUP(Table134526_79101120212223242526[[#This Row],[Name Surname]],Manpower!$C$4:$C$1048576,Manpower!$H$4:$H$1048576,"")</f>
        <v>Sub Contactor</v>
      </c>
      <c r="J1394" s="43" t="s">
        <v>143</v>
      </c>
      <c r="K1394" s="43" t="s">
        <v>26</v>
      </c>
      <c r="L1394" s="43" t="s">
        <v>144</v>
      </c>
      <c r="M1394" s="43" t="s">
        <v>24</v>
      </c>
      <c r="N1394" s="44">
        <v>10</v>
      </c>
      <c r="O1394" s="43" t="s">
        <v>40</v>
      </c>
      <c r="P1394" s="43" t="s">
        <v>42</v>
      </c>
      <c r="Q1394" s="43" t="s">
        <v>42</v>
      </c>
      <c r="R1394" s="43" t="s">
        <v>292</v>
      </c>
      <c r="S1394" s="43"/>
    </row>
    <row r="1395" spans="1:19" ht="14.4" hidden="1">
      <c r="A1395" s="33">
        <f>IF(C1395="","",MAX($A$1:A1392)+1)</f>
        <v>1318</v>
      </c>
      <c r="B1395" s="27" t="s">
        <v>141</v>
      </c>
      <c r="C1395" s="23">
        <v>46092</v>
      </c>
      <c r="D1395" s="28" t="str">
        <f>_xlfn.XLOOKUP(Table134526_79101120212223242526[[#This Row],[Name Surname]],Manpower!$C$4:$C$1048576,Manpower!$B$4:$B$1048576,"")</f>
        <v>Al Jaber Heavy Lift</v>
      </c>
      <c r="E1395" s="21" t="s">
        <v>164</v>
      </c>
      <c r="F1395" s="12">
        <f>_xlfn.XLOOKUP(Table134526_79101120212223242526[[#This Row],[Name Surname]],Manpower!C:C,Manpower!D:D,)</f>
        <v>112778626</v>
      </c>
      <c r="G1395" s="28" t="str">
        <f>_xlfn.XLOOKUP(Table134526_79101120212223242526[[#This Row],[Name Surname]],Manpower!$C$4:$C$1048576,Manpower!$F$4:$F$1048576,"")</f>
        <v>Crane Operator-150T Hitachi Crawler</v>
      </c>
      <c r="H1395" s="28" t="str">
        <f>_xlfn.XLOOKUP(Table134526_79101120212223242526[[#This Row],[Name Surname]],Manpower!$C$4:$C$1048576,Manpower!$H$4:$H$1048576,"")</f>
        <v>Manpower</v>
      </c>
      <c r="I1395" s="24" t="str">
        <f>_xlfn.XLOOKUP(Table134526_79101120212223242526[[#This Row],[Name Surname]],Manpower!$C$4:$C$1048576,Manpower!$H$4:$H$1048576,"")</f>
        <v>Manpower</v>
      </c>
      <c r="J1395" s="21" t="s">
        <v>143</v>
      </c>
      <c r="K1395" s="21" t="s">
        <v>26</v>
      </c>
      <c r="L1395" s="21" t="s">
        <v>144</v>
      </c>
      <c r="M1395" s="21" t="s">
        <v>55</v>
      </c>
      <c r="N1395" s="29">
        <v>8</v>
      </c>
      <c r="R1395" s="21" t="s">
        <v>242</v>
      </c>
    </row>
    <row r="1396" spans="1:19" s="45" customFormat="1" ht="14.4" hidden="1">
      <c r="A1396" s="25">
        <f>IF(C1396="","",MAX($A$1:A1395)+1)</f>
        <v>1320</v>
      </c>
      <c r="B1396" s="25" t="s">
        <v>141</v>
      </c>
      <c r="C1396" s="41">
        <v>46092</v>
      </c>
      <c r="D1396" s="48" t="str">
        <f>_xlfn.XLOOKUP(Table134526_79101120212223242526[[#This Row],[Name Surname]],Manpower!$C$4:$C$1048576,Manpower!$B$4:$B$1048576,"")</f>
        <v>Rial Al Khaleej</v>
      </c>
      <c r="E1396" s="43" t="s">
        <v>38</v>
      </c>
      <c r="F1396" s="12">
        <f>_xlfn.XLOOKUP(Table134526_79101120212223242526[[#This Row],[Name Surname]],Manpower!C:C,Manpower!D:D,)</f>
        <v>98845403</v>
      </c>
      <c r="G1396" s="48" t="str">
        <f>_xlfn.XLOOKUP(Table134526_79101120212223242526[[#This Row],[Name Surname]],Manpower!$C$4:$C$1048576,Manpower!$F$4:$F$1048576,"")</f>
        <v>Crane Operator-100T Zoomlion Telescopic</v>
      </c>
      <c r="H1396" s="48" t="str">
        <f>_xlfn.XLOOKUP(Table134526_79101120212223242526[[#This Row],[Name Surname]],Manpower!$C$4:$C$1048576,Manpower!$H$4:$H$1048576,"")</f>
        <v>Manpower</v>
      </c>
      <c r="I1396" s="42" t="str">
        <f>_xlfn.XLOOKUP(Table134526_79101120212223242526[[#This Row],[Name Surname]],Manpower!$C$4:$C$1048576,Manpower!$H$4:$H$1048576,"")</f>
        <v>Manpower</v>
      </c>
      <c r="J1396" s="43" t="s">
        <v>143</v>
      </c>
      <c r="K1396" s="43" t="s">
        <v>26</v>
      </c>
      <c r="L1396" s="43" t="s">
        <v>144</v>
      </c>
      <c r="M1396" s="43" t="s">
        <v>24</v>
      </c>
      <c r="N1396" s="44">
        <v>8</v>
      </c>
      <c r="O1396" s="43" t="s">
        <v>40</v>
      </c>
      <c r="P1396" s="43" t="s">
        <v>41</v>
      </c>
      <c r="Q1396" s="43" t="s">
        <v>42</v>
      </c>
      <c r="R1396" s="43" t="s">
        <v>291</v>
      </c>
      <c r="S1396" s="43"/>
    </row>
    <row r="1397" spans="1:19" s="45" customFormat="1" ht="14.4" hidden="1">
      <c r="A1397" s="25">
        <f>IF(C1397="","",MAX($A$1:A1396)+1)</f>
        <v>1321</v>
      </c>
      <c r="B1397" s="25" t="s">
        <v>141</v>
      </c>
      <c r="C1397" s="41">
        <v>46092</v>
      </c>
      <c r="D1397" s="48" t="str">
        <f>_xlfn.XLOOKUP(Table134526_79101120212223242526[[#This Row],[Name Surname]],Manpower!$C$4:$C$1048576,Manpower!$B$4:$B$1048576,"")</f>
        <v>Encogroup</v>
      </c>
      <c r="E1397" s="43" t="s">
        <v>217</v>
      </c>
      <c r="F1397" s="12">
        <f>_xlfn.XLOOKUP(Table134526_79101120212223242526[[#This Row],[Name Surname]],Manpower!C:C,Manpower!D:D,)</f>
        <v>140742177</v>
      </c>
      <c r="G1397" s="48" t="str">
        <f>_xlfn.XLOOKUP(Table134526_79101120212223242526[[#This Row],[Name Surname]],Manpower!$C$4:$C$1048576,Manpower!$F$4:$F$1048576,"")</f>
        <v>Grinder</v>
      </c>
      <c r="H1397" s="48" t="str">
        <f>_xlfn.XLOOKUP(Table134526_79101120212223242526[[#This Row],[Name Surname]],Manpower!$C$4:$C$1048576,Manpower!$H$4:$H$1048576,"")</f>
        <v>Manpower</v>
      </c>
      <c r="I1397" s="42" t="str">
        <f>_xlfn.XLOOKUP(Table134526_79101120212223242526[[#This Row],[Name Surname]],Manpower!$C$4:$C$1048576,Manpower!$H$4:$H$1048576,"")</f>
        <v>Manpower</v>
      </c>
      <c r="J1397" s="43" t="s">
        <v>143</v>
      </c>
      <c r="K1397" s="43" t="s">
        <v>26</v>
      </c>
      <c r="L1397" s="43" t="s">
        <v>144</v>
      </c>
      <c r="M1397" s="43" t="s">
        <v>24</v>
      </c>
      <c r="N1397" s="44">
        <v>10</v>
      </c>
      <c r="O1397" s="43" t="s">
        <v>40</v>
      </c>
      <c r="P1397" s="43" t="s">
        <v>42</v>
      </c>
      <c r="Q1397" s="43" t="s">
        <v>42</v>
      </c>
      <c r="R1397" s="43" t="s">
        <v>291</v>
      </c>
      <c r="S1397" s="43"/>
    </row>
    <row r="1398" spans="1:19" s="45" customFormat="1" ht="14.4" hidden="1">
      <c r="A1398" s="25">
        <f>IF(C1398="","",MAX($A$1:A1397)+1)</f>
        <v>1322</v>
      </c>
      <c r="B1398" s="25" t="s">
        <v>141</v>
      </c>
      <c r="C1398" s="41">
        <v>46092</v>
      </c>
      <c r="D1398" s="48" t="str">
        <f>_xlfn.XLOOKUP(Table134526_79101120212223242526[[#This Row],[Name Surname]],Manpower!$C$4:$C$1048576,Manpower!$B$4:$B$1048576,"")</f>
        <v>Encogroup</v>
      </c>
      <c r="E1398" s="43" t="s">
        <v>188</v>
      </c>
      <c r="F1398" s="12">
        <f>_xlfn.XLOOKUP(Table134526_79101120212223242526[[#This Row],[Name Surname]],Manpower!C:C,Manpower!D:D,)</f>
        <v>140696975</v>
      </c>
      <c r="G1398" s="48" t="str">
        <f>_xlfn.XLOOKUP(Table134526_79101120212223242526[[#This Row],[Name Surname]],Manpower!$C$4:$C$1048576,Manpower!$F$4:$F$1048576,"")</f>
        <v>Assistant/Helper</v>
      </c>
      <c r="H1398" s="48" t="str">
        <f>_xlfn.XLOOKUP(Table134526_79101120212223242526[[#This Row],[Name Surname]],Manpower!$C$4:$C$1048576,Manpower!$H$4:$H$1048576,"")</f>
        <v>Manpower</v>
      </c>
      <c r="I1398" s="42" t="str">
        <f>_xlfn.XLOOKUP(Table134526_79101120212223242526[[#This Row],[Name Surname]],Manpower!$C$4:$C$1048576,Manpower!$H$4:$H$1048576,"")</f>
        <v>Manpower</v>
      </c>
      <c r="J1398" s="43" t="s">
        <v>158</v>
      </c>
      <c r="K1398" s="43" t="s">
        <v>26</v>
      </c>
      <c r="L1398" s="43" t="s">
        <v>26</v>
      </c>
      <c r="M1398" s="43" t="s">
        <v>24</v>
      </c>
      <c r="N1398" s="44">
        <v>10</v>
      </c>
      <c r="O1398" s="43" t="s">
        <v>159</v>
      </c>
      <c r="P1398" s="43" t="s">
        <v>160</v>
      </c>
      <c r="Q1398" s="43" t="s">
        <v>160</v>
      </c>
      <c r="R1398" s="43" t="s">
        <v>161</v>
      </c>
      <c r="S1398" s="43" t="s">
        <v>230</v>
      </c>
    </row>
    <row r="1399" spans="1:19" s="45" customFormat="1" ht="14.4" hidden="1">
      <c r="A1399" s="25">
        <f>IF(C1399="","",MAX($A$1:A1398)+1)</f>
        <v>1323</v>
      </c>
      <c r="B1399" s="25" t="s">
        <v>141</v>
      </c>
      <c r="C1399" s="41">
        <v>46092</v>
      </c>
      <c r="D1399" s="48" t="str">
        <f>_xlfn.XLOOKUP(Table134526_79101120212223242526[[#This Row],[Name Surname]],Manpower!$C$4:$C$1048576,Manpower!$B$4:$B$1048576,"")</f>
        <v>Encogroup</v>
      </c>
      <c r="E1399" s="43" t="s">
        <v>204</v>
      </c>
      <c r="F1399" s="12">
        <f>_xlfn.XLOOKUP(Table134526_79101120212223242526[[#This Row],[Name Surname]],Manpower!C:C,Manpower!D:D,)</f>
        <v>140844572</v>
      </c>
      <c r="G1399" s="48" t="str">
        <f>_xlfn.XLOOKUP(Table134526_79101120212223242526[[#This Row],[Name Surname]],Manpower!$C$4:$C$1048576,Manpower!$F$4:$F$1048576,"")</f>
        <v>Assistant/Helper</v>
      </c>
      <c r="H1399" s="48" t="str">
        <f>_xlfn.XLOOKUP(Table134526_79101120212223242526[[#This Row],[Name Surname]],Manpower!$C$4:$C$1048576,Manpower!$H$4:$H$1048576,"")</f>
        <v>Manpower</v>
      </c>
      <c r="I1399" s="42" t="str">
        <f>_xlfn.XLOOKUP(Table134526_79101120212223242526[[#This Row],[Name Surname]],Manpower!$C$4:$C$1048576,Manpower!$H$4:$H$1048576,"")</f>
        <v>Manpower</v>
      </c>
      <c r="J1399" s="43" t="s">
        <v>158</v>
      </c>
      <c r="K1399" s="43" t="s">
        <v>26</v>
      </c>
      <c r="L1399" s="43" t="s">
        <v>26</v>
      </c>
      <c r="M1399" s="43" t="s">
        <v>24</v>
      </c>
      <c r="N1399" s="44">
        <v>10</v>
      </c>
      <c r="O1399" s="43" t="s">
        <v>159</v>
      </c>
      <c r="P1399" s="43" t="s">
        <v>160</v>
      </c>
      <c r="Q1399" s="43" t="s">
        <v>160</v>
      </c>
      <c r="R1399" s="43" t="s">
        <v>161</v>
      </c>
      <c r="S1399" s="43" t="s">
        <v>230</v>
      </c>
    </row>
    <row r="1400" spans="1:19" ht="14.4" hidden="1">
      <c r="A1400" s="33">
        <f>IF(C1400="","",MAX($A$1:A1399)+1)</f>
        <v>1324</v>
      </c>
      <c r="B1400" s="27" t="s">
        <v>141</v>
      </c>
      <c r="C1400" s="23">
        <v>46092</v>
      </c>
      <c r="D1400" s="28" t="str">
        <f>_xlfn.XLOOKUP(Table134526_79101120212223242526[[#This Row],[Name Surname]],Manpower!$C$4:$C$1048576,Manpower!$B$4:$B$1048576,"")</f>
        <v>Encogroup</v>
      </c>
      <c r="E1400" s="21" t="s">
        <v>218</v>
      </c>
      <c r="F1400" s="12">
        <f>_xlfn.XLOOKUP(Table134526_79101120212223242526[[#This Row],[Name Surname]],Manpower!C:C,Manpower!D:D,)</f>
        <v>116853914</v>
      </c>
      <c r="G1400" s="28" t="str">
        <f>_xlfn.XLOOKUP(Table134526_79101120212223242526[[#This Row],[Name Surname]],Manpower!$C$4:$C$1048576,Manpower!$F$4:$F$1048576,"")</f>
        <v>Electrical Supervisor</v>
      </c>
      <c r="H1400" s="28" t="str">
        <f>_xlfn.XLOOKUP(Table134526_79101120212223242526[[#This Row],[Name Surname]],Manpower!$C$4:$C$1048576,Manpower!$H$4:$H$1048576,"")</f>
        <v>Manpower</v>
      </c>
      <c r="I1400" s="24" t="str">
        <f>_xlfn.XLOOKUP(Table134526_79101120212223242526[[#This Row],[Name Surname]],Manpower!$C$4:$C$1048576,Manpower!$H$4:$H$1048576,"")</f>
        <v>Manpower</v>
      </c>
      <c r="J1400" s="21" t="s">
        <v>158</v>
      </c>
      <c r="K1400" s="21" t="s">
        <v>26</v>
      </c>
      <c r="L1400" s="21" t="s">
        <v>26</v>
      </c>
      <c r="M1400" s="21" t="s">
        <v>24</v>
      </c>
      <c r="N1400" s="29">
        <v>10</v>
      </c>
      <c r="O1400" s="21" t="s">
        <v>159</v>
      </c>
      <c r="P1400" s="21" t="s">
        <v>160</v>
      </c>
      <c r="Q1400" s="21" t="s">
        <v>160</v>
      </c>
      <c r="R1400" s="21" t="s">
        <v>161</v>
      </c>
    </row>
    <row r="1401" spans="1:19" ht="14.4">
      <c r="A1401" s="33">
        <f>IF(C1401="","",MAX($A$1:A1400)+1)</f>
        <v>1325</v>
      </c>
      <c r="B1401" s="27" t="s">
        <v>141</v>
      </c>
      <c r="C1401" s="23">
        <v>46092</v>
      </c>
      <c r="D1401" s="28" t="str">
        <f>_xlfn.XLOOKUP(Table134526_79101120212223242526[[#This Row],[Name Surname]],Manpower!$C$4:$C$1048576,Manpower!$B$4:$B$1048576,"")</f>
        <v>Encogroup</v>
      </c>
      <c r="E1401" s="23" t="s">
        <v>219</v>
      </c>
      <c r="F1401" s="12" t="e">
        <f>_xlfn.XLOOKUP(Table134526_79101120212223242526[[#This Row],[Name Surname]],Manpower!C:C,Manpower!D:D,)</f>
        <v>#N/A</v>
      </c>
      <c r="G1401" s="28" t="str">
        <f>_xlfn.XLOOKUP(Table134526_79101120212223242526[[#This Row],[Name Surname]],Manpower!$C$4:$C$1048576,Manpower!$F$4:$F$1048576,"")</f>
        <v>TOWER LIGHT</v>
      </c>
      <c r="H1401" s="28" t="str">
        <f>_xlfn.XLOOKUP(Table134526_79101120212223242526[[#This Row],[Name Surname]],Manpower!$C$4:$C$1048576,Manpower!$H$4:$H$1048576,"")</f>
        <v>Equipment</v>
      </c>
      <c r="I1401" s="24" t="str">
        <f>_xlfn.XLOOKUP(Table134526_79101120212223242526[[#This Row],[Name Surname]],Manpower!$C$4:$C$1048576,Manpower!$H$4:$H$1048576,"")</f>
        <v>Equipment</v>
      </c>
      <c r="J1401" s="21" t="s">
        <v>143</v>
      </c>
      <c r="K1401" s="21" t="s">
        <v>26</v>
      </c>
      <c r="L1401" s="21" t="s">
        <v>144</v>
      </c>
      <c r="M1401" s="21" t="s">
        <v>55</v>
      </c>
      <c r="N1401" s="29">
        <v>10</v>
      </c>
      <c r="R1401" s="21" t="s">
        <v>56</v>
      </c>
    </row>
    <row r="1402" spans="1:19" ht="14.4">
      <c r="A1402" s="33">
        <f>IF(C1402="","",MAX($A$1:A1401)+1)</f>
        <v>1326</v>
      </c>
      <c r="B1402" s="27" t="s">
        <v>141</v>
      </c>
      <c r="C1402" s="23">
        <v>46092</v>
      </c>
      <c r="D1402" s="28" t="str">
        <f>_xlfn.XLOOKUP(Table134526_79101120212223242526[[#This Row],[Name Surname]],Manpower!$C$4:$C$1048576,Manpower!$B$4:$B$1048576,"")</f>
        <v>Encogroup</v>
      </c>
      <c r="E1402" s="23" t="s">
        <v>220</v>
      </c>
      <c r="F1402" s="12" t="e">
        <f>_xlfn.XLOOKUP(Table134526_79101120212223242526[[#This Row],[Name Surname]],Manpower!C:C,Manpower!D:D,)</f>
        <v>#N/A</v>
      </c>
      <c r="G1402" s="28" t="str">
        <f>_xlfn.XLOOKUP(Table134526_79101120212223242526[[#This Row],[Name Surname]],Manpower!$C$4:$C$1048576,Manpower!$F$4:$F$1048576,"")</f>
        <v>TOWER LIGHT</v>
      </c>
      <c r="H1402" s="28" t="str">
        <f>_xlfn.XLOOKUP(Table134526_79101120212223242526[[#This Row],[Name Surname]],Manpower!$C$4:$C$1048576,Manpower!$H$4:$H$1048576,"")</f>
        <v>Equipment</v>
      </c>
      <c r="I1402" s="24" t="str">
        <f>_xlfn.XLOOKUP(Table134526_79101120212223242526[[#This Row],[Name Surname]],Manpower!$C$4:$C$1048576,Manpower!$H$4:$H$1048576,"")</f>
        <v>Equipment</v>
      </c>
      <c r="J1402" s="21" t="s">
        <v>143</v>
      </c>
      <c r="K1402" s="21" t="s">
        <v>26</v>
      </c>
      <c r="L1402" s="21" t="s">
        <v>144</v>
      </c>
      <c r="M1402" s="21" t="s">
        <v>55</v>
      </c>
      <c r="N1402" s="29">
        <v>10</v>
      </c>
      <c r="R1402" s="21" t="s">
        <v>56</v>
      </c>
    </row>
    <row r="1403" spans="1:19" ht="14.4" hidden="1">
      <c r="A1403" s="33">
        <f>IF(C1403="","",MAX($A$1:A1402)+1)</f>
        <v>1327</v>
      </c>
      <c r="B1403" s="27" t="s">
        <v>141</v>
      </c>
      <c r="C1403" s="23">
        <v>46092</v>
      </c>
      <c r="D1403" s="28" t="str">
        <f>_xlfn.XLOOKUP(Table134526_79101120212223242526[[#This Row],[Name Surname]],Manpower!$C$4:$C$1048576,Manpower!$B$4:$B$1048576,"")</f>
        <v>AL Omar International Tarde&amp;Contracting SPC</v>
      </c>
      <c r="E1403" s="21" t="s">
        <v>221</v>
      </c>
      <c r="F1403" s="12">
        <f>_xlfn.XLOOKUP(Table134526_79101120212223242526[[#This Row],[Name Surname]],Manpower!C:C,Manpower!D:D,)</f>
        <v>115122635</v>
      </c>
      <c r="G1403" s="28" t="str">
        <f>_xlfn.XLOOKUP(Table134526_79101120212223242526[[#This Row],[Name Surname]],Manpower!$C$4:$C$1048576,Manpower!$F$4:$F$1048576,"")</f>
        <v>Scaffolder</v>
      </c>
      <c r="H1403" s="28" t="str">
        <f>_xlfn.XLOOKUP(Table134526_79101120212223242526[[#This Row],[Name Surname]],Manpower!$C$4:$C$1048576,Manpower!$H$4:$H$1048576,"")</f>
        <v>Sub Contactor</v>
      </c>
      <c r="I1403" s="24" t="str">
        <f>_xlfn.XLOOKUP(Table134526_79101120212223242526[[#This Row],[Name Surname]],Manpower!$C$4:$C$1048576,Manpower!$H$4:$H$1048576,"")</f>
        <v>Sub Contactor</v>
      </c>
      <c r="J1403" s="21" t="s">
        <v>143</v>
      </c>
      <c r="K1403" s="21" t="s">
        <v>26</v>
      </c>
      <c r="L1403" s="21" t="s">
        <v>144</v>
      </c>
      <c r="M1403" s="21" t="s">
        <v>24</v>
      </c>
      <c r="N1403" s="29">
        <v>8</v>
      </c>
      <c r="O1403" s="21" t="s">
        <v>40</v>
      </c>
      <c r="P1403" s="21" t="s">
        <v>42</v>
      </c>
      <c r="Q1403" s="21" t="s">
        <v>42</v>
      </c>
      <c r="R1403" s="21" t="s">
        <v>291</v>
      </c>
    </row>
    <row r="1404" spans="1:19" s="45" customFormat="1" ht="14.4" hidden="1">
      <c r="A1404" s="25">
        <f>IF(C1404="","",MAX($A$1:A1403)+1)</f>
        <v>1328</v>
      </c>
      <c r="B1404" s="25" t="s">
        <v>141</v>
      </c>
      <c r="C1404" s="41">
        <v>46092</v>
      </c>
      <c r="D1404" s="48" t="str">
        <f>_xlfn.XLOOKUP(Table134526_79101120212223242526[[#This Row],[Name Surname]],Manpower!$C$4:$C$1048576,Manpower!$B$4:$B$1048576,"")</f>
        <v>Encogroup</v>
      </c>
      <c r="E1404" s="43" t="s">
        <v>168</v>
      </c>
      <c r="F1404" s="12">
        <f>_xlfn.XLOOKUP(Table134526_79101120212223242526[[#This Row],[Name Surname]],Manpower!C:C,Manpower!D:D,)</f>
        <v>137114773</v>
      </c>
      <c r="G1404" s="48" t="str">
        <f>_xlfn.XLOOKUP(Table134526_79101120212223242526[[#This Row],[Name Surname]],Manpower!$C$4:$C$1048576,Manpower!$F$4:$F$1048576,"")</f>
        <v>Rigger</v>
      </c>
      <c r="H1404" s="48" t="str">
        <f>_xlfn.XLOOKUP(Table134526_79101120212223242526[[#This Row],[Name Surname]],Manpower!$C$4:$C$1048576,Manpower!$H$4:$H$1048576,"")</f>
        <v>Manpower</v>
      </c>
      <c r="I1404" s="42" t="str">
        <f>_xlfn.XLOOKUP(Table134526_79101120212223242526[[#This Row],[Name Surname]],Manpower!$C$4:$C$1048576,Manpower!$H$4:$H$1048576,"")</f>
        <v>Manpower</v>
      </c>
      <c r="J1404" s="43" t="s">
        <v>143</v>
      </c>
      <c r="K1404" s="43" t="s">
        <v>26</v>
      </c>
      <c r="L1404" s="43" t="s">
        <v>144</v>
      </c>
      <c r="M1404" s="43" t="s">
        <v>24</v>
      </c>
      <c r="N1404" s="44">
        <v>10</v>
      </c>
      <c r="O1404" s="43" t="s">
        <v>40</v>
      </c>
      <c r="P1404" s="43" t="s">
        <v>42</v>
      </c>
      <c r="Q1404" s="43" t="s">
        <v>42</v>
      </c>
      <c r="R1404" s="43" t="s">
        <v>291</v>
      </c>
      <c r="S1404" s="43"/>
    </row>
    <row r="1405" spans="1:19" s="45" customFormat="1" ht="14.4" hidden="1">
      <c r="A1405" s="25">
        <f>IF(C1405="","",MAX($A$1:A1404)+1)</f>
        <v>1329</v>
      </c>
      <c r="B1405" s="25" t="s">
        <v>141</v>
      </c>
      <c r="C1405" s="41">
        <v>46092</v>
      </c>
      <c r="D1405" s="48" t="str">
        <f>_xlfn.XLOOKUP(Table134526_79101120212223242526[[#This Row],[Name Surname]],Manpower!$C$4:$C$1048576,Manpower!$B$4:$B$1048576,"")</f>
        <v>Encogroup</v>
      </c>
      <c r="E1405" s="43" t="s">
        <v>222</v>
      </c>
      <c r="F1405" s="12">
        <f>_xlfn.XLOOKUP(Table134526_79101120212223242526[[#This Row],[Name Surname]],Manpower!C:C,Manpower!D:D,)</f>
        <v>122082863</v>
      </c>
      <c r="G1405" s="48" t="str">
        <f>_xlfn.XLOOKUP(Table134526_79101120212223242526[[#This Row],[Name Surname]],Manpower!$C$4:$C$1048576,Manpower!$F$4:$F$1048576,"")</f>
        <v>Grinder</v>
      </c>
      <c r="H1405" s="48" t="str">
        <f>_xlfn.XLOOKUP(Table134526_79101120212223242526[[#This Row],[Name Surname]],Manpower!$C$4:$C$1048576,Manpower!$H$4:$H$1048576,"")</f>
        <v>Manpower</v>
      </c>
      <c r="I1405" s="42" t="str">
        <f>_xlfn.XLOOKUP(Table134526_79101120212223242526[[#This Row],[Name Surname]],Manpower!$C$4:$C$1048576,Manpower!$H$4:$H$1048576,"")</f>
        <v>Manpower</v>
      </c>
      <c r="J1405" s="43" t="s">
        <v>143</v>
      </c>
      <c r="K1405" s="43" t="s">
        <v>26</v>
      </c>
      <c r="L1405" s="43" t="s">
        <v>144</v>
      </c>
      <c r="M1405" s="43" t="s">
        <v>24</v>
      </c>
      <c r="N1405" s="44">
        <v>10</v>
      </c>
      <c r="O1405" s="43" t="s">
        <v>40</v>
      </c>
      <c r="P1405" s="43" t="s">
        <v>42</v>
      </c>
      <c r="Q1405" s="43" t="s">
        <v>42</v>
      </c>
      <c r="R1405" s="43" t="s">
        <v>291</v>
      </c>
      <c r="S1405" s="43"/>
    </row>
    <row r="1406" spans="1:19" ht="14.4" hidden="1">
      <c r="A1406" s="33">
        <f>IF(C1406="","",MAX($A$1:A1405)+1)</f>
        <v>1330</v>
      </c>
      <c r="B1406" s="27" t="s">
        <v>141</v>
      </c>
      <c r="C1406" s="23">
        <v>46092</v>
      </c>
      <c r="D1406" s="28" t="str">
        <f>_xlfn.XLOOKUP(Table134526_79101120212223242526[[#This Row],[Name Surname]],Manpower!$C$4:$C$1048576,Manpower!$B$4:$B$1048576,"")</f>
        <v>Encogroup</v>
      </c>
      <c r="E1406" s="21" t="s">
        <v>223</v>
      </c>
      <c r="F1406" s="12">
        <f>_xlfn.XLOOKUP(Table134526_79101120212223242526[[#This Row],[Name Surname]],Manpower!C:C,Manpower!D:D,)</f>
        <v>140696989</v>
      </c>
      <c r="G1406" s="28" t="str">
        <f>_xlfn.XLOOKUP(Table134526_79101120212223242526[[#This Row],[Name Surname]],Manpower!$C$4:$C$1048576,Manpower!$F$4:$F$1048576,"")</f>
        <v>Assistant/Helper</v>
      </c>
      <c r="H1406" s="28" t="str">
        <f>_xlfn.XLOOKUP(Table134526_79101120212223242526[[#This Row],[Name Surname]],Manpower!$C$4:$C$1048576,Manpower!$H$4:$H$1048576,"")</f>
        <v>Manpower</v>
      </c>
      <c r="I1406" s="24" t="str">
        <f>_xlfn.XLOOKUP(Table134526_79101120212223242526[[#This Row],[Name Surname]],Manpower!$C$4:$C$1048576,Manpower!$H$4:$H$1048576,"")</f>
        <v>Manpower</v>
      </c>
      <c r="J1406" s="21" t="s">
        <v>158</v>
      </c>
      <c r="K1406" s="21" t="s">
        <v>26</v>
      </c>
      <c r="L1406" s="21" t="s">
        <v>26</v>
      </c>
      <c r="M1406" s="21" t="s">
        <v>24</v>
      </c>
      <c r="N1406" s="29">
        <v>10</v>
      </c>
      <c r="O1406" s="21" t="s">
        <v>159</v>
      </c>
      <c r="P1406" s="21" t="s">
        <v>160</v>
      </c>
      <c r="Q1406" s="21" t="s">
        <v>160</v>
      </c>
      <c r="R1406" s="21" t="s">
        <v>161</v>
      </c>
    </row>
    <row r="1407" spans="1:19" ht="14.4" hidden="1">
      <c r="A1407" s="33">
        <f>IF(C1407="","",MAX($A$1:A1406)+1)</f>
        <v>1331</v>
      </c>
      <c r="B1407" s="27" t="s">
        <v>141</v>
      </c>
      <c r="C1407" s="23">
        <v>46092</v>
      </c>
      <c r="D1407" s="28" t="str">
        <f>_xlfn.XLOOKUP(Table134526_79101120212223242526[[#This Row],[Name Surname]],Manpower!$C$4:$C$1048576,Manpower!$B$4:$B$1048576,"")</f>
        <v>Encogroup</v>
      </c>
      <c r="E1407" s="21" t="s">
        <v>209</v>
      </c>
      <c r="F1407" s="12">
        <f>_xlfn.XLOOKUP(Table134526_79101120212223242526[[#This Row],[Name Surname]],Manpower!C:C,Manpower!D:D,)</f>
        <v>141365164</v>
      </c>
      <c r="G1407" s="28" t="str">
        <f>_xlfn.XLOOKUP(Table134526_79101120212223242526[[#This Row],[Name Surname]],Manpower!$C$4:$C$1048576,Manpower!$F$4:$F$1048576,"")</f>
        <v>Helper</v>
      </c>
      <c r="H1407" s="28" t="str">
        <f>_xlfn.XLOOKUP(Table134526_79101120212223242526[[#This Row],[Name Surname]],Manpower!$C$4:$C$1048576,Manpower!$H$4:$H$1048576,"")</f>
        <v>Manpower</v>
      </c>
      <c r="I1407" s="24" t="str">
        <f>_xlfn.XLOOKUP(Table134526_79101120212223242526[[#This Row],[Name Surname]],Manpower!$C$4:$C$1048576,Manpower!$H$4:$H$1048576,"")</f>
        <v>Manpower</v>
      </c>
      <c r="J1407" s="21" t="s">
        <v>143</v>
      </c>
      <c r="K1407" s="21" t="s">
        <v>26</v>
      </c>
      <c r="L1407" s="21" t="s">
        <v>144</v>
      </c>
      <c r="M1407" s="21" t="s">
        <v>24</v>
      </c>
      <c r="N1407" s="29">
        <v>10</v>
      </c>
      <c r="O1407" s="21" t="s">
        <v>40</v>
      </c>
      <c r="P1407" s="21" t="s">
        <v>42</v>
      </c>
      <c r="Q1407" s="21" t="s">
        <v>42</v>
      </c>
      <c r="R1407" s="21" t="s">
        <v>291</v>
      </c>
    </row>
    <row r="1408" spans="1:19" s="45" customFormat="1" ht="14.4" hidden="1">
      <c r="A1408" s="25">
        <f>IF(C1408="","",MAX($A$1:A1407)+1)</f>
        <v>1332</v>
      </c>
      <c r="B1408" s="25" t="s">
        <v>141</v>
      </c>
      <c r="C1408" s="41">
        <v>46092</v>
      </c>
      <c r="D1408" s="48" t="str">
        <f>_xlfn.XLOOKUP(Table134526_79101120212223242526[[#This Row],[Name Surname]],Manpower!$C$4:$C$1048576,Manpower!$B$4:$B$1048576,"")</f>
        <v>Encogroup</v>
      </c>
      <c r="E1408" s="43" t="s">
        <v>264</v>
      </c>
      <c r="F1408" s="12">
        <f>_xlfn.XLOOKUP(Table134526_79101120212223242526[[#This Row],[Name Surname]],Manpower!C:C,Manpower!D:D,)</f>
        <v>141365061</v>
      </c>
      <c r="G1408" s="48" t="str">
        <f>_xlfn.XLOOKUP(Table134526_79101120212223242526[[#This Row],[Name Surname]],Manpower!$C$4:$C$1048576,Manpower!$F$4:$F$1048576,"")</f>
        <v>Helper</v>
      </c>
      <c r="H1408" s="48" t="str">
        <f>_xlfn.XLOOKUP(Table134526_79101120212223242526[[#This Row],[Name Surname]],Manpower!$C$4:$C$1048576,Manpower!$H$4:$H$1048576,"")</f>
        <v>Manpower</v>
      </c>
      <c r="I1408" s="42" t="str">
        <f>_xlfn.XLOOKUP(Table134526_79101120212223242526[[#This Row],[Name Surname]],Manpower!$C$4:$C$1048576,Manpower!$H$4:$H$1048576,"")</f>
        <v>Manpower</v>
      </c>
      <c r="J1408" s="43" t="s">
        <v>143</v>
      </c>
      <c r="K1408" s="43" t="s">
        <v>26</v>
      </c>
      <c r="L1408" s="43" t="s">
        <v>144</v>
      </c>
      <c r="M1408" s="43" t="s">
        <v>24</v>
      </c>
      <c r="N1408" s="44">
        <v>10</v>
      </c>
      <c r="O1408" s="43" t="s">
        <v>40</v>
      </c>
      <c r="P1408" s="43" t="s">
        <v>42</v>
      </c>
      <c r="Q1408" s="43" t="s">
        <v>42</v>
      </c>
      <c r="R1408" s="43" t="s">
        <v>291</v>
      </c>
      <c r="S1408" s="43"/>
    </row>
    <row r="1409" spans="1:19" s="45" customFormat="1" ht="14.4" hidden="1">
      <c r="A1409" s="25">
        <f>IF(C1409="","",MAX($A$1:A1407)+1)</f>
        <v>1332</v>
      </c>
      <c r="B1409" s="25" t="s">
        <v>141</v>
      </c>
      <c r="C1409" s="41">
        <v>46092</v>
      </c>
      <c r="D1409" s="48" t="str">
        <f>_xlfn.XLOOKUP(Table134526_79101120212223242526[[#This Row],[Name Surname]],Manpower!$C$4:$C$1048576,Manpower!$B$4:$B$1048576,"")</f>
        <v>Encogroup</v>
      </c>
      <c r="E1409" s="43" t="s">
        <v>224</v>
      </c>
      <c r="F1409" s="12">
        <f>_xlfn.XLOOKUP(Table134526_79101120212223242526[[#This Row],[Name Surname]],Manpower!C:C,Manpower!D:D,)</f>
        <v>141365094</v>
      </c>
      <c r="G1409" s="48" t="str">
        <f>_xlfn.XLOOKUP(Table134526_79101120212223242526[[#This Row],[Name Surname]],Manpower!$C$4:$C$1048576,Manpower!$F$4:$F$1048576,"")</f>
        <v>Helper</v>
      </c>
      <c r="H1409" s="48" t="str">
        <f>_xlfn.XLOOKUP(Table134526_79101120212223242526[[#This Row],[Name Surname]],Manpower!$C$4:$C$1048576,Manpower!$H$4:$H$1048576,"")</f>
        <v>Manpower</v>
      </c>
      <c r="I1409" s="42" t="str">
        <f>_xlfn.XLOOKUP(Table134526_79101120212223242526[[#This Row],[Name Surname]],Manpower!$C$4:$C$1048576,Manpower!$H$4:$H$1048576,"")</f>
        <v>Manpower</v>
      </c>
      <c r="J1409" s="43" t="s">
        <v>143</v>
      </c>
      <c r="K1409" s="43" t="s">
        <v>26</v>
      </c>
      <c r="L1409" s="43" t="s">
        <v>144</v>
      </c>
      <c r="M1409" s="43" t="s">
        <v>24</v>
      </c>
      <c r="N1409" s="44">
        <v>10</v>
      </c>
      <c r="O1409" s="43" t="s">
        <v>40</v>
      </c>
      <c r="P1409" s="43" t="s">
        <v>42</v>
      </c>
      <c r="Q1409" s="43" t="s">
        <v>42</v>
      </c>
      <c r="R1409" s="43" t="s">
        <v>291</v>
      </c>
      <c r="S1409" s="43"/>
    </row>
    <row r="1410" spans="1:19" s="45" customFormat="1" ht="14.4" hidden="1">
      <c r="A1410" s="25">
        <f>IF(C1410="","",MAX($A$1:A1409)+1)</f>
        <v>1333</v>
      </c>
      <c r="B1410" s="25" t="s">
        <v>141</v>
      </c>
      <c r="C1410" s="41">
        <v>46092</v>
      </c>
      <c r="D1410" s="48" t="str">
        <f>_xlfn.XLOOKUP(Table134526_79101120212223242526[[#This Row],[Name Surname]],Manpower!$C$4:$C$1048576,Manpower!$B$4:$B$1048576,"")</f>
        <v xml:space="preserve">FAL Transport </v>
      </c>
      <c r="E1410" s="43" t="s">
        <v>225</v>
      </c>
      <c r="F1410" s="12">
        <f>_xlfn.XLOOKUP(Table134526_79101120212223242526[[#This Row],[Name Surname]],Manpower!C:C,Manpower!D:D,)</f>
        <v>124233837</v>
      </c>
      <c r="G1410" s="48" t="str">
        <f>_xlfn.XLOOKUP(Table134526_79101120212223242526[[#This Row],[Name Surname]],Manpower!$C$4:$C$1048576,Manpower!$F$4:$F$1048576,"")</f>
        <v>Trailer Driver</v>
      </c>
      <c r="H1410" s="48" t="str">
        <f>_xlfn.XLOOKUP(Table134526_79101120212223242526[[#This Row],[Name Surname]],Manpower!$C$4:$C$1048576,Manpower!$H$4:$H$1048576,"")</f>
        <v>Sub Contactor</v>
      </c>
      <c r="I1410" s="42" t="str">
        <f>_xlfn.XLOOKUP(Table134526_79101120212223242526[[#This Row],[Name Surname]],Manpower!$C$4:$C$1048576,Manpower!$H$4:$H$1048576,"")</f>
        <v>Sub Contactor</v>
      </c>
      <c r="J1410" s="43" t="s">
        <v>143</v>
      </c>
      <c r="K1410" s="43" t="s">
        <v>26</v>
      </c>
      <c r="L1410" s="43" t="s">
        <v>144</v>
      </c>
      <c r="M1410" s="43" t="s">
        <v>24</v>
      </c>
      <c r="N1410" s="44">
        <v>8</v>
      </c>
      <c r="O1410" s="43" t="s">
        <v>40</v>
      </c>
      <c r="P1410" s="43" t="s">
        <v>42</v>
      </c>
      <c r="Q1410" s="43" t="s">
        <v>42</v>
      </c>
      <c r="R1410" s="43" t="s">
        <v>226</v>
      </c>
      <c r="S1410" s="43" t="s">
        <v>245</v>
      </c>
    </row>
    <row r="1411" spans="1:19" ht="14.4">
      <c r="A1411" s="33">
        <f>IF(C1411="","",MAX($A$1:A1410)+1)</f>
        <v>1334</v>
      </c>
      <c r="B1411" s="22" t="s">
        <v>19</v>
      </c>
      <c r="C1411" s="23">
        <v>46093</v>
      </c>
      <c r="D1411" s="28" t="str">
        <f>_xlfn.XLOOKUP(Table134526_79101120212223242526[[#This Row],[Name Surname]],Manpower!$C$4:$C$1048576,Manpower!$B$4:$B$1048576,"")</f>
        <v>Nass Group</v>
      </c>
      <c r="E1411" s="21" t="s">
        <v>148</v>
      </c>
      <c r="F1411" s="12" t="e">
        <f>_xlfn.XLOOKUP(Table134526_79101120212223242526[[#This Row],[Name Surname]],Manpower!C:C,Manpower!D:D,)</f>
        <v>#N/A</v>
      </c>
      <c r="G1411" s="28" t="str">
        <f>_xlfn.XLOOKUP(Table134526_79101120212223242526[[#This Row],[Name Surname]],Manpower!$C$4:$C$1048576,Manpower!$F$4:$F$1048576,"")</f>
        <v>70T-Telescopic crane</v>
      </c>
      <c r="H1411" s="28" t="str">
        <f>_xlfn.XLOOKUP(Table134526_79101120212223242526[[#This Row],[Name Surname]],Manpower!$C$4:$C$1048576,Manpower!$H$4:$H$1048576,"")</f>
        <v>Equipment</v>
      </c>
      <c r="I1411" s="28" t="str">
        <f>_xlfn.XLOOKUP(Table134526_79101120212223242526[[#This Row],[Name Surname]],Manpower!$C$4:$C$1048576,Manpower!$H$4:$H$1048576,"")</f>
        <v>Equipment</v>
      </c>
      <c r="J1411" s="21" t="s">
        <v>21</v>
      </c>
      <c r="K1411" s="21" t="s">
        <v>231</v>
      </c>
      <c r="L1411" s="21" t="s">
        <v>49</v>
      </c>
      <c r="M1411" s="21" t="s">
        <v>24</v>
      </c>
      <c r="N1411" s="29">
        <v>10</v>
      </c>
      <c r="O1411" s="21" t="s">
        <v>40</v>
      </c>
      <c r="P1411" s="21" t="s">
        <v>41</v>
      </c>
      <c r="Q1411" s="21" t="s">
        <v>42</v>
      </c>
      <c r="R1411" s="21" t="s">
        <v>294</v>
      </c>
    </row>
    <row r="1412" spans="1:19" ht="14.4">
      <c r="A1412" s="33">
        <f>IF(C1412="","",MAX($A$1:A1411)+1)</f>
        <v>1335</v>
      </c>
      <c r="B1412" s="22" t="s">
        <v>19</v>
      </c>
      <c r="C1412" s="23">
        <v>46093</v>
      </c>
      <c r="D1412" s="28" t="str">
        <f>_xlfn.XLOOKUP(Table134526_79101120212223242526[[#This Row],[Name Surname]],Manpower!$C$4:$C$1048576,Manpower!$B$4:$B$1048576,"")</f>
        <v>Encogroup</v>
      </c>
      <c r="E1412" s="21" t="s">
        <v>53</v>
      </c>
      <c r="F1412" s="12" t="e">
        <f>_xlfn.XLOOKUP(Table134526_79101120212223242526[[#This Row],[Name Surname]],Manpower!C:C,Manpower!D:D,)</f>
        <v>#N/A</v>
      </c>
      <c r="G1412" s="28" t="str">
        <f>_xlfn.XLOOKUP(Table134526_79101120212223242526[[#This Row],[Name Surname]],Manpower!$C$4:$C$1048576,Manpower!$F$4:$F$1048576,"")</f>
        <v>22M-Manlift</v>
      </c>
      <c r="H1412" s="28" t="str">
        <f>_xlfn.XLOOKUP(Table134526_79101120212223242526[[#This Row],[Name Surname]],Manpower!$C$4:$C$1048576,Manpower!$H$4:$H$1048576,"")</f>
        <v>Equipment</v>
      </c>
      <c r="I1412" s="28" t="str">
        <f>_xlfn.XLOOKUP(Table134526_79101120212223242526[[#This Row],[Name Surname]],Manpower!$C$4:$C$1048576,Manpower!$H$4:$H$1048576,"")</f>
        <v>Equipment</v>
      </c>
      <c r="J1412" s="21" t="s">
        <v>21</v>
      </c>
      <c r="K1412" s="21" t="s">
        <v>295</v>
      </c>
      <c r="L1412" s="21" t="s">
        <v>23</v>
      </c>
      <c r="M1412" s="21" t="s">
        <v>24</v>
      </c>
      <c r="N1412" s="29">
        <v>10</v>
      </c>
      <c r="O1412" s="21" t="s">
        <v>28</v>
      </c>
      <c r="P1412" s="21" t="s">
        <v>41</v>
      </c>
      <c r="Q1412" s="21" t="s">
        <v>58</v>
      </c>
      <c r="R1412" s="21" t="s">
        <v>296</v>
      </c>
    </row>
    <row r="1413" spans="1:19" s="45" customFormat="1" ht="14.4" hidden="1">
      <c r="A1413" s="25">
        <f>IF(C1413="","",MAX($A$1:A1412)+1)</f>
        <v>1336</v>
      </c>
      <c r="B1413" s="25" t="s">
        <v>19</v>
      </c>
      <c r="C1413" s="41">
        <v>46093</v>
      </c>
      <c r="D1413" s="48" t="str">
        <f>_xlfn.XLOOKUP(Table134526_79101120212223242526[[#This Row],[Name Surname]],Manpower!$C$4:$C$1048576,Manpower!$B$4:$B$1048576,"")</f>
        <v>Encogroup</v>
      </c>
      <c r="E1413" s="43" t="s">
        <v>218</v>
      </c>
      <c r="F1413" s="12">
        <f>_xlfn.XLOOKUP(Table134526_79101120212223242526[[#This Row],[Name Surname]],Manpower!C:C,Manpower!D:D,)</f>
        <v>116853914</v>
      </c>
      <c r="G1413" s="48" t="str">
        <f>_xlfn.XLOOKUP(Table134526_79101120212223242526[[#This Row],[Name Surname]],Manpower!$C$4:$C$1048576,Manpower!$F$4:$F$1048576,"")</f>
        <v>Electrical Supervisor</v>
      </c>
      <c r="H1413" s="48" t="str">
        <f>_xlfn.XLOOKUP(Table134526_79101120212223242526[[#This Row],[Name Surname]],Manpower!$C$4:$C$1048576,Manpower!$H$4:$H$1048576,"")</f>
        <v>Manpower</v>
      </c>
      <c r="I1413" s="48" t="str">
        <f>_xlfn.XLOOKUP(Table134526_79101120212223242526[[#This Row],[Name Surname]],Manpower!$C$4:$C$1048576,Manpower!$H$4:$H$1048576,"")</f>
        <v>Manpower</v>
      </c>
      <c r="J1413" s="43" t="s">
        <v>21</v>
      </c>
      <c r="K1413" s="43" t="s">
        <v>295</v>
      </c>
      <c r="L1413" s="43" t="s">
        <v>23</v>
      </c>
      <c r="M1413" s="43" t="s">
        <v>24</v>
      </c>
      <c r="N1413" s="44">
        <v>10</v>
      </c>
      <c r="O1413" s="43" t="s">
        <v>28</v>
      </c>
      <c r="P1413" s="43" t="s">
        <v>41</v>
      </c>
      <c r="Q1413" s="43" t="s">
        <v>58</v>
      </c>
      <c r="R1413" s="43" t="s">
        <v>296</v>
      </c>
      <c r="S1413" s="43"/>
    </row>
    <row r="1414" spans="1:19" s="45" customFormat="1" ht="14.4" hidden="1">
      <c r="A1414" s="25">
        <f>IF(C1414="","",MAX($A$1:A1413)+1)</f>
        <v>1337</v>
      </c>
      <c r="B1414" s="25" t="s">
        <v>19</v>
      </c>
      <c r="C1414" s="41">
        <v>46093</v>
      </c>
      <c r="D1414" s="48" t="str">
        <f>_xlfn.XLOOKUP(Table134526_79101120212223242526[[#This Row],[Name Surname]],Manpower!$C$4:$C$1048576,Manpower!$B$4:$B$1048576,"")</f>
        <v>Encogroup</v>
      </c>
      <c r="E1414" s="43" t="s">
        <v>27</v>
      </c>
      <c r="F1414" s="12">
        <f>_xlfn.XLOOKUP(Table134526_79101120212223242526[[#This Row],[Name Surname]],Manpower!C:C,Manpower!D:D,)</f>
        <v>127414586</v>
      </c>
      <c r="G1414" s="48" t="str">
        <f>_xlfn.XLOOKUP(Table134526_79101120212223242526[[#This Row],[Name Surname]],Manpower!$C$4:$C$1048576,Manpower!$F$4:$F$1048576,"")</f>
        <v>Electrician</v>
      </c>
      <c r="H1414" s="48" t="str">
        <f>_xlfn.XLOOKUP(Table134526_79101120212223242526[[#This Row],[Name Surname]],Manpower!$C$4:$C$1048576,Manpower!$H$4:$H$1048576,"")</f>
        <v>Manpower</v>
      </c>
      <c r="I1414" s="48" t="str">
        <f>_xlfn.XLOOKUP(Table134526_79101120212223242526[[#This Row],[Name Surname]],Manpower!$C$4:$C$1048576,Manpower!$H$4:$H$1048576,"")</f>
        <v>Manpower</v>
      </c>
      <c r="J1414" s="43" t="s">
        <v>21</v>
      </c>
      <c r="K1414" s="43" t="s">
        <v>295</v>
      </c>
      <c r="L1414" s="43" t="s">
        <v>23</v>
      </c>
      <c r="M1414" s="43" t="s">
        <v>24</v>
      </c>
      <c r="N1414" s="44">
        <v>5</v>
      </c>
      <c r="O1414" s="43" t="s">
        <v>28</v>
      </c>
      <c r="P1414" s="43" t="s">
        <v>41</v>
      </c>
      <c r="Q1414" s="43" t="s">
        <v>58</v>
      </c>
      <c r="R1414" s="43" t="s">
        <v>296</v>
      </c>
      <c r="S1414" s="43"/>
    </row>
    <row r="1415" spans="1:19" s="45" customFormat="1" ht="14.4" hidden="1">
      <c r="A1415" s="25">
        <f>IF(C1415="","",MAX($A$1:A1414)+1)</f>
        <v>1338</v>
      </c>
      <c r="B1415" s="25" t="s">
        <v>19</v>
      </c>
      <c r="C1415" s="41">
        <v>46093</v>
      </c>
      <c r="D1415" s="48" t="str">
        <f>_xlfn.XLOOKUP(Table134526_79101120212223242526[[#This Row],[Name Surname]],Manpower!$C$4:$C$1048576,Manpower!$B$4:$B$1048576,"")</f>
        <v>Encogroup</v>
      </c>
      <c r="E1415" s="43" t="s">
        <v>29</v>
      </c>
      <c r="F1415" s="12">
        <f>_xlfn.XLOOKUP(Table134526_79101120212223242526[[#This Row],[Name Surname]],Manpower!C:C,Manpower!D:D,)</f>
        <v>127331574</v>
      </c>
      <c r="G1415" s="48" t="str">
        <f>_xlfn.XLOOKUP(Table134526_79101120212223242526[[#This Row],[Name Surname]],Manpower!$C$4:$C$1048576,Manpower!$F$4:$F$1048576,"")</f>
        <v>Permit Receiver</v>
      </c>
      <c r="H1415" s="48" t="str">
        <f>_xlfn.XLOOKUP(Table134526_79101120212223242526[[#This Row],[Name Surname]],Manpower!$C$4:$C$1048576,Manpower!$H$4:$H$1048576,"")</f>
        <v>Manpower</v>
      </c>
      <c r="I1415" s="48" t="str">
        <f>_xlfn.XLOOKUP(Table134526_79101120212223242526[[#This Row],[Name Surname]],Manpower!$C$4:$C$1048576,Manpower!$H$4:$H$1048576,"")</f>
        <v>Manpower</v>
      </c>
      <c r="J1415" s="43" t="s">
        <v>21</v>
      </c>
      <c r="K1415" s="43" t="s">
        <v>231</v>
      </c>
      <c r="L1415" s="43" t="s">
        <v>49</v>
      </c>
      <c r="M1415" s="43" t="s">
        <v>24</v>
      </c>
      <c r="N1415" s="44">
        <v>8</v>
      </c>
      <c r="O1415" s="43" t="s">
        <v>25</v>
      </c>
      <c r="P1415" s="43" t="s">
        <v>41</v>
      </c>
      <c r="Q1415" s="43" t="s">
        <v>60</v>
      </c>
      <c r="R1415" s="43" t="s">
        <v>294</v>
      </c>
      <c r="S1415" s="43"/>
    </row>
    <row r="1416" spans="1:19" s="45" customFormat="1" ht="14.4" hidden="1">
      <c r="A1416" s="25">
        <f>IF(C1416="","",MAX($A$1:A1415)+1)</f>
        <v>1339</v>
      </c>
      <c r="B1416" s="25" t="s">
        <v>19</v>
      </c>
      <c r="C1416" s="41">
        <v>46093</v>
      </c>
      <c r="D1416" s="48" t="str">
        <f>_xlfn.XLOOKUP(Table134526_79101120212223242526[[#This Row],[Name Surname]],Manpower!$C$4:$C$1048576,Manpower!$B$4:$B$1048576,"")</f>
        <v>Encogroup</v>
      </c>
      <c r="E1416" s="43" t="s">
        <v>30</v>
      </c>
      <c r="F1416" s="12">
        <f>_xlfn.XLOOKUP(Table134526_79101120212223242526[[#This Row],[Name Surname]],Manpower!C:C,Manpower!D:D,)</f>
        <v>116589569</v>
      </c>
      <c r="G1416" s="48" t="str">
        <f>_xlfn.XLOOKUP(Table134526_79101120212223242526[[#This Row],[Name Surname]],Manpower!$C$4:$C$1048576,Manpower!$F$4:$F$1048576,"")</f>
        <v>Mechanical Engineer</v>
      </c>
      <c r="H1416" s="48" t="str">
        <f>_xlfn.XLOOKUP(Table134526_79101120212223242526[[#This Row],[Name Surname]],Manpower!$C$4:$C$1048576,Manpower!$H$4:$H$1048576,"")</f>
        <v>Manpower</v>
      </c>
      <c r="I1416" s="48" t="str">
        <f>_xlfn.XLOOKUP(Table134526_79101120212223242526[[#This Row],[Name Surname]],Manpower!$C$4:$C$1048576,Manpower!$H$4:$H$1048576,"")</f>
        <v>Manpower</v>
      </c>
      <c r="J1416" s="43" t="s">
        <v>21</v>
      </c>
      <c r="K1416" s="43" t="s">
        <v>231</v>
      </c>
      <c r="L1416" s="43" t="s">
        <v>49</v>
      </c>
      <c r="M1416" s="43" t="s">
        <v>24</v>
      </c>
      <c r="N1416" s="44">
        <v>10</v>
      </c>
      <c r="O1416" s="43" t="s">
        <v>25</v>
      </c>
      <c r="P1416" s="43" t="s">
        <v>41</v>
      </c>
      <c r="Q1416" s="43" t="s">
        <v>60</v>
      </c>
      <c r="R1416" s="43" t="s">
        <v>294</v>
      </c>
      <c r="S1416" s="43"/>
    </row>
    <row r="1417" spans="1:19" ht="14.4" hidden="1">
      <c r="A1417" s="33">
        <f>IF(C1417="","",MAX($A$1:A1416)+1)</f>
        <v>1340</v>
      </c>
      <c r="B1417" s="22" t="s">
        <v>19</v>
      </c>
      <c r="C1417" s="23">
        <v>46093</v>
      </c>
      <c r="D1417" s="28" t="str">
        <f>_xlfn.XLOOKUP(Table134526_79101120212223242526[[#This Row],[Name Surname]],Manpower!$C$4:$C$1048576,Manpower!$B$4:$B$1048576,"")</f>
        <v>Encogroup</v>
      </c>
      <c r="E1417" s="21" t="s">
        <v>31</v>
      </c>
      <c r="F1417" s="12">
        <f>_xlfn.XLOOKUP(Table134526_79101120212223242526[[#This Row],[Name Surname]],Manpower!C:C,Manpower!D:D,)</f>
        <v>99596058</v>
      </c>
      <c r="G1417" s="28" t="str">
        <f>_xlfn.XLOOKUP(Table134526_79101120212223242526[[#This Row],[Name Surname]],Manpower!$C$4:$C$1048576,Manpower!$F$4:$F$1048576,"")</f>
        <v>HSE Officer</v>
      </c>
      <c r="H1417" s="28" t="str">
        <f>_xlfn.XLOOKUP(Table134526_79101120212223242526[[#This Row],[Name Surname]],Manpower!$C$4:$C$1048576,Manpower!$H$4:$H$1048576,"")</f>
        <v>Manpower</v>
      </c>
      <c r="I1417" s="28" t="str">
        <f>_xlfn.XLOOKUP(Table134526_79101120212223242526[[#This Row],[Name Surname]],Manpower!$C$4:$C$1048576,Manpower!$H$4:$H$1048576,"")</f>
        <v>Manpower</v>
      </c>
      <c r="J1417" s="21" t="s">
        <v>21</v>
      </c>
      <c r="K1417" s="21" t="s">
        <v>231</v>
      </c>
      <c r="L1417" s="21" t="s">
        <v>49</v>
      </c>
      <c r="M1417" s="21" t="s">
        <v>24</v>
      </c>
      <c r="N1417" s="29">
        <v>10</v>
      </c>
      <c r="O1417" s="21" t="s">
        <v>25</v>
      </c>
      <c r="P1417" s="21" t="s">
        <v>41</v>
      </c>
      <c r="Q1417" s="21" t="s">
        <v>60</v>
      </c>
      <c r="R1417" s="21" t="s">
        <v>294</v>
      </c>
    </row>
    <row r="1418" spans="1:19" s="45" customFormat="1" ht="14.4" hidden="1">
      <c r="A1418" s="25">
        <f>IF(C1418="","",MAX($A$1:A1417)+1)</f>
        <v>1341</v>
      </c>
      <c r="B1418" s="25" t="s">
        <v>19</v>
      </c>
      <c r="C1418" s="41">
        <v>46093</v>
      </c>
      <c r="D1418" s="48" t="str">
        <f>_xlfn.XLOOKUP(Table134526_79101120212223242526[[#This Row],[Name Surname]],Manpower!$C$4:$C$1048576,Manpower!$B$4:$B$1048576,"")</f>
        <v>Encogroup</v>
      </c>
      <c r="E1418" s="43" t="s">
        <v>72</v>
      </c>
      <c r="F1418" s="12">
        <f>_xlfn.XLOOKUP(Table134526_79101120212223242526[[#This Row],[Name Surname]],Manpower!C:C,Manpower!D:D,)</f>
        <v>140764706</v>
      </c>
      <c r="G1418" s="48" t="str">
        <f>_xlfn.XLOOKUP(Table134526_79101120212223242526[[#This Row],[Name Surname]],Manpower!$C$4:$C$1048576,Manpower!$F$4:$F$1048576,"")</f>
        <v>Rigger</v>
      </c>
      <c r="H1418" s="48" t="str">
        <f>_xlfn.XLOOKUP(Table134526_79101120212223242526[[#This Row],[Name Surname]],Manpower!$C$4:$C$1048576,Manpower!$H$4:$H$1048576,"")</f>
        <v>Manpower</v>
      </c>
      <c r="I1418" s="48" t="str">
        <f>_xlfn.XLOOKUP(Table134526_79101120212223242526[[#This Row],[Name Surname]],Manpower!$C$4:$C$1048576,Manpower!$H$4:$H$1048576,"")</f>
        <v>Manpower</v>
      </c>
      <c r="J1418" s="43" t="s">
        <v>21</v>
      </c>
      <c r="K1418" s="43" t="s">
        <v>231</v>
      </c>
      <c r="L1418" s="43" t="s">
        <v>49</v>
      </c>
      <c r="M1418" s="43" t="s">
        <v>24</v>
      </c>
      <c r="N1418" s="44">
        <v>10</v>
      </c>
      <c r="O1418" s="43" t="s">
        <v>25</v>
      </c>
      <c r="P1418" s="43" t="s">
        <v>41</v>
      </c>
      <c r="Q1418" s="43" t="s">
        <v>60</v>
      </c>
      <c r="R1418" s="43" t="s">
        <v>294</v>
      </c>
      <c r="S1418" s="43"/>
    </row>
    <row r="1419" spans="1:19" s="45" customFormat="1" ht="14.4" hidden="1">
      <c r="A1419" s="25">
        <f>IF(C1419="","",MAX($A$1:A1418)+1)</f>
        <v>1342</v>
      </c>
      <c r="B1419" s="25" t="s">
        <v>19</v>
      </c>
      <c r="C1419" s="41">
        <v>46093</v>
      </c>
      <c r="D1419" s="48" t="str">
        <f>_xlfn.XLOOKUP(Table134526_79101120212223242526[[#This Row],[Name Surname]],Manpower!$C$4:$C$1048576,Manpower!$B$4:$B$1048576,"")</f>
        <v>Encogroup</v>
      </c>
      <c r="E1419" s="43" t="s">
        <v>67</v>
      </c>
      <c r="F1419" s="12">
        <f>_xlfn.XLOOKUP(Table134526_79101120212223242526[[#This Row],[Name Surname]],Manpower!C:C,Manpower!D:D,)</f>
        <v>122082769</v>
      </c>
      <c r="G1419" s="48" t="str">
        <f>_xlfn.XLOOKUP(Table134526_79101120212223242526[[#This Row],[Name Surname]],Manpower!$C$4:$C$1048576,Manpower!$F$4:$F$1048576,"")</f>
        <v>Grinder</v>
      </c>
      <c r="H1419" s="48" t="str">
        <f>_xlfn.XLOOKUP(Table134526_79101120212223242526[[#This Row],[Name Surname]],Manpower!$C$4:$C$1048576,Manpower!$H$4:$H$1048576,"")</f>
        <v>Manpower</v>
      </c>
      <c r="I1419" s="48" t="str">
        <f>_xlfn.XLOOKUP(Table134526_79101120212223242526[[#This Row],[Name Surname]],Manpower!$C$4:$C$1048576,Manpower!$H$4:$H$1048576,"")</f>
        <v>Manpower</v>
      </c>
      <c r="J1419" s="43" t="s">
        <v>21</v>
      </c>
      <c r="K1419" s="43" t="s">
        <v>231</v>
      </c>
      <c r="L1419" s="43" t="s">
        <v>49</v>
      </c>
      <c r="M1419" s="43" t="s">
        <v>24</v>
      </c>
      <c r="N1419" s="44">
        <v>10</v>
      </c>
      <c r="O1419" s="43" t="s">
        <v>25</v>
      </c>
      <c r="P1419" s="43" t="s">
        <v>41</v>
      </c>
      <c r="Q1419" s="43" t="s">
        <v>60</v>
      </c>
      <c r="R1419" s="43" t="s">
        <v>294</v>
      </c>
      <c r="S1419" s="43"/>
    </row>
    <row r="1420" spans="1:19" s="45" customFormat="1" ht="14.4" hidden="1">
      <c r="A1420" s="25">
        <f>IF(C1420="","",MAX($A$1:A1419)+1)</f>
        <v>1343</v>
      </c>
      <c r="B1420" s="25" t="s">
        <v>19</v>
      </c>
      <c r="C1420" s="41">
        <v>46093</v>
      </c>
      <c r="D1420" s="48" t="str">
        <f>_xlfn.XLOOKUP(Table134526_79101120212223242526[[#This Row],[Name Surname]],Manpower!$C$4:$C$1048576,Manpower!$B$4:$B$1048576,"")</f>
        <v>Encogroup</v>
      </c>
      <c r="E1420" s="43" t="s">
        <v>59</v>
      </c>
      <c r="F1420" s="12">
        <f>_xlfn.XLOOKUP(Table134526_79101120212223242526[[#This Row],[Name Surname]],Manpower!C:C,Manpower!D:D,)</f>
        <v>141169085</v>
      </c>
      <c r="G1420" s="48" t="str">
        <f>_xlfn.XLOOKUP(Table134526_79101120212223242526[[#This Row],[Name Surname]],Manpower!$C$4:$C$1048576,Manpower!$F$4:$F$1048576,"")</f>
        <v>Welder</v>
      </c>
      <c r="H1420" s="48" t="str">
        <f>_xlfn.XLOOKUP(Table134526_79101120212223242526[[#This Row],[Name Surname]],Manpower!$C$4:$C$1048576,Manpower!$H$4:$H$1048576,"")</f>
        <v>Manpower</v>
      </c>
      <c r="I1420" s="48" t="str">
        <f>_xlfn.XLOOKUP(Table134526_79101120212223242526[[#This Row],[Name Surname]],Manpower!$C$4:$C$1048576,Manpower!$H$4:$H$1048576,"")</f>
        <v>Manpower</v>
      </c>
      <c r="J1420" s="43" t="s">
        <v>21</v>
      </c>
      <c r="K1420" s="43" t="s">
        <v>231</v>
      </c>
      <c r="L1420" s="43" t="s">
        <v>49</v>
      </c>
      <c r="M1420" s="43" t="s">
        <v>24</v>
      </c>
      <c r="N1420" s="44">
        <v>5</v>
      </c>
      <c r="O1420" s="43" t="s">
        <v>25</v>
      </c>
      <c r="P1420" s="43" t="s">
        <v>41</v>
      </c>
      <c r="Q1420" s="43" t="s">
        <v>60</v>
      </c>
      <c r="R1420" s="43" t="s">
        <v>294</v>
      </c>
      <c r="S1420" s="43"/>
    </row>
    <row r="1421" spans="1:19" s="45" customFormat="1" ht="14.4" hidden="1">
      <c r="A1421" s="25">
        <f>IF(C1421="","",MAX($A$1:A1420)+1)</f>
        <v>1344</v>
      </c>
      <c r="B1421" s="25" t="s">
        <v>19</v>
      </c>
      <c r="C1421" s="41">
        <v>46093</v>
      </c>
      <c r="D1421" s="48" t="str">
        <f>_xlfn.XLOOKUP(Table134526_79101120212223242526[[#This Row],[Name Surname]],Manpower!$C$4:$C$1048576,Manpower!$B$4:$B$1048576,"")</f>
        <v>Encogroup</v>
      </c>
      <c r="E1421" s="43" t="s">
        <v>61</v>
      </c>
      <c r="F1421" s="12">
        <f>_xlfn.XLOOKUP(Table134526_79101120212223242526[[#This Row],[Name Surname]],Manpower!C:C,Manpower!D:D,)</f>
        <v>141169047</v>
      </c>
      <c r="G1421" s="48" t="str">
        <f>_xlfn.XLOOKUP(Table134526_79101120212223242526[[#This Row],[Name Surname]],Manpower!$C$4:$C$1048576,Manpower!$F$4:$F$1048576,"")</f>
        <v>Welder</v>
      </c>
      <c r="H1421" s="48" t="str">
        <f>_xlfn.XLOOKUP(Table134526_79101120212223242526[[#This Row],[Name Surname]],Manpower!$C$4:$C$1048576,Manpower!$H$4:$H$1048576,"")</f>
        <v>Manpower</v>
      </c>
      <c r="I1421" s="48" t="str">
        <f>_xlfn.XLOOKUP(Table134526_79101120212223242526[[#This Row],[Name Surname]],Manpower!$C$4:$C$1048576,Manpower!$H$4:$H$1048576,"")</f>
        <v>Manpower</v>
      </c>
      <c r="J1421" s="43" t="s">
        <v>21</v>
      </c>
      <c r="K1421" s="43" t="s">
        <v>231</v>
      </c>
      <c r="L1421" s="43" t="s">
        <v>49</v>
      </c>
      <c r="M1421" s="43" t="s">
        <v>24</v>
      </c>
      <c r="N1421" s="44">
        <v>5</v>
      </c>
      <c r="O1421" s="43" t="s">
        <v>25</v>
      </c>
      <c r="P1421" s="43" t="s">
        <v>41</v>
      </c>
      <c r="Q1421" s="43" t="s">
        <v>60</v>
      </c>
      <c r="R1421" s="43" t="s">
        <v>294</v>
      </c>
      <c r="S1421" s="43"/>
    </row>
    <row r="1422" spans="1:19" s="45" customFormat="1" ht="14.4" hidden="1">
      <c r="A1422" s="25">
        <f>IF(C1422="","",MAX($A$1:A1421)+1)</f>
        <v>1345</v>
      </c>
      <c r="B1422" s="25" t="s">
        <v>19</v>
      </c>
      <c r="C1422" s="41">
        <v>46093</v>
      </c>
      <c r="D1422" s="48" t="str">
        <f>_xlfn.XLOOKUP(Table134526_79101120212223242526[[#This Row],[Name Surname]],Manpower!$C$4:$C$1048576,Manpower!$B$4:$B$1048576,"")</f>
        <v>Encogroup</v>
      </c>
      <c r="E1422" s="43" t="s">
        <v>67</v>
      </c>
      <c r="F1422" s="12">
        <f>_xlfn.XLOOKUP(Table134526_79101120212223242526[[#This Row],[Name Surname]],Manpower!C:C,Manpower!D:D,)</f>
        <v>122082769</v>
      </c>
      <c r="G1422" s="48" t="str">
        <f>_xlfn.XLOOKUP(Table134526_79101120212223242526[[#This Row],[Name Surname]],Manpower!$C$4:$C$1048576,Manpower!$F$4:$F$1048576,"")</f>
        <v>Grinder</v>
      </c>
      <c r="H1422" s="48" t="str">
        <f>_xlfn.XLOOKUP(Table134526_79101120212223242526[[#This Row],[Name Surname]],Manpower!$C$4:$C$1048576,Manpower!$H$4:$H$1048576,"")</f>
        <v>Manpower</v>
      </c>
      <c r="I1422" s="48" t="str">
        <f>_xlfn.XLOOKUP(Table134526_79101120212223242526[[#This Row],[Name Surname]],Manpower!$C$4:$C$1048576,Manpower!$H$4:$H$1048576,"")</f>
        <v>Manpower</v>
      </c>
      <c r="J1422" s="43" t="s">
        <v>21</v>
      </c>
      <c r="K1422" s="43" t="s">
        <v>231</v>
      </c>
      <c r="L1422" s="43" t="s">
        <v>49</v>
      </c>
      <c r="M1422" s="43" t="s">
        <v>24</v>
      </c>
      <c r="N1422" s="44">
        <v>10</v>
      </c>
      <c r="O1422" s="43" t="s">
        <v>25</v>
      </c>
      <c r="P1422" s="43" t="s">
        <v>41</v>
      </c>
      <c r="Q1422" s="43" t="s">
        <v>60</v>
      </c>
      <c r="R1422" s="43" t="s">
        <v>294</v>
      </c>
      <c r="S1422" s="43"/>
    </row>
    <row r="1423" spans="1:19" s="45" customFormat="1" ht="14.4" hidden="1">
      <c r="A1423" s="25">
        <f>IF(C1423="","",MAX($A$1:A1421)+1)</f>
        <v>1345</v>
      </c>
      <c r="B1423" s="25" t="s">
        <v>19</v>
      </c>
      <c r="C1423" s="41">
        <v>46093</v>
      </c>
      <c r="D1423" s="48" t="str">
        <f>_xlfn.XLOOKUP(Table134526_79101120212223242526[[#This Row],[Name Surname]],Manpower!$C$4:$C$1048576,Manpower!$B$4:$B$1048576,"")</f>
        <v>Encogroup</v>
      </c>
      <c r="E1423" s="43" t="s">
        <v>32</v>
      </c>
      <c r="F1423" s="12">
        <f>_xlfn.XLOOKUP(Table134526_79101120212223242526[[#This Row],[Name Surname]],Manpower!C:C,Manpower!D:D,)</f>
        <v>140697039</v>
      </c>
      <c r="G1423" s="48" t="str">
        <f>_xlfn.XLOOKUP(Table134526_79101120212223242526[[#This Row],[Name Surname]],Manpower!$C$4:$C$1048576,Manpower!$F$4:$F$1048576,"")</f>
        <v>Fitter/Erector</v>
      </c>
      <c r="H1423" s="48" t="str">
        <f>_xlfn.XLOOKUP(Table134526_79101120212223242526[[#This Row],[Name Surname]],Manpower!$C$4:$C$1048576,Manpower!$H$4:$H$1048576,"")</f>
        <v>Manpower</v>
      </c>
      <c r="I1423" s="48" t="str">
        <f>_xlfn.XLOOKUP(Table134526_79101120212223242526[[#This Row],[Name Surname]],Manpower!$C$4:$C$1048576,Manpower!$H$4:$H$1048576,"")</f>
        <v>Manpower</v>
      </c>
      <c r="J1423" s="43" t="s">
        <v>21</v>
      </c>
      <c r="K1423" s="43" t="s">
        <v>231</v>
      </c>
      <c r="L1423" s="43" t="s">
        <v>49</v>
      </c>
      <c r="M1423" s="43" t="s">
        <v>24</v>
      </c>
      <c r="N1423" s="44">
        <v>10</v>
      </c>
      <c r="O1423" s="43" t="s">
        <v>25</v>
      </c>
      <c r="P1423" s="43" t="s">
        <v>41</v>
      </c>
      <c r="Q1423" s="43" t="s">
        <v>60</v>
      </c>
      <c r="R1423" s="43" t="s">
        <v>294</v>
      </c>
      <c r="S1423" s="43" t="s">
        <v>274</v>
      </c>
    </row>
    <row r="1424" spans="1:19" s="45" customFormat="1" ht="14.4" hidden="1">
      <c r="A1424" s="25">
        <f>IF(C1424="","",MAX($A$1:A1423)+1)</f>
        <v>1346</v>
      </c>
      <c r="B1424" s="25" t="s">
        <v>19</v>
      </c>
      <c r="C1424" s="41">
        <v>46093</v>
      </c>
      <c r="D1424" s="48" t="str">
        <f>_xlfn.XLOOKUP(Table134526_79101120212223242526[[#This Row],[Name Surname]],Manpower!$C$4:$C$1048576,Manpower!$B$4:$B$1048576,"")</f>
        <v>AL Omar International TRAD AND CONT</v>
      </c>
      <c r="E1424" s="43" t="s">
        <v>36</v>
      </c>
      <c r="F1424" s="12">
        <f>_xlfn.XLOOKUP(Table134526_79101120212223242526[[#This Row],[Name Surname]],Manpower!C:C,Manpower!D:D,)</f>
        <v>114929202</v>
      </c>
      <c r="G1424" s="48" t="str">
        <f>_xlfn.XLOOKUP(Table134526_79101120212223242526[[#This Row],[Name Surname]],Manpower!$C$4:$C$1048576,Manpower!$F$4:$F$1048576,"")</f>
        <v>RIgger</v>
      </c>
      <c r="H1424" s="48" t="str">
        <f>_xlfn.XLOOKUP(Table134526_79101120212223242526[[#This Row],[Name Surname]],Manpower!$C$4:$C$1048576,Manpower!$H$4:$H$1048576,"")</f>
        <v>Sub Contactor</v>
      </c>
      <c r="I1424" s="48" t="str">
        <f>_xlfn.XLOOKUP(Table134526_79101120212223242526[[#This Row],[Name Surname]],Manpower!$C$4:$C$1048576,Manpower!$H$4:$H$1048576,"")</f>
        <v>Sub Contactor</v>
      </c>
      <c r="J1424" s="43" t="s">
        <v>21</v>
      </c>
      <c r="K1424" s="43" t="s">
        <v>231</v>
      </c>
      <c r="L1424" s="43" t="s">
        <v>49</v>
      </c>
      <c r="M1424" s="43" t="s">
        <v>24</v>
      </c>
      <c r="N1424" s="44">
        <v>8</v>
      </c>
      <c r="O1424" s="43" t="s">
        <v>25</v>
      </c>
      <c r="P1424" s="43" t="s">
        <v>41</v>
      </c>
      <c r="Q1424" s="43" t="s">
        <v>60</v>
      </c>
      <c r="R1424" s="43" t="s">
        <v>294</v>
      </c>
      <c r="S1424" s="43"/>
    </row>
    <row r="1425" spans="1:19" s="45" customFormat="1" ht="14.4" hidden="1">
      <c r="A1425" s="25">
        <f>IF(C1425="","",MAX($A$1:A1424)+1)</f>
        <v>1347</v>
      </c>
      <c r="B1425" s="25" t="s">
        <v>19</v>
      </c>
      <c r="C1425" s="41">
        <v>46093</v>
      </c>
      <c r="D1425" s="48" t="str">
        <f>_xlfn.XLOOKUP(Table134526_79101120212223242526[[#This Row],[Name Surname]],Manpower!$C$4:$C$1048576,Manpower!$B$4:$B$1048576,"")</f>
        <v>SARENS NASS</v>
      </c>
      <c r="E1425" s="43" t="s">
        <v>266</v>
      </c>
      <c r="F1425" s="12">
        <f>_xlfn.XLOOKUP(Table134526_79101120212223242526[[#This Row],[Name Surname]],Manpower!C:C,Manpower!D:D,)</f>
        <v>14552941</v>
      </c>
      <c r="G1425" s="48" t="str">
        <f>_xlfn.XLOOKUP(Table134526_79101120212223242526[[#This Row],[Name Surname]],Manpower!$C$4:$C$1048576,Manpower!$F$4:$F$1048576,"")</f>
        <v>Crane Operator- 70T Hitachi Crawler crane</v>
      </c>
      <c r="H1425" s="48" t="s">
        <v>39</v>
      </c>
      <c r="I1425" s="48" t="s">
        <v>39</v>
      </c>
      <c r="J1425" s="43" t="s">
        <v>21</v>
      </c>
      <c r="K1425" s="43" t="s">
        <v>231</v>
      </c>
      <c r="L1425" s="43" t="s">
        <v>49</v>
      </c>
      <c r="M1425" s="43" t="s">
        <v>24</v>
      </c>
      <c r="N1425" s="44">
        <v>8</v>
      </c>
      <c r="O1425" s="43" t="s">
        <v>40</v>
      </c>
      <c r="P1425" s="43" t="s">
        <v>41</v>
      </c>
      <c r="Q1425" s="43" t="s">
        <v>42</v>
      </c>
      <c r="R1425" s="43" t="s">
        <v>294</v>
      </c>
      <c r="S1425" s="43"/>
    </row>
    <row r="1426" spans="1:19" s="45" customFormat="1" ht="14.4" hidden="1">
      <c r="A1426" s="25">
        <f>IF(C1426="","",MAX($A$1:A1425)+1)</f>
        <v>1348</v>
      </c>
      <c r="B1426" s="25" t="s">
        <v>19</v>
      </c>
      <c r="C1426" s="41">
        <v>46093</v>
      </c>
      <c r="D1426" s="48" t="str">
        <f>_xlfn.XLOOKUP(Table134526_79101120212223242526[[#This Row],[Name Surname]],Manpower!$C$4:$C$1048576,Manpower!$B$4:$B$1048576,"")</f>
        <v>AL Saif &amp; Al QALLM ENT LLC</v>
      </c>
      <c r="E1426" s="43" t="s">
        <v>194</v>
      </c>
      <c r="F1426" s="12">
        <f>_xlfn.XLOOKUP(Table134526_79101120212223242526[[#This Row],[Name Surname]],Manpower!C:C,Manpower!D:D,)</f>
        <v>135340657</v>
      </c>
      <c r="G1426" s="48" t="str">
        <f>_xlfn.XLOOKUP(Table134526_79101120212223242526[[#This Row],[Name Surname]],Manpower!$C$4:$C$1048576,Manpower!$F$4:$F$1048576,"")</f>
        <v>Forklift Operator</v>
      </c>
      <c r="H1426" s="48" t="str">
        <f>_xlfn.XLOOKUP(Table134526_79101120212223242526[[#This Row],[Name Surname]],Manpower!$C$4:$C$1048576,Manpower!$H$4:$H$1048576,"")</f>
        <v>Sub Contactor</v>
      </c>
      <c r="I1426" s="48" t="str">
        <f>_xlfn.XLOOKUP(Table134526_79101120212223242526[[#This Row],[Name Surname]],Manpower!$C$4:$C$1048576,Manpower!$H$4:$H$1048576,"")</f>
        <v>Sub Contactor</v>
      </c>
      <c r="J1426" s="43" t="s">
        <v>21</v>
      </c>
      <c r="K1426" s="43" t="s">
        <v>231</v>
      </c>
      <c r="L1426" s="43" t="s">
        <v>49</v>
      </c>
      <c r="M1426" s="43" t="s">
        <v>24</v>
      </c>
      <c r="N1426" s="44">
        <v>8</v>
      </c>
      <c r="O1426" s="43" t="s">
        <v>40</v>
      </c>
      <c r="P1426" s="43" t="s">
        <v>41</v>
      </c>
      <c r="Q1426" s="43" t="s">
        <v>42</v>
      </c>
      <c r="R1426" s="43" t="s">
        <v>294</v>
      </c>
      <c r="S1426" s="43"/>
    </row>
    <row r="1427" spans="1:19" s="45" customFormat="1" ht="14.4" hidden="1">
      <c r="A1427" s="25">
        <f>IF(C1427="","",MAX($A$1:A1425)+1)</f>
        <v>1348</v>
      </c>
      <c r="B1427" s="25" t="s">
        <v>19</v>
      </c>
      <c r="C1427" s="41">
        <v>46093</v>
      </c>
      <c r="D1427" s="48" t="str">
        <f>_xlfn.XLOOKUP(Table134526_79101120212223242526[[#This Row],[Name Surname]],Manpower!$C$4:$C$1048576,Manpower!$B$4:$B$1048576,"")</f>
        <v>Al Jaber Heavy Lift</v>
      </c>
      <c r="E1427" s="43" t="s">
        <v>164</v>
      </c>
      <c r="F1427" s="12">
        <f>_xlfn.XLOOKUP(Table134526_79101120212223242526[[#This Row],[Name Surname]],Manpower!C:C,Manpower!D:D,)</f>
        <v>112778626</v>
      </c>
      <c r="G1427" s="48" t="str">
        <f>_xlfn.XLOOKUP(Table134526_79101120212223242526[[#This Row],[Name Surname]],Manpower!$C$4:$C$1048576,Manpower!$F$4:$F$1048576,"")</f>
        <v>Crane Operator-150T Hitachi Crawler</v>
      </c>
      <c r="H1427" s="48" t="s">
        <v>39</v>
      </c>
      <c r="I1427" s="48" t="s">
        <v>39</v>
      </c>
      <c r="J1427" s="43" t="s">
        <v>21</v>
      </c>
      <c r="K1427" s="43" t="s">
        <v>231</v>
      </c>
      <c r="L1427" s="43" t="s">
        <v>49</v>
      </c>
      <c r="M1427" s="43" t="s">
        <v>24</v>
      </c>
      <c r="N1427" s="44">
        <v>8</v>
      </c>
      <c r="O1427" s="43" t="s">
        <v>40</v>
      </c>
      <c r="P1427" s="43" t="s">
        <v>41</v>
      </c>
      <c r="Q1427" s="43" t="s">
        <v>42</v>
      </c>
      <c r="R1427" s="43" t="s">
        <v>294</v>
      </c>
      <c r="S1427" s="43"/>
    </row>
    <row r="1428" spans="1:19" s="45" customFormat="1" ht="14.4" hidden="1">
      <c r="A1428" s="25">
        <f>IF(C1428="","",MAX($A$1:A1427)+1)</f>
        <v>1349</v>
      </c>
      <c r="B1428" s="25" t="s">
        <v>19</v>
      </c>
      <c r="C1428" s="41">
        <v>46093</v>
      </c>
      <c r="D1428" s="48" t="str">
        <f>_xlfn.XLOOKUP(Table134526_79101120212223242526[[#This Row],[Name Surname]],Manpower!$C$4:$C$1048576,Manpower!$B$4:$B$1048576,"")</f>
        <v>Bright Light</v>
      </c>
      <c r="E1428" s="43" t="s">
        <v>165</v>
      </c>
      <c r="F1428" s="12">
        <f>_xlfn.XLOOKUP(Table134526_79101120212223242526[[#This Row],[Name Surname]],Manpower!C:C,Manpower!D:D,)</f>
        <v>122771611</v>
      </c>
      <c r="G1428" s="48" t="str">
        <f>_xlfn.XLOOKUP(Table134526_79101120212223242526[[#This Row],[Name Surname]],Manpower!$C$4:$C$1048576,Manpower!$F$4:$F$1048576,"")</f>
        <v>Mechanic</v>
      </c>
      <c r="H1428" s="48" t="str">
        <f>_xlfn.XLOOKUP(Table134526_79101120212223242526[[#This Row],[Name Surname]],Manpower!$C$4:$C$1048576,Manpower!$H$4:$H$1048576,"")</f>
        <v>Sub Contactor</v>
      </c>
      <c r="I1428" s="48" t="str">
        <f>_xlfn.XLOOKUP(Table134526_79101120212223242526[[#This Row],[Name Surname]],Manpower!$C$4:$C$1048576,Manpower!$H$4:$H$1048576,"")</f>
        <v>Sub Contactor</v>
      </c>
      <c r="J1428" s="43" t="s">
        <v>21</v>
      </c>
      <c r="K1428" s="43" t="s">
        <v>231</v>
      </c>
      <c r="L1428" s="43" t="s">
        <v>49</v>
      </c>
      <c r="M1428" s="43" t="s">
        <v>24</v>
      </c>
      <c r="N1428" s="44">
        <v>8</v>
      </c>
      <c r="O1428" s="43" t="s">
        <v>40</v>
      </c>
      <c r="P1428" s="43" t="s">
        <v>41</v>
      </c>
      <c r="Q1428" s="43" t="s">
        <v>42</v>
      </c>
      <c r="R1428" s="43" t="s">
        <v>294</v>
      </c>
      <c r="S1428" s="43"/>
    </row>
    <row r="1429" spans="1:19" s="45" customFormat="1" ht="14.4" hidden="1">
      <c r="A1429" s="25">
        <f>IF(C1429="","",MAX($A$1:A1428)+1)</f>
        <v>1350</v>
      </c>
      <c r="B1429" s="25" t="s">
        <v>19</v>
      </c>
      <c r="C1429" s="41">
        <v>46093</v>
      </c>
      <c r="D1429" s="48" t="str">
        <f>_xlfn.XLOOKUP(Table134526_79101120212223242526[[#This Row],[Name Surname]],Manpower!$C$4:$C$1048576,Manpower!$B$4:$B$1048576,"")</f>
        <v>Bright Light</v>
      </c>
      <c r="E1429" s="43" t="s">
        <v>263</v>
      </c>
      <c r="F1429" s="12">
        <f>_xlfn.XLOOKUP(Table134526_79101120212223242526[[#This Row],[Name Surname]],Manpower!C:C,Manpower!D:D,)</f>
        <v>125287583</v>
      </c>
      <c r="G1429" s="48" t="str">
        <f>_xlfn.XLOOKUP(Table134526_79101120212223242526[[#This Row],[Name Surname]],Manpower!$C$4:$C$1048576,Manpower!$F$4:$F$1048576,"")</f>
        <v>Mechanic</v>
      </c>
      <c r="H1429" s="48" t="str">
        <f>_xlfn.XLOOKUP(Table134526_79101120212223242526[[#This Row],[Name Surname]],Manpower!$C$4:$C$1048576,Manpower!$H$4:$H$1048576,"")</f>
        <v>Sub Contactor</v>
      </c>
      <c r="I1429" s="48" t="str">
        <f>_xlfn.XLOOKUP(Table134526_79101120212223242526[[#This Row],[Name Surname]],Manpower!$C$4:$C$1048576,Manpower!$H$4:$H$1048576,"")</f>
        <v>Sub Contactor</v>
      </c>
      <c r="J1429" s="43" t="s">
        <v>21</v>
      </c>
      <c r="K1429" s="43" t="s">
        <v>231</v>
      </c>
      <c r="L1429" s="43" t="s">
        <v>49</v>
      </c>
      <c r="M1429" s="43" t="s">
        <v>24</v>
      </c>
      <c r="N1429" s="44">
        <v>8</v>
      </c>
      <c r="O1429" s="43" t="s">
        <v>40</v>
      </c>
      <c r="P1429" s="43" t="s">
        <v>41</v>
      </c>
      <c r="Q1429" s="43" t="s">
        <v>42</v>
      </c>
      <c r="R1429" s="43" t="s">
        <v>294</v>
      </c>
      <c r="S1429" s="43"/>
    </row>
    <row r="1430" spans="1:19" s="45" customFormat="1" ht="14.4" hidden="1">
      <c r="A1430" s="25">
        <f>IF(C1430="","",MAX($A$1:A1427)+1)</f>
        <v>1349</v>
      </c>
      <c r="B1430" s="25" t="s">
        <v>19</v>
      </c>
      <c r="C1430" s="41">
        <v>46093</v>
      </c>
      <c r="D1430" s="48" t="str">
        <f>_xlfn.XLOOKUP(Table134526_79101120212223242526[[#This Row],[Name Surname]],Manpower!$C$4:$C$1048576,Manpower!$B$4:$B$1048576,"")</f>
        <v>Encogroup</v>
      </c>
      <c r="E1430" s="43" t="s">
        <v>37</v>
      </c>
      <c r="F1430" s="12">
        <f>_xlfn.XLOOKUP(Table134526_79101120212223242526[[#This Row],[Name Surname]],Manpower!C:C,Manpower!D:D,)</f>
        <v>140742088</v>
      </c>
      <c r="G1430" s="48" t="str">
        <f>_xlfn.XLOOKUP(Table134526_79101120212223242526[[#This Row],[Name Surname]],Manpower!$C$4:$C$1048576,Manpower!$F$4:$F$1048576,"")</f>
        <v>Fitter/Erector</v>
      </c>
      <c r="H1430" s="48" t="str">
        <f>_xlfn.XLOOKUP(Table134526_79101120212223242526[[#This Row],[Name Surname]],Manpower!$C$4:$C$1048576,Manpower!$H$4:$H$1048576,"")</f>
        <v>Manpower</v>
      </c>
      <c r="I1430" s="48" t="str">
        <f>_xlfn.XLOOKUP(Table134526_79101120212223242526[[#This Row],[Name Surname]],Manpower!$C$4:$C$1048576,Manpower!$H$4:$H$1048576,"")</f>
        <v>Manpower</v>
      </c>
      <c r="J1430" s="43" t="s">
        <v>21</v>
      </c>
      <c r="K1430" s="43" t="s">
        <v>231</v>
      </c>
      <c r="L1430" s="43" t="s">
        <v>49</v>
      </c>
      <c r="M1430" s="43" t="s">
        <v>24</v>
      </c>
      <c r="N1430" s="44">
        <v>10</v>
      </c>
      <c r="O1430" s="43" t="s">
        <v>25</v>
      </c>
      <c r="P1430" s="43" t="s">
        <v>41</v>
      </c>
      <c r="Q1430" s="43" t="s">
        <v>60</v>
      </c>
      <c r="R1430" s="43" t="s">
        <v>294</v>
      </c>
      <c r="S1430" s="43"/>
    </row>
    <row r="1431" spans="1:19" s="45" customFormat="1" ht="14.4" hidden="1">
      <c r="A1431" s="25">
        <f>IF(C1431="","",MAX($A$1:A1430)+1)</f>
        <v>1351</v>
      </c>
      <c r="B1431" s="25" t="s">
        <v>19</v>
      </c>
      <c r="C1431" s="41">
        <v>46093</v>
      </c>
      <c r="D1431" s="48" t="str">
        <f>_xlfn.XLOOKUP(Table134526_79101120212223242526[[#This Row],[Name Surname]],Manpower!$C$4:$C$1048576,Manpower!$B$4:$B$1048576,"")</f>
        <v>Encogroup</v>
      </c>
      <c r="E1431" s="43" t="s">
        <v>44</v>
      </c>
      <c r="F1431" s="12">
        <f>_xlfn.XLOOKUP(Table134526_79101120212223242526[[#This Row],[Name Surname]],Manpower!C:C,Manpower!D:D,)</f>
        <v>140806218</v>
      </c>
      <c r="G1431" s="48" t="str">
        <f>_xlfn.XLOOKUP(Table134526_79101120212223242526[[#This Row],[Name Surname]],Manpower!$C$4:$C$1048576,Manpower!$F$4:$F$1048576,"")</f>
        <v>Fitter/Erector</v>
      </c>
      <c r="H1431" s="48" t="str">
        <f>_xlfn.XLOOKUP(Table134526_79101120212223242526[[#This Row],[Name Surname]],Manpower!$C$4:$C$1048576,Manpower!$H$4:$H$1048576,"")</f>
        <v>Manpower</v>
      </c>
      <c r="I1431" s="48" t="str">
        <f>_xlfn.XLOOKUP(Table134526_79101120212223242526[[#This Row],[Name Surname]],Manpower!$C$4:$C$1048576,Manpower!$H$4:$H$1048576,"")</f>
        <v>Manpower</v>
      </c>
      <c r="J1431" s="43" t="s">
        <v>21</v>
      </c>
      <c r="K1431" s="43" t="s">
        <v>231</v>
      </c>
      <c r="L1431" s="43" t="s">
        <v>49</v>
      </c>
      <c r="M1431" s="43" t="s">
        <v>24</v>
      </c>
      <c r="N1431" s="44">
        <v>10</v>
      </c>
      <c r="O1431" s="43" t="s">
        <v>25</v>
      </c>
      <c r="P1431" s="43" t="s">
        <v>41</v>
      </c>
      <c r="Q1431" s="43" t="s">
        <v>60</v>
      </c>
      <c r="R1431" s="43" t="s">
        <v>294</v>
      </c>
      <c r="S1431" s="43"/>
    </row>
    <row r="1432" spans="1:19" ht="14.4" hidden="1">
      <c r="A1432" s="33">
        <f>IF(C1432="","",MAX($A$1:A1431)+1)</f>
        <v>1352</v>
      </c>
      <c r="B1432" s="22" t="s">
        <v>19</v>
      </c>
      <c r="C1432" s="23">
        <v>46093</v>
      </c>
      <c r="D1432" s="28" t="str">
        <f>_xlfn.XLOOKUP(Table134526_79101120212223242526[[#This Row],[Name Surname]],Manpower!$C$4:$C$1048576,Manpower!$B$4:$B$1048576,"")</f>
        <v>Encogroup</v>
      </c>
      <c r="E1432" s="21" t="s">
        <v>102</v>
      </c>
      <c r="F1432" s="12">
        <f>_xlfn.XLOOKUP(Table134526_79101120212223242526[[#This Row],[Name Surname]],Manpower!C:C,Manpower!D:D,)</f>
        <v>141365075</v>
      </c>
      <c r="G1432" s="28" t="str">
        <f>_xlfn.XLOOKUP(Table134526_79101120212223242526[[#This Row],[Name Surname]],Manpower!$C$4:$C$1048576,Manpower!$F$4:$F$1048576,"")</f>
        <v>Helper</v>
      </c>
      <c r="H1432" s="28" t="str">
        <f>_xlfn.XLOOKUP(Table134526_79101120212223242526[[#This Row],[Name Surname]],Manpower!$C$4:$C$1048576,Manpower!$H$4:$H$1048576,"")</f>
        <v>Manpower</v>
      </c>
      <c r="I1432" s="28" t="str">
        <f>_xlfn.XLOOKUP(Table134526_79101120212223242526[[#This Row],[Name Surname]],Manpower!$C$4:$C$1048576,Manpower!$H$4:$H$1048576,"")</f>
        <v>Manpower</v>
      </c>
      <c r="J1432" s="21" t="s">
        <v>21</v>
      </c>
      <c r="K1432" s="21" t="s">
        <v>297</v>
      </c>
      <c r="L1432" s="21" t="s">
        <v>49</v>
      </c>
      <c r="M1432" s="21" t="s">
        <v>24</v>
      </c>
      <c r="N1432" s="29">
        <v>10</v>
      </c>
      <c r="O1432" s="21" t="s">
        <v>89</v>
      </c>
      <c r="P1432" s="21" t="s">
        <v>41</v>
      </c>
      <c r="Q1432" s="21" t="s">
        <v>60</v>
      </c>
      <c r="R1432" s="21" t="s">
        <v>298</v>
      </c>
    </row>
    <row r="1433" spans="1:19" s="45" customFormat="1" ht="14.4" hidden="1">
      <c r="A1433" s="25">
        <f>IF(C1433="","",MAX($A$1:A1432)+1)</f>
        <v>1353</v>
      </c>
      <c r="B1433" s="25" t="s">
        <v>19</v>
      </c>
      <c r="C1433" s="41">
        <v>46093</v>
      </c>
      <c r="D1433" s="48" t="str">
        <f>_xlfn.XLOOKUP(Table134526_79101120212223242526[[#This Row],[Name Surname]],Manpower!$C$4:$C$1048576,Manpower!$B$4:$B$1048576,"")</f>
        <v>Encogroup</v>
      </c>
      <c r="E1433" s="43" t="s">
        <v>34</v>
      </c>
      <c r="F1433" s="12">
        <f>_xlfn.XLOOKUP(Table134526_79101120212223242526[[#This Row],[Name Surname]],Manpower!C:C,Manpower!D:D,)</f>
        <v>141365023</v>
      </c>
      <c r="G1433" s="48" t="str">
        <f>_xlfn.XLOOKUP(Table134526_79101120212223242526[[#This Row],[Name Surname]],Manpower!$C$4:$C$1048576,Manpower!$F$4:$F$1048576,"")</f>
        <v>Grinder</v>
      </c>
      <c r="H1433" s="48" t="str">
        <f>_xlfn.XLOOKUP(Table134526_79101120212223242526[[#This Row],[Name Surname]],Manpower!$C$4:$C$1048576,Manpower!$H$4:$H$1048576,"")</f>
        <v>Manpower</v>
      </c>
      <c r="I1433" s="48" t="str">
        <f>_xlfn.XLOOKUP(Table134526_79101120212223242526[[#This Row],[Name Surname]],Manpower!$C$4:$C$1048576,Manpower!$H$4:$H$1048576,"")</f>
        <v>Manpower</v>
      </c>
      <c r="J1433" s="43" t="s">
        <v>21</v>
      </c>
      <c r="K1433" s="43" t="s">
        <v>231</v>
      </c>
      <c r="L1433" s="43" t="s">
        <v>49</v>
      </c>
      <c r="M1433" s="43" t="s">
        <v>24</v>
      </c>
      <c r="N1433" s="44">
        <v>10</v>
      </c>
      <c r="O1433" s="43" t="s">
        <v>25</v>
      </c>
      <c r="P1433" s="43" t="s">
        <v>41</v>
      </c>
      <c r="Q1433" s="43" t="s">
        <v>60</v>
      </c>
      <c r="R1433" s="43" t="s">
        <v>294</v>
      </c>
      <c r="S1433" s="43" t="s">
        <v>245</v>
      </c>
    </row>
    <row r="1434" spans="1:19" s="45" customFormat="1" ht="14.4" hidden="1">
      <c r="A1434" s="25">
        <f>IF(C1434="","",MAX($A$1:A1433)+1)</f>
        <v>1354</v>
      </c>
      <c r="B1434" s="25" t="s">
        <v>19</v>
      </c>
      <c r="C1434" s="41">
        <v>46093</v>
      </c>
      <c r="D1434" s="48" t="str">
        <f>_xlfn.XLOOKUP(Table134526_79101120212223242526[[#This Row],[Name Surname]],Manpower!$C$4:$C$1048576,Manpower!$B$4:$B$1048576,"")</f>
        <v>Encogroup</v>
      </c>
      <c r="E1434" s="43" t="s">
        <v>46</v>
      </c>
      <c r="F1434" s="12">
        <f>_xlfn.XLOOKUP(Table134526_79101120212223242526[[#This Row],[Name Surname]],Manpower!C:C,Manpower!D:D,)</f>
        <v>140844618</v>
      </c>
      <c r="G1434" s="48" t="str">
        <f>_xlfn.XLOOKUP(Table134526_79101120212223242526[[#This Row],[Name Surname]],Manpower!$C$4:$C$1048576,Manpower!$F$4:$F$1048576,"")</f>
        <v>Assistant/Helper</v>
      </c>
      <c r="H1434" s="48" t="str">
        <f>_xlfn.XLOOKUP(Table134526_79101120212223242526[[#This Row],[Name Surname]],Manpower!$C$4:$C$1048576,Manpower!$H$4:$H$1048576,"")</f>
        <v>Manpower</v>
      </c>
      <c r="I1434" s="48" t="str">
        <f>_xlfn.XLOOKUP(Table134526_79101120212223242526[[#This Row],[Name Surname]],Manpower!$C$4:$C$1048576,Manpower!$H$4:$H$1048576,"")</f>
        <v>Manpower</v>
      </c>
      <c r="J1434" s="43" t="s">
        <v>21</v>
      </c>
      <c r="K1434" s="43" t="s">
        <v>231</v>
      </c>
      <c r="L1434" s="43" t="s">
        <v>49</v>
      </c>
      <c r="M1434" s="43" t="s">
        <v>24</v>
      </c>
      <c r="N1434" s="44">
        <v>10</v>
      </c>
      <c r="O1434" s="43" t="s">
        <v>25</v>
      </c>
      <c r="P1434" s="43" t="s">
        <v>41</v>
      </c>
      <c r="Q1434" s="43" t="s">
        <v>60</v>
      </c>
      <c r="R1434" s="43" t="s">
        <v>294</v>
      </c>
      <c r="S1434" s="43"/>
    </row>
    <row r="1435" spans="1:19" ht="16.95" customHeight="1">
      <c r="A1435" s="33">
        <f>IF(C1435="","",MAX($A$1:A1434)+1)</f>
        <v>1355</v>
      </c>
      <c r="B1435" s="25" t="s">
        <v>19</v>
      </c>
      <c r="C1435" s="23">
        <v>46093</v>
      </c>
      <c r="D1435" s="28" t="str">
        <f>_xlfn.XLOOKUP(Table134526_79101120212223242526[[#This Row],[Name Surname]],Manpower!$C$4:$C$1048576,Manpower!$B$4:$B$1048576,"")</f>
        <v>Bright Light</v>
      </c>
      <c r="E1435" s="23" t="s">
        <v>47</v>
      </c>
      <c r="F1435" s="12" t="e">
        <f>_xlfn.XLOOKUP(Table134526_79101120212223242526[[#This Row],[Name Surname]],Manpower!C:C,Manpower!D:D,)</f>
        <v>#N/A</v>
      </c>
      <c r="G1435" s="28" t="str">
        <f>_xlfn.XLOOKUP(Table134526_79101120212223242526[[#This Row],[Name Surname]],Manpower!$C$4:$C$1048576,Manpower!$F$4:$F$1048576,"")</f>
        <v>100T Telescopic Crane</v>
      </c>
      <c r="H1435" s="28" t="str">
        <f>_xlfn.XLOOKUP(Table134526_79101120212223242526[[#This Row],[Name Surname]],Manpower!$C$4:$C$1048576,Manpower!$H$4:$H$1048576,"")</f>
        <v>Equipment</v>
      </c>
      <c r="I1435" s="28" t="str">
        <f>_xlfn.XLOOKUP(Table134526_79101120212223242526[[#This Row],[Name Surname]],Manpower!$C$4:$C$1048576,Manpower!$H$4:$H$1048576,"")</f>
        <v>Equipment</v>
      </c>
      <c r="J1435" s="21" t="s">
        <v>48</v>
      </c>
      <c r="K1435" s="21" t="s">
        <v>26</v>
      </c>
      <c r="L1435" s="21" t="s">
        <v>49</v>
      </c>
      <c r="M1435" s="21" t="s">
        <v>24</v>
      </c>
      <c r="N1435" s="29">
        <v>10</v>
      </c>
      <c r="O1435" s="21" t="s">
        <v>40</v>
      </c>
      <c r="P1435" s="21" t="s">
        <v>41</v>
      </c>
      <c r="Q1435" s="21" t="s">
        <v>42</v>
      </c>
      <c r="R1435" s="21" t="s">
        <v>26</v>
      </c>
    </row>
    <row r="1436" spans="1:19" ht="14.4">
      <c r="A1436" s="33">
        <f>IF(C1436="","",MAX($A$1:A1435)+1)</f>
        <v>1356</v>
      </c>
      <c r="B1436" s="25" t="s">
        <v>19</v>
      </c>
      <c r="C1436" s="23">
        <v>46093</v>
      </c>
      <c r="D1436" s="28" t="str">
        <f>_xlfn.XLOOKUP(Table134526_79101120212223242526[[#This Row],[Name Surname]],Manpower!$C$4:$C$1048576,Manpower!$B$4:$B$1048576,"")</f>
        <v>Bright Light</v>
      </c>
      <c r="E1436" s="21" t="s">
        <v>51</v>
      </c>
      <c r="F1436" s="12" t="e">
        <f>_xlfn.XLOOKUP(Table134526_79101120212223242526[[#This Row],[Name Surname]],Manpower!C:C,Manpower!D:D,)</f>
        <v>#N/A</v>
      </c>
      <c r="G1436" s="28" t="str">
        <f>_xlfn.XLOOKUP(Table134526_79101120212223242526[[#This Row],[Name Surname]],Manpower!$C$4:$C$1048576,Manpower!$F$4:$F$1048576,"")</f>
        <v>150T-Crawler Crane</v>
      </c>
      <c r="H1436" s="28" t="str">
        <f>_xlfn.XLOOKUP(Table134526_79101120212223242526[[#This Row],[Name Surname]],Manpower!$C$4:$C$1048576,Manpower!$H$4:$H$1048576,"")</f>
        <v>Equipment</v>
      </c>
      <c r="I1436" s="28" t="str">
        <f>_xlfn.XLOOKUP(Table134526_79101120212223242526[[#This Row],[Name Surname]],Manpower!$C$4:$C$1048576,Manpower!$H$4:$H$1048576,"")</f>
        <v>Equipment</v>
      </c>
      <c r="J1436" s="21" t="s">
        <v>48</v>
      </c>
      <c r="K1436" s="21" t="s">
        <v>26</v>
      </c>
      <c r="L1436" s="21" t="s">
        <v>49</v>
      </c>
      <c r="M1436" s="21" t="s">
        <v>24</v>
      </c>
      <c r="N1436" s="29">
        <v>10</v>
      </c>
      <c r="O1436" s="21" t="s">
        <v>40</v>
      </c>
      <c r="P1436" s="21" t="s">
        <v>41</v>
      </c>
      <c r="Q1436" s="21" t="s">
        <v>42</v>
      </c>
      <c r="R1436" s="21" t="s">
        <v>26</v>
      </c>
    </row>
    <row r="1437" spans="1:19" ht="14.4">
      <c r="A1437" s="33">
        <f>IF(C1437="","",MAX($A$1:A1436)+1)</f>
        <v>1357</v>
      </c>
      <c r="B1437" s="25" t="s">
        <v>19</v>
      </c>
      <c r="C1437" s="23">
        <v>46093</v>
      </c>
      <c r="D1437" s="28" t="str">
        <f>_xlfn.XLOOKUP(Table134526_79101120212223242526[[#This Row],[Name Surname]],Manpower!$C$4:$C$1048576,Manpower!$B$4:$B$1048576,"")</f>
        <v>Encogroup</v>
      </c>
      <c r="E1437" s="21" t="s">
        <v>54</v>
      </c>
      <c r="F1437" s="12" t="e">
        <f>_xlfn.XLOOKUP(Table134526_79101120212223242526[[#This Row],[Name Surname]],Manpower!C:C,Manpower!D:D,)</f>
        <v>#N/A</v>
      </c>
      <c r="G1437" s="28" t="str">
        <f>_xlfn.XLOOKUP(Table134526_79101120212223242526[[#This Row],[Name Surname]],Manpower!$C$4:$C$1048576,Manpower!$F$4:$F$1048576,"")</f>
        <v>28M-Manlift</v>
      </c>
      <c r="H1437" s="28" t="str">
        <f>_xlfn.XLOOKUP(Table134526_79101120212223242526[[#This Row],[Name Surname]],Manpower!$C$4:$C$1048576,Manpower!$H$4:$H$1048576,"")</f>
        <v>Equipment</v>
      </c>
      <c r="I1437" s="28" t="str">
        <f>_xlfn.XLOOKUP(Table134526_79101120212223242526[[#This Row],[Name Surname]],Manpower!$C$4:$C$1048576,Manpower!$H$4:$H$1048576,"")</f>
        <v>Equipment</v>
      </c>
      <c r="J1437" s="21" t="s">
        <v>48</v>
      </c>
      <c r="K1437" s="21" t="s">
        <v>26</v>
      </c>
      <c r="L1437" s="21" t="s">
        <v>49</v>
      </c>
      <c r="M1437" s="21" t="s">
        <v>24</v>
      </c>
      <c r="N1437" s="29">
        <v>10</v>
      </c>
      <c r="O1437" s="21" t="s">
        <v>25</v>
      </c>
      <c r="P1437" s="21" t="s">
        <v>41</v>
      </c>
      <c r="Q1437" s="21" t="s">
        <v>60</v>
      </c>
      <c r="R1437" s="21" t="s">
        <v>26</v>
      </c>
    </row>
    <row r="1438" spans="1:19" ht="14.4" hidden="1">
      <c r="A1438" s="33">
        <f>IF(C1438="","",MAX($A$1:A1437)+1)</f>
        <v>1358</v>
      </c>
      <c r="B1438" s="25" t="s">
        <v>19</v>
      </c>
      <c r="C1438" s="23">
        <v>46093</v>
      </c>
      <c r="D1438" s="28" t="str">
        <f>_xlfn.XLOOKUP(Table134526_79101120212223242526[[#This Row],[Name Surname]],Manpower!$C$4:$C$1048576,Manpower!$B$4:$B$1048576,"")</f>
        <v>Encogroup</v>
      </c>
      <c r="E1438" s="21" t="s">
        <v>57</v>
      </c>
      <c r="F1438" s="12">
        <f>_xlfn.XLOOKUP(Table134526_79101120212223242526[[#This Row],[Name Surname]],Manpower!C:C,Manpower!D:D,)</f>
        <v>140693697</v>
      </c>
      <c r="G1438" s="28" t="str">
        <f>_xlfn.XLOOKUP(Table134526_79101120212223242526[[#This Row],[Name Surname]],Manpower!$C$4:$C$1048576,Manpower!$F$4:$F$1048576,"")</f>
        <v>HSE Officer</v>
      </c>
      <c r="H1438" s="28" t="str">
        <f>_xlfn.XLOOKUP(Table134526_79101120212223242526[[#This Row],[Name Surname]],Manpower!$C$4:$C$1048576,Manpower!$H$4:$H$1048576,"")</f>
        <v>Manpower</v>
      </c>
      <c r="I1438" s="28" t="str">
        <f>_xlfn.XLOOKUP(Table134526_79101120212223242526[[#This Row],[Name Surname]],Manpower!$C$4:$C$1048576,Manpower!$H$4:$H$1048576,"")</f>
        <v>Manpower</v>
      </c>
      <c r="J1438" s="21" t="s">
        <v>48</v>
      </c>
      <c r="K1438" s="21" t="s">
        <v>26</v>
      </c>
      <c r="L1438" s="21" t="s">
        <v>49</v>
      </c>
      <c r="M1438" s="21" t="s">
        <v>24</v>
      </c>
      <c r="N1438" s="29">
        <v>10</v>
      </c>
      <c r="O1438" s="21" t="s">
        <v>25</v>
      </c>
      <c r="P1438" s="21" t="s">
        <v>41</v>
      </c>
      <c r="Q1438" s="21" t="s">
        <v>60</v>
      </c>
      <c r="R1438" s="21" t="s">
        <v>26</v>
      </c>
    </row>
    <row r="1439" spans="1:19" ht="14.4" hidden="1">
      <c r="A1439" s="33">
        <f>IF(C1439="","",MAX($A$1:A1438)+1)</f>
        <v>1359</v>
      </c>
      <c r="B1439" s="25" t="s">
        <v>19</v>
      </c>
      <c r="C1439" s="23">
        <v>46093</v>
      </c>
      <c r="D1439" s="28" t="str">
        <f>_xlfn.XLOOKUP(Table134526_79101120212223242526[[#This Row],[Name Surname]],Manpower!$C$4:$C$1048576,Manpower!$B$4:$B$1048576,"")</f>
        <v>Encogroup</v>
      </c>
      <c r="E1439" s="21" t="s">
        <v>27</v>
      </c>
      <c r="F1439" s="12">
        <f>_xlfn.XLOOKUP(Table134526_79101120212223242526[[#This Row],[Name Surname]],Manpower!C:C,Manpower!D:D,)</f>
        <v>127414586</v>
      </c>
      <c r="G1439" s="28" t="str">
        <f>_xlfn.XLOOKUP(Table134526_79101120212223242526[[#This Row],[Name Surname]],Manpower!$C$4:$C$1048576,Manpower!$F$4:$F$1048576,"")</f>
        <v>Electrician</v>
      </c>
      <c r="H1439" s="28" t="str">
        <f>_xlfn.XLOOKUP(Table134526_79101120212223242526[[#This Row],[Name Surname]],Manpower!$C$4:$C$1048576,Manpower!$H$4:$H$1048576,"")</f>
        <v>Manpower</v>
      </c>
      <c r="I1439" s="28" t="str">
        <f>_xlfn.XLOOKUP(Table134526_79101120212223242526[[#This Row],[Name Surname]],Manpower!$C$4:$C$1048576,Manpower!$H$4:$H$1048576,"")</f>
        <v>Manpower</v>
      </c>
      <c r="J1439" s="21" t="s">
        <v>48</v>
      </c>
      <c r="K1439" s="21" t="s">
        <v>26</v>
      </c>
      <c r="L1439" s="21" t="s">
        <v>49</v>
      </c>
      <c r="M1439" s="21" t="s">
        <v>24</v>
      </c>
      <c r="N1439" s="29">
        <v>5</v>
      </c>
      <c r="O1439" s="21" t="s">
        <v>28</v>
      </c>
      <c r="P1439" s="21" t="s">
        <v>41</v>
      </c>
      <c r="Q1439" s="21" t="s">
        <v>41</v>
      </c>
      <c r="R1439" s="21" t="s">
        <v>26</v>
      </c>
    </row>
    <row r="1440" spans="1:19" s="45" customFormat="1" ht="14.4" hidden="1">
      <c r="A1440" s="25">
        <f>IF(C1440="","",MAX($A$1:A1439)+1)</f>
        <v>1360</v>
      </c>
      <c r="B1440" s="25" t="s">
        <v>19</v>
      </c>
      <c r="C1440" s="41">
        <v>46093</v>
      </c>
      <c r="D1440" s="48" t="str">
        <f>_xlfn.XLOOKUP(Table134526_79101120212223242526[[#This Row],[Name Surname]],Manpower!$C$4:$C$1048576,Manpower!$B$4:$B$1048576,"")</f>
        <v>Encogroup</v>
      </c>
      <c r="E1440" s="43" t="s">
        <v>33</v>
      </c>
      <c r="F1440" s="12">
        <f>_xlfn.XLOOKUP(Table134526_79101120212223242526[[#This Row],[Name Surname]],Manpower!C:C,Manpower!D:D,)</f>
        <v>124565057</v>
      </c>
      <c r="G1440" s="48" t="str">
        <f>_xlfn.XLOOKUP(Table134526_79101120212223242526[[#This Row],[Name Surname]],Manpower!$C$4:$C$1048576,Manpower!$F$4:$F$1048576,"")</f>
        <v>Fitter/Erector</v>
      </c>
      <c r="H1440" s="48" t="str">
        <f>_xlfn.XLOOKUP(Table134526_79101120212223242526[[#This Row],[Name Surname]],Manpower!$C$4:$C$1048576,Manpower!$H$4:$H$1048576,"")</f>
        <v>Manpower</v>
      </c>
      <c r="I1440" s="48" t="str">
        <f>_xlfn.XLOOKUP(Table134526_79101120212223242526[[#This Row],[Name Surname]],Manpower!$C$4:$C$1048576,Manpower!$H$4:$H$1048576,"")</f>
        <v>Manpower</v>
      </c>
      <c r="J1440" s="43" t="s">
        <v>48</v>
      </c>
      <c r="K1440" s="43" t="s">
        <v>26</v>
      </c>
      <c r="L1440" s="43" t="s">
        <v>49</v>
      </c>
      <c r="M1440" s="43" t="s">
        <v>24</v>
      </c>
      <c r="N1440" s="44">
        <v>10</v>
      </c>
      <c r="O1440" s="43" t="s">
        <v>25</v>
      </c>
      <c r="P1440" s="43" t="s">
        <v>41</v>
      </c>
      <c r="Q1440" s="43" t="s">
        <v>60</v>
      </c>
      <c r="R1440" s="43" t="s">
        <v>26</v>
      </c>
      <c r="S1440" s="43"/>
    </row>
    <row r="1441" spans="1:19" s="45" customFormat="1" ht="14.4" hidden="1">
      <c r="A1441" s="25">
        <f>IF(C1441="","",MAX($A$1:A1440)+1)</f>
        <v>1361</v>
      </c>
      <c r="B1441" s="25" t="s">
        <v>19</v>
      </c>
      <c r="C1441" s="41">
        <v>46093</v>
      </c>
      <c r="D1441" s="48" t="str">
        <f>_xlfn.XLOOKUP(Table134526_79101120212223242526[[#This Row],[Name Surname]],Manpower!$C$4:$C$1048576,Manpower!$B$4:$B$1048576,"")</f>
        <v>Encogroup</v>
      </c>
      <c r="E1441" s="43" t="s">
        <v>62</v>
      </c>
      <c r="F1441" s="12">
        <f>_xlfn.XLOOKUP(Table134526_79101120212223242526[[#This Row],[Name Surname]],Manpower!C:C,Manpower!D:D,)</f>
        <v>140844797</v>
      </c>
      <c r="G1441" s="48" t="str">
        <f>_xlfn.XLOOKUP(Table134526_79101120212223242526[[#This Row],[Name Surname]],Manpower!$C$4:$C$1048576,Manpower!$F$4:$F$1048576,"")</f>
        <v>Fitter/Erector</v>
      </c>
      <c r="H1441" s="48" t="str">
        <f>_xlfn.XLOOKUP(Table134526_79101120212223242526[[#This Row],[Name Surname]],Manpower!$C$4:$C$1048576,Manpower!$H$4:$H$1048576,"")</f>
        <v>Manpower</v>
      </c>
      <c r="I1441" s="48" t="str">
        <f>_xlfn.XLOOKUP(Table134526_79101120212223242526[[#This Row],[Name Surname]],Manpower!$C$4:$C$1048576,Manpower!$H$4:$H$1048576,"")</f>
        <v>Manpower</v>
      </c>
      <c r="J1441" s="43" t="s">
        <v>48</v>
      </c>
      <c r="K1441" s="43" t="s">
        <v>26</v>
      </c>
      <c r="L1441" s="43" t="s">
        <v>49</v>
      </c>
      <c r="M1441" s="43" t="s">
        <v>24</v>
      </c>
      <c r="N1441" s="44">
        <v>10</v>
      </c>
      <c r="O1441" s="43" t="s">
        <v>25</v>
      </c>
      <c r="P1441" s="43" t="s">
        <v>41</v>
      </c>
      <c r="Q1441" s="43" t="s">
        <v>60</v>
      </c>
      <c r="R1441" s="43" t="s">
        <v>26</v>
      </c>
      <c r="S1441" s="43"/>
    </row>
    <row r="1442" spans="1:19" ht="14.4">
      <c r="A1442" s="33">
        <f>IF(C1442="","",MAX($A$1:A1441)+1)</f>
        <v>1362</v>
      </c>
      <c r="B1442" s="25" t="s">
        <v>19</v>
      </c>
      <c r="C1442" s="23">
        <v>46093</v>
      </c>
      <c r="D1442" s="24" t="str">
        <f>_xlfn.XLOOKUP(Table134526_79101120212223242526[[#This Row],[Name Surname]],Manpower!$C$4:$C$1048576,Manpower!$B$4:$B$1048576,"")</f>
        <v>Encogroup</v>
      </c>
      <c r="E1442" s="23" t="s">
        <v>63</v>
      </c>
      <c r="F1442" s="12" t="e">
        <f>_xlfn.XLOOKUP(Table134526_79101120212223242526[[#This Row],[Name Surname]],Manpower!C:C,Manpower!D:D,)</f>
        <v>#N/A</v>
      </c>
      <c r="G1442" s="24" t="str">
        <f>_xlfn.XLOOKUP(Table134526_79101120212223242526[[#This Row],[Name Surname]],Manpower!$C$4:$C$1048576,Manpower!$F$4:$F$1048576,"")</f>
        <v>22KVA-Generator</v>
      </c>
      <c r="H1442" s="24" t="str">
        <f>_xlfn.XLOOKUP(Table134526_79101120212223242526[[#This Row],[Name Surname]],Manpower!$C$4:$C$1048576,Manpower!$H$4:$H$1048576,"")</f>
        <v>Equipment</v>
      </c>
      <c r="I1442" s="24" t="str">
        <f>_xlfn.XLOOKUP(Table134526_79101120212223242526[[#This Row],[Name Surname]],Manpower!$C$4:$C$1048576,Manpower!$H$4:$H$1048576,"")</f>
        <v>Equipment</v>
      </c>
      <c r="J1442" s="21" t="s">
        <v>48</v>
      </c>
      <c r="K1442" s="21" t="s">
        <v>26</v>
      </c>
      <c r="L1442" s="21" t="s">
        <v>49</v>
      </c>
      <c r="M1442" s="21" t="s">
        <v>24</v>
      </c>
      <c r="N1442" s="29">
        <v>10</v>
      </c>
      <c r="O1442" s="21" t="s">
        <v>25</v>
      </c>
      <c r="P1442" s="21" t="s">
        <v>41</v>
      </c>
      <c r="Q1442" s="21" t="s">
        <v>41</v>
      </c>
      <c r="R1442" s="21" t="s">
        <v>26</v>
      </c>
    </row>
    <row r="1443" spans="1:19" s="45" customFormat="1" ht="14.4" hidden="1">
      <c r="A1443" s="25">
        <f>IF(C1443="","",MAX($A$1:A1441)+1)</f>
        <v>1362</v>
      </c>
      <c r="B1443" s="25" t="s">
        <v>19</v>
      </c>
      <c r="C1443" s="41">
        <v>46093</v>
      </c>
      <c r="D1443" s="48" t="str">
        <f>_xlfn.XLOOKUP(Table134526_79101120212223242526[[#This Row],[Name Surname]],Manpower!$C$4:$C$1048576,Manpower!$B$4:$B$1048576,"")</f>
        <v>Bright Light</v>
      </c>
      <c r="E1443" s="43" t="s">
        <v>64</v>
      </c>
      <c r="F1443" s="12">
        <f>_xlfn.XLOOKUP(Table134526_79101120212223242526[[#This Row],[Name Surname]],Manpower!C:C,Manpower!D:D,)</f>
        <v>114531608</v>
      </c>
      <c r="G1443" s="48" t="str">
        <f>_xlfn.XLOOKUP(Table134526_79101120212223242526[[#This Row],[Name Surname]],Manpower!$C$4:$C$1048576,Manpower!$F$4:$F$1048576,"")</f>
        <v>Crane Operator-150T Sany Crawler</v>
      </c>
      <c r="H1443" s="48" t="str">
        <f>_xlfn.XLOOKUP(Table134526_79101120212223242526[[#This Row],[Name Surname]],Manpower!$C$4:$C$1048576,Manpower!$H$4:$H$1048576,"")</f>
        <v>Manpower</v>
      </c>
      <c r="I1443" s="48" t="str">
        <f>_xlfn.XLOOKUP(Table134526_79101120212223242526[[#This Row],[Name Surname]],Manpower!$C$4:$C$1048576,Manpower!$H$4:$H$1048576,"")</f>
        <v>Manpower</v>
      </c>
      <c r="J1443" s="43" t="s">
        <v>48</v>
      </c>
      <c r="K1443" s="43" t="s">
        <v>26</v>
      </c>
      <c r="L1443" s="43" t="s">
        <v>49</v>
      </c>
      <c r="M1443" s="43" t="s">
        <v>24</v>
      </c>
      <c r="N1443" s="44">
        <v>10</v>
      </c>
      <c r="O1443" s="43" t="s">
        <v>40</v>
      </c>
      <c r="P1443" s="43" t="s">
        <v>41</v>
      </c>
      <c r="Q1443" s="43" t="s">
        <v>42</v>
      </c>
      <c r="R1443" s="43" t="s">
        <v>26</v>
      </c>
      <c r="S1443" s="43"/>
    </row>
    <row r="1444" spans="1:19" s="45" customFormat="1" ht="14.4" hidden="1">
      <c r="A1444" s="25">
        <f>IF(C1444="","",MAX($A$1:A1443)+1)</f>
        <v>1363</v>
      </c>
      <c r="B1444" s="25" t="s">
        <v>19</v>
      </c>
      <c r="C1444" s="41">
        <v>46093</v>
      </c>
      <c r="D1444" s="48" t="str">
        <f>_xlfn.XLOOKUP(Table134526_79101120212223242526[[#This Row],[Name Surname]],Manpower!$C$4:$C$1048576,Manpower!$B$4:$B$1048576,"")</f>
        <v>AL Saif &amp; Al QALLM ENT LLC</v>
      </c>
      <c r="E1444" s="43" t="s">
        <v>65</v>
      </c>
      <c r="F1444" s="12">
        <f>_xlfn.XLOOKUP(Table134526_79101120212223242526[[#This Row],[Name Surname]],Manpower!C:C,Manpower!D:D,)</f>
        <v>108478006</v>
      </c>
      <c r="G1444" s="48" t="str">
        <f>_xlfn.XLOOKUP(Table134526_79101120212223242526[[#This Row],[Name Surname]],Manpower!$C$4:$C$1048576,Manpower!$F$4:$F$1048576,"")</f>
        <v>RIgger</v>
      </c>
      <c r="H1444" s="48" t="str">
        <f>_xlfn.XLOOKUP(Table134526_79101120212223242526[[#This Row],[Name Surname]],Manpower!$C$4:$C$1048576,Manpower!$H$4:$H$1048576,"")</f>
        <v>Sub Contactor</v>
      </c>
      <c r="I1444" s="48" t="str">
        <f>_xlfn.XLOOKUP(Table134526_79101120212223242526[[#This Row],[Name Surname]],Manpower!$C$4:$C$1048576,Manpower!$H$4:$H$1048576,"")</f>
        <v>Sub Contactor</v>
      </c>
      <c r="J1444" s="43" t="s">
        <v>48</v>
      </c>
      <c r="K1444" s="43" t="s">
        <v>26</v>
      </c>
      <c r="L1444" s="43" t="s">
        <v>49</v>
      </c>
      <c r="M1444" s="43" t="s">
        <v>24</v>
      </c>
      <c r="N1444" s="44">
        <v>8</v>
      </c>
      <c r="O1444" s="43" t="s">
        <v>25</v>
      </c>
      <c r="P1444" s="43" t="s">
        <v>41</v>
      </c>
      <c r="Q1444" s="43" t="s">
        <v>60</v>
      </c>
      <c r="R1444" s="43" t="s">
        <v>26</v>
      </c>
      <c r="S1444" s="43"/>
    </row>
    <row r="1445" spans="1:19" s="45" customFormat="1" ht="14.4" hidden="1">
      <c r="A1445" s="25">
        <f>IF(C1445="","",MAX($A$1:A1444)+1)</f>
        <v>1364</v>
      </c>
      <c r="B1445" s="25" t="s">
        <v>19</v>
      </c>
      <c r="C1445" s="41">
        <v>46093</v>
      </c>
      <c r="D1445" s="48" t="str">
        <f>_xlfn.XLOOKUP(Table134526_79101120212223242526[[#This Row],[Name Surname]],Manpower!$C$4:$C$1048576,Manpower!$B$4:$B$1048576,"")</f>
        <v>AL Omar International TRAD AND CONT</v>
      </c>
      <c r="E1445" s="43" t="s">
        <v>66</v>
      </c>
      <c r="F1445" s="12">
        <f>_xlfn.XLOOKUP(Table134526_79101120212223242526[[#This Row],[Name Surname]],Manpower!C:C,Manpower!D:D,)</f>
        <v>115018512</v>
      </c>
      <c r="G1445" s="48" t="str">
        <f>_xlfn.XLOOKUP(Table134526_79101120212223242526[[#This Row],[Name Surname]],Manpower!$C$4:$C$1048576,Manpower!$F$4:$F$1048576,"")</f>
        <v>RIgger</v>
      </c>
      <c r="H1445" s="48" t="str">
        <f>_xlfn.XLOOKUP(Table134526_79101120212223242526[[#This Row],[Name Surname]],Manpower!$C$4:$C$1048576,Manpower!$H$4:$H$1048576,"")</f>
        <v>Sub Contactor</v>
      </c>
      <c r="I1445" s="48" t="str">
        <f>_xlfn.XLOOKUP(Table134526_79101120212223242526[[#This Row],[Name Surname]],Manpower!$C$4:$C$1048576,Manpower!$H$4:$H$1048576,"")</f>
        <v>Sub Contactor</v>
      </c>
      <c r="J1445" s="43" t="s">
        <v>48</v>
      </c>
      <c r="K1445" s="43" t="s">
        <v>26</v>
      </c>
      <c r="L1445" s="43" t="s">
        <v>49</v>
      </c>
      <c r="M1445" s="43" t="s">
        <v>24</v>
      </c>
      <c r="N1445" s="44">
        <v>8</v>
      </c>
      <c r="O1445" s="43" t="s">
        <v>25</v>
      </c>
      <c r="P1445" s="43" t="s">
        <v>41</v>
      </c>
      <c r="Q1445" s="43" t="s">
        <v>60</v>
      </c>
      <c r="R1445" s="43" t="s">
        <v>26</v>
      </c>
      <c r="S1445" s="43"/>
    </row>
    <row r="1446" spans="1:19" s="45" customFormat="1" ht="14.4" hidden="1">
      <c r="A1446" s="25">
        <f>IF(C1446="","",MAX($A$1:A1445)+1)</f>
        <v>1365</v>
      </c>
      <c r="B1446" s="25" t="s">
        <v>19</v>
      </c>
      <c r="C1446" s="41">
        <v>46093</v>
      </c>
      <c r="D1446" s="48" t="str">
        <f>_xlfn.XLOOKUP(Table134526_79101120212223242526[[#This Row],[Name Surname]],Manpower!$C$4:$C$1048576,Manpower!$B$4:$B$1048576,"")</f>
        <v>Encogroup</v>
      </c>
      <c r="E1446" s="43" t="s">
        <v>68</v>
      </c>
      <c r="F1446" s="12">
        <f>_xlfn.XLOOKUP(Table134526_79101120212223242526[[#This Row],[Name Surname]],Manpower!C:C,Manpower!D:D,)</f>
        <v>116915582</v>
      </c>
      <c r="G1446" s="48" t="str">
        <f>_xlfn.XLOOKUP(Table134526_79101120212223242526[[#This Row],[Name Surname]],Manpower!$C$4:$C$1048576,Manpower!$F$4:$F$1048576,"")</f>
        <v>Mechanical Superintendent</v>
      </c>
      <c r="H1446" s="48" t="str">
        <f>_xlfn.XLOOKUP(Table134526_79101120212223242526[[#This Row],[Name Surname]],Manpower!$C$4:$C$1048576,Manpower!$H$4:$H$1048576,"")</f>
        <v>Manpower</v>
      </c>
      <c r="I1446" s="48" t="str">
        <f>_xlfn.XLOOKUP(Table134526_79101120212223242526[[#This Row],[Name Surname]],Manpower!$C$4:$C$1048576,Manpower!$H$4:$H$1048576,"")</f>
        <v>Manpower</v>
      </c>
      <c r="J1446" s="43" t="s">
        <v>48</v>
      </c>
      <c r="K1446" s="43" t="s">
        <v>26</v>
      </c>
      <c r="L1446" s="43" t="s">
        <v>49</v>
      </c>
      <c r="M1446" s="43" t="s">
        <v>24</v>
      </c>
      <c r="N1446" s="44">
        <v>8</v>
      </c>
      <c r="O1446" s="43" t="s">
        <v>25</v>
      </c>
      <c r="P1446" s="43" t="s">
        <v>41</v>
      </c>
      <c r="Q1446" s="43" t="s">
        <v>60</v>
      </c>
      <c r="R1446" s="43" t="s">
        <v>26</v>
      </c>
      <c r="S1446" s="43"/>
    </row>
    <row r="1447" spans="1:19" s="45" customFormat="1" ht="14.4" hidden="1">
      <c r="A1447" s="25">
        <f>IF(C1447="","",MAX($A$1:A1446)+1)</f>
        <v>1366</v>
      </c>
      <c r="B1447" s="25" t="s">
        <v>19</v>
      </c>
      <c r="C1447" s="41">
        <v>46093</v>
      </c>
      <c r="D1447" s="48" t="str">
        <f>_xlfn.XLOOKUP(Table134526_79101120212223242526[[#This Row],[Name Surname]],Manpower!$C$4:$C$1048576,Manpower!$B$4:$B$1048576,"")</f>
        <v>Encogroup</v>
      </c>
      <c r="E1447" s="43" t="s">
        <v>69</v>
      </c>
      <c r="F1447" s="12">
        <f>_xlfn.XLOOKUP(Table134526_79101120212223242526[[#This Row],[Name Surname]],Manpower!C:C,Manpower!D:D,)</f>
        <v>141169071</v>
      </c>
      <c r="G1447" s="48" t="str">
        <f>_xlfn.XLOOKUP(Table134526_79101120212223242526[[#This Row],[Name Surname]],Manpower!$C$4:$C$1048576,Manpower!$F$4:$F$1048576,"")</f>
        <v>Welding Supervisor</v>
      </c>
      <c r="H1447" s="48" t="str">
        <f>_xlfn.XLOOKUP(Table134526_79101120212223242526[[#This Row],[Name Surname]],Manpower!$C$4:$C$1048576,Manpower!$H$4:$H$1048576,"")</f>
        <v>Manpower</v>
      </c>
      <c r="I1447" s="48" t="str">
        <f>_xlfn.XLOOKUP(Table134526_79101120212223242526[[#This Row],[Name Surname]],Manpower!$C$4:$C$1048576,Manpower!$H$4:$H$1048576,"")</f>
        <v>Manpower</v>
      </c>
      <c r="J1447" s="43" t="s">
        <v>48</v>
      </c>
      <c r="K1447" s="43" t="s">
        <v>26</v>
      </c>
      <c r="L1447" s="43" t="s">
        <v>49</v>
      </c>
      <c r="M1447" s="43" t="s">
        <v>24</v>
      </c>
      <c r="N1447" s="44">
        <v>10</v>
      </c>
      <c r="O1447" s="43" t="s">
        <v>25</v>
      </c>
      <c r="P1447" s="43" t="s">
        <v>41</v>
      </c>
      <c r="Q1447" s="43" t="s">
        <v>60</v>
      </c>
      <c r="R1447" s="43" t="s">
        <v>26</v>
      </c>
      <c r="S1447" s="43"/>
    </row>
    <row r="1448" spans="1:19" ht="14.4" hidden="1">
      <c r="A1448" s="33">
        <f>IF(C1448="","",MAX($A$1:A1447)+1)</f>
        <v>1367</v>
      </c>
      <c r="B1448" s="25" t="s">
        <v>19</v>
      </c>
      <c r="C1448" s="23">
        <v>46093</v>
      </c>
      <c r="D1448" s="28" t="str">
        <f>_xlfn.XLOOKUP(Table134526_79101120212223242526[[#This Row],[Name Surname]],Manpower!$C$4:$C$1048576,Manpower!$B$4:$B$1048576,"")</f>
        <v>Encogroup</v>
      </c>
      <c r="E1448" s="21" t="s">
        <v>59</v>
      </c>
      <c r="F1448" s="12">
        <f>_xlfn.XLOOKUP(Table134526_79101120212223242526[[#This Row],[Name Surname]],Manpower!C:C,Manpower!D:D,)</f>
        <v>141169085</v>
      </c>
      <c r="G1448" s="28" t="str">
        <f>_xlfn.XLOOKUP(Table134526_79101120212223242526[[#This Row],[Name Surname]],Manpower!$C$4:$C$1048576,Manpower!$F$4:$F$1048576,"")</f>
        <v>Welder</v>
      </c>
      <c r="H1448" s="28" t="str">
        <f>_xlfn.XLOOKUP(Table134526_79101120212223242526[[#This Row],[Name Surname]],Manpower!$C$4:$C$1048576,Manpower!$H$4:$H$1048576,"")</f>
        <v>Manpower</v>
      </c>
      <c r="I1448" s="28" t="str">
        <f>_xlfn.XLOOKUP(Table134526_79101120212223242526[[#This Row],[Name Surname]],Manpower!$C$4:$C$1048576,Manpower!$H$4:$H$1048576,"")</f>
        <v>Manpower</v>
      </c>
      <c r="J1448" s="21" t="s">
        <v>48</v>
      </c>
      <c r="K1448" s="21" t="s">
        <v>26</v>
      </c>
      <c r="L1448" s="21" t="s">
        <v>49</v>
      </c>
      <c r="M1448" s="21" t="s">
        <v>24</v>
      </c>
      <c r="N1448" s="29">
        <v>5</v>
      </c>
      <c r="O1448" s="21" t="s">
        <v>25</v>
      </c>
      <c r="P1448" s="21" t="s">
        <v>41</v>
      </c>
      <c r="Q1448" s="21" t="s">
        <v>60</v>
      </c>
      <c r="R1448" s="21" t="s">
        <v>26</v>
      </c>
    </row>
    <row r="1449" spans="1:19" ht="14.4" hidden="1">
      <c r="A1449" s="33">
        <f>IF(C1449="","",MAX($A$1:A1448)+1)</f>
        <v>1368</v>
      </c>
      <c r="B1449" s="25" t="s">
        <v>19</v>
      </c>
      <c r="C1449" s="23">
        <v>46093</v>
      </c>
      <c r="D1449" s="28" t="str">
        <f>_xlfn.XLOOKUP(Table134526_79101120212223242526[[#This Row],[Name Surname]],Manpower!$C$4:$C$1048576,Manpower!$B$4:$B$1048576,"")</f>
        <v>Encogroup</v>
      </c>
      <c r="E1449" s="21" t="s">
        <v>61</v>
      </c>
      <c r="F1449" s="12">
        <f>_xlfn.XLOOKUP(Table134526_79101120212223242526[[#This Row],[Name Surname]],Manpower!C:C,Manpower!D:D,)</f>
        <v>141169047</v>
      </c>
      <c r="G1449" s="28" t="str">
        <f>_xlfn.XLOOKUP(Table134526_79101120212223242526[[#This Row],[Name Surname]],Manpower!$C$4:$C$1048576,Manpower!$F$4:$F$1048576,"")</f>
        <v>Welder</v>
      </c>
      <c r="H1449" s="28" t="str">
        <f>_xlfn.XLOOKUP(Table134526_79101120212223242526[[#This Row],[Name Surname]],Manpower!$C$4:$C$1048576,Manpower!$H$4:$H$1048576,"")</f>
        <v>Manpower</v>
      </c>
      <c r="I1449" s="28" t="str">
        <f>_xlfn.XLOOKUP(Table134526_79101120212223242526[[#This Row],[Name Surname]],Manpower!$C$4:$C$1048576,Manpower!$H$4:$H$1048576,"")</f>
        <v>Manpower</v>
      </c>
      <c r="J1449" s="21" t="s">
        <v>48</v>
      </c>
      <c r="K1449" s="21" t="s">
        <v>26</v>
      </c>
      <c r="L1449" s="21" t="s">
        <v>49</v>
      </c>
      <c r="M1449" s="21" t="s">
        <v>24</v>
      </c>
      <c r="N1449" s="29">
        <v>5</v>
      </c>
      <c r="O1449" s="21" t="s">
        <v>25</v>
      </c>
      <c r="P1449" s="21" t="s">
        <v>41</v>
      </c>
      <c r="Q1449" s="21" t="s">
        <v>60</v>
      </c>
      <c r="R1449" s="21" t="s">
        <v>26</v>
      </c>
    </row>
    <row r="1450" spans="1:19" ht="14.4" hidden="1">
      <c r="A1450" s="33">
        <f>IF(C1450="","",MAX($A$1:A1449)+1)</f>
        <v>1369</v>
      </c>
      <c r="B1450" s="25" t="s">
        <v>19</v>
      </c>
      <c r="C1450" s="23">
        <v>46093</v>
      </c>
      <c r="D1450" s="28" t="str">
        <f>_xlfn.XLOOKUP(Table134526_79101120212223242526[[#This Row],[Name Surname]],Manpower!$C$4:$C$1048576,Manpower!$B$4:$B$1048576,"")</f>
        <v>Encogroup</v>
      </c>
      <c r="E1450" s="21" t="s">
        <v>70</v>
      </c>
      <c r="F1450" s="12">
        <f>_xlfn.XLOOKUP(Table134526_79101120212223242526[[#This Row],[Name Surname]],Manpower!C:C,Manpower!D:D,)</f>
        <v>141365126</v>
      </c>
      <c r="G1450" s="28" t="str">
        <f>_xlfn.XLOOKUP(Table134526_79101120212223242526[[#This Row],[Name Surname]],Manpower!$C$4:$C$1048576,Manpower!$F$4:$F$1048576,"")</f>
        <v>Helper</v>
      </c>
      <c r="H1450" s="28" t="str">
        <f>_xlfn.XLOOKUP(Table134526_79101120212223242526[[#This Row],[Name Surname]],Manpower!$C$4:$C$1048576,Manpower!$H$4:$H$1048576,"")</f>
        <v>Manpower</v>
      </c>
      <c r="I1450" s="28" t="str">
        <f>_xlfn.XLOOKUP(Table134526_79101120212223242526[[#This Row],[Name Surname]],Manpower!$C$4:$C$1048576,Manpower!$H$4:$H$1048576,"")</f>
        <v>Manpower</v>
      </c>
      <c r="J1450" s="21" t="s">
        <v>48</v>
      </c>
      <c r="K1450" s="21" t="s">
        <v>26</v>
      </c>
      <c r="L1450" s="21" t="s">
        <v>49</v>
      </c>
      <c r="M1450" s="21" t="s">
        <v>24</v>
      </c>
      <c r="N1450" s="29">
        <v>10</v>
      </c>
      <c r="O1450" s="21" t="s">
        <v>25</v>
      </c>
      <c r="P1450" s="21" t="s">
        <v>41</v>
      </c>
      <c r="Q1450" s="21" t="s">
        <v>60</v>
      </c>
      <c r="R1450" s="21" t="s">
        <v>26</v>
      </c>
    </row>
    <row r="1451" spans="1:19" s="45" customFormat="1" ht="14.4" hidden="1">
      <c r="A1451" s="25">
        <f>IF(C1451="","",MAX($A$1:A1450)+1)</f>
        <v>1370</v>
      </c>
      <c r="B1451" s="25" t="s">
        <v>19</v>
      </c>
      <c r="C1451" s="41">
        <v>46093</v>
      </c>
      <c r="D1451" s="48" t="str">
        <f>_xlfn.XLOOKUP(Table134526_79101120212223242526[[#This Row],[Name Surname]],Manpower!$C$4:$C$1048576,Manpower!$B$4:$B$1048576,"")</f>
        <v>AL Omar International TRAD AND CONT</v>
      </c>
      <c r="E1451" s="43" t="s">
        <v>197</v>
      </c>
      <c r="F1451" s="12">
        <f>_xlfn.XLOOKUP(Table134526_79101120212223242526[[#This Row],[Name Surname]],Manpower!C:C,Manpower!D:D,)</f>
        <v>106093463</v>
      </c>
      <c r="G1451" s="48" t="str">
        <f>_xlfn.XLOOKUP(Table134526_79101120212223242526[[#This Row],[Name Surname]],Manpower!$C$4:$C$1048576,Manpower!$F$4:$F$1048576,"")</f>
        <v>RIgger</v>
      </c>
      <c r="H1451" s="48" t="str">
        <f>_xlfn.XLOOKUP(Table134526_79101120212223242526[[#This Row],[Name Surname]],Manpower!$C$4:$C$1048576,Manpower!$H$4:$H$1048576,"")</f>
        <v>Sub Contactor</v>
      </c>
      <c r="I1451" s="48" t="str">
        <f>_xlfn.XLOOKUP(Table134526_79101120212223242526[[#This Row],[Name Surname]],Manpower!$C$4:$C$1048576,Manpower!$H$4:$H$1048576,"")</f>
        <v>Sub Contactor</v>
      </c>
      <c r="J1451" s="43" t="s">
        <v>48</v>
      </c>
      <c r="K1451" s="43" t="s">
        <v>26</v>
      </c>
      <c r="L1451" s="43" t="s">
        <v>49</v>
      </c>
      <c r="M1451" s="43" t="s">
        <v>24</v>
      </c>
      <c r="N1451" s="44">
        <v>10</v>
      </c>
      <c r="O1451" s="43" t="s">
        <v>25</v>
      </c>
      <c r="P1451" s="43" t="s">
        <v>41</v>
      </c>
      <c r="Q1451" s="43" t="s">
        <v>60</v>
      </c>
      <c r="R1451" s="43" t="s">
        <v>26</v>
      </c>
      <c r="S1451" s="43"/>
    </row>
    <row r="1452" spans="1:19" s="45" customFormat="1" ht="14.4" hidden="1">
      <c r="A1452" s="25">
        <f>IF(C1452="","",MAX($A$1:A1450)+1)</f>
        <v>1370</v>
      </c>
      <c r="B1452" s="25" t="s">
        <v>19</v>
      </c>
      <c r="C1452" s="41">
        <v>46093</v>
      </c>
      <c r="D1452" s="48" t="str">
        <f>_xlfn.XLOOKUP(Table134526_79101120212223242526[[#This Row],[Name Surname]],Manpower!$C$4:$C$1048576,Manpower!$B$4:$B$1048576,"")</f>
        <v>Encogroup</v>
      </c>
      <c r="E1452" s="43" t="s">
        <v>299</v>
      </c>
      <c r="F1452" s="12">
        <f>_xlfn.XLOOKUP(Table134526_79101120212223242526[[#This Row],[Name Surname]],Manpower!C:C,Manpower!D:D,)</f>
        <v>140849254</v>
      </c>
      <c r="G1452" s="48" t="str">
        <f>_xlfn.XLOOKUP(Table134526_79101120212223242526[[#This Row],[Name Surname]],Manpower!$C$4:$C$1048576,Manpower!$F$4:$F$1048576,"")</f>
        <v>Construction Manager</v>
      </c>
      <c r="H1452" s="48" t="str">
        <f>_xlfn.XLOOKUP(Table134526_79101120212223242526[[#This Row],[Name Surname]],Manpower!$C$4:$C$1048576,Manpower!$H$4:$H$1048576,"")</f>
        <v>Manpower</v>
      </c>
      <c r="I1452" s="48" t="str">
        <f>_xlfn.XLOOKUP(Table134526_79101120212223242526[[#This Row],[Name Surname]],Manpower!$C$4:$C$1048576,Manpower!$H$4:$H$1048576,"")</f>
        <v>Manpower</v>
      </c>
      <c r="J1452" s="43" t="s">
        <v>48</v>
      </c>
      <c r="K1452" s="43" t="s">
        <v>26</v>
      </c>
      <c r="L1452" s="43" t="s">
        <v>49</v>
      </c>
      <c r="M1452" s="43" t="s">
        <v>24</v>
      </c>
      <c r="N1452" s="44">
        <v>10</v>
      </c>
      <c r="O1452" s="43" t="s">
        <v>25</v>
      </c>
      <c r="P1452" s="43" t="s">
        <v>41</v>
      </c>
      <c r="Q1452" s="43" t="s">
        <v>60</v>
      </c>
      <c r="R1452" s="43" t="s">
        <v>26</v>
      </c>
      <c r="S1452" s="43"/>
    </row>
    <row r="1453" spans="1:19" s="45" customFormat="1" ht="14.4" hidden="1">
      <c r="A1453" s="25">
        <f>IF(C1453="","",MAX($A$1:A1452)+1)</f>
        <v>1371</v>
      </c>
      <c r="B1453" s="25" t="s">
        <v>19</v>
      </c>
      <c r="C1453" s="41">
        <v>46093</v>
      </c>
      <c r="D1453" s="48" t="str">
        <f>_xlfn.XLOOKUP(Table134526_79101120212223242526[[#This Row],[Name Surname]],Manpower!$C$4:$C$1048576,Manpower!$B$4:$B$1048576,"")</f>
        <v>Encogroup</v>
      </c>
      <c r="E1453" s="43" t="s">
        <v>44</v>
      </c>
      <c r="F1453" s="12">
        <f>_xlfn.XLOOKUP(Table134526_79101120212223242526[[#This Row],[Name Surname]],Manpower!C:C,Manpower!D:D,)</f>
        <v>140806218</v>
      </c>
      <c r="G1453" s="48" t="str">
        <f>_xlfn.XLOOKUP(Table134526_79101120212223242526[[#This Row],[Name Surname]],Manpower!$C$4:$C$1048576,Manpower!$F$4:$F$1048576,"")</f>
        <v>Fitter/Erector</v>
      </c>
      <c r="H1453" s="48" t="str">
        <f>_xlfn.XLOOKUP(Table134526_79101120212223242526[[#This Row],[Name Surname]],Manpower!$C$4:$C$1048576,Manpower!$H$4:$H$1048576,"")</f>
        <v>Manpower</v>
      </c>
      <c r="I1453" s="48" t="str">
        <f>_xlfn.XLOOKUP(Table134526_79101120212223242526[[#This Row],[Name Surname]],Manpower!$C$4:$C$1048576,Manpower!$H$4:$H$1048576,"")</f>
        <v>Manpower</v>
      </c>
      <c r="J1453" s="43" t="s">
        <v>48</v>
      </c>
      <c r="K1453" s="43" t="s">
        <v>26</v>
      </c>
      <c r="L1453" s="43" t="s">
        <v>49</v>
      </c>
      <c r="M1453" s="43" t="s">
        <v>24</v>
      </c>
      <c r="N1453" s="44">
        <v>10</v>
      </c>
      <c r="O1453" s="43" t="s">
        <v>25</v>
      </c>
      <c r="P1453" s="43" t="s">
        <v>41</v>
      </c>
      <c r="Q1453" s="43" t="s">
        <v>60</v>
      </c>
      <c r="R1453" s="43" t="s">
        <v>26</v>
      </c>
      <c r="S1453" s="43"/>
    </row>
    <row r="1454" spans="1:19" s="45" customFormat="1" ht="14.4" hidden="1">
      <c r="A1454" s="25">
        <f>IF(C1454="","",MAX($A$1:A1453)+1)</f>
        <v>1372</v>
      </c>
      <c r="B1454" s="25" t="s">
        <v>19</v>
      </c>
      <c r="C1454" s="41">
        <v>46093</v>
      </c>
      <c r="D1454" s="48" t="str">
        <f>_xlfn.XLOOKUP(Table134526_79101120212223242526[[#This Row],[Name Surname]],Manpower!$C$4:$C$1048576,Manpower!$B$4:$B$1048576,"")</f>
        <v>Encogroup</v>
      </c>
      <c r="E1454" s="43" t="s">
        <v>34</v>
      </c>
      <c r="F1454" s="12">
        <f>_xlfn.XLOOKUP(Table134526_79101120212223242526[[#This Row],[Name Surname]],Manpower!C:C,Manpower!D:D,)</f>
        <v>141365023</v>
      </c>
      <c r="G1454" s="48" t="str">
        <f>_xlfn.XLOOKUP(Table134526_79101120212223242526[[#This Row],[Name Surname]],Manpower!$C$4:$C$1048576,Manpower!$F$4:$F$1048576,"")</f>
        <v>Grinder</v>
      </c>
      <c r="H1454" s="48" t="str">
        <f>_xlfn.XLOOKUP(Table134526_79101120212223242526[[#This Row],[Name Surname]],Manpower!$C$4:$C$1048576,Manpower!$H$4:$H$1048576,"")</f>
        <v>Manpower</v>
      </c>
      <c r="I1454" s="48" t="str">
        <f>_xlfn.XLOOKUP(Table134526_79101120212223242526[[#This Row],[Name Surname]],Manpower!$C$4:$C$1048576,Manpower!$H$4:$H$1048576,"")</f>
        <v>Manpower</v>
      </c>
      <c r="J1454" s="43" t="s">
        <v>48</v>
      </c>
      <c r="K1454" s="43" t="s">
        <v>26</v>
      </c>
      <c r="L1454" s="43" t="s">
        <v>49</v>
      </c>
      <c r="M1454" s="43" t="s">
        <v>24</v>
      </c>
      <c r="N1454" s="44">
        <v>10</v>
      </c>
      <c r="O1454" s="43" t="s">
        <v>25</v>
      </c>
      <c r="P1454" s="43" t="s">
        <v>41</v>
      </c>
      <c r="Q1454" s="43" t="s">
        <v>60</v>
      </c>
      <c r="R1454" s="43" t="s">
        <v>26</v>
      </c>
      <c r="S1454" s="43"/>
    </row>
    <row r="1455" spans="1:19" s="45" customFormat="1" ht="14.4" hidden="1">
      <c r="A1455" s="25">
        <f>IF(C1455="","",MAX($A$1:A1450)+1)</f>
        <v>1370</v>
      </c>
      <c r="B1455" s="25" t="s">
        <v>19</v>
      </c>
      <c r="C1455" s="41">
        <v>46093</v>
      </c>
      <c r="D1455" s="48" t="str">
        <f>_xlfn.XLOOKUP(Table134526_79101120212223242526[[#This Row],[Name Surname]],Manpower!$C$4:$C$1048576,Manpower!$B$4:$B$1048576,"")</f>
        <v>Bright Light</v>
      </c>
      <c r="E1455" s="43" t="s">
        <v>71</v>
      </c>
      <c r="F1455" s="12">
        <f>_xlfn.XLOOKUP(Table134526_79101120212223242526[[#This Row],[Name Surname]],Manpower!C:C,Manpower!D:D,)</f>
        <v>81379273</v>
      </c>
      <c r="G1455" s="48" t="str">
        <f>_xlfn.XLOOKUP(Table134526_79101120212223242526[[#This Row],[Name Surname]],Manpower!$C$4:$C$1048576,Manpower!$F$4:$F$1048576,"")</f>
        <v>Crane Operator-100T Sany Telescopic</v>
      </c>
      <c r="H1455" s="48" t="str">
        <f>_xlfn.XLOOKUP(Table134526_79101120212223242526[[#This Row],[Name Surname]],Manpower!$C$4:$C$1048576,Manpower!$H$4:$H$1048576,"")</f>
        <v>Manpower</v>
      </c>
      <c r="I1455" s="48" t="str">
        <f>_xlfn.XLOOKUP(Table134526_79101120212223242526[[#This Row],[Name Surname]],Manpower!$C$4:$C$1048576,Manpower!$H$4:$H$1048576,"")</f>
        <v>Manpower</v>
      </c>
      <c r="J1455" s="43" t="s">
        <v>48</v>
      </c>
      <c r="K1455" s="43" t="s">
        <v>26</v>
      </c>
      <c r="L1455" s="43" t="s">
        <v>49</v>
      </c>
      <c r="M1455" s="43" t="s">
        <v>24</v>
      </c>
      <c r="N1455" s="44">
        <v>10</v>
      </c>
      <c r="O1455" s="43" t="s">
        <v>40</v>
      </c>
      <c r="P1455" s="43" t="s">
        <v>41</v>
      </c>
      <c r="Q1455" s="43" t="s">
        <v>42</v>
      </c>
      <c r="R1455" s="43" t="s">
        <v>26</v>
      </c>
      <c r="S1455" s="43"/>
    </row>
    <row r="1456" spans="1:19" s="45" customFormat="1" ht="14.4" hidden="1">
      <c r="A1456" s="25">
        <f>IF(C1456="","",MAX($A$1:A1455)+1)</f>
        <v>1373</v>
      </c>
      <c r="B1456" s="25" t="s">
        <v>19</v>
      </c>
      <c r="C1456" s="41">
        <v>46093</v>
      </c>
      <c r="D1456" s="48" t="str">
        <f>_xlfn.XLOOKUP(Table134526_79101120212223242526[[#This Row],[Name Surname]],Manpower!$C$4:$C$1048576,Manpower!$B$4:$B$1048576,"")</f>
        <v>Encogroup</v>
      </c>
      <c r="E1456" s="43" t="s">
        <v>73</v>
      </c>
      <c r="F1456" s="12">
        <f>_xlfn.XLOOKUP(Table134526_79101120212223242526[[#This Row],[Name Surname]],Manpower!C:C,Manpower!D:D,)</f>
        <v>135325259</v>
      </c>
      <c r="G1456" s="48" t="str">
        <f>_xlfn.XLOOKUP(Table134526_79101120212223242526[[#This Row],[Name Surname]],Manpower!$C$4:$C$1048576,Manpower!$F$4:$F$1048576,"")</f>
        <v>Permit Receiver</v>
      </c>
      <c r="H1456" s="48" t="str">
        <f>_xlfn.XLOOKUP(Table134526_79101120212223242526[[#This Row],[Name Surname]],Manpower!$C$4:$C$1048576,Manpower!$H$4:$H$1048576,"")</f>
        <v>Manpower</v>
      </c>
      <c r="I1456" s="48" t="str">
        <f>_xlfn.XLOOKUP(Table134526_79101120212223242526[[#This Row],[Name Surname]],Manpower!$C$4:$C$1048576,Manpower!$H$4:$H$1048576,"")</f>
        <v>Manpower</v>
      </c>
      <c r="J1456" s="43" t="s">
        <v>48</v>
      </c>
      <c r="K1456" s="43" t="s">
        <v>26</v>
      </c>
      <c r="L1456" s="43" t="s">
        <v>49</v>
      </c>
      <c r="M1456" s="43" t="s">
        <v>24</v>
      </c>
      <c r="N1456" s="44">
        <v>10</v>
      </c>
      <c r="O1456" s="43" t="s">
        <v>25</v>
      </c>
      <c r="P1456" s="43" t="s">
        <v>41</v>
      </c>
      <c r="Q1456" s="43" t="s">
        <v>60</v>
      </c>
      <c r="R1456" s="43" t="s">
        <v>26</v>
      </c>
      <c r="S1456" s="43"/>
    </row>
    <row r="1457" spans="1:19" ht="14.4" hidden="1">
      <c r="A1457" s="33">
        <f>IF(C1457="","",MAX($A$1:A1456)+1)</f>
        <v>1374</v>
      </c>
      <c r="B1457" s="25" t="s">
        <v>19</v>
      </c>
      <c r="C1457" s="23">
        <v>46093</v>
      </c>
      <c r="D1457" s="28" t="str">
        <f>_xlfn.XLOOKUP(Table134526_79101120212223242526[[#This Row],[Name Surname]],Manpower!$C$4:$C$1048576,Manpower!$B$4:$B$1048576,"")</f>
        <v>Encogroup</v>
      </c>
      <c r="E1457" s="21" t="s">
        <v>74</v>
      </c>
      <c r="F1457" s="12">
        <f>_xlfn.XLOOKUP(Table134526_79101120212223242526[[#This Row],[Name Surname]],Manpower!C:C,Manpower!D:D,)</f>
        <v>141365089</v>
      </c>
      <c r="G1457" s="28" t="str">
        <f>_xlfn.XLOOKUP(Table134526_79101120212223242526[[#This Row],[Name Surname]],Manpower!$C$4:$C$1048576,Manpower!$F$4:$F$1048576,"")</f>
        <v>Fitter</v>
      </c>
      <c r="H1457" s="28" t="str">
        <f>_xlfn.XLOOKUP(Table134526_79101120212223242526[[#This Row],[Name Surname]],Manpower!$C$4:$C$1048576,Manpower!$H$4:$H$1048576,"")</f>
        <v>Manpower</v>
      </c>
      <c r="I1457" s="28" t="str">
        <f>_xlfn.XLOOKUP(Table134526_79101120212223242526[[#This Row],[Name Surname]],Manpower!$C$4:$C$1048576,Manpower!$H$4:$H$1048576,"")</f>
        <v>Manpower</v>
      </c>
      <c r="J1457" s="21" t="s">
        <v>48</v>
      </c>
      <c r="K1457" s="21" t="s">
        <v>26</v>
      </c>
      <c r="L1457" s="21" t="s">
        <v>49</v>
      </c>
      <c r="M1457" s="21" t="s">
        <v>24</v>
      </c>
      <c r="N1457" s="29">
        <v>10</v>
      </c>
      <c r="O1457" s="21" t="s">
        <v>25</v>
      </c>
      <c r="P1457" s="21" t="s">
        <v>41</v>
      </c>
      <c r="Q1457" s="21" t="s">
        <v>60</v>
      </c>
      <c r="R1457" s="21" t="s">
        <v>26</v>
      </c>
    </row>
    <row r="1458" spans="1:19" s="45" customFormat="1" ht="14.4" hidden="1">
      <c r="A1458" s="25">
        <f>IF(C1458="","",MAX($A$1:A1457)+1)</f>
        <v>1375</v>
      </c>
      <c r="B1458" s="25" t="s">
        <v>19</v>
      </c>
      <c r="C1458" s="41">
        <v>46093</v>
      </c>
      <c r="D1458" s="48" t="str">
        <f>_xlfn.XLOOKUP(Table134526_79101120212223242526[[#This Row],[Name Surname]],Manpower!$C$4:$C$1048576,Manpower!$B$4:$B$1048576,"")</f>
        <v>Encogroup</v>
      </c>
      <c r="E1458" s="43" t="s">
        <v>75</v>
      </c>
      <c r="F1458" s="12">
        <f>_xlfn.XLOOKUP(Table134526_79101120212223242526[[#This Row],[Name Surname]],Manpower!C:C,Manpower!D:D,)</f>
        <v>122179604</v>
      </c>
      <c r="G1458" s="48" t="str">
        <f>_xlfn.XLOOKUP(Table134526_79101120212223242526[[#This Row],[Name Surname]],Manpower!$C$4:$C$1048576,Manpower!$F$4:$F$1048576,"")</f>
        <v>Fitter/Erector</v>
      </c>
      <c r="H1458" s="48" t="str">
        <f>_xlfn.XLOOKUP(Table134526_79101120212223242526[[#This Row],[Name Surname]],Manpower!$C$4:$C$1048576,Manpower!$H$4:$H$1048576,"")</f>
        <v>Manpower</v>
      </c>
      <c r="I1458" s="48" t="str">
        <f>_xlfn.XLOOKUP(Table134526_79101120212223242526[[#This Row],[Name Surname]],Manpower!$C$4:$C$1048576,Manpower!$H$4:$H$1048576,"")</f>
        <v>Manpower</v>
      </c>
      <c r="J1458" s="43" t="s">
        <v>48</v>
      </c>
      <c r="K1458" s="43" t="s">
        <v>26</v>
      </c>
      <c r="L1458" s="43" t="s">
        <v>49</v>
      </c>
      <c r="M1458" s="43" t="s">
        <v>24</v>
      </c>
      <c r="N1458" s="44">
        <v>10</v>
      </c>
      <c r="O1458" s="43" t="s">
        <v>25</v>
      </c>
      <c r="P1458" s="43" t="s">
        <v>41</v>
      </c>
      <c r="Q1458" s="43" t="s">
        <v>60</v>
      </c>
      <c r="R1458" s="43" t="s">
        <v>26</v>
      </c>
      <c r="S1458" s="43"/>
    </row>
    <row r="1459" spans="1:19" s="45" customFormat="1" ht="14.4" hidden="1">
      <c r="A1459" s="25">
        <f>IF(C1459="","",MAX($A$1:A1458)+1)</f>
        <v>1376</v>
      </c>
      <c r="B1459" s="25" t="s">
        <v>19</v>
      </c>
      <c r="C1459" s="41">
        <v>46093</v>
      </c>
      <c r="D1459" s="48" t="str">
        <f>_xlfn.XLOOKUP(Table134526_79101120212223242526[[#This Row],[Name Surname]],Manpower!$C$4:$C$1048576,Manpower!$B$4:$B$1048576,"")</f>
        <v>Encogroup</v>
      </c>
      <c r="E1459" s="43" t="s">
        <v>78</v>
      </c>
      <c r="F1459" s="12">
        <f>_xlfn.XLOOKUP(Table134526_79101120212223242526[[#This Row],[Name Surname]],Manpower!C:C,Manpower!D:D,)</f>
        <v>117255966</v>
      </c>
      <c r="G1459" s="48" t="str">
        <f>_xlfn.XLOOKUP(Table134526_79101120212223242526[[#This Row],[Name Surname]],Manpower!$C$4:$C$1048576,Manpower!$F$4:$F$1048576,"")</f>
        <v>Mechanical Supervisor</v>
      </c>
      <c r="H1459" s="48" t="str">
        <f>_xlfn.XLOOKUP(Table134526_79101120212223242526[[#This Row],[Name Surname]],Manpower!$C$4:$C$1048576,Manpower!$H$4:$H$1048576,"")</f>
        <v>Manpower</v>
      </c>
      <c r="I1459" s="48" t="str">
        <f>_xlfn.XLOOKUP(Table134526_79101120212223242526[[#This Row],[Name Surname]],Manpower!$C$4:$C$1048576,Manpower!$H$4:$H$1048576,"")</f>
        <v>Manpower</v>
      </c>
      <c r="J1459" s="43" t="s">
        <v>48</v>
      </c>
      <c r="K1459" s="43" t="s">
        <v>26</v>
      </c>
      <c r="L1459" s="43" t="s">
        <v>49</v>
      </c>
      <c r="M1459" s="43" t="s">
        <v>24</v>
      </c>
      <c r="N1459" s="44">
        <v>10</v>
      </c>
      <c r="O1459" s="43" t="s">
        <v>25</v>
      </c>
      <c r="P1459" s="43" t="s">
        <v>41</v>
      </c>
      <c r="Q1459" s="43" t="s">
        <v>60</v>
      </c>
      <c r="R1459" s="43" t="s">
        <v>26</v>
      </c>
      <c r="S1459" s="43"/>
    </row>
    <row r="1460" spans="1:19" ht="14.4">
      <c r="A1460" s="33">
        <f>IF(C1460="","",MAX($A$1:A1459)+1)</f>
        <v>1377</v>
      </c>
      <c r="B1460" s="26" t="s">
        <v>79</v>
      </c>
      <c r="C1460" s="23">
        <v>46093</v>
      </c>
      <c r="D1460" s="28" t="str">
        <f>_xlfn.XLOOKUP(Table134526_79101120212223242526[[#This Row],[Name Surname]],Manpower!$C$4:$C$1048576,Manpower!$B$4:$B$1048576,"")</f>
        <v>Encogroup</v>
      </c>
      <c r="E1460" s="21" t="s">
        <v>80</v>
      </c>
      <c r="F1460" s="12" t="e">
        <f>_xlfn.XLOOKUP(Table134526_79101120212223242526[[#This Row],[Name Surname]],Manpower!C:C,Manpower!D:D,)</f>
        <v>#N/A</v>
      </c>
      <c r="G1460" s="28" t="str">
        <f>_xlfn.XLOOKUP(Table134526_79101120212223242526[[#This Row],[Name Surname]],Manpower!$C$4:$C$1048576,Manpower!$F$4:$F$1048576,"")</f>
        <v>22M-Manlift</v>
      </c>
      <c r="H1460" s="28" t="str">
        <f>_xlfn.XLOOKUP(Table134526_79101120212223242526[[#This Row],[Name Surname]],Manpower!$C$4:$C$1048576,Manpower!$H$4:$H$1048576,"")</f>
        <v>Equipment</v>
      </c>
      <c r="I1460" s="28" t="str">
        <f>_xlfn.XLOOKUP(Table134526_79101120212223242526[[#This Row],[Name Surname]],Manpower!$C$4:$C$1048576,Manpower!$H$4:$H$1048576,"")</f>
        <v>Equipment</v>
      </c>
      <c r="J1460" s="21" t="s">
        <v>35</v>
      </c>
      <c r="K1460" s="21" t="s">
        <v>104</v>
      </c>
      <c r="L1460" s="21" t="s">
        <v>82</v>
      </c>
      <c r="M1460" s="21" t="s">
        <v>24</v>
      </c>
      <c r="N1460" s="29">
        <v>10</v>
      </c>
      <c r="O1460" s="21" t="s">
        <v>25</v>
      </c>
      <c r="P1460" s="21" t="s">
        <v>41</v>
      </c>
      <c r="Q1460" s="21" t="s">
        <v>77</v>
      </c>
      <c r="R1460" s="21" t="s">
        <v>267</v>
      </c>
    </row>
    <row r="1461" spans="1:19" ht="14.4">
      <c r="A1461" s="33">
        <f>IF(C1461="","",MAX($A$1:A1460)+1)</f>
        <v>1378</v>
      </c>
      <c r="B1461" s="26" t="s">
        <v>79</v>
      </c>
      <c r="C1461" s="23">
        <v>46093</v>
      </c>
      <c r="D1461" s="28" t="str">
        <f>_xlfn.XLOOKUP(Table134526_79101120212223242526[[#This Row],[Name Surname]],Manpower!$C$4:$C$1048576,Manpower!$B$4:$B$1048576,"")</f>
        <v>Encogroup</v>
      </c>
      <c r="E1461" s="21" t="s">
        <v>84</v>
      </c>
      <c r="F1461" s="12" t="e">
        <f>_xlfn.XLOOKUP(Table134526_79101120212223242526[[#This Row],[Name Surname]],Manpower!C:C,Manpower!D:D,)</f>
        <v>#N/A</v>
      </c>
      <c r="G1461" s="28" t="str">
        <f>_xlfn.XLOOKUP(Table134526_79101120212223242526[[#This Row],[Name Surname]],Manpower!$C$4:$C$1048576,Manpower!$F$4:$F$1048576,"")</f>
        <v>22M-Manlift</v>
      </c>
      <c r="H1461" s="28" t="str">
        <f>_xlfn.XLOOKUP(Table134526_79101120212223242526[[#This Row],[Name Surname]],Manpower!$C$4:$C$1048576,Manpower!$H$4:$H$1048576,"")</f>
        <v>Equipment</v>
      </c>
      <c r="I1461" s="28" t="str">
        <f>_xlfn.XLOOKUP(Table134526_79101120212223242526[[#This Row],[Name Surname]],Manpower!$C$4:$C$1048576,Manpower!$H$4:$H$1048576,"")</f>
        <v>Equipment</v>
      </c>
      <c r="J1461" s="21" t="s">
        <v>35</v>
      </c>
      <c r="K1461" s="21" t="s">
        <v>104</v>
      </c>
      <c r="L1461" s="21" t="s">
        <v>82</v>
      </c>
      <c r="M1461" s="21" t="s">
        <v>24</v>
      </c>
      <c r="N1461" s="29">
        <v>10</v>
      </c>
      <c r="O1461" s="21" t="s">
        <v>25</v>
      </c>
      <c r="P1461" s="21" t="s">
        <v>41</v>
      </c>
      <c r="Q1461" s="21" t="s">
        <v>77</v>
      </c>
      <c r="R1461" s="21" t="s">
        <v>267</v>
      </c>
    </row>
    <row r="1462" spans="1:19" ht="14.4">
      <c r="A1462" s="33">
        <f>IF(C1462="","",MAX($A$1:A1461)+1)</f>
        <v>1379</v>
      </c>
      <c r="B1462" s="26" t="s">
        <v>79</v>
      </c>
      <c r="C1462" s="23">
        <v>46093</v>
      </c>
      <c r="D1462" s="28" t="str">
        <f>_xlfn.XLOOKUP(Table134526_79101120212223242526[[#This Row],[Name Surname]],Manpower!$C$4:$C$1048576,Manpower!$B$4:$B$1048576,"")</f>
        <v>Nass Group</v>
      </c>
      <c r="E1462" s="21" t="s">
        <v>86</v>
      </c>
      <c r="F1462" s="12" t="e">
        <f>_xlfn.XLOOKUP(Table134526_79101120212223242526[[#This Row],[Name Surname]],Manpower!C:C,Manpower!D:D,)</f>
        <v>#N/A</v>
      </c>
      <c r="G1462" s="28" t="str">
        <f>_xlfn.XLOOKUP(Table134526_79101120212223242526[[#This Row],[Name Surname]],Manpower!$C$4:$C$1048576,Manpower!$F$4:$F$1048576,"")</f>
        <v>70T-Telescopic crane</v>
      </c>
      <c r="H1462" s="28" t="str">
        <f>_xlfn.XLOOKUP(Table134526_79101120212223242526[[#This Row],[Name Surname]],Manpower!$C$4:$C$1048576,Manpower!$H$4:$H$1048576,"")</f>
        <v>Equipment</v>
      </c>
      <c r="I1462" s="28" t="str">
        <f>_xlfn.XLOOKUP(Table134526_79101120212223242526[[#This Row],[Name Surname]],Manpower!$C$4:$C$1048576,Manpower!$H$4:$H$1048576,"")</f>
        <v>Equipment</v>
      </c>
      <c r="J1462" s="21" t="s">
        <v>35</v>
      </c>
      <c r="K1462" s="21" t="s">
        <v>279</v>
      </c>
      <c r="L1462" s="21" t="s">
        <v>82</v>
      </c>
      <c r="M1462" s="21" t="s">
        <v>24</v>
      </c>
      <c r="N1462" s="29">
        <v>10</v>
      </c>
      <c r="O1462" s="21" t="s">
        <v>40</v>
      </c>
      <c r="P1462" s="21" t="s">
        <v>41</v>
      </c>
      <c r="Q1462" s="21" t="s">
        <v>42</v>
      </c>
      <c r="R1462" s="21" t="s">
        <v>300</v>
      </c>
    </row>
    <row r="1463" spans="1:19" s="45" customFormat="1" ht="14.4" hidden="1">
      <c r="A1463" s="25">
        <f>IF(C1463="","",MAX($A$1:A1462)+1)</f>
        <v>1380</v>
      </c>
      <c r="B1463" s="25" t="s">
        <v>79</v>
      </c>
      <c r="C1463" s="41">
        <v>46093</v>
      </c>
      <c r="D1463" s="48" t="str">
        <f>_xlfn.XLOOKUP(Table134526_79101120212223242526[[#This Row],[Name Surname]],Manpower!$C$4:$C$1048576,Manpower!$B$4:$B$1048576,"")</f>
        <v>Encogroup</v>
      </c>
      <c r="E1463" s="43" t="s">
        <v>91</v>
      </c>
      <c r="F1463" s="12">
        <f>_xlfn.XLOOKUP(Table134526_79101120212223242526[[#This Row],[Name Surname]],Manpower!C:C,Manpower!D:D,)</f>
        <v>132915855</v>
      </c>
      <c r="G1463" s="48" t="str">
        <f>_xlfn.XLOOKUP(Table134526_79101120212223242526[[#This Row],[Name Surname]],Manpower!$C$4:$C$1048576,Manpower!$F$4:$F$1048576,"")</f>
        <v>Mechanical Supervisor</v>
      </c>
      <c r="H1463" s="48" t="str">
        <f>_xlfn.XLOOKUP(Table134526_79101120212223242526[[#This Row],[Name Surname]],Manpower!$C$4:$C$1048576,Manpower!$H$4:$H$1048576,"")</f>
        <v>Manpower</v>
      </c>
      <c r="I1463" s="48" t="str">
        <f>_xlfn.XLOOKUP(Table134526_79101120212223242526[[#This Row],[Name Surname]],Manpower!$C$4:$C$1048576,Manpower!$H$4:$H$1048576,"")</f>
        <v>Manpower</v>
      </c>
      <c r="J1463" s="43" t="s">
        <v>35</v>
      </c>
      <c r="K1463" s="43" t="s">
        <v>279</v>
      </c>
      <c r="L1463" s="43" t="s">
        <v>82</v>
      </c>
      <c r="M1463" s="43" t="s">
        <v>24</v>
      </c>
      <c r="N1463" s="44">
        <v>8</v>
      </c>
      <c r="O1463" s="43" t="s">
        <v>25</v>
      </c>
      <c r="P1463" s="43" t="s">
        <v>60</v>
      </c>
      <c r="Q1463" s="43" t="s">
        <v>60</v>
      </c>
      <c r="R1463" s="43" t="s">
        <v>301</v>
      </c>
      <c r="S1463" s="43"/>
    </row>
    <row r="1464" spans="1:19" s="45" customFormat="1" ht="14.4" hidden="1">
      <c r="A1464" s="25">
        <f>IF(C1464="","",MAX($A$1:A1463)+1)</f>
        <v>1381</v>
      </c>
      <c r="B1464" s="25" t="s">
        <v>79</v>
      </c>
      <c r="C1464" s="41">
        <v>46093</v>
      </c>
      <c r="D1464" s="48" t="str">
        <f>_xlfn.XLOOKUP(Table134526_79101120212223242526[[#This Row],[Name Surname]],Manpower!$C$4:$C$1048576,Manpower!$B$4:$B$1048576,"")</f>
        <v>Encogroup</v>
      </c>
      <c r="E1464" s="43" t="s">
        <v>124</v>
      </c>
      <c r="F1464" s="12">
        <f>_xlfn.XLOOKUP(Table134526_79101120212223242526[[#This Row],[Name Surname]],Manpower!C:C,Manpower!D:D,)</f>
        <v>141169033</v>
      </c>
      <c r="G1464" s="48" t="str">
        <f>_xlfn.XLOOKUP(Table134526_79101120212223242526[[#This Row],[Name Surname]],Manpower!$C$4:$C$1048576,Manpower!$F$4:$F$1048576,"")</f>
        <v>Welder</v>
      </c>
      <c r="H1464" s="48" t="str">
        <f>_xlfn.XLOOKUP(Table134526_79101120212223242526[[#This Row],[Name Surname]],Manpower!$C$4:$C$1048576,Manpower!$H$4:$H$1048576,"")</f>
        <v>Manpower</v>
      </c>
      <c r="I1464" s="48" t="str">
        <f>_xlfn.XLOOKUP(Table134526_79101120212223242526[[#This Row],[Name Surname]],Manpower!$C$4:$C$1048576,Manpower!$H$4:$H$1048576,"")</f>
        <v>Manpower</v>
      </c>
      <c r="J1464" s="43" t="s">
        <v>35</v>
      </c>
      <c r="K1464" s="43" t="s">
        <v>281</v>
      </c>
      <c r="L1464" s="43" t="s">
        <v>82</v>
      </c>
      <c r="M1464" s="43" t="s">
        <v>24</v>
      </c>
      <c r="N1464" s="44">
        <v>10</v>
      </c>
      <c r="O1464" s="43" t="s">
        <v>94</v>
      </c>
      <c r="P1464" s="43" t="s">
        <v>95</v>
      </c>
      <c r="Q1464" s="43" t="s">
        <v>95</v>
      </c>
      <c r="R1464" s="43" t="s">
        <v>302</v>
      </c>
      <c r="S1464" s="43"/>
    </row>
    <row r="1465" spans="1:19" s="45" customFormat="1" ht="14.4" hidden="1">
      <c r="A1465" s="25">
        <f>IF(C1465="","",MAX($A$1:A1464)+1)</f>
        <v>1382</v>
      </c>
      <c r="B1465" s="25" t="s">
        <v>79</v>
      </c>
      <c r="C1465" s="41">
        <v>46093</v>
      </c>
      <c r="D1465" s="48" t="str">
        <f>_xlfn.XLOOKUP(Table134526_79101120212223242526[[#This Row],[Name Surname]],Manpower!$C$4:$C$1048576,Manpower!$B$4:$B$1048576,"")</f>
        <v>Encogroup</v>
      </c>
      <c r="E1465" s="43" t="s">
        <v>97</v>
      </c>
      <c r="F1465" s="12">
        <f>_xlfn.XLOOKUP(Table134526_79101120212223242526[[#This Row],[Name Surname]],Manpower!C:C,Manpower!D:D,)</f>
        <v>141359235</v>
      </c>
      <c r="G1465" s="48" t="str">
        <f>_xlfn.XLOOKUP(Table134526_79101120212223242526[[#This Row],[Name Surname]],Manpower!$C$4:$C$1048576,Manpower!$F$4:$F$1048576,"")</f>
        <v>Fitter</v>
      </c>
      <c r="H1465" s="48" t="str">
        <f>_xlfn.XLOOKUP(Table134526_79101120212223242526[[#This Row],[Name Surname]],Manpower!$C$4:$C$1048576,Manpower!$H$4:$H$1048576,"")</f>
        <v>Manpower</v>
      </c>
      <c r="I1465" s="48" t="str">
        <f>_xlfn.XLOOKUP(Table134526_79101120212223242526[[#This Row],[Name Surname]],Manpower!$C$4:$C$1048576,Manpower!$H$4:$H$1048576,"")</f>
        <v>Manpower</v>
      </c>
      <c r="J1465" s="43" t="s">
        <v>35</v>
      </c>
      <c r="K1465" s="43" t="s">
        <v>104</v>
      </c>
      <c r="L1465" s="43" t="s">
        <v>82</v>
      </c>
      <c r="M1465" s="43" t="s">
        <v>24</v>
      </c>
      <c r="N1465" s="44">
        <v>10</v>
      </c>
      <c r="O1465" s="43" t="s">
        <v>25</v>
      </c>
      <c r="P1465" s="43" t="s">
        <v>41</v>
      </c>
      <c r="Q1465" s="43" t="s">
        <v>77</v>
      </c>
      <c r="R1465" s="43" t="s">
        <v>267</v>
      </c>
      <c r="S1465" s="43"/>
    </row>
    <row r="1466" spans="1:19" s="45" customFormat="1" ht="14.4" hidden="1">
      <c r="A1466" s="25">
        <f>IF(C1466="","",MAX($A$1:A1465)+1)</f>
        <v>1383</v>
      </c>
      <c r="B1466" s="25" t="s">
        <v>79</v>
      </c>
      <c r="C1466" s="41">
        <v>46093</v>
      </c>
      <c r="D1466" s="48" t="str">
        <f>_xlfn.XLOOKUP(Table134526_79101120212223242526[[#This Row],[Name Surname]],Manpower!$C$4:$C$1048576,Manpower!$B$4:$B$1048576,"")</f>
        <v>Encogroup</v>
      </c>
      <c r="E1466" s="43" t="s">
        <v>99</v>
      </c>
      <c r="F1466" s="12">
        <f>_xlfn.XLOOKUP(Table134526_79101120212223242526[[#This Row],[Name Surname]],Manpower!C:C,Manpower!D:D,)</f>
        <v>140697025</v>
      </c>
      <c r="G1466" s="48" t="str">
        <f>_xlfn.XLOOKUP(Table134526_79101120212223242526[[#This Row],[Name Surname]],Manpower!$C$4:$C$1048576,Manpower!$F$4:$F$1048576,"")</f>
        <v>Assistant/Helper</v>
      </c>
      <c r="H1466" s="48" t="str">
        <f>_xlfn.XLOOKUP(Table134526_79101120212223242526[[#This Row],[Name Surname]],Manpower!$C$4:$C$1048576,Manpower!$H$4:$H$1048576,"")</f>
        <v>Manpower</v>
      </c>
      <c r="I1466" s="48" t="str">
        <f>_xlfn.XLOOKUP(Table134526_79101120212223242526[[#This Row],[Name Surname]],Manpower!$C$4:$C$1048576,Manpower!$H$4:$H$1048576,"")</f>
        <v>Manpower</v>
      </c>
      <c r="J1466" s="43" t="s">
        <v>35</v>
      </c>
      <c r="K1466" s="43" t="s">
        <v>279</v>
      </c>
      <c r="L1466" s="43" t="s">
        <v>82</v>
      </c>
      <c r="M1466" s="43" t="s">
        <v>24</v>
      </c>
      <c r="N1466" s="44">
        <v>10</v>
      </c>
      <c r="O1466" s="43" t="s">
        <v>25</v>
      </c>
      <c r="P1466" s="43" t="s">
        <v>41</v>
      </c>
      <c r="Q1466" s="43" t="s">
        <v>60</v>
      </c>
      <c r="R1466" s="43" t="s">
        <v>100</v>
      </c>
      <c r="S1466" s="43"/>
    </row>
    <row r="1467" spans="1:19" s="45" customFormat="1" ht="14.4" hidden="1">
      <c r="A1467" s="25">
        <f>IF(C1467="","",MAX($A$1:A1466)+1)</f>
        <v>1384</v>
      </c>
      <c r="B1467" s="25" t="s">
        <v>79</v>
      </c>
      <c r="C1467" s="41">
        <v>46093</v>
      </c>
      <c r="D1467" s="48" t="str">
        <f>_xlfn.XLOOKUP(Table134526_79101120212223242526[[#This Row],[Name Surname]],Manpower!$C$4:$C$1048576,Manpower!$B$4:$B$1048576,"")</f>
        <v>Encogroup</v>
      </c>
      <c r="E1467" s="43" t="s">
        <v>101</v>
      </c>
      <c r="F1467" s="12">
        <f>_xlfn.XLOOKUP(Table134526_79101120212223242526[[#This Row],[Name Surname]],Manpower!C:C,Manpower!D:D,)</f>
        <v>141169052</v>
      </c>
      <c r="G1467" s="48" t="str">
        <f>_xlfn.XLOOKUP(Table134526_79101120212223242526[[#This Row],[Name Surname]],Manpower!$C$4:$C$1048576,Manpower!$F$4:$F$1048576,"")</f>
        <v>Welder</v>
      </c>
      <c r="H1467" s="48" t="str">
        <f>_xlfn.XLOOKUP(Table134526_79101120212223242526[[#This Row],[Name Surname]],Manpower!$C$4:$C$1048576,Manpower!$H$4:$H$1048576,"")</f>
        <v>Manpower</v>
      </c>
      <c r="I1467" s="48" t="str">
        <f>_xlfn.XLOOKUP(Table134526_79101120212223242526[[#This Row],[Name Surname]],Manpower!$C$4:$C$1048576,Manpower!$H$4:$H$1048576,"")</f>
        <v>Manpower</v>
      </c>
      <c r="J1467" s="43" t="s">
        <v>35</v>
      </c>
      <c r="K1467" s="43" t="s">
        <v>104</v>
      </c>
      <c r="L1467" s="43" t="s">
        <v>82</v>
      </c>
      <c r="M1467" s="43" t="s">
        <v>24</v>
      </c>
      <c r="N1467" s="44">
        <v>10</v>
      </c>
      <c r="O1467" s="43" t="s">
        <v>25</v>
      </c>
      <c r="P1467" s="43" t="s">
        <v>41</v>
      </c>
      <c r="Q1467" s="43" t="s">
        <v>77</v>
      </c>
      <c r="R1467" s="43" t="s">
        <v>267</v>
      </c>
      <c r="S1467" s="43"/>
    </row>
    <row r="1468" spans="1:19" s="45" customFormat="1" ht="14.4" hidden="1">
      <c r="A1468" s="25">
        <f>IF(C1468="","",MAX($A$1:A1467)+1)</f>
        <v>1385</v>
      </c>
      <c r="B1468" s="25" t="s">
        <v>79</v>
      </c>
      <c r="C1468" s="41">
        <v>46093</v>
      </c>
      <c r="D1468" s="48" t="str">
        <f>_xlfn.XLOOKUP(Table134526_79101120212223242526[[#This Row],[Name Surname]],Manpower!$C$4:$C$1048576,Manpower!$B$4:$B$1048576,"")</f>
        <v>SARENS NASS</v>
      </c>
      <c r="E1468" s="43" t="s">
        <v>103</v>
      </c>
      <c r="F1468" s="12">
        <f>_xlfn.XLOOKUP(Table134526_79101120212223242526[[#This Row],[Name Surname]],Manpower!C:C,Manpower!D:D,)</f>
        <v>79502392</v>
      </c>
      <c r="G1468" s="48" t="str">
        <f>_xlfn.XLOOKUP(Table134526_79101120212223242526[[#This Row],[Name Surname]],Manpower!$C$4:$C$1048576,Manpower!$F$4:$F$1048576,"")</f>
        <v>Crane Operator- 70T Liebherr Telescopic Crane-01</v>
      </c>
      <c r="H1468" s="48" t="str">
        <f>_xlfn.XLOOKUP(Table134526_79101120212223242526[[#This Row],[Name Surname]],Manpower!$C$4:$C$1048576,Manpower!$H$4:$H$1048576,"")</f>
        <v>Manpower</v>
      </c>
      <c r="I1468" s="48" t="str">
        <f>_xlfn.XLOOKUP(Table134526_79101120212223242526[[#This Row],[Name Surname]],Manpower!$C$4:$C$1048576,Manpower!$H$4:$H$1048576,"")</f>
        <v>Manpower</v>
      </c>
      <c r="J1468" s="43" t="s">
        <v>35</v>
      </c>
      <c r="K1468" s="43" t="s">
        <v>279</v>
      </c>
      <c r="L1468" s="43" t="s">
        <v>82</v>
      </c>
      <c r="M1468" s="43" t="s">
        <v>24</v>
      </c>
      <c r="N1468" s="44">
        <v>10</v>
      </c>
      <c r="O1468" s="43" t="s">
        <v>40</v>
      </c>
      <c r="P1468" s="43" t="s">
        <v>41</v>
      </c>
      <c r="Q1468" s="43" t="s">
        <v>42</v>
      </c>
      <c r="R1468" s="43" t="s">
        <v>43</v>
      </c>
      <c r="S1468" s="43"/>
    </row>
    <row r="1469" spans="1:19" s="45" customFormat="1" ht="14.4" hidden="1">
      <c r="A1469" s="25">
        <f>IF(C1469="","",MAX($A$1:A1468)+1)</f>
        <v>1386</v>
      </c>
      <c r="B1469" s="25" t="s">
        <v>79</v>
      </c>
      <c r="C1469" s="41">
        <v>46093</v>
      </c>
      <c r="D1469" s="48" t="str">
        <f>_xlfn.XLOOKUP(Table134526_79101120212223242526[[#This Row],[Name Surname]],Manpower!$C$4:$C$1048576,Manpower!$B$4:$B$1048576,"")</f>
        <v>Encogroup</v>
      </c>
      <c r="E1469" s="43" t="s">
        <v>105</v>
      </c>
      <c r="F1469" s="12">
        <f>_xlfn.XLOOKUP(Table134526_79101120212223242526[[#This Row],[Name Surname]],Manpower!C:C,Manpower!D:D,)</f>
        <v>141358993</v>
      </c>
      <c r="G1469" s="48" t="str">
        <f>_xlfn.XLOOKUP(Table134526_79101120212223242526[[#This Row],[Name Surname]],Manpower!$C$4:$C$1048576,Manpower!$F$4:$F$1048576,"")</f>
        <v>Fitter</v>
      </c>
      <c r="H1469" s="48" t="str">
        <f>_xlfn.XLOOKUP(Table134526_79101120212223242526[[#This Row],[Name Surname]],Manpower!$C$4:$C$1048576,Manpower!$H$4:$H$1048576,"")</f>
        <v>Manpower</v>
      </c>
      <c r="I1469" s="48" t="str">
        <f>_xlfn.XLOOKUP(Table134526_79101120212223242526[[#This Row],[Name Surname]],Manpower!$C$4:$C$1048576,Manpower!$H$4:$H$1048576,"")</f>
        <v>Manpower</v>
      </c>
      <c r="J1469" s="43" t="s">
        <v>35</v>
      </c>
      <c r="K1469" s="43" t="s">
        <v>104</v>
      </c>
      <c r="L1469" s="43" t="s">
        <v>82</v>
      </c>
      <c r="M1469" s="43" t="s">
        <v>24</v>
      </c>
      <c r="N1469" s="44">
        <v>8</v>
      </c>
      <c r="O1469" s="43" t="s">
        <v>25</v>
      </c>
      <c r="P1469" s="43" t="s">
        <v>41</v>
      </c>
      <c r="Q1469" s="43" t="s">
        <v>77</v>
      </c>
      <c r="R1469" s="43" t="s">
        <v>267</v>
      </c>
      <c r="S1469" s="43"/>
    </row>
    <row r="1470" spans="1:19" s="45" customFormat="1" ht="14.4" hidden="1">
      <c r="A1470" s="25">
        <f>IF(C1470="","",MAX($A$1:A1469)+1)</f>
        <v>1387</v>
      </c>
      <c r="B1470" s="25" t="s">
        <v>79</v>
      </c>
      <c r="C1470" s="41">
        <v>46093</v>
      </c>
      <c r="D1470" s="48" t="str">
        <f>_xlfn.XLOOKUP(Table134526_79101120212223242526[[#This Row],[Name Surname]],Manpower!$C$4:$C$1048576,Manpower!$B$4:$B$1048576,"")</f>
        <v>Encogroup</v>
      </c>
      <c r="E1470" s="43" t="s">
        <v>106</v>
      </c>
      <c r="F1470" s="12" t="str">
        <f>_xlfn.XLOOKUP(Table134526_79101120212223242526[[#This Row],[Name Surname]],Manpower!C:C,Manpower!D:D,)</f>
        <v>R3971143</v>
      </c>
      <c r="G1470" s="48" t="str">
        <f>_xlfn.XLOOKUP(Table134526_79101120212223242526[[#This Row],[Name Surname]],Manpower!$C$4:$C$1048576,Manpower!$F$4:$F$1048576,"")</f>
        <v>Mechanical Foreman</v>
      </c>
      <c r="H1470" s="48" t="str">
        <f>_xlfn.XLOOKUP(Table134526_79101120212223242526[[#This Row],[Name Surname]],Manpower!$C$4:$C$1048576,Manpower!$H$4:$H$1048576,"")</f>
        <v>Manpower</v>
      </c>
      <c r="I1470" s="48" t="str">
        <f>_xlfn.XLOOKUP(Table134526_79101120212223242526[[#This Row],[Name Surname]],Manpower!$C$4:$C$1048576,Manpower!$H$4:$H$1048576,"")</f>
        <v>Manpower</v>
      </c>
      <c r="J1470" s="43" t="s">
        <v>35</v>
      </c>
      <c r="K1470" s="43" t="s">
        <v>279</v>
      </c>
      <c r="L1470" s="43" t="s">
        <v>82</v>
      </c>
      <c r="M1470" s="43" t="s">
        <v>24</v>
      </c>
      <c r="N1470" s="44">
        <v>10</v>
      </c>
      <c r="O1470" s="43" t="s">
        <v>25</v>
      </c>
      <c r="P1470" s="43" t="s">
        <v>41</v>
      </c>
      <c r="Q1470" s="43" t="s">
        <v>60</v>
      </c>
      <c r="R1470" s="43" t="s">
        <v>300</v>
      </c>
      <c r="S1470" s="43"/>
    </row>
    <row r="1471" spans="1:19" s="45" customFormat="1" ht="14.4" hidden="1">
      <c r="A1471" s="25">
        <f>IF(C1471="","",MAX($A$1:A1470)+1)</f>
        <v>1388</v>
      </c>
      <c r="B1471" s="25" t="s">
        <v>79</v>
      </c>
      <c r="C1471" s="41">
        <v>46093</v>
      </c>
      <c r="D1471" s="48" t="str">
        <f>_xlfn.XLOOKUP(Table134526_79101120212223242526[[#This Row],[Name Surname]],Manpower!$C$4:$C$1048576,Manpower!$B$4:$B$1048576,"")</f>
        <v>Encogroup</v>
      </c>
      <c r="E1471" s="43" t="s">
        <v>107</v>
      </c>
      <c r="F1471" s="12">
        <f>_xlfn.XLOOKUP(Table134526_79101120212223242526[[#This Row],[Name Surname]],Manpower!C:C,Manpower!D:D,)</f>
        <v>116858297</v>
      </c>
      <c r="G1471" s="48" t="str">
        <f>_xlfn.XLOOKUP(Table134526_79101120212223242526[[#This Row],[Name Surname]],Manpower!$C$4:$C$1048576,Manpower!$F$4:$F$1048576,"")</f>
        <v>Mechanical Superintendent</v>
      </c>
      <c r="H1471" s="48" t="str">
        <f>_xlfn.XLOOKUP(Table134526_79101120212223242526[[#This Row],[Name Surname]],Manpower!$C$4:$C$1048576,Manpower!$H$4:$H$1048576,"")</f>
        <v>Manpower</v>
      </c>
      <c r="I1471" s="48" t="str">
        <f>_xlfn.XLOOKUP(Table134526_79101120212223242526[[#This Row],[Name Surname]],Manpower!$C$4:$C$1048576,Manpower!$H$4:$H$1048576,"")</f>
        <v>Manpower</v>
      </c>
      <c r="J1471" s="43" t="s">
        <v>35</v>
      </c>
      <c r="K1471" s="43" t="s">
        <v>283</v>
      </c>
      <c r="L1471" s="43" t="s">
        <v>82</v>
      </c>
      <c r="M1471" s="43" t="s">
        <v>24</v>
      </c>
      <c r="N1471" s="44">
        <v>8</v>
      </c>
      <c r="O1471" s="43" t="s">
        <v>25</v>
      </c>
      <c r="P1471" s="43" t="s">
        <v>41</v>
      </c>
      <c r="Q1471" s="43" t="s">
        <v>60</v>
      </c>
      <c r="R1471" s="43" t="s">
        <v>301</v>
      </c>
      <c r="S1471" s="43"/>
    </row>
    <row r="1472" spans="1:19" s="45" customFormat="1" ht="14.4" hidden="1">
      <c r="A1472" s="25">
        <f>IF(C1472="","",MAX($A$1:A1471)+1)</f>
        <v>1389</v>
      </c>
      <c r="B1472" s="25" t="s">
        <v>79</v>
      </c>
      <c r="C1472" s="41">
        <v>46093</v>
      </c>
      <c r="D1472" s="48" t="str">
        <f>_xlfn.XLOOKUP(Table134526_79101120212223242526[[#This Row],[Name Surname]],Manpower!$C$4:$C$1048576,Manpower!$B$4:$B$1048576,"")</f>
        <v>Encogroup</v>
      </c>
      <c r="E1472" s="43" t="s">
        <v>126</v>
      </c>
      <c r="F1472" s="12">
        <f>_xlfn.XLOOKUP(Table134526_79101120212223242526[[#This Row],[Name Surname]],Manpower!C:C,Manpower!D:D,)</f>
        <v>140805568</v>
      </c>
      <c r="G1472" s="48" t="str">
        <f>_xlfn.XLOOKUP(Table134526_79101120212223242526[[#This Row],[Name Surname]],Manpower!$C$4:$C$1048576,Manpower!$F$4:$F$1048576,"")</f>
        <v>Assistant/Helper</v>
      </c>
      <c r="H1472" s="48" t="str">
        <f>_xlfn.XLOOKUP(Table134526_79101120212223242526[[#This Row],[Name Surname]],Manpower!$C$4:$C$1048576,Manpower!$H$4:$H$1048576,"")</f>
        <v>Manpower</v>
      </c>
      <c r="I1472" s="48" t="str">
        <f>_xlfn.XLOOKUP(Table134526_79101120212223242526[[#This Row],[Name Surname]],Manpower!$C$4:$C$1048576,Manpower!$H$4:$H$1048576,"")</f>
        <v>Manpower</v>
      </c>
      <c r="J1472" s="43" t="s">
        <v>35</v>
      </c>
      <c r="K1472" s="43" t="s">
        <v>26</v>
      </c>
      <c r="L1472" s="43" t="s">
        <v>82</v>
      </c>
      <c r="M1472" s="43" t="s">
        <v>24</v>
      </c>
      <c r="N1472" s="44">
        <v>10</v>
      </c>
      <c r="O1472" s="43" t="s">
        <v>40</v>
      </c>
      <c r="P1472" s="43" t="s">
        <v>41</v>
      </c>
      <c r="Q1472" s="43" t="s">
        <v>128</v>
      </c>
      <c r="R1472" s="43" t="s">
        <v>270</v>
      </c>
      <c r="S1472" s="43"/>
    </row>
    <row r="1473" spans="1:19" s="45" customFormat="1" ht="14.4" hidden="1">
      <c r="A1473" s="25">
        <f>IF(C1473="","",MAX($A$1:A1472)+1)</f>
        <v>1390</v>
      </c>
      <c r="B1473" s="25" t="s">
        <v>79</v>
      </c>
      <c r="C1473" s="41">
        <v>46093</v>
      </c>
      <c r="D1473" s="48" t="str">
        <f>_xlfn.XLOOKUP(Table134526_79101120212223242526[[#This Row],[Name Surname]],Manpower!$C$4:$C$1048576,Manpower!$B$4:$B$1048576,"")</f>
        <v>Encogroup</v>
      </c>
      <c r="E1473" s="43" t="s">
        <v>109</v>
      </c>
      <c r="F1473" s="12">
        <f>_xlfn.XLOOKUP(Table134526_79101120212223242526[[#This Row],[Name Surname]],Manpower!C:C,Manpower!D:D,)</f>
        <v>123805496</v>
      </c>
      <c r="G1473" s="48" t="str">
        <f>_xlfn.XLOOKUP(Table134526_79101120212223242526[[#This Row],[Name Surname]],Manpower!$C$4:$C$1048576,Manpower!$F$4:$F$1048576,"")</f>
        <v>Fitter/Erector</v>
      </c>
      <c r="H1473" s="48" t="str">
        <f>_xlfn.XLOOKUP(Table134526_79101120212223242526[[#This Row],[Name Surname]],Manpower!$C$4:$C$1048576,Manpower!$H$4:$H$1048576,"")</f>
        <v>Manpower</v>
      </c>
      <c r="I1473" s="48" t="str">
        <f>_xlfn.XLOOKUP(Table134526_79101120212223242526[[#This Row],[Name Surname]],Manpower!$C$4:$C$1048576,Manpower!$H$4:$H$1048576,"")</f>
        <v>Manpower</v>
      </c>
      <c r="J1473" s="43" t="s">
        <v>35</v>
      </c>
      <c r="K1473" s="43" t="s">
        <v>279</v>
      </c>
      <c r="L1473" s="43" t="s">
        <v>82</v>
      </c>
      <c r="M1473" s="43" t="s">
        <v>24</v>
      </c>
      <c r="N1473" s="44">
        <v>8</v>
      </c>
      <c r="O1473" s="43" t="s">
        <v>25</v>
      </c>
      <c r="P1473" s="43" t="s">
        <v>41</v>
      </c>
      <c r="Q1473" s="43" t="s">
        <v>60</v>
      </c>
      <c r="R1473" s="43" t="s">
        <v>300</v>
      </c>
      <c r="S1473" s="43"/>
    </row>
    <row r="1474" spans="1:19" ht="14.4" hidden="1">
      <c r="A1474" s="33">
        <f>IF(C1474="","",MAX($A$1:A1473)+1)</f>
        <v>1391</v>
      </c>
      <c r="B1474" s="26" t="s">
        <v>79</v>
      </c>
      <c r="C1474" s="23">
        <v>46093</v>
      </c>
      <c r="D1474" s="28" t="str">
        <f>_xlfn.XLOOKUP(Table134526_79101120212223242526[[#This Row],[Name Surname]],Manpower!$C$4:$C$1048576,Manpower!$B$4:$B$1048576,"")</f>
        <v>Encogroup</v>
      </c>
      <c r="E1474" s="21" t="s">
        <v>110</v>
      </c>
      <c r="F1474" s="12">
        <f>_xlfn.XLOOKUP(Table134526_79101120212223242526[[#This Row],[Name Surname]],Manpower!C:C,Manpower!D:D,)</f>
        <v>136277866</v>
      </c>
      <c r="G1474" s="28" t="str">
        <f>_xlfn.XLOOKUP(Table134526_79101120212223242526[[#This Row],[Name Surname]],Manpower!$C$4:$C$1048576,Manpower!$F$4:$F$1048576,"")</f>
        <v>Permit Receiver</v>
      </c>
      <c r="H1474" s="28" t="str">
        <f>_xlfn.XLOOKUP(Table134526_79101120212223242526[[#This Row],[Name Surname]],Manpower!$C$4:$C$1048576,Manpower!$H$4:$H$1048576,"")</f>
        <v>Manpower</v>
      </c>
      <c r="I1474" s="28" t="str">
        <f>_xlfn.XLOOKUP(Table134526_79101120212223242526[[#This Row],[Name Surname]],Manpower!$C$4:$C$1048576,Manpower!$H$4:$H$1048576,"")</f>
        <v>Manpower</v>
      </c>
      <c r="J1474" s="21" t="s">
        <v>35</v>
      </c>
      <c r="K1474" s="21" t="s">
        <v>279</v>
      </c>
      <c r="L1474" s="21" t="s">
        <v>82</v>
      </c>
      <c r="M1474" s="21" t="s">
        <v>24</v>
      </c>
      <c r="N1474" s="29">
        <v>10</v>
      </c>
      <c r="O1474" s="21" t="s">
        <v>25</v>
      </c>
      <c r="P1474" s="21" t="s">
        <v>41</v>
      </c>
      <c r="Q1474" s="21" t="s">
        <v>60</v>
      </c>
      <c r="R1474" s="21" t="s">
        <v>300</v>
      </c>
    </row>
    <row r="1475" spans="1:19" s="45" customFormat="1" ht="14.4" hidden="1">
      <c r="A1475" s="25">
        <f>IF(C1475="","",MAX($A$1:A1474)+1)</f>
        <v>1392</v>
      </c>
      <c r="B1475" s="25" t="s">
        <v>79</v>
      </c>
      <c r="C1475" s="41">
        <v>46093</v>
      </c>
      <c r="D1475" s="48" t="str">
        <f>_xlfn.XLOOKUP(Table134526_79101120212223242526[[#This Row],[Name Surname]],Manpower!$C$4:$C$1048576,Manpower!$B$4:$B$1048576,"")</f>
        <v>Encogroup</v>
      </c>
      <c r="E1475" s="43" t="s">
        <v>112</v>
      </c>
      <c r="F1475" s="12">
        <f>_xlfn.XLOOKUP(Table134526_79101120212223242526[[#This Row],[Name Surname]],Manpower!C:C,Manpower!D:D,)</f>
        <v>140663253</v>
      </c>
      <c r="G1475" s="48" t="str">
        <f>_xlfn.XLOOKUP(Table134526_79101120212223242526[[#This Row],[Name Surname]],Manpower!$C$4:$C$1048576,Manpower!$F$4:$F$1048576,"")</f>
        <v>Painting Inspector</v>
      </c>
      <c r="H1475" s="48" t="str">
        <f>_xlfn.XLOOKUP(Table134526_79101120212223242526[[#This Row],[Name Surname]],Manpower!$C$4:$C$1048576,Manpower!$H$4:$H$1048576,"")</f>
        <v>Manpower</v>
      </c>
      <c r="I1475" s="48" t="str">
        <f>_xlfn.XLOOKUP(Table134526_79101120212223242526[[#This Row],[Name Surname]],Manpower!$C$4:$C$1048576,Manpower!$H$4:$H$1048576,"")</f>
        <v>Manpower</v>
      </c>
      <c r="J1475" s="43" t="s">
        <v>35</v>
      </c>
      <c r="K1475" s="43" t="s">
        <v>281</v>
      </c>
      <c r="L1475" s="43" t="s">
        <v>82</v>
      </c>
      <c r="M1475" s="43" t="s">
        <v>24</v>
      </c>
      <c r="N1475" s="44">
        <v>8</v>
      </c>
      <c r="O1475" s="43" t="s">
        <v>94</v>
      </c>
      <c r="P1475" s="43" t="s">
        <v>114</v>
      </c>
      <c r="Q1475" s="43" t="s">
        <v>114</v>
      </c>
      <c r="R1475" s="43" t="s">
        <v>26</v>
      </c>
      <c r="S1475" s="43"/>
    </row>
    <row r="1476" spans="1:19" s="45" customFormat="1" ht="14.4" hidden="1">
      <c r="A1476" s="25">
        <f>IF(C1476="","",MAX($A$1:A1475)+1)</f>
        <v>1393</v>
      </c>
      <c r="B1476" s="25" t="s">
        <v>79</v>
      </c>
      <c r="C1476" s="41">
        <v>46093</v>
      </c>
      <c r="D1476" s="48" t="str">
        <f>_xlfn.XLOOKUP(Table134526_79101120212223242526[[#This Row],[Name Surname]],Manpower!$C$4:$C$1048576,Manpower!$B$4:$B$1048576,"")</f>
        <v>Encogroup</v>
      </c>
      <c r="E1476" s="43" t="s">
        <v>87</v>
      </c>
      <c r="F1476" s="12">
        <f>_xlfn.XLOOKUP(Table134526_79101120212223242526[[#This Row],[Name Surname]],Manpower!C:C,Manpower!D:D,)</f>
        <v>126724428</v>
      </c>
      <c r="G1476" s="48" t="str">
        <f>_xlfn.XLOOKUP(Table134526_79101120212223242526[[#This Row],[Name Surname]],Manpower!$C$4:$C$1048576,Manpower!$F$4:$F$1048576,"")</f>
        <v>Surveyor</v>
      </c>
      <c r="H1476" s="48" t="str">
        <f>_xlfn.XLOOKUP(Table134526_79101120212223242526[[#This Row],[Name Surname]],Manpower!$C$4:$C$1048576,Manpower!$H$4:$H$1048576,"")</f>
        <v>Manpower</v>
      </c>
      <c r="I1476" s="48" t="str">
        <f>_xlfn.XLOOKUP(Table134526_79101120212223242526[[#This Row],[Name Surname]],Manpower!$C$4:$C$1048576,Manpower!$H$4:$H$1048576,"")</f>
        <v>Manpower</v>
      </c>
      <c r="J1476" s="43" t="s">
        <v>35</v>
      </c>
      <c r="K1476" s="43" t="s">
        <v>281</v>
      </c>
      <c r="L1476" s="43" t="s">
        <v>82</v>
      </c>
      <c r="M1476" s="43" t="s">
        <v>24</v>
      </c>
      <c r="N1476" s="44">
        <v>8</v>
      </c>
      <c r="O1476" s="43" t="s">
        <v>89</v>
      </c>
      <c r="P1476" s="43" t="s">
        <v>89</v>
      </c>
      <c r="Q1476" s="43" t="s">
        <v>89</v>
      </c>
      <c r="R1476" s="43" t="s">
        <v>26</v>
      </c>
      <c r="S1476" s="43"/>
    </row>
    <row r="1477" spans="1:19" s="45" customFormat="1" ht="14.4" hidden="1">
      <c r="A1477" s="25">
        <f>IF(C1477="","",MAX($A$1:A1476)+1)</f>
        <v>1394</v>
      </c>
      <c r="B1477" s="25" t="s">
        <v>79</v>
      </c>
      <c r="C1477" s="41">
        <v>46093</v>
      </c>
      <c r="D1477" s="48" t="str">
        <f>_xlfn.XLOOKUP(Table134526_79101120212223242526[[#This Row],[Name Surname]],Manpower!$C$4:$C$1048576,Manpower!$B$4:$B$1048576,"")</f>
        <v>Encogroup</v>
      </c>
      <c r="E1477" s="43" t="s">
        <v>286</v>
      </c>
      <c r="F1477" s="12">
        <f>_xlfn.XLOOKUP(Table134526_79101120212223242526[[#This Row],[Name Surname]],Manpower!C:C,Manpower!D:D,)</f>
        <v>1487544</v>
      </c>
      <c r="G1477" s="48" t="str">
        <f>_xlfn.XLOOKUP(Table134526_79101120212223242526[[#This Row],[Name Surname]],Manpower!$C$4:$C$1048576,Manpower!$F$4:$F$1048576,"")</f>
        <v>Driver</v>
      </c>
      <c r="H1477" s="48" t="str">
        <f>_xlfn.XLOOKUP(Table134526_79101120212223242526[[#This Row],[Name Surname]],Manpower!$C$4:$C$1048576,Manpower!$H$4:$H$1048576,"")</f>
        <v>Manpower</v>
      </c>
      <c r="I1477" s="48" t="str">
        <f>_xlfn.XLOOKUP(Table134526_79101120212223242526[[#This Row],[Name Surname]],Manpower!$C$4:$C$1048576,Manpower!$H$4:$H$1048576,"")</f>
        <v>Manpower</v>
      </c>
      <c r="J1477" s="43" t="s">
        <v>135</v>
      </c>
      <c r="K1477" s="43" t="s">
        <v>281</v>
      </c>
      <c r="L1477" s="43" t="s">
        <v>82</v>
      </c>
      <c r="M1477" s="43" t="s">
        <v>24</v>
      </c>
      <c r="N1477" s="44">
        <v>10</v>
      </c>
      <c r="O1477" s="43" t="s">
        <v>138</v>
      </c>
      <c r="P1477" s="43" t="s">
        <v>138</v>
      </c>
      <c r="Q1477" s="43" t="s">
        <v>138</v>
      </c>
      <c r="R1477" s="43" t="s">
        <v>26</v>
      </c>
      <c r="S1477" s="43"/>
    </row>
    <row r="1478" spans="1:19" s="45" customFormat="1" ht="14.4" hidden="1">
      <c r="A1478" s="25">
        <f>IF(C1478="","",MAX($A$1:A1477)+1)</f>
        <v>1395</v>
      </c>
      <c r="B1478" s="25" t="s">
        <v>79</v>
      </c>
      <c r="C1478" s="41">
        <v>46093</v>
      </c>
      <c r="D1478" s="48" t="str">
        <f>_xlfn.XLOOKUP(Table134526_79101120212223242526[[#This Row],[Name Surname]],Manpower!$C$4:$C$1048576,Manpower!$B$4:$B$1048576,"")</f>
        <v>Encogroup</v>
      </c>
      <c r="E1478" s="43" t="s">
        <v>115</v>
      </c>
      <c r="F1478" s="12">
        <f>_xlfn.XLOOKUP(Table134526_79101120212223242526[[#This Row],[Name Surname]],Manpower!C:C,Manpower!D:D,)</f>
        <v>140796986</v>
      </c>
      <c r="G1478" s="48" t="str">
        <f>_xlfn.XLOOKUP(Table134526_79101120212223242526[[#This Row],[Name Surname]],Manpower!$C$4:$C$1048576,Manpower!$F$4:$F$1048576,"")</f>
        <v>Mechanical QC</v>
      </c>
      <c r="H1478" s="48" t="str">
        <f>_xlfn.XLOOKUP(Table134526_79101120212223242526[[#This Row],[Name Surname]],Manpower!$C$4:$C$1048576,Manpower!$H$4:$H$1048576,"")</f>
        <v>Manpower</v>
      </c>
      <c r="I1478" s="48" t="str">
        <f>_xlfn.XLOOKUP(Table134526_79101120212223242526[[#This Row],[Name Surname]],Manpower!$C$4:$C$1048576,Manpower!$H$4:$H$1048576,"")</f>
        <v>Manpower</v>
      </c>
      <c r="J1478" s="43" t="s">
        <v>35</v>
      </c>
      <c r="K1478" s="43" t="s">
        <v>281</v>
      </c>
      <c r="L1478" s="43" t="s">
        <v>82</v>
      </c>
      <c r="M1478" s="43" t="s">
        <v>24</v>
      </c>
      <c r="N1478" s="44">
        <v>10</v>
      </c>
      <c r="O1478" s="43" t="s">
        <v>25</v>
      </c>
      <c r="P1478" s="43" t="s">
        <v>41</v>
      </c>
      <c r="Q1478" s="43" t="s">
        <v>77</v>
      </c>
      <c r="R1478" s="43" t="s">
        <v>26</v>
      </c>
      <c r="S1478" s="43"/>
    </row>
    <row r="1479" spans="1:19" s="45" customFormat="1" ht="14.4" hidden="1">
      <c r="A1479" s="25" t="s">
        <v>303</v>
      </c>
      <c r="B1479" s="25" t="s">
        <v>79</v>
      </c>
      <c r="C1479" s="41">
        <v>46093</v>
      </c>
      <c r="D1479" s="48" t="str">
        <f>_xlfn.XLOOKUP(Table134526_79101120212223242526[[#This Row],[Name Surname]],Manpower!$C$4:$C$1048576,Manpower!$B$4:$B$1048576,"")</f>
        <v>Encogroup</v>
      </c>
      <c r="E1479" s="43" t="s">
        <v>186</v>
      </c>
      <c r="F1479" s="12">
        <f>_xlfn.XLOOKUP(Table134526_79101120212223242526[[#This Row],[Name Surname]],Manpower!C:C,Manpower!D:D,)</f>
        <v>140696961</v>
      </c>
      <c r="G1479" s="48" t="str">
        <f>_xlfn.XLOOKUP(Table134526_79101120212223242526[[#This Row],[Name Surname]],Manpower!$C$4:$C$1048576,Manpower!$F$4:$F$1048576,"")</f>
        <v>Assistant/Helper</v>
      </c>
      <c r="H1479" s="48" t="str">
        <f>_xlfn.XLOOKUP(Table134526_79101120212223242526[[#This Row],[Name Surname]],Manpower!$C$4:$C$1048576,Manpower!$H$4:$H$1048576,"")</f>
        <v>Manpower</v>
      </c>
      <c r="I1479" s="48" t="str">
        <f>_xlfn.XLOOKUP(Table134526_79101120212223242526[[#This Row],[Name Surname]],Manpower!$C$4:$C$1048576,Manpower!$H$4:$H$1048576,"")</f>
        <v>Manpower</v>
      </c>
      <c r="J1479" s="43" t="s">
        <v>35</v>
      </c>
      <c r="K1479" s="43" t="s">
        <v>281</v>
      </c>
      <c r="L1479" s="43" t="s">
        <v>82</v>
      </c>
      <c r="M1479" s="43" t="s">
        <v>24</v>
      </c>
      <c r="N1479" s="44">
        <v>5</v>
      </c>
      <c r="O1479" s="43" t="s">
        <v>89</v>
      </c>
      <c r="P1479" s="43" t="s">
        <v>89</v>
      </c>
      <c r="Q1479" s="43" t="s">
        <v>89</v>
      </c>
      <c r="R1479" s="43" t="s">
        <v>26</v>
      </c>
      <c r="S1479" s="43"/>
    </row>
    <row r="1480" spans="1:19" s="45" customFormat="1" ht="14.4" hidden="1">
      <c r="A1480" s="25">
        <f>IF(C1480="","",MAX($A$1:A1475)+1)</f>
        <v>1393</v>
      </c>
      <c r="B1480" s="25" t="s">
        <v>79</v>
      </c>
      <c r="C1480" s="41">
        <v>46093</v>
      </c>
      <c r="D1480" s="48" t="str">
        <f>_xlfn.XLOOKUP(Table134526_79101120212223242526[[#This Row],[Name Surname]],Manpower!$C$4:$C$1048576,Manpower!$B$4:$B$1048576,"")</f>
        <v>Encogroup</v>
      </c>
      <c r="E1480" s="43" t="s">
        <v>117</v>
      </c>
      <c r="F1480" s="12">
        <f>_xlfn.XLOOKUP(Table134526_79101120212223242526[[#This Row],[Name Surname]],Manpower!C:C,Manpower!D:D,)</f>
        <v>140844783</v>
      </c>
      <c r="G1480" s="48" t="str">
        <f>_xlfn.XLOOKUP(Table134526_79101120212223242526[[#This Row],[Name Surname]],Manpower!$C$4:$C$1048576,Manpower!$F$4:$F$1048576,"")</f>
        <v>Painter</v>
      </c>
      <c r="H1480" s="48" t="str">
        <f>_xlfn.XLOOKUP(Table134526_79101120212223242526[[#This Row],[Name Surname]],Manpower!$C$4:$C$1048576,Manpower!$H$4:$H$1048576,"")</f>
        <v>Manpower</v>
      </c>
      <c r="I1480" s="48" t="str">
        <f>_xlfn.XLOOKUP(Table134526_79101120212223242526[[#This Row],[Name Surname]],Manpower!$C$4:$C$1048576,Manpower!$H$4:$H$1048576,"")</f>
        <v>Manpower</v>
      </c>
      <c r="J1480" s="43" t="s">
        <v>35</v>
      </c>
      <c r="K1480" s="43" t="s">
        <v>304</v>
      </c>
      <c r="L1480" s="43" t="s">
        <v>82</v>
      </c>
      <c r="M1480" s="43" t="s">
        <v>24</v>
      </c>
      <c r="N1480" s="44">
        <v>10</v>
      </c>
      <c r="O1480" s="43" t="s">
        <v>94</v>
      </c>
      <c r="P1480" s="43" t="s">
        <v>114</v>
      </c>
      <c r="Q1480" s="43" t="s">
        <v>114</v>
      </c>
      <c r="R1480" s="43" t="s">
        <v>302</v>
      </c>
      <c r="S1480" s="43"/>
    </row>
    <row r="1481" spans="1:19" s="45" customFormat="1" ht="14.4" hidden="1">
      <c r="A1481" s="25">
        <f>IF(C1481="","",MAX($A$1:A1480)+1)</f>
        <v>1396</v>
      </c>
      <c r="B1481" s="25" t="s">
        <v>79</v>
      </c>
      <c r="C1481" s="41">
        <v>46093</v>
      </c>
      <c r="D1481" s="48" t="str">
        <f>_xlfn.XLOOKUP(Table134526_79101120212223242526[[#This Row],[Name Surname]],Manpower!$C$4:$C$1048576,Manpower!$B$4:$B$1048576,"")</f>
        <v>Encogroup</v>
      </c>
      <c r="E1481" s="43" t="s">
        <v>118</v>
      </c>
      <c r="F1481" s="12" t="str">
        <f>_xlfn.XLOOKUP(Table134526_79101120212223242526[[#This Row],[Name Surname]],Manpower!C:C,Manpower!D:D,)</f>
        <v>AG111207</v>
      </c>
      <c r="G1481" s="48" t="str">
        <f>_xlfn.XLOOKUP(Table134526_79101120212223242526[[#This Row],[Name Surname]],Manpower!$C$4:$C$1048576,Manpower!$F$4:$F$1048576,"")</f>
        <v>Assistant/Helper</v>
      </c>
      <c r="H1481" s="48" t="str">
        <f>_xlfn.XLOOKUP(Table134526_79101120212223242526[[#This Row],[Name Surname]],Manpower!$C$4:$C$1048576,Manpower!$H$4:$H$1048576,"")</f>
        <v>Manpower</v>
      </c>
      <c r="I1481" s="48" t="str">
        <f>_xlfn.XLOOKUP(Table134526_79101120212223242526[[#This Row],[Name Surname]],Manpower!$C$4:$C$1048576,Manpower!$H$4:$H$1048576,"")</f>
        <v>Manpower</v>
      </c>
      <c r="J1481" s="43" t="s">
        <v>35</v>
      </c>
      <c r="K1481" s="43" t="s">
        <v>304</v>
      </c>
      <c r="L1481" s="43" t="s">
        <v>82</v>
      </c>
      <c r="M1481" s="43" t="s">
        <v>24</v>
      </c>
      <c r="N1481" s="44">
        <v>10</v>
      </c>
      <c r="O1481" s="43" t="s">
        <v>94</v>
      </c>
      <c r="P1481" s="43" t="s">
        <v>114</v>
      </c>
      <c r="Q1481" s="43" t="s">
        <v>114</v>
      </c>
      <c r="R1481" s="43" t="s">
        <v>302</v>
      </c>
      <c r="S1481" s="43"/>
    </row>
    <row r="1482" spans="1:19" s="45" customFormat="1" ht="14.4" hidden="1">
      <c r="A1482" s="25">
        <f>IF(C1482="","",MAX($A$1:A1481)+1)</f>
        <v>1397</v>
      </c>
      <c r="B1482" s="25" t="s">
        <v>79</v>
      </c>
      <c r="C1482" s="41">
        <v>46093</v>
      </c>
      <c r="D1482" s="48" t="str">
        <f>_xlfn.XLOOKUP(Table134526_79101120212223242526[[#This Row],[Name Surname]],Manpower!$C$4:$C$1048576,Manpower!$B$4:$B$1048576,"")</f>
        <v>Encogroup</v>
      </c>
      <c r="E1482" s="43" t="s">
        <v>173</v>
      </c>
      <c r="F1482" s="12" t="str">
        <f>_xlfn.XLOOKUP(Table134526_79101120212223242526[[#This Row],[Name Surname]],Manpower!C:C,Manpower!D:D,)</f>
        <v>S3549132</v>
      </c>
      <c r="G1482" s="48" t="str">
        <f>_xlfn.XLOOKUP(Table134526_79101120212223242526[[#This Row],[Name Surname]],Manpower!$C$4:$C$1048576,Manpower!$F$4:$F$1048576,"")</f>
        <v>Grinder</v>
      </c>
      <c r="H1482" s="48" t="str">
        <f>_xlfn.XLOOKUP(Table134526_79101120212223242526[[#This Row],[Name Surname]],Manpower!$C$4:$C$1048576,Manpower!$H$4:$H$1048576,"")</f>
        <v>Manpower</v>
      </c>
      <c r="I1482" s="48" t="str">
        <f>_xlfn.XLOOKUP(Table134526_79101120212223242526[[#This Row],[Name Surname]],Manpower!$C$4:$C$1048576,Manpower!$H$4:$H$1048576,"")</f>
        <v>Manpower</v>
      </c>
      <c r="J1482" s="43" t="s">
        <v>35</v>
      </c>
      <c r="K1482" s="43" t="s">
        <v>304</v>
      </c>
      <c r="L1482" s="43" t="s">
        <v>82</v>
      </c>
      <c r="M1482" s="43" t="s">
        <v>24</v>
      </c>
      <c r="N1482" s="44">
        <v>10</v>
      </c>
      <c r="O1482" s="43" t="s">
        <v>94</v>
      </c>
      <c r="P1482" s="43" t="s">
        <v>114</v>
      </c>
      <c r="Q1482" s="43" t="s">
        <v>114</v>
      </c>
      <c r="R1482" s="43" t="s">
        <v>302</v>
      </c>
      <c r="S1482" s="43"/>
    </row>
    <row r="1483" spans="1:19" s="45" customFormat="1" ht="14.4" hidden="1">
      <c r="A1483" s="25">
        <f>IF(C1483="","",MAX($A$1:A1482)+1)</f>
        <v>1398</v>
      </c>
      <c r="B1483" s="25" t="s">
        <v>79</v>
      </c>
      <c r="C1483" s="41">
        <v>46093</v>
      </c>
      <c r="D1483" s="48" t="str">
        <f>_xlfn.XLOOKUP(Table134526_79101120212223242526[[#This Row],[Name Surname]],Manpower!$C$4:$C$1048576,Manpower!$B$4:$B$1048576,"")</f>
        <v>Encogroup</v>
      </c>
      <c r="E1483" s="43" t="s">
        <v>119</v>
      </c>
      <c r="F1483" s="12">
        <f>_xlfn.XLOOKUP(Table134526_79101120212223242526[[#This Row],[Name Surname]],Manpower!C:C,Manpower!D:D,)</f>
        <v>140844778</v>
      </c>
      <c r="G1483" s="48" t="str">
        <f>_xlfn.XLOOKUP(Table134526_79101120212223242526[[#This Row],[Name Surname]],Manpower!$C$4:$C$1048576,Manpower!$F$4:$F$1048576,"")</f>
        <v>Painter</v>
      </c>
      <c r="H1483" s="48" t="str">
        <f>_xlfn.XLOOKUP(Table134526_79101120212223242526[[#This Row],[Name Surname]],Manpower!$C$4:$C$1048576,Manpower!$H$4:$H$1048576,"")</f>
        <v>Manpower</v>
      </c>
      <c r="I1483" s="48" t="str">
        <f>_xlfn.XLOOKUP(Table134526_79101120212223242526[[#This Row],[Name Surname]],Manpower!$C$4:$C$1048576,Manpower!$H$4:$H$1048576,"")</f>
        <v>Manpower</v>
      </c>
      <c r="J1483" s="43" t="s">
        <v>35</v>
      </c>
      <c r="K1483" s="43" t="s">
        <v>304</v>
      </c>
      <c r="L1483" s="43" t="s">
        <v>82</v>
      </c>
      <c r="M1483" s="43" t="s">
        <v>24</v>
      </c>
      <c r="N1483" s="44">
        <v>8</v>
      </c>
      <c r="O1483" s="43" t="s">
        <v>94</v>
      </c>
      <c r="P1483" s="43" t="s">
        <v>114</v>
      </c>
      <c r="Q1483" s="43" t="s">
        <v>114</v>
      </c>
      <c r="R1483" s="43" t="s">
        <v>302</v>
      </c>
      <c r="S1483" s="43"/>
    </row>
    <row r="1484" spans="1:19" s="45" customFormat="1" ht="14.4" hidden="1">
      <c r="A1484" s="25">
        <f>IF(C1484="","",MAX($A$1:A1483)+1)</f>
        <v>1399</v>
      </c>
      <c r="B1484" s="25" t="s">
        <v>79</v>
      </c>
      <c r="C1484" s="41">
        <v>46093</v>
      </c>
      <c r="D1484" s="48" t="str">
        <f>_xlfn.XLOOKUP(Table134526_79101120212223242526[[#This Row],[Name Surname]],Manpower!$C$4:$C$1048576,Manpower!$B$4:$B$1048576,"")</f>
        <v>Encogroup</v>
      </c>
      <c r="E1484" s="43" t="s">
        <v>122</v>
      </c>
      <c r="F1484" s="12">
        <f>_xlfn.XLOOKUP(Table134526_79101120212223242526[[#This Row],[Name Surname]],Manpower!C:C,Manpower!D:D,)</f>
        <v>140805554</v>
      </c>
      <c r="G1484" s="48" t="str">
        <f>_xlfn.XLOOKUP(Table134526_79101120212223242526[[#This Row],[Name Surname]],Manpower!$C$4:$C$1048576,Manpower!$F$4:$F$1048576,"")</f>
        <v>Assistant/Helper</v>
      </c>
      <c r="H1484" s="48" t="str">
        <f>_xlfn.XLOOKUP(Table134526_79101120212223242526[[#This Row],[Name Surname]],Manpower!$C$4:$C$1048576,Manpower!$H$4:$H$1048576,"")</f>
        <v>Manpower</v>
      </c>
      <c r="I1484" s="48" t="str">
        <f>_xlfn.XLOOKUP(Table134526_79101120212223242526[[#This Row],[Name Surname]],Manpower!$C$4:$C$1048576,Manpower!$H$4:$H$1048576,"")</f>
        <v>Manpower</v>
      </c>
      <c r="J1484" s="43" t="s">
        <v>35</v>
      </c>
      <c r="K1484" s="43" t="s">
        <v>104</v>
      </c>
      <c r="L1484" s="43" t="s">
        <v>82</v>
      </c>
      <c r="M1484" s="43" t="s">
        <v>24</v>
      </c>
      <c r="N1484" s="44">
        <v>10</v>
      </c>
      <c r="O1484" s="43" t="s">
        <v>25</v>
      </c>
      <c r="P1484" s="43" t="s">
        <v>41</v>
      </c>
      <c r="Q1484" s="43" t="s">
        <v>77</v>
      </c>
      <c r="R1484" s="43" t="s">
        <v>267</v>
      </c>
      <c r="S1484" s="43"/>
    </row>
    <row r="1485" spans="1:19" s="45" customFormat="1" ht="14.4" hidden="1">
      <c r="A1485" s="25">
        <f>IF(C1485="","",MAX($A$1:A1484)+1)</f>
        <v>1400</v>
      </c>
      <c r="B1485" s="25" t="s">
        <v>79</v>
      </c>
      <c r="C1485" s="41">
        <v>46093</v>
      </c>
      <c r="D1485" s="48" t="str">
        <f>_xlfn.XLOOKUP(Table134526_79101120212223242526[[#This Row],[Name Surname]],Manpower!$C$4:$C$1048576,Manpower!$B$4:$B$1048576,"")</f>
        <v>Encogroup</v>
      </c>
      <c r="E1485" s="43" t="s">
        <v>125</v>
      </c>
      <c r="F1485" s="12">
        <f>_xlfn.XLOOKUP(Table134526_79101120212223242526[[#This Row],[Name Surname]],Manpower!C:C,Manpower!D:D,)</f>
        <v>141169028</v>
      </c>
      <c r="G1485" s="48" t="str">
        <f>_xlfn.XLOOKUP(Table134526_79101120212223242526[[#This Row],[Name Surname]],Manpower!$C$4:$C$1048576,Manpower!$F$4:$F$1048576,"")</f>
        <v>Welder</v>
      </c>
      <c r="H1485" s="48" t="str">
        <f>_xlfn.XLOOKUP(Table134526_79101120212223242526[[#This Row],[Name Surname]],Manpower!$C$4:$C$1048576,Manpower!$H$4:$H$1048576,"")</f>
        <v>Manpower</v>
      </c>
      <c r="I1485" s="48" t="str">
        <f>_xlfn.XLOOKUP(Table134526_79101120212223242526[[#This Row],[Name Surname]],Manpower!$C$4:$C$1048576,Manpower!$H$4:$H$1048576,"")</f>
        <v>Manpower</v>
      </c>
      <c r="J1485" s="43" t="s">
        <v>35</v>
      </c>
      <c r="K1485" s="43" t="s">
        <v>279</v>
      </c>
      <c r="L1485" s="43" t="s">
        <v>82</v>
      </c>
      <c r="M1485" s="43" t="s">
        <v>24</v>
      </c>
      <c r="N1485" s="44">
        <v>10</v>
      </c>
      <c r="O1485" s="43" t="s">
        <v>25</v>
      </c>
      <c r="P1485" s="43" t="s">
        <v>41</v>
      </c>
      <c r="Q1485" s="43" t="s">
        <v>60</v>
      </c>
      <c r="R1485" s="43" t="s">
        <v>300</v>
      </c>
      <c r="S1485" s="43"/>
    </row>
    <row r="1486" spans="1:19" s="45" customFormat="1" ht="14.4" hidden="1">
      <c r="A1486" s="25">
        <f>IF(C1486="","",MAX($A$1:A1485)+1)</f>
        <v>1401</v>
      </c>
      <c r="B1486" s="25" t="s">
        <v>79</v>
      </c>
      <c r="C1486" s="41">
        <v>46093</v>
      </c>
      <c r="D1486" s="48" t="str">
        <f>_xlfn.XLOOKUP(Table134526_79101120212223242526[[#This Row],[Name Surname]],Manpower!$C$4:$C$1048576,Manpower!$B$4:$B$1048576,"")</f>
        <v>AL Saif &amp; Al QALLM ENT LLC</v>
      </c>
      <c r="E1486" s="43" t="s">
        <v>130</v>
      </c>
      <c r="F1486" s="12">
        <f>_xlfn.XLOOKUP(Table134526_79101120212223242526[[#This Row],[Name Surname]],Manpower!C:C,Manpower!D:D,)</f>
        <v>76647648</v>
      </c>
      <c r="G1486" s="48" t="str">
        <f>_xlfn.XLOOKUP(Table134526_79101120212223242526[[#This Row],[Name Surname]],Manpower!$C$4:$C$1048576,Manpower!$F$4:$F$1048576,"")</f>
        <v>RIgger</v>
      </c>
      <c r="H1486" s="48" t="str">
        <f>_xlfn.XLOOKUP(Table134526_79101120212223242526[[#This Row],[Name Surname]],Manpower!$C$4:$C$1048576,Manpower!$H$4:$H$1048576,"")</f>
        <v>Sub Contactor</v>
      </c>
      <c r="I1486" s="48" t="str">
        <f>_xlfn.XLOOKUP(Table134526_79101120212223242526[[#This Row],[Name Surname]],Manpower!$C$4:$C$1048576,Manpower!$H$4:$H$1048576,"")</f>
        <v>Sub Contactor</v>
      </c>
      <c r="J1486" s="43" t="s">
        <v>35</v>
      </c>
      <c r="K1486" s="43" t="s">
        <v>279</v>
      </c>
      <c r="L1486" s="43" t="s">
        <v>82</v>
      </c>
      <c r="M1486" s="43" t="s">
        <v>24</v>
      </c>
      <c r="N1486" s="44">
        <v>8</v>
      </c>
      <c r="O1486" s="43" t="s">
        <v>25</v>
      </c>
      <c r="P1486" s="43" t="s">
        <v>41</v>
      </c>
      <c r="Q1486" s="43" t="s">
        <v>60</v>
      </c>
      <c r="R1486" s="43" t="s">
        <v>300</v>
      </c>
      <c r="S1486" s="43"/>
    </row>
    <row r="1487" spans="1:19" s="45" customFormat="1" ht="14.4" hidden="1">
      <c r="A1487" s="25">
        <f>IF(C1487="","",MAX($A$1:A1486)+1)</f>
        <v>1402</v>
      </c>
      <c r="B1487" s="25" t="s">
        <v>79</v>
      </c>
      <c r="C1487" s="41">
        <v>46093</v>
      </c>
      <c r="D1487" s="48" t="str">
        <f>_xlfn.XLOOKUP(Table134526_79101120212223242526[[#This Row],[Name Surname]],Manpower!$C$4:$C$1048576,Manpower!$B$4:$B$1048576,"")</f>
        <v>Rabwu Ahamal AL Khaleej Trad</v>
      </c>
      <c r="E1487" s="43" t="s">
        <v>131</v>
      </c>
      <c r="F1487" s="12">
        <f>_xlfn.XLOOKUP(Table134526_79101120212223242526[[#This Row],[Name Surname]],Manpower!C:C,Manpower!D:D,)</f>
        <v>131431131</v>
      </c>
      <c r="G1487" s="48" t="str">
        <f>_xlfn.XLOOKUP(Table134526_79101120212223242526[[#This Row],[Name Surname]],Manpower!$C$4:$C$1048576,Manpower!$F$4:$F$1048576,"")</f>
        <v>RIgger</v>
      </c>
      <c r="H1487" s="48" t="str">
        <f>_xlfn.XLOOKUP(Table134526_79101120212223242526[[#This Row],[Name Surname]],Manpower!$C$4:$C$1048576,Manpower!$H$4:$H$1048576,"")</f>
        <v>Sub Contactor</v>
      </c>
      <c r="I1487" s="48" t="str">
        <f>_xlfn.XLOOKUP(Table134526_79101120212223242526[[#This Row],[Name Surname]],Manpower!$C$4:$C$1048576,Manpower!$H$4:$H$1048576,"")</f>
        <v>Sub Contactor</v>
      </c>
      <c r="J1487" s="43" t="s">
        <v>35</v>
      </c>
      <c r="K1487" s="43" t="s">
        <v>279</v>
      </c>
      <c r="L1487" s="43" t="s">
        <v>82</v>
      </c>
      <c r="M1487" s="43" t="s">
        <v>24</v>
      </c>
      <c r="N1487" s="44">
        <v>8</v>
      </c>
      <c r="O1487" s="43" t="s">
        <v>25</v>
      </c>
      <c r="P1487" s="43" t="s">
        <v>41</v>
      </c>
      <c r="Q1487" s="43" t="s">
        <v>60</v>
      </c>
      <c r="R1487" s="43" t="s">
        <v>300</v>
      </c>
      <c r="S1487" s="43"/>
    </row>
    <row r="1488" spans="1:19" ht="14.4" hidden="1">
      <c r="A1488" s="33">
        <f>IF(C1488="","",MAX($A$1:A1487)+1)</f>
        <v>1403</v>
      </c>
      <c r="B1488" s="26" t="s">
        <v>79</v>
      </c>
      <c r="C1488" s="23">
        <v>46093</v>
      </c>
      <c r="D1488" s="28" t="str">
        <f>_xlfn.XLOOKUP(Table134526_79101120212223242526[[#This Row],[Name Surname]],Manpower!$C$4:$C$1048576,Manpower!$B$4:$B$1048576,"")</f>
        <v>AL Saif &amp; Al QALLM ENT LLC</v>
      </c>
      <c r="E1488" s="21" t="s">
        <v>132</v>
      </c>
      <c r="F1488" s="12">
        <f>_xlfn.XLOOKUP(Table134526_79101120212223242526[[#This Row],[Name Surname]],Manpower!C:C,Manpower!D:D,)</f>
        <v>135762195</v>
      </c>
      <c r="G1488" s="28" t="str">
        <f>_xlfn.XLOOKUP(Table134526_79101120212223242526[[#This Row],[Name Surname]],Manpower!$C$4:$C$1048576,Manpower!$F$4:$F$1048576,"")</f>
        <v>HSE Officer</v>
      </c>
      <c r="H1488" s="28" t="str">
        <f>_xlfn.XLOOKUP(Table134526_79101120212223242526[[#This Row],[Name Surname]],Manpower!$C$4:$C$1048576,Manpower!$H$4:$H$1048576,"")</f>
        <v>Sub Contactor</v>
      </c>
      <c r="I1488" s="28" t="str">
        <f>_xlfn.XLOOKUP(Table134526_79101120212223242526[[#This Row],[Name Surname]],Manpower!$C$4:$C$1048576,Manpower!$H$4:$H$1048576,"")</f>
        <v>Sub Contactor</v>
      </c>
      <c r="J1488" s="21" t="s">
        <v>35</v>
      </c>
      <c r="K1488" s="21" t="s">
        <v>283</v>
      </c>
      <c r="L1488" s="21" t="s">
        <v>82</v>
      </c>
      <c r="M1488" s="21" t="s">
        <v>24</v>
      </c>
      <c r="N1488" s="29">
        <v>10</v>
      </c>
      <c r="O1488" s="21" t="s">
        <v>25</v>
      </c>
      <c r="P1488" s="21" t="s">
        <v>41</v>
      </c>
      <c r="Q1488" s="21" t="s">
        <v>60</v>
      </c>
      <c r="R1488" s="21" t="s">
        <v>301</v>
      </c>
    </row>
    <row r="1489" spans="1:19" s="45" customFormat="1" ht="14.4" hidden="1">
      <c r="A1489" s="25">
        <f>IF(C1489="","",MAX($A$1:A1488)+1)</f>
        <v>1404</v>
      </c>
      <c r="B1489" s="25" t="s">
        <v>79</v>
      </c>
      <c r="C1489" s="41">
        <v>46093</v>
      </c>
      <c r="D1489" s="48" t="str">
        <f>_xlfn.XLOOKUP(Table134526_79101120212223242526[[#This Row],[Name Surname]],Manpower!$C$4:$C$1048576,Manpower!$B$4:$B$1048576,"")</f>
        <v>Encogroup</v>
      </c>
      <c r="E1489" s="43" t="s">
        <v>133</v>
      </c>
      <c r="F1489" s="12">
        <f>_xlfn.XLOOKUP(Table134526_79101120212223242526[[#This Row],[Name Surname]],Manpower!C:C,Manpower!D:D,)</f>
        <v>140846684</v>
      </c>
      <c r="G1489" s="48" t="str">
        <f>_xlfn.XLOOKUP(Table134526_79101120212223242526[[#This Row],[Name Surname]],Manpower!$C$4:$C$1048576,Manpower!$F$4:$F$1048576,"")</f>
        <v>Assistant/Helper</v>
      </c>
      <c r="H1489" s="48" t="str">
        <f>_xlfn.XLOOKUP(Table134526_79101120212223242526[[#This Row],[Name Surname]],Manpower!$C$4:$C$1048576,Manpower!$H$4:$H$1048576,"")</f>
        <v>Manpower</v>
      </c>
      <c r="I1489" s="48" t="str">
        <f>_xlfn.XLOOKUP(Table134526_79101120212223242526[[#This Row],[Name Surname]],Manpower!$C$4:$C$1048576,Manpower!$H$4:$H$1048576,"")</f>
        <v>Manpower</v>
      </c>
      <c r="J1489" s="43" t="s">
        <v>35</v>
      </c>
      <c r="K1489" s="43" t="s">
        <v>283</v>
      </c>
      <c r="L1489" s="43" t="s">
        <v>82</v>
      </c>
      <c r="M1489" s="43" t="s">
        <v>24</v>
      </c>
      <c r="N1489" s="44">
        <v>10</v>
      </c>
      <c r="O1489" s="43" t="s">
        <v>25</v>
      </c>
      <c r="P1489" s="43" t="s">
        <v>41</v>
      </c>
      <c r="Q1489" s="43" t="s">
        <v>60</v>
      </c>
      <c r="R1489" s="43" t="s">
        <v>100</v>
      </c>
      <c r="S1489" s="43"/>
    </row>
    <row r="1490" spans="1:19" ht="14.4" hidden="1">
      <c r="A1490" s="33">
        <f>IF(C1490="","",MAX($A$1:A1489)+1)</f>
        <v>1405</v>
      </c>
      <c r="B1490" s="26" t="s">
        <v>79</v>
      </c>
      <c r="C1490" s="23">
        <v>46093</v>
      </c>
      <c r="D1490" s="28" t="str">
        <f>_xlfn.XLOOKUP(Table134526_79101120212223242526[[#This Row],[Name Surname]],Manpower!$C$4:$C$1048576,Manpower!$B$4:$B$1048576,"")</f>
        <v>Encogroup</v>
      </c>
      <c r="E1490" s="21" t="s">
        <v>136</v>
      </c>
      <c r="F1490" s="12">
        <f>_xlfn.XLOOKUP(Table134526_79101120212223242526[[#This Row],[Name Surname]],Manpower!C:C,Manpower!D:D,)</f>
        <v>141250908</v>
      </c>
      <c r="G1490" s="28" t="str">
        <f>_xlfn.XLOOKUP(Table134526_79101120212223242526[[#This Row],[Name Surname]],Manpower!$C$4:$C$1048576,Manpower!$F$4:$F$1048576,"")</f>
        <v>Mechanical Engineer</v>
      </c>
      <c r="H1490" s="28" t="str">
        <f>_xlfn.XLOOKUP(Table134526_79101120212223242526[[#This Row],[Name Surname]],Manpower!$C$4:$C$1048576,Manpower!$H$4:$H$1048576,"")</f>
        <v>Manpower</v>
      </c>
      <c r="I1490" s="28" t="str">
        <f>_xlfn.XLOOKUP(Table134526_79101120212223242526[[#This Row],[Name Surname]],Manpower!$C$4:$C$1048576,Manpower!$H$4:$H$1048576,"")</f>
        <v>Manpower</v>
      </c>
      <c r="J1490" s="21" t="s">
        <v>35</v>
      </c>
      <c r="K1490" s="21" t="s">
        <v>283</v>
      </c>
      <c r="L1490" s="21" t="s">
        <v>82</v>
      </c>
      <c r="M1490" s="21" t="s">
        <v>24</v>
      </c>
      <c r="N1490" s="29">
        <v>10</v>
      </c>
      <c r="O1490" s="21" t="s">
        <v>25</v>
      </c>
      <c r="P1490" s="21" t="s">
        <v>41</v>
      </c>
      <c r="Q1490" s="21" t="s">
        <v>60</v>
      </c>
      <c r="R1490" s="21" t="s">
        <v>301</v>
      </c>
    </row>
    <row r="1491" spans="1:19" ht="14.4">
      <c r="A1491" s="33">
        <f>IF(C1491="","",MAX($A$1:A1490)+1)</f>
        <v>1406</v>
      </c>
      <c r="B1491" s="26" t="s">
        <v>79</v>
      </c>
      <c r="C1491" s="23">
        <v>46093</v>
      </c>
      <c r="D1491" s="28" t="str">
        <f>_xlfn.XLOOKUP(Table134526_79101120212223242526[[#This Row],[Name Surname]],Manpower!$C$4:$C$1048576,Manpower!$B$4:$B$1048576,"")</f>
        <v>Encogroup</v>
      </c>
      <c r="E1491" s="23" t="s">
        <v>137</v>
      </c>
      <c r="F1491" s="12" t="e">
        <f>_xlfn.XLOOKUP(Table134526_79101120212223242526[[#This Row],[Name Surname]],Manpower!C:C,Manpower!D:D,)</f>
        <v>#N/A</v>
      </c>
      <c r="G1491" s="28" t="str">
        <f>_xlfn.XLOOKUP(Table134526_79101120212223242526[[#This Row],[Name Surname]],Manpower!$C$4:$C$1048576,Manpower!$F$4:$F$1048576,"")</f>
        <v>55 Seat Bus</v>
      </c>
      <c r="H1491" s="28" t="str">
        <f>_xlfn.XLOOKUP(Table134526_79101120212223242526[[#This Row],[Name Surname]],Manpower!$C$4:$C$1048576,Manpower!$H$4:$H$1048576,"")</f>
        <v>Equipment</v>
      </c>
      <c r="I1491" s="28" t="str">
        <f>_xlfn.XLOOKUP(Table134526_79101120212223242526[[#This Row],[Name Surname]],Manpower!$C$4:$C$1048576,Manpower!$H$4:$H$1048576,"")</f>
        <v>Equipment</v>
      </c>
      <c r="J1491" s="21" t="s">
        <v>35</v>
      </c>
      <c r="K1491" s="21" t="s">
        <v>283</v>
      </c>
      <c r="L1491" s="21" t="s">
        <v>82</v>
      </c>
      <c r="M1491" s="21" t="s">
        <v>24</v>
      </c>
      <c r="N1491" s="29">
        <v>10</v>
      </c>
      <c r="O1491" s="21" t="s">
        <v>138</v>
      </c>
      <c r="P1491" s="21" t="s">
        <v>138</v>
      </c>
      <c r="Q1491" s="21" t="s">
        <v>138</v>
      </c>
      <c r="R1491" s="21" t="s">
        <v>26</v>
      </c>
    </row>
    <row r="1492" spans="1:19" ht="14.4">
      <c r="A1492" s="33">
        <f>IF(C1492="","",MAX($A$1:A1490)+1)</f>
        <v>1406</v>
      </c>
      <c r="B1492" s="26" t="s">
        <v>79</v>
      </c>
      <c r="C1492" s="23">
        <v>46093</v>
      </c>
      <c r="D1492" s="28" t="str">
        <f>_xlfn.XLOOKUP(Table134526_79101120212223242526[[#This Row],[Name Surname]],Manpower!$C$4:$C$1048576,Manpower!$B$4:$B$1048576,"")</f>
        <v>Encogroup</v>
      </c>
      <c r="E1492" s="23" t="s">
        <v>139</v>
      </c>
      <c r="F1492" s="12" t="e">
        <f>_xlfn.XLOOKUP(Table134526_79101120212223242526[[#This Row],[Name Surname]],Manpower!C:C,Manpower!D:D,)</f>
        <v>#N/A</v>
      </c>
      <c r="G1492" s="28" t="str">
        <f>_xlfn.XLOOKUP(Table134526_79101120212223242526[[#This Row],[Name Surname]],Manpower!$C$4:$C$1048576,Manpower!$F$4:$F$1048576,"")</f>
        <v>TOWER LIGHT</v>
      </c>
      <c r="H1492" s="28" t="str">
        <f>_xlfn.XLOOKUP(Table134526_79101120212223242526[[#This Row],[Name Surname]],Manpower!$C$4:$C$1048576,Manpower!$H$4:$H$1048576,"")</f>
        <v>Equipment</v>
      </c>
      <c r="I1492" s="28" t="str">
        <f>_xlfn.XLOOKUP(Table134526_79101120212223242526[[#This Row],[Name Surname]],Manpower!$C$4:$C$1048576,Manpower!$H$4:$H$1048576,"")</f>
        <v>Equipment</v>
      </c>
      <c r="J1492" s="21" t="s">
        <v>35</v>
      </c>
      <c r="K1492" s="21" t="s">
        <v>283</v>
      </c>
      <c r="L1492" s="21" t="s">
        <v>82</v>
      </c>
      <c r="M1492" s="21" t="s">
        <v>24</v>
      </c>
      <c r="N1492" s="29">
        <v>10</v>
      </c>
      <c r="O1492" s="21" t="s">
        <v>140</v>
      </c>
      <c r="P1492" s="21" t="s">
        <v>140</v>
      </c>
      <c r="Q1492" s="21" t="s">
        <v>140</v>
      </c>
      <c r="R1492" s="21" t="s">
        <v>26</v>
      </c>
    </row>
    <row r="1493" spans="1:19" ht="14.4">
      <c r="A1493" s="33">
        <f>IF(C1493="","",MAX($A$1:A1492)+1)</f>
        <v>1407</v>
      </c>
      <c r="B1493" s="27" t="s">
        <v>141</v>
      </c>
      <c r="C1493" s="23">
        <v>46093</v>
      </c>
      <c r="D1493" s="28" t="str">
        <f>_xlfn.XLOOKUP(Table134526_79101120212223242526[[#This Row],[Name Surname]],Manpower!$C$4:$C$1048576,Manpower!$B$4:$B$1048576,"")</f>
        <v>Encogroup</v>
      </c>
      <c r="E1493" s="21" t="s">
        <v>142</v>
      </c>
      <c r="F1493" s="12" t="e">
        <f>_xlfn.XLOOKUP(Table134526_79101120212223242526[[#This Row],[Name Surname]],Manpower!C:C,Manpower!D:D,)</f>
        <v>#N/A</v>
      </c>
      <c r="G1493" s="28" t="str">
        <f>_xlfn.XLOOKUP(Table134526_79101120212223242526[[#This Row],[Name Surname]],Manpower!$C$4:$C$1048576,Manpower!$F$4:$F$1048576,"")</f>
        <v>13 Seat Bus</v>
      </c>
      <c r="H1493" s="28" t="str">
        <f>_xlfn.XLOOKUP(Table134526_79101120212223242526[[#This Row],[Name Surname]],Manpower!$C$4:$C$1048576,Manpower!$H$4:$H$1048576,"")</f>
        <v>Equipment</v>
      </c>
      <c r="I1493" s="28" t="str">
        <f>_xlfn.XLOOKUP(Table134526_79101120212223242526[[#This Row],[Name Surname]],Manpower!$C$4:$C$1048576,Manpower!$H$4:$H$1048576,"")</f>
        <v>Equipment</v>
      </c>
      <c r="J1493" s="21" t="s">
        <v>143</v>
      </c>
      <c r="K1493" s="21" t="s">
        <v>26</v>
      </c>
      <c r="L1493" s="21" t="s">
        <v>144</v>
      </c>
      <c r="M1493" s="21" t="s">
        <v>24</v>
      </c>
      <c r="N1493" s="29">
        <v>10</v>
      </c>
      <c r="O1493" s="21" t="s">
        <v>138</v>
      </c>
      <c r="P1493" s="21" t="s">
        <v>138</v>
      </c>
      <c r="Q1493" s="21" t="s">
        <v>138</v>
      </c>
      <c r="R1493" s="21" t="s">
        <v>26</v>
      </c>
    </row>
    <row r="1494" spans="1:19" ht="14.4">
      <c r="A1494" s="33">
        <f>IF(C1494="","",MAX($A$1:A1493)+1)</f>
        <v>1408</v>
      </c>
      <c r="B1494" s="27" t="s">
        <v>141</v>
      </c>
      <c r="C1494" s="23">
        <v>46093</v>
      </c>
      <c r="D1494" s="28" t="str">
        <f>_xlfn.XLOOKUP(Table134526_79101120212223242526[[#This Row],[Name Surname]],Manpower!$C$4:$C$1048576,Manpower!$B$4:$B$1048576,"")</f>
        <v>Encogroup</v>
      </c>
      <c r="E1494" s="21" t="s">
        <v>145</v>
      </c>
      <c r="F1494" s="12" t="e">
        <f>_xlfn.XLOOKUP(Table134526_79101120212223242526[[#This Row],[Name Surname]],Manpower!C:C,Manpower!D:D,)</f>
        <v>#N/A</v>
      </c>
      <c r="G1494" s="28" t="str">
        <f>_xlfn.XLOOKUP(Table134526_79101120212223242526[[#This Row],[Name Surname]],Manpower!$C$4:$C$1048576,Manpower!$F$4:$F$1048576,"")</f>
        <v>15 Seat Bus</v>
      </c>
      <c r="H1494" s="28" t="str">
        <f>_xlfn.XLOOKUP(Table134526_79101120212223242526[[#This Row],[Name Surname]],Manpower!$C$4:$C$1048576,Manpower!$H$4:$H$1048576,"")</f>
        <v>Equipment</v>
      </c>
      <c r="I1494" s="28" t="str">
        <f>_xlfn.XLOOKUP(Table134526_79101120212223242526[[#This Row],[Name Surname]],Manpower!$C$4:$C$1048576,Manpower!$H$4:$H$1048576,"")</f>
        <v>Equipment</v>
      </c>
      <c r="J1494" s="21" t="s">
        <v>143</v>
      </c>
      <c r="K1494" s="21" t="s">
        <v>26</v>
      </c>
      <c r="L1494" s="21" t="s">
        <v>144</v>
      </c>
      <c r="M1494" s="21" t="s">
        <v>24</v>
      </c>
      <c r="N1494" s="29">
        <v>10</v>
      </c>
      <c r="O1494" s="21" t="s">
        <v>138</v>
      </c>
      <c r="P1494" s="21" t="s">
        <v>138</v>
      </c>
      <c r="Q1494" s="21" t="s">
        <v>138</v>
      </c>
      <c r="R1494" s="21" t="s">
        <v>26</v>
      </c>
    </row>
    <row r="1495" spans="1:19" ht="14.4">
      <c r="A1495" s="33">
        <f>IF(C1495="","",MAX($A$1:A1493)+1)</f>
        <v>1408</v>
      </c>
      <c r="B1495" s="27" t="s">
        <v>141</v>
      </c>
      <c r="C1495" s="23">
        <v>46093</v>
      </c>
      <c r="D1495" s="28" t="str">
        <f>_xlfn.XLOOKUP(Table134526_79101120212223242526[[#This Row],[Name Surname]],Manpower!$C$4:$C$1048576,Manpower!$B$4:$B$1048576,"")</f>
        <v>Nass Group</v>
      </c>
      <c r="E1495" s="21" t="s">
        <v>146</v>
      </c>
      <c r="F1495" s="12" t="e">
        <f>_xlfn.XLOOKUP(Table134526_79101120212223242526[[#This Row],[Name Surname]],Manpower!C:C,Manpower!D:D,)</f>
        <v>#N/A</v>
      </c>
      <c r="G1495" s="28" t="str">
        <f>_xlfn.XLOOKUP(Table134526_79101120212223242526[[#This Row],[Name Surname]],Manpower!$C$4:$C$1048576,Manpower!$F$4:$F$1048576,"")</f>
        <v>130T Crawler Crane</v>
      </c>
      <c r="H1495" s="28" t="str">
        <f>_xlfn.XLOOKUP(Table134526_79101120212223242526[[#This Row],[Name Surname]],Manpower!$C$4:$C$1048576,Manpower!$H$4:$H$1048576,"")</f>
        <v>Equipment</v>
      </c>
      <c r="I1495" s="28" t="str">
        <f>_xlfn.XLOOKUP(Table134526_79101120212223242526[[#This Row],[Name Surname]],Manpower!$C$4:$C$1048576,Manpower!$H$4:$H$1048576,"")</f>
        <v>Equipment</v>
      </c>
      <c r="J1495" s="21" t="s">
        <v>143</v>
      </c>
      <c r="K1495" s="21" t="s">
        <v>26</v>
      </c>
      <c r="L1495" s="21" t="s">
        <v>144</v>
      </c>
      <c r="M1495" s="21" t="s">
        <v>55</v>
      </c>
      <c r="N1495" s="29">
        <v>10</v>
      </c>
      <c r="R1495" s="21" t="s">
        <v>258</v>
      </c>
    </row>
    <row r="1496" spans="1:19" ht="14.4">
      <c r="A1496" s="33">
        <f>IF(C1496="","",MAX($A$1:A1495)+1)</f>
        <v>1409</v>
      </c>
      <c r="B1496" s="27" t="s">
        <v>141</v>
      </c>
      <c r="C1496" s="23">
        <v>46093</v>
      </c>
      <c r="D1496" s="28" t="str">
        <f>_xlfn.XLOOKUP(Table134526_79101120212223242526[[#This Row],[Name Surname]],Manpower!$C$4:$C$1048576,Manpower!$B$4:$B$1048576,"")</f>
        <v>Riyan Al Khaleej</v>
      </c>
      <c r="E1496" s="21" t="s">
        <v>20</v>
      </c>
      <c r="F1496" s="12" t="e">
        <f>_xlfn.XLOOKUP(Table134526_79101120212223242526[[#This Row],[Name Surname]],Manpower!C:C,Manpower!D:D,)</f>
        <v>#N/A</v>
      </c>
      <c r="G1496" s="28" t="str">
        <f>_xlfn.XLOOKUP(Table134526_79101120212223242526[[#This Row],[Name Surname]],Manpower!$C$4:$C$1048576,Manpower!$F$4:$F$1048576,"")</f>
        <v>100T Telescopic Crane</v>
      </c>
      <c r="H1496" s="28" t="str">
        <f>_xlfn.XLOOKUP(Table134526_79101120212223242526[[#This Row],[Name Surname]],Manpower!$C$4:$C$1048576,Manpower!$H$4:$H$1048576,"")</f>
        <v>Equipment</v>
      </c>
      <c r="I1496" s="28" t="str">
        <f>_xlfn.XLOOKUP(Table134526_79101120212223242526[[#This Row],[Name Surname]],Manpower!$C$4:$C$1048576,Manpower!$H$4:$H$1048576,"")</f>
        <v>Equipment</v>
      </c>
      <c r="J1496" s="21" t="s">
        <v>143</v>
      </c>
      <c r="K1496" s="21" t="s">
        <v>26</v>
      </c>
      <c r="L1496" s="21" t="s">
        <v>144</v>
      </c>
      <c r="M1496" s="21" t="s">
        <v>24</v>
      </c>
      <c r="N1496" s="29">
        <v>8</v>
      </c>
      <c r="O1496" s="21" t="s">
        <v>40</v>
      </c>
      <c r="P1496" s="21" t="s">
        <v>41</v>
      </c>
      <c r="Q1496" s="21" t="s">
        <v>42</v>
      </c>
      <c r="R1496" s="21" t="s">
        <v>305</v>
      </c>
    </row>
    <row r="1497" spans="1:19" ht="14.4">
      <c r="A1497" s="33"/>
      <c r="B1497" s="27" t="s">
        <v>141</v>
      </c>
      <c r="C1497" s="23">
        <v>46093</v>
      </c>
      <c r="D1497" s="28" t="str">
        <f>_xlfn.XLOOKUP(Table134526_79101120212223242526[[#This Row],[Name Surname]],Manpower!$C$4:$C$1048576,Manpower!$B$4:$B$1048576,"")</f>
        <v>Encogroup</v>
      </c>
      <c r="E1497" s="21" t="s">
        <v>150</v>
      </c>
      <c r="F1497" s="12" t="e">
        <f>_xlfn.XLOOKUP(Table134526_79101120212223242526[[#This Row],[Name Surname]],Manpower!C:C,Manpower!D:D,)</f>
        <v>#N/A</v>
      </c>
      <c r="G1497" s="28" t="str">
        <f>_xlfn.XLOOKUP(Table134526_79101120212223242526[[#This Row],[Name Surname]],Manpower!$C$4:$C$1048576,Manpower!$F$4:$F$1048576,"")</f>
        <v>14T Fork lift</v>
      </c>
      <c r="H1497" s="28" t="str">
        <f>_xlfn.XLOOKUP(Table134526_79101120212223242526[[#This Row],[Name Surname]],Manpower!$C$4:$C$1048576,Manpower!$H$4:$H$1048576,"")</f>
        <v>Equipment</v>
      </c>
      <c r="I1497" s="28" t="str">
        <f>_xlfn.XLOOKUP(Table134526_79101120212223242526[[#This Row],[Name Surname]],Manpower!$C$4:$C$1048576,Manpower!$H$4:$H$1048576,"")</f>
        <v>Equipment</v>
      </c>
      <c r="J1497" s="21" t="s">
        <v>143</v>
      </c>
      <c r="K1497" s="21" t="s">
        <v>26</v>
      </c>
      <c r="L1497" s="21" t="s">
        <v>144</v>
      </c>
      <c r="M1497" s="21" t="s">
        <v>24</v>
      </c>
      <c r="N1497" s="29">
        <v>10</v>
      </c>
      <c r="O1497" s="21" t="s">
        <v>40</v>
      </c>
      <c r="P1497" s="21" t="s">
        <v>42</v>
      </c>
      <c r="Q1497" s="21" t="s">
        <v>41</v>
      </c>
      <c r="R1497" s="21" t="s">
        <v>272</v>
      </c>
    </row>
    <row r="1498" spans="1:19" ht="14.4">
      <c r="A1498" s="33">
        <f>IF(C1498="","",MAX($A$1:A1497)+1)</f>
        <v>1410</v>
      </c>
      <c r="B1498" s="27" t="s">
        <v>141</v>
      </c>
      <c r="C1498" s="23">
        <v>46093</v>
      </c>
      <c r="D1498" s="28" t="str">
        <f>_xlfn.XLOOKUP(Table134526_79101120212223242526[[#This Row],[Name Surname]],Manpower!$C$4:$C$1048576,Manpower!$B$4:$B$1048576,"")</f>
        <v>Al Jaber Heavy Lift</v>
      </c>
      <c r="E1498" s="21" t="s">
        <v>151</v>
      </c>
      <c r="F1498" s="12" t="e">
        <f>_xlfn.XLOOKUP(Table134526_79101120212223242526[[#This Row],[Name Surname]],Manpower!C:C,Manpower!D:D,)</f>
        <v>#N/A</v>
      </c>
      <c r="G1498" s="28" t="str">
        <f>_xlfn.XLOOKUP(Table134526_79101120212223242526[[#This Row],[Name Surname]],Manpower!$C$4:$C$1048576,Manpower!$F$4:$F$1048576,"")</f>
        <v>150T-Crawler Crane</v>
      </c>
      <c r="H1498" s="28" t="str">
        <f>_xlfn.XLOOKUP(Table134526_79101120212223242526[[#This Row],[Name Surname]],Manpower!$C$4:$C$1048576,Manpower!$H$4:$H$1048576,"")</f>
        <v>Equipment</v>
      </c>
      <c r="I1498" s="28" t="str">
        <f>_xlfn.XLOOKUP(Table134526_79101120212223242526[[#This Row],[Name Surname]],Manpower!$C$4:$C$1048576,Manpower!$H$4:$H$1048576,"")</f>
        <v>Equipment</v>
      </c>
      <c r="J1498" s="21" t="s">
        <v>143</v>
      </c>
      <c r="K1498" s="21" t="s">
        <v>26</v>
      </c>
      <c r="L1498" s="21" t="s">
        <v>144</v>
      </c>
      <c r="M1498" s="21" t="s">
        <v>55</v>
      </c>
      <c r="N1498" s="29">
        <v>8</v>
      </c>
      <c r="R1498" s="21" t="s">
        <v>242</v>
      </c>
    </row>
    <row r="1499" spans="1:19" ht="14.4">
      <c r="A1499" s="33">
        <f>IF(C1499="","",MAX($A$1:A1498)+1)</f>
        <v>1411</v>
      </c>
      <c r="B1499" s="27" t="s">
        <v>141</v>
      </c>
      <c r="C1499" s="23">
        <v>46093</v>
      </c>
      <c r="D1499" s="28" t="str">
        <f>_xlfn.XLOOKUP(Table134526_79101120212223242526[[#This Row],[Name Surname]],Manpower!$C$4:$C$1048576,Manpower!$B$4:$B$1048576,"")</f>
        <v>Encogroup</v>
      </c>
      <c r="E1499" s="21" t="s">
        <v>153</v>
      </c>
      <c r="F1499" s="12" t="e">
        <f>_xlfn.XLOOKUP(Table134526_79101120212223242526[[#This Row],[Name Surname]],Manpower!C:C,Manpower!D:D,)</f>
        <v>#N/A</v>
      </c>
      <c r="G1499" s="28" t="str">
        <f>_xlfn.XLOOKUP(Table134526_79101120212223242526[[#This Row],[Name Surname]],Manpower!$C$4:$C$1048576,Manpower!$F$4:$F$1048576,"")</f>
        <v>22 Seat Bus</v>
      </c>
      <c r="H1499" s="28" t="str">
        <f>_xlfn.XLOOKUP(Table134526_79101120212223242526[[#This Row],[Name Surname]],Manpower!$C$4:$C$1048576,Manpower!$H$4:$H$1048576,"")</f>
        <v>Equipment</v>
      </c>
      <c r="I1499" s="28" t="str">
        <f>_xlfn.XLOOKUP(Table134526_79101120212223242526[[#This Row],[Name Surname]],Manpower!$C$4:$C$1048576,Manpower!$H$4:$H$1048576,"")</f>
        <v>Equipment</v>
      </c>
      <c r="J1499" s="21" t="s">
        <v>143</v>
      </c>
      <c r="K1499" s="21" t="s">
        <v>26</v>
      </c>
      <c r="L1499" s="21" t="s">
        <v>144</v>
      </c>
      <c r="M1499" s="21" t="s">
        <v>24</v>
      </c>
      <c r="N1499" s="29">
        <v>10</v>
      </c>
      <c r="O1499" s="21" t="s">
        <v>138</v>
      </c>
      <c r="P1499" s="21" t="s">
        <v>138</v>
      </c>
      <c r="Q1499" s="21" t="s">
        <v>138</v>
      </c>
      <c r="R1499" s="21" t="s">
        <v>26</v>
      </c>
    </row>
    <row r="1500" spans="1:19" ht="14.4">
      <c r="A1500" s="33">
        <f>IF(C1500="","",MAX($A$1:A1499)+1)</f>
        <v>1412</v>
      </c>
      <c r="B1500" s="27" t="s">
        <v>141</v>
      </c>
      <c r="C1500" s="23">
        <v>46093</v>
      </c>
      <c r="D1500" s="28" t="str">
        <f>_xlfn.XLOOKUP(Table134526_79101120212223242526[[#This Row],[Name Surname]],Manpower!$C$4:$C$1048576,Manpower!$B$4:$B$1048576,"")</f>
        <v>Encogroup</v>
      </c>
      <c r="E1500" s="21" t="s">
        <v>154</v>
      </c>
      <c r="F1500" s="12" t="e">
        <f>_xlfn.XLOOKUP(Table134526_79101120212223242526[[#This Row],[Name Surname]],Manpower!C:C,Manpower!D:D,)</f>
        <v>#N/A</v>
      </c>
      <c r="G1500" s="28" t="str">
        <f>_xlfn.XLOOKUP(Table134526_79101120212223242526[[#This Row],[Name Surname]],Manpower!$C$4:$C$1048576,Manpower!$F$4:$F$1048576,"")</f>
        <v>22 Seat Bus</v>
      </c>
      <c r="H1500" s="28" t="str">
        <f>_xlfn.XLOOKUP(Table134526_79101120212223242526[[#This Row],[Name Surname]],Manpower!$C$4:$C$1048576,Manpower!$H$4:$H$1048576,"")</f>
        <v>Equipment</v>
      </c>
      <c r="I1500" s="28" t="str">
        <f>_xlfn.XLOOKUP(Table134526_79101120212223242526[[#This Row],[Name Surname]],Manpower!$C$4:$C$1048576,Manpower!$H$4:$H$1048576,"")</f>
        <v>Equipment</v>
      </c>
      <c r="J1500" s="21" t="s">
        <v>143</v>
      </c>
      <c r="K1500" s="21" t="s">
        <v>26</v>
      </c>
      <c r="L1500" s="21" t="s">
        <v>144</v>
      </c>
      <c r="M1500" s="21" t="s">
        <v>24</v>
      </c>
      <c r="N1500" s="29">
        <v>10</v>
      </c>
      <c r="O1500" s="21" t="s">
        <v>138</v>
      </c>
      <c r="P1500" s="21" t="s">
        <v>138</v>
      </c>
      <c r="Q1500" s="21" t="s">
        <v>138</v>
      </c>
      <c r="R1500" s="21" t="s">
        <v>26</v>
      </c>
    </row>
    <row r="1501" spans="1:19" ht="14.4">
      <c r="A1501" s="33">
        <f>IF(C1501="","",MAX($A$1:A1500)+1)</f>
        <v>1413</v>
      </c>
      <c r="B1501" s="27" t="s">
        <v>141</v>
      </c>
      <c r="C1501" s="23">
        <v>46093</v>
      </c>
      <c r="D1501" s="28" t="str">
        <f>_xlfn.XLOOKUP(Table134526_79101120212223242526[[#This Row],[Name Surname]],Manpower!$C$4:$C$1048576,Manpower!$B$4:$B$1048576,"")</f>
        <v>Encogroup</v>
      </c>
      <c r="E1501" s="21" t="s">
        <v>155</v>
      </c>
      <c r="F1501" s="12" t="e">
        <f>_xlfn.XLOOKUP(Table134526_79101120212223242526[[#This Row],[Name Surname]],Manpower!C:C,Manpower!D:D,)</f>
        <v>#N/A</v>
      </c>
      <c r="G1501" s="28" t="str">
        <f>_xlfn.XLOOKUP(Table134526_79101120212223242526[[#This Row],[Name Surname]],Manpower!$C$4:$C$1048576,Manpower!$F$4:$F$1048576,"")</f>
        <v>300 KVA Generator</v>
      </c>
      <c r="H1501" s="28" t="str">
        <f>_xlfn.XLOOKUP(Table134526_79101120212223242526[[#This Row],[Name Surname]],Manpower!$C$4:$C$1048576,Manpower!$H$4:$H$1048576,"")</f>
        <v>Equipment</v>
      </c>
      <c r="I1501" s="28" t="str">
        <f>_xlfn.XLOOKUP(Table134526_79101120212223242526[[#This Row],[Name Surname]],Manpower!$C$4:$C$1048576,Manpower!$H$4:$H$1048576,"")</f>
        <v>Equipment</v>
      </c>
      <c r="J1501" s="21" t="s">
        <v>143</v>
      </c>
      <c r="K1501" s="21" t="s">
        <v>26</v>
      </c>
      <c r="L1501" s="21" t="s">
        <v>144</v>
      </c>
      <c r="M1501" s="21" t="s">
        <v>24</v>
      </c>
      <c r="N1501" s="29">
        <v>10</v>
      </c>
      <c r="R1501" s="21" t="s">
        <v>26</v>
      </c>
    </row>
    <row r="1502" spans="1:19" ht="14.4">
      <c r="A1502" s="33">
        <f>IF(C1502="","",MAX($A$1:A1501)+1)</f>
        <v>1414</v>
      </c>
      <c r="B1502" s="27" t="s">
        <v>141</v>
      </c>
      <c r="C1502" s="23">
        <v>46093</v>
      </c>
      <c r="D1502" s="28" t="str">
        <f>_xlfn.XLOOKUP(Table134526_79101120212223242526[[#This Row],[Name Surname]],Manpower!$C$4:$C$1048576,Manpower!$B$4:$B$1048576,"")</f>
        <v>Encogroup</v>
      </c>
      <c r="E1502" s="23" t="s">
        <v>156</v>
      </c>
      <c r="F1502" s="12" t="e">
        <f>_xlfn.XLOOKUP(Table134526_79101120212223242526[[#This Row],[Name Surname]],Manpower!C:C,Manpower!D:D,)</f>
        <v>#N/A</v>
      </c>
      <c r="G1502" s="28" t="str">
        <f>_xlfn.XLOOKUP(Table134526_79101120212223242526[[#This Row],[Name Surname]],Manpower!$C$4:$C$1048576,Manpower!$F$4:$F$1048576,"")</f>
        <v>35 KVA Generator</v>
      </c>
      <c r="H1502" s="28" t="str">
        <f>_xlfn.XLOOKUP(Table134526_79101120212223242526[[#This Row],[Name Surname]],Manpower!$C$4:$C$1048576,Manpower!$H$4:$H$1048576,"")</f>
        <v>Equipment</v>
      </c>
      <c r="I1502" s="28" t="str">
        <f>_xlfn.XLOOKUP(Table134526_79101120212223242526[[#This Row],[Name Surname]],Manpower!$C$4:$C$1048576,Manpower!$H$4:$H$1048576,"")</f>
        <v>Equipment</v>
      </c>
      <c r="J1502" s="21" t="s">
        <v>143</v>
      </c>
      <c r="K1502" s="21" t="s">
        <v>26</v>
      </c>
      <c r="L1502" s="21" t="s">
        <v>144</v>
      </c>
      <c r="M1502" s="21" t="s">
        <v>55</v>
      </c>
      <c r="N1502" s="29">
        <v>10</v>
      </c>
      <c r="R1502" s="21" t="s">
        <v>56</v>
      </c>
    </row>
    <row r="1503" spans="1:19" ht="14.4" hidden="1">
      <c r="A1503" s="33">
        <f>IF(C1503="","",MAX($A$1:A1502)+1)</f>
        <v>1415</v>
      </c>
      <c r="B1503" s="33" t="s">
        <v>141</v>
      </c>
      <c r="C1503" s="23">
        <v>46093</v>
      </c>
      <c r="D1503" s="28" t="str">
        <f>_xlfn.XLOOKUP(Table134526_79101120212223242526[[#This Row],[Name Surname]],Manpower!$C$4:$C$1048576,Manpower!$B$4:$B$1048576,"")</f>
        <v>Encogroup</v>
      </c>
      <c r="E1503" s="21" t="s">
        <v>157</v>
      </c>
      <c r="F1503" s="12">
        <f>_xlfn.XLOOKUP(Table134526_79101120212223242526[[#This Row],[Name Surname]],Manpower!C:C,Manpower!D:D,)</f>
        <v>140742144</v>
      </c>
      <c r="G1503" s="28" t="str">
        <f>_xlfn.XLOOKUP(Table134526_79101120212223242526[[#This Row],[Name Surname]],Manpower!$C$4:$C$1048576,Manpower!$F$4:$F$1048576,"")</f>
        <v>Assistant/Helper</v>
      </c>
      <c r="H1503" s="28" t="str">
        <f>_xlfn.XLOOKUP(Table134526_79101120212223242526[[#This Row],[Name Surname]],Manpower!$C$4:$C$1048576,Manpower!$H$4:$H$1048576,"")</f>
        <v>Manpower</v>
      </c>
      <c r="I1503" s="28" t="str">
        <f>_xlfn.XLOOKUP(Table134526_79101120212223242526[[#This Row],[Name Surname]],Manpower!$C$4:$C$1048576,Manpower!$H$4:$H$1048576,"")</f>
        <v>Manpower</v>
      </c>
      <c r="J1503" s="21" t="s">
        <v>158</v>
      </c>
      <c r="K1503" s="21" t="s">
        <v>26</v>
      </c>
      <c r="L1503" s="21" t="s">
        <v>26</v>
      </c>
      <c r="M1503" s="21" t="s">
        <v>24</v>
      </c>
      <c r="N1503" s="29">
        <v>10</v>
      </c>
      <c r="O1503" s="21" t="s">
        <v>159</v>
      </c>
      <c r="P1503" s="21" t="s">
        <v>160</v>
      </c>
      <c r="Q1503" s="21" t="s">
        <v>160</v>
      </c>
      <c r="R1503" s="21" t="s">
        <v>161</v>
      </c>
    </row>
    <row r="1504" spans="1:19" s="45" customFormat="1" ht="14.4" hidden="1">
      <c r="A1504" s="25">
        <f>IF(C1504="","",MAX($A$1:A1503)+1)</f>
        <v>1416</v>
      </c>
      <c r="B1504" s="25" t="s">
        <v>141</v>
      </c>
      <c r="C1504" s="41">
        <v>46093</v>
      </c>
      <c r="D1504" s="48" t="str">
        <f>_xlfn.XLOOKUP(Table134526_79101120212223242526[[#This Row],[Name Surname]],Manpower!$C$4:$C$1048576,Manpower!$B$4:$B$1048576,"")</f>
        <v>Encogroup</v>
      </c>
      <c r="E1504" s="43" t="s">
        <v>166</v>
      </c>
      <c r="F1504" s="12" t="str">
        <f>_xlfn.XLOOKUP(Table134526_79101120212223242526[[#This Row],[Name Surname]],Manpower!C:C,Manpower!D:D,)</f>
        <v>U4181508</v>
      </c>
      <c r="G1504" s="48" t="str">
        <f>_xlfn.XLOOKUP(Table134526_79101120212223242526[[#This Row],[Name Surname]],Manpower!$C$4:$C$1048576,Manpower!$F$4:$F$1048576,"")</f>
        <v>Welder</v>
      </c>
      <c r="H1504" s="48" t="str">
        <f>_xlfn.XLOOKUP(Table134526_79101120212223242526[[#This Row],[Name Surname]],Manpower!$C$4:$C$1048576,Manpower!$H$4:$H$1048576,"")</f>
        <v>Manpower</v>
      </c>
      <c r="I1504" s="48" t="str">
        <f>_xlfn.XLOOKUP(Table134526_79101120212223242526[[#This Row],[Name Surname]],Manpower!$C$4:$C$1048576,Manpower!$H$4:$H$1048576,"")</f>
        <v>Manpower</v>
      </c>
      <c r="J1504" s="43" t="s">
        <v>143</v>
      </c>
      <c r="K1504" s="43" t="s">
        <v>26</v>
      </c>
      <c r="L1504" s="43" t="s">
        <v>144</v>
      </c>
      <c r="M1504" s="43" t="s">
        <v>24</v>
      </c>
      <c r="N1504" s="44">
        <v>10</v>
      </c>
      <c r="O1504" s="43" t="s">
        <v>40</v>
      </c>
      <c r="P1504" s="43" t="s">
        <v>42</v>
      </c>
      <c r="Q1504" s="43" t="s">
        <v>42</v>
      </c>
      <c r="R1504" s="43" t="s">
        <v>305</v>
      </c>
      <c r="S1504" s="43"/>
    </row>
    <row r="1505" spans="1:19" s="45" customFormat="1" ht="14.4" hidden="1">
      <c r="A1505" s="25">
        <f>IF(C1505="","",MAX($A$1:A1504)+1)</f>
        <v>1417</v>
      </c>
      <c r="B1505" s="25" t="s">
        <v>141</v>
      </c>
      <c r="C1505" s="41">
        <v>46093</v>
      </c>
      <c r="D1505" s="48" t="str">
        <f>_xlfn.XLOOKUP(Table134526_79101120212223242526[[#This Row],[Name Surname]],Manpower!$C$4:$C$1048576,Manpower!$B$4:$B$1048576,"")</f>
        <v>Encogroup</v>
      </c>
      <c r="E1505" s="43" t="s">
        <v>167</v>
      </c>
      <c r="F1505" s="12">
        <f>_xlfn.XLOOKUP(Table134526_79101120212223242526[[#This Row],[Name Surname]],Manpower!C:C,Manpower!D:D,)</f>
        <v>125440631</v>
      </c>
      <c r="G1505" s="48" t="str">
        <f>_xlfn.XLOOKUP(Table134526_79101120212223242526[[#This Row],[Name Surname]],Manpower!$C$4:$C$1048576,Manpower!$F$4:$F$1048576,"")</f>
        <v>Rigger</v>
      </c>
      <c r="H1505" s="48" t="str">
        <f>_xlfn.XLOOKUP(Table134526_79101120212223242526[[#This Row],[Name Surname]],Manpower!$C$4:$C$1048576,Manpower!$H$4:$H$1048576,"")</f>
        <v>Manpower</v>
      </c>
      <c r="I1505" s="48" t="str">
        <f>_xlfn.XLOOKUP(Table134526_79101120212223242526[[#This Row],[Name Surname]],Manpower!$C$4:$C$1048576,Manpower!$H$4:$H$1048576,"")</f>
        <v>Manpower</v>
      </c>
      <c r="J1505" s="43" t="s">
        <v>143</v>
      </c>
      <c r="K1505" s="43" t="s">
        <v>26</v>
      </c>
      <c r="L1505" s="43" t="s">
        <v>144</v>
      </c>
      <c r="M1505" s="43" t="s">
        <v>24</v>
      </c>
      <c r="N1505" s="44">
        <v>8</v>
      </c>
      <c r="O1505" s="43" t="s">
        <v>40</v>
      </c>
      <c r="P1505" s="43" t="s">
        <v>42</v>
      </c>
      <c r="Q1505" s="43" t="s">
        <v>42</v>
      </c>
      <c r="R1505" s="43" t="s">
        <v>305</v>
      </c>
      <c r="S1505" s="43"/>
    </row>
    <row r="1506" spans="1:19" ht="14.4" hidden="1">
      <c r="A1506" s="33">
        <f>IF(C1506="","",MAX($A$1:A1505)+1)</f>
        <v>1418</v>
      </c>
      <c r="B1506" s="27" t="s">
        <v>141</v>
      </c>
      <c r="C1506" s="23">
        <v>46093</v>
      </c>
      <c r="D1506" s="28" t="str">
        <f>_xlfn.XLOOKUP(Table134526_79101120212223242526[[#This Row],[Name Surname]],Manpower!$C$4:$C$1048576,Manpower!$B$4:$B$1048576,"")</f>
        <v>AL Omar International TRAD AND CONT</v>
      </c>
      <c r="E1506" s="21" t="s">
        <v>169</v>
      </c>
      <c r="F1506" s="12">
        <f>_xlfn.XLOOKUP(Table134526_79101120212223242526[[#This Row],[Name Surname]],Manpower!C:C,Manpower!D:D,)</f>
        <v>115731078</v>
      </c>
      <c r="G1506" s="28" t="str">
        <f>_xlfn.XLOOKUP(Table134526_79101120212223242526[[#This Row],[Name Surname]],Manpower!$C$4:$C$1048576,Manpower!$F$4:$F$1048576,"")</f>
        <v>Scaffolder</v>
      </c>
      <c r="H1506" s="28" t="str">
        <f>_xlfn.XLOOKUP(Table134526_79101120212223242526[[#This Row],[Name Surname]],Manpower!$C$4:$C$1048576,Manpower!$H$4:$H$1048576,"")</f>
        <v>Sub Contactor</v>
      </c>
      <c r="I1506" s="28" t="str">
        <f>_xlfn.XLOOKUP(Table134526_79101120212223242526[[#This Row],[Name Surname]],Manpower!$C$4:$C$1048576,Manpower!$H$4:$H$1048576,"")</f>
        <v>Sub Contactor</v>
      </c>
      <c r="J1506" s="21" t="s">
        <v>143</v>
      </c>
      <c r="K1506" s="21" t="s">
        <v>26</v>
      </c>
      <c r="L1506" s="21" t="s">
        <v>170</v>
      </c>
      <c r="M1506" s="21" t="s">
        <v>24</v>
      </c>
      <c r="N1506" s="29">
        <v>8</v>
      </c>
      <c r="O1506" s="21" t="s">
        <v>40</v>
      </c>
      <c r="P1506" s="21" t="s">
        <v>128</v>
      </c>
      <c r="Q1506" s="21" t="s">
        <v>128</v>
      </c>
      <c r="R1506" s="21" t="s">
        <v>171</v>
      </c>
    </row>
    <row r="1507" spans="1:19" s="45" customFormat="1" ht="14.4" hidden="1">
      <c r="A1507" s="25">
        <f>IF(C1507="","",MAX($A$1:A1506)+1)</f>
        <v>1419</v>
      </c>
      <c r="B1507" s="25" t="s">
        <v>141</v>
      </c>
      <c r="C1507" s="41">
        <v>46093</v>
      </c>
      <c r="D1507" s="48" t="str">
        <f>_xlfn.XLOOKUP(Table134526_79101120212223242526[[#This Row],[Name Surname]],Manpower!$C$4:$C$1048576,Manpower!$B$4:$B$1048576,"")</f>
        <v>Encogroup</v>
      </c>
      <c r="E1507" s="43" t="s">
        <v>172</v>
      </c>
      <c r="F1507" s="12">
        <f>_xlfn.XLOOKUP(Table134526_79101120212223242526[[#This Row],[Name Surname]],Manpower!C:C,Manpower!D:D,)</f>
        <v>140764355</v>
      </c>
      <c r="G1507" s="48" t="str">
        <f>_xlfn.XLOOKUP(Table134526_79101120212223242526[[#This Row],[Name Surname]],Manpower!$C$4:$C$1048576,Manpower!$F$4:$F$1048576,"")</f>
        <v>Fitter/Erector</v>
      </c>
      <c r="H1507" s="48" t="str">
        <f>_xlfn.XLOOKUP(Table134526_79101120212223242526[[#This Row],[Name Surname]],Manpower!$C$4:$C$1048576,Manpower!$H$4:$H$1048576,"")</f>
        <v>Manpower</v>
      </c>
      <c r="I1507" s="48" t="str">
        <f>_xlfn.XLOOKUP(Table134526_79101120212223242526[[#This Row],[Name Surname]],Manpower!$C$4:$C$1048576,Manpower!$H$4:$H$1048576,"")</f>
        <v>Manpower</v>
      </c>
      <c r="J1507" s="43" t="s">
        <v>143</v>
      </c>
      <c r="K1507" s="43" t="s">
        <v>26</v>
      </c>
      <c r="L1507" s="43" t="s">
        <v>144</v>
      </c>
      <c r="M1507" s="43" t="s">
        <v>24</v>
      </c>
      <c r="N1507" s="44">
        <v>10</v>
      </c>
      <c r="O1507" s="43" t="s">
        <v>40</v>
      </c>
      <c r="P1507" s="43" t="s">
        <v>42</v>
      </c>
      <c r="Q1507" s="43" t="s">
        <v>42</v>
      </c>
      <c r="R1507" s="43" t="s">
        <v>305</v>
      </c>
      <c r="S1507" s="43"/>
    </row>
    <row r="1508" spans="1:19" ht="14.4" hidden="1">
      <c r="A1508" s="33">
        <f>IF(C1508="","",MAX($A$1:A1507)+1)</f>
        <v>1420</v>
      </c>
      <c r="B1508" s="33" t="s">
        <v>141</v>
      </c>
      <c r="C1508" s="23">
        <v>46093</v>
      </c>
      <c r="D1508" s="28" t="str">
        <f>_xlfn.XLOOKUP(Table134526_79101120212223242526[[#This Row],[Name Surname]],Manpower!$C$4:$C$1048576,Manpower!$B$4:$B$1048576,"")</f>
        <v>Encogroup</v>
      </c>
      <c r="E1508" s="21" t="s">
        <v>175</v>
      </c>
      <c r="F1508" s="12">
        <f>_xlfn.XLOOKUP(Table134526_79101120212223242526[[#This Row],[Name Surname]],Manpower!C:C,Manpower!D:D,)</f>
        <v>140742125</v>
      </c>
      <c r="G1508" s="28" t="str">
        <f>_xlfn.XLOOKUP(Table134526_79101120212223242526[[#This Row],[Name Surname]],Manpower!$C$4:$C$1048576,Manpower!$F$4:$F$1048576,"")</f>
        <v>Assistant/Helper</v>
      </c>
      <c r="H1508" s="28" t="str">
        <f>_xlfn.XLOOKUP(Table134526_79101120212223242526[[#This Row],[Name Surname]],Manpower!$C$4:$C$1048576,Manpower!$H$4:$H$1048576,"")</f>
        <v>Manpower</v>
      </c>
      <c r="I1508" s="28" t="str">
        <f>_xlfn.XLOOKUP(Table134526_79101120212223242526[[#This Row],[Name Surname]],Manpower!$C$4:$C$1048576,Manpower!$H$4:$H$1048576,"")</f>
        <v>Manpower</v>
      </c>
      <c r="J1508" s="21" t="s">
        <v>158</v>
      </c>
      <c r="K1508" s="21" t="s">
        <v>26</v>
      </c>
      <c r="L1508" s="21" t="s">
        <v>26</v>
      </c>
      <c r="M1508" s="21" t="s">
        <v>24</v>
      </c>
      <c r="N1508" s="29">
        <v>10</v>
      </c>
      <c r="O1508" s="21" t="s">
        <v>159</v>
      </c>
      <c r="P1508" s="21" t="s">
        <v>160</v>
      </c>
      <c r="Q1508" s="21" t="s">
        <v>160</v>
      </c>
      <c r="R1508" s="21" t="s">
        <v>161</v>
      </c>
    </row>
    <row r="1509" spans="1:19" s="45" customFormat="1" ht="14.4" hidden="1">
      <c r="A1509" s="25">
        <f>IF(C1509="","",MAX($A$1:A1508)+1)</f>
        <v>1421</v>
      </c>
      <c r="B1509" s="25" t="s">
        <v>141</v>
      </c>
      <c r="C1509" s="41">
        <v>46093</v>
      </c>
      <c r="D1509" s="48" t="str">
        <f>_xlfn.XLOOKUP(Table134526_79101120212223242526[[#This Row],[Name Surname]],Manpower!$C$4:$C$1048576,Manpower!$B$4:$B$1048576,"")</f>
        <v>Encogroup</v>
      </c>
      <c r="E1509" s="43" t="s">
        <v>228</v>
      </c>
      <c r="F1509" s="12">
        <f>_xlfn.XLOOKUP(Table134526_79101120212223242526[[#This Row],[Name Surname]],Manpower!C:C,Manpower!D:D,)</f>
        <v>125199963</v>
      </c>
      <c r="G1509" s="48" t="str">
        <f>_xlfn.XLOOKUP(Table134526_79101120212223242526[[#This Row],[Name Surname]],Manpower!$C$4:$C$1048576,Manpower!$F$4:$F$1048576,"")</f>
        <v>Electrician</v>
      </c>
      <c r="H1509" s="48" t="str">
        <f>_xlfn.XLOOKUP(Table134526_79101120212223242526[[#This Row],[Name Surname]],Manpower!$C$4:$C$1048576,Manpower!$H$4:$H$1048576,"")</f>
        <v>Manpower</v>
      </c>
      <c r="I1509" s="48" t="str">
        <f>_xlfn.XLOOKUP(Table134526_79101120212223242526[[#This Row],[Name Surname]],Manpower!$C$4:$C$1048576,Manpower!$H$4:$H$1048576,"")</f>
        <v>Manpower</v>
      </c>
      <c r="J1509" s="43" t="s">
        <v>158</v>
      </c>
      <c r="K1509" s="43" t="s">
        <v>26</v>
      </c>
      <c r="L1509" s="43" t="s">
        <v>26</v>
      </c>
      <c r="M1509" s="43" t="s">
        <v>24</v>
      </c>
      <c r="N1509" s="44">
        <v>10</v>
      </c>
      <c r="O1509" s="43" t="s">
        <v>159</v>
      </c>
      <c r="P1509" s="43" t="s">
        <v>160</v>
      </c>
      <c r="Q1509" s="43" t="s">
        <v>160</v>
      </c>
      <c r="R1509" s="43" t="s">
        <v>161</v>
      </c>
      <c r="S1509" s="43"/>
    </row>
    <row r="1510" spans="1:19" s="45" customFormat="1" ht="14.4" hidden="1">
      <c r="A1510" s="25">
        <f>IF(C1510="","",MAX($A$1:A1509)+1)</f>
        <v>1422</v>
      </c>
      <c r="B1510" s="25" t="s">
        <v>141</v>
      </c>
      <c r="C1510" s="41">
        <v>46093</v>
      </c>
      <c r="D1510" s="48" t="str">
        <f>_xlfn.XLOOKUP(Table134526_79101120212223242526[[#This Row],[Name Surname]],Manpower!$C$4:$C$1048576,Manpower!$B$4:$B$1048576,"")</f>
        <v>Encogroup</v>
      </c>
      <c r="E1510" s="43" t="s">
        <v>176</v>
      </c>
      <c r="F1510" s="12">
        <f>_xlfn.XLOOKUP(Table134526_79101120212223242526[[#This Row],[Name Surname]],Manpower!C:C,Manpower!D:D,)</f>
        <v>124398279</v>
      </c>
      <c r="G1510" s="48" t="str">
        <f>_xlfn.XLOOKUP(Table134526_79101120212223242526[[#This Row],[Name Surname]],Manpower!$C$4:$C$1048576,Manpower!$F$4:$F$1048576,"")</f>
        <v>Permit Receiver</v>
      </c>
      <c r="H1510" s="48" t="str">
        <f>_xlfn.XLOOKUP(Table134526_79101120212223242526[[#This Row],[Name Surname]],Manpower!$C$4:$C$1048576,Manpower!$H$4:$H$1048576,"")</f>
        <v>Manpower</v>
      </c>
      <c r="I1510" s="48" t="str">
        <f>_xlfn.XLOOKUP(Table134526_79101120212223242526[[#This Row],[Name Surname]],Manpower!$C$4:$C$1048576,Manpower!$H$4:$H$1048576,"")</f>
        <v>Manpower</v>
      </c>
      <c r="J1510" s="43" t="s">
        <v>143</v>
      </c>
      <c r="K1510" s="43" t="s">
        <v>26</v>
      </c>
      <c r="L1510" s="43" t="s">
        <v>144</v>
      </c>
      <c r="M1510" s="43" t="s">
        <v>24</v>
      </c>
      <c r="N1510" s="44">
        <v>10</v>
      </c>
      <c r="O1510" s="43" t="s">
        <v>40</v>
      </c>
      <c r="P1510" s="43" t="s">
        <v>42</v>
      </c>
      <c r="Q1510" s="43" t="s">
        <v>42</v>
      </c>
      <c r="R1510" s="43" t="s">
        <v>305</v>
      </c>
      <c r="S1510" s="43"/>
    </row>
    <row r="1511" spans="1:19" ht="14.4" hidden="1">
      <c r="A1511" s="33">
        <f>IF(C1511="","",MAX($A$1:A1510)+1)</f>
        <v>1423</v>
      </c>
      <c r="B1511" s="27" t="s">
        <v>141</v>
      </c>
      <c r="C1511" s="23">
        <v>46093</v>
      </c>
      <c r="D1511" s="28" t="str">
        <f>_xlfn.XLOOKUP(Table134526_79101120212223242526[[#This Row],[Name Surname]],Manpower!$C$4:$C$1048576,Manpower!$B$4:$B$1048576,"")</f>
        <v>Encogroup</v>
      </c>
      <c r="E1511" s="21" t="s">
        <v>177</v>
      </c>
      <c r="F1511" s="12">
        <f>_xlfn.XLOOKUP(Table134526_79101120212223242526[[#This Row],[Name Surname]],Manpower!C:C,Manpower!D:D,)</f>
        <v>140809004</v>
      </c>
      <c r="G1511" s="28" t="str">
        <f>_xlfn.XLOOKUP(Table134526_79101120212223242526[[#This Row],[Name Surname]],Manpower!$C$4:$C$1048576,Manpower!$F$4:$F$1048576,"")</f>
        <v>Fitter/Erector</v>
      </c>
      <c r="H1511" s="28" t="str">
        <f>_xlfn.XLOOKUP(Table134526_79101120212223242526[[#This Row],[Name Surname]],Manpower!$C$4:$C$1048576,Manpower!$H$4:$H$1048576,"")</f>
        <v>Manpower</v>
      </c>
      <c r="I1511" s="28" t="str">
        <f>_xlfn.XLOOKUP(Table134526_79101120212223242526[[#This Row],[Name Surname]],Manpower!$C$4:$C$1048576,Manpower!$H$4:$H$1048576,"")</f>
        <v>Manpower</v>
      </c>
      <c r="J1511" s="21" t="s">
        <v>143</v>
      </c>
      <c r="K1511" s="21" t="s">
        <v>26</v>
      </c>
      <c r="L1511" s="21" t="s">
        <v>144</v>
      </c>
      <c r="M1511" s="21" t="s">
        <v>24</v>
      </c>
      <c r="N1511" s="29">
        <v>10</v>
      </c>
      <c r="O1511" s="21" t="s">
        <v>40</v>
      </c>
      <c r="P1511" s="21" t="s">
        <v>42</v>
      </c>
      <c r="Q1511" s="21" t="s">
        <v>42</v>
      </c>
      <c r="R1511" s="21" t="s">
        <v>305</v>
      </c>
    </row>
    <row r="1512" spans="1:19" ht="14.4" hidden="1">
      <c r="A1512" s="33">
        <f>IF(C1512="","",MAX($A$1:A1511)+1)</f>
        <v>1424</v>
      </c>
      <c r="B1512" s="27" t="s">
        <v>141</v>
      </c>
      <c r="C1512" s="23">
        <v>46093</v>
      </c>
      <c r="D1512" s="28" t="str">
        <f>_xlfn.XLOOKUP(Table134526_79101120212223242526[[#This Row],[Name Surname]],Manpower!$C$4:$C$1048576,Manpower!$B$4:$B$1048576,"")</f>
        <v>Encogroup</v>
      </c>
      <c r="E1512" s="21" t="s">
        <v>178</v>
      </c>
      <c r="F1512" s="12">
        <f>_xlfn.XLOOKUP(Table134526_79101120212223242526[[#This Row],[Name Surname]],Manpower!C:C,Manpower!D:D,)</f>
        <v>140683436</v>
      </c>
      <c r="G1512" s="28" t="str">
        <f>_xlfn.XLOOKUP(Table134526_79101120212223242526[[#This Row],[Name Surname]],Manpower!$C$4:$C$1048576,Manpower!$F$4:$F$1048576,"")</f>
        <v>Scaffolder</v>
      </c>
      <c r="H1512" s="28" t="str">
        <f>_xlfn.XLOOKUP(Table134526_79101120212223242526[[#This Row],[Name Surname]],Manpower!$C$4:$C$1048576,Manpower!$H$4:$H$1048576,"")</f>
        <v>Manpower</v>
      </c>
      <c r="I1512" s="28" t="str">
        <f>_xlfn.XLOOKUP(Table134526_79101120212223242526[[#This Row],[Name Surname]],Manpower!$C$4:$C$1048576,Manpower!$H$4:$H$1048576,"")</f>
        <v>Manpower</v>
      </c>
      <c r="J1512" s="21" t="s">
        <v>158</v>
      </c>
      <c r="K1512" s="21" t="s">
        <v>26</v>
      </c>
      <c r="L1512" s="21" t="s">
        <v>26</v>
      </c>
      <c r="M1512" s="21" t="s">
        <v>24</v>
      </c>
      <c r="N1512" s="29">
        <v>8</v>
      </c>
      <c r="O1512" s="21" t="s">
        <v>159</v>
      </c>
      <c r="P1512" s="21" t="s">
        <v>160</v>
      </c>
      <c r="Q1512" s="21" t="s">
        <v>160</v>
      </c>
      <c r="R1512" s="21" t="s">
        <v>161</v>
      </c>
    </row>
    <row r="1513" spans="1:19" ht="14.4">
      <c r="A1513" s="33">
        <f>IF(C1513="","",MAX($A$1:A1512)+1)</f>
        <v>1425</v>
      </c>
      <c r="B1513" s="27" t="s">
        <v>141</v>
      </c>
      <c r="C1513" s="23">
        <v>46093</v>
      </c>
      <c r="D1513" s="28" t="str">
        <f>_xlfn.XLOOKUP(Table134526_79101120212223242526[[#This Row],[Name Surname]],Manpower!$C$4:$C$1048576,Manpower!$B$4:$B$1048576,"")</f>
        <v>Encogroup</v>
      </c>
      <c r="E1513" s="23" t="s">
        <v>179</v>
      </c>
      <c r="F1513" s="12" t="e">
        <f>_xlfn.XLOOKUP(Table134526_79101120212223242526[[#This Row],[Name Surname]],Manpower!C:C,Manpower!D:D,)</f>
        <v>#N/A</v>
      </c>
      <c r="G1513" s="28" t="str">
        <f>_xlfn.XLOOKUP(Table134526_79101120212223242526[[#This Row],[Name Surname]],Manpower!$C$4:$C$1048576,Manpower!$F$4:$F$1048576,"")</f>
        <v>7T-HIAB</v>
      </c>
      <c r="H1513" s="28" t="str">
        <f>_xlfn.XLOOKUP(Table134526_79101120212223242526[[#This Row],[Name Surname]],Manpower!$C$4:$C$1048576,Manpower!$H$4:$H$1048576,"")</f>
        <v>Equipment</v>
      </c>
      <c r="I1513" s="28" t="str">
        <f>_xlfn.XLOOKUP(Table134526_79101120212223242526[[#This Row],[Name Surname]],Manpower!$C$4:$C$1048576,Manpower!$H$4:$H$1048576,"")</f>
        <v>Equipment</v>
      </c>
      <c r="J1513" s="21" t="s">
        <v>143</v>
      </c>
      <c r="K1513" s="21" t="s">
        <v>26</v>
      </c>
      <c r="L1513" s="21" t="s">
        <v>144</v>
      </c>
      <c r="M1513" s="21" t="s">
        <v>24</v>
      </c>
      <c r="N1513" s="29">
        <v>10</v>
      </c>
      <c r="O1513" s="21" t="s">
        <v>138</v>
      </c>
      <c r="P1513" s="21" t="s">
        <v>138</v>
      </c>
      <c r="Q1513" s="21" t="s">
        <v>138</v>
      </c>
      <c r="R1513" s="21" t="s">
        <v>26</v>
      </c>
    </row>
    <row r="1514" spans="1:19" ht="14.4" hidden="1">
      <c r="A1514" s="33">
        <f>IF(C1514="","",MAX($A$1:A1513)+1)</f>
        <v>1426</v>
      </c>
      <c r="B1514" s="27" t="s">
        <v>141</v>
      </c>
      <c r="C1514" s="23">
        <v>46093</v>
      </c>
      <c r="D1514" s="28" t="str">
        <f>_xlfn.XLOOKUP(Table134526_79101120212223242526[[#This Row],[Name Surname]],Manpower!$C$4:$C$1048576,Manpower!$B$4:$B$1048576,"")</f>
        <v>Encogroup</v>
      </c>
      <c r="E1514" s="21" t="s">
        <v>180</v>
      </c>
      <c r="F1514" s="12">
        <f>_xlfn.XLOOKUP(Table134526_79101120212223242526[[#This Row],[Name Surname]],Manpower!C:C,Manpower!D:D,)</f>
        <v>9138415</v>
      </c>
      <c r="G1514" s="28" t="str">
        <f>_xlfn.XLOOKUP(Table134526_79101120212223242526[[#This Row],[Name Surname]],Manpower!$C$4:$C$1048576,Manpower!$F$4:$F$1048576,"")</f>
        <v>HIAB Driver</v>
      </c>
      <c r="H1514" s="28" t="str">
        <f>_xlfn.XLOOKUP(Table134526_79101120212223242526[[#This Row],[Name Surname]],Manpower!$C$4:$C$1048576,Manpower!$H$4:$H$1048576,"")</f>
        <v>Manpower</v>
      </c>
      <c r="I1514" s="28" t="str">
        <f>_xlfn.XLOOKUP(Table134526_79101120212223242526[[#This Row],[Name Surname]],Manpower!$C$4:$C$1048576,Manpower!$H$4:$H$1048576,"")</f>
        <v>Manpower</v>
      </c>
      <c r="J1514" s="21" t="s">
        <v>143</v>
      </c>
      <c r="K1514" s="21" t="s">
        <v>26</v>
      </c>
      <c r="L1514" s="21" t="s">
        <v>144</v>
      </c>
      <c r="M1514" s="21" t="s">
        <v>24</v>
      </c>
      <c r="N1514" s="29">
        <v>10</v>
      </c>
      <c r="O1514" s="21" t="s">
        <v>40</v>
      </c>
      <c r="P1514" s="21" t="s">
        <v>42</v>
      </c>
      <c r="Q1514" s="21" t="s">
        <v>42</v>
      </c>
      <c r="R1514" s="21" t="s">
        <v>181</v>
      </c>
    </row>
    <row r="1515" spans="1:19" ht="14.4" hidden="1">
      <c r="A1515" s="33">
        <f>IF(C1515="","",MAX($A$1:A1514)+1)</f>
        <v>1427</v>
      </c>
      <c r="B1515" s="27" t="s">
        <v>141</v>
      </c>
      <c r="C1515" s="23">
        <v>46093</v>
      </c>
      <c r="D1515" s="28" t="str">
        <f>_xlfn.XLOOKUP(Table134526_79101120212223242526[[#This Row],[Name Surname]],Manpower!$C$4:$C$1048576,Manpower!$B$4:$B$1048576,"")</f>
        <v>GAF</v>
      </c>
      <c r="E1515" s="21" t="s">
        <v>182</v>
      </c>
      <c r="F1515" s="12">
        <f>_xlfn.XLOOKUP(Table134526_79101120212223242526[[#This Row],[Name Surname]],Manpower!C:C,Manpower!D:D,)</f>
        <v>78785394</v>
      </c>
      <c r="G1515" s="28" t="str">
        <f>_xlfn.XLOOKUP(Table134526_79101120212223242526[[#This Row],[Name Surname]],Manpower!$C$4:$C$1048576,Manpower!$F$4:$F$1048576,"")</f>
        <v>Helper</v>
      </c>
      <c r="H1515" s="28" t="str">
        <f>_xlfn.XLOOKUP(Table134526_79101120212223242526[[#This Row],[Name Surname]],Manpower!$C$4:$C$1048576,Manpower!$H$4:$H$1048576,"")</f>
        <v>Sub Contactor</v>
      </c>
      <c r="I1515" s="28" t="str">
        <f>_xlfn.XLOOKUP(Table134526_79101120212223242526[[#This Row],[Name Surname]],Manpower!$C$4:$C$1048576,Manpower!$H$4:$H$1048576,"")</f>
        <v>Sub Contactor</v>
      </c>
      <c r="J1515" s="21" t="s">
        <v>158</v>
      </c>
      <c r="K1515" s="21" t="s">
        <v>26</v>
      </c>
      <c r="L1515" s="21" t="s">
        <v>26</v>
      </c>
      <c r="M1515" s="21" t="s">
        <v>24</v>
      </c>
      <c r="N1515" s="29">
        <v>8</v>
      </c>
      <c r="O1515" s="21" t="s">
        <v>159</v>
      </c>
      <c r="P1515" s="21" t="s">
        <v>160</v>
      </c>
      <c r="Q1515" s="21" t="s">
        <v>160</v>
      </c>
      <c r="R1515" s="21" t="s">
        <v>161</v>
      </c>
    </row>
    <row r="1516" spans="1:19" ht="14.4" hidden="1">
      <c r="A1516" s="33">
        <f>IF(C1516="","",MAX($A$1:A1515)+1)</f>
        <v>1428</v>
      </c>
      <c r="B1516" s="27" t="s">
        <v>141</v>
      </c>
      <c r="C1516" s="23">
        <v>46093</v>
      </c>
      <c r="D1516" s="28" t="str">
        <f>_xlfn.XLOOKUP(Table134526_79101120212223242526[[#This Row],[Name Surname]],Manpower!$C$4:$C$1048576,Manpower!$B$4:$B$1048576,"")</f>
        <v>Encogroup</v>
      </c>
      <c r="E1516" s="21" t="s">
        <v>183</v>
      </c>
      <c r="F1516" s="12">
        <f>_xlfn.XLOOKUP(Table134526_79101120212223242526[[#This Row],[Name Surname]],Manpower!C:C,Manpower!D:D,)</f>
        <v>141359024</v>
      </c>
      <c r="G1516" s="28" t="str">
        <f>_xlfn.XLOOKUP(Table134526_79101120212223242526[[#This Row],[Name Surname]],Manpower!$C$4:$C$1048576,Manpower!$F$4:$F$1048576,"")</f>
        <v>Hydraulic Mechanic</v>
      </c>
      <c r="H1516" s="28" t="str">
        <f>_xlfn.XLOOKUP(Table134526_79101120212223242526[[#This Row],[Name Surname]],Manpower!$C$4:$C$1048576,Manpower!$H$4:$H$1048576,"")</f>
        <v>Manpower</v>
      </c>
      <c r="I1516" s="28" t="str">
        <f>_xlfn.XLOOKUP(Table134526_79101120212223242526[[#This Row],[Name Surname]],Manpower!$C$4:$C$1048576,Manpower!$H$4:$H$1048576,"")</f>
        <v>Manpower</v>
      </c>
      <c r="J1516" s="21" t="s">
        <v>143</v>
      </c>
      <c r="K1516" s="21" t="s">
        <v>26</v>
      </c>
      <c r="L1516" s="21" t="s">
        <v>170</v>
      </c>
      <c r="M1516" s="21" t="s">
        <v>24</v>
      </c>
      <c r="N1516" s="29">
        <v>8</v>
      </c>
      <c r="O1516" s="21" t="s">
        <v>40</v>
      </c>
      <c r="P1516" s="21" t="s">
        <v>128</v>
      </c>
      <c r="Q1516" s="21" t="s">
        <v>128</v>
      </c>
      <c r="R1516" s="21" t="s">
        <v>171</v>
      </c>
    </row>
    <row r="1517" spans="1:19" ht="14.4" hidden="1">
      <c r="A1517" s="33">
        <f>IF(C1517="","",MAX($A$1:A1516)+1)</f>
        <v>1429</v>
      </c>
      <c r="B1517" s="27" t="s">
        <v>141</v>
      </c>
      <c r="C1517" s="23">
        <v>46093</v>
      </c>
      <c r="D1517" s="28" t="str">
        <f>_xlfn.XLOOKUP(Table134526_79101120212223242526[[#This Row],[Name Surname]],Manpower!$C$4:$C$1048576,Manpower!$B$4:$B$1048576,"")</f>
        <v>Encogroup</v>
      </c>
      <c r="E1517" s="21" t="s">
        <v>184</v>
      </c>
      <c r="F1517" s="12">
        <f>_xlfn.XLOOKUP(Table134526_79101120212223242526[[#This Row],[Name Surname]],Manpower!C:C,Manpower!D:D,)</f>
        <v>140844759</v>
      </c>
      <c r="G1517" s="28" t="str">
        <f>_xlfn.XLOOKUP(Table134526_79101120212223242526[[#This Row],[Name Surname]],Manpower!$C$4:$C$1048576,Manpower!$F$4:$F$1048576,"")</f>
        <v>Welder</v>
      </c>
      <c r="H1517" s="28" t="str">
        <f>_xlfn.XLOOKUP(Table134526_79101120212223242526[[#This Row],[Name Surname]],Manpower!$C$4:$C$1048576,Manpower!$H$4:$H$1048576,"")</f>
        <v>Manpower</v>
      </c>
      <c r="I1517" s="28" t="str">
        <f>_xlfn.XLOOKUP(Table134526_79101120212223242526[[#This Row],[Name Surname]],Manpower!$C$4:$C$1048576,Manpower!$H$4:$H$1048576,"")</f>
        <v>Manpower</v>
      </c>
      <c r="J1517" s="21" t="s">
        <v>143</v>
      </c>
      <c r="K1517" s="21" t="s">
        <v>26</v>
      </c>
      <c r="L1517" s="21" t="s">
        <v>144</v>
      </c>
      <c r="M1517" s="21" t="s">
        <v>24</v>
      </c>
      <c r="N1517" s="29">
        <v>10</v>
      </c>
      <c r="O1517" s="21" t="s">
        <v>40</v>
      </c>
      <c r="P1517" s="21" t="s">
        <v>42</v>
      </c>
      <c r="Q1517" s="21" t="s">
        <v>42</v>
      </c>
      <c r="R1517" s="21" t="s">
        <v>305</v>
      </c>
    </row>
    <row r="1518" spans="1:19" ht="14.4" hidden="1">
      <c r="A1518" s="33">
        <f>IF(C1518="","",MAX($A$1:A1517)+1)</f>
        <v>1430</v>
      </c>
      <c r="B1518" s="27" t="s">
        <v>141</v>
      </c>
      <c r="C1518" s="23">
        <v>46093</v>
      </c>
      <c r="D1518" s="28" t="str">
        <f>_xlfn.XLOOKUP(Table134526_79101120212223242526[[#This Row],[Name Surname]],Manpower!$C$4:$C$1048576,Manpower!$B$4:$B$1048576,"")</f>
        <v>Encogroup</v>
      </c>
      <c r="E1518" s="21" t="s">
        <v>185</v>
      </c>
      <c r="F1518" s="12">
        <f>_xlfn.XLOOKUP(Table134526_79101120212223242526[[#This Row],[Name Surname]],Manpower!C:C,Manpower!D:D,)</f>
        <v>140848828</v>
      </c>
      <c r="G1518" s="28" t="str">
        <f>_xlfn.XLOOKUP(Table134526_79101120212223242526[[#This Row],[Name Surname]],Manpower!$C$4:$C$1048576,Manpower!$F$4:$F$1048576,"")</f>
        <v>Pipe Fitter</v>
      </c>
      <c r="H1518" s="28" t="str">
        <f>_xlfn.XLOOKUP(Table134526_79101120212223242526[[#This Row],[Name Surname]],Manpower!$C$4:$C$1048576,Manpower!$H$4:$H$1048576,"")</f>
        <v>Manpower</v>
      </c>
      <c r="I1518" s="28" t="str">
        <f>_xlfn.XLOOKUP(Table134526_79101120212223242526[[#This Row],[Name Surname]],Manpower!$C$4:$C$1048576,Manpower!$H$4:$H$1048576,"")</f>
        <v>Manpower</v>
      </c>
      <c r="J1518" s="21" t="s">
        <v>143</v>
      </c>
      <c r="K1518" s="21" t="s">
        <v>26</v>
      </c>
      <c r="L1518" s="21" t="s">
        <v>144</v>
      </c>
      <c r="M1518" s="21" t="s">
        <v>24</v>
      </c>
      <c r="N1518" s="29">
        <v>10</v>
      </c>
      <c r="O1518" s="21" t="s">
        <v>40</v>
      </c>
      <c r="P1518" s="21" t="s">
        <v>42</v>
      </c>
      <c r="Q1518" s="21" t="s">
        <v>42</v>
      </c>
      <c r="R1518" s="21" t="s">
        <v>305</v>
      </c>
    </row>
    <row r="1519" spans="1:19" s="45" customFormat="1" ht="14.4" hidden="1">
      <c r="A1519" s="25">
        <f>IF(C1519="","",MAX($A$1:A1518)+1)</f>
        <v>1431</v>
      </c>
      <c r="B1519" s="25" t="s">
        <v>141</v>
      </c>
      <c r="C1519" s="41">
        <v>46093</v>
      </c>
      <c r="D1519" s="48" t="str">
        <f>_xlfn.XLOOKUP(Table134526_79101120212223242526[[#This Row],[Name Surname]],Manpower!$C$4:$C$1048576,Manpower!$B$4:$B$1048576,"")</f>
        <v>Encogroup</v>
      </c>
      <c r="E1519" s="43" t="s">
        <v>186</v>
      </c>
      <c r="F1519" s="12">
        <f>_xlfn.XLOOKUP(Table134526_79101120212223242526[[#This Row],[Name Surname]],Manpower!C:C,Manpower!D:D,)</f>
        <v>140696961</v>
      </c>
      <c r="G1519" s="48" t="str">
        <f>_xlfn.XLOOKUP(Table134526_79101120212223242526[[#This Row],[Name Surname]],Manpower!$C$4:$C$1048576,Manpower!$F$4:$F$1048576,"")</f>
        <v>Assistant/Helper</v>
      </c>
      <c r="H1519" s="48" t="str">
        <f>_xlfn.XLOOKUP(Table134526_79101120212223242526[[#This Row],[Name Surname]],Manpower!$C$4:$C$1048576,Manpower!$H$4:$H$1048576,"")</f>
        <v>Manpower</v>
      </c>
      <c r="I1519" s="48" t="str">
        <f>_xlfn.XLOOKUP(Table134526_79101120212223242526[[#This Row],[Name Surname]],Manpower!$C$4:$C$1048576,Manpower!$H$4:$H$1048576,"")</f>
        <v>Manpower</v>
      </c>
      <c r="J1519" s="43" t="s">
        <v>158</v>
      </c>
      <c r="K1519" s="43" t="s">
        <v>26</v>
      </c>
      <c r="L1519" s="43" t="s">
        <v>26</v>
      </c>
      <c r="M1519" s="43" t="s">
        <v>24</v>
      </c>
      <c r="N1519" s="44">
        <v>5</v>
      </c>
      <c r="O1519" s="43" t="s">
        <v>159</v>
      </c>
      <c r="P1519" s="43" t="s">
        <v>160</v>
      </c>
      <c r="Q1519" s="43" t="s">
        <v>160</v>
      </c>
      <c r="R1519" s="43" t="s">
        <v>161</v>
      </c>
      <c r="S1519" s="43"/>
    </row>
    <row r="1520" spans="1:19" ht="14.4" hidden="1">
      <c r="A1520" s="33">
        <f>IF(C1520="","",MAX($A$1:A1519)+1)</f>
        <v>1432</v>
      </c>
      <c r="B1520" s="27" t="s">
        <v>141</v>
      </c>
      <c r="C1520" s="23">
        <v>46093</v>
      </c>
      <c r="D1520" s="28" t="str">
        <f>_xlfn.XLOOKUP(Table134526_79101120212223242526[[#This Row],[Name Surname]],Manpower!$C$4:$C$1048576,Manpower!$B$4:$B$1048576,"")</f>
        <v>Encogroup</v>
      </c>
      <c r="E1520" s="21" t="s">
        <v>187</v>
      </c>
      <c r="F1520" s="12">
        <f>_xlfn.XLOOKUP(Table134526_79101120212223242526[[#This Row],[Name Surname]],Manpower!C:C,Manpower!D:D,)</f>
        <v>140623599</v>
      </c>
      <c r="G1520" s="28" t="str">
        <f>_xlfn.XLOOKUP(Table134526_79101120212223242526[[#This Row],[Name Surname]],Manpower!$C$4:$C$1048576,Manpower!$F$4:$F$1048576,"")</f>
        <v>Mechanical Supervisor</v>
      </c>
      <c r="H1520" s="28" t="str">
        <f>_xlfn.XLOOKUP(Table134526_79101120212223242526[[#This Row],[Name Surname]],Manpower!$C$4:$C$1048576,Manpower!$H$4:$H$1048576,"")</f>
        <v>Manpower</v>
      </c>
      <c r="I1520" s="28" t="str">
        <f>_xlfn.XLOOKUP(Table134526_79101120212223242526[[#This Row],[Name Surname]],Manpower!$C$4:$C$1048576,Manpower!$H$4:$H$1048576,"")</f>
        <v>Manpower</v>
      </c>
      <c r="J1520" s="21" t="s">
        <v>143</v>
      </c>
      <c r="K1520" s="21" t="s">
        <v>26</v>
      </c>
      <c r="L1520" s="21" t="s">
        <v>144</v>
      </c>
      <c r="M1520" s="21" t="s">
        <v>24</v>
      </c>
      <c r="N1520" s="29">
        <v>8</v>
      </c>
      <c r="O1520" s="21" t="s">
        <v>40</v>
      </c>
      <c r="P1520" s="21" t="s">
        <v>42</v>
      </c>
      <c r="Q1520" s="21" t="s">
        <v>42</v>
      </c>
      <c r="R1520" s="21" t="s">
        <v>305</v>
      </c>
    </row>
    <row r="1521" spans="1:19" ht="14.4" hidden="1">
      <c r="A1521" s="33">
        <f>IF(C1521="","",MAX($A$1:A1520)+1)</f>
        <v>1433</v>
      </c>
      <c r="B1521" s="27" t="s">
        <v>141</v>
      </c>
      <c r="C1521" s="23">
        <v>46093</v>
      </c>
      <c r="D1521" s="28" t="str">
        <f>_xlfn.XLOOKUP(Table134526_79101120212223242526[[#This Row],[Name Surname]],Manpower!$C$4:$C$1048576,Manpower!$B$4:$B$1048576,"")</f>
        <v>Encogroup</v>
      </c>
      <c r="E1521" s="21" t="s">
        <v>189</v>
      </c>
      <c r="F1521" s="12">
        <f>_xlfn.XLOOKUP(Table134526_79101120212223242526[[#This Row],[Name Surname]],Manpower!C:C,Manpower!D:D,)</f>
        <v>121937785</v>
      </c>
      <c r="G1521" s="28" t="str">
        <f>_xlfn.XLOOKUP(Table134526_79101120212223242526[[#This Row],[Name Surname]],Manpower!$C$4:$C$1048576,Manpower!$F$4:$F$1048576,"")</f>
        <v>Scaffolding Inspector</v>
      </c>
      <c r="H1521" s="28" t="str">
        <f>_xlfn.XLOOKUP(Table134526_79101120212223242526[[#This Row],[Name Surname]],Manpower!$C$4:$C$1048576,Manpower!$H$4:$H$1048576,"")</f>
        <v>Manpower</v>
      </c>
      <c r="I1521" s="28" t="str">
        <f>_xlfn.XLOOKUP(Table134526_79101120212223242526[[#This Row],[Name Surname]],Manpower!$C$4:$C$1048576,Manpower!$H$4:$H$1048576,"")</f>
        <v>Manpower</v>
      </c>
      <c r="J1521" s="21" t="s">
        <v>143</v>
      </c>
      <c r="K1521" s="21" t="s">
        <v>26</v>
      </c>
      <c r="L1521" s="21" t="s">
        <v>144</v>
      </c>
      <c r="M1521" s="21" t="s">
        <v>24</v>
      </c>
      <c r="N1521" s="29">
        <v>8</v>
      </c>
      <c r="O1521" s="21" t="s">
        <v>40</v>
      </c>
      <c r="P1521" s="21" t="s">
        <v>128</v>
      </c>
      <c r="Q1521" s="21" t="s">
        <v>128</v>
      </c>
      <c r="R1521" s="21" t="s">
        <v>26</v>
      </c>
    </row>
    <row r="1522" spans="1:19" ht="14.4" hidden="1">
      <c r="A1522" s="33">
        <f>IF(C1522="","",MAX($A$1:A1521)+1)</f>
        <v>1434</v>
      </c>
      <c r="B1522" s="27" t="s">
        <v>141</v>
      </c>
      <c r="C1522" s="23">
        <v>46093</v>
      </c>
      <c r="D1522" s="28" t="str">
        <f>_xlfn.XLOOKUP(Table134526_79101120212223242526[[#This Row],[Name Surname]],Manpower!$C$4:$C$1048576,Manpower!$B$4:$B$1048576,"")</f>
        <v xml:space="preserve">AL Omar International </v>
      </c>
      <c r="E1522" s="21" t="s">
        <v>190</v>
      </c>
      <c r="F1522" s="12">
        <f>_xlfn.XLOOKUP(Table134526_79101120212223242526[[#This Row],[Name Surname]],Manpower!C:C,Manpower!D:D,)</f>
        <v>85812175</v>
      </c>
      <c r="G1522" s="28" t="str">
        <f>_xlfn.XLOOKUP(Table134526_79101120212223242526[[#This Row],[Name Surname]],Manpower!$C$4:$C$1048576,Manpower!$F$4:$F$1048576,"")</f>
        <v>Scaffolding Supervisor</v>
      </c>
      <c r="H1522" s="28" t="str">
        <f>_xlfn.XLOOKUP(Table134526_79101120212223242526[[#This Row],[Name Surname]],Manpower!$C$4:$C$1048576,Manpower!$H$4:$H$1048576,"")</f>
        <v>Sub Contactor</v>
      </c>
      <c r="I1522" s="28" t="str">
        <f>_xlfn.XLOOKUP(Table134526_79101120212223242526[[#This Row],[Name Surname]],Manpower!$C$4:$C$1048576,Manpower!$H$4:$H$1048576,"")</f>
        <v>Sub Contactor</v>
      </c>
      <c r="J1522" s="21" t="s">
        <v>143</v>
      </c>
      <c r="K1522" s="21" t="s">
        <v>26</v>
      </c>
      <c r="L1522" s="21" t="s">
        <v>170</v>
      </c>
      <c r="M1522" s="21" t="s">
        <v>24</v>
      </c>
      <c r="N1522" s="29">
        <v>8</v>
      </c>
      <c r="O1522" s="21" t="s">
        <v>40</v>
      </c>
      <c r="P1522" s="21" t="s">
        <v>128</v>
      </c>
      <c r="Q1522" s="21" t="s">
        <v>128</v>
      </c>
      <c r="R1522" s="21" t="s">
        <v>171</v>
      </c>
    </row>
    <row r="1523" spans="1:19" ht="14.4" hidden="1">
      <c r="A1523" s="33">
        <f>IF(C1523="","",MAX($A$1:A1522)+1)</f>
        <v>1435</v>
      </c>
      <c r="B1523" s="27" t="s">
        <v>141</v>
      </c>
      <c r="C1523" s="23">
        <v>46093</v>
      </c>
      <c r="D1523" s="28" t="str">
        <f>_xlfn.XLOOKUP(Table134526_79101120212223242526[[#This Row],[Name Surname]],Manpower!$C$4:$C$1048576,Manpower!$B$4:$B$1048576,"")</f>
        <v>AL Omar International TRAD AND CONT</v>
      </c>
      <c r="E1523" s="21" t="s">
        <v>192</v>
      </c>
      <c r="F1523" s="12">
        <f>_xlfn.XLOOKUP(Table134526_79101120212223242526[[#This Row],[Name Surname]],Manpower!C:C,Manpower!D:D,)</f>
        <v>96409155</v>
      </c>
      <c r="G1523" s="28" t="str">
        <f>_xlfn.XLOOKUP(Table134526_79101120212223242526[[#This Row],[Name Surname]],Manpower!$C$4:$C$1048576,Manpower!$F$4:$F$1048576,"")</f>
        <v>Scaffolder</v>
      </c>
      <c r="H1523" s="28" t="str">
        <f>_xlfn.XLOOKUP(Table134526_79101120212223242526[[#This Row],[Name Surname]],Manpower!$C$4:$C$1048576,Manpower!$H$4:$H$1048576,"")</f>
        <v>Sub Contactor</v>
      </c>
      <c r="I1523" s="28" t="str">
        <f>_xlfn.XLOOKUP(Table134526_79101120212223242526[[#This Row],[Name Surname]],Manpower!$C$4:$C$1048576,Manpower!$H$4:$H$1048576,"")</f>
        <v>Sub Contactor</v>
      </c>
      <c r="J1523" s="21" t="s">
        <v>143</v>
      </c>
      <c r="K1523" s="21" t="s">
        <v>26</v>
      </c>
      <c r="L1523" s="21" t="s">
        <v>170</v>
      </c>
      <c r="M1523" s="21" t="s">
        <v>24</v>
      </c>
      <c r="N1523" s="29">
        <v>8</v>
      </c>
      <c r="O1523" s="21" t="s">
        <v>40</v>
      </c>
      <c r="P1523" s="21" t="s">
        <v>128</v>
      </c>
      <c r="Q1523" s="21" t="s">
        <v>128</v>
      </c>
      <c r="R1523" s="21" t="s">
        <v>171</v>
      </c>
    </row>
    <row r="1524" spans="1:19" ht="14.4" hidden="1">
      <c r="A1524" s="33">
        <f>IF(C1524="","",MAX($A$1:A1523)+1)</f>
        <v>1436</v>
      </c>
      <c r="B1524" s="27" t="s">
        <v>141</v>
      </c>
      <c r="C1524" s="23">
        <v>46093</v>
      </c>
      <c r="D1524" s="28" t="str">
        <f>_xlfn.XLOOKUP(Table134526_79101120212223242526[[#This Row],[Name Surname]],Manpower!$C$4:$C$1048576,Manpower!$B$4:$B$1048576,"")</f>
        <v>AL Omar International TRAD AND CONT</v>
      </c>
      <c r="E1524" s="21" t="s">
        <v>193</v>
      </c>
      <c r="F1524" s="12">
        <f>_xlfn.XLOOKUP(Table134526_79101120212223242526[[#This Row],[Name Surname]],Manpower!C:C,Manpower!D:D,)</f>
        <v>105813698</v>
      </c>
      <c r="G1524" s="28" t="str">
        <f>_xlfn.XLOOKUP(Table134526_79101120212223242526[[#This Row],[Name Surname]],Manpower!$C$4:$C$1048576,Manpower!$F$4:$F$1048576,"")</f>
        <v>Scaffolding Inspector</v>
      </c>
      <c r="H1524" s="28" t="str">
        <f>_xlfn.XLOOKUP(Table134526_79101120212223242526[[#This Row],[Name Surname]],Manpower!$C$4:$C$1048576,Manpower!$H$4:$H$1048576,"")</f>
        <v>Sub Contactor</v>
      </c>
      <c r="I1524" s="28" t="str">
        <f>_xlfn.XLOOKUP(Table134526_79101120212223242526[[#This Row],[Name Surname]],Manpower!$C$4:$C$1048576,Manpower!$H$4:$H$1048576,"")</f>
        <v>Sub Contactor</v>
      </c>
      <c r="J1524" s="21" t="s">
        <v>143</v>
      </c>
      <c r="K1524" s="21" t="s">
        <v>26</v>
      </c>
      <c r="L1524" s="21" t="s">
        <v>170</v>
      </c>
      <c r="M1524" s="21" t="s">
        <v>24</v>
      </c>
      <c r="N1524" s="29">
        <v>8</v>
      </c>
      <c r="O1524" s="21" t="s">
        <v>40</v>
      </c>
      <c r="P1524" s="21" t="s">
        <v>128</v>
      </c>
      <c r="Q1524" s="21" t="s">
        <v>128</v>
      </c>
      <c r="R1524" s="21" t="s">
        <v>171</v>
      </c>
    </row>
    <row r="1525" spans="1:19" s="45" customFormat="1" ht="14.4" hidden="1">
      <c r="A1525" s="25">
        <f>IF(C1525="","",MAX($A$1:A1524)+1)</f>
        <v>1437</v>
      </c>
      <c r="B1525" s="25" t="s">
        <v>141</v>
      </c>
      <c r="C1525" s="41">
        <v>46093</v>
      </c>
      <c r="D1525" s="48" t="str">
        <f>_xlfn.XLOOKUP(Table134526_79101120212223242526[[#This Row],[Name Surname]],Manpower!$C$4:$C$1048576,Manpower!$B$4:$B$1048576,"")</f>
        <v>AL Saif &amp; Al QALLM ENT LLC</v>
      </c>
      <c r="E1525" s="43" t="s">
        <v>194</v>
      </c>
      <c r="F1525" s="12">
        <f>_xlfn.XLOOKUP(Table134526_79101120212223242526[[#This Row],[Name Surname]],Manpower!C:C,Manpower!D:D,)</f>
        <v>135340657</v>
      </c>
      <c r="G1525" s="48" t="str">
        <f>_xlfn.XLOOKUP(Table134526_79101120212223242526[[#This Row],[Name Surname]],Manpower!$C$4:$C$1048576,Manpower!$F$4:$F$1048576,"")</f>
        <v>Forklift Operator</v>
      </c>
      <c r="H1525" s="48" t="str">
        <f>_xlfn.XLOOKUP(Table134526_79101120212223242526[[#This Row],[Name Surname]],Manpower!$C$4:$C$1048576,Manpower!$H$4:$H$1048576,"")</f>
        <v>Sub Contactor</v>
      </c>
      <c r="I1525" s="48" t="str">
        <f>_xlfn.XLOOKUP(Table134526_79101120212223242526[[#This Row],[Name Surname]],Manpower!$C$4:$C$1048576,Manpower!$H$4:$H$1048576,"")</f>
        <v>Sub Contactor</v>
      </c>
      <c r="J1525" s="43" t="s">
        <v>143</v>
      </c>
      <c r="K1525" s="43" t="s">
        <v>26</v>
      </c>
      <c r="L1525" s="43" t="s">
        <v>144</v>
      </c>
      <c r="M1525" s="43" t="s">
        <v>24</v>
      </c>
      <c r="N1525" s="44">
        <v>10</v>
      </c>
      <c r="O1525" s="43" t="s">
        <v>40</v>
      </c>
      <c r="P1525" s="43" t="s">
        <v>42</v>
      </c>
      <c r="Q1525" s="43" t="s">
        <v>42</v>
      </c>
      <c r="R1525" s="43" t="s">
        <v>195</v>
      </c>
      <c r="S1525" s="43" t="s">
        <v>245</v>
      </c>
    </row>
    <row r="1526" spans="1:19" ht="14.4" hidden="1">
      <c r="A1526" s="33">
        <f>IF(C1526="","",MAX($A$1:A1525)+1)</f>
        <v>1438</v>
      </c>
      <c r="B1526" s="33" t="s">
        <v>141</v>
      </c>
      <c r="C1526" s="23">
        <v>46093</v>
      </c>
      <c r="D1526" s="28" t="str">
        <f>_xlfn.XLOOKUP(Table134526_79101120212223242526[[#This Row],[Name Surname]],Manpower!$C$4:$C$1048576,Manpower!$B$4:$B$1048576,"")</f>
        <v>Encogroup</v>
      </c>
      <c r="E1526" s="21" t="s">
        <v>196</v>
      </c>
      <c r="F1526" s="12">
        <f>_xlfn.XLOOKUP(Table134526_79101120212223242526[[#This Row],[Name Surname]],Manpower!C:C,Manpower!D:D,)</f>
        <v>140844586</v>
      </c>
      <c r="G1526" s="28" t="str">
        <f>_xlfn.XLOOKUP(Table134526_79101120212223242526[[#This Row],[Name Surname]],Manpower!$C$4:$C$1048576,Manpower!$F$4:$F$1048576,"")</f>
        <v>Assistant/Helper</v>
      </c>
      <c r="H1526" s="28" t="str">
        <f>_xlfn.XLOOKUP(Table134526_79101120212223242526[[#This Row],[Name Surname]],Manpower!$C$4:$C$1048576,Manpower!$H$4:$H$1048576,"")</f>
        <v>Manpower</v>
      </c>
      <c r="I1526" s="28" t="str">
        <f>_xlfn.XLOOKUP(Table134526_79101120212223242526[[#This Row],[Name Surname]],Manpower!$C$4:$C$1048576,Manpower!$H$4:$H$1048576,"")</f>
        <v>Manpower</v>
      </c>
      <c r="J1526" s="21" t="s">
        <v>158</v>
      </c>
      <c r="K1526" s="21" t="s">
        <v>26</v>
      </c>
      <c r="L1526" s="21" t="s">
        <v>26</v>
      </c>
      <c r="M1526" s="21" t="s">
        <v>24</v>
      </c>
      <c r="N1526" s="29">
        <v>10</v>
      </c>
      <c r="O1526" s="21" t="s">
        <v>159</v>
      </c>
      <c r="P1526" s="21" t="s">
        <v>160</v>
      </c>
      <c r="Q1526" s="21" t="s">
        <v>160</v>
      </c>
      <c r="R1526" s="21" t="s">
        <v>161</v>
      </c>
    </row>
    <row r="1527" spans="1:19" ht="14.4" hidden="1">
      <c r="A1527" s="33">
        <f>IF(C1527="","",MAX($A$1:A1526)+1)</f>
        <v>1439</v>
      </c>
      <c r="B1527" s="27" t="s">
        <v>141</v>
      </c>
      <c r="C1527" s="23">
        <v>46093</v>
      </c>
      <c r="D1527" s="28" t="str">
        <f>_xlfn.XLOOKUP(Table134526_79101120212223242526[[#This Row],[Name Surname]],Manpower!$C$4:$C$1048576,Manpower!$B$4:$B$1048576,"")</f>
        <v>AL Omar International TRAD AND CONT</v>
      </c>
      <c r="E1527" s="21" t="s">
        <v>212</v>
      </c>
      <c r="F1527" s="12">
        <f>_xlfn.XLOOKUP(Table134526_79101120212223242526[[#This Row],[Name Surname]],Manpower!C:C,Manpower!D:D,)</f>
        <v>116676257</v>
      </c>
      <c r="G1527" s="28" t="str">
        <f>_xlfn.XLOOKUP(Table134526_79101120212223242526[[#This Row],[Name Surname]],Manpower!$C$4:$C$1048576,Manpower!$F$4:$F$1048576,"")</f>
        <v>Scaffolder</v>
      </c>
      <c r="H1527" s="28" t="str">
        <f>_xlfn.XLOOKUP(Table134526_79101120212223242526[[#This Row],[Name Surname]],Manpower!$C$4:$C$1048576,Manpower!$H$4:$H$1048576,"")</f>
        <v>Sub Contactor</v>
      </c>
      <c r="I1527" s="28" t="str">
        <f>_xlfn.XLOOKUP(Table134526_79101120212223242526[[#This Row],[Name Surname]],Manpower!$C$4:$C$1048576,Manpower!$H$4:$H$1048576,"")</f>
        <v>Sub Contactor</v>
      </c>
      <c r="J1527" s="21" t="s">
        <v>143</v>
      </c>
      <c r="K1527" s="21" t="s">
        <v>26</v>
      </c>
      <c r="L1527" s="21" t="s">
        <v>170</v>
      </c>
      <c r="M1527" s="21" t="s">
        <v>24</v>
      </c>
      <c r="N1527" s="29">
        <v>8</v>
      </c>
      <c r="O1527" s="21" t="s">
        <v>40</v>
      </c>
      <c r="P1527" s="21" t="s">
        <v>128</v>
      </c>
      <c r="Q1527" s="21" t="s">
        <v>128</v>
      </c>
      <c r="R1527" s="21" t="s">
        <v>171</v>
      </c>
    </row>
    <row r="1528" spans="1:19" ht="14.4" hidden="1">
      <c r="A1528" s="33">
        <f>IF(C1528="","",MAX($A$1:A1527)+1)</f>
        <v>1440</v>
      </c>
      <c r="B1528" s="27" t="s">
        <v>141</v>
      </c>
      <c r="C1528" s="23">
        <v>46093</v>
      </c>
      <c r="D1528" s="28" t="str">
        <f>_xlfn.XLOOKUP(Table134526_79101120212223242526[[#This Row],[Name Surname]],Manpower!$C$4:$C$1048576,Manpower!$B$4:$B$1048576,"")</f>
        <v>AL Omar International TRAD AND CONT</v>
      </c>
      <c r="E1528" s="21" t="s">
        <v>197</v>
      </c>
      <c r="F1528" s="12">
        <f>_xlfn.XLOOKUP(Table134526_79101120212223242526[[#This Row],[Name Surname]],Manpower!C:C,Manpower!D:D,)</f>
        <v>106093463</v>
      </c>
      <c r="G1528" s="28" t="str">
        <f>_xlfn.XLOOKUP(Table134526_79101120212223242526[[#This Row],[Name Surname]],Manpower!$C$4:$C$1048576,Manpower!$F$4:$F$1048576,"")</f>
        <v>RIgger</v>
      </c>
      <c r="H1528" s="28" t="str">
        <f>_xlfn.XLOOKUP(Table134526_79101120212223242526[[#This Row],[Name Surname]],Manpower!$C$4:$C$1048576,Manpower!$H$4:$H$1048576,"")</f>
        <v>Sub Contactor</v>
      </c>
      <c r="I1528" s="28" t="str">
        <f>_xlfn.XLOOKUP(Table134526_79101120212223242526[[#This Row],[Name Surname]],Manpower!$C$4:$C$1048576,Manpower!$H$4:$H$1048576,"")</f>
        <v>Sub Contactor</v>
      </c>
      <c r="J1528" s="21" t="s">
        <v>143</v>
      </c>
      <c r="K1528" s="21" t="s">
        <v>26</v>
      </c>
      <c r="L1528" s="21" t="s">
        <v>144</v>
      </c>
      <c r="M1528" s="21" t="s">
        <v>24</v>
      </c>
      <c r="N1528" s="29">
        <v>8</v>
      </c>
      <c r="O1528" s="21" t="s">
        <v>40</v>
      </c>
      <c r="P1528" s="21" t="s">
        <v>42</v>
      </c>
      <c r="Q1528" s="21" t="s">
        <v>42</v>
      </c>
      <c r="R1528" s="21" t="s">
        <v>305</v>
      </c>
    </row>
    <row r="1529" spans="1:19" ht="14.4">
      <c r="A1529" s="33">
        <f>IF(C1529="","",MAX($A$1:A1528)+1)</f>
        <v>1441</v>
      </c>
      <c r="B1529" s="27" t="s">
        <v>141</v>
      </c>
      <c r="C1529" s="23">
        <v>46093</v>
      </c>
      <c r="D1529" s="28" t="str">
        <f>_xlfn.XLOOKUP(Table134526_79101120212223242526[[#This Row],[Name Surname]],Manpower!$C$4:$C$1048576,Manpower!$B$4:$B$1048576,"")</f>
        <v>Al Asrah Al Mumayaza Trad</v>
      </c>
      <c r="E1529" s="21" t="s">
        <v>198</v>
      </c>
      <c r="F1529" s="12" t="e">
        <f>_xlfn.XLOOKUP(Table134526_79101120212223242526[[#This Row],[Name Surname]],Manpower!C:C,Manpower!D:D,)</f>
        <v>#N/A</v>
      </c>
      <c r="G1529" s="28" t="str">
        <f>_xlfn.XLOOKUP(Table134526_79101120212223242526[[#This Row],[Name Surname]],Manpower!$C$4:$C$1048576,Manpower!$F$4:$F$1048576,"")</f>
        <v>PICK-UP</v>
      </c>
      <c r="H1529" s="28" t="str">
        <f>_xlfn.XLOOKUP(Table134526_79101120212223242526[[#This Row],[Name Surname]],Manpower!$C$4:$C$1048576,Manpower!$H$4:$H$1048576,"")</f>
        <v>Equipment</v>
      </c>
      <c r="I1529" s="28" t="str">
        <f>_xlfn.XLOOKUP(Table134526_79101120212223242526[[#This Row],[Name Surname]],Manpower!$C$4:$C$1048576,Manpower!$H$4:$H$1048576,"")</f>
        <v>Equipment</v>
      </c>
      <c r="J1529" s="21" t="s">
        <v>143</v>
      </c>
      <c r="K1529" s="21" t="s">
        <v>26</v>
      </c>
      <c r="L1529" s="21" t="s">
        <v>144</v>
      </c>
      <c r="M1529" s="21" t="s">
        <v>24</v>
      </c>
      <c r="N1529" s="29">
        <v>10</v>
      </c>
      <c r="O1529" s="21" t="s">
        <v>138</v>
      </c>
      <c r="P1529" s="21" t="s">
        <v>138</v>
      </c>
      <c r="Q1529" s="21" t="s">
        <v>138</v>
      </c>
      <c r="R1529" s="21" t="s">
        <v>26</v>
      </c>
    </row>
    <row r="1530" spans="1:19" ht="14.4">
      <c r="A1530" s="33">
        <f>IF(C1530="","",MAX($A$1:A1529)+1)</f>
        <v>1442</v>
      </c>
      <c r="B1530" s="27" t="s">
        <v>141</v>
      </c>
      <c r="C1530" s="23">
        <v>46093</v>
      </c>
      <c r="D1530" s="28" t="str">
        <f>_xlfn.XLOOKUP(Table134526_79101120212223242526[[#This Row],[Name Surname]],Manpower!$C$4:$C$1048576,Manpower!$B$4:$B$1048576,"")</f>
        <v>Al Asrah Al Mumayaza Trad</v>
      </c>
      <c r="E1530" s="21" t="s">
        <v>199</v>
      </c>
      <c r="F1530" s="12" t="e">
        <f>_xlfn.XLOOKUP(Table134526_79101120212223242526[[#This Row],[Name Surname]],Manpower!C:C,Manpower!D:D,)</f>
        <v>#N/A</v>
      </c>
      <c r="G1530" s="28" t="str">
        <f>_xlfn.XLOOKUP(Table134526_79101120212223242526[[#This Row],[Name Surname]],Manpower!$C$4:$C$1048576,Manpower!$F$4:$F$1048576,"")</f>
        <v>PICK-UP</v>
      </c>
      <c r="H1530" s="28" t="str">
        <f>_xlfn.XLOOKUP(Table134526_79101120212223242526[[#This Row],[Name Surname]],Manpower!$C$4:$C$1048576,Manpower!$H$4:$H$1048576,"")</f>
        <v>Equipment</v>
      </c>
      <c r="I1530" s="28" t="str">
        <f>_xlfn.XLOOKUP(Table134526_79101120212223242526[[#This Row],[Name Surname]],Manpower!$C$4:$C$1048576,Manpower!$H$4:$H$1048576,"")</f>
        <v>Equipment</v>
      </c>
      <c r="J1530" s="21" t="s">
        <v>143</v>
      </c>
      <c r="K1530" s="21" t="s">
        <v>26</v>
      </c>
      <c r="L1530" s="21" t="s">
        <v>144</v>
      </c>
      <c r="M1530" s="21" t="s">
        <v>24</v>
      </c>
      <c r="N1530" s="29">
        <v>10</v>
      </c>
      <c r="O1530" s="21" t="s">
        <v>138</v>
      </c>
      <c r="P1530" s="21" t="s">
        <v>138</v>
      </c>
      <c r="Q1530" s="21" t="s">
        <v>138</v>
      </c>
      <c r="R1530" s="21" t="s">
        <v>26</v>
      </c>
    </row>
    <row r="1531" spans="1:19" ht="14.4">
      <c r="A1531" s="33">
        <f>IF(C1531="","",MAX($A$1:A1530)+1)</f>
        <v>1443</v>
      </c>
      <c r="B1531" s="27" t="s">
        <v>141</v>
      </c>
      <c r="C1531" s="23">
        <v>46093</v>
      </c>
      <c r="D1531" s="28" t="str">
        <f>_xlfn.XLOOKUP(Table134526_79101120212223242526[[#This Row],[Name Surname]],Manpower!$C$4:$C$1048576,Manpower!$B$4:$B$1048576,"")</f>
        <v>Al Asrah Al Mumayaza Trad</v>
      </c>
      <c r="E1531" s="21" t="s">
        <v>200</v>
      </c>
      <c r="F1531" s="12" t="e">
        <f>_xlfn.XLOOKUP(Table134526_79101120212223242526[[#This Row],[Name Surname]],Manpower!C:C,Manpower!D:D,)</f>
        <v>#N/A</v>
      </c>
      <c r="G1531" s="28" t="str">
        <f>_xlfn.XLOOKUP(Table134526_79101120212223242526[[#This Row],[Name Surname]],Manpower!$C$4:$C$1048576,Manpower!$F$4:$F$1048576,"")</f>
        <v>PICK-UP</v>
      </c>
      <c r="H1531" s="28" t="str">
        <f>_xlfn.XLOOKUP(Table134526_79101120212223242526[[#This Row],[Name Surname]],Manpower!$C$4:$C$1048576,Manpower!$H$4:$H$1048576,"")</f>
        <v>Equipment</v>
      </c>
      <c r="I1531" s="28" t="str">
        <f>_xlfn.XLOOKUP(Table134526_79101120212223242526[[#This Row],[Name Surname]],Manpower!$C$4:$C$1048576,Manpower!$H$4:$H$1048576,"")</f>
        <v>Equipment</v>
      </c>
      <c r="J1531" s="21" t="s">
        <v>143</v>
      </c>
      <c r="K1531" s="21" t="s">
        <v>26</v>
      </c>
      <c r="L1531" s="21" t="s">
        <v>144</v>
      </c>
      <c r="M1531" s="21" t="s">
        <v>24</v>
      </c>
      <c r="N1531" s="29">
        <v>10</v>
      </c>
      <c r="O1531" s="21" t="s">
        <v>138</v>
      </c>
      <c r="P1531" s="21" t="s">
        <v>138</v>
      </c>
      <c r="Q1531" s="21" t="s">
        <v>138</v>
      </c>
      <c r="R1531" s="21" t="s">
        <v>26</v>
      </c>
    </row>
    <row r="1532" spans="1:19" ht="14.4">
      <c r="A1532" s="33">
        <f>IF(C1532="","",MAX($A$1:A1531)+1)</f>
        <v>1444</v>
      </c>
      <c r="B1532" s="27" t="s">
        <v>141</v>
      </c>
      <c r="C1532" s="23">
        <v>46093</v>
      </c>
      <c r="D1532" s="28" t="str">
        <f>_xlfn.XLOOKUP(Table134526_79101120212223242526[[#This Row],[Name Surname]],Manpower!$C$4:$C$1048576,Manpower!$B$4:$B$1048576,"")</f>
        <v>Al Asrah Al Mumayaza Trad</v>
      </c>
      <c r="E1532" s="21" t="s">
        <v>201</v>
      </c>
      <c r="F1532" s="12" t="e">
        <f>_xlfn.XLOOKUP(Table134526_79101120212223242526[[#This Row],[Name Surname]],Manpower!C:C,Manpower!D:D,)</f>
        <v>#N/A</v>
      </c>
      <c r="G1532" s="28" t="str">
        <f>_xlfn.XLOOKUP(Table134526_79101120212223242526[[#This Row],[Name Surname]],Manpower!$C$4:$C$1048576,Manpower!$F$4:$F$1048576,"")</f>
        <v>PICK-UP</v>
      </c>
      <c r="H1532" s="28" t="str">
        <f>_xlfn.XLOOKUP(Table134526_79101120212223242526[[#This Row],[Name Surname]],Manpower!$C$4:$C$1048576,Manpower!$H$4:$H$1048576,"")</f>
        <v>Equipment</v>
      </c>
      <c r="I1532" s="28" t="str">
        <f>_xlfn.XLOOKUP(Table134526_79101120212223242526[[#This Row],[Name Surname]],Manpower!$C$4:$C$1048576,Manpower!$H$4:$H$1048576,"")</f>
        <v>Equipment</v>
      </c>
      <c r="J1532" s="21" t="s">
        <v>143</v>
      </c>
      <c r="K1532" s="21" t="s">
        <v>26</v>
      </c>
      <c r="L1532" s="21" t="s">
        <v>144</v>
      </c>
      <c r="M1532" s="21" t="s">
        <v>24</v>
      </c>
      <c r="N1532" s="29">
        <v>10</v>
      </c>
      <c r="O1532" s="21" t="s">
        <v>138</v>
      </c>
      <c r="P1532" s="21" t="s">
        <v>138</v>
      </c>
      <c r="Q1532" s="21" t="s">
        <v>138</v>
      </c>
      <c r="R1532" s="21" t="s">
        <v>26</v>
      </c>
    </row>
    <row r="1533" spans="1:19" s="45" customFormat="1" ht="14.4" hidden="1">
      <c r="A1533" s="25">
        <f>IF(C1533="","",MAX($A$1:A1532)+1)</f>
        <v>1445</v>
      </c>
      <c r="B1533" s="25" t="s">
        <v>141</v>
      </c>
      <c r="C1533" s="41">
        <v>46093</v>
      </c>
      <c r="D1533" s="48" t="str">
        <f>_xlfn.XLOOKUP(Table134526_79101120212223242526[[#This Row],[Name Surname]],Manpower!$C$4:$C$1048576,Manpower!$B$4:$B$1048576,"")</f>
        <v>Encogroup</v>
      </c>
      <c r="E1533" s="43" t="s">
        <v>202</v>
      </c>
      <c r="F1533" s="12">
        <f>_xlfn.XLOOKUP(Table134526_79101120212223242526[[#This Row],[Name Surname]],Manpower!C:C,Manpower!D:D,)</f>
        <v>140805592</v>
      </c>
      <c r="G1533" s="48" t="str">
        <f>_xlfn.XLOOKUP(Table134526_79101120212223242526[[#This Row],[Name Surname]],Manpower!$C$4:$C$1048576,Manpower!$F$4:$F$1048576,"")</f>
        <v>Assistant/Helper</v>
      </c>
      <c r="H1533" s="48" t="str">
        <f>_xlfn.XLOOKUP(Table134526_79101120212223242526[[#This Row],[Name Surname]],Manpower!$C$4:$C$1048576,Manpower!$H$4:$H$1048576,"")</f>
        <v>Manpower</v>
      </c>
      <c r="I1533" s="48" t="str">
        <f>_xlfn.XLOOKUP(Table134526_79101120212223242526[[#This Row],[Name Surname]],Manpower!$C$4:$C$1048576,Manpower!$H$4:$H$1048576,"")</f>
        <v>Manpower</v>
      </c>
      <c r="J1533" s="43" t="s">
        <v>143</v>
      </c>
      <c r="K1533" s="43" t="s">
        <v>26</v>
      </c>
      <c r="L1533" s="43" t="s">
        <v>144</v>
      </c>
      <c r="M1533" s="43" t="s">
        <v>24</v>
      </c>
      <c r="N1533" s="44">
        <v>10</v>
      </c>
      <c r="O1533" s="43" t="s">
        <v>40</v>
      </c>
      <c r="P1533" s="43" t="s">
        <v>42</v>
      </c>
      <c r="Q1533" s="43" t="s">
        <v>42</v>
      </c>
      <c r="R1533" s="43" t="s">
        <v>305</v>
      </c>
      <c r="S1533" s="43"/>
    </row>
    <row r="1534" spans="1:19" ht="14.4" hidden="1">
      <c r="A1534" s="33">
        <f>IF(C1534="","",MAX($A$1:A1533)+1)</f>
        <v>1446</v>
      </c>
      <c r="B1534" s="27" t="s">
        <v>141</v>
      </c>
      <c r="C1534" s="23">
        <v>46093</v>
      </c>
      <c r="D1534" s="28" t="str">
        <f>_xlfn.XLOOKUP(Table134526_79101120212223242526[[#This Row],[Name Surname]],Manpower!$C$4:$C$1048576,Manpower!$B$4:$B$1048576,"")</f>
        <v>Encogroup</v>
      </c>
      <c r="E1534" s="21" t="s">
        <v>203</v>
      </c>
      <c r="F1534" s="12">
        <f>_xlfn.XLOOKUP(Table134526_79101120212223242526[[#This Row],[Name Surname]],Manpower!C:C,Manpower!D:D,)</f>
        <v>140683371</v>
      </c>
      <c r="G1534" s="28" t="str">
        <f>_xlfn.XLOOKUP(Table134526_79101120212223242526[[#This Row],[Name Surname]],Manpower!$C$4:$C$1048576,Manpower!$F$4:$F$1048576,"")</f>
        <v>Rigger</v>
      </c>
      <c r="H1534" s="28" t="str">
        <f>_xlfn.XLOOKUP(Table134526_79101120212223242526[[#This Row],[Name Surname]],Manpower!$C$4:$C$1048576,Manpower!$H$4:$H$1048576,"")</f>
        <v>Manpower</v>
      </c>
      <c r="I1534" s="28" t="str">
        <f>_xlfn.XLOOKUP(Table134526_79101120212223242526[[#This Row],[Name Surname]],Manpower!$C$4:$C$1048576,Manpower!$H$4:$H$1048576,"")</f>
        <v>Manpower</v>
      </c>
      <c r="J1534" s="21" t="s">
        <v>143</v>
      </c>
      <c r="K1534" s="21" t="s">
        <v>26</v>
      </c>
      <c r="L1534" s="21" t="s">
        <v>144</v>
      </c>
      <c r="M1534" s="21" t="s">
        <v>24</v>
      </c>
      <c r="N1534" s="29">
        <v>10</v>
      </c>
      <c r="O1534" s="21" t="s">
        <v>40</v>
      </c>
      <c r="P1534" s="21" t="s">
        <v>42</v>
      </c>
      <c r="Q1534" s="21" t="s">
        <v>42</v>
      </c>
      <c r="R1534" s="21" t="s">
        <v>305</v>
      </c>
    </row>
    <row r="1535" spans="1:19" ht="14.4" hidden="1">
      <c r="A1535" s="33">
        <f>IF(C1535="","",MAX($A$1:A1534)+1)</f>
        <v>1447</v>
      </c>
      <c r="B1535" s="27" t="s">
        <v>141</v>
      </c>
      <c r="C1535" s="23">
        <v>46093</v>
      </c>
      <c r="D1535" s="28" t="str">
        <f>_xlfn.XLOOKUP(Table134526_79101120212223242526[[#This Row],[Name Surname]],Manpower!$C$4:$C$1048576,Manpower!$B$4:$B$1048576,"")</f>
        <v>Encogroup</v>
      </c>
      <c r="E1535" s="21" t="s">
        <v>206</v>
      </c>
      <c r="F1535" s="12">
        <f>_xlfn.XLOOKUP(Table134526_79101120212223242526[[#This Row],[Name Surname]],Manpower!C:C,Manpower!D:D,)</f>
        <v>140844848</v>
      </c>
      <c r="G1535" s="28" t="str">
        <f>_xlfn.XLOOKUP(Table134526_79101120212223242526[[#This Row],[Name Surname]],Manpower!$C$4:$C$1048576,Manpower!$F$4:$F$1048576,"")</f>
        <v>Assistant/Helper</v>
      </c>
      <c r="H1535" s="28" t="str">
        <f>_xlfn.XLOOKUP(Table134526_79101120212223242526[[#This Row],[Name Surname]],Manpower!$C$4:$C$1048576,Manpower!$H$4:$H$1048576,"")</f>
        <v>Manpower</v>
      </c>
      <c r="I1535" s="28" t="str">
        <f>_xlfn.XLOOKUP(Table134526_79101120212223242526[[#This Row],[Name Surname]],Manpower!$C$4:$C$1048576,Manpower!$H$4:$H$1048576,"")</f>
        <v>Manpower</v>
      </c>
      <c r="J1535" s="21" t="s">
        <v>143</v>
      </c>
      <c r="K1535" s="21" t="s">
        <v>26</v>
      </c>
      <c r="L1535" s="21" t="s">
        <v>144</v>
      </c>
      <c r="M1535" s="21" t="s">
        <v>24</v>
      </c>
      <c r="N1535" s="29">
        <v>10</v>
      </c>
      <c r="O1535" s="21" t="s">
        <v>40</v>
      </c>
      <c r="P1535" s="21" t="s">
        <v>42</v>
      </c>
      <c r="Q1535" s="21" t="s">
        <v>42</v>
      </c>
      <c r="R1535" s="21" t="s">
        <v>305</v>
      </c>
    </row>
    <row r="1536" spans="1:19" s="45" customFormat="1" ht="14.4" hidden="1">
      <c r="A1536" s="25">
        <f>IF(C1536="","",MAX($A$1:A1535)+1)</f>
        <v>1448</v>
      </c>
      <c r="B1536" s="25" t="s">
        <v>141</v>
      </c>
      <c r="C1536" s="41">
        <v>46093</v>
      </c>
      <c r="D1536" s="48" t="str">
        <f>_xlfn.XLOOKUP(Table134526_79101120212223242526[[#This Row],[Name Surname]],Manpower!$C$4:$C$1048576,Manpower!$B$4:$B$1048576,"")</f>
        <v>Encogroup</v>
      </c>
      <c r="E1536" s="43" t="s">
        <v>207</v>
      </c>
      <c r="F1536" s="12">
        <f>_xlfn.XLOOKUP(Table134526_79101120212223242526[[#This Row],[Name Surname]],Manpower!C:C,Manpower!D:D,)</f>
        <v>141359216</v>
      </c>
      <c r="G1536" s="48" t="str">
        <f>_xlfn.XLOOKUP(Table134526_79101120212223242526[[#This Row],[Name Surname]],Manpower!$C$4:$C$1048576,Manpower!$F$4:$F$1048576,"")</f>
        <v>Electrician</v>
      </c>
      <c r="H1536" s="48" t="str">
        <f>_xlfn.XLOOKUP(Table134526_79101120212223242526[[#This Row],[Name Surname]],Manpower!$C$4:$C$1048576,Manpower!$H$4:$H$1048576,"")</f>
        <v>Manpower</v>
      </c>
      <c r="I1536" s="48" t="str">
        <f>_xlfn.XLOOKUP(Table134526_79101120212223242526[[#This Row],[Name Surname]],Manpower!$C$4:$C$1048576,Manpower!$H$4:$H$1048576,"")</f>
        <v>Manpower</v>
      </c>
      <c r="J1536" s="43" t="s">
        <v>158</v>
      </c>
      <c r="K1536" s="43" t="s">
        <v>26</v>
      </c>
      <c r="L1536" s="43" t="s">
        <v>26</v>
      </c>
      <c r="M1536" s="43" t="s">
        <v>24</v>
      </c>
      <c r="N1536" s="44">
        <v>10</v>
      </c>
      <c r="O1536" s="43" t="s">
        <v>159</v>
      </c>
      <c r="P1536" s="43" t="s">
        <v>160</v>
      </c>
      <c r="Q1536" s="43" t="s">
        <v>160</v>
      </c>
      <c r="R1536" s="43" t="s">
        <v>161</v>
      </c>
      <c r="S1536" s="43"/>
    </row>
    <row r="1537" spans="1:19" s="45" customFormat="1" ht="14.4" hidden="1">
      <c r="A1537" s="25">
        <f>IF(C1537="","",MAX($A$1:A1536)+1)</f>
        <v>1449</v>
      </c>
      <c r="B1537" s="25" t="s">
        <v>141</v>
      </c>
      <c r="C1537" s="41">
        <v>46093</v>
      </c>
      <c r="D1537" s="48" t="str">
        <f>_xlfn.XLOOKUP(Table134526_79101120212223242526[[#This Row],[Name Surname]],Manpower!$C$4:$C$1048576,Manpower!$B$4:$B$1048576,"")</f>
        <v>Encogroup</v>
      </c>
      <c r="E1537" s="43" t="s">
        <v>208</v>
      </c>
      <c r="F1537" s="12">
        <f>_xlfn.XLOOKUP(Table134526_79101120212223242526[[#This Row],[Name Surname]],Manpower!C:C,Manpower!D:D,)</f>
        <v>140683399</v>
      </c>
      <c r="G1537" s="48" t="str">
        <f>_xlfn.XLOOKUP(Table134526_79101120212223242526[[#This Row],[Name Surname]],Manpower!$C$4:$C$1048576,Manpower!$F$4:$F$1048576,"")</f>
        <v>Rigger</v>
      </c>
      <c r="H1537" s="48" t="str">
        <f>_xlfn.XLOOKUP(Table134526_79101120212223242526[[#This Row],[Name Surname]],Manpower!$C$4:$C$1048576,Manpower!$H$4:$H$1048576,"")</f>
        <v>Manpower</v>
      </c>
      <c r="I1537" s="48" t="str">
        <f>_xlfn.XLOOKUP(Table134526_79101120212223242526[[#This Row],[Name Surname]],Manpower!$C$4:$C$1048576,Manpower!$H$4:$H$1048576,"")</f>
        <v>Manpower</v>
      </c>
      <c r="J1537" s="43" t="s">
        <v>143</v>
      </c>
      <c r="K1537" s="43" t="s">
        <v>26</v>
      </c>
      <c r="L1537" s="43" t="s">
        <v>144</v>
      </c>
      <c r="M1537" s="43" t="s">
        <v>24</v>
      </c>
      <c r="N1537" s="44">
        <v>10</v>
      </c>
      <c r="O1537" s="43" t="s">
        <v>40</v>
      </c>
      <c r="P1537" s="43" t="s">
        <v>42</v>
      </c>
      <c r="Q1537" s="43" t="s">
        <v>42</v>
      </c>
      <c r="R1537" s="43" t="s">
        <v>305</v>
      </c>
      <c r="S1537" s="43"/>
    </row>
    <row r="1538" spans="1:19" ht="14.4">
      <c r="A1538" s="33">
        <f>IF(C1538="","",MAX($A$1:A1537)+1)</f>
        <v>1450</v>
      </c>
      <c r="B1538" s="27" t="s">
        <v>141</v>
      </c>
      <c r="C1538" s="23">
        <v>46093</v>
      </c>
      <c r="D1538" s="28" t="str">
        <f>_xlfn.XLOOKUP(Table134526_79101120212223242526[[#This Row],[Name Surname]],Manpower!$C$4:$C$1048576,Manpower!$B$4:$B$1048576,"")</f>
        <v>Bright Light</v>
      </c>
      <c r="E1538" s="21" t="s">
        <v>210</v>
      </c>
      <c r="F1538" s="12" t="e">
        <f>_xlfn.XLOOKUP(Table134526_79101120212223242526[[#This Row],[Name Surname]],Manpower!C:C,Manpower!D:D,)</f>
        <v>#N/A</v>
      </c>
      <c r="G1538" s="28" t="str">
        <f>_xlfn.XLOOKUP(Table134526_79101120212223242526[[#This Row],[Name Surname]],Manpower!$C$4:$C$1048576,Manpower!$F$4:$F$1048576,"")</f>
        <v>Trailer</v>
      </c>
      <c r="H1538" s="28" t="str">
        <f>_xlfn.XLOOKUP(Table134526_79101120212223242526[[#This Row],[Name Surname]],Manpower!$C$4:$C$1048576,Manpower!$H$4:$H$1048576,"")</f>
        <v>Equipment</v>
      </c>
      <c r="I1538" s="28" t="str">
        <f>_xlfn.XLOOKUP(Table134526_79101120212223242526[[#This Row],[Name Surname]],Manpower!$C$4:$C$1048576,Manpower!$H$4:$H$1048576,"")</f>
        <v>Equipment</v>
      </c>
      <c r="J1538" s="21" t="s">
        <v>143</v>
      </c>
      <c r="K1538" s="21" t="s">
        <v>26</v>
      </c>
      <c r="L1538" s="21" t="s">
        <v>144</v>
      </c>
      <c r="M1538" s="21" t="s">
        <v>24</v>
      </c>
      <c r="N1538" s="29">
        <v>8</v>
      </c>
      <c r="O1538" s="21" t="s">
        <v>40</v>
      </c>
      <c r="P1538" s="21" t="s">
        <v>42</v>
      </c>
      <c r="Q1538" s="21" t="s">
        <v>42</v>
      </c>
      <c r="R1538" s="21" t="s">
        <v>26</v>
      </c>
    </row>
    <row r="1539" spans="1:19" ht="14.4" hidden="1">
      <c r="A1539" s="33">
        <f>IF(C1539="","",MAX($A$1:A1538)+1)</f>
        <v>1451</v>
      </c>
      <c r="B1539" s="27" t="s">
        <v>141</v>
      </c>
      <c r="C1539" s="23">
        <v>46093</v>
      </c>
      <c r="D1539" s="28" t="str">
        <f>_xlfn.XLOOKUP(Table134526_79101120212223242526[[#This Row],[Name Surname]],Manpower!$C$4:$C$1048576,Manpower!$B$4:$B$1048576,"")</f>
        <v>Encogroup</v>
      </c>
      <c r="E1539" s="21" t="s">
        <v>211</v>
      </c>
      <c r="F1539" s="12">
        <f>_xlfn.XLOOKUP(Table134526_79101120212223242526[[#This Row],[Name Surname]],Manpower!C:C,Manpower!D:D,)</f>
        <v>140477664</v>
      </c>
      <c r="G1539" s="28" t="str">
        <f>_xlfn.XLOOKUP(Table134526_79101120212223242526[[#This Row],[Name Surname]],Manpower!$C$4:$C$1048576,Manpower!$F$4:$F$1048576,"")</f>
        <v>Junior HSE Officer</v>
      </c>
      <c r="H1539" s="28" t="str">
        <f>_xlfn.XLOOKUP(Table134526_79101120212223242526[[#This Row],[Name Surname]],Manpower!$C$4:$C$1048576,Manpower!$H$4:$H$1048576,"")</f>
        <v>Manpower</v>
      </c>
      <c r="I1539" s="28" t="str">
        <f>_xlfn.XLOOKUP(Table134526_79101120212223242526[[#This Row],[Name Surname]],Manpower!$C$4:$C$1048576,Manpower!$H$4:$H$1048576,"")</f>
        <v>Manpower</v>
      </c>
      <c r="J1539" s="21" t="s">
        <v>143</v>
      </c>
      <c r="K1539" s="21" t="s">
        <v>26</v>
      </c>
      <c r="L1539" s="21" t="s">
        <v>144</v>
      </c>
      <c r="M1539" s="21" t="s">
        <v>24</v>
      </c>
      <c r="N1539" s="29">
        <v>10</v>
      </c>
      <c r="O1539" s="21" t="s">
        <v>40</v>
      </c>
      <c r="P1539" s="21" t="s">
        <v>42</v>
      </c>
      <c r="Q1539" s="21" t="s">
        <v>42</v>
      </c>
      <c r="R1539" s="21" t="s">
        <v>305</v>
      </c>
    </row>
    <row r="1540" spans="1:19" ht="14.4" hidden="1">
      <c r="A1540" s="33">
        <f>IF(C1540="","",MAX($A$1:A1539)+1)</f>
        <v>1452</v>
      </c>
      <c r="B1540" s="27" t="s">
        <v>141</v>
      </c>
      <c r="C1540" s="23">
        <v>46093</v>
      </c>
      <c r="D1540" s="28" t="str">
        <f>_xlfn.XLOOKUP(Table134526_79101120212223242526[[#This Row],[Name Surname]],Manpower!$C$4:$C$1048576,Manpower!$B$4:$B$1048576,"")</f>
        <v>Encogroup</v>
      </c>
      <c r="E1540" s="21" t="s">
        <v>213</v>
      </c>
      <c r="F1540" s="12">
        <f>_xlfn.XLOOKUP(Table134526_79101120212223242526[[#This Row],[Name Surname]],Manpower!C:C,Manpower!D:D,)</f>
        <v>140846698</v>
      </c>
      <c r="G1540" s="28" t="str">
        <f>_xlfn.XLOOKUP(Table134526_79101120212223242526[[#This Row],[Name Surname]],Manpower!$C$4:$C$1048576,Manpower!$F$4:$F$1048576,"")</f>
        <v>Assistant/Helper</v>
      </c>
      <c r="H1540" s="28" t="str">
        <f>_xlfn.XLOOKUP(Table134526_79101120212223242526[[#This Row],[Name Surname]],Manpower!$C$4:$C$1048576,Manpower!$H$4:$H$1048576,"")</f>
        <v>Manpower</v>
      </c>
      <c r="I1540" s="28" t="str">
        <f>_xlfn.XLOOKUP(Table134526_79101120212223242526[[#This Row],[Name Surname]],Manpower!$C$4:$C$1048576,Manpower!$H$4:$H$1048576,"")</f>
        <v>Manpower</v>
      </c>
      <c r="J1540" s="21" t="s">
        <v>143</v>
      </c>
      <c r="K1540" s="21" t="s">
        <v>26</v>
      </c>
      <c r="L1540" s="21" t="s">
        <v>144</v>
      </c>
      <c r="M1540" s="21" t="s">
        <v>24</v>
      </c>
      <c r="N1540" s="29">
        <v>10</v>
      </c>
      <c r="O1540" s="21" t="s">
        <v>40</v>
      </c>
      <c r="P1540" s="21" t="s">
        <v>42</v>
      </c>
      <c r="Q1540" s="21" t="s">
        <v>42</v>
      </c>
      <c r="R1540" s="21" t="s">
        <v>305</v>
      </c>
    </row>
    <row r="1541" spans="1:19" ht="14.4" hidden="1">
      <c r="A1541" s="33">
        <f>IF(C1541="","",MAX($A$1:A1540)+1)</f>
        <v>1453</v>
      </c>
      <c r="B1541" s="27" t="s">
        <v>141</v>
      </c>
      <c r="C1541" s="23">
        <v>46093</v>
      </c>
      <c r="D1541" s="28" t="str">
        <f>_xlfn.XLOOKUP(Table134526_79101120212223242526[[#This Row],[Name Surname]],Manpower!$C$4:$C$1048576,Manpower!$B$4:$B$1048576,"")</f>
        <v>SARENS NASS</v>
      </c>
      <c r="E1541" s="21" t="s">
        <v>214</v>
      </c>
      <c r="F1541" s="12">
        <f>_xlfn.XLOOKUP(Table134526_79101120212223242526[[#This Row],[Name Surname]],Manpower!C:C,Manpower!D:D,)</f>
        <v>109957631</v>
      </c>
      <c r="G1541" s="28" t="str">
        <f>_xlfn.XLOOKUP(Table134526_79101120212223242526[[#This Row],[Name Surname]],Manpower!$C$4:$C$1048576,Manpower!$F$4:$F$1048576,"")</f>
        <v>Crane Operator-130T Liebherr Crawler</v>
      </c>
      <c r="H1541" s="28" t="str">
        <f>_xlfn.XLOOKUP(Table134526_79101120212223242526[[#This Row],[Name Surname]],Manpower!$C$4:$C$1048576,Manpower!$H$4:$H$1048576,"")</f>
        <v>Manpower</v>
      </c>
      <c r="I1541" s="28" t="str">
        <f>_xlfn.XLOOKUP(Table134526_79101120212223242526[[#This Row],[Name Surname]],Manpower!$C$4:$C$1048576,Manpower!$H$4:$H$1048576,"")</f>
        <v>Manpower</v>
      </c>
      <c r="J1541" s="21" t="s">
        <v>143</v>
      </c>
      <c r="K1541" s="21" t="s">
        <v>26</v>
      </c>
      <c r="L1541" s="21" t="s">
        <v>144</v>
      </c>
      <c r="M1541" s="21" t="s">
        <v>55</v>
      </c>
      <c r="N1541" s="29">
        <v>10</v>
      </c>
      <c r="R1541" s="21" t="s">
        <v>258</v>
      </c>
    </row>
    <row r="1542" spans="1:19" s="45" customFormat="1" ht="14.4" hidden="1">
      <c r="A1542" s="25">
        <f>IF(C1542="","",MAX($A$1:A1541)+1)</f>
        <v>1454</v>
      </c>
      <c r="B1542" s="25" t="s">
        <v>141</v>
      </c>
      <c r="C1542" s="41">
        <v>46093</v>
      </c>
      <c r="D1542" s="48" t="str">
        <f>_xlfn.XLOOKUP(Table134526_79101120212223242526[[#This Row],[Name Surname]],Manpower!$C$4:$C$1048576,Manpower!$B$4:$B$1048576,"")</f>
        <v>Encogroup</v>
      </c>
      <c r="E1542" s="43" t="s">
        <v>306</v>
      </c>
      <c r="F1542" s="12" t="str">
        <f>_xlfn.XLOOKUP(Table134526_79101120212223242526[[#This Row],[Name Surname]],Manpower!C:C,Manpower!D:D,)</f>
        <v>100398391</v>
      </c>
      <c r="G1542" s="48" t="str">
        <f>_xlfn.XLOOKUP(Table134526_79101120212223242526[[#This Row],[Name Surname]],Manpower!$C$4:$C$1048576,Manpower!$F$4:$F$1048576,"")</f>
        <v>DuqmTrailer Driver</v>
      </c>
      <c r="H1542" s="48" t="str">
        <f>_xlfn.XLOOKUP(Table134526_79101120212223242526[[#This Row],[Name Surname]],Manpower!$C$4:$C$1048576,Manpower!$H$4:$H$1048576,"")</f>
        <v>Manpower</v>
      </c>
      <c r="I1542" s="48" t="str">
        <f>_xlfn.XLOOKUP(Table134526_79101120212223242526[[#This Row],[Name Surname]],Manpower!$C$4:$C$1048576,Manpower!$H$4:$H$1048576,"")</f>
        <v>Manpower</v>
      </c>
      <c r="J1542" s="43" t="s">
        <v>143</v>
      </c>
      <c r="K1542" s="43" t="s">
        <v>26</v>
      </c>
      <c r="L1542" s="43" t="s">
        <v>144</v>
      </c>
      <c r="M1542" s="43" t="s">
        <v>24</v>
      </c>
      <c r="N1542" s="44">
        <v>8</v>
      </c>
      <c r="O1542" s="43" t="s">
        <v>40</v>
      </c>
      <c r="P1542" s="43" t="s">
        <v>41</v>
      </c>
      <c r="Q1542" s="43" t="s">
        <v>42</v>
      </c>
      <c r="R1542" s="43" t="s">
        <v>307</v>
      </c>
      <c r="S1542" s="43"/>
    </row>
    <row r="1543" spans="1:19" s="45" customFormat="1" ht="14.4" hidden="1">
      <c r="A1543" s="25">
        <f>IF(C1543="","",MAX($A$1:A1541)+1)</f>
        <v>1454</v>
      </c>
      <c r="B1543" s="25" t="s">
        <v>141</v>
      </c>
      <c r="C1543" s="41">
        <v>46093</v>
      </c>
      <c r="D1543" s="48" t="str">
        <f>_xlfn.XLOOKUP(Table134526_79101120212223242526[[#This Row],[Name Surname]],Manpower!$C$4:$C$1048576,Manpower!$B$4:$B$1048576,"")</f>
        <v>Rial Al Khaleej</v>
      </c>
      <c r="E1543" s="43" t="s">
        <v>38</v>
      </c>
      <c r="F1543" s="12">
        <f>_xlfn.XLOOKUP(Table134526_79101120212223242526[[#This Row],[Name Surname]],Manpower!C:C,Manpower!D:D,)</f>
        <v>98845403</v>
      </c>
      <c r="G1543" s="48" t="str">
        <f>_xlfn.XLOOKUP(Table134526_79101120212223242526[[#This Row],[Name Surname]],Manpower!$C$4:$C$1048576,Manpower!$F$4:$F$1048576,"")</f>
        <v>Crane Operator-100T Zoomlion Telescopic</v>
      </c>
      <c r="H1543" s="48" t="str">
        <f>_xlfn.XLOOKUP(Table134526_79101120212223242526[[#This Row],[Name Surname]],Manpower!$C$4:$C$1048576,Manpower!$H$4:$H$1048576,"")</f>
        <v>Manpower</v>
      </c>
      <c r="I1543" s="48" t="str">
        <f>_xlfn.XLOOKUP(Table134526_79101120212223242526[[#This Row],[Name Surname]],Manpower!$C$4:$C$1048576,Manpower!$H$4:$H$1048576,"")</f>
        <v>Manpower</v>
      </c>
      <c r="J1543" s="43" t="s">
        <v>143</v>
      </c>
      <c r="K1543" s="43" t="s">
        <v>26</v>
      </c>
      <c r="L1543" s="43" t="s">
        <v>144</v>
      </c>
      <c r="M1543" s="43" t="s">
        <v>24</v>
      </c>
      <c r="N1543" s="44">
        <v>8</v>
      </c>
      <c r="O1543" s="43" t="s">
        <v>40</v>
      </c>
      <c r="P1543" s="43" t="s">
        <v>41</v>
      </c>
      <c r="Q1543" s="43" t="s">
        <v>42</v>
      </c>
      <c r="R1543" s="43" t="s">
        <v>305</v>
      </c>
      <c r="S1543" s="43"/>
    </row>
    <row r="1544" spans="1:19" ht="14.4" hidden="1">
      <c r="A1544" s="33">
        <f>IF(C1544="","",MAX($A$1:A1543)+1)</f>
        <v>1455</v>
      </c>
      <c r="B1544" s="27" t="s">
        <v>141</v>
      </c>
      <c r="C1544" s="23">
        <v>46093</v>
      </c>
      <c r="D1544" s="28" t="str">
        <f>_xlfn.XLOOKUP(Table134526_79101120212223242526[[#This Row],[Name Surname]],Manpower!$C$4:$C$1048576,Manpower!$B$4:$B$1048576,"")</f>
        <v>Encogroup</v>
      </c>
      <c r="E1544" s="21" t="s">
        <v>217</v>
      </c>
      <c r="F1544" s="12">
        <f>_xlfn.XLOOKUP(Table134526_79101120212223242526[[#This Row],[Name Surname]],Manpower!C:C,Manpower!D:D,)</f>
        <v>140742177</v>
      </c>
      <c r="G1544" s="28" t="str">
        <f>_xlfn.XLOOKUP(Table134526_79101120212223242526[[#This Row],[Name Surname]],Manpower!$C$4:$C$1048576,Manpower!$F$4:$F$1048576,"")</f>
        <v>Grinder</v>
      </c>
      <c r="H1544" s="28" t="str">
        <f>_xlfn.XLOOKUP(Table134526_79101120212223242526[[#This Row],[Name Surname]],Manpower!$C$4:$C$1048576,Manpower!$H$4:$H$1048576,"")</f>
        <v>Manpower</v>
      </c>
      <c r="I1544" s="28" t="str">
        <f>_xlfn.XLOOKUP(Table134526_79101120212223242526[[#This Row],[Name Surname]],Manpower!$C$4:$C$1048576,Manpower!$H$4:$H$1048576,"")</f>
        <v>Manpower</v>
      </c>
      <c r="J1544" s="21" t="s">
        <v>143</v>
      </c>
      <c r="K1544" s="21" t="s">
        <v>26</v>
      </c>
      <c r="L1544" s="21" t="s">
        <v>144</v>
      </c>
      <c r="M1544" s="21" t="s">
        <v>24</v>
      </c>
      <c r="N1544" s="29">
        <v>10</v>
      </c>
      <c r="O1544" s="21" t="s">
        <v>40</v>
      </c>
      <c r="P1544" s="21" t="s">
        <v>42</v>
      </c>
      <c r="Q1544" s="21" t="s">
        <v>42</v>
      </c>
      <c r="R1544" s="21" t="s">
        <v>305</v>
      </c>
    </row>
    <row r="1545" spans="1:19" s="45" customFormat="1" ht="14.4" hidden="1">
      <c r="A1545" s="25">
        <f>IF(C1545="","",MAX($A$1:A1544)+1)</f>
        <v>1456</v>
      </c>
      <c r="B1545" s="25" t="s">
        <v>141</v>
      </c>
      <c r="C1545" s="41">
        <v>46093</v>
      </c>
      <c r="D1545" s="48" t="str">
        <f>_xlfn.XLOOKUP(Table134526_79101120212223242526[[#This Row],[Name Surname]],Manpower!$C$4:$C$1048576,Manpower!$B$4:$B$1048576,"")</f>
        <v>Encogroup</v>
      </c>
      <c r="E1545" s="43" t="s">
        <v>188</v>
      </c>
      <c r="F1545" s="12">
        <f>_xlfn.XLOOKUP(Table134526_79101120212223242526[[#This Row],[Name Surname]],Manpower!C:C,Manpower!D:D,)</f>
        <v>140696975</v>
      </c>
      <c r="G1545" s="48" t="str">
        <f>_xlfn.XLOOKUP(Table134526_79101120212223242526[[#This Row],[Name Surname]],Manpower!$C$4:$C$1048576,Manpower!$F$4:$F$1048576,"")</f>
        <v>Assistant/Helper</v>
      </c>
      <c r="H1545" s="48" t="str">
        <f>_xlfn.XLOOKUP(Table134526_79101120212223242526[[#This Row],[Name Surname]],Manpower!$C$4:$C$1048576,Manpower!$H$4:$H$1048576,"")</f>
        <v>Manpower</v>
      </c>
      <c r="I1545" s="48" t="str">
        <f>_xlfn.XLOOKUP(Table134526_79101120212223242526[[#This Row],[Name Surname]],Manpower!$C$4:$C$1048576,Manpower!$H$4:$H$1048576,"")</f>
        <v>Manpower</v>
      </c>
      <c r="J1545" s="43" t="s">
        <v>158</v>
      </c>
      <c r="K1545" s="43" t="s">
        <v>26</v>
      </c>
      <c r="L1545" s="43" t="s">
        <v>26</v>
      </c>
      <c r="M1545" s="43" t="s">
        <v>24</v>
      </c>
      <c r="N1545" s="44">
        <v>10</v>
      </c>
      <c r="O1545" s="43" t="s">
        <v>159</v>
      </c>
      <c r="P1545" s="43" t="s">
        <v>160</v>
      </c>
      <c r="Q1545" s="43" t="s">
        <v>160</v>
      </c>
      <c r="R1545" s="43" t="s">
        <v>161</v>
      </c>
      <c r="S1545" s="43" t="s">
        <v>230</v>
      </c>
    </row>
    <row r="1546" spans="1:19" ht="14.4" hidden="1">
      <c r="A1546" s="33">
        <f>IF(C1546="","",MAX($A$1:A1545)+1)</f>
        <v>1457</v>
      </c>
      <c r="B1546" s="27" t="s">
        <v>141</v>
      </c>
      <c r="C1546" s="23">
        <v>46093</v>
      </c>
      <c r="D1546" s="28" t="str">
        <f>_xlfn.XLOOKUP(Table134526_79101120212223242526[[#This Row],[Name Surname]],Manpower!$C$4:$C$1048576,Manpower!$B$4:$B$1048576,"")</f>
        <v>Encogroup</v>
      </c>
      <c r="E1546" s="21" t="s">
        <v>204</v>
      </c>
      <c r="F1546" s="12">
        <f>_xlfn.XLOOKUP(Table134526_79101120212223242526[[#This Row],[Name Surname]],Manpower!C:C,Manpower!D:D,)</f>
        <v>140844572</v>
      </c>
      <c r="G1546" s="28" t="str">
        <f>_xlfn.XLOOKUP(Table134526_79101120212223242526[[#This Row],[Name Surname]],Manpower!$C$4:$C$1048576,Manpower!$F$4:$F$1048576,"")</f>
        <v>Assistant/Helper</v>
      </c>
      <c r="H1546" s="28" t="str">
        <f>_xlfn.XLOOKUP(Table134526_79101120212223242526[[#This Row],[Name Surname]],Manpower!$C$4:$C$1048576,Manpower!$H$4:$H$1048576,"")</f>
        <v>Manpower</v>
      </c>
      <c r="I1546" s="28" t="str">
        <f>_xlfn.XLOOKUP(Table134526_79101120212223242526[[#This Row],[Name Surname]],Manpower!$C$4:$C$1048576,Manpower!$H$4:$H$1048576,"")</f>
        <v>Manpower</v>
      </c>
      <c r="J1546" s="21" t="s">
        <v>158</v>
      </c>
      <c r="K1546" s="21" t="s">
        <v>26</v>
      </c>
      <c r="L1546" s="21" t="s">
        <v>26</v>
      </c>
      <c r="M1546" s="21" t="s">
        <v>24</v>
      </c>
      <c r="N1546" s="29">
        <v>10</v>
      </c>
      <c r="O1546" s="21" t="s">
        <v>159</v>
      </c>
      <c r="P1546" s="21" t="s">
        <v>160</v>
      </c>
      <c r="Q1546" s="21" t="s">
        <v>160</v>
      </c>
      <c r="R1546" s="21" t="s">
        <v>161</v>
      </c>
    </row>
    <row r="1547" spans="1:19" ht="14.4">
      <c r="A1547" s="33">
        <f>IF(C1547="","",MAX($A$1:A1546)+1)</f>
        <v>1458</v>
      </c>
      <c r="B1547" s="27" t="s">
        <v>141</v>
      </c>
      <c r="C1547" s="23">
        <v>46093</v>
      </c>
      <c r="D1547" s="28" t="str">
        <f>_xlfn.XLOOKUP(Table134526_79101120212223242526[[#This Row],[Name Surname]],Manpower!$C$4:$C$1048576,Manpower!$B$4:$B$1048576,"")</f>
        <v>Encogroup</v>
      </c>
      <c r="E1547" s="23" t="s">
        <v>219</v>
      </c>
      <c r="F1547" s="12" t="e">
        <f>_xlfn.XLOOKUP(Table134526_79101120212223242526[[#This Row],[Name Surname]],Manpower!C:C,Manpower!D:D,)</f>
        <v>#N/A</v>
      </c>
      <c r="G1547" s="28" t="str">
        <f>_xlfn.XLOOKUP(Table134526_79101120212223242526[[#This Row],[Name Surname]],Manpower!$C$4:$C$1048576,Manpower!$F$4:$F$1048576,"")</f>
        <v>TOWER LIGHT</v>
      </c>
      <c r="H1547" s="28" t="str">
        <f>_xlfn.XLOOKUP(Table134526_79101120212223242526[[#This Row],[Name Surname]],Manpower!$C$4:$C$1048576,Manpower!$H$4:$H$1048576,"")</f>
        <v>Equipment</v>
      </c>
      <c r="I1547" s="28" t="str">
        <f>_xlfn.XLOOKUP(Table134526_79101120212223242526[[#This Row],[Name Surname]],Manpower!$C$4:$C$1048576,Manpower!$H$4:$H$1048576,"")</f>
        <v>Equipment</v>
      </c>
      <c r="J1547" s="21" t="s">
        <v>143</v>
      </c>
      <c r="K1547" s="21" t="s">
        <v>26</v>
      </c>
      <c r="L1547" s="21" t="s">
        <v>144</v>
      </c>
      <c r="M1547" s="21" t="s">
        <v>55</v>
      </c>
      <c r="N1547" s="29">
        <v>10</v>
      </c>
      <c r="R1547" s="21" t="s">
        <v>56</v>
      </c>
    </row>
    <row r="1548" spans="1:19" ht="14.4">
      <c r="A1548" s="33">
        <f>IF(C1548="","",MAX($A$1:A1547)+1)</f>
        <v>1459</v>
      </c>
      <c r="B1548" s="27" t="s">
        <v>141</v>
      </c>
      <c r="C1548" s="23">
        <v>46093</v>
      </c>
      <c r="D1548" s="28" t="str">
        <f>_xlfn.XLOOKUP(Table134526_79101120212223242526[[#This Row],[Name Surname]],Manpower!$C$4:$C$1048576,Manpower!$B$4:$B$1048576,"")</f>
        <v>Encogroup</v>
      </c>
      <c r="E1548" s="23" t="s">
        <v>220</v>
      </c>
      <c r="F1548" s="12" t="e">
        <f>_xlfn.XLOOKUP(Table134526_79101120212223242526[[#This Row],[Name Surname]],Manpower!C:C,Manpower!D:D,)</f>
        <v>#N/A</v>
      </c>
      <c r="G1548" s="28" t="str">
        <f>_xlfn.XLOOKUP(Table134526_79101120212223242526[[#This Row],[Name Surname]],Manpower!$C$4:$C$1048576,Manpower!$F$4:$F$1048576,"")</f>
        <v>TOWER LIGHT</v>
      </c>
      <c r="H1548" s="28" t="str">
        <f>_xlfn.XLOOKUP(Table134526_79101120212223242526[[#This Row],[Name Surname]],Manpower!$C$4:$C$1048576,Manpower!$H$4:$H$1048576,"")</f>
        <v>Equipment</v>
      </c>
      <c r="I1548" s="28" t="str">
        <f>_xlfn.XLOOKUP(Table134526_79101120212223242526[[#This Row],[Name Surname]],Manpower!$C$4:$C$1048576,Manpower!$H$4:$H$1048576,"")</f>
        <v>Equipment</v>
      </c>
      <c r="J1548" s="21" t="s">
        <v>143</v>
      </c>
      <c r="K1548" s="21" t="s">
        <v>26</v>
      </c>
      <c r="L1548" s="21" t="s">
        <v>144</v>
      </c>
      <c r="M1548" s="21" t="s">
        <v>55</v>
      </c>
      <c r="N1548" s="29">
        <v>10</v>
      </c>
      <c r="R1548" s="21" t="s">
        <v>56</v>
      </c>
    </row>
    <row r="1549" spans="1:19" ht="14.4" hidden="1">
      <c r="A1549" s="33">
        <f>IF(C1549="","",MAX($A$1:A1548)+1)</f>
        <v>1460</v>
      </c>
      <c r="B1549" s="27" t="s">
        <v>141</v>
      </c>
      <c r="C1549" s="23">
        <v>46093</v>
      </c>
      <c r="D1549" s="28" t="str">
        <f>_xlfn.XLOOKUP(Table134526_79101120212223242526[[#This Row],[Name Surname]],Manpower!$C$4:$C$1048576,Manpower!$B$4:$B$1048576,"")</f>
        <v>AL Omar International Tarde&amp;Contracting SPC</v>
      </c>
      <c r="E1549" s="21" t="s">
        <v>221</v>
      </c>
      <c r="F1549" s="12">
        <f>_xlfn.XLOOKUP(Table134526_79101120212223242526[[#This Row],[Name Surname]],Manpower!C:C,Manpower!D:D,)</f>
        <v>115122635</v>
      </c>
      <c r="G1549" s="28" t="str">
        <f>_xlfn.XLOOKUP(Table134526_79101120212223242526[[#This Row],[Name Surname]],Manpower!$C$4:$C$1048576,Manpower!$F$4:$F$1048576,"")</f>
        <v>Scaffolder</v>
      </c>
      <c r="H1549" s="28" t="str">
        <f>_xlfn.XLOOKUP(Table134526_79101120212223242526[[#This Row],[Name Surname]],Manpower!$C$4:$C$1048576,Manpower!$H$4:$H$1048576,"")</f>
        <v>Sub Contactor</v>
      </c>
      <c r="I1549" s="28" t="str">
        <f>_xlfn.XLOOKUP(Table134526_79101120212223242526[[#This Row],[Name Surname]],Manpower!$C$4:$C$1048576,Manpower!$H$4:$H$1048576,"")</f>
        <v>Sub Contactor</v>
      </c>
      <c r="J1549" s="21" t="s">
        <v>143</v>
      </c>
      <c r="K1549" s="21" t="s">
        <v>26</v>
      </c>
      <c r="L1549" s="21" t="s">
        <v>170</v>
      </c>
      <c r="M1549" s="21" t="s">
        <v>24</v>
      </c>
      <c r="N1549" s="29">
        <v>8</v>
      </c>
      <c r="O1549" s="21" t="s">
        <v>40</v>
      </c>
      <c r="P1549" s="21" t="s">
        <v>128</v>
      </c>
      <c r="Q1549" s="21" t="s">
        <v>128</v>
      </c>
      <c r="R1549" s="21" t="s">
        <v>171</v>
      </c>
    </row>
    <row r="1550" spans="1:19" s="45" customFormat="1" ht="14.4" hidden="1">
      <c r="A1550" s="25">
        <f>IF(C1550="","",MAX($A$1:A1549)+1)</f>
        <v>1461</v>
      </c>
      <c r="B1550" s="25" t="s">
        <v>141</v>
      </c>
      <c r="C1550" s="41">
        <v>46093</v>
      </c>
      <c r="D1550" s="48" t="str">
        <f>_xlfn.XLOOKUP(Table134526_79101120212223242526[[#This Row],[Name Surname]],Manpower!$C$4:$C$1048576,Manpower!$B$4:$B$1048576,"")</f>
        <v>Encogroup</v>
      </c>
      <c r="E1550" s="43" t="s">
        <v>168</v>
      </c>
      <c r="F1550" s="12">
        <f>_xlfn.XLOOKUP(Table134526_79101120212223242526[[#This Row],[Name Surname]],Manpower!C:C,Manpower!D:D,)</f>
        <v>137114773</v>
      </c>
      <c r="G1550" s="48" t="str">
        <f>_xlfn.XLOOKUP(Table134526_79101120212223242526[[#This Row],[Name Surname]],Manpower!$C$4:$C$1048576,Manpower!$F$4:$F$1048576,"")</f>
        <v>Rigger</v>
      </c>
      <c r="H1550" s="48" t="str">
        <f>_xlfn.XLOOKUP(Table134526_79101120212223242526[[#This Row],[Name Surname]],Manpower!$C$4:$C$1048576,Manpower!$H$4:$H$1048576,"")</f>
        <v>Manpower</v>
      </c>
      <c r="I1550" s="48" t="str">
        <f>_xlfn.XLOOKUP(Table134526_79101120212223242526[[#This Row],[Name Surname]],Manpower!$C$4:$C$1048576,Manpower!$H$4:$H$1048576,"")</f>
        <v>Manpower</v>
      </c>
      <c r="J1550" s="43" t="s">
        <v>143</v>
      </c>
      <c r="K1550" s="43" t="s">
        <v>26</v>
      </c>
      <c r="L1550" s="43" t="s">
        <v>144</v>
      </c>
      <c r="M1550" s="43" t="s">
        <v>24</v>
      </c>
      <c r="N1550" s="44">
        <v>10</v>
      </c>
      <c r="O1550" s="43" t="s">
        <v>40</v>
      </c>
      <c r="P1550" s="43" t="s">
        <v>42</v>
      </c>
      <c r="Q1550" s="43" t="s">
        <v>42</v>
      </c>
      <c r="R1550" s="43" t="s">
        <v>305</v>
      </c>
      <c r="S1550" s="43"/>
    </row>
    <row r="1551" spans="1:19" s="45" customFormat="1" ht="14.4" hidden="1">
      <c r="A1551" s="25">
        <f>IF(C1551="","",MAX($A$1:A1550)+1)</f>
        <v>1462</v>
      </c>
      <c r="B1551" s="25" t="s">
        <v>141</v>
      </c>
      <c r="C1551" s="41">
        <v>46093</v>
      </c>
      <c r="D1551" s="48" t="str">
        <f>_xlfn.XLOOKUP(Table134526_79101120212223242526[[#This Row],[Name Surname]],Manpower!$C$4:$C$1048576,Manpower!$B$4:$B$1048576,"")</f>
        <v>Encogroup</v>
      </c>
      <c r="E1551" s="43" t="s">
        <v>222</v>
      </c>
      <c r="F1551" s="12">
        <f>_xlfn.XLOOKUP(Table134526_79101120212223242526[[#This Row],[Name Surname]],Manpower!C:C,Manpower!D:D,)</f>
        <v>122082863</v>
      </c>
      <c r="G1551" s="48" t="str">
        <f>_xlfn.XLOOKUP(Table134526_79101120212223242526[[#This Row],[Name Surname]],Manpower!$C$4:$C$1048576,Manpower!$F$4:$F$1048576,"")</f>
        <v>Grinder</v>
      </c>
      <c r="H1551" s="48" t="str">
        <f>_xlfn.XLOOKUP(Table134526_79101120212223242526[[#This Row],[Name Surname]],Manpower!$C$4:$C$1048576,Manpower!$H$4:$H$1048576,"")</f>
        <v>Manpower</v>
      </c>
      <c r="I1551" s="48" t="str">
        <f>_xlfn.XLOOKUP(Table134526_79101120212223242526[[#This Row],[Name Surname]],Manpower!$C$4:$C$1048576,Manpower!$H$4:$H$1048576,"")</f>
        <v>Manpower</v>
      </c>
      <c r="J1551" s="43" t="s">
        <v>143</v>
      </c>
      <c r="K1551" s="43" t="s">
        <v>26</v>
      </c>
      <c r="L1551" s="43" t="s">
        <v>144</v>
      </c>
      <c r="M1551" s="43" t="s">
        <v>24</v>
      </c>
      <c r="N1551" s="44">
        <v>10</v>
      </c>
      <c r="O1551" s="43" t="s">
        <v>40</v>
      </c>
      <c r="P1551" s="43" t="s">
        <v>42</v>
      </c>
      <c r="Q1551" s="43" t="s">
        <v>42</v>
      </c>
      <c r="R1551" s="43" t="s">
        <v>305</v>
      </c>
      <c r="S1551" s="43" t="s">
        <v>245</v>
      </c>
    </row>
    <row r="1552" spans="1:19" s="45" customFormat="1" ht="14.4" hidden="1">
      <c r="A1552" s="25">
        <f>IF(C1552="","",MAX($A$1:A1551)+1)</f>
        <v>1463</v>
      </c>
      <c r="B1552" s="25" t="s">
        <v>141</v>
      </c>
      <c r="C1552" s="41">
        <v>46093</v>
      </c>
      <c r="D1552" s="48" t="str">
        <f>_xlfn.XLOOKUP(Table134526_79101120212223242526[[#This Row],[Name Surname]],Manpower!$C$4:$C$1048576,Manpower!$B$4:$B$1048576,"")</f>
        <v>Encogroup</v>
      </c>
      <c r="E1552" s="43" t="s">
        <v>223</v>
      </c>
      <c r="F1552" s="12">
        <f>_xlfn.XLOOKUP(Table134526_79101120212223242526[[#This Row],[Name Surname]],Manpower!C:C,Manpower!D:D,)</f>
        <v>140696989</v>
      </c>
      <c r="G1552" s="48" t="str">
        <f>_xlfn.XLOOKUP(Table134526_79101120212223242526[[#This Row],[Name Surname]],Manpower!$C$4:$C$1048576,Manpower!$F$4:$F$1048576,"")</f>
        <v>Assistant/Helper</v>
      </c>
      <c r="H1552" s="48" t="str">
        <f>_xlfn.XLOOKUP(Table134526_79101120212223242526[[#This Row],[Name Surname]],Manpower!$C$4:$C$1048576,Manpower!$H$4:$H$1048576,"")</f>
        <v>Manpower</v>
      </c>
      <c r="I1552" s="48" t="str">
        <f>_xlfn.XLOOKUP(Table134526_79101120212223242526[[#This Row],[Name Surname]],Manpower!$C$4:$C$1048576,Manpower!$H$4:$H$1048576,"")</f>
        <v>Manpower</v>
      </c>
      <c r="J1552" s="43" t="s">
        <v>158</v>
      </c>
      <c r="K1552" s="43" t="s">
        <v>26</v>
      </c>
      <c r="L1552" s="43" t="s">
        <v>26</v>
      </c>
      <c r="M1552" s="43" t="s">
        <v>24</v>
      </c>
      <c r="N1552" s="44">
        <v>10</v>
      </c>
      <c r="O1552" s="43" t="s">
        <v>159</v>
      </c>
      <c r="P1552" s="43" t="s">
        <v>160</v>
      </c>
      <c r="Q1552" s="43" t="s">
        <v>160</v>
      </c>
      <c r="R1552" s="43" t="s">
        <v>161</v>
      </c>
      <c r="S1552" s="43"/>
    </row>
    <row r="1553" spans="1:19" s="45" customFormat="1" ht="14.4" hidden="1">
      <c r="A1553" s="25">
        <f>IF(C1553="","",MAX($A$1:A1552)+1)</f>
        <v>1464</v>
      </c>
      <c r="B1553" s="25" t="s">
        <v>141</v>
      </c>
      <c r="C1553" s="41">
        <v>46093</v>
      </c>
      <c r="D1553" s="48" t="str">
        <f>_xlfn.XLOOKUP(Table134526_79101120212223242526[[#This Row],[Name Surname]],Manpower!$C$4:$C$1048576,Manpower!$B$4:$B$1048576,"")</f>
        <v>Encogroup</v>
      </c>
      <c r="E1553" s="43" t="s">
        <v>209</v>
      </c>
      <c r="F1553" s="12">
        <f>_xlfn.XLOOKUP(Table134526_79101120212223242526[[#This Row],[Name Surname]],Manpower!C:C,Manpower!D:D,)</f>
        <v>141365164</v>
      </c>
      <c r="G1553" s="48" t="str">
        <f>_xlfn.XLOOKUP(Table134526_79101120212223242526[[#This Row],[Name Surname]],Manpower!$C$4:$C$1048576,Manpower!$F$4:$F$1048576,"")</f>
        <v>Helper</v>
      </c>
      <c r="H1553" s="48" t="str">
        <f>_xlfn.XLOOKUP(Table134526_79101120212223242526[[#This Row],[Name Surname]],Manpower!$C$4:$C$1048576,Manpower!$H$4:$H$1048576,"")</f>
        <v>Manpower</v>
      </c>
      <c r="I1553" s="48" t="str">
        <f>_xlfn.XLOOKUP(Table134526_79101120212223242526[[#This Row],[Name Surname]],Manpower!$C$4:$C$1048576,Manpower!$H$4:$H$1048576,"")</f>
        <v>Manpower</v>
      </c>
      <c r="J1553" s="43" t="s">
        <v>143</v>
      </c>
      <c r="K1553" s="43" t="s">
        <v>26</v>
      </c>
      <c r="L1553" s="43" t="s">
        <v>144</v>
      </c>
      <c r="M1553" s="43" t="s">
        <v>24</v>
      </c>
      <c r="N1553" s="44">
        <v>10</v>
      </c>
      <c r="O1553" s="43" t="s">
        <v>40</v>
      </c>
      <c r="P1553" s="43" t="s">
        <v>42</v>
      </c>
      <c r="Q1553" s="43" t="s">
        <v>42</v>
      </c>
      <c r="R1553" s="43" t="s">
        <v>305</v>
      </c>
      <c r="S1553" s="43"/>
    </row>
    <row r="1554" spans="1:19" ht="14.4" hidden="1">
      <c r="A1554" s="33">
        <f>IF(C1554="","",MAX($A$1:A1553)+1)</f>
        <v>1465</v>
      </c>
      <c r="B1554" s="27" t="s">
        <v>141</v>
      </c>
      <c r="C1554" s="23">
        <v>46093</v>
      </c>
      <c r="D1554" s="28" t="str">
        <f>_xlfn.XLOOKUP(Table134526_79101120212223242526[[#This Row],[Name Surname]],Manpower!$C$4:$C$1048576,Manpower!$B$4:$B$1048576,"")</f>
        <v>Encogroup</v>
      </c>
      <c r="E1554" s="21" t="s">
        <v>264</v>
      </c>
      <c r="F1554" s="12">
        <f>_xlfn.XLOOKUP(Table134526_79101120212223242526[[#This Row],[Name Surname]],Manpower!C:C,Manpower!D:D,)</f>
        <v>141365061</v>
      </c>
      <c r="G1554" s="28" t="str">
        <f>_xlfn.XLOOKUP(Table134526_79101120212223242526[[#This Row],[Name Surname]],Manpower!$C$4:$C$1048576,Manpower!$F$4:$F$1048576,"")</f>
        <v>Helper</v>
      </c>
      <c r="H1554" s="28" t="str">
        <f>_xlfn.XLOOKUP(Table134526_79101120212223242526[[#This Row],[Name Surname]],Manpower!$C$4:$C$1048576,Manpower!$H$4:$H$1048576,"")</f>
        <v>Manpower</v>
      </c>
      <c r="I1554" s="28" t="str">
        <f>_xlfn.XLOOKUP(Table134526_79101120212223242526[[#This Row],[Name Surname]],Manpower!$C$4:$C$1048576,Manpower!$H$4:$H$1048576,"")</f>
        <v>Manpower</v>
      </c>
      <c r="J1554" s="21" t="s">
        <v>143</v>
      </c>
      <c r="K1554" s="21" t="s">
        <v>26</v>
      </c>
      <c r="L1554" s="21" t="s">
        <v>144</v>
      </c>
      <c r="M1554" s="21" t="s">
        <v>24</v>
      </c>
      <c r="N1554" s="29">
        <v>10</v>
      </c>
      <c r="O1554" s="21" t="s">
        <v>40</v>
      </c>
      <c r="P1554" s="21" t="s">
        <v>42</v>
      </c>
      <c r="Q1554" s="21" t="s">
        <v>42</v>
      </c>
      <c r="R1554" s="21" t="s">
        <v>305</v>
      </c>
    </row>
    <row r="1555" spans="1:19" s="45" customFormat="1" ht="14.4" hidden="1">
      <c r="A1555" s="25">
        <f>IF(C1555="","",MAX($A$1:A1554)+1)</f>
        <v>1466</v>
      </c>
      <c r="B1555" s="25" t="s">
        <v>141</v>
      </c>
      <c r="C1555" s="41">
        <v>46093</v>
      </c>
      <c r="D1555" s="48" t="str">
        <f>_xlfn.XLOOKUP(Table134526_79101120212223242526[[#This Row],[Name Surname]],Manpower!$C$4:$C$1048576,Manpower!$B$4:$B$1048576,"")</f>
        <v>Encogroup</v>
      </c>
      <c r="E1555" s="43" t="s">
        <v>224</v>
      </c>
      <c r="F1555" s="12">
        <f>_xlfn.XLOOKUP(Table134526_79101120212223242526[[#This Row],[Name Surname]],Manpower!C:C,Manpower!D:D,)</f>
        <v>141365094</v>
      </c>
      <c r="G1555" s="48" t="str">
        <f>_xlfn.XLOOKUP(Table134526_79101120212223242526[[#This Row],[Name Surname]],Manpower!$C$4:$C$1048576,Manpower!$F$4:$F$1048576,"")</f>
        <v>Helper</v>
      </c>
      <c r="H1555" s="48" t="str">
        <f>_xlfn.XLOOKUP(Table134526_79101120212223242526[[#This Row],[Name Surname]],Manpower!$C$4:$C$1048576,Manpower!$H$4:$H$1048576,"")</f>
        <v>Manpower</v>
      </c>
      <c r="I1555" s="48" t="str">
        <f>_xlfn.XLOOKUP(Table134526_79101120212223242526[[#This Row],[Name Surname]],Manpower!$C$4:$C$1048576,Manpower!$H$4:$H$1048576,"")</f>
        <v>Manpower</v>
      </c>
      <c r="J1555" s="43" t="s">
        <v>143</v>
      </c>
      <c r="K1555" s="43" t="s">
        <v>26</v>
      </c>
      <c r="L1555" s="43" t="s">
        <v>144</v>
      </c>
      <c r="M1555" s="43" t="s">
        <v>24</v>
      </c>
      <c r="N1555" s="44">
        <v>10</v>
      </c>
      <c r="O1555" s="43" t="s">
        <v>40</v>
      </c>
      <c r="P1555" s="43" t="s">
        <v>42</v>
      </c>
      <c r="Q1555" s="43" t="s">
        <v>42</v>
      </c>
      <c r="R1555" s="43" t="s">
        <v>305</v>
      </c>
      <c r="S1555" s="43"/>
    </row>
    <row r="1556" spans="1:19" s="45" customFormat="1" ht="14.4" hidden="1">
      <c r="A1556" s="25">
        <f>IF(C1556="","",MAX($A$1:A1555)+1)</f>
        <v>1467</v>
      </c>
      <c r="B1556" s="25" t="s">
        <v>141</v>
      </c>
      <c r="C1556" s="41">
        <v>46093</v>
      </c>
      <c r="D1556" s="48" t="str">
        <f>_xlfn.XLOOKUP(Table134526_79101120212223242526[[#This Row],[Name Surname]],Manpower!$C$4:$C$1048576,Manpower!$B$4:$B$1048576,"")</f>
        <v xml:space="preserve">FAL Transport </v>
      </c>
      <c r="E1556" s="43" t="s">
        <v>225</v>
      </c>
      <c r="F1556" s="12">
        <f>_xlfn.XLOOKUP(Table134526_79101120212223242526[[#This Row],[Name Surname]],Manpower!C:C,Manpower!D:D,)</f>
        <v>124233837</v>
      </c>
      <c r="G1556" s="48" t="str">
        <f>_xlfn.XLOOKUP(Table134526_79101120212223242526[[#This Row],[Name Surname]],Manpower!$C$4:$C$1048576,Manpower!$F$4:$F$1048576,"")</f>
        <v>Trailer Driver</v>
      </c>
      <c r="H1556" s="48" t="str">
        <f>_xlfn.XLOOKUP(Table134526_79101120212223242526[[#This Row],[Name Surname]],Manpower!$C$4:$C$1048576,Manpower!$H$4:$H$1048576,"")</f>
        <v>Sub Contactor</v>
      </c>
      <c r="I1556" s="48" t="str">
        <f>_xlfn.XLOOKUP(Table134526_79101120212223242526[[#This Row],[Name Surname]],Manpower!$C$4:$C$1048576,Manpower!$H$4:$H$1048576,"")</f>
        <v>Sub Contactor</v>
      </c>
      <c r="J1556" s="43" t="s">
        <v>143</v>
      </c>
      <c r="K1556" s="43" t="s">
        <v>26</v>
      </c>
      <c r="L1556" s="43" t="s">
        <v>144</v>
      </c>
      <c r="M1556" s="43" t="s">
        <v>24</v>
      </c>
      <c r="N1556" s="44">
        <v>8</v>
      </c>
      <c r="O1556" s="43" t="s">
        <v>40</v>
      </c>
      <c r="P1556" s="43" t="s">
        <v>42</v>
      </c>
      <c r="Q1556" s="43" t="s">
        <v>42</v>
      </c>
      <c r="R1556" s="43" t="s">
        <v>226</v>
      </c>
      <c r="S1556" s="43" t="s">
        <v>245</v>
      </c>
    </row>
    <row r="1557" spans="1:19" ht="14.4">
      <c r="A1557" s="33">
        <f>IF(C1557="","",MAX($A$1:A1556)+1)</f>
        <v>1468</v>
      </c>
      <c r="B1557" s="22" t="s">
        <v>19</v>
      </c>
      <c r="C1557" s="23">
        <v>46095</v>
      </c>
      <c r="D1557" s="28" t="str">
        <f>_xlfn.XLOOKUP(Table134526_79101120212223242526[[#This Row],[Name Surname]],Manpower!$C$4:$C$1048576,Manpower!$B$4:$B$1048576,"")</f>
        <v>Nass Group</v>
      </c>
      <c r="E1557" s="21" t="s">
        <v>148</v>
      </c>
      <c r="F1557" s="12" t="e">
        <f>_xlfn.XLOOKUP(Table134526_79101120212223242526[[#This Row],[Name Surname]],Manpower!C:C,Manpower!D:D,)</f>
        <v>#N/A</v>
      </c>
      <c r="G1557" s="28" t="str">
        <f>_xlfn.XLOOKUP(Table134526_79101120212223242526[[#This Row],[Name Surname]],Manpower!$C$4:$C$1048576,Manpower!$F$4:$F$1048576,"")</f>
        <v>70T-Telescopic crane</v>
      </c>
      <c r="H1557" s="28" t="str">
        <f>_xlfn.XLOOKUP(Table134526_79101120212223242526[[#This Row],[Name Surname]],Manpower!$C$4:$C$1048576,Manpower!$H$4:$H$1048576,"")</f>
        <v>Equipment</v>
      </c>
      <c r="I1557" s="28" t="str">
        <f>_xlfn.XLOOKUP(Table134526_79101120212223242526[[#This Row],[Name Surname]],Manpower!$C$4:$C$1048576,Manpower!$H$4:$H$1048576,"")</f>
        <v>Equipment</v>
      </c>
      <c r="J1557" s="21" t="s">
        <v>21</v>
      </c>
      <c r="K1557" s="21" t="s">
        <v>231</v>
      </c>
      <c r="L1557" s="21" t="s">
        <v>49</v>
      </c>
      <c r="M1557" s="21" t="s">
        <v>55</v>
      </c>
      <c r="N1557" s="29">
        <v>10</v>
      </c>
      <c r="R1557" s="21" t="s">
        <v>308</v>
      </c>
    </row>
    <row r="1558" spans="1:19" ht="14.4">
      <c r="A1558" s="33">
        <f>IF(C1558="","",MAX($A$1:A1557)+1)</f>
        <v>1469</v>
      </c>
      <c r="B1558" s="22" t="s">
        <v>19</v>
      </c>
      <c r="C1558" s="23">
        <v>46095</v>
      </c>
      <c r="D1558" s="28" t="str">
        <f>_xlfn.XLOOKUP(Table134526_79101120212223242526[[#This Row],[Name Surname]],Manpower!$C$4:$C$1048576,Manpower!$B$4:$B$1048576,"")</f>
        <v>Encogroup</v>
      </c>
      <c r="E1558" s="21" t="s">
        <v>53</v>
      </c>
      <c r="F1558" s="12" t="e">
        <f>_xlfn.XLOOKUP(Table134526_79101120212223242526[[#This Row],[Name Surname]],Manpower!C:C,Manpower!D:D,)</f>
        <v>#N/A</v>
      </c>
      <c r="G1558" s="28" t="str">
        <f>_xlfn.XLOOKUP(Table134526_79101120212223242526[[#This Row],[Name Surname]],Manpower!$C$4:$C$1048576,Manpower!$F$4:$F$1048576,"")</f>
        <v>22M-Manlift</v>
      </c>
      <c r="H1558" s="28" t="str">
        <f>_xlfn.XLOOKUP(Table134526_79101120212223242526[[#This Row],[Name Surname]],Manpower!$C$4:$C$1048576,Manpower!$H$4:$H$1048576,"")</f>
        <v>Equipment</v>
      </c>
      <c r="I1558" s="28" t="str">
        <f>_xlfn.XLOOKUP(Table134526_79101120212223242526[[#This Row],[Name Surname]],Manpower!$C$4:$C$1048576,Manpower!$H$4:$H$1048576,"")</f>
        <v>Equipment</v>
      </c>
      <c r="J1558" s="21" t="s">
        <v>21</v>
      </c>
      <c r="K1558" s="21" t="s">
        <v>295</v>
      </c>
      <c r="L1558" s="21" t="s">
        <v>23</v>
      </c>
      <c r="M1558" s="21" t="s">
        <v>55</v>
      </c>
      <c r="N1558" s="29">
        <v>10</v>
      </c>
      <c r="R1558" s="21" t="s">
        <v>308</v>
      </c>
    </row>
    <row r="1559" spans="1:19" ht="14.4" hidden="1">
      <c r="A1559" s="33">
        <f>IF(C1559="","",MAX($A$1:A1558)+1)</f>
        <v>1470</v>
      </c>
      <c r="B1559" s="22" t="s">
        <v>19</v>
      </c>
      <c r="C1559" s="23">
        <v>46095</v>
      </c>
      <c r="D1559" s="28" t="str">
        <f>_xlfn.XLOOKUP(Table134526_79101120212223242526[[#This Row],[Name Surname]],Manpower!$C$4:$C$1048576,Manpower!$B$4:$B$1048576,"")</f>
        <v>Encogroup</v>
      </c>
      <c r="E1559" s="21" t="s">
        <v>218</v>
      </c>
      <c r="F1559" s="12">
        <f>_xlfn.XLOOKUP(Table134526_79101120212223242526[[#This Row],[Name Surname]],Manpower!C:C,Manpower!D:D,)</f>
        <v>116853914</v>
      </c>
      <c r="G1559" s="28" t="str">
        <f>_xlfn.XLOOKUP(Table134526_79101120212223242526[[#This Row],[Name Surname]],Manpower!$C$4:$C$1048576,Manpower!$F$4:$F$1048576,"")</f>
        <v>Electrical Supervisor</v>
      </c>
      <c r="H1559" s="28" t="str">
        <f>_xlfn.XLOOKUP(Table134526_79101120212223242526[[#This Row],[Name Surname]],Manpower!$C$4:$C$1048576,Manpower!$H$4:$H$1048576,"")</f>
        <v>Manpower</v>
      </c>
      <c r="I1559" s="28" t="str">
        <f>_xlfn.XLOOKUP(Table134526_79101120212223242526[[#This Row],[Name Surname]],Manpower!$C$4:$C$1048576,Manpower!$H$4:$H$1048576,"")</f>
        <v>Manpower</v>
      </c>
      <c r="J1559" s="21" t="s">
        <v>21</v>
      </c>
      <c r="K1559" s="21" t="s">
        <v>295</v>
      </c>
      <c r="L1559" s="21" t="s">
        <v>23</v>
      </c>
      <c r="M1559" s="21" t="s">
        <v>55</v>
      </c>
      <c r="N1559" s="29">
        <v>10</v>
      </c>
      <c r="R1559" s="21" t="s">
        <v>308</v>
      </c>
    </row>
    <row r="1560" spans="1:19" ht="14.4" hidden="1">
      <c r="A1560" s="33">
        <f>IF(C1560="","",MAX($A$1:A1559)+1)</f>
        <v>1471</v>
      </c>
      <c r="B1560" s="22" t="s">
        <v>19</v>
      </c>
      <c r="C1560" s="23">
        <v>46095</v>
      </c>
      <c r="D1560" s="28" t="str">
        <f>_xlfn.XLOOKUP(Table134526_79101120212223242526[[#This Row],[Name Surname]],Manpower!$C$4:$C$1048576,Manpower!$B$4:$B$1048576,"")</f>
        <v>Encogroup</v>
      </c>
      <c r="E1560" s="21" t="s">
        <v>27</v>
      </c>
      <c r="F1560" s="12">
        <f>_xlfn.XLOOKUP(Table134526_79101120212223242526[[#This Row],[Name Surname]],Manpower!C:C,Manpower!D:D,)</f>
        <v>127414586</v>
      </c>
      <c r="G1560" s="28" t="str">
        <f>_xlfn.XLOOKUP(Table134526_79101120212223242526[[#This Row],[Name Surname]],Manpower!$C$4:$C$1048576,Manpower!$F$4:$F$1048576,"")</f>
        <v>Electrician</v>
      </c>
      <c r="H1560" s="28" t="str">
        <f>_xlfn.XLOOKUP(Table134526_79101120212223242526[[#This Row],[Name Surname]],Manpower!$C$4:$C$1048576,Manpower!$H$4:$H$1048576,"")</f>
        <v>Manpower</v>
      </c>
      <c r="I1560" s="28" t="str">
        <f>_xlfn.XLOOKUP(Table134526_79101120212223242526[[#This Row],[Name Surname]],Manpower!$C$4:$C$1048576,Manpower!$H$4:$H$1048576,"")</f>
        <v>Manpower</v>
      </c>
      <c r="J1560" s="21" t="s">
        <v>21</v>
      </c>
      <c r="K1560" s="21" t="s">
        <v>295</v>
      </c>
      <c r="L1560" s="21" t="s">
        <v>23</v>
      </c>
      <c r="M1560" s="21" t="s">
        <v>55</v>
      </c>
      <c r="N1560" s="29">
        <v>10</v>
      </c>
      <c r="R1560" s="21" t="s">
        <v>308</v>
      </c>
    </row>
    <row r="1561" spans="1:19" ht="14.4" hidden="1">
      <c r="A1561" s="33">
        <f>IF(C1561="","",MAX($A$1:A1560)+1)</f>
        <v>1472</v>
      </c>
      <c r="B1561" s="22" t="s">
        <v>19</v>
      </c>
      <c r="C1561" s="23">
        <v>46095</v>
      </c>
      <c r="D1561" s="28" t="str">
        <f>_xlfn.XLOOKUP(Table134526_79101120212223242526[[#This Row],[Name Surname]],Manpower!$C$4:$C$1048576,Manpower!$B$4:$B$1048576,"")</f>
        <v>Encogroup</v>
      </c>
      <c r="E1561" s="21" t="s">
        <v>29</v>
      </c>
      <c r="F1561" s="12">
        <f>_xlfn.XLOOKUP(Table134526_79101120212223242526[[#This Row],[Name Surname]],Manpower!C:C,Manpower!D:D,)</f>
        <v>127331574</v>
      </c>
      <c r="G1561" s="28" t="str">
        <f>_xlfn.XLOOKUP(Table134526_79101120212223242526[[#This Row],[Name Surname]],Manpower!$C$4:$C$1048576,Manpower!$F$4:$F$1048576,"")</f>
        <v>Permit Receiver</v>
      </c>
      <c r="H1561" s="28" t="str">
        <f>_xlfn.XLOOKUP(Table134526_79101120212223242526[[#This Row],[Name Surname]],Manpower!$C$4:$C$1048576,Manpower!$H$4:$H$1048576,"")</f>
        <v>Manpower</v>
      </c>
      <c r="I1561" s="28" t="str">
        <f>_xlfn.XLOOKUP(Table134526_79101120212223242526[[#This Row],[Name Surname]],Manpower!$C$4:$C$1048576,Manpower!$H$4:$H$1048576,"")</f>
        <v>Manpower</v>
      </c>
      <c r="J1561" s="21" t="s">
        <v>21</v>
      </c>
      <c r="K1561" s="21" t="s">
        <v>231</v>
      </c>
      <c r="L1561" s="21" t="s">
        <v>49</v>
      </c>
      <c r="M1561" s="21" t="s">
        <v>55</v>
      </c>
      <c r="N1561" s="29">
        <v>10</v>
      </c>
      <c r="R1561" s="21" t="s">
        <v>308</v>
      </c>
    </row>
    <row r="1562" spans="1:19" ht="14.4" hidden="1">
      <c r="A1562" s="33">
        <f>IF(C1562="","",MAX($A$1:A1561)+1)</f>
        <v>1473</v>
      </c>
      <c r="B1562" s="22" t="s">
        <v>19</v>
      </c>
      <c r="C1562" s="23">
        <v>46095</v>
      </c>
      <c r="D1562" s="28" t="str">
        <f>_xlfn.XLOOKUP(Table134526_79101120212223242526[[#This Row],[Name Surname]],Manpower!$C$4:$C$1048576,Manpower!$B$4:$B$1048576,"")</f>
        <v>Encogroup</v>
      </c>
      <c r="E1562" s="21" t="s">
        <v>30</v>
      </c>
      <c r="F1562" s="12">
        <f>_xlfn.XLOOKUP(Table134526_79101120212223242526[[#This Row],[Name Surname]],Manpower!C:C,Manpower!D:D,)</f>
        <v>116589569</v>
      </c>
      <c r="G1562" s="28" t="str">
        <f>_xlfn.XLOOKUP(Table134526_79101120212223242526[[#This Row],[Name Surname]],Manpower!$C$4:$C$1048576,Manpower!$F$4:$F$1048576,"")</f>
        <v>Mechanical Engineer</v>
      </c>
      <c r="H1562" s="28" t="str">
        <f>_xlfn.XLOOKUP(Table134526_79101120212223242526[[#This Row],[Name Surname]],Manpower!$C$4:$C$1048576,Manpower!$H$4:$H$1048576,"")</f>
        <v>Manpower</v>
      </c>
      <c r="I1562" s="28" t="str">
        <f>_xlfn.XLOOKUP(Table134526_79101120212223242526[[#This Row],[Name Surname]],Manpower!$C$4:$C$1048576,Manpower!$H$4:$H$1048576,"")</f>
        <v>Manpower</v>
      </c>
      <c r="J1562" s="21" t="s">
        <v>21</v>
      </c>
      <c r="K1562" s="21" t="s">
        <v>231</v>
      </c>
      <c r="L1562" s="21" t="s">
        <v>49</v>
      </c>
      <c r="M1562" s="21" t="s">
        <v>55</v>
      </c>
      <c r="N1562" s="29">
        <v>10</v>
      </c>
      <c r="R1562" s="21" t="s">
        <v>308</v>
      </c>
    </row>
    <row r="1563" spans="1:19" ht="14.4" hidden="1">
      <c r="A1563" s="33">
        <f>IF(C1563="","",MAX($A$1:A1562)+1)</f>
        <v>1474</v>
      </c>
      <c r="B1563" s="22" t="s">
        <v>19</v>
      </c>
      <c r="C1563" s="23">
        <v>46095</v>
      </c>
      <c r="D1563" s="28" t="str">
        <f>_xlfn.XLOOKUP(Table134526_79101120212223242526[[#This Row],[Name Surname]],Manpower!$C$4:$C$1048576,Manpower!$B$4:$B$1048576,"")</f>
        <v>Encogroup</v>
      </c>
      <c r="E1563" s="21" t="s">
        <v>31</v>
      </c>
      <c r="F1563" s="12">
        <f>_xlfn.XLOOKUP(Table134526_79101120212223242526[[#This Row],[Name Surname]],Manpower!C:C,Manpower!D:D,)</f>
        <v>99596058</v>
      </c>
      <c r="G1563" s="28" t="str">
        <f>_xlfn.XLOOKUP(Table134526_79101120212223242526[[#This Row],[Name Surname]],Manpower!$C$4:$C$1048576,Manpower!$F$4:$F$1048576,"")</f>
        <v>HSE Officer</v>
      </c>
      <c r="H1563" s="28" t="str">
        <f>_xlfn.XLOOKUP(Table134526_79101120212223242526[[#This Row],[Name Surname]],Manpower!$C$4:$C$1048576,Manpower!$H$4:$H$1048576,"")</f>
        <v>Manpower</v>
      </c>
      <c r="I1563" s="28" t="str">
        <f>_xlfn.XLOOKUP(Table134526_79101120212223242526[[#This Row],[Name Surname]],Manpower!$C$4:$C$1048576,Manpower!$H$4:$H$1048576,"")</f>
        <v>Manpower</v>
      </c>
      <c r="J1563" s="21" t="s">
        <v>21</v>
      </c>
      <c r="K1563" s="21" t="s">
        <v>231</v>
      </c>
      <c r="L1563" s="21" t="s">
        <v>49</v>
      </c>
      <c r="M1563" s="21" t="s">
        <v>55</v>
      </c>
      <c r="N1563" s="29">
        <v>10</v>
      </c>
      <c r="R1563" s="21" t="s">
        <v>308</v>
      </c>
    </row>
    <row r="1564" spans="1:19" ht="14.4" hidden="1">
      <c r="A1564" s="33">
        <f>IF(C1564="","",MAX($A$1:A1563)+1)</f>
        <v>1475</v>
      </c>
      <c r="B1564" s="22" t="s">
        <v>19</v>
      </c>
      <c r="C1564" s="23">
        <v>46095</v>
      </c>
      <c r="D1564" s="28" t="str">
        <f>_xlfn.XLOOKUP(Table134526_79101120212223242526[[#This Row],[Name Surname]],Manpower!$C$4:$C$1048576,Manpower!$B$4:$B$1048576,"")</f>
        <v>Encogroup</v>
      </c>
      <c r="E1564" s="21" t="s">
        <v>72</v>
      </c>
      <c r="F1564" s="12">
        <f>_xlfn.XLOOKUP(Table134526_79101120212223242526[[#This Row],[Name Surname]],Manpower!C:C,Manpower!D:D,)</f>
        <v>140764706</v>
      </c>
      <c r="G1564" s="28" t="str">
        <f>_xlfn.XLOOKUP(Table134526_79101120212223242526[[#This Row],[Name Surname]],Manpower!$C$4:$C$1048576,Manpower!$F$4:$F$1048576,"")</f>
        <v>Rigger</v>
      </c>
      <c r="H1564" s="28" t="str">
        <f>_xlfn.XLOOKUP(Table134526_79101120212223242526[[#This Row],[Name Surname]],Manpower!$C$4:$C$1048576,Manpower!$H$4:$H$1048576,"")</f>
        <v>Manpower</v>
      </c>
      <c r="I1564" s="28" t="str">
        <f>_xlfn.XLOOKUP(Table134526_79101120212223242526[[#This Row],[Name Surname]],Manpower!$C$4:$C$1048576,Manpower!$H$4:$H$1048576,"")</f>
        <v>Manpower</v>
      </c>
      <c r="J1564" s="21" t="s">
        <v>21</v>
      </c>
      <c r="K1564" s="21" t="s">
        <v>231</v>
      </c>
      <c r="L1564" s="21" t="s">
        <v>49</v>
      </c>
      <c r="M1564" s="21" t="s">
        <v>55</v>
      </c>
      <c r="N1564" s="29">
        <v>10</v>
      </c>
      <c r="R1564" s="21" t="s">
        <v>308</v>
      </c>
    </row>
    <row r="1565" spans="1:19" ht="14.4" hidden="1">
      <c r="A1565" s="33">
        <f>IF(C1565="","",MAX($A$1:A1564)+1)</f>
        <v>1476</v>
      </c>
      <c r="B1565" s="22" t="s">
        <v>19</v>
      </c>
      <c r="C1565" s="23">
        <v>46095</v>
      </c>
      <c r="D1565" s="28" t="str">
        <f>_xlfn.XLOOKUP(Table134526_79101120212223242526[[#This Row],[Name Surname]],Manpower!$C$4:$C$1048576,Manpower!$B$4:$B$1048576,"")</f>
        <v>Encogroup</v>
      </c>
      <c r="E1565" s="21" t="s">
        <v>67</v>
      </c>
      <c r="F1565" s="12">
        <f>_xlfn.XLOOKUP(Table134526_79101120212223242526[[#This Row],[Name Surname]],Manpower!C:C,Manpower!D:D,)</f>
        <v>122082769</v>
      </c>
      <c r="G1565" s="28" t="str">
        <f>_xlfn.XLOOKUP(Table134526_79101120212223242526[[#This Row],[Name Surname]],Manpower!$C$4:$C$1048576,Manpower!$F$4:$F$1048576,"")</f>
        <v>Grinder</v>
      </c>
      <c r="H1565" s="28" t="str">
        <f>_xlfn.XLOOKUP(Table134526_79101120212223242526[[#This Row],[Name Surname]],Manpower!$C$4:$C$1048576,Manpower!$H$4:$H$1048576,"")</f>
        <v>Manpower</v>
      </c>
      <c r="I1565" s="28" t="str">
        <f>_xlfn.XLOOKUP(Table134526_79101120212223242526[[#This Row],[Name Surname]],Manpower!$C$4:$C$1048576,Manpower!$H$4:$H$1048576,"")</f>
        <v>Manpower</v>
      </c>
      <c r="J1565" s="21" t="s">
        <v>21</v>
      </c>
      <c r="K1565" s="21" t="s">
        <v>231</v>
      </c>
      <c r="L1565" s="21" t="s">
        <v>49</v>
      </c>
      <c r="M1565" s="21" t="s">
        <v>55</v>
      </c>
      <c r="N1565" s="29">
        <v>10</v>
      </c>
      <c r="R1565" s="21" t="s">
        <v>308</v>
      </c>
    </row>
    <row r="1566" spans="1:19" ht="14.4" hidden="1">
      <c r="A1566" s="33">
        <f>IF(C1566="","",MAX($A$1:A1565)+1)</f>
        <v>1477</v>
      </c>
      <c r="B1566" s="22" t="s">
        <v>19</v>
      </c>
      <c r="C1566" s="23">
        <v>46095</v>
      </c>
      <c r="D1566" s="28" t="str">
        <f>_xlfn.XLOOKUP(Table134526_79101120212223242526[[#This Row],[Name Surname]],Manpower!$C$4:$C$1048576,Manpower!$B$4:$B$1048576,"")</f>
        <v>Encogroup</v>
      </c>
      <c r="E1566" s="21" t="s">
        <v>59</v>
      </c>
      <c r="F1566" s="12">
        <f>_xlfn.XLOOKUP(Table134526_79101120212223242526[[#This Row],[Name Surname]],Manpower!C:C,Manpower!D:D,)</f>
        <v>141169085</v>
      </c>
      <c r="G1566" s="28" t="str">
        <f>_xlfn.XLOOKUP(Table134526_79101120212223242526[[#This Row],[Name Surname]],Manpower!$C$4:$C$1048576,Manpower!$F$4:$F$1048576,"")</f>
        <v>Welder</v>
      </c>
      <c r="H1566" s="28" t="str">
        <f>_xlfn.XLOOKUP(Table134526_79101120212223242526[[#This Row],[Name Surname]],Manpower!$C$4:$C$1048576,Manpower!$H$4:$H$1048576,"")</f>
        <v>Manpower</v>
      </c>
      <c r="I1566" s="28" t="str">
        <f>_xlfn.XLOOKUP(Table134526_79101120212223242526[[#This Row],[Name Surname]],Manpower!$C$4:$C$1048576,Manpower!$H$4:$H$1048576,"")</f>
        <v>Manpower</v>
      </c>
      <c r="J1566" s="21" t="s">
        <v>21</v>
      </c>
      <c r="K1566" s="21" t="s">
        <v>231</v>
      </c>
      <c r="L1566" s="21" t="s">
        <v>49</v>
      </c>
      <c r="M1566" s="21" t="s">
        <v>55</v>
      </c>
      <c r="N1566" s="29">
        <v>5</v>
      </c>
      <c r="R1566" s="21" t="s">
        <v>308</v>
      </c>
    </row>
    <row r="1567" spans="1:19" ht="14.4" hidden="1">
      <c r="A1567" s="33">
        <f>IF(C1567="","",MAX($A$1:A1566)+1)</f>
        <v>1478</v>
      </c>
      <c r="B1567" s="22" t="s">
        <v>19</v>
      </c>
      <c r="C1567" s="23">
        <v>46095</v>
      </c>
      <c r="D1567" s="28" t="str">
        <f>_xlfn.XLOOKUP(Table134526_79101120212223242526[[#This Row],[Name Surname]],Manpower!$C$4:$C$1048576,Manpower!$B$4:$B$1048576,"")</f>
        <v>Encogroup</v>
      </c>
      <c r="E1567" s="21" t="s">
        <v>61</v>
      </c>
      <c r="F1567" s="12">
        <f>_xlfn.XLOOKUP(Table134526_79101120212223242526[[#This Row],[Name Surname]],Manpower!C:C,Manpower!D:D,)</f>
        <v>141169047</v>
      </c>
      <c r="G1567" s="28" t="str">
        <f>_xlfn.XLOOKUP(Table134526_79101120212223242526[[#This Row],[Name Surname]],Manpower!$C$4:$C$1048576,Manpower!$F$4:$F$1048576,"")</f>
        <v>Welder</v>
      </c>
      <c r="H1567" s="28" t="str">
        <f>_xlfn.XLOOKUP(Table134526_79101120212223242526[[#This Row],[Name Surname]],Manpower!$C$4:$C$1048576,Manpower!$H$4:$H$1048576,"")</f>
        <v>Manpower</v>
      </c>
      <c r="I1567" s="28" t="str">
        <f>_xlfn.XLOOKUP(Table134526_79101120212223242526[[#This Row],[Name Surname]],Manpower!$C$4:$C$1048576,Manpower!$H$4:$H$1048576,"")</f>
        <v>Manpower</v>
      </c>
      <c r="J1567" s="21" t="s">
        <v>21</v>
      </c>
      <c r="K1567" s="21" t="s">
        <v>231</v>
      </c>
      <c r="L1567" s="21" t="s">
        <v>49</v>
      </c>
      <c r="M1567" s="21" t="s">
        <v>55</v>
      </c>
      <c r="N1567" s="29">
        <v>5</v>
      </c>
      <c r="R1567" s="21" t="s">
        <v>308</v>
      </c>
    </row>
    <row r="1568" spans="1:19" ht="14.4" hidden="1">
      <c r="A1568" s="33">
        <f>IF(C1568="","",MAX($A$1:A1567)+1)</f>
        <v>1479</v>
      </c>
      <c r="B1568" s="22" t="s">
        <v>19</v>
      </c>
      <c r="C1568" s="23">
        <v>46095</v>
      </c>
      <c r="D1568" s="28" t="str">
        <f>_xlfn.XLOOKUP(Table134526_79101120212223242526[[#This Row],[Name Surname]],Manpower!$C$4:$C$1048576,Manpower!$B$4:$B$1048576,"")</f>
        <v>Encogroup</v>
      </c>
      <c r="E1568" s="21" t="s">
        <v>32</v>
      </c>
      <c r="F1568" s="12">
        <f>_xlfn.XLOOKUP(Table134526_79101120212223242526[[#This Row],[Name Surname]],Manpower!C:C,Manpower!D:D,)</f>
        <v>140697039</v>
      </c>
      <c r="G1568" s="28" t="str">
        <f>_xlfn.XLOOKUP(Table134526_79101120212223242526[[#This Row],[Name Surname]],Manpower!$C$4:$C$1048576,Manpower!$F$4:$F$1048576,"")</f>
        <v>Fitter/Erector</v>
      </c>
      <c r="H1568" s="28" t="str">
        <f>_xlfn.XLOOKUP(Table134526_79101120212223242526[[#This Row],[Name Surname]],Manpower!$C$4:$C$1048576,Manpower!$H$4:$H$1048576,"")</f>
        <v>Manpower</v>
      </c>
      <c r="I1568" s="28" t="str">
        <f>_xlfn.XLOOKUP(Table134526_79101120212223242526[[#This Row],[Name Surname]],Manpower!$C$4:$C$1048576,Manpower!$H$4:$H$1048576,"")</f>
        <v>Manpower</v>
      </c>
      <c r="J1568" s="21" t="s">
        <v>21</v>
      </c>
      <c r="K1568" s="21" t="s">
        <v>231</v>
      </c>
      <c r="L1568" s="21" t="s">
        <v>49</v>
      </c>
      <c r="M1568" s="21" t="s">
        <v>55</v>
      </c>
      <c r="N1568" s="29">
        <v>10</v>
      </c>
      <c r="R1568" s="21" t="s">
        <v>308</v>
      </c>
    </row>
    <row r="1569" spans="1:23" ht="14.4" hidden="1">
      <c r="A1569" s="33">
        <f>IF(C1569="","",MAX($A$1:A1568)+1)</f>
        <v>1480</v>
      </c>
      <c r="B1569" s="22" t="s">
        <v>19</v>
      </c>
      <c r="C1569" s="23">
        <v>46095</v>
      </c>
      <c r="D1569" s="28" t="str">
        <f>_xlfn.XLOOKUP(Table134526_79101120212223242526[[#This Row],[Name Surname]],Manpower!$C$4:$C$1048576,Manpower!$B$4:$B$1048576,"")</f>
        <v>AL Omar International TRAD AND CONT</v>
      </c>
      <c r="E1569" s="21" t="s">
        <v>36</v>
      </c>
      <c r="F1569" s="12">
        <f>_xlfn.XLOOKUP(Table134526_79101120212223242526[[#This Row],[Name Surname]],Manpower!C:C,Manpower!D:D,)</f>
        <v>114929202</v>
      </c>
      <c r="G1569" s="28" t="str">
        <f>_xlfn.XLOOKUP(Table134526_79101120212223242526[[#This Row],[Name Surname]],Manpower!$C$4:$C$1048576,Manpower!$F$4:$F$1048576,"")</f>
        <v>RIgger</v>
      </c>
      <c r="H1569" s="28" t="str">
        <f>_xlfn.XLOOKUP(Table134526_79101120212223242526[[#This Row],[Name Surname]],Manpower!$C$4:$C$1048576,Manpower!$H$4:$H$1048576,"")</f>
        <v>Sub Contactor</v>
      </c>
      <c r="I1569" s="28" t="str">
        <f>_xlfn.XLOOKUP(Table134526_79101120212223242526[[#This Row],[Name Surname]],Manpower!$C$4:$C$1048576,Manpower!$H$4:$H$1048576,"")</f>
        <v>Sub Contactor</v>
      </c>
      <c r="J1569" s="21" t="s">
        <v>21</v>
      </c>
      <c r="K1569" s="21" t="s">
        <v>231</v>
      </c>
      <c r="L1569" s="21" t="s">
        <v>49</v>
      </c>
      <c r="M1569" s="21" t="s">
        <v>55</v>
      </c>
      <c r="N1569" s="29">
        <v>10</v>
      </c>
      <c r="R1569" s="21" t="s">
        <v>308</v>
      </c>
    </row>
    <row r="1570" spans="1:23" ht="14.4" hidden="1">
      <c r="A1570" s="33">
        <f>IF(C1570="","",MAX($A$1:A1569)+1)</f>
        <v>1481</v>
      </c>
      <c r="B1570" s="22" t="s">
        <v>19</v>
      </c>
      <c r="C1570" s="23">
        <v>46095</v>
      </c>
      <c r="D1570" s="28" t="str">
        <f>_xlfn.XLOOKUP(Table134526_79101120212223242526[[#This Row],[Name Surname]],Manpower!$C$4:$C$1048576,Manpower!$B$4:$B$1048576,"")</f>
        <v>SARENS NASS</v>
      </c>
      <c r="E1570" s="21" t="s">
        <v>266</v>
      </c>
      <c r="F1570" s="12">
        <f>_xlfn.XLOOKUP(Table134526_79101120212223242526[[#This Row],[Name Surname]],Manpower!C:C,Manpower!D:D,)</f>
        <v>14552941</v>
      </c>
      <c r="G1570" s="28" t="str">
        <f>_xlfn.XLOOKUP(Table134526_79101120212223242526[[#This Row],[Name Surname]],Manpower!$C$4:$C$1048576,Manpower!$F$4:$F$1048576,"")</f>
        <v>Crane Operator- 70T Hitachi Crawler crane</v>
      </c>
      <c r="H1570" s="28" t="str">
        <f>_xlfn.XLOOKUP(Table134526_79101120212223242526[[#This Row],[Name Surname]],Manpower!$C$4:$C$1048576,Manpower!$H$4:$H$1048576,"")</f>
        <v>Manpower</v>
      </c>
      <c r="I1570" s="28" t="str">
        <f>_xlfn.XLOOKUP(Table134526_79101120212223242526[[#This Row],[Name Surname]],Manpower!$C$4:$C$1048576,Manpower!$H$4:$H$1048576,"")</f>
        <v>Manpower</v>
      </c>
      <c r="J1570" s="21" t="s">
        <v>21</v>
      </c>
      <c r="K1570" s="21" t="s">
        <v>231</v>
      </c>
      <c r="L1570" s="21" t="s">
        <v>49</v>
      </c>
      <c r="M1570" s="21" t="s">
        <v>55</v>
      </c>
      <c r="N1570" s="29">
        <v>10</v>
      </c>
      <c r="R1570" s="21" t="s">
        <v>308</v>
      </c>
    </row>
    <row r="1571" spans="1:23" ht="14.4" hidden="1">
      <c r="A1571" s="33">
        <f>IF(C1571="","",MAX($A$1:A1570)+1)</f>
        <v>1482</v>
      </c>
      <c r="B1571" s="22" t="s">
        <v>19</v>
      </c>
      <c r="C1571" s="23">
        <v>46095</v>
      </c>
      <c r="D1571" s="28" t="str">
        <f>_xlfn.XLOOKUP(Table134526_79101120212223242526[[#This Row],[Name Surname]],Manpower!$C$4:$C$1048576,Manpower!$B$4:$B$1048576,"")</f>
        <v>Al Jaber Heavy Lift</v>
      </c>
      <c r="E1571" s="21" t="s">
        <v>164</v>
      </c>
      <c r="F1571" s="12">
        <f>_xlfn.XLOOKUP(Table134526_79101120212223242526[[#This Row],[Name Surname]],Manpower!C:C,Manpower!D:D,)</f>
        <v>112778626</v>
      </c>
      <c r="G1571" s="28" t="str">
        <f>_xlfn.XLOOKUP(Table134526_79101120212223242526[[#This Row],[Name Surname]],Manpower!$C$4:$C$1048576,Manpower!$F$4:$F$1048576,"")</f>
        <v>Crane Operator-150T Hitachi Crawler</v>
      </c>
      <c r="H1571" s="28" t="str">
        <f>_xlfn.XLOOKUP(Table134526_79101120212223242526[[#This Row],[Name Surname]],Manpower!$C$4:$C$1048576,Manpower!$H$4:$H$1048576,"")</f>
        <v>Manpower</v>
      </c>
      <c r="I1571" s="28" t="str">
        <f>_xlfn.XLOOKUP(Table134526_79101120212223242526[[#This Row],[Name Surname]],Manpower!$C$4:$C$1048576,Manpower!$H$4:$H$1048576,"")</f>
        <v>Manpower</v>
      </c>
      <c r="J1571" s="21" t="s">
        <v>21</v>
      </c>
      <c r="K1571" s="21" t="s">
        <v>231</v>
      </c>
      <c r="L1571" s="21" t="s">
        <v>49</v>
      </c>
      <c r="M1571" s="21" t="s">
        <v>55</v>
      </c>
      <c r="N1571" s="29">
        <v>10</v>
      </c>
      <c r="R1571" s="21" t="s">
        <v>308</v>
      </c>
    </row>
    <row r="1572" spans="1:23" ht="14.4" hidden="1">
      <c r="A1572" s="33">
        <f>IF(C1572="","",MAX($A$1:A1571)+1)</f>
        <v>1483</v>
      </c>
      <c r="B1572" s="22" t="s">
        <v>19</v>
      </c>
      <c r="C1572" s="23">
        <v>46095</v>
      </c>
      <c r="D1572" s="28" t="str">
        <f>_xlfn.XLOOKUP(Table134526_79101120212223242526[[#This Row],[Name Surname]],Manpower!$C$4:$C$1048576,Manpower!$B$4:$B$1048576,"")</f>
        <v>Encogroup</v>
      </c>
      <c r="E1572" s="21" t="s">
        <v>37</v>
      </c>
      <c r="F1572" s="12">
        <f>_xlfn.XLOOKUP(Table134526_79101120212223242526[[#This Row],[Name Surname]],Manpower!C:C,Manpower!D:D,)</f>
        <v>140742088</v>
      </c>
      <c r="G1572" s="28" t="str">
        <f>_xlfn.XLOOKUP(Table134526_79101120212223242526[[#This Row],[Name Surname]],Manpower!$C$4:$C$1048576,Manpower!$F$4:$F$1048576,"")</f>
        <v>Fitter/Erector</v>
      </c>
      <c r="H1572" s="28" t="str">
        <f>_xlfn.XLOOKUP(Table134526_79101120212223242526[[#This Row],[Name Surname]],Manpower!$C$4:$C$1048576,Manpower!$H$4:$H$1048576,"")</f>
        <v>Manpower</v>
      </c>
      <c r="I1572" s="28" t="str">
        <f>_xlfn.XLOOKUP(Table134526_79101120212223242526[[#This Row],[Name Surname]],Manpower!$C$4:$C$1048576,Manpower!$H$4:$H$1048576,"")</f>
        <v>Manpower</v>
      </c>
      <c r="J1572" s="21" t="s">
        <v>21</v>
      </c>
      <c r="K1572" s="21" t="s">
        <v>231</v>
      </c>
      <c r="L1572" s="21" t="s">
        <v>49</v>
      </c>
      <c r="M1572" s="21" t="s">
        <v>55</v>
      </c>
      <c r="N1572" s="29">
        <v>10</v>
      </c>
      <c r="R1572" s="21" t="s">
        <v>308</v>
      </c>
    </row>
    <row r="1573" spans="1:23" ht="14.4" hidden="1">
      <c r="A1573" s="33">
        <f>IF(C1573="","",MAX($A$1:A1572)+1)</f>
        <v>1484</v>
      </c>
      <c r="B1573" s="22" t="s">
        <v>19</v>
      </c>
      <c r="C1573" s="23">
        <v>46095</v>
      </c>
      <c r="D1573" s="28" t="str">
        <f>_xlfn.XLOOKUP(Table134526_79101120212223242526[[#This Row],[Name Surname]],Manpower!$C$4:$C$1048576,Manpower!$B$4:$B$1048576,"")</f>
        <v>Encogroup</v>
      </c>
      <c r="E1573" s="21" t="s">
        <v>44</v>
      </c>
      <c r="F1573" s="12">
        <f>_xlfn.XLOOKUP(Table134526_79101120212223242526[[#This Row],[Name Surname]],Manpower!C:C,Manpower!D:D,)</f>
        <v>140806218</v>
      </c>
      <c r="G1573" s="28" t="str">
        <f>_xlfn.XLOOKUP(Table134526_79101120212223242526[[#This Row],[Name Surname]],Manpower!$C$4:$C$1048576,Manpower!$F$4:$F$1048576,"")</f>
        <v>Fitter/Erector</v>
      </c>
      <c r="H1573" s="28" t="str">
        <f>_xlfn.XLOOKUP(Table134526_79101120212223242526[[#This Row],[Name Surname]],Manpower!$C$4:$C$1048576,Manpower!$H$4:$H$1048576,"")</f>
        <v>Manpower</v>
      </c>
      <c r="I1573" s="28" t="str">
        <f>_xlfn.XLOOKUP(Table134526_79101120212223242526[[#This Row],[Name Surname]],Manpower!$C$4:$C$1048576,Manpower!$H$4:$H$1048576,"")</f>
        <v>Manpower</v>
      </c>
      <c r="J1573" s="21" t="s">
        <v>21</v>
      </c>
      <c r="K1573" s="21" t="s">
        <v>231</v>
      </c>
      <c r="L1573" s="21" t="s">
        <v>49</v>
      </c>
      <c r="M1573" s="21" t="s">
        <v>55</v>
      </c>
      <c r="N1573" s="29">
        <v>10</v>
      </c>
      <c r="R1573" s="21" t="s">
        <v>308</v>
      </c>
    </row>
    <row r="1574" spans="1:23" ht="14.4" hidden="1">
      <c r="A1574" s="33">
        <f>IF(C1574="","",MAX($A$1:A1573)+1)</f>
        <v>1485</v>
      </c>
      <c r="B1574" s="22" t="s">
        <v>19</v>
      </c>
      <c r="C1574" s="23">
        <v>46095</v>
      </c>
      <c r="D1574" s="28" t="str">
        <f>_xlfn.XLOOKUP(Table134526_79101120212223242526[[#This Row],[Name Surname]],Manpower!$C$4:$C$1048576,Manpower!$B$4:$B$1048576,"")</f>
        <v>Encogroup</v>
      </c>
      <c r="E1574" s="21" t="s">
        <v>102</v>
      </c>
      <c r="F1574" s="12">
        <f>_xlfn.XLOOKUP(Table134526_79101120212223242526[[#This Row],[Name Surname]],Manpower!C:C,Manpower!D:D,)</f>
        <v>141365075</v>
      </c>
      <c r="G1574" s="28" t="str">
        <f>_xlfn.XLOOKUP(Table134526_79101120212223242526[[#This Row],[Name Surname]],Manpower!$C$4:$C$1048576,Manpower!$F$4:$F$1048576,"")</f>
        <v>Helper</v>
      </c>
      <c r="H1574" s="28" t="str">
        <f>_xlfn.XLOOKUP(Table134526_79101120212223242526[[#This Row],[Name Surname]],Manpower!$C$4:$C$1048576,Manpower!$H$4:$H$1048576,"")</f>
        <v>Manpower</v>
      </c>
      <c r="I1574" s="28" t="str">
        <f>_xlfn.XLOOKUP(Table134526_79101120212223242526[[#This Row],[Name Surname]],Manpower!$C$4:$C$1048576,Manpower!$H$4:$H$1048576,"")</f>
        <v>Manpower</v>
      </c>
      <c r="J1574" s="21" t="s">
        <v>21</v>
      </c>
      <c r="K1574" s="21" t="s">
        <v>297</v>
      </c>
      <c r="L1574" s="21" t="s">
        <v>49</v>
      </c>
      <c r="M1574" s="21" t="s">
        <v>55</v>
      </c>
      <c r="N1574" s="29">
        <v>10</v>
      </c>
      <c r="R1574" s="21" t="s">
        <v>308</v>
      </c>
    </row>
    <row r="1575" spans="1:23" ht="14.4" hidden="1">
      <c r="A1575" s="33">
        <f>IF(C1575="","",MAX($A$1:A1574)+1)</f>
        <v>1486</v>
      </c>
      <c r="B1575" s="22" t="s">
        <v>19</v>
      </c>
      <c r="C1575" s="23">
        <v>46095</v>
      </c>
      <c r="D1575" s="28" t="str">
        <f>_xlfn.XLOOKUP(Table134526_79101120212223242526[[#This Row],[Name Surname]],Manpower!$C$4:$C$1048576,Manpower!$B$4:$B$1048576,"")</f>
        <v>Encogroup</v>
      </c>
      <c r="E1575" s="21" t="s">
        <v>34</v>
      </c>
      <c r="F1575" s="12">
        <f>_xlfn.XLOOKUP(Table134526_79101120212223242526[[#This Row],[Name Surname]],Manpower!C:C,Manpower!D:D,)</f>
        <v>141365023</v>
      </c>
      <c r="G1575" s="28" t="str">
        <f>_xlfn.XLOOKUP(Table134526_79101120212223242526[[#This Row],[Name Surname]],Manpower!$C$4:$C$1048576,Manpower!$F$4:$F$1048576,"")</f>
        <v>Grinder</v>
      </c>
      <c r="H1575" s="28" t="str">
        <f>_xlfn.XLOOKUP(Table134526_79101120212223242526[[#This Row],[Name Surname]],Manpower!$C$4:$C$1048576,Manpower!$H$4:$H$1048576,"")</f>
        <v>Manpower</v>
      </c>
      <c r="I1575" s="28" t="str">
        <f>_xlfn.XLOOKUP(Table134526_79101120212223242526[[#This Row],[Name Surname]],Manpower!$C$4:$C$1048576,Manpower!$H$4:$H$1048576,"")</f>
        <v>Manpower</v>
      </c>
      <c r="J1575" s="21" t="s">
        <v>21</v>
      </c>
      <c r="K1575" s="21" t="s">
        <v>231</v>
      </c>
      <c r="L1575" s="21" t="s">
        <v>49</v>
      </c>
      <c r="M1575" s="21" t="s">
        <v>55</v>
      </c>
      <c r="N1575" s="29">
        <v>10</v>
      </c>
      <c r="R1575" s="21" t="s">
        <v>308</v>
      </c>
    </row>
    <row r="1576" spans="1:23" ht="14.4" hidden="1">
      <c r="A1576" s="33">
        <f>IF(C1576="","",MAX($A$1:A1575)+1)</f>
        <v>1487</v>
      </c>
      <c r="B1576" s="22" t="s">
        <v>19</v>
      </c>
      <c r="C1576" s="23">
        <v>46095</v>
      </c>
      <c r="D1576" s="28" t="str">
        <f>_xlfn.XLOOKUP(Table134526_79101120212223242526[[#This Row],[Name Surname]],Manpower!$C$4:$C$1048576,Manpower!$B$4:$B$1048576,"")</f>
        <v>Encogroup</v>
      </c>
      <c r="E1576" s="21" t="s">
        <v>46</v>
      </c>
      <c r="F1576" s="12">
        <f>_xlfn.XLOOKUP(Table134526_79101120212223242526[[#This Row],[Name Surname]],Manpower!C:C,Manpower!D:D,)</f>
        <v>140844618</v>
      </c>
      <c r="G1576" s="28" t="str">
        <f>_xlfn.XLOOKUP(Table134526_79101120212223242526[[#This Row],[Name Surname]],Manpower!$C$4:$C$1048576,Manpower!$F$4:$F$1048576,"")</f>
        <v>Assistant/Helper</v>
      </c>
      <c r="H1576" s="28" t="str">
        <f>_xlfn.XLOOKUP(Table134526_79101120212223242526[[#This Row],[Name Surname]],Manpower!$C$4:$C$1048576,Manpower!$H$4:$H$1048576,"")</f>
        <v>Manpower</v>
      </c>
      <c r="I1576" s="28" t="str">
        <f>_xlfn.XLOOKUP(Table134526_79101120212223242526[[#This Row],[Name Surname]],Manpower!$C$4:$C$1048576,Manpower!$H$4:$H$1048576,"")</f>
        <v>Manpower</v>
      </c>
      <c r="J1576" s="21" t="s">
        <v>21</v>
      </c>
      <c r="K1576" s="21" t="s">
        <v>231</v>
      </c>
      <c r="L1576" s="21" t="s">
        <v>49</v>
      </c>
      <c r="M1576" s="21" t="s">
        <v>55</v>
      </c>
      <c r="N1576" s="29">
        <v>10</v>
      </c>
      <c r="R1576" s="21" t="s">
        <v>308</v>
      </c>
    </row>
    <row r="1577" spans="1:23" ht="14.4" customHeight="1">
      <c r="A1577" s="33">
        <f>IF(C1577="","",MAX($A$1:A1576)+1)</f>
        <v>1488</v>
      </c>
      <c r="B1577" s="25" t="s">
        <v>19</v>
      </c>
      <c r="C1577" s="23">
        <v>46095</v>
      </c>
      <c r="D1577" s="28" t="str">
        <f>_xlfn.XLOOKUP(Table134526_79101120212223242526[[#This Row],[Name Surname]],Manpower!$C$4:$C$1048576,Manpower!$B$4:$B$1048576,"")</f>
        <v>Bright Light</v>
      </c>
      <c r="E1577" s="23" t="s">
        <v>47</v>
      </c>
      <c r="F1577" s="12" t="e">
        <f>_xlfn.XLOOKUP(Table134526_79101120212223242526[[#This Row],[Name Surname]],Manpower!C:C,Manpower!D:D,)</f>
        <v>#N/A</v>
      </c>
      <c r="G1577" s="28" t="str">
        <f>_xlfn.XLOOKUP(Table134526_79101120212223242526[[#This Row],[Name Surname]],Manpower!$C$4:$C$1048576,Manpower!$F$4:$F$1048576,"")</f>
        <v>100T Telescopic Crane</v>
      </c>
      <c r="H1577" s="28" t="str">
        <f>_xlfn.XLOOKUP(Table134526_79101120212223242526[[#This Row],[Name Surname]],Manpower!$C$4:$C$1048576,Manpower!$H$4:$H$1048576,"")</f>
        <v>Equipment</v>
      </c>
      <c r="I1577" s="28" t="str">
        <f>_xlfn.XLOOKUP(Table134526_79101120212223242526[[#This Row],[Name Surname]],Manpower!$C$4:$C$1048576,Manpower!$H$4:$H$1048576,"")</f>
        <v>Equipment</v>
      </c>
      <c r="J1577" s="21" t="s">
        <v>48</v>
      </c>
      <c r="K1577" s="21" t="s">
        <v>26</v>
      </c>
      <c r="L1577" s="21" t="s">
        <v>49</v>
      </c>
      <c r="M1577" s="21" t="s">
        <v>55</v>
      </c>
      <c r="N1577" s="29">
        <v>10</v>
      </c>
      <c r="R1577" s="21" t="s">
        <v>308</v>
      </c>
    </row>
    <row r="1578" spans="1:23" ht="14.4">
      <c r="A1578" s="33">
        <f>IF(C1578="","",MAX($A$1:A1577)+1)</f>
        <v>1489</v>
      </c>
      <c r="B1578" s="25" t="s">
        <v>19</v>
      </c>
      <c r="C1578" s="23">
        <v>46095</v>
      </c>
      <c r="D1578" s="28" t="str">
        <f>_xlfn.XLOOKUP(Table134526_79101120212223242526[[#This Row],[Name Surname]],Manpower!$C$4:$C$1048576,Manpower!$B$4:$B$1048576,"")</f>
        <v>Bright Light</v>
      </c>
      <c r="E1578" s="21" t="s">
        <v>51</v>
      </c>
      <c r="F1578" s="12" t="e">
        <f>_xlfn.XLOOKUP(Table134526_79101120212223242526[[#This Row],[Name Surname]],Manpower!C:C,Manpower!D:D,)</f>
        <v>#N/A</v>
      </c>
      <c r="G1578" s="28" t="str">
        <f>_xlfn.XLOOKUP(Table134526_79101120212223242526[[#This Row],[Name Surname]],Manpower!$C$4:$C$1048576,Manpower!$F$4:$F$1048576,"")</f>
        <v>150T-Crawler Crane</v>
      </c>
      <c r="H1578" s="28" t="str">
        <f>_xlfn.XLOOKUP(Table134526_79101120212223242526[[#This Row],[Name Surname]],Manpower!$C$4:$C$1048576,Manpower!$H$4:$H$1048576,"")</f>
        <v>Equipment</v>
      </c>
      <c r="I1578" s="28" t="str">
        <f>_xlfn.XLOOKUP(Table134526_79101120212223242526[[#This Row],[Name Surname]],Manpower!$C$4:$C$1048576,Manpower!$H$4:$H$1048576,"")</f>
        <v>Equipment</v>
      </c>
      <c r="J1578" s="21" t="s">
        <v>48</v>
      </c>
      <c r="K1578" s="21" t="s">
        <v>26</v>
      </c>
      <c r="L1578" s="21" t="s">
        <v>49</v>
      </c>
      <c r="M1578" s="21" t="s">
        <v>55</v>
      </c>
      <c r="N1578" s="29">
        <v>10</v>
      </c>
      <c r="R1578" s="21" t="s">
        <v>308</v>
      </c>
    </row>
    <row r="1579" spans="1:23" ht="14.4">
      <c r="A1579" s="33">
        <f>IF(C1579="","",MAX($A$1:A1578)+1)</f>
        <v>1490</v>
      </c>
      <c r="B1579" s="25" t="s">
        <v>19</v>
      </c>
      <c r="C1579" s="23">
        <v>46095</v>
      </c>
      <c r="D1579" s="28" t="str">
        <f>_xlfn.XLOOKUP(Table134526_79101120212223242526[[#This Row],[Name Surname]],Manpower!$C$4:$C$1048576,Manpower!$B$4:$B$1048576,"")</f>
        <v>Encogroup</v>
      </c>
      <c r="E1579" s="21" t="s">
        <v>54</v>
      </c>
      <c r="F1579" s="12" t="e">
        <f>_xlfn.XLOOKUP(Table134526_79101120212223242526[[#This Row],[Name Surname]],Manpower!C:C,Manpower!D:D,)</f>
        <v>#N/A</v>
      </c>
      <c r="G1579" s="28" t="str">
        <f>_xlfn.XLOOKUP(Table134526_79101120212223242526[[#This Row],[Name Surname]],Manpower!$C$4:$C$1048576,Manpower!$F$4:$F$1048576,"")</f>
        <v>28M-Manlift</v>
      </c>
      <c r="H1579" s="28" t="str">
        <f>_xlfn.XLOOKUP(Table134526_79101120212223242526[[#This Row],[Name Surname]],Manpower!$C$4:$C$1048576,Manpower!$H$4:$H$1048576,"")</f>
        <v>Equipment</v>
      </c>
      <c r="I1579" s="28" t="str">
        <f>_xlfn.XLOOKUP(Table134526_79101120212223242526[[#This Row],[Name Surname]],Manpower!$C$4:$C$1048576,Manpower!$H$4:$H$1048576,"")</f>
        <v>Equipment</v>
      </c>
      <c r="J1579" s="21" t="s">
        <v>48</v>
      </c>
      <c r="K1579" s="21" t="s">
        <v>26</v>
      </c>
      <c r="L1579" s="21" t="s">
        <v>49</v>
      </c>
      <c r="M1579" s="21" t="s">
        <v>55</v>
      </c>
      <c r="N1579" s="29">
        <v>10</v>
      </c>
      <c r="R1579" s="21" t="s">
        <v>308</v>
      </c>
    </row>
    <row r="1580" spans="1:23" ht="14.4" hidden="1">
      <c r="A1580" s="33">
        <f>IF(C1580="","",MAX($A$1:A1579)+1)</f>
        <v>1491</v>
      </c>
      <c r="B1580" s="25" t="s">
        <v>19</v>
      </c>
      <c r="C1580" s="23">
        <v>46095</v>
      </c>
      <c r="D1580" s="28" t="str">
        <f>_xlfn.XLOOKUP(Table134526_79101120212223242526[[#This Row],[Name Surname]],Manpower!$C$4:$C$1048576,Manpower!$B$4:$B$1048576,"")</f>
        <v>Encogroup</v>
      </c>
      <c r="E1580" s="21" t="s">
        <v>57</v>
      </c>
      <c r="F1580" s="12">
        <f>_xlfn.XLOOKUP(Table134526_79101120212223242526[[#This Row],[Name Surname]],Manpower!C:C,Manpower!D:D,)</f>
        <v>140693697</v>
      </c>
      <c r="G1580" s="28" t="str">
        <f>_xlfn.XLOOKUP(Table134526_79101120212223242526[[#This Row],[Name Surname]],Manpower!$C$4:$C$1048576,Manpower!$F$4:$F$1048576,"")</f>
        <v>HSE Officer</v>
      </c>
      <c r="H1580" s="28" t="str">
        <f>_xlfn.XLOOKUP(Table134526_79101120212223242526[[#This Row],[Name Surname]],Manpower!$C$4:$C$1048576,Manpower!$H$4:$H$1048576,"")</f>
        <v>Manpower</v>
      </c>
      <c r="I1580" s="28" t="str">
        <f>_xlfn.XLOOKUP(Table134526_79101120212223242526[[#This Row],[Name Surname]],Manpower!$C$4:$C$1048576,Manpower!$H$4:$H$1048576,"")</f>
        <v>Manpower</v>
      </c>
      <c r="J1580" s="21" t="s">
        <v>48</v>
      </c>
      <c r="K1580" s="21" t="s">
        <v>26</v>
      </c>
      <c r="L1580" s="21" t="s">
        <v>49</v>
      </c>
      <c r="M1580" s="21" t="s">
        <v>55</v>
      </c>
      <c r="N1580" s="29">
        <v>10</v>
      </c>
      <c r="R1580" s="21" t="s">
        <v>308</v>
      </c>
    </row>
    <row r="1581" spans="1:23" ht="14.4" hidden="1">
      <c r="A1581" s="33">
        <f>IF(C1581="","",MAX($A$1:A1580)+1)</f>
        <v>1492</v>
      </c>
      <c r="B1581" s="25" t="s">
        <v>19</v>
      </c>
      <c r="C1581" s="23">
        <v>46095</v>
      </c>
      <c r="D1581" s="28" t="str">
        <f>_xlfn.XLOOKUP(Table134526_79101120212223242526[[#This Row],[Name Surname]],Manpower!$C$4:$C$1048576,Manpower!$B$4:$B$1048576,"")</f>
        <v>Encogroup</v>
      </c>
      <c r="E1581" s="21" t="s">
        <v>27</v>
      </c>
      <c r="F1581" s="12">
        <f>_xlfn.XLOOKUP(Table134526_79101120212223242526[[#This Row],[Name Surname]],Manpower!C:C,Manpower!D:D,)</f>
        <v>127414586</v>
      </c>
      <c r="G1581" s="28" t="str">
        <f>_xlfn.XLOOKUP(Table134526_79101120212223242526[[#This Row],[Name Surname]],Manpower!$C$4:$C$1048576,Manpower!$F$4:$F$1048576,"")</f>
        <v>Electrician</v>
      </c>
      <c r="H1581" s="28" t="str">
        <f>_xlfn.XLOOKUP(Table134526_79101120212223242526[[#This Row],[Name Surname]],Manpower!$C$4:$C$1048576,Manpower!$H$4:$H$1048576,"")</f>
        <v>Manpower</v>
      </c>
      <c r="I1581" s="28" t="str">
        <f>_xlfn.XLOOKUP(Table134526_79101120212223242526[[#This Row],[Name Surname]],Manpower!$C$4:$C$1048576,Manpower!$H$4:$H$1048576,"")</f>
        <v>Manpower</v>
      </c>
      <c r="J1581" s="21" t="s">
        <v>48</v>
      </c>
      <c r="K1581" s="21" t="s">
        <v>26</v>
      </c>
      <c r="L1581" s="21" t="s">
        <v>49</v>
      </c>
      <c r="M1581" s="21" t="s">
        <v>55</v>
      </c>
      <c r="N1581" s="29">
        <v>10</v>
      </c>
      <c r="R1581" s="21" t="s">
        <v>308</v>
      </c>
    </row>
    <row r="1582" spans="1:23" s="45" customFormat="1" ht="14.4" hidden="1">
      <c r="A1582" s="25">
        <f>IF(C1582="","",MAX($A$1:A1581)+1)</f>
        <v>1493</v>
      </c>
      <c r="B1582" s="25" t="s">
        <v>19</v>
      </c>
      <c r="C1582" s="23">
        <v>46095</v>
      </c>
      <c r="D1582" s="28" t="str">
        <f>_xlfn.XLOOKUP(Table134526_79101120212223242526[[#This Row],[Name Surname]],Manpower!$C$4:$C$1048576,Manpower!$B$4:$B$1048576,"")</f>
        <v>Encogroup</v>
      </c>
      <c r="E1582" s="21" t="s">
        <v>33</v>
      </c>
      <c r="F1582" s="12">
        <f>_xlfn.XLOOKUP(Table134526_79101120212223242526[[#This Row],[Name Surname]],Manpower!C:C,Manpower!D:D,)</f>
        <v>124565057</v>
      </c>
      <c r="G1582" s="28" t="str">
        <f>_xlfn.XLOOKUP(Table134526_79101120212223242526[[#This Row],[Name Surname]],Manpower!$C$4:$C$1048576,Manpower!$F$4:$F$1048576,"")</f>
        <v>Fitter/Erector</v>
      </c>
      <c r="H1582" s="28" t="str">
        <f>_xlfn.XLOOKUP(Table134526_79101120212223242526[[#This Row],[Name Surname]],Manpower!$C$4:$C$1048576,Manpower!$H$4:$H$1048576,"")</f>
        <v>Manpower</v>
      </c>
      <c r="I1582" s="28" t="str">
        <f>_xlfn.XLOOKUP(Table134526_79101120212223242526[[#This Row],[Name Surname]],Manpower!$C$4:$C$1048576,Manpower!$H$4:$H$1048576,"")</f>
        <v>Manpower</v>
      </c>
      <c r="J1582" s="21" t="s">
        <v>48</v>
      </c>
      <c r="K1582" s="21" t="s">
        <v>26</v>
      </c>
      <c r="L1582" s="21" t="s">
        <v>49</v>
      </c>
      <c r="M1582" s="21" t="s">
        <v>55</v>
      </c>
      <c r="N1582" s="29">
        <v>10</v>
      </c>
      <c r="O1582" s="21"/>
      <c r="P1582" s="21"/>
      <c r="Q1582" s="21"/>
      <c r="R1582" s="21" t="s">
        <v>308</v>
      </c>
      <c r="S1582" s="21"/>
      <c r="T1582" s="12"/>
      <c r="U1582" s="12"/>
      <c r="V1582" s="12"/>
      <c r="W1582" s="12"/>
    </row>
    <row r="1583" spans="1:23" ht="14.4" hidden="1">
      <c r="A1583" s="33">
        <f>IF(C1583="","",MAX($A$1:A1582)+1)</f>
        <v>1494</v>
      </c>
      <c r="B1583" s="25" t="s">
        <v>19</v>
      </c>
      <c r="C1583" s="23">
        <v>46095</v>
      </c>
      <c r="D1583" s="28" t="str">
        <f>_xlfn.XLOOKUP(Table134526_79101120212223242526[[#This Row],[Name Surname]],Manpower!$C$4:$C$1048576,Manpower!$B$4:$B$1048576,"")</f>
        <v>Encogroup</v>
      </c>
      <c r="E1583" s="21" t="s">
        <v>62</v>
      </c>
      <c r="F1583" s="12">
        <f>_xlfn.XLOOKUP(Table134526_79101120212223242526[[#This Row],[Name Surname]],Manpower!C:C,Manpower!D:D,)</f>
        <v>140844797</v>
      </c>
      <c r="G1583" s="28" t="str">
        <f>_xlfn.XLOOKUP(Table134526_79101120212223242526[[#This Row],[Name Surname]],Manpower!$C$4:$C$1048576,Manpower!$F$4:$F$1048576,"")</f>
        <v>Fitter/Erector</v>
      </c>
      <c r="H1583" s="28" t="str">
        <f>_xlfn.XLOOKUP(Table134526_79101120212223242526[[#This Row],[Name Surname]],Manpower!$C$4:$C$1048576,Manpower!$H$4:$H$1048576,"")</f>
        <v>Manpower</v>
      </c>
      <c r="I1583" s="28" t="str">
        <f>_xlfn.XLOOKUP(Table134526_79101120212223242526[[#This Row],[Name Surname]],Manpower!$C$4:$C$1048576,Manpower!$H$4:$H$1048576,"")</f>
        <v>Manpower</v>
      </c>
      <c r="J1583" s="21" t="s">
        <v>48</v>
      </c>
      <c r="K1583" s="21" t="s">
        <v>26</v>
      </c>
      <c r="L1583" s="21" t="s">
        <v>49</v>
      </c>
      <c r="M1583" s="21" t="s">
        <v>55</v>
      </c>
      <c r="N1583" s="29">
        <v>10</v>
      </c>
      <c r="R1583" s="21" t="s">
        <v>308</v>
      </c>
    </row>
    <row r="1584" spans="1:23" ht="14.4">
      <c r="A1584" s="33">
        <f>IF(C1584="","",MAX($A$1:A1583)+1)</f>
        <v>1495</v>
      </c>
      <c r="B1584" s="25" t="s">
        <v>19</v>
      </c>
      <c r="C1584" s="23">
        <v>46095</v>
      </c>
      <c r="D1584" s="24" t="str">
        <f>_xlfn.XLOOKUP(Table134526_79101120212223242526[[#This Row],[Name Surname]],Manpower!$C$4:$C$1048576,Manpower!$B$4:$B$1048576,"")</f>
        <v>Encogroup</v>
      </c>
      <c r="E1584" s="23" t="s">
        <v>63</v>
      </c>
      <c r="F1584" s="12" t="e">
        <f>_xlfn.XLOOKUP(Table134526_79101120212223242526[[#This Row],[Name Surname]],Manpower!C:C,Manpower!D:D,)</f>
        <v>#N/A</v>
      </c>
      <c r="G1584" s="24" t="str">
        <f>_xlfn.XLOOKUP(Table134526_79101120212223242526[[#This Row],[Name Surname]],Manpower!$C$4:$C$1048576,Manpower!$F$4:$F$1048576,"")</f>
        <v>22KVA-Generator</v>
      </c>
      <c r="H1584" s="24" t="str">
        <f>_xlfn.XLOOKUP(Table134526_79101120212223242526[[#This Row],[Name Surname]],Manpower!$C$4:$C$1048576,Manpower!$H$4:$H$1048576,"")</f>
        <v>Equipment</v>
      </c>
      <c r="I1584" s="24" t="str">
        <f>_xlfn.XLOOKUP(Table134526_79101120212223242526[[#This Row],[Name Surname]],Manpower!$C$4:$C$1048576,Manpower!$H$4:$H$1048576,"")</f>
        <v>Equipment</v>
      </c>
      <c r="J1584" s="21" t="s">
        <v>48</v>
      </c>
      <c r="K1584" s="21" t="s">
        <v>26</v>
      </c>
      <c r="L1584" s="21" t="s">
        <v>49</v>
      </c>
      <c r="M1584" s="21" t="s">
        <v>55</v>
      </c>
      <c r="N1584" s="29">
        <v>10</v>
      </c>
      <c r="R1584" s="21" t="s">
        <v>308</v>
      </c>
    </row>
    <row r="1585" spans="1:23" ht="14.4" hidden="1">
      <c r="A1585" s="33">
        <f>IF(C1585="","",MAX($A$1:A1583)+1)</f>
        <v>1495</v>
      </c>
      <c r="B1585" s="25" t="s">
        <v>19</v>
      </c>
      <c r="C1585" s="23">
        <v>46095</v>
      </c>
      <c r="D1585" s="28" t="str">
        <f>_xlfn.XLOOKUP(Table134526_79101120212223242526[[#This Row],[Name Surname]],Manpower!$C$4:$C$1048576,Manpower!$B$4:$B$1048576,"")</f>
        <v>Bright Light</v>
      </c>
      <c r="E1585" s="21" t="s">
        <v>64</v>
      </c>
      <c r="F1585" s="12">
        <f>_xlfn.XLOOKUP(Table134526_79101120212223242526[[#This Row],[Name Surname]],Manpower!C:C,Manpower!D:D,)</f>
        <v>114531608</v>
      </c>
      <c r="G1585" s="28" t="str">
        <f>_xlfn.XLOOKUP(Table134526_79101120212223242526[[#This Row],[Name Surname]],Manpower!$C$4:$C$1048576,Manpower!$F$4:$F$1048576,"")</f>
        <v>Crane Operator-150T Sany Crawler</v>
      </c>
      <c r="H1585" s="28" t="str">
        <f>_xlfn.XLOOKUP(Table134526_79101120212223242526[[#This Row],[Name Surname]],Manpower!$C$4:$C$1048576,Manpower!$H$4:$H$1048576,"")</f>
        <v>Manpower</v>
      </c>
      <c r="I1585" s="28" t="str">
        <f>_xlfn.XLOOKUP(Table134526_79101120212223242526[[#This Row],[Name Surname]],Manpower!$C$4:$C$1048576,Manpower!$H$4:$H$1048576,"")</f>
        <v>Manpower</v>
      </c>
      <c r="J1585" s="21" t="s">
        <v>48</v>
      </c>
      <c r="K1585" s="21" t="s">
        <v>26</v>
      </c>
      <c r="L1585" s="21" t="s">
        <v>49</v>
      </c>
      <c r="M1585" s="21" t="s">
        <v>55</v>
      </c>
      <c r="N1585" s="29">
        <v>10</v>
      </c>
      <c r="R1585" s="21" t="s">
        <v>308</v>
      </c>
    </row>
    <row r="1586" spans="1:23" ht="14.4" hidden="1">
      <c r="A1586" s="33">
        <f>IF(C1586="","",MAX($A$1:A1585)+1)</f>
        <v>1496</v>
      </c>
      <c r="B1586" s="25" t="s">
        <v>19</v>
      </c>
      <c r="C1586" s="23">
        <v>46095</v>
      </c>
      <c r="D1586" s="28" t="str">
        <f>_xlfn.XLOOKUP(Table134526_79101120212223242526[[#This Row],[Name Surname]],Manpower!$C$4:$C$1048576,Manpower!$B$4:$B$1048576,"")</f>
        <v>AL Saif &amp; Al QALLM ENT LLC</v>
      </c>
      <c r="E1586" s="21" t="s">
        <v>65</v>
      </c>
      <c r="F1586" s="12">
        <f>_xlfn.XLOOKUP(Table134526_79101120212223242526[[#This Row],[Name Surname]],Manpower!C:C,Manpower!D:D,)</f>
        <v>108478006</v>
      </c>
      <c r="G1586" s="28" t="str">
        <f>_xlfn.XLOOKUP(Table134526_79101120212223242526[[#This Row],[Name Surname]],Manpower!$C$4:$C$1048576,Manpower!$F$4:$F$1048576,"")</f>
        <v>RIgger</v>
      </c>
      <c r="H1586" s="28" t="str">
        <f>_xlfn.XLOOKUP(Table134526_79101120212223242526[[#This Row],[Name Surname]],Manpower!$C$4:$C$1048576,Manpower!$H$4:$H$1048576,"")</f>
        <v>Sub Contactor</v>
      </c>
      <c r="I1586" s="28" t="str">
        <f>_xlfn.XLOOKUP(Table134526_79101120212223242526[[#This Row],[Name Surname]],Manpower!$C$4:$C$1048576,Manpower!$H$4:$H$1048576,"")</f>
        <v>Sub Contactor</v>
      </c>
      <c r="J1586" s="21" t="s">
        <v>48</v>
      </c>
      <c r="K1586" s="21" t="s">
        <v>26</v>
      </c>
      <c r="L1586" s="21" t="s">
        <v>49</v>
      </c>
      <c r="M1586" s="21" t="s">
        <v>55</v>
      </c>
      <c r="N1586" s="29">
        <v>10</v>
      </c>
      <c r="R1586" s="21" t="s">
        <v>308</v>
      </c>
    </row>
    <row r="1587" spans="1:23" s="45" customFormat="1" ht="14.4" hidden="1">
      <c r="A1587" s="25">
        <f>IF(C1587="","",MAX($A$1:A1586)+1)</f>
        <v>1497</v>
      </c>
      <c r="B1587" s="25" t="s">
        <v>19</v>
      </c>
      <c r="C1587" s="23">
        <v>46095</v>
      </c>
      <c r="D1587" s="28" t="str">
        <f>_xlfn.XLOOKUP(Table134526_79101120212223242526[[#This Row],[Name Surname]],Manpower!$C$4:$C$1048576,Manpower!$B$4:$B$1048576,"")</f>
        <v>AL Omar International TRAD AND CONT</v>
      </c>
      <c r="E1587" s="21" t="s">
        <v>66</v>
      </c>
      <c r="F1587" s="12">
        <f>_xlfn.XLOOKUP(Table134526_79101120212223242526[[#This Row],[Name Surname]],Manpower!C:C,Manpower!D:D,)</f>
        <v>115018512</v>
      </c>
      <c r="G1587" s="28" t="str">
        <f>_xlfn.XLOOKUP(Table134526_79101120212223242526[[#This Row],[Name Surname]],Manpower!$C$4:$C$1048576,Manpower!$F$4:$F$1048576,"")</f>
        <v>RIgger</v>
      </c>
      <c r="H1587" s="28" t="str">
        <f>_xlfn.XLOOKUP(Table134526_79101120212223242526[[#This Row],[Name Surname]],Manpower!$C$4:$C$1048576,Manpower!$H$4:$H$1048576,"")</f>
        <v>Sub Contactor</v>
      </c>
      <c r="I1587" s="28" t="str">
        <f>_xlfn.XLOOKUP(Table134526_79101120212223242526[[#This Row],[Name Surname]],Manpower!$C$4:$C$1048576,Manpower!$H$4:$H$1048576,"")</f>
        <v>Sub Contactor</v>
      </c>
      <c r="J1587" s="21" t="s">
        <v>48</v>
      </c>
      <c r="K1587" s="21" t="s">
        <v>26</v>
      </c>
      <c r="L1587" s="21" t="s">
        <v>49</v>
      </c>
      <c r="M1587" s="21" t="s">
        <v>55</v>
      </c>
      <c r="N1587" s="29">
        <v>10</v>
      </c>
      <c r="O1587" s="21"/>
      <c r="P1587" s="21"/>
      <c r="Q1587" s="21"/>
      <c r="R1587" s="21" t="s">
        <v>308</v>
      </c>
      <c r="S1587" s="21"/>
      <c r="T1587" s="12"/>
      <c r="U1587" s="12"/>
      <c r="V1587" s="12"/>
      <c r="W1587" s="12"/>
    </row>
    <row r="1588" spans="1:23" ht="14.4" hidden="1">
      <c r="A1588" s="33">
        <f>IF(C1588="","",MAX($A$1:A1587)+1)</f>
        <v>1498</v>
      </c>
      <c r="B1588" s="25" t="s">
        <v>19</v>
      </c>
      <c r="C1588" s="23">
        <v>46095</v>
      </c>
      <c r="D1588" s="28" t="str">
        <f>_xlfn.XLOOKUP(Table134526_79101120212223242526[[#This Row],[Name Surname]],Manpower!$C$4:$C$1048576,Manpower!$B$4:$B$1048576,"")</f>
        <v>Encogroup</v>
      </c>
      <c r="E1588" s="21" t="s">
        <v>68</v>
      </c>
      <c r="F1588" s="12">
        <f>_xlfn.XLOOKUP(Table134526_79101120212223242526[[#This Row],[Name Surname]],Manpower!C:C,Manpower!D:D,)</f>
        <v>116915582</v>
      </c>
      <c r="G1588" s="28" t="str">
        <f>_xlfn.XLOOKUP(Table134526_79101120212223242526[[#This Row],[Name Surname]],Manpower!$C$4:$C$1048576,Manpower!$F$4:$F$1048576,"")</f>
        <v>Mechanical Superintendent</v>
      </c>
      <c r="H1588" s="28" t="str">
        <f>_xlfn.XLOOKUP(Table134526_79101120212223242526[[#This Row],[Name Surname]],Manpower!$C$4:$C$1048576,Manpower!$H$4:$H$1048576,"")</f>
        <v>Manpower</v>
      </c>
      <c r="I1588" s="28" t="str">
        <f>_xlfn.XLOOKUP(Table134526_79101120212223242526[[#This Row],[Name Surname]],Manpower!$C$4:$C$1048576,Manpower!$H$4:$H$1048576,"")</f>
        <v>Manpower</v>
      </c>
      <c r="J1588" s="21" t="s">
        <v>48</v>
      </c>
      <c r="K1588" s="21" t="s">
        <v>26</v>
      </c>
      <c r="L1588" s="21" t="s">
        <v>49</v>
      </c>
      <c r="M1588" s="21" t="s">
        <v>55</v>
      </c>
      <c r="N1588" s="29">
        <v>10</v>
      </c>
      <c r="R1588" s="21" t="s">
        <v>308</v>
      </c>
    </row>
    <row r="1589" spans="1:23" ht="14.4" hidden="1">
      <c r="A1589" s="33">
        <f>IF(C1589="","",MAX($A$1:A1588)+1)</f>
        <v>1499</v>
      </c>
      <c r="B1589" s="25" t="s">
        <v>19</v>
      </c>
      <c r="C1589" s="23">
        <v>46095</v>
      </c>
      <c r="D1589" s="28" t="str">
        <f>_xlfn.XLOOKUP(Table134526_79101120212223242526[[#This Row],[Name Surname]],Manpower!$C$4:$C$1048576,Manpower!$B$4:$B$1048576,"")</f>
        <v>Encogroup</v>
      </c>
      <c r="E1589" s="21" t="s">
        <v>69</v>
      </c>
      <c r="F1589" s="12">
        <f>_xlfn.XLOOKUP(Table134526_79101120212223242526[[#This Row],[Name Surname]],Manpower!C:C,Manpower!D:D,)</f>
        <v>141169071</v>
      </c>
      <c r="G1589" s="28" t="str">
        <f>_xlfn.XLOOKUP(Table134526_79101120212223242526[[#This Row],[Name Surname]],Manpower!$C$4:$C$1048576,Manpower!$F$4:$F$1048576,"")</f>
        <v>Welding Supervisor</v>
      </c>
      <c r="H1589" s="28" t="str">
        <f>_xlfn.XLOOKUP(Table134526_79101120212223242526[[#This Row],[Name Surname]],Manpower!$C$4:$C$1048576,Manpower!$H$4:$H$1048576,"")</f>
        <v>Manpower</v>
      </c>
      <c r="I1589" s="28" t="str">
        <f>_xlfn.XLOOKUP(Table134526_79101120212223242526[[#This Row],[Name Surname]],Manpower!$C$4:$C$1048576,Manpower!$H$4:$H$1048576,"")</f>
        <v>Manpower</v>
      </c>
      <c r="J1589" s="21" t="s">
        <v>48</v>
      </c>
      <c r="K1589" s="21" t="s">
        <v>26</v>
      </c>
      <c r="L1589" s="21" t="s">
        <v>49</v>
      </c>
      <c r="M1589" s="21" t="s">
        <v>55</v>
      </c>
      <c r="N1589" s="29">
        <v>10</v>
      </c>
      <c r="R1589" s="21" t="s">
        <v>308</v>
      </c>
    </row>
    <row r="1590" spans="1:23" ht="14.4" hidden="1">
      <c r="A1590" s="33">
        <f>IF(C1590="","",MAX($A$1:A1589)+1)</f>
        <v>1500</v>
      </c>
      <c r="B1590" s="25" t="s">
        <v>19</v>
      </c>
      <c r="C1590" s="23">
        <v>46095</v>
      </c>
      <c r="D1590" s="28" t="str">
        <f>_xlfn.XLOOKUP(Table134526_79101120212223242526[[#This Row],[Name Surname]],Manpower!$C$4:$C$1048576,Manpower!$B$4:$B$1048576,"")</f>
        <v>Encogroup</v>
      </c>
      <c r="E1590" s="21" t="s">
        <v>59</v>
      </c>
      <c r="F1590" s="12">
        <f>_xlfn.XLOOKUP(Table134526_79101120212223242526[[#This Row],[Name Surname]],Manpower!C:C,Manpower!D:D,)</f>
        <v>141169085</v>
      </c>
      <c r="G1590" s="28" t="str">
        <f>_xlfn.XLOOKUP(Table134526_79101120212223242526[[#This Row],[Name Surname]],Manpower!$C$4:$C$1048576,Manpower!$F$4:$F$1048576,"")</f>
        <v>Welder</v>
      </c>
      <c r="H1590" s="28" t="str">
        <f>_xlfn.XLOOKUP(Table134526_79101120212223242526[[#This Row],[Name Surname]],Manpower!$C$4:$C$1048576,Manpower!$H$4:$H$1048576,"")</f>
        <v>Manpower</v>
      </c>
      <c r="I1590" s="28" t="str">
        <f>_xlfn.XLOOKUP(Table134526_79101120212223242526[[#This Row],[Name Surname]],Manpower!$C$4:$C$1048576,Manpower!$H$4:$H$1048576,"")</f>
        <v>Manpower</v>
      </c>
      <c r="J1590" s="21" t="s">
        <v>48</v>
      </c>
      <c r="K1590" s="21" t="s">
        <v>26</v>
      </c>
      <c r="L1590" s="21" t="s">
        <v>49</v>
      </c>
      <c r="M1590" s="21" t="s">
        <v>55</v>
      </c>
      <c r="N1590" s="29">
        <v>5</v>
      </c>
    </row>
    <row r="1591" spans="1:23" ht="14.4" hidden="1">
      <c r="A1591" s="33">
        <f>IF(C1591="","",MAX($A$1:A1590)+1)</f>
        <v>1501</v>
      </c>
      <c r="B1591" s="25" t="s">
        <v>19</v>
      </c>
      <c r="C1591" s="23">
        <v>46095</v>
      </c>
      <c r="D1591" s="28" t="str">
        <f>_xlfn.XLOOKUP(Table134526_79101120212223242526[[#This Row],[Name Surname]],Manpower!$C$4:$C$1048576,Manpower!$B$4:$B$1048576,"")</f>
        <v>Encogroup</v>
      </c>
      <c r="E1591" s="21" t="s">
        <v>61</v>
      </c>
      <c r="F1591" s="12">
        <f>_xlfn.XLOOKUP(Table134526_79101120212223242526[[#This Row],[Name Surname]],Manpower!C:C,Manpower!D:D,)</f>
        <v>141169047</v>
      </c>
      <c r="G1591" s="28" t="str">
        <f>_xlfn.XLOOKUP(Table134526_79101120212223242526[[#This Row],[Name Surname]],Manpower!$C$4:$C$1048576,Manpower!$F$4:$F$1048576,"")</f>
        <v>Welder</v>
      </c>
      <c r="H1591" s="28" t="str">
        <f>_xlfn.XLOOKUP(Table134526_79101120212223242526[[#This Row],[Name Surname]],Manpower!$C$4:$C$1048576,Manpower!$H$4:$H$1048576,"")</f>
        <v>Manpower</v>
      </c>
      <c r="I1591" s="28" t="str">
        <f>_xlfn.XLOOKUP(Table134526_79101120212223242526[[#This Row],[Name Surname]],Manpower!$C$4:$C$1048576,Manpower!$H$4:$H$1048576,"")</f>
        <v>Manpower</v>
      </c>
      <c r="J1591" s="21" t="s">
        <v>48</v>
      </c>
      <c r="K1591" s="21" t="s">
        <v>26</v>
      </c>
      <c r="L1591" s="21" t="s">
        <v>49</v>
      </c>
      <c r="M1591" s="21" t="s">
        <v>55</v>
      </c>
      <c r="N1591" s="29">
        <v>5</v>
      </c>
    </row>
    <row r="1592" spans="1:23" ht="14.4" hidden="1">
      <c r="A1592" s="33">
        <f>IF(C1592="","",MAX($A$1:A1591)+1)</f>
        <v>1502</v>
      </c>
      <c r="B1592" s="25" t="s">
        <v>19</v>
      </c>
      <c r="C1592" s="23">
        <v>46095</v>
      </c>
      <c r="D1592" s="28" t="str">
        <f>_xlfn.XLOOKUP(Table134526_79101120212223242526[[#This Row],[Name Surname]],Manpower!$C$4:$C$1048576,Manpower!$B$4:$B$1048576,"")</f>
        <v>Encogroup</v>
      </c>
      <c r="E1592" s="21" t="s">
        <v>70</v>
      </c>
      <c r="F1592" s="12">
        <f>_xlfn.XLOOKUP(Table134526_79101120212223242526[[#This Row],[Name Surname]],Manpower!C:C,Manpower!D:D,)</f>
        <v>141365126</v>
      </c>
      <c r="G1592" s="28" t="str">
        <f>_xlfn.XLOOKUP(Table134526_79101120212223242526[[#This Row],[Name Surname]],Manpower!$C$4:$C$1048576,Manpower!$F$4:$F$1048576,"")</f>
        <v>Helper</v>
      </c>
      <c r="H1592" s="28" t="str">
        <f>_xlfn.XLOOKUP(Table134526_79101120212223242526[[#This Row],[Name Surname]],Manpower!$C$4:$C$1048576,Manpower!$H$4:$H$1048576,"")</f>
        <v>Manpower</v>
      </c>
      <c r="I1592" s="28" t="str">
        <f>_xlfn.XLOOKUP(Table134526_79101120212223242526[[#This Row],[Name Surname]],Manpower!$C$4:$C$1048576,Manpower!$H$4:$H$1048576,"")</f>
        <v>Manpower</v>
      </c>
      <c r="J1592" s="21" t="s">
        <v>48</v>
      </c>
      <c r="K1592" s="21" t="s">
        <v>26</v>
      </c>
      <c r="L1592" s="21" t="s">
        <v>49</v>
      </c>
      <c r="M1592" s="21" t="s">
        <v>55</v>
      </c>
      <c r="N1592" s="29">
        <v>10</v>
      </c>
      <c r="R1592" s="21" t="s">
        <v>308</v>
      </c>
    </row>
    <row r="1593" spans="1:23" s="45" customFormat="1" ht="14.4" hidden="1">
      <c r="A1593" s="25">
        <f>IF(C1593="","",MAX($A$1:A1592)+1)</f>
        <v>1503</v>
      </c>
      <c r="B1593" s="25" t="s">
        <v>19</v>
      </c>
      <c r="C1593" s="23">
        <v>46095</v>
      </c>
      <c r="D1593" s="28" t="str">
        <f>_xlfn.XLOOKUP(Table134526_79101120212223242526[[#This Row],[Name Surname]],Manpower!$C$4:$C$1048576,Manpower!$B$4:$B$1048576,"")</f>
        <v>Bright Light</v>
      </c>
      <c r="E1593" s="21" t="s">
        <v>71</v>
      </c>
      <c r="F1593" s="12">
        <f>_xlfn.XLOOKUP(Table134526_79101120212223242526[[#This Row],[Name Surname]],Manpower!C:C,Manpower!D:D,)</f>
        <v>81379273</v>
      </c>
      <c r="G1593" s="28" t="str">
        <f>_xlfn.XLOOKUP(Table134526_79101120212223242526[[#This Row],[Name Surname]],Manpower!$C$4:$C$1048576,Manpower!$F$4:$F$1048576,"")</f>
        <v>Crane Operator-100T Sany Telescopic</v>
      </c>
      <c r="H1593" s="28" t="str">
        <f>_xlfn.XLOOKUP(Table134526_79101120212223242526[[#This Row],[Name Surname]],Manpower!$C$4:$C$1048576,Manpower!$H$4:$H$1048576,"")</f>
        <v>Manpower</v>
      </c>
      <c r="I1593" s="28" t="str">
        <f>_xlfn.XLOOKUP(Table134526_79101120212223242526[[#This Row],[Name Surname]],Manpower!$C$4:$C$1048576,Manpower!$H$4:$H$1048576,"")</f>
        <v>Manpower</v>
      </c>
      <c r="J1593" s="21" t="s">
        <v>48</v>
      </c>
      <c r="K1593" s="21" t="s">
        <v>26</v>
      </c>
      <c r="L1593" s="21" t="s">
        <v>49</v>
      </c>
      <c r="M1593" s="21" t="s">
        <v>55</v>
      </c>
      <c r="N1593" s="29">
        <v>10</v>
      </c>
      <c r="O1593" s="21"/>
      <c r="P1593" s="21"/>
      <c r="Q1593" s="21"/>
      <c r="R1593" s="21" t="s">
        <v>308</v>
      </c>
      <c r="S1593" s="21"/>
      <c r="T1593" s="12"/>
      <c r="U1593" s="12"/>
      <c r="V1593" s="12"/>
      <c r="W1593" s="12"/>
    </row>
    <row r="1594" spans="1:23" s="45" customFormat="1" ht="14.4" hidden="1">
      <c r="A1594" s="25">
        <f>IF(C1594="","",MAX($A$1:A1593)+1)</f>
        <v>1504</v>
      </c>
      <c r="B1594" s="25" t="s">
        <v>19</v>
      </c>
      <c r="C1594" s="23">
        <v>46095</v>
      </c>
      <c r="D1594" s="28" t="str">
        <f>_xlfn.XLOOKUP(Table134526_79101120212223242526[[#This Row],[Name Surname]],Manpower!$C$4:$C$1048576,Manpower!$B$4:$B$1048576,"")</f>
        <v>Encogroup</v>
      </c>
      <c r="E1594" s="21" t="s">
        <v>73</v>
      </c>
      <c r="F1594" s="12">
        <f>_xlfn.XLOOKUP(Table134526_79101120212223242526[[#This Row],[Name Surname]],Manpower!C:C,Manpower!D:D,)</f>
        <v>135325259</v>
      </c>
      <c r="G1594" s="28" t="str">
        <f>_xlfn.XLOOKUP(Table134526_79101120212223242526[[#This Row],[Name Surname]],Manpower!$C$4:$C$1048576,Manpower!$F$4:$F$1048576,"")</f>
        <v>Permit Receiver</v>
      </c>
      <c r="H1594" s="28" t="str">
        <f>_xlfn.XLOOKUP(Table134526_79101120212223242526[[#This Row],[Name Surname]],Manpower!$C$4:$C$1048576,Manpower!$H$4:$H$1048576,"")</f>
        <v>Manpower</v>
      </c>
      <c r="I1594" s="28" t="str">
        <f>_xlfn.XLOOKUP(Table134526_79101120212223242526[[#This Row],[Name Surname]],Manpower!$C$4:$C$1048576,Manpower!$H$4:$H$1048576,"")</f>
        <v>Manpower</v>
      </c>
      <c r="J1594" s="21" t="s">
        <v>48</v>
      </c>
      <c r="K1594" s="21" t="s">
        <v>26</v>
      </c>
      <c r="L1594" s="21" t="s">
        <v>49</v>
      </c>
      <c r="M1594" s="21" t="s">
        <v>55</v>
      </c>
      <c r="N1594" s="29">
        <v>10</v>
      </c>
      <c r="O1594" s="21"/>
      <c r="P1594" s="21"/>
      <c r="Q1594" s="21"/>
      <c r="R1594" s="21" t="s">
        <v>308</v>
      </c>
      <c r="S1594" s="21"/>
      <c r="T1594" s="12"/>
      <c r="U1594" s="12"/>
      <c r="V1594" s="12"/>
      <c r="W1594" s="12"/>
    </row>
    <row r="1595" spans="1:23" ht="14.4" hidden="1">
      <c r="A1595" s="33">
        <f>IF(C1595="","",MAX($A$1:A1594)+1)</f>
        <v>1505</v>
      </c>
      <c r="B1595" s="25" t="s">
        <v>19</v>
      </c>
      <c r="C1595" s="23">
        <v>46095</v>
      </c>
      <c r="D1595" s="28" t="str">
        <f>_xlfn.XLOOKUP(Table134526_79101120212223242526[[#This Row],[Name Surname]],Manpower!$C$4:$C$1048576,Manpower!$B$4:$B$1048576,"")</f>
        <v>Encogroup</v>
      </c>
      <c r="E1595" s="21" t="s">
        <v>74</v>
      </c>
      <c r="F1595" s="12">
        <f>_xlfn.XLOOKUP(Table134526_79101120212223242526[[#This Row],[Name Surname]],Manpower!C:C,Manpower!D:D,)</f>
        <v>141365089</v>
      </c>
      <c r="G1595" s="28" t="str">
        <f>_xlfn.XLOOKUP(Table134526_79101120212223242526[[#This Row],[Name Surname]],Manpower!$C$4:$C$1048576,Manpower!$F$4:$F$1048576,"")</f>
        <v>Fitter</v>
      </c>
      <c r="H1595" s="28" t="str">
        <f>_xlfn.XLOOKUP(Table134526_79101120212223242526[[#This Row],[Name Surname]],Manpower!$C$4:$C$1048576,Manpower!$H$4:$H$1048576,"")</f>
        <v>Manpower</v>
      </c>
      <c r="I1595" s="28" t="str">
        <f>_xlfn.XLOOKUP(Table134526_79101120212223242526[[#This Row],[Name Surname]],Manpower!$C$4:$C$1048576,Manpower!$H$4:$H$1048576,"")</f>
        <v>Manpower</v>
      </c>
      <c r="J1595" s="21" t="s">
        <v>48</v>
      </c>
      <c r="K1595" s="21" t="s">
        <v>26</v>
      </c>
      <c r="L1595" s="21" t="s">
        <v>49</v>
      </c>
      <c r="M1595" s="21" t="s">
        <v>55</v>
      </c>
      <c r="N1595" s="29">
        <v>10</v>
      </c>
      <c r="R1595" s="21" t="s">
        <v>308</v>
      </c>
    </row>
    <row r="1596" spans="1:23" ht="14.4" hidden="1">
      <c r="A1596" s="33">
        <f>IF(C1596="","",MAX($A$1:A1595)+1)</f>
        <v>1506</v>
      </c>
      <c r="B1596" s="25" t="s">
        <v>19</v>
      </c>
      <c r="C1596" s="23">
        <v>46095</v>
      </c>
      <c r="D1596" s="28" t="str">
        <f>_xlfn.XLOOKUP(Table134526_79101120212223242526[[#This Row],[Name Surname]],Manpower!$C$4:$C$1048576,Manpower!$B$4:$B$1048576,"")</f>
        <v>Encogroup</v>
      </c>
      <c r="E1596" s="21" t="s">
        <v>75</v>
      </c>
      <c r="F1596" s="12">
        <f>_xlfn.XLOOKUP(Table134526_79101120212223242526[[#This Row],[Name Surname]],Manpower!C:C,Manpower!D:D,)</f>
        <v>122179604</v>
      </c>
      <c r="G1596" s="28" t="str">
        <f>_xlfn.XLOOKUP(Table134526_79101120212223242526[[#This Row],[Name Surname]],Manpower!$C$4:$C$1048576,Manpower!$F$4:$F$1048576,"")</f>
        <v>Fitter/Erector</v>
      </c>
      <c r="H1596" s="28" t="str">
        <f>_xlfn.XLOOKUP(Table134526_79101120212223242526[[#This Row],[Name Surname]],Manpower!$C$4:$C$1048576,Manpower!$H$4:$H$1048576,"")</f>
        <v>Manpower</v>
      </c>
      <c r="I1596" s="28" t="str">
        <f>_xlfn.XLOOKUP(Table134526_79101120212223242526[[#This Row],[Name Surname]],Manpower!$C$4:$C$1048576,Manpower!$H$4:$H$1048576,"")</f>
        <v>Manpower</v>
      </c>
      <c r="J1596" s="21" t="s">
        <v>48</v>
      </c>
      <c r="K1596" s="21" t="s">
        <v>26</v>
      </c>
      <c r="L1596" s="21" t="s">
        <v>49</v>
      </c>
      <c r="M1596" s="21" t="s">
        <v>55</v>
      </c>
      <c r="N1596" s="29">
        <v>10</v>
      </c>
      <c r="R1596" s="21" t="s">
        <v>308</v>
      </c>
    </row>
    <row r="1597" spans="1:23" s="45" customFormat="1" ht="14.4" hidden="1">
      <c r="A1597" s="25">
        <f>IF(C1597="","",MAX($A$1:A1596)+1)</f>
        <v>1507</v>
      </c>
      <c r="B1597" s="25" t="s">
        <v>19</v>
      </c>
      <c r="C1597" s="23">
        <v>46095</v>
      </c>
      <c r="D1597" s="28" t="str">
        <f>_xlfn.XLOOKUP(Table134526_79101120212223242526[[#This Row],[Name Surname]],Manpower!$C$4:$C$1048576,Manpower!$B$4:$B$1048576,"")</f>
        <v>Encogroup</v>
      </c>
      <c r="E1597" s="21" t="s">
        <v>78</v>
      </c>
      <c r="F1597" s="12">
        <f>_xlfn.XLOOKUP(Table134526_79101120212223242526[[#This Row],[Name Surname]],Manpower!C:C,Manpower!D:D,)</f>
        <v>117255966</v>
      </c>
      <c r="G1597" s="28" t="str">
        <f>_xlfn.XLOOKUP(Table134526_79101120212223242526[[#This Row],[Name Surname]],Manpower!$C$4:$C$1048576,Manpower!$F$4:$F$1048576,"")</f>
        <v>Mechanical Supervisor</v>
      </c>
      <c r="H1597" s="28" t="str">
        <f>_xlfn.XLOOKUP(Table134526_79101120212223242526[[#This Row],[Name Surname]],Manpower!$C$4:$C$1048576,Manpower!$H$4:$H$1048576,"")</f>
        <v>Manpower</v>
      </c>
      <c r="I1597" s="28" t="str">
        <f>_xlfn.XLOOKUP(Table134526_79101120212223242526[[#This Row],[Name Surname]],Manpower!$C$4:$C$1048576,Manpower!$H$4:$H$1048576,"")</f>
        <v>Manpower</v>
      </c>
      <c r="J1597" s="21" t="s">
        <v>48</v>
      </c>
      <c r="K1597" s="21" t="s">
        <v>26</v>
      </c>
      <c r="L1597" s="21" t="s">
        <v>49</v>
      </c>
      <c r="M1597" s="21" t="s">
        <v>55</v>
      </c>
      <c r="N1597" s="29">
        <v>10</v>
      </c>
      <c r="O1597" s="21"/>
      <c r="P1597" s="21"/>
      <c r="Q1597" s="21"/>
      <c r="R1597" s="21" t="s">
        <v>308</v>
      </c>
      <c r="S1597" s="21"/>
      <c r="T1597" s="12"/>
      <c r="U1597" s="12"/>
      <c r="V1597" s="12"/>
      <c r="W1597" s="12"/>
    </row>
    <row r="1598" spans="1:23" ht="14.4">
      <c r="A1598" s="33">
        <f>IF(C1598="","",MAX($A$1:A1597)+1)</f>
        <v>1508</v>
      </c>
      <c r="B1598" s="26" t="s">
        <v>79</v>
      </c>
      <c r="C1598" s="23">
        <v>46095</v>
      </c>
      <c r="D1598" s="28" t="str">
        <f>_xlfn.XLOOKUP(Table134526_79101120212223242526[[#This Row],[Name Surname]],Manpower!$C$4:$C$1048576,Manpower!$B$4:$B$1048576,"")</f>
        <v>Encogroup</v>
      </c>
      <c r="E1598" s="21" t="s">
        <v>80</v>
      </c>
      <c r="F1598" s="12" t="e">
        <f>_xlfn.XLOOKUP(Table134526_79101120212223242526[[#This Row],[Name Surname]],Manpower!C:C,Manpower!D:D,)</f>
        <v>#N/A</v>
      </c>
      <c r="G1598" s="28" t="str">
        <f>_xlfn.XLOOKUP(Table134526_79101120212223242526[[#This Row],[Name Surname]],Manpower!$C$4:$C$1048576,Manpower!$F$4:$F$1048576,"")</f>
        <v>22M-Manlift</v>
      </c>
      <c r="H1598" s="28" t="str">
        <f>_xlfn.XLOOKUP(Table134526_79101120212223242526[[#This Row],[Name Surname]],Manpower!$C$4:$C$1048576,Manpower!$H$4:$H$1048576,"")</f>
        <v>Equipment</v>
      </c>
      <c r="I1598" s="28" t="str">
        <f>_xlfn.XLOOKUP(Table134526_79101120212223242526[[#This Row],[Name Surname]],Manpower!$C$4:$C$1048576,Manpower!$H$4:$H$1048576,"")</f>
        <v>Equipment</v>
      </c>
      <c r="J1598" s="21" t="s">
        <v>35</v>
      </c>
      <c r="K1598" s="21" t="s">
        <v>104</v>
      </c>
      <c r="L1598" s="21" t="s">
        <v>82</v>
      </c>
      <c r="M1598" s="21" t="s">
        <v>55</v>
      </c>
      <c r="N1598" s="29">
        <v>10</v>
      </c>
      <c r="R1598" s="21" t="s">
        <v>308</v>
      </c>
    </row>
    <row r="1599" spans="1:23" ht="14.4">
      <c r="A1599" s="33">
        <f>IF(C1599="","",MAX($A$1:A1598)+1)</f>
        <v>1509</v>
      </c>
      <c r="B1599" s="26" t="s">
        <v>79</v>
      </c>
      <c r="C1599" s="23">
        <v>46095</v>
      </c>
      <c r="D1599" s="28" t="str">
        <f>_xlfn.XLOOKUP(Table134526_79101120212223242526[[#This Row],[Name Surname]],Manpower!$C$4:$C$1048576,Manpower!$B$4:$B$1048576,"")</f>
        <v>Encogroup</v>
      </c>
      <c r="E1599" s="21" t="s">
        <v>84</v>
      </c>
      <c r="F1599" s="12" t="e">
        <f>_xlfn.XLOOKUP(Table134526_79101120212223242526[[#This Row],[Name Surname]],Manpower!C:C,Manpower!D:D,)</f>
        <v>#N/A</v>
      </c>
      <c r="G1599" s="28" t="str">
        <f>_xlfn.XLOOKUP(Table134526_79101120212223242526[[#This Row],[Name Surname]],Manpower!$C$4:$C$1048576,Manpower!$F$4:$F$1048576,"")</f>
        <v>22M-Manlift</v>
      </c>
      <c r="H1599" s="28" t="str">
        <f>_xlfn.XLOOKUP(Table134526_79101120212223242526[[#This Row],[Name Surname]],Manpower!$C$4:$C$1048576,Manpower!$H$4:$H$1048576,"")</f>
        <v>Equipment</v>
      </c>
      <c r="I1599" s="28" t="str">
        <f>_xlfn.XLOOKUP(Table134526_79101120212223242526[[#This Row],[Name Surname]],Manpower!$C$4:$C$1048576,Manpower!$H$4:$H$1048576,"")</f>
        <v>Equipment</v>
      </c>
      <c r="J1599" s="21" t="s">
        <v>35</v>
      </c>
      <c r="K1599" s="21" t="s">
        <v>104</v>
      </c>
      <c r="L1599" s="21" t="s">
        <v>82</v>
      </c>
      <c r="M1599" s="21" t="s">
        <v>55</v>
      </c>
      <c r="N1599" s="29">
        <v>10</v>
      </c>
      <c r="R1599" s="21" t="s">
        <v>308</v>
      </c>
    </row>
    <row r="1600" spans="1:23" ht="14.4">
      <c r="A1600" s="33">
        <f>IF(C1600="","",MAX($A$1:A1599)+1)</f>
        <v>1510</v>
      </c>
      <c r="B1600" s="26" t="s">
        <v>79</v>
      </c>
      <c r="C1600" s="23">
        <v>46095</v>
      </c>
      <c r="D1600" s="28" t="str">
        <f>_xlfn.XLOOKUP(Table134526_79101120212223242526[[#This Row],[Name Surname]],Manpower!$C$4:$C$1048576,Manpower!$B$4:$B$1048576,"")</f>
        <v>Nass Group</v>
      </c>
      <c r="E1600" s="21" t="s">
        <v>86</v>
      </c>
      <c r="F1600" s="12" t="e">
        <f>_xlfn.XLOOKUP(Table134526_79101120212223242526[[#This Row],[Name Surname]],Manpower!C:C,Manpower!D:D,)</f>
        <v>#N/A</v>
      </c>
      <c r="G1600" s="28" t="str">
        <f>_xlfn.XLOOKUP(Table134526_79101120212223242526[[#This Row],[Name Surname]],Manpower!$C$4:$C$1048576,Manpower!$F$4:$F$1048576,"")</f>
        <v>70T-Telescopic crane</v>
      </c>
      <c r="H1600" s="28" t="str">
        <f>_xlfn.XLOOKUP(Table134526_79101120212223242526[[#This Row],[Name Surname]],Manpower!$C$4:$C$1048576,Manpower!$H$4:$H$1048576,"")</f>
        <v>Equipment</v>
      </c>
      <c r="I1600" s="28" t="str">
        <f>_xlfn.XLOOKUP(Table134526_79101120212223242526[[#This Row],[Name Surname]],Manpower!$C$4:$C$1048576,Manpower!$H$4:$H$1048576,"")</f>
        <v>Equipment</v>
      </c>
      <c r="J1600" s="21" t="s">
        <v>35</v>
      </c>
      <c r="K1600" s="21" t="s">
        <v>279</v>
      </c>
      <c r="L1600" s="21" t="s">
        <v>82</v>
      </c>
      <c r="M1600" s="21" t="s">
        <v>55</v>
      </c>
      <c r="N1600" s="29">
        <v>10</v>
      </c>
      <c r="R1600" s="21" t="s">
        <v>308</v>
      </c>
    </row>
    <row r="1601" spans="1:18" ht="14.4" hidden="1">
      <c r="A1601" s="33">
        <f>IF(C1601="","",MAX($A$1:A1600)+1)</f>
        <v>1511</v>
      </c>
      <c r="B1601" s="26" t="s">
        <v>79</v>
      </c>
      <c r="C1601" s="23">
        <v>46095</v>
      </c>
      <c r="D1601" s="28" t="str">
        <f>_xlfn.XLOOKUP(Table134526_79101120212223242526[[#This Row],[Name Surname]],Manpower!$C$4:$C$1048576,Manpower!$B$4:$B$1048576,"")</f>
        <v>Encogroup</v>
      </c>
      <c r="E1601" s="21" t="s">
        <v>91</v>
      </c>
      <c r="F1601" s="12">
        <f>_xlfn.XLOOKUP(Table134526_79101120212223242526[[#This Row],[Name Surname]],Manpower!C:C,Manpower!D:D,)</f>
        <v>132915855</v>
      </c>
      <c r="G1601" s="28" t="str">
        <f>_xlfn.XLOOKUP(Table134526_79101120212223242526[[#This Row],[Name Surname]],Manpower!$C$4:$C$1048576,Manpower!$F$4:$F$1048576,"")</f>
        <v>Mechanical Supervisor</v>
      </c>
      <c r="H1601" s="28" t="str">
        <f>_xlfn.XLOOKUP(Table134526_79101120212223242526[[#This Row],[Name Surname]],Manpower!$C$4:$C$1048576,Manpower!$H$4:$H$1048576,"")</f>
        <v>Manpower</v>
      </c>
      <c r="I1601" s="28" t="str">
        <f>_xlfn.XLOOKUP(Table134526_79101120212223242526[[#This Row],[Name Surname]],Manpower!$C$4:$C$1048576,Manpower!$H$4:$H$1048576,"")</f>
        <v>Manpower</v>
      </c>
      <c r="J1601" s="21" t="s">
        <v>35</v>
      </c>
      <c r="K1601" s="21" t="s">
        <v>279</v>
      </c>
      <c r="L1601" s="21" t="s">
        <v>82</v>
      </c>
      <c r="M1601" s="21" t="s">
        <v>55</v>
      </c>
      <c r="N1601" s="29">
        <v>6</v>
      </c>
      <c r="R1601" s="21" t="s">
        <v>308</v>
      </c>
    </row>
    <row r="1602" spans="1:18" ht="14.4" hidden="1">
      <c r="A1602" s="33">
        <f>IF(C1602="","",MAX($A$1:A1601)+1)</f>
        <v>1512</v>
      </c>
      <c r="B1602" s="26" t="s">
        <v>79</v>
      </c>
      <c r="C1602" s="23">
        <v>46095</v>
      </c>
      <c r="D1602" s="28" t="str">
        <f>_xlfn.XLOOKUP(Table134526_79101120212223242526[[#This Row],[Name Surname]],Manpower!$C$4:$C$1048576,Manpower!$B$4:$B$1048576,"")</f>
        <v>Encogroup</v>
      </c>
      <c r="E1602" s="21" t="s">
        <v>124</v>
      </c>
      <c r="F1602" s="12">
        <f>_xlfn.XLOOKUP(Table134526_79101120212223242526[[#This Row],[Name Surname]],Manpower!C:C,Manpower!D:D,)</f>
        <v>141169033</v>
      </c>
      <c r="G1602" s="28" t="str">
        <f>_xlfn.XLOOKUP(Table134526_79101120212223242526[[#This Row],[Name Surname]],Manpower!$C$4:$C$1048576,Manpower!$F$4:$F$1048576,"")</f>
        <v>Welder</v>
      </c>
      <c r="H1602" s="28" t="str">
        <f>_xlfn.XLOOKUP(Table134526_79101120212223242526[[#This Row],[Name Surname]],Manpower!$C$4:$C$1048576,Manpower!$H$4:$H$1048576,"")</f>
        <v>Manpower</v>
      </c>
      <c r="I1602" s="28" t="str">
        <f>_xlfn.XLOOKUP(Table134526_79101120212223242526[[#This Row],[Name Surname]],Manpower!$C$4:$C$1048576,Manpower!$H$4:$H$1048576,"")</f>
        <v>Manpower</v>
      </c>
      <c r="J1602" s="21" t="s">
        <v>35</v>
      </c>
      <c r="K1602" s="21" t="s">
        <v>281</v>
      </c>
      <c r="L1602" s="21" t="s">
        <v>82</v>
      </c>
      <c r="M1602" s="21" t="s">
        <v>55</v>
      </c>
      <c r="N1602" s="29">
        <v>10</v>
      </c>
      <c r="R1602" s="21" t="s">
        <v>308</v>
      </c>
    </row>
    <row r="1603" spans="1:18" ht="14.4" hidden="1">
      <c r="A1603" s="33">
        <f>IF(C1603="","",MAX($A$1:A1602)+1)</f>
        <v>1513</v>
      </c>
      <c r="B1603" s="26" t="s">
        <v>79</v>
      </c>
      <c r="C1603" s="23">
        <v>46095</v>
      </c>
      <c r="D1603" s="28" t="str">
        <f>_xlfn.XLOOKUP(Table134526_79101120212223242526[[#This Row],[Name Surname]],Manpower!$C$4:$C$1048576,Manpower!$B$4:$B$1048576,"")</f>
        <v>Encogroup</v>
      </c>
      <c r="E1603" s="21" t="s">
        <v>97</v>
      </c>
      <c r="F1603" s="12">
        <f>_xlfn.XLOOKUP(Table134526_79101120212223242526[[#This Row],[Name Surname]],Manpower!C:C,Manpower!D:D,)</f>
        <v>141359235</v>
      </c>
      <c r="G1603" s="28" t="str">
        <f>_xlfn.XLOOKUP(Table134526_79101120212223242526[[#This Row],[Name Surname]],Manpower!$C$4:$C$1048576,Manpower!$F$4:$F$1048576,"")</f>
        <v>Fitter</v>
      </c>
      <c r="H1603" s="28" t="str">
        <f>_xlfn.XLOOKUP(Table134526_79101120212223242526[[#This Row],[Name Surname]],Manpower!$C$4:$C$1048576,Manpower!$H$4:$H$1048576,"")</f>
        <v>Manpower</v>
      </c>
      <c r="I1603" s="28" t="str">
        <f>_xlfn.XLOOKUP(Table134526_79101120212223242526[[#This Row],[Name Surname]],Manpower!$C$4:$C$1048576,Manpower!$H$4:$H$1048576,"")</f>
        <v>Manpower</v>
      </c>
      <c r="J1603" s="21" t="s">
        <v>35</v>
      </c>
      <c r="K1603" s="21" t="s">
        <v>104</v>
      </c>
      <c r="L1603" s="21" t="s">
        <v>82</v>
      </c>
      <c r="M1603" s="21" t="s">
        <v>55</v>
      </c>
      <c r="N1603" s="29">
        <v>10</v>
      </c>
      <c r="R1603" s="21" t="s">
        <v>308</v>
      </c>
    </row>
    <row r="1604" spans="1:18" ht="14.4" hidden="1">
      <c r="A1604" s="33">
        <f>IF(C1604="","",MAX($A$1:A1603)+1)</f>
        <v>1514</v>
      </c>
      <c r="B1604" s="26" t="s">
        <v>79</v>
      </c>
      <c r="C1604" s="23">
        <v>46095</v>
      </c>
      <c r="D1604" s="28" t="str">
        <f>_xlfn.XLOOKUP(Table134526_79101120212223242526[[#This Row],[Name Surname]],Manpower!$C$4:$C$1048576,Manpower!$B$4:$B$1048576,"")</f>
        <v>Encogroup</v>
      </c>
      <c r="E1604" s="21" t="s">
        <v>99</v>
      </c>
      <c r="F1604" s="12">
        <f>_xlfn.XLOOKUP(Table134526_79101120212223242526[[#This Row],[Name Surname]],Manpower!C:C,Manpower!D:D,)</f>
        <v>140697025</v>
      </c>
      <c r="G1604" s="28" t="str">
        <f>_xlfn.XLOOKUP(Table134526_79101120212223242526[[#This Row],[Name Surname]],Manpower!$C$4:$C$1048576,Manpower!$F$4:$F$1048576,"")</f>
        <v>Assistant/Helper</v>
      </c>
      <c r="H1604" s="28" t="str">
        <f>_xlfn.XLOOKUP(Table134526_79101120212223242526[[#This Row],[Name Surname]],Manpower!$C$4:$C$1048576,Manpower!$H$4:$H$1048576,"")</f>
        <v>Manpower</v>
      </c>
      <c r="I1604" s="28" t="str">
        <f>_xlfn.XLOOKUP(Table134526_79101120212223242526[[#This Row],[Name Surname]],Manpower!$C$4:$C$1048576,Manpower!$H$4:$H$1048576,"")</f>
        <v>Manpower</v>
      </c>
      <c r="J1604" s="21" t="s">
        <v>35</v>
      </c>
      <c r="K1604" s="21" t="s">
        <v>279</v>
      </c>
      <c r="L1604" s="21" t="s">
        <v>82</v>
      </c>
      <c r="M1604" s="21" t="s">
        <v>55</v>
      </c>
      <c r="N1604" s="29">
        <v>10</v>
      </c>
      <c r="R1604" s="21" t="s">
        <v>308</v>
      </c>
    </row>
    <row r="1605" spans="1:18" ht="14.4" hidden="1">
      <c r="A1605" s="33">
        <f>IF(C1605="","",MAX($A$1:A1604)+1)</f>
        <v>1515</v>
      </c>
      <c r="B1605" s="26" t="s">
        <v>79</v>
      </c>
      <c r="C1605" s="23">
        <v>46095</v>
      </c>
      <c r="D1605" s="28" t="str">
        <f>_xlfn.XLOOKUP(Table134526_79101120212223242526[[#This Row],[Name Surname]],Manpower!$C$4:$C$1048576,Manpower!$B$4:$B$1048576,"")</f>
        <v>Encogroup</v>
      </c>
      <c r="E1605" s="21" t="s">
        <v>101</v>
      </c>
      <c r="F1605" s="12">
        <f>_xlfn.XLOOKUP(Table134526_79101120212223242526[[#This Row],[Name Surname]],Manpower!C:C,Manpower!D:D,)</f>
        <v>141169052</v>
      </c>
      <c r="G1605" s="28" t="str">
        <f>_xlfn.XLOOKUP(Table134526_79101120212223242526[[#This Row],[Name Surname]],Manpower!$C$4:$C$1048576,Manpower!$F$4:$F$1048576,"")</f>
        <v>Welder</v>
      </c>
      <c r="H1605" s="28" t="str">
        <f>_xlfn.XLOOKUP(Table134526_79101120212223242526[[#This Row],[Name Surname]],Manpower!$C$4:$C$1048576,Manpower!$H$4:$H$1048576,"")</f>
        <v>Manpower</v>
      </c>
      <c r="I1605" s="28" t="str">
        <f>_xlfn.XLOOKUP(Table134526_79101120212223242526[[#This Row],[Name Surname]],Manpower!$C$4:$C$1048576,Manpower!$H$4:$H$1048576,"")</f>
        <v>Manpower</v>
      </c>
      <c r="J1605" s="21" t="s">
        <v>35</v>
      </c>
      <c r="K1605" s="21" t="s">
        <v>104</v>
      </c>
      <c r="L1605" s="21" t="s">
        <v>82</v>
      </c>
      <c r="M1605" s="21" t="s">
        <v>55</v>
      </c>
      <c r="N1605" s="29">
        <v>10</v>
      </c>
      <c r="R1605" s="21" t="s">
        <v>308</v>
      </c>
    </row>
    <row r="1606" spans="1:18" ht="14.4" hidden="1">
      <c r="A1606" s="33">
        <f>IF(C1606="","",MAX($A$1:A1605)+1)</f>
        <v>1516</v>
      </c>
      <c r="B1606" s="26" t="s">
        <v>79</v>
      </c>
      <c r="C1606" s="23">
        <v>46095</v>
      </c>
      <c r="D1606" s="28" t="str">
        <f>_xlfn.XLOOKUP(Table134526_79101120212223242526[[#This Row],[Name Surname]],Manpower!$C$4:$C$1048576,Manpower!$B$4:$B$1048576,"")</f>
        <v>SARENS NASS</v>
      </c>
      <c r="E1606" s="21" t="s">
        <v>103</v>
      </c>
      <c r="F1606" s="12">
        <f>_xlfn.XLOOKUP(Table134526_79101120212223242526[[#This Row],[Name Surname]],Manpower!C:C,Manpower!D:D,)</f>
        <v>79502392</v>
      </c>
      <c r="G1606" s="28" t="str">
        <f>_xlfn.XLOOKUP(Table134526_79101120212223242526[[#This Row],[Name Surname]],Manpower!$C$4:$C$1048576,Manpower!$F$4:$F$1048576,"")</f>
        <v>Crane Operator- 70T Liebherr Telescopic Crane-01</v>
      </c>
      <c r="H1606" s="28" t="str">
        <f>_xlfn.XLOOKUP(Table134526_79101120212223242526[[#This Row],[Name Surname]],Manpower!$C$4:$C$1048576,Manpower!$H$4:$H$1048576,"")</f>
        <v>Manpower</v>
      </c>
      <c r="I1606" s="28" t="str">
        <f>_xlfn.XLOOKUP(Table134526_79101120212223242526[[#This Row],[Name Surname]],Manpower!$C$4:$C$1048576,Manpower!$H$4:$H$1048576,"")</f>
        <v>Manpower</v>
      </c>
      <c r="J1606" s="21" t="s">
        <v>35</v>
      </c>
      <c r="K1606" s="21" t="s">
        <v>279</v>
      </c>
      <c r="L1606" s="21" t="s">
        <v>82</v>
      </c>
      <c r="M1606" s="21" t="s">
        <v>55</v>
      </c>
      <c r="N1606" s="29">
        <v>10</v>
      </c>
      <c r="R1606" s="21" t="s">
        <v>308</v>
      </c>
    </row>
    <row r="1607" spans="1:18" ht="14.4" hidden="1">
      <c r="A1607" s="33">
        <f>IF(C1607="","",MAX($A$1:A1606)+1)</f>
        <v>1517</v>
      </c>
      <c r="B1607" s="26" t="s">
        <v>79</v>
      </c>
      <c r="C1607" s="23">
        <v>46095</v>
      </c>
      <c r="D1607" s="28" t="str">
        <f>_xlfn.XLOOKUP(Table134526_79101120212223242526[[#This Row],[Name Surname]],Manpower!$C$4:$C$1048576,Manpower!$B$4:$B$1048576,"")</f>
        <v>Encogroup</v>
      </c>
      <c r="E1607" s="21" t="s">
        <v>105</v>
      </c>
      <c r="F1607" s="12">
        <f>_xlfn.XLOOKUP(Table134526_79101120212223242526[[#This Row],[Name Surname]],Manpower!C:C,Manpower!D:D,)</f>
        <v>141358993</v>
      </c>
      <c r="G1607" s="28" t="str">
        <f>_xlfn.XLOOKUP(Table134526_79101120212223242526[[#This Row],[Name Surname]],Manpower!$C$4:$C$1048576,Manpower!$F$4:$F$1048576,"")</f>
        <v>Fitter</v>
      </c>
      <c r="H1607" s="28" t="str">
        <f>_xlfn.XLOOKUP(Table134526_79101120212223242526[[#This Row],[Name Surname]],Manpower!$C$4:$C$1048576,Manpower!$H$4:$H$1048576,"")</f>
        <v>Manpower</v>
      </c>
      <c r="I1607" s="28" t="str">
        <f>_xlfn.XLOOKUP(Table134526_79101120212223242526[[#This Row],[Name Surname]],Manpower!$C$4:$C$1048576,Manpower!$H$4:$H$1048576,"")</f>
        <v>Manpower</v>
      </c>
      <c r="J1607" s="21" t="s">
        <v>35</v>
      </c>
      <c r="K1607" s="21" t="s">
        <v>104</v>
      </c>
      <c r="L1607" s="21" t="s">
        <v>82</v>
      </c>
      <c r="M1607" s="21" t="s">
        <v>55</v>
      </c>
      <c r="N1607" s="29">
        <v>6</v>
      </c>
      <c r="R1607" s="21" t="s">
        <v>308</v>
      </c>
    </row>
    <row r="1608" spans="1:18" ht="14.4" hidden="1">
      <c r="A1608" s="33">
        <f>IF(C1608="","",MAX($A$1:A1607)+1)</f>
        <v>1518</v>
      </c>
      <c r="B1608" s="26" t="s">
        <v>79</v>
      </c>
      <c r="C1608" s="23">
        <v>46095</v>
      </c>
      <c r="D1608" s="28" t="str">
        <f>_xlfn.XLOOKUP(Table134526_79101120212223242526[[#This Row],[Name Surname]],Manpower!$C$4:$C$1048576,Manpower!$B$4:$B$1048576,"")</f>
        <v>Encogroup</v>
      </c>
      <c r="E1608" s="21" t="s">
        <v>106</v>
      </c>
      <c r="F1608" s="12" t="str">
        <f>_xlfn.XLOOKUP(Table134526_79101120212223242526[[#This Row],[Name Surname]],Manpower!C:C,Manpower!D:D,)</f>
        <v>R3971143</v>
      </c>
      <c r="G1608" s="28" t="str">
        <f>_xlfn.XLOOKUP(Table134526_79101120212223242526[[#This Row],[Name Surname]],Manpower!$C$4:$C$1048576,Manpower!$F$4:$F$1048576,"")</f>
        <v>Mechanical Foreman</v>
      </c>
      <c r="H1608" s="28" t="str">
        <f>_xlfn.XLOOKUP(Table134526_79101120212223242526[[#This Row],[Name Surname]],Manpower!$C$4:$C$1048576,Manpower!$H$4:$H$1048576,"")</f>
        <v>Manpower</v>
      </c>
      <c r="I1608" s="28" t="str">
        <f>_xlfn.XLOOKUP(Table134526_79101120212223242526[[#This Row],[Name Surname]],Manpower!$C$4:$C$1048576,Manpower!$H$4:$H$1048576,"")</f>
        <v>Manpower</v>
      </c>
      <c r="J1608" s="21" t="s">
        <v>35</v>
      </c>
      <c r="K1608" s="21" t="s">
        <v>279</v>
      </c>
      <c r="L1608" s="21" t="s">
        <v>82</v>
      </c>
      <c r="M1608" s="21" t="s">
        <v>55</v>
      </c>
      <c r="N1608" s="29">
        <v>10</v>
      </c>
      <c r="R1608" s="21" t="s">
        <v>308</v>
      </c>
    </row>
    <row r="1609" spans="1:18" ht="14.4" hidden="1">
      <c r="A1609" s="33">
        <f>IF(C1609="","",MAX($A$1:A1608)+1)</f>
        <v>1519</v>
      </c>
      <c r="B1609" s="26" t="s">
        <v>79</v>
      </c>
      <c r="C1609" s="23">
        <v>46095</v>
      </c>
      <c r="D1609" s="28" t="str">
        <f>_xlfn.XLOOKUP(Table134526_79101120212223242526[[#This Row],[Name Surname]],Manpower!$C$4:$C$1048576,Manpower!$B$4:$B$1048576,"")</f>
        <v>Encogroup</v>
      </c>
      <c r="E1609" s="21" t="s">
        <v>107</v>
      </c>
      <c r="F1609" s="12">
        <f>_xlfn.XLOOKUP(Table134526_79101120212223242526[[#This Row],[Name Surname]],Manpower!C:C,Manpower!D:D,)</f>
        <v>116858297</v>
      </c>
      <c r="G1609" s="28" t="str">
        <f>_xlfn.XLOOKUP(Table134526_79101120212223242526[[#This Row],[Name Surname]],Manpower!$C$4:$C$1048576,Manpower!$F$4:$F$1048576,"")</f>
        <v>Mechanical Superintendent</v>
      </c>
      <c r="H1609" s="28" t="str">
        <f>_xlfn.XLOOKUP(Table134526_79101120212223242526[[#This Row],[Name Surname]],Manpower!$C$4:$C$1048576,Manpower!$H$4:$H$1048576,"")</f>
        <v>Manpower</v>
      </c>
      <c r="I1609" s="28" t="str">
        <f>_xlfn.XLOOKUP(Table134526_79101120212223242526[[#This Row],[Name Surname]],Manpower!$C$4:$C$1048576,Manpower!$H$4:$H$1048576,"")</f>
        <v>Manpower</v>
      </c>
      <c r="J1609" s="21" t="s">
        <v>35</v>
      </c>
      <c r="K1609" s="21" t="s">
        <v>283</v>
      </c>
      <c r="L1609" s="21" t="s">
        <v>82</v>
      </c>
      <c r="M1609" s="21" t="s">
        <v>55</v>
      </c>
      <c r="N1609" s="29">
        <v>6</v>
      </c>
      <c r="R1609" s="21" t="s">
        <v>308</v>
      </c>
    </row>
    <row r="1610" spans="1:18" ht="14.4" hidden="1">
      <c r="A1610" s="33">
        <f>IF(C1610="","",MAX($A$1:A1609)+1)</f>
        <v>1520</v>
      </c>
      <c r="B1610" s="26" t="s">
        <v>79</v>
      </c>
      <c r="C1610" s="23">
        <v>46095</v>
      </c>
      <c r="D1610" s="28" t="str">
        <f>_xlfn.XLOOKUP(Table134526_79101120212223242526[[#This Row],[Name Surname]],Manpower!$C$4:$C$1048576,Manpower!$B$4:$B$1048576,"")</f>
        <v>Encogroup</v>
      </c>
      <c r="E1610" s="21" t="s">
        <v>126</v>
      </c>
      <c r="F1610" s="12">
        <f>_xlfn.XLOOKUP(Table134526_79101120212223242526[[#This Row],[Name Surname]],Manpower!C:C,Manpower!D:D,)</f>
        <v>140805568</v>
      </c>
      <c r="G1610" s="28" t="str">
        <f>_xlfn.XLOOKUP(Table134526_79101120212223242526[[#This Row],[Name Surname]],Manpower!$C$4:$C$1048576,Manpower!$F$4:$F$1048576,"")</f>
        <v>Assistant/Helper</v>
      </c>
      <c r="H1610" s="28" t="str">
        <f>_xlfn.XLOOKUP(Table134526_79101120212223242526[[#This Row],[Name Surname]],Manpower!$C$4:$C$1048576,Manpower!$H$4:$H$1048576,"")</f>
        <v>Manpower</v>
      </c>
      <c r="I1610" s="28" t="str">
        <f>_xlfn.XLOOKUP(Table134526_79101120212223242526[[#This Row],[Name Surname]],Manpower!$C$4:$C$1048576,Manpower!$H$4:$H$1048576,"")</f>
        <v>Manpower</v>
      </c>
      <c r="J1610" s="21" t="s">
        <v>35</v>
      </c>
      <c r="K1610" s="21" t="s">
        <v>26</v>
      </c>
      <c r="L1610" s="21" t="s">
        <v>82</v>
      </c>
      <c r="M1610" s="21" t="s">
        <v>55</v>
      </c>
      <c r="N1610" s="29">
        <v>10</v>
      </c>
      <c r="R1610" s="21" t="s">
        <v>308</v>
      </c>
    </row>
    <row r="1611" spans="1:18" ht="14.4" hidden="1">
      <c r="A1611" s="33">
        <f>IF(C1611="","",MAX($A$1:A1610)+1)</f>
        <v>1521</v>
      </c>
      <c r="B1611" s="26" t="s">
        <v>79</v>
      </c>
      <c r="C1611" s="23">
        <v>46095</v>
      </c>
      <c r="D1611" s="28" t="str">
        <f>_xlfn.XLOOKUP(Table134526_79101120212223242526[[#This Row],[Name Surname]],Manpower!$C$4:$C$1048576,Manpower!$B$4:$B$1048576,"")</f>
        <v>Encogroup</v>
      </c>
      <c r="E1611" s="21" t="s">
        <v>109</v>
      </c>
      <c r="F1611" s="12">
        <f>_xlfn.XLOOKUP(Table134526_79101120212223242526[[#This Row],[Name Surname]],Manpower!C:C,Manpower!D:D,)</f>
        <v>123805496</v>
      </c>
      <c r="G1611" s="28" t="str">
        <f>_xlfn.XLOOKUP(Table134526_79101120212223242526[[#This Row],[Name Surname]],Manpower!$C$4:$C$1048576,Manpower!$F$4:$F$1048576,"")</f>
        <v>Fitter/Erector</v>
      </c>
      <c r="H1611" s="28" t="str">
        <f>_xlfn.XLOOKUP(Table134526_79101120212223242526[[#This Row],[Name Surname]],Manpower!$C$4:$C$1048576,Manpower!$H$4:$H$1048576,"")</f>
        <v>Manpower</v>
      </c>
      <c r="I1611" s="28" t="str">
        <f>_xlfn.XLOOKUP(Table134526_79101120212223242526[[#This Row],[Name Surname]],Manpower!$C$4:$C$1048576,Manpower!$H$4:$H$1048576,"")</f>
        <v>Manpower</v>
      </c>
      <c r="J1611" s="21" t="s">
        <v>35</v>
      </c>
      <c r="K1611" s="21" t="s">
        <v>279</v>
      </c>
      <c r="L1611" s="21" t="s">
        <v>82</v>
      </c>
      <c r="M1611" s="21" t="s">
        <v>55</v>
      </c>
      <c r="N1611" s="29">
        <v>10</v>
      </c>
      <c r="R1611" s="21" t="s">
        <v>308</v>
      </c>
    </row>
    <row r="1612" spans="1:18" ht="14.4" hidden="1">
      <c r="A1612" s="33">
        <f>IF(C1612="","",MAX($A$1:A1611)+1)</f>
        <v>1522</v>
      </c>
      <c r="B1612" s="26" t="s">
        <v>79</v>
      </c>
      <c r="C1612" s="23">
        <v>46095</v>
      </c>
      <c r="D1612" s="28" t="str">
        <f>_xlfn.XLOOKUP(Table134526_79101120212223242526[[#This Row],[Name Surname]],Manpower!$C$4:$C$1048576,Manpower!$B$4:$B$1048576,"")</f>
        <v>Encogroup</v>
      </c>
      <c r="E1612" s="21" t="s">
        <v>110</v>
      </c>
      <c r="F1612" s="12">
        <f>_xlfn.XLOOKUP(Table134526_79101120212223242526[[#This Row],[Name Surname]],Manpower!C:C,Manpower!D:D,)</f>
        <v>136277866</v>
      </c>
      <c r="G1612" s="28" t="str">
        <f>_xlfn.XLOOKUP(Table134526_79101120212223242526[[#This Row],[Name Surname]],Manpower!$C$4:$C$1048576,Manpower!$F$4:$F$1048576,"")</f>
        <v>Permit Receiver</v>
      </c>
      <c r="H1612" s="28" t="str">
        <f>_xlfn.XLOOKUP(Table134526_79101120212223242526[[#This Row],[Name Surname]],Manpower!$C$4:$C$1048576,Manpower!$H$4:$H$1048576,"")</f>
        <v>Manpower</v>
      </c>
      <c r="I1612" s="28" t="str">
        <f>_xlfn.XLOOKUP(Table134526_79101120212223242526[[#This Row],[Name Surname]],Manpower!$C$4:$C$1048576,Manpower!$H$4:$H$1048576,"")</f>
        <v>Manpower</v>
      </c>
      <c r="J1612" s="21" t="s">
        <v>35</v>
      </c>
      <c r="K1612" s="21" t="s">
        <v>279</v>
      </c>
      <c r="L1612" s="21" t="s">
        <v>82</v>
      </c>
      <c r="M1612" s="21" t="s">
        <v>55</v>
      </c>
      <c r="N1612" s="29">
        <v>10</v>
      </c>
      <c r="R1612" s="21" t="s">
        <v>308</v>
      </c>
    </row>
    <row r="1613" spans="1:18" ht="14.4" hidden="1">
      <c r="A1613" s="33">
        <f>IF(C1613="","",MAX($A$1:A1612)+1)</f>
        <v>1523</v>
      </c>
      <c r="B1613" s="26" t="s">
        <v>79</v>
      </c>
      <c r="C1613" s="23">
        <v>46095</v>
      </c>
      <c r="D1613" s="28" t="str">
        <f>_xlfn.XLOOKUP(Table134526_79101120212223242526[[#This Row],[Name Surname]],Manpower!$C$4:$C$1048576,Manpower!$B$4:$B$1048576,"")</f>
        <v>Encogroup</v>
      </c>
      <c r="E1613" s="21" t="s">
        <v>112</v>
      </c>
      <c r="F1613" s="12">
        <f>_xlfn.XLOOKUP(Table134526_79101120212223242526[[#This Row],[Name Surname]],Manpower!C:C,Manpower!D:D,)</f>
        <v>140663253</v>
      </c>
      <c r="G1613" s="28" t="str">
        <f>_xlfn.XLOOKUP(Table134526_79101120212223242526[[#This Row],[Name Surname]],Manpower!$C$4:$C$1048576,Manpower!$F$4:$F$1048576,"")</f>
        <v>Painting Inspector</v>
      </c>
      <c r="H1613" s="28" t="str">
        <f>_xlfn.XLOOKUP(Table134526_79101120212223242526[[#This Row],[Name Surname]],Manpower!$C$4:$C$1048576,Manpower!$H$4:$H$1048576,"")</f>
        <v>Manpower</v>
      </c>
      <c r="I1613" s="28" t="str">
        <f>_xlfn.XLOOKUP(Table134526_79101120212223242526[[#This Row],[Name Surname]],Manpower!$C$4:$C$1048576,Manpower!$H$4:$H$1048576,"")</f>
        <v>Manpower</v>
      </c>
      <c r="J1613" s="21" t="s">
        <v>35</v>
      </c>
      <c r="K1613" s="21" t="s">
        <v>281</v>
      </c>
      <c r="L1613" s="21" t="s">
        <v>82</v>
      </c>
      <c r="M1613" s="21" t="s">
        <v>55</v>
      </c>
      <c r="N1613" s="29">
        <v>10</v>
      </c>
      <c r="R1613" s="21" t="s">
        <v>308</v>
      </c>
    </row>
    <row r="1614" spans="1:18" ht="14.4" hidden="1">
      <c r="A1614" s="33">
        <f>IF(C1614="","",MAX($A$1:A1613)+1)</f>
        <v>1524</v>
      </c>
      <c r="B1614" s="26" t="s">
        <v>79</v>
      </c>
      <c r="C1614" s="23">
        <v>46095</v>
      </c>
      <c r="D1614" s="28" t="str">
        <f>_xlfn.XLOOKUP(Table134526_79101120212223242526[[#This Row],[Name Surname]],Manpower!$C$4:$C$1048576,Manpower!$B$4:$B$1048576,"")</f>
        <v>Encogroup</v>
      </c>
      <c r="E1614" s="21" t="s">
        <v>117</v>
      </c>
      <c r="F1614" s="12">
        <f>_xlfn.XLOOKUP(Table134526_79101120212223242526[[#This Row],[Name Surname]],Manpower!C:C,Manpower!D:D,)</f>
        <v>140844783</v>
      </c>
      <c r="G1614" s="28" t="str">
        <f>_xlfn.XLOOKUP(Table134526_79101120212223242526[[#This Row],[Name Surname]],Manpower!$C$4:$C$1048576,Manpower!$F$4:$F$1048576,"")</f>
        <v>Painter</v>
      </c>
      <c r="H1614" s="28" t="str">
        <f>_xlfn.XLOOKUP(Table134526_79101120212223242526[[#This Row],[Name Surname]],Manpower!$C$4:$C$1048576,Manpower!$H$4:$H$1048576,"")</f>
        <v>Manpower</v>
      </c>
      <c r="I1614" s="28" t="str">
        <f>_xlfn.XLOOKUP(Table134526_79101120212223242526[[#This Row],[Name Surname]],Manpower!$C$4:$C$1048576,Manpower!$H$4:$H$1048576,"")</f>
        <v>Manpower</v>
      </c>
      <c r="J1614" s="21" t="s">
        <v>35</v>
      </c>
      <c r="K1614" s="21" t="s">
        <v>304</v>
      </c>
      <c r="L1614" s="21" t="s">
        <v>82</v>
      </c>
      <c r="M1614" s="21" t="s">
        <v>55</v>
      </c>
      <c r="N1614" s="29">
        <v>10</v>
      </c>
      <c r="R1614" s="21" t="s">
        <v>308</v>
      </c>
    </row>
    <row r="1615" spans="1:18" ht="14.4" hidden="1">
      <c r="A1615" s="33">
        <f>IF(C1615="","",MAX($A$1:A1614)+1)</f>
        <v>1525</v>
      </c>
      <c r="B1615" s="26" t="s">
        <v>79</v>
      </c>
      <c r="C1615" s="23">
        <v>46095</v>
      </c>
      <c r="D1615" s="28" t="str">
        <f>_xlfn.XLOOKUP(Table134526_79101120212223242526[[#This Row],[Name Surname]],Manpower!$C$4:$C$1048576,Manpower!$B$4:$B$1048576,"")</f>
        <v>Encogroup</v>
      </c>
      <c r="E1615" s="21" t="s">
        <v>118</v>
      </c>
      <c r="F1615" s="12" t="str">
        <f>_xlfn.XLOOKUP(Table134526_79101120212223242526[[#This Row],[Name Surname]],Manpower!C:C,Manpower!D:D,)</f>
        <v>AG111207</v>
      </c>
      <c r="G1615" s="28" t="str">
        <f>_xlfn.XLOOKUP(Table134526_79101120212223242526[[#This Row],[Name Surname]],Manpower!$C$4:$C$1048576,Manpower!$F$4:$F$1048576,"")</f>
        <v>Assistant/Helper</v>
      </c>
      <c r="H1615" s="28" t="str">
        <f>_xlfn.XLOOKUP(Table134526_79101120212223242526[[#This Row],[Name Surname]],Manpower!$C$4:$C$1048576,Manpower!$H$4:$H$1048576,"")</f>
        <v>Manpower</v>
      </c>
      <c r="I1615" s="28" t="str">
        <f>_xlfn.XLOOKUP(Table134526_79101120212223242526[[#This Row],[Name Surname]],Manpower!$C$4:$C$1048576,Manpower!$H$4:$H$1048576,"")</f>
        <v>Manpower</v>
      </c>
      <c r="J1615" s="21" t="s">
        <v>35</v>
      </c>
      <c r="K1615" s="21" t="s">
        <v>304</v>
      </c>
      <c r="L1615" s="21" t="s">
        <v>82</v>
      </c>
      <c r="M1615" s="21" t="s">
        <v>55</v>
      </c>
      <c r="N1615" s="29">
        <v>10</v>
      </c>
      <c r="R1615" s="21" t="s">
        <v>308</v>
      </c>
    </row>
    <row r="1616" spans="1:18" ht="14.4" hidden="1">
      <c r="A1616" s="33">
        <f>IF(C1616="","",MAX($A$1:A1615)+1)</f>
        <v>1526</v>
      </c>
      <c r="B1616" s="26" t="s">
        <v>79</v>
      </c>
      <c r="C1616" s="23">
        <v>46095</v>
      </c>
      <c r="D1616" s="28" t="str">
        <f>_xlfn.XLOOKUP(Table134526_79101120212223242526[[#This Row],[Name Surname]],Manpower!$C$4:$C$1048576,Manpower!$B$4:$B$1048576,"")</f>
        <v>Encogroup</v>
      </c>
      <c r="E1616" s="21" t="s">
        <v>173</v>
      </c>
      <c r="F1616" s="12" t="str">
        <f>_xlfn.XLOOKUP(Table134526_79101120212223242526[[#This Row],[Name Surname]],Manpower!C:C,Manpower!D:D,)</f>
        <v>S3549132</v>
      </c>
      <c r="G1616" s="28" t="str">
        <f>_xlfn.XLOOKUP(Table134526_79101120212223242526[[#This Row],[Name Surname]],Manpower!$C$4:$C$1048576,Manpower!$F$4:$F$1048576,"")</f>
        <v>Grinder</v>
      </c>
      <c r="H1616" s="28" t="str">
        <f>_xlfn.XLOOKUP(Table134526_79101120212223242526[[#This Row],[Name Surname]],Manpower!$C$4:$C$1048576,Manpower!$H$4:$H$1048576,"")</f>
        <v>Manpower</v>
      </c>
      <c r="I1616" s="28" t="str">
        <f>_xlfn.XLOOKUP(Table134526_79101120212223242526[[#This Row],[Name Surname]],Manpower!$C$4:$C$1048576,Manpower!$H$4:$H$1048576,"")</f>
        <v>Manpower</v>
      </c>
      <c r="J1616" s="21" t="s">
        <v>35</v>
      </c>
      <c r="K1616" s="21" t="s">
        <v>304</v>
      </c>
      <c r="L1616" s="21" t="s">
        <v>82</v>
      </c>
      <c r="M1616" s="21" t="s">
        <v>55</v>
      </c>
      <c r="N1616" s="29">
        <v>10</v>
      </c>
      <c r="R1616" s="21" t="s">
        <v>308</v>
      </c>
    </row>
    <row r="1617" spans="1:18" ht="14.4" hidden="1">
      <c r="A1617" s="33">
        <f>IF(C1617="","",MAX($A$1:A1616)+1)</f>
        <v>1527</v>
      </c>
      <c r="B1617" s="26" t="s">
        <v>79</v>
      </c>
      <c r="C1617" s="23">
        <v>46095</v>
      </c>
      <c r="D1617" s="28" t="str">
        <f>_xlfn.XLOOKUP(Table134526_79101120212223242526[[#This Row],[Name Surname]],Manpower!$C$4:$C$1048576,Manpower!$B$4:$B$1048576,"")</f>
        <v>Encogroup</v>
      </c>
      <c r="E1617" s="21" t="s">
        <v>119</v>
      </c>
      <c r="F1617" s="12">
        <f>_xlfn.XLOOKUP(Table134526_79101120212223242526[[#This Row],[Name Surname]],Manpower!C:C,Manpower!D:D,)</f>
        <v>140844778</v>
      </c>
      <c r="G1617" s="28" t="str">
        <f>_xlfn.XLOOKUP(Table134526_79101120212223242526[[#This Row],[Name Surname]],Manpower!$C$4:$C$1048576,Manpower!$F$4:$F$1048576,"")</f>
        <v>Painter</v>
      </c>
      <c r="H1617" s="28" t="str">
        <f>_xlfn.XLOOKUP(Table134526_79101120212223242526[[#This Row],[Name Surname]],Manpower!$C$4:$C$1048576,Manpower!$H$4:$H$1048576,"")</f>
        <v>Manpower</v>
      </c>
      <c r="I1617" s="28" t="str">
        <f>_xlfn.XLOOKUP(Table134526_79101120212223242526[[#This Row],[Name Surname]],Manpower!$C$4:$C$1048576,Manpower!$H$4:$H$1048576,"")</f>
        <v>Manpower</v>
      </c>
      <c r="J1617" s="21" t="s">
        <v>35</v>
      </c>
      <c r="K1617" s="21" t="s">
        <v>304</v>
      </c>
      <c r="L1617" s="21" t="s">
        <v>82</v>
      </c>
      <c r="M1617" s="21" t="s">
        <v>55</v>
      </c>
      <c r="N1617" s="29">
        <v>6</v>
      </c>
      <c r="R1617" s="21" t="s">
        <v>308</v>
      </c>
    </row>
    <row r="1618" spans="1:18" ht="14.4" hidden="1">
      <c r="A1618" s="33">
        <f>IF(C1618="","",MAX($A$1:A1617)+1)</f>
        <v>1528</v>
      </c>
      <c r="B1618" s="26" t="s">
        <v>79</v>
      </c>
      <c r="C1618" s="23">
        <v>46095</v>
      </c>
      <c r="D1618" s="28" t="str">
        <f>_xlfn.XLOOKUP(Table134526_79101120212223242526[[#This Row],[Name Surname]],Manpower!$C$4:$C$1048576,Manpower!$B$4:$B$1048576,"")</f>
        <v>Encogroup</v>
      </c>
      <c r="E1618" s="21" t="s">
        <v>122</v>
      </c>
      <c r="F1618" s="12">
        <f>_xlfn.XLOOKUP(Table134526_79101120212223242526[[#This Row],[Name Surname]],Manpower!C:C,Manpower!D:D,)</f>
        <v>140805554</v>
      </c>
      <c r="G1618" s="28" t="str">
        <f>_xlfn.XLOOKUP(Table134526_79101120212223242526[[#This Row],[Name Surname]],Manpower!$C$4:$C$1048576,Manpower!$F$4:$F$1048576,"")</f>
        <v>Assistant/Helper</v>
      </c>
      <c r="H1618" s="28" t="str">
        <f>_xlfn.XLOOKUP(Table134526_79101120212223242526[[#This Row],[Name Surname]],Manpower!$C$4:$C$1048576,Manpower!$H$4:$H$1048576,"")</f>
        <v>Manpower</v>
      </c>
      <c r="I1618" s="28" t="str">
        <f>_xlfn.XLOOKUP(Table134526_79101120212223242526[[#This Row],[Name Surname]],Manpower!$C$4:$C$1048576,Manpower!$H$4:$H$1048576,"")</f>
        <v>Manpower</v>
      </c>
      <c r="J1618" s="21" t="s">
        <v>35</v>
      </c>
      <c r="K1618" s="21" t="s">
        <v>104</v>
      </c>
      <c r="L1618" s="21" t="s">
        <v>82</v>
      </c>
      <c r="M1618" s="21" t="s">
        <v>55</v>
      </c>
      <c r="N1618" s="29">
        <v>10</v>
      </c>
      <c r="R1618" s="21" t="s">
        <v>308</v>
      </c>
    </row>
    <row r="1619" spans="1:18" ht="14.4" hidden="1">
      <c r="A1619" s="33">
        <f>IF(C1619="","",MAX($A$1:A1618)+1)</f>
        <v>1529</v>
      </c>
      <c r="B1619" s="26" t="s">
        <v>79</v>
      </c>
      <c r="C1619" s="23">
        <v>46095</v>
      </c>
      <c r="D1619" s="28" t="str">
        <f>_xlfn.XLOOKUP(Table134526_79101120212223242526[[#This Row],[Name Surname]],Manpower!$C$4:$C$1048576,Manpower!$B$4:$B$1048576,"")</f>
        <v>Encogroup</v>
      </c>
      <c r="E1619" s="21" t="s">
        <v>125</v>
      </c>
      <c r="F1619" s="12">
        <f>_xlfn.XLOOKUP(Table134526_79101120212223242526[[#This Row],[Name Surname]],Manpower!C:C,Manpower!D:D,)</f>
        <v>141169028</v>
      </c>
      <c r="G1619" s="28" t="str">
        <f>_xlfn.XLOOKUP(Table134526_79101120212223242526[[#This Row],[Name Surname]],Manpower!$C$4:$C$1048576,Manpower!$F$4:$F$1048576,"")</f>
        <v>Welder</v>
      </c>
      <c r="H1619" s="28" t="str">
        <f>_xlfn.XLOOKUP(Table134526_79101120212223242526[[#This Row],[Name Surname]],Manpower!$C$4:$C$1048576,Manpower!$H$4:$H$1048576,"")</f>
        <v>Manpower</v>
      </c>
      <c r="I1619" s="28" t="str">
        <f>_xlfn.XLOOKUP(Table134526_79101120212223242526[[#This Row],[Name Surname]],Manpower!$C$4:$C$1048576,Manpower!$H$4:$H$1048576,"")</f>
        <v>Manpower</v>
      </c>
      <c r="J1619" s="21" t="s">
        <v>35</v>
      </c>
      <c r="K1619" s="21" t="s">
        <v>279</v>
      </c>
      <c r="L1619" s="21" t="s">
        <v>82</v>
      </c>
      <c r="M1619" s="21" t="s">
        <v>55</v>
      </c>
      <c r="N1619" s="29">
        <v>10</v>
      </c>
      <c r="R1619" s="21" t="s">
        <v>308</v>
      </c>
    </row>
    <row r="1620" spans="1:18" ht="14.4" hidden="1">
      <c r="A1620" s="33">
        <f>IF(C1620="","",MAX($A$1:A1619)+1)</f>
        <v>1530</v>
      </c>
      <c r="B1620" s="26" t="s">
        <v>79</v>
      </c>
      <c r="C1620" s="23">
        <v>46095</v>
      </c>
      <c r="D1620" s="28" t="str">
        <f>_xlfn.XLOOKUP(Table134526_79101120212223242526[[#This Row],[Name Surname]],Manpower!$C$4:$C$1048576,Manpower!$B$4:$B$1048576,"")</f>
        <v>AL Saif &amp; Al QALLM ENT LLC</v>
      </c>
      <c r="E1620" s="21" t="s">
        <v>130</v>
      </c>
      <c r="F1620" s="12">
        <f>_xlfn.XLOOKUP(Table134526_79101120212223242526[[#This Row],[Name Surname]],Manpower!C:C,Manpower!D:D,)</f>
        <v>76647648</v>
      </c>
      <c r="G1620" s="28" t="str">
        <f>_xlfn.XLOOKUP(Table134526_79101120212223242526[[#This Row],[Name Surname]],Manpower!$C$4:$C$1048576,Manpower!$F$4:$F$1048576,"")</f>
        <v>RIgger</v>
      </c>
      <c r="H1620" s="28" t="str">
        <f>_xlfn.XLOOKUP(Table134526_79101120212223242526[[#This Row],[Name Surname]],Manpower!$C$4:$C$1048576,Manpower!$H$4:$H$1048576,"")</f>
        <v>Sub Contactor</v>
      </c>
      <c r="I1620" s="28" t="str">
        <f>_xlfn.XLOOKUP(Table134526_79101120212223242526[[#This Row],[Name Surname]],Manpower!$C$4:$C$1048576,Manpower!$H$4:$H$1048576,"")</f>
        <v>Sub Contactor</v>
      </c>
      <c r="J1620" s="21" t="s">
        <v>35</v>
      </c>
      <c r="K1620" s="21" t="s">
        <v>279</v>
      </c>
      <c r="L1620" s="21" t="s">
        <v>82</v>
      </c>
      <c r="M1620" s="21" t="s">
        <v>55</v>
      </c>
      <c r="N1620" s="29">
        <v>10</v>
      </c>
      <c r="R1620" s="21" t="s">
        <v>308</v>
      </c>
    </row>
    <row r="1621" spans="1:18" ht="14.4" hidden="1">
      <c r="A1621" s="33">
        <f>IF(C1621="","",MAX($A$1:A1620)+1)</f>
        <v>1531</v>
      </c>
      <c r="B1621" s="26" t="s">
        <v>79</v>
      </c>
      <c r="C1621" s="23">
        <v>46095</v>
      </c>
      <c r="D1621" s="28" t="str">
        <f>_xlfn.XLOOKUP(Table134526_79101120212223242526[[#This Row],[Name Surname]],Manpower!$C$4:$C$1048576,Manpower!$B$4:$B$1048576,"")</f>
        <v>Rabwu Ahamal AL Khaleej Trad</v>
      </c>
      <c r="E1621" s="21" t="s">
        <v>131</v>
      </c>
      <c r="F1621" s="12">
        <f>_xlfn.XLOOKUP(Table134526_79101120212223242526[[#This Row],[Name Surname]],Manpower!C:C,Manpower!D:D,)</f>
        <v>131431131</v>
      </c>
      <c r="G1621" s="28" t="str">
        <f>_xlfn.XLOOKUP(Table134526_79101120212223242526[[#This Row],[Name Surname]],Manpower!$C$4:$C$1048576,Manpower!$F$4:$F$1048576,"")</f>
        <v>RIgger</v>
      </c>
      <c r="H1621" s="28" t="str">
        <f>_xlfn.XLOOKUP(Table134526_79101120212223242526[[#This Row],[Name Surname]],Manpower!$C$4:$C$1048576,Manpower!$H$4:$H$1048576,"")</f>
        <v>Sub Contactor</v>
      </c>
      <c r="I1621" s="28" t="str">
        <f>_xlfn.XLOOKUP(Table134526_79101120212223242526[[#This Row],[Name Surname]],Manpower!$C$4:$C$1048576,Manpower!$H$4:$H$1048576,"")</f>
        <v>Sub Contactor</v>
      </c>
      <c r="J1621" s="21" t="s">
        <v>35</v>
      </c>
      <c r="K1621" s="21" t="s">
        <v>279</v>
      </c>
      <c r="L1621" s="21" t="s">
        <v>82</v>
      </c>
      <c r="M1621" s="21" t="s">
        <v>55</v>
      </c>
      <c r="N1621" s="29">
        <v>10</v>
      </c>
      <c r="R1621" s="21" t="s">
        <v>308</v>
      </c>
    </row>
    <row r="1622" spans="1:18" ht="14.4" hidden="1">
      <c r="A1622" s="33">
        <f>IF(C1622="","",MAX($A$1:A1621)+1)</f>
        <v>1532</v>
      </c>
      <c r="B1622" s="26" t="s">
        <v>79</v>
      </c>
      <c r="C1622" s="23">
        <v>46095</v>
      </c>
      <c r="D1622" s="28" t="str">
        <f>_xlfn.XLOOKUP(Table134526_79101120212223242526[[#This Row],[Name Surname]],Manpower!$C$4:$C$1048576,Manpower!$B$4:$B$1048576,"")</f>
        <v>AL Saif &amp; Al QALLM ENT LLC</v>
      </c>
      <c r="E1622" s="21" t="s">
        <v>132</v>
      </c>
      <c r="F1622" s="12">
        <f>_xlfn.XLOOKUP(Table134526_79101120212223242526[[#This Row],[Name Surname]],Manpower!C:C,Manpower!D:D,)</f>
        <v>135762195</v>
      </c>
      <c r="G1622" s="28" t="str">
        <f>_xlfn.XLOOKUP(Table134526_79101120212223242526[[#This Row],[Name Surname]],Manpower!$C$4:$C$1048576,Manpower!$F$4:$F$1048576,"")</f>
        <v>HSE Officer</v>
      </c>
      <c r="H1622" s="28" t="str">
        <f>_xlfn.XLOOKUP(Table134526_79101120212223242526[[#This Row],[Name Surname]],Manpower!$C$4:$C$1048576,Manpower!$H$4:$H$1048576,"")</f>
        <v>Sub Contactor</v>
      </c>
      <c r="I1622" s="28" t="str">
        <f>_xlfn.XLOOKUP(Table134526_79101120212223242526[[#This Row],[Name Surname]],Manpower!$C$4:$C$1048576,Manpower!$H$4:$H$1048576,"")</f>
        <v>Sub Contactor</v>
      </c>
      <c r="J1622" s="21" t="s">
        <v>35</v>
      </c>
      <c r="K1622" s="21" t="s">
        <v>283</v>
      </c>
      <c r="L1622" s="21" t="s">
        <v>82</v>
      </c>
      <c r="M1622" s="21" t="s">
        <v>55</v>
      </c>
      <c r="N1622" s="29">
        <v>10</v>
      </c>
      <c r="R1622" s="21" t="s">
        <v>308</v>
      </c>
    </row>
    <row r="1623" spans="1:18" ht="14.4" hidden="1">
      <c r="A1623" s="33">
        <f>IF(C1623="","",MAX($A$1:A1622)+1)</f>
        <v>1533</v>
      </c>
      <c r="B1623" s="26" t="s">
        <v>79</v>
      </c>
      <c r="C1623" s="23">
        <v>46095</v>
      </c>
      <c r="D1623" s="28" t="str">
        <f>_xlfn.XLOOKUP(Table134526_79101120212223242526[[#This Row],[Name Surname]],Manpower!$C$4:$C$1048576,Manpower!$B$4:$B$1048576,"")</f>
        <v>Encogroup</v>
      </c>
      <c r="E1623" s="21" t="s">
        <v>133</v>
      </c>
      <c r="F1623" s="12">
        <f>_xlfn.XLOOKUP(Table134526_79101120212223242526[[#This Row],[Name Surname]],Manpower!C:C,Manpower!D:D,)</f>
        <v>140846684</v>
      </c>
      <c r="G1623" s="28" t="str">
        <f>_xlfn.XLOOKUP(Table134526_79101120212223242526[[#This Row],[Name Surname]],Manpower!$C$4:$C$1048576,Manpower!$F$4:$F$1048576,"")</f>
        <v>Assistant/Helper</v>
      </c>
      <c r="H1623" s="28" t="str">
        <f>_xlfn.XLOOKUP(Table134526_79101120212223242526[[#This Row],[Name Surname]],Manpower!$C$4:$C$1048576,Manpower!$H$4:$H$1048576,"")</f>
        <v>Manpower</v>
      </c>
      <c r="I1623" s="28" t="str">
        <f>_xlfn.XLOOKUP(Table134526_79101120212223242526[[#This Row],[Name Surname]],Manpower!$C$4:$C$1048576,Manpower!$H$4:$H$1048576,"")</f>
        <v>Manpower</v>
      </c>
      <c r="J1623" s="21" t="s">
        <v>35</v>
      </c>
      <c r="K1623" s="21" t="s">
        <v>283</v>
      </c>
      <c r="L1623" s="21" t="s">
        <v>82</v>
      </c>
      <c r="M1623" s="21" t="s">
        <v>55</v>
      </c>
      <c r="N1623" s="29">
        <v>10</v>
      </c>
      <c r="R1623" s="21" t="s">
        <v>308</v>
      </c>
    </row>
    <row r="1624" spans="1:18" ht="14.4" hidden="1">
      <c r="A1624" s="33">
        <f>IF(C1624="","",MAX($A$1:A1623)+1)</f>
        <v>1534</v>
      </c>
      <c r="B1624" s="26" t="s">
        <v>79</v>
      </c>
      <c r="C1624" s="23">
        <v>46095</v>
      </c>
      <c r="D1624" s="28" t="str">
        <f>_xlfn.XLOOKUP(Table134526_79101120212223242526[[#This Row],[Name Surname]],Manpower!$C$4:$C$1048576,Manpower!$B$4:$B$1048576,"")</f>
        <v>Encogroup</v>
      </c>
      <c r="E1624" s="21" t="s">
        <v>136</v>
      </c>
      <c r="F1624" s="12">
        <f>_xlfn.XLOOKUP(Table134526_79101120212223242526[[#This Row],[Name Surname]],Manpower!C:C,Manpower!D:D,)</f>
        <v>141250908</v>
      </c>
      <c r="G1624" s="28" t="str">
        <f>_xlfn.XLOOKUP(Table134526_79101120212223242526[[#This Row],[Name Surname]],Manpower!$C$4:$C$1048576,Manpower!$F$4:$F$1048576,"")</f>
        <v>Mechanical Engineer</v>
      </c>
      <c r="H1624" s="28" t="str">
        <f>_xlfn.XLOOKUP(Table134526_79101120212223242526[[#This Row],[Name Surname]],Manpower!$C$4:$C$1048576,Manpower!$H$4:$H$1048576,"")</f>
        <v>Manpower</v>
      </c>
      <c r="I1624" s="28" t="str">
        <f>_xlfn.XLOOKUP(Table134526_79101120212223242526[[#This Row],[Name Surname]],Manpower!$C$4:$C$1048576,Manpower!$H$4:$H$1048576,"")</f>
        <v>Manpower</v>
      </c>
      <c r="J1624" s="21" t="s">
        <v>35</v>
      </c>
      <c r="K1624" s="21" t="s">
        <v>283</v>
      </c>
      <c r="L1624" s="21" t="s">
        <v>82</v>
      </c>
      <c r="M1624" s="21" t="s">
        <v>55</v>
      </c>
      <c r="N1624" s="29">
        <v>10</v>
      </c>
      <c r="R1624" s="21" t="s">
        <v>308</v>
      </c>
    </row>
    <row r="1625" spans="1:18" ht="14.4">
      <c r="A1625" s="33">
        <f>IF(C1625="","",MAX($A$1:A1624)+1)</f>
        <v>1535</v>
      </c>
      <c r="B1625" s="26" t="s">
        <v>79</v>
      </c>
      <c r="C1625" s="23">
        <v>46095</v>
      </c>
      <c r="D1625" s="28" t="str">
        <f>_xlfn.XLOOKUP(Table134526_79101120212223242526[[#This Row],[Name Surname]],Manpower!$C$4:$C$1048576,Manpower!$B$4:$B$1048576,"")</f>
        <v>Encogroup</v>
      </c>
      <c r="E1625" s="23" t="s">
        <v>137</v>
      </c>
      <c r="F1625" s="12" t="e">
        <f>_xlfn.XLOOKUP(Table134526_79101120212223242526[[#This Row],[Name Surname]],Manpower!C:C,Manpower!D:D,)</f>
        <v>#N/A</v>
      </c>
      <c r="G1625" s="28" t="str">
        <f>_xlfn.XLOOKUP(Table134526_79101120212223242526[[#This Row],[Name Surname]],Manpower!$C$4:$C$1048576,Manpower!$F$4:$F$1048576,"")</f>
        <v>55 Seat Bus</v>
      </c>
      <c r="H1625" s="28" t="str">
        <f>_xlfn.XLOOKUP(Table134526_79101120212223242526[[#This Row],[Name Surname]],Manpower!$C$4:$C$1048576,Manpower!$H$4:$H$1048576,"")</f>
        <v>Equipment</v>
      </c>
      <c r="I1625" s="28" t="str">
        <f>_xlfn.XLOOKUP(Table134526_79101120212223242526[[#This Row],[Name Surname]],Manpower!$C$4:$C$1048576,Manpower!$H$4:$H$1048576,"")</f>
        <v>Equipment</v>
      </c>
      <c r="J1625" s="21" t="s">
        <v>35</v>
      </c>
      <c r="K1625" s="21" t="s">
        <v>283</v>
      </c>
      <c r="L1625" s="21" t="s">
        <v>82</v>
      </c>
      <c r="M1625" s="21" t="s">
        <v>55</v>
      </c>
      <c r="N1625" s="29">
        <v>10</v>
      </c>
      <c r="R1625" s="21" t="s">
        <v>308</v>
      </c>
    </row>
    <row r="1626" spans="1:18" ht="14.4">
      <c r="A1626" s="33">
        <f>IF(C1626="","",MAX($A$1:A1624)+1)</f>
        <v>1535</v>
      </c>
      <c r="B1626" s="26" t="s">
        <v>79</v>
      </c>
      <c r="C1626" s="23">
        <v>46095</v>
      </c>
      <c r="D1626" s="28" t="str">
        <f>_xlfn.XLOOKUP(Table134526_79101120212223242526[[#This Row],[Name Surname]],Manpower!$C$4:$C$1048576,Manpower!$B$4:$B$1048576,"")</f>
        <v>Encogroup</v>
      </c>
      <c r="E1626" s="23" t="s">
        <v>139</v>
      </c>
      <c r="F1626" s="12" t="e">
        <f>_xlfn.XLOOKUP(Table134526_79101120212223242526[[#This Row],[Name Surname]],Manpower!C:C,Manpower!D:D,)</f>
        <v>#N/A</v>
      </c>
      <c r="G1626" s="28" t="str">
        <f>_xlfn.XLOOKUP(Table134526_79101120212223242526[[#This Row],[Name Surname]],Manpower!$C$4:$C$1048576,Manpower!$F$4:$F$1048576,"")</f>
        <v>TOWER LIGHT</v>
      </c>
      <c r="H1626" s="28" t="str">
        <f>_xlfn.XLOOKUP(Table134526_79101120212223242526[[#This Row],[Name Surname]],Manpower!$C$4:$C$1048576,Manpower!$H$4:$H$1048576,"")</f>
        <v>Equipment</v>
      </c>
      <c r="I1626" s="28" t="str">
        <f>_xlfn.XLOOKUP(Table134526_79101120212223242526[[#This Row],[Name Surname]],Manpower!$C$4:$C$1048576,Manpower!$H$4:$H$1048576,"")</f>
        <v>Equipment</v>
      </c>
      <c r="J1626" s="21" t="s">
        <v>35</v>
      </c>
      <c r="K1626" s="21" t="s">
        <v>283</v>
      </c>
      <c r="L1626" s="21" t="s">
        <v>82</v>
      </c>
      <c r="M1626" s="21" t="s">
        <v>55</v>
      </c>
      <c r="N1626" s="29">
        <v>10</v>
      </c>
      <c r="R1626" s="21" t="s">
        <v>308</v>
      </c>
    </row>
    <row r="1627" spans="1:18" ht="14.4">
      <c r="A1627" s="33">
        <f>IF(C1627="","",MAX($A$1:A1626)+1)</f>
        <v>1536</v>
      </c>
      <c r="B1627" s="27" t="s">
        <v>141</v>
      </c>
      <c r="C1627" s="23">
        <v>46095</v>
      </c>
      <c r="D1627" s="28" t="str">
        <f>_xlfn.XLOOKUP(Table134526_79101120212223242526[[#This Row],[Name Surname]],Manpower!$C$4:$C$1048576,Manpower!$B$4:$B$1048576,"")</f>
        <v>Encogroup</v>
      </c>
      <c r="E1627" s="21" t="s">
        <v>142</v>
      </c>
      <c r="F1627" s="12" t="e">
        <f>_xlfn.XLOOKUP(Table134526_79101120212223242526[[#This Row],[Name Surname]],Manpower!C:C,Manpower!D:D,)</f>
        <v>#N/A</v>
      </c>
      <c r="G1627" s="28" t="str">
        <f>_xlfn.XLOOKUP(Table134526_79101120212223242526[[#This Row],[Name Surname]],Manpower!$C$4:$C$1048576,Manpower!$F$4:$F$1048576,"")</f>
        <v>13 Seat Bus</v>
      </c>
      <c r="H1627" s="28" t="str">
        <f>_xlfn.XLOOKUP(Table134526_79101120212223242526[[#This Row],[Name Surname]],Manpower!$C$4:$C$1048576,Manpower!$H$4:$H$1048576,"")</f>
        <v>Equipment</v>
      </c>
      <c r="I1627" s="28" t="str">
        <f>_xlfn.XLOOKUP(Table134526_79101120212223242526[[#This Row],[Name Surname]],Manpower!$C$4:$C$1048576,Manpower!$H$4:$H$1048576,"")</f>
        <v>Equipment</v>
      </c>
      <c r="J1627" s="21" t="s">
        <v>143</v>
      </c>
      <c r="K1627" s="21" t="s">
        <v>26</v>
      </c>
      <c r="L1627" s="21" t="s">
        <v>144</v>
      </c>
      <c r="M1627" s="21" t="s">
        <v>55</v>
      </c>
      <c r="N1627" s="29">
        <v>10</v>
      </c>
      <c r="R1627" s="21" t="s">
        <v>308</v>
      </c>
    </row>
    <row r="1628" spans="1:18" ht="14.4">
      <c r="A1628" s="33">
        <f>IF(C1628="","",MAX($A$1:A1627)+1)</f>
        <v>1537</v>
      </c>
      <c r="B1628" s="27" t="s">
        <v>141</v>
      </c>
      <c r="C1628" s="23">
        <v>46095</v>
      </c>
      <c r="D1628" s="28" t="str">
        <f>_xlfn.XLOOKUP(Table134526_79101120212223242526[[#This Row],[Name Surname]],Manpower!$C$4:$C$1048576,Manpower!$B$4:$B$1048576,"")</f>
        <v>Encogroup</v>
      </c>
      <c r="E1628" s="21" t="s">
        <v>145</v>
      </c>
      <c r="F1628" s="12" t="e">
        <f>_xlfn.XLOOKUP(Table134526_79101120212223242526[[#This Row],[Name Surname]],Manpower!C:C,Manpower!D:D,)</f>
        <v>#N/A</v>
      </c>
      <c r="G1628" s="28" t="str">
        <f>_xlfn.XLOOKUP(Table134526_79101120212223242526[[#This Row],[Name Surname]],Manpower!$C$4:$C$1048576,Manpower!$F$4:$F$1048576,"")</f>
        <v>15 Seat Bus</v>
      </c>
      <c r="H1628" s="28" t="str">
        <f>_xlfn.XLOOKUP(Table134526_79101120212223242526[[#This Row],[Name Surname]],Manpower!$C$4:$C$1048576,Manpower!$H$4:$H$1048576,"")</f>
        <v>Equipment</v>
      </c>
      <c r="I1628" s="28" t="str">
        <f>_xlfn.XLOOKUP(Table134526_79101120212223242526[[#This Row],[Name Surname]],Manpower!$C$4:$C$1048576,Manpower!$H$4:$H$1048576,"")</f>
        <v>Equipment</v>
      </c>
      <c r="J1628" s="21" t="s">
        <v>143</v>
      </c>
      <c r="K1628" s="21" t="s">
        <v>26</v>
      </c>
      <c r="L1628" s="21" t="s">
        <v>144</v>
      </c>
      <c r="M1628" s="21" t="s">
        <v>55</v>
      </c>
      <c r="N1628" s="29">
        <v>10</v>
      </c>
      <c r="R1628" s="21" t="s">
        <v>308</v>
      </c>
    </row>
    <row r="1629" spans="1:18" ht="14.4">
      <c r="A1629" s="33">
        <f>IF(C1629="","",MAX($A$1:A1627)+1)</f>
        <v>1537</v>
      </c>
      <c r="B1629" s="27" t="s">
        <v>141</v>
      </c>
      <c r="C1629" s="23">
        <v>46095</v>
      </c>
      <c r="D1629" s="28" t="str">
        <f>_xlfn.XLOOKUP(Table134526_79101120212223242526[[#This Row],[Name Surname]],Manpower!$C$4:$C$1048576,Manpower!$B$4:$B$1048576,"")</f>
        <v>Nass Group</v>
      </c>
      <c r="E1629" s="21" t="s">
        <v>146</v>
      </c>
      <c r="F1629" s="12" t="e">
        <f>_xlfn.XLOOKUP(Table134526_79101120212223242526[[#This Row],[Name Surname]],Manpower!C:C,Manpower!D:D,)</f>
        <v>#N/A</v>
      </c>
      <c r="G1629" s="28" t="str">
        <f>_xlfn.XLOOKUP(Table134526_79101120212223242526[[#This Row],[Name Surname]],Manpower!$C$4:$C$1048576,Manpower!$F$4:$F$1048576,"")</f>
        <v>130T Crawler Crane</v>
      </c>
      <c r="H1629" s="28" t="str">
        <f>_xlfn.XLOOKUP(Table134526_79101120212223242526[[#This Row],[Name Surname]],Manpower!$C$4:$C$1048576,Manpower!$H$4:$H$1048576,"")</f>
        <v>Equipment</v>
      </c>
      <c r="I1629" s="28" t="str">
        <f>_xlfn.XLOOKUP(Table134526_79101120212223242526[[#This Row],[Name Surname]],Manpower!$C$4:$C$1048576,Manpower!$H$4:$H$1048576,"")</f>
        <v>Equipment</v>
      </c>
      <c r="J1629" s="21" t="s">
        <v>143</v>
      </c>
      <c r="K1629" s="21" t="s">
        <v>26</v>
      </c>
      <c r="L1629" s="21" t="s">
        <v>144</v>
      </c>
      <c r="M1629" s="21" t="s">
        <v>55</v>
      </c>
      <c r="N1629" s="29">
        <v>10</v>
      </c>
      <c r="R1629" s="21" t="s">
        <v>308</v>
      </c>
    </row>
    <row r="1630" spans="1:18" ht="14.4">
      <c r="A1630" s="33">
        <f>IF(C1630="","",MAX($A$1:A1629)+1)</f>
        <v>1538</v>
      </c>
      <c r="B1630" s="27" t="s">
        <v>141</v>
      </c>
      <c r="C1630" s="23">
        <v>46095</v>
      </c>
      <c r="D1630" s="28" t="str">
        <f>_xlfn.XLOOKUP(Table134526_79101120212223242526[[#This Row],[Name Surname]],Manpower!$C$4:$C$1048576,Manpower!$B$4:$B$1048576,"")</f>
        <v>Riyan Al Khaleej</v>
      </c>
      <c r="E1630" s="21" t="s">
        <v>20</v>
      </c>
      <c r="F1630" s="12" t="e">
        <f>_xlfn.XLOOKUP(Table134526_79101120212223242526[[#This Row],[Name Surname]],Manpower!C:C,Manpower!D:D,)</f>
        <v>#N/A</v>
      </c>
      <c r="G1630" s="28" t="str">
        <f>_xlfn.XLOOKUP(Table134526_79101120212223242526[[#This Row],[Name Surname]],Manpower!$C$4:$C$1048576,Manpower!$F$4:$F$1048576,"")</f>
        <v>100T Telescopic Crane</v>
      </c>
      <c r="H1630" s="28" t="str">
        <f>_xlfn.XLOOKUP(Table134526_79101120212223242526[[#This Row],[Name Surname]],Manpower!$C$4:$C$1048576,Manpower!$H$4:$H$1048576,"")</f>
        <v>Equipment</v>
      </c>
      <c r="I1630" s="28" t="str">
        <f>_xlfn.XLOOKUP(Table134526_79101120212223242526[[#This Row],[Name Surname]],Manpower!$C$4:$C$1048576,Manpower!$H$4:$H$1048576,"")</f>
        <v>Equipment</v>
      </c>
      <c r="J1630" s="21" t="s">
        <v>143</v>
      </c>
      <c r="K1630" s="21" t="s">
        <v>26</v>
      </c>
      <c r="L1630" s="21" t="s">
        <v>144</v>
      </c>
      <c r="M1630" s="21" t="s">
        <v>55</v>
      </c>
      <c r="N1630" s="29">
        <v>10</v>
      </c>
      <c r="R1630" s="21" t="s">
        <v>308</v>
      </c>
    </row>
    <row r="1631" spans="1:18" ht="14.4">
      <c r="A1631" s="33">
        <f>IF(C1631="","",MAX($A$1:A1630)+1)</f>
        <v>1539</v>
      </c>
      <c r="B1631" s="27" t="s">
        <v>141</v>
      </c>
      <c r="C1631" s="23">
        <v>46095</v>
      </c>
      <c r="D1631" s="28" t="str">
        <f>_xlfn.XLOOKUP(Table134526_79101120212223242526[[#This Row],[Name Surname]],Manpower!$C$4:$C$1048576,Manpower!$B$4:$B$1048576,"")</f>
        <v>Encogroup</v>
      </c>
      <c r="E1631" s="21" t="s">
        <v>150</v>
      </c>
      <c r="F1631" s="12" t="e">
        <f>_xlfn.XLOOKUP(Table134526_79101120212223242526[[#This Row],[Name Surname]],Manpower!C:C,Manpower!D:D,)</f>
        <v>#N/A</v>
      </c>
      <c r="G1631" s="28" t="str">
        <f>_xlfn.XLOOKUP(Table134526_79101120212223242526[[#This Row],[Name Surname]],Manpower!$C$4:$C$1048576,Manpower!$F$4:$F$1048576,"")</f>
        <v>14T Fork lift</v>
      </c>
      <c r="H1631" s="28" t="str">
        <f>_xlfn.XLOOKUP(Table134526_79101120212223242526[[#This Row],[Name Surname]],Manpower!$C$4:$C$1048576,Manpower!$H$4:$H$1048576,"")</f>
        <v>Equipment</v>
      </c>
      <c r="I1631" s="28" t="str">
        <f>_xlfn.XLOOKUP(Table134526_79101120212223242526[[#This Row],[Name Surname]],Manpower!$C$4:$C$1048576,Manpower!$H$4:$H$1048576,"")</f>
        <v>Equipment</v>
      </c>
      <c r="J1631" s="21" t="s">
        <v>143</v>
      </c>
      <c r="K1631" s="21" t="s">
        <v>26</v>
      </c>
      <c r="L1631" s="21" t="s">
        <v>144</v>
      </c>
      <c r="M1631" s="21" t="s">
        <v>55</v>
      </c>
      <c r="N1631" s="29">
        <v>10</v>
      </c>
      <c r="R1631" s="21" t="s">
        <v>308</v>
      </c>
    </row>
    <row r="1632" spans="1:18" ht="14.4">
      <c r="A1632" s="33">
        <f>IF(C1632="","",MAX($A$1:A1631)+1)</f>
        <v>1540</v>
      </c>
      <c r="B1632" s="27" t="s">
        <v>141</v>
      </c>
      <c r="C1632" s="23">
        <v>46095</v>
      </c>
      <c r="D1632" s="28" t="str">
        <f>_xlfn.XLOOKUP(Table134526_79101120212223242526[[#This Row],[Name Surname]],Manpower!$C$4:$C$1048576,Manpower!$B$4:$B$1048576,"")</f>
        <v>Al Jaber Heavy Lift</v>
      </c>
      <c r="E1632" s="21" t="s">
        <v>151</v>
      </c>
      <c r="F1632" s="12" t="e">
        <f>_xlfn.XLOOKUP(Table134526_79101120212223242526[[#This Row],[Name Surname]],Manpower!C:C,Manpower!D:D,)</f>
        <v>#N/A</v>
      </c>
      <c r="G1632" s="28" t="str">
        <f>_xlfn.XLOOKUP(Table134526_79101120212223242526[[#This Row],[Name Surname]],Manpower!$C$4:$C$1048576,Manpower!$F$4:$F$1048576,"")</f>
        <v>150T-Crawler Crane</v>
      </c>
      <c r="H1632" s="28" t="str">
        <f>_xlfn.XLOOKUP(Table134526_79101120212223242526[[#This Row],[Name Surname]],Manpower!$C$4:$C$1048576,Manpower!$H$4:$H$1048576,"")</f>
        <v>Equipment</v>
      </c>
      <c r="I1632" s="28" t="str">
        <f>_xlfn.XLOOKUP(Table134526_79101120212223242526[[#This Row],[Name Surname]],Manpower!$C$4:$C$1048576,Manpower!$H$4:$H$1048576,"")</f>
        <v>Equipment</v>
      </c>
      <c r="J1632" s="21" t="s">
        <v>143</v>
      </c>
      <c r="K1632" s="21" t="s">
        <v>26</v>
      </c>
      <c r="L1632" s="21" t="s">
        <v>144</v>
      </c>
      <c r="M1632" s="21" t="s">
        <v>55</v>
      </c>
      <c r="N1632" s="29">
        <v>10</v>
      </c>
      <c r="R1632" s="21" t="s">
        <v>308</v>
      </c>
    </row>
    <row r="1633" spans="1:18" ht="14.4">
      <c r="A1633" s="33">
        <f>IF(C1633="","",MAX($A$1:A1632)+1)</f>
        <v>1541</v>
      </c>
      <c r="B1633" s="27" t="s">
        <v>141</v>
      </c>
      <c r="C1633" s="23">
        <v>46095</v>
      </c>
      <c r="D1633" s="28" t="str">
        <f>_xlfn.XLOOKUP(Table134526_79101120212223242526[[#This Row],[Name Surname]],Manpower!$C$4:$C$1048576,Manpower!$B$4:$B$1048576,"")</f>
        <v>Encogroup</v>
      </c>
      <c r="E1633" s="21" t="s">
        <v>153</v>
      </c>
      <c r="F1633" s="12" t="e">
        <f>_xlfn.XLOOKUP(Table134526_79101120212223242526[[#This Row],[Name Surname]],Manpower!C:C,Manpower!D:D,)</f>
        <v>#N/A</v>
      </c>
      <c r="G1633" s="28" t="str">
        <f>_xlfn.XLOOKUP(Table134526_79101120212223242526[[#This Row],[Name Surname]],Manpower!$C$4:$C$1048576,Manpower!$F$4:$F$1048576,"")</f>
        <v>22 Seat Bus</v>
      </c>
      <c r="H1633" s="28" t="str">
        <f>_xlfn.XLOOKUP(Table134526_79101120212223242526[[#This Row],[Name Surname]],Manpower!$C$4:$C$1048576,Manpower!$H$4:$H$1048576,"")</f>
        <v>Equipment</v>
      </c>
      <c r="I1633" s="28" t="str">
        <f>_xlfn.XLOOKUP(Table134526_79101120212223242526[[#This Row],[Name Surname]],Manpower!$C$4:$C$1048576,Manpower!$H$4:$H$1048576,"")</f>
        <v>Equipment</v>
      </c>
      <c r="J1633" s="21" t="s">
        <v>143</v>
      </c>
      <c r="K1633" s="21" t="s">
        <v>26</v>
      </c>
      <c r="L1633" s="21" t="s">
        <v>144</v>
      </c>
      <c r="M1633" s="21" t="s">
        <v>55</v>
      </c>
      <c r="N1633" s="29">
        <v>10</v>
      </c>
      <c r="R1633" s="21" t="s">
        <v>308</v>
      </c>
    </row>
    <row r="1634" spans="1:18" ht="14.4">
      <c r="A1634" s="33">
        <f>IF(C1634="","",MAX($A$1:A1633)+1)</f>
        <v>1542</v>
      </c>
      <c r="B1634" s="27" t="s">
        <v>141</v>
      </c>
      <c r="C1634" s="23">
        <v>46095</v>
      </c>
      <c r="D1634" s="28" t="str">
        <f>_xlfn.XLOOKUP(Table134526_79101120212223242526[[#This Row],[Name Surname]],Manpower!$C$4:$C$1048576,Manpower!$B$4:$B$1048576,"")</f>
        <v>Encogroup</v>
      </c>
      <c r="E1634" s="21" t="s">
        <v>154</v>
      </c>
      <c r="F1634" s="12" t="e">
        <f>_xlfn.XLOOKUP(Table134526_79101120212223242526[[#This Row],[Name Surname]],Manpower!C:C,Manpower!D:D,)</f>
        <v>#N/A</v>
      </c>
      <c r="G1634" s="28" t="str">
        <f>_xlfn.XLOOKUP(Table134526_79101120212223242526[[#This Row],[Name Surname]],Manpower!$C$4:$C$1048576,Manpower!$F$4:$F$1048576,"")</f>
        <v>22 Seat Bus</v>
      </c>
      <c r="H1634" s="28" t="str">
        <f>_xlfn.XLOOKUP(Table134526_79101120212223242526[[#This Row],[Name Surname]],Manpower!$C$4:$C$1048576,Manpower!$H$4:$H$1048576,"")</f>
        <v>Equipment</v>
      </c>
      <c r="I1634" s="28" t="str">
        <f>_xlfn.XLOOKUP(Table134526_79101120212223242526[[#This Row],[Name Surname]],Manpower!$C$4:$C$1048576,Manpower!$H$4:$H$1048576,"")</f>
        <v>Equipment</v>
      </c>
      <c r="J1634" s="21" t="s">
        <v>143</v>
      </c>
      <c r="K1634" s="21" t="s">
        <v>26</v>
      </c>
      <c r="L1634" s="21" t="s">
        <v>144</v>
      </c>
      <c r="M1634" s="21" t="s">
        <v>55</v>
      </c>
      <c r="N1634" s="29">
        <v>10</v>
      </c>
      <c r="R1634" s="21" t="s">
        <v>308</v>
      </c>
    </row>
    <row r="1635" spans="1:18" ht="14.4">
      <c r="A1635" s="33">
        <f>IF(C1635="","",MAX($A$1:A1634)+1)</f>
        <v>1543</v>
      </c>
      <c r="B1635" s="27" t="s">
        <v>141</v>
      </c>
      <c r="C1635" s="23">
        <v>46095</v>
      </c>
      <c r="D1635" s="28" t="str">
        <f>_xlfn.XLOOKUP(Table134526_79101120212223242526[[#This Row],[Name Surname]],Manpower!$C$4:$C$1048576,Manpower!$B$4:$B$1048576,"")</f>
        <v>Encogroup</v>
      </c>
      <c r="E1635" s="21" t="s">
        <v>155</v>
      </c>
      <c r="F1635" s="12" t="e">
        <f>_xlfn.XLOOKUP(Table134526_79101120212223242526[[#This Row],[Name Surname]],Manpower!C:C,Manpower!D:D,)</f>
        <v>#N/A</v>
      </c>
      <c r="G1635" s="28" t="str">
        <f>_xlfn.XLOOKUP(Table134526_79101120212223242526[[#This Row],[Name Surname]],Manpower!$C$4:$C$1048576,Manpower!$F$4:$F$1048576,"")</f>
        <v>300 KVA Generator</v>
      </c>
      <c r="H1635" s="28" t="str">
        <f>_xlfn.XLOOKUP(Table134526_79101120212223242526[[#This Row],[Name Surname]],Manpower!$C$4:$C$1048576,Manpower!$H$4:$H$1048576,"")</f>
        <v>Equipment</v>
      </c>
      <c r="I1635" s="28" t="str">
        <f>_xlfn.XLOOKUP(Table134526_79101120212223242526[[#This Row],[Name Surname]],Manpower!$C$4:$C$1048576,Manpower!$H$4:$H$1048576,"")</f>
        <v>Equipment</v>
      </c>
      <c r="J1635" s="21" t="s">
        <v>143</v>
      </c>
      <c r="K1635" s="21" t="s">
        <v>26</v>
      </c>
      <c r="L1635" s="21" t="s">
        <v>144</v>
      </c>
      <c r="M1635" s="21" t="s">
        <v>24</v>
      </c>
      <c r="N1635" s="29">
        <v>10</v>
      </c>
      <c r="R1635" s="21" t="s">
        <v>308</v>
      </c>
    </row>
    <row r="1636" spans="1:18" ht="14.4">
      <c r="A1636" s="33">
        <f>IF(C1636="","",MAX($A$1:A1635)+1)</f>
        <v>1544</v>
      </c>
      <c r="B1636" s="27" t="s">
        <v>141</v>
      </c>
      <c r="C1636" s="23">
        <v>46095</v>
      </c>
      <c r="D1636" s="28" t="str">
        <f>_xlfn.XLOOKUP(Table134526_79101120212223242526[[#This Row],[Name Surname]],Manpower!$C$4:$C$1048576,Manpower!$B$4:$B$1048576,"")</f>
        <v>Encogroup</v>
      </c>
      <c r="E1636" s="23" t="s">
        <v>156</v>
      </c>
      <c r="F1636" s="12" t="e">
        <f>_xlfn.XLOOKUP(Table134526_79101120212223242526[[#This Row],[Name Surname]],Manpower!C:C,Manpower!D:D,)</f>
        <v>#N/A</v>
      </c>
      <c r="G1636" s="28" t="str">
        <f>_xlfn.XLOOKUP(Table134526_79101120212223242526[[#This Row],[Name Surname]],Manpower!$C$4:$C$1048576,Manpower!$F$4:$F$1048576,"")</f>
        <v>35 KVA Generator</v>
      </c>
      <c r="H1636" s="28" t="str">
        <f>_xlfn.XLOOKUP(Table134526_79101120212223242526[[#This Row],[Name Surname]],Manpower!$C$4:$C$1048576,Manpower!$H$4:$H$1048576,"")</f>
        <v>Equipment</v>
      </c>
      <c r="I1636" s="28" t="str">
        <f>_xlfn.XLOOKUP(Table134526_79101120212223242526[[#This Row],[Name Surname]],Manpower!$C$4:$C$1048576,Manpower!$H$4:$H$1048576,"")</f>
        <v>Equipment</v>
      </c>
      <c r="J1636" s="21" t="s">
        <v>143</v>
      </c>
      <c r="K1636" s="21" t="s">
        <v>26</v>
      </c>
      <c r="L1636" s="21" t="s">
        <v>144</v>
      </c>
      <c r="M1636" s="21" t="s">
        <v>55</v>
      </c>
      <c r="N1636" s="29">
        <v>10</v>
      </c>
      <c r="R1636" s="21" t="s">
        <v>308</v>
      </c>
    </row>
    <row r="1637" spans="1:18" ht="14.4" hidden="1">
      <c r="A1637" s="33">
        <f>IF(C1637="","",MAX($A$1:A1636)+1)</f>
        <v>1545</v>
      </c>
      <c r="B1637" s="27" t="s">
        <v>141</v>
      </c>
      <c r="C1637" s="23">
        <v>46095</v>
      </c>
      <c r="D1637" s="28" t="str">
        <f>_xlfn.XLOOKUP(Table134526_79101120212223242526[[#This Row],[Name Surname]],Manpower!$C$4:$C$1048576,Manpower!$B$4:$B$1048576,"")</f>
        <v>Encogroup</v>
      </c>
      <c r="E1637" s="21" t="s">
        <v>157</v>
      </c>
      <c r="F1637" s="12">
        <f>_xlfn.XLOOKUP(Table134526_79101120212223242526[[#This Row],[Name Surname]],Manpower!C:C,Manpower!D:D,)</f>
        <v>140742144</v>
      </c>
      <c r="G1637" s="28" t="str">
        <f>_xlfn.XLOOKUP(Table134526_79101120212223242526[[#This Row],[Name Surname]],Manpower!$C$4:$C$1048576,Manpower!$F$4:$F$1048576,"")</f>
        <v>Assistant/Helper</v>
      </c>
      <c r="H1637" s="28" t="str">
        <f>_xlfn.XLOOKUP(Table134526_79101120212223242526[[#This Row],[Name Surname]],Manpower!$C$4:$C$1048576,Manpower!$H$4:$H$1048576,"")</f>
        <v>Manpower</v>
      </c>
      <c r="I1637" s="28" t="str">
        <f>_xlfn.XLOOKUP(Table134526_79101120212223242526[[#This Row],[Name Surname]],Manpower!$C$4:$C$1048576,Manpower!$H$4:$H$1048576,"")</f>
        <v>Manpower</v>
      </c>
      <c r="J1637" s="21" t="s">
        <v>158</v>
      </c>
      <c r="K1637" s="21" t="s">
        <v>26</v>
      </c>
      <c r="L1637" s="21" t="s">
        <v>26</v>
      </c>
      <c r="M1637" s="21" t="s">
        <v>55</v>
      </c>
      <c r="N1637" s="29">
        <v>10</v>
      </c>
      <c r="R1637" s="21" t="s">
        <v>308</v>
      </c>
    </row>
    <row r="1638" spans="1:18" ht="14.4" hidden="1">
      <c r="A1638" s="33">
        <f>IF(C1638="","",MAX($A$1:A1637)+1)</f>
        <v>1546</v>
      </c>
      <c r="B1638" s="27" t="s">
        <v>141</v>
      </c>
      <c r="C1638" s="23">
        <v>46095</v>
      </c>
      <c r="D1638" s="28" t="str">
        <f>_xlfn.XLOOKUP(Table134526_79101120212223242526[[#This Row],[Name Surname]],Manpower!$C$4:$C$1048576,Manpower!$B$4:$B$1048576,"")</f>
        <v>Encogroup</v>
      </c>
      <c r="E1638" s="21" t="s">
        <v>166</v>
      </c>
      <c r="F1638" s="12" t="str">
        <f>_xlfn.XLOOKUP(Table134526_79101120212223242526[[#This Row],[Name Surname]],Manpower!C:C,Manpower!D:D,)</f>
        <v>U4181508</v>
      </c>
      <c r="G1638" s="28" t="str">
        <f>_xlfn.XLOOKUP(Table134526_79101120212223242526[[#This Row],[Name Surname]],Manpower!$C$4:$C$1048576,Manpower!$F$4:$F$1048576,"")</f>
        <v>Welder</v>
      </c>
      <c r="H1638" s="28" t="str">
        <f>_xlfn.XLOOKUP(Table134526_79101120212223242526[[#This Row],[Name Surname]],Manpower!$C$4:$C$1048576,Manpower!$H$4:$H$1048576,"")</f>
        <v>Manpower</v>
      </c>
      <c r="I1638" s="28" t="str">
        <f>_xlfn.XLOOKUP(Table134526_79101120212223242526[[#This Row],[Name Surname]],Manpower!$C$4:$C$1048576,Manpower!$H$4:$H$1048576,"")</f>
        <v>Manpower</v>
      </c>
      <c r="J1638" s="21" t="s">
        <v>143</v>
      </c>
      <c r="K1638" s="21" t="s">
        <v>26</v>
      </c>
      <c r="L1638" s="21" t="s">
        <v>144</v>
      </c>
      <c r="M1638" s="21" t="s">
        <v>55</v>
      </c>
      <c r="N1638" s="29">
        <v>10</v>
      </c>
      <c r="R1638" s="21" t="s">
        <v>308</v>
      </c>
    </row>
    <row r="1639" spans="1:18" ht="14.4" hidden="1">
      <c r="A1639" s="33">
        <f>IF(C1639="","",MAX($A$1:A1638)+1)</f>
        <v>1547</v>
      </c>
      <c r="B1639" s="27" t="s">
        <v>141</v>
      </c>
      <c r="C1639" s="23">
        <v>46095</v>
      </c>
      <c r="D1639" s="28" t="str">
        <f>_xlfn.XLOOKUP(Table134526_79101120212223242526[[#This Row],[Name Surname]],Manpower!$C$4:$C$1048576,Manpower!$B$4:$B$1048576,"")</f>
        <v>Encogroup</v>
      </c>
      <c r="E1639" s="21" t="s">
        <v>167</v>
      </c>
      <c r="F1639" s="12">
        <f>_xlfn.XLOOKUP(Table134526_79101120212223242526[[#This Row],[Name Surname]],Manpower!C:C,Manpower!D:D,)</f>
        <v>125440631</v>
      </c>
      <c r="G1639" s="28" t="str">
        <f>_xlfn.XLOOKUP(Table134526_79101120212223242526[[#This Row],[Name Surname]],Manpower!$C$4:$C$1048576,Manpower!$F$4:$F$1048576,"")</f>
        <v>Rigger</v>
      </c>
      <c r="H1639" s="28" t="str">
        <f>_xlfn.XLOOKUP(Table134526_79101120212223242526[[#This Row],[Name Surname]],Manpower!$C$4:$C$1048576,Manpower!$H$4:$H$1048576,"")</f>
        <v>Manpower</v>
      </c>
      <c r="I1639" s="28" t="str">
        <f>_xlfn.XLOOKUP(Table134526_79101120212223242526[[#This Row],[Name Surname]],Manpower!$C$4:$C$1048576,Manpower!$H$4:$H$1048576,"")</f>
        <v>Manpower</v>
      </c>
      <c r="J1639" s="21" t="s">
        <v>143</v>
      </c>
      <c r="K1639" s="21" t="s">
        <v>26</v>
      </c>
      <c r="L1639" s="21" t="s">
        <v>144</v>
      </c>
      <c r="M1639" s="21" t="s">
        <v>55</v>
      </c>
      <c r="N1639" s="29">
        <v>10</v>
      </c>
      <c r="R1639" s="21" t="s">
        <v>308</v>
      </c>
    </row>
    <row r="1640" spans="1:18" ht="14.4" hidden="1">
      <c r="A1640" s="33">
        <f>IF(C1640="","",MAX($A$1:A1639)+1)</f>
        <v>1548</v>
      </c>
      <c r="B1640" s="27" t="s">
        <v>141</v>
      </c>
      <c r="C1640" s="23">
        <v>46095</v>
      </c>
      <c r="D1640" s="28" t="str">
        <f>_xlfn.XLOOKUP(Table134526_79101120212223242526[[#This Row],[Name Surname]],Manpower!$C$4:$C$1048576,Manpower!$B$4:$B$1048576,"")</f>
        <v>AL Omar International TRAD AND CONT</v>
      </c>
      <c r="E1640" s="21" t="s">
        <v>169</v>
      </c>
      <c r="F1640" s="12">
        <f>_xlfn.XLOOKUP(Table134526_79101120212223242526[[#This Row],[Name Surname]],Manpower!C:C,Manpower!D:D,)</f>
        <v>115731078</v>
      </c>
      <c r="G1640" s="28" t="str">
        <f>_xlfn.XLOOKUP(Table134526_79101120212223242526[[#This Row],[Name Surname]],Manpower!$C$4:$C$1048576,Manpower!$F$4:$F$1048576,"")</f>
        <v>Scaffolder</v>
      </c>
      <c r="H1640" s="28" t="str">
        <f>_xlfn.XLOOKUP(Table134526_79101120212223242526[[#This Row],[Name Surname]],Manpower!$C$4:$C$1048576,Manpower!$H$4:$H$1048576,"")</f>
        <v>Sub Contactor</v>
      </c>
      <c r="I1640" s="28" t="str">
        <f>_xlfn.XLOOKUP(Table134526_79101120212223242526[[#This Row],[Name Surname]],Manpower!$C$4:$C$1048576,Manpower!$H$4:$H$1048576,"")</f>
        <v>Sub Contactor</v>
      </c>
      <c r="J1640" s="21" t="s">
        <v>143</v>
      </c>
      <c r="K1640" s="21" t="s">
        <v>26</v>
      </c>
      <c r="L1640" s="21" t="s">
        <v>144</v>
      </c>
      <c r="M1640" s="21" t="s">
        <v>55</v>
      </c>
      <c r="N1640" s="29">
        <v>10</v>
      </c>
      <c r="R1640" s="21" t="s">
        <v>308</v>
      </c>
    </row>
    <row r="1641" spans="1:18" ht="14.4" hidden="1">
      <c r="A1641" s="33">
        <f>IF(C1641="","",MAX($A$1:A1640)+1)</f>
        <v>1549</v>
      </c>
      <c r="B1641" s="27" t="s">
        <v>141</v>
      </c>
      <c r="C1641" s="23">
        <v>46095</v>
      </c>
      <c r="D1641" s="28" t="str">
        <f>_xlfn.XLOOKUP(Table134526_79101120212223242526[[#This Row],[Name Surname]],Manpower!$C$4:$C$1048576,Manpower!$B$4:$B$1048576,"")</f>
        <v>Encogroup</v>
      </c>
      <c r="E1641" s="21" t="s">
        <v>172</v>
      </c>
      <c r="F1641" s="12">
        <f>_xlfn.XLOOKUP(Table134526_79101120212223242526[[#This Row],[Name Surname]],Manpower!C:C,Manpower!D:D,)</f>
        <v>140764355</v>
      </c>
      <c r="G1641" s="28" t="str">
        <f>_xlfn.XLOOKUP(Table134526_79101120212223242526[[#This Row],[Name Surname]],Manpower!$C$4:$C$1048576,Manpower!$F$4:$F$1048576,"")</f>
        <v>Fitter/Erector</v>
      </c>
      <c r="H1641" s="28" t="str">
        <f>_xlfn.XLOOKUP(Table134526_79101120212223242526[[#This Row],[Name Surname]],Manpower!$C$4:$C$1048576,Manpower!$H$4:$H$1048576,"")</f>
        <v>Manpower</v>
      </c>
      <c r="I1641" s="28" t="str">
        <f>_xlfn.XLOOKUP(Table134526_79101120212223242526[[#This Row],[Name Surname]],Manpower!$C$4:$C$1048576,Manpower!$H$4:$H$1048576,"")</f>
        <v>Manpower</v>
      </c>
      <c r="J1641" s="21" t="s">
        <v>143</v>
      </c>
      <c r="K1641" s="21" t="s">
        <v>26</v>
      </c>
      <c r="L1641" s="21" t="s">
        <v>144</v>
      </c>
      <c r="M1641" s="21" t="s">
        <v>55</v>
      </c>
      <c r="N1641" s="29">
        <v>10</v>
      </c>
      <c r="R1641" s="21" t="s">
        <v>308</v>
      </c>
    </row>
    <row r="1642" spans="1:18" ht="14.4" hidden="1">
      <c r="A1642" s="33">
        <f>IF(C1642="","",MAX($A$1:A1641)+1)</f>
        <v>1550</v>
      </c>
      <c r="B1642" s="27" t="s">
        <v>141</v>
      </c>
      <c r="C1642" s="23">
        <v>46095</v>
      </c>
      <c r="D1642" s="28" t="str">
        <f>_xlfn.XLOOKUP(Table134526_79101120212223242526[[#This Row],[Name Surname]],Manpower!$C$4:$C$1048576,Manpower!$B$4:$B$1048576,"")</f>
        <v>Encogroup</v>
      </c>
      <c r="E1642" s="21" t="s">
        <v>175</v>
      </c>
      <c r="F1642" s="12">
        <f>_xlfn.XLOOKUP(Table134526_79101120212223242526[[#This Row],[Name Surname]],Manpower!C:C,Manpower!D:D,)</f>
        <v>140742125</v>
      </c>
      <c r="G1642" s="28" t="str">
        <f>_xlfn.XLOOKUP(Table134526_79101120212223242526[[#This Row],[Name Surname]],Manpower!$C$4:$C$1048576,Manpower!$F$4:$F$1048576,"")</f>
        <v>Assistant/Helper</v>
      </c>
      <c r="H1642" s="28" t="str">
        <f>_xlfn.XLOOKUP(Table134526_79101120212223242526[[#This Row],[Name Surname]],Manpower!$C$4:$C$1048576,Manpower!$H$4:$H$1048576,"")</f>
        <v>Manpower</v>
      </c>
      <c r="I1642" s="28" t="str">
        <f>_xlfn.XLOOKUP(Table134526_79101120212223242526[[#This Row],[Name Surname]],Manpower!$C$4:$C$1048576,Manpower!$H$4:$H$1048576,"")</f>
        <v>Manpower</v>
      </c>
      <c r="J1642" s="21" t="s">
        <v>158</v>
      </c>
      <c r="K1642" s="21" t="s">
        <v>26</v>
      </c>
      <c r="L1642" s="21" t="s">
        <v>26</v>
      </c>
      <c r="M1642" s="21" t="s">
        <v>55</v>
      </c>
      <c r="N1642" s="29">
        <v>10</v>
      </c>
      <c r="R1642" s="21" t="s">
        <v>308</v>
      </c>
    </row>
    <row r="1643" spans="1:18" ht="14.4" hidden="1">
      <c r="A1643" s="33">
        <f>IF(C1643="","",MAX($A$1:A1642)+1)</f>
        <v>1551</v>
      </c>
      <c r="B1643" s="27" t="s">
        <v>141</v>
      </c>
      <c r="C1643" s="23">
        <v>46095</v>
      </c>
      <c r="D1643" s="28" t="str">
        <f>_xlfn.XLOOKUP(Table134526_79101120212223242526[[#This Row],[Name Surname]],Manpower!$C$4:$C$1048576,Manpower!$B$4:$B$1048576,"")</f>
        <v>Encogroup</v>
      </c>
      <c r="E1643" s="21" t="s">
        <v>228</v>
      </c>
      <c r="F1643" s="12">
        <f>_xlfn.XLOOKUP(Table134526_79101120212223242526[[#This Row],[Name Surname]],Manpower!C:C,Manpower!D:D,)</f>
        <v>125199963</v>
      </c>
      <c r="G1643" s="28" t="str">
        <f>_xlfn.XLOOKUP(Table134526_79101120212223242526[[#This Row],[Name Surname]],Manpower!$C$4:$C$1048576,Manpower!$F$4:$F$1048576,"")</f>
        <v>Electrician</v>
      </c>
      <c r="H1643" s="28" t="str">
        <f>_xlfn.XLOOKUP(Table134526_79101120212223242526[[#This Row],[Name Surname]],Manpower!$C$4:$C$1048576,Manpower!$H$4:$H$1048576,"")</f>
        <v>Manpower</v>
      </c>
      <c r="I1643" s="28" t="str">
        <f>_xlfn.XLOOKUP(Table134526_79101120212223242526[[#This Row],[Name Surname]],Manpower!$C$4:$C$1048576,Manpower!$H$4:$H$1048576,"")</f>
        <v>Manpower</v>
      </c>
      <c r="J1643" s="21" t="s">
        <v>158</v>
      </c>
      <c r="K1643" s="21" t="s">
        <v>26</v>
      </c>
      <c r="L1643" s="21" t="s">
        <v>26</v>
      </c>
      <c r="M1643" s="21" t="s">
        <v>55</v>
      </c>
      <c r="N1643" s="29">
        <v>10</v>
      </c>
      <c r="R1643" s="21" t="s">
        <v>308</v>
      </c>
    </row>
    <row r="1644" spans="1:18" ht="14.4" hidden="1">
      <c r="A1644" s="33">
        <f>IF(C1644="","",MAX($A$1:A1643)+1)</f>
        <v>1552</v>
      </c>
      <c r="B1644" s="27" t="s">
        <v>141</v>
      </c>
      <c r="C1644" s="23">
        <v>46095</v>
      </c>
      <c r="D1644" s="28" t="str">
        <f>_xlfn.XLOOKUP(Table134526_79101120212223242526[[#This Row],[Name Surname]],Manpower!$C$4:$C$1048576,Manpower!$B$4:$B$1048576,"")</f>
        <v>Encogroup</v>
      </c>
      <c r="E1644" s="21" t="s">
        <v>176</v>
      </c>
      <c r="F1644" s="12">
        <f>_xlfn.XLOOKUP(Table134526_79101120212223242526[[#This Row],[Name Surname]],Manpower!C:C,Manpower!D:D,)</f>
        <v>124398279</v>
      </c>
      <c r="G1644" s="28" t="str">
        <f>_xlfn.XLOOKUP(Table134526_79101120212223242526[[#This Row],[Name Surname]],Manpower!$C$4:$C$1048576,Manpower!$F$4:$F$1048576,"")</f>
        <v>Permit Receiver</v>
      </c>
      <c r="H1644" s="28" t="str">
        <f>_xlfn.XLOOKUP(Table134526_79101120212223242526[[#This Row],[Name Surname]],Manpower!$C$4:$C$1048576,Manpower!$H$4:$H$1048576,"")</f>
        <v>Manpower</v>
      </c>
      <c r="I1644" s="28" t="str">
        <f>_xlfn.XLOOKUP(Table134526_79101120212223242526[[#This Row],[Name Surname]],Manpower!$C$4:$C$1048576,Manpower!$H$4:$H$1048576,"")</f>
        <v>Manpower</v>
      </c>
      <c r="J1644" s="21" t="s">
        <v>143</v>
      </c>
      <c r="K1644" s="21" t="s">
        <v>26</v>
      </c>
      <c r="L1644" s="21" t="s">
        <v>144</v>
      </c>
      <c r="M1644" s="21" t="s">
        <v>55</v>
      </c>
      <c r="N1644" s="29">
        <v>10</v>
      </c>
      <c r="R1644" s="21" t="s">
        <v>308</v>
      </c>
    </row>
    <row r="1645" spans="1:18" ht="14.4" hidden="1">
      <c r="A1645" s="33">
        <f>IF(C1645="","",MAX($A$1:A1644)+1)</f>
        <v>1553</v>
      </c>
      <c r="B1645" s="27" t="s">
        <v>141</v>
      </c>
      <c r="C1645" s="23">
        <v>46095</v>
      </c>
      <c r="D1645" s="28" t="str">
        <f>_xlfn.XLOOKUP(Table134526_79101120212223242526[[#This Row],[Name Surname]],Manpower!$C$4:$C$1048576,Manpower!$B$4:$B$1048576,"")</f>
        <v>Encogroup</v>
      </c>
      <c r="E1645" s="21" t="s">
        <v>177</v>
      </c>
      <c r="F1645" s="12">
        <f>_xlfn.XLOOKUP(Table134526_79101120212223242526[[#This Row],[Name Surname]],Manpower!C:C,Manpower!D:D,)</f>
        <v>140809004</v>
      </c>
      <c r="G1645" s="28" t="str">
        <f>_xlfn.XLOOKUP(Table134526_79101120212223242526[[#This Row],[Name Surname]],Manpower!$C$4:$C$1048576,Manpower!$F$4:$F$1048576,"")</f>
        <v>Fitter/Erector</v>
      </c>
      <c r="H1645" s="28" t="str">
        <f>_xlfn.XLOOKUP(Table134526_79101120212223242526[[#This Row],[Name Surname]],Manpower!$C$4:$C$1048576,Manpower!$H$4:$H$1048576,"")</f>
        <v>Manpower</v>
      </c>
      <c r="I1645" s="28" t="str">
        <f>_xlfn.XLOOKUP(Table134526_79101120212223242526[[#This Row],[Name Surname]],Manpower!$C$4:$C$1048576,Manpower!$H$4:$H$1048576,"")</f>
        <v>Manpower</v>
      </c>
      <c r="J1645" s="21" t="s">
        <v>143</v>
      </c>
      <c r="K1645" s="21" t="s">
        <v>26</v>
      </c>
      <c r="L1645" s="21" t="s">
        <v>144</v>
      </c>
      <c r="M1645" s="21" t="s">
        <v>55</v>
      </c>
      <c r="N1645" s="29">
        <v>10</v>
      </c>
      <c r="R1645" s="21" t="s">
        <v>308</v>
      </c>
    </row>
    <row r="1646" spans="1:18" ht="14.4" hidden="1">
      <c r="A1646" s="33">
        <f>IF(C1646="","",MAX($A$1:A1645)+1)</f>
        <v>1554</v>
      </c>
      <c r="B1646" s="27" t="s">
        <v>141</v>
      </c>
      <c r="C1646" s="23">
        <v>46095</v>
      </c>
      <c r="D1646" s="28" t="str">
        <f>_xlfn.XLOOKUP(Table134526_79101120212223242526[[#This Row],[Name Surname]],Manpower!$C$4:$C$1048576,Manpower!$B$4:$B$1048576,"")</f>
        <v>Encogroup</v>
      </c>
      <c r="E1646" s="21" t="s">
        <v>178</v>
      </c>
      <c r="F1646" s="12">
        <f>_xlfn.XLOOKUP(Table134526_79101120212223242526[[#This Row],[Name Surname]],Manpower!C:C,Manpower!D:D,)</f>
        <v>140683436</v>
      </c>
      <c r="G1646" s="28" t="str">
        <f>_xlfn.XLOOKUP(Table134526_79101120212223242526[[#This Row],[Name Surname]],Manpower!$C$4:$C$1048576,Manpower!$F$4:$F$1048576,"")</f>
        <v>Scaffolder</v>
      </c>
      <c r="H1646" s="28" t="str">
        <f>_xlfn.XLOOKUP(Table134526_79101120212223242526[[#This Row],[Name Surname]],Manpower!$C$4:$C$1048576,Manpower!$H$4:$H$1048576,"")</f>
        <v>Manpower</v>
      </c>
      <c r="I1646" s="28" t="str">
        <f>_xlfn.XLOOKUP(Table134526_79101120212223242526[[#This Row],[Name Surname]],Manpower!$C$4:$C$1048576,Manpower!$H$4:$H$1048576,"")</f>
        <v>Manpower</v>
      </c>
      <c r="J1646" s="21" t="s">
        <v>158</v>
      </c>
      <c r="K1646" s="21" t="s">
        <v>26</v>
      </c>
      <c r="L1646" s="21" t="s">
        <v>26</v>
      </c>
      <c r="M1646" s="21" t="s">
        <v>55</v>
      </c>
      <c r="N1646" s="29">
        <v>10</v>
      </c>
      <c r="R1646" s="21" t="s">
        <v>308</v>
      </c>
    </row>
    <row r="1647" spans="1:18" ht="14.4">
      <c r="A1647" s="33">
        <f>IF(C1647="","",MAX($A$1:A1646)+1)</f>
        <v>1555</v>
      </c>
      <c r="B1647" s="27" t="s">
        <v>141</v>
      </c>
      <c r="C1647" s="23">
        <v>46095</v>
      </c>
      <c r="D1647" s="28" t="str">
        <f>_xlfn.XLOOKUP(Table134526_79101120212223242526[[#This Row],[Name Surname]],Manpower!$C$4:$C$1048576,Manpower!$B$4:$B$1048576,"")</f>
        <v>Encogroup</v>
      </c>
      <c r="E1647" s="23" t="s">
        <v>179</v>
      </c>
      <c r="F1647" s="12" t="e">
        <f>_xlfn.XLOOKUP(Table134526_79101120212223242526[[#This Row],[Name Surname]],Manpower!C:C,Manpower!D:D,)</f>
        <v>#N/A</v>
      </c>
      <c r="G1647" s="28" t="str">
        <f>_xlfn.XLOOKUP(Table134526_79101120212223242526[[#This Row],[Name Surname]],Manpower!$C$4:$C$1048576,Manpower!$F$4:$F$1048576,"")</f>
        <v>7T-HIAB</v>
      </c>
      <c r="H1647" s="28" t="str">
        <f>_xlfn.XLOOKUP(Table134526_79101120212223242526[[#This Row],[Name Surname]],Manpower!$C$4:$C$1048576,Manpower!$H$4:$H$1048576,"")</f>
        <v>Equipment</v>
      </c>
      <c r="I1647" s="28" t="str">
        <f>_xlfn.XLOOKUP(Table134526_79101120212223242526[[#This Row],[Name Surname]],Manpower!$C$4:$C$1048576,Manpower!$H$4:$H$1048576,"")</f>
        <v>Equipment</v>
      </c>
      <c r="J1647" s="21" t="s">
        <v>143</v>
      </c>
      <c r="K1647" s="21" t="s">
        <v>26</v>
      </c>
      <c r="L1647" s="21" t="s">
        <v>144</v>
      </c>
      <c r="M1647" s="21" t="s">
        <v>55</v>
      </c>
      <c r="N1647" s="29">
        <v>10</v>
      </c>
      <c r="R1647" s="21" t="s">
        <v>308</v>
      </c>
    </row>
    <row r="1648" spans="1:18" ht="14.4" hidden="1">
      <c r="A1648" s="33">
        <f>IF(C1648="","",MAX($A$1:A1647)+1)</f>
        <v>1556</v>
      </c>
      <c r="B1648" s="27" t="s">
        <v>141</v>
      </c>
      <c r="C1648" s="23">
        <v>46095</v>
      </c>
      <c r="D1648" s="28" t="str">
        <f>_xlfn.XLOOKUP(Table134526_79101120212223242526[[#This Row],[Name Surname]],Manpower!$C$4:$C$1048576,Manpower!$B$4:$B$1048576,"")</f>
        <v>Encogroup</v>
      </c>
      <c r="E1648" s="21" t="s">
        <v>180</v>
      </c>
      <c r="F1648" s="12">
        <f>_xlfn.XLOOKUP(Table134526_79101120212223242526[[#This Row],[Name Surname]],Manpower!C:C,Manpower!D:D,)</f>
        <v>9138415</v>
      </c>
      <c r="G1648" s="28" t="str">
        <f>_xlfn.XLOOKUP(Table134526_79101120212223242526[[#This Row],[Name Surname]],Manpower!$C$4:$C$1048576,Manpower!$F$4:$F$1048576,"")</f>
        <v>HIAB Driver</v>
      </c>
      <c r="H1648" s="28" t="str">
        <f>_xlfn.XLOOKUP(Table134526_79101120212223242526[[#This Row],[Name Surname]],Manpower!$C$4:$C$1048576,Manpower!$H$4:$H$1048576,"")</f>
        <v>Manpower</v>
      </c>
      <c r="I1648" s="28" t="str">
        <f>_xlfn.XLOOKUP(Table134526_79101120212223242526[[#This Row],[Name Surname]],Manpower!$C$4:$C$1048576,Manpower!$H$4:$H$1048576,"")</f>
        <v>Manpower</v>
      </c>
      <c r="J1648" s="21" t="s">
        <v>143</v>
      </c>
      <c r="K1648" s="21" t="s">
        <v>26</v>
      </c>
      <c r="L1648" s="21" t="s">
        <v>144</v>
      </c>
      <c r="M1648" s="21" t="s">
        <v>55</v>
      </c>
      <c r="N1648" s="29">
        <v>10</v>
      </c>
      <c r="R1648" s="21" t="s">
        <v>308</v>
      </c>
    </row>
    <row r="1649" spans="1:18" ht="14.4" hidden="1">
      <c r="A1649" s="33">
        <f>IF(C1649="","",MAX($A$1:A1648)+1)</f>
        <v>1557</v>
      </c>
      <c r="B1649" s="27" t="s">
        <v>141</v>
      </c>
      <c r="C1649" s="23">
        <v>46095</v>
      </c>
      <c r="D1649" s="28" t="str">
        <f>_xlfn.XLOOKUP(Table134526_79101120212223242526[[#This Row],[Name Surname]],Manpower!$C$4:$C$1048576,Manpower!$B$4:$B$1048576,"")</f>
        <v>GAF</v>
      </c>
      <c r="E1649" s="21" t="s">
        <v>182</v>
      </c>
      <c r="F1649" s="12">
        <f>_xlfn.XLOOKUP(Table134526_79101120212223242526[[#This Row],[Name Surname]],Manpower!C:C,Manpower!D:D,)</f>
        <v>78785394</v>
      </c>
      <c r="G1649" s="28" t="str">
        <f>_xlfn.XLOOKUP(Table134526_79101120212223242526[[#This Row],[Name Surname]],Manpower!$C$4:$C$1048576,Manpower!$F$4:$F$1048576,"")</f>
        <v>Helper</v>
      </c>
      <c r="H1649" s="28" t="str">
        <f>_xlfn.XLOOKUP(Table134526_79101120212223242526[[#This Row],[Name Surname]],Manpower!$C$4:$C$1048576,Manpower!$H$4:$H$1048576,"")</f>
        <v>Sub Contactor</v>
      </c>
      <c r="I1649" s="28" t="str">
        <f>_xlfn.XLOOKUP(Table134526_79101120212223242526[[#This Row],[Name Surname]],Manpower!$C$4:$C$1048576,Manpower!$H$4:$H$1048576,"")</f>
        <v>Sub Contactor</v>
      </c>
      <c r="J1649" s="21" t="s">
        <v>158</v>
      </c>
      <c r="K1649" s="21" t="s">
        <v>26</v>
      </c>
      <c r="L1649" s="21" t="s">
        <v>26</v>
      </c>
      <c r="M1649" s="21" t="s">
        <v>55</v>
      </c>
      <c r="N1649" s="29">
        <v>10</v>
      </c>
      <c r="R1649" s="21" t="s">
        <v>308</v>
      </c>
    </row>
    <row r="1650" spans="1:18" ht="14.4" hidden="1">
      <c r="A1650" s="33">
        <f>IF(C1650="","",MAX($A$1:A1649)+1)</f>
        <v>1558</v>
      </c>
      <c r="B1650" s="27" t="s">
        <v>141</v>
      </c>
      <c r="C1650" s="23">
        <v>46095</v>
      </c>
      <c r="D1650" s="28" t="str">
        <f>_xlfn.XLOOKUP(Table134526_79101120212223242526[[#This Row],[Name Surname]],Manpower!$C$4:$C$1048576,Manpower!$B$4:$B$1048576,"")</f>
        <v>Encogroup</v>
      </c>
      <c r="E1650" s="21" t="s">
        <v>183</v>
      </c>
      <c r="F1650" s="12">
        <f>_xlfn.XLOOKUP(Table134526_79101120212223242526[[#This Row],[Name Surname]],Manpower!C:C,Manpower!D:D,)</f>
        <v>141359024</v>
      </c>
      <c r="G1650" s="28" t="str">
        <f>_xlfn.XLOOKUP(Table134526_79101120212223242526[[#This Row],[Name Surname]],Manpower!$C$4:$C$1048576,Manpower!$F$4:$F$1048576,"")</f>
        <v>Hydraulic Mechanic</v>
      </c>
      <c r="H1650" s="28" t="str">
        <f>_xlfn.XLOOKUP(Table134526_79101120212223242526[[#This Row],[Name Surname]],Manpower!$C$4:$C$1048576,Manpower!$H$4:$H$1048576,"")</f>
        <v>Manpower</v>
      </c>
      <c r="I1650" s="28" t="str">
        <f>_xlfn.XLOOKUP(Table134526_79101120212223242526[[#This Row],[Name Surname]],Manpower!$C$4:$C$1048576,Manpower!$H$4:$H$1048576,"")</f>
        <v>Manpower</v>
      </c>
      <c r="J1650" s="21" t="s">
        <v>143</v>
      </c>
      <c r="K1650" s="21" t="s">
        <v>26</v>
      </c>
      <c r="L1650" s="21" t="s">
        <v>144</v>
      </c>
      <c r="M1650" s="21" t="s">
        <v>55</v>
      </c>
      <c r="N1650" s="29">
        <v>10</v>
      </c>
      <c r="R1650" s="21" t="s">
        <v>308</v>
      </c>
    </row>
    <row r="1651" spans="1:18" ht="14.4" hidden="1">
      <c r="A1651" s="33">
        <f>IF(C1651="","",MAX($A$1:A1650)+1)</f>
        <v>1559</v>
      </c>
      <c r="B1651" s="27" t="s">
        <v>141</v>
      </c>
      <c r="C1651" s="23">
        <v>46095</v>
      </c>
      <c r="D1651" s="28" t="str">
        <f>_xlfn.XLOOKUP(Table134526_79101120212223242526[[#This Row],[Name Surname]],Manpower!$C$4:$C$1048576,Manpower!$B$4:$B$1048576,"")</f>
        <v>Encogroup</v>
      </c>
      <c r="E1651" s="21" t="s">
        <v>184</v>
      </c>
      <c r="F1651" s="12">
        <f>_xlfn.XLOOKUP(Table134526_79101120212223242526[[#This Row],[Name Surname]],Manpower!C:C,Manpower!D:D,)</f>
        <v>140844759</v>
      </c>
      <c r="G1651" s="28" t="str">
        <f>_xlfn.XLOOKUP(Table134526_79101120212223242526[[#This Row],[Name Surname]],Manpower!$C$4:$C$1048576,Manpower!$F$4:$F$1048576,"")</f>
        <v>Welder</v>
      </c>
      <c r="H1651" s="28" t="str">
        <f>_xlfn.XLOOKUP(Table134526_79101120212223242526[[#This Row],[Name Surname]],Manpower!$C$4:$C$1048576,Manpower!$H$4:$H$1048576,"")</f>
        <v>Manpower</v>
      </c>
      <c r="I1651" s="28" t="str">
        <f>_xlfn.XLOOKUP(Table134526_79101120212223242526[[#This Row],[Name Surname]],Manpower!$C$4:$C$1048576,Manpower!$H$4:$H$1048576,"")</f>
        <v>Manpower</v>
      </c>
      <c r="J1651" s="21" t="s">
        <v>143</v>
      </c>
      <c r="K1651" s="21" t="s">
        <v>26</v>
      </c>
      <c r="L1651" s="21" t="s">
        <v>144</v>
      </c>
      <c r="M1651" s="21" t="s">
        <v>55</v>
      </c>
      <c r="N1651" s="29">
        <v>10</v>
      </c>
      <c r="R1651" s="21" t="s">
        <v>308</v>
      </c>
    </row>
    <row r="1652" spans="1:18" ht="14.4" hidden="1">
      <c r="A1652" s="33">
        <f>IF(C1652="","",MAX($A$1:A1651)+1)</f>
        <v>1560</v>
      </c>
      <c r="B1652" s="27" t="s">
        <v>141</v>
      </c>
      <c r="C1652" s="23">
        <v>46095</v>
      </c>
      <c r="D1652" s="28" t="str">
        <f>_xlfn.XLOOKUP(Table134526_79101120212223242526[[#This Row],[Name Surname]],Manpower!$C$4:$C$1048576,Manpower!$B$4:$B$1048576,"")</f>
        <v>Encogroup</v>
      </c>
      <c r="E1652" s="21" t="s">
        <v>185</v>
      </c>
      <c r="F1652" s="12">
        <f>_xlfn.XLOOKUP(Table134526_79101120212223242526[[#This Row],[Name Surname]],Manpower!C:C,Manpower!D:D,)</f>
        <v>140848828</v>
      </c>
      <c r="G1652" s="28" t="str">
        <f>_xlfn.XLOOKUP(Table134526_79101120212223242526[[#This Row],[Name Surname]],Manpower!$C$4:$C$1048576,Manpower!$F$4:$F$1048576,"")</f>
        <v>Pipe Fitter</v>
      </c>
      <c r="H1652" s="28" t="str">
        <f>_xlfn.XLOOKUP(Table134526_79101120212223242526[[#This Row],[Name Surname]],Manpower!$C$4:$C$1048576,Manpower!$H$4:$H$1048576,"")</f>
        <v>Manpower</v>
      </c>
      <c r="I1652" s="28" t="str">
        <f>_xlfn.XLOOKUP(Table134526_79101120212223242526[[#This Row],[Name Surname]],Manpower!$C$4:$C$1048576,Manpower!$H$4:$H$1048576,"")</f>
        <v>Manpower</v>
      </c>
      <c r="J1652" s="21" t="s">
        <v>143</v>
      </c>
      <c r="K1652" s="21" t="s">
        <v>26</v>
      </c>
      <c r="L1652" s="21" t="s">
        <v>144</v>
      </c>
      <c r="M1652" s="21" t="s">
        <v>55</v>
      </c>
      <c r="N1652" s="29">
        <v>10</v>
      </c>
      <c r="R1652" s="21" t="s">
        <v>308</v>
      </c>
    </row>
    <row r="1653" spans="1:18" ht="14.4" hidden="1">
      <c r="A1653" s="33">
        <f>IF(C1653="","",MAX($A$1:A1652)+1)</f>
        <v>1561</v>
      </c>
      <c r="B1653" s="27" t="s">
        <v>141</v>
      </c>
      <c r="C1653" s="23">
        <v>46095</v>
      </c>
      <c r="D1653" s="28" t="str">
        <f>_xlfn.XLOOKUP(Table134526_79101120212223242526[[#This Row],[Name Surname]],Manpower!$C$4:$C$1048576,Manpower!$B$4:$B$1048576,"")</f>
        <v>Encogroup</v>
      </c>
      <c r="E1653" s="21" t="s">
        <v>186</v>
      </c>
      <c r="F1653" s="12">
        <f>_xlfn.XLOOKUP(Table134526_79101120212223242526[[#This Row],[Name Surname]],Manpower!C:C,Manpower!D:D,)</f>
        <v>140696961</v>
      </c>
      <c r="G1653" s="28" t="str">
        <f>_xlfn.XLOOKUP(Table134526_79101120212223242526[[#This Row],[Name Surname]],Manpower!$C$4:$C$1048576,Manpower!$F$4:$F$1048576,"")</f>
        <v>Assistant/Helper</v>
      </c>
      <c r="H1653" s="28" t="str">
        <f>_xlfn.XLOOKUP(Table134526_79101120212223242526[[#This Row],[Name Surname]],Manpower!$C$4:$C$1048576,Manpower!$H$4:$H$1048576,"")</f>
        <v>Manpower</v>
      </c>
      <c r="I1653" s="28" t="str">
        <f>_xlfn.XLOOKUP(Table134526_79101120212223242526[[#This Row],[Name Surname]],Manpower!$C$4:$C$1048576,Manpower!$H$4:$H$1048576,"")</f>
        <v>Manpower</v>
      </c>
      <c r="J1653" s="21" t="s">
        <v>158</v>
      </c>
      <c r="K1653" s="21" t="s">
        <v>26</v>
      </c>
      <c r="L1653" s="21" t="s">
        <v>26</v>
      </c>
      <c r="M1653" s="21" t="s">
        <v>55</v>
      </c>
      <c r="N1653" s="29">
        <v>10</v>
      </c>
      <c r="R1653" s="21" t="s">
        <v>308</v>
      </c>
    </row>
    <row r="1654" spans="1:18" ht="14.4" hidden="1">
      <c r="A1654" s="33">
        <f>IF(C1654="","",MAX($A$1:A1653)+1)</f>
        <v>1562</v>
      </c>
      <c r="B1654" s="27" t="s">
        <v>141</v>
      </c>
      <c r="C1654" s="23">
        <v>46095</v>
      </c>
      <c r="D1654" s="28" t="str">
        <f>_xlfn.XLOOKUP(Table134526_79101120212223242526[[#This Row],[Name Surname]],Manpower!$C$4:$C$1048576,Manpower!$B$4:$B$1048576,"")</f>
        <v>Encogroup</v>
      </c>
      <c r="E1654" s="21" t="s">
        <v>187</v>
      </c>
      <c r="F1654" s="12">
        <f>_xlfn.XLOOKUP(Table134526_79101120212223242526[[#This Row],[Name Surname]],Manpower!C:C,Manpower!D:D,)</f>
        <v>140623599</v>
      </c>
      <c r="G1654" s="28" t="str">
        <f>_xlfn.XLOOKUP(Table134526_79101120212223242526[[#This Row],[Name Surname]],Manpower!$C$4:$C$1048576,Manpower!$F$4:$F$1048576,"")</f>
        <v>Mechanical Supervisor</v>
      </c>
      <c r="H1654" s="28" t="str">
        <f>_xlfn.XLOOKUP(Table134526_79101120212223242526[[#This Row],[Name Surname]],Manpower!$C$4:$C$1048576,Manpower!$H$4:$H$1048576,"")</f>
        <v>Manpower</v>
      </c>
      <c r="I1654" s="28" t="str">
        <f>_xlfn.XLOOKUP(Table134526_79101120212223242526[[#This Row],[Name Surname]],Manpower!$C$4:$C$1048576,Manpower!$H$4:$H$1048576,"")</f>
        <v>Manpower</v>
      </c>
      <c r="J1654" s="21" t="s">
        <v>143</v>
      </c>
      <c r="K1654" s="21" t="s">
        <v>26</v>
      </c>
      <c r="L1654" s="21" t="s">
        <v>144</v>
      </c>
      <c r="M1654" s="21" t="s">
        <v>55</v>
      </c>
      <c r="N1654" s="29">
        <v>10</v>
      </c>
      <c r="R1654" s="21" t="s">
        <v>308</v>
      </c>
    </row>
    <row r="1655" spans="1:18" ht="14.4" hidden="1">
      <c r="A1655" s="33">
        <f>IF(C1655="","",MAX($A$1:A1654)+1)</f>
        <v>1563</v>
      </c>
      <c r="B1655" s="27" t="s">
        <v>141</v>
      </c>
      <c r="C1655" s="23">
        <v>46095</v>
      </c>
      <c r="D1655" s="28" t="str">
        <f>_xlfn.XLOOKUP(Table134526_79101120212223242526[[#This Row],[Name Surname]],Manpower!$C$4:$C$1048576,Manpower!$B$4:$B$1048576,"")</f>
        <v>Encogroup</v>
      </c>
      <c r="E1655" s="21" t="s">
        <v>189</v>
      </c>
      <c r="F1655" s="12">
        <f>_xlfn.XLOOKUP(Table134526_79101120212223242526[[#This Row],[Name Surname]],Manpower!C:C,Manpower!D:D,)</f>
        <v>121937785</v>
      </c>
      <c r="G1655" s="28" t="str">
        <f>_xlfn.XLOOKUP(Table134526_79101120212223242526[[#This Row],[Name Surname]],Manpower!$C$4:$C$1048576,Manpower!$F$4:$F$1048576,"")</f>
        <v>Scaffolding Inspector</v>
      </c>
      <c r="H1655" s="28" t="str">
        <f>_xlfn.XLOOKUP(Table134526_79101120212223242526[[#This Row],[Name Surname]],Manpower!$C$4:$C$1048576,Manpower!$H$4:$H$1048576,"")</f>
        <v>Manpower</v>
      </c>
      <c r="I1655" s="28" t="str">
        <f>_xlfn.XLOOKUP(Table134526_79101120212223242526[[#This Row],[Name Surname]],Manpower!$C$4:$C$1048576,Manpower!$H$4:$H$1048576,"")</f>
        <v>Manpower</v>
      </c>
      <c r="J1655" s="21" t="s">
        <v>143</v>
      </c>
      <c r="K1655" s="21" t="s">
        <v>26</v>
      </c>
      <c r="L1655" s="21" t="s">
        <v>144</v>
      </c>
      <c r="M1655" s="21" t="s">
        <v>55</v>
      </c>
      <c r="N1655" s="29">
        <v>10</v>
      </c>
      <c r="R1655" s="21" t="s">
        <v>308</v>
      </c>
    </row>
    <row r="1656" spans="1:18" ht="14.4" hidden="1">
      <c r="A1656" s="33">
        <f>IF(C1656="","",MAX($A$1:A1655)+1)</f>
        <v>1564</v>
      </c>
      <c r="B1656" s="27" t="s">
        <v>141</v>
      </c>
      <c r="C1656" s="23">
        <v>46095</v>
      </c>
      <c r="D1656" s="28" t="str">
        <f>_xlfn.XLOOKUP(Table134526_79101120212223242526[[#This Row],[Name Surname]],Manpower!$C$4:$C$1048576,Manpower!$B$4:$B$1048576,"")</f>
        <v xml:space="preserve">AL Omar International </v>
      </c>
      <c r="E1656" s="21" t="s">
        <v>190</v>
      </c>
      <c r="F1656" s="12">
        <f>_xlfn.XLOOKUP(Table134526_79101120212223242526[[#This Row],[Name Surname]],Manpower!C:C,Manpower!D:D,)</f>
        <v>85812175</v>
      </c>
      <c r="G1656" s="28" t="str">
        <f>_xlfn.XLOOKUP(Table134526_79101120212223242526[[#This Row],[Name Surname]],Manpower!$C$4:$C$1048576,Manpower!$F$4:$F$1048576,"")</f>
        <v>Scaffolding Supervisor</v>
      </c>
      <c r="H1656" s="28" t="str">
        <f>_xlfn.XLOOKUP(Table134526_79101120212223242526[[#This Row],[Name Surname]],Manpower!$C$4:$C$1048576,Manpower!$H$4:$H$1048576,"")</f>
        <v>Sub Contactor</v>
      </c>
      <c r="I1656" s="28" t="str">
        <f>_xlfn.XLOOKUP(Table134526_79101120212223242526[[#This Row],[Name Surname]],Manpower!$C$4:$C$1048576,Manpower!$H$4:$H$1048576,"")</f>
        <v>Sub Contactor</v>
      </c>
      <c r="J1656" s="21" t="s">
        <v>143</v>
      </c>
      <c r="K1656" s="21" t="s">
        <v>26</v>
      </c>
      <c r="L1656" s="21" t="s">
        <v>144</v>
      </c>
      <c r="M1656" s="21" t="s">
        <v>55</v>
      </c>
      <c r="N1656" s="29">
        <v>10</v>
      </c>
      <c r="R1656" s="21" t="s">
        <v>308</v>
      </c>
    </row>
    <row r="1657" spans="1:18" ht="14.4" hidden="1">
      <c r="A1657" s="33">
        <f>IF(C1657="","",MAX($A$1:A1656)+1)</f>
        <v>1565</v>
      </c>
      <c r="B1657" s="27" t="s">
        <v>141</v>
      </c>
      <c r="C1657" s="23">
        <v>46095</v>
      </c>
      <c r="D1657" s="28" t="str">
        <f>_xlfn.XLOOKUP(Table134526_79101120212223242526[[#This Row],[Name Surname]],Manpower!$C$4:$C$1048576,Manpower!$B$4:$B$1048576,"")</f>
        <v>AL Omar International TRAD AND CONT</v>
      </c>
      <c r="E1657" s="21" t="s">
        <v>192</v>
      </c>
      <c r="F1657" s="12">
        <f>_xlfn.XLOOKUP(Table134526_79101120212223242526[[#This Row],[Name Surname]],Manpower!C:C,Manpower!D:D,)</f>
        <v>96409155</v>
      </c>
      <c r="G1657" s="28" t="str">
        <f>_xlfn.XLOOKUP(Table134526_79101120212223242526[[#This Row],[Name Surname]],Manpower!$C$4:$C$1048576,Manpower!$F$4:$F$1048576,"")</f>
        <v>Scaffolder</v>
      </c>
      <c r="H1657" s="28" t="str">
        <f>_xlfn.XLOOKUP(Table134526_79101120212223242526[[#This Row],[Name Surname]],Manpower!$C$4:$C$1048576,Manpower!$H$4:$H$1048576,"")</f>
        <v>Sub Contactor</v>
      </c>
      <c r="I1657" s="28" t="str">
        <f>_xlfn.XLOOKUP(Table134526_79101120212223242526[[#This Row],[Name Surname]],Manpower!$C$4:$C$1048576,Manpower!$H$4:$H$1048576,"")</f>
        <v>Sub Contactor</v>
      </c>
      <c r="J1657" s="21" t="s">
        <v>143</v>
      </c>
      <c r="K1657" s="21" t="s">
        <v>26</v>
      </c>
      <c r="L1657" s="21" t="s">
        <v>144</v>
      </c>
      <c r="M1657" s="21" t="s">
        <v>55</v>
      </c>
      <c r="N1657" s="29">
        <v>10</v>
      </c>
      <c r="R1657" s="21" t="s">
        <v>308</v>
      </c>
    </row>
    <row r="1658" spans="1:18" ht="14.4" hidden="1">
      <c r="A1658" s="33">
        <f>IF(C1658="","",MAX($A$1:A1657)+1)</f>
        <v>1566</v>
      </c>
      <c r="B1658" s="27" t="s">
        <v>141</v>
      </c>
      <c r="C1658" s="23">
        <v>46095</v>
      </c>
      <c r="D1658" s="28" t="str">
        <f>_xlfn.XLOOKUP(Table134526_79101120212223242526[[#This Row],[Name Surname]],Manpower!$C$4:$C$1048576,Manpower!$B$4:$B$1048576,"")</f>
        <v>AL Omar International TRAD AND CONT</v>
      </c>
      <c r="E1658" s="21" t="s">
        <v>193</v>
      </c>
      <c r="F1658" s="12">
        <f>_xlfn.XLOOKUP(Table134526_79101120212223242526[[#This Row],[Name Surname]],Manpower!C:C,Manpower!D:D,)</f>
        <v>105813698</v>
      </c>
      <c r="G1658" s="28" t="str">
        <f>_xlfn.XLOOKUP(Table134526_79101120212223242526[[#This Row],[Name Surname]],Manpower!$C$4:$C$1048576,Manpower!$F$4:$F$1048576,"")</f>
        <v>Scaffolding Inspector</v>
      </c>
      <c r="H1658" s="28" t="str">
        <f>_xlfn.XLOOKUP(Table134526_79101120212223242526[[#This Row],[Name Surname]],Manpower!$C$4:$C$1048576,Manpower!$H$4:$H$1048576,"")</f>
        <v>Sub Contactor</v>
      </c>
      <c r="I1658" s="28" t="str">
        <f>_xlfn.XLOOKUP(Table134526_79101120212223242526[[#This Row],[Name Surname]],Manpower!$C$4:$C$1048576,Manpower!$H$4:$H$1048576,"")</f>
        <v>Sub Contactor</v>
      </c>
      <c r="J1658" s="21" t="s">
        <v>143</v>
      </c>
      <c r="K1658" s="21" t="s">
        <v>26</v>
      </c>
      <c r="L1658" s="21" t="s">
        <v>144</v>
      </c>
      <c r="M1658" s="21" t="s">
        <v>55</v>
      </c>
      <c r="N1658" s="29">
        <v>10</v>
      </c>
      <c r="R1658" s="21" t="s">
        <v>308</v>
      </c>
    </row>
    <row r="1659" spans="1:18" ht="14.4" hidden="1">
      <c r="A1659" s="33">
        <f>IF(C1659="","",MAX($A$1:A1658)+1)</f>
        <v>1567</v>
      </c>
      <c r="B1659" s="27" t="s">
        <v>141</v>
      </c>
      <c r="C1659" s="23">
        <v>46095</v>
      </c>
      <c r="D1659" s="28" t="str">
        <f>_xlfn.XLOOKUP(Table134526_79101120212223242526[[#This Row],[Name Surname]],Manpower!$C$4:$C$1048576,Manpower!$B$4:$B$1048576,"")</f>
        <v>AL Saif &amp; Al QALLM ENT LLC</v>
      </c>
      <c r="E1659" s="21" t="s">
        <v>194</v>
      </c>
      <c r="F1659" s="12">
        <f>_xlfn.XLOOKUP(Table134526_79101120212223242526[[#This Row],[Name Surname]],Manpower!C:C,Manpower!D:D,)</f>
        <v>135340657</v>
      </c>
      <c r="G1659" s="28" t="str">
        <f>_xlfn.XLOOKUP(Table134526_79101120212223242526[[#This Row],[Name Surname]],Manpower!$C$4:$C$1048576,Manpower!$F$4:$F$1048576,"")</f>
        <v>Forklift Operator</v>
      </c>
      <c r="H1659" s="28" t="str">
        <f>_xlfn.XLOOKUP(Table134526_79101120212223242526[[#This Row],[Name Surname]],Manpower!$C$4:$C$1048576,Manpower!$H$4:$H$1048576,"")</f>
        <v>Sub Contactor</v>
      </c>
      <c r="I1659" s="28" t="str">
        <f>_xlfn.XLOOKUP(Table134526_79101120212223242526[[#This Row],[Name Surname]],Manpower!$C$4:$C$1048576,Manpower!$H$4:$H$1048576,"")</f>
        <v>Sub Contactor</v>
      </c>
      <c r="J1659" s="21" t="s">
        <v>143</v>
      </c>
      <c r="K1659" s="21" t="s">
        <v>26</v>
      </c>
      <c r="L1659" s="21" t="s">
        <v>144</v>
      </c>
      <c r="M1659" s="21" t="s">
        <v>55</v>
      </c>
      <c r="N1659" s="29">
        <v>10</v>
      </c>
      <c r="R1659" s="21" t="s">
        <v>308</v>
      </c>
    </row>
    <row r="1660" spans="1:18" ht="14.4" hidden="1">
      <c r="A1660" s="33">
        <f>IF(C1660="","",MAX($A$1:A1659)+1)</f>
        <v>1568</v>
      </c>
      <c r="B1660" s="27" t="s">
        <v>141</v>
      </c>
      <c r="C1660" s="23">
        <v>46095</v>
      </c>
      <c r="D1660" s="28" t="str">
        <f>_xlfn.XLOOKUP(Table134526_79101120212223242526[[#This Row],[Name Surname]],Manpower!$C$4:$C$1048576,Manpower!$B$4:$B$1048576,"")</f>
        <v>Encogroup</v>
      </c>
      <c r="E1660" s="21" t="s">
        <v>196</v>
      </c>
      <c r="F1660" s="12">
        <f>_xlfn.XLOOKUP(Table134526_79101120212223242526[[#This Row],[Name Surname]],Manpower!C:C,Manpower!D:D,)</f>
        <v>140844586</v>
      </c>
      <c r="G1660" s="28" t="str">
        <f>_xlfn.XLOOKUP(Table134526_79101120212223242526[[#This Row],[Name Surname]],Manpower!$C$4:$C$1048576,Manpower!$F$4:$F$1048576,"")</f>
        <v>Assistant/Helper</v>
      </c>
      <c r="H1660" s="28" t="str">
        <f>_xlfn.XLOOKUP(Table134526_79101120212223242526[[#This Row],[Name Surname]],Manpower!$C$4:$C$1048576,Manpower!$H$4:$H$1048576,"")</f>
        <v>Manpower</v>
      </c>
      <c r="I1660" s="28" t="str">
        <f>_xlfn.XLOOKUP(Table134526_79101120212223242526[[#This Row],[Name Surname]],Manpower!$C$4:$C$1048576,Manpower!$H$4:$H$1048576,"")</f>
        <v>Manpower</v>
      </c>
      <c r="J1660" s="21" t="s">
        <v>158</v>
      </c>
      <c r="K1660" s="21" t="s">
        <v>26</v>
      </c>
      <c r="L1660" s="21" t="s">
        <v>26</v>
      </c>
      <c r="M1660" s="21" t="s">
        <v>55</v>
      </c>
      <c r="N1660" s="29">
        <v>10</v>
      </c>
      <c r="R1660" s="21" t="s">
        <v>308</v>
      </c>
    </row>
    <row r="1661" spans="1:18" ht="14.4" hidden="1">
      <c r="A1661" s="33">
        <f>IF(C1661="","",MAX($A$1:A1660)+1)</f>
        <v>1569</v>
      </c>
      <c r="B1661" s="27" t="s">
        <v>141</v>
      </c>
      <c r="C1661" s="23">
        <v>46095</v>
      </c>
      <c r="D1661" s="28" t="str">
        <f>_xlfn.XLOOKUP(Table134526_79101120212223242526[[#This Row],[Name Surname]],Manpower!$C$4:$C$1048576,Manpower!$B$4:$B$1048576,"")</f>
        <v>AL Omar International TRAD AND CONT</v>
      </c>
      <c r="E1661" s="21" t="s">
        <v>212</v>
      </c>
      <c r="F1661" s="12">
        <f>_xlfn.XLOOKUP(Table134526_79101120212223242526[[#This Row],[Name Surname]],Manpower!C:C,Manpower!D:D,)</f>
        <v>116676257</v>
      </c>
      <c r="G1661" s="28" t="str">
        <f>_xlfn.XLOOKUP(Table134526_79101120212223242526[[#This Row],[Name Surname]],Manpower!$C$4:$C$1048576,Manpower!$F$4:$F$1048576,"")</f>
        <v>Scaffolder</v>
      </c>
      <c r="H1661" s="28" t="str">
        <f>_xlfn.XLOOKUP(Table134526_79101120212223242526[[#This Row],[Name Surname]],Manpower!$C$4:$C$1048576,Manpower!$H$4:$H$1048576,"")</f>
        <v>Sub Contactor</v>
      </c>
      <c r="I1661" s="28" t="str">
        <f>_xlfn.XLOOKUP(Table134526_79101120212223242526[[#This Row],[Name Surname]],Manpower!$C$4:$C$1048576,Manpower!$H$4:$H$1048576,"")</f>
        <v>Sub Contactor</v>
      </c>
      <c r="J1661" s="21" t="s">
        <v>143</v>
      </c>
      <c r="K1661" s="21" t="s">
        <v>26</v>
      </c>
      <c r="L1661" s="21" t="s">
        <v>144</v>
      </c>
      <c r="M1661" s="21" t="s">
        <v>55</v>
      </c>
      <c r="N1661" s="29">
        <v>10</v>
      </c>
      <c r="R1661" s="21" t="s">
        <v>308</v>
      </c>
    </row>
    <row r="1662" spans="1:18" ht="14.4" hidden="1">
      <c r="A1662" s="33">
        <f>IF(C1662="","",MAX($A$1:A1661)+1)</f>
        <v>1570</v>
      </c>
      <c r="B1662" s="27" t="s">
        <v>141</v>
      </c>
      <c r="C1662" s="23">
        <v>46095</v>
      </c>
      <c r="D1662" s="28" t="str">
        <f>_xlfn.XLOOKUP(Table134526_79101120212223242526[[#This Row],[Name Surname]],Manpower!$C$4:$C$1048576,Manpower!$B$4:$B$1048576,"")</f>
        <v>AL Omar International TRAD AND CONT</v>
      </c>
      <c r="E1662" s="21" t="s">
        <v>197</v>
      </c>
      <c r="F1662" s="12">
        <f>_xlfn.XLOOKUP(Table134526_79101120212223242526[[#This Row],[Name Surname]],Manpower!C:C,Manpower!D:D,)</f>
        <v>106093463</v>
      </c>
      <c r="G1662" s="28" t="str">
        <f>_xlfn.XLOOKUP(Table134526_79101120212223242526[[#This Row],[Name Surname]],Manpower!$C$4:$C$1048576,Manpower!$F$4:$F$1048576,"")</f>
        <v>RIgger</v>
      </c>
      <c r="H1662" s="28" t="str">
        <f>_xlfn.XLOOKUP(Table134526_79101120212223242526[[#This Row],[Name Surname]],Manpower!$C$4:$C$1048576,Manpower!$H$4:$H$1048576,"")</f>
        <v>Sub Contactor</v>
      </c>
      <c r="I1662" s="28" t="str">
        <f>_xlfn.XLOOKUP(Table134526_79101120212223242526[[#This Row],[Name Surname]],Manpower!$C$4:$C$1048576,Manpower!$H$4:$H$1048576,"")</f>
        <v>Sub Contactor</v>
      </c>
      <c r="J1662" s="21" t="s">
        <v>143</v>
      </c>
      <c r="K1662" s="21" t="s">
        <v>26</v>
      </c>
      <c r="L1662" s="21" t="s">
        <v>144</v>
      </c>
      <c r="M1662" s="21" t="s">
        <v>55</v>
      </c>
      <c r="N1662" s="29">
        <v>10</v>
      </c>
      <c r="R1662" s="21" t="s">
        <v>308</v>
      </c>
    </row>
    <row r="1663" spans="1:18" ht="14.4">
      <c r="A1663" s="33">
        <f>IF(C1663="","",MAX($A$1:A1662)+1)</f>
        <v>1571</v>
      </c>
      <c r="B1663" s="27" t="s">
        <v>141</v>
      </c>
      <c r="C1663" s="23">
        <v>46095</v>
      </c>
      <c r="D1663" s="28" t="str">
        <f>_xlfn.XLOOKUP(Table134526_79101120212223242526[[#This Row],[Name Surname]],Manpower!$C$4:$C$1048576,Manpower!$B$4:$B$1048576,"")</f>
        <v>Al Asrah Al Mumayaza Trad</v>
      </c>
      <c r="E1663" s="21" t="s">
        <v>198</v>
      </c>
      <c r="F1663" s="12" t="e">
        <f>_xlfn.XLOOKUP(Table134526_79101120212223242526[[#This Row],[Name Surname]],Manpower!C:C,Manpower!D:D,)</f>
        <v>#N/A</v>
      </c>
      <c r="G1663" s="28" t="str">
        <f>_xlfn.XLOOKUP(Table134526_79101120212223242526[[#This Row],[Name Surname]],Manpower!$C$4:$C$1048576,Manpower!$F$4:$F$1048576,"")</f>
        <v>PICK-UP</v>
      </c>
      <c r="H1663" s="28" t="str">
        <f>_xlfn.XLOOKUP(Table134526_79101120212223242526[[#This Row],[Name Surname]],Manpower!$C$4:$C$1048576,Manpower!$H$4:$H$1048576,"")</f>
        <v>Equipment</v>
      </c>
      <c r="I1663" s="28" t="str">
        <f>_xlfn.XLOOKUP(Table134526_79101120212223242526[[#This Row],[Name Surname]],Manpower!$C$4:$C$1048576,Manpower!$H$4:$H$1048576,"")</f>
        <v>Equipment</v>
      </c>
      <c r="J1663" s="21" t="s">
        <v>143</v>
      </c>
      <c r="K1663" s="21" t="s">
        <v>26</v>
      </c>
      <c r="L1663" s="21" t="s">
        <v>144</v>
      </c>
      <c r="M1663" s="21" t="s">
        <v>55</v>
      </c>
      <c r="N1663" s="29">
        <v>10</v>
      </c>
      <c r="R1663" s="21" t="s">
        <v>308</v>
      </c>
    </row>
    <row r="1664" spans="1:18" ht="14.4">
      <c r="A1664" s="33">
        <f>IF(C1664="","",MAX($A$1:A1663)+1)</f>
        <v>1572</v>
      </c>
      <c r="B1664" s="27" t="s">
        <v>141</v>
      </c>
      <c r="C1664" s="23">
        <v>46095</v>
      </c>
      <c r="D1664" s="28" t="str">
        <f>_xlfn.XLOOKUP(Table134526_79101120212223242526[[#This Row],[Name Surname]],Manpower!$C$4:$C$1048576,Manpower!$B$4:$B$1048576,"")</f>
        <v>Al Asrah Al Mumayaza Trad</v>
      </c>
      <c r="E1664" s="21" t="s">
        <v>199</v>
      </c>
      <c r="F1664" s="12" t="e">
        <f>_xlfn.XLOOKUP(Table134526_79101120212223242526[[#This Row],[Name Surname]],Manpower!C:C,Manpower!D:D,)</f>
        <v>#N/A</v>
      </c>
      <c r="G1664" s="28" t="str">
        <f>_xlfn.XLOOKUP(Table134526_79101120212223242526[[#This Row],[Name Surname]],Manpower!$C$4:$C$1048576,Manpower!$F$4:$F$1048576,"")</f>
        <v>PICK-UP</v>
      </c>
      <c r="H1664" s="28" t="str">
        <f>_xlfn.XLOOKUP(Table134526_79101120212223242526[[#This Row],[Name Surname]],Manpower!$C$4:$C$1048576,Manpower!$H$4:$H$1048576,"")</f>
        <v>Equipment</v>
      </c>
      <c r="I1664" s="28" t="str">
        <f>_xlfn.XLOOKUP(Table134526_79101120212223242526[[#This Row],[Name Surname]],Manpower!$C$4:$C$1048576,Manpower!$H$4:$H$1048576,"")</f>
        <v>Equipment</v>
      </c>
      <c r="J1664" s="21" t="s">
        <v>143</v>
      </c>
      <c r="K1664" s="21" t="s">
        <v>26</v>
      </c>
      <c r="L1664" s="21" t="s">
        <v>144</v>
      </c>
      <c r="M1664" s="21" t="s">
        <v>55</v>
      </c>
      <c r="N1664" s="29">
        <v>10</v>
      </c>
      <c r="R1664" s="21" t="s">
        <v>308</v>
      </c>
    </row>
    <row r="1665" spans="1:18" ht="14.4">
      <c r="A1665" s="33">
        <f>IF(C1665="","",MAX($A$1:A1664)+1)</f>
        <v>1573</v>
      </c>
      <c r="B1665" s="27" t="s">
        <v>141</v>
      </c>
      <c r="C1665" s="23">
        <v>46095</v>
      </c>
      <c r="D1665" s="28" t="str">
        <f>_xlfn.XLOOKUP(Table134526_79101120212223242526[[#This Row],[Name Surname]],Manpower!$C$4:$C$1048576,Manpower!$B$4:$B$1048576,"")</f>
        <v>Al Asrah Al Mumayaza Trad</v>
      </c>
      <c r="E1665" s="21" t="s">
        <v>200</v>
      </c>
      <c r="F1665" s="12" t="e">
        <f>_xlfn.XLOOKUP(Table134526_79101120212223242526[[#This Row],[Name Surname]],Manpower!C:C,Manpower!D:D,)</f>
        <v>#N/A</v>
      </c>
      <c r="G1665" s="28" t="str">
        <f>_xlfn.XLOOKUP(Table134526_79101120212223242526[[#This Row],[Name Surname]],Manpower!$C$4:$C$1048576,Manpower!$F$4:$F$1048576,"")</f>
        <v>PICK-UP</v>
      </c>
      <c r="H1665" s="28" t="str">
        <f>_xlfn.XLOOKUP(Table134526_79101120212223242526[[#This Row],[Name Surname]],Manpower!$C$4:$C$1048576,Manpower!$H$4:$H$1048576,"")</f>
        <v>Equipment</v>
      </c>
      <c r="I1665" s="28" t="str">
        <f>_xlfn.XLOOKUP(Table134526_79101120212223242526[[#This Row],[Name Surname]],Manpower!$C$4:$C$1048576,Manpower!$H$4:$H$1048576,"")</f>
        <v>Equipment</v>
      </c>
      <c r="J1665" s="21" t="s">
        <v>143</v>
      </c>
      <c r="K1665" s="21" t="s">
        <v>26</v>
      </c>
      <c r="L1665" s="21" t="s">
        <v>144</v>
      </c>
      <c r="M1665" s="21" t="s">
        <v>55</v>
      </c>
      <c r="N1665" s="29">
        <v>10</v>
      </c>
      <c r="R1665" s="21" t="s">
        <v>308</v>
      </c>
    </row>
    <row r="1666" spans="1:18" ht="14.4">
      <c r="A1666" s="33">
        <f>IF(C1666="","",MAX($A$1:A1665)+1)</f>
        <v>1574</v>
      </c>
      <c r="B1666" s="27" t="s">
        <v>141</v>
      </c>
      <c r="C1666" s="23">
        <v>46095</v>
      </c>
      <c r="D1666" s="28" t="str">
        <f>_xlfn.XLOOKUP(Table134526_79101120212223242526[[#This Row],[Name Surname]],Manpower!$C$4:$C$1048576,Manpower!$B$4:$B$1048576,"")</f>
        <v>Al Asrah Al Mumayaza Trad</v>
      </c>
      <c r="E1666" s="21" t="s">
        <v>201</v>
      </c>
      <c r="F1666" s="12" t="e">
        <f>_xlfn.XLOOKUP(Table134526_79101120212223242526[[#This Row],[Name Surname]],Manpower!C:C,Manpower!D:D,)</f>
        <v>#N/A</v>
      </c>
      <c r="G1666" s="28" t="str">
        <f>_xlfn.XLOOKUP(Table134526_79101120212223242526[[#This Row],[Name Surname]],Manpower!$C$4:$C$1048576,Manpower!$F$4:$F$1048576,"")</f>
        <v>PICK-UP</v>
      </c>
      <c r="H1666" s="28" t="str">
        <f>_xlfn.XLOOKUP(Table134526_79101120212223242526[[#This Row],[Name Surname]],Manpower!$C$4:$C$1048576,Manpower!$H$4:$H$1048576,"")</f>
        <v>Equipment</v>
      </c>
      <c r="I1666" s="28" t="str">
        <f>_xlfn.XLOOKUP(Table134526_79101120212223242526[[#This Row],[Name Surname]],Manpower!$C$4:$C$1048576,Manpower!$H$4:$H$1048576,"")</f>
        <v>Equipment</v>
      </c>
      <c r="J1666" s="21" t="s">
        <v>143</v>
      </c>
      <c r="K1666" s="21" t="s">
        <v>26</v>
      </c>
      <c r="L1666" s="21" t="s">
        <v>144</v>
      </c>
      <c r="M1666" s="21" t="s">
        <v>55</v>
      </c>
      <c r="N1666" s="29">
        <v>10</v>
      </c>
      <c r="R1666" s="21" t="s">
        <v>308</v>
      </c>
    </row>
    <row r="1667" spans="1:18" ht="14.4" hidden="1">
      <c r="A1667" s="33">
        <f>IF(C1667="","",MAX($A$1:A1666)+1)</f>
        <v>1575</v>
      </c>
      <c r="B1667" s="27" t="s">
        <v>141</v>
      </c>
      <c r="C1667" s="23">
        <v>46095</v>
      </c>
      <c r="D1667" s="28" t="str">
        <f>_xlfn.XLOOKUP(Table134526_79101120212223242526[[#This Row],[Name Surname]],Manpower!$C$4:$C$1048576,Manpower!$B$4:$B$1048576,"")</f>
        <v>Encogroup</v>
      </c>
      <c r="E1667" s="21" t="s">
        <v>202</v>
      </c>
      <c r="F1667" s="12">
        <f>_xlfn.XLOOKUP(Table134526_79101120212223242526[[#This Row],[Name Surname]],Manpower!C:C,Manpower!D:D,)</f>
        <v>140805592</v>
      </c>
      <c r="G1667" s="28" t="str">
        <f>_xlfn.XLOOKUP(Table134526_79101120212223242526[[#This Row],[Name Surname]],Manpower!$C$4:$C$1048576,Manpower!$F$4:$F$1048576,"")</f>
        <v>Assistant/Helper</v>
      </c>
      <c r="H1667" s="28" t="str">
        <f>_xlfn.XLOOKUP(Table134526_79101120212223242526[[#This Row],[Name Surname]],Manpower!$C$4:$C$1048576,Manpower!$H$4:$H$1048576,"")</f>
        <v>Manpower</v>
      </c>
      <c r="I1667" s="28" t="str">
        <f>_xlfn.XLOOKUP(Table134526_79101120212223242526[[#This Row],[Name Surname]],Manpower!$C$4:$C$1048576,Manpower!$H$4:$H$1048576,"")</f>
        <v>Manpower</v>
      </c>
      <c r="J1667" s="21" t="s">
        <v>143</v>
      </c>
      <c r="K1667" s="21" t="s">
        <v>26</v>
      </c>
      <c r="L1667" s="21" t="s">
        <v>144</v>
      </c>
      <c r="M1667" s="21" t="s">
        <v>55</v>
      </c>
      <c r="N1667" s="29">
        <v>10</v>
      </c>
      <c r="R1667" s="21" t="s">
        <v>308</v>
      </c>
    </row>
    <row r="1668" spans="1:18" ht="14.4" hidden="1">
      <c r="A1668" s="33">
        <f>IF(C1668="","",MAX($A$1:A1667)+1)</f>
        <v>1576</v>
      </c>
      <c r="B1668" s="27" t="s">
        <v>141</v>
      </c>
      <c r="C1668" s="23">
        <v>46095</v>
      </c>
      <c r="D1668" s="28" t="str">
        <f>_xlfn.XLOOKUP(Table134526_79101120212223242526[[#This Row],[Name Surname]],Manpower!$C$4:$C$1048576,Manpower!$B$4:$B$1048576,"")</f>
        <v>Encogroup</v>
      </c>
      <c r="E1668" s="21" t="s">
        <v>203</v>
      </c>
      <c r="F1668" s="12">
        <f>_xlfn.XLOOKUP(Table134526_79101120212223242526[[#This Row],[Name Surname]],Manpower!C:C,Manpower!D:D,)</f>
        <v>140683371</v>
      </c>
      <c r="G1668" s="28" t="str">
        <f>_xlfn.XLOOKUP(Table134526_79101120212223242526[[#This Row],[Name Surname]],Manpower!$C$4:$C$1048576,Manpower!$F$4:$F$1048576,"")</f>
        <v>Rigger</v>
      </c>
      <c r="H1668" s="28" t="str">
        <f>_xlfn.XLOOKUP(Table134526_79101120212223242526[[#This Row],[Name Surname]],Manpower!$C$4:$C$1048576,Manpower!$H$4:$H$1048576,"")</f>
        <v>Manpower</v>
      </c>
      <c r="I1668" s="28" t="str">
        <f>_xlfn.XLOOKUP(Table134526_79101120212223242526[[#This Row],[Name Surname]],Manpower!$C$4:$C$1048576,Manpower!$H$4:$H$1048576,"")</f>
        <v>Manpower</v>
      </c>
      <c r="J1668" s="21" t="s">
        <v>143</v>
      </c>
      <c r="K1668" s="21" t="s">
        <v>26</v>
      </c>
      <c r="L1668" s="21" t="s">
        <v>144</v>
      </c>
      <c r="M1668" s="21" t="s">
        <v>55</v>
      </c>
      <c r="N1668" s="29">
        <v>10</v>
      </c>
      <c r="R1668" s="21" t="s">
        <v>308</v>
      </c>
    </row>
    <row r="1669" spans="1:18" ht="14.4" hidden="1">
      <c r="A1669" s="33">
        <f>IF(C1669="","",MAX($A$1:A1668)+1)</f>
        <v>1577</v>
      </c>
      <c r="B1669" s="27" t="s">
        <v>141</v>
      </c>
      <c r="C1669" s="23">
        <v>46095</v>
      </c>
      <c r="D1669" s="28" t="str">
        <f>_xlfn.XLOOKUP(Table134526_79101120212223242526[[#This Row],[Name Surname]],Manpower!$C$4:$C$1048576,Manpower!$B$4:$B$1048576,"")</f>
        <v>Encogroup</v>
      </c>
      <c r="E1669" s="21" t="s">
        <v>206</v>
      </c>
      <c r="F1669" s="12">
        <f>_xlfn.XLOOKUP(Table134526_79101120212223242526[[#This Row],[Name Surname]],Manpower!C:C,Manpower!D:D,)</f>
        <v>140844848</v>
      </c>
      <c r="G1669" s="28" t="str">
        <f>_xlfn.XLOOKUP(Table134526_79101120212223242526[[#This Row],[Name Surname]],Manpower!$C$4:$C$1048576,Manpower!$F$4:$F$1048576,"")</f>
        <v>Assistant/Helper</v>
      </c>
      <c r="H1669" s="28" t="str">
        <f>_xlfn.XLOOKUP(Table134526_79101120212223242526[[#This Row],[Name Surname]],Manpower!$C$4:$C$1048576,Manpower!$H$4:$H$1048576,"")</f>
        <v>Manpower</v>
      </c>
      <c r="I1669" s="28" t="str">
        <f>_xlfn.XLOOKUP(Table134526_79101120212223242526[[#This Row],[Name Surname]],Manpower!$C$4:$C$1048576,Manpower!$H$4:$H$1048576,"")</f>
        <v>Manpower</v>
      </c>
      <c r="J1669" s="21" t="s">
        <v>143</v>
      </c>
      <c r="K1669" s="21" t="s">
        <v>26</v>
      </c>
      <c r="L1669" s="21" t="s">
        <v>144</v>
      </c>
      <c r="M1669" s="21" t="s">
        <v>55</v>
      </c>
      <c r="N1669" s="29">
        <v>10</v>
      </c>
      <c r="R1669" s="21" t="s">
        <v>308</v>
      </c>
    </row>
    <row r="1670" spans="1:18" ht="14.4" hidden="1">
      <c r="A1670" s="33">
        <f>IF(C1670="","",MAX($A$1:A1669)+1)</f>
        <v>1578</v>
      </c>
      <c r="B1670" s="27" t="s">
        <v>141</v>
      </c>
      <c r="C1670" s="23">
        <v>46095</v>
      </c>
      <c r="D1670" s="28" t="str">
        <f>_xlfn.XLOOKUP(Table134526_79101120212223242526[[#This Row],[Name Surname]],Manpower!$C$4:$C$1048576,Manpower!$B$4:$B$1048576,"")</f>
        <v>Encogroup</v>
      </c>
      <c r="E1670" s="21" t="s">
        <v>207</v>
      </c>
      <c r="F1670" s="12">
        <f>_xlfn.XLOOKUP(Table134526_79101120212223242526[[#This Row],[Name Surname]],Manpower!C:C,Manpower!D:D,)</f>
        <v>141359216</v>
      </c>
      <c r="G1670" s="28" t="str">
        <f>_xlfn.XLOOKUP(Table134526_79101120212223242526[[#This Row],[Name Surname]],Manpower!$C$4:$C$1048576,Manpower!$F$4:$F$1048576,"")</f>
        <v>Electrician</v>
      </c>
      <c r="H1670" s="28" t="str">
        <f>_xlfn.XLOOKUP(Table134526_79101120212223242526[[#This Row],[Name Surname]],Manpower!$C$4:$C$1048576,Manpower!$H$4:$H$1048576,"")</f>
        <v>Manpower</v>
      </c>
      <c r="I1670" s="28" t="str">
        <f>_xlfn.XLOOKUP(Table134526_79101120212223242526[[#This Row],[Name Surname]],Manpower!$C$4:$C$1048576,Manpower!$H$4:$H$1048576,"")</f>
        <v>Manpower</v>
      </c>
      <c r="J1670" s="21" t="s">
        <v>158</v>
      </c>
      <c r="K1670" s="21" t="s">
        <v>26</v>
      </c>
      <c r="L1670" s="21" t="s">
        <v>26</v>
      </c>
      <c r="M1670" s="21" t="s">
        <v>55</v>
      </c>
      <c r="N1670" s="29">
        <v>10</v>
      </c>
      <c r="R1670" s="21" t="s">
        <v>308</v>
      </c>
    </row>
    <row r="1671" spans="1:18" ht="14.4" hidden="1">
      <c r="A1671" s="33">
        <f>IF(C1671="","",MAX($A$1:A1670)+1)</f>
        <v>1579</v>
      </c>
      <c r="B1671" s="27" t="s">
        <v>141</v>
      </c>
      <c r="C1671" s="23">
        <v>46095</v>
      </c>
      <c r="D1671" s="28" t="str">
        <f>_xlfn.XLOOKUP(Table134526_79101120212223242526[[#This Row],[Name Surname]],Manpower!$C$4:$C$1048576,Manpower!$B$4:$B$1048576,"")</f>
        <v>Encogroup</v>
      </c>
      <c r="E1671" s="21" t="s">
        <v>208</v>
      </c>
      <c r="F1671" s="12">
        <f>_xlfn.XLOOKUP(Table134526_79101120212223242526[[#This Row],[Name Surname]],Manpower!C:C,Manpower!D:D,)</f>
        <v>140683399</v>
      </c>
      <c r="G1671" s="28" t="str">
        <f>_xlfn.XLOOKUP(Table134526_79101120212223242526[[#This Row],[Name Surname]],Manpower!$C$4:$C$1048576,Manpower!$F$4:$F$1048576,"")</f>
        <v>Rigger</v>
      </c>
      <c r="H1671" s="28" t="str">
        <f>_xlfn.XLOOKUP(Table134526_79101120212223242526[[#This Row],[Name Surname]],Manpower!$C$4:$C$1048576,Manpower!$H$4:$H$1048576,"")</f>
        <v>Manpower</v>
      </c>
      <c r="I1671" s="28" t="str">
        <f>_xlfn.XLOOKUP(Table134526_79101120212223242526[[#This Row],[Name Surname]],Manpower!$C$4:$C$1048576,Manpower!$H$4:$H$1048576,"")</f>
        <v>Manpower</v>
      </c>
      <c r="J1671" s="21" t="s">
        <v>143</v>
      </c>
      <c r="K1671" s="21" t="s">
        <v>26</v>
      </c>
      <c r="L1671" s="21" t="s">
        <v>144</v>
      </c>
      <c r="M1671" s="21" t="s">
        <v>55</v>
      </c>
      <c r="N1671" s="29">
        <v>10</v>
      </c>
      <c r="R1671" s="21" t="s">
        <v>308</v>
      </c>
    </row>
    <row r="1672" spans="1:18" ht="14.4">
      <c r="A1672" s="33">
        <f>IF(C1672="","",MAX($A$1:A1671)+1)</f>
        <v>1580</v>
      </c>
      <c r="B1672" s="27" t="s">
        <v>141</v>
      </c>
      <c r="C1672" s="23">
        <v>46095</v>
      </c>
      <c r="D1672" s="28" t="str">
        <f>_xlfn.XLOOKUP(Table134526_79101120212223242526[[#This Row],[Name Surname]],Manpower!$C$4:$C$1048576,Manpower!$B$4:$B$1048576,"")</f>
        <v>Bright Light</v>
      </c>
      <c r="E1672" s="21" t="s">
        <v>210</v>
      </c>
      <c r="F1672" s="12" t="e">
        <f>_xlfn.XLOOKUP(Table134526_79101120212223242526[[#This Row],[Name Surname]],Manpower!C:C,Manpower!D:D,)</f>
        <v>#N/A</v>
      </c>
      <c r="G1672" s="28" t="str">
        <f>_xlfn.XLOOKUP(Table134526_79101120212223242526[[#This Row],[Name Surname]],Manpower!$C$4:$C$1048576,Manpower!$F$4:$F$1048576,"")</f>
        <v>Trailer</v>
      </c>
      <c r="H1672" s="28" t="str">
        <f>_xlfn.XLOOKUP(Table134526_79101120212223242526[[#This Row],[Name Surname]],Manpower!$C$4:$C$1048576,Manpower!$H$4:$H$1048576,"")</f>
        <v>Equipment</v>
      </c>
      <c r="I1672" s="28" t="str">
        <f>_xlfn.XLOOKUP(Table134526_79101120212223242526[[#This Row],[Name Surname]],Manpower!$C$4:$C$1048576,Manpower!$H$4:$H$1048576,"")</f>
        <v>Equipment</v>
      </c>
      <c r="J1672" s="21" t="s">
        <v>143</v>
      </c>
      <c r="K1672" s="21" t="s">
        <v>26</v>
      </c>
      <c r="L1672" s="21" t="s">
        <v>144</v>
      </c>
      <c r="M1672" s="21" t="s">
        <v>55</v>
      </c>
      <c r="N1672" s="29">
        <v>8</v>
      </c>
      <c r="R1672" s="21" t="s">
        <v>308</v>
      </c>
    </row>
    <row r="1673" spans="1:18" ht="14.4" hidden="1">
      <c r="A1673" s="33">
        <f>IF(C1673="","",MAX($A$1:A1672)+1)</f>
        <v>1581</v>
      </c>
      <c r="B1673" s="27" t="s">
        <v>141</v>
      </c>
      <c r="C1673" s="23">
        <v>46095</v>
      </c>
      <c r="D1673" s="28" t="str">
        <f>_xlfn.XLOOKUP(Table134526_79101120212223242526[[#This Row],[Name Surname]],Manpower!$C$4:$C$1048576,Manpower!$B$4:$B$1048576,"")</f>
        <v>Encogroup</v>
      </c>
      <c r="E1673" s="21" t="s">
        <v>211</v>
      </c>
      <c r="F1673" s="12">
        <f>_xlfn.XLOOKUP(Table134526_79101120212223242526[[#This Row],[Name Surname]],Manpower!C:C,Manpower!D:D,)</f>
        <v>140477664</v>
      </c>
      <c r="G1673" s="28" t="str">
        <f>_xlfn.XLOOKUP(Table134526_79101120212223242526[[#This Row],[Name Surname]],Manpower!$C$4:$C$1048576,Manpower!$F$4:$F$1048576,"")</f>
        <v>Junior HSE Officer</v>
      </c>
      <c r="H1673" s="28" t="str">
        <f>_xlfn.XLOOKUP(Table134526_79101120212223242526[[#This Row],[Name Surname]],Manpower!$C$4:$C$1048576,Manpower!$H$4:$H$1048576,"")</f>
        <v>Manpower</v>
      </c>
      <c r="I1673" s="28" t="str">
        <f>_xlfn.XLOOKUP(Table134526_79101120212223242526[[#This Row],[Name Surname]],Manpower!$C$4:$C$1048576,Manpower!$H$4:$H$1048576,"")</f>
        <v>Manpower</v>
      </c>
      <c r="J1673" s="21" t="s">
        <v>143</v>
      </c>
      <c r="K1673" s="21" t="s">
        <v>26</v>
      </c>
      <c r="L1673" s="21" t="s">
        <v>144</v>
      </c>
      <c r="M1673" s="21" t="s">
        <v>55</v>
      </c>
      <c r="N1673" s="29">
        <v>10</v>
      </c>
      <c r="R1673" s="21" t="s">
        <v>308</v>
      </c>
    </row>
    <row r="1674" spans="1:18" ht="14.4" hidden="1">
      <c r="A1674" s="33">
        <f>IF(C1674="","",MAX($A$1:A1673)+1)</f>
        <v>1582</v>
      </c>
      <c r="B1674" s="27" t="s">
        <v>141</v>
      </c>
      <c r="C1674" s="23">
        <v>46095</v>
      </c>
      <c r="D1674" s="28" t="str">
        <f>_xlfn.XLOOKUP(Table134526_79101120212223242526[[#This Row],[Name Surname]],Manpower!$C$4:$C$1048576,Manpower!$B$4:$B$1048576,"")</f>
        <v>Encogroup</v>
      </c>
      <c r="E1674" s="21" t="s">
        <v>213</v>
      </c>
      <c r="F1674" s="12">
        <f>_xlfn.XLOOKUP(Table134526_79101120212223242526[[#This Row],[Name Surname]],Manpower!C:C,Manpower!D:D,)</f>
        <v>140846698</v>
      </c>
      <c r="G1674" s="28" t="str">
        <f>_xlfn.XLOOKUP(Table134526_79101120212223242526[[#This Row],[Name Surname]],Manpower!$C$4:$C$1048576,Manpower!$F$4:$F$1048576,"")</f>
        <v>Assistant/Helper</v>
      </c>
      <c r="H1674" s="28" t="str">
        <f>_xlfn.XLOOKUP(Table134526_79101120212223242526[[#This Row],[Name Surname]],Manpower!$C$4:$C$1048576,Manpower!$H$4:$H$1048576,"")</f>
        <v>Manpower</v>
      </c>
      <c r="I1674" s="28" t="str">
        <f>_xlfn.XLOOKUP(Table134526_79101120212223242526[[#This Row],[Name Surname]],Manpower!$C$4:$C$1048576,Manpower!$H$4:$H$1048576,"")</f>
        <v>Manpower</v>
      </c>
      <c r="J1674" s="21" t="s">
        <v>143</v>
      </c>
      <c r="K1674" s="21" t="s">
        <v>26</v>
      </c>
      <c r="L1674" s="21" t="s">
        <v>144</v>
      </c>
      <c r="M1674" s="21" t="s">
        <v>55</v>
      </c>
      <c r="N1674" s="29">
        <v>10</v>
      </c>
      <c r="R1674" s="21" t="s">
        <v>308</v>
      </c>
    </row>
    <row r="1675" spans="1:18" ht="14.4" hidden="1">
      <c r="A1675" s="33">
        <f>IF(C1675="","",MAX($A$1:A1674)+1)</f>
        <v>1583</v>
      </c>
      <c r="B1675" s="27" t="s">
        <v>141</v>
      </c>
      <c r="C1675" s="23">
        <v>46095</v>
      </c>
      <c r="D1675" s="28" t="str">
        <f>_xlfn.XLOOKUP(Table134526_79101120212223242526[[#This Row],[Name Surname]],Manpower!$C$4:$C$1048576,Manpower!$B$4:$B$1048576,"")</f>
        <v>SARENS NASS</v>
      </c>
      <c r="E1675" s="21" t="s">
        <v>214</v>
      </c>
      <c r="F1675" s="12">
        <f>_xlfn.XLOOKUP(Table134526_79101120212223242526[[#This Row],[Name Surname]],Manpower!C:C,Manpower!D:D,)</f>
        <v>109957631</v>
      </c>
      <c r="G1675" s="28" t="str">
        <f>_xlfn.XLOOKUP(Table134526_79101120212223242526[[#This Row],[Name Surname]],Manpower!$C$4:$C$1048576,Manpower!$F$4:$F$1048576,"")</f>
        <v>Crane Operator-130T Liebherr Crawler</v>
      </c>
      <c r="H1675" s="28" t="str">
        <f>_xlfn.XLOOKUP(Table134526_79101120212223242526[[#This Row],[Name Surname]],Manpower!$C$4:$C$1048576,Manpower!$H$4:$H$1048576,"")</f>
        <v>Manpower</v>
      </c>
      <c r="I1675" s="28" t="str">
        <f>_xlfn.XLOOKUP(Table134526_79101120212223242526[[#This Row],[Name Surname]],Manpower!$C$4:$C$1048576,Manpower!$H$4:$H$1048576,"")</f>
        <v>Manpower</v>
      </c>
      <c r="J1675" s="21" t="s">
        <v>143</v>
      </c>
      <c r="K1675" s="21" t="s">
        <v>26</v>
      </c>
      <c r="L1675" s="21" t="s">
        <v>144</v>
      </c>
      <c r="M1675" s="21" t="s">
        <v>55</v>
      </c>
      <c r="N1675" s="29">
        <v>10</v>
      </c>
      <c r="R1675" s="21" t="s">
        <v>308</v>
      </c>
    </row>
    <row r="1676" spans="1:18" ht="14.4" hidden="1">
      <c r="A1676" s="33">
        <f>IF(C1676="","",MAX($A$1:A1675)+1)</f>
        <v>1584</v>
      </c>
      <c r="B1676" s="27" t="s">
        <v>141</v>
      </c>
      <c r="C1676" s="23">
        <v>46095</v>
      </c>
      <c r="D1676" s="28" t="str">
        <f>_xlfn.XLOOKUP(Table134526_79101120212223242526[[#This Row],[Name Surname]],Manpower!$C$4:$C$1048576,Manpower!$B$4:$B$1048576,"")</f>
        <v>Rial Al Khaleej</v>
      </c>
      <c r="E1676" s="21" t="s">
        <v>38</v>
      </c>
      <c r="F1676" s="12">
        <f>_xlfn.XLOOKUP(Table134526_79101120212223242526[[#This Row],[Name Surname]],Manpower!C:C,Manpower!D:D,)</f>
        <v>98845403</v>
      </c>
      <c r="G1676" s="28" t="str">
        <f>_xlfn.XLOOKUP(Table134526_79101120212223242526[[#This Row],[Name Surname]],Manpower!$C$4:$C$1048576,Manpower!$F$4:$F$1048576,"")</f>
        <v>Crane Operator-100T Zoomlion Telescopic</v>
      </c>
      <c r="H1676" s="28" t="str">
        <f>_xlfn.XLOOKUP(Table134526_79101120212223242526[[#This Row],[Name Surname]],Manpower!$C$4:$C$1048576,Manpower!$H$4:$H$1048576,"")</f>
        <v>Manpower</v>
      </c>
      <c r="I1676" s="28" t="str">
        <f>_xlfn.XLOOKUP(Table134526_79101120212223242526[[#This Row],[Name Surname]],Manpower!$C$4:$C$1048576,Manpower!$H$4:$H$1048576,"")</f>
        <v>Manpower</v>
      </c>
      <c r="J1676" s="21" t="s">
        <v>143</v>
      </c>
      <c r="K1676" s="21" t="s">
        <v>26</v>
      </c>
      <c r="L1676" s="21" t="s">
        <v>144</v>
      </c>
      <c r="M1676" s="21" t="s">
        <v>55</v>
      </c>
      <c r="N1676" s="29">
        <v>10</v>
      </c>
      <c r="R1676" s="21" t="s">
        <v>308</v>
      </c>
    </row>
    <row r="1677" spans="1:18" ht="14.4" hidden="1">
      <c r="A1677" s="33">
        <f>IF(C1677="","",MAX($A$1:A1676)+1)</f>
        <v>1585</v>
      </c>
      <c r="B1677" s="27" t="s">
        <v>141</v>
      </c>
      <c r="C1677" s="23">
        <v>46095</v>
      </c>
      <c r="D1677" s="28" t="str">
        <f>_xlfn.XLOOKUP(Table134526_79101120212223242526[[#This Row],[Name Surname]],Manpower!$C$4:$C$1048576,Manpower!$B$4:$B$1048576,"")</f>
        <v>Encogroup</v>
      </c>
      <c r="E1677" s="21" t="s">
        <v>217</v>
      </c>
      <c r="F1677" s="12">
        <f>_xlfn.XLOOKUP(Table134526_79101120212223242526[[#This Row],[Name Surname]],Manpower!C:C,Manpower!D:D,)</f>
        <v>140742177</v>
      </c>
      <c r="G1677" s="28" t="str">
        <f>_xlfn.XLOOKUP(Table134526_79101120212223242526[[#This Row],[Name Surname]],Manpower!$C$4:$C$1048576,Manpower!$F$4:$F$1048576,"")</f>
        <v>Grinder</v>
      </c>
      <c r="H1677" s="28" t="str">
        <f>_xlfn.XLOOKUP(Table134526_79101120212223242526[[#This Row],[Name Surname]],Manpower!$C$4:$C$1048576,Manpower!$H$4:$H$1048576,"")</f>
        <v>Manpower</v>
      </c>
      <c r="I1677" s="28" t="str">
        <f>_xlfn.XLOOKUP(Table134526_79101120212223242526[[#This Row],[Name Surname]],Manpower!$C$4:$C$1048576,Manpower!$H$4:$H$1048576,"")</f>
        <v>Manpower</v>
      </c>
      <c r="J1677" s="21" t="s">
        <v>143</v>
      </c>
      <c r="K1677" s="21" t="s">
        <v>26</v>
      </c>
      <c r="L1677" s="21" t="s">
        <v>144</v>
      </c>
      <c r="M1677" s="21" t="s">
        <v>55</v>
      </c>
      <c r="N1677" s="29">
        <v>10</v>
      </c>
      <c r="R1677" s="21" t="s">
        <v>308</v>
      </c>
    </row>
    <row r="1678" spans="1:18" ht="14.4" hidden="1">
      <c r="A1678" s="33">
        <f>IF(C1678="","",MAX($A$1:A1677)+1)</f>
        <v>1586</v>
      </c>
      <c r="B1678" s="27" t="s">
        <v>141</v>
      </c>
      <c r="C1678" s="23">
        <v>46095</v>
      </c>
      <c r="D1678" s="28" t="str">
        <f>_xlfn.XLOOKUP(Table134526_79101120212223242526[[#This Row],[Name Surname]],Manpower!$C$4:$C$1048576,Manpower!$B$4:$B$1048576,"")</f>
        <v>Encogroup</v>
      </c>
      <c r="E1678" s="21" t="s">
        <v>188</v>
      </c>
      <c r="F1678" s="12">
        <f>_xlfn.XLOOKUP(Table134526_79101120212223242526[[#This Row],[Name Surname]],Manpower!C:C,Manpower!D:D,)</f>
        <v>140696975</v>
      </c>
      <c r="G1678" s="28" t="str">
        <f>_xlfn.XLOOKUP(Table134526_79101120212223242526[[#This Row],[Name Surname]],Manpower!$C$4:$C$1048576,Manpower!$F$4:$F$1048576,"")</f>
        <v>Assistant/Helper</v>
      </c>
      <c r="H1678" s="28" t="str">
        <f>_xlfn.XLOOKUP(Table134526_79101120212223242526[[#This Row],[Name Surname]],Manpower!$C$4:$C$1048576,Manpower!$H$4:$H$1048576,"")</f>
        <v>Manpower</v>
      </c>
      <c r="I1678" s="28" t="str">
        <f>_xlfn.XLOOKUP(Table134526_79101120212223242526[[#This Row],[Name Surname]],Manpower!$C$4:$C$1048576,Manpower!$H$4:$H$1048576,"")</f>
        <v>Manpower</v>
      </c>
      <c r="J1678" s="21" t="s">
        <v>158</v>
      </c>
      <c r="K1678" s="21" t="s">
        <v>26</v>
      </c>
      <c r="L1678" s="21" t="s">
        <v>26</v>
      </c>
      <c r="M1678" s="21" t="s">
        <v>55</v>
      </c>
      <c r="N1678" s="29">
        <v>10</v>
      </c>
      <c r="R1678" s="21" t="s">
        <v>308</v>
      </c>
    </row>
    <row r="1679" spans="1:18" ht="14.4" hidden="1">
      <c r="A1679" s="33">
        <f>IF(C1679="","",MAX($A$1:A1678)+1)</f>
        <v>1587</v>
      </c>
      <c r="B1679" s="27" t="s">
        <v>141</v>
      </c>
      <c r="C1679" s="23">
        <v>46095</v>
      </c>
      <c r="D1679" s="28" t="str">
        <f>_xlfn.XLOOKUP(Table134526_79101120212223242526[[#This Row],[Name Surname]],Manpower!$C$4:$C$1048576,Manpower!$B$4:$B$1048576,"")</f>
        <v>Encogroup</v>
      </c>
      <c r="E1679" s="21" t="s">
        <v>204</v>
      </c>
      <c r="F1679" s="12">
        <f>_xlfn.XLOOKUP(Table134526_79101120212223242526[[#This Row],[Name Surname]],Manpower!C:C,Manpower!D:D,)</f>
        <v>140844572</v>
      </c>
      <c r="G1679" s="28" t="str">
        <f>_xlfn.XLOOKUP(Table134526_79101120212223242526[[#This Row],[Name Surname]],Manpower!$C$4:$C$1048576,Manpower!$F$4:$F$1048576,"")</f>
        <v>Assistant/Helper</v>
      </c>
      <c r="H1679" s="28" t="str">
        <f>_xlfn.XLOOKUP(Table134526_79101120212223242526[[#This Row],[Name Surname]],Manpower!$C$4:$C$1048576,Manpower!$H$4:$H$1048576,"")</f>
        <v>Manpower</v>
      </c>
      <c r="I1679" s="28" t="str">
        <f>_xlfn.XLOOKUP(Table134526_79101120212223242526[[#This Row],[Name Surname]],Manpower!$C$4:$C$1048576,Manpower!$H$4:$H$1048576,"")</f>
        <v>Manpower</v>
      </c>
      <c r="J1679" s="21" t="s">
        <v>158</v>
      </c>
      <c r="K1679" s="21" t="s">
        <v>26</v>
      </c>
      <c r="L1679" s="21" t="s">
        <v>26</v>
      </c>
      <c r="M1679" s="21" t="s">
        <v>55</v>
      </c>
      <c r="N1679" s="29">
        <v>10</v>
      </c>
      <c r="R1679" s="21" t="s">
        <v>308</v>
      </c>
    </row>
    <row r="1680" spans="1:18" ht="14.4">
      <c r="A1680" s="33">
        <f>IF(C1680="","",MAX($A$1:A1679)+1)</f>
        <v>1588</v>
      </c>
      <c r="B1680" s="27" t="s">
        <v>141</v>
      </c>
      <c r="C1680" s="23">
        <v>46095</v>
      </c>
      <c r="D1680" s="28" t="str">
        <f>_xlfn.XLOOKUP(Table134526_79101120212223242526[[#This Row],[Name Surname]],Manpower!$C$4:$C$1048576,Manpower!$B$4:$B$1048576,"")</f>
        <v>Encogroup</v>
      </c>
      <c r="E1680" s="23" t="s">
        <v>219</v>
      </c>
      <c r="F1680" s="12" t="e">
        <f>_xlfn.XLOOKUP(Table134526_79101120212223242526[[#This Row],[Name Surname]],Manpower!C:C,Manpower!D:D,)</f>
        <v>#N/A</v>
      </c>
      <c r="G1680" s="28" t="str">
        <f>_xlfn.XLOOKUP(Table134526_79101120212223242526[[#This Row],[Name Surname]],Manpower!$C$4:$C$1048576,Manpower!$F$4:$F$1048576,"")</f>
        <v>TOWER LIGHT</v>
      </c>
      <c r="H1680" s="28" t="str">
        <f>_xlfn.XLOOKUP(Table134526_79101120212223242526[[#This Row],[Name Surname]],Manpower!$C$4:$C$1048576,Manpower!$H$4:$H$1048576,"")</f>
        <v>Equipment</v>
      </c>
      <c r="I1680" s="28" t="str">
        <f>_xlfn.XLOOKUP(Table134526_79101120212223242526[[#This Row],[Name Surname]],Manpower!$C$4:$C$1048576,Manpower!$H$4:$H$1048576,"")</f>
        <v>Equipment</v>
      </c>
      <c r="J1680" s="21" t="s">
        <v>143</v>
      </c>
      <c r="K1680" s="21" t="s">
        <v>26</v>
      </c>
      <c r="L1680" s="21" t="s">
        <v>144</v>
      </c>
      <c r="M1680" s="21" t="s">
        <v>55</v>
      </c>
      <c r="N1680" s="29">
        <v>10</v>
      </c>
      <c r="R1680" s="21" t="s">
        <v>308</v>
      </c>
    </row>
    <row r="1681" spans="1:19" ht="14.4">
      <c r="A1681" s="33">
        <f>IF(C1681="","",MAX($A$1:A1680)+1)</f>
        <v>1589</v>
      </c>
      <c r="B1681" s="27" t="s">
        <v>141</v>
      </c>
      <c r="C1681" s="23">
        <v>46095</v>
      </c>
      <c r="D1681" s="28" t="str">
        <f>_xlfn.XLOOKUP(Table134526_79101120212223242526[[#This Row],[Name Surname]],Manpower!$C$4:$C$1048576,Manpower!$B$4:$B$1048576,"")</f>
        <v>Encogroup</v>
      </c>
      <c r="E1681" s="23" t="s">
        <v>220</v>
      </c>
      <c r="F1681" s="12" t="e">
        <f>_xlfn.XLOOKUP(Table134526_79101120212223242526[[#This Row],[Name Surname]],Manpower!C:C,Manpower!D:D,)</f>
        <v>#N/A</v>
      </c>
      <c r="G1681" s="28" t="str">
        <f>_xlfn.XLOOKUP(Table134526_79101120212223242526[[#This Row],[Name Surname]],Manpower!$C$4:$C$1048576,Manpower!$F$4:$F$1048576,"")</f>
        <v>TOWER LIGHT</v>
      </c>
      <c r="H1681" s="28" t="str">
        <f>_xlfn.XLOOKUP(Table134526_79101120212223242526[[#This Row],[Name Surname]],Manpower!$C$4:$C$1048576,Manpower!$H$4:$H$1048576,"")</f>
        <v>Equipment</v>
      </c>
      <c r="I1681" s="28" t="str">
        <f>_xlfn.XLOOKUP(Table134526_79101120212223242526[[#This Row],[Name Surname]],Manpower!$C$4:$C$1048576,Manpower!$H$4:$H$1048576,"")</f>
        <v>Equipment</v>
      </c>
      <c r="J1681" s="21" t="s">
        <v>143</v>
      </c>
      <c r="K1681" s="21" t="s">
        <v>26</v>
      </c>
      <c r="L1681" s="21" t="s">
        <v>144</v>
      </c>
      <c r="M1681" s="21" t="s">
        <v>55</v>
      </c>
      <c r="N1681" s="29">
        <v>10</v>
      </c>
      <c r="R1681" s="21" t="s">
        <v>308</v>
      </c>
    </row>
    <row r="1682" spans="1:19" ht="14.4" hidden="1">
      <c r="A1682" s="33">
        <f>IF(C1682="","",MAX($A$1:A1681)+1)</f>
        <v>1590</v>
      </c>
      <c r="B1682" s="27" t="s">
        <v>141</v>
      </c>
      <c r="C1682" s="23">
        <v>46095</v>
      </c>
      <c r="D1682" s="28" t="str">
        <f>_xlfn.XLOOKUP(Table134526_79101120212223242526[[#This Row],[Name Surname]],Manpower!$C$4:$C$1048576,Manpower!$B$4:$B$1048576,"")</f>
        <v>AL Omar International Tarde&amp;Contracting SPC</v>
      </c>
      <c r="E1682" s="21" t="s">
        <v>221</v>
      </c>
      <c r="F1682" s="12">
        <f>_xlfn.XLOOKUP(Table134526_79101120212223242526[[#This Row],[Name Surname]],Manpower!C:C,Manpower!D:D,)</f>
        <v>115122635</v>
      </c>
      <c r="G1682" s="28" t="str">
        <f>_xlfn.XLOOKUP(Table134526_79101120212223242526[[#This Row],[Name Surname]],Manpower!$C$4:$C$1048576,Manpower!$F$4:$F$1048576,"")</f>
        <v>Scaffolder</v>
      </c>
      <c r="H1682" s="28" t="str">
        <f>_xlfn.XLOOKUP(Table134526_79101120212223242526[[#This Row],[Name Surname]],Manpower!$C$4:$C$1048576,Manpower!$H$4:$H$1048576,"")</f>
        <v>Sub Contactor</v>
      </c>
      <c r="I1682" s="28" t="str">
        <f>_xlfn.XLOOKUP(Table134526_79101120212223242526[[#This Row],[Name Surname]],Manpower!$C$4:$C$1048576,Manpower!$H$4:$H$1048576,"")</f>
        <v>Sub Contactor</v>
      </c>
      <c r="J1682" s="21" t="s">
        <v>143</v>
      </c>
      <c r="K1682" s="21" t="s">
        <v>26</v>
      </c>
      <c r="L1682" s="21" t="s">
        <v>144</v>
      </c>
      <c r="M1682" s="21" t="s">
        <v>55</v>
      </c>
      <c r="N1682" s="29">
        <v>10</v>
      </c>
      <c r="R1682" s="21" t="s">
        <v>308</v>
      </c>
    </row>
    <row r="1683" spans="1:19" ht="14.4" hidden="1">
      <c r="A1683" s="33">
        <f>IF(C1683="","",MAX($A$1:A1682)+1)</f>
        <v>1591</v>
      </c>
      <c r="B1683" s="27" t="s">
        <v>141</v>
      </c>
      <c r="C1683" s="23">
        <v>46095</v>
      </c>
      <c r="D1683" s="28" t="str">
        <f>_xlfn.XLOOKUP(Table134526_79101120212223242526[[#This Row],[Name Surname]],Manpower!$C$4:$C$1048576,Manpower!$B$4:$B$1048576,"")</f>
        <v>Encogroup</v>
      </c>
      <c r="E1683" s="21" t="s">
        <v>168</v>
      </c>
      <c r="F1683" s="12">
        <f>_xlfn.XLOOKUP(Table134526_79101120212223242526[[#This Row],[Name Surname]],Manpower!C:C,Manpower!D:D,)</f>
        <v>137114773</v>
      </c>
      <c r="G1683" s="28" t="str">
        <f>_xlfn.XLOOKUP(Table134526_79101120212223242526[[#This Row],[Name Surname]],Manpower!$C$4:$C$1048576,Manpower!$F$4:$F$1048576,"")</f>
        <v>Rigger</v>
      </c>
      <c r="H1683" s="28" t="str">
        <f>_xlfn.XLOOKUP(Table134526_79101120212223242526[[#This Row],[Name Surname]],Manpower!$C$4:$C$1048576,Manpower!$H$4:$H$1048576,"")</f>
        <v>Manpower</v>
      </c>
      <c r="I1683" s="28" t="str">
        <f>_xlfn.XLOOKUP(Table134526_79101120212223242526[[#This Row],[Name Surname]],Manpower!$C$4:$C$1048576,Manpower!$H$4:$H$1048576,"")</f>
        <v>Manpower</v>
      </c>
      <c r="J1683" s="21" t="s">
        <v>143</v>
      </c>
      <c r="K1683" s="21" t="s">
        <v>26</v>
      </c>
      <c r="L1683" s="21" t="s">
        <v>144</v>
      </c>
      <c r="M1683" s="21" t="s">
        <v>55</v>
      </c>
      <c r="N1683" s="29">
        <v>10</v>
      </c>
      <c r="R1683" s="21" t="s">
        <v>308</v>
      </c>
    </row>
    <row r="1684" spans="1:19" ht="14.4" hidden="1">
      <c r="A1684" s="33">
        <f>IF(C1684="","",MAX($A$1:A1683)+1)</f>
        <v>1592</v>
      </c>
      <c r="B1684" s="27" t="s">
        <v>141</v>
      </c>
      <c r="C1684" s="23">
        <v>46095</v>
      </c>
      <c r="D1684" s="28" t="str">
        <f>_xlfn.XLOOKUP(Table134526_79101120212223242526[[#This Row],[Name Surname]],Manpower!$C$4:$C$1048576,Manpower!$B$4:$B$1048576,"")</f>
        <v>Encogroup</v>
      </c>
      <c r="E1684" s="21" t="s">
        <v>222</v>
      </c>
      <c r="F1684" s="12">
        <f>_xlfn.XLOOKUP(Table134526_79101120212223242526[[#This Row],[Name Surname]],Manpower!C:C,Manpower!D:D,)</f>
        <v>122082863</v>
      </c>
      <c r="G1684" s="28" t="str">
        <f>_xlfn.XLOOKUP(Table134526_79101120212223242526[[#This Row],[Name Surname]],Manpower!$C$4:$C$1048576,Manpower!$F$4:$F$1048576,"")</f>
        <v>Grinder</v>
      </c>
      <c r="H1684" s="28" t="str">
        <f>_xlfn.XLOOKUP(Table134526_79101120212223242526[[#This Row],[Name Surname]],Manpower!$C$4:$C$1048576,Manpower!$H$4:$H$1048576,"")</f>
        <v>Manpower</v>
      </c>
      <c r="I1684" s="28" t="str">
        <f>_xlfn.XLOOKUP(Table134526_79101120212223242526[[#This Row],[Name Surname]],Manpower!$C$4:$C$1048576,Manpower!$H$4:$H$1048576,"")</f>
        <v>Manpower</v>
      </c>
      <c r="J1684" s="21" t="s">
        <v>143</v>
      </c>
      <c r="K1684" s="21" t="s">
        <v>26</v>
      </c>
      <c r="L1684" s="21" t="s">
        <v>144</v>
      </c>
      <c r="M1684" s="21" t="s">
        <v>55</v>
      </c>
      <c r="N1684" s="29">
        <v>10</v>
      </c>
      <c r="R1684" s="21" t="s">
        <v>308</v>
      </c>
    </row>
    <row r="1685" spans="1:19" ht="14.4" hidden="1">
      <c r="A1685" s="33">
        <f>IF(C1685="","",MAX($A$1:A1684)+1)</f>
        <v>1593</v>
      </c>
      <c r="B1685" s="27" t="s">
        <v>141</v>
      </c>
      <c r="C1685" s="23">
        <v>46095</v>
      </c>
      <c r="D1685" s="28" t="str">
        <f>_xlfn.XLOOKUP(Table134526_79101120212223242526[[#This Row],[Name Surname]],Manpower!$C$4:$C$1048576,Manpower!$B$4:$B$1048576,"")</f>
        <v>Encogroup</v>
      </c>
      <c r="E1685" s="21" t="s">
        <v>223</v>
      </c>
      <c r="F1685" s="12">
        <f>_xlfn.XLOOKUP(Table134526_79101120212223242526[[#This Row],[Name Surname]],Manpower!C:C,Manpower!D:D,)</f>
        <v>140696989</v>
      </c>
      <c r="G1685" s="28" t="str">
        <f>_xlfn.XLOOKUP(Table134526_79101120212223242526[[#This Row],[Name Surname]],Manpower!$C$4:$C$1048576,Manpower!$F$4:$F$1048576,"")</f>
        <v>Assistant/Helper</v>
      </c>
      <c r="H1685" s="28" t="str">
        <f>_xlfn.XLOOKUP(Table134526_79101120212223242526[[#This Row],[Name Surname]],Manpower!$C$4:$C$1048576,Manpower!$H$4:$H$1048576,"")</f>
        <v>Manpower</v>
      </c>
      <c r="I1685" s="28" t="str">
        <f>_xlfn.XLOOKUP(Table134526_79101120212223242526[[#This Row],[Name Surname]],Manpower!$C$4:$C$1048576,Manpower!$H$4:$H$1048576,"")</f>
        <v>Manpower</v>
      </c>
      <c r="J1685" s="21" t="s">
        <v>158</v>
      </c>
      <c r="K1685" s="21" t="s">
        <v>26</v>
      </c>
      <c r="L1685" s="21" t="s">
        <v>26</v>
      </c>
      <c r="M1685" s="21" t="s">
        <v>55</v>
      </c>
      <c r="N1685" s="29">
        <v>10</v>
      </c>
      <c r="R1685" s="21" t="s">
        <v>308</v>
      </c>
    </row>
    <row r="1686" spans="1:19" ht="14.4" hidden="1">
      <c r="A1686" s="33">
        <f>IF(C1686="","",MAX($A$1:A1685)+1)</f>
        <v>1594</v>
      </c>
      <c r="B1686" s="27" t="s">
        <v>141</v>
      </c>
      <c r="C1686" s="23">
        <v>46095</v>
      </c>
      <c r="D1686" s="28" t="str">
        <f>_xlfn.XLOOKUP(Table134526_79101120212223242526[[#This Row],[Name Surname]],Manpower!$C$4:$C$1048576,Manpower!$B$4:$B$1048576,"")</f>
        <v>Encogroup</v>
      </c>
      <c r="E1686" s="21" t="s">
        <v>209</v>
      </c>
      <c r="F1686" s="12">
        <f>_xlfn.XLOOKUP(Table134526_79101120212223242526[[#This Row],[Name Surname]],Manpower!C:C,Manpower!D:D,)</f>
        <v>141365164</v>
      </c>
      <c r="G1686" s="28" t="str">
        <f>_xlfn.XLOOKUP(Table134526_79101120212223242526[[#This Row],[Name Surname]],Manpower!$C$4:$C$1048576,Manpower!$F$4:$F$1048576,"")</f>
        <v>Helper</v>
      </c>
      <c r="H1686" s="28" t="str">
        <f>_xlfn.XLOOKUP(Table134526_79101120212223242526[[#This Row],[Name Surname]],Manpower!$C$4:$C$1048576,Manpower!$H$4:$H$1048576,"")</f>
        <v>Manpower</v>
      </c>
      <c r="I1686" s="28" t="str">
        <f>_xlfn.XLOOKUP(Table134526_79101120212223242526[[#This Row],[Name Surname]],Manpower!$C$4:$C$1048576,Manpower!$H$4:$H$1048576,"")</f>
        <v>Manpower</v>
      </c>
      <c r="J1686" s="21" t="s">
        <v>143</v>
      </c>
      <c r="K1686" s="21" t="s">
        <v>26</v>
      </c>
      <c r="L1686" s="21" t="s">
        <v>144</v>
      </c>
      <c r="M1686" s="21" t="s">
        <v>55</v>
      </c>
      <c r="N1686" s="29">
        <v>10</v>
      </c>
      <c r="R1686" s="21" t="s">
        <v>308</v>
      </c>
    </row>
    <row r="1687" spans="1:19" ht="14.4" hidden="1">
      <c r="A1687" s="33">
        <f>IF(C1687="","",MAX($A$1:A1686)+1)</f>
        <v>1595</v>
      </c>
      <c r="B1687" s="27" t="s">
        <v>141</v>
      </c>
      <c r="C1687" s="23">
        <v>46095</v>
      </c>
      <c r="D1687" s="28" t="str">
        <f>_xlfn.XLOOKUP(Table134526_79101120212223242526[[#This Row],[Name Surname]],Manpower!$C$4:$C$1048576,Manpower!$B$4:$B$1048576,"")</f>
        <v>Encogroup</v>
      </c>
      <c r="E1687" s="21" t="s">
        <v>264</v>
      </c>
      <c r="F1687" s="12">
        <f>_xlfn.XLOOKUP(Table134526_79101120212223242526[[#This Row],[Name Surname]],Manpower!C:C,Manpower!D:D,)</f>
        <v>141365061</v>
      </c>
      <c r="G1687" s="28" t="str">
        <f>_xlfn.XLOOKUP(Table134526_79101120212223242526[[#This Row],[Name Surname]],Manpower!$C$4:$C$1048576,Manpower!$F$4:$F$1048576,"")</f>
        <v>Helper</v>
      </c>
      <c r="H1687" s="28" t="str">
        <f>_xlfn.XLOOKUP(Table134526_79101120212223242526[[#This Row],[Name Surname]],Manpower!$C$4:$C$1048576,Manpower!$H$4:$H$1048576,"")</f>
        <v>Manpower</v>
      </c>
      <c r="I1687" s="28" t="str">
        <f>_xlfn.XLOOKUP(Table134526_79101120212223242526[[#This Row],[Name Surname]],Manpower!$C$4:$C$1048576,Manpower!$H$4:$H$1048576,"")</f>
        <v>Manpower</v>
      </c>
      <c r="J1687" s="21" t="s">
        <v>143</v>
      </c>
      <c r="K1687" s="21" t="s">
        <v>26</v>
      </c>
      <c r="L1687" s="21" t="s">
        <v>144</v>
      </c>
      <c r="M1687" s="21" t="s">
        <v>55</v>
      </c>
      <c r="N1687" s="29">
        <v>10</v>
      </c>
      <c r="R1687" s="21" t="s">
        <v>308</v>
      </c>
    </row>
    <row r="1688" spans="1:19" ht="14.4" hidden="1">
      <c r="A1688" s="33">
        <f>IF(C1688="","",MAX($A$1:A1687)+1)</f>
        <v>1596</v>
      </c>
      <c r="B1688" s="27" t="s">
        <v>141</v>
      </c>
      <c r="C1688" s="23">
        <v>46095</v>
      </c>
      <c r="D1688" s="28" t="str">
        <f>_xlfn.XLOOKUP(Table134526_79101120212223242526[[#This Row],[Name Surname]],Manpower!$C$4:$C$1048576,Manpower!$B$4:$B$1048576,"")</f>
        <v>Encogroup</v>
      </c>
      <c r="E1688" s="21" t="s">
        <v>224</v>
      </c>
      <c r="F1688" s="12">
        <f>_xlfn.XLOOKUP(Table134526_79101120212223242526[[#This Row],[Name Surname]],Manpower!C:C,Manpower!D:D,)</f>
        <v>141365094</v>
      </c>
      <c r="G1688" s="28" t="str">
        <f>_xlfn.XLOOKUP(Table134526_79101120212223242526[[#This Row],[Name Surname]],Manpower!$C$4:$C$1048576,Manpower!$F$4:$F$1048576,"")</f>
        <v>Helper</v>
      </c>
      <c r="H1688" s="28" t="str">
        <f>_xlfn.XLOOKUP(Table134526_79101120212223242526[[#This Row],[Name Surname]],Manpower!$C$4:$C$1048576,Manpower!$H$4:$H$1048576,"")</f>
        <v>Manpower</v>
      </c>
      <c r="I1688" s="28" t="str">
        <f>_xlfn.XLOOKUP(Table134526_79101120212223242526[[#This Row],[Name Surname]],Manpower!$C$4:$C$1048576,Manpower!$H$4:$H$1048576,"")</f>
        <v>Manpower</v>
      </c>
      <c r="J1688" s="21" t="s">
        <v>143</v>
      </c>
      <c r="K1688" s="21" t="s">
        <v>26</v>
      </c>
      <c r="L1688" s="21" t="s">
        <v>144</v>
      </c>
      <c r="M1688" s="21" t="s">
        <v>55</v>
      </c>
      <c r="N1688" s="29">
        <v>10</v>
      </c>
      <c r="R1688" s="21" t="s">
        <v>308</v>
      </c>
    </row>
    <row r="1689" spans="1:19" ht="14.4" hidden="1">
      <c r="A1689" s="33">
        <f>IF(C1689="","",MAX($A$1:A1688)+1)</f>
        <v>1597</v>
      </c>
      <c r="B1689" s="27" t="s">
        <v>141</v>
      </c>
      <c r="C1689" s="23">
        <v>46095</v>
      </c>
      <c r="D1689" s="28" t="str">
        <f>_xlfn.XLOOKUP(Table134526_79101120212223242526[[#This Row],[Name Surname]],Manpower!$C$4:$C$1048576,Manpower!$B$4:$B$1048576,"")</f>
        <v xml:space="preserve">FAL Transport </v>
      </c>
      <c r="E1689" s="21" t="s">
        <v>225</v>
      </c>
      <c r="F1689" s="12">
        <f>_xlfn.XLOOKUP(Table134526_79101120212223242526[[#This Row],[Name Surname]],Manpower!C:C,Manpower!D:D,)</f>
        <v>124233837</v>
      </c>
      <c r="G1689" s="28" t="str">
        <f>_xlfn.XLOOKUP(Table134526_79101120212223242526[[#This Row],[Name Surname]],Manpower!$C$4:$C$1048576,Manpower!$F$4:$F$1048576,"")</f>
        <v>Trailer Driver</v>
      </c>
      <c r="H1689" s="28" t="str">
        <f>_xlfn.XLOOKUP(Table134526_79101120212223242526[[#This Row],[Name Surname]],Manpower!$C$4:$C$1048576,Manpower!$H$4:$H$1048576,"")</f>
        <v>Sub Contactor</v>
      </c>
      <c r="I1689" s="28" t="str">
        <f>_xlfn.XLOOKUP(Table134526_79101120212223242526[[#This Row],[Name Surname]],Manpower!$C$4:$C$1048576,Manpower!$H$4:$H$1048576,"")</f>
        <v>Sub Contactor</v>
      </c>
      <c r="J1689" s="21" t="s">
        <v>143</v>
      </c>
      <c r="K1689" s="21" t="s">
        <v>26</v>
      </c>
      <c r="L1689" s="21" t="s">
        <v>144</v>
      </c>
      <c r="M1689" s="21" t="s">
        <v>55</v>
      </c>
      <c r="N1689" s="29">
        <v>10</v>
      </c>
      <c r="R1689" s="21" t="s">
        <v>308</v>
      </c>
    </row>
    <row r="1690" spans="1:19" ht="14.4">
      <c r="A1690" s="33">
        <f>IF(C1690="","",MAX($A$1:A1689)+1)</f>
        <v>1598</v>
      </c>
      <c r="B1690" s="22" t="s">
        <v>19</v>
      </c>
      <c r="C1690" s="23">
        <v>46096</v>
      </c>
      <c r="D1690" s="28" t="str">
        <f>_xlfn.XLOOKUP(Table134526_79101120212223242526[[#This Row],[Name Surname]],Manpower!$C$4:$C$1048576,Manpower!$B$4:$B$1048576,"")</f>
        <v>Nass Group</v>
      </c>
      <c r="E1690" s="21" t="s">
        <v>148</v>
      </c>
      <c r="F1690" s="12" t="e">
        <f>_xlfn.XLOOKUP(Table134526_79101120212223242526[[#This Row],[Name Surname]],Manpower!C:C,Manpower!D:D,)</f>
        <v>#N/A</v>
      </c>
      <c r="G1690" s="28" t="str">
        <f>_xlfn.XLOOKUP(Table134526_79101120212223242526[[#This Row],[Name Surname]],Manpower!$C$4:$C$1048576,Manpower!$F$4:$F$1048576,"")</f>
        <v>70T-Telescopic crane</v>
      </c>
      <c r="H1690" s="28" t="str">
        <f>_xlfn.XLOOKUP(Table134526_79101120212223242526[[#This Row],[Name Surname]],Manpower!$C$4:$C$1048576,Manpower!$H$4:$H$1048576,"")</f>
        <v>Equipment</v>
      </c>
      <c r="I1690" s="28" t="str">
        <f>_xlfn.XLOOKUP(Table134526_79101120212223242526[[#This Row],[Name Surname]],Manpower!$C$4:$C$1048576,Manpower!$H$4:$H$1048576,"")</f>
        <v>Equipment</v>
      </c>
      <c r="J1690" s="21" t="s">
        <v>21</v>
      </c>
      <c r="K1690" s="21" t="s">
        <v>231</v>
      </c>
      <c r="L1690" s="21" t="s">
        <v>49</v>
      </c>
      <c r="M1690" s="21" t="s">
        <v>24</v>
      </c>
      <c r="N1690" s="29">
        <v>10</v>
      </c>
      <c r="O1690" s="21" t="s">
        <v>40</v>
      </c>
      <c r="P1690" s="21" t="s">
        <v>41</v>
      </c>
      <c r="Q1690" s="21" t="s">
        <v>42</v>
      </c>
      <c r="R1690" s="21" t="s">
        <v>309</v>
      </c>
    </row>
    <row r="1691" spans="1:19" s="45" customFormat="1" ht="14.4" hidden="1">
      <c r="A1691" s="25">
        <f>IF(C1691="","",MAX($A$1:A1690)+1)</f>
        <v>1599</v>
      </c>
      <c r="B1691" s="25" t="s">
        <v>19</v>
      </c>
      <c r="C1691" s="41">
        <v>46096</v>
      </c>
      <c r="D1691" s="48" t="str">
        <f>_xlfn.XLOOKUP(Table134526_79101120212223242526[[#This Row],[Name Surname]],Manpower!$C$4:$C$1048576,Manpower!$B$4:$B$1048576,"")</f>
        <v>Encogroup</v>
      </c>
      <c r="E1691" s="43" t="s">
        <v>27</v>
      </c>
      <c r="F1691" s="12">
        <f>_xlfn.XLOOKUP(Table134526_79101120212223242526[[#This Row],[Name Surname]],Manpower!C:C,Manpower!D:D,)</f>
        <v>127414586</v>
      </c>
      <c r="G1691" s="48" t="str">
        <f>_xlfn.XLOOKUP(Table134526_79101120212223242526[[#This Row],[Name Surname]],Manpower!$C$4:$C$1048576,Manpower!$F$4:$F$1048576,"")</f>
        <v>Electrician</v>
      </c>
      <c r="H1691" s="48" t="str">
        <f>_xlfn.XLOOKUP(Table134526_79101120212223242526[[#This Row],[Name Surname]],Manpower!$C$4:$C$1048576,Manpower!$H$4:$H$1048576,"")</f>
        <v>Manpower</v>
      </c>
      <c r="I1691" s="48" t="str">
        <f>_xlfn.XLOOKUP(Table134526_79101120212223242526[[#This Row],[Name Surname]],Manpower!$C$4:$C$1048576,Manpower!$H$4:$H$1048576,"")</f>
        <v>Manpower</v>
      </c>
      <c r="J1691" s="43" t="s">
        <v>21</v>
      </c>
      <c r="K1691" s="43" t="s">
        <v>231</v>
      </c>
      <c r="L1691" s="43" t="s">
        <v>23</v>
      </c>
      <c r="M1691" s="43" t="s">
        <v>24</v>
      </c>
      <c r="N1691" s="44">
        <v>5</v>
      </c>
      <c r="O1691" s="43" t="s">
        <v>28</v>
      </c>
      <c r="P1691" s="43" t="s">
        <v>41</v>
      </c>
      <c r="Q1691" s="43" t="s">
        <v>58</v>
      </c>
      <c r="R1691" s="43" t="s">
        <v>309</v>
      </c>
      <c r="S1691" s="43"/>
    </row>
    <row r="1692" spans="1:19" s="45" customFormat="1" ht="14.4" hidden="1">
      <c r="A1692" s="25">
        <f>IF(C1692="","",MAX($A$1:A1691)+1)</f>
        <v>1600</v>
      </c>
      <c r="B1692" s="25" t="s">
        <v>19</v>
      </c>
      <c r="C1692" s="41">
        <v>46096</v>
      </c>
      <c r="D1692" s="48" t="str">
        <f>_xlfn.XLOOKUP(Table134526_79101120212223242526[[#This Row],[Name Surname]],Manpower!$C$4:$C$1048576,Manpower!$B$4:$B$1048576,"")</f>
        <v>Encogroup</v>
      </c>
      <c r="E1692" s="43" t="s">
        <v>29</v>
      </c>
      <c r="F1692" s="12">
        <f>_xlfn.XLOOKUP(Table134526_79101120212223242526[[#This Row],[Name Surname]],Manpower!C:C,Manpower!D:D,)</f>
        <v>127331574</v>
      </c>
      <c r="G1692" s="48" t="str">
        <f>_xlfn.XLOOKUP(Table134526_79101120212223242526[[#This Row],[Name Surname]],Manpower!$C$4:$C$1048576,Manpower!$F$4:$F$1048576,"")</f>
        <v>Permit Receiver</v>
      </c>
      <c r="H1692" s="48" t="str">
        <f>_xlfn.XLOOKUP(Table134526_79101120212223242526[[#This Row],[Name Surname]],Manpower!$C$4:$C$1048576,Manpower!$H$4:$H$1048576,"")</f>
        <v>Manpower</v>
      </c>
      <c r="I1692" s="48" t="str">
        <f>_xlfn.XLOOKUP(Table134526_79101120212223242526[[#This Row],[Name Surname]],Manpower!$C$4:$C$1048576,Manpower!$H$4:$H$1048576,"")</f>
        <v>Manpower</v>
      </c>
      <c r="J1692" s="43" t="s">
        <v>21</v>
      </c>
      <c r="K1692" s="43" t="s">
        <v>231</v>
      </c>
      <c r="L1692" s="43" t="s">
        <v>49</v>
      </c>
      <c r="M1692" s="43" t="s">
        <v>24</v>
      </c>
      <c r="N1692" s="44">
        <v>8</v>
      </c>
      <c r="O1692" s="43" t="s">
        <v>25</v>
      </c>
      <c r="P1692" s="43" t="s">
        <v>41</v>
      </c>
      <c r="Q1692" s="43" t="s">
        <v>60</v>
      </c>
      <c r="R1692" s="43" t="s">
        <v>309</v>
      </c>
      <c r="S1692" s="43"/>
    </row>
    <row r="1693" spans="1:19" s="45" customFormat="1" ht="14.4" hidden="1">
      <c r="A1693" s="25">
        <f>IF(C1693="","",MAX($A$1:A1692)+1)</f>
        <v>1601</v>
      </c>
      <c r="B1693" s="25" t="s">
        <v>19</v>
      </c>
      <c r="C1693" s="41">
        <v>46096</v>
      </c>
      <c r="D1693" s="48" t="str">
        <f>_xlfn.XLOOKUP(Table134526_79101120212223242526[[#This Row],[Name Surname]],Manpower!$C$4:$C$1048576,Manpower!$B$4:$B$1048576,"")</f>
        <v>Encogroup</v>
      </c>
      <c r="E1693" s="43" t="s">
        <v>30</v>
      </c>
      <c r="F1693" s="12">
        <f>_xlfn.XLOOKUP(Table134526_79101120212223242526[[#This Row],[Name Surname]],Manpower!C:C,Manpower!D:D,)</f>
        <v>116589569</v>
      </c>
      <c r="G1693" s="48" t="str">
        <f>_xlfn.XLOOKUP(Table134526_79101120212223242526[[#This Row],[Name Surname]],Manpower!$C$4:$C$1048576,Manpower!$F$4:$F$1048576,"")</f>
        <v>Mechanical Engineer</v>
      </c>
      <c r="H1693" s="48" t="str">
        <f>_xlfn.XLOOKUP(Table134526_79101120212223242526[[#This Row],[Name Surname]],Manpower!$C$4:$C$1048576,Manpower!$H$4:$H$1048576,"")</f>
        <v>Manpower</v>
      </c>
      <c r="I1693" s="48" t="str">
        <f>_xlfn.XLOOKUP(Table134526_79101120212223242526[[#This Row],[Name Surname]],Manpower!$C$4:$C$1048576,Manpower!$H$4:$H$1048576,"")</f>
        <v>Manpower</v>
      </c>
      <c r="J1693" s="43" t="s">
        <v>21</v>
      </c>
      <c r="K1693" s="43" t="s">
        <v>231</v>
      </c>
      <c r="L1693" s="43" t="s">
        <v>49</v>
      </c>
      <c r="M1693" s="43" t="s">
        <v>24</v>
      </c>
      <c r="N1693" s="44">
        <v>10</v>
      </c>
      <c r="O1693" s="43" t="s">
        <v>25</v>
      </c>
      <c r="P1693" s="43" t="s">
        <v>41</v>
      </c>
      <c r="Q1693" s="43" t="s">
        <v>60</v>
      </c>
      <c r="R1693" s="43" t="s">
        <v>309</v>
      </c>
      <c r="S1693" s="43"/>
    </row>
    <row r="1694" spans="1:19" ht="14.4" hidden="1">
      <c r="A1694" s="33">
        <f>IF(C1694="","",MAX($A$1:A1693)+1)</f>
        <v>1602</v>
      </c>
      <c r="B1694" s="22" t="s">
        <v>19</v>
      </c>
      <c r="C1694" s="23">
        <v>46096</v>
      </c>
      <c r="D1694" s="28" t="str">
        <f>_xlfn.XLOOKUP(Table134526_79101120212223242526[[#This Row],[Name Surname]],Manpower!$C$4:$C$1048576,Manpower!$B$4:$B$1048576,"")</f>
        <v>Encogroup</v>
      </c>
      <c r="E1694" s="21" t="s">
        <v>31</v>
      </c>
      <c r="F1694" s="12">
        <f>_xlfn.XLOOKUP(Table134526_79101120212223242526[[#This Row],[Name Surname]],Manpower!C:C,Manpower!D:D,)</f>
        <v>99596058</v>
      </c>
      <c r="G1694" s="28" t="str">
        <f>_xlfn.XLOOKUP(Table134526_79101120212223242526[[#This Row],[Name Surname]],Manpower!$C$4:$C$1048576,Manpower!$F$4:$F$1048576,"")</f>
        <v>HSE Officer</v>
      </c>
      <c r="H1694" s="28" t="str">
        <f>_xlfn.XLOOKUP(Table134526_79101120212223242526[[#This Row],[Name Surname]],Manpower!$C$4:$C$1048576,Manpower!$H$4:$H$1048576,"")</f>
        <v>Manpower</v>
      </c>
      <c r="I1694" s="28" t="str">
        <f>_xlfn.XLOOKUP(Table134526_79101120212223242526[[#This Row],[Name Surname]],Manpower!$C$4:$C$1048576,Manpower!$H$4:$H$1048576,"")</f>
        <v>Manpower</v>
      </c>
      <c r="J1694" s="21" t="s">
        <v>21</v>
      </c>
      <c r="K1694" s="21" t="s">
        <v>231</v>
      </c>
      <c r="L1694" s="21" t="s">
        <v>49</v>
      </c>
      <c r="M1694" s="21" t="s">
        <v>24</v>
      </c>
      <c r="N1694" s="29">
        <v>10</v>
      </c>
      <c r="O1694" s="21" t="s">
        <v>25</v>
      </c>
      <c r="P1694" s="21" t="s">
        <v>41</v>
      </c>
      <c r="Q1694" s="21" t="s">
        <v>60</v>
      </c>
      <c r="R1694" s="21" t="s">
        <v>309</v>
      </c>
    </row>
    <row r="1695" spans="1:19" s="45" customFormat="1" ht="14.4" hidden="1">
      <c r="A1695" s="25">
        <f>IF(C1695="","",MAX($A$1:A1694)+1)</f>
        <v>1603</v>
      </c>
      <c r="B1695" s="25" t="s">
        <v>19</v>
      </c>
      <c r="C1695" s="41">
        <v>46096</v>
      </c>
      <c r="D1695" s="48" t="str">
        <f>_xlfn.XLOOKUP(Table134526_79101120212223242526[[#This Row],[Name Surname]],Manpower!$C$4:$C$1048576,Manpower!$B$4:$B$1048576,"")</f>
        <v>Encogroup</v>
      </c>
      <c r="E1695" s="43" t="s">
        <v>72</v>
      </c>
      <c r="F1695" s="12">
        <f>_xlfn.XLOOKUP(Table134526_79101120212223242526[[#This Row],[Name Surname]],Manpower!C:C,Manpower!D:D,)</f>
        <v>140764706</v>
      </c>
      <c r="G1695" s="48" t="str">
        <f>_xlfn.XLOOKUP(Table134526_79101120212223242526[[#This Row],[Name Surname]],Manpower!$C$4:$C$1048576,Manpower!$F$4:$F$1048576,"")</f>
        <v>Rigger</v>
      </c>
      <c r="H1695" s="48" t="str">
        <f>_xlfn.XLOOKUP(Table134526_79101120212223242526[[#This Row],[Name Surname]],Manpower!$C$4:$C$1048576,Manpower!$H$4:$H$1048576,"")</f>
        <v>Manpower</v>
      </c>
      <c r="I1695" s="48" t="str">
        <f>_xlfn.XLOOKUP(Table134526_79101120212223242526[[#This Row],[Name Surname]],Manpower!$C$4:$C$1048576,Manpower!$H$4:$H$1048576,"")</f>
        <v>Manpower</v>
      </c>
      <c r="J1695" s="43" t="s">
        <v>21</v>
      </c>
      <c r="K1695" s="43" t="s">
        <v>231</v>
      </c>
      <c r="L1695" s="43" t="s">
        <v>49</v>
      </c>
      <c r="M1695" s="43" t="s">
        <v>24</v>
      </c>
      <c r="N1695" s="44">
        <v>10</v>
      </c>
      <c r="O1695" s="43" t="s">
        <v>25</v>
      </c>
      <c r="P1695" s="43" t="s">
        <v>41</v>
      </c>
      <c r="Q1695" s="43" t="s">
        <v>60</v>
      </c>
      <c r="R1695" s="43" t="s">
        <v>309</v>
      </c>
      <c r="S1695" s="43" t="s">
        <v>274</v>
      </c>
    </row>
    <row r="1696" spans="1:19" s="45" customFormat="1" ht="14.4" hidden="1">
      <c r="A1696" s="25">
        <f>IF(C1696="","",MAX($A$1:A1695)+1)</f>
        <v>1604</v>
      </c>
      <c r="B1696" s="25" t="s">
        <v>19</v>
      </c>
      <c r="C1696" s="41">
        <v>46096</v>
      </c>
      <c r="D1696" s="48" t="str">
        <f>_xlfn.XLOOKUP(Table134526_79101120212223242526[[#This Row],[Name Surname]],Manpower!$C$4:$C$1048576,Manpower!$B$4:$B$1048576,"")</f>
        <v>Encogroup</v>
      </c>
      <c r="E1696" s="43" t="s">
        <v>59</v>
      </c>
      <c r="F1696" s="12">
        <f>_xlfn.XLOOKUP(Table134526_79101120212223242526[[#This Row],[Name Surname]],Manpower!C:C,Manpower!D:D,)</f>
        <v>141169085</v>
      </c>
      <c r="G1696" s="48" t="str">
        <f>_xlfn.XLOOKUP(Table134526_79101120212223242526[[#This Row],[Name Surname]],Manpower!$C$4:$C$1048576,Manpower!$F$4:$F$1048576,"")</f>
        <v>Welder</v>
      </c>
      <c r="H1696" s="48" t="str">
        <f>_xlfn.XLOOKUP(Table134526_79101120212223242526[[#This Row],[Name Surname]],Manpower!$C$4:$C$1048576,Manpower!$H$4:$H$1048576,"")</f>
        <v>Manpower</v>
      </c>
      <c r="I1696" s="48" t="str">
        <f>_xlfn.XLOOKUP(Table134526_79101120212223242526[[#This Row],[Name Surname]],Manpower!$C$4:$C$1048576,Manpower!$H$4:$H$1048576,"")</f>
        <v>Manpower</v>
      </c>
      <c r="J1696" s="43" t="s">
        <v>21</v>
      </c>
      <c r="K1696" s="43" t="s">
        <v>231</v>
      </c>
      <c r="L1696" s="43" t="s">
        <v>49</v>
      </c>
      <c r="M1696" s="43" t="s">
        <v>24</v>
      </c>
      <c r="N1696" s="44">
        <v>5</v>
      </c>
      <c r="O1696" s="43" t="s">
        <v>25</v>
      </c>
      <c r="P1696" s="43" t="s">
        <v>41</v>
      </c>
      <c r="Q1696" s="43" t="s">
        <v>60</v>
      </c>
      <c r="R1696" s="43" t="s">
        <v>309</v>
      </c>
      <c r="S1696" s="43"/>
    </row>
    <row r="1697" spans="1:19" s="45" customFormat="1" ht="14.4" hidden="1">
      <c r="A1697" s="25">
        <f>IF(C1697="","",MAX($A$1:A1696)+1)</f>
        <v>1605</v>
      </c>
      <c r="B1697" s="25" t="s">
        <v>19</v>
      </c>
      <c r="C1697" s="41">
        <v>46096</v>
      </c>
      <c r="D1697" s="48" t="str">
        <f>_xlfn.XLOOKUP(Table134526_79101120212223242526[[#This Row],[Name Surname]],Manpower!$C$4:$C$1048576,Manpower!$B$4:$B$1048576,"")</f>
        <v>Encogroup</v>
      </c>
      <c r="E1697" s="43" t="s">
        <v>61</v>
      </c>
      <c r="F1697" s="12">
        <f>_xlfn.XLOOKUP(Table134526_79101120212223242526[[#This Row],[Name Surname]],Manpower!C:C,Manpower!D:D,)</f>
        <v>141169047</v>
      </c>
      <c r="G1697" s="48" t="str">
        <f>_xlfn.XLOOKUP(Table134526_79101120212223242526[[#This Row],[Name Surname]],Manpower!$C$4:$C$1048576,Manpower!$F$4:$F$1048576,"")</f>
        <v>Welder</v>
      </c>
      <c r="H1697" s="48" t="str">
        <f>_xlfn.XLOOKUP(Table134526_79101120212223242526[[#This Row],[Name Surname]],Manpower!$C$4:$C$1048576,Manpower!$H$4:$H$1048576,"")</f>
        <v>Manpower</v>
      </c>
      <c r="I1697" s="48" t="str">
        <f>_xlfn.XLOOKUP(Table134526_79101120212223242526[[#This Row],[Name Surname]],Manpower!$C$4:$C$1048576,Manpower!$H$4:$H$1048576,"")</f>
        <v>Manpower</v>
      </c>
      <c r="J1697" s="43" t="s">
        <v>21</v>
      </c>
      <c r="K1697" s="43" t="s">
        <v>231</v>
      </c>
      <c r="L1697" s="43" t="s">
        <v>49</v>
      </c>
      <c r="M1697" s="43" t="s">
        <v>24</v>
      </c>
      <c r="N1697" s="44">
        <v>5</v>
      </c>
      <c r="O1697" s="43" t="s">
        <v>25</v>
      </c>
      <c r="P1697" s="43" t="s">
        <v>41</v>
      </c>
      <c r="Q1697" s="43" t="s">
        <v>60</v>
      </c>
      <c r="R1697" s="43" t="s">
        <v>309</v>
      </c>
      <c r="S1697" s="43"/>
    </row>
    <row r="1698" spans="1:19" s="45" customFormat="1" ht="14.4" hidden="1">
      <c r="A1698" s="25">
        <f>IF(C1698="","",MAX($A$1:A1697)+1)</f>
        <v>1606</v>
      </c>
      <c r="B1698" s="25" t="s">
        <v>19</v>
      </c>
      <c r="C1698" s="41">
        <v>46096</v>
      </c>
      <c r="D1698" s="48" t="str">
        <f>_xlfn.XLOOKUP(Table134526_79101120212223242526[[#This Row],[Name Surname]],Manpower!$C$4:$C$1048576,Manpower!$B$4:$B$1048576,"")</f>
        <v>Encogroup</v>
      </c>
      <c r="E1698" s="43" t="s">
        <v>32</v>
      </c>
      <c r="F1698" s="12">
        <f>_xlfn.XLOOKUP(Table134526_79101120212223242526[[#This Row],[Name Surname]],Manpower!C:C,Manpower!D:D,)</f>
        <v>140697039</v>
      </c>
      <c r="G1698" s="48" t="str">
        <f>_xlfn.XLOOKUP(Table134526_79101120212223242526[[#This Row],[Name Surname]],Manpower!$C$4:$C$1048576,Manpower!$F$4:$F$1048576,"")</f>
        <v>Fitter/Erector</v>
      </c>
      <c r="H1698" s="48" t="str">
        <f>_xlfn.XLOOKUP(Table134526_79101120212223242526[[#This Row],[Name Surname]],Manpower!$C$4:$C$1048576,Manpower!$H$4:$H$1048576,"")</f>
        <v>Manpower</v>
      </c>
      <c r="I1698" s="48" t="str">
        <f>_xlfn.XLOOKUP(Table134526_79101120212223242526[[#This Row],[Name Surname]],Manpower!$C$4:$C$1048576,Manpower!$H$4:$H$1048576,"")</f>
        <v>Manpower</v>
      </c>
      <c r="J1698" s="43" t="s">
        <v>21</v>
      </c>
      <c r="K1698" s="43" t="s">
        <v>231</v>
      </c>
      <c r="L1698" s="43" t="s">
        <v>49</v>
      </c>
      <c r="M1698" s="43" t="s">
        <v>24</v>
      </c>
      <c r="N1698" s="44">
        <v>10</v>
      </c>
      <c r="O1698" s="43" t="s">
        <v>25</v>
      </c>
      <c r="P1698" s="43" t="s">
        <v>41</v>
      </c>
      <c r="Q1698" s="43" t="s">
        <v>60</v>
      </c>
      <c r="R1698" s="43" t="s">
        <v>309</v>
      </c>
      <c r="S1698" s="43"/>
    </row>
    <row r="1699" spans="1:19" s="45" customFormat="1" ht="14.4" hidden="1">
      <c r="A1699" s="25">
        <f>IF(C1699="","",MAX($A$1:A1698)+1)</f>
        <v>1607</v>
      </c>
      <c r="B1699" s="25" t="s">
        <v>19</v>
      </c>
      <c r="C1699" s="41">
        <v>46096</v>
      </c>
      <c r="D1699" s="48" t="str">
        <f>_xlfn.XLOOKUP(Table134526_79101120212223242526[[#This Row],[Name Surname]],Manpower!$C$4:$C$1048576,Manpower!$B$4:$B$1048576,"")</f>
        <v>AL Omar International TRAD AND CONT</v>
      </c>
      <c r="E1699" s="43" t="s">
        <v>36</v>
      </c>
      <c r="F1699" s="12">
        <f>_xlfn.XLOOKUP(Table134526_79101120212223242526[[#This Row],[Name Surname]],Manpower!C:C,Manpower!D:D,)</f>
        <v>114929202</v>
      </c>
      <c r="G1699" s="48" t="str">
        <f>_xlfn.XLOOKUP(Table134526_79101120212223242526[[#This Row],[Name Surname]],Manpower!$C$4:$C$1048576,Manpower!$F$4:$F$1048576,"")</f>
        <v>RIgger</v>
      </c>
      <c r="H1699" s="48" t="str">
        <f>_xlfn.XLOOKUP(Table134526_79101120212223242526[[#This Row],[Name Surname]],Manpower!$C$4:$C$1048576,Manpower!$H$4:$H$1048576,"")</f>
        <v>Sub Contactor</v>
      </c>
      <c r="I1699" s="48" t="str">
        <f>_xlfn.XLOOKUP(Table134526_79101120212223242526[[#This Row],[Name Surname]],Manpower!$C$4:$C$1048576,Manpower!$H$4:$H$1048576,"")</f>
        <v>Sub Contactor</v>
      </c>
      <c r="J1699" s="43" t="s">
        <v>21</v>
      </c>
      <c r="K1699" s="43" t="s">
        <v>231</v>
      </c>
      <c r="L1699" s="43" t="s">
        <v>49</v>
      </c>
      <c r="M1699" s="43" t="s">
        <v>24</v>
      </c>
      <c r="N1699" s="44">
        <v>8</v>
      </c>
      <c r="O1699" s="43" t="s">
        <v>25</v>
      </c>
      <c r="P1699" s="43" t="s">
        <v>41</v>
      </c>
      <c r="Q1699" s="43" t="s">
        <v>60</v>
      </c>
      <c r="R1699" s="43" t="s">
        <v>309</v>
      </c>
      <c r="S1699" s="43"/>
    </row>
    <row r="1700" spans="1:19" s="45" customFormat="1" ht="14.4" hidden="1">
      <c r="A1700" s="25">
        <f>IF(C1700="","",MAX($A$1:A1699)+1)</f>
        <v>1608</v>
      </c>
      <c r="B1700" s="25" t="s">
        <v>19</v>
      </c>
      <c r="C1700" s="41">
        <v>46096</v>
      </c>
      <c r="D1700" s="48" t="str">
        <f>_xlfn.XLOOKUP(Table134526_79101120212223242526[[#This Row],[Name Surname]],Manpower!$C$4:$C$1048576,Manpower!$B$4:$B$1048576,"")</f>
        <v>SARENS NASS</v>
      </c>
      <c r="E1700" s="43" t="s">
        <v>214</v>
      </c>
      <c r="F1700" s="12">
        <f>_xlfn.XLOOKUP(Table134526_79101120212223242526[[#This Row],[Name Surname]],Manpower!C:C,Manpower!D:D,)</f>
        <v>109957631</v>
      </c>
      <c r="G1700" s="48" t="str">
        <f>_xlfn.XLOOKUP(Table134526_79101120212223242526[[#This Row],[Name Surname]],Manpower!$C$4:$C$1048576,Manpower!$F$4:$F$1048576,"")</f>
        <v>Crane Operator-130T Liebherr Crawler</v>
      </c>
      <c r="H1700" s="48" t="str">
        <f>_xlfn.XLOOKUP(Table134526_79101120212223242526[[#This Row],[Name Surname]],Manpower!$C$4:$C$1048576,Manpower!$H$4:$H$1048576,"")</f>
        <v>Manpower</v>
      </c>
      <c r="I1700" s="48" t="str">
        <f>_xlfn.XLOOKUP(Table134526_79101120212223242526[[#This Row],[Name Surname]],Manpower!$C$4:$C$1048576,Manpower!$H$4:$H$1048576,"")</f>
        <v>Manpower</v>
      </c>
      <c r="J1700" s="43" t="s">
        <v>21</v>
      </c>
      <c r="K1700" s="43" t="s">
        <v>231</v>
      </c>
      <c r="L1700" s="43" t="s">
        <v>49</v>
      </c>
      <c r="M1700" s="43" t="s">
        <v>24</v>
      </c>
      <c r="N1700" s="44">
        <v>5</v>
      </c>
      <c r="O1700" s="43" t="s">
        <v>40</v>
      </c>
      <c r="P1700" s="43" t="s">
        <v>41</v>
      </c>
      <c r="Q1700" s="43" t="s">
        <v>42</v>
      </c>
      <c r="R1700" s="43" t="s">
        <v>309</v>
      </c>
      <c r="S1700" s="43"/>
    </row>
    <row r="1701" spans="1:19" s="45" customFormat="1" ht="14.4" hidden="1">
      <c r="A1701" s="25">
        <f>IF(C1701="","",MAX($A$1:A1700)+1)</f>
        <v>1609</v>
      </c>
      <c r="B1701" s="25" t="s">
        <v>19</v>
      </c>
      <c r="C1701" s="41">
        <v>46096</v>
      </c>
      <c r="D1701" s="48" t="str">
        <f>_xlfn.XLOOKUP(Table134526_79101120212223242526[[#This Row],[Name Surname]],Manpower!$C$4:$C$1048576,Manpower!$B$4:$B$1048576,"")</f>
        <v>Encogroup</v>
      </c>
      <c r="E1701" s="43" t="s">
        <v>34</v>
      </c>
      <c r="F1701" s="12">
        <f>_xlfn.XLOOKUP(Table134526_79101120212223242526[[#This Row],[Name Surname]],Manpower!C:C,Manpower!D:D,)</f>
        <v>141365023</v>
      </c>
      <c r="G1701" s="48" t="str">
        <f>_xlfn.XLOOKUP(Table134526_79101120212223242526[[#This Row],[Name Surname]],Manpower!$C$4:$C$1048576,Manpower!$F$4:$F$1048576,"")</f>
        <v>Grinder</v>
      </c>
      <c r="H1701" s="48" t="str">
        <f>_xlfn.XLOOKUP(Table134526_79101120212223242526[[#This Row],[Name Surname]],Manpower!$C$4:$C$1048576,Manpower!$H$4:$H$1048576,"")</f>
        <v>Manpower</v>
      </c>
      <c r="I1701" s="48" t="str">
        <f>_xlfn.XLOOKUP(Table134526_79101120212223242526[[#This Row],[Name Surname]],Manpower!$C$4:$C$1048576,Manpower!$H$4:$H$1048576,"")</f>
        <v>Manpower</v>
      </c>
      <c r="J1701" s="43" t="s">
        <v>21</v>
      </c>
      <c r="K1701" s="43" t="s">
        <v>231</v>
      </c>
      <c r="L1701" s="43" t="s">
        <v>49</v>
      </c>
      <c r="M1701" s="43" t="s">
        <v>24</v>
      </c>
      <c r="N1701" s="44">
        <v>10</v>
      </c>
      <c r="O1701" s="43" t="s">
        <v>25</v>
      </c>
      <c r="P1701" s="43" t="s">
        <v>41</v>
      </c>
      <c r="Q1701" s="43" t="s">
        <v>60</v>
      </c>
      <c r="R1701" s="43" t="s">
        <v>309</v>
      </c>
      <c r="S1701" s="43"/>
    </row>
    <row r="1702" spans="1:19" s="45" customFormat="1" ht="14.4" hidden="1">
      <c r="A1702" s="25">
        <f>IF(C1702="","",MAX($A$1:A1699)+1)</f>
        <v>1608</v>
      </c>
      <c r="B1702" s="25" t="s">
        <v>19</v>
      </c>
      <c r="C1702" s="41">
        <v>46096</v>
      </c>
      <c r="D1702" s="48" t="str">
        <f>_xlfn.XLOOKUP(Table134526_79101120212223242526[[#This Row],[Name Surname]],Manpower!$C$4:$C$1048576,Manpower!$B$4:$B$1048576,"")</f>
        <v>SARENS NASS</v>
      </c>
      <c r="E1702" s="43" t="s">
        <v>162</v>
      </c>
      <c r="F1702" s="12">
        <f>_xlfn.XLOOKUP(Table134526_79101120212223242526[[#This Row],[Name Surname]],Manpower!C:C,Manpower!D:D,)</f>
        <v>78753612</v>
      </c>
      <c r="G1702" s="48" t="str">
        <f>_xlfn.XLOOKUP(Table134526_79101120212223242526[[#This Row],[Name Surname]],Manpower!$C$4:$C$1048576,Manpower!$F$4:$F$1048576,"")</f>
        <v>Crane Operator- 70T Liebherr Telescopic Crane-02</v>
      </c>
      <c r="H1702" s="48" t="str">
        <f>_xlfn.XLOOKUP(Table134526_79101120212223242526[[#This Row],[Name Surname]],Manpower!$C$4:$C$1048576,Manpower!$H$4:$H$1048576,"")</f>
        <v>Manpower</v>
      </c>
      <c r="I1702" s="48" t="str">
        <f>_xlfn.XLOOKUP(Table134526_79101120212223242526[[#This Row],[Name Surname]],Manpower!$C$4:$C$1048576,Manpower!$H$4:$H$1048576,"")</f>
        <v>Manpower</v>
      </c>
      <c r="J1702" s="43" t="s">
        <v>21</v>
      </c>
      <c r="K1702" s="43" t="s">
        <v>231</v>
      </c>
      <c r="L1702" s="43" t="s">
        <v>49</v>
      </c>
      <c r="M1702" s="43" t="s">
        <v>24</v>
      </c>
      <c r="N1702" s="44">
        <v>10</v>
      </c>
      <c r="O1702" s="43" t="s">
        <v>40</v>
      </c>
      <c r="P1702" s="43" t="s">
        <v>41</v>
      </c>
      <c r="Q1702" s="43" t="s">
        <v>42</v>
      </c>
      <c r="R1702" s="43" t="s">
        <v>309</v>
      </c>
      <c r="S1702" s="43"/>
    </row>
    <row r="1703" spans="1:19" s="45" customFormat="1" ht="14.4" hidden="1">
      <c r="A1703" s="25">
        <f>IF(C1703="","",MAX($A$1:A1702)+1)</f>
        <v>1610</v>
      </c>
      <c r="B1703" s="25" t="s">
        <v>19</v>
      </c>
      <c r="C1703" s="41">
        <v>46096</v>
      </c>
      <c r="D1703" s="48" t="str">
        <f>_xlfn.XLOOKUP(Table134526_79101120212223242526[[#This Row],[Name Surname]],Manpower!$C$4:$C$1048576,Manpower!$B$4:$B$1048576,"")</f>
        <v>Encogroup</v>
      </c>
      <c r="E1703" s="43" t="s">
        <v>111</v>
      </c>
      <c r="F1703" s="12">
        <f>_xlfn.XLOOKUP(Table134526_79101120212223242526[[#This Row],[Name Surname]],Manpower!C:C,Manpower!D:D,)</f>
        <v>120653364</v>
      </c>
      <c r="G1703" s="48" t="str">
        <f>_xlfn.XLOOKUP(Table134526_79101120212223242526[[#This Row],[Name Surname]],Manpower!$C$4:$C$1048576,Manpower!$F$4:$F$1048576,"")</f>
        <v>Surveyor</v>
      </c>
      <c r="H1703" s="48" t="str">
        <f>_xlfn.XLOOKUP(Table134526_79101120212223242526[[#This Row],[Name Surname]],Manpower!$C$4:$C$1048576,Manpower!$H$4:$H$1048576,"")</f>
        <v>Manpower</v>
      </c>
      <c r="I1703" s="48" t="str">
        <f>_xlfn.XLOOKUP(Table134526_79101120212223242526[[#This Row],[Name Surname]],Manpower!$C$4:$C$1048576,Manpower!$H$4:$H$1048576,"")</f>
        <v>Manpower</v>
      </c>
      <c r="J1703" s="43" t="s">
        <v>21</v>
      </c>
      <c r="K1703" s="43" t="s">
        <v>231</v>
      </c>
      <c r="L1703" s="43" t="s">
        <v>49</v>
      </c>
      <c r="M1703" s="43" t="s">
        <v>24</v>
      </c>
      <c r="N1703" s="44">
        <v>8</v>
      </c>
      <c r="O1703" s="43" t="s">
        <v>89</v>
      </c>
      <c r="P1703" s="43" t="s">
        <v>89</v>
      </c>
      <c r="Q1703" s="43" t="s">
        <v>60</v>
      </c>
      <c r="R1703" s="43" t="s">
        <v>309</v>
      </c>
      <c r="S1703" s="43"/>
    </row>
    <row r="1704" spans="1:19" s="45" customFormat="1" ht="14.4" hidden="1">
      <c r="A1704" s="25">
        <f>IF(C1704="","",MAX($A$1:A1703)+1)</f>
        <v>1611</v>
      </c>
      <c r="B1704" s="25" t="s">
        <v>19</v>
      </c>
      <c r="C1704" s="41">
        <v>46096</v>
      </c>
      <c r="D1704" s="48" t="str">
        <f>_xlfn.XLOOKUP(Table134526_79101120212223242526[[#This Row],[Name Surname]],Manpower!$C$4:$C$1048576,Manpower!$B$4:$B$1048576,"")</f>
        <v>Bright Light</v>
      </c>
      <c r="E1704" s="43" t="s">
        <v>165</v>
      </c>
      <c r="F1704" s="12">
        <f>_xlfn.XLOOKUP(Table134526_79101120212223242526[[#This Row],[Name Surname]],Manpower!C:C,Manpower!D:D,)</f>
        <v>122771611</v>
      </c>
      <c r="G1704" s="48" t="str">
        <f>_xlfn.XLOOKUP(Table134526_79101120212223242526[[#This Row],[Name Surname]],Manpower!$C$4:$C$1048576,Manpower!$F$4:$F$1048576,"")</f>
        <v>Mechanic</v>
      </c>
      <c r="H1704" s="48" t="str">
        <f>_xlfn.XLOOKUP(Table134526_79101120212223242526[[#This Row],[Name Surname]],Manpower!$C$4:$C$1048576,Manpower!$H$4:$H$1048576,"")</f>
        <v>Sub Contactor</v>
      </c>
      <c r="I1704" s="48" t="str">
        <f>_xlfn.XLOOKUP(Table134526_79101120212223242526[[#This Row],[Name Surname]],Manpower!$C$4:$C$1048576,Manpower!$H$4:$H$1048576,"")</f>
        <v>Sub Contactor</v>
      </c>
      <c r="J1704" s="43" t="s">
        <v>21</v>
      </c>
      <c r="K1704" s="43" t="s">
        <v>231</v>
      </c>
      <c r="L1704" s="43" t="s">
        <v>49</v>
      </c>
      <c r="M1704" s="43" t="s">
        <v>24</v>
      </c>
      <c r="N1704" s="44">
        <v>8</v>
      </c>
      <c r="O1704" s="43" t="s">
        <v>40</v>
      </c>
      <c r="P1704" s="43" t="s">
        <v>41</v>
      </c>
      <c r="Q1704" s="43" t="s">
        <v>42</v>
      </c>
      <c r="R1704" s="43" t="s">
        <v>309</v>
      </c>
      <c r="S1704" s="43"/>
    </row>
    <row r="1705" spans="1:19" s="45" customFormat="1" ht="14.4" hidden="1">
      <c r="A1705" s="25">
        <f>IF(C1705="","",MAX($A$1:A1704)+1)</f>
        <v>1612</v>
      </c>
      <c r="B1705" s="25" t="s">
        <v>19</v>
      </c>
      <c r="C1705" s="41">
        <v>46096</v>
      </c>
      <c r="D1705" s="48" t="str">
        <f>_xlfn.XLOOKUP(Table134526_79101120212223242526[[#This Row],[Name Surname]],Manpower!$C$4:$C$1048576,Manpower!$B$4:$B$1048576,"")</f>
        <v>Al Jaber Heavy Lift</v>
      </c>
      <c r="E1705" s="43" t="s">
        <v>276</v>
      </c>
      <c r="F1705" s="12" t="str">
        <f>_xlfn.XLOOKUP(Table134526_79101120212223242526[[#This Row],[Name Surname]],Manpower!C:C,Manpower!D:D,)</f>
        <v>102607563</v>
      </c>
      <c r="G1705" s="48" t="str">
        <f>_xlfn.XLOOKUP(Table134526_79101120212223242526[[#This Row],[Name Surname]],Manpower!$C$4:$C$1048576,Manpower!$F$4:$F$1048576,"")</f>
        <v>Technician</v>
      </c>
      <c r="H1705" s="48" t="str">
        <f>_xlfn.XLOOKUP(Table134526_79101120212223242526[[#This Row],[Name Surname]],Manpower!$C$4:$C$1048576,Manpower!$H$4:$H$1048576,"")</f>
        <v>Manpower</v>
      </c>
      <c r="I1705" s="48" t="str">
        <f>_xlfn.XLOOKUP(Table134526_79101120212223242526[[#This Row],[Name Surname]],Manpower!$C$4:$C$1048576,Manpower!$H$4:$H$1048576,"")</f>
        <v>Manpower</v>
      </c>
      <c r="J1705" s="43" t="s">
        <v>21</v>
      </c>
      <c r="K1705" s="43" t="s">
        <v>231</v>
      </c>
      <c r="L1705" s="43" t="s">
        <v>49</v>
      </c>
      <c r="M1705" s="43" t="s">
        <v>24</v>
      </c>
      <c r="N1705" s="44">
        <v>8</v>
      </c>
      <c r="O1705" s="43" t="s">
        <v>40</v>
      </c>
      <c r="P1705" s="43" t="s">
        <v>41</v>
      </c>
      <c r="Q1705" s="43" t="s">
        <v>42</v>
      </c>
      <c r="R1705" s="43" t="s">
        <v>309</v>
      </c>
      <c r="S1705" s="43"/>
    </row>
    <row r="1706" spans="1:19" s="45" customFormat="1" ht="14.4" hidden="1">
      <c r="A1706" s="25"/>
      <c r="B1706" s="25" t="s">
        <v>19</v>
      </c>
      <c r="C1706" s="41">
        <v>46096</v>
      </c>
      <c r="D1706" s="48" t="str">
        <f>_xlfn.XLOOKUP(Table134526_79101120212223242526[[#This Row],[Name Surname]],Manpower!$C$4:$C$1048576,Manpower!$B$4:$B$1048576,"")</f>
        <v>Al Jaber Heavy Lift</v>
      </c>
      <c r="E1706" s="43" t="s">
        <v>310</v>
      </c>
      <c r="F1706" s="12">
        <f>_xlfn.XLOOKUP(Table134526_79101120212223242526[[#This Row],[Name Surname]],Manpower!C:C,Manpower!D:D,)</f>
        <v>113787454</v>
      </c>
      <c r="G1706" s="48" t="str">
        <f>_xlfn.XLOOKUP(Table134526_79101120212223242526[[#This Row],[Name Surname]],Manpower!$C$4:$C$1048576,Manpower!$F$4:$F$1048576,"")</f>
        <v>Crane Operator- 70T Crawler Crane- 02</v>
      </c>
      <c r="H1706" s="48" t="str">
        <f>_xlfn.XLOOKUP(Table134526_79101120212223242526[[#This Row],[Name Surname]],Manpower!$C$4:$C$1048576,Manpower!$H$4:$H$1048576,"")</f>
        <v>Manpower</v>
      </c>
      <c r="I1706" s="48" t="str">
        <f>_xlfn.XLOOKUP(Table134526_79101120212223242526[[#This Row],[Name Surname]],Manpower!$C$4:$C$1048576,Manpower!$H$4:$H$1048576,"")</f>
        <v>Manpower</v>
      </c>
      <c r="J1706" s="43" t="s">
        <v>21</v>
      </c>
      <c r="K1706" s="43" t="s">
        <v>231</v>
      </c>
      <c r="L1706" s="43" t="s">
        <v>49</v>
      </c>
      <c r="M1706" s="43" t="s">
        <v>24</v>
      </c>
      <c r="N1706" s="44">
        <v>8</v>
      </c>
      <c r="O1706" s="43" t="s">
        <v>40</v>
      </c>
      <c r="P1706" s="43" t="s">
        <v>41</v>
      </c>
      <c r="Q1706" s="43" t="s">
        <v>42</v>
      </c>
      <c r="R1706" s="43" t="s">
        <v>309</v>
      </c>
      <c r="S1706" s="43"/>
    </row>
    <row r="1707" spans="1:19" s="45" customFormat="1" ht="14.4" hidden="1">
      <c r="A1707" s="25">
        <f>IF(C1707="","",MAX($A$1:A1704)+1)</f>
        <v>1612</v>
      </c>
      <c r="B1707" s="25" t="s">
        <v>19</v>
      </c>
      <c r="C1707" s="41">
        <v>46096</v>
      </c>
      <c r="D1707" s="48" t="str">
        <f>_xlfn.XLOOKUP(Table134526_79101120212223242526[[#This Row],[Name Surname]],Manpower!$C$4:$C$1048576,Manpower!$B$4:$B$1048576,"")</f>
        <v>Bright Light</v>
      </c>
      <c r="E1707" s="43" t="s">
        <v>263</v>
      </c>
      <c r="F1707" s="12">
        <f>_xlfn.XLOOKUP(Table134526_79101120212223242526[[#This Row],[Name Surname]],Manpower!C:C,Manpower!D:D,)</f>
        <v>125287583</v>
      </c>
      <c r="G1707" s="48" t="str">
        <f>_xlfn.XLOOKUP(Table134526_79101120212223242526[[#This Row],[Name Surname]],Manpower!$C$4:$C$1048576,Manpower!$F$4:$F$1048576,"")</f>
        <v>Mechanic</v>
      </c>
      <c r="H1707" s="48" t="str">
        <f>_xlfn.XLOOKUP(Table134526_79101120212223242526[[#This Row],[Name Surname]],Manpower!$C$4:$C$1048576,Manpower!$H$4:$H$1048576,"")</f>
        <v>Sub Contactor</v>
      </c>
      <c r="I1707" s="48" t="str">
        <f>_xlfn.XLOOKUP(Table134526_79101120212223242526[[#This Row],[Name Surname]],Manpower!$C$4:$C$1048576,Manpower!$H$4:$H$1048576,"")</f>
        <v>Sub Contactor</v>
      </c>
      <c r="J1707" s="43" t="s">
        <v>21</v>
      </c>
      <c r="K1707" s="43" t="s">
        <v>231</v>
      </c>
      <c r="L1707" s="43" t="s">
        <v>49</v>
      </c>
      <c r="M1707" s="43" t="s">
        <v>24</v>
      </c>
      <c r="N1707" s="44">
        <v>8</v>
      </c>
      <c r="O1707" s="43" t="s">
        <v>40</v>
      </c>
      <c r="P1707" s="43" t="s">
        <v>41</v>
      </c>
      <c r="Q1707" s="43" t="s">
        <v>42</v>
      </c>
      <c r="R1707" s="43" t="s">
        <v>309</v>
      </c>
      <c r="S1707" s="43"/>
    </row>
    <row r="1708" spans="1:19" s="45" customFormat="1" ht="14.4" hidden="1">
      <c r="A1708" s="25">
        <f>IF(C1708="","",MAX($A$1:A1707)+1)</f>
        <v>1613</v>
      </c>
      <c r="B1708" s="25" t="s">
        <v>19</v>
      </c>
      <c r="C1708" s="41">
        <v>46096</v>
      </c>
      <c r="D1708" s="48" t="str">
        <f>_xlfn.XLOOKUP(Table134526_79101120212223242526[[#This Row],[Name Surname]],Manpower!$C$4:$C$1048576,Manpower!$B$4:$B$1048576,"")</f>
        <v>Al Jaber Heavy Lift</v>
      </c>
      <c r="E1708" s="43" t="s">
        <v>275</v>
      </c>
      <c r="F1708" s="12">
        <f>_xlfn.XLOOKUP(Table134526_79101120212223242526[[#This Row],[Name Surname]],Manpower!C:C,Manpower!D:D,)</f>
        <v>116448869</v>
      </c>
      <c r="G1708" s="48" t="str">
        <f>_xlfn.XLOOKUP(Table134526_79101120212223242526[[#This Row],[Name Surname]],Manpower!$C$4:$C$1048576,Manpower!$F$4:$F$1048576,"")</f>
        <v xml:space="preserve">Crane Operator </v>
      </c>
      <c r="H1708" s="48" t="str">
        <f>_xlfn.XLOOKUP(Table134526_79101120212223242526[[#This Row],[Name Surname]],Manpower!$C$4:$C$1048576,Manpower!$H$4:$H$1048576,"")</f>
        <v>Manpower</v>
      </c>
      <c r="I1708" s="48" t="str">
        <f>_xlfn.XLOOKUP(Table134526_79101120212223242526[[#This Row],[Name Surname]],Manpower!$C$4:$C$1048576,Manpower!$H$4:$H$1048576,"")</f>
        <v>Manpower</v>
      </c>
      <c r="J1708" s="43" t="s">
        <v>21</v>
      </c>
      <c r="K1708" s="43" t="s">
        <v>231</v>
      </c>
      <c r="L1708" s="43" t="s">
        <v>49</v>
      </c>
      <c r="M1708" s="43" t="s">
        <v>24</v>
      </c>
      <c r="N1708" s="44">
        <v>8</v>
      </c>
      <c r="O1708" s="43" t="s">
        <v>40</v>
      </c>
      <c r="P1708" s="43" t="s">
        <v>41</v>
      </c>
      <c r="Q1708" s="43" t="s">
        <v>42</v>
      </c>
      <c r="R1708" s="43" t="s">
        <v>309</v>
      </c>
      <c r="S1708" s="43"/>
    </row>
    <row r="1709" spans="1:19" s="45" customFormat="1" ht="14.4" hidden="1">
      <c r="A1709" s="25">
        <f>IF(C1709="","",MAX($A$1:A1707)+1)</f>
        <v>1613</v>
      </c>
      <c r="B1709" s="25" t="s">
        <v>19</v>
      </c>
      <c r="C1709" s="41">
        <v>46096</v>
      </c>
      <c r="D1709" s="48" t="str">
        <f>_xlfn.XLOOKUP(Table134526_79101120212223242526[[#This Row],[Name Surname]],Manpower!$C$4:$C$1048576,Manpower!$B$4:$B$1048576,"")</f>
        <v>Al Jaber Heavy Lift</v>
      </c>
      <c r="E1709" s="43" t="s">
        <v>311</v>
      </c>
      <c r="F1709" s="12" t="e">
        <f>_xlfn.XLOOKUP(Table134526_79101120212223242526[[#This Row],[Name Surname]],Manpower!C:C,Manpower!D:D,)</f>
        <v>#N/A</v>
      </c>
      <c r="G1709" s="48" t="str">
        <f>_xlfn.XLOOKUP(Table134526_79101120212223242526[[#This Row],[Name Surname]],Manpower!$C$4:$C$1048576,Manpower!$F$4:$F$1048576,"")</f>
        <v>Technician</v>
      </c>
      <c r="H1709" s="48" t="str">
        <f>_xlfn.XLOOKUP(Table134526_79101120212223242526[[#This Row],[Name Surname]],Manpower!$C$4:$C$1048576,Manpower!$H$4:$H$1048576,"")</f>
        <v>Manpower</v>
      </c>
      <c r="I1709" s="48" t="str">
        <f>_xlfn.XLOOKUP(Table134526_79101120212223242526[[#This Row],[Name Surname]],Manpower!$C$4:$C$1048576,Manpower!$H$4:$H$1048576,"")</f>
        <v>Manpower</v>
      </c>
      <c r="J1709" s="43" t="s">
        <v>21</v>
      </c>
      <c r="K1709" s="43" t="s">
        <v>231</v>
      </c>
      <c r="L1709" s="43" t="s">
        <v>49</v>
      </c>
      <c r="M1709" s="43" t="s">
        <v>24</v>
      </c>
      <c r="N1709" s="44">
        <v>8</v>
      </c>
      <c r="O1709" s="43" t="s">
        <v>40</v>
      </c>
      <c r="P1709" s="43" t="s">
        <v>41</v>
      </c>
      <c r="Q1709" s="43" t="s">
        <v>42</v>
      </c>
      <c r="R1709" s="43" t="s">
        <v>309</v>
      </c>
      <c r="S1709" s="43"/>
    </row>
    <row r="1710" spans="1:19" s="45" customFormat="1" ht="14.4" hidden="1">
      <c r="A1710" s="25">
        <f>IF(C1710="","",MAX($A$1:A1702)+1)</f>
        <v>1610</v>
      </c>
      <c r="B1710" s="25" t="s">
        <v>19</v>
      </c>
      <c r="C1710" s="41">
        <v>46096</v>
      </c>
      <c r="D1710" s="48" t="str">
        <f>_xlfn.XLOOKUP(Table134526_79101120212223242526[[#This Row],[Name Surname]],Manpower!$C$4:$C$1048576,Manpower!$B$4:$B$1048576,"")</f>
        <v>Al Jaber Heavy Lift</v>
      </c>
      <c r="E1710" s="43" t="s">
        <v>164</v>
      </c>
      <c r="F1710" s="12">
        <f>_xlfn.XLOOKUP(Table134526_79101120212223242526[[#This Row],[Name Surname]],Manpower!C:C,Manpower!D:D,)</f>
        <v>112778626</v>
      </c>
      <c r="G1710" s="48" t="str">
        <f>_xlfn.XLOOKUP(Table134526_79101120212223242526[[#This Row],[Name Surname]],Manpower!$C$4:$C$1048576,Manpower!$F$4:$F$1048576,"")</f>
        <v>Crane Operator-150T Hitachi Crawler</v>
      </c>
      <c r="H1710" s="48" t="str">
        <f>_xlfn.XLOOKUP(Table134526_79101120212223242526[[#This Row],[Name Surname]],Manpower!$C$4:$C$1048576,Manpower!$H$4:$H$1048576,"")</f>
        <v>Manpower</v>
      </c>
      <c r="I1710" s="48" t="str">
        <f>_xlfn.XLOOKUP(Table134526_79101120212223242526[[#This Row],[Name Surname]],Manpower!$C$4:$C$1048576,Manpower!$H$4:$H$1048576,"")</f>
        <v>Manpower</v>
      </c>
      <c r="J1710" s="43" t="s">
        <v>21</v>
      </c>
      <c r="K1710" s="43" t="s">
        <v>231</v>
      </c>
      <c r="L1710" s="43" t="s">
        <v>49</v>
      </c>
      <c r="M1710" s="43" t="s">
        <v>24</v>
      </c>
      <c r="N1710" s="44">
        <v>8</v>
      </c>
      <c r="O1710" s="43" t="s">
        <v>40</v>
      </c>
      <c r="P1710" s="43" t="s">
        <v>41</v>
      </c>
      <c r="Q1710" s="43" t="s">
        <v>42</v>
      </c>
      <c r="R1710" s="43" t="s">
        <v>294</v>
      </c>
      <c r="S1710" s="43"/>
    </row>
    <row r="1711" spans="1:19" s="45" customFormat="1" ht="14.4" hidden="1">
      <c r="A1711" s="25">
        <f>IF(C1711="","",MAX($A$1:A1710)+1)</f>
        <v>1614</v>
      </c>
      <c r="B1711" s="25" t="s">
        <v>19</v>
      </c>
      <c r="C1711" s="41">
        <v>46096</v>
      </c>
      <c r="D1711" s="48" t="str">
        <f>_xlfn.XLOOKUP(Table134526_79101120212223242526[[#This Row],[Name Surname]],Manpower!$C$4:$C$1048576,Manpower!$B$4:$B$1048576,"")</f>
        <v>Encogroup</v>
      </c>
      <c r="E1711" s="43" t="s">
        <v>37</v>
      </c>
      <c r="F1711" s="12">
        <f>_xlfn.XLOOKUP(Table134526_79101120212223242526[[#This Row],[Name Surname]],Manpower!C:C,Manpower!D:D,)</f>
        <v>140742088</v>
      </c>
      <c r="G1711" s="48" t="str">
        <f>_xlfn.XLOOKUP(Table134526_79101120212223242526[[#This Row],[Name Surname]],Manpower!$C$4:$C$1048576,Manpower!$F$4:$F$1048576,"")</f>
        <v>Fitter/Erector</v>
      </c>
      <c r="H1711" s="48" t="str">
        <f>_xlfn.XLOOKUP(Table134526_79101120212223242526[[#This Row],[Name Surname]],Manpower!$C$4:$C$1048576,Manpower!$H$4:$H$1048576,"")</f>
        <v>Manpower</v>
      </c>
      <c r="I1711" s="48" t="str">
        <f>_xlfn.XLOOKUP(Table134526_79101120212223242526[[#This Row],[Name Surname]],Manpower!$C$4:$C$1048576,Manpower!$H$4:$H$1048576,"")</f>
        <v>Manpower</v>
      </c>
      <c r="J1711" s="43" t="s">
        <v>21</v>
      </c>
      <c r="K1711" s="43" t="s">
        <v>231</v>
      </c>
      <c r="L1711" s="43" t="s">
        <v>49</v>
      </c>
      <c r="M1711" s="43" t="s">
        <v>24</v>
      </c>
      <c r="N1711" s="44">
        <v>10</v>
      </c>
      <c r="O1711" s="43" t="s">
        <v>25</v>
      </c>
      <c r="P1711" s="43" t="s">
        <v>41</v>
      </c>
      <c r="Q1711" s="43" t="s">
        <v>60</v>
      </c>
      <c r="R1711" s="43" t="s">
        <v>309</v>
      </c>
      <c r="S1711" s="43"/>
    </row>
    <row r="1712" spans="1:19" s="45" customFormat="1" ht="14.4" hidden="1">
      <c r="A1712" s="25">
        <f>IF(C1712="","",MAX($A$1:A1711)+1)</f>
        <v>1615</v>
      </c>
      <c r="B1712" s="25" t="s">
        <v>19</v>
      </c>
      <c r="C1712" s="41">
        <v>46096</v>
      </c>
      <c r="D1712" s="48" t="str">
        <f>_xlfn.XLOOKUP(Table134526_79101120212223242526[[#This Row],[Name Surname]],Manpower!$C$4:$C$1048576,Manpower!$B$4:$B$1048576,"")</f>
        <v>Encogroup</v>
      </c>
      <c r="E1712" s="43" t="s">
        <v>44</v>
      </c>
      <c r="F1712" s="12">
        <f>_xlfn.XLOOKUP(Table134526_79101120212223242526[[#This Row],[Name Surname]],Manpower!C:C,Manpower!D:D,)</f>
        <v>140806218</v>
      </c>
      <c r="G1712" s="48" t="str">
        <f>_xlfn.XLOOKUP(Table134526_79101120212223242526[[#This Row],[Name Surname]],Manpower!$C$4:$C$1048576,Manpower!$F$4:$F$1048576,"")</f>
        <v>Fitter/Erector</v>
      </c>
      <c r="H1712" s="48" t="str">
        <f>_xlfn.XLOOKUP(Table134526_79101120212223242526[[#This Row],[Name Surname]],Manpower!$C$4:$C$1048576,Manpower!$H$4:$H$1048576,"")</f>
        <v>Manpower</v>
      </c>
      <c r="I1712" s="48" t="str">
        <f>_xlfn.XLOOKUP(Table134526_79101120212223242526[[#This Row],[Name Surname]],Manpower!$C$4:$C$1048576,Manpower!$H$4:$H$1048576,"")</f>
        <v>Manpower</v>
      </c>
      <c r="J1712" s="43" t="s">
        <v>21</v>
      </c>
      <c r="K1712" s="43" t="s">
        <v>231</v>
      </c>
      <c r="L1712" s="43" t="s">
        <v>49</v>
      </c>
      <c r="M1712" s="43" t="s">
        <v>24</v>
      </c>
      <c r="N1712" s="44">
        <v>10</v>
      </c>
      <c r="O1712" s="43" t="s">
        <v>25</v>
      </c>
      <c r="P1712" s="43" t="s">
        <v>41</v>
      </c>
      <c r="Q1712" s="43" t="s">
        <v>60</v>
      </c>
      <c r="R1712" s="43" t="s">
        <v>309</v>
      </c>
      <c r="S1712" s="43" t="s">
        <v>274</v>
      </c>
    </row>
    <row r="1713" spans="1:19" s="45" customFormat="1" ht="14.4" hidden="1">
      <c r="A1713" s="25">
        <f>IF(C1713="","",MAX($A$1:A1712)+1)</f>
        <v>1616</v>
      </c>
      <c r="B1713" s="25" t="s">
        <v>19</v>
      </c>
      <c r="C1713" s="41">
        <v>46096</v>
      </c>
      <c r="D1713" s="48" t="str">
        <f>_xlfn.XLOOKUP(Table134526_79101120212223242526[[#This Row],[Name Surname]],Manpower!$C$4:$C$1048576,Manpower!$B$4:$B$1048576,"")</f>
        <v>Encogroup</v>
      </c>
      <c r="E1713" s="43" t="s">
        <v>46</v>
      </c>
      <c r="F1713" s="12">
        <f>_xlfn.XLOOKUP(Table134526_79101120212223242526[[#This Row],[Name Surname]],Manpower!C:C,Manpower!D:D,)</f>
        <v>140844618</v>
      </c>
      <c r="G1713" s="48" t="str">
        <f>_xlfn.XLOOKUP(Table134526_79101120212223242526[[#This Row],[Name Surname]],Manpower!$C$4:$C$1048576,Manpower!$F$4:$F$1048576,"")</f>
        <v>Assistant/Helper</v>
      </c>
      <c r="H1713" s="48" t="str">
        <f>_xlfn.XLOOKUP(Table134526_79101120212223242526[[#This Row],[Name Surname]],Manpower!$C$4:$C$1048576,Manpower!$H$4:$H$1048576,"")</f>
        <v>Manpower</v>
      </c>
      <c r="I1713" s="48" t="str">
        <f>_xlfn.XLOOKUP(Table134526_79101120212223242526[[#This Row],[Name Surname]],Manpower!$C$4:$C$1048576,Manpower!$H$4:$H$1048576,"")</f>
        <v>Manpower</v>
      </c>
      <c r="J1713" s="43" t="s">
        <v>21</v>
      </c>
      <c r="K1713" s="43" t="s">
        <v>231</v>
      </c>
      <c r="L1713" s="43" t="s">
        <v>49</v>
      </c>
      <c r="M1713" s="43" t="s">
        <v>24</v>
      </c>
      <c r="N1713" s="44">
        <v>10</v>
      </c>
      <c r="O1713" s="43" t="s">
        <v>25</v>
      </c>
      <c r="P1713" s="43" t="s">
        <v>41</v>
      </c>
      <c r="Q1713" s="43" t="s">
        <v>60</v>
      </c>
      <c r="R1713" s="43" t="s">
        <v>309</v>
      </c>
      <c r="S1713" s="43" t="s">
        <v>274</v>
      </c>
    </row>
    <row r="1714" spans="1:19" ht="13.2" customHeight="1">
      <c r="A1714" s="33">
        <f>IF(C1714="","",MAX($A$1:A1713)+1)</f>
        <v>1617</v>
      </c>
      <c r="B1714" s="25" t="s">
        <v>19</v>
      </c>
      <c r="C1714" s="23">
        <v>46096</v>
      </c>
      <c r="D1714" s="28" t="str">
        <f>_xlfn.XLOOKUP(Table134526_79101120212223242526[[#This Row],[Name Surname]],Manpower!$C$4:$C$1048576,Manpower!$B$4:$B$1048576,"")</f>
        <v>Bright Light</v>
      </c>
      <c r="E1714" s="23" t="s">
        <v>47</v>
      </c>
      <c r="F1714" s="12" t="e">
        <f>_xlfn.XLOOKUP(Table134526_79101120212223242526[[#This Row],[Name Surname]],Manpower!C:C,Manpower!D:D,)</f>
        <v>#N/A</v>
      </c>
      <c r="G1714" s="28" t="str">
        <f>_xlfn.XLOOKUP(Table134526_79101120212223242526[[#This Row],[Name Surname]],Manpower!$C$4:$C$1048576,Manpower!$F$4:$F$1048576,"")</f>
        <v>100T Telescopic Crane</v>
      </c>
      <c r="H1714" s="28" t="str">
        <f>_xlfn.XLOOKUP(Table134526_79101120212223242526[[#This Row],[Name Surname]],Manpower!$C$4:$C$1048576,Manpower!$H$4:$H$1048576,"")</f>
        <v>Equipment</v>
      </c>
      <c r="I1714" s="28" t="str">
        <f>_xlfn.XLOOKUP(Table134526_79101120212223242526[[#This Row],[Name Surname]],Manpower!$C$4:$C$1048576,Manpower!$H$4:$H$1048576,"")</f>
        <v>Equipment</v>
      </c>
      <c r="J1714" s="21" t="s">
        <v>48</v>
      </c>
      <c r="K1714" s="21" t="s">
        <v>26</v>
      </c>
      <c r="L1714" s="21" t="s">
        <v>49</v>
      </c>
      <c r="M1714" s="21" t="s">
        <v>24</v>
      </c>
      <c r="N1714" s="29">
        <v>10</v>
      </c>
      <c r="O1714" s="21" t="s">
        <v>40</v>
      </c>
      <c r="P1714" s="21" t="s">
        <v>41</v>
      </c>
      <c r="Q1714" s="21" t="s">
        <v>42</v>
      </c>
      <c r="R1714" s="21" t="s">
        <v>26</v>
      </c>
    </row>
    <row r="1715" spans="1:19" ht="14.4">
      <c r="A1715" s="33">
        <f>IF(C1715="","",MAX($A$1:A1714)+1)</f>
        <v>1618</v>
      </c>
      <c r="B1715" s="25" t="s">
        <v>19</v>
      </c>
      <c r="C1715" s="23">
        <v>46096</v>
      </c>
      <c r="D1715" s="28" t="str">
        <f>_xlfn.XLOOKUP(Table134526_79101120212223242526[[#This Row],[Name Surname]],Manpower!$C$4:$C$1048576,Manpower!$B$4:$B$1048576,"")</f>
        <v>Bright Light</v>
      </c>
      <c r="E1715" s="21" t="s">
        <v>51</v>
      </c>
      <c r="F1715" s="12" t="e">
        <f>_xlfn.XLOOKUP(Table134526_79101120212223242526[[#This Row],[Name Surname]],Manpower!C:C,Manpower!D:D,)</f>
        <v>#N/A</v>
      </c>
      <c r="G1715" s="28" t="str">
        <f>_xlfn.XLOOKUP(Table134526_79101120212223242526[[#This Row],[Name Surname]],Manpower!$C$4:$C$1048576,Manpower!$F$4:$F$1048576,"")</f>
        <v>150T-Crawler Crane</v>
      </c>
      <c r="H1715" s="28" t="str">
        <f>_xlfn.XLOOKUP(Table134526_79101120212223242526[[#This Row],[Name Surname]],Manpower!$C$4:$C$1048576,Manpower!$H$4:$H$1048576,"")</f>
        <v>Equipment</v>
      </c>
      <c r="I1715" s="28" t="str">
        <f>_xlfn.XLOOKUP(Table134526_79101120212223242526[[#This Row],[Name Surname]],Manpower!$C$4:$C$1048576,Manpower!$H$4:$H$1048576,"")</f>
        <v>Equipment</v>
      </c>
      <c r="J1715" s="21" t="s">
        <v>48</v>
      </c>
      <c r="K1715" s="21" t="s">
        <v>26</v>
      </c>
      <c r="L1715" s="21" t="s">
        <v>49</v>
      </c>
      <c r="M1715" s="21" t="s">
        <v>24</v>
      </c>
      <c r="N1715" s="29">
        <v>10</v>
      </c>
      <c r="O1715" s="21" t="s">
        <v>40</v>
      </c>
      <c r="P1715" s="21" t="s">
        <v>41</v>
      </c>
      <c r="Q1715" s="21" t="s">
        <v>42</v>
      </c>
      <c r="R1715" s="21" t="s">
        <v>26</v>
      </c>
    </row>
    <row r="1716" spans="1:19" ht="14.4">
      <c r="A1716" s="33">
        <f>IF(C1716="","",MAX($A$1:A1715)+1)</f>
        <v>1619</v>
      </c>
      <c r="B1716" s="25" t="s">
        <v>19</v>
      </c>
      <c r="C1716" s="23">
        <v>46096</v>
      </c>
      <c r="D1716" s="28" t="str">
        <f>_xlfn.XLOOKUP(Table134526_79101120212223242526[[#This Row],[Name Surname]],Manpower!$C$4:$C$1048576,Manpower!$B$4:$B$1048576,"")</f>
        <v>Encogroup</v>
      </c>
      <c r="E1716" s="21" t="s">
        <v>54</v>
      </c>
      <c r="F1716" s="12" t="e">
        <f>_xlfn.XLOOKUP(Table134526_79101120212223242526[[#This Row],[Name Surname]],Manpower!C:C,Manpower!D:D,)</f>
        <v>#N/A</v>
      </c>
      <c r="G1716" s="28" t="str">
        <f>_xlfn.XLOOKUP(Table134526_79101120212223242526[[#This Row],[Name Surname]],Manpower!$C$4:$C$1048576,Manpower!$F$4:$F$1048576,"")</f>
        <v>28M-Manlift</v>
      </c>
      <c r="H1716" s="28" t="str">
        <f>_xlfn.XLOOKUP(Table134526_79101120212223242526[[#This Row],[Name Surname]],Manpower!$C$4:$C$1048576,Manpower!$H$4:$H$1048576,"")</f>
        <v>Equipment</v>
      </c>
      <c r="I1716" s="28" t="str">
        <f>_xlfn.XLOOKUP(Table134526_79101120212223242526[[#This Row],[Name Surname]],Manpower!$C$4:$C$1048576,Manpower!$H$4:$H$1048576,"")</f>
        <v>Equipment</v>
      </c>
      <c r="J1716" s="21" t="s">
        <v>48</v>
      </c>
      <c r="K1716" s="21" t="s">
        <v>26</v>
      </c>
      <c r="L1716" s="21" t="s">
        <v>49</v>
      </c>
      <c r="M1716" s="21" t="s">
        <v>24</v>
      </c>
      <c r="N1716" s="29">
        <v>10</v>
      </c>
      <c r="O1716" s="21" t="s">
        <v>25</v>
      </c>
      <c r="P1716" s="21" t="s">
        <v>41</v>
      </c>
      <c r="Q1716" s="21" t="s">
        <v>60</v>
      </c>
      <c r="R1716" s="21" t="s">
        <v>26</v>
      </c>
    </row>
    <row r="1717" spans="1:19" ht="14.4">
      <c r="A1717" s="33">
        <f>IF(C1717="","",MAX($A$1:A1716)+1)</f>
        <v>1620</v>
      </c>
      <c r="B1717" s="25" t="s">
        <v>19</v>
      </c>
      <c r="C1717" s="23">
        <v>46096</v>
      </c>
      <c r="D1717" s="28" t="str">
        <f>_xlfn.XLOOKUP(Table134526_79101120212223242526[[#This Row],[Name Surname]],Manpower!$C$4:$C$1048576,Manpower!$B$4:$B$1048576,"")</f>
        <v>Encogroup</v>
      </c>
      <c r="E1717" s="21" t="s">
        <v>53</v>
      </c>
      <c r="F1717" s="12" t="e">
        <f>_xlfn.XLOOKUP(Table134526_79101120212223242526[[#This Row],[Name Surname]],Manpower!C:C,Manpower!D:D,)</f>
        <v>#N/A</v>
      </c>
      <c r="G1717" s="28" t="str">
        <f>_xlfn.XLOOKUP(Table134526_79101120212223242526[[#This Row],[Name Surname]],Manpower!$C$4:$C$1048576,Manpower!$F$4:$F$1048576,"")</f>
        <v>22M-Manlift</v>
      </c>
      <c r="H1717" s="28" t="str">
        <f>_xlfn.XLOOKUP(Table134526_79101120212223242526[[#This Row],[Name Surname]],Manpower!$C$4:$C$1048576,Manpower!$H$4:$H$1048576,"")</f>
        <v>Equipment</v>
      </c>
      <c r="I1717" s="28" t="str">
        <f>_xlfn.XLOOKUP(Table134526_79101120212223242526[[#This Row],[Name Surname]],Manpower!$C$4:$C$1048576,Manpower!$H$4:$H$1048576,"")</f>
        <v>Equipment</v>
      </c>
      <c r="J1717" s="21" t="s">
        <v>48</v>
      </c>
      <c r="K1717" s="21" t="s">
        <v>26</v>
      </c>
      <c r="L1717" s="21" t="s">
        <v>49</v>
      </c>
      <c r="M1717" s="21" t="s">
        <v>24</v>
      </c>
      <c r="N1717" s="29">
        <v>10</v>
      </c>
      <c r="O1717" s="21" t="s">
        <v>25</v>
      </c>
      <c r="P1717" s="21" t="s">
        <v>41</v>
      </c>
      <c r="Q1717" s="21" t="s">
        <v>60</v>
      </c>
    </row>
    <row r="1718" spans="1:19" ht="14.4" hidden="1">
      <c r="A1718" s="33">
        <f>IF(C1718="","",MAX($A$1:A1717)+1)</f>
        <v>1621</v>
      </c>
      <c r="B1718" s="25" t="s">
        <v>19</v>
      </c>
      <c r="C1718" s="23">
        <v>46096</v>
      </c>
      <c r="D1718" s="28" t="str">
        <f>_xlfn.XLOOKUP(Table134526_79101120212223242526[[#This Row],[Name Surname]],Manpower!$C$4:$C$1048576,Manpower!$B$4:$B$1048576,"")</f>
        <v>Encogroup</v>
      </c>
      <c r="E1718" s="21" t="s">
        <v>57</v>
      </c>
      <c r="F1718" s="12">
        <f>_xlfn.XLOOKUP(Table134526_79101120212223242526[[#This Row],[Name Surname]],Manpower!C:C,Manpower!D:D,)</f>
        <v>140693697</v>
      </c>
      <c r="G1718" s="28" t="str">
        <f>_xlfn.XLOOKUP(Table134526_79101120212223242526[[#This Row],[Name Surname]],Manpower!$C$4:$C$1048576,Manpower!$F$4:$F$1048576,"")</f>
        <v>HSE Officer</v>
      </c>
      <c r="H1718" s="28" t="str">
        <f>_xlfn.XLOOKUP(Table134526_79101120212223242526[[#This Row],[Name Surname]],Manpower!$C$4:$C$1048576,Manpower!$H$4:$H$1048576,"")</f>
        <v>Manpower</v>
      </c>
      <c r="I1718" s="28" t="str">
        <f>_xlfn.XLOOKUP(Table134526_79101120212223242526[[#This Row],[Name Surname]],Manpower!$C$4:$C$1048576,Manpower!$H$4:$H$1048576,"")</f>
        <v>Manpower</v>
      </c>
      <c r="J1718" s="21" t="s">
        <v>48</v>
      </c>
      <c r="K1718" s="21" t="s">
        <v>26</v>
      </c>
      <c r="L1718" s="21" t="s">
        <v>49</v>
      </c>
      <c r="M1718" s="21" t="s">
        <v>24</v>
      </c>
      <c r="N1718" s="29">
        <v>10</v>
      </c>
      <c r="O1718" s="21" t="s">
        <v>25</v>
      </c>
      <c r="P1718" s="21" t="s">
        <v>41</v>
      </c>
      <c r="Q1718" s="21" t="s">
        <v>60</v>
      </c>
      <c r="R1718" s="21" t="s">
        <v>26</v>
      </c>
    </row>
    <row r="1719" spans="1:19" ht="14.4" hidden="1">
      <c r="A1719" s="33">
        <f>IF(C1719="","",MAX($A$1:A1718)+1)</f>
        <v>1622</v>
      </c>
      <c r="B1719" s="25" t="s">
        <v>19</v>
      </c>
      <c r="C1719" s="23">
        <v>46096</v>
      </c>
      <c r="D1719" s="28" t="str">
        <f>_xlfn.XLOOKUP(Table134526_79101120212223242526[[#This Row],[Name Surname]],Manpower!$C$4:$C$1048576,Manpower!$B$4:$B$1048576,"")</f>
        <v>Encogroup</v>
      </c>
      <c r="E1719" s="21" t="s">
        <v>27</v>
      </c>
      <c r="F1719" s="12">
        <f>_xlfn.XLOOKUP(Table134526_79101120212223242526[[#This Row],[Name Surname]],Manpower!C:C,Manpower!D:D,)</f>
        <v>127414586</v>
      </c>
      <c r="G1719" s="28" t="str">
        <f>_xlfn.XLOOKUP(Table134526_79101120212223242526[[#This Row],[Name Surname]],Manpower!$C$4:$C$1048576,Manpower!$F$4:$F$1048576,"")</f>
        <v>Electrician</v>
      </c>
      <c r="H1719" s="28" t="str">
        <f>_xlfn.XLOOKUP(Table134526_79101120212223242526[[#This Row],[Name Surname]],Manpower!$C$4:$C$1048576,Manpower!$H$4:$H$1048576,"")</f>
        <v>Manpower</v>
      </c>
      <c r="I1719" s="28" t="str">
        <f>_xlfn.XLOOKUP(Table134526_79101120212223242526[[#This Row],[Name Surname]],Manpower!$C$4:$C$1048576,Manpower!$H$4:$H$1048576,"")</f>
        <v>Manpower</v>
      </c>
      <c r="J1719" s="21" t="s">
        <v>48</v>
      </c>
      <c r="K1719" s="21" t="s">
        <v>26</v>
      </c>
      <c r="L1719" s="21" t="s">
        <v>49</v>
      </c>
      <c r="M1719" s="21" t="s">
        <v>24</v>
      </c>
      <c r="N1719" s="29">
        <v>5</v>
      </c>
      <c r="O1719" s="21" t="s">
        <v>28</v>
      </c>
      <c r="P1719" s="21" t="s">
        <v>41</v>
      </c>
      <c r="Q1719" s="21" t="s">
        <v>41</v>
      </c>
      <c r="R1719" s="21" t="s">
        <v>26</v>
      </c>
    </row>
    <row r="1720" spans="1:19" s="45" customFormat="1" ht="14.4" hidden="1">
      <c r="A1720" s="25">
        <f>IF(C1720="","",MAX($A$1:A1719)+1)</f>
        <v>1623</v>
      </c>
      <c r="B1720" s="25" t="s">
        <v>19</v>
      </c>
      <c r="C1720" s="41">
        <v>46096</v>
      </c>
      <c r="D1720" s="48" t="str">
        <f>_xlfn.XLOOKUP(Table134526_79101120212223242526[[#This Row],[Name Surname]],Manpower!$C$4:$C$1048576,Manpower!$B$4:$B$1048576,"")</f>
        <v>Encogroup</v>
      </c>
      <c r="E1720" s="43" t="s">
        <v>33</v>
      </c>
      <c r="F1720" s="12">
        <f>_xlfn.XLOOKUP(Table134526_79101120212223242526[[#This Row],[Name Surname]],Manpower!C:C,Manpower!D:D,)</f>
        <v>124565057</v>
      </c>
      <c r="G1720" s="48" t="str">
        <f>_xlfn.XLOOKUP(Table134526_79101120212223242526[[#This Row],[Name Surname]],Manpower!$C$4:$C$1048576,Manpower!$F$4:$F$1048576,"")</f>
        <v>Fitter/Erector</v>
      </c>
      <c r="H1720" s="48" t="str">
        <f>_xlfn.XLOOKUP(Table134526_79101120212223242526[[#This Row],[Name Surname]],Manpower!$C$4:$C$1048576,Manpower!$H$4:$H$1048576,"")</f>
        <v>Manpower</v>
      </c>
      <c r="I1720" s="48" t="str">
        <f>_xlfn.XLOOKUP(Table134526_79101120212223242526[[#This Row],[Name Surname]],Manpower!$C$4:$C$1048576,Manpower!$H$4:$H$1048576,"")</f>
        <v>Manpower</v>
      </c>
      <c r="J1720" s="43" t="s">
        <v>48</v>
      </c>
      <c r="K1720" s="43" t="s">
        <v>26</v>
      </c>
      <c r="L1720" s="43" t="s">
        <v>49</v>
      </c>
      <c r="M1720" s="43" t="s">
        <v>24</v>
      </c>
      <c r="N1720" s="44">
        <v>10</v>
      </c>
      <c r="O1720" s="43" t="s">
        <v>25</v>
      </c>
      <c r="P1720" s="43" t="s">
        <v>41</v>
      </c>
      <c r="Q1720" s="43" t="s">
        <v>60</v>
      </c>
      <c r="R1720" s="43" t="s">
        <v>26</v>
      </c>
      <c r="S1720" s="43"/>
    </row>
    <row r="1721" spans="1:19" s="45" customFormat="1" ht="14.4" hidden="1">
      <c r="A1721" s="25">
        <f>IF(C1721="","",MAX($A$1:A1720)+1)</f>
        <v>1624</v>
      </c>
      <c r="B1721" s="25" t="s">
        <v>19</v>
      </c>
      <c r="C1721" s="41">
        <v>46096</v>
      </c>
      <c r="D1721" s="48" t="str">
        <f>_xlfn.XLOOKUP(Table134526_79101120212223242526[[#This Row],[Name Surname]],Manpower!$C$4:$C$1048576,Manpower!$B$4:$B$1048576,"")</f>
        <v>Encogroup</v>
      </c>
      <c r="E1721" s="43" t="s">
        <v>62</v>
      </c>
      <c r="F1721" s="12">
        <f>_xlfn.XLOOKUP(Table134526_79101120212223242526[[#This Row],[Name Surname]],Manpower!C:C,Manpower!D:D,)</f>
        <v>140844797</v>
      </c>
      <c r="G1721" s="48" t="str">
        <f>_xlfn.XLOOKUP(Table134526_79101120212223242526[[#This Row],[Name Surname]],Manpower!$C$4:$C$1048576,Manpower!$F$4:$F$1048576,"")</f>
        <v>Fitter/Erector</v>
      </c>
      <c r="H1721" s="48" t="str">
        <f>_xlfn.XLOOKUP(Table134526_79101120212223242526[[#This Row],[Name Surname]],Manpower!$C$4:$C$1048576,Manpower!$H$4:$H$1048576,"")</f>
        <v>Manpower</v>
      </c>
      <c r="I1721" s="48" t="str">
        <f>_xlfn.XLOOKUP(Table134526_79101120212223242526[[#This Row],[Name Surname]],Manpower!$C$4:$C$1048576,Manpower!$H$4:$H$1048576,"")</f>
        <v>Manpower</v>
      </c>
      <c r="J1721" s="43" t="s">
        <v>48</v>
      </c>
      <c r="K1721" s="43" t="s">
        <v>26</v>
      </c>
      <c r="L1721" s="43" t="s">
        <v>49</v>
      </c>
      <c r="M1721" s="43" t="s">
        <v>24</v>
      </c>
      <c r="N1721" s="44">
        <v>10</v>
      </c>
      <c r="O1721" s="43" t="s">
        <v>25</v>
      </c>
      <c r="P1721" s="43" t="s">
        <v>41</v>
      </c>
      <c r="Q1721" s="43" t="s">
        <v>60</v>
      </c>
      <c r="R1721" s="43" t="s">
        <v>26</v>
      </c>
      <c r="S1721" s="43"/>
    </row>
    <row r="1722" spans="1:19" ht="14.4">
      <c r="A1722" s="33">
        <f>IF(C1722="","",MAX($A$1:A1721)+1)</f>
        <v>1625</v>
      </c>
      <c r="B1722" s="25" t="s">
        <v>19</v>
      </c>
      <c r="C1722" s="23">
        <v>46096</v>
      </c>
      <c r="D1722" s="24" t="str">
        <f>_xlfn.XLOOKUP(Table134526_79101120212223242526[[#This Row],[Name Surname]],Manpower!$C$4:$C$1048576,Manpower!$B$4:$B$1048576,"")</f>
        <v>Encogroup</v>
      </c>
      <c r="E1722" s="23" t="s">
        <v>63</v>
      </c>
      <c r="F1722" s="12" t="e">
        <f>_xlfn.XLOOKUP(Table134526_79101120212223242526[[#This Row],[Name Surname]],Manpower!C:C,Manpower!D:D,)</f>
        <v>#N/A</v>
      </c>
      <c r="G1722" s="24" t="str">
        <f>_xlfn.XLOOKUP(Table134526_79101120212223242526[[#This Row],[Name Surname]],Manpower!$C$4:$C$1048576,Manpower!$F$4:$F$1048576,"")</f>
        <v>22KVA-Generator</v>
      </c>
      <c r="H1722" s="24" t="str">
        <f>_xlfn.XLOOKUP(Table134526_79101120212223242526[[#This Row],[Name Surname]],Manpower!$C$4:$C$1048576,Manpower!$H$4:$H$1048576,"")</f>
        <v>Equipment</v>
      </c>
      <c r="I1722" s="24" t="str">
        <f>_xlfn.XLOOKUP(Table134526_79101120212223242526[[#This Row],[Name Surname]],Manpower!$C$4:$C$1048576,Manpower!$H$4:$H$1048576,"")</f>
        <v>Equipment</v>
      </c>
      <c r="J1722" s="21" t="s">
        <v>48</v>
      </c>
      <c r="K1722" s="21" t="s">
        <v>26</v>
      </c>
      <c r="L1722" s="21" t="s">
        <v>49</v>
      </c>
      <c r="M1722" s="21" t="s">
        <v>24</v>
      </c>
      <c r="N1722" s="29">
        <v>10</v>
      </c>
      <c r="O1722" s="21" t="s">
        <v>25</v>
      </c>
      <c r="P1722" s="21" t="s">
        <v>41</v>
      </c>
      <c r="Q1722" s="21" t="s">
        <v>41</v>
      </c>
      <c r="R1722" s="21" t="s">
        <v>26</v>
      </c>
    </row>
    <row r="1723" spans="1:19" s="45" customFormat="1" ht="14.4" hidden="1">
      <c r="A1723" s="25">
        <f>IF(C1723="","",MAX($A$1:A1721)+1)</f>
        <v>1625</v>
      </c>
      <c r="B1723" s="25" t="s">
        <v>19</v>
      </c>
      <c r="C1723" s="41">
        <v>46096</v>
      </c>
      <c r="D1723" s="48" t="str">
        <f>_xlfn.XLOOKUP(Table134526_79101120212223242526[[#This Row],[Name Surname]],Manpower!$C$4:$C$1048576,Manpower!$B$4:$B$1048576,"")</f>
        <v>Bright Light</v>
      </c>
      <c r="E1723" s="43" t="s">
        <v>64</v>
      </c>
      <c r="F1723" s="12">
        <f>_xlfn.XLOOKUP(Table134526_79101120212223242526[[#This Row],[Name Surname]],Manpower!C:C,Manpower!D:D,)</f>
        <v>114531608</v>
      </c>
      <c r="G1723" s="48" t="str">
        <f>_xlfn.XLOOKUP(Table134526_79101120212223242526[[#This Row],[Name Surname]],Manpower!$C$4:$C$1048576,Manpower!$F$4:$F$1048576,"")</f>
        <v>Crane Operator-150T Sany Crawler</v>
      </c>
      <c r="H1723" s="48" t="s">
        <v>39</v>
      </c>
      <c r="I1723" s="48" t="s">
        <v>39</v>
      </c>
      <c r="J1723" s="43" t="s">
        <v>48</v>
      </c>
      <c r="K1723" s="43" t="s">
        <v>26</v>
      </c>
      <c r="L1723" s="43" t="s">
        <v>49</v>
      </c>
      <c r="M1723" s="43" t="s">
        <v>24</v>
      </c>
      <c r="N1723" s="44">
        <v>10</v>
      </c>
      <c r="O1723" s="43" t="s">
        <v>40</v>
      </c>
      <c r="P1723" s="43" t="s">
        <v>41</v>
      </c>
      <c r="Q1723" s="43" t="s">
        <v>42</v>
      </c>
      <c r="R1723" s="43" t="s">
        <v>26</v>
      </c>
      <c r="S1723" s="43"/>
    </row>
    <row r="1724" spans="1:19" s="45" customFormat="1" ht="14.4" hidden="1">
      <c r="A1724" s="25">
        <f>IF(C1724="","",MAX($A$1:A1723)+1)</f>
        <v>1626</v>
      </c>
      <c r="B1724" s="25" t="s">
        <v>19</v>
      </c>
      <c r="C1724" s="41">
        <v>46096</v>
      </c>
      <c r="D1724" s="48" t="str">
        <f>_xlfn.XLOOKUP(Table134526_79101120212223242526[[#This Row],[Name Surname]],Manpower!$C$4:$C$1048576,Manpower!$B$4:$B$1048576,"")</f>
        <v>Encogroup</v>
      </c>
      <c r="E1724" s="43" t="s">
        <v>67</v>
      </c>
      <c r="F1724" s="12">
        <f>_xlfn.XLOOKUP(Table134526_79101120212223242526[[#This Row],[Name Surname]],Manpower!C:C,Manpower!D:D,)</f>
        <v>122082769</v>
      </c>
      <c r="G1724" s="48" t="str">
        <f>_xlfn.XLOOKUP(Table134526_79101120212223242526[[#This Row],[Name Surname]],Manpower!$C$4:$C$1048576,Manpower!$F$4:$F$1048576,"")</f>
        <v>Grinder</v>
      </c>
      <c r="H1724" s="48" t="str">
        <f>_xlfn.XLOOKUP(Table134526_79101120212223242526[[#This Row],[Name Surname]],Manpower!$C$4:$C$1048576,Manpower!$H$4:$H$1048576,"")</f>
        <v>Manpower</v>
      </c>
      <c r="I1724" s="48" t="str">
        <f>_xlfn.XLOOKUP(Table134526_79101120212223242526[[#This Row],[Name Surname]],Manpower!$C$4:$C$1048576,Manpower!$H$4:$H$1048576,"")</f>
        <v>Manpower</v>
      </c>
      <c r="J1724" s="43" t="s">
        <v>48</v>
      </c>
      <c r="K1724" s="43" t="s">
        <v>26</v>
      </c>
      <c r="L1724" s="43" t="s">
        <v>49</v>
      </c>
      <c r="M1724" s="43" t="s">
        <v>24</v>
      </c>
      <c r="N1724" s="44">
        <v>10</v>
      </c>
      <c r="O1724" s="43" t="s">
        <v>25</v>
      </c>
      <c r="P1724" s="43" t="s">
        <v>41</v>
      </c>
      <c r="Q1724" s="43" t="s">
        <v>60</v>
      </c>
      <c r="R1724" s="43" t="s">
        <v>26</v>
      </c>
      <c r="S1724" s="43"/>
    </row>
    <row r="1725" spans="1:19" s="45" customFormat="1" ht="14.4" hidden="1">
      <c r="A1725" s="25">
        <f>IF(C1725="","",MAX($A$1:A1724)+1)</f>
        <v>1627</v>
      </c>
      <c r="B1725" s="25" t="s">
        <v>19</v>
      </c>
      <c r="C1725" s="41">
        <v>46096</v>
      </c>
      <c r="D1725" s="48" t="str">
        <f>_xlfn.XLOOKUP(Table134526_79101120212223242526[[#This Row],[Name Surname]],Manpower!$C$4:$C$1048576,Manpower!$B$4:$B$1048576,"")</f>
        <v>AL Saif &amp; Al QALLM ENT LLC</v>
      </c>
      <c r="E1725" s="43" t="s">
        <v>65</v>
      </c>
      <c r="F1725" s="12">
        <f>_xlfn.XLOOKUP(Table134526_79101120212223242526[[#This Row],[Name Surname]],Manpower!C:C,Manpower!D:D,)</f>
        <v>108478006</v>
      </c>
      <c r="G1725" s="48" t="str">
        <f>_xlfn.XLOOKUP(Table134526_79101120212223242526[[#This Row],[Name Surname]],Manpower!$C$4:$C$1048576,Manpower!$F$4:$F$1048576,"")</f>
        <v>RIgger</v>
      </c>
      <c r="H1725" s="48" t="str">
        <f>_xlfn.XLOOKUP(Table134526_79101120212223242526[[#This Row],[Name Surname]],Manpower!$C$4:$C$1048576,Manpower!$H$4:$H$1048576,"")</f>
        <v>Sub Contactor</v>
      </c>
      <c r="I1725" s="48" t="str">
        <f>_xlfn.XLOOKUP(Table134526_79101120212223242526[[#This Row],[Name Surname]],Manpower!$C$4:$C$1048576,Manpower!$H$4:$H$1048576,"")</f>
        <v>Sub Contactor</v>
      </c>
      <c r="J1725" s="43" t="s">
        <v>48</v>
      </c>
      <c r="K1725" s="43" t="s">
        <v>26</v>
      </c>
      <c r="L1725" s="43" t="s">
        <v>49</v>
      </c>
      <c r="M1725" s="43" t="s">
        <v>24</v>
      </c>
      <c r="N1725" s="44">
        <v>8</v>
      </c>
      <c r="O1725" s="43" t="s">
        <v>25</v>
      </c>
      <c r="P1725" s="43" t="s">
        <v>41</v>
      </c>
      <c r="Q1725" s="43" t="s">
        <v>60</v>
      </c>
      <c r="R1725" s="43" t="s">
        <v>26</v>
      </c>
      <c r="S1725" s="43"/>
    </row>
    <row r="1726" spans="1:19" s="45" customFormat="1" ht="14.4" hidden="1">
      <c r="A1726" s="25">
        <f>IF(C1726="","",MAX($A$1:A1725)+1)</f>
        <v>1628</v>
      </c>
      <c r="B1726" s="25" t="s">
        <v>19</v>
      </c>
      <c r="C1726" s="41">
        <v>46096</v>
      </c>
      <c r="D1726" s="48" t="str">
        <f>_xlfn.XLOOKUP(Table134526_79101120212223242526[[#This Row],[Name Surname]],Manpower!$C$4:$C$1048576,Manpower!$B$4:$B$1048576,"")</f>
        <v>AL Omar International TRAD AND CONT</v>
      </c>
      <c r="E1726" s="43" t="s">
        <v>66</v>
      </c>
      <c r="F1726" s="12">
        <f>_xlfn.XLOOKUP(Table134526_79101120212223242526[[#This Row],[Name Surname]],Manpower!C:C,Manpower!D:D,)</f>
        <v>115018512</v>
      </c>
      <c r="G1726" s="48" t="str">
        <f>_xlfn.XLOOKUP(Table134526_79101120212223242526[[#This Row],[Name Surname]],Manpower!$C$4:$C$1048576,Manpower!$F$4:$F$1048576,"")</f>
        <v>RIgger</v>
      </c>
      <c r="H1726" s="48" t="str">
        <f>_xlfn.XLOOKUP(Table134526_79101120212223242526[[#This Row],[Name Surname]],Manpower!$C$4:$C$1048576,Manpower!$H$4:$H$1048576,"")</f>
        <v>Sub Contactor</v>
      </c>
      <c r="I1726" s="48" t="str">
        <f>_xlfn.XLOOKUP(Table134526_79101120212223242526[[#This Row],[Name Surname]],Manpower!$C$4:$C$1048576,Manpower!$H$4:$H$1048576,"")</f>
        <v>Sub Contactor</v>
      </c>
      <c r="J1726" s="43" t="s">
        <v>48</v>
      </c>
      <c r="K1726" s="43" t="s">
        <v>26</v>
      </c>
      <c r="L1726" s="43" t="s">
        <v>49</v>
      </c>
      <c r="M1726" s="43" t="s">
        <v>24</v>
      </c>
      <c r="N1726" s="44">
        <v>8</v>
      </c>
      <c r="O1726" s="43" t="s">
        <v>25</v>
      </c>
      <c r="P1726" s="43" t="s">
        <v>41</v>
      </c>
      <c r="Q1726" s="43" t="s">
        <v>60</v>
      </c>
      <c r="R1726" s="43" t="s">
        <v>26</v>
      </c>
      <c r="S1726" s="43"/>
    </row>
    <row r="1727" spans="1:19" s="45" customFormat="1" ht="14.4" hidden="1">
      <c r="A1727" s="25">
        <f>IF(C1727="","",MAX($A$1:A1726)+1)</f>
        <v>1629</v>
      </c>
      <c r="B1727" s="25" t="s">
        <v>19</v>
      </c>
      <c r="C1727" s="41">
        <v>46096</v>
      </c>
      <c r="D1727" s="48" t="str">
        <f>_xlfn.XLOOKUP(Table134526_79101120212223242526[[#This Row],[Name Surname]],Manpower!$C$4:$C$1048576,Manpower!$B$4:$B$1048576,"")</f>
        <v>AL Omar International TRAD AND CONT</v>
      </c>
      <c r="E1727" s="43" t="s">
        <v>197</v>
      </c>
      <c r="F1727" s="12">
        <f>_xlfn.XLOOKUP(Table134526_79101120212223242526[[#This Row],[Name Surname]],Manpower!C:C,Manpower!D:D,)</f>
        <v>106093463</v>
      </c>
      <c r="G1727" s="48" t="str">
        <f>_xlfn.XLOOKUP(Table134526_79101120212223242526[[#This Row],[Name Surname]],Manpower!$C$4:$C$1048576,Manpower!$F$4:$F$1048576,"")</f>
        <v>RIgger</v>
      </c>
      <c r="H1727" s="48" t="str">
        <f>_xlfn.XLOOKUP(Table134526_79101120212223242526[[#This Row],[Name Surname]],Manpower!$C$4:$C$1048576,Manpower!$H$4:$H$1048576,"")</f>
        <v>Sub Contactor</v>
      </c>
      <c r="I1727" s="48" t="str">
        <f>_xlfn.XLOOKUP(Table134526_79101120212223242526[[#This Row],[Name Surname]],Manpower!$C$4:$C$1048576,Manpower!$H$4:$H$1048576,"")</f>
        <v>Sub Contactor</v>
      </c>
      <c r="J1727" s="43" t="s">
        <v>48</v>
      </c>
      <c r="K1727" s="43" t="s">
        <v>26</v>
      </c>
      <c r="L1727" s="43" t="s">
        <v>49</v>
      </c>
      <c r="M1727" s="43" t="s">
        <v>24</v>
      </c>
      <c r="N1727" s="44">
        <v>8</v>
      </c>
      <c r="O1727" s="43" t="s">
        <v>25</v>
      </c>
      <c r="P1727" s="43" t="s">
        <v>41</v>
      </c>
      <c r="Q1727" s="43" t="s">
        <v>60</v>
      </c>
      <c r="R1727" s="43" t="s">
        <v>26</v>
      </c>
      <c r="S1727" s="43"/>
    </row>
    <row r="1728" spans="1:19" s="45" customFormat="1" ht="14.4" hidden="1">
      <c r="A1728" s="25">
        <f>IF(C1728="","",MAX($A$1:A1727)+1)</f>
        <v>1630</v>
      </c>
      <c r="B1728" s="25" t="s">
        <v>19</v>
      </c>
      <c r="C1728" s="41">
        <v>46096</v>
      </c>
      <c r="D1728" s="48" t="str">
        <f>_xlfn.XLOOKUP(Table134526_79101120212223242526[[#This Row],[Name Surname]],Manpower!$C$4:$C$1048576,Manpower!$B$4:$B$1048576,"")</f>
        <v>Encogroup</v>
      </c>
      <c r="E1728" s="43" t="s">
        <v>76</v>
      </c>
      <c r="F1728" s="12">
        <f>_xlfn.XLOOKUP(Table134526_79101120212223242526[[#This Row],[Name Surname]],Manpower!C:C,Manpower!D:D,)</f>
        <v>127859069</v>
      </c>
      <c r="G1728" s="48" t="str">
        <f>_xlfn.XLOOKUP(Table134526_79101120212223242526[[#This Row],[Name Surname]],Manpower!$C$4:$C$1048576,Manpower!$F$4:$F$1048576,"")</f>
        <v>QC Mechanical Engineer</v>
      </c>
      <c r="H1728" s="48" t="str">
        <f>_xlfn.XLOOKUP(Table134526_79101120212223242526[[#This Row],[Name Surname]],Manpower!$C$4:$C$1048576,Manpower!$H$4:$H$1048576,"")</f>
        <v>Manpower</v>
      </c>
      <c r="I1728" s="48" t="str">
        <f>_xlfn.XLOOKUP(Table134526_79101120212223242526[[#This Row],[Name Surname]],Manpower!$C$4:$C$1048576,Manpower!$H$4:$H$1048576,"")</f>
        <v>Manpower</v>
      </c>
      <c r="J1728" s="43" t="s">
        <v>48</v>
      </c>
      <c r="K1728" s="43" t="s">
        <v>26</v>
      </c>
      <c r="L1728" s="43" t="s">
        <v>49</v>
      </c>
      <c r="M1728" s="43" t="s">
        <v>24</v>
      </c>
      <c r="N1728" s="44">
        <v>10</v>
      </c>
      <c r="O1728" s="43" t="s">
        <v>25</v>
      </c>
      <c r="P1728" s="43" t="s">
        <v>41</v>
      </c>
      <c r="Q1728" s="43" t="s">
        <v>77</v>
      </c>
      <c r="R1728" s="43" t="s">
        <v>26</v>
      </c>
      <c r="S1728" s="43"/>
    </row>
    <row r="1729" spans="1:19" s="45" customFormat="1" ht="14.4" hidden="1">
      <c r="A1729" s="25">
        <f>IF(C1729="","",MAX($A$1:A1728)+1)</f>
        <v>1631</v>
      </c>
      <c r="B1729" s="25" t="s">
        <v>19</v>
      </c>
      <c r="C1729" s="41">
        <v>46097</v>
      </c>
      <c r="D1729" s="48" t="str">
        <f>_xlfn.XLOOKUP(Table134526_79101120212223242526[[#This Row],[Name Surname]],Manpower!$C$4:$C$1048576,Manpower!$B$4:$B$1048576,"")</f>
        <v>Encogroup</v>
      </c>
      <c r="E1729" s="43" t="s">
        <v>235</v>
      </c>
      <c r="F1729" s="12">
        <f>_xlfn.XLOOKUP(Table134526_79101120212223242526[[#This Row],[Name Surname]],Manpower!C:C,Manpower!D:D,)</f>
        <v>132423982</v>
      </c>
      <c r="G1729" s="48" t="str">
        <f>_xlfn.XLOOKUP(Table134526_79101120212223242526[[#This Row],[Name Surname]],Manpower!$C$4:$C$1048576,Manpower!$F$4:$F$1048576,"")</f>
        <v>Mechanic Supervisor</v>
      </c>
      <c r="H1729" s="48" t="str">
        <f>_xlfn.XLOOKUP(Table134526_79101120212223242526[[#This Row],[Name Surname]],Manpower!$C$4:$C$1048576,Manpower!$H$4:$H$1048576,"")</f>
        <v>Manpower</v>
      </c>
      <c r="I1729" s="48" t="str">
        <f>_xlfn.XLOOKUP(Table134526_79101120212223242526[[#This Row],[Name Surname]],Manpower!$C$4:$C$1048576,Manpower!$H$4:$H$1048576,"")</f>
        <v>Manpower</v>
      </c>
      <c r="J1729" s="43" t="s">
        <v>48</v>
      </c>
      <c r="K1729" s="43" t="s">
        <v>26</v>
      </c>
      <c r="L1729" s="43" t="s">
        <v>49</v>
      </c>
      <c r="M1729" s="43" t="s">
        <v>24</v>
      </c>
      <c r="N1729" s="44">
        <v>10</v>
      </c>
      <c r="O1729" s="43" t="s">
        <v>236</v>
      </c>
      <c r="P1729" s="43" t="s">
        <v>236</v>
      </c>
      <c r="Q1729" s="43" t="s">
        <v>236</v>
      </c>
      <c r="R1729" s="43" t="s">
        <v>26</v>
      </c>
      <c r="S1729" s="43"/>
    </row>
    <row r="1730" spans="1:19" s="45" customFormat="1" ht="14.4" hidden="1">
      <c r="A1730" s="25">
        <f>IF(C1730="","",MAX($A$1:A1729)+1)</f>
        <v>1632</v>
      </c>
      <c r="B1730" s="25" t="s">
        <v>19</v>
      </c>
      <c r="C1730" s="41">
        <v>46097</v>
      </c>
      <c r="D1730" s="48" t="str">
        <f>_xlfn.XLOOKUP(Table134526_79101120212223242526[[#This Row],[Name Surname]],Manpower!$C$4:$C$1048576,Manpower!$B$4:$B$1048576,"")</f>
        <v>Encogroup</v>
      </c>
      <c r="E1730" s="43" t="s">
        <v>237</v>
      </c>
      <c r="F1730" s="12">
        <f>_xlfn.XLOOKUP(Table134526_79101120212223242526[[#This Row],[Name Surname]],Manpower!C:C,Manpower!D:D,)</f>
        <v>75199413</v>
      </c>
      <c r="G1730" s="48" t="str">
        <f>_xlfn.XLOOKUP(Table134526_79101120212223242526[[#This Row],[Name Surname]],Manpower!$C$4:$C$1048576,Manpower!$F$4:$F$1048576,"")</f>
        <v>Mechanic</v>
      </c>
      <c r="H1730" s="48" t="str">
        <f>_xlfn.XLOOKUP(Table134526_79101120212223242526[[#This Row],[Name Surname]],Manpower!$C$4:$C$1048576,Manpower!$H$4:$H$1048576,"")</f>
        <v>Manpower</v>
      </c>
      <c r="I1730" s="48" t="str">
        <f>_xlfn.XLOOKUP(Table134526_79101120212223242526[[#This Row],[Name Surname]],Manpower!$C$4:$C$1048576,Manpower!$H$4:$H$1048576,"")</f>
        <v>Manpower</v>
      </c>
      <c r="J1730" s="43" t="s">
        <v>48</v>
      </c>
      <c r="K1730" s="43" t="s">
        <v>26</v>
      </c>
      <c r="L1730" s="43" t="s">
        <v>49</v>
      </c>
      <c r="M1730" s="43" t="s">
        <v>24</v>
      </c>
      <c r="N1730" s="44">
        <v>10</v>
      </c>
      <c r="O1730" s="43" t="s">
        <v>236</v>
      </c>
      <c r="P1730" s="43" t="s">
        <v>236</v>
      </c>
      <c r="Q1730" s="43" t="s">
        <v>236</v>
      </c>
      <c r="R1730" s="43" t="s">
        <v>26</v>
      </c>
      <c r="S1730" s="43"/>
    </row>
    <row r="1731" spans="1:19" s="45" customFormat="1" ht="14.4" hidden="1">
      <c r="A1731" s="25">
        <f>IF(C1731="","",MAX($A$1:A1726)+1)</f>
        <v>1629</v>
      </c>
      <c r="B1731" s="25" t="s">
        <v>19</v>
      </c>
      <c r="C1731" s="41">
        <v>46096</v>
      </c>
      <c r="D1731" s="48" t="str">
        <f>_xlfn.XLOOKUP(Table134526_79101120212223242526[[#This Row],[Name Surname]],Manpower!$C$4:$C$1048576,Manpower!$B$4:$B$1048576,"")</f>
        <v>Encogroup</v>
      </c>
      <c r="E1731" s="43" t="s">
        <v>68</v>
      </c>
      <c r="F1731" s="12">
        <f>_xlfn.XLOOKUP(Table134526_79101120212223242526[[#This Row],[Name Surname]],Manpower!C:C,Manpower!D:D,)</f>
        <v>116915582</v>
      </c>
      <c r="G1731" s="48" t="str">
        <f>_xlfn.XLOOKUP(Table134526_79101120212223242526[[#This Row],[Name Surname]],Manpower!$C$4:$C$1048576,Manpower!$F$4:$F$1048576,"")</f>
        <v>Mechanical Superintendent</v>
      </c>
      <c r="H1731" s="48" t="str">
        <f>_xlfn.XLOOKUP(Table134526_79101120212223242526[[#This Row],[Name Surname]],Manpower!$C$4:$C$1048576,Manpower!$H$4:$H$1048576,"")</f>
        <v>Manpower</v>
      </c>
      <c r="I1731" s="48" t="str">
        <f>_xlfn.XLOOKUP(Table134526_79101120212223242526[[#This Row],[Name Surname]],Manpower!$C$4:$C$1048576,Manpower!$H$4:$H$1048576,"")</f>
        <v>Manpower</v>
      </c>
      <c r="J1731" s="43" t="s">
        <v>48</v>
      </c>
      <c r="K1731" s="43" t="s">
        <v>26</v>
      </c>
      <c r="L1731" s="43" t="s">
        <v>49</v>
      </c>
      <c r="M1731" s="43" t="s">
        <v>24</v>
      </c>
      <c r="N1731" s="44">
        <v>8</v>
      </c>
      <c r="O1731" s="43" t="s">
        <v>25</v>
      </c>
      <c r="P1731" s="43" t="s">
        <v>41</v>
      </c>
      <c r="Q1731" s="43" t="s">
        <v>60</v>
      </c>
      <c r="R1731" s="43" t="s">
        <v>26</v>
      </c>
      <c r="S1731" s="43"/>
    </row>
    <row r="1732" spans="1:19" s="45" customFormat="1" ht="14.4" hidden="1">
      <c r="A1732" s="25">
        <f>IF(C1732="","",MAX($A$1:A1731)+1)</f>
        <v>1633</v>
      </c>
      <c r="B1732" s="25" t="s">
        <v>19</v>
      </c>
      <c r="C1732" s="41">
        <v>46096</v>
      </c>
      <c r="D1732" s="48" t="str">
        <f>_xlfn.XLOOKUP(Table134526_79101120212223242526[[#This Row],[Name Surname]],Manpower!$C$4:$C$1048576,Manpower!$B$4:$B$1048576,"")</f>
        <v>Encogroup</v>
      </c>
      <c r="E1732" s="43" t="s">
        <v>69</v>
      </c>
      <c r="F1732" s="12">
        <f>_xlfn.XLOOKUP(Table134526_79101120212223242526[[#This Row],[Name Surname]],Manpower!C:C,Manpower!D:D,)</f>
        <v>141169071</v>
      </c>
      <c r="G1732" s="48" t="str">
        <f>_xlfn.XLOOKUP(Table134526_79101120212223242526[[#This Row],[Name Surname]],Manpower!$C$4:$C$1048576,Manpower!$F$4:$F$1048576,"")</f>
        <v>Welding Supervisor</v>
      </c>
      <c r="H1732" s="48" t="str">
        <f>_xlfn.XLOOKUP(Table134526_79101120212223242526[[#This Row],[Name Surname]],Manpower!$C$4:$C$1048576,Manpower!$H$4:$H$1048576,"")</f>
        <v>Manpower</v>
      </c>
      <c r="I1732" s="48" t="str">
        <f>_xlfn.XLOOKUP(Table134526_79101120212223242526[[#This Row],[Name Surname]],Manpower!$C$4:$C$1048576,Manpower!$H$4:$H$1048576,"")</f>
        <v>Manpower</v>
      </c>
      <c r="J1732" s="43" t="s">
        <v>48</v>
      </c>
      <c r="K1732" s="43" t="s">
        <v>26</v>
      </c>
      <c r="L1732" s="43" t="s">
        <v>49</v>
      </c>
      <c r="M1732" s="43" t="s">
        <v>24</v>
      </c>
      <c r="N1732" s="44">
        <v>10</v>
      </c>
      <c r="O1732" s="43" t="s">
        <v>25</v>
      </c>
      <c r="P1732" s="43" t="s">
        <v>41</v>
      </c>
      <c r="Q1732" s="43" t="s">
        <v>60</v>
      </c>
      <c r="R1732" s="43" t="s">
        <v>26</v>
      </c>
      <c r="S1732" s="43"/>
    </row>
    <row r="1733" spans="1:19" ht="14.4" hidden="1">
      <c r="A1733" s="33">
        <f>IF(C1733="","",MAX($A$1:A1732)+1)</f>
        <v>1634</v>
      </c>
      <c r="B1733" s="25" t="s">
        <v>19</v>
      </c>
      <c r="C1733" s="23">
        <v>46096</v>
      </c>
      <c r="D1733" s="28" t="str">
        <f>_xlfn.XLOOKUP(Table134526_79101120212223242526[[#This Row],[Name Surname]],Manpower!$C$4:$C$1048576,Manpower!$B$4:$B$1048576,"")</f>
        <v>Encogroup</v>
      </c>
      <c r="E1733" s="21" t="s">
        <v>59</v>
      </c>
      <c r="F1733" s="12">
        <f>_xlfn.XLOOKUP(Table134526_79101120212223242526[[#This Row],[Name Surname]],Manpower!C:C,Manpower!D:D,)</f>
        <v>141169085</v>
      </c>
      <c r="G1733" s="28" t="str">
        <f>_xlfn.XLOOKUP(Table134526_79101120212223242526[[#This Row],[Name Surname]],Manpower!$C$4:$C$1048576,Manpower!$F$4:$F$1048576,"")</f>
        <v>Welder</v>
      </c>
      <c r="H1733" s="28" t="str">
        <f>_xlfn.XLOOKUP(Table134526_79101120212223242526[[#This Row],[Name Surname]],Manpower!$C$4:$C$1048576,Manpower!$H$4:$H$1048576,"")</f>
        <v>Manpower</v>
      </c>
      <c r="I1733" s="28" t="str">
        <f>_xlfn.XLOOKUP(Table134526_79101120212223242526[[#This Row],[Name Surname]],Manpower!$C$4:$C$1048576,Manpower!$H$4:$H$1048576,"")</f>
        <v>Manpower</v>
      </c>
      <c r="J1733" s="21" t="s">
        <v>48</v>
      </c>
      <c r="K1733" s="21" t="s">
        <v>26</v>
      </c>
      <c r="L1733" s="21" t="s">
        <v>49</v>
      </c>
      <c r="M1733" s="21" t="s">
        <v>24</v>
      </c>
      <c r="N1733" s="29">
        <v>5</v>
      </c>
      <c r="O1733" s="21" t="s">
        <v>25</v>
      </c>
      <c r="P1733" s="21" t="s">
        <v>41</v>
      </c>
      <c r="Q1733" s="21" t="s">
        <v>60</v>
      </c>
      <c r="R1733" s="21" t="s">
        <v>26</v>
      </c>
    </row>
    <row r="1734" spans="1:19" s="45" customFormat="1" ht="14.4" hidden="1">
      <c r="A1734" s="25">
        <f>IF(C1734="","",MAX($A$1:A1733)+1)</f>
        <v>1635</v>
      </c>
      <c r="B1734" s="25" t="s">
        <v>19</v>
      </c>
      <c r="C1734" s="41">
        <v>46096</v>
      </c>
      <c r="D1734" s="48" t="str">
        <f>_xlfn.XLOOKUP(Table134526_79101120212223242526[[#This Row],[Name Surname]],Manpower!$C$4:$C$1048576,Manpower!$B$4:$B$1048576,"")</f>
        <v>Encogroup</v>
      </c>
      <c r="E1734" s="43" t="s">
        <v>61</v>
      </c>
      <c r="F1734" s="12">
        <f>_xlfn.XLOOKUP(Table134526_79101120212223242526[[#This Row],[Name Surname]],Manpower!C:C,Manpower!D:D,)</f>
        <v>141169047</v>
      </c>
      <c r="G1734" s="48" t="str">
        <f>_xlfn.XLOOKUP(Table134526_79101120212223242526[[#This Row],[Name Surname]],Manpower!$C$4:$C$1048576,Manpower!$F$4:$F$1048576,"")</f>
        <v>Welder</v>
      </c>
      <c r="H1734" s="48" t="str">
        <f>_xlfn.XLOOKUP(Table134526_79101120212223242526[[#This Row],[Name Surname]],Manpower!$C$4:$C$1048576,Manpower!$H$4:$H$1048576,"")</f>
        <v>Manpower</v>
      </c>
      <c r="I1734" s="48" t="str">
        <f>_xlfn.XLOOKUP(Table134526_79101120212223242526[[#This Row],[Name Surname]],Manpower!$C$4:$C$1048576,Manpower!$H$4:$H$1048576,"")</f>
        <v>Manpower</v>
      </c>
      <c r="J1734" s="43" t="s">
        <v>48</v>
      </c>
      <c r="K1734" s="43" t="s">
        <v>26</v>
      </c>
      <c r="L1734" s="43" t="s">
        <v>49</v>
      </c>
      <c r="M1734" s="43" t="s">
        <v>24</v>
      </c>
      <c r="N1734" s="44">
        <v>5</v>
      </c>
      <c r="O1734" s="43" t="s">
        <v>25</v>
      </c>
      <c r="P1734" s="43" t="s">
        <v>41</v>
      </c>
      <c r="Q1734" s="43" t="s">
        <v>60</v>
      </c>
      <c r="R1734" s="43" t="s">
        <v>26</v>
      </c>
      <c r="S1734" s="43"/>
    </row>
    <row r="1735" spans="1:19" s="45" customFormat="1" ht="14.4" hidden="1">
      <c r="A1735" s="25">
        <f>IF(C1735="","",MAX($A$1:A1734)+1)</f>
        <v>1636</v>
      </c>
      <c r="B1735" s="25" t="s">
        <v>19</v>
      </c>
      <c r="C1735" s="41">
        <v>46096</v>
      </c>
      <c r="D1735" s="48" t="str">
        <f>_xlfn.XLOOKUP(Table134526_79101120212223242526[[#This Row],[Name Surname]],Manpower!$C$4:$C$1048576,Manpower!$B$4:$B$1048576,"")</f>
        <v>Encogroup</v>
      </c>
      <c r="E1735" s="43" t="s">
        <v>70</v>
      </c>
      <c r="F1735" s="12">
        <f>_xlfn.XLOOKUP(Table134526_79101120212223242526[[#This Row],[Name Surname]],Manpower!C:C,Manpower!D:D,)</f>
        <v>141365126</v>
      </c>
      <c r="G1735" s="48" t="str">
        <f>_xlfn.XLOOKUP(Table134526_79101120212223242526[[#This Row],[Name Surname]],Manpower!$C$4:$C$1048576,Manpower!$F$4:$F$1048576,"")</f>
        <v>Helper</v>
      </c>
      <c r="H1735" s="48" t="str">
        <f>_xlfn.XLOOKUP(Table134526_79101120212223242526[[#This Row],[Name Surname]],Manpower!$C$4:$C$1048576,Manpower!$H$4:$H$1048576,"")</f>
        <v>Manpower</v>
      </c>
      <c r="I1735" s="48" t="str">
        <f>_xlfn.XLOOKUP(Table134526_79101120212223242526[[#This Row],[Name Surname]],Manpower!$C$4:$C$1048576,Manpower!$H$4:$H$1048576,"")</f>
        <v>Manpower</v>
      </c>
      <c r="J1735" s="43" t="s">
        <v>48</v>
      </c>
      <c r="K1735" s="43" t="s">
        <v>26</v>
      </c>
      <c r="L1735" s="43" t="s">
        <v>49</v>
      </c>
      <c r="M1735" s="43" t="s">
        <v>24</v>
      </c>
      <c r="N1735" s="44">
        <v>10</v>
      </c>
      <c r="O1735" s="43" t="s">
        <v>25</v>
      </c>
      <c r="P1735" s="43" t="s">
        <v>41</v>
      </c>
      <c r="Q1735" s="43" t="s">
        <v>60</v>
      </c>
      <c r="R1735" s="43" t="s">
        <v>26</v>
      </c>
      <c r="S1735" s="43"/>
    </row>
    <row r="1736" spans="1:19" s="45" customFormat="1" ht="14.4" hidden="1">
      <c r="A1736" s="25">
        <f>IF(C1736="","",MAX($A$1:A1735)+1)</f>
        <v>1637</v>
      </c>
      <c r="B1736" s="25" t="s">
        <v>19</v>
      </c>
      <c r="C1736" s="41">
        <v>46096</v>
      </c>
      <c r="D1736" s="48" t="str">
        <f>_xlfn.XLOOKUP(Table134526_79101120212223242526[[#This Row],[Name Surname]],Manpower!$C$4:$C$1048576,Manpower!$B$4:$B$1048576,"")</f>
        <v>Bright Light</v>
      </c>
      <c r="E1736" s="43" t="s">
        <v>71</v>
      </c>
      <c r="F1736" s="12">
        <f>_xlfn.XLOOKUP(Table134526_79101120212223242526[[#This Row],[Name Surname]],Manpower!C:C,Manpower!D:D,)</f>
        <v>81379273</v>
      </c>
      <c r="G1736" s="48" t="str">
        <f>_xlfn.XLOOKUP(Table134526_79101120212223242526[[#This Row],[Name Surname]],Manpower!$C$4:$C$1048576,Manpower!$F$4:$F$1048576,"")</f>
        <v>Crane Operator-100T Sany Telescopic</v>
      </c>
      <c r="H1736" s="48" t="s">
        <v>39</v>
      </c>
      <c r="I1736" s="48" t="s">
        <v>39</v>
      </c>
      <c r="J1736" s="43" t="s">
        <v>48</v>
      </c>
      <c r="K1736" s="43" t="s">
        <v>26</v>
      </c>
      <c r="L1736" s="43" t="s">
        <v>49</v>
      </c>
      <c r="M1736" s="43" t="s">
        <v>24</v>
      </c>
      <c r="N1736" s="44">
        <v>10</v>
      </c>
      <c r="O1736" s="43" t="s">
        <v>40</v>
      </c>
      <c r="P1736" s="43" t="s">
        <v>41</v>
      </c>
      <c r="Q1736" s="43" t="s">
        <v>42</v>
      </c>
      <c r="R1736" s="43" t="s">
        <v>26</v>
      </c>
      <c r="S1736" s="43"/>
    </row>
    <row r="1737" spans="1:19" s="45" customFormat="1" ht="14.4" hidden="1">
      <c r="A1737" s="25">
        <f>IF(C1737="","",MAX($A$1:A1736)+1)</f>
        <v>1638</v>
      </c>
      <c r="B1737" s="25" t="s">
        <v>19</v>
      </c>
      <c r="C1737" s="41">
        <v>46096</v>
      </c>
      <c r="D1737" s="48" t="str">
        <f>_xlfn.XLOOKUP(Table134526_79101120212223242526[[#This Row],[Name Surname]],Manpower!$C$4:$C$1048576,Manpower!$B$4:$B$1048576,"")</f>
        <v>Encogroup</v>
      </c>
      <c r="E1737" s="43" t="s">
        <v>73</v>
      </c>
      <c r="F1737" s="12">
        <f>_xlfn.XLOOKUP(Table134526_79101120212223242526[[#This Row],[Name Surname]],Manpower!C:C,Manpower!D:D,)</f>
        <v>135325259</v>
      </c>
      <c r="G1737" s="48" t="str">
        <f>_xlfn.XLOOKUP(Table134526_79101120212223242526[[#This Row],[Name Surname]],Manpower!$C$4:$C$1048576,Manpower!$F$4:$F$1048576,"")</f>
        <v>Permit Receiver</v>
      </c>
      <c r="H1737" s="48" t="str">
        <f>_xlfn.XLOOKUP(Table134526_79101120212223242526[[#This Row],[Name Surname]],Manpower!$C$4:$C$1048576,Manpower!$H$4:$H$1048576,"")</f>
        <v>Manpower</v>
      </c>
      <c r="I1737" s="48" t="str">
        <f>_xlfn.XLOOKUP(Table134526_79101120212223242526[[#This Row],[Name Surname]],Manpower!$C$4:$C$1048576,Manpower!$H$4:$H$1048576,"")</f>
        <v>Manpower</v>
      </c>
      <c r="J1737" s="43" t="s">
        <v>48</v>
      </c>
      <c r="K1737" s="43" t="s">
        <v>26</v>
      </c>
      <c r="L1737" s="43" t="s">
        <v>49</v>
      </c>
      <c r="M1737" s="43" t="s">
        <v>24</v>
      </c>
      <c r="N1737" s="44">
        <v>10</v>
      </c>
      <c r="O1737" s="43" t="s">
        <v>25</v>
      </c>
      <c r="P1737" s="43" t="s">
        <v>41</v>
      </c>
      <c r="Q1737" s="43" t="s">
        <v>60</v>
      </c>
      <c r="R1737" s="43" t="s">
        <v>26</v>
      </c>
      <c r="S1737" s="43"/>
    </row>
    <row r="1738" spans="1:19" s="45" customFormat="1" ht="14.4" hidden="1">
      <c r="A1738" s="25">
        <f>IF(C1738="","",MAX($A$1:A1737)+1)</f>
        <v>1639</v>
      </c>
      <c r="B1738" s="25" t="s">
        <v>19</v>
      </c>
      <c r="C1738" s="41">
        <v>46096</v>
      </c>
      <c r="D1738" s="48" t="str">
        <f>_xlfn.XLOOKUP(Table134526_79101120212223242526[[#This Row],[Name Surname]],Manpower!$C$4:$C$1048576,Manpower!$B$4:$B$1048576,"")</f>
        <v>Encogroup</v>
      </c>
      <c r="E1738" s="43" t="s">
        <v>74</v>
      </c>
      <c r="F1738" s="12">
        <f>_xlfn.XLOOKUP(Table134526_79101120212223242526[[#This Row],[Name Surname]],Manpower!C:C,Manpower!D:D,)</f>
        <v>141365089</v>
      </c>
      <c r="G1738" s="48" t="str">
        <f>_xlfn.XLOOKUP(Table134526_79101120212223242526[[#This Row],[Name Surname]],Manpower!$C$4:$C$1048576,Manpower!$F$4:$F$1048576,"")</f>
        <v>Fitter</v>
      </c>
      <c r="H1738" s="48" t="str">
        <f>_xlfn.XLOOKUP(Table134526_79101120212223242526[[#This Row],[Name Surname]],Manpower!$C$4:$C$1048576,Manpower!$H$4:$H$1048576,"")</f>
        <v>Manpower</v>
      </c>
      <c r="I1738" s="48" t="str">
        <f>_xlfn.XLOOKUP(Table134526_79101120212223242526[[#This Row],[Name Surname]],Manpower!$C$4:$C$1048576,Manpower!$H$4:$H$1048576,"")</f>
        <v>Manpower</v>
      </c>
      <c r="J1738" s="43" t="s">
        <v>48</v>
      </c>
      <c r="K1738" s="43" t="s">
        <v>26</v>
      </c>
      <c r="L1738" s="43" t="s">
        <v>49</v>
      </c>
      <c r="M1738" s="43" t="s">
        <v>24</v>
      </c>
      <c r="N1738" s="44">
        <v>10</v>
      </c>
      <c r="O1738" s="43" t="s">
        <v>25</v>
      </c>
      <c r="P1738" s="43" t="s">
        <v>41</v>
      </c>
      <c r="Q1738" s="43" t="s">
        <v>60</v>
      </c>
      <c r="R1738" s="43" t="s">
        <v>26</v>
      </c>
      <c r="S1738" s="43"/>
    </row>
    <row r="1739" spans="1:19" s="45" customFormat="1" ht="14.4" hidden="1">
      <c r="A1739" s="25">
        <f>IF(C1739="","",MAX($A$1:A1738)+1)</f>
        <v>1640</v>
      </c>
      <c r="B1739" s="25" t="s">
        <v>19</v>
      </c>
      <c r="C1739" s="41">
        <v>46096</v>
      </c>
      <c r="D1739" s="48" t="str">
        <f>_xlfn.XLOOKUP(Table134526_79101120212223242526[[#This Row],[Name Surname]],Manpower!$C$4:$C$1048576,Manpower!$B$4:$B$1048576,"")</f>
        <v>Encogroup</v>
      </c>
      <c r="E1739" s="43" t="s">
        <v>75</v>
      </c>
      <c r="F1739" s="12">
        <f>_xlfn.XLOOKUP(Table134526_79101120212223242526[[#This Row],[Name Surname]],Manpower!C:C,Manpower!D:D,)</f>
        <v>122179604</v>
      </c>
      <c r="G1739" s="48" t="str">
        <f>_xlfn.XLOOKUP(Table134526_79101120212223242526[[#This Row],[Name Surname]],Manpower!$C$4:$C$1048576,Manpower!$F$4:$F$1048576,"")</f>
        <v>Fitter/Erector</v>
      </c>
      <c r="H1739" s="48" t="str">
        <f>_xlfn.XLOOKUP(Table134526_79101120212223242526[[#This Row],[Name Surname]],Manpower!$C$4:$C$1048576,Manpower!$H$4:$H$1048576,"")</f>
        <v>Manpower</v>
      </c>
      <c r="I1739" s="48" t="str">
        <f>_xlfn.XLOOKUP(Table134526_79101120212223242526[[#This Row],[Name Surname]],Manpower!$C$4:$C$1048576,Manpower!$H$4:$H$1048576,"")</f>
        <v>Manpower</v>
      </c>
      <c r="J1739" s="43" t="s">
        <v>48</v>
      </c>
      <c r="K1739" s="43" t="s">
        <v>26</v>
      </c>
      <c r="L1739" s="43" t="s">
        <v>49</v>
      </c>
      <c r="M1739" s="43" t="s">
        <v>24</v>
      </c>
      <c r="N1739" s="44">
        <v>10</v>
      </c>
      <c r="O1739" s="43" t="s">
        <v>25</v>
      </c>
      <c r="P1739" s="43" t="s">
        <v>41</v>
      </c>
      <c r="Q1739" s="43" t="s">
        <v>60</v>
      </c>
      <c r="R1739" s="43" t="s">
        <v>26</v>
      </c>
      <c r="S1739" s="43"/>
    </row>
    <row r="1740" spans="1:19" s="45" customFormat="1" ht="14.4" hidden="1">
      <c r="A1740" s="25">
        <f>IF(C1740="","",MAX($A$1:A1739)+1)</f>
        <v>1641</v>
      </c>
      <c r="B1740" s="25" t="s">
        <v>19</v>
      </c>
      <c r="C1740" s="41">
        <v>46096</v>
      </c>
      <c r="D1740" s="48" t="str">
        <f>_xlfn.XLOOKUP(Table134526_79101120212223242526[[#This Row],[Name Surname]],Manpower!$C$4:$C$1048576,Manpower!$B$4:$B$1048576,"")</f>
        <v>Encogroup</v>
      </c>
      <c r="E1740" s="43" t="s">
        <v>78</v>
      </c>
      <c r="F1740" s="12">
        <f>_xlfn.XLOOKUP(Table134526_79101120212223242526[[#This Row],[Name Surname]],Manpower!C:C,Manpower!D:D,)</f>
        <v>117255966</v>
      </c>
      <c r="G1740" s="48" t="str">
        <f>_xlfn.XLOOKUP(Table134526_79101120212223242526[[#This Row],[Name Surname]],Manpower!$C$4:$C$1048576,Manpower!$F$4:$F$1048576,"")</f>
        <v>Mechanical Supervisor</v>
      </c>
      <c r="H1740" s="48" t="str">
        <f>_xlfn.XLOOKUP(Table134526_79101120212223242526[[#This Row],[Name Surname]],Manpower!$C$4:$C$1048576,Manpower!$H$4:$H$1048576,"")</f>
        <v>Manpower</v>
      </c>
      <c r="I1740" s="48" t="str">
        <f>_xlfn.XLOOKUP(Table134526_79101120212223242526[[#This Row],[Name Surname]],Manpower!$C$4:$C$1048576,Manpower!$H$4:$H$1048576,"")</f>
        <v>Manpower</v>
      </c>
      <c r="J1740" s="43" t="s">
        <v>48</v>
      </c>
      <c r="K1740" s="43" t="s">
        <v>26</v>
      </c>
      <c r="L1740" s="43" t="s">
        <v>49</v>
      </c>
      <c r="M1740" s="43" t="s">
        <v>24</v>
      </c>
      <c r="N1740" s="44">
        <v>10</v>
      </c>
      <c r="O1740" s="43" t="s">
        <v>25</v>
      </c>
      <c r="P1740" s="43" t="s">
        <v>41</v>
      </c>
      <c r="Q1740" s="43" t="s">
        <v>60</v>
      </c>
      <c r="R1740" s="43" t="s">
        <v>26</v>
      </c>
      <c r="S1740" s="43"/>
    </row>
    <row r="1741" spans="1:19" ht="14.4">
      <c r="A1741" s="33">
        <f>IF(C1741="","",MAX($A$1:A1740)+1)</f>
        <v>1642</v>
      </c>
      <c r="B1741" s="26" t="s">
        <v>79</v>
      </c>
      <c r="C1741" s="23">
        <v>46096</v>
      </c>
      <c r="D1741" s="28" t="str">
        <f>_xlfn.XLOOKUP(Table134526_79101120212223242526[[#This Row],[Name Surname]],Manpower!$C$4:$C$1048576,Manpower!$B$4:$B$1048576,"")</f>
        <v>Encogroup</v>
      </c>
      <c r="E1741" s="21" t="s">
        <v>80</v>
      </c>
      <c r="F1741" s="12" t="e">
        <f>_xlfn.XLOOKUP(Table134526_79101120212223242526[[#This Row],[Name Surname]],Manpower!C:C,Manpower!D:D,)</f>
        <v>#N/A</v>
      </c>
      <c r="G1741" s="28" t="str">
        <f>_xlfn.XLOOKUP(Table134526_79101120212223242526[[#This Row],[Name Surname]],Manpower!$C$4:$C$1048576,Manpower!$F$4:$F$1048576,"")</f>
        <v>22M-Manlift</v>
      </c>
      <c r="H1741" s="28" t="str">
        <f>_xlfn.XLOOKUP(Table134526_79101120212223242526[[#This Row],[Name Surname]],Manpower!$C$4:$C$1048576,Manpower!$H$4:$H$1048576,"")</f>
        <v>Equipment</v>
      </c>
      <c r="I1741" s="28" t="str">
        <f>_xlfn.XLOOKUP(Table134526_79101120212223242526[[#This Row],[Name Surname]],Manpower!$C$4:$C$1048576,Manpower!$H$4:$H$1048576,"")</f>
        <v>Equipment</v>
      </c>
      <c r="J1741" s="21" t="s">
        <v>35</v>
      </c>
      <c r="K1741" s="21" t="s">
        <v>252</v>
      </c>
      <c r="L1741" s="21" t="s">
        <v>82</v>
      </c>
      <c r="M1741" s="21" t="s">
        <v>24</v>
      </c>
      <c r="N1741" s="29">
        <v>10</v>
      </c>
      <c r="O1741" s="21" t="s">
        <v>25</v>
      </c>
      <c r="P1741" s="21" t="s">
        <v>41</v>
      </c>
      <c r="Q1741" s="21" t="s">
        <v>77</v>
      </c>
      <c r="R1741" s="21" t="s">
        <v>312</v>
      </c>
    </row>
    <row r="1742" spans="1:19" ht="14.4">
      <c r="A1742" s="33">
        <f>IF(C1742="","",MAX($A$1:A1741)+1)</f>
        <v>1643</v>
      </c>
      <c r="B1742" s="26" t="s">
        <v>79</v>
      </c>
      <c r="C1742" s="23">
        <v>46096</v>
      </c>
      <c r="D1742" s="28" t="str">
        <f>_xlfn.XLOOKUP(Table134526_79101120212223242526[[#This Row],[Name Surname]],Manpower!$C$4:$C$1048576,Manpower!$B$4:$B$1048576,"")</f>
        <v>Encogroup</v>
      </c>
      <c r="E1742" s="21" t="s">
        <v>84</v>
      </c>
      <c r="F1742" s="12" t="e">
        <f>_xlfn.XLOOKUP(Table134526_79101120212223242526[[#This Row],[Name Surname]],Manpower!C:C,Manpower!D:D,)</f>
        <v>#N/A</v>
      </c>
      <c r="G1742" s="28" t="str">
        <f>_xlfn.XLOOKUP(Table134526_79101120212223242526[[#This Row],[Name Surname]],Manpower!$C$4:$C$1048576,Manpower!$F$4:$F$1048576,"")</f>
        <v>22M-Manlift</v>
      </c>
      <c r="H1742" s="28" t="str">
        <f>_xlfn.XLOOKUP(Table134526_79101120212223242526[[#This Row],[Name Surname]],Manpower!$C$4:$C$1048576,Manpower!$H$4:$H$1048576,"")</f>
        <v>Equipment</v>
      </c>
      <c r="I1742" s="28" t="str">
        <f>_xlfn.XLOOKUP(Table134526_79101120212223242526[[#This Row],[Name Surname]],Manpower!$C$4:$C$1048576,Manpower!$H$4:$H$1048576,"")</f>
        <v>Equipment</v>
      </c>
      <c r="J1742" s="21" t="s">
        <v>35</v>
      </c>
      <c r="K1742" s="21" t="s">
        <v>252</v>
      </c>
      <c r="L1742" s="21" t="s">
        <v>82</v>
      </c>
      <c r="M1742" s="21" t="s">
        <v>24</v>
      </c>
      <c r="N1742" s="29">
        <v>10</v>
      </c>
      <c r="O1742" s="21" t="s">
        <v>25</v>
      </c>
      <c r="P1742" s="21" t="s">
        <v>41</v>
      </c>
      <c r="Q1742" s="21" t="s">
        <v>77</v>
      </c>
      <c r="R1742" s="21" t="s">
        <v>312</v>
      </c>
    </row>
    <row r="1743" spans="1:19" ht="14.4">
      <c r="A1743" s="33">
        <f>IF(C1743="","",MAX($A$1:A1742)+1)</f>
        <v>1644</v>
      </c>
      <c r="B1743" s="26" t="s">
        <v>79</v>
      </c>
      <c r="C1743" s="23">
        <v>46096</v>
      </c>
      <c r="D1743" s="28" t="str">
        <f>_xlfn.XLOOKUP(Table134526_79101120212223242526[[#This Row],[Name Surname]],Manpower!$C$4:$C$1048576,Manpower!$B$4:$B$1048576,"")</f>
        <v>Nass Group</v>
      </c>
      <c r="E1743" s="21" t="s">
        <v>86</v>
      </c>
      <c r="F1743" s="12" t="e">
        <f>_xlfn.XLOOKUP(Table134526_79101120212223242526[[#This Row],[Name Surname]],Manpower!C:C,Manpower!D:D,)</f>
        <v>#N/A</v>
      </c>
      <c r="G1743" s="28" t="str">
        <f>_xlfn.XLOOKUP(Table134526_79101120212223242526[[#This Row],[Name Surname]],Manpower!$C$4:$C$1048576,Manpower!$F$4:$F$1048576,"")</f>
        <v>70T-Telescopic crane</v>
      </c>
      <c r="H1743" s="28" t="str">
        <f>_xlfn.XLOOKUP(Table134526_79101120212223242526[[#This Row],[Name Surname]],Manpower!$C$4:$C$1048576,Manpower!$H$4:$H$1048576,"")</f>
        <v>Equipment</v>
      </c>
      <c r="I1743" s="28" t="str">
        <f>_xlfn.XLOOKUP(Table134526_79101120212223242526[[#This Row],[Name Surname]],Manpower!$C$4:$C$1048576,Manpower!$H$4:$H$1048576,"")</f>
        <v>Equipment</v>
      </c>
      <c r="J1743" s="21" t="s">
        <v>35</v>
      </c>
      <c r="K1743" s="21" t="s">
        <v>313</v>
      </c>
      <c r="L1743" s="21" t="s">
        <v>82</v>
      </c>
      <c r="M1743" s="21" t="s">
        <v>24</v>
      </c>
      <c r="N1743" s="29">
        <v>10</v>
      </c>
      <c r="O1743" s="21" t="s">
        <v>40</v>
      </c>
      <c r="P1743" s="21" t="s">
        <v>41</v>
      </c>
      <c r="Q1743" s="21" t="s">
        <v>42</v>
      </c>
      <c r="R1743" s="21" t="s">
        <v>314</v>
      </c>
    </row>
    <row r="1744" spans="1:19" s="45" customFormat="1" ht="14.4" hidden="1">
      <c r="A1744" s="25">
        <f>IF(C1744="","",MAX($A$1:A1743)+1)</f>
        <v>1645</v>
      </c>
      <c r="B1744" s="25" t="s">
        <v>79</v>
      </c>
      <c r="C1744" s="41">
        <v>46096</v>
      </c>
      <c r="D1744" s="48" t="str">
        <f>_xlfn.XLOOKUP(Table134526_79101120212223242526[[#This Row],[Name Surname]],Manpower!$C$4:$C$1048576,Manpower!$B$4:$B$1048576,"")</f>
        <v>Encogroup</v>
      </c>
      <c r="E1744" s="43" t="s">
        <v>91</v>
      </c>
      <c r="F1744" s="12">
        <f>_xlfn.XLOOKUP(Table134526_79101120212223242526[[#This Row],[Name Surname]],Manpower!C:C,Manpower!D:D,)</f>
        <v>132915855</v>
      </c>
      <c r="G1744" s="48" t="str">
        <f>_xlfn.XLOOKUP(Table134526_79101120212223242526[[#This Row],[Name Surname]],Manpower!$C$4:$C$1048576,Manpower!$F$4:$F$1048576,"")</f>
        <v>Mechanical Supervisor</v>
      </c>
      <c r="H1744" s="48" t="str">
        <f>_xlfn.XLOOKUP(Table134526_79101120212223242526[[#This Row],[Name Surname]],Manpower!$C$4:$C$1048576,Manpower!$H$4:$H$1048576,"")</f>
        <v>Manpower</v>
      </c>
      <c r="I1744" s="48" t="str">
        <f>_xlfn.XLOOKUP(Table134526_79101120212223242526[[#This Row],[Name Surname]],Manpower!$C$4:$C$1048576,Manpower!$H$4:$H$1048576,"")</f>
        <v>Manpower</v>
      </c>
      <c r="J1744" s="43" t="s">
        <v>35</v>
      </c>
      <c r="K1744" s="43" t="s">
        <v>313</v>
      </c>
      <c r="L1744" s="43" t="s">
        <v>82</v>
      </c>
      <c r="M1744" s="43" t="s">
        <v>24</v>
      </c>
      <c r="N1744" s="44">
        <v>8</v>
      </c>
      <c r="O1744" s="43" t="s">
        <v>25</v>
      </c>
      <c r="P1744" s="43" t="s">
        <v>60</v>
      </c>
      <c r="Q1744" s="43" t="s">
        <v>60</v>
      </c>
      <c r="R1744" s="43" t="s">
        <v>301</v>
      </c>
      <c r="S1744" s="43"/>
    </row>
    <row r="1745" spans="1:19" s="45" customFormat="1" ht="14.4" hidden="1">
      <c r="A1745" s="25">
        <f>IF(C1745="","",MAX($A$1:A1744)+1)</f>
        <v>1646</v>
      </c>
      <c r="B1745" s="25" t="s">
        <v>79</v>
      </c>
      <c r="C1745" s="41">
        <v>46096</v>
      </c>
      <c r="D1745" s="48" t="str">
        <f>_xlfn.XLOOKUP(Table134526_79101120212223242526[[#This Row],[Name Surname]],Manpower!$C$4:$C$1048576,Manpower!$B$4:$B$1048576,"")</f>
        <v>Encogroup</v>
      </c>
      <c r="E1745" s="43" t="s">
        <v>124</v>
      </c>
      <c r="F1745" s="12">
        <f>_xlfn.XLOOKUP(Table134526_79101120212223242526[[#This Row],[Name Surname]],Manpower!C:C,Manpower!D:D,)</f>
        <v>141169033</v>
      </c>
      <c r="G1745" s="48" t="str">
        <f>_xlfn.XLOOKUP(Table134526_79101120212223242526[[#This Row],[Name Surname]],Manpower!$C$4:$C$1048576,Manpower!$F$4:$F$1048576,"")</f>
        <v>Welder</v>
      </c>
      <c r="H1745" s="48" t="str">
        <f>_xlfn.XLOOKUP(Table134526_79101120212223242526[[#This Row],[Name Surname]],Manpower!$C$4:$C$1048576,Manpower!$H$4:$H$1048576,"")</f>
        <v>Manpower</v>
      </c>
      <c r="I1745" s="48" t="str">
        <f>_xlfn.XLOOKUP(Table134526_79101120212223242526[[#This Row],[Name Surname]],Manpower!$C$4:$C$1048576,Manpower!$H$4:$H$1048576,"")</f>
        <v>Manpower</v>
      </c>
      <c r="J1745" s="43" t="s">
        <v>35</v>
      </c>
      <c r="K1745" s="43" t="s">
        <v>313</v>
      </c>
      <c r="L1745" s="43" t="s">
        <v>82</v>
      </c>
      <c r="M1745" s="43" t="s">
        <v>24</v>
      </c>
      <c r="N1745" s="44">
        <v>10</v>
      </c>
      <c r="O1745" s="43" t="s">
        <v>94</v>
      </c>
      <c r="P1745" s="43" t="s">
        <v>95</v>
      </c>
      <c r="Q1745" s="43" t="s">
        <v>95</v>
      </c>
      <c r="R1745" s="43" t="s">
        <v>302</v>
      </c>
      <c r="S1745" s="43"/>
    </row>
    <row r="1746" spans="1:19" s="45" customFormat="1" ht="14.4" hidden="1">
      <c r="A1746" s="25">
        <f>IF(C1746="","",MAX($A$1:A1745)+1)</f>
        <v>1647</v>
      </c>
      <c r="B1746" s="25" t="s">
        <v>79</v>
      </c>
      <c r="C1746" s="41">
        <v>46096</v>
      </c>
      <c r="D1746" s="48" t="str">
        <f>_xlfn.XLOOKUP(Table134526_79101120212223242526[[#This Row],[Name Surname]],Manpower!$C$4:$C$1048576,Manpower!$B$4:$B$1048576,"")</f>
        <v>Encogroup</v>
      </c>
      <c r="E1746" s="43" t="s">
        <v>97</v>
      </c>
      <c r="F1746" s="12">
        <f>_xlfn.XLOOKUP(Table134526_79101120212223242526[[#This Row],[Name Surname]],Manpower!C:C,Manpower!D:D,)</f>
        <v>141359235</v>
      </c>
      <c r="G1746" s="48" t="str">
        <f>_xlfn.XLOOKUP(Table134526_79101120212223242526[[#This Row],[Name Surname]],Manpower!$C$4:$C$1048576,Manpower!$F$4:$F$1048576,"")</f>
        <v>Fitter</v>
      </c>
      <c r="H1746" s="48" t="str">
        <f>_xlfn.XLOOKUP(Table134526_79101120212223242526[[#This Row],[Name Surname]],Manpower!$C$4:$C$1048576,Manpower!$H$4:$H$1048576,"")</f>
        <v>Manpower</v>
      </c>
      <c r="I1746" s="48" t="str">
        <f>_xlfn.XLOOKUP(Table134526_79101120212223242526[[#This Row],[Name Surname]],Manpower!$C$4:$C$1048576,Manpower!$H$4:$H$1048576,"")</f>
        <v>Manpower</v>
      </c>
      <c r="J1746" s="43" t="s">
        <v>35</v>
      </c>
      <c r="K1746" s="43" t="s">
        <v>252</v>
      </c>
      <c r="L1746" s="43" t="s">
        <v>82</v>
      </c>
      <c r="M1746" s="43" t="s">
        <v>24</v>
      </c>
      <c r="N1746" s="44">
        <v>10</v>
      </c>
      <c r="O1746" s="43" t="s">
        <v>25</v>
      </c>
      <c r="P1746" s="43" t="s">
        <v>41</v>
      </c>
      <c r="Q1746" s="43" t="s">
        <v>77</v>
      </c>
      <c r="R1746" s="43" t="s">
        <v>312</v>
      </c>
      <c r="S1746" s="43"/>
    </row>
    <row r="1747" spans="1:19" s="45" customFormat="1" ht="14.4" hidden="1">
      <c r="A1747" s="25">
        <f>IF(C1747="","",MAX($A$1:A1746)+1)</f>
        <v>1648</v>
      </c>
      <c r="B1747" s="25" t="s">
        <v>79</v>
      </c>
      <c r="C1747" s="41">
        <v>46096</v>
      </c>
      <c r="D1747" s="48" t="str">
        <f>_xlfn.XLOOKUP(Table134526_79101120212223242526[[#This Row],[Name Surname]],Manpower!$C$4:$C$1048576,Manpower!$B$4:$B$1048576,"")</f>
        <v>Encogroup</v>
      </c>
      <c r="E1747" s="43" t="s">
        <v>99</v>
      </c>
      <c r="F1747" s="12">
        <f>_xlfn.XLOOKUP(Table134526_79101120212223242526[[#This Row],[Name Surname]],Manpower!C:C,Manpower!D:D,)</f>
        <v>140697025</v>
      </c>
      <c r="G1747" s="48" t="str">
        <f>_xlfn.XLOOKUP(Table134526_79101120212223242526[[#This Row],[Name Surname]],Manpower!$C$4:$C$1048576,Manpower!$F$4:$F$1048576,"")</f>
        <v>Assistant/Helper</v>
      </c>
      <c r="H1747" s="48" t="str">
        <f>_xlfn.XLOOKUP(Table134526_79101120212223242526[[#This Row],[Name Surname]],Manpower!$C$4:$C$1048576,Manpower!$H$4:$H$1048576,"")</f>
        <v>Manpower</v>
      </c>
      <c r="I1747" s="48" t="str">
        <f>_xlfn.XLOOKUP(Table134526_79101120212223242526[[#This Row],[Name Surname]],Manpower!$C$4:$C$1048576,Manpower!$H$4:$H$1048576,"")</f>
        <v>Manpower</v>
      </c>
      <c r="J1747" s="43" t="s">
        <v>35</v>
      </c>
      <c r="K1747" s="43" t="s">
        <v>313</v>
      </c>
      <c r="L1747" s="43" t="s">
        <v>82</v>
      </c>
      <c r="M1747" s="43" t="s">
        <v>24</v>
      </c>
      <c r="N1747" s="44">
        <v>10</v>
      </c>
      <c r="O1747" s="43" t="s">
        <v>25</v>
      </c>
      <c r="P1747" s="43" t="s">
        <v>41</v>
      </c>
      <c r="Q1747" s="43" t="s">
        <v>60</v>
      </c>
      <c r="R1747" s="43" t="s">
        <v>100</v>
      </c>
      <c r="S1747" s="43"/>
    </row>
    <row r="1748" spans="1:19" s="45" customFormat="1" ht="14.4" hidden="1">
      <c r="A1748" s="25">
        <f>IF(C1748="","",MAX($A$1:A1747)+1)</f>
        <v>1649</v>
      </c>
      <c r="B1748" s="25" t="s">
        <v>79</v>
      </c>
      <c r="C1748" s="41">
        <v>46096</v>
      </c>
      <c r="D1748" s="48" t="str">
        <f>_xlfn.XLOOKUP(Table134526_79101120212223242526[[#This Row],[Name Surname]],Manpower!$C$4:$C$1048576,Manpower!$B$4:$B$1048576,"")</f>
        <v>Encogroup</v>
      </c>
      <c r="E1748" s="43" t="s">
        <v>101</v>
      </c>
      <c r="F1748" s="12">
        <f>_xlfn.XLOOKUP(Table134526_79101120212223242526[[#This Row],[Name Surname]],Manpower!C:C,Manpower!D:D,)</f>
        <v>141169052</v>
      </c>
      <c r="G1748" s="48" t="str">
        <f>_xlfn.XLOOKUP(Table134526_79101120212223242526[[#This Row],[Name Surname]],Manpower!$C$4:$C$1048576,Manpower!$F$4:$F$1048576,"")</f>
        <v>Welder</v>
      </c>
      <c r="H1748" s="48" t="str">
        <f>_xlfn.XLOOKUP(Table134526_79101120212223242526[[#This Row],[Name Surname]],Manpower!$C$4:$C$1048576,Manpower!$H$4:$H$1048576,"")</f>
        <v>Manpower</v>
      </c>
      <c r="I1748" s="48" t="str">
        <f>_xlfn.XLOOKUP(Table134526_79101120212223242526[[#This Row],[Name Surname]],Manpower!$C$4:$C$1048576,Manpower!$H$4:$H$1048576,"")</f>
        <v>Manpower</v>
      </c>
      <c r="J1748" s="43" t="s">
        <v>35</v>
      </c>
      <c r="K1748" s="43" t="s">
        <v>252</v>
      </c>
      <c r="L1748" s="43" t="s">
        <v>82</v>
      </c>
      <c r="M1748" s="43" t="s">
        <v>24</v>
      </c>
      <c r="N1748" s="44">
        <v>10</v>
      </c>
      <c r="O1748" s="43" t="s">
        <v>25</v>
      </c>
      <c r="P1748" s="43" t="s">
        <v>41</v>
      </c>
      <c r="Q1748" s="43" t="s">
        <v>77</v>
      </c>
      <c r="R1748" s="43" t="s">
        <v>312</v>
      </c>
      <c r="S1748" s="43"/>
    </row>
    <row r="1749" spans="1:19" s="45" customFormat="1" ht="14.4" hidden="1">
      <c r="A1749" s="25">
        <f>IF(C1749="","",MAX($A$1:A1748)+1)</f>
        <v>1650</v>
      </c>
      <c r="B1749" s="25" t="s">
        <v>79</v>
      </c>
      <c r="C1749" s="41">
        <v>46096</v>
      </c>
      <c r="D1749" s="48" t="str">
        <f>_xlfn.XLOOKUP(Table134526_79101120212223242526[[#This Row],[Name Surname]],Manpower!$C$4:$C$1048576,Manpower!$B$4:$B$1048576,"")</f>
        <v>SARENS NASS</v>
      </c>
      <c r="E1749" s="43" t="s">
        <v>103</v>
      </c>
      <c r="F1749" s="12">
        <f>_xlfn.XLOOKUP(Table134526_79101120212223242526[[#This Row],[Name Surname]],Manpower!C:C,Manpower!D:D,)</f>
        <v>79502392</v>
      </c>
      <c r="G1749" s="48" t="str">
        <f>_xlfn.XLOOKUP(Table134526_79101120212223242526[[#This Row],[Name Surname]],Manpower!$C$4:$C$1048576,Manpower!$F$4:$F$1048576,"")</f>
        <v>Crane Operator- 70T Liebherr Telescopic Crane-01</v>
      </c>
      <c r="H1749" s="48" t="str">
        <f>_xlfn.XLOOKUP(Table134526_79101120212223242526[[#This Row],[Name Surname]],Manpower!$C$4:$C$1048576,Manpower!$H$4:$H$1048576,"")</f>
        <v>Manpower</v>
      </c>
      <c r="I1749" s="48" t="str">
        <f>_xlfn.XLOOKUP(Table134526_79101120212223242526[[#This Row],[Name Surname]],Manpower!$C$4:$C$1048576,Manpower!$H$4:$H$1048576,"")</f>
        <v>Manpower</v>
      </c>
      <c r="J1749" s="43" t="s">
        <v>35</v>
      </c>
      <c r="K1749" s="43" t="s">
        <v>313</v>
      </c>
      <c r="L1749" s="43" t="s">
        <v>82</v>
      </c>
      <c r="M1749" s="43" t="s">
        <v>24</v>
      </c>
      <c r="N1749" s="44">
        <v>10</v>
      </c>
      <c r="O1749" s="43" t="s">
        <v>40</v>
      </c>
      <c r="P1749" s="43" t="s">
        <v>41</v>
      </c>
      <c r="Q1749" s="43" t="s">
        <v>42</v>
      </c>
      <c r="R1749" s="43" t="s">
        <v>43</v>
      </c>
      <c r="S1749" s="43"/>
    </row>
    <row r="1750" spans="1:19" s="45" customFormat="1" ht="14.4" hidden="1">
      <c r="A1750" s="25">
        <f>IF(C1750="","",MAX($A$1:A1749)+1)</f>
        <v>1651</v>
      </c>
      <c r="B1750" s="25" t="s">
        <v>79</v>
      </c>
      <c r="C1750" s="41">
        <v>46096</v>
      </c>
      <c r="D1750" s="48" t="str">
        <f>_xlfn.XLOOKUP(Table134526_79101120212223242526[[#This Row],[Name Surname]],Manpower!$C$4:$C$1048576,Manpower!$B$4:$B$1048576,"")</f>
        <v>Encogroup</v>
      </c>
      <c r="E1750" s="43" t="s">
        <v>105</v>
      </c>
      <c r="F1750" s="12">
        <f>_xlfn.XLOOKUP(Table134526_79101120212223242526[[#This Row],[Name Surname]],Manpower!C:C,Manpower!D:D,)</f>
        <v>141358993</v>
      </c>
      <c r="G1750" s="48" t="str">
        <f>_xlfn.XLOOKUP(Table134526_79101120212223242526[[#This Row],[Name Surname]],Manpower!$C$4:$C$1048576,Manpower!$F$4:$F$1048576,"")</f>
        <v>Fitter</v>
      </c>
      <c r="H1750" s="48" t="str">
        <f>_xlfn.XLOOKUP(Table134526_79101120212223242526[[#This Row],[Name Surname]],Manpower!$C$4:$C$1048576,Manpower!$H$4:$H$1048576,"")</f>
        <v>Manpower</v>
      </c>
      <c r="I1750" s="48" t="str">
        <f>_xlfn.XLOOKUP(Table134526_79101120212223242526[[#This Row],[Name Surname]],Manpower!$C$4:$C$1048576,Manpower!$H$4:$H$1048576,"")</f>
        <v>Manpower</v>
      </c>
      <c r="J1750" s="43" t="s">
        <v>35</v>
      </c>
      <c r="K1750" s="43" t="s">
        <v>252</v>
      </c>
      <c r="L1750" s="43" t="s">
        <v>82</v>
      </c>
      <c r="M1750" s="43" t="s">
        <v>24</v>
      </c>
      <c r="N1750" s="44">
        <v>8</v>
      </c>
      <c r="O1750" s="43" t="s">
        <v>25</v>
      </c>
      <c r="P1750" s="43" t="s">
        <v>41</v>
      </c>
      <c r="Q1750" s="43" t="s">
        <v>77</v>
      </c>
      <c r="R1750" s="43" t="s">
        <v>312</v>
      </c>
      <c r="S1750" s="43"/>
    </row>
    <row r="1751" spans="1:19" s="45" customFormat="1" ht="14.4" hidden="1">
      <c r="A1751" s="25">
        <f>IF(C1751="","",MAX($A$1:A1750)+1)</f>
        <v>1652</v>
      </c>
      <c r="B1751" s="25" t="s">
        <v>79</v>
      </c>
      <c r="C1751" s="41">
        <v>46096</v>
      </c>
      <c r="D1751" s="48" t="str">
        <f>_xlfn.XLOOKUP(Table134526_79101120212223242526[[#This Row],[Name Surname]],Manpower!$C$4:$C$1048576,Manpower!$B$4:$B$1048576,"")</f>
        <v>Encogroup</v>
      </c>
      <c r="E1751" s="43" t="s">
        <v>106</v>
      </c>
      <c r="F1751" s="12" t="str">
        <f>_xlfn.XLOOKUP(Table134526_79101120212223242526[[#This Row],[Name Surname]],Manpower!C:C,Manpower!D:D,)</f>
        <v>R3971143</v>
      </c>
      <c r="G1751" s="48" t="str">
        <f>_xlfn.XLOOKUP(Table134526_79101120212223242526[[#This Row],[Name Surname]],Manpower!$C$4:$C$1048576,Manpower!$F$4:$F$1048576,"")</f>
        <v>Mechanical Foreman</v>
      </c>
      <c r="H1751" s="48" t="str">
        <f>_xlfn.XLOOKUP(Table134526_79101120212223242526[[#This Row],[Name Surname]],Manpower!$C$4:$C$1048576,Manpower!$H$4:$H$1048576,"")</f>
        <v>Manpower</v>
      </c>
      <c r="I1751" s="48" t="str">
        <f>_xlfn.XLOOKUP(Table134526_79101120212223242526[[#This Row],[Name Surname]],Manpower!$C$4:$C$1048576,Manpower!$H$4:$H$1048576,"")</f>
        <v>Manpower</v>
      </c>
      <c r="J1751" s="43" t="s">
        <v>35</v>
      </c>
      <c r="K1751" s="43" t="s">
        <v>313</v>
      </c>
      <c r="L1751" s="43" t="s">
        <v>82</v>
      </c>
      <c r="M1751" s="43" t="s">
        <v>24</v>
      </c>
      <c r="N1751" s="44">
        <v>10</v>
      </c>
      <c r="O1751" s="43" t="s">
        <v>25</v>
      </c>
      <c r="P1751" s="43" t="s">
        <v>41</v>
      </c>
      <c r="Q1751" s="43" t="s">
        <v>60</v>
      </c>
      <c r="R1751" s="43" t="s">
        <v>314</v>
      </c>
      <c r="S1751" s="43"/>
    </row>
    <row r="1752" spans="1:19" s="45" customFormat="1" ht="14.4" hidden="1">
      <c r="A1752" s="25">
        <f>IF(C1752="","",MAX($A$1:A1751)+1)</f>
        <v>1653</v>
      </c>
      <c r="B1752" s="25" t="s">
        <v>79</v>
      </c>
      <c r="C1752" s="41">
        <v>46096</v>
      </c>
      <c r="D1752" s="48" t="str">
        <f>_xlfn.XLOOKUP(Table134526_79101120212223242526[[#This Row],[Name Surname]],Manpower!$C$4:$C$1048576,Manpower!$B$4:$B$1048576,"")</f>
        <v>Encogroup</v>
      </c>
      <c r="E1752" s="43" t="s">
        <v>107</v>
      </c>
      <c r="F1752" s="12">
        <f>_xlfn.XLOOKUP(Table134526_79101120212223242526[[#This Row],[Name Surname]],Manpower!C:C,Manpower!D:D,)</f>
        <v>116858297</v>
      </c>
      <c r="G1752" s="48" t="str">
        <f>_xlfn.XLOOKUP(Table134526_79101120212223242526[[#This Row],[Name Surname]],Manpower!$C$4:$C$1048576,Manpower!$F$4:$F$1048576,"")</f>
        <v>Mechanical Superintendent</v>
      </c>
      <c r="H1752" s="48" t="str">
        <f>_xlfn.XLOOKUP(Table134526_79101120212223242526[[#This Row],[Name Surname]],Manpower!$C$4:$C$1048576,Manpower!$H$4:$H$1048576,"")</f>
        <v>Manpower</v>
      </c>
      <c r="I1752" s="48" t="str">
        <f>_xlfn.XLOOKUP(Table134526_79101120212223242526[[#This Row],[Name Surname]],Manpower!$C$4:$C$1048576,Manpower!$H$4:$H$1048576,"")</f>
        <v>Manpower</v>
      </c>
      <c r="J1752" s="43" t="s">
        <v>35</v>
      </c>
      <c r="K1752" s="43" t="s">
        <v>315</v>
      </c>
      <c r="L1752" s="43" t="s">
        <v>82</v>
      </c>
      <c r="M1752" s="43" t="s">
        <v>24</v>
      </c>
      <c r="N1752" s="44">
        <v>8</v>
      </c>
      <c r="O1752" s="43" t="s">
        <v>25</v>
      </c>
      <c r="P1752" s="43" t="s">
        <v>41</v>
      </c>
      <c r="Q1752" s="43" t="s">
        <v>60</v>
      </c>
      <c r="R1752" s="43" t="s">
        <v>301</v>
      </c>
      <c r="S1752" s="43"/>
    </row>
    <row r="1753" spans="1:19" s="45" customFormat="1" ht="14.4" hidden="1">
      <c r="A1753" s="25">
        <f>IF(C1753="","",MAX($A$1:A1752)+1)</f>
        <v>1654</v>
      </c>
      <c r="B1753" s="25" t="s">
        <v>79</v>
      </c>
      <c r="C1753" s="41">
        <v>46096</v>
      </c>
      <c r="D1753" s="48" t="str">
        <f>_xlfn.XLOOKUP(Table134526_79101120212223242526[[#This Row],[Name Surname]],Manpower!$C$4:$C$1048576,Manpower!$B$4:$B$1048576,"")</f>
        <v>Encogroup</v>
      </c>
      <c r="E1753" s="43" t="s">
        <v>126</v>
      </c>
      <c r="F1753" s="12">
        <f>_xlfn.XLOOKUP(Table134526_79101120212223242526[[#This Row],[Name Surname]],Manpower!C:C,Manpower!D:D,)</f>
        <v>140805568</v>
      </c>
      <c r="G1753" s="48" t="str">
        <f>_xlfn.XLOOKUP(Table134526_79101120212223242526[[#This Row],[Name Surname]],Manpower!$C$4:$C$1048576,Manpower!$F$4:$F$1048576,"")</f>
        <v>Assistant/Helper</v>
      </c>
      <c r="H1753" s="48" t="str">
        <f>_xlfn.XLOOKUP(Table134526_79101120212223242526[[#This Row],[Name Surname]],Manpower!$C$4:$C$1048576,Manpower!$H$4:$H$1048576,"")</f>
        <v>Manpower</v>
      </c>
      <c r="I1753" s="48" t="str">
        <f>_xlfn.XLOOKUP(Table134526_79101120212223242526[[#This Row],[Name Surname]],Manpower!$C$4:$C$1048576,Manpower!$H$4:$H$1048576,"")</f>
        <v>Manpower</v>
      </c>
      <c r="J1753" s="43" t="s">
        <v>35</v>
      </c>
      <c r="K1753" s="43" t="s">
        <v>313</v>
      </c>
      <c r="L1753" s="43" t="s">
        <v>82</v>
      </c>
      <c r="M1753" s="43" t="s">
        <v>24</v>
      </c>
      <c r="N1753" s="44">
        <v>10</v>
      </c>
      <c r="O1753" s="43" t="s">
        <v>40</v>
      </c>
      <c r="P1753" s="43" t="s">
        <v>41</v>
      </c>
      <c r="Q1753" s="43" t="s">
        <v>128</v>
      </c>
      <c r="R1753" s="43" t="s">
        <v>270</v>
      </c>
      <c r="S1753" s="43"/>
    </row>
    <row r="1754" spans="1:19" s="45" customFormat="1" ht="14.4" hidden="1">
      <c r="A1754" s="25">
        <f>IF(C1754="","",MAX($A$1:A1753)+1)</f>
        <v>1655</v>
      </c>
      <c r="B1754" s="25" t="s">
        <v>79</v>
      </c>
      <c r="C1754" s="41">
        <v>46096</v>
      </c>
      <c r="D1754" s="48" t="str">
        <f>_xlfn.XLOOKUP(Table134526_79101120212223242526[[#This Row],[Name Surname]],Manpower!$C$4:$C$1048576,Manpower!$B$4:$B$1048576,"")</f>
        <v>Encogroup</v>
      </c>
      <c r="E1754" s="43" t="s">
        <v>109</v>
      </c>
      <c r="F1754" s="12">
        <f>_xlfn.XLOOKUP(Table134526_79101120212223242526[[#This Row],[Name Surname]],Manpower!C:C,Manpower!D:D,)</f>
        <v>123805496</v>
      </c>
      <c r="G1754" s="48" t="str">
        <f>_xlfn.XLOOKUP(Table134526_79101120212223242526[[#This Row],[Name Surname]],Manpower!$C$4:$C$1048576,Manpower!$F$4:$F$1048576,"")</f>
        <v>Fitter/Erector</v>
      </c>
      <c r="H1754" s="48" t="str">
        <f>_xlfn.XLOOKUP(Table134526_79101120212223242526[[#This Row],[Name Surname]],Manpower!$C$4:$C$1048576,Manpower!$H$4:$H$1048576,"")</f>
        <v>Manpower</v>
      </c>
      <c r="I1754" s="48" t="str">
        <f>_xlfn.XLOOKUP(Table134526_79101120212223242526[[#This Row],[Name Surname]],Manpower!$C$4:$C$1048576,Manpower!$H$4:$H$1048576,"")</f>
        <v>Manpower</v>
      </c>
      <c r="J1754" s="43" t="s">
        <v>35</v>
      </c>
      <c r="K1754" s="43" t="s">
        <v>313</v>
      </c>
      <c r="L1754" s="43" t="s">
        <v>82</v>
      </c>
      <c r="M1754" s="43" t="s">
        <v>24</v>
      </c>
      <c r="N1754" s="44">
        <v>8</v>
      </c>
      <c r="O1754" s="43" t="s">
        <v>25</v>
      </c>
      <c r="P1754" s="43" t="s">
        <v>41</v>
      </c>
      <c r="Q1754" s="43" t="s">
        <v>60</v>
      </c>
      <c r="R1754" s="43" t="s">
        <v>314</v>
      </c>
      <c r="S1754" s="43"/>
    </row>
    <row r="1755" spans="1:19" ht="14.4" hidden="1">
      <c r="A1755" s="33">
        <f>IF(C1755="","",MAX($A$1:A1754)+1)</f>
        <v>1656</v>
      </c>
      <c r="B1755" s="26" t="s">
        <v>79</v>
      </c>
      <c r="C1755" s="23">
        <v>46096</v>
      </c>
      <c r="D1755" s="28" t="str">
        <f>_xlfn.XLOOKUP(Table134526_79101120212223242526[[#This Row],[Name Surname]],Manpower!$C$4:$C$1048576,Manpower!$B$4:$B$1048576,"")</f>
        <v>Encogroup</v>
      </c>
      <c r="E1755" s="21" t="s">
        <v>110</v>
      </c>
      <c r="F1755" s="12">
        <f>_xlfn.XLOOKUP(Table134526_79101120212223242526[[#This Row],[Name Surname]],Manpower!C:C,Manpower!D:D,)</f>
        <v>136277866</v>
      </c>
      <c r="G1755" s="28" t="str">
        <f>_xlfn.XLOOKUP(Table134526_79101120212223242526[[#This Row],[Name Surname]],Manpower!$C$4:$C$1048576,Manpower!$F$4:$F$1048576,"")</f>
        <v>Permit Receiver</v>
      </c>
      <c r="H1755" s="28" t="str">
        <f>_xlfn.XLOOKUP(Table134526_79101120212223242526[[#This Row],[Name Surname]],Manpower!$C$4:$C$1048576,Manpower!$H$4:$H$1048576,"")</f>
        <v>Manpower</v>
      </c>
      <c r="I1755" s="28" t="str">
        <f>_xlfn.XLOOKUP(Table134526_79101120212223242526[[#This Row],[Name Surname]],Manpower!$C$4:$C$1048576,Manpower!$H$4:$H$1048576,"")</f>
        <v>Manpower</v>
      </c>
      <c r="J1755" s="21" t="s">
        <v>35</v>
      </c>
      <c r="K1755" s="21" t="s">
        <v>313</v>
      </c>
      <c r="L1755" s="21" t="s">
        <v>82</v>
      </c>
      <c r="M1755" s="21" t="s">
        <v>24</v>
      </c>
      <c r="N1755" s="29">
        <v>10</v>
      </c>
      <c r="O1755" s="21" t="s">
        <v>25</v>
      </c>
      <c r="P1755" s="21" t="s">
        <v>41</v>
      </c>
      <c r="Q1755" s="21" t="s">
        <v>60</v>
      </c>
      <c r="R1755" s="21" t="s">
        <v>314</v>
      </c>
    </row>
    <row r="1756" spans="1:19" s="45" customFormat="1" ht="14.4" hidden="1">
      <c r="A1756" s="25">
        <f>IF(C1756="","",MAX($A$1:A1755)+1)</f>
        <v>1657</v>
      </c>
      <c r="B1756" s="25" t="s">
        <v>79</v>
      </c>
      <c r="C1756" s="41">
        <v>46096</v>
      </c>
      <c r="D1756" s="48" t="str">
        <f>_xlfn.XLOOKUP(Table134526_79101120212223242526[[#This Row],[Name Surname]],Manpower!$C$4:$C$1048576,Manpower!$B$4:$B$1048576,"")</f>
        <v>Encogroup</v>
      </c>
      <c r="E1756" s="43" t="s">
        <v>34</v>
      </c>
      <c r="F1756" s="12">
        <f>_xlfn.XLOOKUP(Table134526_79101120212223242526[[#This Row],[Name Surname]],Manpower!C:C,Manpower!D:D,)</f>
        <v>141365023</v>
      </c>
      <c r="G1756" s="48" t="str">
        <f>_xlfn.XLOOKUP(Table134526_79101120212223242526[[#This Row],[Name Surname]],Manpower!$C$4:$C$1048576,Manpower!$F$4:$F$1048576,"")</f>
        <v>Grinder</v>
      </c>
      <c r="H1756" s="48" t="str">
        <f>_xlfn.XLOOKUP(Table134526_79101120212223242526[[#This Row],[Name Surname]],Manpower!$C$4:$C$1048576,Manpower!$H$4:$H$1048576,"")</f>
        <v>Manpower</v>
      </c>
      <c r="I1756" s="48" t="str">
        <f>_xlfn.XLOOKUP(Table134526_79101120212223242526[[#This Row],[Name Surname]],Manpower!$C$4:$C$1048576,Manpower!$H$4:$H$1048576,"")</f>
        <v>Manpower</v>
      </c>
      <c r="J1756" s="43" t="s">
        <v>35</v>
      </c>
      <c r="K1756" s="43" t="s">
        <v>313</v>
      </c>
      <c r="L1756" s="43" t="s">
        <v>82</v>
      </c>
      <c r="M1756" s="43" t="s">
        <v>24</v>
      </c>
      <c r="N1756" s="44">
        <v>10</v>
      </c>
      <c r="O1756" s="43" t="s">
        <v>89</v>
      </c>
      <c r="P1756" s="43" t="s">
        <v>89</v>
      </c>
      <c r="Q1756" s="43" t="s">
        <v>89</v>
      </c>
      <c r="R1756" s="43" t="s">
        <v>26</v>
      </c>
      <c r="S1756" s="43"/>
    </row>
    <row r="1757" spans="1:19" s="45" customFormat="1" ht="14.4" hidden="1">
      <c r="A1757" s="25">
        <f>IF(C1757="","",MAX($A$1:A1755)+1)</f>
        <v>1657</v>
      </c>
      <c r="B1757" s="25" t="s">
        <v>79</v>
      </c>
      <c r="C1757" s="41">
        <v>46096</v>
      </c>
      <c r="D1757" s="48" t="str">
        <f>_xlfn.XLOOKUP(Table134526_79101120212223242526[[#This Row],[Name Surname]],Manpower!$C$4:$C$1048576,Manpower!$B$4:$B$1048576,"")</f>
        <v>Encogroup</v>
      </c>
      <c r="E1757" s="43" t="s">
        <v>87</v>
      </c>
      <c r="F1757" s="12">
        <f>_xlfn.XLOOKUP(Table134526_79101120212223242526[[#This Row],[Name Surname]],Manpower!C:C,Manpower!D:D,)</f>
        <v>126724428</v>
      </c>
      <c r="G1757" s="48" t="str">
        <f>_xlfn.XLOOKUP(Table134526_79101120212223242526[[#This Row],[Name Surname]],Manpower!$C$4:$C$1048576,Manpower!$F$4:$F$1048576,"")</f>
        <v>Surveyor</v>
      </c>
      <c r="H1757" s="48" t="str">
        <f>_xlfn.XLOOKUP(Table134526_79101120212223242526[[#This Row],[Name Surname]],Manpower!$C$4:$C$1048576,Manpower!$H$4:$H$1048576,"")</f>
        <v>Manpower</v>
      </c>
      <c r="I1757" s="48" t="str">
        <f>_xlfn.XLOOKUP(Table134526_79101120212223242526[[#This Row],[Name Surname]],Manpower!$C$4:$C$1048576,Manpower!$H$4:$H$1048576,"")</f>
        <v>Manpower</v>
      </c>
      <c r="J1757" s="43" t="s">
        <v>35</v>
      </c>
      <c r="K1757" s="43" t="s">
        <v>313</v>
      </c>
      <c r="L1757" s="43" t="s">
        <v>82</v>
      </c>
      <c r="M1757" s="43" t="s">
        <v>24</v>
      </c>
      <c r="N1757" s="44">
        <v>8</v>
      </c>
      <c r="O1757" s="43" t="s">
        <v>89</v>
      </c>
      <c r="P1757" s="43" t="s">
        <v>89</v>
      </c>
      <c r="Q1757" s="43" t="s">
        <v>89</v>
      </c>
      <c r="R1757" s="43" t="s">
        <v>26</v>
      </c>
      <c r="S1757" s="43"/>
    </row>
    <row r="1758" spans="1:19" s="45" customFormat="1" ht="14.4" hidden="1">
      <c r="A1758" s="25">
        <f>IF(C1758="","",MAX($A$1:A1755)+1)</f>
        <v>1657</v>
      </c>
      <c r="B1758" s="25" t="s">
        <v>79</v>
      </c>
      <c r="C1758" s="41">
        <v>46096</v>
      </c>
      <c r="D1758" s="48" t="str">
        <f>_xlfn.XLOOKUP(Table134526_79101120212223242526[[#This Row],[Name Surname]],Manpower!$C$4:$C$1048576,Manpower!$B$4:$B$1048576,"")</f>
        <v>Encogroup</v>
      </c>
      <c r="E1758" s="43" t="s">
        <v>111</v>
      </c>
      <c r="F1758" s="12">
        <f>_xlfn.XLOOKUP(Table134526_79101120212223242526[[#This Row],[Name Surname]],Manpower!C:C,Manpower!D:D,)</f>
        <v>120653364</v>
      </c>
      <c r="G1758" s="48" t="str">
        <f>_xlfn.XLOOKUP(Table134526_79101120212223242526[[#This Row],[Name Surname]],Manpower!$C$4:$C$1048576,Manpower!$F$4:$F$1048576,"")</f>
        <v>Surveyor</v>
      </c>
      <c r="H1758" s="48" t="str">
        <f>_xlfn.XLOOKUP(Table134526_79101120212223242526[[#This Row],[Name Surname]],Manpower!$C$4:$C$1048576,Manpower!$H$4:$H$1048576,"")</f>
        <v>Manpower</v>
      </c>
      <c r="I1758" s="48" t="str">
        <f>_xlfn.XLOOKUP(Table134526_79101120212223242526[[#This Row],[Name Surname]],Manpower!$C$4:$C$1048576,Manpower!$H$4:$H$1048576,"")</f>
        <v>Manpower</v>
      </c>
      <c r="J1758" s="43" t="s">
        <v>35</v>
      </c>
      <c r="K1758" s="43" t="s">
        <v>313</v>
      </c>
      <c r="L1758" s="43" t="s">
        <v>82</v>
      </c>
      <c r="M1758" s="43" t="s">
        <v>24</v>
      </c>
      <c r="N1758" s="44">
        <v>8</v>
      </c>
      <c r="O1758" s="43" t="s">
        <v>89</v>
      </c>
      <c r="P1758" s="43" t="s">
        <v>89</v>
      </c>
      <c r="Q1758" s="43" t="s">
        <v>89</v>
      </c>
      <c r="R1758" s="43" t="s">
        <v>26</v>
      </c>
      <c r="S1758" s="43"/>
    </row>
    <row r="1759" spans="1:19" s="45" customFormat="1" ht="14.4" hidden="1">
      <c r="A1759" s="25">
        <f>IF(C1759="","",MAX($A$1:A1755)+1)</f>
        <v>1657</v>
      </c>
      <c r="B1759" s="25" t="s">
        <v>79</v>
      </c>
      <c r="C1759" s="41">
        <v>46096</v>
      </c>
      <c r="D1759" s="48" t="str">
        <f>_xlfn.XLOOKUP(Table134526_79101120212223242526[[#This Row],[Name Surname]],Manpower!$C$4:$C$1048576,Manpower!$B$4:$B$1048576,"")</f>
        <v>Encogroup</v>
      </c>
      <c r="E1759" s="43" t="s">
        <v>112</v>
      </c>
      <c r="F1759" s="12">
        <f>_xlfn.XLOOKUP(Table134526_79101120212223242526[[#This Row],[Name Surname]],Manpower!C:C,Manpower!D:D,)</f>
        <v>140663253</v>
      </c>
      <c r="G1759" s="48" t="str">
        <f>_xlfn.XLOOKUP(Table134526_79101120212223242526[[#This Row],[Name Surname]],Manpower!$C$4:$C$1048576,Manpower!$F$4:$F$1048576,"")</f>
        <v>Painting Inspector</v>
      </c>
      <c r="H1759" s="48" t="str">
        <f>_xlfn.XLOOKUP(Table134526_79101120212223242526[[#This Row],[Name Surname]],Manpower!$C$4:$C$1048576,Manpower!$H$4:$H$1048576,"")</f>
        <v>Manpower</v>
      </c>
      <c r="I1759" s="48" t="str">
        <f>_xlfn.XLOOKUP(Table134526_79101120212223242526[[#This Row],[Name Surname]],Manpower!$C$4:$C$1048576,Manpower!$H$4:$H$1048576,"")</f>
        <v>Manpower</v>
      </c>
      <c r="J1759" s="43" t="s">
        <v>35</v>
      </c>
      <c r="K1759" s="43" t="s">
        <v>304</v>
      </c>
      <c r="L1759" s="43" t="s">
        <v>82</v>
      </c>
      <c r="M1759" s="43" t="s">
        <v>24</v>
      </c>
      <c r="N1759" s="44">
        <v>8</v>
      </c>
      <c r="O1759" s="43" t="s">
        <v>94</v>
      </c>
      <c r="P1759" s="43" t="s">
        <v>114</v>
      </c>
      <c r="Q1759" s="43" t="s">
        <v>114</v>
      </c>
      <c r="R1759" s="43" t="s">
        <v>302</v>
      </c>
      <c r="S1759" s="43"/>
    </row>
    <row r="1760" spans="1:19" s="45" customFormat="1" ht="14.4" hidden="1">
      <c r="A1760" s="25">
        <f>IF(C1760="","",MAX($A$1:A1759)+1)</f>
        <v>1658</v>
      </c>
      <c r="B1760" s="25" t="s">
        <v>79</v>
      </c>
      <c r="C1760" s="41">
        <v>46096</v>
      </c>
      <c r="D1760" s="48" t="str">
        <f>_xlfn.XLOOKUP(Table134526_79101120212223242526[[#This Row],[Name Surname]],Manpower!$C$4:$C$1048576,Manpower!$B$4:$B$1048576,"")</f>
        <v>Encogroup</v>
      </c>
      <c r="E1760" s="43" t="s">
        <v>173</v>
      </c>
      <c r="F1760" s="12" t="str">
        <f>_xlfn.XLOOKUP(Table134526_79101120212223242526[[#This Row],[Name Surname]],Manpower!C:C,Manpower!D:D,)</f>
        <v>S3549132</v>
      </c>
      <c r="G1760" s="48" t="str">
        <f>_xlfn.XLOOKUP(Table134526_79101120212223242526[[#This Row],[Name Surname]],Manpower!$C$4:$C$1048576,Manpower!$F$4:$F$1048576,"")</f>
        <v>Grinder</v>
      </c>
      <c r="H1760" s="48" t="str">
        <f>_xlfn.XLOOKUP(Table134526_79101120212223242526[[#This Row],[Name Surname]],Manpower!$C$4:$C$1048576,Manpower!$H$4:$H$1048576,"")</f>
        <v>Manpower</v>
      </c>
      <c r="I1760" s="48" t="str">
        <f>_xlfn.XLOOKUP(Table134526_79101120212223242526[[#This Row],[Name Surname]],Manpower!$C$4:$C$1048576,Manpower!$H$4:$H$1048576,"")</f>
        <v>Manpower</v>
      </c>
      <c r="J1760" s="43" t="s">
        <v>35</v>
      </c>
      <c r="K1760" s="43" t="s">
        <v>304</v>
      </c>
      <c r="L1760" s="43" t="s">
        <v>82</v>
      </c>
      <c r="M1760" s="43" t="s">
        <v>24</v>
      </c>
      <c r="N1760" s="44">
        <v>10</v>
      </c>
      <c r="O1760" s="43" t="s">
        <v>94</v>
      </c>
      <c r="P1760" s="43" t="s">
        <v>114</v>
      </c>
      <c r="Q1760" s="43" t="s">
        <v>114</v>
      </c>
      <c r="R1760" s="43" t="s">
        <v>302</v>
      </c>
      <c r="S1760" s="43"/>
    </row>
    <row r="1761" spans="1:19" s="45" customFormat="1" ht="14.4" hidden="1">
      <c r="A1761" s="25">
        <f>IF(C1761="","",MAX($A$1:A1760)+1)</f>
        <v>1659</v>
      </c>
      <c r="B1761" s="25" t="s">
        <v>79</v>
      </c>
      <c r="C1761" s="41">
        <v>46096</v>
      </c>
      <c r="D1761" s="48" t="str">
        <f>_xlfn.XLOOKUP(Table134526_79101120212223242526[[#This Row],[Name Surname]],Manpower!$C$4:$C$1048576,Manpower!$B$4:$B$1048576,"")</f>
        <v>Encogroup</v>
      </c>
      <c r="E1761" s="43" t="s">
        <v>235</v>
      </c>
      <c r="F1761" s="12">
        <f>_xlfn.XLOOKUP(Table134526_79101120212223242526[[#This Row],[Name Surname]],Manpower!C:C,Manpower!D:D,)</f>
        <v>132423982</v>
      </c>
      <c r="G1761" s="48" t="str">
        <f>_xlfn.XLOOKUP(Table134526_79101120212223242526[[#This Row],[Name Surname]],Manpower!$C$4:$C$1048576,Manpower!$F$4:$F$1048576,"")</f>
        <v>Mechanic Supervisor</v>
      </c>
      <c r="H1761" s="48" t="str">
        <f>_xlfn.XLOOKUP(Table134526_79101120212223242526[[#This Row],[Name Surname]],Manpower!$C$4:$C$1048576,Manpower!$H$4:$H$1048576,"")</f>
        <v>Manpower</v>
      </c>
      <c r="I1761" s="48" t="str">
        <f>_xlfn.XLOOKUP(Table134526_79101120212223242526[[#This Row],[Name Surname]],Manpower!$C$4:$C$1048576,Manpower!$H$4:$H$1048576,"")</f>
        <v>Manpower</v>
      </c>
      <c r="J1761" s="43" t="s">
        <v>135</v>
      </c>
      <c r="K1761" s="43" t="s">
        <v>26</v>
      </c>
      <c r="L1761" s="43"/>
      <c r="M1761" s="43" t="s">
        <v>24</v>
      </c>
      <c r="N1761" s="44">
        <v>10</v>
      </c>
      <c r="O1761" s="43" t="s">
        <v>236</v>
      </c>
      <c r="P1761" s="43" t="s">
        <v>236</v>
      </c>
      <c r="Q1761" s="43" t="s">
        <v>236</v>
      </c>
      <c r="R1761" s="43" t="s">
        <v>26</v>
      </c>
      <c r="S1761" s="43"/>
    </row>
    <row r="1762" spans="1:19" s="45" customFormat="1" ht="14.4" hidden="1">
      <c r="A1762" s="25">
        <f>IF(C1762="","",MAX($A$1:A1761)+1)</f>
        <v>1660</v>
      </c>
      <c r="B1762" s="25" t="s">
        <v>79</v>
      </c>
      <c r="C1762" s="41">
        <v>46096</v>
      </c>
      <c r="D1762" s="48" t="str">
        <f>_xlfn.XLOOKUP(Table134526_79101120212223242526[[#This Row],[Name Surname]],Manpower!$C$4:$C$1048576,Manpower!$B$4:$B$1048576,"")</f>
        <v>Encogroup</v>
      </c>
      <c r="E1762" s="43" t="s">
        <v>286</v>
      </c>
      <c r="F1762" s="12">
        <f>_xlfn.XLOOKUP(Table134526_79101120212223242526[[#This Row],[Name Surname]],Manpower!C:C,Manpower!D:D,)</f>
        <v>1487544</v>
      </c>
      <c r="G1762" s="48" t="str">
        <f>_xlfn.XLOOKUP(Table134526_79101120212223242526[[#This Row],[Name Surname]],Manpower!$C$4:$C$1048576,Manpower!$F$4:$F$1048576,"")</f>
        <v>Driver</v>
      </c>
      <c r="H1762" s="48" t="str">
        <f>_xlfn.XLOOKUP(Table134526_79101120212223242526[[#This Row],[Name Surname]],Manpower!$C$4:$C$1048576,Manpower!$H$4:$H$1048576,"")</f>
        <v>Manpower</v>
      </c>
      <c r="I1762" s="48" t="str">
        <f>_xlfn.XLOOKUP(Table134526_79101120212223242526[[#This Row],[Name Surname]],Manpower!$C$4:$C$1048576,Manpower!$H$4:$H$1048576,"")</f>
        <v>Manpower</v>
      </c>
      <c r="J1762" s="43" t="s">
        <v>135</v>
      </c>
      <c r="K1762" s="43" t="s">
        <v>26</v>
      </c>
      <c r="L1762" s="43" t="s">
        <v>26</v>
      </c>
      <c r="M1762" s="43" t="s">
        <v>24</v>
      </c>
      <c r="N1762" s="44">
        <v>10</v>
      </c>
      <c r="O1762" s="43" t="s">
        <v>138</v>
      </c>
      <c r="P1762" s="43" t="s">
        <v>138</v>
      </c>
      <c r="Q1762" s="43" t="s">
        <v>138</v>
      </c>
      <c r="R1762" s="43" t="s">
        <v>26</v>
      </c>
      <c r="S1762" s="43"/>
    </row>
    <row r="1763" spans="1:19" s="45" customFormat="1" ht="14.4" hidden="1">
      <c r="A1763" s="25">
        <f>IF(C1763="","",MAX($A$1:A1761)+1)</f>
        <v>1660</v>
      </c>
      <c r="B1763" s="25" t="s">
        <v>79</v>
      </c>
      <c r="C1763" s="41">
        <v>46096</v>
      </c>
      <c r="D1763" s="48" t="str">
        <f>_xlfn.XLOOKUP(Table134526_79101120212223242526[[#This Row],[Name Surname]],Manpower!$C$4:$C$1048576,Manpower!$B$4:$B$1048576,"")</f>
        <v>Encogroup</v>
      </c>
      <c r="E1763" s="43" t="s">
        <v>237</v>
      </c>
      <c r="F1763" s="12">
        <f>_xlfn.XLOOKUP(Table134526_79101120212223242526[[#This Row],[Name Surname]],Manpower!C:C,Manpower!D:D,)</f>
        <v>75199413</v>
      </c>
      <c r="G1763" s="48" t="str">
        <f>_xlfn.XLOOKUP(Table134526_79101120212223242526[[#This Row],[Name Surname]],Manpower!$C$4:$C$1048576,Manpower!$F$4:$F$1048576,"")</f>
        <v>Mechanic</v>
      </c>
      <c r="H1763" s="48" t="str">
        <f>_xlfn.XLOOKUP(Table134526_79101120212223242526[[#This Row],[Name Surname]],Manpower!$C$4:$C$1048576,Manpower!$H$4:$H$1048576,"")</f>
        <v>Manpower</v>
      </c>
      <c r="I1763" s="48" t="str">
        <f>_xlfn.XLOOKUP(Table134526_79101120212223242526[[#This Row],[Name Surname]],Manpower!$C$4:$C$1048576,Manpower!$H$4:$H$1048576,"")</f>
        <v>Manpower</v>
      </c>
      <c r="J1763" s="43" t="s">
        <v>135</v>
      </c>
      <c r="K1763" s="43" t="s">
        <v>26</v>
      </c>
      <c r="L1763" s="43"/>
      <c r="M1763" s="43" t="s">
        <v>24</v>
      </c>
      <c r="N1763" s="44">
        <v>10</v>
      </c>
      <c r="O1763" s="43" t="s">
        <v>236</v>
      </c>
      <c r="P1763" s="43" t="s">
        <v>236</v>
      </c>
      <c r="Q1763" s="43" t="s">
        <v>236</v>
      </c>
      <c r="R1763" s="43" t="s">
        <v>26</v>
      </c>
      <c r="S1763" s="43"/>
    </row>
    <row r="1764" spans="1:19" s="45" customFormat="1" ht="14.4" hidden="1">
      <c r="A1764" s="25">
        <f>IF(C1764="","",MAX($A$1:A1759)+1)</f>
        <v>1658</v>
      </c>
      <c r="B1764" s="25" t="s">
        <v>79</v>
      </c>
      <c r="C1764" s="41">
        <v>46096</v>
      </c>
      <c r="D1764" s="48" t="str">
        <f>_xlfn.XLOOKUP(Table134526_79101120212223242526[[#This Row],[Name Surname]],Manpower!$C$4:$C$1048576,Manpower!$B$4:$B$1048576,"")</f>
        <v>Encogroup</v>
      </c>
      <c r="E1764" s="43" t="s">
        <v>117</v>
      </c>
      <c r="F1764" s="12">
        <f>_xlfn.XLOOKUP(Table134526_79101120212223242526[[#This Row],[Name Surname]],Manpower!C:C,Manpower!D:D,)</f>
        <v>140844783</v>
      </c>
      <c r="G1764" s="48" t="str">
        <f>_xlfn.XLOOKUP(Table134526_79101120212223242526[[#This Row],[Name Surname]],Manpower!$C$4:$C$1048576,Manpower!$F$4:$F$1048576,"")</f>
        <v>Painter</v>
      </c>
      <c r="H1764" s="48" t="str">
        <f>_xlfn.XLOOKUP(Table134526_79101120212223242526[[#This Row],[Name Surname]],Manpower!$C$4:$C$1048576,Manpower!$H$4:$H$1048576,"")</f>
        <v>Manpower</v>
      </c>
      <c r="I1764" s="48" t="str">
        <f>_xlfn.XLOOKUP(Table134526_79101120212223242526[[#This Row],[Name Surname]],Manpower!$C$4:$C$1048576,Manpower!$H$4:$H$1048576,"")</f>
        <v>Manpower</v>
      </c>
      <c r="J1764" s="43" t="s">
        <v>35</v>
      </c>
      <c r="K1764" s="43" t="s">
        <v>304</v>
      </c>
      <c r="L1764" s="43" t="s">
        <v>82</v>
      </c>
      <c r="M1764" s="43" t="s">
        <v>24</v>
      </c>
      <c r="N1764" s="44">
        <v>10</v>
      </c>
      <c r="O1764" s="43" t="s">
        <v>94</v>
      </c>
      <c r="P1764" s="43" t="s">
        <v>114</v>
      </c>
      <c r="Q1764" s="43" t="s">
        <v>114</v>
      </c>
      <c r="R1764" s="43" t="s">
        <v>302</v>
      </c>
      <c r="S1764" s="43"/>
    </row>
    <row r="1765" spans="1:19" s="45" customFormat="1" ht="14.4" hidden="1">
      <c r="A1765" s="25">
        <f>IF(C1765="","",MAX($A$1:A1764)+1)</f>
        <v>1661</v>
      </c>
      <c r="B1765" s="25" t="s">
        <v>79</v>
      </c>
      <c r="C1765" s="41">
        <v>46096</v>
      </c>
      <c r="D1765" s="48" t="str">
        <f>_xlfn.XLOOKUP(Table134526_79101120212223242526[[#This Row],[Name Surname]],Manpower!$C$4:$C$1048576,Manpower!$B$4:$B$1048576,"")</f>
        <v>Encogroup</v>
      </c>
      <c r="E1765" s="43" t="s">
        <v>118</v>
      </c>
      <c r="F1765" s="12" t="str">
        <f>_xlfn.XLOOKUP(Table134526_79101120212223242526[[#This Row],[Name Surname]],Manpower!C:C,Manpower!D:D,)</f>
        <v>AG111207</v>
      </c>
      <c r="G1765" s="48" t="str">
        <f>_xlfn.XLOOKUP(Table134526_79101120212223242526[[#This Row],[Name Surname]],Manpower!$C$4:$C$1048576,Manpower!$F$4:$F$1048576,"")</f>
        <v>Assistant/Helper</v>
      </c>
      <c r="H1765" s="48" t="str">
        <f>_xlfn.XLOOKUP(Table134526_79101120212223242526[[#This Row],[Name Surname]],Manpower!$C$4:$C$1048576,Manpower!$H$4:$H$1048576,"")</f>
        <v>Manpower</v>
      </c>
      <c r="I1765" s="48" t="str">
        <f>_xlfn.XLOOKUP(Table134526_79101120212223242526[[#This Row],[Name Surname]],Manpower!$C$4:$C$1048576,Manpower!$H$4:$H$1048576,"")</f>
        <v>Manpower</v>
      </c>
      <c r="J1765" s="43" t="s">
        <v>35</v>
      </c>
      <c r="K1765" s="43" t="s">
        <v>304</v>
      </c>
      <c r="L1765" s="43" t="s">
        <v>82</v>
      </c>
      <c r="M1765" s="43" t="s">
        <v>24</v>
      </c>
      <c r="N1765" s="44">
        <v>10</v>
      </c>
      <c r="O1765" s="43" t="s">
        <v>94</v>
      </c>
      <c r="P1765" s="43" t="s">
        <v>114</v>
      </c>
      <c r="Q1765" s="43" t="s">
        <v>114</v>
      </c>
      <c r="R1765" s="43" t="s">
        <v>302</v>
      </c>
      <c r="S1765" s="43"/>
    </row>
    <row r="1766" spans="1:19" s="45" customFormat="1" ht="14.4" hidden="1">
      <c r="A1766" s="25">
        <f>IF(C1766="","",MAX($A$1:A1765)+1)</f>
        <v>1662</v>
      </c>
      <c r="B1766" s="25" t="s">
        <v>79</v>
      </c>
      <c r="C1766" s="41">
        <v>46096</v>
      </c>
      <c r="D1766" s="48" t="str">
        <f>_xlfn.XLOOKUP(Table134526_79101120212223242526[[#This Row],[Name Surname]],Manpower!$C$4:$C$1048576,Manpower!$B$4:$B$1048576,"")</f>
        <v>Encogroup</v>
      </c>
      <c r="E1766" s="43" t="s">
        <v>92</v>
      </c>
      <c r="F1766" s="12">
        <f>_xlfn.XLOOKUP(Table134526_79101120212223242526[[#This Row],[Name Surname]],Manpower!C:C,Manpower!D:D,)</f>
        <v>141377747</v>
      </c>
      <c r="G1766" s="48" t="str">
        <f>_xlfn.XLOOKUP(Table134526_79101120212223242526[[#This Row],[Name Surname]],Manpower!$C$4:$C$1048576,Manpower!$F$4:$F$1048576,"")</f>
        <v>Painter</v>
      </c>
      <c r="H1766" s="48" t="str">
        <f>_xlfn.XLOOKUP(Table134526_79101120212223242526[[#This Row],[Name Surname]],Manpower!$C$4:$C$1048576,Manpower!$H$4:$H$1048576,"")</f>
        <v>Manpower</v>
      </c>
      <c r="I1766" s="48" t="str">
        <f>_xlfn.XLOOKUP(Table134526_79101120212223242526[[#This Row],[Name Surname]],Manpower!$C$4:$C$1048576,Manpower!$H$4:$H$1048576,"")</f>
        <v>Manpower</v>
      </c>
      <c r="J1766" s="43" t="s">
        <v>35</v>
      </c>
      <c r="K1766" s="43" t="s">
        <v>316</v>
      </c>
      <c r="L1766" s="43" t="s">
        <v>82</v>
      </c>
      <c r="M1766" s="43" t="s">
        <v>24</v>
      </c>
      <c r="N1766" s="44">
        <v>8</v>
      </c>
      <c r="O1766" s="43" t="s">
        <v>25</v>
      </c>
      <c r="P1766" s="43" t="s">
        <v>60</v>
      </c>
      <c r="Q1766" s="43" t="s">
        <v>60</v>
      </c>
      <c r="R1766" s="43" t="s">
        <v>314</v>
      </c>
      <c r="S1766" s="43"/>
    </row>
    <row r="1767" spans="1:19" s="45" customFormat="1" ht="14.4" hidden="1">
      <c r="A1767" s="25">
        <f>IF(C1767="","",MAX($A$1:A1766)+1)</f>
        <v>1663</v>
      </c>
      <c r="B1767" s="25" t="s">
        <v>79</v>
      </c>
      <c r="C1767" s="41">
        <v>46096</v>
      </c>
      <c r="D1767" s="48" t="str">
        <f>_xlfn.XLOOKUP(Table134526_79101120212223242526[[#This Row],[Name Surname]],Manpower!$C$4:$C$1048576,Manpower!$B$4:$B$1048576,"")</f>
        <v>Encogroup</v>
      </c>
      <c r="E1767" s="43" t="s">
        <v>119</v>
      </c>
      <c r="F1767" s="12">
        <f>_xlfn.XLOOKUP(Table134526_79101120212223242526[[#This Row],[Name Surname]],Manpower!C:C,Manpower!D:D,)</f>
        <v>140844778</v>
      </c>
      <c r="G1767" s="48" t="str">
        <f>_xlfn.XLOOKUP(Table134526_79101120212223242526[[#This Row],[Name Surname]],Manpower!$C$4:$C$1048576,Manpower!$F$4:$F$1048576,"")</f>
        <v>Painter</v>
      </c>
      <c r="H1767" s="48" t="str">
        <f>_xlfn.XLOOKUP(Table134526_79101120212223242526[[#This Row],[Name Surname]],Manpower!$C$4:$C$1048576,Manpower!$H$4:$H$1048576,"")</f>
        <v>Manpower</v>
      </c>
      <c r="I1767" s="48" t="str">
        <f>_xlfn.XLOOKUP(Table134526_79101120212223242526[[#This Row],[Name Surname]],Manpower!$C$4:$C$1048576,Manpower!$H$4:$H$1048576,"")</f>
        <v>Manpower</v>
      </c>
      <c r="J1767" s="43" t="s">
        <v>35</v>
      </c>
      <c r="K1767" s="43" t="s">
        <v>304</v>
      </c>
      <c r="L1767" s="43" t="s">
        <v>82</v>
      </c>
      <c r="M1767" s="43" t="s">
        <v>24</v>
      </c>
      <c r="N1767" s="44">
        <v>8</v>
      </c>
      <c r="O1767" s="43" t="s">
        <v>94</v>
      </c>
      <c r="P1767" s="43" t="s">
        <v>114</v>
      </c>
      <c r="Q1767" s="43" t="s">
        <v>114</v>
      </c>
      <c r="R1767" s="43" t="s">
        <v>302</v>
      </c>
      <c r="S1767" s="43"/>
    </row>
    <row r="1768" spans="1:19" s="45" customFormat="1" ht="14.4" hidden="1">
      <c r="A1768" s="25">
        <f>IF(C1768="","",MAX($A$1:A1767)+1)</f>
        <v>1664</v>
      </c>
      <c r="B1768" s="25" t="s">
        <v>79</v>
      </c>
      <c r="C1768" s="41">
        <v>46096</v>
      </c>
      <c r="D1768" s="48" t="str">
        <f>_xlfn.XLOOKUP(Table134526_79101120212223242526[[#This Row],[Name Surname]],Manpower!$C$4:$C$1048576,Manpower!$B$4:$B$1048576,"")</f>
        <v>Encogroup</v>
      </c>
      <c r="E1768" s="43" t="s">
        <v>122</v>
      </c>
      <c r="F1768" s="12">
        <f>_xlfn.XLOOKUP(Table134526_79101120212223242526[[#This Row],[Name Surname]],Manpower!C:C,Manpower!D:D,)</f>
        <v>140805554</v>
      </c>
      <c r="G1768" s="48" t="str">
        <f>_xlfn.XLOOKUP(Table134526_79101120212223242526[[#This Row],[Name Surname]],Manpower!$C$4:$C$1048576,Manpower!$F$4:$F$1048576,"")</f>
        <v>Assistant/Helper</v>
      </c>
      <c r="H1768" s="48" t="str">
        <f>_xlfn.XLOOKUP(Table134526_79101120212223242526[[#This Row],[Name Surname]],Manpower!$C$4:$C$1048576,Manpower!$H$4:$H$1048576,"")</f>
        <v>Manpower</v>
      </c>
      <c r="I1768" s="48" t="str">
        <f>_xlfn.XLOOKUP(Table134526_79101120212223242526[[#This Row],[Name Surname]],Manpower!$C$4:$C$1048576,Manpower!$H$4:$H$1048576,"")</f>
        <v>Manpower</v>
      </c>
      <c r="J1768" s="43" t="s">
        <v>35</v>
      </c>
      <c r="K1768" s="43" t="s">
        <v>252</v>
      </c>
      <c r="L1768" s="43" t="s">
        <v>82</v>
      </c>
      <c r="M1768" s="43" t="s">
        <v>24</v>
      </c>
      <c r="N1768" s="44">
        <v>10</v>
      </c>
      <c r="O1768" s="43" t="s">
        <v>25</v>
      </c>
      <c r="P1768" s="43" t="s">
        <v>41</v>
      </c>
      <c r="Q1768" s="43" t="s">
        <v>77</v>
      </c>
      <c r="R1768" s="43" t="s">
        <v>312</v>
      </c>
      <c r="S1768" s="43"/>
    </row>
    <row r="1769" spans="1:19" s="45" customFormat="1" ht="14.4" hidden="1">
      <c r="A1769" s="25">
        <f>IF(C1769="","",MAX($A$1:A1768)+1)</f>
        <v>1665</v>
      </c>
      <c r="B1769" s="25" t="s">
        <v>79</v>
      </c>
      <c r="C1769" s="41">
        <v>46096</v>
      </c>
      <c r="D1769" s="48" t="str">
        <f>_xlfn.XLOOKUP(Table134526_79101120212223242526[[#This Row],[Name Surname]],Manpower!$C$4:$C$1048576,Manpower!$B$4:$B$1048576,"")</f>
        <v>Encogroup</v>
      </c>
      <c r="E1769" s="43" t="s">
        <v>125</v>
      </c>
      <c r="F1769" s="12">
        <f>_xlfn.XLOOKUP(Table134526_79101120212223242526[[#This Row],[Name Surname]],Manpower!C:C,Manpower!D:D,)</f>
        <v>141169028</v>
      </c>
      <c r="G1769" s="48" t="str">
        <f>_xlfn.XLOOKUP(Table134526_79101120212223242526[[#This Row],[Name Surname]],Manpower!$C$4:$C$1048576,Manpower!$F$4:$F$1048576,"")</f>
        <v>Welder</v>
      </c>
      <c r="H1769" s="48" t="str">
        <f>_xlfn.XLOOKUP(Table134526_79101120212223242526[[#This Row],[Name Surname]],Manpower!$C$4:$C$1048576,Manpower!$H$4:$H$1048576,"")</f>
        <v>Manpower</v>
      </c>
      <c r="I1769" s="48" t="str">
        <f>_xlfn.XLOOKUP(Table134526_79101120212223242526[[#This Row],[Name Surname]],Manpower!$C$4:$C$1048576,Manpower!$H$4:$H$1048576,"")</f>
        <v>Manpower</v>
      </c>
      <c r="J1769" s="43" t="s">
        <v>35</v>
      </c>
      <c r="K1769" s="43" t="s">
        <v>313</v>
      </c>
      <c r="L1769" s="43" t="s">
        <v>82</v>
      </c>
      <c r="M1769" s="43" t="s">
        <v>24</v>
      </c>
      <c r="N1769" s="44">
        <v>10</v>
      </c>
      <c r="O1769" s="43" t="s">
        <v>25</v>
      </c>
      <c r="P1769" s="43" t="s">
        <v>41</v>
      </c>
      <c r="Q1769" s="43" t="s">
        <v>60</v>
      </c>
      <c r="R1769" s="43" t="s">
        <v>314</v>
      </c>
      <c r="S1769" s="43"/>
    </row>
    <row r="1770" spans="1:19" s="45" customFormat="1" ht="14.4" hidden="1">
      <c r="A1770" s="25">
        <f>IF(C1770="","",MAX($A$1:A1769)+1)</f>
        <v>1666</v>
      </c>
      <c r="B1770" s="25" t="s">
        <v>79</v>
      </c>
      <c r="C1770" s="41">
        <v>46096</v>
      </c>
      <c r="D1770" s="48" t="str">
        <f>_xlfn.XLOOKUP(Table134526_79101120212223242526[[#This Row],[Name Surname]],Manpower!$C$4:$C$1048576,Manpower!$B$4:$B$1048576,"")</f>
        <v>AL Saif &amp; Al QALLM ENT LLC</v>
      </c>
      <c r="E1770" s="43" t="s">
        <v>130</v>
      </c>
      <c r="F1770" s="12">
        <f>_xlfn.XLOOKUP(Table134526_79101120212223242526[[#This Row],[Name Surname]],Manpower!C:C,Manpower!D:D,)</f>
        <v>76647648</v>
      </c>
      <c r="G1770" s="48" t="str">
        <f>_xlfn.XLOOKUP(Table134526_79101120212223242526[[#This Row],[Name Surname]],Manpower!$C$4:$C$1048576,Manpower!$F$4:$F$1048576,"")</f>
        <v>RIgger</v>
      </c>
      <c r="H1770" s="48" t="str">
        <f>_xlfn.XLOOKUP(Table134526_79101120212223242526[[#This Row],[Name Surname]],Manpower!$C$4:$C$1048576,Manpower!$H$4:$H$1048576,"")</f>
        <v>Sub Contactor</v>
      </c>
      <c r="I1770" s="48" t="str">
        <f>_xlfn.XLOOKUP(Table134526_79101120212223242526[[#This Row],[Name Surname]],Manpower!$C$4:$C$1048576,Manpower!$H$4:$H$1048576,"")</f>
        <v>Sub Contactor</v>
      </c>
      <c r="J1770" s="43" t="s">
        <v>35</v>
      </c>
      <c r="K1770" s="43" t="s">
        <v>313</v>
      </c>
      <c r="L1770" s="43" t="s">
        <v>82</v>
      </c>
      <c r="M1770" s="43" t="s">
        <v>24</v>
      </c>
      <c r="N1770" s="44">
        <v>8</v>
      </c>
      <c r="O1770" s="43" t="s">
        <v>25</v>
      </c>
      <c r="P1770" s="43" t="s">
        <v>41</v>
      </c>
      <c r="Q1770" s="43" t="s">
        <v>60</v>
      </c>
      <c r="R1770" s="43" t="s">
        <v>314</v>
      </c>
      <c r="S1770" s="43"/>
    </row>
    <row r="1771" spans="1:19" s="45" customFormat="1" ht="14.4" hidden="1">
      <c r="A1771" s="25">
        <f>IF(C1771="","",MAX($A$1:A1770)+1)</f>
        <v>1667</v>
      </c>
      <c r="B1771" s="25" t="s">
        <v>79</v>
      </c>
      <c r="C1771" s="41">
        <v>46096</v>
      </c>
      <c r="D1771" s="48" t="str">
        <f>_xlfn.XLOOKUP(Table134526_79101120212223242526[[#This Row],[Name Surname]],Manpower!$C$4:$C$1048576,Manpower!$B$4:$B$1048576,"")</f>
        <v>Rabwu Ahamal AL Khaleej Trad</v>
      </c>
      <c r="E1771" s="43" t="s">
        <v>131</v>
      </c>
      <c r="F1771" s="12">
        <f>_xlfn.XLOOKUP(Table134526_79101120212223242526[[#This Row],[Name Surname]],Manpower!C:C,Manpower!D:D,)</f>
        <v>131431131</v>
      </c>
      <c r="G1771" s="48" t="str">
        <f>_xlfn.XLOOKUP(Table134526_79101120212223242526[[#This Row],[Name Surname]],Manpower!$C$4:$C$1048576,Manpower!$F$4:$F$1048576,"")</f>
        <v>RIgger</v>
      </c>
      <c r="H1771" s="48" t="str">
        <f>_xlfn.XLOOKUP(Table134526_79101120212223242526[[#This Row],[Name Surname]],Manpower!$C$4:$C$1048576,Manpower!$H$4:$H$1048576,"")</f>
        <v>Sub Contactor</v>
      </c>
      <c r="I1771" s="48" t="str">
        <f>_xlfn.XLOOKUP(Table134526_79101120212223242526[[#This Row],[Name Surname]],Manpower!$C$4:$C$1048576,Manpower!$H$4:$H$1048576,"")</f>
        <v>Sub Contactor</v>
      </c>
      <c r="J1771" s="43" t="s">
        <v>35</v>
      </c>
      <c r="K1771" s="43" t="s">
        <v>313</v>
      </c>
      <c r="L1771" s="43" t="s">
        <v>82</v>
      </c>
      <c r="M1771" s="43" t="s">
        <v>24</v>
      </c>
      <c r="N1771" s="44">
        <v>8</v>
      </c>
      <c r="O1771" s="43" t="s">
        <v>25</v>
      </c>
      <c r="P1771" s="43" t="s">
        <v>41</v>
      </c>
      <c r="Q1771" s="43" t="s">
        <v>60</v>
      </c>
      <c r="R1771" s="43" t="s">
        <v>314</v>
      </c>
      <c r="S1771" s="43"/>
    </row>
    <row r="1772" spans="1:19" ht="14.4" hidden="1">
      <c r="A1772" s="33">
        <f>IF(C1772="","",MAX($A$1:A1771)+1)</f>
        <v>1668</v>
      </c>
      <c r="B1772" s="26" t="s">
        <v>79</v>
      </c>
      <c r="C1772" s="23">
        <v>46096</v>
      </c>
      <c r="D1772" s="28" t="str">
        <f>_xlfn.XLOOKUP(Table134526_79101120212223242526[[#This Row],[Name Surname]],Manpower!$C$4:$C$1048576,Manpower!$B$4:$B$1048576,"")</f>
        <v>AL Saif &amp; Al QALLM ENT LLC</v>
      </c>
      <c r="E1772" s="21" t="s">
        <v>132</v>
      </c>
      <c r="F1772" s="12">
        <f>_xlfn.XLOOKUP(Table134526_79101120212223242526[[#This Row],[Name Surname]],Manpower!C:C,Manpower!D:D,)</f>
        <v>135762195</v>
      </c>
      <c r="G1772" s="28" t="str">
        <f>_xlfn.XLOOKUP(Table134526_79101120212223242526[[#This Row],[Name Surname]],Manpower!$C$4:$C$1048576,Manpower!$F$4:$F$1048576,"")</f>
        <v>HSE Officer</v>
      </c>
      <c r="H1772" s="28" t="str">
        <f>_xlfn.XLOOKUP(Table134526_79101120212223242526[[#This Row],[Name Surname]],Manpower!$C$4:$C$1048576,Manpower!$H$4:$H$1048576,"")</f>
        <v>Sub Contactor</v>
      </c>
      <c r="I1772" s="28" t="str">
        <f>_xlfn.XLOOKUP(Table134526_79101120212223242526[[#This Row],[Name Surname]],Manpower!$C$4:$C$1048576,Manpower!$H$4:$H$1048576,"")</f>
        <v>Sub Contactor</v>
      </c>
      <c r="J1772" s="21" t="s">
        <v>35</v>
      </c>
      <c r="K1772" s="21" t="s">
        <v>313</v>
      </c>
      <c r="L1772" s="21" t="s">
        <v>82</v>
      </c>
      <c r="M1772" s="21" t="s">
        <v>24</v>
      </c>
      <c r="N1772" s="29">
        <v>10</v>
      </c>
      <c r="O1772" s="21" t="s">
        <v>25</v>
      </c>
      <c r="P1772" s="21" t="s">
        <v>41</v>
      </c>
      <c r="Q1772" s="21" t="s">
        <v>60</v>
      </c>
      <c r="R1772" s="21" t="s">
        <v>301</v>
      </c>
    </row>
    <row r="1773" spans="1:19" s="45" customFormat="1" ht="14.4" hidden="1">
      <c r="A1773" s="25">
        <f>IF(C1773="","",MAX($A$1:A1772)+1)</f>
        <v>1669</v>
      </c>
      <c r="B1773" s="25" t="s">
        <v>79</v>
      </c>
      <c r="C1773" s="41">
        <v>46096</v>
      </c>
      <c r="D1773" s="48" t="str">
        <f>_xlfn.XLOOKUP(Table134526_79101120212223242526[[#This Row],[Name Surname]],Manpower!$C$4:$C$1048576,Manpower!$B$4:$B$1048576,"")</f>
        <v>Encogroup</v>
      </c>
      <c r="E1773" s="43" t="s">
        <v>133</v>
      </c>
      <c r="F1773" s="12">
        <f>_xlfn.XLOOKUP(Table134526_79101120212223242526[[#This Row],[Name Surname]],Manpower!C:C,Manpower!D:D,)</f>
        <v>140846684</v>
      </c>
      <c r="G1773" s="48" t="str">
        <f>_xlfn.XLOOKUP(Table134526_79101120212223242526[[#This Row],[Name Surname]],Manpower!$C$4:$C$1048576,Manpower!$F$4:$F$1048576,"")</f>
        <v>Assistant/Helper</v>
      </c>
      <c r="H1773" s="48" t="str">
        <f>_xlfn.XLOOKUP(Table134526_79101120212223242526[[#This Row],[Name Surname]],Manpower!$C$4:$C$1048576,Manpower!$H$4:$H$1048576,"")</f>
        <v>Manpower</v>
      </c>
      <c r="I1773" s="48" t="str">
        <f>_xlfn.XLOOKUP(Table134526_79101120212223242526[[#This Row],[Name Surname]],Manpower!$C$4:$C$1048576,Manpower!$H$4:$H$1048576,"")</f>
        <v>Manpower</v>
      </c>
      <c r="J1773" s="43" t="s">
        <v>35</v>
      </c>
      <c r="K1773" s="43" t="s">
        <v>313</v>
      </c>
      <c r="L1773" s="43" t="s">
        <v>82</v>
      </c>
      <c r="M1773" s="43" t="s">
        <v>24</v>
      </c>
      <c r="N1773" s="44">
        <v>10</v>
      </c>
      <c r="O1773" s="43" t="s">
        <v>25</v>
      </c>
      <c r="P1773" s="43" t="s">
        <v>41</v>
      </c>
      <c r="Q1773" s="43" t="s">
        <v>60</v>
      </c>
      <c r="R1773" s="43" t="s">
        <v>100</v>
      </c>
      <c r="S1773" s="43"/>
    </row>
    <row r="1774" spans="1:19" s="45" customFormat="1" ht="14.4" hidden="1">
      <c r="A1774" s="25">
        <f>IF(C1774="","",MAX($A$1:A1773)+1)</f>
        <v>1670</v>
      </c>
      <c r="B1774" s="25" t="s">
        <v>79</v>
      </c>
      <c r="C1774" s="41">
        <v>46096</v>
      </c>
      <c r="D1774" s="48" t="str">
        <f>_xlfn.XLOOKUP(Table134526_79101120212223242526[[#This Row],[Name Surname]],Manpower!$C$4:$C$1048576,Manpower!$B$4:$B$1048576,"")</f>
        <v>Encogroup</v>
      </c>
      <c r="E1774" s="43" t="s">
        <v>136</v>
      </c>
      <c r="F1774" s="12">
        <f>_xlfn.XLOOKUP(Table134526_79101120212223242526[[#This Row],[Name Surname]],Manpower!C:C,Manpower!D:D,)</f>
        <v>141250908</v>
      </c>
      <c r="G1774" s="48" t="str">
        <f>_xlfn.XLOOKUP(Table134526_79101120212223242526[[#This Row],[Name Surname]],Manpower!$C$4:$C$1048576,Manpower!$F$4:$F$1048576,"")</f>
        <v>Mechanical Engineer</v>
      </c>
      <c r="H1774" s="48" t="str">
        <f>_xlfn.XLOOKUP(Table134526_79101120212223242526[[#This Row],[Name Surname]],Manpower!$C$4:$C$1048576,Manpower!$H$4:$H$1048576,"")</f>
        <v>Manpower</v>
      </c>
      <c r="I1774" s="48" t="str">
        <f>_xlfn.XLOOKUP(Table134526_79101120212223242526[[#This Row],[Name Surname]],Manpower!$C$4:$C$1048576,Manpower!$H$4:$H$1048576,"")</f>
        <v>Manpower</v>
      </c>
      <c r="J1774" s="43" t="s">
        <v>35</v>
      </c>
      <c r="K1774" s="43" t="s">
        <v>313</v>
      </c>
      <c r="L1774" s="43" t="s">
        <v>82</v>
      </c>
      <c r="M1774" s="43" t="s">
        <v>24</v>
      </c>
      <c r="N1774" s="44">
        <v>10</v>
      </c>
      <c r="O1774" s="43" t="s">
        <v>25</v>
      </c>
      <c r="P1774" s="43" t="s">
        <v>41</v>
      </c>
      <c r="Q1774" s="43" t="s">
        <v>60</v>
      </c>
      <c r="R1774" s="43" t="s">
        <v>301</v>
      </c>
      <c r="S1774" s="43"/>
    </row>
    <row r="1775" spans="1:19" ht="14.4">
      <c r="A1775" s="33">
        <f>IF(C1775="","",MAX($A$1:A1774)+1)</f>
        <v>1671</v>
      </c>
      <c r="B1775" s="26" t="s">
        <v>79</v>
      </c>
      <c r="C1775" s="23">
        <v>46096</v>
      </c>
      <c r="D1775" s="28" t="str">
        <f>_xlfn.XLOOKUP(Table134526_79101120212223242526[[#This Row],[Name Surname]],Manpower!$C$4:$C$1048576,Manpower!$B$4:$B$1048576,"")</f>
        <v>Encogroup</v>
      </c>
      <c r="E1775" s="23" t="s">
        <v>137</v>
      </c>
      <c r="F1775" s="12" t="e">
        <f>_xlfn.XLOOKUP(Table134526_79101120212223242526[[#This Row],[Name Surname]],Manpower!C:C,Manpower!D:D,)</f>
        <v>#N/A</v>
      </c>
      <c r="G1775" s="28" t="str">
        <f>_xlfn.XLOOKUP(Table134526_79101120212223242526[[#This Row],[Name Surname]],Manpower!$C$4:$C$1048576,Manpower!$F$4:$F$1048576,"")</f>
        <v>55 Seat Bus</v>
      </c>
      <c r="H1775" s="28" t="str">
        <f>_xlfn.XLOOKUP(Table134526_79101120212223242526[[#This Row],[Name Surname]],Manpower!$C$4:$C$1048576,Manpower!$H$4:$H$1048576,"")</f>
        <v>Equipment</v>
      </c>
      <c r="I1775" s="28" t="str">
        <f>_xlfn.XLOOKUP(Table134526_79101120212223242526[[#This Row],[Name Surname]],Manpower!$C$4:$C$1048576,Manpower!$H$4:$H$1048576,"")</f>
        <v>Equipment</v>
      </c>
      <c r="J1775" s="21" t="s">
        <v>35</v>
      </c>
      <c r="K1775" s="21" t="s">
        <v>313</v>
      </c>
      <c r="L1775" s="21" t="s">
        <v>82</v>
      </c>
      <c r="M1775" s="21" t="s">
        <v>24</v>
      </c>
      <c r="N1775" s="29">
        <v>10</v>
      </c>
      <c r="O1775" s="21" t="s">
        <v>140</v>
      </c>
      <c r="P1775" s="21" t="s">
        <v>140</v>
      </c>
      <c r="Q1775" s="21" t="s">
        <v>140</v>
      </c>
      <c r="R1775" s="21" t="s">
        <v>26</v>
      </c>
    </row>
    <row r="1776" spans="1:19" ht="14.4">
      <c r="A1776" s="33">
        <f>IF(C1776="","",MAX($A$1:A1774)+1)</f>
        <v>1671</v>
      </c>
      <c r="B1776" s="26" t="s">
        <v>79</v>
      </c>
      <c r="C1776" s="23">
        <v>46096</v>
      </c>
      <c r="D1776" s="28" t="str">
        <f>_xlfn.XLOOKUP(Table134526_79101120212223242526[[#This Row],[Name Surname]],Manpower!$C$4:$C$1048576,Manpower!$B$4:$B$1048576,"")</f>
        <v>Encogroup</v>
      </c>
      <c r="E1776" s="23" t="s">
        <v>139</v>
      </c>
      <c r="F1776" s="12" t="e">
        <f>_xlfn.XLOOKUP(Table134526_79101120212223242526[[#This Row],[Name Surname]],Manpower!C:C,Manpower!D:D,)</f>
        <v>#N/A</v>
      </c>
      <c r="G1776" s="28" t="str">
        <f>_xlfn.XLOOKUP(Table134526_79101120212223242526[[#This Row],[Name Surname]],Manpower!$C$4:$C$1048576,Manpower!$F$4:$F$1048576,"")</f>
        <v>TOWER LIGHT</v>
      </c>
      <c r="H1776" s="28" t="str">
        <f>_xlfn.XLOOKUP(Table134526_79101120212223242526[[#This Row],[Name Surname]],Manpower!$C$4:$C$1048576,Manpower!$H$4:$H$1048576,"")</f>
        <v>Equipment</v>
      </c>
      <c r="I1776" s="28" t="str">
        <f>_xlfn.XLOOKUP(Table134526_79101120212223242526[[#This Row],[Name Surname]],Manpower!$C$4:$C$1048576,Manpower!$H$4:$H$1048576,"")</f>
        <v>Equipment</v>
      </c>
      <c r="J1776" s="21" t="s">
        <v>35</v>
      </c>
      <c r="K1776" s="21" t="s">
        <v>313</v>
      </c>
      <c r="L1776" s="21" t="s">
        <v>82</v>
      </c>
      <c r="M1776" s="21" t="s">
        <v>24</v>
      </c>
      <c r="N1776" s="29">
        <v>10</v>
      </c>
      <c r="O1776" s="21" t="s">
        <v>140</v>
      </c>
      <c r="P1776" s="21" t="s">
        <v>140</v>
      </c>
      <c r="Q1776" s="21" t="s">
        <v>140</v>
      </c>
      <c r="R1776" s="21" t="s">
        <v>26</v>
      </c>
    </row>
    <row r="1777" spans="1:19" ht="14.4">
      <c r="A1777" s="33">
        <f>IF(C1777="","",MAX($A$1:A1776)+1)</f>
        <v>1672</v>
      </c>
      <c r="B1777" s="27" t="s">
        <v>141</v>
      </c>
      <c r="C1777" s="23">
        <v>46096</v>
      </c>
      <c r="D1777" s="28" t="str">
        <f>_xlfn.XLOOKUP(Table134526_79101120212223242526[[#This Row],[Name Surname]],Manpower!$C$4:$C$1048576,Manpower!$B$4:$B$1048576,"")</f>
        <v>Encogroup</v>
      </c>
      <c r="E1777" s="21" t="s">
        <v>142</v>
      </c>
      <c r="F1777" s="12" t="e">
        <f>_xlfn.XLOOKUP(Table134526_79101120212223242526[[#This Row],[Name Surname]],Manpower!C:C,Manpower!D:D,)</f>
        <v>#N/A</v>
      </c>
      <c r="G1777" s="28" t="str">
        <f>_xlfn.XLOOKUP(Table134526_79101120212223242526[[#This Row],[Name Surname]],Manpower!$C$4:$C$1048576,Manpower!$F$4:$F$1048576,"")</f>
        <v>13 Seat Bus</v>
      </c>
      <c r="H1777" s="28" t="str">
        <f>_xlfn.XLOOKUP(Table134526_79101120212223242526[[#This Row],[Name Surname]],Manpower!$C$4:$C$1048576,Manpower!$H$4:$H$1048576,"")</f>
        <v>Equipment</v>
      </c>
      <c r="I1777" s="28" t="str">
        <f>_xlfn.XLOOKUP(Table134526_79101120212223242526[[#This Row],[Name Surname]],Manpower!$C$4:$C$1048576,Manpower!$H$4:$H$1048576,"")</f>
        <v>Equipment</v>
      </c>
      <c r="J1777" s="21" t="s">
        <v>143</v>
      </c>
      <c r="K1777" s="21" t="s">
        <v>26</v>
      </c>
      <c r="L1777" s="21" t="s">
        <v>144</v>
      </c>
      <c r="M1777" s="21" t="s">
        <v>24</v>
      </c>
      <c r="N1777" s="29">
        <v>10</v>
      </c>
      <c r="O1777" s="21" t="s">
        <v>138</v>
      </c>
      <c r="P1777" s="21" t="s">
        <v>138</v>
      </c>
      <c r="Q1777" s="21" t="s">
        <v>138</v>
      </c>
      <c r="R1777" s="21" t="s">
        <v>26</v>
      </c>
    </row>
    <row r="1778" spans="1:19" ht="14.4">
      <c r="A1778" s="33">
        <f>IF(C1778="","",MAX($A$1:A1777)+1)</f>
        <v>1673</v>
      </c>
      <c r="B1778" s="27" t="s">
        <v>141</v>
      </c>
      <c r="C1778" s="23">
        <v>46096</v>
      </c>
      <c r="D1778" s="28" t="str">
        <f>_xlfn.XLOOKUP(Table134526_79101120212223242526[[#This Row],[Name Surname]],Manpower!$C$4:$C$1048576,Manpower!$B$4:$B$1048576,"")</f>
        <v>Encogroup</v>
      </c>
      <c r="E1778" s="21" t="s">
        <v>145</v>
      </c>
      <c r="F1778" s="12" t="e">
        <f>_xlfn.XLOOKUP(Table134526_79101120212223242526[[#This Row],[Name Surname]],Manpower!C:C,Manpower!D:D,)</f>
        <v>#N/A</v>
      </c>
      <c r="G1778" s="28" t="str">
        <f>_xlfn.XLOOKUP(Table134526_79101120212223242526[[#This Row],[Name Surname]],Manpower!$C$4:$C$1048576,Manpower!$F$4:$F$1048576,"")</f>
        <v>15 Seat Bus</v>
      </c>
      <c r="H1778" s="28" t="str">
        <f>_xlfn.XLOOKUP(Table134526_79101120212223242526[[#This Row],[Name Surname]],Manpower!$C$4:$C$1048576,Manpower!$H$4:$H$1048576,"")</f>
        <v>Equipment</v>
      </c>
      <c r="I1778" s="28" t="str">
        <f>_xlfn.XLOOKUP(Table134526_79101120212223242526[[#This Row],[Name Surname]],Manpower!$C$4:$C$1048576,Manpower!$H$4:$H$1048576,"")</f>
        <v>Equipment</v>
      </c>
      <c r="J1778" s="21" t="s">
        <v>143</v>
      </c>
      <c r="K1778" s="21" t="s">
        <v>26</v>
      </c>
      <c r="L1778" s="21" t="s">
        <v>144</v>
      </c>
      <c r="M1778" s="21" t="s">
        <v>24</v>
      </c>
      <c r="N1778" s="29">
        <v>10</v>
      </c>
      <c r="O1778" s="21" t="s">
        <v>138</v>
      </c>
      <c r="P1778" s="21" t="s">
        <v>138</v>
      </c>
      <c r="Q1778" s="21" t="s">
        <v>138</v>
      </c>
      <c r="R1778" s="21" t="s">
        <v>26</v>
      </c>
    </row>
    <row r="1779" spans="1:19" ht="14.4">
      <c r="A1779" s="33">
        <f>IF(C1779="","",MAX($A$1:A1777)+1)</f>
        <v>1673</v>
      </c>
      <c r="B1779" s="27" t="s">
        <v>141</v>
      </c>
      <c r="C1779" s="23">
        <v>46096</v>
      </c>
      <c r="D1779" s="28" t="str">
        <f>_xlfn.XLOOKUP(Table134526_79101120212223242526[[#This Row],[Name Surname]],Manpower!$C$4:$C$1048576,Manpower!$B$4:$B$1048576,"")</f>
        <v>Nass Group</v>
      </c>
      <c r="E1779" s="21" t="s">
        <v>146</v>
      </c>
      <c r="F1779" s="12" t="e">
        <f>_xlfn.XLOOKUP(Table134526_79101120212223242526[[#This Row],[Name Surname]],Manpower!C:C,Manpower!D:D,)</f>
        <v>#N/A</v>
      </c>
      <c r="G1779" s="28" t="str">
        <f>_xlfn.XLOOKUP(Table134526_79101120212223242526[[#This Row],[Name Surname]],Manpower!$C$4:$C$1048576,Manpower!$F$4:$F$1048576,"")</f>
        <v>130T Crawler Crane</v>
      </c>
      <c r="H1779" s="28" t="str">
        <f>_xlfn.XLOOKUP(Table134526_79101120212223242526[[#This Row],[Name Surname]],Manpower!$C$4:$C$1048576,Manpower!$H$4:$H$1048576,"")</f>
        <v>Equipment</v>
      </c>
      <c r="I1779" s="28" t="str">
        <f>_xlfn.XLOOKUP(Table134526_79101120212223242526[[#This Row],[Name Surname]],Manpower!$C$4:$C$1048576,Manpower!$H$4:$H$1048576,"")</f>
        <v>Equipment</v>
      </c>
      <c r="J1779" s="21" t="s">
        <v>143</v>
      </c>
      <c r="K1779" s="21" t="s">
        <v>26</v>
      </c>
      <c r="L1779" s="21" t="s">
        <v>144</v>
      </c>
      <c r="M1779" s="21" t="s">
        <v>55</v>
      </c>
      <c r="N1779" s="29">
        <v>10</v>
      </c>
      <c r="R1779" s="21" t="s">
        <v>258</v>
      </c>
    </row>
    <row r="1780" spans="1:19" ht="14.4">
      <c r="A1780" s="33">
        <f>IF(C1780="","",MAX($A$1:A1779)+1)</f>
        <v>1674</v>
      </c>
      <c r="B1780" s="27" t="s">
        <v>141</v>
      </c>
      <c r="C1780" s="23">
        <v>46096</v>
      </c>
      <c r="D1780" s="28" t="str">
        <f>_xlfn.XLOOKUP(Table134526_79101120212223242526[[#This Row],[Name Surname]],Manpower!$C$4:$C$1048576,Manpower!$B$4:$B$1048576,"")</f>
        <v>Riyan Al Khaleej</v>
      </c>
      <c r="E1780" s="21" t="s">
        <v>20</v>
      </c>
      <c r="F1780" s="12" t="e">
        <f>_xlfn.XLOOKUP(Table134526_79101120212223242526[[#This Row],[Name Surname]],Manpower!C:C,Manpower!D:D,)</f>
        <v>#N/A</v>
      </c>
      <c r="G1780" s="28" t="str">
        <f>_xlfn.XLOOKUP(Table134526_79101120212223242526[[#This Row],[Name Surname]],Manpower!$C$4:$C$1048576,Manpower!$F$4:$F$1048576,"")</f>
        <v>100T Telescopic Crane</v>
      </c>
      <c r="H1780" s="28" t="str">
        <f>_xlfn.XLOOKUP(Table134526_79101120212223242526[[#This Row],[Name Surname]],Manpower!$C$4:$C$1048576,Manpower!$H$4:$H$1048576,"")</f>
        <v>Equipment</v>
      </c>
      <c r="I1780" s="28" t="str">
        <f>_xlfn.XLOOKUP(Table134526_79101120212223242526[[#This Row],[Name Surname]],Manpower!$C$4:$C$1048576,Manpower!$H$4:$H$1048576,"")</f>
        <v>Equipment</v>
      </c>
      <c r="J1780" s="21" t="s">
        <v>143</v>
      </c>
      <c r="K1780" s="21" t="s">
        <v>26</v>
      </c>
      <c r="L1780" s="21" t="s">
        <v>144</v>
      </c>
      <c r="M1780" s="21" t="s">
        <v>24</v>
      </c>
      <c r="N1780" s="29">
        <v>10</v>
      </c>
      <c r="O1780" s="21" t="s">
        <v>40</v>
      </c>
      <c r="P1780" s="21" t="s">
        <v>41</v>
      </c>
      <c r="Q1780" s="21" t="s">
        <v>42</v>
      </c>
      <c r="R1780" s="21" t="s">
        <v>317</v>
      </c>
    </row>
    <row r="1781" spans="1:19" ht="14.4">
      <c r="A1781" s="33">
        <f>IF(C1781="","",MAX($A$1:A1780)+1)</f>
        <v>1675</v>
      </c>
      <c r="B1781" s="27" t="s">
        <v>141</v>
      </c>
      <c r="C1781" s="23">
        <v>46096</v>
      </c>
      <c r="D1781" s="28" t="str">
        <f>_xlfn.XLOOKUP(Table134526_79101120212223242526[[#This Row],[Name Surname]],Manpower!$C$4:$C$1048576,Manpower!$B$4:$B$1048576,"")</f>
        <v>Encogroup</v>
      </c>
      <c r="E1781" s="21" t="s">
        <v>150</v>
      </c>
      <c r="F1781" s="12" t="e">
        <f>_xlfn.XLOOKUP(Table134526_79101120212223242526[[#This Row],[Name Surname]],Manpower!C:C,Manpower!D:D,)</f>
        <v>#N/A</v>
      </c>
      <c r="G1781" s="28" t="str">
        <f>_xlfn.XLOOKUP(Table134526_79101120212223242526[[#This Row],[Name Surname]],Manpower!$C$4:$C$1048576,Manpower!$F$4:$F$1048576,"")</f>
        <v>14T Fork lift</v>
      </c>
      <c r="H1781" s="28" t="str">
        <f>_xlfn.XLOOKUP(Table134526_79101120212223242526[[#This Row],[Name Surname]],Manpower!$C$4:$C$1048576,Manpower!$H$4:$H$1048576,"")</f>
        <v>Equipment</v>
      </c>
      <c r="I1781" s="28" t="str">
        <f>_xlfn.XLOOKUP(Table134526_79101120212223242526[[#This Row],[Name Surname]],Manpower!$C$4:$C$1048576,Manpower!$H$4:$H$1048576,"")</f>
        <v>Equipment</v>
      </c>
      <c r="J1781" s="21" t="s">
        <v>143</v>
      </c>
      <c r="K1781" s="21" t="s">
        <v>26</v>
      </c>
      <c r="L1781" s="21" t="s">
        <v>144</v>
      </c>
      <c r="M1781" s="21" t="s">
        <v>24</v>
      </c>
      <c r="N1781" s="29">
        <v>10</v>
      </c>
      <c r="O1781" s="21" t="s">
        <v>40</v>
      </c>
      <c r="P1781" s="21" t="s">
        <v>42</v>
      </c>
      <c r="Q1781" s="21" t="s">
        <v>41</v>
      </c>
      <c r="R1781" s="21" t="s">
        <v>272</v>
      </c>
    </row>
    <row r="1782" spans="1:19" ht="14.4">
      <c r="A1782" s="33">
        <f>IF(C1782="","",MAX($A$1:A1781)+1)</f>
        <v>1676</v>
      </c>
      <c r="B1782" s="27" t="s">
        <v>141</v>
      </c>
      <c r="C1782" s="23">
        <v>46096</v>
      </c>
      <c r="D1782" s="28" t="str">
        <f>_xlfn.XLOOKUP(Table134526_79101120212223242526[[#This Row],[Name Surname]],Manpower!$C$4:$C$1048576,Manpower!$B$4:$B$1048576,"")</f>
        <v>Al Jaber Heavy Lift</v>
      </c>
      <c r="E1782" s="21" t="s">
        <v>151</v>
      </c>
      <c r="F1782" s="12" t="e">
        <f>_xlfn.XLOOKUP(Table134526_79101120212223242526[[#This Row],[Name Surname]],Manpower!C:C,Manpower!D:D,)</f>
        <v>#N/A</v>
      </c>
      <c r="G1782" s="28" t="str">
        <f>_xlfn.XLOOKUP(Table134526_79101120212223242526[[#This Row],[Name Surname]],Manpower!$C$4:$C$1048576,Manpower!$F$4:$F$1048576,"")</f>
        <v>150T-Crawler Crane</v>
      </c>
      <c r="H1782" s="28" t="str">
        <f>_xlfn.XLOOKUP(Table134526_79101120212223242526[[#This Row],[Name Surname]],Manpower!$C$4:$C$1048576,Manpower!$H$4:$H$1048576,"")</f>
        <v>Equipment</v>
      </c>
      <c r="I1782" s="28" t="str">
        <f>_xlfn.XLOOKUP(Table134526_79101120212223242526[[#This Row],[Name Surname]],Manpower!$C$4:$C$1048576,Manpower!$H$4:$H$1048576,"")</f>
        <v>Equipment</v>
      </c>
      <c r="J1782" s="21" t="s">
        <v>143</v>
      </c>
      <c r="K1782" s="21" t="s">
        <v>26</v>
      </c>
      <c r="L1782" s="21" t="s">
        <v>144</v>
      </c>
      <c r="M1782" s="21" t="s">
        <v>55</v>
      </c>
      <c r="N1782" s="29">
        <v>10</v>
      </c>
      <c r="R1782" s="21" t="s">
        <v>242</v>
      </c>
    </row>
    <row r="1783" spans="1:19" ht="14.4">
      <c r="A1783" s="33">
        <f>IF(C1783="","",MAX($A$1:A1782)+1)</f>
        <v>1677</v>
      </c>
      <c r="B1783" s="27" t="s">
        <v>141</v>
      </c>
      <c r="C1783" s="23">
        <v>46096</v>
      </c>
      <c r="D1783" s="28" t="str">
        <f>_xlfn.XLOOKUP(Table134526_79101120212223242526[[#This Row],[Name Surname]],Manpower!$C$4:$C$1048576,Manpower!$B$4:$B$1048576,"")</f>
        <v>Encogroup</v>
      </c>
      <c r="E1783" s="21" t="s">
        <v>153</v>
      </c>
      <c r="F1783" s="12" t="e">
        <f>_xlfn.XLOOKUP(Table134526_79101120212223242526[[#This Row],[Name Surname]],Manpower!C:C,Manpower!D:D,)</f>
        <v>#N/A</v>
      </c>
      <c r="G1783" s="28" t="str">
        <f>_xlfn.XLOOKUP(Table134526_79101120212223242526[[#This Row],[Name Surname]],Manpower!$C$4:$C$1048576,Manpower!$F$4:$F$1048576,"")</f>
        <v>22 Seat Bus</v>
      </c>
      <c r="H1783" s="28" t="str">
        <f>_xlfn.XLOOKUP(Table134526_79101120212223242526[[#This Row],[Name Surname]],Manpower!$C$4:$C$1048576,Manpower!$H$4:$H$1048576,"")</f>
        <v>Equipment</v>
      </c>
      <c r="I1783" s="28" t="str">
        <f>_xlfn.XLOOKUP(Table134526_79101120212223242526[[#This Row],[Name Surname]],Manpower!$C$4:$C$1048576,Manpower!$H$4:$H$1048576,"")</f>
        <v>Equipment</v>
      </c>
      <c r="J1783" s="21" t="s">
        <v>143</v>
      </c>
      <c r="K1783" s="21" t="s">
        <v>26</v>
      </c>
      <c r="L1783" s="21" t="s">
        <v>144</v>
      </c>
      <c r="M1783" s="21" t="s">
        <v>24</v>
      </c>
      <c r="N1783" s="29">
        <v>10</v>
      </c>
      <c r="O1783" s="21" t="s">
        <v>138</v>
      </c>
      <c r="P1783" s="21" t="s">
        <v>138</v>
      </c>
      <c r="Q1783" s="21" t="s">
        <v>138</v>
      </c>
      <c r="R1783" s="21" t="s">
        <v>26</v>
      </c>
    </row>
    <row r="1784" spans="1:19" ht="14.4">
      <c r="A1784" s="33">
        <f>IF(C1784="","",MAX($A$1:A1783)+1)</f>
        <v>1678</v>
      </c>
      <c r="B1784" s="27" t="s">
        <v>141</v>
      </c>
      <c r="C1784" s="23">
        <v>46096</v>
      </c>
      <c r="D1784" s="28" t="str">
        <f>_xlfn.XLOOKUP(Table134526_79101120212223242526[[#This Row],[Name Surname]],Manpower!$C$4:$C$1048576,Manpower!$B$4:$B$1048576,"")</f>
        <v>Encogroup</v>
      </c>
      <c r="E1784" s="21" t="s">
        <v>154</v>
      </c>
      <c r="F1784" s="12" t="e">
        <f>_xlfn.XLOOKUP(Table134526_79101120212223242526[[#This Row],[Name Surname]],Manpower!C:C,Manpower!D:D,)</f>
        <v>#N/A</v>
      </c>
      <c r="G1784" s="28" t="str">
        <f>_xlfn.XLOOKUP(Table134526_79101120212223242526[[#This Row],[Name Surname]],Manpower!$C$4:$C$1048576,Manpower!$F$4:$F$1048576,"")</f>
        <v>22 Seat Bus</v>
      </c>
      <c r="H1784" s="28" t="str">
        <f>_xlfn.XLOOKUP(Table134526_79101120212223242526[[#This Row],[Name Surname]],Manpower!$C$4:$C$1048576,Manpower!$H$4:$H$1048576,"")</f>
        <v>Equipment</v>
      </c>
      <c r="I1784" s="28" t="str">
        <f>_xlfn.XLOOKUP(Table134526_79101120212223242526[[#This Row],[Name Surname]],Manpower!$C$4:$C$1048576,Manpower!$H$4:$H$1048576,"")</f>
        <v>Equipment</v>
      </c>
      <c r="J1784" s="21" t="s">
        <v>143</v>
      </c>
      <c r="K1784" s="21" t="s">
        <v>26</v>
      </c>
      <c r="L1784" s="21" t="s">
        <v>144</v>
      </c>
      <c r="M1784" s="21" t="s">
        <v>24</v>
      </c>
      <c r="N1784" s="29">
        <v>10</v>
      </c>
      <c r="O1784" s="21" t="s">
        <v>138</v>
      </c>
      <c r="P1784" s="21" t="s">
        <v>138</v>
      </c>
      <c r="Q1784" s="21" t="s">
        <v>138</v>
      </c>
      <c r="R1784" s="21" t="s">
        <v>26</v>
      </c>
    </row>
    <row r="1785" spans="1:19" ht="14.4">
      <c r="A1785" s="33">
        <f>IF(C1785="","",MAX($A$1:A1784)+1)</f>
        <v>1679</v>
      </c>
      <c r="B1785" s="27" t="s">
        <v>141</v>
      </c>
      <c r="C1785" s="23">
        <v>46096</v>
      </c>
      <c r="D1785" s="28" t="str">
        <f>_xlfn.XLOOKUP(Table134526_79101120212223242526[[#This Row],[Name Surname]],Manpower!$C$4:$C$1048576,Manpower!$B$4:$B$1048576,"")</f>
        <v>Encogroup</v>
      </c>
      <c r="E1785" s="21" t="s">
        <v>155</v>
      </c>
      <c r="F1785" s="12" t="e">
        <f>_xlfn.XLOOKUP(Table134526_79101120212223242526[[#This Row],[Name Surname]],Manpower!C:C,Manpower!D:D,)</f>
        <v>#N/A</v>
      </c>
      <c r="G1785" s="28" t="str">
        <f>_xlfn.XLOOKUP(Table134526_79101120212223242526[[#This Row],[Name Surname]],Manpower!$C$4:$C$1048576,Manpower!$F$4:$F$1048576,"")</f>
        <v>300 KVA Generator</v>
      </c>
      <c r="H1785" s="28" t="str">
        <f>_xlfn.XLOOKUP(Table134526_79101120212223242526[[#This Row],[Name Surname]],Manpower!$C$4:$C$1048576,Manpower!$H$4:$H$1048576,"")</f>
        <v>Equipment</v>
      </c>
      <c r="I1785" s="28" t="str">
        <f>_xlfn.XLOOKUP(Table134526_79101120212223242526[[#This Row],[Name Surname]],Manpower!$C$4:$C$1048576,Manpower!$H$4:$H$1048576,"")</f>
        <v>Equipment</v>
      </c>
      <c r="J1785" s="21" t="s">
        <v>143</v>
      </c>
      <c r="K1785" s="21" t="s">
        <v>26</v>
      </c>
      <c r="L1785" s="21" t="s">
        <v>144</v>
      </c>
      <c r="M1785" s="21" t="s">
        <v>24</v>
      </c>
      <c r="N1785" s="29">
        <v>10</v>
      </c>
      <c r="R1785" s="21" t="s">
        <v>26</v>
      </c>
    </row>
    <row r="1786" spans="1:19" ht="14.4">
      <c r="A1786" s="33">
        <f>IF(C1786="","",MAX($A$1:A1785)+1)</f>
        <v>1680</v>
      </c>
      <c r="B1786" s="27" t="s">
        <v>141</v>
      </c>
      <c r="C1786" s="23">
        <v>46096</v>
      </c>
      <c r="D1786" s="28" t="str">
        <f>_xlfn.XLOOKUP(Table134526_79101120212223242526[[#This Row],[Name Surname]],Manpower!$C$4:$C$1048576,Manpower!$B$4:$B$1048576,"")</f>
        <v>Encogroup</v>
      </c>
      <c r="E1786" s="23" t="s">
        <v>156</v>
      </c>
      <c r="F1786" s="12" t="e">
        <f>_xlfn.XLOOKUP(Table134526_79101120212223242526[[#This Row],[Name Surname]],Manpower!C:C,Manpower!D:D,)</f>
        <v>#N/A</v>
      </c>
      <c r="G1786" s="28" t="str">
        <f>_xlfn.XLOOKUP(Table134526_79101120212223242526[[#This Row],[Name Surname]],Manpower!$C$4:$C$1048576,Manpower!$F$4:$F$1048576,"")</f>
        <v>35 KVA Generator</v>
      </c>
      <c r="H1786" s="28" t="str">
        <f>_xlfn.XLOOKUP(Table134526_79101120212223242526[[#This Row],[Name Surname]],Manpower!$C$4:$C$1048576,Manpower!$H$4:$H$1048576,"")</f>
        <v>Equipment</v>
      </c>
      <c r="I1786" s="28" t="str">
        <f>_xlfn.XLOOKUP(Table134526_79101120212223242526[[#This Row],[Name Surname]],Manpower!$C$4:$C$1048576,Manpower!$H$4:$H$1048576,"")</f>
        <v>Equipment</v>
      </c>
      <c r="J1786" s="21" t="s">
        <v>143</v>
      </c>
      <c r="K1786" s="21" t="s">
        <v>26</v>
      </c>
      <c r="L1786" s="21" t="s">
        <v>144</v>
      </c>
      <c r="M1786" s="21" t="s">
        <v>55</v>
      </c>
      <c r="N1786" s="29">
        <v>10</v>
      </c>
      <c r="R1786" s="21" t="s">
        <v>56</v>
      </c>
    </row>
    <row r="1787" spans="1:19" s="45" customFormat="1" ht="14.4" hidden="1">
      <c r="A1787" s="25">
        <f>IF(C1787="","",MAX($A$1:A1786)+1)</f>
        <v>1681</v>
      </c>
      <c r="B1787" s="25" t="s">
        <v>141</v>
      </c>
      <c r="C1787" s="41">
        <v>46096</v>
      </c>
      <c r="D1787" s="48" t="str">
        <f>_xlfn.XLOOKUP(Table134526_79101120212223242526[[#This Row],[Name Surname]],Manpower!$C$4:$C$1048576,Manpower!$B$4:$B$1048576,"")</f>
        <v>Encogroup</v>
      </c>
      <c r="E1787" s="43" t="s">
        <v>157</v>
      </c>
      <c r="F1787" s="12">
        <f>_xlfn.XLOOKUP(Table134526_79101120212223242526[[#This Row],[Name Surname]],Manpower!C:C,Manpower!D:D,)</f>
        <v>140742144</v>
      </c>
      <c r="G1787" s="48" t="str">
        <f>_xlfn.XLOOKUP(Table134526_79101120212223242526[[#This Row],[Name Surname]],Manpower!$C$4:$C$1048576,Manpower!$F$4:$F$1048576,"")</f>
        <v>Assistant/Helper</v>
      </c>
      <c r="H1787" s="48" t="str">
        <f>_xlfn.XLOOKUP(Table134526_79101120212223242526[[#This Row],[Name Surname]],Manpower!$C$4:$C$1048576,Manpower!$H$4:$H$1048576,"")</f>
        <v>Manpower</v>
      </c>
      <c r="I1787" s="48" t="str">
        <f>_xlfn.XLOOKUP(Table134526_79101120212223242526[[#This Row],[Name Surname]],Manpower!$C$4:$C$1048576,Manpower!$H$4:$H$1048576,"")</f>
        <v>Manpower</v>
      </c>
      <c r="J1787" s="43" t="s">
        <v>158</v>
      </c>
      <c r="K1787" s="43" t="s">
        <v>26</v>
      </c>
      <c r="L1787" s="43" t="s">
        <v>26</v>
      </c>
      <c r="M1787" s="43" t="s">
        <v>24</v>
      </c>
      <c r="N1787" s="44">
        <v>10</v>
      </c>
      <c r="O1787" s="43" t="s">
        <v>159</v>
      </c>
      <c r="P1787" s="43" t="s">
        <v>160</v>
      </c>
      <c r="Q1787" s="43" t="s">
        <v>160</v>
      </c>
      <c r="R1787" s="43" t="s">
        <v>161</v>
      </c>
      <c r="S1787" s="43"/>
    </row>
    <row r="1788" spans="1:19" s="45" customFormat="1" ht="14.4" hidden="1">
      <c r="A1788" s="25">
        <f>IF(C1788="","",MAX($A$1:A1787)+1)</f>
        <v>1682</v>
      </c>
      <c r="B1788" s="25" t="s">
        <v>141</v>
      </c>
      <c r="C1788" s="41">
        <v>46096</v>
      </c>
      <c r="D1788" s="48" t="str">
        <f>_xlfn.XLOOKUP(Table134526_79101120212223242526[[#This Row],[Name Surname]],Manpower!$C$4:$C$1048576,Manpower!$B$4:$B$1048576,"")</f>
        <v>Encogroup</v>
      </c>
      <c r="E1788" s="43" t="s">
        <v>166</v>
      </c>
      <c r="F1788" s="12" t="str">
        <f>_xlfn.XLOOKUP(Table134526_79101120212223242526[[#This Row],[Name Surname]],Manpower!C:C,Manpower!D:D,)</f>
        <v>U4181508</v>
      </c>
      <c r="G1788" s="48" t="str">
        <f>_xlfn.XLOOKUP(Table134526_79101120212223242526[[#This Row],[Name Surname]],Manpower!$C$4:$C$1048576,Manpower!$F$4:$F$1048576,"")</f>
        <v>Welder</v>
      </c>
      <c r="H1788" s="48" t="str">
        <f>_xlfn.XLOOKUP(Table134526_79101120212223242526[[#This Row],[Name Surname]],Manpower!$C$4:$C$1048576,Manpower!$H$4:$H$1048576,"")</f>
        <v>Manpower</v>
      </c>
      <c r="I1788" s="48" t="str">
        <f>_xlfn.XLOOKUP(Table134526_79101120212223242526[[#This Row],[Name Surname]],Manpower!$C$4:$C$1048576,Manpower!$H$4:$H$1048576,"")</f>
        <v>Manpower</v>
      </c>
      <c r="J1788" s="43" t="s">
        <v>143</v>
      </c>
      <c r="K1788" s="43" t="s">
        <v>26</v>
      </c>
      <c r="L1788" s="43" t="s">
        <v>144</v>
      </c>
      <c r="M1788" s="43" t="s">
        <v>24</v>
      </c>
      <c r="N1788" s="44">
        <v>10</v>
      </c>
      <c r="O1788" s="43" t="s">
        <v>40</v>
      </c>
      <c r="P1788" s="43" t="s">
        <v>42</v>
      </c>
      <c r="Q1788" s="43" t="s">
        <v>42</v>
      </c>
      <c r="R1788" s="43" t="s">
        <v>317</v>
      </c>
      <c r="S1788" s="43"/>
    </row>
    <row r="1789" spans="1:19" s="45" customFormat="1" ht="14.4" hidden="1">
      <c r="A1789" s="25">
        <f>IF(C1789="","",MAX($A$1:A1788)+1)</f>
        <v>1683</v>
      </c>
      <c r="B1789" s="25" t="s">
        <v>141</v>
      </c>
      <c r="C1789" s="41">
        <v>46096</v>
      </c>
      <c r="D1789" s="48" t="str">
        <f>_xlfn.XLOOKUP(Table134526_79101120212223242526[[#This Row],[Name Surname]],Manpower!$C$4:$C$1048576,Manpower!$B$4:$B$1048576,"")</f>
        <v>Encogroup</v>
      </c>
      <c r="E1789" s="43" t="s">
        <v>167</v>
      </c>
      <c r="F1789" s="12">
        <f>_xlfn.XLOOKUP(Table134526_79101120212223242526[[#This Row],[Name Surname]],Manpower!C:C,Manpower!D:D,)</f>
        <v>125440631</v>
      </c>
      <c r="G1789" s="48" t="str">
        <f>_xlfn.XLOOKUP(Table134526_79101120212223242526[[#This Row],[Name Surname]],Manpower!$C$4:$C$1048576,Manpower!$F$4:$F$1048576,"")</f>
        <v>Rigger</v>
      </c>
      <c r="H1789" s="48" t="str">
        <f>_xlfn.XLOOKUP(Table134526_79101120212223242526[[#This Row],[Name Surname]],Manpower!$C$4:$C$1048576,Manpower!$H$4:$H$1048576,"")</f>
        <v>Manpower</v>
      </c>
      <c r="I1789" s="48" t="str">
        <f>_xlfn.XLOOKUP(Table134526_79101120212223242526[[#This Row],[Name Surname]],Manpower!$C$4:$C$1048576,Manpower!$H$4:$H$1048576,"")</f>
        <v>Manpower</v>
      </c>
      <c r="J1789" s="43" t="s">
        <v>143</v>
      </c>
      <c r="K1789" s="43" t="s">
        <v>26</v>
      </c>
      <c r="L1789" s="43" t="s">
        <v>144</v>
      </c>
      <c r="M1789" s="43" t="s">
        <v>24</v>
      </c>
      <c r="N1789" s="44">
        <v>10</v>
      </c>
      <c r="O1789" s="43" t="s">
        <v>40</v>
      </c>
      <c r="P1789" s="43" t="s">
        <v>42</v>
      </c>
      <c r="Q1789" s="43" t="s">
        <v>42</v>
      </c>
      <c r="R1789" s="43" t="s">
        <v>317</v>
      </c>
      <c r="S1789" s="43"/>
    </row>
    <row r="1790" spans="1:19" ht="14.4" hidden="1">
      <c r="A1790" s="33">
        <f>IF(C1790="","",MAX($A$1:A1789)+1)</f>
        <v>1684</v>
      </c>
      <c r="B1790" s="27" t="s">
        <v>141</v>
      </c>
      <c r="C1790" s="23">
        <v>46096</v>
      </c>
      <c r="D1790" s="28" t="str">
        <f>_xlfn.XLOOKUP(Table134526_79101120212223242526[[#This Row],[Name Surname]],Manpower!$C$4:$C$1048576,Manpower!$B$4:$B$1048576,"")</f>
        <v>AL Omar International TRAD AND CONT</v>
      </c>
      <c r="E1790" s="21" t="s">
        <v>169</v>
      </c>
      <c r="F1790" s="12">
        <f>_xlfn.XLOOKUP(Table134526_79101120212223242526[[#This Row],[Name Surname]],Manpower!C:C,Manpower!D:D,)</f>
        <v>115731078</v>
      </c>
      <c r="G1790" s="28" t="str">
        <f>_xlfn.XLOOKUP(Table134526_79101120212223242526[[#This Row],[Name Surname]],Manpower!$C$4:$C$1048576,Manpower!$F$4:$F$1048576,"")</f>
        <v>Scaffolder</v>
      </c>
      <c r="H1790" s="28" t="str">
        <f>_xlfn.XLOOKUP(Table134526_79101120212223242526[[#This Row],[Name Surname]],Manpower!$C$4:$C$1048576,Manpower!$H$4:$H$1048576,"")</f>
        <v>Sub Contactor</v>
      </c>
      <c r="I1790" s="28" t="str">
        <f>_xlfn.XLOOKUP(Table134526_79101120212223242526[[#This Row],[Name Surname]],Manpower!$C$4:$C$1048576,Manpower!$H$4:$H$1048576,"")</f>
        <v>Sub Contactor</v>
      </c>
      <c r="J1790" s="21" t="s">
        <v>143</v>
      </c>
      <c r="K1790" s="21" t="s">
        <v>26</v>
      </c>
      <c r="L1790" s="21" t="s">
        <v>170</v>
      </c>
      <c r="M1790" s="21" t="s">
        <v>24</v>
      </c>
      <c r="N1790" s="29">
        <v>8</v>
      </c>
      <c r="O1790" s="21" t="s">
        <v>40</v>
      </c>
      <c r="P1790" s="21" t="s">
        <v>128</v>
      </c>
      <c r="Q1790" s="21" t="s">
        <v>128</v>
      </c>
      <c r="R1790" s="21" t="s">
        <v>171</v>
      </c>
    </row>
    <row r="1791" spans="1:19" s="45" customFormat="1" ht="14.4" hidden="1">
      <c r="A1791" s="25">
        <f>IF(C1791="","",MAX($A$1:A1790)+1)</f>
        <v>1685</v>
      </c>
      <c r="B1791" s="25" t="s">
        <v>141</v>
      </c>
      <c r="C1791" s="41">
        <v>46096</v>
      </c>
      <c r="D1791" s="48" t="str">
        <f>_xlfn.XLOOKUP(Table134526_79101120212223242526[[#This Row],[Name Surname]],Manpower!$C$4:$C$1048576,Manpower!$B$4:$B$1048576,"")</f>
        <v>Encogroup</v>
      </c>
      <c r="E1791" s="43" t="s">
        <v>172</v>
      </c>
      <c r="F1791" s="12">
        <f>_xlfn.XLOOKUP(Table134526_79101120212223242526[[#This Row],[Name Surname]],Manpower!C:C,Manpower!D:D,)</f>
        <v>140764355</v>
      </c>
      <c r="G1791" s="48" t="str">
        <f>_xlfn.XLOOKUP(Table134526_79101120212223242526[[#This Row],[Name Surname]],Manpower!$C$4:$C$1048576,Manpower!$F$4:$F$1048576,"")</f>
        <v>Fitter/Erector</v>
      </c>
      <c r="H1791" s="48" t="str">
        <f>_xlfn.XLOOKUP(Table134526_79101120212223242526[[#This Row],[Name Surname]],Manpower!$C$4:$C$1048576,Manpower!$H$4:$H$1048576,"")</f>
        <v>Manpower</v>
      </c>
      <c r="I1791" s="48" t="str">
        <f>_xlfn.XLOOKUP(Table134526_79101120212223242526[[#This Row],[Name Surname]],Manpower!$C$4:$C$1048576,Manpower!$H$4:$H$1048576,"")</f>
        <v>Manpower</v>
      </c>
      <c r="J1791" s="43" t="s">
        <v>143</v>
      </c>
      <c r="K1791" s="43" t="s">
        <v>26</v>
      </c>
      <c r="L1791" s="43" t="s">
        <v>144</v>
      </c>
      <c r="M1791" s="43" t="s">
        <v>24</v>
      </c>
      <c r="N1791" s="44">
        <v>10</v>
      </c>
      <c r="O1791" s="43" t="s">
        <v>40</v>
      </c>
      <c r="P1791" s="43" t="s">
        <v>42</v>
      </c>
      <c r="Q1791" s="43" t="s">
        <v>42</v>
      </c>
      <c r="R1791" s="43" t="s">
        <v>317</v>
      </c>
      <c r="S1791" s="43"/>
    </row>
    <row r="1792" spans="1:19" s="45" customFormat="1" ht="14.4" hidden="1">
      <c r="A1792" s="25">
        <f>IF(C1792="","",MAX($A$1:A1791)+1)</f>
        <v>1686</v>
      </c>
      <c r="B1792" s="25" t="s">
        <v>141</v>
      </c>
      <c r="C1792" s="41">
        <v>46096</v>
      </c>
      <c r="D1792" s="48" t="str">
        <f>_xlfn.XLOOKUP(Table134526_79101120212223242526[[#This Row],[Name Surname]],Manpower!$C$4:$C$1048576,Manpower!$B$4:$B$1048576,"")</f>
        <v>Encogroup</v>
      </c>
      <c r="E1792" s="43" t="s">
        <v>175</v>
      </c>
      <c r="F1792" s="12">
        <f>_xlfn.XLOOKUP(Table134526_79101120212223242526[[#This Row],[Name Surname]],Manpower!C:C,Manpower!D:D,)</f>
        <v>140742125</v>
      </c>
      <c r="G1792" s="48" t="str">
        <f>_xlfn.XLOOKUP(Table134526_79101120212223242526[[#This Row],[Name Surname]],Manpower!$C$4:$C$1048576,Manpower!$F$4:$F$1048576,"")</f>
        <v>Assistant/Helper</v>
      </c>
      <c r="H1792" s="48" t="str">
        <f>_xlfn.XLOOKUP(Table134526_79101120212223242526[[#This Row],[Name Surname]],Manpower!$C$4:$C$1048576,Manpower!$H$4:$H$1048576,"")</f>
        <v>Manpower</v>
      </c>
      <c r="I1792" s="48" t="str">
        <f>_xlfn.XLOOKUP(Table134526_79101120212223242526[[#This Row],[Name Surname]],Manpower!$C$4:$C$1048576,Manpower!$H$4:$H$1048576,"")</f>
        <v>Manpower</v>
      </c>
      <c r="J1792" s="43" t="s">
        <v>158</v>
      </c>
      <c r="K1792" s="43" t="s">
        <v>26</v>
      </c>
      <c r="L1792" s="43" t="s">
        <v>26</v>
      </c>
      <c r="M1792" s="43" t="s">
        <v>24</v>
      </c>
      <c r="N1792" s="44">
        <v>10</v>
      </c>
      <c r="O1792" s="43" t="s">
        <v>159</v>
      </c>
      <c r="P1792" s="43" t="s">
        <v>160</v>
      </c>
      <c r="Q1792" s="43" t="s">
        <v>160</v>
      </c>
      <c r="R1792" s="43" t="s">
        <v>161</v>
      </c>
      <c r="S1792" s="43"/>
    </row>
    <row r="1793" spans="1:19" s="45" customFormat="1" ht="14.4" hidden="1">
      <c r="A1793" s="25">
        <f>IF(C1793="","",MAX($A$1:A1792)+1)</f>
        <v>1687</v>
      </c>
      <c r="B1793" s="25" t="s">
        <v>141</v>
      </c>
      <c r="C1793" s="41">
        <v>46096</v>
      </c>
      <c r="D1793" s="48" t="str">
        <f>_xlfn.XLOOKUP(Table134526_79101120212223242526[[#This Row],[Name Surname]],Manpower!$C$4:$C$1048576,Manpower!$B$4:$B$1048576,"")</f>
        <v>Encogroup</v>
      </c>
      <c r="E1793" s="43" t="s">
        <v>228</v>
      </c>
      <c r="F1793" s="12">
        <f>_xlfn.XLOOKUP(Table134526_79101120212223242526[[#This Row],[Name Surname]],Manpower!C:C,Manpower!D:D,)</f>
        <v>125199963</v>
      </c>
      <c r="G1793" s="48" t="str">
        <f>_xlfn.XLOOKUP(Table134526_79101120212223242526[[#This Row],[Name Surname]],Manpower!$C$4:$C$1048576,Manpower!$F$4:$F$1048576,"")</f>
        <v>Electrician</v>
      </c>
      <c r="H1793" s="48" t="str">
        <f>_xlfn.XLOOKUP(Table134526_79101120212223242526[[#This Row],[Name Surname]],Manpower!$C$4:$C$1048576,Manpower!$H$4:$H$1048576,"")</f>
        <v>Manpower</v>
      </c>
      <c r="I1793" s="48" t="str">
        <f>_xlfn.XLOOKUP(Table134526_79101120212223242526[[#This Row],[Name Surname]],Manpower!$C$4:$C$1048576,Manpower!$H$4:$H$1048576,"")</f>
        <v>Manpower</v>
      </c>
      <c r="J1793" s="43" t="s">
        <v>158</v>
      </c>
      <c r="K1793" s="43" t="s">
        <v>26</v>
      </c>
      <c r="L1793" s="43" t="s">
        <v>26</v>
      </c>
      <c r="M1793" s="43" t="s">
        <v>24</v>
      </c>
      <c r="N1793" s="44">
        <v>10</v>
      </c>
      <c r="O1793" s="43" t="s">
        <v>159</v>
      </c>
      <c r="P1793" s="43" t="s">
        <v>160</v>
      </c>
      <c r="Q1793" s="43" t="s">
        <v>160</v>
      </c>
      <c r="R1793" s="43" t="s">
        <v>161</v>
      </c>
      <c r="S1793" s="43"/>
    </row>
    <row r="1794" spans="1:19" s="45" customFormat="1" ht="14.4" hidden="1">
      <c r="A1794" s="25">
        <f>IF(C1794="","",MAX($A$1:A1793)+1)</f>
        <v>1688</v>
      </c>
      <c r="B1794" s="25" t="s">
        <v>141</v>
      </c>
      <c r="C1794" s="41">
        <v>46096</v>
      </c>
      <c r="D1794" s="48" t="str">
        <f>_xlfn.XLOOKUP(Table134526_79101120212223242526[[#This Row],[Name Surname]],Manpower!$C$4:$C$1048576,Manpower!$B$4:$B$1048576,"")</f>
        <v>Encogroup</v>
      </c>
      <c r="E1794" s="43" t="s">
        <v>176</v>
      </c>
      <c r="F1794" s="12">
        <f>_xlfn.XLOOKUP(Table134526_79101120212223242526[[#This Row],[Name Surname]],Manpower!C:C,Manpower!D:D,)</f>
        <v>124398279</v>
      </c>
      <c r="G1794" s="48" t="str">
        <f>_xlfn.XLOOKUP(Table134526_79101120212223242526[[#This Row],[Name Surname]],Manpower!$C$4:$C$1048576,Manpower!$F$4:$F$1048576,"")</f>
        <v>Permit Receiver</v>
      </c>
      <c r="H1794" s="48" t="str">
        <f>_xlfn.XLOOKUP(Table134526_79101120212223242526[[#This Row],[Name Surname]],Manpower!$C$4:$C$1048576,Manpower!$H$4:$H$1048576,"")</f>
        <v>Manpower</v>
      </c>
      <c r="I1794" s="48" t="str">
        <f>_xlfn.XLOOKUP(Table134526_79101120212223242526[[#This Row],[Name Surname]],Manpower!$C$4:$C$1048576,Manpower!$H$4:$H$1048576,"")</f>
        <v>Manpower</v>
      </c>
      <c r="J1794" s="43" t="s">
        <v>143</v>
      </c>
      <c r="K1794" s="43" t="s">
        <v>26</v>
      </c>
      <c r="L1794" s="43" t="s">
        <v>144</v>
      </c>
      <c r="M1794" s="43" t="s">
        <v>24</v>
      </c>
      <c r="N1794" s="44">
        <v>10</v>
      </c>
      <c r="O1794" s="43" t="s">
        <v>40</v>
      </c>
      <c r="P1794" s="43" t="s">
        <v>42</v>
      </c>
      <c r="Q1794" s="43" t="s">
        <v>42</v>
      </c>
      <c r="R1794" s="43" t="s">
        <v>317</v>
      </c>
      <c r="S1794" s="43"/>
    </row>
    <row r="1795" spans="1:19" s="45" customFormat="1" ht="14.4" hidden="1">
      <c r="A1795" s="25">
        <f>IF(C1795="","",MAX($A$1:A1794)+1)</f>
        <v>1689</v>
      </c>
      <c r="B1795" s="25" t="s">
        <v>141</v>
      </c>
      <c r="C1795" s="41">
        <v>46096</v>
      </c>
      <c r="D1795" s="48" t="str">
        <f>_xlfn.XLOOKUP(Table134526_79101120212223242526[[#This Row],[Name Surname]],Manpower!$C$4:$C$1048576,Manpower!$B$4:$B$1048576,"")</f>
        <v>Encogroup</v>
      </c>
      <c r="E1795" s="43" t="s">
        <v>177</v>
      </c>
      <c r="F1795" s="12">
        <f>_xlfn.XLOOKUP(Table134526_79101120212223242526[[#This Row],[Name Surname]],Manpower!C:C,Manpower!D:D,)</f>
        <v>140809004</v>
      </c>
      <c r="G1795" s="48" t="str">
        <f>_xlfn.XLOOKUP(Table134526_79101120212223242526[[#This Row],[Name Surname]],Manpower!$C$4:$C$1048576,Manpower!$F$4:$F$1048576,"")</f>
        <v>Fitter/Erector</v>
      </c>
      <c r="H1795" s="48" t="str">
        <f>_xlfn.XLOOKUP(Table134526_79101120212223242526[[#This Row],[Name Surname]],Manpower!$C$4:$C$1048576,Manpower!$H$4:$H$1048576,"")</f>
        <v>Manpower</v>
      </c>
      <c r="I1795" s="48" t="str">
        <f>_xlfn.XLOOKUP(Table134526_79101120212223242526[[#This Row],[Name Surname]],Manpower!$C$4:$C$1048576,Manpower!$H$4:$H$1048576,"")</f>
        <v>Manpower</v>
      </c>
      <c r="J1795" s="43" t="s">
        <v>143</v>
      </c>
      <c r="K1795" s="43" t="s">
        <v>26</v>
      </c>
      <c r="L1795" s="43" t="s">
        <v>144</v>
      </c>
      <c r="M1795" s="43" t="s">
        <v>24</v>
      </c>
      <c r="N1795" s="44">
        <v>10</v>
      </c>
      <c r="O1795" s="43" t="s">
        <v>40</v>
      </c>
      <c r="P1795" s="43" t="s">
        <v>42</v>
      </c>
      <c r="Q1795" s="43" t="s">
        <v>42</v>
      </c>
      <c r="R1795" s="43" t="s">
        <v>317</v>
      </c>
      <c r="S1795" s="43"/>
    </row>
    <row r="1796" spans="1:19" s="45" customFormat="1" ht="14.4" hidden="1">
      <c r="A1796" s="25">
        <f>IF(C1796="","",MAX($A$1:A1795)+1)</f>
        <v>1690</v>
      </c>
      <c r="B1796" s="25" t="s">
        <v>141</v>
      </c>
      <c r="C1796" s="41">
        <v>46096</v>
      </c>
      <c r="D1796" s="48" t="str">
        <f>_xlfn.XLOOKUP(Table134526_79101120212223242526[[#This Row],[Name Surname]],Manpower!$C$4:$C$1048576,Manpower!$B$4:$B$1048576,"")</f>
        <v>Encogroup</v>
      </c>
      <c r="E1796" s="43" t="s">
        <v>178</v>
      </c>
      <c r="F1796" s="12">
        <f>_xlfn.XLOOKUP(Table134526_79101120212223242526[[#This Row],[Name Surname]],Manpower!C:C,Manpower!D:D,)</f>
        <v>140683436</v>
      </c>
      <c r="G1796" s="48" t="str">
        <f>_xlfn.XLOOKUP(Table134526_79101120212223242526[[#This Row],[Name Surname]],Manpower!$C$4:$C$1048576,Manpower!$F$4:$F$1048576,"")</f>
        <v>Scaffolder</v>
      </c>
      <c r="H1796" s="48" t="str">
        <f>_xlfn.XLOOKUP(Table134526_79101120212223242526[[#This Row],[Name Surname]],Manpower!$C$4:$C$1048576,Manpower!$H$4:$H$1048576,"")</f>
        <v>Manpower</v>
      </c>
      <c r="I1796" s="48" t="str">
        <f>_xlfn.XLOOKUP(Table134526_79101120212223242526[[#This Row],[Name Surname]],Manpower!$C$4:$C$1048576,Manpower!$H$4:$H$1048576,"")</f>
        <v>Manpower</v>
      </c>
      <c r="J1796" s="43" t="s">
        <v>158</v>
      </c>
      <c r="K1796" s="43" t="s">
        <v>26</v>
      </c>
      <c r="L1796" s="43" t="s">
        <v>26</v>
      </c>
      <c r="M1796" s="43" t="s">
        <v>24</v>
      </c>
      <c r="N1796" s="44">
        <v>8</v>
      </c>
      <c r="O1796" s="43" t="s">
        <v>159</v>
      </c>
      <c r="P1796" s="43" t="s">
        <v>160</v>
      </c>
      <c r="Q1796" s="43" t="s">
        <v>160</v>
      </c>
      <c r="R1796" s="43" t="s">
        <v>161</v>
      </c>
      <c r="S1796" s="43"/>
    </row>
    <row r="1797" spans="1:19" ht="14.4">
      <c r="A1797" s="33">
        <f>IF(C1797="","",MAX($A$1:A1796)+1)</f>
        <v>1691</v>
      </c>
      <c r="B1797" s="27" t="s">
        <v>141</v>
      </c>
      <c r="C1797" s="23">
        <v>46096</v>
      </c>
      <c r="D1797" s="28" t="str">
        <f>_xlfn.XLOOKUP(Table134526_79101120212223242526[[#This Row],[Name Surname]],Manpower!$C$4:$C$1048576,Manpower!$B$4:$B$1048576,"")</f>
        <v>Encogroup</v>
      </c>
      <c r="E1797" s="23" t="s">
        <v>179</v>
      </c>
      <c r="F1797" s="12" t="e">
        <f>_xlfn.XLOOKUP(Table134526_79101120212223242526[[#This Row],[Name Surname]],Manpower!C:C,Manpower!D:D,)</f>
        <v>#N/A</v>
      </c>
      <c r="G1797" s="28" t="str">
        <f>_xlfn.XLOOKUP(Table134526_79101120212223242526[[#This Row],[Name Surname]],Manpower!$C$4:$C$1048576,Manpower!$F$4:$F$1048576,"")</f>
        <v>7T-HIAB</v>
      </c>
      <c r="H1797" s="28" t="str">
        <f>_xlfn.XLOOKUP(Table134526_79101120212223242526[[#This Row],[Name Surname]],Manpower!$C$4:$C$1048576,Manpower!$H$4:$H$1048576,"")</f>
        <v>Equipment</v>
      </c>
      <c r="I1797" s="28" t="str">
        <f>_xlfn.XLOOKUP(Table134526_79101120212223242526[[#This Row],[Name Surname]],Manpower!$C$4:$C$1048576,Manpower!$H$4:$H$1048576,"")</f>
        <v>Equipment</v>
      </c>
      <c r="J1797" s="21" t="s">
        <v>143</v>
      </c>
      <c r="K1797" s="21" t="s">
        <v>26</v>
      </c>
      <c r="L1797" s="21" t="s">
        <v>144</v>
      </c>
      <c r="M1797" s="21" t="s">
        <v>24</v>
      </c>
      <c r="N1797" s="29">
        <v>8</v>
      </c>
      <c r="O1797" s="21" t="s">
        <v>138</v>
      </c>
      <c r="P1797" s="21" t="s">
        <v>138</v>
      </c>
      <c r="Q1797" s="21" t="s">
        <v>138</v>
      </c>
      <c r="R1797" s="21" t="s">
        <v>26</v>
      </c>
    </row>
    <row r="1798" spans="1:19" ht="14.4" hidden="1">
      <c r="A1798" s="33">
        <f>IF(C1798="","",MAX($A$1:A1797)+1)</f>
        <v>1692</v>
      </c>
      <c r="B1798" s="27" t="s">
        <v>141</v>
      </c>
      <c r="C1798" s="23">
        <v>46096</v>
      </c>
      <c r="D1798" s="28" t="str">
        <f>_xlfn.XLOOKUP(Table134526_79101120212223242526[[#This Row],[Name Surname]],Manpower!$C$4:$C$1048576,Manpower!$B$4:$B$1048576,"")</f>
        <v>Encogroup</v>
      </c>
      <c r="E1798" s="21" t="s">
        <v>180</v>
      </c>
      <c r="F1798" s="12">
        <f>_xlfn.XLOOKUP(Table134526_79101120212223242526[[#This Row],[Name Surname]],Manpower!C:C,Manpower!D:D,)</f>
        <v>9138415</v>
      </c>
      <c r="G1798" s="28" t="str">
        <f>_xlfn.XLOOKUP(Table134526_79101120212223242526[[#This Row],[Name Surname]],Manpower!$C$4:$C$1048576,Manpower!$F$4:$F$1048576,"")</f>
        <v>HIAB Driver</v>
      </c>
      <c r="H1798" s="28" t="str">
        <f>_xlfn.XLOOKUP(Table134526_79101120212223242526[[#This Row],[Name Surname]],Manpower!$C$4:$C$1048576,Manpower!$H$4:$H$1048576,"")</f>
        <v>Manpower</v>
      </c>
      <c r="I1798" s="28" t="str">
        <f>_xlfn.XLOOKUP(Table134526_79101120212223242526[[#This Row],[Name Surname]],Manpower!$C$4:$C$1048576,Manpower!$H$4:$H$1048576,"")</f>
        <v>Manpower</v>
      </c>
      <c r="J1798" s="21" t="s">
        <v>143</v>
      </c>
      <c r="K1798" s="21" t="s">
        <v>26</v>
      </c>
      <c r="L1798" s="21" t="s">
        <v>144</v>
      </c>
      <c r="M1798" s="21" t="s">
        <v>24</v>
      </c>
      <c r="N1798" s="29">
        <v>8</v>
      </c>
      <c r="O1798" s="21" t="s">
        <v>40</v>
      </c>
      <c r="P1798" s="21" t="s">
        <v>42</v>
      </c>
      <c r="Q1798" s="21" t="s">
        <v>42</v>
      </c>
      <c r="R1798" s="21" t="s">
        <v>181</v>
      </c>
    </row>
    <row r="1799" spans="1:19" s="45" customFormat="1" ht="14.4" hidden="1">
      <c r="A1799" s="25">
        <f>IF(C1799="","",MAX($A$1:A1798)+1)</f>
        <v>1693</v>
      </c>
      <c r="B1799" s="25" t="s">
        <v>141</v>
      </c>
      <c r="C1799" s="41">
        <v>46096</v>
      </c>
      <c r="D1799" s="48" t="str">
        <f>_xlfn.XLOOKUP(Table134526_79101120212223242526[[#This Row],[Name Surname]],Manpower!$C$4:$C$1048576,Manpower!$B$4:$B$1048576,"")</f>
        <v>Encogroup</v>
      </c>
      <c r="E1799" s="43" t="s">
        <v>184</v>
      </c>
      <c r="F1799" s="12">
        <f>_xlfn.XLOOKUP(Table134526_79101120212223242526[[#This Row],[Name Surname]],Manpower!C:C,Manpower!D:D,)</f>
        <v>140844759</v>
      </c>
      <c r="G1799" s="48" t="str">
        <f>_xlfn.XLOOKUP(Table134526_79101120212223242526[[#This Row],[Name Surname]],Manpower!$C$4:$C$1048576,Manpower!$F$4:$F$1048576,"")</f>
        <v>Welder</v>
      </c>
      <c r="H1799" s="48" t="str">
        <f>_xlfn.XLOOKUP(Table134526_79101120212223242526[[#This Row],[Name Surname]],Manpower!$C$4:$C$1048576,Manpower!$H$4:$H$1048576,"")</f>
        <v>Manpower</v>
      </c>
      <c r="I1799" s="48" t="str">
        <f>_xlfn.XLOOKUP(Table134526_79101120212223242526[[#This Row],[Name Surname]],Manpower!$C$4:$C$1048576,Manpower!$H$4:$H$1048576,"")</f>
        <v>Manpower</v>
      </c>
      <c r="J1799" s="43" t="s">
        <v>143</v>
      </c>
      <c r="K1799" s="43" t="s">
        <v>26</v>
      </c>
      <c r="L1799" s="43" t="s">
        <v>144</v>
      </c>
      <c r="M1799" s="43" t="s">
        <v>24</v>
      </c>
      <c r="N1799" s="44">
        <v>10</v>
      </c>
      <c r="O1799" s="43" t="s">
        <v>40</v>
      </c>
      <c r="P1799" s="43" t="s">
        <v>42</v>
      </c>
      <c r="Q1799" s="43" t="s">
        <v>42</v>
      </c>
      <c r="R1799" s="43" t="s">
        <v>317</v>
      </c>
      <c r="S1799" s="43"/>
    </row>
    <row r="1800" spans="1:19" s="45" customFormat="1" ht="14.4" hidden="1">
      <c r="A1800" s="25">
        <f>IF(C1800="","",MAX($A$1:A1799)+1)</f>
        <v>1694</v>
      </c>
      <c r="B1800" s="25" t="s">
        <v>141</v>
      </c>
      <c r="C1800" s="41">
        <v>46096</v>
      </c>
      <c r="D1800" s="48" t="str">
        <f>_xlfn.XLOOKUP(Table134526_79101120212223242526[[#This Row],[Name Surname]],Manpower!$C$4:$C$1048576,Manpower!$B$4:$B$1048576,"")</f>
        <v>Encogroup</v>
      </c>
      <c r="E1800" s="43" t="s">
        <v>185</v>
      </c>
      <c r="F1800" s="12">
        <f>_xlfn.XLOOKUP(Table134526_79101120212223242526[[#This Row],[Name Surname]],Manpower!C:C,Manpower!D:D,)</f>
        <v>140848828</v>
      </c>
      <c r="G1800" s="48" t="str">
        <f>_xlfn.XLOOKUP(Table134526_79101120212223242526[[#This Row],[Name Surname]],Manpower!$C$4:$C$1048576,Manpower!$F$4:$F$1048576,"")</f>
        <v>Pipe Fitter</v>
      </c>
      <c r="H1800" s="48" t="str">
        <f>_xlfn.XLOOKUP(Table134526_79101120212223242526[[#This Row],[Name Surname]],Manpower!$C$4:$C$1048576,Manpower!$H$4:$H$1048576,"")</f>
        <v>Manpower</v>
      </c>
      <c r="I1800" s="48" t="str">
        <f>_xlfn.XLOOKUP(Table134526_79101120212223242526[[#This Row],[Name Surname]],Manpower!$C$4:$C$1048576,Manpower!$H$4:$H$1048576,"")</f>
        <v>Manpower</v>
      </c>
      <c r="J1800" s="43" t="s">
        <v>143</v>
      </c>
      <c r="K1800" s="43" t="s">
        <v>26</v>
      </c>
      <c r="L1800" s="43" t="s">
        <v>144</v>
      </c>
      <c r="M1800" s="43" t="s">
        <v>24</v>
      </c>
      <c r="N1800" s="44">
        <v>10</v>
      </c>
      <c r="O1800" s="43" t="s">
        <v>40</v>
      </c>
      <c r="P1800" s="43" t="s">
        <v>42</v>
      </c>
      <c r="Q1800" s="43" t="s">
        <v>42</v>
      </c>
      <c r="R1800" s="43" t="s">
        <v>317</v>
      </c>
      <c r="S1800" s="43"/>
    </row>
    <row r="1801" spans="1:19" s="45" customFormat="1" ht="14.4" hidden="1">
      <c r="A1801" s="25">
        <f>IF(C1801="","",MAX($A$1:A1800)+1)</f>
        <v>1695</v>
      </c>
      <c r="B1801" s="25" t="s">
        <v>141</v>
      </c>
      <c r="C1801" s="41">
        <v>46096</v>
      </c>
      <c r="D1801" s="48" t="str">
        <f>_xlfn.XLOOKUP(Table134526_79101120212223242526[[#This Row],[Name Surname]],Manpower!$C$4:$C$1048576,Manpower!$B$4:$B$1048576,"")</f>
        <v>Encogroup</v>
      </c>
      <c r="E1801" s="43" t="s">
        <v>186</v>
      </c>
      <c r="F1801" s="12">
        <f>_xlfn.XLOOKUP(Table134526_79101120212223242526[[#This Row],[Name Surname]],Manpower!C:C,Manpower!D:D,)</f>
        <v>140696961</v>
      </c>
      <c r="G1801" s="48" t="str">
        <f>_xlfn.XLOOKUP(Table134526_79101120212223242526[[#This Row],[Name Surname]],Manpower!$C$4:$C$1048576,Manpower!$F$4:$F$1048576,"")</f>
        <v>Assistant/Helper</v>
      </c>
      <c r="H1801" s="48" t="str">
        <f>_xlfn.XLOOKUP(Table134526_79101120212223242526[[#This Row],[Name Surname]],Manpower!$C$4:$C$1048576,Manpower!$H$4:$H$1048576,"")</f>
        <v>Manpower</v>
      </c>
      <c r="I1801" s="48" t="str">
        <f>_xlfn.XLOOKUP(Table134526_79101120212223242526[[#This Row],[Name Surname]],Manpower!$C$4:$C$1048576,Manpower!$H$4:$H$1048576,"")</f>
        <v>Manpower</v>
      </c>
      <c r="J1801" s="43" t="s">
        <v>158</v>
      </c>
      <c r="K1801" s="43" t="s">
        <v>26</v>
      </c>
      <c r="L1801" s="43" t="s">
        <v>26</v>
      </c>
      <c r="M1801" s="43" t="s">
        <v>24</v>
      </c>
      <c r="N1801" s="44">
        <v>10</v>
      </c>
      <c r="O1801" s="43" t="s">
        <v>159</v>
      </c>
      <c r="P1801" s="43" t="s">
        <v>160</v>
      </c>
      <c r="Q1801" s="43" t="s">
        <v>160</v>
      </c>
      <c r="R1801" s="43" t="s">
        <v>161</v>
      </c>
      <c r="S1801" s="43"/>
    </row>
    <row r="1802" spans="1:19" s="45" customFormat="1" ht="14.4" hidden="1">
      <c r="A1802" s="25">
        <f>IF(C1802="","",MAX($A$1:A1801)+1)</f>
        <v>1696</v>
      </c>
      <c r="B1802" s="25" t="s">
        <v>141</v>
      </c>
      <c r="C1802" s="41">
        <v>46096</v>
      </c>
      <c r="D1802" s="48" t="str">
        <f>_xlfn.XLOOKUP(Table134526_79101120212223242526[[#This Row],[Name Surname]],Manpower!$C$4:$C$1048576,Manpower!$B$4:$B$1048576,"")</f>
        <v>Encogroup</v>
      </c>
      <c r="E1802" s="43" t="s">
        <v>187</v>
      </c>
      <c r="F1802" s="12">
        <f>_xlfn.XLOOKUP(Table134526_79101120212223242526[[#This Row],[Name Surname]],Manpower!C:C,Manpower!D:D,)</f>
        <v>140623599</v>
      </c>
      <c r="G1802" s="48" t="str">
        <f>_xlfn.XLOOKUP(Table134526_79101120212223242526[[#This Row],[Name Surname]],Manpower!$C$4:$C$1048576,Manpower!$F$4:$F$1048576,"")</f>
        <v>Mechanical Supervisor</v>
      </c>
      <c r="H1802" s="48" t="str">
        <f>_xlfn.XLOOKUP(Table134526_79101120212223242526[[#This Row],[Name Surname]],Manpower!$C$4:$C$1048576,Manpower!$H$4:$H$1048576,"")</f>
        <v>Manpower</v>
      </c>
      <c r="I1802" s="48" t="str">
        <f>_xlfn.XLOOKUP(Table134526_79101120212223242526[[#This Row],[Name Surname]],Manpower!$C$4:$C$1048576,Manpower!$H$4:$H$1048576,"")</f>
        <v>Manpower</v>
      </c>
      <c r="J1802" s="43" t="s">
        <v>143</v>
      </c>
      <c r="K1802" s="43" t="s">
        <v>26</v>
      </c>
      <c r="L1802" s="43" t="s">
        <v>144</v>
      </c>
      <c r="M1802" s="43" t="s">
        <v>24</v>
      </c>
      <c r="N1802" s="44">
        <v>8</v>
      </c>
      <c r="O1802" s="43" t="s">
        <v>40</v>
      </c>
      <c r="P1802" s="43" t="s">
        <v>42</v>
      </c>
      <c r="Q1802" s="43" t="s">
        <v>42</v>
      </c>
      <c r="R1802" s="43" t="s">
        <v>317</v>
      </c>
      <c r="S1802" s="43"/>
    </row>
    <row r="1803" spans="1:19" ht="14.4" hidden="1">
      <c r="A1803" s="33">
        <f>IF(C1803="","",MAX($A$1:A1802)+1)</f>
        <v>1697</v>
      </c>
      <c r="B1803" s="27" t="s">
        <v>141</v>
      </c>
      <c r="C1803" s="23">
        <v>46096</v>
      </c>
      <c r="D1803" s="28" t="str">
        <f>_xlfn.XLOOKUP(Table134526_79101120212223242526[[#This Row],[Name Surname]],Manpower!$C$4:$C$1048576,Manpower!$B$4:$B$1048576,"")</f>
        <v>Encogroup</v>
      </c>
      <c r="E1803" s="21" t="s">
        <v>189</v>
      </c>
      <c r="F1803" s="12">
        <f>_xlfn.XLOOKUP(Table134526_79101120212223242526[[#This Row],[Name Surname]],Manpower!C:C,Manpower!D:D,)</f>
        <v>121937785</v>
      </c>
      <c r="G1803" s="28" t="str">
        <f>_xlfn.XLOOKUP(Table134526_79101120212223242526[[#This Row],[Name Surname]],Manpower!$C$4:$C$1048576,Manpower!$F$4:$F$1048576,"")</f>
        <v>Scaffolding Inspector</v>
      </c>
      <c r="H1803" s="28" t="str">
        <f>_xlfn.XLOOKUP(Table134526_79101120212223242526[[#This Row],[Name Surname]],Manpower!$C$4:$C$1048576,Manpower!$H$4:$H$1048576,"")</f>
        <v>Manpower</v>
      </c>
      <c r="I1803" s="28" t="str">
        <f>_xlfn.XLOOKUP(Table134526_79101120212223242526[[#This Row],[Name Surname]],Manpower!$C$4:$C$1048576,Manpower!$H$4:$H$1048576,"")</f>
        <v>Manpower</v>
      </c>
      <c r="J1803" s="21" t="s">
        <v>143</v>
      </c>
      <c r="K1803" s="21" t="s">
        <v>26</v>
      </c>
      <c r="L1803" s="21" t="s">
        <v>144</v>
      </c>
      <c r="M1803" s="21" t="s">
        <v>24</v>
      </c>
      <c r="N1803" s="29">
        <v>6</v>
      </c>
      <c r="O1803" s="21" t="s">
        <v>40</v>
      </c>
      <c r="P1803" s="21" t="s">
        <v>128</v>
      </c>
      <c r="Q1803" s="21" t="s">
        <v>128</v>
      </c>
      <c r="R1803" s="21" t="s">
        <v>26</v>
      </c>
    </row>
    <row r="1804" spans="1:19" ht="14.4" hidden="1">
      <c r="A1804" s="33">
        <f>IF(C1804="","",MAX($A$1:A1803)+1)</f>
        <v>1698</v>
      </c>
      <c r="B1804" s="27" t="s">
        <v>141</v>
      </c>
      <c r="C1804" s="23">
        <v>46096</v>
      </c>
      <c r="D1804" s="28" t="str">
        <f>_xlfn.XLOOKUP(Table134526_79101120212223242526[[#This Row],[Name Surname]],Manpower!$C$4:$C$1048576,Manpower!$B$4:$B$1048576,"")</f>
        <v xml:space="preserve">AL Omar International </v>
      </c>
      <c r="E1804" s="21" t="s">
        <v>190</v>
      </c>
      <c r="F1804" s="12">
        <f>_xlfn.XLOOKUP(Table134526_79101120212223242526[[#This Row],[Name Surname]],Manpower!C:C,Manpower!D:D,)</f>
        <v>85812175</v>
      </c>
      <c r="G1804" s="28" t="str">
        <f>_xlfn.XLOOKUP(Table134526_79101120212223242526[[#This Row],[Name Surname]],Manpower!$C$4:$C$1048576,Manpower!$F$4:$F$1048576,"")</f>
        <v>Scaffolding Supervisor</v>
      </c>
      <c r="H1804" s="28" t="str">
        <f>_xlfn.XLOOKUP(Table134526_79101120212223242526[[#This Row],[Name Surname]],Manpower!$C$4:$C$1048576,Manpower!$H$4:$H$1048576,"")</f>
        <v>Sub Contactor</v>
      </c>
      <c r="I1804" s="28" t="str">
        <f>_xlfn.XLOOKUP(Table134526_79101120212223242526[[#This Row],[Name Surname]],Manpower!$C$4:$C$1048576,Manpower!$H$4:$H$1048576,"")</f>
        <v>Sub Contactor</v>
      </c>
      <c r="J1804" s="21" t="s">
        <v>143</v>
      </c>
      <c r="K1804" s="21" t="s">
        <v>26</v>
      </c>
      <c r="L1804" s="21" t="s">
        <v>170</v>
      </c>
      <c r="M1804" s="21" t="s">
        <v>24</v>
      </c>
      <c r="N1804" s="29">
        <v>8</v>
      </c>
      <c r="O1804" s="21" t="s">
        <v>40</v>
      </c>
      <c r="P1804" s="21" t="s">
        <v>128</v>
      </c>
      <c r="Q1804" s="21" t="s">
        <v>128</v>
      </c>
      <c r="R1804" s="21" t="s">
        <v>171</v>
      </c>
    </row>
    <row r="1805" spans="1:19" ht="14.4" hidden="1">
      <c r="A1805" s="33">
        <f>IF(C1805="","",MAX($A$1:A1804)+1)</f>
        <v>1699</v>
      </c>
      <c r="B1805" s="27" t="s">
        <v>141</v>
      </c>
      <c r="C1805" s="23">
        <v>46096</v>
      </c>
      <c r="D1805" s="28" t="str">
        <f>_xlfn.XLOOKUP(Table134526_79101120212223242526[[#This Row],[Name Surname]],Manpower!$C$4:$C$1048576,Manpower!$B$4:$B$1048576,"")</f>
        <v>AL Omar International TRAD AND CONT</v>
      </c>
      <c r="E1805" s="21" t="s">
        <v>192</v>
      </c>
      <c r="F1805" s="12">
        <f>_xlfn.XLOOKUP(Table134526_79101120212223242526[[#This Row],[Name Surname]],Manpower!C:C,Manpower!D:D,)</f>
        <v>96409155</v>
      </c>
      <c r="G1805" s="28" t="str">
        <f>_xlfn.XLOOKUP(Table134526_79101120212223242526[[#This Row],[Name Surname]],Manpower!$C$4:$C$1048576,Manpower!$F$4:$F$1048576,"")</f>
        <v>Scaffolder</v>
      </c>
      <c r="H1805" s="28" t="str">
        <f>_xlfn.XLOOKUP(Table134526_79101120212223242526[[#This Row],[Name Surname]],Manpower!$C$4:$C$1048576,Manpower!$H$4:$H$1048576,"")</f>
        <v>Sub Contactor</v>
      </c>
      <c r="I1805" s="28" t="str">
        <f>_xlfn.XLOOKUP(Table134526_79101120212223242526[[#This Row],[Name Surname]],Manpower!$C$4:$C$1048576,Manpower!$H$4:$H$1048576,"")</f>
        <v>Sub Contactor</v>
      </c>
      <c r="J1805" s="21" t="s">
        <v>143</v>
      </c>
      <c r="K1805" s="21" t="s">
        <v>26</v>
      </c>
      <c r="L1805" s="21" t="s">
        <v>170</v>
      </c>
      <c r="M1805" s="21" t="s">
        <v>24</v>
      </c>
      <c r="N1805" s="29">
        <v>8</v>
      </c>
      <c r="O1805" s="21" t="s">
        <v>40</v>
      </c>
      <c r="P1805" s="21" t="s">
        <v>128</v>
      </c>
      <c r="Q1805" s="21" t="s">
        <v>128</v>
      </c>
      <c r="R1805" s="21" t="s">
        <v>171</v>
      </c>
    </row>
    <row r="1806" spans="1:19" ht="14.4" hidden="1">
      <c r="A1806" s="33">
        <f>IF(C1806="","",MAX($A$1:A1805)+1)</f>
        <v>1700</v>
      </c>
      <c r="B1806" s="27" t="s">
        <v>141</v>
      </c>
      <c r="C1806" s="23">
        <v>46096</v>
      </c>
      <c r="D1806" s="28" t="str">
        <f>_xlfn.XLOOKUP(Table134526_79101120212223242526[[#This Row],[Name Surname]],Manpower!$C$4:$C$1048576,Manpower!$B$4:$B$1048576,"")</f>
        <v>AL Omar International TRAD AND CONT</v>
      </c>
      <c r="E1806" s="21" t="s">
        <v>193</v>
      </c>
      <c r="F1806" s="12">
        <f>_xlfn.XLOOKUP(Table134526_79101120212223242526[[#This Row],[Name Surname]],Manpower!C:C,Manpower!D:D,)</f>
        <v>105813698</v>
      </c>
      <c r="G1806" s="28" t="str">
        <f>_xlfn.XLOOKUP(Table134526_79101120212223242526[[#This Row],[Name Surname]],Manpower!$C$4:$C$1048576,Manpower!$F$4:$F$1048576,"")</f>
        <v>Scaffolding Inspector</v>
      </c>
      <c r="H1806" s="28" t="str">
        <f>_xlfn.XLOOKUP(Table134526_79101120212223242526[[#This Row],[Name Surname]],Manpower!$C$4:$C$1048576,Manpower!$H$4:$H$1048576,"")</f>
        <v>Sub Contactor</v>
      </c>
      <c r="I1806" s="28" t="str">
        <f>_xlfn.XLOOKUP(Table134526_79101120212223242526[[#This Row],[Name Surname]],Manpower!$C$4:$C$1048576,Manpower!$H$4:$H$1048576,"")</f>
        <v>Sub Contactor</v>
      </c>
      <c r="J1806" s="21" t="s">
        <v>143</v>
      </c>
      <c r="K1806" s="21" t="s">
        <v>26</v>
      </c>
      <c r="L1806" s="21" t="s">
        <v>170</v>
      </c>
      <c r="M1806" s="21" t="s">
        <v>24</v>
      </c>
      <c r="N1806" s="29">
        <v>8</v>
      </c>
      <c r="O1806" s="21" t="s">
        <v>40</v>
      </c>
      <c r="P1806" s="21" t="s">
        <v>128</v>
      </c>
      <c r="Q1806" s="21" t="s">
        <v>128</v>
      </c>
      <c r="R1806" s="21" t="s">
        <v>171</v>
      </c>
    </row>
    <row r="1807" spans="1:19" s="45" customFormat="1" ht="14.4" hidden="1">
      <c r="A1807" s="25">
        <f>IF(C1807="","",MAX($A$1:A1806)+1)</f>
        <v>1701</v>
      </c>
      <c r="B1807" s="25" t="s">
        <v>141</v>
      </c>
      <c r="C1807" s="41">
        <v>46096</v>
      </c>
      <c r="D1807" s="48" t="str">
        <f>_xlfn.XLOOKUP(Table134526_79101120212223242526[[#This Row],[Name Surname]],Manpower!$C$4:$C$1048576,Manpower!$B$4:$B$1048576,"")</f>
        <v>AL Saif &amp; Al QALLM ENT LLC</v>
      </c>
      <c r="E1807" s="43" t="s">
        <v>194</v>
      </c>
      <c r="F1807" s="12">
        <f>_xlfn.XLOOKUP(Table134526_79101120212223242526[[#This Row],[Name Surname]],Manpower!C:C,Manpower!D:D,)</f>
        <v>135340657</v>
      </c>
      <c r="G1807" s="48" t="str">
        <f>_xlfn.XLOOKUP(Table134526_79101120212223242526[[#This Row],[Name Surname]],Manpower!$C$4:$C$1048576,Manpower!$F$4:$F$1048576,"")</f>
        <v>Forklift Operator</v>
      </c>
      <c r="H1807" s="48" t="str">
        <f>_xlfn.XLOOKUP(Table134526_79101120212223242526[[#This Row],[Name Surname]],Manpower!$C$4:$C$1048576,Manpower!$H$4:$H$1048576,"")</f>
        <v>Sub Contactor</v>
      </c>
      <c r="I1807" s="48" t="str">
        <f>_xlfn.XLOOKUP(Table134526_79101120212223242526[[#This Row],[Name Surname]],Manpower!$C$4:$C$1048576,Manpower!$H$4:$H$1048576,"")</f>
        <v>Sub Contactor</v>
      </c>
      <c r="J1807" s="43" t="s">
        <v>143</v>
      </c>
      <c r="K1807" s="43" t="s">
        <v>26</v>
      </c>
      <c r="L1807" s="43" t="s">
        <v>144</v>
      </c>
      <c r="M1807" s="43" t="s">
        <v>24</v>
      </c>
      <c r="N1807" s="44">
        <v>8</v>
      </c>
      <c r="O1807" s="43" t="s">
        <v>40</v>
      </c>
      <c r="P1807" s="43" t="s">
        <v>42</v>
      </c>
      <c r="Q1807" s="43" t="s">
        <v>42</v>
      </c>
      <c r="R1807" s="43" t="s">
        <v>195</v>
      </c>
      <c r="S1807" s="43" t="s">
        <v>245</v>
      </c>
    </row>
    <row r="1808" spans="1:19" s="45" customFormat="1" ht="14.4" hidden="1">
      <c r="A1808" s="25">
        <f>IF(C1808="","",MAX($A$1:A1807)+1)</f>
        <v>1702</v>
      </c>
      <c r="B1808" s="25" t="s">
        <v>141</v>
      </c>
      <c r="C1808" s="41">
        <v>46096</v>
      </c>
      <c r="D1808" s="48" t="str">
        <f>_xlfn.XLOOKUP(Table134526_79101120212223242526[[#This Row],[Name Surname]],Manpower!$C$4:$C$1048576,Manpower!$B$4:$B$1048576,"")</f>
        <v>Encogroup</v>
      </c>
      <c r="E1808" s="43" t="s">
        <v>196</v>
      </c>
      <c r="F1808" s="12">
        <f>_xlfn.XLOOKUP(Table134526_79101120212223242526[[#This Row],[Name Surname]],Manpower!C:C,Manpower!D:D,)</f>
        <v>140844586</v>
      </c>
      <c r="G1808" s="48" t="str">
        <f>_xlfn.XLOOKUP(Table134526_79101120212223242526[[#This Row],[Name Surname]],Manpower!$C$4:$C$1048576,Manpower!$F$4:$F$1048576,"")</f>
        <v>Assistant/Helper</v>
      </c>
      <c r="H1808" s="48" t="str">
        <f>_xlfn.XLOOKUP(Table134526_79101120212223242526[[#This Row],[Name Surname]],Manpower!$C$4:$C$1048576,Manpower!$H$4:$H$1048576,"")</f>
        <v>Manpower</v>
      </c>
      <c r="I1808" s="48" t="str">
        <f>_xlfn.XLOOKUP(Table134526_79101120212223242526[[#This Row],[Name Surname]],Manpower!$C$4:$C$1048576,Manpower!$H$4:$H$1048576,"")</f>
        <v>Manpower</v>
      </c>
      <c r="J1808" s="43" t="s">
        <v>158</v>
      </c>
      <c r="K1808" s="43" t="s">
        <v>26</v>
      </c>
      <c r="L1808" s="43" t="s">
        <v>26</v>
      </c>
      <c r="M1808" s="43" t="s">
        <v>24</v>
      </c>
      <c r="N1808" s="44">
        <v>10</v>
      </c>
      <c r="O1808" s="43" t="s">
        <v>159</v>
      </c>
      <c r="P1808" s="43" t="s">
        <v>160</v>
      </c>
      <c r="Q1808" s="43" t="s">
        <v>160</v>
      </c>
      <c r="R1808" s="43" t="s">
        <v>161</v>
      </c>
      <c r="S1808" s="43"/>
    </row>
    <row r="1809" spans="1:19" ht="14.4" hidden="1">
      <c r="A1809" s="33">
        <f>IF(C1809="","",MAX($A$1:A1808)+1)</f>
        <v>1703</v>
      </c>
      <c r="B1809" s="27" t="s">
        <v>141</v>
      </c>
      <c r="C1809" s="23">
        <v>46096</v>
      </c>
      <c r="D1809" s="28" t="str">
        <f>_xlfn.XLOOKUP(Table134526_79101120212223242526[[#This Row],[Name Surname]],Manpower!$C$4:$C$1048576,Manpower!$B$4:$B$1048576,"")</f>
        <v>AL Omar International TRAD AND CONT</v>
      </c>
      <c r="E1809" s="21" t="s">
        <v>212</v>
      </c>
      <c r="F1809" s="12">
        <f>_xlfn.XLOOKUP(Table134526_79101120212223242526[[#This Row],[Name Surname]],Manpower!C:C,Manpower!D:D,)</f>
        <v>116676257</v>
      </c>
      <c r="G1809" s="28" t="str">
        <f>_xlfn.XLOOKUP(Table134526_79101120212223242526[[#This Row],[Name Surname]],Manpower!$C$4:$C$1048576,Manpower!$F$4:$F$1048576,"")</f>
        <v>Scaffolder</v>
      </c>
      <c r="H1809" s="28" t="str">
        <f>_xlfn.XLOOKUP(Table134526_79101120212223242526[[#This Row],[Name Surname]],Manpower!$C$4:$C$1048576,Manpower!$H$4:$H$1048576,"")</f>
        <v>Sub Contactor</v>
      </c>
      <c r="I1809" s="28" t="str">
        <f>_xlfn.XLOOKUP(Table134526_79101120212223242526[[#This Row],[Name Surname]],Manpower!$C$4:$C$1048576,Manpower!$H$4:$H$1048576,"")</f>
        <v>Sub Contactor</v>
      </c>
      <c r="J1809" s="21" t="s">
        <v>143</v>
      </c>
      <c r="K1809" s="21" t="s">
        <v>26</v>
      </c>
      <c r="L1809" s="21" t="s">
        <v>170</v>
      </c>
      <c r="M1809" s="21" t="s">
        <v>24</v>
      </c>
      <c r="N1809" s="29">
        <v>8</v>
      </c>
      <c r="O1809" s="21" t="s">
        <v>40</v>
      </c>
      <c r="P1809" s="21" t="s">
        <v>128</v>
      </c>
      <c r="Q1809" s="21" t="s">
        <v>128</v>
      </c>
      <c r="R1809" s="21" t="s">
        <v>171</v>
      </c>
    </row>
    <row r="1810" spans="1:19" ht="14.4" hidden="1">
      <c r="A1810" s="33">
        <f>IF(C1810="","",MAX($A$1:A1809)+1)</f>
        <v>1704</v>
      </c>
      <c r="B1810" s="27" t="s">
        <v>141</v>
      </c>
      <c r="C1810" s="23">
        <v>46096</v>
      </c>
      <c r="D1810" s="28" t="str">
        <f>_xlfn.XLOOKUP(Table134526_79101120212223242526[[#This Row],[Name Surname]],Manpower!$C$4:$C$1048576,Manpower!$B$4:$B$1048576,"")</f>
        <v>AL Omar International TRAD AND CONT</v>
      </c>
      <c r="E1810" s="21" t="s">
        <v>197</v>
      </c>
      <c r="F1810" s="12">
        <f>_xlfn.XLOOKUP(Table134526_79101120212223242526[[#This Row],[Name Surname]],Manpower!C:C,Manpower!D:D,)</f>
        <v>106093463</v>
      </c>
      <c r="G1810" s="28" t="str">
        <f>_xlfn.XLOOKUP(Table134526_79101120212223242526[[#This Row],[Name Surname]],Manpower!$C$4:$C$1048576,Manpower!$F$4:$F$1048576,"")</f>
        <v>RIgger</v>
      </c>
      <c r="H1810" s="28" t="str">
        <f>_xlfn.XLOOKUP(Table134526_79101120212223242526[[#This Row],[Name Surname]],Manpower!$C$4:$C$1048576,Manpower!$H$4:$H$1048576,"")</f>
        <v>Sub Contactor</v>
      </c>
      <c r="I1810" s="28" t="str">
        <f>_xlfn.XLOOKUP(Table134526_79101120212223242526[[#This Row],[Name Surname]],Manpower!$C$4:$C$1048576,Manpower!$H$4:$H$1048576,"")</f>
        <v>Sub Contactor</v>
      </c>
      <c r="J1810" s="21" t="s">
        <v>143</v>
      </c>
      <c r="K1810" s="21" t="s">
        <v>26</v>
      </c>
      <c r="L1810" s="21" t="s">
        <v>144</v>
      </c>
      <c r="M1810" s="21" t="s">
        <v>24</v>
      </c>
      <c r="N1810" s="29">
        <v>8</v>
      </c>
      <c r="O1810" s="21" t="s">
        <v>40</v>
      </c>
      <c r="P1810" s="21" t="s">
        <v>42</v>
      </c>
      <c r="Q1810" s="21" t="s">
        <v>42</v>
      </c>
      <c r="R1810" s="21" t="s">
        <v>317</v>
      </c>
    </row>
    <row r="1811" spans="1:19" ht="14.4">
      <c r="A1811" s="33">
        <f>IF(C1811="","",MAX($A$1:A1810)+1)</f>
        <v>1705</v>
      </c>
      <c r="B1811" s="27" t="s">
        <v>141</v>
      </c>
      <c r="C1811" s="23">
        <v>46096</v>
      </c>
      <c r="D1811" s="28" t="str">
        <f>_xlfn.XLOOKUP(Table134526_79101120212223242526[[#This Row],[Name Surname]],Manpower!$C$4:$C$1048576,Manpower!$B$4:$B$1048576,"")</f>
        <v>Al Asrah Al Mumayaza Trad</v>
      </c>
      <c r="E1811" s="21" t="s">
        <v>198</v>
      </c>
      <c r="F1811" s="12" t="e">
        <f>_xlfn.XLOOKUP(Table134526_79101120212223242526[[#This Row],[Name Surname]],Manpower!C:C,Manpower!D:D,)</f>
        <v>#N/A</v>
      </c>
      <c r="G1811" s="28" t="str">
        <f>_xlfn.XLOOKUP(Table134526_79101120212223242526[[#This Row],[Name Surname]],Manpower!$C$4:$C$1048576,Manpower!$F$4:$F$1048576,"")</f>
        <v>PICK-UP</v>
      </c>
      <c r="H1811" s="28" t="str">
        <f>_xlfn.XLOOKUP(Table134526_79101120212223242526[[#This Row],[Name Surname]],Manpower!$C$4:$C$1048576,Manpower!$H$4:$H$1048576,"")</f>
        <v>Equipment</v>
      </c>
      <c r="I1811" s="28" t="str">
        <f>_xlfn.XLOOKUP(Table134526_79101120212223242526[[#This Row],[Name Surname]],Manpower!$C$4:$C$1048576,Manpower!$H$4:$H$1048576,"")</f>
        <v>Equipment</v>
      </c>
      <c r="J1811" s="21" t="s">
        <v>143</v>
      </c>
      <c r="K1811" s="21" t="s">
        <v>26</v>
      </c>
      <c r="L1811" s="21" t="s">
        <v>144</v>
      </c>
      <c r="M1811" s="21" t="s">
        <v>24</v>
      </c>
      <c r="N1811" s="29">
        <v>10</v>
      </c>
      <c r="O1811" s="21" t="s">
        <v>138</v>
      </c>
      <c r="P1811" s="21" t="s">
        <v>138</v>
      </c>
      <c r="Q1811" s="21" t="s">
        <v>138</v>
      </c>
      <c r="R1811" s="21" t="s">
        <v>26</v>
      </c>
    </row>
    <row r="1812" spans="1:19" ht="14.4">
      <c r="A1812" s="33">
        <f>IF(C1812="","",MAX($A$1:A1811)+1)</f>
        <v>1706</v>
      </c>
      <c r="B1812" s="27" t="s">
        <v>141</v>
      </c>
      <c r="C1812" s="23">
        <v>46096</v>
      </c>
      <c r="D1812" s="28" t="str">
        <f>_xlfn.XLOOKUP(Table134526_79101120212223242526[[#This Row],[Name Surname]],Manpower!$C$4:$C$1048576,Manpower!$B$4:$B$1048576,"")</f>
        <v>Al Asrah Al Mumayaza Trad</v>
      </c>
      <c r="E1812" s="21" t="s">
        <v>199</v>
      </c>
      <c r="F1812" s="12" t="e">
        <f>_xlfn.XLOOKUP(Table134526_79101120212223242526[[#This Row],[Name Surname]],Manpower!C:C,Manpower!D:D,)</f>
        <v>#N/A</v>
      </c>
      <c r="G1812" s="28" t="str">
        <f>_xlfn.XLOOKUP(Table134526_79101120212223242526[[#This Row],[Name Surname]],Manpower!$C$4:$C$1048576,Manpower!$F$4:$F$1048576,"")</f>
        <v>PICK-UP</v>
      </c>
      <c r="H1812" s="28" t="str">
        <f>_xlfn.XLOOKUP(Table134526_79101120212223242526[[#This Row],[Name Surname]],Manpower!$C$4:$C$1048576,Manpower!$H$4:$H$1048576,"")</f>
        <v>Equipment</v>
      </c>
      <c r="I1812" s="28" t="str">
        <f>_xlfn.XLOOKUP(Table134526_79101120212223242526[[#This Row],[Name Surname]],Manpower!$C$4:$C$1048576,Manpower!$H$4:$H$1048576,"")</f>
        <v>Equipment</v>
      </c>
      <c r="J1812" s="21" t="s">
        <v>143</v>
      </c>
      <c r="K1812" s="21" t="s">
        <v>26</v>
      </c>
      <c r="L1812" s="21" t="s">
        <v>144</v>
      </c>
      <c r="M1812" s="21" t="s">
        <v>24</v>
      </c>
      <c r="N1812" s="29">
        <v>10</v>
      </c>
      <c r="O1812" s="21" t="s">
        <v>138</v>
      </c>
      <c r="P1812" s="21" t="s">
        <v>138</v>
      </c>
      <c r="Q1812" s="21" t="s">
        <v>138</v>
      </c>
      <c r="R1812" s="21" t="s">
        <v>26</v>
      </c>
    </row>
    <row r="1813" spans="1:19" ht="14.4">
      <c r="A1813" s="33">
        <f>IF(C1813="","",MAX($A$1:A1812)+1)</f>
        <v>1707</v>
      </c>
      <c r="B1813" s="27" t="s">
        <v>141</v>
      </c>
      <c r="C1813" s="23">
        <v>46096</v>
      </c>
      <c r="D1813" s="28" t="str">
        <f>_xlfn.XLOOKUP(Table134526_79101120212223242526[[#This Row],[Name Surname]],Manpower!$C$4:$C$1048576,Manpower!$B$4:$B$1048576,"")</f>
        <v>Al Asrah Al Mumayaza Trad</v>
      </c>
      <c r="E1813" s="21" t="s">
        <v>200</v>
      </c>
      <c r="F1813" s="12" t="e">
        <f>_xlfn.XLOOKUP(Table134526_79101120212223242526[[#This Row],[Name Surname]],Manpower!C:C,Manpower!D:D,)</f>
        <v>#N/A</v>
      </c>
      <c r="G1813" s="28" t="str">
        <f>_xlfn.XLOOKUP(Table134526_79101120212223242526[[#This Row],[Name Surname]],Manpower!$C$4:$C$1048576,Manpower!$F$4:$F$1048576,"")</f>
        <v>PICK-UP</v>
      </c>
      <c r="H1813" s="28" t="str">
        <f>_xlfn.XLOOKUP(Table134526_79101120212223242526[[#This Row],[Name Surname]],Manpower!$C$4:$C$1048576,Manpower!$H$4:$H$1048576,"")</f>
        <v>Equipment</v>
      </c>
      <c r="I1813" s="28" t="str">
        <f>_xlfn.XLOOKUP(Table134526_79101120212223242526[[#This Row],[Name Surname]],Manpower!$C$4:$C$1048576,Manpower!$H$4:$H$1048576,"")</f>
        <v>Equipment</v>
      </c>
      <c r="J1813" s="21" t="s">
        <v>143</v>
      </c>
      <c r="K1813" s="21" t="s">
        <v>26</v>
      </c>
      <c r="L1813" s="21" t="s">
        <v>144</v>
      </c>
      <c r="M1813" s="21" t="s">
        <v>24</v>
      </c>
      <c r="N1813" s="29">
        <v>10</v>
      </c>
      <c r="O1813" s="21" t="s">
        <v>138</v>
      </c>
      <c r="P1813" s="21" t="s">
        <v>138</v>
      </c>
      <c r="Q1813" s="21" t="s">
        <v>138</v>
      </c>
      <c r="R1813" s="21" t="s">
        <v>26</v>
      </c>
    </row>
    <row r="1814" spans="1:19" ht="14.4">
      <c r="A1814" s="33">
        <f>IF(C1814="","",MAX($A$1:A1813)+1)</f>
        <v>1708</v>
      </c>
      <c r="B1814" s="27" t="s">
        <v>141</v>
      </c>
      <c r="C1814" s="23">
        <v>46096</v>
      </c>
      <c r="D1814" s="28" t="str">
        <f>_xlfn.XLOOKUP(Table134526_79101120212223242526[[#This Row],[Name Surname]],Manpower!$C$4:$C$1048576,Manpower!$B$4:$B$1048576,"")</f>
        <v>Al Asrah Al Mumayaza Trad</v>
      </c>
      <c r="E1814" s="21" t="s">
        <v>201</v>
      </c>
      <c r="F1814" s="12" t="e">
        <f>_xlfn.XLOOKUP(Table134526_79101120212223242526[[#This Row],[Name Surname]],Manpower!C:C,Manpower!D:D,)</f>
        <v>#N/A</v>
      </c>
      <c r="G1814" s="28" t="str">
        <f>_xlfn.XLOOKUP(Table134526_79101120212223242526[[#This Row],[Name Surname]],Manpower!$C$4:$C$1048576,Manpower!$F$4:$F$1048576,"")</f>
        <v>PICK-UP</v>
      </c>
      <c r="H1814" s="28" t="str">
        <f>_xlfn.XLOOKUP(Table134526_79101120212223242526[[#This Row],[Name Surname]],Manpower!$C$4:$C$1048576,Manpower!$H$4:$H$1048576,"")</f>
        <v>Equipment</v>
      </c>
      <c r="I1814" s="28" t="str">
        <f>_xlfn.XLOOKUP(Table134526_79101120212223242526[[#This Row],[Name Surname]],Manpower!$C$4:$C$1048576,Manpower!$H$4:$H$1048576,"")</f>
        <v>Equipment</v>
      </c>
      <c r="J1814" s="21" t="s">
        <v>143</v>
      </c>
      <c r="K1814" s="21" t="s">
        <v>26</v>
      </c>
      <c r="L1814" s="21" t="s">
        <v>144</v>
      </c>
      <c r="M1814" s="21" t="s">
        <v>24</v>
      </c>
      <c r="N1814" s="29">
        <v>10</v>
      </c>
      <c r="O1814" s="21" t="s">
        <v>138</v>
      </c>
      <c r="P1814" s="21" t="s">
        <v>138</v>
      </c>
      <c r="Q1814" s="21" t="s">
        <v>138</v>
      </c>
      <c r="R1814" s="21" t="s">
        <v>26</v>
      </c>
    </row>
    <row r="1815" spans="1:19" s="45" customFormat="1" ht="14.4" hidden="1">
      <c r="A1815" s="25">
        <f>IF(C1815="","",MAX($A$1:A1814)+1)</f>
        <v>1709</v>
      </c>
      <c r="B1815" s="25" t="s">
        <v>141</v>
      </c>
      <c r="C1815" s="41">
        <v>46096</v>
      </c>
      <c r="D1815" s="48" t="str">
        <f>_xlfn.XLOOKUP(Table134526_79101120212223242526[[#This Row],[Name Surname]],Manpower!$C$4:$C$1048576,Manpower!$B$4:$B$1048576,"")</f>
        <v>Encogroup</v>
      </c>
      <c r="E1815" s="43" t="s">
        <v>202</v>
      </c>
      <c r="F1815" s="12">
        <f>_xlfn.XLOOKUP(Table134526_79101120212223242526[[#This Row],[Name Surname]],Manpower!C:C,Manpower!D:D,)</f>
        <v>140805592</v>
      </c>
      <c r="G1815" s="48" t="str">
        <f>_xlfn.XLOOKUP(Table134526_79101120212223242526[[#This Row],[Name Surname]],Manpower!$C$4:$C$1048576,Manpower!$F$4:$F$1048576,"")</f>
        <v>Assistant/Helper</v>
      </c>
      <c r="H1815" s="48" t="str">
        <f>_xlfn.XLOOKUP(Table134526_79101120212223242526[[#This Row],[Name Surname]],Manpower!$C$4:$C$1048576,Manpower!$H$4:$H$1048576,"")</f>
        <v>Manpower</v>
      </c>
      <c r="I1815" s="48" t="str">
        <f>_xlfn.XLOOKUP(Table134526_79101120212223242526[[#This Row],[Name Surname]],Manpower!$C$4:$C$1048576,Manpower!$H$4:$H$1048576,"")</f>
        <v>Manpower</v>
      </c>
      <c r="J1815" s="43" t="s">
        <v>143</v>
      </c>
      <c r="K1815" s="43" t="s">
        <v>26</v>
      </c>
      <c r="L1815" s="43" t="s">
        <v>144</v>
      </c>
      <c r="M1815" s="43" t="s">
        <v>24</v>
      </c>
      <c r="N1815" s="44">
        <v>10</v>
      </c>
      <c r="O1815" s="43" t="s">
        <v>40</v>
      </c>
      <c r="P1815" s="43" t="s">
        <v>42</v>
      </c>
      <c r="Q1815" s="43" t="s">
        <v>42</v>
      </c>
      <c r="R1815" s="43" t="s">
        <v>317</v>
      </c>
      <c r="S1815" s="43"/>
    </row>
    <row r="1816" spans="1:19" s="45" customFormat="1" ht="14.4" hidden="1">
      <c r="A1816" s="25">
        <f>IF(C1816="","",MAX($A$1:A1815)+1)</f>
        <v>1710</v>
      </c>
      <c r="B1816" s="25" t="s">
        <v>141</v>
      </c>
      <c r="C1816" s="41">
        <v>46096</v>
      </c>
      <c r="D1816" s="48" t="str">
        <f>_xlfn.XLOOKUP(Table134526_79101120212223242526[[#This Row],[Name Surname]],Manpower!$C$4:$C$1048576,Manpower!$B$4:$B$1048576,"")</f>
        <v>Encogroup</v>
      </c>
      <c r="E1816" s="43" t="s">
        <v>203</v>
      </c>
      <c r="F1816" s="12">
        <f>_xlfn.XLOOKUP(Table134526_79101120212223242526[[#This Row],[Name Surname]],Manpower!C:C,Manpower!D:D,)</f>
        <v>140683371</v>
      </c>
      <c r="G1816" s="48" t="str">
        <f>_xlfn.XLOOKUP(Table134526_79101120212223242526[[#This Row],[Name Surname]],Manpower!$C$4:$C$1048576,Manpower!$F$4:$F$1048576,"")</f>
        <v>Rigger</v>
      </c>
      <c r="H1816" s="48" t="str">
        <f>_xlfn.XLOOKUP(Table134526_79101120212223242526[[#This Row],[Name Surname]],Manpower!$C$4:$C$1048576,Manpower!$H$4:$H$1048576,"")</f>
        <v>Manpower</v>
      </c>
      <c r="I1816" s="48" t="str">
        <f>_xlfn.XLOOKUP(Table134526_79101120212223242526[[#This Row],[Name Surname]],Manpower!$C$4:$C$1048576,Manpower!$H$4:$H$1048576,"")</f>
        <v>Manpower</v>
      </c>
      <c r="J1816" s="43" t="s">
        <v>143</v>
      </c>
      <c r="K1816" s="43" t="s">
        <v>26</v>
      </c>
      <c r="L1816" s="43" t="s">
        <v>144</v>
      </c>
      <c r="M1816" s="43" t="s">
        <v>24</v>
      </c>
      <c r="N1816" s="44">
        <v>10</v>
      </c>
      <c r="O1816" s="43" t="s">
        <v>40</v>
      </c>
      <c r="P1816" s="43" t="s">
        <v>42</v>
      </c>
      <c r="Q1816" s="43" t="s">
        <v>42</v>
      </c>
      <c r="R1816" s="43" t="s">
        <v>317</v>
      </c>
      <c r="S1816" s="43"/>
    </row>
    <row r="1817" spans="1:19" s="45" customFormat="1" ht="14.4" hidden="1">
      <c r="A1817" s="25">
        <f>IF(C1817="","",MAX($A$1:A1816)+1)</f>
        <v>1711</v>
      </c>
      <c r="B1817" s="25" t="s">
        <v>141</v>
      </c>
      <c r="C1817" s="41">
        <v>46096</v>
      </c>
      <c r="D1817" s="48" t="str">
        <f>_xlfn.XLOOKUP(Table134526_79101120212223242526[[#This Row],[Name Surname]],Manpower!$C$4:$C$1048576,Manpower!$B$4:$B$1048576,"")</f>
        <v>Encogroup</v>
      </c>
      <c r="E1817" s="43" t="s">
        <v>206</v>
      </c>
      <c r="F1817" s="12">
        <f>_xlfn.XLOOKUP(Table134526_79101120212223242526[[#This Row],[Name Surname]],Manpower!C:C,Manpower!D:D,)</f>
        <v>140844848</v>
      </c>
      <c r="G1817" s="48" t="str">
        <f>_xlfn.XLOOKUP(Table134526_79101120212223242526[[#This Row],[Name Surname]],Manpower!$C$4:$C$1048576,Manpower!$F$4:$F$1048576,"")</f>
        <v>Assistant/Helper</v>
      </c>
      <c r="H1817" s="48" t="str">
        <f>_xlfn.XLOOKUP(Table134526_79101120212223242526[[#This Row],[Name Surname]],Manpower!$C$4:$C$1048576,Manpower!$H$4:$H$1048576,"")</f>
        <v>Manpower</v>
      </c>
      <c r="I1817" s="48" t="str">
        <f>_xlfn.XLOOKUP(Table134526_79101120212223242526[[#This Row],[Name Surname]],Manpower!$C$4:$C$1048576,Manpower!$H$4:$H$1048576,"")</f>
        <v>Manpower</v>
      </c>
      <c r="J1817" s="43" t="s">
        <v>143</v>
      </c>
      <c r="K1817" s="43" t="s">
        <v>26</v>
      </c>
      <c r="L1817" s="43" t="s">
        <v>144</v>
      </c>
      <c r="M1817" s="43" t="s">
        <v>24</v>
      </c>
      <c r="N1817" s="44">
        <v>10</v>
      </c>
      <c r="O1817" s="43" t="s">
        <v>40</v>
      </c>
      <c r="P1817" s="43" t="s">
        <v>42</v>
      </c>
      <c r="Q1817" s="43" t="s">
        <v>42</v>
      </c>
      <c r="R1817" s="43" t="s">
        <v>317</v>
      </c>
      <c r="S1817" s="43"/>
    </row>
    <row r="1818" spans="1:19" s="45" customFormat="1" ht="14.4" hidden="1">
      <c r="A1818" s="25">
        <f>IF(C1818="","",MAX($A$1:A1817)+1)</f>
        <v>1712</v>
      </c>
      <c r="B1818" s="25" t="s">
        <v>141</v>
      </c>
      <c r="C1818" s="41">
        <v>46096</v>
      </c>
      <c r="D1818" s="48" t="str">
        <f>_xlfn.XLOOKUP(Table134526_79101120212223242526[[#This Row],[Name Surname]],Manpower!$C$4:$C$1048576,Manpower!$B$4:$B$1048576,"")</f>
        <v>Encogroup</v>
      </c>
      <c r="E1818" s="43" t="s">
        <v>207</v>
      </c>
      <c r="F1818" s="12">
        <f>_xlfn.XLOOKUP(Table134526_79101120212223242526[[#This Row],[Name Surname]],Manpower!C:C,Manpower!D:D,)</f>
        <v>141359216</v>
      </c>
      <c r="G1818" s="48" t="str">
        <f>_xlfn.XLOOKUP(Table134526_79101120212223242526[[#This Row],[Name Surname]],Manpower!$C$4:$C$1048576,Manpower!$F$4:$F$1048576,"")</f>
        <v>Electrician</v>
      </c>
      <c r="H1818" s="48" t="str">
        <f>_xlfn.XLOOKUP(Table134526_79101120212223242526[[#This Row],[Name Surname]],Manpower!$C$4:$C$1048576,Manpower!$H$4:$H$1048576,"")</f>
        <v>Manpower</v>
      </c>
      <c r="I1818" s="48" t="str">
        <f>_xlfn.XLOOKUP(Table134526_79101120212223242526[[#This Row],[Name Surname]],Manpower!$C$4:$C$1048576,Manpower!$H$4:$H$1048576,"")</f>
        <v>Manpower</v>
      </c>
      <c r="J1818" s="43" t="s">
        <v>158</v>
      </c>
      <c r="K1818" s="43" t="s">
        <v>26</v>
      </c>
      <c r="L1818" s="43" t="s">
        <v>26</v>
      </c>
      <c r="M1818" s="43" t="s">
        <v>24</v>
      </c>
      <c r="N1818" s="44">
        <v>10</v>
      </c>
      <c r="O1818" s="43" t="s">
        <v>159</v>
      </c>
      <c r="P1818" s="43" t="s">
        <v>160</v>
      </c>
      <c r="Q1818" s="43" t="s">
        <v>160</v>
      </c>
      <c r="R1818" s="43" t="s">
        <v>161</v>
      </c>
      <c r="S1818" s="43"/>
    </row>
    <row r="1819" spans="1:19" s="45" customFormat="1" ht="14.4" hidden="1">
      <c r="A1819" s="25">
        <f>IF(C1819="","",MAX($A$1:A1818)+1)</f>
        <v>1713</v>
      </c>
      <c r="B1819" s="25" t="s">
        <v>141</v>
      </c>
      <c r="C1819" s="41">
        <v>46096</v>
      </c>
      <c r="D1819" s="48" t="str">
        <f>_xlfn.XLOOKUP(Table134526_79101120212223242526[[#This Row],[Name Surname]],Manpower!$C$4:$C$1048576,Manpower!$B$4:$B$1048576,"")</f>
        <v>Encogroup</v>
      </c>
      <c r="E1819" s="43" t="s">
        <v>208</v>
      </c>
      <c r="F1819" s="12">
        <f>_xlfn.XLOOKUP(Table134526_79101120212223242526[[#This Row],[Name Surname]],Manpower!C:C,Manpower!D:D,)</f>
        <v>140683399</v>
      </c>
      <c r="G1819" s="48" t="str">
        <f>_xlfn.XLOOKUP(Table134526_79101120212223242526[[#This Row],[Name Surname]],Manpower!$C$4:$C$1048576,Manpower!$F$4:$F$1048576,"")</f>
        <v>Rigger</v>
      </c>
      <c r="H1819" s="48" t="str">
        <f>_xlfn.XLOOKUP(Table134526_79101120212223242526[[#This Row],[Name Surname]],Manpower!$C$4:$C$1048576,Manpower!$H$4:$H$1048576,"")</f>
        <v>Manpower</v>
      </c>
      <c r="I1819" s="48" t="str">
        <f>_xlfn.XLOOKUP(Table134526_79101120212223242526[[#This Row],[Name Surname]],Manpower!$C$4:$C$1048576,Manpower!$H$4:$H$1048576,"")</f>
        <v>Manpower</v>
      </c>
      <c r="J1819" s="43" t="s">
        <v>143</v>
      </c>
      <c r="K1819" s="43" t="s">
        <v>26</v>
      </c>
      <c r="L1819" s="43" t="s">
        <v>144</v>
      </c>
      <c r="M1819" s="43" t="s">
        <v>24</v>
      </c>
      <c r="N1819" s="44">
        <v>10</v>
      </c>
      <c r="O1819" s="43" t="s">
        <v>40</v>
      </c>
      <c r="P1819" s="43" t="s">
        <v>42</v>
      </c>
      <c r="Q1819" s="43" t="s">
        <v>42</v>
      </c>
      <c r="R1819" s="43" t="s">
        <v>317</v>
      </c>
      <c r="S1819" s="43"/>
    </row>
    <row r="1820" spans="1:19" ht="14.4">
      <c r="A1820" s="33">
        <f>IF(C1820="","",MAX($A$1:A1819)+1)</f>
        <v>1714</v>
      </c>
      <c r="B1820" s="27" t="s">
        <v>141</v>
      </c>
      <c r="C1820" s="23">
        <v>46096</v>
      </c>
      <c r="D1820" s="28" t="str">
        <f>_xlfn.XLOOKUP(Table134526_79101120212223242526[[#This Row],[Name Surname]],Manpower!$C$4:$C$1048576,Manpower!$B$4:$B$1048576,"")</f>
        <v>Bright Light</v>
      </c>
      <c r="E1820" s="21" t="s">
        <v>210</v>
      </c>
      <c r="F1820" s="12" t="e">
        <f>_xlfn.XLOOKUP(Table134526_79101120212223242526[[#This Row],[Name Surname]],Manpower!C:C,Manpower!D:D,)</f>
        <v>#N/A</v>
      </c>
      <c r="G1820" s="28" t="str">
        <f>_xlfn.XLOOKUP(Table134526_79101120212223242526[[#This Row],[Name Surname]],Manpower!$C$4:$C$1048576,Manpower!$F$4:$F$1048576,"")</f>
        <v>Trailer</v>
      </c>
      <c r="H1820" s="28" t="str">
        <f>_xlfn.XLOOKUP(Table134526_79101120212223242526[[#This Row],[Name Surname]],Manpower!$C$4:$C$1048576,Manpower!$H$4:$H$1048576,"")</f>
        <v>Equipment</v>
      </c>
      <c r="I1820" s="28" t="str">
        <f>_xlfn.XLOOKUP(Table134526_79101120212223242526[[#This Row],[Name Surname]],Manpower!$C$4:$C$1048576,Manpower!$H$4:$H$1048576,"")</f>
        <v>Equipment</v>
      </c>
      <c r="J1820" s="21" t="s">
        <v>143</v>
      </c>
      <c r="K1820" s="21" t="s">
        <v>26</v>
      </c>
      <c r="L1820" s="21" t="s">
        <v>144</v>
      </c>
      <c r="M1820" s="21" t="s">
        <v>24</v>
      </c>
      <c r="N1820" s="29">
        <v>8</v>
      </c>
      <c r="O1820" s="21" t="s">
        <v>40</v>
      </c>
      <c r="P1820" s="21" t="s">
        <v>42</v>
      </c>
      <c r="Q1820" s="21" t="s">
        <v>42</v>
      </c>
      <c r="R1820" s="21" t="s">
        <v>26</v>
      </c>
    </row>
    <row r="1821" spans="1:19" ht="14.4" hidden="1">
      <c r="A1821" s="33">
        <f>IF(C1821="","",MAX($A$1:A1820)+1)</f>
        <v>1715</v>
      </c>
      <c r="B1821" s="27" t="s">
        <v>141</v>
      </c>
      <c r="C1821" s="23">
        <v>46096</v>
      </c>
      <c r="D1821" s="28" t="str">
        <f>_xlfn.XLOOKUP(Table134526_79101120212223242526[[#This Row],[Name Surname]],Manpower!$C$4:$C$1048576,Manpower!$B$4:$B$1048576,"")</f>
        <v>Encogroup</v>
      </c>
      <c r="E1821" s="21" t="s">
        <v>211</v>
      </c>
      <c r="F1821" s="12">
        <f>_xlfn.XLOOKUP(Table134526_79101120212223242526[[#This Row],[Name Surname]],Manpower!C:C,Manpower!D:D,)</f>
        <v>140477664</v>
      </c>
      <c r="G1821" s="28" t="str">
        <f>_xlfn.XLOOKUP(Table134526_79101120212223242526[[#This Row],[Name Surname]],Manpower!$C$4:$C$1048576,Manpower!$F$4:$F$1048576,"")</f>
        <v>Junior HSE Officer</v>
      </c>
      <c r="H1821" s="28" t="str">
        <f>_xlfn.XLOOKUP(Table134526_79101120212223242526[[#This Row],[Name Surname]],Manpower!$C$4:$C$1048576,Manpower!$H$4:$H$1048576,"")</f>
        <v>Manpower</v>
      </c>
      <c r="I1821" s="28" t="str">
        <f>_xlfn.XLOOKUP(Table134526_79101120212223242526[[#This Row],[Name Surname]],Manpower!$C$4:$C$1048576,Manpower!$H$4:$H$1048576,"")</f>
        <v>Manpower</v>
      </c>
      <c r="J1821" s="21" t="s">
        <v>143</v>
      </c>
      <c r="K1821" s="21" t="s">
        <v>26</v>
      </c>
      <c r="L1821" s="21" t="s">
        <v>144</v>
      </c>
      <c r="M1821" s="21" t="s">
        <v>24</v>
      </c>
      <c r="N1821" s="29">
        <v>10</v>
      </c>
      <c r="O1821" s="21" t="s">
        <v>40</v>
      </c>
      <c r="P1821" s="21" t="s">
        <v>42</v>
      </c>
      <c r="Q1821" s="21" t="s">
        <v>42</v>
      </c>
      <c r="R1821" s="21" t="s">
        <v>317</v>
      </c>
    </row>
    <row r="1822" spans="1:19" s="45" customFormat="1" ht="14.4" hidden="1">
      <c r="A1822" s="25">
        <f>IF(C1822="","",MAX($A$1:A1821)+1)</f>
        <v>1716</v>
      </c>
      <c r="B1822" s="25" t="s">
        <v>141</v>
      </c>
      <c r="C1822" s="41">
        <v>46096</v>
      </c>
      <c r="D1822" s="48" t="str">
        <f>_xlfn.XLOOKUP(Table134526_79101120212223242526[[#This Row],[Name Surname]],Manpower!$C$4:$C$1048576,Manpower!$B$4:$B$1048576,"")</f>
        <v>Encogroup</v>
      </c>
      <c r="E1822" s="43" t="s">
        <v>213</v>
      </c>
      <c r="F1822" s="12">
        <f>_xlfn.XLOOKUP(Table134526_79101120212223242526[[#This Row],[Name Surname]],Manpower!C:C,Manpower!D:D,)</f>
        <v>140846698</v>
      </c>
      <c r="G1822" s="48" t="str">
        <f>_xlfn.XLOOKUP(Table134526_79101120212223242526[[#This Row],[Name Surname]],Manpower!$C$4:$C$1048576,Manpower!$F$4:$F$1048576,"")</f>
        <v>Assistant/Helper</v>
      </c>
      <c r="H1822" s="48" t="str">
        <f>_xlfn.XLOOKUP(Table134526_79101120212223242526[[#This Row],[Name Surname]],Manpower!$C$4:$C$1048576,Manpower!$H$4:$H$1048576,"")</f>
        <v>Manpower</v>
      </c>
      <c r="I1822" s="48" t="str">
        <f>_xlfn.XLOOKUP(Table134526_79101120212223242526[[#This Row],[Name Surname]],Manpower!$C$4:$C$1048576,Manpower!$H$4:$H$1048576,"")</f>
        <v>Manpower</v>
      </c>
      <c r="J1822" s="43" t="s">
        <v>143</v>
      </c>
      <c r="K1822" s="43" t="s">
        <v>26</v>
      </c>
      <c r="L1822" s="43" t="s">
        <v>144</v>
      </c>
      <c r="M1822" s="43" t="s">
        <v>24</v>
      </c>
      <c r="N1822" s="44">
        <v>10</v>
      </c>
      <c r="O1822" s="43" t="s">
        <v>40</v>
      </c>
      <c r="P1822" s="43" t="s">
        <v>42</v>
      </c>
      <c r="Q1822" s="43" t="s">
        <v>42</v>
      </c>
      <c r="R1822" s="43" t="s">
        <v>317</v>
      </c>
      <c r="S1822" s="43"/>
    </row>
    <row r="1823" spans="1:19" ht="14.4" hidden="1">
      <c r="A1823" s="33">
        <f>IF(C1823="","",MAX($A$1:A1822)+1)</f>
        <v>1717</v>
      </c>
      <c r="B1823" s="27" t="s">
        <v>141</v>
      </c>
      <c r="C1823" s="23">
        <v>46096</v>
      </c>
      <c r="D1823" s="28" t="str">
        <f>_xlfn.XLOOKUP(Table134526_79101120212223242526[[#This Row],[Name Surname]],Manpower!$C$4:$C$1048576,Manpower!$B$4:$B$1048576,"")</f>
        <v>SARENS NASS</v>
      </c>
      <c r="E1823" s="21" t="s">
        <v>214</v>
      </c>
      <c r="F1823" s="12">
        <f>_xlfn.XLOOKUP(Table134526_79101120212223242526[[#This Row],[Name Surname]],Manpower!C:C,Manpower!D:D,)</f>
        <v>109957631</v>
      </c>
      <c r="G1823" s="28" t="str">
        <f>_xlfn.XLOOKUP(Table134526_79101120212223242526[[#This Row],[Name Surname]],Manpower!$C$4:$C$1048576,Manpower!$F$4:$F$1048576,"")</f>
        <v>Crane Operator-130T Liebherr Crawler</v>
      </c>
      <c r="H1823" s="28" t="str">
        <f>_xlfn.XLOOKUP(Table134526_79101120212223242526[[#This Row],[Name Surname]],Manpower!$C$4:$C$1048576,Manpower!$H$4:$H$1048576,"")</f>
        <v>Manpower</v>
      </c>
      <c r="I1823" s="28" t="str">
        <f>_xlfn.XLOOKUP(Table134526_79101120212223242526[[#This Row],[Name Surname]],Manpower!$C$4:$C$1048576,Manpower!$H$4:$H$1048576,"")</f>
        <v>Manpower</v>
      </c>
      <c r="J1823" s="21" t="s">
        <v>143</v>
      </c>
      <c r="K1823" s="21" t="s">
        <v>26</v>
      </c>
      <c r="L1823" s="21" t="s">
        <v>144</v>
      </c>
      <c r="M1823" s="21" t="s">
        <v>55</v>
      </c>
      <c r="N1823" s="29">
        <v>5</v>
      </c>
      <c r="R1823" s="21" t="s">
        <v>258</v>
      </c>
    </row>
    <row r="1824" spans="1:19" s="45" customFormat="1" ht="14.4" hidden="1">
      <c r="A1824" s="25">
        <f>IF(C1824="","",MAX($A$1:A1823)+1)</f>
        <v>1718</v>
      </c>
      <c r="B1824" s="25" t="s">
        <v>141</v>
      </c>
      <c r="C1824" s="41">
        <v>46096</v>
      </c>
      <c r="D1824" s="48" t="str">
        <f>_xlfn.XLOOKUP(Table134526_79101120212223242526[[#This Row],[Name Surname]],Manpower!$C$4:$C$1048576,Manpower!$B$4:$B$1048576,"")</f>
        <v>Rial Al Khaleej</v>
      </c>
      <c r="E1824" s="43" t="s">
        <v>38</v>
      </c>
      <c r="F1824" s="12">
        <f>_xlfn.XLOOKUP(Table134526_79101120212223242526[[#This Row],[Name Surname]],Manpower!C:C,Manpower!D:D,)</f>
        <v>98845403</v>
      </c>
      <c r="G1824" s="48" t="str">
        <f>_xlfn.XLOOKUP(Table134526_79101120212223242526[[#This Row],[Name Surname]],Manpower!$C$4:$C$1048576,Manpower!$F$4:$F$1048576,"")</f>
        <v>Crane Operator-100T Zoomlion Telescopic</v>
      </c>
      <c r="H1824" s="48" t="str">
        <f>_xlfn.XLOOKUP(Table134526_79101120212223242526[[#This Row],[Name Surname]],Manpower!$C$4:$C$1048576,Manpower!$H$4:$H$1048576,"")</f>
        <v>Manpower</v>
      </c>
      <c r="I1824" s="48" t="str">
        <f>_xlfn.XLOOKUP(Table134526_79101120212223242526[[#This Row],[Name Surname]],Manpower!$C$4:$C$1048576,Manpower!$H$4:$H$1048576,"")</f>
        <v>Manpower</v>
      </c>
      <c r="J1824" s="43" t="s">
        <v>143</v>
      </c>
      <c r="K1824" s="43" t="s">
        <v>26</v>
      </c>
      <c r="L1824" s="43" t="s">
        <v>144</v>
      </c>
      <c r="M1824" s="43" t="s">
        <v>24</v>
      </c>
      <c r="N1824" s="44">
        <v>10</v>
      </c>
      <c r="O1824" s="43" t="s">
        <v>40</v>
      </c>
      <c r="P1824" s="43" t="s">
        <v>41</v>
      </c>
      <c r="Q1824" s="43" t="s">
        <v>42</v>
      </c>
      <c r="R1824" s="43" t="s">
        <v>317</v>
      </c>
      <c r="S1824" s="43"/>
    </row>
    <row r="1825" spans="1:19" s="45" customFormat="1" ht="14.4" hidden="1">
      <c r="A1825" s="25">
        <f>IF(C1825="","",MAX($A$1:A1824)+1)</f>
        <v>1719</v>
      </c>
      <c r="B1825" s="25" t="s">
        <v>141</v>
      </c>
      <c r="C1825" s="41">
        <v>46096</v>
      </c>
      <c r="D1825" s="48" t="str">
        <f>_xlfn.XLOOKUP(Table134526_79101120212223242526[[#This Row],[Name Surname]],Manpower!$C$4:$C$1048576,Manpower!$B$4:$B$1048576,"")</f>
        <v>BG</v>
      </c>
      <c r="E1825" s="43" t="s">
        <v>318</v>
      </c>
      <c r="F1825" s="12" t="e">
        <f>_xlfn.XLOOKUP(Table134526_79101120212223242526[[#This Row],[Name Surname]],Manpower!C:C,Manpower!D:D,)</f>
        <v>#N/A</v>
      </c>
      <c r="G1825" s="48" t="str">
        <f>_xlfn.XLOOKUP(Table134526_79101120212223242526[[#This Row],[Name Surname]],Manpower!$C$4:$C$1048576,Manpower!$F$4:$F$1048576,"")</f>
        <v>Driver</v>
      </c>
      <c r="H1825" s="48" t="str">
        <f>_xlfn.XLOOKUP(Table134526_79101120212223242526[[#This Row],[Name Surname]],Manpower!$C$4:$C$1048576,Manpower!$H$4:$H$1048576,"")</f>
        <v>Manpower</v>
      </c>
      <c r="I1825" s="48" t="str">
        <f>_xlfn.XLOOKUP(Table134526_79101120212223242526[[#This Row],[Name Surname]],Manpower!$C$4:$C$1048576,Manpower!$H$4:$H$1048576,"")</f>
        <v>Manpower</v>
      </c>
      <c r="J1825" s="43" t="s">
        <v>143</v>
      </c>
      <c r="K1825" s="43" t="s">
        <v>26</v>
      </c>
      <c r="L1825" s="43" t="s">
        <v>144</v>
      </c>
      <c r="M1825" s="43" t="s">
        <v>24</v>
      </c>
      <c r="N1825" s="44">
        <v>10</v>
      </c>
      <c r="O1825" s="43" t="s">
        <v>40</v>
      </c>
      <c r="P1825" s="43" t="s">
        <v>41</v>
      </c>
      <c r="Q1825" s="43" t="s">
        <v>42</v>
      </c>
      <c r="R1825" s="43" t="s">
        <v>317</v>
      </c>
      <c r="S1825" s="43"/>
    </row>
    <row r="1826" spans="1:19" s="45" customFormat="1" ht="14.4" hidden="1">
      <c r="A1826" s="25">
        <f>IF(C1826="","",MAX($A$1:A1824)+1)</f>
        <v>1719</v>
      </c>
      <c r="B1826" s="25" t="s">
        <v>141</v>
      </c>
      <c r="C1826" s="41">
        <v>46096</v>
      </c>
      <c r="D1826" s="48" t="str">
        <f>_xlfn.XLOOKUP(Table134526_79101120212223242526[[#This Row],[Name Surname]],Manpower!$C$4:$C$1048576,Manpower!$B$4:$B$1048576,"")</f>
        <v>Encogroup</v>
      </c>
      <c r="E1826" s="43" t="s">
        <v>217</v>
      </c>
      <c r="F1826" s="12">
        <f>_xlfn.XLOOKUP(Table134526_79101120212223242526[[#This Row],[Name Surname]],Manpower!C:C,Manpower!D:D,)</f>
        <v>140742177</v>
      </c>
      <c r="G1826" s="48" t="str">
        <f>_xlfn.XLOOKUP(Table134526_79101120212223242526[[#This Row],[Name Surname]],Manpower!$C$4:$C$1048576,Manpower!$F$4:$F$1048576,"")</f>
        <v>Grinder</v>
      </c>
      <c r="H1826" s="48" t="str">
        <f>_xlfn.XLOOKUP(Table134526_79101120212223242526[[#This Row],[Name Surname]],Manpower!$C$4:$C$1048576,Manpower!$H$4:$H$1048576,"")</f>
        <v>Manpower</v>
      </c>
      <c r="I1826" s="48" t="str">
        <f>_xlfn.XLOOKUP(Table134526_79101120212223242526[[#This Row],[Name Surname]],Manpower!$C$4:$C$1048576,Manpower!$H$4:$H$1048576,"")</f>
        <v>Manpower</v>
      </c>
      <c r="J1826" s="43" t="s">
        <v>143</v>
      </c>
      <c r="K1826" s="43" t="s">
        <v>26</v>
      </c>
      <c r="L1826" s="43" t="s">
        <v>144</v>
      </c>
      <c r="M1826" s="43" t="s">
        <v>24</v>
      </c>
      <c r="N1826" s="44">
        <v>10</v>
      </c>
      <c r="O1826" s="43" t="s">
        <v>40</v>
      </c>
      <c r="P1826" s="43" t="s">
        <v>42</v>
      </c>
      <c r="Q1826" s="43" t="s">
        <v>42</v>
      </c>
      <c r="R1826" s="43" t="s">
        <v>317</v>
      </c>
      <c r="S1826" s="43"/>
    </row>
    <row r="1827" spans="1:19" s="45" customFormat="1" ht="14.4" hidden="1">
      <c r="A1827" s="25">
        <f>IF(C1827="","",MAX($A$1:A1826)+1)</f>
        <v>1720</v>
      </c>
      <c r="B1827" s="25" t="s">
        <v>141</v>
      </c>
      <c r="C1827" s="41">
        <v>46096</v>
      </c>
      <c r="D1827" s="48" t="str">
        <f>_xlfn.XLOOKUP(Table134526_79101120212223242526[[#This Row],[Name Surname]],Manpower!$C$4:$C$1048576,Manpower!$B$4:$B$1048576,"")</f>
        <v>Encogroup</v>
      </c>
      <c r="E1827" s="43" t="s">
        <v>188</v>
      </c>
      <c r="F1827" s="12">
        <f>_xlfn.XLOOKUP(Table134526_79101120212223242526[[#This Row],[Name Surname]],Manpower!C:C,Manpower!D:D,)</f>
        <v>140696975</v>
      </c>
      <c r="G1827" s="48" t="str">
        <f>_xlfn.XLOOKUP(Table134526_79101120212223242526[[#This Row],[Name Surname]],Manpower!$C$4:$C$1048576,Manpower!$F$4:$F$1048576,"")</f>
        <v>Assistant/Helper</v>
      </c>
      <c r="H1827" s="48" t="str">
        <f>_xlfn.XLOOKUP(Table134526_79101120212223242526[[#This Row],[Name Surname]],Manpower!$C$4:$C$1048576,Manpower!$H$4:$H$1048576,"")</f>
        <v>Manpower</v>
      </c>
      <c r="I1827" s="48" t="str">
        <f>_xlfn.XLOOKUP(Table134526_79101120212223242526[[#This Row],[Name Surname]],Manpower!$C$4:$C$1048576,Manpower!$H$4:$H$1048576,"")</f>
        <v>Manpower</v>
      </c>
      <c r="J1827" s="43" t="s">
        <v>158</v>
      </c>
      <c r="K1827" s="43" t="s">
        <v>26</v>
      </c>
      <c r="L1827" s="43" t="s">
        <v>26</v>
      </c>
      <c r="M1827" s="43" t="s">
        <v>24</v>
      </c>
      <c r="N1827" s="44">
        <v>10</v>
      </c>
      <c r="O1827" s="43" t="s">
        <v>159</v>
      </c>
      <c r="P1827" s="43" t="s">
        <v>160</v>
      </c>
      <c r="Q1827" s="43" t="s">
        <v>160</v>
      </c>
      <c r="R1827" s="43" t="s">
        <v>161</v>
      </c>
      <c r="S1827" s="43" t="s">
        <v>230</v>
      </c>
    </row>
    <row r="1828" spans="1:19" s="45" customFormat="1" ht="14.4" hidden="1">
      <c r="A1828" s="25">
        <f>IF(C1828="","",MAX($A$1:A1827)+1)</f>
        <v>1721</v>
      </c>
      <c r="B1828" s="25" t="s">
        <v>141</v>
      </c>
      <c r="C1828" s="41">
        <v>46096</v>
      </c>
      <c r="D1828" s="48" t="str">
        <f>_xlfn.XLOOKUP(Table134526_79101120212223242526[[#This Row],[Name Surname]],Manpower!$C$4:$C$1048576,Manpower!$B$4:$B$1048576,"")</f>
        <v>Encogroup</v>
      </c>
      <c r="E1828" s="43" t="s">
        <v>204</v>
      </c>
      <c r="F1828" s="12">
        <f>_xlfn.XLOOKUP(Table134526_79101120212223242526[[#This Row],[Name Surname]],Manpower!C:C,Manpower!D:D,)</f>
        <v>140844572</v>
      </c>
      <c r="G1828" s="48" t="str">
        <f>_xlfn.XLOOKUP(Table134526_79101120212223242526[[#This Row],[Name Surname]],Manpower!$C$4:$C$1048576,Manpower!$F$4:$F$1048576,"")</f>
        <v>Assistant/Helper</v>
      </c>
      <c r="H1828" s="48" t="str">
        <f>_xlfn.XLOOKUP(Table134526_79101120212223242526[[#This Row],[Name Surname]],Manpower!$C$4:$C$1048576,Manpower!$H$4:$H$1048576,"")</f>
        <v>Manpower</v>
      </c>
      <c r="I1828" s="48" t="str">
        <f>_xlfn.XLOOKUP(Table134526_79101120212223242526[[#This Row],[Name Surname]],Manpower!$C$4:$C$1048576,Manpower!$H$4:$H$1048576,"")</f>
        <v>Manpower</v>
      </c>
      <c r="J1828" s="43" t="s">
        <v>158</v>
      </c>
      <c r="K1828" s="43" t="s">
        <v>26</v>
      </c>
      <c r="L1828" s="43" t="s">
        <v>26</v>
      </c>
      <c r="M1828" s="43" t="s">
        <v>24</v>
      </c>
      <c r="N1828" s="44">
        <v>10</v>
      </c>
      <c r="O1828" s="43" t="s">
        <v>159</v>
      </c>
      <c r="P1828" s="43" t="s">
        <v>160</v>
      </c>
      <c r="Q1828" s="43" t="s">
        <v>160</v>
      </c>
      <c r="R1828" s="43" t="s">
        <v>161</v>
      </c>
      <c r="S1828" s="43" t="s">
        <v>230</v>
      </c>
    </row>
    <row r="1829" spans="1:19" ht="14.4">
      <c r="A1829" s="33">
        <f>IF(C1829="","",MAX($A$1:A1828)+1)</f>
        <v>1722</v>
      </c>
      <c r="B1829" s="27" t="s">
        <v>141</v>
      </c>
      <c r="C1829" s="23">
        <v>46096</v>
      </c>
      <c r="D1829" s="28" t="str">
        <f>_xlfn.XLOOKUP(Table134526_79101120212223242526[[#This Row],[Name Surname]],Manpower!$C$4:$C$1048576,Manpower!$B$4:$B$1048576,"")</f>
        <v>Encogroup</v>
      </c>
      <c r="E1829" s="23" t="s">
        <v>219</v>
      </c>
      <c r="F1829" s="12" t="e">
        <f>_xlfn.XLOOKUP(Table134526_79101120212223242526[[#This Row],[Name Surname]],Manpower!C:C,Manpower!D:D,)</f>
        <v>#N/A</v>
      </c>
      <c r="G1829" s="28" t="str">
        <f>_xlfn.XLOOKUP(Table134526_79101120212223242526[[#This Row],[Name Surname]],Manpower!$C$4:$C$1048576,Manpower!$F$4:$F$1048576,"")</f>
        <v>TOWER LIGHT</v>
      </c>
      <c r="H1829" s="28" t="str">
        <f>_xlfn.XLOOKUP(Table134526_79101120212223242526[[#This Row],[Name Surname]],Manpower!$C$4:$C$1048576,Manpower!$H$4:$H$1048576,"")</f>
        <v>Equipment</v>
      </c>
      <c r="I1829" s="28" t="str">
        <f>_xlfn.XLOOKUP(Table134526_79101120212223242526[[#This Row],[Name Surname]],Manpower!$C$4:$C$1048576,Manpower!$H$4:$H$1048576,"")</f>
        <v>Equipment</v>
      </c>
      <c r="J1829" s="21" t="s">
        <v>143</v>
      </c>
      <c r="K1829" s="21" t="s">
        <v>26</v>
      </c>
      <c r="L1829" s="21" t="s">
        <v>144</v>
      </c>
      <c r="M1829" s="21" t="s">
        <v>55</v>
      </c>
      <c r="N1829" s="29">
        <v>10</v>
      </c>
      <c r="R1829" s="21" t="s">
        <v>56</v>
      </c>
    </row>
    <row r="1830" spans="1:19" ht="14.4">
      <c r="A1830" s="33">
        <f>IF(C1830="","",MAX($A$1:A1829)+1)</f>
        <v>1723</v>
      </c>
      <c r="B1830" s="27" t="s">
        <v>141</v>
      </c>
      <c r="C1830" s="23">
        <v>46096</v>
      </c>
      <c r="D1830" s="28" t="str">
        <f>_xlfn.XLOOKUP(Table134526_79101120212223242526[[#This Row],[Name Surname]],Manpower!$C$4:$C$1048576,Manpower!$B$4:$B$1048576,"")</f>
        <v>Encogroup</v>
      </c>
      <c r="E1830" s="23" t="s">
        <v>220</v>
      </c>
      <c r="F1830" s="12" t="e">
        <f>_xlfn.XLOOKUP(Table134526_79101120212223242526[[#This Row],[Name Surname]],Manpower!C:C,Manpower!D:D,)</f>
        <v>#N/A</v>
      </c>
      <c r="G1830" s="28" t="str">
        <f>_xlfn.XLOOKUP(Table134526_79101120212223242526[[#This Row],[Name Surname]],Manpower!$C$4:$C$1048576,Manpower!$F$4:$F$1048576,"")</f>
        <v>TOWER LIGHT</v>
      </c>
      <c r="H1830" s="28" t="str">
        <f>_xlfn.XLOOKUP(Table134526_79101120212223242526[[#This Row],[Name Surname]],Manpower!$C$4:$C$1048576,Manpower!$H$4:$H$1048576,"")</f>
        <v>Equipment</v>
      </c>
      <c r="I1830" s="28" t="str">
        <f>_xlfn.XLOOKUP(Table134526_79101120212223242526[[#This Row],[Name Surname]],Manpower!$C$4:$C$1048576,Manpower!$H$4:$H$1048576,"")</f>
        <v>Equipment</v>
      </c>
      <c r="J1830" s="21" t="s">
        <v>143</v>
      </c>
      <c r="K1830" s="21" t="s">
        <v>26</v>
      </c>
      <c r="L1830" s="21" t="s">
        <v>144</v>
      </c>
      <c r="M1830" s="21" t="s">
        <v>55</v>
      </c>
      <c r="N1830" s="29">
        <v>10</v>
      </c>
      <c r="R1830" s="21" t="s">
        <v>56</v>
      </c>
    </row>
    <row r="1831" spans="1:19" ht="14.4" hidden="1">
      <c r="A1831" s="33">
        <f>IF(C1831="","",MAX($A$1:A1830)+1)</f>
        <v>1724</v>
      </c>
      <c r="B1831" s="27" t="s">
        <v>141</v>
      </c>
      <c r="C1831" s="23">
        <v>46096</v>
      </c>
      <c r="D1831" s="28" t="str">
        <f>_xlfn.XLOOKUP(Table134526_79101120212223242526[[#This Row],[Name Surname]],Manpower!$C$4:$C$1048576,Manpower!$B$4:$B$1048576,"")</f>
        <v>Encogroup</v>
      </c>
      <c r="E1831" s="21" t="s">
        <v>168</v>
      </c>
      <c r="F1831" s="12">
        <f>_xlfn.XLOOKUP(Table134526_79101120212223242526[[#This Row],[Name Surname]],Manpower!C:C,Manpower!D:D,)</f>
        <v>137114773</v>
      </c>
      <c r="G1831" s="28" t="str">
        <f>_xlfn.XLOOKUP(Table134526_79101120212223242526[[#This Row],[Name Surname]],Manpower!$C$4:$C$1048576,Manpower!$F$4:$F$1048576,"")</f>
        <v>Rigger</v>
      </c>
      <c r="H1831" s="28" t="str">
        <f>_xlfn.XLOOKUP(Table134526_79101120212223242526[[#This Row],[Name Surname]],Manpower!$C$4:$C$1048576,Manpower!$H$4:$H$1048576,"")</f>
        <v>Manpower</v>
      </c>
      <c r="I1831" s="28" t="str">
        <f>_xlfn.XLOOKUP(Table134526_79101120212223242526[[#This Row],[Name Surname]],Manpower!$C$4:$C$1048576,Manpower!$H$4:$H$1048576,"")</f>
        <v>Manpower</v>
      </c>
      <c r="J1831" s="21" t="s">
        <v>143</v>
      </c>
      <c r="K1831" s="21" t="s">
        <v>26</v>
      </c>
      <c r="L1831" s="21" t="s">
        <v>144</v>
      </c>
      <c r="M1831" s="21" t="s">
        <v>24</v>
      </c>
      <c r="N1831" s="29">
        <v>8</v>
      </c>
      <c r="O1831" s="21" t="s">
        <v>40</v>
      </c>
      <c r="P1831" s="21" t="s">
        <v>42</v>
      </c>
      <c r="Q1831" s="21" t="s">
        <v>42</v>
      </c>
      <c r="R1831" s="21" t="s">
        <v>317</v>
      </c>
    </row>
    <row r="1832" spans="1:19" s="45" customFormat="1" ht="14.4" hidden="1">
      <c r="A1832" s="25">
        <f>IF(C1832="","",MAX($A$1:A1831)+1)</f>
        <v>1725</v>
      </c>
      <c r="B1832" s="25" t="s">
        <v>141</v>
      </c>
      <c r="C1832" s="41">
        <v>46096</v>
      </c>
      <c r="D1832" s="48" t="str">
        <f>_xlfn.XLOOKUP(Table134526_79101120212223242526[[#This Row],[Name Surname]],Manpower!$C$4:$C$1048576,Manpower!$B$4:$B$1048576,"")</f>
        <v>Encogroup</v>
      </c>
      <c r="E1832" s="43" t="s">
        <v>222</v>
      </c>
      <c r="F1832" s="12">
        <f>_xlfn.XLOOKUP(Table134526_79101120212223242526[[#This Row],[Name Surname]],Manpower!C:C,Manpower!D:D,)</f>
        <v>122082863</v>
      </c>
      <c r="G1832" s="48" t="str">
        <f>_xlfn.XLOOKUP(Table134526_79101120212223242526[[#This Row],[Name Surname]],Manpower!$C$4:$C$1048576,Manpower!$F$4:$F$1048576,"")</f>
        <v>Grinder</v>
      </c>
      <c r="H1832" s="48" t="str">
        <f>_xlfn.XLOOKUP(Table134526_79101120212223242526[[#This Row],[Name Surname]],Manpower!$C$4:$C$1048576,Manpower!$H$4:$H$1048576,"")</f>
        <v>Manpower</v>
      </c>
      <c r="I1832" s="48" t="str">
        <f>_xlfn.XLOOKUP(Table134526_79101120212223242526[[#This Row],[Name Surname]],Manpower!$C$4:$C$1048576,Manpower!$H$4:$H$1048576,"")</f>
        <v>Manpower</v>
      </c>
      <c r="J1832" s="43" t="s">
        <v>143</v>
      </c>
      <c r="K1832" s="43" t="s">
        <v>26</v>
      </c>
      <c r="L1832" s="43" t="s">
        <v>144</v>
      </c>
      <c r="M1832" s="43" t="s">
        <v>24</v>
      </c>
      <c r="N1832" s="44">
        <v>10</v>
      </c>
      <c r="O1832" s="43" t="s">
        <v>40</v>
      </c>
      <c r="P1832" s="43" t="s">
        <v>42</v>
      </c>
      <c r="Q1832" s="43" t="s">
        <v>42</v>
      </c>
      <c r="R1832" s="43" t="s">
        <v>317</v>
      </c>
      <c r="S1832" s="43"/>
    </row>
    <row r="1833" spans="1:19" s="45" customFormat="1" ht="15" hidden="1" customHeight="1">
      <c r="A1833" s="25">
        <f>IF(C1833="","",MAX($A$1:A1832)+1)</f>
        <v>1726</v>
      </c>
      <c r="B1833" s="25" t="s">
        <v>141</v>
      </c>
      <c r="C1833" s="41">
        <v>46096</v>
      </c>
      <c r="D1833" s="48" t="str">
        <f>_xlfn.XLOOKUP(Table134526_79101120212223242526[[#This Row],[Name Surname]],Manpower!$C$4:$C$1048576,Manpower!$B$4:$B$1048576,"")</f>
        <v>Encogroup</v>
      </c>
      <c r="E1833" s="43" t="s">
        <v>223</v>
      </c>
      <c r="F1833" s="12">
        <f>_xlfn.XLOOKUP(Table134526_79101120212223242526[[#This Row],[Name Surname]],Manpower!C:C,Manpower!D:D,)</f>
        <v>140696989</v>
      </c>
      <c r="G1833" s="48" t="str">
        <f>_xlfn.XLOOKUP(Table134526_79101120212223242526[[#This Row],[Name Surname]],Manpower!$C$4:$C$1048576,Manpower!$F$4:$F$1048576,"")</f>
        <v>Assistant/Helper</v>
      </c>
      <c r="H1833" s="48" t="str">
        <f>_xlfn.XLOOKUP(Table134526_79101120212223242526[[#This Row],[Name Surname]],Manpower!$C$4:$C$1048576,Manpower!$H$4:$H$1048576,"")</f>
        <v>Manpower</v>
      </c>
      <c r="I1833" s="48" t="str">
        <f>_xlfn.XLOOKUP(Table134526_79101120212223242526[[#This Row],[Name Surname]],Manpower!$C$4:$C$1048576,Manpower!$H$4:$H$1048576,"")</f>
        <v>Manpower</v>
      </c>
      <c r="J1833" s="43" t="s">
        <v>158</v>
      </c>
      <c r="K1833" s="43" t="s">
        <v>26</v>
      </c>
      <c r="L1833" s="43" t="s">
        <v>26</v>
      </c>
      <c r="M1833" s="43" t="s">
        <v>24</v>
      </c>
      <c r="N1833" s="44">
        <v>10</v>
      </c>
      <c r="O1833" s="43" t="s">
        <v>159</v>
      </c>
      <c r="P1833" s="43" t="s">
        <v>160</v>
      </c>
      <c r="Q1833" s="43" t="s">
        <v>160</v>
      </c>
      <c r="R1833" s="43" t="s">
        <v>161</v>
      </c>
      <c r="S1833" s="43"/>
    </row>
    <row r="1834" spans="1:19" s="45" customFormat="1" ht="15" hidden="1" customHeight="1">
      <c r="A1834" s="25">
        <f>IF(C1834="","",MAX($A$1:A1833)+1)</f>
        <v>1727</v>
      </c>
      <c r="B1834" s="25" t="s">
        <v>141</v>
      </c>
      <c r="C1834" s="41">
        <v>46096</v>
      </c>
      <c r="D1834" s="48" t="str">
        <f>_xlfn.XLOOKUP(Table134526_79101120212223242526[[#This Row],[Name Surname]],Manpower!$C$4:$C$1048576,Manpower!$B$4:$B$1048576,"")</f>
        <v>Encogroup</v>
      </c>
      <c r="E1834" s="43" t="s">
        <v>218</v>
      </c>
      <c r="F1834" s="12">
        <f>_xlfn.XLOOKUP(Table134526_79101120212223242526[[#This Row],[Name Surname]],Manpower!C:C,Manpower!D:D,)</f>
        <v>116853914</v>
      </c>
      <c r="G1834" s="48" t="str">
        <f>_xlfn.XLOOKUP(Table134526_79101120212223242526[[#This Row],[Name Surname]],Manpower!$C$4:$C$1048576,Manpower!$F$4:$F$1048576,"")</f>
        <v>Electrical Supervisor</v>
      </c>
      <c r="H1834" s="48" t="str">
        <f>_xlfn.XLOOKUP(Table134526_79101120212223242526[[#This Row],[Name Surname]],Manpower!$C$4:$C$1048576,Manpower!$H$4:$H$1048576,"")</f>
        <v>Manpower</v>
      </c>
      <c r="I1834" s="48" t="str">
        <f>_xlfn.XLOOKUP(Table134526_79101120212223242526[[#This Row],[Name Surname]],Manpower!$C$4:$C$1048576,Manpower!$H$4:$H$1048576,"")</f>
        <v>Manpower</v>
      </c>
      <c r="J1834" s="43" t="s">
        <v>158</v>
      </c>
      <c r="K1834" s="43" t="s">
        <v>26</v>
      </c>
      <c r="L1834" s="43" t="s">
        <v>26</v>
      </c>
      <c r="M1834" s="43" t="s">
        <v>24</v>
      </c>
      <c r="N1834" s="44">
        <v>10</v>
      </c>
      <c r="O1834" s="43" t="s">
        <v>159</v>
      </c>
      <c r="P1834" s="43" t="s">
        <v>160</v>
      </c>
      <c r="Q1834" s="43" t="s">
        <v>160</v>
      </c>
      <c r="R1834" s="43" t="s">
        <v>161</v>
      </c>
      <c r="S1834" s="43"/>
    </row>
    <row r="1835" spans="1:19" s="45" customFormat="1" ht="14.4" hidden="1">
      <c r="A1835" s="25">
        <f>IF(C1835="","",MAX($A$1:A1834)+1)</f>
        <v>1728</v>
      </c>
      <c r="B1835" s="25" t="s">
        <v>141</v>
      </c>
      <c r="C1835" s="41">
        <v>46096</v>
      </c>
      <c r="D1835" s="48" t="str">
        <f>_xlfn.XLOOKUP(Table134526_79101120212223242526[[#This Row],[Name Surname]],Manpower!$C$4:$C$1048576,Manpower!$B$4:$B$1048576,"")</f>
        <v>Encogroup</v>
      </c>
      <c r="E1835" s="43" t="s">
        <v>209</v>
      </c>
      <c r="F1835" s="12">
        <f>_xlfn.XLOOKUP(Table134526_79101120212223242526[[#This Row],[Name Surname]],Manpower!C:C,Manpower!D:D,)</f>
        <v>141365164</v>
      </c>
      <c r="G1835" s="48" t="str">
        <f>_xlfn.XLOOKUP(Table134526_79101120212223242526[[#This Row],[Name Surname]],Manpower!$C$4:$C$1048576,Manpower!$F$4:$F$1048576,"")</f>
        <v>Helper</v>
      </c>
      <c r="H1835" s="48" t="str">
        <f>_xlfn.XLOOKUP(Table134526_79101120212223242526[[#This Row],[Name Surname]],Manpower!$C$4:$C$1048576,Manpower!$H$4:$H$1048576,"")</f>
        <v>Manpower</v>
      </c>
      <c r="I1835" s="48" t="str">
        <f>_xlfn.XLOOKUP(Table134526_79101120212223242526[[#This Row],[Name Surname]],Manpower!$C$4:$C$1048576,Manpower!$H$4:$H$1048576,"")</f>
        <v>Manpower</v>
      </c>
      <c r="J1835" s="43" t="s">
        <v>143</v>
      </c>
      <c r="K1835" s="43" t="s">
        <v>26</v>
      </c>
      <c r="L1835" s="43" t="s">
        <v>144</v>
      </c>
      <c r="M1835" s="43" t="s">
        <v>24</v>
      </c>
      <c r="N1835" s="44">
        <v>10</v>
      </c>
      <c r="O1835" s="43" t="s">
        <v>40</v>
      </c>
      <c r="P1835" s="43" t="s">
        <v>42</v>
      </c>
      <c r="Q1835" s="43" t="s">
        <v>42</v>
      </c>
      <c r="R1835" s="43" t="s">
        <v>317</v>
      </c>
      <c r="S1835" s="43"/>
    </row>
    <row r="1836" spans="1:19" s="45" customFormat="1" ht="15.6" hidden="1" customHeight="1">
      <c r="A1836" s="25">
        <f>IF(C1836="","",MAX($A$1:A1835)+1)</f>
        <v>1729</v>
      </c>
      <c r="B1836" s="25" t="s">
        <v>141</v>
      </c>
      <c r="C1836" s="41">
        <v>46096</v>
      </c>
      <c r="D1836" s="48" t="str">
        <f>_xlfn.XLOOKUP(Table134526_79101120212223242526[[#This Row],[Name Surname]],Manpower!$C$4:$C$1048576,Manpower!$B$4:$B$1048576,"")</f>
        <v>Encogroup</v>
      </c>
      <c r="E1836" s="43" t="s">
        <v>264</v>
      </c>
      <c r="F1836" s="12">
        <f>_xlfn.XLOOKUP(Table134526_79101120212223242526[[#This Row],[Name Surname]],Manpower!C:C,Manpower!D:D,)</f>
        <v>141365061</v>
      </c>
      <c r="G1836" s="48" t="str">
        <f>_xlfn.XLOOKUP(Table134526_79101120212223242526[[#This Row],[Name Surname]],Manpower!$C$4:$C$1048576,Manpower!$F$4:$F$1048576,"")</f>
        <v>Helper</v>
      </c>
      <c r="H1836" s="48" t="str">
        <f>_xlfn.XLOOKUP(Table134526_79101120212223242526[[#This Row],[Name Surname]],Manpower!$C$4:$C$1048576,Manpower!$H$4:$H$1048576,"")</f>
        <v>Manpower</v>
      </c>
      <c r="I1836" s="48" t="str">
        <f>_xlfn.XLOOKUP(Table134526_79101120212223242526[[#This Row],[Name Surname]],Manpower!$C$4:$C$1048576,Manpower!$H$4:$H$1048576,"")</f>
        <v>Manpower</v>
      </c>
      <c r="J1836" s="43" t="s">
        <v>143</v>
      </c>
      <c r="K1836" s="43" t="s">
        <v>26</v>
      </c>
      <c r="L1836" s="43" t="s">
        <v>144</v>
      </c>
      <c r="M1836" s="43" t="s">
        <v>24</v>
      </c>
      <c r="N1836" s="44">
        <v>10</v>
      </c>
      <c r="O1836" s="43" t="s">
        <v>40</v>
      </c>
      <c r="P1836" s="43" t="s">
        <v>42</v>
      </c>
      <c r="Q1836" s="43" t="s">
        <v>42</v>
      </c>
      <c r="R1836" s="43" t="s">
        <v>317</v>
      </c>
      <c r="S1836" s="43"/>
    </row>
    <row r="1837" spans="1:19" s="45" customFormat="1" ht="14.4" hidden="1">
      <c r="A1837" s="25">
        <f>IF(C1837="","",MAX($A$1:A1836)+1)</f>
        <v>1730</v>
      </c>
      <c r="B1837" s="25" t="s">
        <v>141</v>
      </c>
      <c r="C1837" s="41">
        <v>46096</v>
      </c>
      <c r="D1837" s="48" t="str">
        <f>_xlfn.XLOOKUP(Table134526_79101120212223242526[[#This Row],[Name Surname]],Manpower!$C$4:$C$1048576,Manpower!$B$4:$B$1048576,"")</f>
        <v>Encogroup</v>
      </c>
      <c r="E1837" s="43" t="s">
        <v>224</v>
      </c>
      <c r="F1837" s="12">
        <f>_xlfn.XLOOKUP(Table134526_79101120212223242526[[#This Row],[Name Surname]],Manpower!C:C,Manpower!D:D,)</f>
        <v>141365094</v>
      </c>
      <c r="G1837" s="48" t="str">
        <f>_xlfn.XLOOKUP(Table134526_79101120212223242526[[#This Row],[Name Surname]],Manpower!$C$4:$C$1048576,Manpower!$F$4:$F$1048576,"")</f>
        <v>Helper</v>
      </c>
      <c r="H1837" s="48" t="str">
        <f>_xlfn.XLOOKUP(Table134526_79101120212223242526[[#This Row],[Name Surname]],Manpower!$C$4:$C$1048576,Manpower!$H$4:$H$1048576,"")</f>
        <v>Manpower</v>
      </c>
      <c r="I1837" s="48" t="str">
        <f>_xlfn.XLOOKUP(Table134526_79101120212223242526[[#This Row],[Name Surname]],Manpower!$C$4:$C$1048576,Manpower!$H$4:$H$1048576,"")</f>
        <v>Manpower</v>
      </c>
      <c r="J1837" s="43" t="s">
        <v>143</v>
      </c>
      <c r="K1837" s="43" t="s">
        <v>26</v>
      </c>
      <c r="L1837" s="43" t="s">
        <v>144</v>
      </c>
      <c r="M1837" s="43" t="s">
        <v>24</v>
      </c>
      <c r="N1837" s="44">
        <v>10</v>
      </c>
      <c r="O1837" s="43" t="s">
        <v>40</v>
      </c>
      <c r="P1837" s="43" t="s">
        <v>42</v>
      </c>
      <c r="Q1837" s="43" t="s">
        <v>42</v>
      </c>
      <c r="R1837" s="43" t="s">
        <v>317</v>
      </c>
      <c r="S1837" s="43"/>
    </row>
    <row r="1838" spans="1:19" s="45" customFormat="1" ht="14.4" hidden="1">
      <c r="A1838" s="25">
        <f>IF(C1838="","",MAX($A$1:A1837)+1)</f>
        <v>1731</v>
      </c>
      <c r="B1838" s="25" t="s">
        <v>141</v>
      </c>
      <c r="C1838" s="41">
        <v>46096</v>
      </c>
      <c r="D1838" s="48" t="str">
        <f>_xlfn.XLOOKUP(Table134526_79101120212223242526[[#This Row],[Name Surname]],Manpower!$C$4:$C$1048576,Manpower!$B$4:$B$1048576,"")</f>
        <v xml:space="preserve">FAL Transport </v>
      </c>
      <c r="E1838" s="43" t="s">
        <v>225</v>
      </c>
      <c r="F1838" s="12">
        <f>_xlfn.XLOOKUP(Table134526_79101120212223242526[[#This Row],[Name Surname]],Manpower!C:C,Manpower!D:D,)</f>
        <v>124233837</v>
      </c>
      <c r="G1838" s="48" t="str">
        <f>_xlfn.XLOOKUP(Table134526_79101120212223242526[[#This Row],[Name Surname]],Manpower!$C$4:$C$1048576,Manpower!$F$4:$F$1048576,"")</f>
        <v>Trailer Driver</v>
      </c>
      <c r="H1838" s="48" t="str">
        <f>_xlfn.XLOOKUP(Table134526_79101120212223242526[[#This Row],[Name Surname]],Manpower!$C$4:$C$1048576,Manpower!$H$4:$H$1048576,"")</f>
        <v>Sub Contactor</v>
      </c>
      <c r="I1838" s="48" t="str">
        <f>_xlfn.XLOOKUP(Table134526_79101120212223242526[[#This Row],[Name Surname]],Manpower!$C$4:$C$1048576,Manpower!$H$4:$H$1048576,"")</f>
        <v>Sub Contactor</v>
      </c>
      <c r="J1838" s="43" t="s">
        <v>143</v>
      </c>
      <c r="K1838" s="43" t="s">
        <v>26</v>
      </c>
      <c r="L1838" s="43" t="s">
        <v>144</v>
      </c>
      <c r="M1838" s="43" t="s">
        <v>24</v>
      </c>
      <c r="N1838" s="44">
        <v>8</v>
      </c>
      <c r="O1838" s="43" t="s">
        <v>40</v>
      </c>
      <c r="P1838" s="43" t="s">
        <v>42</v>
      </c>
      <c r="Q1838" s="43" t="s">
        <v>42</v>
      </c>
      <c r="R1838" s="43" t="s">
        <v>226</v>
      </c>
      <c r="S1838" s="43" t="s">
        <v>245</v>
      </c>
    </row>
    <row r="1839" spans="1:19" ht="14.4">
      <c r="A1839" s="33">
        <f>IF(C1839="","",MAX($A$1:A1838)+1)</f>
        <v>1732</v>
      </c>
      <c r="B1839" s="22" t="s">
        <v>19</v>
      </c>
      <c r="C1839" s="23">
        <v>46097</v>
      </c>
      <c r="D1839" s="28" t="str">
        <f>_xlfn.XLOOKUP(Table134526_79101120212223242526[[#This Row],[Name Surname]],Manpower!$C$4:$C$1048576,Manpower!$B$4:$B$1048576,"")</f>
        <v>Nass Group</v>
      </c>
      <c r="E1839" s="21" t="s">
        <v>148</v>
      </c>
      <c r="F1839" s="12" t="e">
        <f>_xlfn.XLOOKUP(Table134526_79101120212223242526[[#This Row],[Name Surname]],Manpower!C:C,Manpower!D:D,)</f>
        <v>#N/A</v>
      </c>
      <c r="G1839" s="28" t="str">
        <f>_xlfn.XLOOKUP(Table134526_79101120212223242526[[#This Row],[Name Surname]],Manpower!$C$4:$C$1048576,Manpower!$F$4:$F$1048576,"")</f>
        <v>70T-Telescopic crane</v>
      </c>
      <c r="H1839" s="28" t="str">
        <f>_xlfn.XLOOKUP(Table134526_79101120212223242526[[#This Row],[Name Surname]],Manpower!$C$4:$C$1048576,Manpower!$H$4:$H$1048576,"")</f>
        <v>Equipment</v>
      </c>
      <c r="I1839" s="28" t="str">
        <f>_xlfn.XLOOKUP(Table134526_79101120212223242526[[#This Row],[Name Surname]],Manpower!$C$4:$C$1048576,Manpower!$H$4:$H$1048576,"")</f>
        <v>Equipment</v>
      </c>
      <c r="J1839" s="21" t="s">
        <v>21</v>
      </c>
      <c r="K1839" s="21" t="s">
        <v>231</v>
      </c>
      <c r="L1839" s="21" t="s">
        <v>49</v>
      </c>
      <c r="M1839" s="21" t="s">
        <v>55</v>
      </c>
      <c r="N1839" s="29">
        <v>10</v>
      </c>
      <c r="R1839" s="21" t="s">
        <v>319</v>
      </c>
    </row>
    <row r="1840" spans="1:19" s="45" customFormat="1" ht="14.4" hidden="1">
      <c r="A1840" s="25">
        <f>IF(C1840="","",MAX($A$1:A1839)+1)</f>
        <v>1733</v>
      </c>
      <c r="B1840" s="25" t="s">
        <v>19</v>
      </c>
      <c r="C1840" s="41">
        <v>46097</v>
      </c>
      <c r="D1840" s="48" t="str">
        <f>_xlfn.XLOOKUP(Table134526_79101120212223242526[[#This Row],[Name Surname]],Manpower!$C$4:$C$1048576,Manpower!$B$4:$B$1048576,"")</f>
        <v>Encogroup</v>
      </c>
      <c r="E1840" s="43" t="s">
        <v>27</v>
      </c>
      <c r="F1840" s="12">
        <f>_xlfn.XLOOKUP(Table134526_79101120212223242526[[#This Row],[Name Surname]],Manpower!C:C,Manpower!D:D,)</f>
        <v>127414586</v>
      </c>
      <c r="G1840" s="48" t="str">
        <f>_xlfn.XLOOKUP(Table134526_79101120212223242526[[#This Row],[Name Surname]],Manpower!$C$4:$C$1048576,Manpower!$F$4:$F$1048576,"")</f>
        <v>Electrician</v>
      </c>
      <c r="H1840" s="48" t="str">
        <f>_xlfn.XLOOKUP(Table134526_79101120212223242526[[#This Row],[Name Surname]],Manpower!$C$4:$C$1048576,Manpower!$H$4:$H$1048576,"")</f>
        <v>Manpower</v>
      </c>
      <c r="I1840" s="48" t="str">
        <f>_xlfn.XLOOKUP(Table134526_79101120212223242526[[#This Row],[Name Surname]],Manpower!$C$4:$C$1048576,Manpower!$H$4:$H$1048576,"")</f>
        <v>Manpower</v>
      </c>
      <c r="J1840" s="43" t="s">
        <v>21</v>
      </c>
      <c r="K1840" s="43" t="s">
        <v>231</v>
      </c>
      <c r="L1840" s="43" t="s">
        <v>49</v>
      </c>
      <c r="M1840" s="43" t="s">
        <v>24</v>
      </c>
      <c r="N1840" s="44">
        <v>5</v>
      </c>
      <c r="O1840" s="43" t="s">
        <v>28</v>
      </c>
      <c r="P1840" s="43" t="s">
        <v>41</v>
      </c>
      <c r="Q1840" s="43" t="s">
        <v>58</v>
      </c>
      <c r="R1840" s="43" t="s">
        <v>320</v>
      </c>
      <c r="S1840" s="43" t="s">
        <v>274</v>
      </c>
    </row>
    <row r="1841" spans="1:19" s="45" customFormat="1" ht="14.4" hidden="1">
      <c r="A1841" s="25">
        <f>IF(C1841="","",MAX($A$1:A1840)+1)</f>
        <v>1734</v>
      </c>
      <c r="B1841" s="25" t="s">
        <v>19</v>
      </c>
      <c r="C1841" s="41">
        <v>46097</v>
      </c>
      <c r="D1841" s="48" t="str">
        <f>_xlfn.XLOOKUP(Table134526_79101120212223242526[[#This Row],[Name Surname]],Manpower!$C$4:$C$1048576,Manpower!$B$4:$B$1048576,"")</f>
        <v>Encogroup</v>
      </c>
      <c r="E1841" s="43" t="s">
        <v>29</v>
      </c>
      <c r="F1841" s="12">
        <f>_xlfn.XLOOKUP(Table134526_79101120212223242526[[#This Row],[Name Surname]],Manpower!C:C,Manpower!D:D,)</f>
        <v>127331574</v>
      </c>
      <c r="G1841" s="48" t="str">
        <f>_xlfn.XLOOKUP(Table134526_79101120212223242526[[#This Row],[Name Surname]],Manpower!$C$4:$C$1048576,Manpower!$F$4:$F$1048576,"")</f>
        <v>Permit Receiver</v>
      </c>
      <c r="H1841" s="48" t="str">
        <f>_xlfn.XLOOKUP(Table134526_79101120212223242526[[#This Row],[Name Surname]],Manpower!$C$4:$C$1048576,Manpower!$H$4:$H$1048576,"")</f>
        <v>Manpower</v>
      </c>
      <c r="I1841" s="48" t="str">
        <f>_xlfn.XLOOKUP(Table134526_79101120212223242526[[#This Row],[Name Surname]],Manpower!$C$4:$C$1048576,Manpower!$H$4:$H$1048576,"")</f>
        <v>Manpower</v>
      </c>
      <c r="J1841" s="43" t="s">
        <v>21</v>
      </c>
      <c r="K1841" s="43" t="s">
        <v>231</v>
      </c>
      <c r="L1841" s="43" t="s">
        <v>49</v>
      </c>
      <c r="M1841" s="43" t="s">
        <v>24</v>
      </c>
      <c r="N1841" s="44">
        <v>8</v>
      </c>
      <c r="O1841" s="43" t="s">
        <v>25</v>
      </c>
      <c r="P1841" s="43" t="s">
        <v>41</v>
      </c>
      <c r="Q1841" s="43" t="s">
        <v>60</v>
      </c>
      <c r="R1841" s="43" t="s">
        <v>320</v>
      </c>
      <c r="S1841" s="43"/>
    </row>
    <row r="1842" spans="1:19" s="45" customFormat="1" ht="14.4" hidden="1">
      <c r="A1842" s="25">
        <f>IF(C1842="","",MAX($A$1:A1841)+1)</f>
        <v>1735</v>
      </c>
      <c r="B1842" s="25" t="s">
        <v>19</v>
      </c>
      <c r="C1842" s="41">
        <v>46097</v>
      </c>
      <c r="D1842" s="48" t="str">
        <f>_xlfn.XLOOKUP(Table134526_79101120212223242526[[#This Row],[Name Surname]],Manpower!$C$4:$C$1048576,Manpower!$B$4:$B$1048576,"")</f>
        <v>Encogroup</v>
      </c>
      <c r="E1842" s="43" t="s">
        <v>30</v>
      </c>
      <c r="F1842" s="12">
        <f>_xlfn.XLOOKUP(Table134526_79101120212223242526[[#This Row],[Name Surname]],Manpower!C:C,Manpower!D:D,)</f>
        <v>116589569</v>
      </c>
      <c r="G1842" s="48" t="str">
        <f>_xlfn.XLOOKUP(Table134526_79101120212223242526[[#This Row],[Name Surname]],Manpower!$C$4:$C$1048576,Manpower!$F$4:$F$1048576,"")</f>
        <v>Mechanical Engineer</v>
      </c>
      <c r="H1842" s="48" t="str">
        <f>_xlfn.XLOOKUP(Table134526_79101120212223242526[[#This Row],[Name Surname]],Manpower!$C$4:$C$1048576,Manpower!$H$4:$H$1048576,"")</f>
        <v>Manpower</v>
      </c>
      <c r="I1842" s="48" t="str">
        <f>_xlfn.XLOOKUP(Table134526_79101120212223242526[[#This Row],[Name Surname]],Manpower!$C$4:$C$1048576,Manpower!$H$4:$H$1048576,"")</f>
        <v>Manpower</v>
      </c>
      <c r="J1842" s="43" t="s">
        <v>21</v>
      </c>
      <c r="K1842" s="43" t="s">
        <v>231</v>
      </c>
      <c r="L1842" s="43" t="s">
        <v>49</v>
      </c>
      <c r="M1842" s="43" t="s">
        <v>24</v>
      </c>
      <c r="N1842" s="44">
        <v>10</v>
      </c>
      <c r="O1842" s="43" t="s">
        <v>25</v>
      </c>
      <c r="P1842" s="43" t="s">
        <v>41</v>
      </c>
      <c r="Q1842" s="43" t="s">
        <v>60</v>
      </c>
      <c r="R1842" s="43" t="s">
        <v>320</v>
      </c>
      <c r="S1842" s="43"/>
    </row>
    <row r="1843" spans="1:19" ht="14.4" hidden="1">
      <c r="A1843" s="33">
        <f>IF(C1843="","",MAX($A$1:A1842)+1)</f>
        <v>1736</v>
      </c>
      <c r="B1843" s="22" t="s">
        <v>19</v>
      </c>
      <c r="C1843" s="23">
        <v>46097</v>
      </c>
      <c r="D1843" s="28" t="str">
        <f>_xlfn.XLOOKUP(Table134526_79101120212223242526[[#This Row],[Name Surname]],Manpower!$C$4:$C$1048576,Manpower!$B$4:$B$1048576,"")</f>
        <v>Encogroup</v>
      </c>
      <c r="E1843" s="21" t="s">
        <v>31</v>
      </c>
      <c r="F1843" s="12">
        <f>_xlfn.XLOOKUP(Table134526_79101120212223242526[[#This Row],[Name Surname]],Manpower!C:C,Manpower!D:D,)</f>
        <v>99596058</v>
      </c>
      <c r="G1843" s="28" t="str">
        <f>_xlfn.XLOOKUP(Table134526_79101120212223242526[[#This Row],[Name Surname]],Manpower!$C$4:$C$1048576,Manpower!$F$4:$F$1048576,"")</f>
        <v>HSE Officer</v>
      </c>
      <c r="H1843" s="28" t="str">
        <f>_xlfn.XLOOKUP(Table134526_79101120212223242526[[#This Row],[Name Surname]],Manpower!$C$4:$C$1048576,Manpower!$H$4:$H$1048576,"")</f>
        <v>Manpower</v>
      </c>
      <c r="I1843" s="28" t="str">
        <f>_xlfn.XLOOKUP(Table134526_79101120212223242526[[#This Row],[Name Surname]],Manpower!$C$4:$C$1048576,Manpower!$H$4:$H$1048576,"")</f>
        <v>Manpower</v>
      </c>
      <c r="J1843" s="21" t="s">
        <v>21</v>
      </c>
      <c r="K1843" s="21" t="s">
        <v>231</v>
      </c>
      <c r="L1843" s="21" t="s">
        <v>49</v>
      </c>
      <c r="M1843" s="21" t="s">
        <v>24</v>
      </c>
      <c r="N1843" s="29">
        <v>10</v>
      </c>
      <c r="O1843" s="21" t="s">
        <v>25</v>
      </c>
      <c r="P1843" s="21" t="s">
        <v>41</v>
      </c>
      <c r="Q1843" s="21" t="s">
        <v>60</v>
      </c>
      <c r="R1843" s="21" t="s">
        <v>320</v>
      </c>
    </row>
    <row r="1844" spans="1:19" s="45" customFormat="1" ht="14.4" hidden="1">
      <c r="A1844" s="25">
        <f>IF(C1844="","",MAX($A$1:A1843)+1)</f>
        <v>1737</v>
      </c>
      <c r="B1844" s="25" t="s">
        <v>19</v>
      </c>
      <c r="C1844" s="41">
        <v>46097</v>
      </c>
      <c r="D1844" s="48" t="str">
        <f>_xlfn.XLOOKUP(Table134526_79101120212223242526[[#This Row],[Name Surname]],Manpower!$C$4:$C$1048576,Manpower!$B$4:$B$1048576,"")</f>
        <v>Encogroup</v>
      </c>
      <c r="E1844" s="43" t="s">
        <v>72</v>
      </c>
      <c r="F1844" s="12">
        <f>_xlfn.XLOOKUP(Table134526_79101120212223242526[[#This Row],[Name Surname]],Manpower!C:C,Manpower!D:D,)</f>
        <v>140764706</v>
      </c>
      <c r="G1844" s="48" t="str">
        <f>_xlfn.XLOOKUP(Table134526_79101120212223242526[[#This Row],[Name Surname]],Manpower!$C$4:$C$1048576,Manpower!$F$4:$F$1048576,"")</f>
        <v>Rigger</v>
      </c>
      <c r="H1844" s="48" t="str">
        <f>_xlfn.XLOOKUP(Table134526_79101120212223242526[[#This Row],[Name Surname]],Manpower!$C$4:$C$1048576,Manpower!$H$4:$H$1048576,"")</f>
        <v>Manpower</v>
      </c>
      <c r="I1844" s="48" t="str">
        <f>_xlfn.XLOOKUP(Table134526_79101120212223242526[[#This Row],[Name Surname]],Manpower!$C$4:$C$1048576,Manpower!$H$4:$H$1048576,"")</f>
        <v>Manpower</v>
      </c>
      <c r="J1844" s="43" t="s">
        <v>21</v>
      </c>
      <c r="K1844" s="43" t="s">
        <v>231</v>
      </c>
      <c r="L1844" s="43" t="s">
        <v>49</v>
      </c>
      <c r="M1844" s="43" t="s">
        <v>24</v>
      </c>
      <c r="N1844" s="44">
        <v>5</v>
      </c>
      <c r="O1844" s="43" t="s">
        <v>25</v>
      </c>
      <c r="P1844" s="43" t="s">
        <v>41</v>
      </c>
      <c r="Q1844" s="43" t="s">
        <v>60</v>
      </c>
      <c r="R1844" s="43" t="s">
        <v>320</v>
      </c>
      <c r="S1844" s="43"/>
    </row>
    <row r="1845" spans="1:19" s="45" customFormat="1" ht="14.4" hidden="1">
      <c r="A1845" s="25">
        <f>IF(C1845="","",MAX($A$1:A1844)+1)</f>
        <v>1738</v>
      </c>
      <c r="B1845" s="25" t="s">
        <v>19</v>
      </c>
      <c r="C1845" s="41">
        <v>46097</v>
      </c>
      <c r="D1845" s="48" t="str">
        <f>_xlfn.XLOOKUP(Table134526_79101120212223242526[[#This Row],[Name Surname]],Manpower!$C$4:$C$1048576,Manpower!$B$4:$B$1048576,"")</f>
        <v>Encogroup</v>
      </c>
      <c r="E1845" s="43" t="s">
        <v>59</v>
      </c>
      <c r="F1845" s="12">
        <f>_xlfn.XLOOKUP(Table134526_79101120212223242526[[#This Row],[Name Surname]],Manpower!C:C,Manpower!D:D,)</f>
        <v>141169085</v>
      </c>
      <c r="G1845" s="48" t="str">
        <f>_xlfn.XLOOKUP(Table134526_79101120212223242526[[#This Row],[Name Surname]],Manpower!$C$4:$C$1048576,Manpower!$F$4:$F$1048576,"")</f>
        <v>Welder</v>
      </c>
      <c r="H1845" s="48" t="str">
        <f>_xlfn.XLOOKUP(Table134526_79101120212223242526[[#This Row],[Name Surname]],Manpower!$C$4:$C$1048576,Manpower!$H$4:$H$1048576,"")</f>
        <v>Manpower</v>
      </c>
      <c r="I1845" s="48" t="str">
        <f>_xlfn.XLOOKUP(Table134526_79101120212223242526[[#This Row],[Name Surname]],Manpower!$C$4:$C$1048576,Manpower!$H$4:$H$1048576,"")</f>
        <v>Manpower</v>
      </c>
      <c r="J1845" s="43" t="s">
        <v>21</v>
      </c>
      <c r="K1845" s="43" t="s">
        <v>231</v>
      </c>
      <c r="L1845" s="43" t="s">
        <v>49</v>
      </c>
      <c r="M1845" s="43" t="s">
        <v>24</v>
      </c>
      <c r="N1845" s="44">
        <v>5</v>
      </c>
      <c r="O1845" s="43" t="s">
        <v>25</v>
      </c>
      <c r="P1845" s="43" t="s">
        <v>41</v>
      </c>
      <c r="Q1845" s="43" t="s">
        <v>60</v>
      </c>
      <c r="R1845" s="43" t="s">
        <v>320</v>
      </c>
      <c r="S1845" s="43"/>
    </row>
    <row r="1846" spans="1:19" s="45" customFormat="1" ht="14.4" hidden="1">
      <c r="A1846" s="25">
        <f>IF(C1846="","",MAX($A$1:A1845)+1)</f>
        <v>1739</v>
      </c>
      <c r="B1846" s="25" t="s">
        <v>19</v>
      </c>
      <c r="C1846" s="41">
        <v>46097</v>
      </c>
      <c r="D1846" s="48" t="str">
        <f>_xlfn.XLOOKUP(Table134526_79101120212223242526[[#This Row],[Name Surname]],Manpower!$C$4:$C$1048576,Manpower!$B$4:$B$1048576,"")</f>
        <v>Encogroup</v>
      </c>
      <c r="E1846" s="43" t="s">
        <v>61</v>
      </c>
      <c r="F1846" s="12">
        <f>_xlfn.XLOOKUP(Table134526_79101120212223242526[[#This Row],[Name Surname]],Manpower!C:C,Manpower!D:D,)</f>
        <v>141169047</v>
      </c>
      <c r="G1846" s="48" t="str">
        <f>_xlfn.XLOOKUP(Table134526_79101120212223242526[[#This Row],[Name Surname]],Manpower!$C$4:$C$1048576,Manpower!$F$4:$F$1048576,"")</f>
        <v>Welder</v>
      </c>
      <c r="H1846" s="48" t="str">
        <f>_xlfn.XLOOKUP(Table134526_79101120212223242526[[#This Row],[Name Surname]],Manpower!$C$4:$C$1048576,Manpower!$H$4:$H$1048576,"")</f>
        <v>Manpower</v>
      </c>
      <c r="I1846" s="48" t="str">
        <f>_xlfn.XLOOKUP(Table134526_79101120212223242526[[#This Row],[Name Surname]],Manpower!$C$4:$C$1048576,Manpower!$H$4:$H$1048576,"")</f>
        <v>Manpower</v>
      </c>
      <c r="J1846" s="43" t="s">
        <v>21</v>
      </c>
      <c r="K1846" s="43" t="s">
        <v>231</v>
      </c>
      <c r="L1846" s="43" t="s">
        <v>49</v>
      </c>
      <c r="M1846" s="43" t="s">
        <v>24</v>
      </c>
      <c r="N1846" s="44">
        <v>5</v>
      </c>
      <c r="O1846" s="43" t="s">
        <v>25</v>
      </c>
      <c r="P1846" s="43" t="s">
        <v>41</v>
      </c>
      <c r="Q1846" s="43" t="s">
        <v>60</v>
      </c>
      <c r="R1846" s="43" t="s">
        <v>320</v>
      </c>
      <c r="S1846" s="43"/>
    </row>
    <row r="1847" spans="1:19" s="45" customFormat="1" ht="14.4" hidden="1">
      <c r="A1847" s="25">
        <f>IF(C1847="","",MAX($A$1:A1846)+1)</f>
        <v>1740</v>
      </c>
      <c r="B1847" s="25" t="s">
        <v>19</v>
      </c>
      <c r="C1847" s="41">
        <v>46097</v>
      </c>
      <c r="D1847" s="48" t="str">
        <f>_xlfn.XLOOKUP(Table134526_79101120212223242526[[#This Row],[Name Surname]],Manpower!$C$4:$C$1048576,Manpower!$B$4:$B$1048576,"")</f>
        <v>Encogroup</v>
      </c>
      <c r="E1847" s="43" t="s">
        <v>32</v>
      </c>
      <c r="F1847" s="12">
        <f>_xlfn.XLOOKUP(Table134526_79101120212223242526[[#This Row],[Name Surname]],Manpower!C:C,Manpower!D:D,)</f>
        <v>140697039</v>
      </c>
      <c r="G1847" s="48" t="str">
        <f>_xlfn.XLOOKUP(Table134526_79101120212223242526[[#This Row],[Name Surname]],Manpower!$C$4:$C$1048576,Manpower!$F$4:$F$1048576,"")</f>
        <v>Fitter/Erector</v>
      </c>
      <c r="H1847" s="48" t="str">
        <f>_xlfn.XLOOKUP(Table134526_79101120212223242526[[#This Row],[Name Surname]],Manpower!$C$4:$C$1048576,Manpower!$H$4:$H$1048576,"")</f>
        <v>Manpower</v>
      </c>
      <c r="I1847" s="48" t="str">
        <f>_xlfn.XLOOKUP(Table134526_79101120212223242526[[#This Row],[Name Surname]],Manpower!$C$4:$C$1048576,Manpower!$H$4:$H$1048576,"")</f>
        <v>Manpower</v>
      </c>
      <c r="J1847" s="43" t="s">
        <v>21</v>
      </c>
      <c r="K1847" s="43" t="s">
        <v>231</v>
      </c>
      <c r="L1847" s="43" t="s">
        <v>49</v>
      </c>
      <c r="M1847" s="43" t="s">
        <v>24</v>
      </c>
      <c r="N1847" s="44">
        <v>10</v>
      </c>
      <c r="O1847" s="43" t="s">
        <v>25</v>
      </c>
      <c r="P1847" s="43" t="s">
        <v>41</v>
      </c>
      <c r="Q1847" s="43" t="s">
        <v>60</v>
      </c>
      <c r="R1847" s="43" t="s">
        <v>320</v>
      </c>
      <c r="S1847" s="43" t="s">
        <v>274</v>
      </c>
    </row>
    <row r="1848" spans="1:19" s="45" customFormat="1" ht="14.4" hidden="1">
      <c r="A1848" s="25">
        <f>IF(C1848="","",MAX($A$1:A1847)+1)</f>
        <v>1741</v>
      </c>
      <c r="B1848" s="25" t="s">
        <v>19</v>
      </c>
      <c r="C1848" s="41">
        <v>46097</v>
      </c>
      <c r="D1848" s="48" t="str">
        <f>_xlfn.XLOOKUP(Table134526_79101120212223242526[[#This Row],[Name Surname]],Manpower!$C$4:$C$1048576,Manpower!$B$4:$B$1048576,"")</f>
        <v>AL Omar International TRAD AND CONT</v>
      </c>
      <c r="E1848" s="43" t="s">
        <v>36</v>
      </c>
      <c r="F1848" s="12">
        <f>_xlfn.XLOOKUP(Table134526_79101120212223242526[[#This Row],[Name Surname]],Manpower!C:C,Manpower!D:D,)</f>
        <v>114929202</v>
      </c>
      <c r="G1848" s="43" t="str">
        <f>_xlfn.XLOOKUP(Table134526_79101120212223242526[[#This Row],[Name Surname]],Manpower!$C$4:$C$1048576,Manpower!$F$4:$F$1048576,"")</f>
        <v>RIgger</v>
      </c>
      <c r="H1848" s="48" t="str">
        <f>_xlfn.XLOOKUP(Table134526_79101120212223242526[[#This Row],[Name Surname]],Manpower!$C$4:$C$1048576,Manpower!$H$4:$H$1048576,"")</f>
        <v>Sub Contactor</v>
      </c>
      <c r="I1848" s="48" t="str">
        <f>_xlfn.XLOOKUP(Table134526_79101120212223242526[[#This Row],[Name Surname]],Manpower!$C$4:$C$1048576,Manpower!$H$4:$H$1048576,"")</f>
        <v>Sub Contactor</v>
      </c>
      <c r="J1848" s="43" t="s">
        <v>21</v>
      </c>
      <c r="K1848" s="43" t="s">
        <v>231</v>
      </c>
      <c r="L1848" s="43" t="s">
        <v>49</v>
      </c>
      <c r="M1848" s="43" t="s">
        <v>24</v>
      </c>
      <c r="N1848" s="44">
        <v>5</v>
      </c>
      <c r="O1848" s="43" t="s">
        <v>25</v>
      </c>
      <c r="P1848" s="43" t="s">
        <v>41</v>
      </c>
      <c r="Q1848" s="43" t="s">
        <v>60</v>
      </c>
      <c r="R1848" s="43" t="s">
        <v>320</v>
      </c>
      <c r="S1848" s="43"/>
    </row>
    <row r="1849" spans="1:19" ht="14.4" hidden="1">
      <c r="A1849" s="33">
        <f>IF(C1849="","",MAX($A$1:A1848)+1)</f>
        <v>1742</v>
      </c>
      <c r="B1849" s="22" t="s">
        <v>19</v>
      </c>
      <c r="C1849" s="23">
        <v>46097</v>
      </c>
      <c r="D1849" s="28" t="str">
        <f>_xlfn.XLOOKUP(Table134526_79101120212223242526[[#This Row],[Name Surname]],Manpower!$C$4:$C$1048576,Manpower!$B$4:$B$1048576,"")</f>
        <v>SARENS NASS</v>
      </c>
      <c r="E1849" s="21" t="s">
        <v>162</v>
      </c>
      <c r="F1849" s="12">
        <f>_xlfn.XLOOKUP(Table134526_79101120212223242526[[#This Row],[Name Surname]],Manpower!C:C,Manpower!D:D,)</f>
        <v>78753612</v>
      </c>
      <c r="G1849" s="28" t="str">
        <f>_xlfn.XLOOKUP(Table134526_79101120212223242526[[#This Row],[Name Surname]],Manpower!$C$4:$C$1048576,Manpower!$F$4:$F$1048576,"")</f>
        <v>Crane Operator- 70T Liebherr Telescopic Crane-02</v>
      </c>
      <c r="H1849" s="28" t="str">
        <f>_xlfn.XLOOKUP(Table134526_79101120212223242526[[#This Row],[Name Surname]],Manpower!$C$4:$C$1048576,Manpower!$H$4:$H$1048576,"")</f>
        <v>Manpower</v>
      </c>
      <c r="I1849" s="28" t="str">
        <f>_xlfn.XLOOKUP(Table134526_79101120212223242526[[#This Row],[Name Surname]],Manpower!$C$4:$C$1048576,Manpower!$H$4:$H$1048576,"")</f>
        <v>Manpower</v>
      </c>
      <c r="J1849" s="21" t="s">
        <v>21</v>
      </c>
      <c r="K1849" s="21" t="s">
        <v>231</v>
      </c>
      <c r="L1849" s="21" t="s">
        <v>49</v>
      </c>
      <c r="M1849" s="21" t="s">
        <v>55</v>
      </c>
      <c r="N1849" s="29">
        <v>10</v>
      </c>
      <c r="R1849" s="21" t="s">
        <v>319</v>
      </c>
    </row>
    <row r="1850" spans="1:19" ht="14.4" hidden="1">
      <c r="A1850" s="33">
        <f>IF(C1850="","",MAX($A$1:A1849)+1)</f>
        <v>1743</v>
      </c>
      <c r="B1850" s="22" t="s">
        <v>19</v>
      </c>
      <c r="C1850" s="23">
        <v>46097</v>
      </c>
      <c r="D1850" s="28" t="str">
        <f>_xlfn.XLOOKUP(Table134526_79101120212223242526[[#This Row],[Name Surname]],Manpower!$C$4:$C$1048576,Manpower!$B$4:$B$1048576,"")</f>
        <v>SARENS NASS</v>
      </c>
      <c r="E1850" s="21" t="s">
        <v>266</v>
      </c>
      <c r="F1850" s="12">
        <f>_xlfn.XLOOKUP(Table134526_79101120212223242526[[#This Row],[Name Surname]],Manpower!C:C,Manpower!D:D,)</f>
        <v>14552941</v>
      </c>
      <c r="G1850" s="28" t="str">
        <f>_xlfn.XLOOKUP(Table134526_79101120212223242526[[#This Row],[Name Surname]],Manpower!$C$4:$C$1048576,Manpower!$F$4:$F$1048576,"")</f>
        <v>Crane Operator- 70T Hitachi Crawler crane</v>
      </c>
      <c r="H1850" s="28" t="str">
        <f>_xlfn.XLOOKUP(Table134526_79101120212223242526[[#This Row],[Name Surname]],Manpower!$C$4:$C$1048576,Manpower!$H$4:$H$1048576,"")</f>
        <v>Manpower</v>
      </c>
      <c r="I1850" s="28" t="str">
        <f>_xlfn.XLOOKUP(Table134526_79101120212223242526[[#This Row],[Name Surname]],Manpower!$C$4:$C$1048576,Manpower!$H$4:$H$1048576,"")</f>
        <v>Manpower</v>
      </c>
      <c r="J1850" s="21" t="s">
        <v>21</v>
      </c>
      <c r="K1850" s="21" t="s">
        <v>231</v>
      </c>
      <c r="L1850" s="21" t="s">
        <v>49</v>
      </c>
      <c r="M1850" s="21" t="s">
        <v>24</v>
      </c>
      <c r="N1850" s="29">
        <v>8</v>
      </c>
      <c r="O1850" s="21" t="s">
        <v>40</v>
      </c>
      <c r="P1850" s="21" t="s">
        <v>41</v>
      </c>
      <c r="Q1850" s="21" t="s">
        <v>42</v>
      </c>
      <c r="R1850" s="21" t="s">
        <v>320</v>
      </c>
    </row>
    <row r="1851" spans="1:19" s="45" customFormat="1" ht="14.4" hidden="1">
      <c r="A1851" s="25">
        <f>IF(C1851="","",MAX($A$1:A1850)+1)</f>
        <v>1744</v>
      </c>
      <c r="B1851" s="25" t="s">
        <v>19</v>
      </c>
      <c r="C1851" s="41">
        <v>46097</v>
      </c>
      <c r="D1851" s="48" t="str">
        <f>_xlfn.XLOOKUP(Table134526_79101120212223242526[[#This Row],[Name Surname]],Manpower!$C$4:$C$1048576,Manpower!$B$4:$B$1048576,"")</f>
        <v>Bright Light</v>
      </c>
      <c r="E1851" s="43" t="s">
        <v>165</v>
      </c>
      <c r="F1851" s="12">
        <f>_xlfn.XLOOKUP(Table134526_79101120212223242526[[#This Row],[Name Surname]],Manpower!C:C,Manpower!D:D,)</f>
        <v>122771611</v>
      </c>
      <c r="G1851" s="48" t="str">
        <f>_xlfn.XLOOKUP(Table134526_79101120212223242526[[#This Row],[Name Surname]],Manpower!$C$4:$C$1048576,Manpower!$F$4:$F$1048576,"")</f>
        <v>Mechanic</v>
      </c>
      <c r="H1851" s="48" t="str">
        <f>_xlfn.XLOOKUP(Table134526_79101120212223242526[[#This Row],[Name Surname]],Manpower!$C$4:$C$1048576,Manpower!$H$4:$H$1048576,"")</f>
        <v>Sub Contactor</v>
      </c>
      <c r="I1851" s="48" t="str">
        <f>_xlfn.XLOOKUP(Table134526_79101120212223242526[[#This Row],[Name Surname]],Manpower!$C$4:$C$1048576,Manpower!$H$4:$H$1048576,"")</f>
        <v>Sub Contactor</v>
      </c>
      <c r="J1851" s="43" t="s">
        <v>21</v>
      </c>
      <c r="K1851" s="43" t="s">
        <v>231</v>
      </c>
      <c r="L1851" s="43" t="s">
        <v>49</v>
      </c>
      <c r="M1851" s="43" t="s">
        <v>24</v>
      </c>
      <c r="N1851" s="44">
        <v>8</v>
      </c>
      <c r="O1851" s="43" t="s">
        <v>40</v>
      </c>
      <c r="P1851" s="43" t="s">
        <v>41</v>
      </c>
      <c r="Q1851" s="43" t="s">
        <v>42</v>
      </c>
      <c r="R1851" s="43" t="s">
        <v>309</v>
      </c>
      <c r="S1851" s="43"/>
    </row>
    <row r="1852" spans="1:19" s="45" customFormat="1" ht="14.4" hidden="1">
      <c r="A1852" s="25">
        <f>IF(C1852="","",MAX($A$1:A1851)+1)</f>
        <v>1745</v>
      </c>
      <c r="B1852" s="25" t="s">
        <v>19</v>
      </c>
      <c r="C1852" s="41">
        <v>46097</v>
      </c>
      <c r="D1852" s="48" t="str">
        <f>_xlfn.XLOOKUP(Table134526_79101120212223242526[[#This Row],[Name Surname]],Manpower!$C$4:$C$1048576,Manpower!$B$4:$B$1048576,"")</f>
        <v>Al Jaber Heavy Lift</v>
      </c>
      <c r="E1852" s="43" t="s">
        <v>276</v>
      </c>
      <c r="F1852" s="12" t="str">
        <f>_xlfn.XLOOKUP(Table134526_79101120212223242526[[#This Row],[Name Surname]],Manpower!C:C,Manpower!D:D,)</f>
        <v>102607563</v>
      </c>
      <c r="G1852" s="48" t="str">
        <f>_xlfn.XLOOKUP(Table134526_79101120212223242526[[#This Row],[Name Surname]],Manpower!$C$4:$C$1048576,Manpower!$F$4:$F$1048576,"")</f>
        <v>Technician</v>
      </c>
      <c r="H1852" s="48" t="str">
        <f>_xlfn.XLOOKUP(Table134526_79101120212223242526[[#This Row],[Name Surname]],Manpower!$C$4:$C$1048576,Manpower!$H$4:$H$1048576,"")</f>
        <v>Manpower</v>
      </c>
      <c r="I1852" s="48" t="str">
        <f>_xlfn.XLOOKUP(Table134526_79101120212223242526[[#This Row],[Name Surname]],Manpower!$C$4:$C$1048576,Manpower!$H$4:$H$1048576,"")</f>
        <v>Manpower</v>
      </c>
      <c r="J1852" s="43" t="s">
        <v>21</v>
      </c>
      <c r="K1852" s="43" t="s">
        <v>231</v>
      </c>
      <c r="L1852" s="43" t="s">
        <v>49</v>
      </c>
      <c r="M1852" s="43" t="s">
        <v>24</v>
      </c>
      <c r="N1852" s="44">
        <v>8</v>
      </c>
      <c r="O1852" s="43" t="s">
        <v>40</v>
      </c>
      <c r="P1852" s="43" t="s">
        <v>41</v>
      </c>
      <c r="Q1852" s="43" t="s">
        <v>42</v>
      </c>
      <c r="R1852" s="43" t="s">
        <v>309</v>
      </c>
      <c r="S1852" s="43"/>
    </row>
    <row r="1853" spans="1:19" s="45" customFormat="1" ht="14.4" hidden="1">
      <c r="A1853" s="25">
        <f>IF(C1853="","",MAX($A$1:A1852)+1)</f>
        <v>1746</v>
      </c>
      <c r="B1853" s="25" t="s">
        <v>19</v>
      </c>
      <c r="C1853" s="41">
        <v>46097</v>
      </c>
      <c r="D1853" s="48" t="str">
        <f>_xlfn.XLOOKUP(Table134526_79101120212223242526[[#This Row],[Name Surname]],Manpower!$C$4:$C$1048576,Manpower!$B$4:$B$1048576,"")</f>
        <v>Al Jaber Heavy Lift</v>
      </c>
      <c r="E1853" s="43" t="s">
        <v>310</v>
      </c>
      <c r="F1853" s="12">
        <f>_xlfn.XLOOKUP(Table134526_79101120212223242526[[#This Row],[Name Surname]],Manpower!C:C,Manpower!D:D,)</f>
        <v>113787454</v>
      </c>
      <c r="G1853" s="48" t="str">
        <f>_xlfn.XLOOKUP(Table134526_79101120212223242526[[#This Row],[Name Surname]],Manpower!$C$4:$C$1048576,Manpower!$F$4:$F$1048576,"")</f>
        <v>Crane Operator- 70T Crawler Crane- 02</v>
      </c>
      <c r="H1853" s="48" t="str">
        <f>_xlfn.XLOOKUP(Table134526_79101120212223242526[[#This Row],[Name Surname]],Manpower!$C$4:$C$1048576,Manpower!$H$4:$H$1048576,"")</f>
        <v>Manpower</v>
      </c>
      <c r="I1853" s="48" t="str">
        <f>_xlfn.XLOOKUP(Table134526_79101120212223242526[[#This Row],[Name Surname]],Manpower!$C$4:$C$1048576,Manpower!$H$4:$H$1048576,"")</f>
        <v>Manpower</v>
      </c>
      <c r="J1853" s="43" t="s">
        <v>21</v>
      </c>
      <c r="K1853" s="43" t="s">
        <v>231</v>
      </c>
      <c r="L1853" s="43" t="s">
        <v>49</v>
      </c>
      <c r="M1853" s="43" t="s">
        <v>24</v>
      </c>
      <c r="N1853" s="44">
        <v>8</v>
      </c>
      <c r="O1853" s="43" t="s">
        <v>40</v>
      </c>
      <c r="P1853" s="43" t="s">
        <v>41</v>
      </c>
      <c r="Q1853" s="43" t="s">
        <v>42</v>
      </c>
      <c r="R1853" s="43" t="s">
        <v>309</v>
      </c>
      <c r="S1853" s="43"/>
    </row>
    <row r="1854" spans="1:19" s="45" customFormat="1" ht="14.4" hidden="1">
      <c r="A1854" s="25">
        <f>IF(C1854="","",MAX($A$1:A1852)+1)</f>
        <v>1746</v>
      </c>
      <c r="B1854" s="25" t="s">
        <v>19</v>
      </c>
      <c r="C1854" s="41">
        <v>46097</v>
      </c>
      <c r="D1854" s="48" t="str">
        <f>_xlfn.XLOOKUP(Table134526_79101120212223242526[[#This Row],[Name Surname]],Manpower!$C$4:$C$1048576,Manpower!$B$4:$B$1048576,"")</f>
        <v>Bright Light</v>
      </c>
      <c r="E1854" s="43" t="s">
        <v>263</v>
      </c>
      <c r="F1854" s="12">
        <f>_xlfn.XLOOKUP(Table134526_79101120212223242526[[#This Row],[Name Surname]],Manpower!C:C,Manpower!D:D,)</f>
        <v>125287583</v>
      </c>
      <c r="G1854" s="48" t="str">
        <f>_xlfn.XLOOKUP(Table134526_79101120212223242526[[#This Row],[Name Surname]],Manpower!$C$4:$C$1048576,Manpower!$F$4:$F$1048576,"")</f>
        <v>Mechanic</v>
      </c>
      <c r="H1854" s="48" t="str">
        <f>_xlfn.XLOOKUP(Table134526_79101120212223242526[[#This Row],[Name Surname]],Manpower!$C$4:$C$1048576,Manpower!$H$4:$H$1048576,"")</f>
        <v>Sub Contactor</v>
      </c>
      <c r="I1854" s="48" t="str">
        <f>_xlfn.XLOOKUP(Table134526_79101120212223242526[[#This Row],[Name Surname]],Manpower!$C$4:$C$1048576,Manpower!$H$4:$H$1048576,"")</f>
        <v>Sub Contactor</v>
      </c>
      <c r="J1854" s="43" t="s">
        <v>21</v>
      </c>
      <c r="K1854" s="43" t="s">
        <v>231</v>
      </c>
      <c r="L1854" s="43" t="s">
        <v>49</v>
      </c>
      <c r="M1854" s="43" t="s">
        <v>24</v>
      </c>
      <c r="N1854" s="44">
        <v>8</v>
      </c>
      <c r="O1854" s="43" t="s">
        <v>40</v>
      </c>
      <c r="P1854" s="43" t="s">
        <v>41</v>
      </c>
      <c r="Q1854" s="43" t="s">
        <v>42</v>
      </c>
      <c r="R1854" s="43" t="s">
        <v>309</v>
      </c>
      <c r="S1854" s="43"/>
    </row>
    <row r="1855" spans="1:19" s="45" customFormat="1" ht="14.4" hidden="1">
      <c r="A1855" s="25">
        <f>IF(C1855="","",MAX($A$1:A1854)+1)</f>
        <v>1747</v>
      </c>
      <c r="B1855" s="25" t="s">
        <v>19</v>
      </c>
      <c r="C1855" s="41">
        <v>46097</v>
      </c>
      <c r="D1855" s="48" t="str">
        <f>_xlfn.XLOOKUP(Table134526_79101120212223242526[[#This Row],[Name Surname]],Manpower!$C$4:$C$1048576,Manpower!$B$4:$B$1048576,"")</f>
        <v>Al Jaber Heavy Lift</v>
      </c>
      <c r="E1855" s="43" t="s">
        <v>275</v>
      </c>
      <c r="F1855" s="12">
        <f>_xlfn.XLOOKUP(Table134526_79101120212223242526[[#This Row],[Name Surname]],Manpower!C:C,Manpower!D:D,)</f>
        <v>116448869</v>
      </c>
      <c r="G1855" s="48" t="str">
        <f>_xlfn.XLOOKUP(Table134526_79101120212223242526[[#This Row],[Name Surname]],Manpower!$C$4:$C$1048576,Manpower!$F$4:$F$1048576,"")</f>
        <v xml:space="preserve">Crane Operator </v>
      </c>
      <c r="H1855" s="48" t="str">
        <f>_xlfn.XLOOKUP(Table134526_79101120212223242526[[#This Row],[Name Surname]],Manpower!$C$4:$C$1048576,Manpower!$H$4:$H$1048576,"")</f>
        <v>Manpower</v>
      </c>
      <c r="I1855" s="48" t="str">
        <f>_xlfn.XLOOKUP(Table134526_79101120212223242526[[#This Row],[Name Surname]],Manpower!$C$4:$C$1048576,Manpower!$H$4:$H$1048576,"")</f>
        <v>Manpower</v>
      </c>
      <c r="J1855" s="43" t="s">
        <v>21</v>
      </c>
      <c r="K1855" s="43" t="s">
        <v>231</v>
      </c>
      <c r="L1855" s="43" t="s">
        <v>49</v>
      </c>
      <c r="M1855" s="43" t="s">
        <v>24</v>
      </c>
      <c r="N1855" s="44">
        <v>8</v>
      </c>
      <c r="O1855" s="43" t="s">
        <v>40</v>
      </c>
      <c r="P1855" s="43" t="s">
        <v>41</v>
      </c>
      <c r="Q1855" s="43" t="s">
        <v>42</v>
      </c>
      <c r="R1855" s="43" t="s">
        <v>309</v>
      </c>
      <c r="S1855" s="43"/>
    </row>
    <row r="1856" spans="1:19" s="45" customFormat="1" ht="14.4" hidden="1">
      <c r="A1856" s="25">
        <f>IF(C1856="","",MAX($A$1:A1855)+1)</f>
        <v>1748</v>
      </c>
      <c r="B1856" s="25" t="s">
        <v>19</v>
      </c>
      <c r="C1856" s="41">
        <v>46097</v>
      </c>
      <c r="D1856" s="48" t="str">
        <f>_xlfn.XLOOKUP(Table134526_79101120212223242526[[#This Row],[Name Surname]],Manpower!$C$4:$C$1048576,Manpower!$B$4:$B$1048576,"")</f>
        <v>Al Jaber Heavy Lift</v>
      </c>
      <c r="E1856" s="43" t="s">
        <v>311</v>
      </c>
      <c r="F1856" s="12" t="e">
        <f>_xlfn.XLOOKUP(Table134526_79101120212223242526[[#This Row],[Name Surname]],Manpower!C:C,Manpower!D:D,)</f>
        <v>#N/A</v>
      </c>
      <c r="G1856" s="48" t="str">
        <f>_xlfn.XLOOKUP(Table134526_79101120212223242526[[#This Row],[Name Surname]],Manpower!$C$4:$C$1048576,Manpower!$F$4:$F$1048576,"")</f>
        <v>Technician</v>
      </c>
      <c r="H1856" s="48" t="str">
        <f>_xlfn.XLOOKUP(Table134526_79101120212223242526[[#This Row],[Name Surname]],Manpower!$C$4:$C$1048576,Manpower!$H$4:$H$1048576,"")</f>
        <v>Manpower</v>
      </c>
      <c r="I1856" s="48" t="str">
        <f>_xlfn.XLOOKUP(Table134526_79101120212223242526[[#This Row],[Name Surname]],Manpower!$C$4:$C$1048576,Manpower!$H$4:$H$1048576,"")</f>
        <v>Manpower</v>
      </c>
      <c r="J1856" s="43" t="s">
        <v>21</v>
      </c>
      <c r="K1856" s="43" t="s">
        <v>231</v>
      </c>
      <c r="L1856" s="43" t="s">
        <v>49</v>
      </c>
      <c r="M1856" s="43" t="s">
        <v>24</v>
      </c>
      <c r="N1856" s="44">
        <v>8</v>
      </c>
      <c r="O1856" s="43" t="s">
        <v>40</v>
      </c>
      <c r="P1856" s="43" t="s">
        <v>41</v>
      </c>
      <c r="Q1856" s="43" t="s">
        <v>42</v>
      </c>
      <c r="R1856" s="43" t="s">
        <v>309</v>
      </c>
      <c r="S1856" s="43"/>
    </row>
    <row r="1857" spans="1:19" s="45" customFormat="1" ht="14.4" hidden="1">
      <c r="A1857" s="25">
        <f>IF(C1857="","",MAX($A$1:A1856)+1)</f>
        <v>1749</v>
      </c>
      <c r="B1857" s="25" t="s">
        <v>19</v>
      </c>
      <c r="C1857" s="41">
        <v>46097</v>
      </c>
      <c r="D1857" s="48" t="str">
        <f>_xlfn.XLOOKUP(Table134526_79101120212223242526[[#This Row],[Name Surname]],Manpower!$C$4:$C$1048576,Manpower!$B$4:$B$1048576,"")</f>
        <v>SARENS NASS</v>
      </c>
      <c r="E1857" s="43" t="s">
        <v>214</v>
      </c>
      <c r="F1857" s="12">
        <f>_xlfn.XLOOKUP(Table134526_79101120212223242526[[#This Row],[Name Surname]],Manpower!C:C,Manpower!D:D,)</f>
        <v>109957631</v>
      </c>
      <c r="G1857" s="48" t="str">
        <f>_xlfn.XLOOKUP(Table134526_79101120212223242526[[#This Row],[Name Surname]],Manpower!$C$4:$C$1048576,Manpower!$F$4:$F$1048576,"")</f>
        <v>Crane Operator-130T Liebherr Crawler</v>
      </c>
      <c r="H1857" s="48" t="str">
        <f>_xlfn.XLOOKUP(Table134526_79101120212223242526[[#This Row],[Name Surname]],Manpower!$C$4:$C$1048576,Manpower!$H$4:$H$1048576,"")</f>
        <v>Manpower</v>
      </c>
      <c r="I1857" s="48" t="str">
        <f>_xlfn.XLOOKUP(Table134526_79101120212223242526[[#This Row],[Name Surname]],Manpower!$C$4:$C$1048576,Manpower!$H$4:$H$1048576,"")</f>
        <v>Manpower</v>
      </c>
      <c r="J1857" s="43" t="s">
        <v>21</v>
      </c>
      <c r="K1857" s="43" t="s">
        <v>231</v>
      </c>
      <c r="L1857" s="43" t="s">
        <v>49</v>
      </c>
      <c r="M1857" s="43" t="s">
        <v>24</v>
      </c>
      <c r="N1857" s="44">
        <v>8</v>
      </c>
      <c r="O1857" s="43" t="s">
        <v>40</v>
      </c>
      <c r="P1857" s="43" t="s">
        <v>41</v>
      </c>
      <c r="Q1857" s="43" t="s">
        <v>42</v>
      </c>
      <c r="R1857" s="43" t="s">
        <v>309</v>
      </c>
      <c r="S1857" s="43"/>
    </row>
    <row r="1858" spans="1:19" s="45" customFormat="1" ht="14.4" hidden="1">
      <c r="A1858" s="25">
        <f>IF(C1858="","",MAX($A$1:A1850)+1)</f>
        <v>1744</v>
      </c>
      <c r="B1858" s="25" t="s">
        <v>19</v>
      </c>
      <c r="C1858" s="41">
        <v>46097</v>
      </c>
      <c r="D1858" s="48" t="str">
        <f>_xlfn.XLOOKUP(Table134526_79101120212223242526[[#This Row],[Name Surname]],Manpower!$C$4:$C$1048576,Manpower!$B$4:$B$1048576,"")</f>
        <v>AL Saif &amp; Al QALLM ENT LLC</v>
      </c>
      <c r="E1858" s="43" t="s">
        <v>194</v>
      </c>
      <c r="F1858" s="12">
        <f>_xlfn.XLOOKUP(Table134526_79101120212223242526[[#This Row],[Name Surname]],Manpower!C:C,Manpower!D:D,)</f>
        <v>135340657</v>
      </c>
      <c r="G1858" s="48" t="str">
        <f>_xlfn.XLOOKUP(Table134526_79101120212223242526[[#This Row],[Name Surname]],Manpower!$C$4:$C$1048576,Manpower!$F$4:$F$1048576,"")</f>
        <v>Forklift Operator</v>
      </c>
      <c r="H1858" s="48" t="str">
        <f>_xlfn.XLOOKUP(Table134526_79101120212223242526[[#This Row],[Name Surname]],Manpower!$C$4:$C$1048576,Manpower!$H$4:$H$1048576,"")</f>
        <v>Sub Contactor</v>
      </c>
      <c r="I1858" s="48" t="str">
        <f>_xlfn.XLOOKUP(Table134526_79101120212223242526[[#This Row],[Name Surname]],Manpower!$C$4:$C$1048576,Manpower!$H$4:$H$1048576,"")</f>
        <v>Sub Contactor</v>
      </c>
      <c r="J1858" s="43" t="s">
        <v>21</v>
      </c>
      <c r="K1858" s="43" t="s">
        <v>231</v>
      </c>
      <c r="L1858" s="43" t="s">
        <v>49</v>
      </c>
      <c r="M1858" s="43" t="s">
        <v>24</v>
      </c>
      <c r="N1858" s="44">
        <v>8</v>
      </c>
      <c r="O1858" s="43" t="s">
        <v>40</v>
      </c>
      <c r="P1858" s="43" t="s">
        <v>41</v>
      </c>
      <c r="Q1858" s="43" t="s">
        <v>42</v>
      </c>
      <c r="R1858" s="43" t="s">
        <v>309</v>
      </c>
      <c r="S1858" s="43"/>
    </row>
    <row r="1859" spans="1:19" s="45" customFormat="1" ht="14.4" hidden="1">
      <c r="A1859" s="25">
        <f>IF(C1859="","",MAX($A$1:A1850)+1)</f>
        <v>1744</v>
      </c>
      <c r="B1859" s="25" t="s">
        <v>19</v>
      </c>
      <c r="C1859" s="41">
        <v>46097</v>
      </c>
      <c r="D1859" s="48" t="str">
        <f>_xlfn.XLOOKUP(Table134526_79101120212223242526[[#This Row],[Name Surname]],Manpower!$C$4:$C$1048576,Manpower!$B$4:$B$1048576,"")</f>
        <v>Encogroup</v>
      </c>
      <c r="E1859" s="43" t="s">
        <v>37</v>
      </c>
      <c r="F1859" s="12">
        <f>_xlfn.XLOOKUP(Table134526_79101120212223242526[[#This Row],[Name Surname]],Manpower!C:C,Manpower!D:D,)</f>
        <v>140742088</v>
      </c>
      <c r="G1859" s="48" t="str">
        <f>_xlfn.XLOOKUP(Table134526_79101120212223242526[[#This Row],[Name Surname]],Manpower!$C$4:$C$1048576,Manpower!$F$4:$F$1048576,"")</f>
        <v>Fitter/Erector</v>
      </c>
      <c r="H1859" s="48" t="str">
        <f>_xlfn.XLOOKUP(Table134526_79101120212223242526[[#This Row],[Name Surname]],Manpower!$C$4:$C$1048576,Manpower!$H$4:$H$1048576,"")</f>
        <v>Manpower</v>
      </c>
      <c r="I1859" s="48" t="str">
        <f>_xlfn.XLOOKUP(Table134526_79101120212223242526[[#This Row],[Name Surname]],Manpower!$C$4:$C$1048576,Manpower!$H$4:$H$1048576,"")</f>
        <v>Manpower</v>
      </c>
      <c r="J1859" s="43" t="s">
        <v>21</v>
      </c>
      <c r="K1859" s="43" t="s">
        <v>231</v>
      </c>
      <c r="L1859" s="43" t="s">
        <v>49</v>
      </c>
      <c r="M1859" s="43" t="s">
        <v>24</v>
      </c>
      <c r="N1859" s="44">
        <v>5</v>
      </c>
      <c r="O1859" s="43" t="s">
        <v>25</v>
      </c>
      <c r="P1859" s="43" t="s">
        <v>41</v>
      </c>
      <c r="Q1859" s="43" t="s">
        <v>60</v>
      </c>
      <c r="R1859" s="43" t="s">
        <v>320</v>
      </c>
      <c r="S1859" s="43"/>
    </row>
    <row r="1860" spans="1:19" s="45" customFormat="1" ht="14.4" hidden="1">
      <c r="A1860" s="25">
        <f>IF(C1860="","",MAX($A$1:A1859)+1)</f>
        <v>1750</v>
      </c>
      <c r="B1860" s="25" t="s">
        <v>19</v>
      </c>
      <c r="C1860" s="41">
        <v>46097</v>
      </c>
      <c r="D1860" s="48" t="str">
        <f>_xlfn.XLOOKUP(Table134526_79101120212223242526[[#This Row],[Name Surname]],Manpower!$C$4:$C$1048576,Manpower!$B$4:$B$1048576,"")</f>
        <v>Encogroup</v>
      </c>
      <c r="E1860" s="43" t="s">
        <v>44</v>
      </c>
      <c r="F1860" s="12">
        <f>_xlfn.XLOOKUP(Table134526_79101120212223242526[[#This Row],[Name Surname]],Manpower!C:C,Manpower!D:D,)</f>
        <v>140806218</v>
      </c>
      <c r="G1860" s="48" t="str">
        <f>_xlfn.XLOOKUP(Table134526_79101120212223242526[[#This Row],[Name Surname]],Manpower!$C$4:$C$1048576,Manpower!$F$4:$F$1048576,"")</f>
        <v>Fitter/Erector</v>
      </c>
      <c r="H1860" s="48" t="str">
        <f>_xlfn.XLOOKUP(Table134526_79101120212223242526[[#This Row],[Name Surname]],Manpower!$C$4:$C$1048576,Manpower!$H$4:$H$1048576,"")</f>
        <v>Manpower</v>
      </c>
      <c r="I1860" s="48" t="str">
        <f>_xlfn.XLOOKUP(Table134526_79101120212223242526[[#This Row],[Name Surname]],Manpower!$C$4:$C$1048576,Manpower!$H$4:$H$1048576,"")</f>
        <v>Manpower</v>
      </c>
      <c r="J1860" s="43" t="s">
        <v>21</v>
      </c>
      <c r="K1860" s="43" t="s">
        <v>231</v>
      </c>
      <c r="L1860" s="43" t="s">
        <v>49</v>
      </c>
      <c r="M1860" s="43" t="s">
        <v>24</v>
      </c>
      <c r="N1860" s="44">
        <v>10</v>
      </c>
      <c r="O1860" s="43" t="s">
        <v>25</v>
      </c>
      <c r="P1860" s="43" t="s">
        <v>41</v>
      </c>
      <c r="Q1860" s="43" t="s">
        <v>60</v>
      </c>
      <c r="R1860" s="43" t="s">
        <v>320</v>
      </c>
      <c r="S1860" s="43"/>
    </row>
    <row r="1861" spans="1:19" s="45" customFormat="1" ht="14.4" hidden="1">
      <c r="A1861" s="25">
        <f>IF(C1861="","",MAX($A$1:A1860)+1)</f>
        <v>1751</v>
      </c>
      <c r="B1861" s="25" t="s">
        <v>19</v>
      </c>
      <c r="C1861" s="41">
        <v>46097</v>
      </c>
      <c r="D1861" s="48" t="str">
        <f>_xlfn.XLOOKUP(Table134526_79101120212223242526[[#This Row],[Name Surname]],Manpower!$C$4:$C$1048576,Manpower!$B$4:$B$1048576,"")</f>
        <v>Encogroup</v>
      </c>
      <c r="E1861" s="43" t="s">
        <v>46</v>
      </c>
      <c r="F1861" s="12">
        <f>_xlfn.XLOOKUP(Table134526_79101120212223242526[[#This Row],[Name Surname]],Manpower!C:C,Manpower!D:D,)</f>
        <v>140844618</v>
      </c>
      <c r="G1861" s="48" t="str">
        <f>_xlfn.XLOOKUP(Table134526_79101120212223242526[[#This Row],[Name Surname]],Manpower!$C$4:$C$1048576,Manpower!$F$4:$F$1048576,"")</f>
        <v>Assistant/Helper</v>
      </c>
      <c r="H1861" s="48" t="str">
        <f>_xlfn.XLOOKUP(Table134526_79101120212223242526[[#This Row],[Name Surname]],Manpower!$C$4:$C$1048576,Manpower!$H$4:$H$1048576,"")</f>
        <v>Manpower</v>
      </c>
      <c r="I1861" s="48" t="str">
        <f>_xlfn.XLOOKUP(Table134526_79101120212223242526[[#This Row],[Name Surname]],Manpower!$C$4:$C$1048576,Manpower!$H$4:$H$1048576,"")</f>
        <v>Manpower</v>
      </c>
      <c r="J1861" s="43" t="s">
        <v>21</v>
      </c>
      <c r="K1861" s="43" t="s">
        <v>231</v>
      </c>
      <c r="L1861" s="43" t="s">
        <v>49</v>
      </c>
      <c r="M1861" s="43" t="s">
        <v>24</v>
      </c>
      <c r="N1861" s="44">
        <v>5</v>
      </c>
      <c r="O1861" s="43" t="s">
        <v>25</v>
      </c>
      <c r="P1861" s="43" t="s">
        <v>41</v>
      </c>
      <c r="Q1861" s="43" t="s">
        <v>60</v>
      </c>
      <c r="R1861" s="43" t="s">
        <v>320</v>
      </c>
      <c r="S1861" s="43"/>
    </row>
    <row r="1862" spans="1:19" ht="15" customHeight="1">
      <c r="A1862" s="33">
        <f>IF(C1862="","",MAX($A$1:A1861)+1)</f>
        <v>1752</v>
      </c>
      <c r="B1862" s="25" t="s">
        <v>19</v>
      </c>
      <c r="C1862" s="23">
        <v>46097</v>
      </c>
      <c r="D1862" s="28" t="str">
        <f>_xlfn.XLOOKUP(Table134526_79101120212223242526[[#This Row],[Name Surname]],Manpower!$C$4:$C$1048576,Manpower!$B$4:$B$1048576,"")</f>
        <v>Bright Light</v>
      </c>
      <c r="E1862" s="23" t="s">
        <v>47</v>
      </c>
      <c r="F1862" s="12" t="e">
        <f>_xlfn.XLOOKUP(Table134526_79101120212223242526[[#This Row],[Name Surname]],Manpower!C:C,Manpower!D:D,)</f>
        <v>#N/A</v>
      </c>
      <c r="G1862" s="28" t="str">
        <f>_xlfn.XLOOKUP(Table134526_79101120212223242526[[#This Row],[Name Surname]],Manpower!$C$4:$C$1048576,Manpower!$F$4:$F$1048576,"")</f>
        <v>100T Telescopic Crane</v>
      </c>
      <c r="H1862" s="28" t="str">
        <f>_xlfn.XLOOKUP(Table134526_79101120212223242526[[#This Row],[Name Surname]],Manpower!$C$4:$C$1048576,Manpower!$H$4:$H$1048576,"")</f>
        <v>Equipment</v>
      </c>
      <c r="I1862" s="28" t="str">
        <f>_xlfn.XLOOKUP(Table134526_79101120212223242526[[#This Row],[Name Surname]],Manpower!$C$4:$C$1048576,Manpower!$H$4:$H$1048576,"")</f>
        <v>Equipment</v>
      </c>
      <c r="J1862" s="21" t="s">
        <v>48</v>
      </c>
      <c r="K1862" s="21" t="s">
        <v>26</v>
      </c>
      <c r="L1862" s="21" t="s">
        <v>49</v>
      </c>
      <c r="M1862" s="21" t="s">
        <v>24</v>
      </c>
      <c r="N1862" s="29" t="s">
        <v>321</v>
      </c>
      <c r="O1862" s="21" t="s">
        <v>40</v>
      </c>
      <c r="P1862" s="21" t="s">
        <v>41</v>
      </c>
      <c r="Q1862" s="21" t="s">
        <v>42</v>
      </c>
      <c r="R1862" s="21" t="s">
        <v>322</v>
      </c>
    </row>
    <row r="1863" spans="1:19" ht="14.4">
      <c r="A1863" s="33">
        <f>IF(C1863="","",MAX($A$1:A1862)+1)</f>
        <v>1753</v>
      </c>
      <c r="B1863" s="25" t="s">
        <v>19</v>
      </c>
      <c r="C1863" s="23">
        <v>46097</v>
      </c>
      <c r="D1863" s="28" t="str">
        <f>_xlfn.XLOOKUP(Table134526_79101120212223242526[[#This Row],[Name Surname]],Manpower!$C$4:$C$1048576,Manpower!$B$4:$B$1048576,"")</f>
        <v>Bright Light</v>
      </c>
      <c r="E1863" s="21" t="s">
        <v>51</v>
      </c>
      <c r="F1863" s="12" t="e">
        <f>_xlfn.XLOOKUP(Table134526_79101120212223242526[[#This Row],[Name Surname]],Manpower!C:C,Manpower!D:D,)</f>
        <v>#N/A</v>
      </c>
      <c r="G1863" s="28" t="str">
        <f>_xlfn.XLOOKUP(Table134526_79101120212223242526[[#This Row],[Name Surname]],Manpower!$C$4:$C$1048576,Manpower!$F$4:$F$1048576,"")</f>
        <v>150T-Crawler Crane</v>
      </c>
      <c r="H1863" s="28" t="str">
        <f>_xlfn.XLOOKUP(Table134526_79101120212223242526[[#This Row],[Name Surname]],Manpower!$C$4:$C$1048576,Manpower!$H$4:$H$1048576,"")</f>
        <v>Equipment</v>
      </c>
      <c r="I1863" s="28" t="str">
        <f>_xlfn.XLOOKUP(Table134526_79101120212223242526[[#This Row],[Name Surname]],Manpower!$C$4:$C$1048576,Manpower!$H$4:$H$1048576,"")</f>
        <v>Equipment</v>
      </c>
      <c r="J1863" s="21" t="s">
        <v>48</v>
      </c>
      <c r="K1863" s="21" t="s">
        <v>26</v>
      </c>
      <c r="L1863" s="21" t="s">
        <v>49</v>
      </c>
      <c r="M1863" s="21" t="s">
        <v>24</v>
      </c>
      <c r="N1863" s="29">
        <v>10</v>
      </c>
      <c r="O1863" s="21" t="s">
        <v>40</v>
      </c>
      <c r="P1863" s="21" t="s">
        <v>41</v>
      </c>
      <c r="Q1863" s="21" t="s">
        <v>42</v>
      </c>
      <c r="R1863" s="21" t="s">
        <v>26</v>
      </c>
    </row>
    <row r="1864" spans="1:19" ht="14.4">
      <c r="A1864" s="33">
        <f>IF(C1864="","",MAX($A$1:A1863)+1)</f>
        <v>1754</v>
      </c>
      <c r="B1864" s="25" t="s">
        <v>19</v>
      </c>
      <c r="C1864" s="23">
        <v>46097</v>
      </c>
      <c r="D1864" s="28" t="str">
        <f>_xlfn.XLOOKUP(Table134526_79101120212223242526[[#This Row],[Name Surname]],Manpower!$C$4:$C$1048576,Manpower!$B$4:$B$1048576,"")</f>
        <v>Encogroup</v>
      </c>
      <c r="E1864" s="21" t="s">
        <v>54</v>
      </c>
      <c r="F1864" s="12" t="e">
        <f>_xlfn.XLOOKUP(Table134526_79101120212223242526[[#This Row],[Name Surname]],Manpower!C:C,Manpower!D:D,)</f>
        <v>#N/A</v>
      </c>
      <c r="G1864" s="28" t="str">
        <f>_xlfn.XLOOKUP(Table134526_79101120212223242526[[#This Row],[Name Surname]],Manpower!$C$4:$C$1048576,Manpower!$F$4:$F$1048576,"")</f>
        <v>28M-Manlift</v>
      </c>
      <c r="H1864" s="28" t="str">
        <f>_xlfn.XLOOKUP(Table134526_79101120212223242526[[#This Row],[Name Surname]],Manpower!$C$4:$C$1048576,Manpower!$H$4:$H$1048576,"")</f>
        <v>Equipment</v>
      </c>
      <c r="I1864" s="28" t="str">
        <f>_xlfn.XLOOKUP(Table134526_79101120212223242526[[#This Row],[Name Surname]],Manpower!$C$4:$C$1048576,Manpower!$H$4:$H$1048576,"")</f>
        <v>Equipment</v>
      </c>
      <c r="J1864" s="21" t="s">
        <v>48</v>
      </c>
      <c r="K1864" s="21" t="s">
        <v>26</v>
      </c>
      <c r="L1864" s="21" t="s">
        <v>49</v>
      </c>
      <c r="M1864" s="21" t="s">
        <v>24</v>
      </c>
      <c r="N1864" s="29">
        <v>10</v>
      </c>
      <c r="O1864" s="21" t="s">
        <v>25</v>
      </c>
      <c r="P1864" s="21" t="s">
        <v>41</v>
      </c>
      <c r="Q1864" s="21" t="s">
        <v>60</v>
      </c>
      <c r="R1864" s="21" t="s">
        <v>26</v>
      </c>
    </row>
    <row r="1865" spans="1:19" ht="14.4">
      <c r="A1865" s="33">
        <f>IF(C1865="","",MAX($A$1:A1864)+1)</f>
        <v>1755</v>
      </c>
      <c r="B1865" s="25" t="s">
        <v>19</v>
      </c>
      <c r="C1865" s="23">
        <v>46097</v>
      </c>
      <c r="D1865" s="28" t="str">
        <f>_xlfn.XLOOKUP(Table134526_79101120212223242526[[#This Row],[Name Surname]],Manpower!$C$4:$C$1048576,Manpower!$B$4:$B$1048576,"")</f>
        <v>Encogroup</v>
      </c>
      <c r="E1865" s="21" t="s">
        <v>53</v>
      </c>
      <c r="F1865" s="12" t="e">
        <f>_xlfn.XLOOKUP(Table134526_79101120212223242526[[#This Row],[Name Surname]],Manpower!C:C,Manpower!D:D,)</f>
        <v>#N/A</v>
      </c>
      <c r="G1865" s="28" t="str">
        <f>_xlfn.XLOOKUP(Table134526_79101120212223242526[[#This Row],[Name Surname]],Manpower!$C$4:$C$1048576,Manpower!$F$4:$F$1048576,"")</f>
        <v>22M-Manlift</v>
      </c>
      <c r="H1865" s="28" t="str">
        <f>_xlfn.XLOOKUP(Table134526_79101120212223242526[[#This Row],[Name Surname]],Manpower!$C$4:$C$1048576,Manpower!$H$4:$H$1048576,"")</f>
        <v>Equipment</v>
      </c>
      <c r="I1865" s="28" t="str">
        <f>_xlfn.XLOOKUP(Table134526_79101120212223242526[[#This Row],[Name Surname]],Manpower!$C$4:$C$1048576,Manpower!$H$4:$H$1048576,"")</f>
        <v>Equipment</v>
      </c>
      <c r="J1865" s="21" t="s">
        <v>48</v>
      </c>
      <c r="K1865" s="21" t="s">
        <v>26</v>
      </c>
      <c r="L1865" s="21" t="s">
        <v>49</v>
      </c>
      <c r="M1865" s="21" t="s">
        <v>24</v>
      </c>
      <c r="N1865" s="29">
        <v>10</v>
      </c>
      <c r="O1865" s="21" t="s">
        <v>25</v>
      </c>
      <c r="P1865" s="21" t="s">
        <v>41</v>
      </c>
      <c r="Q1865" s="21" t="s">
        <v>60</v>
      </c>
      <c r="R1865" s="21" t="s">
        <v>26</v>
      </c>
    </row>
    <row r="1866" spans="1:19" ht="14.4" hidden="1">
      <c r="A1866" s="33">
        <f>IF(C1866="","",MAX($A$1:A1865)+1)</f>
        <v>1756</v>
      </c>
      <c r="B1866" s="25" t="s">
        <v>19</v>
      </c>
      <c r="C1866" s="23">
        <v>46097</v>
      </c>
      <c r="D1866" s="28" t="str">
        <f>_xlfn.XLOOKUP(Table134526_79101120212223242526[[#This Row],[Name Surname]],Manpower!$C$4:$C$1048576,Manpower!$B$4:$B$1048576,"")</f>
        <v>Encogroup</v>
      </c>
      <c r="E1866" s="21" t="s">
        <v>57</v>
      </c>
      <c r="F1866" s="12">
        <f>_xlfn.XLOOKUP(Table134526_79101120212223242526[[#This Row],[Name Surname]],Manpower!C:C,Manpower!D:D,)</f>
        <v>140693697</v>
      </c>
      <c r="G1866" s="28" t="str">
        <f>_xlfn.XLOOKUP(Table134526_79101120212223242526[[#This Row],[Name Surname]],Manpower!$C$4:$C$1048576,Manpower!$F$4:$F$1048576,"")</f>
        <v>HSE Officer</v>
      </c>
      <c r="H1866" s="28" t="str">
        <f>_xlfn.XLOOKUP(Table134526_79101120212223242526[[#This Row],[Name Surname]],Manpower!$C$4:$C$1048576,Manpower!$H$4:$H$1048576,"")</f>
        <v>Manpower</v>
      </c>
      <c r="I1866" s="28" t="str">
        <f>_xlfn.XLOOKUP(Table134526_79101120212223242526[[#This Row],[Name Surname]],Manpower!$C$4:$C$1048576,Manpower!$H$4:$H$1048576,"")</f>
        <v>Manpower</v>
      </c>
      <c r="J1866" s="21" t="s">
        <v>48</v>
      </c>
      <c r="K1866" s="21" t="s">
        <v>26</v>
      </c>
      <c r="L1866" s="21" t="s">
        <v>49</v>
      </c>
      <c r="M1866" s="21" t="s">
        <v>24</v>
      </c>
      <c r="N1866" s="29">
        <v>10</v>
      </c>
      <c r="O1866" s="21" t="s">
        <v>25</v>
      </c>
      <c r="P1866" s="21" t="s">
        <v>41</v>
      </c>
      <c r="Q1866" s="21" t="s">
        <v>60</v>
      </c>
      <c r="R1866" s="21" t="s">
        <v>26</v>
      </c>
    </row>
    <row r="1867" spans="1:19" s="45" customFormat="1" ht="14.4" hidden="1">
      <c r="A1867" s="25">
        <f>IF(C1867="","",MAX($A$1:A1866)+1)</f>
        <v>1757</v>
      </c>
      <c r="B1867" s="25" t="s">
        <v>19</v>
      </c>
      <c r="C1867" s="41">
        <v>46097</v>
      </c>
      <c r="D1867" s="48" t="str">
        <f>_xlfn.XLOOKUP(Table134526_79101120212223242526[[#This Row],[Name Surname]],Manpower!$C$4:$C$1048576,Manpower!$B$4:$B$1048576,"")</f>
        <v>Encogroup</v>
      </c>
      <c r="E1867" s="43" t="s">
        <v>27</v>
      </c>
      <c r="F1867" s="12">
        <f>_xlfn.XLOOKUP(Table134526_79101120212223242526[[#This Row],[Name Surname]],Manpower!C:C,Manpower!D:D,)</f>
        <v>127414586</v>
      </c>
      <c r="G1867" s="48" t="str">
        <f>_xlfn.XLOOKUP(Table134526_79101120212223242526[[#This Row],[Name Surname]],Manpower!$C$4:$C$1048576,Manpower!$F$4:$F$1048576,"")</f>
        <v>Electrician</v>
      </c>
      <c r="H1867" s="48" t="str">
        <f>_xlfn.XLOOKUP(Table134526_79101120212223242526[[#This Row],[Name Surname]],Manpower!$C$4:$C$1048576,Manpower!$H$4:$H$1048576,"")</f>
        <v>Manpower</v>
      </c>
      <c r="I1867" s="48" t="str">
        <f>_xlfn.XLOOKUP(Table134526_79101120212223242526[[#This Row],[Name Surname]],Manpower!$C$4:$C$1048576,Manpower!$H$4:$H$1048576,"")</f>
        <v>Manpower</v>
      </c>
      <c r="J1867" s="43" t="s">
        <v>48</v>
      </c>
      <c r="K1867" s="43" t="s">
        <v>26</v>
      </c>
      <c r="L1867" s="43" t="s">
        <v>49</v>
      </c>
      <c r="M1867" s="43" t="s">
        <v>24</v>
      </c>
      <c r="N1867" s="44">
        <v>5</v>
      </c>
      <c r="O1867" s="43" t="s">
        <v>28</v>
      </c>
      <c r="P1867" s="43" t="s">
        <v>41</v>
      </c>
      <c r="Q1867" s="43" t="s">
        <v>41</v>
      </c>
      <c r="R1867" s="43" t="s">
        <v>26</v>
      </c>
      <c r="S1867" s="43"/>
    </row>
    <row r="1868" spans="1:19" ht="14.4" hidden="1">
      <c r="A1868" s="33">
        <f>IF(C1868="","",MAX($A$1:A1867)+1)</f>
        <v>1758</v>
      </c>
      <c r="B1868" s="25" t="s">
        <v>19</v>
      </c>
      <c r="C1868" s="23">
        <v>46097</v>
      </c>
      <c r="D1868" s="28" t="str">
        <f>_xlfn.XLOOKUP(Table134526_79101120212223242526[[#This Row],[Name Surname]],Manpower!$C$4:$C$1048576,Manpower!$B$4:$B$1048576,"")</f>
        <v>Encogroup</v>
      </c>
      <c r="E1868" s="21" t="s">
        <v>33</v>
      </c>
      <c r="F1868" s="12">
        <f>_xlfn.XLOOKUP(Table134526_79101120212223242526[[#This Row],[Name Surname]],Manpower!C:C,Manpower!D:D,)</f>
        <v>124565057</v>
      </c>
      <c r="G1868" s="28" t="str">
        <f>_xlfn.XLOOKUP(Table134526_79101120212223242526[[#This Row],[Name Surname]],Manpower!$C$4:$C$1048576,Manpower!$F$4:$F$1048576,"")</f>
        <v>Fitter/Erector</v>
      </c>
      <c r="H1868" s="28" t="str">
        <f>_xlfn.XLOOKUP(Table134526_79101120212223242526[[#This Row],[Name Surname]],Manpower!$C$4:$C$1048576,Manpower!$H$4:$H$1048576,"")</f>
        <v>Manpower</v>
      </c>
      <c r="I1868" s="28" t="str">
        <f>_xlfn.XLOOKUP(Table134526_79101120212223242526[[#This Row],[Name Surname]],Manpower!$C$4:$C$1048576,Manpower!$H$4:$H$1048576,"")</f>
        <v>Manpower</v>
      </c>
      <c r="J1868" s="21" t="s">
        <v>48</v>
      </c>
      <c r="K1868" s="21" t="s">
        <v>26</v>
      </c>
      <c r="L1868" s="21" t="s">
        <v>49</v>
      </c>
      <c r="M1868" s="21" t="s">
        <v>24</v>
      </c>
      <c r="N1868" s="29">
        <v>10</v>
      </c>
      <c r="O1868" s="21" t="s">
        <v>25</v>
      </c>
      <c r="P1868" s="21" t="s">
        <v>41</v>
      </c>
      <c r="Q1868" s="21" t="s">
        <v>60</v>
      </c>
      <c r="R1868" s="21" t="s">
        <v>26</v>
      </c>
    </row>
    <row r="1869" spans="1:19" ht="14.4" hidden="1">
      <c r="A1869" s="33">
        <f>IF(C1869="","",MAX($A$1:A1868)+1)</f>
        <v>1759</v>
      </c>
      <c r="B1869" s="33" t="s">
        <v>19</v>
      </c>
      <c r="C1869" s="23">
        <v>46097</v>
      </c>
      <c r="D1869" s="28" t="str">
        <f>_xlfn.XLOOKUP(Table134526_79101120212223242526[[#This Row],[Name Surname]],Manpower!$C$4:$C$1048576,Manpower!$B$4:$B$1048576,"")</f>
        <v>Encogroup</v>
      </c>
      <c r="E1869" s="21" t="s">
        <v>62</v>
      </c>
      <c r="F1869" s="12">
        <f>_xlfn.XLOOKUP(Table134526_79101120212223242526[[#This Row],[Name Surname]],Manpower!C:C,Manpower!D:D,)</f>
        <v>140844797</v>
      </c>
      <c r="G1869" s="28" t="str">
        <f>_xlfn.XLOOKUP(Table134526_79101120212223242526[[#This Row],[Name Surname]],Manpower!$C$4:$C$1048576,Manpower!$F$4:$F$1048576,"")</f>
        <v>Fitter/Erector</v>
      </c>
      <c r="H1869" s="28" t="str">
        <f>_xlfn.XLOOKUP(Table134526_79101120212223242526[[#This Row],[Name Surname]],Manpower!$C$4:$C$1048576,Manpower!$H$4:$H$1048576,"")</f>
        <v>Manpower</v>
      </c>
      <c r="I1869" s="28" t="str">
        <f>_xlfn.XLOOKUP(Table134526_79101120212223242526[[#This Row],[Name Surname]],Manpower!$C$4:$C$1048576,Manpower!$H$4:$H$1048576,"")</f>
        <v>Manpower</v>
      </c>
      <c r="J1869" s="21" t="s">
        <v>48</v>
      </c>
      <c r="K1869" s="21" t="s">
        <v>26</v>
      </c>
      <c r="L1869" s="21" t="s">
        <v>49</v>
      </c>
      <c r="M1869" s="21" t="s">
        <v>24</v>
      </c>
      <c r="N1869" s="29">
        <v>10</v>
      </c>
      <c r="O1869" s="21" t="s">
        <v>25</v>
      </c>
      <c r="P1869" s="21" t="s">
        <v>41</v>
      </c>
      <c r="Q1869" s="21" t="s">
        <v>60</v>
      </c>
      <c r="R1869" s="21" t="s">
        <v>26</v>
      </c>
    </row>
    <row r="1870" spans="1:19" ht="14.4">
      <c r="A1870" s="33">
        <f>IF(C1870="","",MAX($A$1:A1869)+1)</f>
        <v>1760</v>
      </c>
      <c r="B1870" s="25" t="s">
        <v>19</v>
      </c>
      <c r="C1870" s="23">
        <v>46097</v>
      </c>
      <c r="D1870" s="24" t="str">
        <f>_xlfn.XLOOKUP(Table134526_79101120212223242526[[#This Row],[Name Surname]],Manpower!$C$4:$C$1048576,Manpower!$B$4:$B$1048576,"")</f>
        <v>Encogroup</v>
      </c>
      <c r="E1870" s="23" t="s">
        <v>63</v>
      </c>
      <c r="F1870" s="12" t="e">
        <f>_xlfn.XLOOKUP(Table134526_79101120212223242526[[#This Row],[Name Surname]],Manpower!C:C,Manpower!D:D,)</f>
        <v>#N/A</v>
      </c>
      <c r="G1870" s="24" t="str">
        <f>_xlfn.XLOOKUP(Table134526_79101120212223242526[[#This Row],[Name Surname]],Manpower!$C$4:$C$1048576,Manpower!$F$4:$F$1048576,"")</f>
        <v>22KVA-Generator</v>
      </c>
      <c r="H1870" s="24" t="str">
        <f>_xlfn.XLOOKUP(Table134526_79101120212223242526[[#This Row],[Name Surname]],Manpower!$C$4:$C$1048576,Manpower!$H$4:$H$1048576,"")</f>
        <v>Equipment</v>
      </c>
      <c r="I1870" s="24" t="str">
        <f>_xlfn.XLOOKUP(Table134526_79101120212223242526[[#This Row],[Name Surname]],Manpower!$C$4:$C$1048576,Manpower!$H$4:$H$1048576,"")</f>
        <v>Equipment</v>
      </c>
      <c r="J1870" s="21" t="s">
        <v>48</v>
      </c>
      <c r="K1870" s="21" t="s">
        <v>26</v>
      </c>
      <c r="L1870" s="21" t="s">
        <v>49</v>
      </c>
      <c r="M1870" s="21" t="s">
        <v>24</v>
      </c>
      <c r="N1870" s="29">
        <v>10</v>
      </c>
      <c r="O1870" s="21" t="s">
        <v>25</v>
      </c>
      <c r="P1870" s="21" t="s">
        <v>41</v>
      </c>
      <c r="Q1870" s="21" t="s">
        <v>41</v>
      </c>
      <c r="R1870" s="21" t="s">
        <v>26</v>
      </c>
    </row>
    <row r="1871" spans="1:19" s="45" customFormat="1" ht="14.4" hidden="1">
      <c r="A1871" s="25">
        <f>IF(C1871="","",MAX($A$1:A1869)+1)</f>
        <v>1760</v>
      </c>
      <c r="B1871" s="25" t="s">
        <v>19</v>
      </c>
      <c r="C1871" s="41">
        <v>46097</v>
      </c>
      <c r="D1871" s="48" t="str">
        <f>_xlfn.XLOOKUP(Table134526_79101120212223242526[[#This Row],[Name Surname]],Manpower!$C$4:$C$1048576,Manpower!$B$4:$B$1048576,"")</f>
        <v>Bright Light</v>
      </c>
      <c r="E1871" s="43" t="s">
        <v>64</v>
      </c>
      <c r="F1871" s="12">
        <f>_xlfn.XLOOKUP(Table134526_79101120212223242526[[#This Row],[Name Surname]],Manpower!C:C,Manpower!D:D,)</f>
        <v>114531608</v>
      </c>
      <c r="G1871" s="48" t="str">
        <f>_xlfn.XLOOKUP(Table134526_79101120212223242526[[#This Row],[Name Surname]],Manpower!$C$4:$C$1048576,Manpower!$F$4:$F$1048576,"")</f>
        <v>Crane Operator-150T Sany Crawler</v>
      </c>
      <c r="H1871" s="48" t="s">
        <v>39</v>
      </c>
      <c r="I1871" s="48" t="s">
        <v>39</v>
      </c>
      <c r="J1871" s="43" t="s">
        <v>48</v>
      </c>
      <c r="K1871" s="43" t="s">
        <v>26</v>
      </c>
      <c r="L1871" s="43" t="s">
        <v>49</v>
      </c>
      <c r="M1871" s="43" t="s">
        <v>24</v>
      </c>
      <c r="N1871" s="44">
        <v>10</v>
      </c>
      <c r="O1871" s="43" t="s">
        <v>40</v>
      </c>
      <c r="P1871" s="43" t="s">
        <v>41</v>
      </c>
      <c r="Q1871" s="43" t="s">
        <v>42</v>
      </c>
      <c r="R1871" s="43" t="s">
        <v>26</v>
      </c>
      <c r="S1871" s="43"/>
    </row>
    <row r="1872" spans="1:19" s="45" customFormat="1" ht="14.4" hidden="1">
      <c r="A1872" s="25">
        <f>IF(C1872="","",MAX($A$1:A1871)+1)</f>
        <v>1761</v>
      </c>
      <c r="B1872" s="25" t="s">
        <v>19</v>
      </c>
      <c r="C1872" s="41">
        <v>46097</v>
      </c>
      <c r="D1872" s="48" t="str">
        <f>_xlfn.XLOOKUP(Table134526_79101120212223242526[[#This Row],[Name Surname]],Manpower!$C$4:$C$1048576,Manpower!$B$4:$B$1048576,"")</f>
        <v>Encogroup</v>
      </c>
      <c r="E1872" s="43" t="s">
        <v>67</v>
      </c>
      <c r="F1872" s="12">
        <f>_xlfn.XLOOKUP(Table134526_79101120212223242526[[#This Row],[Name Surname]],Manpower!C:C,Manpower!D:D,)</f>
        <v>122082769</v>
      </c>
      <c r="G1872" s="48" t="str">
        <f>_xlfn.XLOOKUP(Table134526_79101120212223242526[[#This Row],[Name Surname]],Manpower!$C$4:$C$1048576,Manpower!$F$4:$F$1048576,"")</f>
        <v>Grinder</v>
      </c>
      <c r="H1872" s="48" t="str">
        <f>_xlfn.XLOOKUP(Table134526_79101120212223242526[[#This Row],[Name Surname]],Manpower!$C$4:$C$1048576,Manpower!$H$4:$H$1048576,"")</f>
        <v>Manpower</v>
      </c>
      <c r="I1872" s="48" t="str">
        <f>_xlfn.XLOOKUP(Table134526_79101120212223242526[[#This Row],[Name Surname]],Manpower!$C$4:$C$1048576,Manpower!$H$4:$H$1048576,"")</f>
        <v>Manpower</v>
      </c>
      <c r="J1872" s="43" t="s">
        <v>48</v>
      </c>
      <c r="K1872" s="43" t="s">
        <v>26</v>
      </c>
      <c r="L1872" s="43" t="s">
        <v>49</v>
      </c>
      <c r="M1872" s="43" t="s">
        <v>24</v>
      </c>
      <c r="N1872" s="44">
        <v>10</v>
      </c>
      <c r="O1872" s="43" t="s">
        <v>25</v>
      </c>
      <c r="P1872" s="43" t="s">
        <v>41</v>
      </c>
      <c r="Q1872" s="43" t="s">
        <v>60</v>
      </c>
      <c r="R1872" s="43" t="s">
        <v>26</v>
      </c>
      <c r="S1872" s="43"/>
    </row>
    <row r="1873" spans="1:19" s="45" customFormat="1" ht="14.4" hidden="1">
      <c r="A1873" s="25">
        <f>IF(C1873="","",MAX($A$1:A1872)+1)</f>
        <v>1762</v>
      </c>
      <c r="B1873" s="25" t="s">
        <v>19</v>
      </c>
      <c r="C1873" s="41">
        <v>46097</v>
      </c>
      <c r="D1873" s="48" t="str">
        <f>_xlfn.XLOOKUP(Table134526_79101120212223242526[[#This Row],[Name Surname]],Manpower!$C$4:$C$1048576,Manpower!$B$4:$B$1048576,"")</f>
        <v>AL Saif &amp; Al QALLM ENT LLC</v>
      </c>
      <c r="E1873" s="43" t="s">
        <v>65</v>
      </c>
      <c r="F1873" s="12">
        <f>_xlfn.XLOOKUP(Table134526_79101120212223242526[[#This Row],[Name Surname]],Manpower!C:C,Manpower!D:D,)</f>
        <v>108478006</v>
      </c>
      <c r="G1873" s="48" t="str">
        <f>_xlfn.XLOOKUP(Table134526_79101120212223242526[[#This Row],[Name Surname]],Manpower!$C$4:$C$1048576,Manpower!$F$4:$F$1048576,"")</f>
        <v>RIgger</v>
      </c>
      <c r="H1873" s="48" t="str">
        <f>_xlfn.XLOOKUP(Table134526_79101120212223242526[[#This Row],[Name Surname]],Manpower!$C$4:$C$1048576,Manpower!$H$4:$H$1048576,"")</f>
        <v>Sub Contactor</v>
      </c>
      <c r="I1873" s="48" t="str">
        <f>_xlfn.XLOOKUP(Table134526_79101120212223242526[[#This Row],[Name Surname]],Manpower!$C$4:$C$1048576,Manpower!$H$4:$H$1048576,"")</f>
        <v>Sub Contactor</v>
      </c>
      <c r="J1873" s="43" t="s">
        <v>48</v>
      </c>
      <c r="K1873" s="43" t="s">
        <v>26</v>
      </c>
      <c r="L1873" s="43" t="s">
        <v>49</v>
      </c>
      <c r="M1873" s="43" t="s">
        <v>24</v>
      </c>
      <c r="N1873" s="44">
        <v>8</v>
      </c>
      <c r="O1873" s="43" t="s">
        <v>25</v>
      </c>
      <c r="P1873" s="43" t="s">
        <v>41</v>
      </c>
      <c r="Q1873" s="43" t="s">
        <v>60</v>
      </c>
      <c r="R1873" s="43" t="s">
        <v>26</v>
      </c>
      <c r="S1873" s="43"/>
    </row>
    <row r="1874" spans="1:19" s="45" customFormat="1" ht="14.4" hidden="1">
      <c r="A1874" s="25">
        <f>IF(C1874="","",MAX($A$1:A1873)+1)</f>
        <v>1763</v>
      </c>
      <c r="B1874" s="25" t="s">
        <v>19</v>
      </c>
      <c r="C1874" s="41">
        <v>46097</v>
      </c>
      <c r="D1874" s="48" t="str">
        <f>_xlfn.XLOOKUP(Table134526_79101120212223242526[[#This Row],[Name Surname]],Manpower!$C$4:$C$1048576,Manpower!$B$4:$B$1048576,"")</f>
        <v>AL Omar International TRAD AND CONT</v>
      </c>
      <c r="E1874" s="43" t="s">
        <v>66</v>
      </c>
      <c r="F1874" s="12">
        <f>_xlfn.XLOOKUP(Table134526_79101120212223242526[[#This Row],[Name Surname]],Manpower!C:C,Manpower!D:D,)</f>
        <v>115018512</v>
      </c>
      <c r="G1874" s="48" t="str">
        <f>_xlfn.XLOOKUP(Table134526_79101120212223242526[[#This Row],[Name Surname]],Manpower!$C$4:$C$1048576,Manpower!$F$4:$F$1048576,"")</f>
        <v>RIgger</v>
      </c>
      <c r="H1874" s="48" t="str">
        <f>_xlfn.XLOOKUP(Table134526_79101120212223242526[[#This Row],[Name Surname]],Manpower!$C$4:$C$1048576,Manpower!$H$4:$H$1048576,"")</f>
        <v>Sub Contactor</v>
      </c>
      <c r="I1874" s="48" t="str">
        <f>_xlfn.XLOOKUP(Table134526_79101120212223242526[[#This Row],[Name Surname]],Manpower!$C$4:$C$1048576,Manpower!$H$4:$H$1048576,"")</f>
        <v>Sub Contactor</v>
      </c>
      <c r="J1874" s="43" t="s">
        <v>48</v>
      </c>
      <c r="K1874" s="43" t="s">
        <v>26</v>
      </c>
      <c r="L1874" s="43" t="s">
        <v>49</v>
      </c>
      <c r="M1874" s="43" t="s">
        <v>24</v>
      </c>
      <c r="N1874" s="44">
        <v>8</v>
      </c>
      <c r="O1874" s="43" t="s">
        <v>25</v>
      </c>
      <c r="P1874" s="43" t="s">
        <v>41</v>
      </c>
      <c r="Q1874" s="43" t="s">
        <v>60</v>
      </c>
      <c r="R1874" s="43" t="s">
        <v>26</v>
      </c>
      <c r="S1874" s="43"/>
    </row>
    <row r="1875" spans="1:19" ht="14.4" hidden="1">
      <c r="A1875" s="33">
        <f>IF(C1875="","",MAX($A$1:A1874)+1)</f>
        <v>1764</v>
      </c>
      <c r="B1875" s="33" t="s">
        <v>19</v>
      </c>
      <c r="C1875" s="23">
        <v>46097</v>
      </c>
      <c r="D1875" s="28" t="str">
        <f>_xlfn.XLOOKUP(Table134526_79101120212223242526[[#This Row],[Name Surname]],Manpower!$C$4:$C$1048576,Manpower!$B$4:$B$1048576,"")</f>
        <v>Encogroup</v>
      </c>
      <c r="E1875" s="21" t="s">
        <v>68</v>
      </c>
      <c r="F1875" s="12">
        <f>_xlfn.XLOOKUP(Table134526_79101120212223242526[[#This Row],[Name Surname]],Manpower!C:C,Manpower!D:D,)</f>
        <v>116915582</v>
      </c>
      <c r="G1875" s="28" t="str">
        <f>_xlfn.XLOOKUP(Table134526_79101120212223242526[[#This Row],[Name Surname]],Manpower!$C$4:$C$1048576,Manpower!$F$4:$F$1048576,"")</f>
        <v>Mechanical Superintendent</v>
      </c>
      <c r="H1875" s="28" t="str">
        <f>_xlfn.XLOOKUP(Table134526_79101120212223242526[[#This Row],[Name Surname]],Manpower!$C$4:$C$1048576,Manpower!$H$4:$H$1048576,"")</f>
        <v>Manpower</v>
      </c>
      <c r="I1875" s="28" t="str">
        <f>_xlfn.XLOOKUP(Table134526_79101120212223242526[[#This Row],[Name Surname]],Manpower!$C$4:$C$1048576,Manpower!$H$4:$H$1048576,"")</f>
        <v>Manpower</v>
      </c>
      <c r="J1875" s="21" t="s">
        <v>48</v>
      </c>
      <c r="K1875" s="21" t="s">
        <v>26</v>
      </c>
      <c r="L1875" s="21" t="s">
        <v>49</v>
      </c>
      <c r="M1875" s="21" t="s">
        <v>24</v>
      </c>
      <c r="N1875" s="29">
        <v>8</v>
      </c>
      <c r="O1875" s="21" t="s">
        <v>25</v>
      </c>
      <c r="P1875" s="21" t="s">
        <v>41</v>
      </c>
      <c r="Q1875" s="21" t="s">
        <v>60</v>
      </c>
      <c r="R1875" s="21" t="s">
        <v>26</v>
      </c>
    </row>
    <row r="1876" spans="1:19" s="45" customFormat="1" ht="14.4" hidden="1">
      <c r="A1876" s="25">
        <f>IF(C1876="","",MAX($A$1:A1875)+1)</f>
        <v>1765</v>
      </c>
      <c r="B1876" s="25" t="s">
        <v>19</v>
      </c>
      <c r="C1876" s="41">
        <v>46097</v>
      </c>
      <c r="D1876" s="48" t="str">
        <f>_xlfn.XLOOKUP(Table134526_79101120212223242526[[#This Row],[Name Surname]],Manpower!$C$4:$C$1048576,Manpower!$B$4:$B$1048576,"")</f>
        <v>Encogroup</v>
      </c>
      <c r="E1876" s="43" t="s">
        <v>37</v>
      </c>
      <c r="F1876" s="12">
        <f>_xlfn.XLOOKUP(Table134526_79101120212223242526[[#This Row],[Name Surname]],Manpower!C:C,Manpower!D:D,)</f>
        <v>140742088</v>
      </c>
      <c r="G1876" s="48" t="str">
        <f>_xlfn.XLOOKUP(Table134526_79101120212223242526[[#This Row],[Name Surname]],Manpower!$C$4:$C$1048576,Manpower!$F$4:$F$1048576,"")</f>
        <v>Fitter/Erector</v>
      </c>
      <c r="H1876" s="48" t="str">
        <f>_xlfn.XLOOKUP(Table134526_79101120212223242526[[#This Row],[Name Surname]],Manpower!$C$4:$C$1048576,Manpower!$H$4:$H$1048576,"")</f>
        <v>Manpower</v>
      </c>
      <c r="I1876" s="48" t="str">
        <f>_xlfn.XLOOKUP(Table134526_79101120212223242526[[#This Row],[Name Surname]],Manpower!$C$4:$C$1048576,Manpower!$H$4:$H$1048576,"")</f>
        <v>Manpower</v>
      </c>
      <c r="J1876" s="43" t="s">
        <v>48</v>
      </c>
      <c r="K1876" s="43" t="s">
        <v>26</v>
      </c>
      <c r="L1876" s="43" t="s">
        <v>49</v>
      </c>
      <c r="M1876" s="43" t="s">
        <v>24</v>
      </c>
      <c r="N1876" s="44">
        <v>3</v>
      </c>
      <c r="O1876" s="43" t="s">
        <v>25</v>
      </c>
      <c r="P1876" s="43" t="s">
        <v>41</v>
      </c>
      <c r="Q1876" s="43" t="s">
        <v>60</v>
      </c>
      <c r="R1876" s="43" t="s">
        <v>26</v>
      </c>
      <c r="S1876" s="43"/>
    </row>
    <row r="1877" spans="1:19" s="45" customFormat="1" ht="14.4" hidden="1">
      <c r="A1877" s="25">
        <f>IF(C1877="","",MAX($A$1:A1876)+1)</f>
        <v>1766</v>
      </c>
      <c r="B1877" s="25" t="s">
        <v>19</v>
      </c>
      <c r="C1877" s="41">
        <v>46097</v>
      </c>
      <c r="D1877" s="48" t="str">
        <f>_xlfn.XLOOKUP(Table134526_79101120212223242526[[#This Row],[Name Surname]],Manpower!$C$4:$C$1048576,Manpower!$B$4:$B$1048576,"")</f>
        <v>AL Omar International TRAD AND CONT</v>
      </c>
      <c r="E1877" s="43" t="s">
        <v>197</v>
      </c>
      <c r="F1877" s="12">
        <f>_xlfn.XLOOKUP(Table134526_79101120212223242526[[#This Row],[Name Surname]],Manpower!C:C,Manpower!D:D,)</f>
        <v>106093463</v>
      </c>
      <c r="G1877" s="48" t="str">
        <f>_xlfn.XLOOKUP(Table134526_79101120212223242526[[#This Row],[Name Surname]],Manpower!$C$4:$C$1048576,Manpower!$F$4:$F$1048576,"")</f>
        <v>RIgger</v>
      </c>
      <c r="H1877" s="48" t="str">
        <f>_xlfn.XLOOKUP(Table134526_79101120212223242526[[#This Row],[Name Surname]],Manpower!$C$4:$C$1048576,Manpower!$H$4:$H$1048576,"")</f>
        <v>Sub Contactor</v>
      </c>
      <c r="I1877" s="48" t="str">
        <f>_xlfn.XLOOKUP(Table134526_79101120212223242526[[#This Row],[Name Surname]],Manpower!$C$4:$C$1048576,Manpower!$H$4:$H$1048576,"")</f>
        <v>Sub Contactor</v>
      </c>
      <c r="J1877" s="43" t="s">
        <v>48</v>
      </c>
      <c r="K1877" s="43" t="s">
        <v>26</v>
      </c>
      <c r="L1877" s="43" t="s">
        <v>49</v>
      </c>
      <c r="M1877" s="43" t="s">
        <v>24</v>
      </c>
      <c r="N1877" s="44">
        <v>8</v>
      </c>
      <c r="O1877" s="43" t="s">
        <v>25</v>
      </c>
      <c r="P1877" s="43" t="s">
        <v>41</v>
      </c>
      <c r="Q1877" s="43" t="s">
        <v>60</v>
      </c>
      <c r="R1877" s="43" t="s">
        <v>26</v>
      </c>
      <c r="S1877" s="43"/>
    </row>
    <row r="1878" spans="1:19" s="45" customFormat="1" ht="14.4" hidden="1">
      <c r="A1878" s="25">
        <f>IF(C1878="","",MAX($A$1:A1877)+1)</f>
        <v>1767</v>
      </c>
      <c r="B1878" s="25" t="s">
        <v>19</v>
      </c>
      <c r="C1878" s="41">
        <v>46097</v>
      </c>
      <c r="D1878" s="48" t="str">
        <f>_xlfn.XLOOKUP(Table134526_79101120212223242526[[#This Row],[Name Surname]],Manpower!$C$4:$C$1048576,Manpower!$B$4:$B$1048576,"")</f>
        <v>AL Saif &amp; Al QALLM ENT LLC</v>
      </c>
      <c r="E1878" s="43" t="s">
        <v>194</v>
      </c>
      <c r="F1878" s="12">
        <f>_xlfn.XLOOKUP(Table134526_79101120212223242526[[#This Row],[Name Surname]],Manpower!C:C,Manpower!D:D,)</f>
        <v>135340657</v>
      </c>
      <c r="G1878" s="48" t="str">
        <f>_xlfn.XLOOKUP(Table134526_79101120212223242526[[#This Row],[Name Surname]],Manpower!$C$4:$C$1048576,Manpower!$F$4:$F$1048576,"")</f>
        <v>Forklift Operator</v>
      </c>
      <c r="H1878" s="48" t="str">
        <f>_xlfn.XLOOKUP(Table134526_79101120212223242526[[#This Row],[Name Surname]],Manpower!$C$4:$C$1048576,Manpower!$H$4:$H$1048576,"")</f>
        <v>Sub Contactor</v>
      </c>
      <c r="I1878" s="48" t="str">
        <f>_xlfn.XLOOKUP(Table134526_79101120212223242526[[#This Row],[Name Surname]],Manpower!$C$4:$C$1048576,Manpower!$H$4:$H$1048576,"")</f>
        <v>Sub Contactor</v>
      </c>
      <c r="J1878" s="43" t="s">
        <v>48</v>
      </c>
      <c r="K1878" s="43" t="s">
        <v>26</v>
      </c>
      <c r="L1878" s="43" t="s">
        <v>49</v>
      </c>
      <c r="M1878" s="43" t="s">
        <v>24</v>
      </c>
      <c r="N1878" s="44">
        <v>8</v>
      </c>
      <c r="O1878" s="43" t="s">
        <v>25</v>
      </c>
      <c r="P1878" s="43" t="s">
        <v>41</v>
      </c>
      <c r="Q1878" s="43" t="s">
        <v>60</v>
      </c>
      <c r="R1878" s="43" t="s">
        <v>26</v>
      </c>
      <c r="S1878" s="43"/>
    </row>
    <row r="1879" spans="1:19" s="45" customFormat="1" ht="14.4" hidden="1">
      <c r="A1879" s="25">
        <f>IF(C1879="","",MAX($A$1:A1878)+1)</f>
        <v>1768</v>
      </c>
      <c r="B1879" s="25" t="s">
        <v>19</v>
      </c>
      <c r="C1879" s="41">
        <v>46097</v>
      </c>
      <c r="D1879" s="48" t="str">
        <f>_xlfn.XLOOKUP(Table134526_79101120212223242526[[#This Row],[Name Surname]],Manpower!$C$4:$C$1048576,Manpower!$B$4:$B$1048576,"")</f>
        <v>Encogroup</v>
      </c>
      <c r="E1879" s="43" t="s">
        <v>323</v>
      </c>
      <c r="F1879" s="12">
        <f>_xlfn.XLOOKUP(Table134526_79101120212223242526[[#This Row],[Name Surname]],Manpower!C:C,Manpower!D:D,)</f>
        <v>141322471</v>
      </c>
      <c r="G1879" s="48" t="str">
        <f>_xlfn.XLOOKUP(Table134526_79101120212223242526[[#This Row],[Name Surname]],Manpower!$C$4:$C$1048576,Manpower!$F$4:$F$1048576,"")</f>
        <v>Welding Inspector</v>
      </c>
      <c r="H1879" s="48" t="str">
        <f>_xlfn.XLOOKUP(Table134526_79101120212223242526[[#This Row],[Name Surname]],Manpower!$C$4:$C$1048576,Manpower!$H$4:$H$1048576,"")</f>
        <v>Manpower</v>
      </c>
      <c r="I1879" s="48" t="str">
        <f>_xlfn.XLOOKUP(Table134526_79101120212223242526[[#This Row],[Name Surname]],Manpower!$C$4:$C$1048576,Manpower!$H$4:$H$1048576,"")</f>
        <v>Manpower</v>
      </c>
      <c r="J1879" s="43" t="s">
        <v>48</v>
      </c>
      <c r="K1879" s="43" t="s">
        <v>26</v>
      </c>
      <c r="L1879" s="43" t="s">
        <v>49</v>
      </c>
      <c r="M1879" s="43" t="s">
        <v>24</v>
      </c>
      <c r="N1879" s="44">
        <v>10</v>
      </c>
      <c r="O1879" s="43" t="s">
        <v>25</v>
      </c>
      <c r="P1879" s="43" t="s">
        <v>41</v>
      </c>
      <c r="Q1879" s="43" t="s">
        <v>60</v>
      </c>
      <c r="R1879" s="43" t="s">
        <v>26</v>
      </c>
      <c r="S1879" s="43"/>
    </row>
    <row r="1880" spans="1:19" s="45" customFormat="1" ht="14.4" hidden="1">
      <c r="A1880" s="25">
        <f>IF(C1880="","",MAX($A$1:A1879)+1)</f>
        <v>1769</v>
      </c>
      <c r="B1880" s="25" t="s">
        <v>19</v>
      </c>
      <c r="C1880" s="41">
        <v>46097</v>
      </c>
      <c r="D1880" s="48" t="str">
        <f>_xlfn.XLOOKUP(Table134526_79101120212223242526[[#This Row],[Name Surname]],Manpower!$C$4:$C$1048576,Manpower!$B$4:$B$1048576,"")</f>
        <v>Encogroup</v>
      </c>
      <c r="E1880" s="43" t="s">
        <v>46</v>
      </c>
      <c r="F1880" s="12">
        <f>_xlfn.XLOOKUP(Table134526_79101120212223242526[[#This Row],[Name Surname]],Manpower!C:C,Manpower!D:D,)</f>
        <v>140844618</v>
      </c>
      <c r="G1880" s="48" t="str">
        <f>_xlfn.XLOOKUP(Table134526_79101120212223242526[[#This Row],[Name Surname]],Manpower!$C$4:$C$1048576,Manpower!$F$4:$F$1048576,"")</f>
        <v>Assistant/Helper</v>
      </c>
      <c r="H1880" s="48" t="str">
        <f>_xlfn.XLOOKUP(Table134526_79101120212223242526[[#This Row],[Name Surname]],Manpower!$C$4:$C$1048576,Manpower!$H$4:$H$1048576,"")</f>
        <v>Manpower</v>
      </c>
      <c r="I1880" s="48" t="str">
        <f>_xlfn.XLOOKUP(Table134526_79101120212223242526[[#This Row],[Name Surname]],Manpower!$C$4:$C$1048576,Manpower!$H$4:$H$1048576,"")</f>
        <v>Manpower</v>
      </c>
      <c r="J1880" s="43" t="s">
        <v>48</v>
      </c>
      <c r="K1880" s="43" t="s">
        <v>26</v>
      </c>
      <c r="L1880" s="43" t="s">
        <v>49</v>
      </c>
      <c r="M1880" s="43" t="s">
        <v>24</v>
      </c>
      <c r="N1880" s="44">
        <v>5</v>
      </c>
      <c r="O1880" s="43" t="s">
        <v>25</v>
      </c>
      <c r="P1880" s="43" t="s">
        <v>41</v>
      </c>
      <c r="Q1880" s="43" t="s">
        <v>60</v>
      </c>
      <c r="R1880" s="43" t="s">
        <v>26</v>
      </c>
      <c r="S1880" s="43"/>
    </row>
    <row r="1881" spans="1:19" s="45" customFormat="1" ht="14.4" hidden="1">
      <c r="A1881" s="25">
        <f>IF(C1881="","",MAX($A$1:A1880)+1)</f>
        <v>1770</v>
      </c>
      <c r="B1881" s="25" t="s">
        <v>19</v>
      </c>
      <c r="C1881" s="41">
        <v>46097</v>
      </c>
      <c r="D1881" s="48" t="str">
        <f>_xlfn.XLOOKUP(Table134526_79101120212223242526[[#This Row],[Name Surname]],Manpower!$C$4:$C$1048576,Manpower!$B$4:$B$1048576,"")</f>
        <v>AL Omar International TRAD AND CONT</v>
      </c>
      <c r="E1881" s="43" t="s">
        <v>36</v>
      </c>
      <c r="F1881" s="12">
        <f>_xlfn.XLOOKUP(Table134526_79101120212223242526[[#This Row],[Name Surname]],Manpower!C:C,Manpower!D:D,)</f>
        <v>114929202</v>
      </c>
      <c r="G1881" s="48" t="str">
        <f>_xlfn.XLOOKUP(Table134526_79101120212223242526[[#This Row],[Name Surname]],Manpower!$C$4:$C$1048576,Manpower!$F$4:$F$1048576,"")</f>
        <v>RIgger</v>
      </c>
      <c r="H1881" s="48" t="str">
        <f>_xlfn.XLOOKUP(Table134526_79101120212223242526[[#This Row],[Name Surname]],Manpower!$C$4:$C$1048576,Manpower!$H$4:$H$1048576,"")</f>
        <v>Sub Contactor</v>
      </c>
      <c r="I1881" s="48" t="str">
        <f>_xlfn.XLOOKUP(Table134526_79101120212223242526[[#This Row],[Name Surname]],Manpower!$C$4:$C$1048576,Manpower!$H$4:$H$1048576,"")</f>
        <v>Sub Contactor</v>
      </c>
      <c r="J1881" s="43" t="s">
        <v>48</v>
      </c>
      <c r="K1881" s="43" t="s">
        <v>26</v>
      </c>
      <c r="L1881" s="43" t="s">
        <v>49</v>
      </c>
      <c r="M1881" s="43" t="s">
        <v>24</v>
      </c>
      <c r="N1881" s="44">
        <v>3</v>
      </c>
      <c r="O1881" s="43" t="s">
        <v>25</v>
      </c>
      <c r="P1881" s="43" t="s">
        <v>41</v>
      </c>
      <c r="Q1881" s="43" t="s">
        <v>60</v>
      </c>
      <c r="R1881" s="43" t="s">
        <v>26</v>
      </c>
      <c r="S1881" s="43"/>
    </row>
    <row r="1882" spans="1:19" s="45" customFormat="1" ht="14.4" hidden="1">
      <c r="A1882" s="25">
        <f>IF(C1882="","",MAX($A$1:A1881)+1)</f>
        <v>1771</v>
      </c>
      <c r="B1882" s="25" t="s">
        <v>19</v>
      </c>
      <c r="C1882" s="41">
        <v>46097</v>
      </c>
      <c r="D1882" s="48" t="str">
        <f>_xlfn.XLOOKUP(Table134526_79101120212223242526[[#This Row],[Name Surname]],Manpower!$C$4:$C$1048576,Manpower!$B$4:$B$1048576,"")</f>
        <v>Encogroup</v>
      </c>
      <c r="E1882" s="43" t="s">
        <v>72</v>
      </c>
      <c r="F1882" s="12">
        <f>_xlfn.XLOOKUP(Table134526_79101120212223242526[[#This Row],[Name Surname]],Manpower!C:C,Manpower!D:D,)</f>
        <v>140764706</v>
      </c>
      <c r="G1882" s="48" t="str">
        <f>_xlfn.XLOOKUP(Table134526_79101120212223242526[[#This Row],[Name Surname]],Manpower!$C$4:$C$1048576,Manpower!$F$4:$F$1048576,"")</f>
        <v>Rigger</v>
      </c>
      <c r="H1882" s="48" t="str">
        <f>_xlfn.XLOOKUP(Table134526_79101120212223242526[[#This Row],[Name Surname]],Manpower!$C$4:$C$1048576,Manpower!$H$4:$H$1048576,"")</f>
        <v>Manpower</v>
      </c>
      <c r="I1882" s="48" t="str">
        <f>_xlfn.XLOOKUP(Table134526_79101120212223242526[[#This Row],[Name Surname]],Manpower!$C$4:$C$1048576,Manpower!$H$4:$H$1048576,"")</f>
        <v>Manpower</v>
      </c>
      <c r="J1882" s="43" t="s">
        <v>48</v>
      </c>
      <c r="K1882" s="43" t="s">
        <v>26</v>
      </c>
      <c r="L1882" s="43" t="s">
        <v>49</v>
      </c>
      <c r="M1882" s="43" t="s">
        <v>24</v>
      </c>
      <c r="N1882" s="44">
        <v>5</v>
      </c>
      <c r="O1882" s="43" t="s">
        <v>25</v>
      </c>
      <c r="P1882" s="43" t="s">
        <v>41</v>
      </c>
      <c r="Q1882" s="43" t="s">
        <v>60</v>
      </c>
      <c r="R1882" s="43" t="s">
        <v>26</v>
      </c>
      <c r="S1882" s="43"/>
    </row>
    <row r="1883" spans="1:19" s="45" customFormat="1" ht="14.4" hidden="1">
      <c r="A1883" s="25">
        <f>IF(C1883="","",MAX($A$1:A1882)+1)</f>
        <v>1772</v>
      </c>
      <c r="B1883" s="25" t="s">
        <v>19</v>
      </c>
      <c r="C1883" s="41">
        <v>46097</v>
      </c>
      <c r="D1883" s="48" t="str">
        <f>_xlfn.XLOOKUP(Table134526_79101120212223242526[[#This Row],[Name Surname]],Manpower!$C$4:$C$1048576,Manpower!$B$4:$B$1048576,"")</f>
        <v>Bright Light</v>
      </c>
      <c r="E1883" s="43" t="s">
        <v>324</v>
      </c>
      <c r="F1883" s="12">
        <f>_xlfn.XLOOKUP(Table134526_79101120212223242526[[#This Row],[Name Surname]],Manpower!C:C,Manpower!D:D,)</f>
        <v>83935096</v>
      </c>
      <c r="G1883" s="48" t="str">
        <f>_xlfn.XLOOKUP(Table134526_79101120212223242526[[#This Row],[Name Surname]],Manpower!$C$4:$C$1048576,Manpower!$F$4:$F$1048576,"")</f>
        <v>Technician</v>
      </c>
      <c r="H1883" s="48" t="str">
        <f>_xlfn.XLOOKUP(Table134526_79101120212223242526[[#This Row],[Name Surname]],Manpower!$C$4:$C$1048576,Manpower!$H$4:$H$1048576,"")</f>
        <v>Sub Contactor</v>
      </c>
      <c r="I1883" s="48" t="str">
        <f>_xlfn.XLOOKUP(Table134526_79101120212223242526[[#This Row],[Name Surname]],Manpower!$C$4:$C$1048576,Manpower!$H$4:$H$1048576,"")</f>
        <v>Sub Contactor</v>
      </c>
      <c r="J1883" s="43" t="s">
        <v>48</v>
      </c>
      <c r="K1883" s="43" t="s">
        <v>26</v>
      </c>
      <c r="L1883" s="43" t="s">
        <v>49</v>
      </c>
      <c r="M1883" s="43" t="s">
        <v>24</v>
      </c>
      <c r="N1883" s="44">
        <v>10</v>
      </c>
      <c r="O1883" s="43" t="s">
        <v>25</v>
      </c>
      <c r="P1883" s="43" t="s">
        <v>41</v>
      </c>
      <c r="Q1883" s="43" t="s">
        <v>60</v>
      </c>
      <c r="R1883" s="43" t="s">
        <v>26</v>
      </c>
      <c r="S1883" s="43"/>
    </row>
    <row r="1884" spans="1:19" s="45" customFormat="1" ht="14.4" hidden="1">
      <c r="A1884" s="25">
        <f>IF(C1884="","",MAX($A$1:A1883)+1)</f>
        <v>1773</v>
      </c>
      <c r="B1884" s="25" t="s">
        <v>19</v>
      </c>
      <c r="C1884" s="41">
        <v>46097</v>
      </c>
      <c r="D1884" s="48" t="str">
        <f>_xlfn.XLOOKUP(Table134526_79101120212223242526[[#This Row],[Name Surname]],Manpower!$C$4:$C$1048576,Manpower!$B$4:$B$1048576,"")</f>
        <v>Bright Light</v>
      </c>
      <c r="E1884" s="43" t="s">
        <v>325</v>
      </c>
      <c r="F1884" s="12" t="e">
        <f>_xlfn.XLOOKUP(Table134526_79101120212223242526[[#This Row],[Name Surname]],Manpower!C:C,Manpower!D:D,)</f>
        <v>#N/A</v>
      </c>
      <c r="G1884" s="48" t="str">
        <f>_xlfn.XLOOKUP(Table134526_79101120212223242526[[#This Row],[Name Surname]],Manpower!$C$4:$C$1048576,Manpower!$F$4:$F$1048576,"")</f>
        <v>Technician</v>
      </c>
      <c r="H1884" s="48" t="str">
        <f>_xlfn.XLOOKUP(Table134526_79101120212223242526[[#This Row],[Name Surname]],Manpower!$C$4:$C$1048576,Manpower!$H$4:$H$1048576,"")</f>
        <v>Sub Contactor</v>
      </c>
      <c r="I1884" s="48" t="str">
        <f>_xlfn.XLOOKUP(Table134526_79101120212223242526[[#This Row],[Name Surname]],Manpower!$C$4:$C$1048576,Manpower!$H$4:$H$1048576,"")</f>
        <v>Sub Contactor</v>
      </c>
      <c r="J1884" s="43" t="s">
        <v>48</v>
      </c>
      <c r="K1884" s="43" t="s">
        <v>26</v>
      </c>
      <c r="L1884" s="43" t="s">
        <v>49</v>
      </c>
      <c r="M1884" s="43" t="s">
        <v>24</v>
      </c>
      <c r="N1884" s="44">
        <v>10</v>
      </c>
      <c r="O1884" s="43" t="s">
        <v>25</v>
      </c>
      <c r="P1884" s="43" t="s">
        <v>41</v>
      </c>
      <c r="Q1884" s="43" t="s">
        <v>60</v>
      </c>
      <c r="R1884" s="43" t="s">
        <v>26</v>
      </c>
      <c r="S1884" s="43"/>
    </row>
    <row r="1885" spans="1:19" s="45" customFormat="1" ht="14.4" hidden="1">
      <c r="A1885" s="25">
        <f>IF(C1885="","",MAX($A$1:A1875)+1)</f>
        <v>1765</v>
      </c>
      <c r="B1885" s="25" t="s">
        <v>19</v>
      </c>
      <c r="C1885" s="41">
        <v>46097</v>
      </c>
      <c r="D1885" s="48" t="str">
        <f>_xlfn.XLOOKUP(Table134526_79101120212223242526[[#This Row],[Name Surname]],Manpower!$C$4:$C$1048576,Manpower!$B$4:$B$1048576,"")</f>
        <v>Encogroup</v>
      </c>
      <c r="E1885" s="43" t="s">
        <v>69</v>
      </c>
      <c r="F1885" s="12">
        <f>_xlfn.XLOOKUP(Table134526_79101120212223242526[[#This Row],[Name Surname]],Manpower!C:C,Manpower!D:D,)</f>
        <v>141169071</v>
      </c>
      <c r="G1885" s="48" t="str">
        <f>_xlfn.XLOOKUP(Table134526_79101120212223242526[[#This Row],[Name Surname]],Manpower!$C$4:$C$1048576,Manpower!$F$4:$F$1048576,"")</f>
        <v>Welding Supervisor</v>
      </c>
      <c r="H1885" s="48" t="str">
        <f>_xlfn.XLOOKUP(Table134526_79101120212223242526[[#This Row],[Name Surname]],Manpower!$C$4:$C$1048576,Manpower!$H$4:$H$1048576,"")</f>
        <v>Manpower</v>
      </c>
      <c r="I1885" s="48" t="str">
        <f>_xlfn.XLOOKUP(Table134526_79101120212223242526[[#This Row],[Name Surname]],Manpower!$C$4:$C$1048576,Manpower!$H$4:$H$1048576,"")</f>
        <v>Manpower</v>
      </c>
      <c r="J1885" s="43" t="s">
        <v>48</v>
      </c>
      <c r="K1885" s="43" t="s">
        <v>26</v>
      </c>
      <c r="L1885" s="43" t="s">
        <v>49</v>
      </c>
      <c r="M1885" s="43" t="s">
        <v>24</v>
      </c>
      <c r="N1885" s="44">
        <v>10</v>
      </c>
      <c r="O1885" s="43" t="s">
        <v>25</v>
      </c>
      <c r="P1885" s="43" t="s">
        <v>41</v>
      </c>
      <c r="Q1885" s="43" t="s">
        <v>60</v>
      </c>
      <c r="R1885" s="43" t="s">
        <v>26</v>
      </c>
      <c r="S1885" s="43"/>
    </row>
    <row r="1886" spans="1:19" ht="14.4" hidden="1">
      <c r="A1886" s="33">
        <f>IF(C1886="","",MAX($A$1:A1885)+1)</f>
        <v>1774</v>
      </c>
      <c r="B1886" s="25" t="s">
        <v>19</v>
      </c>
      <c r="C1886" s="23">
        <v>46097</v>
      </c>
      <c r="D1886" s="28" t="str">
        <f>_xlfn.XLOOKUP(Table134526_79101120212223242526[[#This Row],[Name Surname]],Manpower!$C$4:$C$1048576,Manpower!$B$4:$B$1048576,"")</f>
        <v>Encogroup</v>
      </c>
      <c r="E1886" s="21" t="s">
        <v>59</v>
      </c>
      <c r="F1886" s="12">
        <f>_xlfn.XLOOKUP(Table134526_79101120212223242526[[#This Row],[Name Surname]],Manpower!C:C,Manpower!D:D,)</f>
        <v>141169085</v>
      </c>
      <c r="G1886" s="28" t="str">
        <f>_xlfn.XLOOKUP(Table134526_79101120212223242526[[#This Row],[Name Surname]],Manpower!$C$4:$C$1048576,Manpower!$F$4:$F$1048576,"")</f>
        <v>Welder</v>
      </c>
      <c r="H1886" s="28" t="str">
        <f>_xlfn.XLOOKUP(Table134526_79101120212223242526[[#This Row],[Name Surname]],Manpower!$C$4:$C$1048576,Manpower!$H$4:$H$1048576,"")</f>
        <v>Manpower</v>
      </c>
      <c r="I1886" s="28" t="str">
        <f>_xlfn.XLOOKUP(Table134526_79101120212223242526[[#This Row],[Name Surname]],Manpower!$C$4:$C$1048576,Manpower!$H$4:$H$1048576,"")</f>
        <v>Manpower</v>
      </c>
      <c r="J1886" s="21" t="s">
        <v>48</v>
      </c>
      <c r="K1886" s="21" t="s">
        <v>26</v>
      </c>
      <c r="L1886" s="21" t="s">
        <v>49</v>
      </c>
      <c r="M1886" s="21" t="s">
        <v>24</v>
      </c>
      <c r="N1886" s="29">
        <v>5</v>
      </c>
      <c r="O1886" s="21" t="s">
        <v>25</v>
      </c>
      <c r="P1886" s="21" t="s">
        <v>41</v>
      </c>
      <c r="Q1886" s="21" t="s">
        <v>60</v>
      </c>
      <c r="R1886" s="21" t="s">
        <v>26</v>
      </c>
    </row>
    <row r="1887" spans="1:19" ht="14.4" hidden="1">
      <c r="A1887" s="33">
        <f>IF(C1887="","",MAX($A$1:A1886)+1)</f>
        <v>1775</v>
      </c>
      <c r="B1887" s="25" t="s">
        <v>19</v>
      </c>
      <c r="C1887" s="23">
        <v>46097</v>
      </c>
      <c r="D1887" s="28" t="str">
        <f>_xlfn.XLOOKUP(Table134526_79101120212223242526[[#This Row],[Name Surname]],Manpower!$C$4:$C$1048576,Manpower!$B$4:$B$1048576,"")</f>
        <v>Encogroup</v>
      </c>
      <c r="E1887" s="21" t="s">
        <v>61</v>
      </c>
      <c r="F1887" s="12">
        <f>_xlfn.XLOOKUP(Table134526_79101120212223242526[[#This Row],[Name Surname]],Manpower!C:C,Manpower!D:D,)</f>
        <v>141169047</v>
      </c>
      <c r="G1887" s="28" t="str">
        <f>_xlfn.XLOOKUP(Table134526_79101120212223242526[[#This Row],[Name Surname]],Manpower!$C$4:$C$1048576,Manpower!$F$4:$F$1048576,"")</f>
        <v>Welder</v>
      </c>
      <c r="H1887" s="28" t="str">
        <f>_xlfn.XLOOKUP(Table134526_79101120212223242526[[#This Row],[Name Surname]],Manpower!$C$4:$C$1048576,Manpower!$H$4:$H$1048576,"")</f>
        <v>Manpower</v>
      </c>
      <c r="I1887" s="28" t="str">
        <f>_xlfn.XLOOKUP(Table134526_79101120212223242526[[#This Row],[Name Surname]],Manpower!$C$4:$C$1048576,Manpower!$H$4:$H$1048576,"")</f>
        <v>Manpower</v>
      </c>
      <c r="J1887" s="21" t="s">
        <v>48</v>
      </c>
      <c r="K1887" s="21" t="s">
        <v>26</v>
      </c>
      <c r="L1887" s="21" t="s">
        <v>49</v>
      </c>
      <c r="M1887" s="21" t="s">
        <v>24</v>
      </c>
      <c r="N1887" s="29">
        <v>5</v>
      </c>
      <c r="O1887" s="21" t="s">
        <v>25</v>
      </c>
      <c r="P1887" s="21" t="s">
        <v>41</v>
      </c>
      <c r="Q1887" s="21" t="s">
        <v>60</v>
      </c>
      <c r="R1887" s="21" t="s">
        <v>26</v>
      </c>
    </row>
    <row r="1888" spans="1:19" s="45" customFormat="1" ht="14.4" hidden="1">
      <c r="A1888" s="25">
        <f>IF(C1888="","",MAX($A$1:A1887)+1)</f>
        <v>1776</v>
      </c>
      <c r="B1888" s="25" t="s">
        <v>19</v>
      </c>
      <c r="C1888" s="41">
        <v>46097</v>
      </c>
      <c r="D1888" s="48" t="str">
        <f>_xlfn.XLOOKUP(Table134526_79101120212223242526[[#This Row],[Name Surname]],Manpower!$C$4:$C$1048576,Manpower!$B$4:$B$1048576,"")</f>
        <v>Encogroup</v>
      </c>
      <c r="E1888" s="43" t="s">
        <v>70</v>
      </c>
      <c r="F1888" s="12">
        <f>_xlfn.XLOOKUP(Table134526_79101120212223242526[[#This Row],[Name Surname]],Manpower!C:C,Manpower!D:D,)</f>
        <v>141365126</v>
      </c>
      <c r="G1888" s="48" t="str">
        <f>_xlfn.XLOOKUP(Table134526_79101120212223242526[[#This Row],[Name Surname]],Manpower!$C$4:$C$1048576,Manpower!$F$4:$F$1048576,"")</f>
        <v>Helper</v>
      </c>
      <c r="H1888" s="48" t="str">
        <f>_xlfn.XLOOKUP(Table134526_79101120212223242526[[#This Row],[Name Surname]],Manpower!$C$4:$C$1048576,Manpower!$H$4:$H$1048576,"")</f>
        <v>Manpower</v>
      </c>
      <c r="I1888" s="48" t="str">
        <f>_xlfn.XLOOKUP(Table134526_79101120212223242526[[#This Row],[Name Surname]],Manpower!$C$4:$C$1048576,Manpower!$H$4:$H$1048576,"")</f>
        <v>Manpower</v>
      </c>
      <c r="J1888" s="43" t="s">
        <v>48</v>
      </c>
      <c r="K1888" s="43" t="s">
        <v>26</v>
      </c>
      <c r="L1888" s="43" t="s">
        <v>49</v>
      </c>
      <c r="M1888" s="43" t="s">
        <v>24</v>
      </c>
      <c r="N1888" s="44">
        <v>10</v>
      </c>
      <c r="O1888" s="43" t="s">
        <v>25</v>
      </c>
      <c r="P1888" s="43" t="s">
        <v>41</v>
      </c>
      <c r="Q1888" s="43" t="s">
        <v>60</v>
      </c>
      <c r="R1888" s="43" t="s">
        <v>26</v>
      </c>
      <c r="S1888" s="43"/>
    </row>
    <row r="1889" spans="1:19" s="45" customFormat="1" ht="14.4" hidden="1">
      <c r="A1889" s="25">
        <f>IF(C1889="","",MAX($A$1:A1888)+1)</f>
        <v>1777</v>
      </c>
      <c r="B1889" s="25" t="s">
        <v>19</v>
      </c>
      <c r="C1889" s="41">
        <v>46097</v>
      </c>
      <c r="D1889" s="48" t="str">
        <f>_xlfn.XLOOKUP(Table134526_79101120212223242526[[#This Row],[Name Surname]],Manpower!$C$4:$C$1048576,Manpower!$B$4:$B$1048576,"")</f>
        <v>Bright Light</v>
      </c>
      <c r="E1889" s="43" t="s">
        <v>71</v>
      </c>
      <c r="F1889" s="12">
        <f>_xlfn.XLOOKUP(Table134526_79101120212223242526[[#This Row],[Name Surname]],Manpower!C:C,Manpower!D:D,)</f>
        <v>81379273</v>
      </c>
      <c r="G1889" s="48" t="str">
        <f>_xlfn.XLOOKUP(Table134526_79101120212223242526[[#This Row],[Name Surname]],Manpower!$C$4:$C$1048576,Manpower!$F$4:$F$1048576,"")</f>
        <v>Crane Operator-100T Sany Telescopic</v>
      </c>
      <c r="H1889" s="48" t="s">
        <v>39</v>
      </c>
      <c r="I1889" s="48" t="s">
        <v>39</v>
      </c>
      <c r="J1889" s="43" t="s">
        <v>48</v>
      </c>
      <c r="K1889" s="43" t="s">
        <v>26</v>
      </c>
      <c r="L1889" s="43" t="s">
        <v>49</v>
      </c>
      <c r="M1889" s="43" t="s">
        <v>24</v>
      </c>
      <c r="N1889" s="44">
        <v>10</v>
      </c>
      <c r="O1889" s="43" t="s">
        <v>40</v>
      </c>
      <c r="P1889" s="43" t="s">
        <v>41</v>
      </c>
      <c r="Q1889" s="43" t="s">
        <v>42</v>
      </c>
      <c r="R1889" s="43" t="s">
        <v>322</v>
      </c>
      <c r="S1889" s="43"/>
    </row>
    <row r="1890" spans="1:19" s="45" customFormat="1" ht="14.4" hidden="1">
      <c r="A1890" s="25">
        <f>IF(C1890="","",MAX($A$1:A1889)+1)</f>
        <v>1778</v>
      </c>
      <c r="B1890" s="25" t="s">
        <v>19</v>
      </c>
      <c r="C1890" s="41">
        <v>46097</v>
      </c>
      <c r="D1890" s="48" t="str">
        <f>_xlfn.XLOOKUP(Table134526_79101120212223242526[[#This Row],[Name Surname]],Manpower!$C$4:$C$1048576,Manpower!$B$4:$B$1048576,"")</f>
        <v>Encogroup</v>
      </c>
      <c r="E1890" s="43" t="s">
        <v>73</v>
      </c>
      <c r="F1890" s="12">
        <f>_xlfn.XLOOKUP(Table134526_79101120212223242526[[#This Row],[Name Surname]],Manpower!C:C,Manpower!D:D,)</f>
        <v>135325259</v>
      </c>
      <c r="G1890" s="48" t="str">
        <f>_xlfn.XLOOKUP(Table134526_79101120212223242526[[#This Row],[Name Surname]],Manpower!$C$4:$C$1048576,Manpower!$F$4:$F$1048576,"")</f>
        <v>Permit Receiver</v>
      </c>
      <c r="H1890" s="48" t="str">
        <f>_xlfn.XLOOKUP(Table134526_79101120212223242526[[#This Row],[Name Surname]],Manpower!$C$4:$C$1048576,Manpower!$H$4:$H$1048576,"")</f>
        <v>Manpower</v>
      </c>
      <c r="I1890" s="48" t="str">
        <f>_xlfn.XLOOKUP(Table134526_79101120212223242526[[#This Row],[Name Surname]],Manpower!$C$4:$C$1048576,Manpower!$H$4:$H$1048576,"")</f>
        <v>Manpower</v>
      </c>
      <c r="J1890" s="43" t="s">
        <v>48</v>
      </c>
      <c r="K1890" s="43" t="s">
        <v>26</v>
      </c>
      <c r="L1890" s="43" t="s">
        <v>49</v>
      </c>
      <c r="M1890" s="43" t="s">
        <v>24</v>
      </c>
      <c r="N1890" s="44">
        <v>10</v>
      </c>
      <c r="O1890" s="43" t="s">
        <v>25</v>
      </c>
      <c r="P1890" s="43" t="s">
        <v>41</v>
      </c>
      <c r="Q1890" s="43" t="s">
        <v>60</v>
      </c>
      <c r="R1890" s="43" t="s">
        <v>26</v>
      </c>
      <c r="S1890" s="43"/>
    </row>
    <row r="1891" spans="1:19" ht="14.4" hidden="1">
      <c r="A1891" s="33">
        <f>IF(C1891="","",MAX($A$1:A1890)+1)</f>
        <v>1779</v>
      </c>
      <c r="B1891" s="33" t="s">
        <v>19</v>
      </c>
      <c r="C1891" s="23">
        <v>46097</v>
      </c>
      <c r="D1891" s="28" t="str">
        <f>_xlfn.XLOOKUP(Table134526_79101120212223242526[[#This Row],[Name Surname]],Manpower!$C$4:$C$1048576,Manpower!$B$4:$B$1048576,"")</f>
        <v>Encogroup</v>
      </c>
      <c r="E1891" s="21" t="s">
        <v>74</v>
      </c>
      <c r="F1891" s="12">
        <f>_xlfn.XLOOKUP(Table134526_79101120212223242526[[#This Row],[Name Surname]],Manpower!C:C,Manpower!D:D,)</f>
        <v>141365089</v>
      </c>
      <c r="G1891" s="28" t="str">
        <f>_xlfn.XLOOKUP(Table134526_79101120212223242526[[#This Row],[Name Surname]],Manpower!$C$4:$C$1048576,Manpower!$F$4:$F$1048576,"")</f>
        <v>Fitter</v>
      </c>
      <c r="H1891" s="28" t="str">
        <f>_xlfn.XLOOKUP(Table134526_79101120212223242526[[#This Row],[Name Surname]],Manpower!$C$4:$C$1048576,Manpower!$H$4:$H$1048576,"")</f>
        <v>Manpower</v>
      </c>
      <c r="I1891" s="28" t="str">
        <f>_xlfn.XLOOKUP(Table134526_79101120212223242526[[#This Row],[Name Surname]],Manpower!$C$4:$C$1048576,Manpower!$H$4:$H$1048576,"")</f>
        <v>Manpower</v>
      </c>
      <c r="J1891" s="21" t="s">
        <v>48</v>
      </c>
      <c r="K1891" s="21" t="s">
        <v>26</v>
      </c>
      <c r="L1891" s="21" t="s">
        <v>49</v>
      </c>
      <c r="M1891" s="21" t="s">
        <v>24</v>
      </c>
      <c r="N1891" s="29">
        <v>10</v>
      </c>
      <c r="O1891" s="21" t="s">
        <v>25</v>
      </c>
      <c r="P1891" s="21" t="s">
        <v>41</v>
      </c>
      <c r="Q1891" s="21" t="s">
        <v>60</v>
      </c>
      <c r="R1891" s="21" t="s">
        <v>26</v>
      </c>
    </row>
    <row r="1892" spans="1:19" ht="14.4" hidden="1">
      <c r="A1892" s="33">
        <f>IF(C1892="","",MAX($A$1:A1891)+1)</f>
        <v>1780</v>
      </c>
      <c r="B1892" s="25" t="s">
        <v>19</v>
      </c>
      <c r="C1892" s="23">
        <v>46097</v>
      </c>
      <c r="D1892" s="28" t="str">
        <f>_xlfn.XLOOKUP(Table134526_79101120212223242526[[#This Row],[Name Surname]],Manpower!$C$4:$C$1048576,Manpower!$B$4:$B$1048576,"")</f>
        <v>Encogroup</v>
      </c>
      <c r="E1892" s="21" t="s">
        <v>75</v>
      </c>
      <c r="F1892" s="12">
        <f>_xlfn.XLOOKUP(Table134526_79101120212223242526[[#This Row],[Name Surname]],Manpower!C:C,Manpower!D:D,)</f>
        <v>122179604</v>
      </c>
      <c r="G1892" s="28" t="str">
        <f>_xlfn.XLOOKUP(Table134526_79101120212223242526[[#This Row],[Name Surname]],Manpower!$C$4:$C$1048576,Manpower!$F$4:$F$1048576,"")</f>
        <v>Fitter/Erector</v>
      </c>
      <c r="H1892" s="28" t="str">
        <f>_xlfn.XLOOKUP(Table134526_79101120212223242526[[#This Row],[Name Surname]],Manpower!$C$4:$C$1048576,Manpower!$H$4:$H$1048576,"")</f>
        <v>Manpower</v>
      </c>
      <c r="I1892" s="28" t="str">
        <f>_xlfn.XLOOKUP(Table134526_79101120212223242526[[#This Row],[Name Surname]],Manpower!$C$4:$C$1048576,Manpower!$H$4:$H$1048576,"")</f>
        <v>Manpower</v>
      </c>
      <c r="J1892" s="21" t="s">
        <v>48</v>
      </c>
      <c r="K1892" s="21" t="s">
        <v>26</v>
      </c>
      <c r="L1892" s="21" t="s">
        <v>49</v>
      </c>
      <c r="M1892" s="21" t="s">
        <v>24</v>
      </c>
      <c r="N1892" s="29">
        <v>10</v>
      </c>
      <c r="O1892" s="21" t="s">
        <v>25</v>
      </c>
      <c r="P1892" s="21" t="s">
        <v>41</v>
      </c>
      <c r="Q1892" s="21" t="s">
        <v>60</v>
      </c>
      <c r="R1892" s="21" t="s">
        <v>26</v>
      </c>
    </row>
    <row r="1893" spans="1:19" ht="14.4" hidden="1">
      <c r="A1893" s="33">
        <f>IF(C1893="","",MAX($A$1:A1892)+1)</f>
        <v>1781</v>
      </c>
      <c r="B1893" s="33" t="s">
        <v>19</v>
      </c>
      <c r="C1893" s="23">
        <v>46097</v>
      </c>
      <c r="D1893" s="28" t="str">
        <f>_xlfn.XLOOKUP(Table134526_79101120212223242526[[#This Row],[Name Surname]],Manpower!$C$4:$C$1048576,Manpower!$B$4:$B$1048576,"")</f>
        <v>Encogroup</v>
      </c>
      <c r="E1893" s="21" t="s">
        <v>78</v>
      </c>
      <c r="F1893" s="12">
        <f>_xlfn.XLOOKUP(Table134526_79101120212223242526[[#This Row],[Name Surname]],Manpower!C:C,Manpower!D:D,)</f>
        <v>117255966</v>
      </c>
      <c r="G1893" s="28" t="str">
        <f>_xlfn.XLOOKUP(Table134526_79101120212223242526[[#This Row],[Name Surname]],Manpower!$C$4:$C$1048576,Manpower!$F$4:$F$1048576,"")</f>
        <v>Mechanical Supervisor</v>
      </c>
      <c r="H1893" s="28" t="str">
        <f>_xlfn.XLOOKUP(Table134526_79101120212223242526[[#This Row],[Name Surname]],Manpower!$C$4:$C$1048576,Manpower!$H$4:$H$1048576,"")</f>
        <v>Manpower</v>
      </c>
      <c r="I1893" s="28" t="str">
        <f>_xlfn.XLOOKUP(Table134526_79101120212223242526[[#This Row],[Name Surname]],Manpower!$C$4:$C$1048576,Manpower!$H$4:$H$1048576,"")</f>
        <v>Manpower</v>
      </c>
      <c r="J1893" s="21" t="s">
        <v>48</v>
      </c>
      <c r="K1893" s="21" t="s">
        <v>26</v>
      </c>
      <c r="L1893" s="21" t="s">
        <v>49</v>
      </c>
      <c r="M1893" s="21" t="s">
        <v>24</v>
      </c>
      <c r="N1893" s="29">
        <v>10</v>
      </c>
      <c r="O1893" s="21" t="s">
        <v>25</v>
      </c>
      <c r="P1893" s="21" t="s">
        <v>41</v>
      </c>
      <c r="Q1893" s="21" t="s">
        <v>60</v>
      </c>
      <c r="R1893" s="21" t="s">
        <v>26</v>
      </c>
    </row>
    <row r="1894" spans="1:19" ht="14.4">
      <c r="A1894" s="33">
        <f>IF(C1894="","",MAX($A$1:A1893)+1)</f>
        <v>1782</v>
      </c>
      <c r="B1894" s="26" t="s">
        <v>79</v>
      </c>
      <c r="C1894" s="23">
        <v>46097</v>
      </c>
      <c r="D1894" s="28" t="str">
        <f>_xlfn.XLOOKUP(Table134526_79101120212223242526[[#This Row],[Name Surname]],Manpower!$C$4:$C$1048576,Manpower!$B$4:$B$1048576,"")</f>
        <v>Encogroup</v>
      </c>
      <c r="E1894" s="21" t="s">
        <v>80</v>
      </c>
      <c r="F1894" s="12" t="e">
        <f>_xlfn.XLOOKUP(Table134526_79101120212223242526[[#This Row],[Name Surname]],Manpower!C:C,Manpower!D:D,)</f>
        <v>#N/A</v>
      </c>
      <c r="G1894" s="28" t="str">
        <f>_xlfn.XLOOKUP(Table134526_79101120212223242526[[#This Row],[Name Surname]],Manpower!$C$4:$C$1048576,Manpower!$F$4:$F$1048576,"")</f>
        <v>22M-Manlift</v>
      </c>
      <c r="H1894" s="28" t="str">
        <f>_xlfn.XLOOKUP(Table134526_79101120212223242526[[#This Row],[Name Surname]],Manpower!$C$4:$C$1048576,Manpower!$H$4:$H$1048576,"")</f>
        <v>Equipment</v>
      </c>
      <c r="I1894" s="28" t="str">
        <f>_xlfn.XLOOKUP(Table134526_79101120212223242526[[#This Row],[Name Surname]],Manpower!$C$4:$C$1048576,Manpower!$H$4:$H$1048576,"")</f>
        <v>Equipment</v>
      </c>
      <c r="J1894" s="21" t="s">
        <v>35</v>
      </c>
      <c r="K1894" s="21" t="s">
        <v>252</v>
      </c>
      <c r="L1894" s="21" t="s">
        <v>82</v>
      </c>
      <c r="M1894" s="21" t="s">
        <v>24</v>
      </c>
      <c r="N1894" s="29">
        <v>10</v>
      </c>
      <c r="O1894" s="21" t="s">
        <v>25</v>
      </c>
      <c r="P1894" s="21" t="s">
        <v>41</v>
      </c>
      <c r="Q1894" s="21" t="s">
        <v>77</v>
      </c>
      <c r="R1894" s="21" t="s">
        <v>312</v>
      </c>
    </row>
    <row r="1895" spans="1:19" ht="14.4">
      <c r="A1895" s="33">
        <f>IF(C1895="","",MAX($A$1:A1894)+1)</f>
        <v>1783</v>
      </c>
      <c r="B1895" s="26" t="s">
        <v>79</v>
      </c>
      <c r="C1895" s="23">
        <v>46097</v>
      </c>
      <c r="D1895" s="28" t="str">
        <f>_xlfn.XLOOKUP(Table134526_79101120212223242526[[#This Row],[Name Surname]],Manpower!$C$4:$C$1048576,Manpower!$B$4:$B$1048576,"")</f>
        <v>Encogroup</v>
      </c>
      <c r="E1895" s="21" t="s">
        <v>84</v>
      </c>
      <c r="F1895" s="12" t="e">
        <f>_xlfn.XLOOKUP(Table134526_79101120212223242526[[#This Row],[Name Surname]],Manpower!C:C,Manpower!D:D,)</f>
        <v>#N/A</v>
      </c>
      <c r="G1895" s="28" t="str">
        <f>_xlfn.XLOOKUP(Table134526_79101120212223242526[[#This Row],[Name Surname]],Manpower!$C$4:$C$1048576,Manpower!$F$4:$F$1048576,"")</f>
        <v>22M-Manlift</v>
      </c>
      <c r="H1895" s="28" t="str">
        <f>_xlfn.XLOOKUP(Table134526_79101120212223242526[[#This Row],[Name Surname]],Manpower!$C$4:$C$1048576,Manpower!$H$4:$H$1048576,"")</f>
        <v>Equipment</v>
      </c>
      <c r="I1895" s="28" t="str">
        <f>_xlfn.XLOOKUP(Table134526_79101120212223242526[[#This Row],[Name Surname]],Manpower!$C$4:$C$1048576,Manpower!$H$4:$H$1048576,"")</f>
        <v>Equipment</v>
      </c>
      <c r="J1895" s="21" t="s">
        <v>35</v>
      </c>
      <c r="K1895" s="21" t="s">
        <v>252</v>
      </c>
      <c r="L1895" s="21" t="s">
        <v>82</v>
      </c>
      <c r="M1895" s="21" t="s">
        <v>24</v>
      </c>
      <c r="N1895" s="29">
        <v>10</v>
      </c>
      <c r="O1895" s="21" t="s">
        <v>25</v>
      </c>
      <c r="P1895" s="21" t="s">
        <v>41</v>
      </c>
      <c r="Q1895" s="21" t="s">
        <v>77</v>
      </c>
      <c r="R1895" s="21" t="s">
        <v>312</v>
      </c>
    </row>
    <row r="1896" spans="1:19" ht="14.4">
      <c r="A1896" s="33">
        <f>IF(C1896="","",MAX($A$1:A1895)+1)</f>
        <v>1784</v>
      </c>
      <c r="B1896" s="26" t="s">
        <v>79</v>
      </c>
      <c r="C1896" s="23">
        <v>46097</v>
      </c>
      <c r="D1896" s="28" t="str">
        <f>_xlfn.XLOOKUP(Table134526_79101120212223242526[[#This Row],[Name Surname]],Manpower!$C$4:$C$1048576,Manpower!$B$4:$B$1048576,"")</f>
        <v>Nass Group</v>
      </c>
      <c r="E1896" s="21" t="s">
        <v>86</v>
      </c>
      <c r="F1896" s="12" t="e">
        <f>_xlfn.XLOOKUP(Table134526_79101120212223242526[[#This Row],[Name Surname]],Manpower!C:C,Manpower!D:D,)</f>
        <v>#N/A</v>
      </c>
      <c r="G1896" s="28" t="str">
        <f>_xlfn.XLOOKUP(Table134526_79101120212223242526[[#This Row],[Name Surname]],Manpower!$C$4:$C$1048576,Manpower!$F$4:$F$1048576,"")</f>
        <v>70T-Telescopic crane</v>
      </c>
      <c r="H1896" s="28" t="str">
        <f>_xlfn.XLOOKUP(Table134526_79101120212223242526[[#This Row],[Name Surname]],Manpower!$C$4:$C$1048576,Manpower!$H$4:$H$1048576,"")</f>
        <v>Equipment</v>
      </c>
      <c r="I1896" s="28" t="str">
        <f>_xlfn.XLOOKUP(Table134526_79101120212223242526[[#This Row],[Name Surname]],Manpower!$C$4:$C$1048576,Manpower!$H$4:$H$1048576,"")</f>
        <v>Equipment</v>
      </c>
      <c r="J1896" s="21" t="s">
        <v>35</v>
      </c>
      <c r="K1896" s="21" t="s">
        <v>313</v>
      </c>
      <c r="L1896" s="21" t="s">
        <v>82</v>
      </c>
      <c r="M1896" s="21" t="s">
        <v>24</v>
      </c>
      <c r="N1896" s="29">
        <v>10</v>
      </c>
      <c r="O1896" s="21" t="s">
        <v>40</v>
      </c>
      <c r="P1896" s="21" t="s">
        <v>41</v>
      </c>
      <c r="Q1896" s="21" t="s">
        <v>42</v>
      </c>
      <c r="R1896" s="21" t="s">
        <v>314</v>
      </c>
    </row>
    <row r="1897" spans="1:19" s="45" customFormat="1" ht="14.4" hidden="1">
      <c r="A1897" s="25">
        <f>IF(C1897="","",MAX($A$1:A1896)+1)</f>
        <v>1785</v>
      </c>
      <c r="B1897" s="25" t="s">
        <v>79</v>
      </c>
      <c r="C1897" s="41">
        <v>46097</v>
      </c>
      <c r="D1897" s="48" t="str">
        <f>_xlfn.XLOOKUP(Table134526_79101120212223242526[[#This Row],[Name Surname]],Manpower!$C$4:$C$1048576,Manpower!$B$4:$B$1048576,"")</f>
        <v>Encogroup</v>
      </c>
      <c r="E1897" s="43" t="s">
        <v>91</v>
      </c>
      <c r="F1897" s="12">
        <f>_xlfn.XLOOKUP(Table134526_79101120212223242526[[#This Row],[Name Surname]],Manpower!C:C,Manpower!D:D,)</f>
        <v>132915855</v>
      </c>
      <c r="G1897" s="48" t="str">
        <f>_xlfn.XLOOKUP(Table134526_79101120212223242526[[#This Row],[Name Surname]],Manpower!$C$4:$C$1048576,Manpower!$F$4:$F$1048576,"")</f>
        <v>Mechanical Supervisor</v>
      </c>
      <c r="H1897" s="48" t="str">
        <f>_xlfn.XLOOKUP(Table134526_79101120212223242526[[#This Row],[Name Surname]],Manpower!$C$4:$C$1048576,Manpower!$H$4:$H$1048576,"")</f>
        <v>Manpower</v>
      </c>
      <c r="I1897" s="48" t="str">
        <f>_xlfn.XLOOKUP(Table134526_79101120212223242526[[#This Row],[Name Surname]],Manpower!$C$4:$C$1048576,Manpower!$H$4:$H$1048576,"")</f>
        <v>Manpower</v>
      </c>
      <c r="J1897" s="43" t="s">
        <v>35</v>
      </c>
      <c r="K1897" s="43" t="s">
        <v>313</v>
      </c>
      <c r="L1897" s="43" t="s">
        <v>82</v>
      </c>
      <c r="M1897" s="43" t="s">
        <v>24</v>
      </c>
      <c r="N1897" s="44">
        <v>8</v>
      </c>
      <c r="O1897" s="43" t="s">
        <v>25</v>
      </c>
      <c r="P1897" s="43" t="s">
        <v>60</v>
      </c>
      <c r="Q1897" s="43" t="s">
        <v>60</v>
      </c>
      <c r="R1897" s="43" t="s">
        <v>326</v>
      </c>
      <c r="S1897" s="43"/>
    </row>
    <row r="1898" spans="1:19" s="45" customFormat="1" ht="14.4" hidden="1">
      <c r="A1898" s="25">
        <f>IF(C1898="","",MAX($A$1:A1897)+1)</f>
        <v>1786</v>
      </c>
      <c r="B1898" s="25" t="s">
        <v>79</v>
      </c>
      <c r="C1898" s="41">
        <v>46097</v>
      </c>
      <c r="D1898" s="48" t="str">
        <f>_xlfn.XLOOKUP(Table134526_79101120212223242526[[#This Row],[Name Surname]],Manpower!$C$4:$C$1048576,Manpower!$B$4:$B$1048576,"")</f>
        <v>Encogroup</v>
      </c>
      <c r="E1898" s="43" t="s">
        <v>124</v>
      </c>
      <c r="F1898" s="12">
        <f>_xlfn.XLOOKUP(Table134526_79101120212223242526[[#This Row],[Name Surname]],Manpower!C:C,Manpower!D:D,)</f>
        <v>141169033</v>
      </c>
      <c r="G1898" s="48" t="str">
        <f>_xlfn.XLOOKUP(Table134526_79101120212223242526[[#This Row],[Name Surname]],Manpower!$C$4:$C$1048576,Manpower!$F$4:$F$1048576,"")</f>
        <v>Welder</v>
      </c>
      <c r="H1898" s="48" t="str">
        <f>_xlfn.XLOOKUP(Table134526_79101120212223242526[[#This Row],[Name Surname]],Manpower!$C$4:$C$1048576,Manpower!$H$4:$H$1048576,"")</f>
        <v>Manpower</v>
      </c>
      <c r="I1898" s="48" t="str">
        <f>_xlfn.XLOOKUP(Table134526_79101120212223242526[[#This Row],[Name Surname]],Manpower!$C$4:$C$1048576,Manpower!$H$4:$H$1048576,"")</f>
        <v>Manpower</v>
      </c>
      <c r="J1898" s="43" t="s">
        <v>35</v>
      </c>
      <c r="K1898" s="43" t="s">
        <v>313</v>
      </c>
      <c r="L1898" s="43" t="s">
        <v>82</v>
      </c>
      <c r="M1898" s="43" t="s">
        <v>24</v>
      </c>
      <c r="N1898" s="44">
        <v>10</v>
      </c>
      <c r="O1898" s="43" t="s">
        <v>94</v>
      </c>
      <c r="P1898" s="43" t="s">
        <v>95</v>
      </c>
      <c r="Q1898" s="43" t="s">
        <v>95</v>
      </c>
      <c r="R1898" s="43" t="s">
        <v>302</v>
      </c>
      <c r="S1898" s="43"/>
    </row>
    <row r="1899" spans="1:19" s="45" customFormat="1" ht="14.4" hidden="1">
      <c r="A1899" s="25">
        <f>IF(C1899="","",MAX($A$1:A1898)+1)</f>
        <v>1787</v>
      </c>
      <c r="B1899" s="25" t="s">
        <v>79</v>
      </c>
      <c r="C1899" s="41">
        <v>46097</v>
      </c>
      <c r="D1899" s="48" t="str">
        <f>_xlfn.XLOOKUP(Table134526_79101120212223242526[[#This Row],[Name Surname]],Manpower!$C$4:$C$1048576,Manpower!$B$4:$B$1048576,"")</f>
        <v>Encogroup</v>
      </c>
      <c r="E1899" s="43" t="s">
        <v>97</v>
      </c>
      <c r="F1899" s="12">
        <f>_xlfn.XLOOKUP(Table134526_79101120212223242526[[#This Row],[Name Surname]],Manpower!C:C,Manpower!D:D,)</f>
        <v>141359235</v>
      </c>
      <c r="G1899" s="48" t="str">
        <f>_xlfn.XLOOKUP(Table134526_79101120212223242526[[#This Row],[Name Surname]],Manpower!$C$4:$C$1048576,Manpower!$F$4:$F$1048576,"")</f>
        <v>Fitter</v>
      </c>
      <c r="H1899" s="48" t="str">
        <f>_xlfn.XLOOKUP(Table134526_79101120212223242526[[#This Row],[Name Surname]],Manpower!$C$4:$C$1048576,Manpower!$H$4:$H$1048576,"")</f>
        <v>Manpower</v>
      </c>
      <c r="I1899" s="48" t="str">
        <f>_xlfn.XLOOKUP(Table134526_79101120212223242526[[#This Row],[Name Surname]],Manpower!$C$4:$C$1048576,Manpower!$H$4:$H$1048576,"")</f>
        <v>Manpower</v>
      </c>
      <c r="J1899" s="43" t="s">
        <v>35</v>
      </c>
      <c r="K1899" s="43" t="s">
        <v>252</v>
      </c>
      <c r="L1899" s="43" t="s">
        <v>82</v>
      </c>
      <c r="M1899" s="43" t="s">
        <v>24</v>
      </c>
      <c r="N1899" s="44">
        <v>10</v>
      </c>
      <c r="O1899" s="43" t="s">
        <v>25</v>
      </c>
      <c r="P1899" s="43" t="s">
        <v>41</v>
      </c>
      <c r="Q1899" s="43" t="s">
        <v>77</v>
      </c>
      <c r="R1899" s="43" t="s">
        <v>312</v>
      </c>
      <c r="S1899" s="43"/>
    </row>
    <row r="1900" spans="1:19" s="45" customFormat="1" ht="14.4" hidden="1">
      <c r="A1900" s="25">
        <f>IF(C1900="","",MAX($A$1:A1899)+1)</f>
        <v>1788</v>
      </c>
      <c r="B1900" s="25" t="s">
        <v>79</v>
      </c>
      <c r="C1900" s="41">
        <v>46097</v>
      </c>
      <c r="D1900" s="48" t="str">
        <f>_xlfn.XLOOKUP(Table134526_79101120212223242526[[#This Row],[Name Surname]],Manpower!$C$4:$C$1048576,Manpower!$B$4:$B$1048576,"")</f>
        <v>Encogroup</v>
      </c>
      <c r="E1900" s="43" t="s">
        <v>99</v>
      </c>
      <c r="F1900" s="12">
        <f>_xlfn.XLOOKUP(Table134526_79101120212223242526[[#This Row],[Name Surname]],Manpower!C:C,Manpower!D:D,)</f>
        <v>140697025</v>
      </c>
      <c r="G1900" s="48" t="str">
        <f>_xlfn.XLOOKUP(Table134526_79101120212223242526[[#This Row],[Name Surname]],Manpower!$C$4:$C$1048576,Manpower!$F$4:$F$1048576,"")</f>
        <v>Assistant/Helper</v>
      </c>
      <c r="H1900" s="48" t="str">
        <f>_xlfn.XLOOKUP(Table134526_79101120212223242526[[#This Row],[Name Surname]],Manpower!$C$4:$C$1048576,Manpower!$H$4:$H$1048576,"")</f>
        <v>Manpower</v>
      </c>
      <c r="I1900" s="48" t="str">
        <f>_xlfn.XLOOKUP(Table134526_79101120212223242526[[#This Row],[Name Surname]],Manpower!$C$4:$C$1048576,Manpower!$H$4:$H$1048576,"")</f>
        <v>Manpower</v>
      </c>
      <c r="J1900" s="43" t="s">
        <v>35</v>
      </c>
      <c r="K1900" s="43" t="s">
        <v>313</v>
      </c>
      <c r="L1900" s="43" t="s">
        <v>82</v>
      </c>
      <c r="M1900" s="43" t="s">
        <v>24</v>
      </c>
      <c r="N1900" s="44">
        <v>10</v>
      </c>
      <c r="O1900" s="43" t="s">
        <v>25</v>
      </c>
      <c r="P1900" s="43" t="s">
        <v>41</v>
      </c>
      <c r="Q1900" s="43" t="s">
        <v>60</v>
      </c>
      <c r="R1900" s="43" t="s">
        <v>100</v>
      </c>
      <c r="S1900" s="43"/>
    </row>
    <row r="1901" spans="1:19" s="45" customFormat="1" ht="14.4" hidden="1">
      <c r="A1901" s="25">
        <f>IF(C1901="","",MAX($A$1:A1900)+1)</f>
        <v>1789</v>
      </c>
      <c r="B1901" s="25" t="s">
        <v>79</v>
      </c>
      <c r="C1901" s="41">
        <v>46097</v>
      </c>
      <c r="D1901" s="48" t="str">
        <f>_xlfn.XLOOKUP(Table134526_79101120212223242526[[#This Row],[Name Surname]],Manpower!$C$4:$C$1048576,Manpower!$B$4:$B$1048576,"")</f>
        <v>Encogroup</v>
      </c>
      <c r="E1901" s="43" t="s">
        <v>101</v>
      </c>
      <c r="F1901" s="12">
        <f>_xlfn.XLOOKUP(Table134526_79101120212223242526[[#This Row],[Name Surname]],Manpower!C:C,Manpower!D:D,)</f>
        <v>141169052</v>
      </c>
      <c r="G1901" s="48" t="str">
        <f>_xlfn.XLOOKUP(Table134526_79101120212223242526[[#This Row],[Name Surname]],Manpower!$C$4:$C$1048576,Manpower!$F$4:$F$1048576,"")</f>
        <v>Welder</v>
      </c>
      <c r="H1901" s="48" t="str">
        <f>_xlfn.XLOOKUP(Table134526_79101120212223242526[[#This Row],[Name Surname]],Manpower!$C$4:$C$1048576,Manpower!$H$4:$H$1048576,"")</f>
        <v>Manpower</v>
      </c>
      <c r="I1901" s="48" t="str">
        <f>_xlfn.XLOOKUP(Table134526_79101120212223242526[[#This Row],[Name Surname]],Manpower!$C$4:$C$1048576,Manpower!$H$4:$H$1048576,"")</f>
        <v>Manpower</v>
      </c>
      <c r="J1901" s="43" t="s">
        <v>35</v>
      </c>
      <c r="K1901" s="43" t="s">
        <v>252</v>
      </c>
      <c r="L1901" s="43" t="s">
        <v>82</v>
      </c>
      <c r="M1901" s="43" t="s">
        <v>24</v>
      </c>
      <c r="N1901" s="44">
        <v>10</v>
      </c>
      <c r="O1901" s="43" t="s">
        <v>25</v>
      </c>
      <c r="P1901" s="43" t="s">
        <v>41</v>
      </c>
      <c r="Q1901" s="43" t="s">
        <v>77</v>
      </c>
      <c r="R1901" s="43" t="s">
        <v>312</v>
      </c>
      <c r="S1901" s="43"/>
    </row>
    <row r="1902" spans="1:19" s="45" customFormat="1" ht="14.4" hidden="1">
      <c r="A1902" s="25">
        <f>IF(C1902="","",MAX($A$1:A1901)+1)</f>
        <v>1790</v>
      </c>
      <c r="B1902" s="25" t="s">
        <v>79</v>
      </c>
      <c r="C1902" s="41">
        <v>46097</v>
      </c>
      <c r="D1902" s="48" t="str">
        <f>_xlfn.XLOOKUP(Table134526_79101120212223242526[[#This Row],[Name Surname]],Manpower!$C$4:$C$1048576,Manpower!$B$4:$B$1048576,"")</f>
        <v>SARENS NASS</v>
      </c>
      <c r="E1902" s="43" t="s">
        <v>103</v>
      </c>
      <c r="F1902" s="12">
        <f>_xlfn.XLOOKUP(Table134526_79101120212223242526[[#This Row],[Name Surname]],Manpower!C:C,Manpower!D:D,)</f>
        <v>79502392</v>
      </c>
      <c r="G1902" s="48" t="str">
        <f>_xlfn.XLOOKUP(Table134526_79101120212223242526[[#This Row],[Name Surname]],Manpower!$C$4:$C$1048576,Manpower!$F$4:$F$1048576,"")</f>
        <v>Crane Operator- 70T Liebherr Telescopic Crane-01</v>
      </c>
      <c r="H1902" s="48" t="str">
        <f>_xlfn.XLOOKUP(Table134526_79101120212223242526[[#This Row],[Name Surname]],Manpower!$C$4:$C$1048576,Manpower!$H$4:$H$1048576,"")</f>
        <v>Manpower</v>
      </c>
      <c r="I1902" s="48" t="str">
        <f>_xlfn.XLOOKUP(Table134526_79101120212223242526[[#This Row],[Name Surname]],Manpower!$C$4:$C$1048576,Manpower!$H$4:$H$1048576,"")</f>
        <v>Manpower</v>
      </c>
      <c r="J1902" s="43" t="s">
        <v>35</v>
      </c>
      <c r="K1902" s="43" t="s">
        <v>313</v>
      </c>
      <c r="L1902" s="43" t="s">
        <v>82</v>
      </c>
      <c r="M1902" s="43" t="s">
        <v>24</v>
      </c>
      <c r="N1902" s="44">
        <v>10</v>
      </c>
      <c r="O1902" s="43" t="s">
        <v>40</v>
      </c>
      <c r="P1902" s="43" t="s">
        <v>41</v>
      </c>
      <c r="Q1902" s="43" t="s">
        <v>42</v>
      </c>
      <c r="R1902" s="43" t="s">
        <v>43</v>
      </c>
      <c r="S1902" s="43"/>
    </row>
    <row r="1903" spans="1:19" s="45" customFormat="1" ht="14.4" hidden="1">
      <c r="A1903" s="25">
        <f>IF(C1903="","",MAX($A$1:A1902)+1)</f>
        <v>1791</v>
      </c>
      <c r="B1903" s="25" t="s">
        <v>79</v>
      </c>
      <c r="C1903" s="41">
        <v>46097</v>
      </c>
      <c r="D1903" s="48" t="str">
        <f>_xlfn.XLOOKUP(Table134526_79101120212223242526[[#This Row],[Name Surname]],Manpower!$C$4:$C$1048576,Manpower!$B$4:$B$1048576,"")</f>
        <v>Encogroup</v>
      </c>
      <c r="E1903" s="43" t="s">
        <v>105</v>
      </c>
      <c r="F1903" s="12">
        <f>_xlfn.XLOOKUP(Table134526_79101120212223242526[[#This Row],[Name Surname]],Manpower!C:C,Manpower!D:D,)</f>
        <v>141358993</v>
      </c>
      <c r="G1903" s="48" t="str">
        <f>_xlfn.XLOOKUP(Table134526_79101120212223242526[[#This Row],[Name Surname]],Manpower!$C$4:$C$1048576,Manpower!$F$4:$F$1048576,"")</f>
        <v>Fitter</v>
      </c>
      <c r="H1903" s="48" t="str">
        <f>_xlfn.XLOOKUP(Table134526_79101120212223242526[[#This Row],[Name Surname]],Manpower!$C$4:$C$1048576,Manpower!$H$4:$H$1048576,"")</f>
        <v>Manpower</v>
      </c>
      <c r="I1903" s="48" t="str">
        <f>_xlfn.XLOOKUP(Table134526_79101120212223242526[[#This Row],[Name Surname]],Manpower!$C$4:$C$1048576,Manpower!$H$4:$H$1048576,"")</f>
        <v>Manpower</v>
      </c>
      <c r="J1903" s="43" t="s">
        <v>35</v>
      </c>
      <c r="K1903" s="43" t="s">
        <v>252</v>
      </c>
      <c r="L1903" s="43" t="s">
        <v>82</v>
      </c>
      <c r="M1903" s="43" t="s">
        <v>24</v>
      </c>
      <c r="N1903" s="44">
        <v>8</v>
      </c>
      <c r="O1903" s="43" t="s">
        <v>25</v>
      </c>
      <c r="P1903" s="43" t="s">
        <v>41</v>
      </c>
      <c r="Q1903" s="43" t="s">
        <v>77</v>
      </c>
      <c r="R1903" s="43" t="s">
        <v>312</v>
      </c>
      <c r="S1903" s="43"/>
    </row>
    <row r="1904" spans="1:19" s="45" customFormat="1" ht="14.4" hidden="1">
      <c r="A1904" s="25">
        <f>IF(C1904="","",MAX($A$1:A1903)+1)</f>
        <v>1792</v>
      </c>
      <c r="B1904" s="25" t="s">
        <v>79</v>
      </c>
      <c r="C1904" s="41">
        <v>46097</v>
      </c>
      <c r="D1904" s="48" t="str">
        <f>_xlfn.XLOOKUP(Table134526_79101120212223242526[[#This Row],[Name Surname]],Manpower!$C$4:$C$1048576,Manpower!$B$4:$B$1048576,"")</f>
        <v>Encogroup</v>
      </c>
      <c r="E1904" s="43" t="s">
        <v>106</v>
      </c>
      <c r="F1904" s="12" t="str">
        <f>_xlfn.XLOOKUP(Table134526_79101120212223242526[[#This Row],[Name Surname]],Manpower!C:C,Manpower!D:D,)</f>
        <v>R3971143</v>
      </c>
      <c r="G1904" s="48" t="str">
        <f>_xlfn.XLOOKUP(Table134526_79101120212223242526[[#This Row],[Name Surname]],Manpower!$C$4:$C$1048576,Manpower!$F$4:$F$1048576,"")</f>
        <v>Mechanical Foreman</v>
      </c>
      <c r="H1904" s="48" t="str">
        <f>_xlfn.XLOOKUP(Table134526_79101120212223242526[[#This Row],[Name Surname]],Manpower!$C$4:$C$1048576,Manpower!$H$4:$H$1048576,"")</f>
        <v>Manpower</v>
      </c>
      <c r="I1904" s="48" t="str">
        <f>_xlfn.XLOOKUP(Table134526_79101120212223242526[[#This Row],[Name Surname]],Manpower!$C$4:$C$1048576,Manpower!$H$4:$H$1048576,"")</f>
        <v>Manpower</v>
      </c>
      <c r="J1904" s="43" t="s">
        <v>35</v>
      </c>
      <c r="K1904" s="43" t="s">
        <v>313</v>
      </c>
      <c r="L1904" s="43" t="s">
        <v>82</v>
      </c>
      <c r="M1904" s="43" t="s">
        <v>24</v>
      </c>
      <c r="N1904" s="44">
        <v>10</v>
      </c>
      <c r="O1904" s="43" t="s">
        <v>25</v>
      </c>
      <c r="P1904" s="43" t="s">
        <v>41</v>
      </c>
      <c r="Q1904" s="43" t="s">
        <v>60</v>
      </c>
      <c r="R1904" s="43" t="s">
        <v>314</v>
      </c>
      <c r="S1904" s="43"/>
    </row>
    <row r="1905" spans="1:19" s="45" customFormat="1" ht="14.4" hidden="1">
      <c r="A1905" s="25">
        <f>IF(C1905="","",MAX($A$1:A1904)+1)</f>
        <v>1793</v>
      </c>
      <c r="B1905" s="25" t="s">
        <v>79</v>
      </c>
      <c r="C1905" s="41">
        <v>46097</v>
      </c>
      <c r="D1905" s="48" t="str">
        <f>_xlfn.XLOOKUP(Table134526_79101120212223242526[[#This Row],[Name Surname]],Manpower!$C$4:$C$1048576,Manpower!$B$4:$B$1048576,"")</f>
        <v>Encogroup</v>
      </c>
      <c r="E1905" s="43" t="s">
        <v>107</v>
      </c>
      <c r="F1905" s="12">
        <f>_xlfn.XLOOKUP(Table134526_79101120212223242526[[#This Row],[Name Surname]],Manpower!C:C,Manpower!D:D,)</f>
        <v>116858297</v>
      </c>
      <c r="G1905" s="48" t="str">
        <f>_xlfn.XLOOKUP(Table134526_79101120212223242526[[#This Row],[Name Surname]],Manpower!$C$4:$C$1048576,Manpower!$F$4:$F$1048576,"")</f>
        <v>Mechanical Superintendent</v>
      </c>
      <c r="H1905" s="48" t="str">
        <f>_xlfn.XLOOKUP(Table134526_79101120212223242526[[#This Row],[Name Surname]],Manpower!$C$4:$C$1048576,Manpower!$H$4:$H$1048576,"")</f>
        <v>Manpower</v>
      </c>
      <c r="I1905" s="48" t="str">
        <f>_xlfn.XLOOKUP(Table134526_79101120212223242526[[#This Row],[Name Surname]],Manpower!$C$4:$C$1048576,Manpower!$H$4:$H$1048576,"")</f>
        <v>Manpower</v>
      </c>
      <c r="J1905" s="43" t="s">
        <v>35</v>
      </c>
      <c r="K1905" s="43" t="s">
        <v>315</v>
      </c>
      <c r="L1905" s="43" t="s">
        <v>82</v>
      </c>
      <c r="M1905" s="43" t="s">
        <v>24</v>
      </c>
      <c r="N1905" s="44">
        <v>9</v>
      </c>
      <c r="O1905" s="43" t="s">
        <v>25</v>
      </c>
      <c r="P1905" s="43" t="s">
        <v>41</v>
      </c>
      <c r="Q1905" s="43" t="s">
        <v>60</v>
      </c>
      <c r="R1905" s="43" t="s">
        <v>326</v>
      </c>
      <c r="S1905" s="43"/>
    </row>
    <row r="1906" spans="1:19" s="45" customFormat="1" ht="14.4" hidden="1">
      <c r="A1906" s="25">
        <f>IF(C1906="","",MAX($A$1:A1905)+1)</f>
        <v>1794</v>
      </c>
      <c r="B1906" s="25" t="s">
        <v>79</v>
      </c>
      <c r="C1906" s="41">
        <v>46097</v>
      </c>
      <c r="D1906" s="48" t="str">
        <f>_xlfn.XLOOKUP(Table134526_79101120212223242526[[#This Row],[Name Surname]],Manpower!$C$4:$C$1048576,Manpower!$B$4:$B$1048576,"")</f>
        <v>Encogroup</v>
      </c>
      <c r="E1906" s="43" t="s">
        <v>126</v>
      </c>
      <c r="F1906" s="12">
        <f>_xlfn.XLOOKUP(Table134526_79101120212223242526[[#This Row],[Name Surname]],Manpower!C:C,Manpower!D:D,)</f>
        <v>140805568</v>
      </c>
      <c r="G1906" s="48" t="str">
        <f>_xlfn.XLOOKUP(Table134526_79101120212223242526[[#This Row],[Name Surname]],Manpower!$C$4:$C$1048576,Manpower!$F$4:$F$1048576,"")</f>
        <v>Assistant/Helper</v>
      </c>
      <c r="H1906" s="48" t="str">
        <f>_xlfn.XLOOKUP(Table134526_79101120212223242526[[#This Row],[Name Surname]],Manpower!$C$4:$C$1048576,Manpower!$H$4:$H$1048576,"")</f>
        <v>Manpower</v>
      </c>
      <c r="I1906" s="48" t="str">
        <f>_xlfn.XLOOKUP(Table134526_79101120212223242526[[#This Row],[Name Surname]],Manpower!$C$4:$C$1048576,Manpower!$H$4:$H$1048576,"")</f>
        <v>Manpower</v>
      </c>
      <c r="J1906" s="43" t="s">
        <v>35</v>
      </c>
      <c r="K1906" s="43" t="s">
        <v>313</v>
      </c>
      <c r="L1906" s="43" t="s">
        <v>82</v>
      </c>
      <c r="M1906" s="43" t="s">
        <v>24</v>
      </c>
      <c r="N1906" s="44">
        <v>10</v>
      </c>
      <c r="O1906" s="43" t="s">
        <v>40</v>
      </c>
      <c r="P1906" s="43" t="s">
        <v>41</v>
      </c>
      <c r="Q1906" s="43" t="s">
        <v>128</v>
      </c>
      <c r="R1906" s="43" t="s">
        <v>270</v>
      </c>
      <c r="S1906" s="43"/>
    </row>
    <row r="1907" spans="1:19" s="45" customFormat="1" ht="14.4" hidden="1">
      <c r="A1907" s="25">
        <f>IF(C1907="","",MAX($A$1:A1906)+1)</f>
        <v>1795</v>
      </c>
      <c r="B1907" s="25" t="s">
        <v>79</v>
      </c>
      <c r="C1907" s="41">
        <v>46097</v>
      </c>
      <c r="D1907" s="48" t="str">
        <f>_xlfn.XLOOKUP(Table134526_79101120212223242526[[#This Row],[Name Surname]],Manpower!$C$4:$C$1048576,Manpower!$B$4:$B$1048576,"")</f>
        <v>Encogroup</v>
      </c>
      <c r="E1907" s="43" t="s">
        <v>109</v>
      </c>
      <c r="F1907" s="12">
        <f>_xlfn.XLOOKUP(Table134526_79101120212223242526[[#This Row],[Name Surname]],Manpower!C:C,Manpower!D:D,)</f>
        <v>123805496</v>
      </c>
      <c r="G1907" s="48" t="str">
        <f>_xlfn.XLOOKUP(Table134526_79101120212223242526[[#This Row],[Name Surname]],Manpower!$C$4:$C$1048576,Manpower!$F$4:$F$1048576,"")</f>
        <v>Fitter/Erector</v>
      </c>
      <c r="H1907" s="48" t="str">
        <f>_xlfn.XLOOKUP(Table134526_79101120212223242526[[#This Row],[Name Surname]],Manpower!$C$4:$C$1048576,Manpower!$H$4:$H$1048576,"")</f>
        <v>Manpower</v>
      </c>
      <c r="I1907" s="48" t="str">
        <f>_xlfn.XLOOKUP(Table134526_79101120212223242526[[#This Row],[Name Surname]],Manpower!$C$4:$C$1048576,Manpower!$H$4:$H$1048576,"")</f>
        <v>Manpower</v>
      </c>
      <c r="J1907" s="43" t="s">
        <v>35</v>
      </c>
      <c r="K1907" s="43" t="s">
        <v>313</v>
      </c>
      <c r="L1907" s="43" t="s">
        <v>82</v>
      </c>
      <c r="M1907" s="43" t="s">
        <v>24</v>
      </c>
      <c r="N1907" s="44">
        <v>8</v>
      </c>
      <c r="O1907" s="43" t="s">
        <v>25</v>
      </c>
      <c r="P1907" s="43" t="s">
        <v>41</v>
      </c>
      <c r="Q1907" s="43" t="s">
        <v>60</v>
      </c>
      <c r="R1907" s="43" t="s">
        <v>314</v>
      </c>
      <c r="S1907" s="43"/>
    </row>
    <row r="1908" spans="1:19" ht="14.4" hidden="1">
      <c r="A1908" s="33">
        <f>IF(C1908="","",MAX($A$1:A1907)+1)</f>
        <v>1796</v>
      </c>
      <c r="B1908" s="26" t="s">
        <v>79</v>
      </c>
      <c r="C1908" s="23">
        <v>46097</v>
      </c>
      <c r="D1908" s="28" t="str">
        <f>_xlfn.XLOOKUP(Table134526_79101120212223242526[[#This Row],[Name Surname]],Manpower!$C$4:$C$1048576,Manpower!$B$4:$B$1048576,"")</f>
        <v>Encogroup</v>
      </c>
      <c r="E1908" s="21" t="s">
        <v>110</v>
      </c>
      <c r="F1908" s="12">
        <f>_xlfn.XLOOKUP(Table134526_79101120212223242526[[#This Row],[Name Surname]],Manpower!C:C,Manpower!D:D,)</f>
        <v>136277866</v>
      </c>
      <c r="G1908" s="28" t="str">
        <f>_xlfn.XLOOKUP(Table134526_79101120212223242526[[#This Row],[Name Surname]],Manpower!$C$4:$C$1048576,Manpower!$F$4:$F$1048576,"")</f>
        <v>Permit Receiver</v>
      </c>
      <c r="H1908" s="28" t="str">
        <f>_xlfn.XLOOKUP(Table134526_79101120212223242526[[#This Row],[Name Surname]],Manpower!$C$4:$C$1048576,Manpower!$H$4:$H$1048576,"")</f>
        <v>Manpower</v>
      </c>
      <c r="I1908" s="28" t="str">
        <f>_xlfn.XLOOKUP(Table134526_79101120212223242526[[#This Row],[Name Surname]],Manpower!$C$4:$C$1048576,Manpower!$H$4:$H$1048576,"")</f>
        <v>Manpower</v>
      </c>
      <c r="J1908" s="21" t="s">
        <v>35</v>
      </c>
      <c r="K1908" s="21" t="s">
        <v>313</v>
      </c>
      <c r="L1908" s="21" t="s">
        <v>82</v>
      </c>
      <c r="M1908" s="21" t="s">
        <v>24</v>
      </c>
      <c r="N1908" s="29">
        <v>10</v>
      </c>
      <c r="O1908" s="21" t="s">
        <v>25</v>
      </c>
      <c r="P1908" s="21" t="s">
        <v>41</v>
      </c>
      <c r="Q1908" s="21" t="s">
        <v>60</v>
      </c>
      <c r="R1908" s="21" t="s">
        <v>314</v>
      </c>
    </row>
    <row r="1909" spans="1:19" s="45" customFormat="1" ht="14.4" hidden="1">
      <c r="A1909" s="25">
        <f>IF(C1909="","",MAX($A$1:A1908)+1)</f>
        <v>1797</v>
      </c>
      <c r="B1909" s="25" t="s">
        <v>79</v>
      </c>
      <c r="C1909" s="41">
        <v>46097</v>
      </c>
      <c r="D1909" s="48" t="str">
        <f>_xlfn.XLOOKUP(Table134526_79101120212223242526[[#This Row],[Name Surname]],Manpower!$C$4:$C$1048576,Manpower!$B$4:$B$1048576,"")</f>
        <v>Encogroup</v>
      </c>
      <c r="E1909" s="43" t="s">
        <v>112</v>
      </c>
      <c r="F1909" s="12">
        <f>_xlfn.XLOOKUP(Table134526_79101120212223242526[[#This Row],[Name Surname]],Manpower!C:C,Manpower!D:D,)</f>
        <v>140663253</v>
      </c>
      <c r="G1909" s="48" t="str">
        <f>_xlfn.XLOOKUP(Table134526_79101120212223242526[[#This Row],[Name Surname]],Manpower!$C$4:$C$1048576,Manpower!$F$4:$F$1048576,"")</f>
        <v>Painting Inspector</v>
      </c>
      <c r="H1909" s="48" t="str">
        <f>_xlfn.XLOOKUP(Table134526_79101120212223242526[[#This Row],[Name Surname]],Manpower!$C$4:$C$1048576,Manpower!$H$4:$H$1048576,"")</f>
        <v>Manpower</v>
      </c>
      <c r="I1909" s="48" t="str">
        <f>_xlfn.XLOOKUP(Table134526_79101120212223242526[[#This Row],[Name Surname]],Manpower!$C$4:$C$1048576,Manpower!$H$4:$H$1048576,"")</f>
        <v>Manpower</v>
      </c>
      <c r="J1909" s="43" t="s">
        <v>35</v>
      </c>
      <c r="K1909" s="43" t="s">
        <v>304</v>
      </c>
      <c r="L1909" s="43" t="s">
        <v>82</v>
      </c>
      <c r="M1909" s="43" t="s">
        <v>24</v>
      </c>
      <c r="N1909" s="44">
        <v>8</v>
      </c>
      <c r="O1909" s="43" t="s">
        <v>94</v>
      </c>
      <c r="P1909" s="43" t="s">
        <v>114</v>
      </c>
      <c r="Q1909" s="43" t="s">
        <v>114</v>
      </c>
      <c r="R1909" s="43" t="s">
        <v>302</v>
      </c>
      <c r="S1909" s="43"/>
    </row>
    <row r="1910" spans="1:19" s="45" customFormat="1" ht="14.4" hidden="1">
      <c r="A1910" s="25">
        <f>IF(C1910="","",MAX($A$1:A1909)+1)</f>
        <v>1798</v>
      </c>
      <c r="B1910" s="25" t="s">
        <v>79</v>
      </c>
      <c r="C1910" s="41">
        <v>46097</v>
      </c>
      <c r="D1910" s="48" t="str">
        <f>_xlfn.XLOOKUP(Table134526_79101120212223242526[[#This Row],[Name Surname]],Manpower!$C$4:$C$1048576,Manpower!$B$4:$B$1048576,"")</f>
        <v>Encogroup</v>
      </c>
      <c r="E1910" s="43" t="s">
        <v>115</v>
      </c>
      <c r="F1910" s="12">
        <f>_xlfn.XLOOKUP(Table134526_79101120212223242526[[#This Row],[Name Surname]],Manpower!C:C,Manpower!D:D,)</f>
        <v>140796986</v>
      </c>
      <c r="G1910" s="48" t="str">
        <f>_xlfn.XLOOKUP(Table134526_79101120212223242526[[#This Row],[Name Surname]],Manpower!$C$4:$C$1048576,Manpower!$F$4:$F$1048576,"")</f>
        <v>Mechanical QC</v>
      </c>
      <c r="H1910" s="48" t="str">
        <f>_xlfn.XLOOKUP(Table134526_79101120212223242526[[#This Row],[Name Surname]],Manpower!$C$4:$C$1048576,Manpower!$H$4:$H$1048576,"")</f>
        <v>Manpower</v>
      </c>
      <c r="I1910" s="48" t="str">
        <f>_xlfn.XLOOKUP(Table134526_79101120212223242526[[#This Row],[Name Surname]],Manpower!$C$4:$C$1048576,Manpower!$H$4:$H$1048576,"")</f>
        <v>Manpower</v>
      </c>
      <c r="J1910" s="43" t="s">
        <v>35</v>
      </c>
      <c r="K1910" s="43" t="s">
        <v>304</v>
      </c>
      <c r="L1910" s="43" t="s">
        <v>82</v>
      </c>
      <c r="M1910" s="43" t="s">
        <v>24</v>
      </c>
      <c r="N1910" s="44">
        <v>10</v>
      </c>
      <c r="O1910" s="43" t="s">
        <v>25</v>
      </c>
      <c r="P1910" s="43" t="s">
        <v>41</v>
      </c>
      <c r="Q1910" s="43" t="s">
        <v>77</v>
      </c>
      <c r="R1910" s="43" t="s">
        <v>312</v>
      </c>
      <c r="S1910" s="43"/>
    </row>
    <row r="1911" spans="1:19" s="45" customFormat="1" ht="14.4" hidden="1">
      <c r="A1911" s="25">
        <f>IF(C1911="","",MAX($A$1:A1910)+1)</f>
        <v>1799</v>
      </c>
      <c r="B1911" s="25" t="s">
        <v>79</v>
      </c>
      <c r="C1911" s="41">
        <v>46097</v>
      </c>
      <c r="D1911" s="48" t="str">
        <f>_xlfn.XLOOKUP(Table134526_79101120212223242526[[#This Row],[Name Surname]],Manpower!$C$4:$C$1048576,Manpower!$B$4:$B$1048576,"")</f>
        <v>Encogroup</v>
      </c>
      <c r="E1911" s="43" t="s">
        <v>87</v>
      </c>
      <c r="F1911" s="12">
        <f>_xlfn.XLOOKUP(Table134526_79101120212223242526[[#This Row],[Name Surname]],Manpower!C:C,Manpower!D:D,)</f>
        <v>126724428</v>
      </c>
      <c r="G1911" s="48" t="str">
        <f>_xlfn.XLOOKUP(Table134526_79101120212223242526[[#This Row],[Name Surname]],Manpower!$C$4:$C$1048576,Manpower!$F$4:$F$1048576,"")</f>
        <v>Surveyor</v>
      </c>
      <c r="H1911" s="48" t="str">
        <f>_xlfn.XLOOKUP(Table134526_79101120212223242526[[#This Row],[Name Surname]],Manpower!$C$4:$C$1048576,Manpower!$H$4:$H$1048576,"")</f>
        <v>Manpower</v>
      </c>
      <c r="I1911" s="48" t="str">
        <f>_xlfn.XLOOKUP(Table134526_79101120212223242526[[#This Row],[Name Surname]],Manpower!$C$4:$C$1048576,Manpower!$H$4:$H$1048576,"")</f>
        <v>Manpower</v>
      </c>
      <c r="J1911" s="43" t="s">
        <v>35</v>
      </c>
      <c r="K1911" s="43" t="s">
        <v>304</v>
      </c>
      <c r="L1911" s="43" t="s">
        <v>82</v>
      </c>
      <c r="M1911" s="43" t="s">
        <v>24</v>
      </c>
      <c r="N1911" s="44">
        <v>8</v>
      </c>
      <c r="O1911" s="43" t="s">
        <v>89</v>
      </c>
      <c r="P1911" s="43" t="s">
        <v>89</v>
      </c>
      <c r="Q1911" s="43" t="s">
        <v>89</v>
      </c>
      <c r="R1911" s="43" t="s">
        <v>26</v>
      </c>
      <c r="S1911" s="43"/>
    </row>
    <row r="1912" spans="1:19" s="45" customFormat="1" ht="14.4" hidden="1">
      <c r="A1912" s="25">
        <f>IF(C1912="","",MAX($A$1:A1911)+1)</f>
        <v>1800</v>
      </c>
      <c r="B1912" s="25" t="s">
        <v>79</v>
      </c>
      <c r="C1912" s="41">
        <v>46097</v>
      </c>
      <c r="D1912" s="48" t="str">
        <f>_xlfn.XLOOKUP(Table134526_79101120212223242526[[#This Row],[Name Surname]],Manpower!$C$4:$C$1048576,Manpower!$B$4:$B$1048576,"")</f>
        <v>Encogroup</v>
      </c>
      <c r="E1912" s="43" t="s">
        <v>34</v>
      </c>
      <c r="F1912" s="12">
        <f>_xlfn.XLOOKUP(Table134526_79101120212223242526[[#This Row],[Name Surname]],Manpower!C:C,Manpower!D:D,)</f>
        <v>141365023</v>
      </c>
      <c r="G1912" s="48" t="str">
        <f>_xlfn.XLOOKUP(Table134526_79101120212223242526[[#This Row],[Name Surname]],Manpower!$C$4:$C$1048576,Manpower!$F$4:$F$1048576,"")</f>
        <v>Grinder</v>
      </c>
      <c r="H1912" s="48" t="str">
        <f>_xlfn.XLOOKUP(Table134526_79101120212223242526[[#This Row],[Name Surname]],Manpower!$C$4:$C$1048576,Manpower!$H$4:$H$1048576,"")</f>
        <v>Manpower</v>
      </c>
      <c r="I1912" s="48" t="str">
        <f>_xlfn.XLOOKUP(Table134526_79101120212223242526[[#This Row],[Name Surname]],Manpower!$C$4:$C$1048576,Manpower!$H$4:$H$1048576,"")</f>
        <v>Manpower</v>
      </c>
      <c r="J1912" s="43" t="s">
        <v>35</v>
      </c>
      <c r="K1912" s="43" t="s">
        <v>304</v>
      </c>
      <c r="L1912" s="43" t="s">
        <v>82</v>
      </c>
      <c r="M1912" s="43" t="s">
        <v>24</v>
      </c>
      <c r="N1912" s="44">
        <v>10</v>
      </c>
      <c r="O1912" s="43" t="s">
        <v>89</v>
      </c>
      <c r="P1912" s="43" t="s">
        <v>89</v>
      </c>
      <c r="Q1912" s="43" t="s">
        <v>89</v>
      </c>
      <c r="R1912" s="43" t="s">
        <v>26</v>
      </c>
      <c r="S1912" s="43"/>
    </row>
    <row r="1913" spans="1:19" s="45" customFormat="1" ht="14.4" hidden="1">
      <c r="A1913" s="25">
        <f>IF(C1913="","",MAX($A$1:A1912)+1)</f>
        <v>1801</v>
      </c>
      <c r="B1913" s="25" t="s">
        <v>79</v>
      </c>
      <c r="C1913" s="41">
        <v>46097</v>
      </c>
      <c r="D1913" s="48" t="str">
        <f>_xlfn.XLOOKUP(Table134526_79101120212223242526[[#This Row],[Name Surname]],Manpower!$C$4:$C$1048576,Manpower!$B$4:$B$1048576,"")</f>
        <v>Encogroup</v>
      </c>
      <c r="E1913" s="43" t="s">
        <v>286</v>
      </c>
      <c r="F1913" s="12">
        <f>_xlfn.XLOOKUP(Table134526_79101120212223242526[[#This Row],[Name Surname]],Manpower!C:C,Manpower!D:D,)</f>
        <v>1487544</v>
      </c>
      <c r="G1913" s="48" t="str">
        <f>_xlfn.XLOOKUP(Table134526_79101120212223242526[[#This Row],[Name Surname]],Manpower!$C$4:$C$1048576,Manpower!$F$4:$F$1048576,"")</f>
        <v>Driver</v>
      </c>
      <c r="H1913" s="48" t="str">
        <f>_xlfn.XLOOKUP(Table134526_79101120212223242526[[#This Row],[Name Surname]],Manpower!$C$4:$C$1048576,Manpower!$H$4:$H$1048576,"")</f>
        <v>Manpower</v>
      </c>
      <c r="I1913" s="48" t="str">
        <f>_xlfn.XLOOKUP(Table134526_79101120212223242526[[#This Row],[Name Surname]],Manpower!$C$4:$C$1048576,Manpower!$H$4:$H$1048576,"")</f>
        <v>Manpower</v>
      </c>
      <c r="J1913" s="43" t="s">
        <v>135</v>
      </c>
      <c r="K1913" s="43" t="s">
        <v>304</v>
      </c>
      <c r="L1913" s="43" t="s">
        <v>82</v>
      </c>
      <c r="M1913" s="43" t="s">
        <v>24</v>
      </c>
      <c r="N1913" s="44">
        <v>10</v>
      </c>
      <c r="O1913" s="43" t="s">
        <v>138</v>
      </c>
      <c r="P1913" s="43" t="s">
        <v>138</v>
      </c>
      <c r="Q1913" s="43" t="s">
        <v>138</v>
      </c>
      <c r="R1913" s="43" t="s">
        <v>26</v>
      </c>
      <c r="S1913" s="43"/>
    </row>
    <row r="1914" spans="1:19" s="45" customFormat="1" ht="14.4" hidden="1">
      <c r="A1914" s="25">
        <f>IF(C1914="","",MAX($A$1:A1911)+1)</f>
        <v>1800</v>
      </c>
      <c r="B1914" s="25" t="s">
        <v>79</v>
      </c>
      <c r="C1914" s="41">
        <v>46097</v>
      </c>
      <c r="D1914" s="48" t="str">
        <f>_xlfn.XLOOKUP(Table134526_79101120212223242526[[#This Row],[Name Surname]],Manpower!$C$4:$C$1048576,Manpower!$B$4:$B$1048576,"")</f>
        <v>Encogroup</v>
      </c>
      <c r="E1914" s="43" t="s">
        <v>203</v>
      </c>
      <c r="F1914" s="12">
        <f>_xlfn.XLOOKUP(Table134526_79101120212223242526[[#This Row],[Name Surname]],Manpower!C:C,Manpower!D:D,)</f>
        <v>140683371</v>
      </c>
      <c r="G1914" s="48" t="str">
        <f>_xlfn.XLOOKUP(Table134526_79101120212223242526[[#This Row],[Name Surname]],Manpower!$C$4:$C$1048576,Manpower!$F$4:$F$1048576,"")</f>
        <v>Rigger</v>
      </c>
      <c r="H1914" s="48" t="str">
        <f>_xlfn.XLOOKUP(Table134526_79101120212223242526[[#This Row],[Name Surname]],Manpower!$C$4:$C$1048576,Manpower!$H$4:$H$1048576,"")</f>
        <v>Manpower</v>
      </c>
      <c r="I1914" s="48" t="str">
        <f>_xlfn.XLOOKUP(Table134526_79101120212223242526[[#This Row],[Name Surname]],Manpower!$C$4:$C$1048576,Manpower!$H$4:$H$1048576,"")</f>
        <v>Manpower</v>
      </c>
      <c r="J1914" s="43" t="s">
        <v>35</v>
      </c>
      <c r="K1914" s="43" t="s">
        <v>304</v>
      </c>
      <c r="L1914" s="43" t="s">
        <v>82</v>
      </c>
      <c r="M1914" s="43" t="s">
        <v>24</v>
      </c>
      <c r="N1914" s="44">
        <v>10</v>
      </c>
      <c r="O1914" s="43" t="s">
        <v>40</v>
      </c>
      <c r="P1914" s="43" t="s">
        <v>41</v>
      </c>
      <c r="Q1914" s="43" t="s">
        <v>42</v>
      </c>
      <c r="R1914" s="43" t="s">
        <v>26</v>
      </c>
      <c r="S1914" s="43"/>
    </row>
    <row r="1915" spans="1:19" s="45" customFormat="1" ht="14.4" hidden="1">
      <c r="A1915" s="25">
        <f>IF(C1915="","",MAX($A$1:A1909)+1)</f>
        <v>1798</v>
      </c>
      <c r="B1915" s="25" t="s">
        <v>79</v>
      </c>
      <c r="C1915" s="41">
        <v>46097</v>
      </c>
      <c r="D1915" s="48" t="str">
        <f>_xlfn.XLOOKUP(Table134526_79101120212223242526[[#This Row],[Name Surname]],Manpower!$C$4:$C$1048576,Manpower!$B$4:$B$1048576,"")</f>
        <v>Encogroup</v>
      </c>
      <c r="E1915" s="43" t="s">
        <v>117</v>
      </c>
      <c r="F1915" s="12">
        <f>_xlfn.XLOOKUP(Table134526_79101120212223242526[[#This Row],[Name Surname]],Manpower!C:C,Manpower!D:D,)</f>
        <v>140844783</v>
      </c>
      <c r="G1915" s="48" t="str">
        <f>_xlfn.XLOOKUP(Table134526_79101120212223242526[[#This Row],[Name Surname]],Manpower!$C$4:$C$1048576,Manpower!$F$4:$F$1048576,"")</f>
        <v>Painter</v>
      </c>
      <c r="H1915" s="48" t="str">
        <f>_xlfn.XLOOKUP(Table134526_79101120212223242526[[#This Row],[Name Surname]],Manpower!$C$4:$C$1048576,Manpower!$H$4:$H$1048576,"")</f>
        <v>Manpower</v>
      </c>
      <c r="I1915" s="48" t="str">
        <f>_xlfn.XLOOKUP(Table134526_79101120212223242526[[#This Row],[Name Surname]],Manpower!$C$4:$C$1048576,Manpower!$H$4:$H$1048576,"")</f>
        <v>Manpower</v>
      </c>
      <c r="J1915" s="43" t="s">
        <v>35</v>
      </c>
      <c r="K1915" s="43" t="s">
        <v>304</v>
      </c>
      <c r="L1915" s="43" t="s">
        <v>82</v>
      </c>
      <c r="M1915" s="43" t="s">
        <v>24</v>
      </c>
      <c r="N1915" s="44">
        <v>10</v>
      </c>
      <c r="O1915" s="43" t="s">
        <v>94</v>
      </c>
      <c r="P1915" s="43" t="s">
        <v>114</v>
      </c>
      <c r="Q1915" s="43" t="s">
        <v>114</v>
      </c>
      <c r="R1915" s="43" t="s">
        <v>302</v>
      </c>
      <c r="S1915" s="43"/>
    </row>
    <row r="1916" spans="1:19" s="45" customFormat="1" ht="14.4" hidden="1">
      <c r="A1916" s="25">
        <f>IF(C1916="","",MAX($A$1:A1915)+1)</f>
        <v>1802</v>
      </c>
      <c r="B1916" s="25" t="s">
        <v>79</v>
      </c>
      <c r="C1916" s="41">
        <v>46097</v>
      </c>
      <c r="D1916" s="48" t="str">
        <f>_xlfn.XLOOKUP(Table134526_79101120212223242526[[#This Row],[Name Surname]],Manpower!$C$4:$C$1048576,Manpower!$B$4:$B$1048576,"")</f>
        <v>Encogroup</v>
      </c>
      <c r="E1916" s="43" t="s">
        <v>118</v>
      </c>
      <c r="F1916" s="12" t="str">
        <f>_xlfn.XLOOKUP(Table134526_79101120212223242526[[#This Row],[Name Surname]],Manpower!C:C,Manpower!D:D,)</f>
        <v>AG111207</v>
      </c>
      <c r="G1916" s="48" t="str">
        <f>_xlfn.XLOOKUP(Table134526_79101120212223242526[[#This Row],[Name Surname]],Manpower!$C$4:$C$1048576,Manpower!$F$4:$F$1048576,"")</f>
        <v>Assistant/Helper</v>
      </c>
      <c r="H1916" s="48" t="str">
        <f>_xlfn.XLOOKUP(Table134526_79101120212223242526[[#This Row],[Name Surname]],Manpower!$C$4:$C$1048576,Manpower!$H$4:$H$1048576,"")</f>
        <v>Manpower</v>
      </c>
      <c r="I1916" s="48" t="str">
        <f>_xlfn.XLOOKUP(Table134526_79101120212223242526[[#This Row],[Name Surname]],Manpower!$C$4:$C$1048576,Manpower!$H$4:$H$1048576,"")</f>
        <v>Manpower</v>
      </c>
      <c r="J1916" s="43" t="s">
        <v>35</v>
      </c>
      <c r="K1916" s="43" t="s">
        <v>304</v>
      </c>
      <c r="L1916" s="43" t="s">
        <v>82</v>
      </c>
      <c r="M1916" s="43" t="s">
        <v>24</v>
      </c>
      <c r="N1916" s="44">
        <v>10</v>
      </c>
      <c r="O1916" s="43" t="s">
        <v>94</v>
      </c>
      <c r="P1916" s="43" t="s">
        <v>114</v>
      </c>
      <c r="Q1916" s="43" t="s">
        <v>114</v>
      </c>
      <c r="R1916" s="43" t="s">
        <v>302</v>
      </c>
      <c r="S1916" s="43"/>
    </row>
    <row r="1917" spans="1:19" s="45" customFormat="1" ht="14.4" hidden="1">
      <c r="A1917" s="25">
        <f>IF(C1917="","",MAX($A$1:A1916)+1)</f>
        <v>1803</v>
      </c>
      <c r="B1917" s="25" t="s">
        <v>79</v>
      </c>
      <c r="C1917" s="41">
        <v>46097</v>
      </c>
      <c r="D1917" s="48" t="str">
        <f>_xlfn.XLOOKUP(Table134526_79101120212223242526[[#This Row],[Name Surname]],Manpower!$C$4:$C$1048576,Manpower!$B$4:$B$1048576,"")</f>
        <v>Encogroup</v>
      </c>
      <c r="E1917" s="43" t="s">
        <v>92</v>
      </c>
      <c r="F1917" s="12">
        <f>_xlfn.XLOOKUP(Table134526_79101120212223242526[[#This Row],[Name Surname]],Manpower!C:C,Manpower!D:D,)</f>
        <v>141377747</v>
      </c>
      <c r="G1917" s="48" t="str">
        <f>_xlfn.XLOOKUP(Table134526_79101120212223242526[[#This Row],[Name Surname]],Manpower!$C$4:$C$1048576,Manpower!$F$4:$F$1048576,"")</f>
        <v>Painter</v>
      </c>
      <c r="H1917" s="48" t="str">
        <f>_xlfn.XLOOKUP(Table134526_79101120212223242526[[#This Row],[Name Surname]],Manpower!$C$4:$C$1048576,Manpower!$H$4:$H$1048576,"")</f>
        <v>Manpower</v>
      </c>
      <c r="I1917" s="48" t="str">
        <f>_xlfn.XLOOKUP(Table134526_79101120212223242526[[#This Row],[Name Surname]],Manpower!$C$4:$C$1048576,Manpower!$H$4:$H$1048576,"")</f>
        <v>Manpower</v>
      </c>
      <c r="J1917" s="43" t="s">
        <v>35</v>
      </c>
      <c r="K1917" s="43" t="s">
        <v>316</v>
      </c>
      <c r="L1917" s="43" t="s">
        <v>82</v>
      </c>
      <c r="M1917" s="43" t="s">
        <v>24</v>
      </c>
      <c r="N1917" s="44">
        <v>10</v>
      </c>
      <c r="O1917" s="43" t="s">
        <v>25</v>
      </c>
      <c r="P1917" s="43" t="s">
        <v>60</v>
      </c>
      <c r="Q1917" s="43" t="s">
        <v>60</v>
      </c>
      <c r="R1917" s="43" t="s">
        <v>314</v>
      </c>
      <c r="S1917" s="43"/>
    </row>
    <row r="1918" spans="1:19" s="45" customFormat="1" ht="14.4" hidden="1">
      <c r="A1918" s="25">
        <f>IF(C1918="","",MAX($A$1:A1917)+1)</f>
        <v>1804</v>
      </c>
      <c r="B1918" s="25" t="s">
        <v>79</v>
      </c>
      <c r="C1918" s="41">
        <v>46097</v>
      </c>
      <c r="D1918" s="48" t="str">
        <f>_xlfn.XLOOKUP(Table134526_79101120212223242526[[#This Row],[Name Surname]],Manpower!$C$4:$C$1048576,Manpower!$B$4:$B$1048576,"")</f>
        <v>Encogroup</v>
      </c>
      <c r="E1918" s="43" t="s">
        <v>173</v>
      </c>
      <c r="F1918" s="12" t="str">
        <f>_xlfn.XLOOKUP(Table134526_79101120212223242526[[#This Row],[Name Surname]],Manpower!C:C,Manpower!D:D,)</f>
        <v>S3549132</v>
      </c>
      <c r="G1918" s="48" t="str">
        <f>_xlfn.XLOOKUP(Table134526_79101120212223242526[[#This Row],[Name Surname]],Manpower!$C$4:$C$1048576,Manpower!$F$4:$F$1048576,"")</f>
        <v>Grinder</v>
      </c>
      <c r="H1918" s="48" t="str">
        <f>_xlfn.XLOOKUP(Table134526_79101120212223242526[[#This Row],[Name Surname]],Manpower!$C$4:$C$1048576,Manpower!$H$4:$H$1048576,"")</f>
        <v>Manpower</v>
      </c>
      <c r="I1918" s="48" t="str">
        <f>_xlfn.XLOOKUP(Table134526_79101120212223242526[[#This Row],[Name Surname]],Manpower!$C$4:$C$1048576,Manpower!$H$4:$H$1048576,"")</f>
        <v>Manpower</v>
      </c>
      <c r="J1918" s="43" t="s">
        <v>35</v>
      </c>
      <c r="K1918" s="43" t="s">
        <v>304</v>
      </c>
      <c r="L1918" s="43" t="s">
        <v>82</v>
      </c>
      <c r="M1918" s="43" t="s">
        <v>24</v>
      </c>
      <c r="N1918" s="44">
        <v>10</v>
      </c>
      <c r="O1918" s="43" t="s">
        <v>94</v>
      </c>
      <c r="P1918" s="43" t="s">
        <v>114</v>
      </c>
      <c r="Q1918" s="43" t="s">
        <v>114</v>
      </c>
      <c r="R1918" s="43" t="s">
        <v>302</v>
      </c>
      <c r="S1918" s="43"/>
    </row>
    <row r="1919" spans="1:19" s="45" customFormat="1" ht="14.4" hidden="1">
      <c r="A1919" s="25">
        <f>IF(C1919="","",MAX($A$1:A1918)+1)</f>
        <v>1805</v>
      </c>
      <c r="B1919" s="25" t="s">
        <v>79</v>
      </c>
      <c r="C1919" s="41">
        <v>46097</v>
      </c>
      <c r="D1919" s="48" t="str">
        <f>_xlfn.XLOOKUP(Table134526_79101120212223242526[[#This Row],[Name Surname]],Manpower!$C$4:$C$1048576,Manpower!$B$4:$B$1048576,"")</f>
        <v>Encogroup</v>
      </c>
      <c r="E1919" s="43" t="s">
        <v>119</v>
      </c>
      <c r="F1919" s="12">
        <f>_xlfn.XLOOKUP(Table134526_79101120212223242526[[#This Row],[Name Surname]],Manpower!C:C,Manpower!D:D,)</f>
        <v>140844778</v>
      </c>
      <c r="G1919" s="48" t="str">
        <f>_xlfn.XLOOKUP(Table134526_79101120212223242526[[#This Row],[Name Surname]],Manpower!$C$4:$C$1048576,Manpower!$F$4:$F$1048576,"")</f>
        <v>Painter</v>
      </c>
      <c r="H1919" s="48" t="str">
        <f>_xlfn.XLOOKUP(Table134526_79101120212223242526[[#This Row],[Name Surname]],Manpower!$C$4:$C$1048576,Manpower!$H$4:$H$1048576,"")</f>
        <v>Manpower</v>
      </c>
      <c r="I1919" s="48" t="str">
        <f>_xlfn.XLOOKUP(Table134526_79101120212223242526[[#This Row],[Name Surname]],Manpower!$C$4:$C$1048576,Manpower!$H$4:$H$1048576,"")</f>
        <v>Manpower</v>
      </c>
      <c r="J1919" s="43" t="s">
        <v>35</v>
      </c>
      <c r="K1919" s="43" t="s">
        <v>304</v>
      </c>
      <c r="L1919" s="43" t="s">
        <v>82</v>
      </c>
      <c r="M1919" s="43" t="s">
        <v>24</v>
      </c>
      <c r="N1919" s="44">
        <v>9</v>
      </c>
      <c r="O1919" s="43" t="s">
        <v>94</v>
      </c>
      <c r="P1919" s="43" t="s">
        <v>114</v>
      </c>
      <c r="Q1919" s="43" t="s">
        <v>114</v>
      </c>
      <c r="R1919" s="43" t="s">
        <v>302</v>
      </c>
      <c r="S1919" s="43"/>
    </row>
    <row r="1920" spans="1:19" s="45" customFormat="1" ht="14.4" hidden="1">
      <c r="A1920" s="25">
        <f>IF(C1920="","",MAX($A$1:A1919)+1)</f>
        <v>1806</v>
      </c>
      <c r="B1920" s="25" t="s">
        <v>79</v>
      </c>
      <c r="C1920" s="41">
        <v>46097</v>
      </c>
      <c r="D1920" s="48" t="str">
        <f>_xlfn.XLOOKUP(Table134526_79101120212223242526[[#This Row],[Name Surname]],Manpower!$C$4:$C$1048576,Manpower!$B$4:$B$1048576,"")</f>
        <v>Encogroup</v>
      </c>
      <c r="E1920" s="43" t="s">
        <v>122</v>
      </c>
      <c r="F1920" s="12">
        <f>_xlfn.XLOOKUP(Table134526_79101120212223242526[[#This Row],[Name Surname]],Manpower!C:C,Manpower!D:D,)</f>
        <v>140805554</v>
      </c>
      <c r="G1920" s="48" t="str">
        <f>_xlfn.XLOOKUP(Table134526_79101120212223242526[[#This Row],[Name Surname]],Manpower!$C$4:$C$1048576,Manpower!$F$4:$F$1048576,"")</f>
        <v>Assistant/Helper</v>
      </c>
      <c r="H1920" s="48" t="str">
        <f>_xlfn.XLOOKUP(Table134526_79101120212223242526[[#This Row],[Name Surname]],Manpower!$C$4:$C$1048576,Manpower!$H$4:$H$1048576,"")</f>
        <v>Manpower</v>
      </c>
      <c r="I1920" s="48" t="str">
        <f>_xlfn.XLOOKUP(Table134526_79101120212223242526[[#This Row],[Name Surname]],Manpower!$C$4:$C$1048576,Manpower!$H$4:$H$1048576,"")</f>
        <v>Manpower</v>
      </c>
      <c r="J1920" s="43" t="s">
        <v>35</v>
      </c>
      <c r="K1920" s="43" t="s">
        <v>252</v>
      </c>
      <c r="L1920" s="43" t="s">
        <v>82</v>
      </c>
      <c r="M1920" s="43" t="s">
        <v>24</v>
      </c>
      <c r="N1920" s="44">
        <v>10</v>
      </c>
      <c r="O1920" s="43" t="s">
        <v>25</v>
      </c>
      <c r="P1920" s="43" t="s">
        <v>41</v>
      </c>
      <c r="Q1920" s="43" t="s">
        <v>77</v>
      </c>
      <c r="R1920" s="43" t="s">
        <v>312</v>
      </c>
      <c r="S1920" s="43"/>
    </row>
    <row r="1921" spans="1:19" s="45" customFormat="1" ht="14.4" hidden="1">
      <c r="A1921" s="25">
        <f>IF(C1921="","",MAX($A$1:A1920)+1)</f>
        <v>1807</v>
      </c>
      <c r="B1921" s="25" t="s">
        <v>79</v>
      </c>
      <c r="C1921" s="41">
        <v>46097</v>
      </c>
      <c r="D1921" s="48" t="str">
        <f>_xlfn.XLOOKUP(Table134526_79101120212223242526[[#This Row],[Name Surname]],Manpower!$C$4:$C$1048576,Manpower!$B$4:$B$1048576,"")</f>
        <v>Encogroup</v>
      </c>
      <c r="E1921" s="43" t="s">
        <v>125</v>
      </c>
      <c r="F1921" s="12">
        <f>_xlfn.XLOOKUP(Table134526_79101120212223242526[[#This Row],[Name Surname]],Manpower!C:C,Manpower!D:D,)</f>
        <v>141169028</v>
      </c>
      <c r="G1921" s="48" t="str">
        <f>_xlfn.XLOOKUP(Table134526_79101120212223242526[[#This Row],[Name Surname]],Manpower!$C$4:$C$1048576,Manpower!$F$4:$F$1048576,"")</f>
        <v>Welder</v>
      </c>
      <c r="H1921" s="48" t="str">
        <f>_xlfn.XLOOKUP(Table134526_79101120212223242526[[#This Row],[Name Surname]],Manpower!$C$4:$C$1048576,Manpower!$H$4:$H$1048576,"")</f>
        <v>Manpower</v>
      </c>
      <c r="I1921" s="48" t="str">
        <f>_xlfn.XLOOKUP(Table134526_79101120212223242526[[#This Row],[Name Surname]],Manpower!$C$4:$C$1048576,Manpower!$H$4:$H$1048576,"")</f>
        <v>Manpower</v>
      </c>
      <c r="J1921" s="43" t="s">
        <v>35</v>
      </c>
      <c r="K1921" s="43" t="s">
        <v>313</v>
      </c>
      <c r="L1921" s="43" t="s">
        <v>82</v>
      </c>
      <c r="M1921" s="43" t="s">
        <v>24</v>
      </c>
      <c r="N1921" s="44">
        <v>10</v>
      </c>
      <c r="O1921" s="43" t="s">
        <v>25</v>
      </c>
      <c r="P1921" s="43" t="s">
        <v>41</v>
      </c>
      <c r="Q1921" s="43" t="s">
        <v>60</v>
      </c>
      <c r="R1921" s="43" t="s">
        <v>314</v>
      </c>
      <c r="S1921" s="43"/>
    </row>
    <row r="1922" spans="1:19" s="45" customFormat="1" ht="14.4" hidden="1">
      <c r="A1922" s="25">
        <f>IF(C1922="","",MAX($A$1:A1921)+1)</f>
        <v>1808</v>
      </c>
      <c r="B1922" s="25" t="s">
        <v>79</v>
      </c>
      <c r="C1922" s="41">
        <v>46097</v>
      </c>
      <c r="D1922" s="48" t="str">
        <f>_xlfn.XLOOKUP(Table134526_79101120212223242526[[#This Row],[Name Surname]],Manpower!$C$4:$C$1048576,Manpower!$B$4:$B$1048576,"")</f>
        <v>AL Saif &amp; Al QALLM ENT LLC</v>
      </c>
      <c r="E1922" s="43" t="s">
        <v>130</v>
      </c>
      <c r="F1922" s="12">
        <f>_xlfn.XLOOKUP(Table134526_79101120212223242526[[#This Row],[Name Surname]],Manpower!C:C,Manpower!D:D,)</f>
        <v>76647648</v>
      </c>
      <c r="G1922" s="48" t="str">
        <f>_xlfn.XLOOKUP(Table134526_79101120212223242526[[#This Row],[Name Surname]],Manpower!$C$4:$C$1048576,Manpower!$F$4:$F$1048576,"")</f>
        <v>RIgger</v>
      </c>
      <c r="H1922" s="48" t="str">
        <f>_xlfn.XLOOKUP(Table134526_79101120212223242526[[#This Row],[Name Surname]],Manpower!$C$4:$C$1048576,Manpower!$H$4:$H$1048576,"")</f>
        <v>Sub Contactor</v>
      </c>
      <c r="I1922" s="48" t="str">
        <f>_xlfn.XLOOKUP(Table134526_79101120212223242526[[#This Row],[Name Surname]],Manpower!$C$4:$C$1048576,Manpower!$H$4:$H$1048576,"")</f>
        <v>Sub Contactor</v>
      </c>
      <c r="J1922" s="43" t="s">
        <v>35</v>
      </c>
      <c r="K1922" s="43" t="s">
        <v>313</v>
      </c>
      <c r="L1922" s="43" t="s">
        <v>82</v>
      </c>
      <c r="M1922" s="43" t="s">
        <v>24</v>
      </c>
      <c r="N1922" s="44">
        <v>8</v>
      </c>
      <c r="O1922" s="43" t="s">
        <v>25</v>
      </c>
      <c r="P1922" s="43" t="s">
        <v>41</v>
      </c>
      <c r="Q1922" s="43" t="s">
        <v>60</v>
      </c>
      <c r="R1922" s="43" t="s">
        <v>314</v>
      </c>
      <c r="S1922" s="43"/>
    </row>
    <row r="1923" spans="1:19" s="45" customFormat="1" ht="14.4" hidden="1">
      <c r="A1923" s="25">
        <f>IF(C1923="","",MAX($A$1:A1922)+1)</f>
        <v>1809</v>
      </c>
      <c r="B1923" s="25" t="s">
        <v>79</v>
      </c>
      <c r="C1923" s="41">
        <v>46097</v>
      </c>
      <c r="D1923" s="48" t="str">
        <f>_xlfn.XLOOKUP(Table134526_79101120212223242526[[#This Row],[Name Surname]],Manpower!$C$4:$C$1048576,Manpower!$B$4:$B$1048576,"")</f>
        <v>Rabwu Ahamal AL Khaleej Trad</v>
      </c>
      <c r="E1923" s="43" t="s">
        <v>131</v>
      </c>
      <c r="F1923" s="12">
        <f>_xlfn.XLOOKUP(Table134526_79101120212223242526[[#This Row],[Name Surname]],Manpower!C:C,Manpower!D:D,)</f>
        <v>131431131</v>
      </c>
      <c r="G1923" s="48" t="str">
        <f>_xlfn.XLOOKUP(Table134526_79101120212223242526[[#This Row],[Name Surname]],Manpower!$C$4:$C$1048576,Manpower!$F$4:$F$1048576,"")</f>
        <v>RIgger</v>
      </c>
      <c r="H1923" s="48" t="str">
        <f>_xlfn.XLOOKUP(Table134526_79101120212223242526[[#This Row],[Name Surname]],Manpower!$C$4:$C$1048576,Manpower!$H$4:$H$1048576,"")</f>
        <v>Sub Contactor</v>
      </c>
      <c r="I1923" s="48" t="str">
        <f>_xlfn.XLOOKUP(Table134526_79101120212223242526[[#This Row],[Name Surname]],Manpower!$C$4:$C$1048576,Manpower!$H$4:$H$1048576,"")</f>
        <v>Sub Contactor</v>
      </c>
      <c r="J1923" s="43" t="s">
        <v>35</v>
      </c>
      <c r="K1923" s="43" t="s">
        <v>313</v>
      </c>
      <c r="L1923" s="43" t="s">
        <v>82</v>
      </c>
      <c r="M1923" s="43" t="s">
        <v>24</v>
      </c>
      <c r="N1923" s="44">
        <v>8</v>
      </c>
      <c r="O1923" s="43" t="s">
        <v>25</v>
      </c>
      <c r="P1923" s="43" t="s">
        <v>41</v>
      </c>
      <c r="Q1923" s="43" t="s">
        <v>60</v>
      </c>
      <c r="R1923" s="43" t="s">
        <v>314</v>
      </c>
      <c r="S1923" s="43"/>
    </row>
    <row r="1924" spans="1:19" ht="14.4" hidden="1">
      <c r="A1924" s="33">
        <f>IF(C1924="","",MAX($A$1:A1923)+1)</f>
        <v>1810</v>
      </c>
      <c r="B1924" s="26" t="s">
        <v>79</v>
      </c>
      <c r="C1924" s="23">
        <v>46097</v>
      </c>
      <c r="D1924" s="28" t="str">
        <f>_xlfn.XLOOKUP(Table134526_79101120212223242526[[#This Row],[Name Surname]],Manpower!$C$4:$C$1048576,Manpower!$B$4:$B$1048576,"")</f>
        <v>AL Saif &amp; Al QALLM ENT LLC</v>
      </c>
      <c r="E1924" s="21" t="s">
        <v>132</v>
      </c>
      <c r="F1924" s="12">
        <f>_xlfn.XLOOKUP(Table134526_79101120212223242526[[#This Row],[Name Surname]],Manpower!C:C,Manpower!D:D,)</f>
        <v>135762195</v>
      </c>
      <c r="G1924" s="28" t="str">
        <f>_xlfn.XLOOKUP(Table134526_79101120212223242526[[#This Row],[Name Surname]],Manpower!$C$4:$C$1048576,Manpower!$F$4:$F$1048576,"")</f>
        <v>HSE Officer</v>
      </c>
      <c r="H1924" s="28" t="str">
        <f>_xlfn.XLOOKUP(Table134526_79101120212223242526[[#This Row],[Name Surname]],Manpower!$C$4:$C$1048576,Manpower!$H$4:$H$1048576,"")</f>
        <v>Sub Contactor</v>
      </c>
      <c r="I1924" s="28" t="str">
        <f>_xlfn.XLOOKUP(Table134526_79101120212223242526[[#This Row],[Name Surname]],Manpower!$C$4:$C$1048576,Manpower!$H$4:$H$1048576,"")</f>
        <v>Sub Contactor</v>
      </c>
      <c r="J1924" s="21" t="s">
        <v>35</v>
      </c>
      <c r="K1924" s="21" t="s">
        <v>313</v>
      </c>
      <c r="L1924" s="21" t="s">
        <v>82</v>
      </c>
      <c r="M1924" s="21" t="s">
        <v>24</v>
      </c>
      <c r="N1924" s="29">
        <v>10</v>
      </c>
      <c r="O1924" s="21" t="s">
        <v>25</v>
      </c>
      <c r="P1924" s="21" t="s">
        <v>41</v>
      </c>
      <c r="Q1924" s="21" t="s">
        <v>60</v>
      </c>
      <c r="R1924" s="21" t="s">
        <v>327</v>
      </c>
    </row>
    <row r="1925" spans="1:19" ht="14.4" hidden="1">
      <c r="A1925" s="33">
        <f>IF(C1925="","",MAX($A$1:A1924)+1)</f>
        <v>1811</v>
      </c>
      <c r="B1925" s="26" t="s">
        <v>79</v>
      </c>
      <c r="C1925" s="23">
        <v>46097</v>
      </c>
      <c r="D1925" s="28" t="str">
        <f>_xlfn.XLOOKUP(Table134526_79101120212223242526[[#This Row],[Name Surname]],Manpower!$C$4:$C$1048576,Manpower!$B$4:$B$1048576,"")</f>
        <v>Encogroup</v>
      </c>
      <c r="E1925" s="21" t="s">
        <v>133</v>
      </c>
      <c r="F1925" s="12">
        <f>_xlfn.XLOOKUP(Table134526_79101120212223242526[[#This Row],[Name Surname]],Manpower!C:C,Manpower!D:D,)</f>
        <v>140846684</v>
      </c>
      <c r="G1925" s="28" t="str">
        <f>_xlfn.XLOOKUP(Table134526_79101120212223242526[[#This Row],[Name Surname]],Manpower!$C$4:$C$1048576,Manpower!$F$4:$F$1048576,"")</f>
        <v>Assistant/Helper</v>
      </c>
      <c r="H1925" s="28" t="str">
        <f>_xlfn.XLOOKUP(Table134526_79101120212223242526[[#This Row],[Name Surname]],Manpower!$C$4:$C$1048576,Manpower!$H$4:$H$1048576,"")</f>
        <v>Manpower</v>
      </c>
      <c r="I1925" s="28" t="str">
        <f>_xlfn.XLOOKUP(Table134526_79101120212223242526[[#This Row],[Name Surname]],Manpower!$C$4:$C$1048576,Manpower!$H$4:$H$1048576,"")</f>
        <v>Manpower</v>
      </c>
      <c r="J1925" s="21" t="s">
        <v>35</v>
      </c>
      <c r="K1925" s="21" t="s">
        <v>313</v>
      </c>
      <c r="L1925" s="21" t="s">
        <v>82</v>
      </c>
      <c r="M1925" s="21" t="s">
        <v>24</v>
      </c>
      <c r="N1925" s="29">
        <v>10</v>
      </c>
      <c r="O1925" s="21" t="s">
        <v>25</v>
      </c>
      <c r="P1925" s="21" t="s">
        <v>41</v>
      </c>
      <c r="Q1925" s="21" t="s">
        <v>60</v>
      </c>
      <c r="R1925" s="21" t="s">
        <v>100</v>
      </c>
    </row>
    <row r="1926" spans="1:19" s="45" customFormat="1" ht="14.4" hidden="1">
      <c r="A1926" s="25">
        <f>IF(C1926="","",MAX($A$1:A1925)+1)</f>
        <v>1812</v>
      </c>
      <c r="B1926" s="25" t="s">
        <v>79</v>
      </c>
      <c r="C1926" s="41">
        <v>46097</v>
      </c>
      <c r="D1926" s="48" t="str">
        <f>_xlfn.XLOOKUP(Table134526_79101120212223242526[[#This Row],[Name Surname]],Manpower!$C$4:$C$1048576,Manpower!$B$4:$B$1048576,"")</f>
        <v>Encogroup</v>
      </c>
      <c r="E1926" s="43" t="s">
        <v>136</v>
      </c>
      <c r="F1926" s="12">
        <f>_xlfn.XLOOKUP(Table134526_79101120212223242526[[#This Row],[Name Surname]],Manpower!C:C,Manpower!D:D,)</f>
        <v>141250908</v>
      </c>
      <c r="G1926" s="48" t="str">
        <f>_xlfn.XLOOKUP(Table134526_79101120212223242526[[#This Row],[Name Surname]],Manpower!$C$4:$C$1048576,Manpower!$F$4:$F$1048576,"")</f>
        <v>Mechanical Engineer</v>
      </c>
      <c r="H1926" s="48" t="str">
        <f>_xlfn.XLOOKUP(Table134526_79101120212223242526[[#This Row],[Name Surname]],Manpower!$C$4:$C$1048576,Manpower!$H$4:$H$1048576,"")</f>
        <v>Manpower</v>
      </c>
      <c r="I1926" s="48" t="str">
        <f>_xlfn.XLOOKUP(Table134526_79101120212223242526[[#This Row],[Name Surname]],Manpower!$C$4:$C$1048576,Manpower!$H$4:$H$1048576,"")</f>
        <v>Manpower</v>
      </c>
      <c r="J1926" s="43" t="s">
        <v>35</v>
      </c>
      <c r="K1926" s="43" t="s">
        <v>313</v>
      </c>
      <c r="L1926" s="43" t="s">
        <v>82</v>
      </c>
      <c r="M1926" s="43" t="s">
        <v>24</v>
      </c>
      <c r="N1926" s="44">
        <v>10</v>
      </c>
      <c r="O1926" s="43" t="s">
        <v>25</v>
      </c>
      <c r="P1926" s="43" t="s">
        <v>41</v>
      </c>
      <c r="Q1926" s="43" t="s">
        <v>60</v>
      </c>
      <c r="R1926" s="43" t="s">
        <v>327</v>
      </c>
      <c r="S1926" s="43"/>
    </row>
    <row r="1927" spans="1:19" ht="14.4">
      <c r="A1927" s="33">
        <f>IF(C1927="","",MAX($A$1:A1926)+1)</f>
        <v>1813</v>
      </c>
      <c r="B1927" s="26" t="s">
        <v>79</v>
      </c>
      <c r="C1927" s="23">
        <v>46097</v>
      </c>
      <c r="D1927" s="28" t="str">
        <f>_xlfn.XLOOKUP(Table134526_79101120212223242526[[#This Row],[Name Surname]],Manpower!$C$4:$C$1048576,Manpower!$B$4:$B$1048576,"")</f>
        <v>Encogroup</v>
      </c>
      <c r="E1927" s="23" t="s">
        <v>137</v>
      </c>
      <c r="F1927" s="12" t="e">
        <f>_xlfn.XLOOKUP(Table134526_79101120212223242526[[#This Row],[Name Surname]],Manpower!C:C,Manpower!D:D,)</f>
        <v>#N/A</v>
      </c>
      <c r="G1927" s="28" t="str">
        <f>_xlfn.XLOOKUP(Table134526_79101120212223242526[[#This Row],[Name Surname]],Manpower!$C$4:$C$1048576,Manpower!$F$4:$F$1048576,"")</f>
        <v>55 Seat Bus</v>
      </c>
      <c r="H1927" s="28" t="str">
        <f>_xlfn.XLOOKUP(Table134526_79101120212223242526[[#This Row],[Name Surname]],Manpower!$C$4:$C$1048576,Manpower!$H$4:$H$1048576,"")</f>
        <v>Equipment</v>
      </c>
      <c r="I1927" s="28" t="str">
        <f>_xlfn.XLOOKUP(Table134526_79101120212223242526[[#This Row],[Name Surname]],Manpower!$C$4:$C$1048576,Manpower!$H$4:$H$1048576,"")</f>
        <v>Equipment</v>
      </c>
      <c r="J1927" s="21" t="s">
        <v>35</v>
      </c>
      <c r="K1927" s="21" t="s">
        <v>313</v>
      </c>
      <c r="L1927" s="21" t="s">
        <v>82</v>
      </c>
      <c r="M1927" s="21" t="s">
        <v>24</v>
      </c>
      <c r="N1927" s="29">
        <v>10</v>
      </c>
      <c r="O1927" s="21" t="s">
        <v>138</v>
      </c>
      <c r="P1927" s="21" t="s">
        <v>138</v>
      </c>
      <c r="Q1927" s="21" t="s">
        <v>138</v>
      </c>
      <c r="R1927" s="21" t="s">
        <v>26</v>
      </c>
    </row>
    <row r="1928" spans="1:19" ht="14.4">
      <c r="A1928" s="33">
        <f>IF(C1928="","",MAX($A$1:A1926)+1)</f>
        <v>1813</v>
      </c>
      <c r="B1928" s="26" t="s">
        <v>79</v>
      </c>
      <c r="C1928" s="23">
        <v>46097</v>
      </c>
      <c r="D1928" s="28" t="str">
        <f>_xlfn.XLOOKUP(Table134526_79101120212223242526[[#This Row],[Name Surname]],Manpower!$C$4:$C$1048576,Manpower!$B$4:$B$1048576,"")</f>
        <v>Encogroup</v>
      </c>
      <c r="E1928" s="23" t="s">
        <v>139</v>
      </c>
      <c r="F1928" s="12" t="e">
        <f>_xlfn.XLOOKUP(Table134526_79101120212223242526[[#This Row],[Name Surname]],Manpower!C:C,Manpower!D:D,)</f>
        <v>#N/A</v>
      </c>
      <c r="G1928" s="28" t="str">
        <f>_xlfn.XLOOKUP(Table134526_79101120212223242526[[#This Row],[Name Surname]],Manpower!$C$4:$C$1048576,Manpower!$F$4:$F$1048576,"")</f>
        <v>TOWER LIGHT</v>
      </c>
      <c r="H1928" s="28" t="str">
        <f>_xlfn.XLOOKUP(Table134526_79101120212223242526[[#This Row],[Name Surname]],Manpower!$C$4:$C$1048576,Manpower!$H$4:$H$1048576,"")</f>
        <v>Equipment</v>
      </c>
      <c r="I1928" s="28" t="str">
        <f>_xlfn.XLOOKUP(Table134526_79101120212223242526[[#This Row],[Name Surname]],Manpower!$C$4:$C$1048576,Manpower!$H$4:$H$1048576,"")</f>
        <v>Equipment</v>
      </c>
      <c r="J1928" s="21" t="s">
        <v>35</v>
      </c>
      <c r="K1928" s="21" t="s">
        <v>313</v>
      </c>
      <c r="L1928" s="21" t="s">
        <v>82</v>
      </c>
      <c r="M1928" s="21" t="s">
        <v>24</v>
      </c>
      <c r="N1928" s="29">
        <v>10</v>
      </c>
      <c r="O1928" s="21" t="s">
        <v>140</v>
      </c>
      <c r="P1928" s="21" t="s">
        <v>140</v>
      </c>
      <c r="Q1928" s="21" t="s">
        <v>140</v>
      </c>
      <c r="R1928" s="21" t="s">
        <v>26</v>
      </c>
    </row>
    <row r="1929" spans="1:19" ht="14.4">
      <c r="A1929" s="33">
        <f>IF(C1929="","",MAX($A$1:A1928)+1)</f>
        <v>1814</v>
      </c>
      <c r="B1929" s="27" t="s">
        <v>141</v>
      </c>
      <c r="C1929" s="23">
        <v>46097</v>
      </c>
      <c r="D1929" s="28" t="str">
        <f>_xlfn.XLOOKUP(Table134526_79101120212223242526[[#This Row],[Name Surname]],Manpower!$C$4:$C$1048576,Manpower!$B$4:$B$1048576,"")</f>
        <v>Encogroup</v>
      </c>
      <c r="E1929" s="21" t="s">
        <v>142</v>
      </c>
      <c r="F1929" s="12" t="e">
        <f>_xlfn.XLOOKUP(Table134526_79101120212223242526[[#This Row],[Name Surname]],Manpower!C:C,Manpower!D:D,)</f>
        <v>#N/A</v>
      </c>
      <c r="G1929" s="28" t="str">
        <f>_xlfn.XLOOKUP(Table134526_79101120212223242526[[#This Row],[Name Surname]],Manpower!$C$4:$C$1048576,Manpower!$F$4:$F$1048576,"")</f>
        <v>13 Seat Bus</v>
      </c>
      <c r="H1929" s="28" t="str">
        <f>_xlfn.XLOOKUP(Table134526_79101120212223242526[[#This Row],[Name Surname]],Manpower!$C$4:$C$1048576,Manpower!$H$4:$H$1048576,"")</f>
        <v>Equipment</v>
      </c>
      <c r="I1929" s="28" t="str">
        <f>_xlfn.XLOOKUP(Table134526_79101120212223242526[[#This Row],[Name Surname]],Manpower!$C$4:$C$1048576,Manpower!$H$4:$H$1048576,"")</f>
        <v>Equipment</v>
      </c>
      <c r="J1929" s="21" t="s">
        <v>143</v>
      </c>
      <c r="K1929" s="21" t="s">
        <v>26</v>
      </c>
      <c r="L1929" s="21" t="s">
        <v>144</v>
      </c>
      <c r="M1929" s="21" t="s">
        <v>24</v>
      </c>
      <c r="N1929" s="29">
        <v>10</v>
      </c>
      <c r="O1929" s="21" t="s">
        <v>138</v>
      </c>
      <c r="P1929" s="21" t="s">
        <v>138</v>
      </c>
      <c r="Q1929" s="21" t="s">
        <v>138</v>
      </c>
      <c r="R1929" s="21" t="s">
        <v>26</v>
      </c>
    </row>
    <row r="1930" spans="1:19" ht="14.4">
      <c r="A1930" s="33">
        <f>IF(C1930="","",MAX($A$1:A1929)+1)</f>
        <v>1815</v>
      </c>
      <c r="B1930" s="27" t="s">
        <v>141</v>
      </c>
      <c r="C1930" s="23">
        <v>46097</v>
      </c>
      <c r="D1930" s="28" t="str">
        <f>_xlfn.XLOOKUP(Table134526_79101120212223242526[[#This Row],[Name Surname]],Manpower!$C$4:$C$1048576,Manpower!$B$4:$B$1048576,"")</f>
        <v>Encogroup</v>
      </c>
      <c r="E1930" s="21" t="s">
        <v>145</v>
      </c>
      <c r="F1930" s="12" t="e">
        <f>_xlfn.XLOOKUP(Table134526_79101120212223242526[[#This Row],[Name Surname]],Manpower!C:C,Manpower!D:D,)</f>
        <v>#N/A</v>
      </c>
      <c r="G1930" s="28" t="str">
        <f>_xlfn.XLOOKUP(Table134526_79101120212223242526[[#This Row],[Name Surname]],Manpower!$C$4:$C$1048576,Manpower!$F$4:$F$1048576,"")</f>
        <v>15 Seat Bus</v>
      </c>
      <c r="H1930" s="28" t="str">
        <f>_xlfn.XLOOKUP(Table134526_79101120212223242526[[#This Row],[Name Surname]],Manpower!$C$4:$C$1048576,Manpower!$H$4:$H$1048576,"")</f>
        <v>Equipment</v>
      </c>
      <c r="I1930" s="28" t="str">
        <f>_xlfn.XLOOKUP(Table134526_79101120212223242526[[#This Row],[Name Surname]],Manpower!$C$4:$C$1048576,Manpower!$H$4:$H$1048576,"")</f>
        <v>Equipment</v>
      </c>
      <c r="J1930" s="21" t="s">
        <v>143</v>
      </c>
      <c r="K1930" s="21" t="s">
        <v>26</v>
      </c>
      <c r="L1930" s="21" t="s">
        <v>144</v>
      </c>
      <c r="M1930" s="21" t="s">
        <v>24</v>
      </c>
      <c r="N1930" s="29">
        <v>10</v>
      </c>
      <c r="O1930" s="21" t="s">
        <v>138</v>
      </c>
      <c r="P1930" s="21" t="s">
        <v>138</v>
      </c>
      <c r="Q1930" s="21" t="s">
        <v>138</v>
      </c>
      <c r="R1930" s="21" t="s">
        <v>26</v>
      </c>
    </row>
    <row r="1931" spans="1:19" ht="14.4">
      <c r="A1931" s="33">
        <f>IF(C1931="","",MAX($A$1:A1929)+1)</f>
        <v>1815</v>
      </c>
      <c r="B1931" s="27" t="s">
        <v>141</v>
      </c>
      <c r="C1931" s="23">
        <v>46097</v>
      </c>
      <c r="D1931" s="28" t="str">
        <f>_xlfn.XLOOKUP(Table134526_79101120212223242526[[#This Row],[Name Surname]],Manpower!$C$4:$C$1048576,Manpower!$B$4:$B$1048576,"")</f>
        <v>Nass Group</v>
      </c>
      <c r="E1931" s="21" t="s">
        <v>146</v>
      </c>
      <c r="F1931" s="12" t="e">
        <f>_xlfn.XLOOKUP(Table134526_79101120212223242526[[#This Row],[Name Surname]],Manpower!C:C,Manpower!D:D,)</f>
        <v>#N/A</v>
      </c>
      <c r="G1931" s="28" t="str">
        <f>_xlfn.XLOOKUP(Table134526_79101120212223242526[[#This Row],[Name Surname]],Manpower!$C$4:$C$1048576,Manpower!$F$4:$F$1048576,"")</f>
        <v>130T Crawler Crane</v>
      </c>
      <c r="H1931" s="28" t="str">
        <f>_xlfn.XLOOKUP(Table134526_79101120212223242526[[#This Row],[Name Surname]],Manpower!$C$4:$C$1048576,Manpower!$H$4:$H$1048576,"")</f>
        <v>Equipment</v>
      </c>
      <c r="I1931" s="28" t="str">
        <f>_xlfn.XLOOKUP(Table134526_79101120212223242526[[#This Row],[Name Surname]],Manpower!$C$4:$C$1048576,Manpower!$H$4:$H$1048576,"")</f>
        <v>Equipment</v>
      </c>
      <c r="J1931" s="21" t="s">
        <v>143</v>
      </c>
      <c r="K1931" s="21" t="s">
        <v>26</v>
      </c>
      <c r="L1931" s="21" t="s">
        <v>144</v>
      </c>
      <c r="M1931" s="21" t="s">
        <v>55</v>
      </c>
      <c r="N1931" s="29">
        <v>10</v>
      </c>
      <c r="R1931" s="21" t="s">
        <v>258</v>
      </c>
    </row>
    <row r="1932" spans="1:19" ht="14.4" hidden="1">
      <c r="A1932" s="33">
        <f>IF(C1932="","",MAX($A$1:A1931)+1)</f>
        <v>1816</v>
      </c>
      <c r="B1932" s="27" t="s">
        <v>141</v>
      </c>
      <c r="C1932" s="23">
        <v>46097</v>
      </c>
      <c r="D1932" s="28" t="str">
        <f>_xlfn.XLOOKUP(Table134526_79101120212223242526[[#This Row],[Name Surname]],Manpower!$C$4:$C$1048576,Manpower!$B$4:$B$1048576,"")</f>
        <v>SARENS NASS</v>
      </c>
      <c r="E1932" s="21" t="s">
        <v>214</v>
      </c>
      <c r="F1932" s="12">
        <f>_xlfn.XLOOKUP(Table134526_79101120212223242526[[#This Row],[Name Surname]],Manpower!C:C,Manpower!D:D,)</f>
        <v>109957631</v>
      </c>
      <c r="G1932" s="28" t="str">
        <f>_xlfn.XLOOKUP(Table134526_79101120212223242526[[#This Row],[Name Surname]],Manpower!$C$4:$C$1048576,Manpower!$F$4:$F$1048576,"")</f>
        <v>Crane Operator-130T Liebherr Crawler</v>
      </c>
      <c r="H1932" s="28" t="str">
        <f>_xlfn.XLOOKUP(Table134526_79101120212223242526[[#This Row],[Name Surname]],Manpower!$C$4:$C$1048576,Manpower!$H$4:$H$1048576,"")</f>
        <v>Manpower</v>
      </c>
      <c r="I1932" s="28" t="str">
        <f>_xlfn.XLOOKUP(Table134526_79101120212223242526[[#This Row],[Name Surname]],Manpower!$C$4:$C$1048576,Manpower!$H$4:$H$1048576,"")</f>
        <v>Manpower</v>
      </c>
      <c r="J1932" s="21" t="s">
        <v>143</v>
      </c>
      <c r="K1932" s="21" t="s">
        <v>26</v>
      </c>
      <c r="L1932" s="21" t="s">
        <v>144</v>
      </c>
      <c r="M1932" s="21" t="s">
        <v>55</v>
      </c>
      <c r="N1932" s="29">
        <v>10</v>
      </c>
      <c r="R1932" s="21" t="s">
        <v>258</v>
      </c>
    </row>
    <row r="1933" spans="1:19" ht="14.4">
      <c r="A1933" s="33">
        <f>IF(C1933="","",MAX($A$1:A1932)+1)</f>
        <v>1817</v>
      </c>
      <c r="B1933" s="27" t="s">
        <v>141</v>
      </c>
      <c r="C1933" s="23">
        <v>46097</v>
      </c>
      <c r="D1933" s="28" t="str">
        <f>_xlfn.XLOOKUP(Table134526_79101120212223242526[[#This Row],[Name Surname]],Manpower!$C$4:$C$1048576,Manpower!$B$4:$B$1048576,"")</f>
        <v>Riyan Al Khaleej</v>
      </c>
      <c r="E1933" s="21" t="s">
        <v>20</v>
      </c>
      <c r="F1933" s="12" t="e">
        <f>_xlfn.XLOOKUP(Table134526_79101120212223242526[[#This Row],[Name Surname]],Manpower!C:C,Manpower!D:D,)</f>
        <v>#N/A</v>
      </c>
      <c r="G1933" s="28" t="str">
        <f>_xlfn.XLOOKUP(Table134526_79101120212223242526[[#This Row],[Name Surname]],Manpower!$C$4:$C$1048576,Manpower!$F$4:$F$1048576,"")</f>
        <v>100T Telescopic Crane</v>
      </c>
      <c r="H1933" s="28" t="str">
        <f>_xlfn.XLOOKUP(Table134526_79101120212223242526[[#This Row],[Name Surname]],Manpower!$C$4:$C$1048576,Manpower!$H$4:$H$1048576,"")</f>
        <v>Equipment</v>
      </c>
      <c r="I1933" s="28" t="str">
        <f>_xlfn.XLOOKUP(Table134526_79101120212223242526[[#This Row],[Name Surname]],Manpower!$C$4:$C$1048576,Manpower!$H$4:$H$1048576,"")</f>
        <v>Equipment</v>
      </c>
      <c r="J1933" s="21" t="s">
        <v>143</v>
      </c>
      <c r="K1933" s="21" t="s">
        <v>26</v>
      </c>
      <c r="L1933" s="21" t="s">
        <v>144</v>
      </c>
      <c r="M1933" s="21" t="s">
        <v>24</v>
      </c>
      <c r="N1933" s="29">
        <v>8</v>
      </c>
      <c r="O1933" s="21" t="s">
        <v>40</v>
      </c>
      <c r="P1933" s="21" t="s">
        <v>41</v>
      </c>
      <c r="Q1933" s="21" t="s">
        <v>42</v>
      </c>
      <c r="R1933" s="21" t="s">
        <v>328</v>
      </c>
    </row>
    <row r="1934" spans="1:19" ht="14.4">
      <c r="A1934" s="33">
        <f>IF(C1934="","",MAX($A$1:A1933)+1)</f>
        <v>1818</v>
      </c>
      <c r="B1934" s="27" t="s">
        <v>141</v>
      </c>
      <c r="C1934" s="23">
        <v>46097</v>
      </c>
      <c r="D1934" s="28" t="str">
        <f>_xlfn.XLOOKUP(Table134526_79101120212223242526[[#This Row],[Name Surname]],Manpower!$C$4:$C$1048576,Manpower!$B$4:$B$1048576,"")</f>
        <v>Encogroup</v>
      </c>
      <c r="E1934" s="21" t="s">
        <v>150</v>
      </c>
      <c r="F1934" s="12" t="e">
        <f>_xlfn.XLOOKUP(Table134526_79101120212223242526[[#This Row],[Name Surname]],Manpower!C:C,Manpower!D:D,)</f>
        <v>#N/A</v>
      </c>
      <c r="G1934" s="28" t="str">
        <f>_xlfn.XLOOKUP(Table134526_79101120212223242526[[#This Row],[Name Surname]],Manpower!$C$4:$C$1048576,Manpower!$F$4:$F$1048576,"")</f>
        <v>14T Fork lift</v>
      </c>
      <c r="H1934" s="28" t="str">
        <f>_xlfn.XLOOKUP(Table134526_79101120212223242526[[#This Row],[Name Surname]],Manpower!$C$4:$C$1048576,Manpower!$H$4:$H$1048576,"")</f>
        <v>Equipment</v>
      </c>
      <c r="I1934" s="28" t="str">
        <f>_xlfn.XLOOKUP(Table134526_79101120212223242526[[#This Row],[Name Surname]],Manpower!$C$4:$C$1048576,Manpower!$H$4:$H$1048576,"")</f>
        <v>Equipment</v>
      </c>
      <c r="J1934" s="21" t="s">
        <v>143</v>
      </c>
      <c r="K1934" s="21" t="s">
        <v>26</v>
      </c>
      <c r="L1934" s="21" t="s">
        <v>144</v>
      </c>
      <c r="M1934" s="21" t="s">
        <v>24</v>
      </c>
      <c r="N1934" s="29">
        <v>10</v>
      </c>
      <c r="O1934" s="21" t="s">
        <v>40</v>
      </c>
      <c r="P1934" s="21" t="s">
        <v>42</v>
      </c>
      <c r="Q1934" s="21" t="s">
        <v>41</v>
      </c>
      <c r="R1934" s="21" t="s">
        <v>272</v>
      </c>
    </row>
    <row r="1935" spans="1:19" ht="14.4">
      <c r="A1935" s="33">
        <f>IF(C1935="","",MAX($A$1:A1934)+1)</f>
        <v>1819</v>
      </c>
      <c r="B1935" s="27" t="s">
        <v>141</v>
      </c>
      <c r="C1935" s="23">
        <v>46097</v>
      </c>
      <c r="D1935" s="28" t="str">
        <f>_xlfn.XLOOKUP(Table134526_79101120212223242526[[#This Row],[Name Surname]],Manpower!$C$4:$C$1048576,Manpower!$B$4:$B$1048576,"")</f>
        <v>Al Jaber Heavy Lift</v>
      </c>
      <c r="E1935" s="21" t="s">
        <v>151</v>
      </c>
      <c r="F1935" s="12" t="e">
        <f>_xlfn.XLOOKUP(Table134526_79101120212223242526[[#This Row],[Name Surname]],Manpower!C:C,Manpower!D:D,)</f>
        <v>#N/A</v>
      </c>
      <c r="G1935" s="28" t="str">
        <f>_xlfn.XLOOKUP(Table134526_79101120212223242526[[#This Row],[Name Surname]],Manpower!$C$4:$C$1048576,Manpower!$F$4:$F$1048576,"")</f>
        <v>150T-Crawler Crane</v>
      </c>
      <c r="H1935" s="28" t="str">
        <f>_xlfn.XLOOKUP(Table134526_79101120212223242526[[#This Row],[Name Surname]],Manpower!$C$4:$C$1048576,Manpower!$H$4:$H$1048576,"")</f>
        <v>Equipment</v>
      </c>
      <c r="I1935" s="28" t="str">
        <f>_xlfn.XLOOKUP(Table134526_79101120212223242526[[#This Row],[Name Surname]],Manpower!$C$4:$C$1048576,Manpower!$H$4:$H$1048576,"")</f>
        <v>Equipment</v>
      </c>
      <c r="J1935" s="21" t="s">
        <v>143</v>
      </c>
      <c r="K1935" s="21" t="s">
        <v>26</v>
      </c>
      <c r="L1935" s="21" t="s">
        <v>144</v>
      </c>
      <c r="M1935" s="21" t="s">
        <v>55</v>
      </c>
      <c r="N1935" s="29">
        <v>10</v>
      </c>
      <c r="R1935" s="21" t="s">
        <v>242</v>
      </c>
    </row>
    <row r="1936" spans="1:19" ht="14.4" hidden="1">
      <c r="A1936" s="33">
        <f>IF(C1936="","",MAX($A$1:A1935)+1)</f>
        <v>1820</v>
      </c>
      <c r="B1936" s="27" t="s">
        <v>141</v>
      </c>
      <c r="C1936" s="23">
        <v>46097</v>
      </c>
      <c r="D1936" s="28" t="str">
        <f>_xlfn.XLOOKUP(Table134526_79101120212223242526[[#This Row],[Name Surname]],Manpower!$C$4:$C$1048576,Manpower!$B$4:$B$1048576,"")</f>
        <v>Al Jaber Heavy Lift</v>
      </c>
      <c r="E1936" s="21" t="s">
        <v>164</v>
      </c>
      <c r="F1936" s="12">
        <f>_xlfn.XLOOKUP(Table134526_79101120212223242526[[#This Row],[Name Surname]],Manpower!C:C,Manpower!D:D,)</f>
        <v>112778626</v>
      </c>
      <c r="G1936" s="28" t="str">
        <f>_xlfn.XLOOKUP(Table134526_79101120212223242526[[#This Row],[Name Surname]],Manpower!$C$4:$C$1048576,Manpower!$F$4:$F$1048576,"")</f>
        <v>Crane Operator-150T Hitachi Crawler</v>
      </c>
      <c r="H1936" s="28" t="str">
        <f>_xlfn.XLOOKUP(Table134526_79101120212223242526[[#This Row],[Name Surname]],Manpower!$C$4:$C$1048576,Manpower!$H$4:$H$1048576,"")</f>
        <v>Manpower</v>
      </c>
      <c r="I1936" s="28" t="str">
        <f>_xlfn.XLOOKUP(Table134526_79101120212223242526[[#This Row],[Name Surname]],Manpower!$C$4:$C$1048576,Manpower!$H$4:$H$1048576,"")</f>
        <v>Manpower</v>
      </c>
      <c r="J1936" s="21" t="s">
        <v>143</v>
      </c>
      <c r="K1936" s="21" t="s">
        <v>26</v>
      </c>
      <c r="L1936" s="21" t="s">
        <v>144</v>
      </c>
      <c r="M1936" s="21" t="s">
        <v>55</v>
      </c>
      <c r="N1936" s="29">
        <v>8</v>
      </c>
      <c r="R1936" s="21" t="s">
        <v>242</v>
      </c>
    </row>
    <row r="1937" spans="1:19" ht="14.4">
      <c r="A1937" s="33">
        <f>IF(C1937="","",MAX($A$1:A1936)+1)</f>
        <v>1821</v>
      </c>
      <c r="B1937" s="27" t="s">
        <v>141</v>
      </c>
      <c r="C1937" s="23">
        <v>46097</v>
      </c>
      <c r="D1937" s="28" t="str">
        <f>_xlfn.XLOOKUP(Table134526_79101120212223242526[[#This Row],[Name Surname]],Manpower!$C$4:$C$1048576,Manpower!$B$4:$B$1048576,"")</f>
        <v>Encogroup</v>
      </c>
      <c r="E1937" s="21" t="s">
        <v>153</v>
      </c>
      <c r="F1937" s="12" t="e">
        <f>_xlfn.XLOOKUP(Table134526_79101120212223242526[[#This Row],[Name Surname]],Manpower!C:C,Manpower!D:D,)</f>
        <v>#N/A</v>
      </c>
      <c r="G1937" s="28" t="str">
        <f>_xlfn.XLOOKUP(Table134526_79101120212223242526[[#This Row],[Name Surname]],Manpower!$C$4:$C$1048576,Manpower!$F$4:$F$1048576,"")</f>
        <v>22 Seat Bus</v>
      </c>
      <c r="H1937" s="28" t="str">
        <f>_xlfn.XLOOKUP(Table134526_79101120212223242526[[#This Row],[Name Surname]],Manpower!$C$4:$C$1048576,Manpower!$H$4:$H$1048576,"")</f>
        <v>Equipment</v>
      </c>
      <c r="I1937" s="28" t="str">
        <f>_xlfn.XLOOKUP(Table134526_79101120212223242526[[#This Row],[Name Surname]],Manpower!$C$4:$C$1048576,Manpower!$H$4:$H$1048576,"")</f>
        <v>Equipment</v>
      </c>
      <c r="J1937" s="21" t="s">
        <v>143</v>
      </c>
      <c r="K1937" s="21" t="s">
        <v>26</v>
      </c>
      <c r="L1937" s="21" t="s">
        <v>144</v>
      </c>
      <c r="M1937" s="21" t="s">
        <v>24</v>
      </c>
      <c r="N1937" s="29">
        <v>10</v>
      </c>
      <c r="O1937" s="21" t="s">
        <v>138</v>
      </c>
      <c r="P1937" s="21" t="s">
        <v>138</v>
      </c>
      <c r="Q1937" s="21" t="s">
        <v>138</v>
      </c>
      <c r="R1937" s="21" t="s">
        <v>26</v>
      </c>
    </row>
    <row r="1938" spans="1:19" ht="14.4">
      <c r="A1938" s="33">
        <f>IF(C1938="","",MAX($A$1:A1937)+1)</f>
        <v>1822</v>
      </c>
      <c r="B1938" s="27" t="s">
        <v>141</v>
      </c>
      <c r="C1938" s="23">
        <v>46097</v>
      </c>
      <c r="D1938" s="28" t="str">
        <f>_xlfn.XLOOKUP(Table134526_79101120212223242526[[#This Row],[Name Surname]],Manpower!$C$4:$C$1048576,Manpower!$B$4:$B$1048576,"")</f>
        <v>Encogroup</v>
      </c>
      <c r="E1938" s="21" t="s">
        <v>154</v>
      </c>
      <c r="F1938" s="12" t="e">
        <f>_xlfn.XLOOKUP(Table134526_79101120212223242526[[#This Row],[Name Surname]],Manpower!C:C,Manpower!D:D,)</f>
        <v>#N/A</v>
      </c>
      <c r="G1938" s="28" t="str">
        <f>_xlfn.XLOOKUP(Table134526_79101120212223242526[[#This Row],[Name Surname]],Manpower!$C$4:$C$1048576,Manpower!$F$4:$F$1048576,"")</f>
        <v>22 Seat Bus</v>
      </c>
      <c r="H1938" s="28" t="str">
        <f>_xlfn.XLOOKUP(Table134526_79101120212223242526[[#This Row],[Name Surname]],Manpower!$C$4:$C$1048576,Manpower!$H$4:$H$1048576,"")</f>
        <v>Equipment</v>
      </c>
      <c r="I1938" s="28" t="str">
        <f>_xlfn.XLOOKUP(Table134526_79101120212223242526[[#This Row],[Name Surname]],Manpower!$C$4:$C$1048576,Manpower!$H$4:$H$1048576,"")</f>
        <v>Equipment</v>
      </c>
      <c r="J1938" s="21" t="s">
        <v>143</v>
      </c>
      <c r="K1938" s="21" t="s">
        <v>26</v>
      </c>
      <c r="L1938" s="21" t="s">
        <v>144</v>
      </c>
      <c r="M1938" s="21" t="s">
        <v>24</v>
      </c>
      <c r="N1938" s="29">
        <v>10</v>
      </c>
      <c r="O1938" s="21" t="s">
        <v>138</v>
      </c>
      <c r="P1938" s="21" t="s">
        <v>138</v>
      </c>
      <c r="Q1938" s="21" t="s">
        <v>138</v>
      </c>
      <c r="R1938" s="21" t="s">
        <v>26</v>
      </c>
    </row>
    <row r="1939" spans="1:19" ht="14.4">
      <c r="A1939" s="33">
        <f>IF(C1939="","",MAX($A$1:A1938)+1)</f>
        <v>1823</v>
      </c>
      <c r="B1939" s="27" t="s">
        <v>141</v>
      </c>
      <c r="C1939" s="23">
        <v>46097</v>
      </c>
      <c r="D1939" s="28" t="str">
        <f>_xlfn.XLOOKUP(Table134526_79101120212223242526[[#This Row],[Name Surname]],Manpower!$C$4:$C$1048576,Manpower!$B$4:$B$1048576,"")</f>
        <v>Encogroup</v>
      </c>
      <c r="E1939" s="21" t="s">
        <v>155</v>
      </c>
      <c r="F1939" s="12" t="e">
        <f>_xlfn.XLOOKUP(Table134526_79101120212223242526[[#This Row],[Name Surname]],Manpower!C:C,Manpower!D:D,)</f>
        <v>#N/A</v>
      </c>
      <c r="G1939" s="28" t="str">
        <f>_xlfn.XLOOKUP(Table134526_79101120212223242526[[#This Row],[Name Surname]],Manpower!$C$4:$C$1048576,Manpower!$F$4:$F$1048576,"")</f>
        <v>300 KVA Generator</v>
      </c>
      <c r="H1939" s="28" t="str">
        <f>_xlfn.XLOOKUP(Table134526_79101120212223242526[[#This Row],[Name Surname]],Manpower!$C$4:$C$1048576,Manpower!$H$4:$H$1048576,"")</f>
        <v>Equipment</v>
      </c>
      <c r="I1939" s="28" t="str">
        <f>_xlfn.XLOOKUP(Table134526_79101120212223242526[[#This Row],[Name Surname]],Manpower!$C$4:$C$1048576,Manpower!$H$4:$H$1048576,"")</f>
        <v>Equipment</v>
      </c>
      <c r="J1939" s="21" t="s">
        <v>143</v>
      </c>
      <c r="K1939" s="21" t="s">
        <v>26</v>
      </c>
      <c r="L1939" s="21" t="s">
        <v>144</v>
      </c>
      <c r="M1939" s="21" t="s">
        <v>24</v>
      </c>
      <c r="N1939" s="29">
        <v>10</v>
      </c>
      <c r="R1939" s="21" t="s">
        <v>26</v>
      </c>
    </row>
    <row r="1940" spans="1:19" ht="14.4">
      <c r="A1940" s="33">
        <f>IF(C1940="","",MAX($A$1:A1939)+1)</f>
        <v>1824</v>
      </c>
      <c r="B1940" s="27" t="s">
        <v>141</v>
      </c>
      <c r="C1940" s="23">
        <v>46097</v>
      </c>
      <c r="D1940" s="28" t="str">
        <f>_xlfn.XLOOKUP(Table134526_79101120212223242526[[#This Row],[Name Surname]],Manpower!$C$4:$C$1048576,Manpower!$B$4:$B$1048576,"")</f>
        <v>Encogroup</v>
      </c>
      <c r="E1940" s="23" t="s">
        <v>156</v>
      </c>
      <c r="F1940" s="12" t="e">
        <f>_xlfn.XLOOKUP(Table134526_79101120212223242526[[#This Row],[Name Surname]],Manpower!C:C,Manpower!D:D,)</f>
        <v>#N/A</v>
      </c>
      <c r="G1940" s="28" t="str">
        <f>_xlfn.XLOOKUP(Table134526_79101120212223242526[[#This Row],[Name Surname]],Manpower!$C$4:$C$1048576,Manpower!$F$4:$F$1048576,"")</f>
        <v>35 KVA Generator</v>
      </c>
      <c r="H1940" s="28" t="str">
        <f>_xlfn.XLOOKUP(Table134526_79101120212223242526[[#This Row],[Name Surname]],Manpower!$C$4:$C$1048576,Manpower!$H$4:$H$1048576,"")</f>
        <v>Equipment</v>
      </c>
      <c r="I1940" s="28" t="str">
        <f>_xlfn.XLOOKUP(Table134526_79101120212223242526[[#This Row],[Name Surname]],Manpower!$C$4:$C$1048576,Manpower!$H$4:$H$1048576,"")</f>
        <v>Equipment</v>
      </c>
      <c r="J1940" s="21" t="s">
        <v>143</v>
      </c>
      <c r="K1940" s="21" t="s">
        <v>26</v>
      </c>
      <c r="L1940" s="21" t="s">
        <v>144</v>
      </c>
      <c r="M1940" s="21" t="s">
        <v>55</v>
      </c>
      <c r="N1940" s="29">
        <v>10</v>
      </c>
      <c r="R1940" s="21" t="s">
        <v>56</v>
      </c>
    </row>
    <row r="1941" spans="1:19" ht="14.4" hidden="1">
      <c r="A1941" s="33">
        <f>IF(C1941="","",MAX($A$1:A1940)+1)</f>
        <v>1825</v>
      </c>
      <c r="B1941" s="27" t="s">
        <v>141</v>
      </c>
      <c r="C1941" s="23">
        <v>46097</v>
      </c>
      <c r="D1941" s="28" t="str">
        <f>_xlfn.XLOOKUP(Table134526_79101120212223242526[[#This Row],[Name Surname]],Manpower!$C$4:$C$1048576,Manpower!$B$4:$B$1048576,"")</f>
        <v>Encogroup</v>
      </c>
      <c r="E1941" s="21" t="s">
        <v>157</v>
      </c>
      <c r="F1941" s="12">
        <f>_xlfn.XLOOKUP(Table134526_79101120212223242526[[#This Row],[Name Surname]],Manpower!C:C,Manpower!D:D,)</f>
        <v>140742144</v>
      </c>
      <c r="G1941" s="28" t="str">
        <f>_xlfn.XLOOKUP(Table134526_79101120212223242526[[#This Row],[Name Surname]],Manpower!$C$4:$C$1048576,Manpower!$F$4:$F$1048576,"")</f>
        <v>Assistant/Helper</v>
      </c>
      <c r="H1941" s="28" t="str">
        <f>_xlfn.XLOOKUP(Table134526_79101120212223242526[[#This Row],[Name Surname]],Manpower!$C$4:$C$1048576,Manpower!$H$4:$H$1048576,"")</f>
        <v>Manpower</v>
      </c>
      <c r="I1941" s="28" t="str">
        <f>_xlfn.XLOOKUP(Table134526_79101120212223242526[[#This Row],[Name Surname]],Manpower!$C$4:$C$1048576,Manpower!$H$4:$H$1048576,"")</f>
        <v>Manpower</v>
      </c>
      <c r="J1941" s="21" t="s">
        <v>158</v>
      </c>
      <c r="K1941" s="21" t="s">
        <v>26</v>
      </c>
      <c r="L1941" s="21" t="s">
        <v>26</v>
      </c>
      <c r="M1941" s="21" t="s">
        <v>24</v>
      </c>
      <c r="N1941" s="29">
        <v>10</v>
      </c>
      <c r="O1941" s="21" t="s">
        <v>159</v>
      </c>
      <c r="P1941" s="21" t="s">
        <v>160</v>
      </c>
      <c r="Q1941" s="21" t="s">
        <v>160</v>
      </c>
      <c r="R1941" s="21" t="s">
        <v>161</v>
      </c>
    </row>
    <row r="1942" spans="1:19" s="45" customFormat="1" ht="14.4" hidden="1">
      <c r="A1942" s="25">
        <f>IF(C1942="","",MAX($A$1:A1941)+1)</f>
        <v>1826</v>
      </c>
      <c r="B1942" s="25" t="s">
        <v>141</v>
      </c>
      <c r="C1942" s="41">
        <v>46097</v>
      </c>
      <c r="D1942" s="48" t="str">
        <f>_xlfn.XLOOKUP(Table134526_79101120212223242526[[#This Row],[Name Surname]],Manpower!$C$4:$C$1048576,Manpower!$B$4:$B$1048576,"")</f>
        <v>Encogroup</v>
      </c>
      <c r="E1942" s="43" t="s">
        <v>166</v>
      </c>
      <c r="F1942" s="12" t="str">
        <f>_xlfn.XLOOKUP(Table134526_79101120212223242526[[#This Row],[Name Surname]],Manpower!C:C,Manpower!D:D,)</f>
        <v>U4181508</v>
      </c>
      <c r="G1942" s="48" t="str">
        <f>_xlfn.XLOOKUP(Table134526_79101120212223242526[[#This Row],[Name Surname]],Manpower!$C$4:$C$1048576,Manpower!$F$4:$F$1048576,"")</f>
        <v>Welder</v>
      </c>
      <c r="H1942" s="48" t="str">
        <f>_xlfn.XLOOKUP(Table134526_79101120212223242526[[#This Row],[Name Surname]],Manpower!$C$4:$C$1048576,Manpower!$H$4:$H$1048576,"")</f>
        <v>Manpower</v>
      </c>
      <c r="I1942" s="48" t="str">
        <f>_xlfn.XLOOKUP(Table134526_79101120212223242526[[#This Row],[Name Surname]],Manpower!$C$4:$C$1048576,Manpower!$H$4:$H$1048576,"")</f>
        <v>Manpower</v>
      </c>
      <c r="J1942" s="43" t="s">
        <v>143</v>
      </c>
      <c r="K1942" s="43" t="s">
        <v>26</v>
      </c>
      <c r="L1942" s="43" t="s">
        <v>144</v>
      </c>
      <c r="M1942" s="43" t="s">
        <v>24</v>
      </c>
      <c r="N1942" s="44">
        <v>10</v>
      </c>
      <c r="O1942" s="43" t="s">
        <v>40</v>
      </c>
      <c r="P1942" s="43" t="s">
        <v>42</v>
      </c>
      <c r="Q1942" s="43" t="s">
        <v>42</v>
      </c>
      <c r="R1942" s="43" t="s">
        <v>328</v>
      </c>
      <c r="S1942" s="43"/>
    </row>
    <row r="1943" spans="1:19" s="45" customFormat="1" ht="14.4" hidden="1">
      <c r="A1943" s="25">
        <f>IF(C1943="","",MAX($A$1:A1942)+1)</f>
        <v>1827</v>
      </c>
      <c r="B1943" s="25" t="s">
        <v>141</v>
      </c>
      <c r="C1943" s="41">
        <v>46097</v>
      </c>
      <c r="D1943" s="48" t="str">
        <f>_xlfn.XLOOKUP(Table134526_79101120212223242526[[#This Row],[Name Surname]],Manpower!$C$4:$C$1048576,Manpower!$B$4:$B$1048576,"")</f>
        <v>Encogroup</v>
      </c>
      <c r="E1943" s="43" t="s">
        <v>167</v>
      </c>
      <c r="F1943" s="12">
        <f>_xlfn.XLOOKUP(Table134526_79101120212223242526[[#This Row],[Name Surname]],Manpower!C:C,Manpower!D:D,)</f>
        <v>125440631</v>
      </c>
      <c r="G1943" s="48" t="str">
        <f>_xlfn.XLOOKUP(Table134526_79101120212223242526[[#This Row],[Name Surname]],Manpower!$C$4:$C$1048576,Manpower!$F$4:$F$1048576,"")</f>
        <v>Rigger</v>
      </c>
      <c r="H1943" s="48" t="str">
        <f>_xlfn.XLOOKUP(Table134526_79101120212223242526[[#This Row],[Name Surname]],Manpower!$C$4:$C$1048576,Manpower!$H$4:$H$1048576,"")</f>
        <v>Manpower</v>
      </c>
      <c r="I1943" s="48" t="str">
        <f>_xlfn.XLOOKUP(Table134526_79101120212223242526[[#This Row],[Name Surname]],Manpower!$C$4:$C$1048576,Manpower!$H$4:$H$1048576,"")</f>
        <v>Manpower</v>
      </c>
      <c r="J1943" s="43" t="s">
        <v>143</v>
      </c>
      <c r="K1943" s="43" t="s">
        <v>26</v>
      </c>
      <c r="L1943" s="43" t="s">
        <v>144</v>
      </c>
      <c r="M1943" s="43" t="s">
        <v>24</v>
      </c>
      <c r="N1943" s="44">
        <v>9</v>
      </c>
      <c r="O1943" s="43" t="s">
        <v>40</v>
      </c>
      <c r="P1943" s="43" t="s">
        <v>42</v>
      </c>
      <c r="Q1943" s="43" t="s">
        <v>42</v>
      </c>
      <c r="R1943" s="43" t="s">
        <v>328</v>
      </c>
      <c r="S1943" s="43"/>
    </row>
    <row r="1944" spans="1:19" ht="14.4" hidden="1">
      <c r="A1944" s="33">
        <f>IF(C1944="","",MAX($A$1:A1943)+1)</f>
        <v>1828</v>
      </c>
      <c r="B1944" s="27" t="s">
        <v>141</v>
      </c>
      <c r="C1944" s="23">
        <v>46097</v>
      </c>
      <c r="D1944" s="28" t="str">
        <f>_xlfn.XLOOKUP(Table134526_79101120212223242526[[#This Row],[Name Surname]],Manpower!$C$4:$C$1048576,Manpower!$B$4:$B$1048576,"")</f>
        <v>AL Omar International TRAD AND CONT</v>
      </c>
      <c r="E1944" s="21" t="s">
        <v>169</v>
      </c>
      <c r="F1944" s="12">
        <f>_xlfn.XLOOKUP(Table134526_79101120212223242526[[#This Row],[Name Surname]],Manpower!C:C,Manpower!D:D,)</f>
        <v>115731078</v>
      </c>
      <c r="G1944" s="28" t="str">
        <f>_xlfn.XLOOKUP(Table134526_79101120212223242526[[#This Row],[Name Surname]],Manpower!$C$4:$C$1048576,Manpower!$F$4:$F$1048576,"")</f>
        <v>Scaffolder</v>
      </c>
      <c r="H1944" s="28" t="str">
        <f>_xlfn.XLOOKUP(Table134526_79101120212223242526[[#This Row],[Name Surname]],Manpower!$C$4:$C$1048576,Manpower!$H$4:$H$1048576,"")</f>
        <v>Sub Contactor</v>
      </c>
      <c r="I1944" s="28" t="str">
        <f>_xlfn.XLOOKUP(Table134526_79101120212223242526[[#This Row],[Name Surname]],Manpower!$C$4:$C$1048576,Manpower!$H$4:$H$1048576,"")</f>
        <v>Sub Contactor</v>
      </c>
      <c r="J1944" s="21" t="s">
        <v>143</v>
      </c>
      <c r="K1944" s="21" t="s">
        <v>26</v>
      </c>
      <c r="L1944" s="21" t="s">
        <v>170</v>
      </c>
      <c r="M1944" s="21" t="s">
        <v>24</v>
      </c>
      <c r="N1944" s="29">
        <v>8</v>
      </c>
      <c r="O1944" s="21" t="s">
        <v>40</v>
      </c>
      <c r="P1944" s="21" t="s">
        <v>128</v>
      </c>
      <c r="Q1944" s="21" t="s">
        <v>128</v>
      </c>
      <c r="R1944" s="21" t="s">
        <v>171</v>
      </c>
    </row>
    <row r="1945" spans="1:19" s="45" customFormat="1" ht="14.4" hidden="1">
      <c r="A1945" s="25">
        <f>IF(C1945="","",MAX($A$1:A1944)+1)</f>
        <v>1829</v>
      </c>
      <c r="B1945" s="25" t="s">
        <v>141</v>
      </c>
      <c r="C1945" s="41">
        <v>46097</v>
      </c>
      <c r="D1945" s="48" t="str">
        <f>_xlfn.XLOOKUP(Table134526_79101120212223242526[[#This Row],[Name Surname]],Manpower!$C$4:$C$1048576,Manpower!$B$4:$B$1048576,"")</f>
        <v>Encogroup</v>
      </c>
      <c r="E1945" s="43" t="s">
        <v>172</v>
      </c>
      <c r="F1945" s="12">
        <f>_xlfn.XLOOKUP(Table134526_79101120212223242526[[#This Row],[Name Surname]],Manpower!C:C,Manpower!D:D,)</f>
        <v>140764355</v>
      </c>
      <c r="G1945" s="48" t="str">
        <f>_xlfn.XLOOKUP(Table134526_79101120212223242526[[#This Row],[Name Surname]],Manpower!$C$4:$C$1048576,Manpower!$F$4:$F$1048576,"")</f>
        <v>Fitter/Erector</v>
      </c>
      <c r="H1945" s="48" t="str">
        <f>_xlfn.XLOOKUP(Table134526_79101120212223242526[[#This Row],[Name Surname]],Manpower!$C$4:$C$1048576,Manpower!$H$4:$H$1048576,"")</f>
        <v>Manpower</v>
      </c>
      <c r="I1945" s="48" t="str">
        <f>_xlfn.XLOOKUP(Table134526_79101120212223242526[[#This Row],[Name Surname]],Manpower!$C$4:$C$1048576,Manpower!$H$4:$H$1048576,"")</f>
        <v>Manpower</v>
      </c>
      <c r="J1945" s="43" t="s">
        <v>143</v>
      </c>
      <c r="K1945" s="43" t="s">
        <v>26</v>
      </c>
      <c r="L1945" s="43" t="s">
        <v>144</v>
      </c>
      <c r="M1945" s="43" t="s">
        <v>24</v>
      </c>
      <c r="N1945" s="44">
        <v>10</v>
      </c>
      <c r="O1945" s="43" t="s">
        <v>40</v>
      </c>
      <c r="P1945" s="43" t="s">
        <v>42</v>
      </c>
      <c r="Q1945" s="43" t="s">
        <v>42</v>
      </c>
      <c r="R1945" s="43" t="s">
        <v>328</v>
      </c>
      <c r="S1945" s="43"/>
    </row>
    <row r="1946" spans="1:19" ht="14.4" hidden="1">
      <c r="A1946" s="33">
        <f>IF(C1946="","",MAX($A$1:A1945)+1)</f>
        <v>1830</v>
      </c>
      <c r="B1946" s="27" t="s">
        <v>141</v>
      </c>
      <c r="C1946" s="23">
        <v>46097</v>
      </c>
      <c r="D1946" s="28" t="str">
        <f>_xlfn.XLOOKUP(Table134526_79101120212223242526[[#This Row],[Name Surname]],Manpower!$C$4:$C$1048576,Manpower!$B$4:$B$1048576,"")</f>
        <v>Encogroup</v>
      </c>
      <c r="E1946" s="21" t="s">
        <v>175</v>
      </c>
      <c r="F1946" s="12">
        <f>_xlfn.XLOOKUP(Table134526_79101120212223242526[[#This Row],[Name Surname]],Manpower!C:C,Manpower!D:D,)</f>
        <v>140742125</v>
      </c>
      <c r="G1946" s="28" t="str">
        <f>_xlfn.XLOOKUP(Table134526_79101120212223242526[[#This Row],[Name Surname]],Manpower!$C$4:$C$1048576,Manpower!$F$4:$F$1048576,"")</f>
        <v>Assistant/Helper</v>
      </c>
      <c r="H1946" s="28" t="str">
        <f>_xlfn.XLOOKUP(Table134526_79101120212223242526[[#This Row],[Name Surname]],Manpower!$C$4:$C$1048576,Manpower!$H$4:$H$1048576,"")</f>
        <v>Manpower</v>
      </c>
      <c r="I1946" s="28" t="str">
        <f>_xlfn.XLOOKUP(Table134526_79101120212223242526[[#This Row],[Name Surname]],Manpower!$C$4:$C$1048576,Manpower!$H$4:$H$1048576,"")</f>
        <v>Manpower</v>
      </c>
      <c r="J1946" s="21" t="s">
        <v>158</v>
      </c>
      <c r="K1946" s="21" t="s">
        <v>26</v>
      </c>
      <c r="L1946" s="21" t="s">
        <v>26</v>
      </c>
      <c r="M1946" s="21" t="s">
        <v>24</v>
      </c>
      <c r="N1946" s="29">
        <v>10</v>
      </c>
      <c r="O1946" s="21" t="s">
        <v>159</v>
      </c>
      <c r="P1946" s="21" t="s">
        <v>160</v>
      </c>
      <c r="Q1946" s="21" t="s">
        <v>160</v>
      </c>
      <c r="R1946" s="21" t="s">
        <v>161</v>
      </c>
    </row>
    <row r="1947" spans="1:19" ht="14.4" hidden="1">
      <c r="A1947" s="33">
        <f>IF(C1947="","",MAX($A$1:A1946)+1)</f>
        <v>1831</v>
      </c>
      <c r="B1947" s="27" t="s">
        <v>141</v>
      </c>
      <c r="C1947" s="23">
        <v>46097</v>
      </c>
      <c r="D1947" s="28" t="str">
        <f>_xlfn.XLOOKUP(Table134526_79101120212223242526[[#This Row],[Name Surname]],Manpower!$C$4:$C$1048576,Manpower!$B$4:$B$1048576,"")</f>
        <v>Encogroup</v>
      </c>
      <c r="E1947" s="21" t="s">
        <v>228</v>
      </c>
      <c r="F1947" s="12">
        <f>_xlfn.XLOOKUP(Table134526_79101120212223242526[[#This Row],[Name Surname]],Manpower!C:C,Manpower!D:D,)</f>
        <v>125199963</v>
      </c>
      <c r="G1947" s="28" t="str">
        <f>_xlfn.XLOOKUP(Table134526_79101120212223242526[[#This Row],[Name Surname]],Manpower!$C$4:$C$1048576,Manpower!$F$4:$F$1048576,"")</f>
        <v>Electrician</v>
      </c>
      <c r="H1947" s="28" t="str">
        <f>_xlfn.XLOOKUP(Table134526_79101120212223242526[[#This Row],[Name Surname]],Manpower!$C$4:$C$1048576,Manpower!$H$4:$H$1048576,"")</f>
        <v>Manpower</v>
      </c>
      <c r="I1947" s="28" t="str">
        <f>_xlfn.XLOOKUP(Table134526_79101120212223242526[[#This Row],[Name Surname]],Manpower!$C$4:$C$1048576,Manpower!$H$4:$H$1048576,"")</f>
        <v>Manpower</v>
      </c>
      <c r="J1947" s="21" t="s">
        <v>158</v>
      </c>
      <c r="K1947" s="21" t="s">
        <v>26</v>
      </c>
      <c r="L1947" s="21" t="s">
        <v>26</v>
      </c>
      <c r="M1947" s="21" t="s">
        <v>24</v>
      </c>
      <c r="N1947" s="29">
        <v>10</v>
      </c>
      <c r="O1947" s="21" t="s">
        <v>159</v>
      </c>
      <c r="P1947" s="21" t="s">
        <v>160</v>
      </c>
      <c r="Q1947" s="21" t="s">
        <v>160</v>
      </c>
      <c r="R1947" s="21" t="s">
        <v>161</v>
      </c>
    </row>
    <row r="1948" spans="1:19" s="45" customFormat="1" ht="14.4" hidden="1">
      <c r="A1948" s="25">
        <f>IF(C1948="","",MAX($A$1:A1947)+1)</f>
        <v>1832</v>
      </c>
      <c r="B1948" s="25" t="s">
        <v>141</v>
      </c>
      <c r="C1948" s="41">
        <v>46097</v>
      </c>
      <c r="D1948" s="48" t="str">
        <f>_xlfn.XLOOKUP(Table134526_79101120212223242526[[#This Row],[Name Surname]],Manpower!$C$4:$C$1048576,Manpower!$B$4:$B$1048576,"")</f>
        <v>Encogroup</v>
      </c>
      <c r="E1948" s="43" t="s">
        <v>176</v>
      </c>
      <c r="F1948" s="12">
        <f>_xlfn.XLOOKUP(Table134526_79101120212223242526[[#This Row],[Name Surname]],Manpower!C:C,Manpower!D:D,)</f>
        <v>124398279</v>
      </c>
      <c r="G1948" s="48" t="str">
        <f>_xlfn.XLOOKUP(Table134526_79101120212223242526[[#This Row],[Name Surname]],Manpower!$C$4:$C$1048576,Manpower!$F$4:$F$1048576,"")</f>
        <v>Permit Receiver</v>
      </c>
      <c r="H1948" s="48" t="str">
        <f>_xlfn.XLOOKUP(Table134526_79101120212223242526[[#This Row],[Name Surname]],Manpower!$C$4:$C$1048576,Manpower!$H$4:$H$1048576,"")</f>
        <v>Manpower</v>
      </c>
      <c r="I1948" s="48" t="str">
        <f>_xlfn.XLOOKUP(Table134526_79101120212223242526[[#This Row],[Name Surname]],Manpower!$C$4:$C$1048576,Manpower!$H$4:$H$1048576,"")</f>
        <v>Manpower</v>
      </c>
      <c r="J1948" s="43" t="s">
        <v>143</v>
      </c>
      <c r="K1948" s="43" t="s">
        <v>26</v>
      </c>
      <c r="L1948" s="43" t="s">
        <v>144</v>
      </c>
      <c r="M1948" s="43" t="s">
        <v>24</v>
      </c>
      <c r="N1948" s="44">
        <v>10</v>
      </c>
      <c r="O1948" s="43" t="s">
        <v>40</v>
      </c>
      <c r="P1948" s="43" t="s">
        <v>42</v>
      </c>
      <c r="Q1948" s="43" t="s">
        <v>42</v>
      </c>
      <c r="R1948" s="43" t="s">
        <v>328</v>
      </c>
      <c r="S1948" s="43"/>
    </row>
    <row r="1949" spans="1:19" s="45" customFormat="1" ht="14.4" hidden="1">
      <c r="A1949" s="25">
        <f>IF(C1949="","",MAX($A$1:A1948)+1)</f>
        <v>1833</v>
      </c>
      <c r="B1949" s="25" t="s">
        <v>141</v>
      </c>
      <c r="C1949" s="41">
        <v>46097</v>
      </c>
      <c r="D1949" s="48" t="str">
        <f>_xlfn.XLOOKUP(Table134526_79101120212223242526[[#This Row],[Name Surname]],Manpower!$C$4:$C$1048576,Manpower!$B$4:$B$1048576,"")</f>
        <v>Encogroup</v>
      </c>
      <c r="E1949" s="43" t="s">
        <v>177</v>
      </c>
      <c r="F1949" s="12">
        <f>_xlfn.XLOOKUP(Table134526_79101120212223242526[[#This Row],[Name Surname]],Manpower!C:C,Manpower!D:D,)</f>
        <v>140809004</v>
      </c>
      <c r="G1949" s="48" t="str">
        <f>_xlfn.XLOOKUP(Table134526_79101120212223242526[[#This Row],[Name Surname]],Manpower!$C$4:$C$1048576,Manpower!$F$4:$F$1048576,"")</f>
        <v>Fitter/Erector</v>
      </c>
      <c r="H1949" s="48" t="str">
        <f>_xlfn.XLOOKUP(Table134526_79101120212223242526[[#This Row],[Name Surname]],Manpower!$C$4:$C$1048576,Manpower!$H$4:$H$1048576,"")</f>
        <v>Manpower</v>
      </c>
      <c r="I1949" s="48" t="str">
        <f>_xlfn.XLOOKUP(Table134526_79101120212223242526[[#This Row],[Name Surname]],Manpower!$C$4:$C$1048576,Manpower!$H$4:$H$1048576,"")</f>
        <v>Manpower</v>
      </c>
      <c r="J1949" s="43" t="s">
        <v>143</v>
      </c>
      <c r="K1949" s="43" t="s">
        <v>26</v>
      </c>
      <c r="L1949" s="43" t="s">
        <v>144</v>
      </c>
      <c r="M1949" s="43" t="s">
        <v>24</v>
      </c>
      <c r="N1949" s="44">
        <v>10</v>
      </c>
      <c r="O1949" s="43" t="s">
        <v>40</v>
      </c>
      <c r="P1949" s="43" t="s">
        <v>42</v>
      </c>
      <c r="Q1949" s="43" t="s">
        <v>42</v>
      </c>
      <c r="R1949" s="43" t="s">
        <v>328</v>
      </c>
      <c r="S1949" s="43"/>
    </row>
    <row r="1950" spans="1:19" ht="14.4" hidden="1">
      <c r="A1950" s="33">
        <f>IF(C1950="","",MAX($A$1:A1949)+1)</f>
        <v>1834</v>
      </c>
      <c r="B1950" s="27" t="s">
        <v>141</v>
      </c>
      <c r="C1950" s="23">
        <v>46097</v>
      </c>
      <c r="D1950" s="28" t="str">
        <f>_xlfn.XLOOKUP(Table134526_79101120212223242526[[#This Row],[Name Surname]],Manpower!$C$4:$C$1048576,Manpower!$B$4:$B$1048576,"")</f>
        <v>Encogroup</v>
      </c>
      <c r="E1950" s="21" t="s">
        <v>178</v>
      </c>
      <c r="F1950" s="12">
        <f>_xlfn.XLOOKUP(Table134526_79101120212223242526[[#This Row],[Name Surname]],Manpower!C:C,Manpower!D:D,)</f>
        <v>140683436</v>
      </c>
      <c r="G1950" s="28" t="str">
        <f>_xlfn.XLOOKUP(Table134526_79101120212223242526[[#This Row],[Name Surname]],Manpower!$C$4:$C$1048576,Manpower!$F$4:$F$1048576,"")</f>
        <v>Scaffolder</v>
      </c>
      <c r="H1950" s="28" t="str">
        <f>_xlfn.XLOOKUP(Table134526_79101120212223242526[[#This Row],[Name Surname]],Manpower!$C$4:$C$1048576,Manpower!$H$4:$H$1048576,"")</f>
        <v>Manpower</v>
      </c>
      <c r="I1950" s="28" t="str">
        <f>_xlfn.XLOOKUP(Table134526_79101120212223242526[[#This Row],[Name Surname]],Manpower!$C$4:$C$1048576,Manpower!$H$4:$H$1048576,"")</f>
        <v>Manpower</v>
      </c>
      <c r="J1950" s="21" t="s">
        <v>158</v>
      </c>
      <c r="K1950" s="21" t="s">
        <v>26</v>
      </c>
      <c r="L1950" s="21" t="s">
        <v>26</v>
      </c>
      <c r="M1950" s="21" t="s">
        <v>24</v>
      </c>
      <c r="N1950" s="29">
        <v>9</v>
      </c>
      <c r="O1950" s="21" t="s">
        <v>159</v>
      </c>
      <c r="P1950" s="21" t="s">
        <v>160</v>
      </c>
      <c r="Q1950" s="21" t="s">
        <v>160</v>
      </c>
      <c r="R1950" s="21" t="s">
        <v>161</v>
      </c>
    </row>
    <row r="1951" spans="1:19" ht="14.4">
      <c r="A1951" s="33">
        <f>IF(C1951="","",MAX($A$1:A1950)+1)</f>
        <v>1835</v>
      </c>
      <c r="B1951" s="27" t="s">
        <v>141</v>
      </c>
      <c r="C1951" s="23">
        <v>46097</v>
      </c>
      <c r="D1951" s="28" t="str">
        <f>_xlfn.XLOOKUP(Table134526_79101120212223242526[[#This Row],[Name Surname]],Manpower!$C$4:$C$1048576,Manpower!$B$4:$B$1048576,"")</f>
        <v>Encogroup</v>
      </c>
      <c r="E1951" s="23" t="s">
        <v>179</v>
      </c>
      <c r="F1951" s="12" t="e">
        <f>_xlfn.XLOOKUP(Table134526_79101120212223242526[[#This Row],[Name Surname]],Manpower!C:C,Manpower!D:D,)</f>
        <v>#N/A</v>
      </c>
      <c r="G1951" s="28" t="str">
        <f>_xlfn.XLOOKUP(Table134526_79101120212223242526[[#This Row],[Name Surname]],Manpower!$C$4:$C$1048576,Manpower!$F$4:$F$1048576,"")</f>
        <v>7T-HIAB</v>
      </c>
      <c r="H1951" s="28" t="str">
        <f>_xlfn.XLOOKUP(Table134526_79101120212223242526[[#This Row],[Name Surname]],Manpower!$C$4:$C$1048576,Manpower!$H$4:$H$1048576,"")</f>
        <v>Equipment</v>
      </c>
      <c r="I1951" s="28" t="str">
        <f>_xlfn.XLOOKUP(Table134526_79101120212223242526[[#This Row],[Name Surname]],Manpower!$C$4:$C$1048576,Manpower!$H$4:$H$1048576,"")</f>
        <v>Equipment</v>
      </c>
      <c r="J1951" s="21" t="s">
        <v>143</v>
      </c>
      <c r="K1951" s="21" t="s">
        <v>26</v>
      </c>
      <c r="L1951" s="21" t="s">
        <v>144</v>
      </c>
      <c r="M1951" s="21" t="s">
        <v>24</v>
      </c>
      <c r="N1951" s="29">
        <v>10</v>
      </c>
      <c r="O1951" s="21" t="s">
        <v>138</v>
      </c>
      <c r="P1951" s="21" t="s">
        <v>138</v>
      </c>
      <c r="Q1951" s="21" t="s">
        <v>138</v>
      </c>
      <c r="R1951" s="21" t="s">
        <v>26</v>
      </c>
    </row>
    <row r="1952" spans="1:19" s="45" customFormat="1" ht="14.4" hidden="1">
      <c r="A1952" s="25">
        <f>IF(C1952="","",MAX($A$1:A1951)+1)</f>
        <v>1836</v>
      </c>
      <c r="B1952" s="25" t="s">
        <v>141</v>
      </c>
      <c r="C1952" s="41">
        <v>46097</v>
      </c>
      <c r="D1952" s="48" t="str">
        <f>_xlfn.XLOOKUP(Table134526_79101120212223242526[[#This Row],[Name Surname]],Manpower!$C$4:$C$1048576,Manpower!$B$4:$B$1048576,"")</f>
        <v>Encogroup</v>
      </c>
      <c r="E1952" s="43" t="s">
        <v>180</v>
      </c>
      <c r="F1952" s="12">
        <f>_xlfn.XLOOKUP(Table134526_79101120212223242526[[#This Row],[Name Surname]],Manpower!C:C,Manpower!D:D,)</f>
        <v>9138415</v>
      </c>
      <c r="G1952" s="48" t="str">
        <f>_xlfn.XLOOKUP(Table134526_79101120212223242526[[#This Row],[Name Surname]],Manpower!$C$4:$C$1048576,Manpower!$F$4:$F$1048576,"")</f>
        <v>HIAB Driver</v>
      </c>
      <c r="H1952" s="48" t="str">
        <f>_xlfn.XLOOKUP(Table134526_79101120212223242526[[#This Row],[Name Surname]],Manpower!$C$4:$C$1048576,Manpower!$H$4:$H$1048576,"")</f>
        <v>Manpower</v>
      </c>
      <c r="I1952" s="48" t="str">
        <f>_xlfn.XLOOKUP(Table134526_79101120212223242526[[#This Row],[Name Surname]],Manpower!$C$4:$C$1048576,Manpower!$H$4:$H$1048576,"")</f>
        <v>Manpower</v>
      </c>
      <c r="J1952" s="43" t="s">
        <v>21</v>
      </c>
      <c r="K1952" s="43" t="s">
        <v>26</v>
      </c>
      <c r="L1952" s="43" t="s">
        <v>144</v>
      </c>
      <c r="M1952" s="43" t="s">
        <v>24</v>
      </c>
      <c r="N1952" s="44">
        <v>10</v>
      </c>
      <c r="O1952" s="43" t="s">
        <v>40</v>
      </c>
      <c r="P1952" s="43" t="s">
        <v>42</v>
      </c>
      <c r="Q1952" s="43" t="s">
        <v>42</v>
      </c>
      <c r="R1952" s="43" t="s">
        <v>181</v>
      </c>
      <c r="S1952" s="43"/>
    </row>
    <row r="1953" spans="1:19" s="45" customFormat="1" ht="14.4" hidden="1">
      <c r="A1953" s="25">
        <f>IF(C1953="","",MAX($A$1:A1952)+1)</f>
        <v>1837</v>
      </c>
      <c r="B1953" s="25" t="s">
        <v>141</v>
      </c>
      <c r="C1953" s="41">
        <v>46097</v>
      </c>
      <c r="D1953" s="48" t="str">
        <f>_xlfn.XLOOKUP(Table134526_79101120212223242526[[#This Row],[Name Surname]],Manpower!$C$4:$C$1048576,Manpower!$B$4:$B$1048576,"")</f>
        <v>Encogroup</v>
      </c>
      <c r="E1953" s="43" t="s">
        <v>184</v>
      </c>
      <c r="F1953" s="12">
        <f>_xlfn.XLOOKUP(Table134526_79101120212223242526[[#This Row],[Name Surname]],Manpower!C:C,Manpower!D:D,)</f>
        <v>140844759</v>
      </c>
      <c r="G1953" s="48" t="str">
        <f>_xlfn.XLOOKUP(Table134526_79101120212223242526[[#This Row],[Name Surname]],Manpower!$C$4:$C$1048576,Manpower!$F$4:$F$1048576,"")</f>
        <v>Welder</v>
      </c>
      <c r="H1953" s="48" t="str">
        <f>_xlfn.XLOOKUP(Table134526_79101120212223242526[[#This Row],[Name Surname]],Manpower!$C$4:$C$1048576,Manpower!$H$4:$H$1048576,"")</f>
        <v>Manpower</v>
      </c>
      <c r="I1953" s="48" t="str">
        <f>_xlfn.XLOOKUP(Table134526_79101120212223242526[[#This Row],[Name Surname]],Manpower!$C$4:$C$1048576,Manpower!$H$4:$H$1048576,"")</f>
        <v>Manpower</v>
      </c>
      <c r="J1953" s="43" t="s">
        <v>143</v>
      </c>
      <c r="K1953" s="43" t="s">
        <v>26</v>
      </c>
      <c r="L1953" s="43" t="s">
        <v>144</v>
      </c>
      <c r="M1953" s="43" t="s">
        <v>24</v>
      </c>
      <c r="N1953" s="44">
        <v>10</v>
      </c>
      <c r="O1953" s="43" t="s">
        <v>40</v>
      </c>
      <c r="P1953" s="43" t="s">
        <v>42</v>
      </c>
      <c r="Q1953" s="43" t="s">
        <v>42</v>
      </c>
      <c r="R1953" s="43" t="s">
        <v>328</v>
      </c>
      <c r="S1953" s="43"/>
    </row>
    <row r="1954" spans="1:19" s="45" customFormat="1" ht="14.4" hidden="1">
      <c r="A1954" s="25">
        <f>IF(C1954="","",MAX($A$1:A1953)+1)</f>
        <v>1838</v>
      </c>
      <c r="B1954" s="25" t="s">
        <v>141</v>
      </c>
      <c r="C1954" s="41">
        <v>46097</v>
      </c>
      <c r="D1954" s="48" t="str">
        <f>_xlfn.XLOOKUP(Table134526_79101120212223242526[[#This Row],[Name Surname]],Manpower!$C$4:$C$1048576,Manpower!$B$4:$B$1048576,"")</f>
        <v>Encogroup</v>
      </c>
      <c r="E1954" s="43" t="s">
        <v>185</v>
      </c>
      <c r="F1954" s="12">
        <f>_xlfn.XLOOKUP(Table134526_79101120212223242526[[#This Row],[Name Surname]],Manpower!C:C,Manpower!D:D,)</f>
        <v>140848828</v>
      </c>
      <c r="G1954" s="48" t="str">
        <f>_xlfn.XLOOKUP(Table134526_79101120212223242526[[#This Row],[Name Surname]],Manpower!$C$4:$C$1048576,Manpower!$F$4:$F$1048576,"")</f>
        <v>Pipe Fitter</v>
      </c>
      <c r="H1954" s="48" t="str">
        <f>_xlfn.XLOOKUP(Table134526_79101120212223242526[[#This Row],[Name Surname]],Manpower!$C$4:$C$1048576,Manpower!$H$4:$H$1048576,"")</f>
        <v>Manpower</v>
      </c>
      <c r="I1954" s="48" t="str">
        <f>_xlfn.XLOOKUP(Table134526_79101120212223242526[[#This Row],[Name Surname]],Manpower!$C$4:$C$1048576,Manpower!$H$4:$H$1048576,"")</f>
        <v>Manpower</v>
      </c>
      <c r="J1954" s="43" t="s">
        <v>143</v>
      </c>
      <c r="K1954" s="43" t="s">
        <v>26</v>
      </c>
      <c r="L1954" s="43" t="s">
        <v>144</v>
      </c>
      <c r="M1954" s="43" t="s">
        <v>24</v>
      </c>
      <c r="N1954" s="44">
        <v>10</v>
      </c>
      <c r="O1954" s="43" t="s">
        <v>40</v>
      </c>
      <c r="P1954" s="43" t="s">
        <v>42</v>
      </c>
      <c r="Q1954" s="43" t="s">
        <v>42</v>
      </c>
      <c r="R1954" s="43" t="s">
        <v>328</v>
      </c>
      <c r="S1954" s="43"/>
    </row>
    <row r="1955" spans="1:19" ht="14.4" hidden="1">
      <c r="A1955" s="33">
        <f>IF(C1955="","",MAX($A$1:A1954)+1)</f>
        <v>1839</v>
      </c>
      <c r="B1955" s="27" t="s">
        <v>141</v>
      </c>
      <c r="C1955" s="23">
        <v>46097</v>
      </c>
      <c r="D1955" s="28" t="str">
        <f>_xlfn.XLOOKUP(Table134526_79101120212223242526[[#This Row],[Name Surname]],Manpower!$C$4:$C$1048576,Manpower!$B$4:$B$1048576,"")</f>
        <v>Encogroup</v>
      </c>
      <c r="E1955" s="21" t="s">
        <v>186</v>
      </c>
      <c r="F1955" s="12">
        <f>_xlfn.XLOOKUP(Table134526_79101120212223242526[[#This Row],[Name Surname]],Manpower!C:C,Manpower!D:D,)</f>
        <v>140696961</v>
      </c>
      <c r="G1955" s="28" t="str">
        <f>_xlfn.XLOOKUP(Table134526_79101120212223242526[[#This Row],[Name Surname]],Manpower!$C$4:$C$1048576,Manpower!$F$4:$F$1048576,"")</f>
        <v>Assistant/Helper</v>
      </c>
      <c r="H1955" s="28" t="str">
        <f>_xlfn.XLOOKUP(Table134526_79101120212223242526[[#This Row],[Name Surname]],Manpower!$C$4:$C$1048576,Manpower!$H$4:$H$1048576,"")</f>
        <v>Manpower</v>
      </c>
      <c r="I1955" s="28" t="str">
        <f>_xlfn.XLOOKUP(Table134526_79101120212223242526[[#This Row],[Name Surname]],Manpower!$C$4:$C$1048576,Manpower!$H$4:$H$1048576,"")</f>
        <v>Manpower</v>
      </c>
      <c r="J1955" s="21" t="s">
        <v>158</v>
      </c>
      <c r="K1955" s="21" t="s">
        <v>26</v>
      </c>
      <c r="L1955" s="21" t="s">
        <v>26</v>
      </c>
      <c r="M1955" s="21" t="s">
        <v>24</v>
      </c>
      <c r="N1955" s="29">
        <v>10</v>
      </c>
      <c r="O1955" s="21" t="s">
        <v>159</v>
      </c>
      <c r="P1955" s="21" t="s">
        <v>160</v>
      </c>
      <c r="Q1955" s="21" t="s">
        <v>160</v>
      </c>
      <c r="R1955" s="21" t="s">
        <v>161</v>
      </c>
    </row>
    <row r="1956" spans="1:19" s="45" customFormat="1" ht="14.4" hidden="1">
      <c r="A1956" s="25">
        <f>IF(C1956="","",MAX($A$1:A1955)+1)</f>
        <v>1840</v>
      </c>
      <c r="B1956" s="25" t="s">
        <v>141</v>
      </c>
      <c r="C1956" s="41">
        <v>46097</v>
      </c>
      <c r="D1956" s="48" t="str">
        <f>_xlfn.XLOOKUP(Table134526_79101120212223242526[[#This Row],[Name Surname]],Manpower!$C$4:$C$1048576,Manpower!$B$4:$B$1048576,"")</f>
        <v>Encogroup</v>
      </c>
      <c r="E1956" s="43" t="s">
        <v>187</v>
      </c>
      <c r="F1956" s="12">
        <f>_xlfn.XLOOKUP(Table134526_79101120212223242526[[#This Row],[Name Surname]],Manpower!C:C,Manpower!D:D,)</f>
        <v>140623599</v>
      </c>
      <c r="G1956" s="48" t="str">
        <f>_xlfn.XLOOKUP(Table134526_79101120212223242526[[#This Row],[Name Surname]],Manpower!$C$4:$C$1048576,Manpower!$F$4:$F$1048576,"")</f>
        <v>Mechanical Supervisor</v>
      </c>
      <c r="H1956" s="48" t="str">
        <f>_xlfn.XLOOKUP(Table134526_79101120212223242526[[#This Row],[Name Surname]],Manpower!$C$4:$C$1048576,Manpower!$H$4:$H$1048576,"")</f>
        <v>Manpower</v>
      </c>
      <c r="I1956" s="48" t="str">
        <f>_xlfn.XLOOKUP(Table134526_79101120212223242526[[#This Row],[Name Surname]],Manpower!$C$4:$C$1048576,Manpower!$H$4:$H$1048576,"")</f>
        <v>Manpower</v>
      </c>
      <c r="J1956" s="43" t="s">
        <v>143</v>
      </c>
      <c r="K1956" s="43" t="s">
        <v>26</v>
      </c>
      <c r="L1956" s="43" t="s">
        <v>144</v>
      </c>
      <c r="M1956" s="43" t="s">
        <v>24</v>
      </c>
      <c r="N1956" s="44">
        <v>8</v>
      </c>
      <c r="O1956" s="43" t="s">
        <v>40</v>
      </c>
      <c r="P1956" s="43" t="s">
        <v>42</v>
      </c>
      <c r="Q1956" s="43" t="s">
        <v>42</v>
      </c>
      <c r="R1956" s="43" t="s">
        <v>328</v>
      </c>
      <c r="S1956" s="43"/>
    </row>
    <row r="1957" spans="1:19" ht="14.4" hidden="1">
      <c r="A1957" s="33">
        <f>IF(C1957="","",MAX($A$1:A1956)+1)</f>
        <v>1841</v>
      </c>
      <c r="B1957" s="27" t="s">
        <v>141</v>
      </c>
      <c r="C1957" s="23">
        <v>46097</v>
      </c>
      <c r="D1957" s="28" t="str">
        <f>_xlfn.XLOOKUP(Table134526_79101120212223242526[[#This Row],[Name Surname]],Manpower!$C$4:$C$1048576,Manpower!$B$4:$B$1048576,"")</f>
        <v>Encogroup</v>
      </c>
      <c r="E1957" s="21" t="s">
        <v>189</v>
      </c>
      <c r="F1957" s="12">
        <f>_xlfn.XLOOKUP(Table134526_79101120212223242526[[#This Row],[Name Surname]],Manpower!C:C,Manpower!D:D,)</f>
        <v>121937785</v>
      </c>
      <c r="G1957" s="28" t="str">
        <f>_xlfn.XLOOKUP(Table134526_79101120212223242526[[#This Row],[Name Surname]],Manpower!$C$4:$C$1048576,Manpower!$F$4:$F$1048576,"")</f>
        <v>Scaffolding Inspector</v>
      </c>
      <c r="H1957" s="28" t="str">
        <f>_xlfn.XLOOKUP(Table134526_79101120212223242526[[#This Row],[Name Surname]],Manpower!$C$4:$C$1048576,Manpower!$H$4:$H$1048576,"")</f>
        <v>Manpower</v>
      </c>
      <c r="I1957" s="28" t="str">
        <f>_xlfn.XLOOKUP(Table134526_79101120212223242526[[#This Row],[Name Surname]],Manpower!$C$4:$C$1048576,Manpower!$H$4:$H$1048576,"")</f>
        <v>Manpower</v>
      </c>
      <c r="J1957" s="21" t="s">
        <v>143</v>
      </c>
      <c r="K1957" s="21" t="s">
        <v>26</v>
      </c>
      <c r="L1957" s="21" t="s">
        <v>144</v>
      </c>
      <c r="M1957" s="21" t="s">
        <v>24</v>
      </c>
      <c r="N1957" s="29">
        <v>8</v>
      </c>
      <c r="O1957" s="21" t="s">
        <v>40</v>
      </c>
      <c r="P1957" s="21" t="s">
        <v>128</v>
      </c>
      <c r="Q1957" s="21" t="s">
        <v>128</v>
      </c>
      <c r="R1957" s="21" t="s">
        <v>26</v>
      </c>
    </row>
    <row r="1958" spans="1:19" ht="14.4" hidden="1">
      <c r="A1958" s="33">
        <f>IF(C1958="","",MAX($A$1:A1957)+1)</f>
        <v>1842</v>
      </c>
      <c r="B1958" s="27" t="s">
        <v>141</v>
      </c>
      <c r="C1958" s="23">
        <v>46097</v>
      </c>
      <c r="D1958" s="28" t="str">
        <f>_xlfn.XLOOKUP(Table134526_79101120212223242526[[#This Row],[Name Surname]],Manpower!$C$4:$C$1048576,Manpower!$B$4:$B$1048576,"")</f>
        <v>AL Omar International TRAD AND CONT</v>
      </c>
      <c r="E1958" s="21" t="s">
        <v>192</v>
      </c>
      <c r="F1958" s="12">
        <f>_xlfn.XLOOKUP(Table134526_79101120212223242526[[#This Row],[Name Surname]],Manpower!C:C,Manpower!D:D,)</f>
        <v>96409155</v>
      </c>
      <c r="G1958" s="28" t="str">
        <f>_xlfn.XLOOKUP(Table134526_79101120212223242526[[#This Row],[Name Surname]],Manpower!$C$4:$C$1048576,Manpower!$F$4:$F$1048576,"")</f>
        <v>Scaffolder</v>
      </c>
      <c r="H1958" s="28" t="str">
        <f>_xlfn.XLOOKUP(Table134526_79101120212223242526[[#This Row],[Name Surname]],Manpower!$C$4:$C$1048576,Manpower!$H$4:$H$1048576,"")</f>
        <v>Sub Contactor</v>
      </c>
      <c r="I1958" s="28" t="str">
        <f>_xlfn.XLOOKUP(Table134526_79101120212223242526[[#This Row],[Name Surname]],Manpower!$C$4:$C$1048576,Manpower!$H$4:$H$1048576,"")</f>
        <v>Sub Contactor</v>
      </c>
      <c r="J1958" s="21" t="s">
        <v>143</v>
      </c>
      <c r="K1958" s="21" t="s">
        <v>26</v>
      </c>
      <c r="L1958" s="21" t="s">
        <v>170</v>
      </c>
      <c r="M1958" s="21" t="s">
        <v>24</v>
      </c>
      <c r="N1958" s="29">
        <v>8</v>
      </c>
      <c r="O1958" s="21" t="s">
        <v>40</v>
      </c>
      <c r="P1958" s="21" t="s">
        <v>128</v>
      </c>
      <c r="Q1958" s="21" t="s">
        <v>128</v>
      </c>
      <c r="R1958" s="21" t="s">
        <v>171</v>
      </c>
    </row>
    <row r="1959" spans="1:19" ht="14.4" hidden="1">
      <c r="A1959" s="33">
        <f>IF(C1959="","",MAX($A$1:A1958)+1)</f>
        <v>1843</v>
      </c>
      <c r="B1959" s="27" t="s">
        <v>141</v>
      </c>
      <c r="C1959" s="23">
        <v>46097</v>
      </c>
      <c r="D1959" s="28" t="str">
        <f>_xlfn.XLOOKUP(Table134526_79101120212223242526[[#This Row],[Name Surname]],Manpower!$C$4:$C$1048576,Manpower!$B$4:$B$1048576,"")</f>
        <v>AL Omar International TRAD AND CONT</v>
      </c>
      <c r="E1959" s="21" t="s">
        <v>193</v>
      </c>
      <c r="F1959" s="12">
        <f>_xlfn.XLOOKUP(Table134526_79101120212223242526[[#This Row],[Name Surname]],Manpower!C:C,Manpower!D:D,)</f>
        <v>105813698</v>
      </c>
      <c r="G1959" s="28" t="str">
        <f>_xlfn.XLOOKUP(Table134526_79101120212223242526[[#This Row],[Name Surname]],Manpower!$C$4:$C$1048576,Manpower!$F$4:$F$1048576,"")</f>
        <v>Scaffolding Inspector</v>
      </c>
      <c r="H1959" s="28" t="str">
        <f>_xlfn.XLOOKUP(Table134526_79101120212223242526[[#This Row],[Name Surname]],Manpower!$C$4:$C$1048576,Manpower!$H$4:$H$1048576,"")</f>
        <v>Sub Contactor</v>
      </c>
      <c r="I1959" s="28" t="str">
        <f>_xlfn.XLOOKUP(Table134526_79101120212223242526[[#This Row],[Name Surname]],Manpower!$C$4:$C$1048576,Manpower!$H$4:$H$1048576,"")</f>
        <v>Sub Contactor</v>
      </c>
      <c r="J1959" s="21" t="s">
        <v>143</v>
      </c>
      <c r="K1959" s="21" t="s">
        <v>26</v>
      </c>
      <c r="L1959" s="21" t="s">
        <v>170</v>
      </c>
      <c r="M1959" s="21" t="s">
        <v>24</v>
      </c>
      <c r="N1959" s="29">
        <v>8</v>
      </c>
      <c r="O1959" s="21" t="s">
        <v>40</v>
      </c>
      <c r="P1959" s="21" t="s">
        <v>128</v>
      </c>
      <c r="Q1959" s="21" t="s">
        <v>128</v>
      </c>
      <c r="R1959" s="21" t="s">
        <v>171</v>
      </c>
    </row>
    <row r="1960" spans="1:19" s="45" customFormat="1" ht="14.4" hidden="1">
      <c r="A1960" s="25">
        <f>IF(C1960="","",MAX($A$1:A1959)+1)</f>
        <v>1844</v>
      </c>
      <c r="B1960" s="25" t="s">
        <v>141</v>
      </c>
      <c r="C1960" s="41">
        <v>46097</v>
      </c>
      <c r="D1960" s="48" t="str">
        <f>_xlfn.XLOOKUP(Table134526_79101120212223242526[[#This Row],[Name Surname]],Manpower!$C$4:$C$1048576,Manpower!$B$4:$B$1048576,"")</f>
        <v>AL Saif &amp; Al QALLM ENT LLC</v>
      </c>
      <c r="E1960" s="43" t="s">
        <v>194</v>
      </c>
      <c r="F1960" s="12">
        <f>_xlfn.XLOOKUP(Table134526_79101120212223242526[[#This Row],[Name Surname]],Manpower!C:C,Manpower!D:D,)</f>
        <v>135340657</v>
      </c>
      <c r="G1960" s="48" t="str">
        <f>_xlfn.XLOOKUP(Table134526_79101120212223242526[[#This Row],[Name Surname]],Manpower!$C$4:$C$1048576,Manpower!$F$4:$F$1048576,"")</f>
        <v>Forklift Operator</v>
      </c>
      <c r="H1960" s="48" t="str">
        <f>_xlfn.XLOOKUP(Table134526_79101120212223242526[[#This Row],[Name Surname]],Manpower!$C$4:$C$1048576,Manpower!$H$4:$H$1048576,"")</f>
        <v>Sub Contactor</v>
      </c>
      <c r="I1960" s="48" t="str">
        <f>_xlfn.XLOOKUP(Table134526_79101120212223242526[[#This Row],[Name Surname]],Manpower!$C$4:$C$1048576,Manpower!$H$4:$H$1048576,"")</f>
        <v>Sub Contactor</v>
      </c>
      <c r="J1960" s="43" t="s">
        <v>143</v>
      </c>
      <c r="K1960" s="43" t="s">
        <v>26</v>
      </c>
      <c r="L1960" s="43" t="s">
        <v>144</v>
      </c>
      <c r="M1960" s="43" t="s">
        <v>24</v>
      </c>
      <c r="N1960" s="44">
        <v>8</v>
      </c>
      <c r="O1960" s="43" t="s">
        <v>40</v>
      </c>
      <c r="P1960" s="43" t="s">
        <v>42</v>
      </c>
      <c r="Q1960" s="43" t="s">
        <v>42</v>
      </c>
      <c r="R1960" s="43" t="s">
        <v>195</v>
      </c>
      <c r="S1960" s="43" t="s">
        <v>245</v>
      </c>
    </row>
    <row r="1961" spans="1:19" ht="14.4" hidden="1">
      <c r="A1961" s="33">
        <f>IF(C1961="","",MAX($A$1:A1960)+1)</f>
        <v>1845</v>
      </c>
      <c r="B1961" s="27" t="s">
        <v>141</v>
      </c>
      <c r="C1961" s="23">
        <v>46097</v>
      </c>
      <c r="D1961" s="28" t="str">
        <f>_xlfn.XLOOKUP(Table134526_79101120212223242526[[#This Row],[Name Surname]],Manpower!$C$4:$C$1048576,Manpower!$B$4:$B$1048576,"")</f>
        <v>Encogroup</v>
      </c>
      <c r="E1961" s="21" t="s">
        <v>196</v>
      </c>
      <c r="F1961" s="12">
        <f>_xlfn.XLOOKUP(Table134526_79101120212223242526[[#This Row],[Name Surname]],Manpower!C:C,Manpower!D:D,)</f>
        <v>140844586</v>
      </c>
      <c r="G1961" s="28" t="str">
        <f>_xlfn.XLOOKUP(Table134526_79101120212223242526[[#This Row],[Name Surname]],Manpower!$C$4:$C$1048576,Manpower!$F$4:$F$1048576,"")</f>
        <v>Assistant/Helper</v>
      </c>
      <c r="H1961" s="28" t="str">
        <f>_xlfn.XLOOKUP(Table134526_79101120212223242526[[#This Row],[Name Surname]],Manpower!$C$4:$C$1048576,Manpower!$H$4:$H$1048576,"")</f>
        <v>Manpower</v>
      </c>
      <c r="I1961" s="28" t="str">
        <f>_xlfn.XLOOKUP(Table134526_79101120212223242526[[#This Row],[Name Surname]],Manpower!$C$4:$C$1048576,Manpower!$H$4:$H$1048576,"")</f>
        <v>Manpower</v>
      </c>
      <c r="J1961" s="21" t="s">
        <v>158</v>
      </c>
      <c r="K1961" s="21" t="s">
        <v>26</v>
      </c>
      <c r="L1961" s="21" t="s">
        <v>26</v>
      </c>
      <c r="M1961" s="21" t="s">
        <v>24</v>
      </c>
      <c r="N1961" s="29">
        <v>10</v>
      </c>
      <c r="O1961" s="21" t="s">
        <v>159</v>
      </c>
      <c r="P1961" s="21" t="s">
        <v>160</v>
      </c>
      <c r="Q1961" s="21" t="s">
        <v>160</v>
      </c>
      <c r="R1961" s="21" t="s">
        <v>161</v>
      </c>
    </row>
    <row r="1962" spans="1:19" ht="14.4" hidden="1">
      <c r="A1962" s="33">
        <f>IF(C1962="","",MAX($A$1:A1961)+1)</f>
        <v>1846</v>
      </c>
      <c r="B1962" s="27" t="s">
        <v>141</v>
      </c>
      <c r="C1962" s="23">
        <v>46097</v>
      </c>
      <c r="D1962" s="28" t="str">
        <f>_xlfn.XLOOKUP(Table134526_79101120212223242526[[#This Row],[Name Surname]],Manpower!$C$4:$C$1048576,Manpower!$B$4:$B$1048576,"")</f>
        <v>AL Omar International TRAD AND CONT</v>
      </c>
      <c r="E1962" s="21" t="s">
        <v>212</v>
      </c>
      <c r="F1962" s="12">
        <f>_xlfn.XLOOKUP(Table134526_79101120212223242526[[#This Row],[Name Surname]],Manpower!C:C,Manpower!D:D,)</f>
        <v>116676257</v>
      </c>
      <c r="G1962" s="28" t="str">
        <f>_xlfn.XLOOKUP(Table134526_79101120212223242526[[#This Row],[Name Surname]],Manpower!$C$4:$C$1048576,Manpower!$F$4:$F$1048576,"")</f>
        <v>Scaffolder</v>
      </c>
      <c r="H1962" s="28" t="str">
        <f>_xlfn.XLOOKUP(Table134526_79101120212223242526[[#This Row],[Name Surname]],Manpower!$C$4:$C$1048576,Manpower!$H$4:$H$1048576,"")</f>
        <v>Sub Contactor</v>
      </c>
      <c r="I1962" s="28" t="str">
        <f>_xlfn.XLOOKUP(Table134526_79101120212223242526[[#This Row],[Name Surname]],Manpower!$C$4:$C$1048576,Manpower!$H$4:$H$1048576,"")</f>
        <v>Sub Contactor</v>
      </c>
      <c r="J1962" s="21" t="s">
        <v>143</v>
      </c>
      <c r="K1962" s="21" t="s">
        <v>26</v>
      </c>
      <c r="L1962" s="21" t="s">
        <v>170</v>
      </c>
      <c r="M1962" s="21" t="s">
        <v>24</v>
      </c>
      <c r="N1962" s="29">
        <v>8</v>
      </c>
      <c r="O1962" s="21" t="s">
        <v>40</v>
      </c>
      <c r="P1962" s="21" t="s">
        <v>128</v>
      </c>
      <c r="Q1962" s="21" t="s">
        <v>128</v>
      </c>
      <c r="R1962" s="21" t="s">
        <v>171</v>
      </c>
    </row>
    <row r="1963" spans="1:19" ht="14.4" hidden="1">
      <c r="A1963" s="33">
        <f>IF(C1963="","",MAX($A$1:A1962)+1)</f>
        <v>1847</v>
      </c>
      <c r="B1963" s="27" t="s">
        <v>141</v>
      </c>
      <c r="C1963" s="23">
        <v>46097</v>
      </c>
      <c r="D1963" s="28" t="str">
        <f>_xlfn.XLOOKUP(Table134526_79101120212223242526[[#This Row],[Name Surname]],Manpower!$C$4:$C$1048576,Manpower!$B$4:$B$1048576,"")</f>
        <v>AL Omar International TRAD AND CONT</v>
      </c>
      <c r="E1963" s="21" t="s">
        <v>197</v>
      </c>
      <c r="F1963" s="12">
        <f>_xlfn.XLOOKUP(Table134526_79101120212223242526[[#This Row],[Name Surname]],Manpower!C:C,Manpower!D:D,)</f>
        <v>106093463</v>
      </c>
      <c r="G1963" s="28" t="str">
        <f>_xlfn.XLOOKUP(Table134526_79101120212223242526[[#This Row],[Name Surname]],Manpower!$C$4:$C$1048576,Manpower!$F$4:$F$1048576,"")</f>
        <v>RIgger</v>
      </c>
      <c r="H1963" s="28" t="str">
        <f>_xlfn.XLOOKUP(Table134526_79101120212223242526[[#This Row],[Name Surname]],Manpower!$C$4:$C$1048576,Manpower!$H$4:$H$1048576,"")</f>
        <v>Sub Contactor</v>
      </c>
      <c r="I1963" s="28" t="str">
        <f>_xlfn.XLOOKUP(Table134526_79101120212223242526[[#This Row],[Name Surname]],Manpower!$C$4:$C$1048576,Manpower!$H$4:$H$1048576,"")</f>
        <v>Sub Contactor</v>
      </c>
      <c r="J1963" s="21" t="s">
        <v>143</v>
      </c>
      <c r="K1963" s="21" t="s">
        <v>26</v>
      </c>
      <c r="L1963" s="21" t="s">
        <v>144</v>
      </c>
      <c r="M1963" s="21" t="s">
        <v>24</v>
      </c>
      <c r="N1963" s="29">
        <v>8</v>
      </c>
      <c r="O1963" s="21" t="s">
        <v>40</v>
      </c>
      <c r="P1963" s="21" t="s">
        <v>42</v>
      </c>
      <c r="Q1963" s="21" t="s">
        <v>42</v>
      </c>
      <c r="R1963" s="21" t="s">
        <v>328</v>
      </c>
    </row>
    <row r="1964" spans="1:19" ht="14.4">
      <c r="A1964" s="33">
        <f>IF(C1964="","",MAX($A$1:A1963)+1)</f>
        <v>1848</v>
      </c>
      <c r="B1964" s="27" t="s">
        <v>141</v>
      </c>
      <c r="C1964" s="23">
        <v>46097</v>
      </c>
      <c r="D1964" s="28" t="str">
        <f>_xlfn.XLOOKUP(Table134526_79101120212223242526[[#This Row],[Name Surname]],Manpower!$C$4:$C$1048576,Manpower!$B$4:$B$1048576,"")</f>
        <v>Al Asrah Al Mumayaza Trad</v>
      </c>
      <c r="E1964" s="21" t="s">
        <v>198</v>
      </c>
      <c r="F1964" s="12" t="e">
        <f>_xlfn.XLOOKUP(Table134526_79101120212223242526[[#This Row],[Name Surname]],Manpower!C:C,Manpower!D:D,)</f>
        <v>#N/A</v>
      </c>
      <c r="G1964" s="28" t="str">
        <f>_xlfn.XLOOKUP(Table134526_79101120212223242526[[#This Row],[Name Surname]],Manpower!$C$4:$C$1048576,Manpower!$F$4:$F$1048576,"")</f>
        <v>PICK-UP</v>
      </c>
      <c r="H1964" s="28" t="str">
        <f>_xlfn.XLOOKUP(Table134526_79101120212223242526[[#This Row],[Name Surname]],Manpower!$C$4:$C$1048576,Manpower!$H$4:$H$1048576,"")</f>
        <v>Equipment</v>
      </c>
      <c r="I1964" s="28" t="str">
        <f>_xlfn.XLOOKUP(Table134526_79101120212223242526[[#This Row],[Name Surname]],Manpower!$C$4:$C$1048576,Manpower!$H$4:$H$1048576,"")</f>
        <v>Equipment</v>
      </c>
      <c r="J1964" s="21" t="s">
        <v>143</v>
      </c>
      <c r="K1964" s="21" t="s">
        <v>26</v>
      </c>
      <c r="L1964" s="21" t="s">
        <v>144</v>
      </c>
      <c r="M1964" s="21" t="s">
        <v>24</v>
      </c>
      <c r="N1964" s="29">
        <v>10</v>
      </c>
      <c r="O1964" s="21" t="s">
        <v>138</v>
      </c>
      <c r="P1964" s="21" t="s">
        <v>138</v>
      </c>
      <c r="Q1964" s="21" t="s">
        <v>138</v>
      </c>
      <c r="R1964" s="21" t="s">
        <v>26</v>
      </c>
    </row>
    <row r="1965" spans="1:19" ht="14.4">
      <c r="A1965" s="33">
        <f>IF(C1965="","",MAX($A$1:A1964)+1)</f>
        <v>1849</v>
      </c>
      <c r="B1965" s="27" t="s">
        <v>141</v>
      </c>
      <c r="C1965" s="23">
        <v>46097</v>
      </c>
      <c r="D1965" s="28" t="str">
        <f>_xlfn.XLOOKUP(Table134526_79101120212223242526[[#This Row],[Name Surname]],Manpower!$C$4:$C$1048576,Manpower!$B$4:$B$1048576,"")</f>
        <v>Al Asrah Al Mumayaza Trad</v>
      </c>
      <c r="E1965" s="21" t="s">
        <v>199</v>
      </c>
      <c r="F1965" s="12" t="e">
        <f>_xlfn.XLOOKUP(Table134526_79101120212223242526[[#This Row],[Name Surname]],Manpower!C:C,Manpower!D:D,)</f>
        <v>#N/A</v>
      </c>
      <c r="G1965" s="28" t="str">
        <f>_xlfn.XLOOKUP(Table134526_79101120212223242526[[#This Row],[Name Surname]],Manpower!$C$4:$C$1048576,Manpower!$F$4:$F$1048576,"")</f>
        <v>PICK-UP</v>
      </c>
      <c r="H1965" s="28" t="str">
        <f>_xlfn.XLOOKUP(Table134526_79101120212223242526[[#This Row],[Name Surname]],Manpower!$C$4:$C$1048576,Manpower!$H$4:$H$1048576,"")</f>
        <v>Equipment</v>
      </c>
      <c r="I1965" s="28" t="str">
        <f>_xlfn.XLOOKUP(Table134526_79101120212223242526[[#This Row],[Name Surname]],Manpower!$C$4:$C$1048576,Manpower!$H$4:$H$1048576,"")</f>
        <v>Equipment</v>
      </c>
      <c r="J1965" s="21" t="s">
        <v>143</v>
      </c>
      <c r="K1965" s="21" t="s">
        <v>26</v>
      </c>
      <c r="L1965" s="21" t="s">
        <v>144</v>
      </c>
      <c r="M1965" s="21" t="s">
        <v>24</v>
      </c>
      <c r="N1965" s="29">
        <v>10</v>
      </c>
      <c r="O1965" s="21" t="s">
        <v>138</v>
      </c>
      <c r="P1965" s="21" t="s">
        <v>138</v>
      </c>
      <c r="Q1965" s="21" t="s">
        <v>138</v>
      </c>
      <c r="R1965" s="21" t="s">
        <v>26</v>
      </c>
    </row>
    <row r="1966" spans="1:19" ht="14.4">
      <c r="A1966" s="33">
        <f>IF(C1966="","",MAX($A$1:A1965)+1)</f>
        <v>1850</v>
      </c>
      <c r="B1966" s="27" t="s">
        <v>141</v>
      </c>
      <c r="C1966" s="23">
        <v>46097</v>
      </c>
      <c r="D1966" s="28" t="str">
        <f>_xlfn.XLOOKUP(Table134526_79101120212223242526[[#This Row],[Name Surname]],Manpower!$C$4:$C$1048576,Manpower!$B$4:$B$1048576,"")</f>
        <v>Al Asrah Al Mumayaza Trad</v>
      </c>
      <c r="E1966" s="21" t="s">
        <v>200</v>
      </c>
      <c r="F1966" s="12" t="e">
        <f>_xlfn.XLOOKUP(Table134526_79101120212223242526[[#This Row],[Name Surname]],Manpower!C:C,Manpower!D:D,)</f>
        <v>#N/A</v>
      </c>
      <c r="G1966" s="28" t="str">
        <f>_xlfn.XLOOKUP(Table134526_79101120212223242526[[#This Row],[Name Surname]],Manpower!$C$4:$C$1048576,Manpower!$F$4:$F$1048576,"")</f>
        <v>PICK-UP</v>
      </c>
      <c r="H1966" s="28" t="str">
        <f>_xlfn.XLOOKUP(Table134526_79101120212223242526[[#This Row],[Name Surname]],Manpower!$C$4:$C$1048576,Manpower!$H$4:$H$1048576,"")</f>
        <v>Equipment</v>
      </c>
      <c r="I1966" s="28" t="str">
        <f>_xlfn.XLOOKUP(Table134526_79101120212223242526[[#This Row],[Name Surname]],Manpower!$C$4:$C$1048576,Manpower!$H$4:$H$1048576,"")</f>
        <v>Equipment</v>
      </c>
      <c r="J1966" s="21" t="s">
        <v>143</v>
      </c>
      <c r="K1966" s="21" t="s">
        <v>26</v>
      </c>
      <c r="L1966" s="21" t="s">
        <v>144</v>
      </c>
      <c r="M1966" s="21" t="s">
        <v>24</v>
      </c>
      <c r="N1966" s="29">
        <v>10</v>
      </c>
      <c r="O1966" s="21" t="s">
        <v>138</v>
      </c>
      <c r="P1966" s="21" t="s">
        <v>138</v>
      </c>
      <c r="Q1966" s="21" t="s">
        <v>138</v>
      </c>
      <c r="R1966" s="21" t="s">
        <v>26</v>
      </c>
    </row>
    <row r="1967" spans="1:19" ht="14.4">
      <c r="A1967" s="33">
        <f>IF(C1967="","",MAX($A$1:A1966)+1)</f>
        <v>1851</v>
      </c>
      <c r="B1967" s="27" t="s">
        <v>141</v>
      </c>
      <c r="C1967" s="23">
        <v>46097</v>
      </c>
      <c r="D1967" s="28" t="str">
        <f>_xlfn.XLOOKUP(Table134526_79101120212223242526[[#This Row],[Name Surname]],Manpower!$C$4:$C$1048576,Manpower!$B$4:$B$1048576,"")</f>
        <v>Al Asrah Al Mumayaza Trad</v>
      </c>
      <c r="E1967" s="21" t="s">
        <v>201</v>
      </c>
      <c r="F1967" s="12" t="e">
        <f>_xlfn.XLOOKUP(Table134526_79101120212223242526[[#This Row],[Name Surname]],Manpower!C:C,Manpower!D:D,)</f>
        <v>#N/A</v>
      </c>
      <c r="G1967" s="28" t="str">
        <f>_xlfn.XLOOKUP(Table134526_79101120212223242526[[#This Row],[Name Surname]],Manpower!$C$4:$C$1048576,Manpower!$F$4:$F$1048576,"")</f>
        <v>PICK-UP</v>
      </c>
      <c r="H1967" s="28" t="str">
        <f>_xlfn.XLOOKUP(Table134526_79101120212223242526[[#This Row],[Name Surname]],Manpower!$C$4:$C$1048576,Manpower!$H$4:$H$1048576,"")</f>
        <v>Equipment</v>
      </c>
      <c r="I1967" s="28" t="str">
        <f>_xlfn.XLOOKUP(Table134526_79101120212223242526[[#This Row],[Name Surname]],Manpower!$C$4:$C$1048576,Manpower!$H$4:$H$1048576,"")</f>
        <v>Equipment</v>
      </c>
      <c r="J1967" s="21" t="s">
        <v>143</v>
      </c>
      <c r="K1967" s="21" t="s">
        <v>26</v>
      </c>
      <c r="L1967" s="21" t="s">
        <v>144</v>
      </c>
      <c r="M1967" s="21" t="s">
        <v>24</v>
      </c>
      <c r="N1967" s="29">
        <v>10</v>
      </c>
      <c r="O1967" s="21" t="s">
        <v>138</v>
      </c>
      <c r="P1967" s="21" t="s">
        <v>138</v>
      </c>
      <c r="Q1967" s="21" t="s">
        <v>138</v>
      </c>
      <c r="R1967" s="21" t="s">
        <v>26</v>
      </c>
    </row>
    <row r="1968" spans="1:19" s="45" customFormat="1" ht="14.4" hidden="1">
      <c r="A1968" s="25">
        <f>IF(C1968="","",MAX($A$1:A1967)+1)</f>
        <v>1852</v>
      </c>
      <c r="B1968" s="25" t="s">
        <v>141</v>
      </c>
      <c r="C1968" s="41">
        <v>46097</v>
      </c>
      <c r="D1968" s="48" t="str">
        <f>_xlfn.XLOOKUP(Table134526_79101120212223242526[[#This Row],[Name Surname]],Manpower!$C$4:$C$1048576,Manpower!$B$4:$B$1048576,"")</f>
        <v>Encogroup</v>
      </c>
      <c r="E1968" s="43" t="s">
        <v>202</v>
      </c>
      <c r="F1968" s="12">
        <f>_xlfn.XLOOKUP(Table134526_79101120212223242526[[#This Row],[Name Surname]],Manpower!C:C,Manpower!D:D,)</f>
        <v>140805592</v>
      </c>
      <c r="G1968" s="48" t="str">
        <f>_xlfn.XLOOKUP(Table134526_79101120212223242526[[#This Row],[Name Surname]],Manpower!$C$4:$C$1048576,Manpower!$F$4:$F$1048576,"")</f>
        <v>Assistant/Helper</v>
      </c>
      <c r="H1968" s="48" t="str">
        <f>_xlfn.XLOOKUP(Table134526_79101120212223242526[[#This Row],[Name Surname]],Manpower!$C$4:$C$1048576,Manpower!$H$4:$H$1048576,"")</f>
        <v>Manpower</v>
      </c>
      <c r="I1968" s="48" t="str">
        <f>_xlfn.XLOOKUP(Table134526_79101120212223242526[[#This Row],[Name Surname]],Manpower!$C$4:$C$1048576,Manpower!$H$4:$H$1048576,"")</f>
        <v>Manpower</v>
      </c>
      <c r="J1968" s="43" t="s">
        <v>143</v>
      </c>
      <c r="K1968" s="43" t="s">
        <v>26</v>
      </c>
      <c r="L1968" s="43" t="s">
        <v>144</v>
      </c>
      <c r="M1968" s="43" t="s">
        <v>24</v>
      </c>
      <c r="N1968" s="44">
        <v>10</v>
      </c>
      <c r="O1968" s="43" t="s">
        <v>40</v>
      </c>
      <c r="P1968" s="43" t="s">
        <v>42</v>
      </c>
      <c r="Q1968" s="43" t="s">
        <v>42</v>
      </c>
      <c r="R1968" s="43" t="s">
        <v>328</v>
      </c>
      <c r="S1968" s="43"/>
    </row>
    <row r="1969" spans="1:19" s="45" customFormat="1" ht="14.4" hidden="1">
      <c r="A1969" s="25">
        <f>IF(C1969="","",MAX($A$1:A1968)+1)</f>
        <v>1853</v>
      </c>
      <c r="B1969" s="25" t="s">
        <v>141</v>
      </c>
      <c r="C1969" s="41">
        <v>46097</v>
      </c>
      <c r="D1969" s="48" t="str">
        <f>_xlfn.XLOOKUP(Table134526_79101120212223242526[[#This Row],[Name Surname]],Manpower!$C$4:$C$1048576,Manpower!$B$4:$B$1048576,"")</f>
        <v>Encogroup</v>
      </c>
      <c r="E1969" s="43" t="s">
        <v>203</v>
      </c>
      <c r="F1969" s="12">
        <f>_xlfn.XLOOKUP(Table134526_79101120212223242526[[#This Row],[Name Surname]],Manpower!C:C,Manpower!D:D,)</f>
        <v>140683371</v>
      </c>
      <c r="G1969" s="48" t="str">
        <f>_xlfn.XLOOKUP(Table134526_79101120212223242526[[#This Row],[Name Surname]],Manpower!$C$4:$C$1048576,Manpower!$F$4:$F$1048576,"")</f>
        <v>Rigger</v>
      </c>
      <c r="H1969" s="48" t="str">
        <f>_xlfn.XLOOKUP(Table134526_79101120212223242526[[#This Row],[Name Surname]],Manpower!$C$4:$C$1048576,Manpower!$H$4:$H$1048576,"")</f>
        <v>Manpower</v>
      </c>
      <c r="I1969" s="48" t="str">
        <f>_xlfn.XLOOKUP(Table134526_79101120212223242526[[#This Row],[Name Surname]],Manpower!$C$4:$C$1048576,Manpower!$H$4:$H$1048576,"")</f>
        <v>Manpower</v>
      </c>
      <c r="J1969" s="43" t="s">
        <v>143</v>
      </c>
      <c r="K1969" s="43" t="s">
        <v>26</v>
      </c>
      <c r="L1969" s="43" t="s">
        <v>144</v>
      </c>
      <c r="M1969" s="43" t="s">
        <v>24</v>
      </c>
      <c r="N1969" s="44">
        <v>10</v>
      </c>
      <c r="O1969" s="43" t="s">
        <v>40</v>
      </c>
      <c r="P1969" s="43" t="s">
        <v>42</v>
      </c>
      <c r="Q1969" s="43" t="s">
        <v>42</v>
      </c>
      <c r="R1969" s="43" t="s">
        <v>328</v>
      </c>
      <c r="S1969" s="43"/>
    </row>
    <row r="1970" spans="1:19" s="45" customFormat="1" ht="14.4" hidden="1">
      <c r="A1970" s="25">
        <f>IF(C1970="","",MAX($A$1:A1969)+1)</f>
        <v>1854</v>
      </c>
      <c r="B1970" s="25" t="s">
        <v>141</v>
      </c>
      <c r="C1970" s="41">
        <v>46097</v>
      </c>
      <c r="D1970" s="48" t="str">
        <f>_xlfn.XLOOKUP(Table134526_79101120212223242526[[#This Row],[Name Surname]],Manpower!$C$4:$C$1048576,Manpower!$B$4:$B$1048576,"")</f>
        <v>Encogroup</v>
      </c>
      <c r="E1970" s="43" t="s">
        <v>206</v>
      </c>
      <c r="F1970" s="12">
        <f>_xlfn.XLOOKUP(Table134526_79101120212223242526[[#This Row],[Name Surname]],Manpower!C:C,Manpower!D:D,)</f>
        <v>140844848</v>
      </c>
      <c r="G1970" s="48" t="str">
        <f>_xlfn.XLOOKUP(Table134526_79101120212223242526[[#This Row],[Name Surname]],Manpower!$C$4:$C$1048576,Manpower!$F$4:$F$1048576,"")</f>
        <v>Assistant/Helper</v>
      </c>
      <c r="H1970" s="48" t="str">
        <f>_xlfn.XLOOKUP(Table134526_79101120212223242526[[#This Row],[Name Surname]],Manpower!$C$4:$C$1048576,Manpower!$H$4:$H$1048576,"")</f>
        <v>Manpower</v>
      </c>
      <c r="I1970" s="48" t="str">
        <f>_xlfn.XLOOKUP(Table134526_79101120212223242526[[#This Row],[Name Surname]],Manpower!$C$4:$C$1048576,Manpower!$H$4:$H$1048576,"")</f>
        <v>Manpower</v>
      </c>
      <c r="J1970" s="43" t="s">
        <v>143</v>
      </c>
      <c r="K1970" s="43" t="s">
        <v>26</v>
      </c>
      <c r="L1970" s="43" t="s">
        <v>144</v>
      </c>
      <c r="M1970" s="43" t="s">
        <v>24</v>
      </c>
      <c r="N1970" s="44">
        <v>10</v>
      </c>
      <c r="O1970" s="43" t="s">
        <v>40</v>
      </c>
      <c r="P1970" s="43" t="s">
        <v>42</v>
      </c>
      <c r="Q1970" s="43" t="s">
        <v>42</v>
      </c>
      <c r="R1970" s="43" t="s">
        <v>328</v>
      </c>
      <c r="S1970" s="43"/>
    </row>
    <row r="1971" spans="1:19" ht="14.4" hidden="1">
      <c r="A1971" s="33">
        <f>IF(C1971="","",MAX($A$1:A1970)+1)</f>
        <v>1855</v>
      </c>
      <c r="B1971" s="27" t="s">
        <v>141</v>
      </c>
      <c r="C1971" s="23">
        <v>46097</v>
      </c>
      <c r="D1971" s="28" t="str">
        <f>_xlfn.XLOOKUP(Table134526_79101120212223242526[[#This Row],[Name Surname]],Manpower!$C$4:$C$1048576,Manpower!$B$4:$B$1048576,"")</f>
        <v>Encogroup</v>
      </c>
      <c r="E1971" s="21" t="s">
        <v>207</v>
      </c>
      <c r="F1971" s="12">
        <f>_xlfn.XLOOKUP(Table134526_79101120212223242526[[#This Row],[Name Surname]],Manpower!C:C,Manpower!D:D,)</f>
        <v>141359216</v>
      </c>
      <c r="G1971" s="28" t="str">
        <f>_xlfn.XLOOKUP(Table134526_79101120212223242526[[#This Row],[Name Surname]],Manpower!$C$4:$C$1048576,Manpower!$F$4:$F$1048576,"")</f>
        <v>Electrician</v>
      </c>
      <c r="H1971" s="28" t="str">
        <f>_xlfn.XLOOKUP(Table134526_79101120212223242526[[#This Row],[Name Surname]],Manpower!$C$4:$C$1048576,Manpower!$H$4:$H$1048576,"")</f>
        <v>Manpower</v>
      </c>
      <c r="I1971" s="28" t="str">
        <f>_xlfn.XLOOKUP(Table134526_79101120212223242526[[#This Row],[Name Surname]],Manpower!$C$4:$C$1048576,Manpower!$H$4:$H$1048576,"")</f>
        <v>Manpower</v>
      </c>
      <c r="J1971" s="21" t="s">
        <v>158</v>
      </c>
      <c r="K1971" s="21" t="s">
        <v>26</v>
      </c>
      <c r="L1971" s="21" t="s">
        <v>26</v>
      </c>
      <c r="M1971" s="21" t="s">
        <v>24</v>
      </c>
      <c r="N1971" s="29">
        <v>10</v>
      </c>
      <c r="O1971" s="21" t="s">
        <v>159</v>
      </c>
      <c r="P1971" s="21" t="s">
        <v>160</v>
      </c>
      <c r="Q1971" s="21" t="s">
        <v>160</v>
      </c>
      <c r="R1971" s="21" t="s">
        <v>161</v>
      </c>
    </row>
    <row r="1972" spans="1:19" s="45" customFormat="1" ht="14.4" hidden="1">
      <c r="A1972" s="25">
        <f>IF(C1972="","",MAX($A$1:A1971)+1)</f>
        <v>1856</v>
      </c>
      <c r="B1972" s="25" t="s">
        <v>141</v>
      </c>
      <c r="C1972" s="41">
        <v>46097</v>
      </c>
      <c r="D1972" s="48" t="str">
        <f>_xlfn.XLOOKUP(Table134526_79101120212223242526[[#This Row],[Name Surname]],Manpower!$C$4:$C$1048576,Manpower!$B$4:$B$1048576,"")</f>
        <v>Encogroup</v>
      </c>
      <c r="E1972" s="43" t="s">
        <v>208</v>
      </c>
      <c r="F1972" s="12">
        <f>_xlfn.XLOOKUP(Table134526_79101120212223242526[[#This Row],[Name Surname]],Manpower!C:C,Manpower!D:D,)</f>
        <v>140683399</v>
      </c>
      <c r="G1972" s="48" t="str">
        <f>_xlfn.XLOOKUP(Table134526_79101120212223242526[[#This Row],[Name Surname]],Manpower!$C$4:$C$1048576,Manpower!$F$4:$F$1048576,"")</f>
        <v>Rigger</v>
      </c>
      <c r="H1972" s="48" t="str">
        <f>_xlfn.XLOOKUP(Table134526_79101120212223242526[[#This Row],[Name Surname]],Manpower!$C$4:$C$1048576,Manpower!$H$4:$H$1048576,"")</f>
        <v>Manpower</v>
      </c>
      <c r="I1972" s="48" t="str">
        <f>_xlfn.XLOOKUP(Table134526_79101120212223242526[[#This Row],[Name Surname]],Manpower!$C$4:$C$1048576,Manpower!$H$4:$H$1048576,"")</f>
        <v>Manpower</v>
      </c>
      <c r="J1972" s="43" t="s">
        <v>143</v>
      </c>
      <c r="K1972" s="43" t="s">
        <v>26</v>
      </c>
      <c r="L1972" s="43" t="s">
        <v>144</v>
      </c>
      <c r="M1972" s="43" t="s">
        <v>24</v>
      </c>
      <c r="N1972" s="44">
        <v>10</v>
      </c>
      <c r="O1972" s="43" t="s">
        <v>40</v>
      </c>
      <c r="P1972" s="43" t="s">
        <v>42</v>
      </c>
      <c r="Q1972" s="43" t="s">
        <v>42</v>
      </c>
      <c r="R1972" s="43" t="s">
        <v>328</v>
      </c>
      <c r="S1972" s="43"/>
    </row>
    <row r="1973" spans="1:19" ht="14.4">
      <c r="A1973" s="33">
        <f>IF(C1973="","",MAX($A$1:A1972)+1)</f>
        <v>1857</v>
      </c>
      <c r="B1973" s="27" t="s">
        <v>141</v>
      </c>
      <c r="C1973" s="23">
        <v>46097</v>
      </c>
      <c r="D1973" s="28" t="str">
        <f>_xlfn.XLOOKUP(Table134526_79101120212223242526[[#This Row],[Name Surname]],Manpower!$C$4:$C$1048576,Manpower!$B$4:$B$1048576,"")</f>
        <v>Bright Light</v>
      </c>
      <c r="E1973" s="21" t="s">
        <v>210</v>
      </c>
      <c r="F1973" s="12" t="e">
        <f>_xlfn.XLOOKUP(Table134526_79101120212223242526[[#This Row],[Name Surname]],Manpower!C:C,Manpower!D:D,)</f>
        <v>#N/A</v>
      </c>
      <c r="G1973" s="28" t="str">
        <f>_xlfn.XLOOKUP(Table134526_79101120212223242526[[#This Row],[Name Surname]],Manpower!$C$4:$C$1048576,Manpower!$F$4:$F$1048576,"")</f>
        <v>Trailer</v>
      </c>
      <c r="H1973" s="28" t="str">
        <f>_xlfn.XLOOKUP(Table134526_79101120212223242526[[#This Row],[Name Surname]],Manpower!$C$4:$C$1048576,Manpower!$H$4:$H$1048576,"")</f>
        <v>Equipment</v>
      </c>
      <c r="I1973" s="28" t="str">
        <f>_xlfn.XLOOKUP(Table134526_79101120212223242526[[#This Row],[Name Surname]],Manpower!$C$4:$C$1048576,Manpower!$H$4:$H$1048576,"")</f>
        <v>Equipment</v>
      </c>
      <c r="J1973" s="21" t="s">
        <v>143</v>
      </c>
      <c r="K1973" s="21" t="s">
        <v>26</v>
      </c>
      <c r="L1973" s="21" t="s">
        <v>144</v>
      </c>
      <c r="M1973" s="21" t="s">
        <v>24</v>
      </c>
      <c r="N1973" s="29">
        <v>8</v>
      </c>
      <c r="O1973" s="21" t="s">
        <v>40</v>
      </c>
      <c r="P1973" s="21" t="s">
        <v>42</v>
      </c>
      <c r="Q1973" s="21" t="s">
        <v>42</v>
      </c>
      <c r="R1973" s="21" t="s">
        <v>26</v>
      </c>
    </row>
    <row r="1974" spans="1:19" ht="14.4" hidden="1">
      <c r="A1974" s="33">
        <f>IF(C1974="","",MAX($A$1:A1973)+1)</f>
        <v>1858</v>
      </c>
      <c r="B1974" s="27" t="s">
        <v>141</v>
      </c>
      <c r="C1974" s="23">
        <v>46097</v>
      </c>
      <c r="D1974" s="28" t="str">
        <f>_xlfn.XLOOKUP(Table134526_79101120212223242526[[#This Row],[Name Surname]],Manpower!$C$4:$C$1048576,Manpower!$B$4:$B$1048576,"")</f>
        <v>Encogroup</v>
      </c>
      <c r="E1974" s="21" t="s">
        <v>211</v>
      </c>
      <c r="F1974" s="12">
        <f>_xlfn.XLOOKUP(Table134526_79101120212223242526[[#This Row],[Name Surname]],Manpower!C:C,Manpower!D:D,)</f>
        <v>140477664</v>
      </c>
      <c r="G1974" s="28" t="str">
        <f>_xlfn.XLOOKUP(Table134526_79101120212223242526[[#This Row],[Name Surname]],Manpower!$C$4:$C$1048576,Manpower!$F$4:$F$1048576,"")</f>
        <v>Junior HSE Officer</v>
      </c>
      <c r="H1974" s="28" t="str">
        <f>_xlfn.XLOOKUP(Table134526_79101120212223242526[[#This Row],[Name Surname]],Manpower!$C$4:$C$1048576,Manpower!$H$4:$H$1048576,"")</f>
        <v>Manpower</v>
      </c>
      <c r="I1974" s="28" t="str">
        <f>_xlfn.XLOOKUP(Table134526_79101120212223242526[[#This Row],[Name Surname]],Manpower!$C$4:$C$1048576,Manpower!$H$4:$H$1048576,"")</f>
        <v>Manpower</v>
      </c>
      <c r="J1974" s="21" t="s">
        <v>143</v>
      </c>
      <c r="K1974" s="21" t="s">
        <v>26</v>
      </c>
      <c r="L1974" s="21" t="s">
        <v>144</v>
      </c>
      <c r="M1974" s="21" t="s">
        <v>24</v>
      </c>
      <c r="N1974" s="29">
        <v>10</v>
      </c>
      <c r="O1974" s="21" t="s">
        <v>40</v>
      </c>
      <c r="P1974" s="21" t="s">
        <v>42</v>
      </c>
      <c r="Q1974" s="21" t="s">
        <v>42</v>
      </c>
      <c r="R1974" s="21" t="s">
        <v>328</v>
      </c>
    </row>
    <row r="1975" spans="1:19" s="45" customFormat="1" ht="14.4" hidden="1">
      <c r="A1975" s="25">
        <f>IF(C1975="","",MAX($A$1:A1974)+1)</f>
        <v>1859</v>
      </c>
      <c r="B1975" s="25" t="s">
        <v>141</v>
      </c>
      <c r="C1975" s="41">
        <v>46097</v>
      </c>
      <c r="D1975" s="48" t="str">
        <f>_xlfn.XLOOKUP(Table134526_79101120212223242526[[#This Row],[Name Surname]],Manpower!$C$4:$C$1048576,Manpower!$B$4:$B$1048576,"")</f>
        <v>Encogroup</v>
      </c>
      <c r="E1975" s="43" t="s">
        <v>213</v>
      </c>
      <c r="F1975" s="12">
        <f>_xlfn.XLOOKUP(Table134526_79101120212223242526[[#This Row],[Name Surname]],Manpower!C:C,Manpower!D:D,)</f>
        <v>140846698</v>
      </c>
      <c r="G1975" s="48" t="str">
        <f>_xlfn.XLOOKUP(Table134526_79101120212223242526[[#This Row],[Name Surname]],Manpower!$C$4:$C$1048576,Manpower!$F$4:$F$1048576,"")</f>
        <v>Assistant/Helper</v>
      </c>
      <c r="H1975" s="48" t="str">
        <f>_xlfn.XLOOKUP(Table134526_79101120212223242526[[#This Row],[Name Surname]],Manpower!$C$4:$C$1048576,Manpower!$H$4:$H$1048576,"")</f>
        <v>Manpower</v>
      </c>
      <c r="I1975" s="48" t="str">
        <f>_xlfn.XLOOKUP(Table134526_79101120212223242526[[#This Row],[Name Surname]],Manpower!$C$4:$C$1048576,Manpower!$H$4:$H$1048576,"")</f>
        <v>Manpower</v>
      </c>
      <c r="J1975" s="43" t="s">
        <v>143</v>
      </c>
      <c r="K1975" s="43" t="s">
        <v>26</v>
      </c>
      <c r="L1975" s="43" t="s">
        <v>144</v>
      </c>
      <c r="M1975" s="43" t="s">
        <v>24</v>
      </c>
      <c r="N1975" s="44">
        <v>10</v>
      </c>
      <c r="O1975" s="43" t="s">
        <v>40</v>
      </c>
      <c r="P1975" s="43" t="s">
        <v>42</v>
      </c>
      <c r="Q1975" s="43" t="s">
        <v>42</v>
      </c>
      <c r="R1975" s="43" t="s">
        <v>328</v>
      </c>
      <c r="S1975" s="43"/>
    </row>
    <row r="1976" spans="1:19" s="45" customFormat="1" ht="14.4" hidden="1">
      <c r="A1976" s="25">
        <f>IF(C1976="","",MAX($A$1:A1975)+1)</f>
        <v>1860</v>
      </c>
      <c r="B1976" s="25" t="s">
        <v>141</v>
      </c>
      <c r="C1976" s="41">
        <v>46097</v>
      </c>
      <c r="D1976" s="48" t="str">
        <f>_xlfn.XLOOKUP(Table134526_79101120212223242526[[#This Row],[Name Surname]],Manpower!$C$4:$C$1048576,Manpower!$B$4:$B$1048576,"")</f>
        <v>Rial Al Khaleej</v>
      </c>
      <c r="E1976" s="43" t="s">
        <v>38</v>
      </c>
      <c r="F1976" s="12">
        <f>_xlfn.XLOOKUP(Table134526_79101120212223242526[[#This Row],[Name Surname]],Manpower!C:C,Manpower!D:D,)</f>
        <v>98845403</v>
      </c>
      <c r="G1976" s="48" t="str">
        <f>_xlfn.XLOOKUP(Table134526_79101120212223242526[[#This Row],[Name Surname]],Manpower!$C$4:$C$1048576,Manpower!$F$4:$F$1048576,"")</f>
        <v>Crane Operator-100T Zoomlion Telescopic</v>
      </c>
      <c r="H1976" s="48" t="str">
        <f>_xlfn.XLOOKUP(Table134526_79101120212223242526[[#This Row],[Name Surname]],Manpower!$C$4:$C$1048576,Manpower!$H$4:$H$1048576,"")</f>
        <v>Manpower</v>
      </c>
      <c r="I1976" s="48" t="str">
        <f>_xlfn.XLOOKUP(Table134526_79101120212223242526[[#This Row],[Name Surname]],Manpower!$C$4:$C$1048576,Manpower!$H$4:$H$1048576,"")</f>
        <v>Manpower</v>
      </c>
      <c r="J1976" s="43" t="s">
        <v>143</v>
      </c>
      <c r="K1976" s="43" t="s">
        <v>26</v>
      </c>
      <c r="L1976" s="43" t="s">
        <v>144</v>
      </c>
      <c r="M1976" s="43" t="s">
        <v>24</v>
      </c>
      <c r="N1976" s="44">
        <v>8</v>
      </c>
      <c r="O1976" s="43" t="s">
        <v>40</v>
      </c>
      <c r="P1976" s="43" t="s">
        <v>41</v>
      </c>
      <c r="Q1976" s="43" t="s">
        <v>42</v>
      </c>
      <c r="R1976" s="43" t="s">
        <v>328</v>
      </c>
      <c r="S1976" s="43"/>
    </row>
    <row r="1977" spans="1:19" s="45" customFormat="1" ht="14.4" hidden="1">
      <c r="A1977" s="25">
        <f>IF(C1977="","",MAX($A$1:A1976)+1)</f>
        <v>1861</v>
      </c>
      <c r="B1977" s="25" t="s">
        <v>141</v>
      </c>
      <c r="C1977" s="41">
        <v>46097</v>
      </c>
      <c r="D1977" s="48" t="str">
        <f>_xlfn.XLOOKUP(Table134526_79101120212223242526[[#This Row],[Name Surname]],Manpower!$C$4:$C$1048576,Manpower!$B$4:$B$1048576,"")</f>
        <v>Encogroup</v>
      </c>
      <c r="E1977" s="43" t="s">
        <v>217</v>
      </c>
      <c r="F1977" s="12">
        <f>_xlfn.XLOOKUP(Table134526_79101120212223242526[[#This Row],[Name Surname]],Manpower!C:C,Manpower!D:D,)</f>
        <v>140742177</v>
      </c>
      <c r="G1977" s="48" t="str">
        <f>_xlfn.XLOOKUP(Table134526_79101120212223242526[[#This Row],[Name Surname]],Manpower!$C$4:$C$1048576,Manpower!$F$4:$F$1048576,"")</f>
        <v>Grinder</v>
      </c>
      <c r="H1977" s="48" t="str">
        <f>_xlfn.XLOOKUP(Table134526_79101120212223242526[[#This Row],[Name Surname]],Manpower!$C$4:$C$1048576,Manpower!$H$4:$H$1048576,"")</f>
        <v>Manpower</v>
      </c>
      <c r="I1977" s="48" t="str">
        <f>_xlfn.XLOOKUP(Table134526_79101120212223242526[[#This Row],[Name Surname]],Manpower!$C$4:$C$1048576,Manpower!$H$4:$H$1048576,"")</f>
        <v>Manpower</v>
      </c>
      <c r="J1977" s="43" t="s">
        <v>143</v>
      </c>
      <c r="K1977" s="43" t="s">
        <v>26</v>
      </c>
      <c r="L1977" s="43" t="s">
        <v>144</v>
      </c>
      <c r="M1977" s="43" t="s">
        <v>24</v>
      </c>
      <c r="N1977" s="44">
        <v>10</v>
      </c>
      <c r="O1977" s="43" t="s">
        <v>40</v>
      </c>
      <c r="P1977" s="43" t="s">
        <v>329</v>
      </c>
      <c r="Q1977" s="43" t="s">
        <v>128</v>
      </c>
      <c r="R1977" s="43" t="s">
        <v>328</v>
      </c>
      <c r="S1977" s="43"/>
    </row>
    <row r="1978" spans="1:19" s="45" customFormat="1" ht="14.4" hidden="1">
      <c r="A1978" s="25">
        <f>IF(C1978="","",MAX($A$1:A1977)+1)</f>
        <v>1862</v>
      </c>
      <c r="B1978" s="25" t="s">
        <v>141</v>
      </c>
      <c r="C1978" s="41">
        <v>46097</v>
      </c>
      <c r="D1978" s="48" t="str">
        <f>_xlfn.XLOOKUP(Table134526_79101120212223242526[[#This Row],[Name Surname]],Manpower!$C$4:$C$1048576,Manpower!$B$4:$B$1048576,"")</f>
        <v>Encogroup</v>
      </c>
      <c r="E1978" s="43" t="s">
        <v>188</v>
      </c>
      <c r="F1978" s="12">
        <f>_xlfn.XLOOKUP(Table134526_79101120212223242526[[#This Row],[Name Surname]],Manpower!C:C,Manpower!D:D,)</f>
        <v>140696975</v>
      </c>
      <c r="G1978" s="48" t="str">
        <f>_xlfn.XLOOKUP(Table134526_79101120212223242526[[#This Row],[Name Surname]],Manpower!$C$4:$C$1048576,Manpower!$F$4:$F$1048576,"")</f>
        <v>Assistant/Helper</v>
      </c>
      <c r="H1978" s="48" t="str">
        <f>_xlfn.XLOOKUP(Table134526_79101120212223242526[[#This Row],[Name Surname]],Manpower!$C$4:$C$1048576,Manpower!$H$4:$H$1048576,"")</f>
        <v>Manpower</v>
      </c>
      <c r="I1978" s="48" t="str">
        <f>_xlfn.XLOOKUP(Table134526_79101120212223242526[[#This Row],[Name Surname]],Manpower!$C$4:$C$1048576,Manpower!$H$4:$H$1048576,"")</f>
        <v>Manpower</v>
      </c>
      <c r="J1978" s="43" t="s">
        <v>158</v>
      </c>
      <c r="K1978" s="43" t="s">
        <v>26</v>
      </c>
      <c r="L1978" s="43" t="s">
        <v>26</v>
      </c>
      <c r="M1978" s="43" t="s">
        <v>24</v>
      </c>
      <c r="N1978" s="44">
        <v>10</v>
      </c>
      <c r="O1978" s="43" t="s">
        <v>159</v>
      </c>
      <c r="P1978" s="43" t="s">
        <v>160</v>
      </c>
      <c r="Q1978" s="43" t="s">
        <v>160</v>
      </c>
      <c r="R1978" s="43" t="s">
        <v>161</v>
      </c>
      <c r="S1978" s="43" t="s">
        <v>230</v>
      </c>
    </row>
    <row r="1979" spans="1:19" s="45" customFormat="1" ht="14.4" hidden="1">
      <c r="A1979" s="25">
        <f>IF(C1979="","",MAX($A$1:A1978)+1)</f>
        <v>1863</v>
      </c>
      <c r="B1979" s="25" t="s">
        <v>141</v>
      </c>
      <c r="C1979" s="41">
        <v>46097</v>
      </c>
      <c r="D1979" s="48" t="str">
        <f>_xlfn.XLOOKUP(Table134526_79101120212223242526[[#This Row],[Name Surname]],Manpower!$C$4:$C$1048576,Manpower!$B$4:$B$1048576,"")</f>
        <v>Encogroup</v>
      </c>
      <c r="E1979" s="43" t="s">
        <v>204</v>
      </c>
      <c r="F1979" s="12">
        <f>_xlfn.XLOOKUP(Table134526_79101120212223242526[[#This Row],[Name Surname]],Manpower!C:C,Manpower!D:D,)</f>
        <v>140844572</v>
      </c>
      <c r="G1979" s="48" t="str">
        <f>_xlfn.XLOOKUP(Table134526_79101120212223242526[[#This Row],[Name Surname]],Manpower!$C$4:$C$1048576,Manpower!$F$4:$F$1048576,"")</f>
        <v>Assistant/Helper</v>
      </c>
      <c r="H1979" s="48" t="str">
        <f>_xlfn.XLOOKUP(Table134526_79101120212223242526[[#This Row],[Name Surname]],Manpower!$C$4:$C$1048576,Manpower!$H$4:$H$1048576,"")</f>
        <v>Manpower</v>
      </c>
      <c r="I1979" s="48" t="str">
        <f>_xlfn.XLOOKUP(Table134526_79101120212223242526[[#This Row],[Name Surname]],Manpower!$C$4:$C$1048576,Manpower!$H$4:$H$1048576,"")</f>
        <v>Manpower</v>
      </c>
      <c r="J1979" s="43" t="s">
        <v>143</v>
      </c>
      <c r="K1979" s="43" t="s">
        <v>26</v>
      </c>
      <c r="L1979" s="43" t="s">
        <v>170</v>
      </c>
      <c r="M1979" s="43" t="s">
        <v>24</v>
      </c>
      <c r="N1979" s="44">
        <v>10</v>
      </c>
      <c r="O1979" s="43" t="s">
        <v>40</v>
      </c>
      <c r="P1979" s="43" t="s">
        <v>128</v>
      </c>
      <c r="Q1979" s="43" t="s">
        <v>128</v>
      </c>
      <c r="R1979" s="43" t="s">
        <v>171</v>
      </c>
      <c r="S1979" s="43"/>
    </row>
    <row r="1980" spans="1:19" ht="14.4">
      <c r="A1980" s="33">
        <f>IF(C1980="","",MAX($A$1:A1979)+1)</f>
        <v>1864</v>
      </c>
      <c r="B1980" s="27" t="s">
        <v>141</v>
      </c>
      <c r="C1980" s="23">
        <v>46097</v>
      </c>
      <c r="D1980" s="28" t="str">
        <f>_xlfn.XLOOKUP(Table134526_79101120212223242526[[#This Row],[Name Surname]],Manpower!$C$4:$C$1048576,Manpower!$B$4:$B$1048576,"")</f>
        <v>Encogroup</v>
      </c>
      <c r="E1980" s="23" t="s">
        <v>219</v>
      </c>
      <c r="F1980" s="12" t="e">
        <f>_xlfn.XLOOKUP(Table134526_79101120212223242526[[#This Row],[Name Surname]],Manpower!C:C,Manpower!D:D,)</f>
        <v>#N/A</v>
      </c>
      <c r="G1980" s="28" t="str">
        <f>_xlfn.XLOOKUP(Table134526_79101120212223242526[[#This Row],[Name Surname]],Manpower!$C$4:$C$1048576,Manpower!$F$4:$F$1048576,"")</f>
        <v>TOWER LIGHT</v>
      </c>
      <c r="H1980" s="28" t="str">
        <f>_xlfn.XLOOKUP(Table134526_79101120212223242526[[#This Row],[Name Surname]],Manpower!$C$4:$C$1048576,Manpower!$H$4:$H$1048576,"")</f>
        <v>Equipment</v>
      </c>
      <c r="I1980" s="28" t="str">
        <f>_xlfn.XLOOKUP(Table134526_79101120212223242526[[#This Row],[Name Surname]],Manpower!$C$4:$C$1048576,Manpower!$H$4:$H$1048576,"")</f>
        <v>Equipment</v>
      </c>
      <c r="J1980" s="21" t="s">
        <v>143</v>
      </c>
      <c r="K1980" s="21" t="s">
        <v>26</v>
      </c>
      <c r="L1980" s="21" t="s">
        <v>144</v>
      </c>
      <c r="M1980" s="21" t="s">
        <v>55</v>
      </c>
      <c r="N1980" s="29">
        <v>10</v>
      </c>
      <c r="R1980" s="21" t="s">
        <v>56</v>
      </c>
    </row>
    <row r="1981" spans="1:19" ht="14.4">
      <c r="A1981" s="33">
        <f>IF(C1981="","",MAX($A$1:A1980)+1)</f>
        <v>1865</v>
      </c>
      <c r="B1981" s="27" t="s">
        <v>141</v>
      </c>
      <c r="C1981" s="23">
        <v>46097</v>
      </c>
      <c r="D1981" s="28" t="str">
        <f>_xlfn.XLOOKUP(Table134526_79101120212223242526[[#This Row],[Name Surname]],Manpower!$C$4:$C$1048576,Manpower!$B$4:$B$1048576,"")</f>
        <v>Encogroup</v>
      </c>
      <c r="E1981" s="23" t="s">
        <v>220</v>
      </c>
      <c r="F1981" s="12" t="e">
        <f>_xlfn.XLOOKUP(Table134526_79101120212223242526[[#This Row],[Name Surname]],Manpower!C:C,Manpower!D:D,)</f>
        <v>#N/A</v>
      </c>
      <c r="G1981" s="28" t="str">
        <f>_xlfn.XLOOKUP(Table134526_79101120212223242526[[#This Row],[Name Surname]],Manpower!$C$4:$C$1048576,Manpower!$F$4:$F$1048576,"")</f>
        <v>TOWER LIGHT</v>
      </c>
      <c r="H1981" s="28" t="str">
        <f>_xlfn.XLOOKUP(Table134526_79101120212223242526[[#This Row],[Name Surname]],Manpower!$C$4:$C$1048576,Manpower!$H$4:$H$1048576,"")</f>
        <v>Equipment</v>
      </c>
      <c r="I1981" s="28" t="str">
        <f>_xlfn.XLOOKUP(Table134526_79101120212223242526[[#This Row],[Name Surname]],Manpower!$C$4:$C$1048576,Manpower!$H$4:$H$1048576,"")</f>
        <v>Equipment</v>
      </c>
      <c r="J1981" s="21" t="s">
        <v>143</v>
      </c>
      <c r="K1981" s="21" t="s">
        <v>26</v>
      </c>
      <c r="L1981" s="21" t="s">
        <v>144</v>
      </c>
      <c r="M1981" s="21" t="s">
        <v>55</v>
      </c>
      <c r="N1981" s="29">
        <v>10</v>
      </c>
      <c r="R1981" s="21" t="s">
        <v>56</v>
      </c>
    </row>
    <row r="1982" spans="1:19" ht="14.4" hidden="1">
      <c r="A1982" s="33">
        <f>IF(C1982="","",MAX($A$1:A1981)+1)</f>
        <v>1866</v>
      </c>
      <c r="B1982" s="27" t="s">
        <v>141</v>
      </c>
      <c r="C1982" s="23">
        <v>46097</v>
      </c>
      <c r="D1982" s="28" t="str">
        <f>_xlfn.XLOOKUP(Table134526_79101120212223242526[[#This Row],[Name Surname]],Manpower!$C$4:$C$1048576,Manpower!$B$4:$B$1048576,"")</f>
        <v>Encogroup</v>
      </c>
      <c r="E1982" s="21" t="s">
        <v>168</v>
      </c>
      <c r="F1982" s="12">
        <f>_xlfn.XLOOKUP(Table134526_79101120212223242526[[#This Row],[Name Surname]],Manpower!C:C,Manpower!D:D,)</f>
        <v>137114773</v>
      </c>
      <c r="G1982" s="28" t="str">
        <f>_xlfn.XLOOKUP(Table134526_79101120212223242526[[#This Row],[Name Surname]],Manpower!$C$4:$C$1048576,Manpower!$F$4:$F$1048576,"")</f>
        <v>Rigger</v>
      </c>
      <c r="H1982" s="28" t="str">
        <f>_xlfn.XLOOKUP(Table134526_79101120212223242526[[#This Row],[Name Surname]],Manpower!$C$4:$C$1048576,Manpower!$H$4:$H$1048576,"")</f>
        <v>Manpower</v>
      </c>
      <c r="I1982" s="28" t="str">
        <f>_xlfn.XLOOKUP(Table134526_79101120212223242526[[#This Row],[Name Surname]],Manpower!$C$4:$C$1048576,Manpower!$H$4:$H$1048576,"")</f>
        <v>Manpower</v>
      </c>
      <c r="J1982" s="21" t="s">
        <v>143</v>
      </c>
      <c r="K1982" s="21" t="s">
        <v>26</v>
      </c>
      <c r="L1982" s="21" t="s">
        <v>144</v>
      </c>
      <c r="M1982" s="21" t="s">
        <v>24</v>
      </c>
      <c r="N1982" s="29">
        <v>8</v>
      </c>
      <c r="O1982" s="21" t="s">
        <v>40</v>
      </c>
      <c r="P1982" s="21" t="s">
        <v>42</v>
      </c>
      <c r="Q1982" s="21" t="s">
        <v>42</v>
      </c>
      <c r="R1982" s="21" t="s">
        <v>328</v>
      </c>
    </row>
    <row r="1983" spans="1:19" s="45" customFormat="1" ht="14.4" hidden="1">
      <c r="A1983" s="25">
        <f>IF(C1983="","",MAX($A$1:A1982)+1)</f>
        <v>1867</v>
      </c>
      <c r="B1983" s="25" t="s">
        <v>141</v>
      </c>
      <c r="C1983" s="41">
        <v>46097</v>
      </c>
      <c r="D1983" s="48" t="str">
        <f>_xlfn.XLOOKUP(Table134526_79101120212223242526[[#This Row],[Name Surname]],Manpower!$C$4:$C$1048576,Manpower!$B$4:$B$1048576,"")</f>
        <v>Encogroup</v>
      </c>
      <c r="E1983" s="43" t="s">
        <v>222</v>
      </c>
      <c r="F1983" s="12">
        <f>_xlfn.XLOOKUP(Table134526_79101120212223242526[[#This Row],[Name Surname]],Manpower!C:C,Manpower!D:D,)</f>
        <v>122082863</v>
      </c>
      <c r="G1983" s="48" t="str">
        <f>_xlfn.XLOOKUP(Table134526_79101120212223242526[[#This Row],[Name Surname]],Manpower!$C$4:$C$1048576,Manpower!$F$4:$F$1048576,"")</f>
        <v>Grinder</v>
      </c>
      <c r="H1983" s="48" t="str">
        <f>_xlfn.XLOOKUP(Table134526_79101120212223242526[[#This Row],[Name Surname]],Manpower!$C$4:$C$1048576,Manpower!$H$4:$H$1048576,"")</f>
        <v>Manpower</v>
      </c>
      <c r="I1983" s="48" t="str">
        <f>_xlfn.XLOOKUP(Table134526_79101120212223242526[[#This Row],[Name Surname]],Manpower!$C$4:$C$1048576,Manpower!$H$4:$H$1048576,"")</f>
        <v>Manpower</v>
      </c>
      <c r="J1983" s="43" t="s">
        <v>143</v>
      </c>
      <c r="K1983" s="43" t="s">
        <v>26</v>
      </c>
      <c r="L1983" s="43" t="s">
        <v>144</v>
      </c>
      <c r="M1983" s="43" t="s">
        <v>24</v>
      </c>
      <c r="N1983" s="44">
        <v>10</v>
      </c>
      <c r="O1983" s="43" t="s">
        <v>40</v>
      </c>
      <c r="P1983" s="43" t="s">
        <v>42</v>
      </c>
      <c r="Q1983" s="43" t="s">
        <v>42</v>
      </c>
      <c r="R1983" s="43" t="s">
        <v>328</v>
      </c>
      <c r="S1983" s="43" t="s">
        <v>245</v>
      </c>
    </row>
    <row r="1984" spans="1:19" ht="14.4" hidden="1">
      <c r="A1984" s="33">
        <f>IF(C1984="","",MAX($A$1:A1983)+1)</f>
        <v>1868</v>
      </c>
      <c r="B1984" s="27" t="s">
        <v>141</v>
      </c>
      <c r="C1984" s="23">
        <v>46097</v>
      </c>
      <c r="D1984" s="28" t="str">
        <f>_xlfn.XLOOKUP(Table134526_79101120212223242526[[#This Row],[Name Surname]],Manpower!$C$4:$C$1048576,Manpower!$B$4:$B$1048576,"")</f>
        <v>Encogroup</v>
      </c>
      <c r="E1984" s="21" t="s">
        <v>223</v>
      </c>
      <c r="F1984" s="12">
        <f>_xlfn.XLOOKUP(Table134526_79101120212223242526[[#This Row],[Name Surname]],Manpower!C:C,Manpower!D:D,)</f>
        <v>140696989</v>
      </c>
      <c r="G1984" s="28" t="str">
        <f>_xlfn.XLOOKUP(Table134526_79101120212223242526[[#This Row],[Name Surname]],Manpower!$C$4:$C$1048576,Manpower!$F$4:$F$1048576,"")</f>
        <v>Assistant/Helper</v>
      </c>
      <c r="H1984" s="28" t="str">
        <f>_xlfn.XLOOKUP(Table134526_79101120212223242526[[#This Row],[Name Surname]],Manpower!$C$4:$C$1048576,Manpower!$H$4:$H$1048576,"")</f>
        <v>Manpower</v>
      </c>
      <c r="I1984" s="28" t="str">
        <f>_xlfn.XLOOKUP(Table134526_79101120212223242526[[#This Row],[Name Surname]],Manpower!$C$4:$C$1048576,Manpower!$H$4:$H$1048576,"")</f>
        <v>Manpower</v>
      </c>
      <c r="J1984" s="21" t="s">
        <v>158</v>
      </c>
      <c r="K1984" s="21" t="s">
        <v>26</v>
      </c>
      <c r="L1984" s="21" t="s">
        <v>26</v>
      </c>
      <c r="M1984" s="21" t="s">
        <v>24</v>
      </c>
      <c r="N1984" s="29">
        <v>10</v>
      </c>
      <c r="O1984" s="21" t="s">
        <v>159</v>
      </c>
      <c r="P1984" s="21" t="s">
        <v>160</v>
      </c>
      <c r="Q1984" s="21" t="s">
        <v>160</v>
      </c>
      <c r="R1984" s="21" t="s">
        <v>161</v>
      </c>
    </row>
    <row r="1985" spans="1:19" ht="14.4" hidden="1">
      <c r="A1985" s="33">
        <f>IF(C1985="","",MAX($A$1:A1984)+1)</f>
        <v>1869</v>
      </c>
      <c r="B1985" s="27" t="s">
        <v>141</v>
      </c>
      <c r="C1985" s="23">
        <v>46097</v>
      </c>
      <c r="D1985" s="28" t="str">
        <f>_xlfn.XLOOKUP(Table134526_79101120212223242526[[#This Row],[Name Surname]],Manpower!$C$4:$C$1048576,Manpower!$B$4:$B$1048576,"")</f>
        <v>Encogroup</v>
      </c>
      <c r="E1985" s="21" t="s">
        <v>218</v>
      </c>
      <c r="F1985" s="12">
        <f>_xlfn.XLOOKUP(Table134526_79101120212223242526[[#This Row],[Name Surname]],Manpower!C:C,Manpower!D:D,)</f>
        <v>116853914</v>
      </c>
      <c r="G1985" s="28" t="str">
        <f>_xlfn.XLOOKUP(Table134526_79101120212223242526[[#This Row],[Name Surname]],Manpower!$C$4:$C$1048576,Manpower!$F$4:$F$1048576,"")</f>
        <v>Electrical Supervisor</v>
      </c>
      <c r="H1985" s="28" t="str">
        <f>_xlfn.XLOOKUP(Table134526_79101120212223242526[[#This Row],[Name Surname]],Manpower!$C$4:$C$1048576,Manpower!$H$4:$H$1048576,"")</f>
        <v>Manpower</v>
      </c>
      <c r="I1985" s="28" t="str">
        <f>_xlfn.XLOOKUP(Table134526_79101120212223242526[[#This Row],[Name Surname]],Manpower!$C$4:$C$1048576,Manpower!$H$4:$H$1048576,"")</f>
        <v>Manpower</v>
      </c>
      <c r="J1985" s="21" t="s">
        <v>158</v>
      </c>
      <c r="K1985" s="21" t="s">
        <v>26</v>
      </c>
      <c r="L1985" s="21" t="s">
        <v>26</v>
      </c>
      <c r="M1985" s="21" t="s">
        <v>24</v>
      </c>
      <c r="N1985" s="29">
        <v>10</v>
      </c>
      <c r="O1985" s="21" t="s">
        <v>159</v>
      </c>
      <c r="P1985" s="21" t="s">
        <v>160</v>
      </c>
      <c r="Q1985" s="21" t="s">
        <v>160</v>
      </c>
      <c r="R1985" s="21" t="s">
        <v>161</v>
      </c>
    </row>
    <row r="1986" spans="1:19" s="45" customFormat="1" ht="14.4" hidden="1">
      <c r="A1986" s="25">
        <f>IF(C1986="","",MAX($A$1:A1985)+1)</f>
        <v>1870</v>
      </c>
      <c r="B1986" s="25" t="s">
        <v>141</v>
      </c>
      <c r="C1986" s="41">
        <v>46097</v>
      </c>
      <c r="D1986" s="48" t="str">
        <f>_xlfn.XLOOKUP(Table134526_79101120212223242526[[#This Row],[Name Surname]],Manpower!$C$4:$C$1048576,Manpower!$B$4:$B$1048576,"")</f>
        <v>Encogroup</v>
      </c>
      <c r="E1986" s="43" t="s">
        <v>209</v>
      </c>
      <c r="F1986" s="12">
        <f>_xlfn.XLOOKUP(Table134526_79101120212223242526[[#This Row],[Name Surname]],Manpower!C:C,Manpower!D:D,)</f>
        <v>141365164</v>
      </c>
      <c r="G1986" s="48" t="str">
        <f>_xlfn.XLOOKUP(Table134526_79101120212223242526[[#This Row],[Name Surname]],Manpower!$C$4:$C$1048576,Manpower!$F$4:$F$1048576,"")</f>
        <v>Helper</v>
      </c>
      <c r="H1986" s="48" t="str">
        <f>_xlfn.XLOOKUP(Table134526_79101120212223242526[[#This Row],[Name Surname]],Manpower!$C$4:$C$1048576,Manpower!$H$4:$H$1048576,"")</f>
        <v>Manpower</v>
      </c>
      <c r="I1986" s="48" t="str">
        <f>_xlfn.XLOOKUP(Table134526_79101120212223242526[[#This Row],[Name Surname]],Manpower!$C$4:$C$1048576,Manpower!$H$4:$H$1048576,"")</f>
        <v>Manpower</v>
      </c>
      <c r="J1986" s="43" t="s">
        <v>143</v>
      </c>
      <c r="K1986" s="43" t="s">
        <v>26</v>
      </c>
      <c r="L1986" s="43" t="s">
        <v>170</v>
      </c>
      <c r="M1986" s="43" t="s">
        <v>24</v>
      </c>
      <c r="N1986" s="44">
        <v>10</v>
      </c>
      <c r="O1986" s="43" t="s">
        <v>40</v>
      </c>
      <c r="P1986" s="43" t="s">
        <v>128</v>
      </c>
      <c r="Q1986" s="43" t="s">
        <v>128</v>
      </c>
      <c r="R1986" s="43" t="s">
        <v>171</v>
      </c>
      <c r="S1986" s="43"/>
    </row>
    <row r="1987" spans="1:19" s="45" customFormat="1" ht="14.4" hidden="1">
      <c r="A1987" s="25">
        <f>IF(C1987="","",MAX($A$1:A1986)+1)</f>
        <v>1871</v>
      </c>
      <c r="B1987" s="25" t="s">
        <v>141</v>
      </c>
      <c r="C1987" s="41">
        <v>46097</v>
      </c>
      <c r="D1987" s="48" t="str">
        <f>_xlfn.XLOOKUP(Table134526_79101120212223242526[[#This Row],[Name Surname]],Manpower!$C$4:$C$1048576,Manpower!$B$4:$B$1048576,"")</f>
        <v>Encogroup</v>
      </c>
      <c r="E1987" s="43" t="s">
        <v>264</v>
      </c>
      <c r="F1987" s="12">
        <f>_xlfn.XLOOKUP(Table134526_79101120212223242526[[#This Row],[Name Surname]],Manpower!C:C,Manpower!D:D,)</f>
        <v>141365061</v>
      </c>
      <c r="G1987" s="48" t="str">
        <f>_xlfn.XLOOKUP(Table134526_79101120212223242526[[#This Row],[Name Surname]],Manpower!$C$4:$C$1048576,Manpower!$F$4:$F$1048576,"")</f>
        <v>Helper</v>
      </c>
      <c r="H1987" s="48" t="str">
        <f>_xlfn.XLOOKUP(Table134526_79101120212223242526[[#This Row],[Name Surname]],Manpower!$C$4:$C$1048576,Manpower!$H$4:$H$1048576,"")</f>
        <v>Manpower</v>
      </c>
      <c r="I1987" s="48" t="str">
        <f>_xlfn.XLOOKUP(Table134526_79101120212223242526[[#This Row],[Name Surname]],Manpower!$C$4:$C$1048576,Manpower!$H$4:$H$1048576,"")</f>
        <v>Manpower</v>
      </c>
      <c r="J1987" s="43" t="s">
        <v>143</v>
      </c>
      <c r="K1987" s="43" t="s">
        <v>26</v>
      </c>
      <c r="L1987" s="43" t="s">
        <v>144</v>
      </c>
      <c r="M1987" s="43" t="s">
        <v>24</v>
      </c>
      <c r="N1987" s="44">
        <v>10</v>
      </c>
      <c r="O1987" s="43" t="s">
        <v>40</v>
      </c>
      <c r="P1987" s="43" t="s">
        <v>42</v>
      </c>
      <c r="Q1987" s="43" t="s">
        <v>42</v>
      </c>
      <c r="R1987" s="43" t="s">
        <v>328</v>
      </c>
      <c r="S1987" s="43"/>
    </row>
    <row r="1988" spans="1:19" s="45" customFormat="1" ht="14.4" hidden="1">
      <c r="A1988" s="25">
        <f>IF(C1988="","",MAX($A$1:A1987)+1)</f>
        <v>1872</v>
      </c>
      <c r="B1988" s="25" t="s">
        <v>141</v>
      </c>
      <c r="C1988" s="41">
        <v>46097</v>
      </c>
      <c r="D1988" s="48" t="str">
        <f>_xlfn.XLOOKUP(Table134526_79101120212223242526[[#This Row],[Name Surname]],Manpower!$C$4:$C$1048576,Manpower!$B$4:$B$1048576,"")</f>
        <v>Encogroup</v>
      </c>
      <c r="E1988" s="43" t="s">
        <v>224</v>
      </c>
      <c r="F1988" s="12">
        <f>_xlfn.XLOOKUP(Table134526_79101120212223242526[[#This Row],[Name Surname]],Manpower!C:C,Manpower!D:D,)</f>
        <v>141365094</v>
      </c>
      <c r="G1988" s="48" t="str">
        <f>_xlfn.XLOOKUP(Table134526_79101120212223242526[[#This Row],[Name Surname]],Manpower!$C$4:$C$1048576,Manpower!$F$4:$F$1048576,"")</f>
        <v>Helper</v>
      </c>
      <c r="H1988" s="48" t="str">
        <f>_xlfn.XLOOKUP(Table134526_79101120212223242526[[#This Row],[Name Surname]],Manpower!$C$4:$C$1048576,Manpower!$H$4:$H$1048576,"")</f>
        <v>Manpower</v>
      </c>
      <c r="I1988" s="48" t="str">
        <f>_xlfn.XLOOKUP(Table134526_79101120212223242526[[#This Row],[Name Surname]],Manpower!$C$4:$C$1048576,Manpower!$H$4:$H$1048576,"")</f>
        <v>Manpower</v>
      </c>
      <c r="J1988" s="43" t="s">
        <v>143</v>
      </c>
      <c r="K1988" s="43" t="s">
        <v>26</v>
      </c>
      <c r="L1988" s="43" t="s">
        <v>144</v>
      </c>
      <c r="M1988" s="43" t="s">
        <v>24</v>
      </c>
      <c r="N1988" s="44">
        <v>10</v>
      </c>
      <c r="O1988" s="43" t="s">
        <v>40</v>
      </c>
      <c r="P1988" s="43" t="s">
        <v>42</v>
      </c>
      <c r="Q1988" s="43" t="s">
        <v>42</v>
      </c>
      <c r="R1988" s="43" t="s">
        <v>328</v>
      </c>
      <c r="S1988" s="43"/>
    </row>
    <row r="1989" spans="1:19" s="45" customFormat="1" ht="14.4" hidden="1">
      <c r="A1989" s="25">
        <f>IF(C1989="","",MAX($A$1:A1988)+1)</f>
        <v>1873</v>
      </c>
      <c r="B1989" s="25" t="s">
        <v>141</v>
      </c>
      <c r="C1989" s="41">
        <v>46097</v>
      </c>
      <c r="D1989" s="48" t="str">
        <f>_xlfn.XLOOKUP(Table134526_79101120212223242526[[#This Row],[Name Surname]],Manpower!$C$4:$C$1048576,Manpower!$B$4:$B$1048576,"")</f>
        <v xml:space="preserve">FAL Transport </v>
      </c>
      <c r="E1989" s="43" t="s">
        <v>225</v>
      </c>
      <c r="F1989" s="12">
        <f>_xlfn.XLOOKUP(Table134526_79101120212223242526[[#This Row],[Name Surname]],Manpower!C:C,Manpower!D:D,)</f>
        <v>124233837</v>
      </c>
      <c r="G1989" s="48" t="str">
        <f>_xlfn.XLOOKUP(Table134526_79101120212223242526[[#This Row],[Name Surname]],Manpower!$C$4:$C$1048576,Manpower!$F$4:$F$1048576,"")</f>
        <v>Trailer Driver</v>
      </c>
      <c r="H1989" s="48" t="str">
        <f>_xlfn.XLOOKUP(Table134526_79101120212223242526[[#This Row],[Name Surname]],Manpower!$C$4:$C$1048576,Manpower!$H$4:$H$1048576,"")</f>
        <v>Sub Contactor</v>
      </c>
      <c r="I1989" s="48" t="str">
        <f>_xlfn.XLOOKUP(Table134526_79101120212223242526[[#This Row],[Name Surname]],Manpower!$C$4:$C$1048576,Manpower!$H$4:$H$1048576,"")</f>
        <v>Sub Contactor</v>
      </c>
      <c r="J1989" s="43" t="s">
        <v>143</v>
      </c>
      <c r="K1989" s="43" t="s">
        <v>26</v>
      </c>
      <c r="L1989" s="43" t="s">
        <v>144</v>
      </c>
      <c r="M1989" s="43" t="s">
        <v>24</v>
      </c>
      <c r="N1989" s="44">
        <v>8</v>
      </c>
      <c r="O1989" s="43" t="s">
        <v>40</v>
      </c>
      <c r="P1989" s="43" t="s">
        <v>42</v>
      </c>
      <c r="Q1989" s="43" t="s">
        <v>42</v>
      </c>
      <c r="R1989" s="43" t="s">
        <v>226</v>
      </c>
      <c r="S1989" s="43" t="s">
        <v>245</v>
      </c>
    </row>
    <row r="1990" spans="1:19" s="45" customFormat="1" ht="14.4" hidden="1">
      <c r="A1990" s="25">
        <f>IF(C1990="","",MAX($A$1:A1989)+1)</f>
        <v>1874</v>
      </c>
      <c r="B1990" s="25" t="s">
        <v>19</v>
      </c>
      <c r="C1990" s="41">
        <v>46098</v>
      </c>
      <c r="D1990" s="48" t="str">
        <f>_xlfn.XLOOKUP(Table134526_79101120212223242526[[#This Row],[Name Surname]],Manpower!$C$4:$C$1048576,Manpower!$B$4:$B$1048576,"")</f>
        <v>Encogroup</v>
      </c>
      <c r="E1990" s="43" t="s">
        <v>29</v>
      </c>
      <c r="F1990" s="12">
        <f>_xlfn.XLOOKUP(Table134526_79101120212223242526[[#This Row],[Name Surname]],Manpower!C:C,Manpower!D:D,)</f>
        <v>127331574</v>
      </c>
      <c r="G1990" s="48" t="str">
        <f>_xlfn.XLOOKUP(Table134526_79101120212223242526[[#This Row],[Name Surname]],Manpower!$C$4:$C$1048576,Manpower!$F$4:$F$1048576,"")</f>
        <v>Permit Receiver</v>
      </c>
      <c r="H1990" s="48" t="str">
        <f>_xlfn.XLOOKUP(Table134526_79101120212223242526[[#This Row],[Name Surname]],Manpower!$C$4:$C$1048576,Manpower!$H$4:$H$1048576,"")</f>
        <v>Manpower</v>
      </c>
      <c r="I1990" s="48" t="str">
        <f>_xlfn.XLOOKUP(Table134526_79101120212223242526[[#This Row],[Name Surname]],Manpower!$C$4:$C$1048576,Manpower!$H$4:$H$1048576,"")</f>
        <v>Manpower</v>
      </c>
      <c r="J1990" s="43" t="s">
        <v>21</v>
      </c>
      <c r="K1990" s="43" t="s">
        <v>26</v>
      </c>
      <c r="L1990" s="43" t="s">
        <v>49</v>
      </c>
      <c r="M1990" s="43" t="s">
        <v>24</v>
      </c>
      <c r="N1990" s="44">
        <v>8</v>
      </c>
      <c r="O1990" s="43" t="s">
        <v>25</v>
      </c>
      <c r="P1990" s="43" t="s">
        <v>41</v>
      </c>
      <c r="Q1990" s="43" t="s">
        <v>60</v>
      </c>
      <c r="R1990" s="43" t="s">
        <v>26</v>
      </c>
      <c r="S1990" s="43"/>
    </row>
    <row r="1991" spans="1:19" ht="14.4" hidden="1">
      <c r="A1991" s="33">
        <f>IF(C1991="","",MAX($A$1:A1990)+1)</f>
        <v>1875</v>
      </c>
      <c r="B1991" s="22" t="s">
        <v>19</v>
      </c>
      <c r="C1991" s="23">
        <v>46098</v>
      </c>
      <c r="D1991" s="28" t="str">
        <f>_xlfn.XLOOKUP(Table134526_79101120212223242526[[#This Row],[Name Surname]],Manpower!$C$4:$C$1048576,Manpower!$B$4:$B$1048576,"")</f>
        <v>Encogroup</v>
      </c>
      <c r="E1991" s="21" t="s">
        <v>31</v>
      </c>
      <c r="F1991" s="12">
        <f>_xlfn.XLOOKUP(Table134526_79101120212223242526[[#This Row],[Name Surname]],Manpower!C:C,Manpower!D:D,)</f>
        <v>99596058</v>
      </c>
      <c r="G1991" s="28" t="str">
        <f>_xlfn.XLOOKUP(Table134526_79101120212223242526[[#This Row],[Name Surname]],Manpower!$C$4:$C$1048576,Manpower!$F$4:$F$1048576,"")</f>
        <v>HSE Officer</v>
      </c>
      <c r="H1991" s="28" t="str">
        <f>_xlfn.XLOOKUP(Table134526_79101120212223242526[[#This Row],[Name Surname]],Manpower!$C$4:$C$1048576,Manpower!$H$4:$H$1048576,"")</f>
        <v>Manpower</v>
      </c>
      <c r="I1991" s="28" t="str">
        <f>_xlfn.XLOOKUP(Table134526_79101120212223242526[[#This Row],[Name Surname]],Manpower!$C$4:$C$1048576,Manpower!$H$4:$H$1048576,"")</f>
        <v>Manpower</v>
      </c>
      <c r="J1991" s="21" t="s">
        <v>21</v>
      </c>
      <c r="K1991" s="21" t="s">
        <v>26</v>
      </c>
      <c r="L1991" s="21" t="s">
        <v>49</v>
      </c>
      <c r="M1991" s="21" t="s">
        <v>24</v>
      </c>
      <c r="N1991" s="29">
        <v>10</v>
      </c>
      <c r="O1991" s="21" t="s">
        <v>25</v>
      </c>
      <c r="P1991" s="21" t="s">
        <v>41</v>
      </c>
      <c r="Q1991" s="21" t="s">
        <v>60</v>
      </c>
      <c r="R1991" s="21" t="s">
        <v>26</v>
      </c>
    </row>
    <row r="1992" spans="1:19" s="45" customFormat="1" ht="14.4" hidden="1">
      <c r="A1992" s="25">
        <f>IF(C1992="","",MAX($A$1:A1991)+1)</f>
        <v>1876</v>
      </c>
      <c r="B1992" s="25" t="s">
        <v>19</v>
      </c>
      <c r="C1992" s="41">
        <v>46098</v>
      </c>
      <c r="D1992" s="48" t="str">
        <f>_xlfn.XLOOKUP(Table134526_79101120212223242526[[#This Row],[Name Surname]],Manpower!$C$4:$C$1048576,Manpower!$B$4:$B$1048576,"")</f>
        <v>Encogroup</v>
      </c>
      <c r="E1992" s="43" t="s">
        <v>72</v>
      </c>
      <c r="F1992" s="12">
        <f>_xlfn.XLOOKUP(Table134526_79101120212223242526[[#This Row],[Name Surname]],Manpower!C:C,Manpower!D:D,)</f>
        <v>140764706</v>
      </c>
      <c r="G1992" s="48" t="str">
        <f>_xlfn.XLOOKUP(Table134526_79101120212223242526[[#This Row],[Name Surname]],Manpower!$C$4:$C$1048576,Manpower!$F$4:$F$1048576,"")</f>
        <v>Rigger</v>
      </c>
      <c r="H1992" s="48" t="str">
        <f>_xlfn.XLOOKUP(Table134526_79101120212223242526[[#This Row],[Name Surname]],Manpower!$C$4:$C$1048576,Manpower!$H$4:$H$1048576,"")</f>
        <v>Manpower</v>
      </c>
      <c r="I1992" s="48" t="str">
        <f>_xlfn.XLOOKUP(Table134526_79101120212223242526[[#This Row],[Name Surname]],Manpower!$C$4:$C$1048576,Manpower!$H$4:$H$1048576,"")</f>
        <v>Manpower</v>
      </c>
      <c r="J1992" s="43" t="s">
        <v>21</v>
      </c>
      <c r="K1992" s="43" t="s">
        <v>26</v>
      </c>
      <c r="L1992" s="43" t="s">
        <v>49</v>
      </c>
      <c r="M1992" s="43" t="s">
        <v>24</v>
      </c>
      <c r="N1992" s="44">
        <v>5</v>
      </c>
      <c r="O1992" s="43" t="s">
        <v>25</v>
      </c>
      <c r="P1992" s="43" t="s">
        <v>41</v>
      </c>
      <c r="Q1992" s="43" t="s">
        <v>60</v>
      </c>
      <c r="R1992" s="43" t="s">
        <v>26</v>
      </c>
      <c r="S1992" s="43"/>
    </row>
    <row r="1993" spans="1:19" s="45" customFormat="1" ht="14.4" hidden="1">
      <c r="A1993" s="25">
        <f>IF(C1993="","",MAX($A$1:A1992)+1)</f>
        <v>1877</v>
      </c>
      <c r="B1993" s="25" t="s">
        <v>19</v>
      </c>
      <c r="C1993" s="41">
        <v>46098</v>
      </c>
      <c r="D1993" s="48" t="str">
        <f>_xlfn.XLOOKUP(Table134526_79101120212223242526[[#This Row],[Name Surname]],Manpower!$C$4:$C$1048576,Manpower!$B$4:$B$1048576,"")</f>
        <v>Encogroup</v>
      </c>
      <c r="E1993" s="43" t="s">
        <v>32</v>
      </c>
      <c r="F1993" s="12">
        <f>_xlfn.XLOOKUP(Table134526_79101120212223242526[[#This Row],[Name Surname]],Manpower!C:C,Manpower!D:D,)</f>
        <v>140697039</v>
      </c>
      <c r="G1993" s="48" t="str">
        <f>_xlfn.XLOOKUP(Table134526_79101120212223242526[[#This Row],[Name Surname]],Manpower!$C$4:$C$1048576,Manpower!$F$4:$F$1048576,"")</f>
        <v>Fitter/Erector</v>
      </c>
      <c r="H1993" s="48" t="str">
        <f>_xlfn.XLOOKUP(Table134526_79101120212223242526[[#This Row],[Name Surname]],Manpower!$C$4:$C$1048576,Manpower!$H$4:$H$1048576,"")</f>
        <v>Manpower</v>
      </c>
      <c r="I1993" s="48" t="str">
        <f>_xlfn.XLOOKUP(Table134526_79101120212223242526[[#This Row],[Name Surname]],Manpower!$C$4:$C$1048576,Manpower!$H$4:$H$1048576,"")</f>
        <v>Manpower</v>
      </c>
      <c r="J1993" s="43" t="s">
        <v>21</v>
      </c>
      <c r="K1993" s="43" t="s">
        <v>26</v>
      </c>
      <c r="L1993" s="43" t="s">
        <v>49</v>
      </c>
      <c r="M1993" s="43" t="s">
        <v>24</v>
      </c>
      <c r="N1993" s="44">
        <v>5</v>
      </c>
      <c r="O1993" s="43" t="s">
        <v>25</v>
      </c>
      <c r="P1993" s="43" t="s">
        <v>41</v>
      </c>
      <c r="Q1993" s="43" t="s">
        <v>60</v>
      </c>
      <c r="R1993" s="43" t="s">
        <v>26</v>
      </c>
      <c r="S1993" s="43"/>
    </row>
    <row r="1994" spans="1:19" s="45" customFormat="1" ht="14.4" hidden="1">
      <c r="A1994" s="25">
        <f>IF(C1994="","",MAX($A$1:A1993)+1)</f>
        <v>1878</v>
      </c>
      <c r="B1994" s="25" t="s">
        <v>19</v>
      </c>
      <c r="C1994" s="41">
        <v>46098</v>
      </c>
      <c r="D1994" s="48" t="str">
        <f>_xlfn.XLOOKUP(Table134526_79101120212223242526[[#This Row],[Name Surname]],Manpower!$C$4:$C$1048576,Manpower!$B$4:$B$1048576,"")</f>
        <v>AL Omar International TRAD AND CONT</v>
      </c>
      <c r="E1994" s="43" t="s">
        <v>36</v>
      </c>
      <c r="F1994" s="12">
        <f>_xlfn.XLOOKUP(Table134526_79101120212223242526[[#This Row],[Name Surname]],Manpower!C:C,Manpower!D:D,)</f>
        <v>114929202</v>
      </c>
      <c r="G1994" s="43" t="str">
        <f>_xlfn.XLOOKUP(Table134526_79101120212223242526[[#This Row],[Name Surname]],Manpower!$C$4:$C$1048576,Manpower!$F$4:$F$1048576,"")</f>
        <v>RIgger</v>
      </c>
      <c r="H1994" s="48" t="str">
        <f>_xlfn.XLOOKUP(Table134526_79101120212223242526[[#This Row],[Name Surname]],Manpower!$C$4:$C$1048576,Manpower!$H$4:$H$1048576,"")</f>
        <v>Sub Contactor</v>
      </c>
      <c r="I1994" s="48" t="str">
        <f>_xlfn.XLOOKUP(Table134526_79101120212223242526[[#This Row],[Name Surname]],Manpower!$C$4:$C$1048576,Manpower!$H$4:$H$1048576,"")</f>
        <v>Sub Contactor</v>
      </c>
      <c r="J1994" s="43" t="s">
        <v>21</v>
      </c>
      <c r="K1994" s="43" t="s">
        <v>26</v>
      </c>
      <c r="L1994" s="43" t="s">
        <v>49</v>
      </c>
      <c r="M1994" s="43" t="s">
        <v>24</v>
      </c>
      <c r="N1994" s="44">
        <v>5</v>
      </c>
      <c r="O1994" s="43" t="s">
        <v>25</v>
      </c>
      <c r="P1994" s="43" t="s">
        <v>41</v>
      </c>
      <c r="Q1994" s="43" t="s">
        <v>60</v>
      </c>
      <c r="R1994" s="43" t="s">
        <v>26</v>
      </c>
      <c r="S1994" s="43"/>
    </row>
    <row r="1995" spans="1:19" s="45" customFormat="1" ht="14.4" hidden="1">
      <c r="A1995" s="25">
        <f>IF(C1995="","",MAX($A$1:A1994)+1)</f>
        <v>1879</v>
      </c>
      <c r="B1995" s="25" t="s">
        <v>19</v>
      </c>
      <c r="C1995" s="41">
        <v>46098</v>
      </c>
      <c r="D1995" s="48" t="str">
        <f>_xlfn.XLOOKUP(Table134526_79101120212223242526[[#This Row],[Name Surname]],Manpower!$C$4:$C$1048576,Manpower!$B$4:$B$1048576,"")</f>
        <v>Encogroup</v>
      </c>
      <c r="E1995" s="43" t="s">
        <v>46</v>
      </c>
      <c r="F1995" s="12">
        <f>_xlfn.XLOOKUP(Table134526_79101120212223242526[[#This Row],[Name Surname]],Manpower!C:C,Manpower!D:D,)</f>
        <v>140844618</v>
      </c>
      <c r="G1995" s="48" t="str">
        <f>_xlfn.XLOOKUP(Table134526_79101120212223242526[[#This Row],[Name Surname]],Manpower!$C$4:$C$1048576,Manpower!$F$4:$F$1048576,"")</f>
        <v>Assistant/Helper</v>
      </c>
      <c r="H1995" s="48" t="str">
        <f>_xlfn.XLOOKUP(Table134526_79101120212223242526[[#This Row],[Name Surname]],Manpower!$C$4:$C$1048576,Manpower!$H$4:$H$1048576,"")</f>
        <v>Manpower</v>
      </c>
      <c r="I1995" s="48" t="str">
        <f>_xlfn.XLOOKUP(Table134526_79101120212223242526[[#This Row],[Name Surname]],Manpower!$C$4:$C$1048576,Manpower!$H$4:$H$1048576,"")</f>
        <v>Manpower</v>
      </c>
      <c r="J1995" s="43" t="s">
        <v>21</v>
      </c>
      <c r="K1995" s="43" t="s">
        <v>26</v>
      </c>
      <c r="L1995" s="43" t="s">
        <v>49</v>
      </c>
      <c r="M1995" s="43" t="s">
        <v>24</v>
      </c>
      <c r="N1995" s="44">
        <v>5</v>
      </c>
      <c r="O1995" s="43" t="s">
        <v>25</v>
      </c>
      <c r="P1995" s="43" t="s">
        <v>41</v>
      </c>
      <c r="Q1995" s="43" t="s">
        <v>60</v>
      </c>
      <c r="R1995" s="43" t="s">
        <v>26</v>
      </c>
      <c r="S1995" s="43"/>
    </row>
    <row r="1996" spans="1:19" ht="13.95" customHeight="1">
      <c r="A1996" s="33">
        <f>IF(C1996="","",MAX($A$1:A1995)+1)</f>
        <v>1880</v>
      </c>
      <c r="B1996" s="25" t="s">
        <v>19</v>
      </c>
      <c r="C1996" s="23">
        <v>46098</v>
      </c>
      <c r="D1996" s="28" t="str">
        <f>_xlfn.XLOOKUP(Table134526_79101120212223242526[[#This Row],[Name Surname]],Manpower!$C$4:$C$1048576,Manpower!$B$4:$B$1048576,"")</f>
        <v>Bright Light</v>
      </c>
      <c r="E1996" s="23" t="s">
        <v>47</v>
      </c>
      <c r="F1996" s="12" t="e">
        <f>_xlfn.XLOOKUP(Table134526_79101120212223242526[[#This Row],[Name Surname]],Manpower!C:C,Manpower!D:D,)</f>
        <v>#N/A</v>
      </c>
      <c r="G1996" s="28" t="str">
        <f>_xlfn.XLOOKUP(Table134526_79101120212223242526[[#This Row],[Name Surname]],Manpower!$C$4:$C$1048576,Manpower!$F$4:$F$1048576,"")</f>
        <v>100T Telescopic Crane</v>
      </c>
      <c r="H1996" s="28" t="str">
        <f>_xlfn.XLOOKUP(Table134526_79101120212223242526[[#This Row],[Name Surname]],Manpower!$C$4:$C$1048576,Manpower!$H$4:$H$1048576,"")</f>
        <v>Equipment</v>
      </c>
      <c r="I1996" s="28" t="str">
        <f>_xlfn.XLOOKUP(Table134526_79101120212223242526[[#This Row],[Name Surname]],Manpower!$C$4:$C$1048576,Manpower!$H$4:$H$1048576,"")</f>
        <v>Equipment</v>
      </c>
      <c r="J1996" s="21" t="s">
        <v>48</v>
      </c>
      <c r="K1996" s="21" t="s">
        <v>26</v>
      </c>
      <c r="L1996" s="21" t="s">
        <v>49</v>
      </c>
      <c r="M1996" s="21" t="s">
        <v>24</v>
      </c>
      <c r="N1996" s="29" t="s">
        <v>321</v>
      </c>
      <c r="O1996" s="21" t="s">
        <v>40</v>
      </c>
      <c r="P1996" s="21" t="s">
        <v>41</v>
      </c>
      <c r="Q1996" s="21" t="s">
        <v>42</v>
      </c>
      <c r="R1996" s="21" t="s">
        <v>330</v>
      </c>
    </row>
    <row r="1997" spans="1:19" ht="14.4">
      <c r="A1997" s="33">
        <f>IF(C1997="","",MAX($A$1:A1996)+1)</f>
        <v>1881</v>
      </c>
      <c r="B1997" s="25" t="s">
        <v>19</v>
      </c>
      <c r="C1997" s="23">
        <v>46098</v>
      </c>
      <c r="D1997" s="28" t="str">
        <f>_xlfn.XLOOKUP(Table134526_79101120212223242526[[#This Row],[Name Surname]],Manpower!$C$4:$C$1048576,Manpower!$B$4:$B$1048576,"")</f>
        <v>Bright Light</v>
      </c>
      <c r="E1997" s="21" t="s">
        <v>51</v>
      </c>
      <c r="F1997" s="12" t="e">
        <f>_xlfn.XLOOKUP(Table134526_79101120212223242526[[#This Row],[Name Surname]],Manpower!C:C,Manpower!D:D,)</f>
        <v>#N/A</v>
      </c>
      <c r="G1997" s="28" t="str">
        <f>_xlfn.XLOOKUP(Table134526_79101120212223242526[[#This Row],[Name Surname]],Manpower!$C$4:$C$1048576,Manpower!$F$4:$F$1048576,"")</f>
        <v>150T-Crawler Crane</v>
      </c>
      <c r="H1997" s="28" t="str">
        <f>_xlfn.XLOOKUP(Table134526_79101120212223242526[[#This Row],[Name Surname]],Manpower!$C$4:$C$1048576,Manpower!$H$4:$H$1048576,"")</f>
        <v>Equipment</v>
      </c>
      <c r="I1997" s="28" t="str">
        <f>_xlfn.XLOOKUP(Table134526_79101120212223242526[[#This Row],[Name Surname]],Manpower!$C$4:$C$1048576,Manpower!$H$4:$H$1048576,"")</f>
        <v>Equipment</v>
      </c>
      <c r="J1997" s="21" t="s">
        <v>48</v>
      </c>
      <c r="K1997" s="21" t="s">
        <v>26</v>
      </c>
      <c r="L1997" s="21" t="s">
        <v>49</v>
      </c>
      <c r="M1997" s="21" t="s">
        <v>24</v>
      </c>
      <c r="N1997" s="29">
        <v>10</v>
      </c>
      <c r="O1997" s="21" t="s">
        <v>40</v>
      </c>
      <c r="P1997" s="21" t="s">
        <v>41</v>
      </c>
      <c r="Q1997" s="21" t="s">
        <v>42</v>
      </c>
      <c r="R1997" s="21" t="s">
        <v>26</v>
      </c>
    </row>
    <row r="1998" spans="1:19" ht="14.4">
      <c r="A1998" s="33">
        <f>IF(C1998="","",MAX($A$1:A1997)+1)</f>
        <v>1882</v>
      </c>
      <c r="B1998" s="25" t="s">
        <v>19</v>
      </c>
      <c r="C1998" s="23">
        <v>46098</v>
      </c>
      <c r="D1998" s="28" t="str">
        <f>_xlfn.XLOOKUP(Table134526_79101120212223242526[[#This Row],[Name Surname]],Manpower!$C$4:$C$1048576,Manpower!$B$4:$B$1048576,"")</f>
        <v>Encogroup</v>
      </c>
      <c r="E1998" s="21" t="s">
        <v>54</v>
      </c>
      <c r="F1998" s="12" t="e">
        <f>_xlfn.XLOOKUP(Table134526_79101120212223242526[[#This Row],[Name Surname]],Manpower!C:C,Manpower!D:D,)</f>
        <v>#N/A</v>
      </c>
      <c r="G1998" s="28" t="str">
        <f>_xlfn.XLOOKUP(Table134526_79101120212223242526[[#This Row],[Name Surname]],Manpower!$C$4:$C$1048576,Manpower!$F$4:$F$1048576,"")</f>
        <v>28M-Manlift</v>
      </c>
      <c r="H1998" s="28" t="str">
        <f>_xlfn.XLOOKUP(Table134526_79101120212223242526[[#This Row],[Name Surname]],Manpower!$C$4:$C$1048576,Manpower!$H$4:$H$1048576,"")</f>
        <v>Equipment</v>
      </c>
      <c r="I1998" s="28" t="str">
        <f>_xlfn.XLOOKUP(Table134526_79101120212223242526[[#This Row],[Name Surname]],Manpower!$C$4:$C$1048576,Manpower!$H$4:$H$1048576,"")</f>
        <v>Equipment</v>
      </c>
      <c r="J1998" s="21" t="s">
        <v>48</v>
      </c>
      <c r="K1998" s="21" t="s">
        <v>26</v>
      </c>
      <c r="L1998" s="21" t="s">
        <v>49</v>
      </c>
      <c r="M1998" s="21" t="s">
        <v>24</v>
      </c>
      <c r="N1998" s="29">
        <v>10</v>
      </c>
      <c r="O1998" s="21" t="s">
        <v>25</v>
      </c>
      <c r="P1998" s="21" t="s">
        <v>41</v>
      </c>
      <c r="Q1998" s="21" t="s">
        <v>60</v>
      </c>
      <c r="R1998" s="21" t="s">
        <v>26</v>
      </c>
    </row>
    <row r="1999" spans="1:19" ht="14.4">
      <c r="A1999" s="33">
        <f>IF(C1999="","",MAX($A$1:A1998)+1)</f>
        <v>1883</v>
      </c>
      <c r="B1999" s="25" t="s">
        <v>19</v>
      </c>
      <c r="C1999" s="23">
        <v>46098</v>
      </c>
      <c r="D1999" s="28" t="str">
        <f>_xlfn.XLOOKUP(Table134526_79101120212223242526[[#This Row],[Name Surname]],Manpower!$C$4:$C$1048576,Manpower!$B$4:$B$1048576,"")</f>
        <v>Encogroup</v>
      </c>
      <c r="E1999" s="21" t="s">
        <v>53</v>
      </c>
      <c r="F1999" s="12" t="e">
        <f>_xlfn.XLOOKUP(Table134526_79101120212223242526[[#This Row],[Name Surname]],Manpower!C:C,Manpower!D:D,)</f>
        <v>#N/A</v>
      </c>
      <c r="G1999" s="28" t="str">
        <f>_xlfn.XLOOKUP(Table134526_79101120212223242526[[#This Row],[Name Surname]],Manpower!$C$4:$C$1048576,Manpower!$F$4:$F$1048576,"")</f>
        <v>22M-Manlift</v>
      </c>
      <c r="H1999" s="28" t="str">
        <f>_xlfn.XLOOKUP(Table134526_79101120212223242526[[#This Row],[Name Surname]],Manpower!$C$4:$C$1048576,Manpower!$H$4:$H$1048576,"")</f>
        <v>Equipment</v>
      </c>
      <c r="I1999" s="28" t="str">
        <f>_xlfn.XLOOKUP(Table134526_79101120212223242526[[#This Row],[Name Surname]],Manpower!$C$4:$C$1048576,Manpower!$H$4:$H$1048576,"")</f>
        <v>Equipment</v>
      </c>
      <c r="J1999" s="21" t="s">
        <v>48</v>
      </c>
      <c r="K1999" s="21" t="s">
        <v>26</v>
      </c>
      <c r="L1999" s="21" t="s">
        <v>49</v>
      </c>
      <c r="M1999" s="21" t="s">
        <v>24</v>
      </c>
      <c r="N1999" s="29">
        <v>10</v>
      </c>
      <c r="O1999" s="21" t="s">
        <v>25</v>
      </c>
      <c r="P1999" s="21" t="s">
        <v>41</v>
      </c>
      <c r="Q1999" s="21" t="s">
        <v>60</v>
      </c>
      <c r="R1999" s="21" t="s">
        <v>26</v>
      </c>
    </row>
    <row r="2000" spans="1:19" ht="14.4" hidden="1">
      <c r="A2000" s="33">
        <f>IF(C2000="","",MAX($A$1:A1999)+1)</f>
        <v>1884</v>
      </c>
      <c r="B2000" s="25" t="s">
        <v>19</v>
      </c>
      <c r="C2000" s="23">
        <v>46098</v>
      </c>
      <c r="D2000" s="28" t="str">
        <f>_xlfn.XLOOKUP(Table134526_79101120212223242526[[#This Row],[Name Surname]],Manpower!$C$4:$C$1048576,Manpower!$B$4:$B$1048576,"")</f>
        <v>Encogroup</v>
      </c>
      <c r="E2000" s="21" t="s">
        <v>57</v>
      </c>
      <c r="F2000" s="12">
        <f>_xlfn.XLOOKUP(Table134526_79101120212223242526[[#This Row],[Name Surname]],Manpower!C:C,Manpower!D:D,)</f>
        <v>140693697</v>
      </c>
      <c r="G2000" s="28" t="str">
        <f>_xlfn.XLOOKUP(Table134526_79101120212223242526[[#This Row],[Name Surname]],Manpower!$C$4:$C$1048576,Manpower!$F$4:$F$1048576,"")</f>
        <v>HSE Officer</v>
      </c>
      <c r="H2000" s="28" t="str">
        <f>_xlfn.XLOOKUP(Table134526_79101120212223242526[[#This Row],[Name Surname]],Manpower!$C$4:$C$1048576,Manpower!$H$4:$H$1048576,"")</f>
        <v>Manpower</v>
      </c>
      <c r="I2000" s="28" t="str">
        <f>_xlfn.XLOOKUP(Table134526_79101120212223242526[[#This Row],[Name Surname]],Manpower!$C$4:$C$1048576,Manpower!$H$4:$H$1048576,"")</f>
        <v>Manpower</v>
      </c>
      <c r="J2000" s="21" t="s">
        <v>48</v>
      </c>
      <c r="K2000" s="21" t="s">
        <v>26</v>
      </c>
      <c r="L2000" s="21" t="s">
        <v>49</v>
      </c>
      <c r="M2000" s="21" t="s">
        <v>24</v>
      </c>
      <c r="N2000" s="29">
        <v>10</v>
      </c>
      <c r="O2000" s="21" t="s">
        <v>25</v>
      </c>
      <c r="P2000" s="21" t="s">
        <v>41</v>
      </c>
      <c r="Q2000" s="21" t="s">
        <v>60</v>
      </c>
      <c r="R2000" s="21" t="s">
        <v>26</v>
      </c>
    </row>
    <row r="2001" spans="1:19" ht="14.4" hidden="1">
      <c r="A2001" s="33">
        <f>IF(C2001="","",MAX($A$1:A2000)+1)</f>
        <v>1885</v>
      </c>
      <c r="B2001" s="33" t="s">
        <v>19</v>
      </c>
      <c r="C2001" s="23">
        <v>46098</v>
      </c>
      <c r="D2001" s="28" t="str">
        <f>_xlfn.XLOOKUP(Table134526_79101120212223242526[[#This Row],[Name Surname]],Manpower!$C$4:$C$1048576,Manpower!$B$4:$B$1048576,"")</f>
        <v>Encogroup</v>
      </c>
      <c r="E2001" s="21" t="s">
        <v>27</v>
      </c>
      <c r="F2001" s="12">
        <f>_xlfn.XLOOKUP(Table134526_79101120212223242526[[#This Row],[Name Surname]],Manpower!C:C,Manpower!D:D,)</f>
        <v>127414586</v>
      </c>
      <c r="G2001" s="28" t="str">
        <f>_xlfn.XLOOKUP(Table134526_79101120212223242526[[#This Row],[Name Surname]],Manpower!$C$4:$C$1048576,Manpower!$F$4:$F$1048576,"")</f>
        <v>Electrician</v>
      </c>
      <c r="H2001" s="28" t="str">
        <f>_xlfn.XLOOKUP(Table134526_79101120212223242526[[#This Row],[Name Surname]],Manpower!$C$4:$C$1048576,Manpower!$H$4:$H$1048576,"")</f>
        <v>Manpower</v>
      </c>
      <c r="I2001" s="28" t="str">
        <f>_xlfn.XLOOKUP(Table134526_79101120212223242526[[#This Row],[Name Surname]],Manpower!$C$4:$C$1048576,Manpower!$H$4:$H$1048576,"")</f>
        <v>Manpower</v>
      </c>
      <c r="J2001" s="21" t="s">
        <v>48</v>
      </c>
      <c r="K2001" s="21" t="s">
        <v>26</v>
      </c>
      <c r="L2001" s="21" t="s">
        <v>49</v>
      </c>
      <c r="M2001" s="21" t="s">
        <v>24</v>
      </c>
      <c r="N2001" s="29">
        <v>10</v>
      </c>
      <c r="O2001" s="21" t="s">
        <v>28</v>
      </c>
      <c r="P2001" s="21" t="s">
        <v>41</v>
      </c>
      <c r="Q2001" s="21" t="s">
        <v>41</v>
      </c>
      <c r="R2001" s="21" t="s">
        <v>26</v>
      </c>
    </row>
    <row r="2002" spans="1:19" ht="14.4" hidden="1">
      <c r="A2002" s="33">
        <f>IF(C2002="","",MAX($A$1:A2001)+1)</f>
        <v>1886</v>
      </c>
      <c r="B2002" s="33" t="s">
        <v>19</v>
      </c>
      <c r="C2002" s="23">
        <v>46098</v>
      </c>
      <c r="D2002" s="28" t="str">
        <f>_xlfn.XLOOKUP(Table134526_79101120212223242526[[#This Row],[Name Surname]],Manpower!$C$4:$C$1048576,Manpower!$B$4:$B$1048576,"")</f>
        <v>Encogroup</v>
      </c>
      <c r="E2002" s="21" t="s">
        <v>33</v>
      </c>
      <c r="F2002" s="12">
        <f>_xlfn.XLOOKUP(Table134526_79101120212223242526[[#This Row],[Name Surname]],Manpower!C:C,Manpower!D:D,)</f>
        <v>124565057</v>
      </c>
      <c r="G2002" s="28" t="str">
        <f>_xlfn.XLOOKUP(Table134526_79101120212223242526[[#This Row],[Name Surname]],Manpower!$C$4:$C$1048576,Manpower!$F$4:$F$1048576,"")</f>
        <v>Fitter/Erector</v>
      </c>
      <c r="H2002" s="28" t="str">
        <f>_xlfn.XLOOKUP(Table134526_79101120212223242526[[#This Row],[Name Surname]],Manpower!$C$4:$C$1048576,Manpower!$H$4:$H$1048576,"")</f>
        <v>Manpower</v>
      </c>
      <c r="I2002" s="28" t="str">
        <f>_xlfn.XLOOKUP(Table134526_79101120212223242526[[#This Row],[Name Surname]],Manpower!$C$4:$C$1048576,Manpower!$H$4:$H$1048576,"")</f>
        <v>Manpower</v>
      </c>
      <c r="J2002" s="21" t="s">
        <v>48</v>
      </c>
      <c r="K2002" s="21" t="s">
        <v>26</v>
      </c>
      <c r="L2002" s="21" t="s">
        <v>49</v>
      </c>
      <c r="M2002" s="21" t="s">
        <v>24</v>
      </c>
      <c r="N2002" s="29">
        <v>10</v>
      </c>
      <c r="O2002" s="21" t="s">
        <v>25</v>
      </c>
      <c r="P2002" s="21" t="s">
        <v>41</v>
      </c>
      <c r="Q2002" s="21" t="s">
        <v>60</v>
      </c>
      <c r="R2002" s="21" t="s">
        <v>26</v>
      </c>
    </row>
    <row r="2003" spans="1:19" ht="14.4" hidden="1">
      <c r="A2003" s="33">
        <f>IF(C2003="","",MAX($A$1:A2002)+1)</f>
        <v>1887</v>
      </c>
      <c r="B2003" s="33" t="s">
        <v>19</v>
      </c>
      <c r="C2003" s="23">
        <v>46098</v>
      </c>
      <c r="D2003" s="28" t="str">
        <f>_xlfn.XLOOKUP(Table134526_79101120212223242526[[#This Row],[Name Surname]],Manpower!$C$4:$C$1048576,Manpower!$B$4:$B$1048576,"")</f>
        <v>Encogroup</v>
      </c>
      <c r="E2003" s="21" t="s">
        <v>62</v>
      </c>
      <c r="F2003" s="12">
        <f>_xlfn.XLOOKUP(Table134526_79101120212223242526[[#This Row],[Name Surname]],Manpower!C:C,Manpower!D:D,)</f>
        <v>140844797</v>
      </c>
      <c r="G2003" s="28" t="str">
        <f>_xlfn.XLOOKUP(Table134526_79101120212223242526[[#This Row],[Name Surname]],Manpower!$C$4:$C$1048576,Manpower!$F$4:$F$1048576,"")</f>
        <v>Fitter/Erector</v>
      </c>
      <c r="H2003" s="28" t="str">
        <f>_xlfn.XLOOKUP(Table134526_79101120212223242526[[#This Row],[Name Surname]],Manpower!$C$4:$C$1048576,Manpower!$H$4:$H$1048576,"")</f>
        <v>Manpower</v>
      </c>
      <c r="I2003" s="28" t="str">
        <f>_xlfn.XLOOKUP(Table134526_79101120212223242526[[#This Row],[Name Surname]],Manpower!$C$4:$C$1048576,Manpower!$H$4:$H$1048576,"")</f>
        <v>Manpower</v>
      </c>
      <c r="J2003" s="21" t="s">
        <v>48</v>
      </c>
      <c r="K2003" s="21" t="s">
        <v>26</v>
      </c>
      <c r="L2003" s="21" t="s">
        <v>49</v>
      </c>
      <c r="M2003" s="21" t="s">
        <v>24</v>
      </c>
      <c r="N2003" s="29">
        <v>10</v>
      </c>
      <c r="O2003" s="21" t="s">
        <v>25</v>
      </c>
      <c r="P2003" s="21" t="s">
        <v>41</v>
      </c>
      <c r="Q2003" s="21" t="s">
        <v>60</v>
      </c>
      <c r="R2003" s="21" t="s">
        <v>26</v>
      </c>
    </row>
    <row r="2004" spans="1:19" ht="14.4">
      <c r="A2004" s="33">
        <f>IF(C2004="","",MAX($A$1:A2003)+1)</f>
        <v>1888</v>
      </c>
      <c r="B2004" s="25" t="s">
        <v>19</v>
      </c>
      <c r="C2004" s="23">
        <v>46098</v>
      </c>
      <c r="D2004" s="24" t="str">
        <f>_xlfn.XLOOKUP(Table134526_79101120212223242526[[#This Row],[Name Surname]],Manpower!$C$4:$C$1048576,Manpower!$B$4:$B$1048576,"")</f>
        <v>Encogroup</v>
      </c>
      <c r="E2004" s="23" t="s">
        <v>63</v>
      </c>
      <c r="F2004" s="12" t="e">
        <f>_xlfn.XLOOKUP(Table134526_79101120212223242526[[#This Row],[Name Surname]],Manpower!C:C,Manpower!D:D,)</f>
        <v>#N/A</v>
      </c>
      <c r="G2004" s="24" t="str">
        <f>_xlfn.XLOOKUP(Table134526_79101120212223242526[[#This Row],[Name Surname]],Manpower!$C$4:$C$1048576,Manpower!$F$4:$F$1048576,"")</f>
        <v>22KVA-Generator</v>
      </c>
      <c r="H2004" s="24" t="str">
        <f>_xlfn.XLOOKUP(Table134526_79101120212223242526[[#This Row],[Name Surname]],Manpower!$C$4:$C$1048576,Manpower!$H$4:$H$1048576,"")</f>
        <v>Equipment</v>
      </c>
      <c r="I2004" s="24" t="str">
        <f>_xlfn.XLOOKUP(Table134526_79101120212223242526[[#This Row],[Name Surname]],Manpower!$C$4:$C$1048576,Manpower!$H$4:$H$1048576,"")</f>
        <v>Equipment</v>
      </c>
      <c r="J2004" s="21" t="s">
        <v>48</v>
      </c>
      <c r="K2004" s="21" t="s">
        <v>26</v>
      </c>
      <c r="L2004" s="21" t="s">
        <v>49</v>
      </c>
      <c r="M2004" s="21" t="s">
        <v>24</v>
      </c>
      <c r="N2004" s="29">
        <v>10</v>
      </c>
      <c r="O2004" s="21" t="s">
        <v>25</v>
      </c>
      <c r="P2004" s="21" t="s">
        <v>41</v>
      </c>
      <c r="Q2004" s="21" t="s">
        <v>41</v>
      </c>
      <c r="R2004" s="21" t="s">
        <v>26</v>
      </c>
    </row>
    <row r="2005" spans="1:19" ht="14.4" hidden="1">
      <c r="A2005" s="33">
        <f>IF(C2005="","",MAX($A$1:A2003)+1)</f>
        <v>1888</v>
      </c>
      <c r="B2005" s="25" t="s">
        <v>19</v>
      </c>
      <c r="C2005" s="23">
        <v>46098</v>
      </c>
      <c r="D2005" s="28" t="str">
        <f>_xlfn.XLOOKUP(Table134526_79101120212223242526[[#This Row],[Name Surname]],Manpower!$C$4:$C$1048576,Manpower!$B$4:$B$1048576,"")</f>
        <v>Bright Light</v>
      </c>
      <c r="E2005" s="21" t="s">
        <v>64</v>
      </c>
      <c r="F2005" s="12">
        <f>_xlfn.XLOOKUP(Table134526_79101120212223242526[[#This Row],[Name Surname]],Manpower!C:C,Manpower!D:D,)</f>
        <v>114531608</v>
      </c>
      <c r="G2005" s="28" t="str">
        <f>_xlfn.XLOOKUP(Table134526_79101120212223242526[[#This Row],[Name Surname]],Manpower!$C$4:$C$1048576,Manpower!$F$4:$F$1048576,"")</f>
        <v>Crane Operator-150T Sany Crawler</v>
      </c>
      <c r="H2005" s="28" t="s">
        <v>39</v>
      </c>
      <c r="I2005" s="28" t="s">
        <v>39</v>
      </c>
      <c r="J2005" s="21" t="s">
        <v>48</v>
      </c>
      <c r="K2005" s="21" t="s">
        <v>26</v>
      </c>
      <c r="L2005" s="21" t="s">
        <v>49</v>
      </c>
      <c r="M2005" s="21" t="s">
        <v>24</v>
      </c>
      <c r="N2005" s="29">
        <v>10</v>
      </c>
      <c r="O2005" s="21" t="s">
        <v>40</v>
      </c>
      <c r="P2005" s="21" t="s">
        <v>41</v>
      </c>
      <c r="Q2005" s="21" t="s">
        <v>42</v>
      </c>
      <c r="R2005" s="21" t="s">
        <v>26</v>
      </c>
    </row>
    <row r="2006" spans="1:19" ht="14.4" hidden="1">
      <c r="A2006" s="33">
        <f>IF(C2006="","",MAX($A$1:A2005)+1)</f>
        <v>1889</v>
      </c>
      <c r="B2006" s="25" t="s">
        <v>19</v>
      </c>
      <c r="C2006" s="23">
        <v>46098</v>
      </c>
      <c r="D2006" s="28" t="str">
        <f>_xlfn.XLOOKUP(Table134526_79101120212223242526[[#This Row],[Name Surname]],Manpower!$C$4:$C$1048576,Manpower!$B$4:$B$1048576,"")</f>
        <v>Encogroup</v>
      </c>
      <c r="E2006" s="21" t="s">
        <v>67</v>
      </c>
      <c r="F2006" s="12">
        <f>_xlfn.XLOOKUP(Table134526_79101120212223242526[[#This Row],[Name Surname]],Manpower!C:C,Manpower!D:D,)</f>
        <v>122082769</v>
      </c>
      <c r="G2006" s="28" t="str">
        <f>_xlfn.XLOOKUP(Table134526_79101120212223242526[[#This Row],[Name Surname]],Manpower!$C$4:$C$1048576,Manpower!$F$4:$F$1048576,"")</f>
        <v>Grinder</v>
      </c>
      <c r="H2006" s="28" t="str">
        <f>_xlfn.XLOOKUP(Table134526_79101120212223242526[[#This Row],[Name Surname]],Manpower!$C$4:$C$1048576,Manpower!$H$4:$H$1048576,"")</f>
        <v>Manpower</v>
      </c>
      <c r="I2006" s="28" t="str">
        <f>_xlfn.XLOOKUP(Table134526_79101120212223242526[[#This Row],[Name Surname]],Manpower!$C$4:$C$1048576,Manpower!$H$4:$H$1048576,"")</f>
        <v>Manpower</v>
      </c>
      <c r="J2006" s="21" t="s">
        <v>48</v>
      </c>
      <c r="K2006" s="21" t="s">
        <v>26</v>
      </c>
      <c r="L2006" s="21" t="s">
        <v>49</v>
      </c>
      <c r="M2006" s="21" t="s">
        <v>24</v>
      </c>
      <c r="N2006" s="29">
        <v>10</v>
      </c>
      <c r="O2006" s="21" t="s">
        <v>25</v>
      </c>
      <c r="P2006" s="21" t="s">
        <v>41</v>
      </c>
      <c r="Q2006" s="21" t="s">
        <v>60</v>
      </c>
      <c r="R2006" s="21" t="s">
        <v>26</v>
      </c>
    </row>
    <row r="2007" spans="1:19" ht="14.4" hidden="1">
      <c r="A2007" s="33">
        <f>IF(C2007="","",MAX($A$1:A2006)+1)</f>
        <v>1890</v>
      </c>
      <c r="B2007" s="25" t="s">
        <v>19</v>
      </c>
      <c r="C2007" s="23">
        <v>46098</v>
      </c>
      <c r="D2007" s="28" t="str">
        <f>_xlfn.XLOOKUP(Table134526_79101120212223242526[[#This Row],[Name Surname]],Manpower!$C$4:$C$1048576,Manpower!$B$4:$B$1048576,"")</f>
        <v>AL Saif &amp; Al QALLM ENT LLC</v>
      </c>
      <c r="E2007" s="21" t="s">
        <v>65</v>
      </c>
      <c r="F2007" s="12">
        <f>_xlfn.XLOOKUP(Table134526_79101120212223242526[[#This Row],[Name Surname]],Manpower!C:C,Manpower!D:D,)</f>
        <v>108478006</v>
      </c>
      <c r="G2007" s="28" t="str">
        <f>_xlfn.XLOOKUP(Table134526_79101120212223242526[[#This Row],[Name Surname]],Manpower!$C$4:$C$1048576,Manpower!$F$4:$F$1048576,"")</f>
        <v>RIgger</v>
      </c>
      <c r="H2007" s="28" t="str">
        <f>_xlfn.XLOOKUP(Table134526_79101120212223242526[[#This Row],[Name Surname]],Manpower!$C$4:$C$1048576,Manpower!$H$4:$H$1048576,"")</f>
        <v>Sub Contactor</v>
      </c>
      <c r="I2007" s="28" t="str">
        <f>_xlfn.XLOOKUP(Table134526_79101120212223242526[[#This Row],[Name Surname]],Manpower!$C$4:$C$1048576,Manpower!$H$4:$H$1048576,"")</f>
        <v>Sub Contactor</v>
      </c>
      <c r="J2007" s="21" t="s">
        <v>48</v>
      </c>
      <c r="K2007" s="21" t="s">
        <v>26</v>
      </c>
      <c r="L2007" s="21" t="s">
        <v>49</v>
      </c>
      <c r="M2007" s="21" t="s">
        <v>24</v>
      </c>
      <c r="N2007" s="29">
        <v>8</v>
      </c>
      <c r="O2007" s="21" t="s">
        <v>25</v>
      </c>
      <c r="P2007" s="21" t="s">
        <v>41</v>
      </c>
      <c r="Q2007" s="21" t="s">
        <v>60</v>
      </c>
      <c r="R2007" s="21" t="s">
        <v>26</v>
      </c>
    </row>
    <row r="2008" spans="1:19" ht="14.4" hidden="1">
      <c r="A2008" s="33">
        <f>IF(C2008="","",MAX($A$1:A2007)+1)</f>
        <v>1891</v>
      </c>
      <c r="B2008" s="33" t="s">
        <v>19</v>
      </c>
      <c r="C2008" s="23">
        <v>46098</v>
      </c>
      <c r="D2008" s="28" t="str">
        <f>_xlfn.XLOOKUP(Table134526_79101120212223242526[[#This Row],[Name Surname]],Manpower!$C$4:$C$1048576,Manpower!$B$4:$B$1048576,"")</f>
        <v>AL Omar International TRAD AND CONT</v>
      </c>
      <c r="E2008" s="21" t="s">
        <v>66</v>
      </c>
      <c r="F2008" s="12">
        <f>_xlfn.XLOOKUP(Table134526_79101120212223242526[[#This Row],[Name Surname]],Manpower!C:C,Manpower!D:D,)</f>
        <v>115018512</v>
      </c>
      <c r="G2008" s="28" t="str">
        <f>_xlfn.XLOOKUP(Table134526_79101120212223242526[[#This Row],[Name Surname]],Manpower!$C$4:$C$1048576,Manpower!$F$4:$F$1048576,"")</f>
        <v>RIgger</v>
      </c>
      <c r="H2008" s="28" t="str">
        <f>_xlfn.XLOOKUP(Table134526_79101120212223242526[[#This Row],[Name Surname]],Manpower!$C$4:$C$1048576,Manpower!$H$4:$H$1048576,"")</f>
        <v>Sub Contactor</v>
      </c>
      <c r="I2008" s="28" t="str">
        <f>_xlfn.XLOOKUP(Table134526_79101120212223242526[[#This Row],[Name Surname]],Manpower!$C$4:$C$1048576,Manpower!$H$4:$H$1048576,"")</f>
        <v>Sub Contactor</v>
      </c>
      <c r="J2008" s="21" t="s">
        <v>48</v>
      </c>
      <c r="K2008" s="21" t="s">
        <v>26</v>
      </c>
      <c r="L2008" s="21" t="s">
        <v>49</v>
      </c>
      <c r="M2008" s="21" t="s">
        <v>24</v>
      </c>
      <c r="N2008" s="29">
        <v>8</v>
      </c>
      <c r="O2008" s="21" t="s">
        <v>25</v>
      </c>
      <c r="P2008" s="21" t="s">
        <v>41</v>
      </c>
      <c r="Q2008" s="21" t="s">
        <v>60</v>
      </c>
      <c r="R2008" s="21" t="s">
        <v>26</v>
      </c>
    </row>
    <row r="2009" spans="1:19" ht="14.4" hidden="1">
      <c r="A2009" s="33">
        <f>IF(C2009="","",MAX($A$1:A2008)+1)</f>
        <v>1892</v>
      </c>
      <c r="B2009" s="33" t="s">
        <v>19</v>
      </c>
      <c r="C2009" s="23">
        <v>46098</v>
      </c>
      <c r="D2009" s="28" t="str">
        <f>_xlfn.XLOOKUP(Table134526_79101120212223242526[[#This Row],[Name Surname]],Manpower!$C$4:$C$1048576,Manpower!$B$4:$B$1048576,"")</f>
        <v>Encogroup</v>
      </c>
      <c r="E2009" s="21" t="s">
        <v>34</v>
      </c>
      <c r="F2009" s="12">
        <f>_xlfn.XLOOKUP(Table134526_79101120212223242526[[#This Row],[Name Surname]],Manpower!C:C,Manpower!D:D,)</f>
        <v>141365023</v>
      </c>
      <c r="G2009" s="28" t="str">
        <f>_xlfn.XLOOKUP(Table134526_79101120212223242526[[#This Row],[Name Surname]],Manpower!$C$4:$C$1048576,Manpower!$F$4:$F$1048576,"")</f>
        <v>Grinder</v>
      </c>
      <c r="H2009" s="28" t="str">
        <f>_xlfn.XLOOKUP(Table134526_79101120212223242526[[#This Row],[Name Surname]],Manpower!$C$4:$C$1048576,Manpower!$H$4:$H$1048576,"")</f>
        <v>Manpower</v>
      </c>
      <c r="I2009" s="28" t="str">
        <f>_xlfn.XLOOKUP(Table134526_79101120212223242526[[#This Row],[Name Surname]],Manpower!$C$4:$C$1048576,Manpower!$H$4:$H$1048576,"")</f>
        <v>Manpower</v>
      </c>
      <c r="J2009" s="21" t="s">
        <v>48</v>
      </c>
      <c r="K2009" s="21" t="s">
        <v>26</v>
      </c>
      <c r="L2009" s="21" t="s">
        <v>49</v>
      </c>
      <c r="M2009" s="21" t="s">
        <v>24</v>
      </c>
      <c r="N2009" s="29">
        <v>10</v>
      </c>
      <c r="O2009" s="21" t="s">
        <v>25</v>
      </c>
      <c r="P2009" s="21" t="s">
        <v>41</v>
      </c>
      <c r="Q2009" s="21" t="s">
        <v>60</v>
      </c>
      <c r="R2009" s="21" t="s">
        <v>26</v>
      </c>
    </row>
    <row r="2010" spans="1:19" ht="14.4" hidden="1">
      <c r="A2010" s="33">
        <f>IF(C2010="","",MAX($A$1:A2009)+1)</f>
        <v>1893</v>
      </c>
      <c r="B2010" s="33" t="s">
        <v>19</v>
      </c>
      <c r="C2010" s="23">
        <v>46098</v>
      </c>
      <c r="D2010" s="28" t="str">
        <f>_xlfn.XLOOKUP(Table134526_79101120212223242526[[#This Row],[Name Surname]],Manpower!$C$4:$C$1048576,Manpower!$B$4:$B$1048576,"")</f>
        <v>Encogroup</v>
      </c>
      <c r="E2010" s="21" t="s">
        <v>32</v>
      </c>
      <c r="F2010" s="12">
        <f>_xlfn.XLOOKUP(Table134526_79101120212223242526[[#This Row],[Name Surname]],Manpower!C:C,Manpower!D:D,)</f>
        <v>140697039</v>
      </c>
      <c r="G2010" s="28" t="str">
        <f>_xlfn.XLOOKUP(Table134526_79101120212223242526[[#This Row],[Name Surname]],Manpower!$C$4:$C$1048576,Manpower!$F$4:$F$1048576,"")</f>
        <v>Fitter/Erector</v>
      </c>
      <c r="H2010" s="28" t="str">
        <f>_xlfn.XLOOKUP(Table134526_79101120212223242526[[#This Row],[Name Surname]],Manpower!$C$4:$C$1048576,Manpower!$H$4:$H$1048576,"")</f>
        <v>Manpower</v>
      </c>
      <c r="I2010" s="28" t="str">
        <f>_xlfn.XLOOKUP(Table134526_79101120212223242526[[#This Row],[Name Surname]],Manpower!$C$4:$C$1048576,Manpower!$H$4:$H$1048576,"")</f>
        <v>Manpower</v>
      </c>
      <c r="J2010" s="21" t="s">
        <v>48</v>
      </c>
      <c r="K2010" s="21" t="s">
        <v>26</v>
      </c>
      <c r="L2010" s="21" t="s">
        <v>49</v>
      </c>
      <c r="M2010" s="21" t="s">
        <v>24</v>
      </c>
      <c r="N2010" s="29">
        <v>5</v>
      </c>
      <c r="O2010" s="21" t="s">
        <v>25</v>
      </c>
      <c r="P2010" s="21" t="s">
        <v>41</v>
      </c>
      <c r="Q2010" s="21" t="s">
        <v>60</v>
      </c>
      <c r="R2010" s="21" t="s">
        <v>26</v>
      </c>
    </row>
    <row r="2011" spans="1:19" ht="14.4" hidden="1">
      <c r="A2011" s="33">
        <f>IF(C2011="","",MAX($A$1:A2010)+1)</f>
        <v>1894</v>
      </c>
      <c r="B2011" s="25" t="s">
        <v>19</v>
      </c>
      <c r="C2011" s="23">
        <v>46098</v>
      </c>
      <c r="D2011" s="28" t="str">
        <f>_xlfn.XLOOKUP(Table134526_79101120212223242526[[#This Row],[Name Surname]],Manpower!$C$4:$C$1048576,Manpower!$B$4:$B$1048576,"")</f>
        <v>Encogroup</v>
      </c>
      <c r="E2011" s="21" t="s">
        <v>37</v>
      </c>
      <c r="F2011" s="12">
        <f>_xlfn.XLOOKUP(Table134526_79101120212223242526[[#This Row],[Name Surname]],Manpower!C:C,Manpower!D:D,)</f>
        <v>140742088</v>
      </c>
      <c r="G2011" s="28" t="str">
        <f>_xlfn.XLOOKUP(Table134526_79101120212223242526[[#This Row],[Name Surname]],Manpower!$C$4:$C$1048576,Manpower!$F$4:$F$1048576,"")</f>
        <v>Fitter/Erector</v>
      </c>
      <c r="H2011" s="28" t="str">
        <f>_xlfn.XLOOKUP(Table134526_79101120212223242526[[#This Row],[Name Surname]],Manpower!$C$4:$C$1048576,Manpower!$H$4:$H$1048576,"")</f>
        <v>Manpower</v>
      </c>
      <c r="I2011" s="28" t="str">
        <f>_xlfn.XLOOKUP(Table134526_79101120212223242526[[#This Row],[Name Surname]],Manpower!$C$4:$C$1048576,Manpower!$H$4:$H$1048576,"")</f>
        <v>Manpower</v>
      </c>
      <c r="J2011" s="21" t="s">
        <v>48</v>
      </c>
      <c r="K2011" s="21" t="s">
        <v>26</v>
      </c>
      <c r="L2011" s="21" t="s">
        <v>49</v>
      </c>
      <c r="M2011" s="21" t="s">
        <v>24</v>
      </c>
      <c r="N2011" s="29">
        <v>10</v>
      </c>
      <c r="O2011" s="21" t="s">
        <v>25</v>
      </c>
      <c r="P2011" s="21" t="s">
        <v>41</v>
      </c>
      <c r="Q2011" s="21" t="s">
        <v>60</v>
      </c>
      <c r="R2011" s="21" t="s">
        <v>26</v>
      </c>
    </row>
    <row r="2012" spans="1:19" ht="14.4" hidden="1">
      <c r="A2012" s="33">
        <f>IF(C2012="","",MAX($A$1:A2011)+1)</f>
        <v>1895</v>
      </c>
      <c r="B2012" s="25" t="s">
        <v>19</v>
      </c>
      <c r="C2012" s="23">
        <v>46098</v>
      </c>
      <c r="D2012" s="28" t="str">
        <f>_xlfn.XLOOKUP(Table134526_79101120212223242526[[#This Row],[Name Surname]],Manpower!$C$4:$C$1048576,Manpower!$B$4:$B$1048576,"")</f>
        <v>AL Omar International TRAD AND CONT</v>
      </c>
      <c r="E2012" s="21" t="s">
        <v>36</v>
      </c>
      <c r="F2012" s="12">
        <f>_xlfn.XLOOKUP(Table134526_79101120212223242526[[#This Row],[Name Surname]],Manpower!C:C,Manpower!D:D,)</f>
        <v>114929202</v>
      </c>
      <c r="G2012" s="28" t="str">
        <f>_xlfn.XLOOKUP(Table134526_79101120212223242526[[#This Row],[Name Surname]],Manpower!$C$4:$C$1048576,Manpower!$F$4:$F$1048576,"")</f>
        <v>RIgger</v>
      </c>
      <c r="H2012" s="28" t="str">
        <f>_xlfn.XLOOKUP(Table134526_79101120212223242526[[#This Row],[Name Surname]],Manpower!$C$4:$C$1048576,Manpower!$H$4:$H$1048576,"")</f>
        <v>Sub Contactor</v>
      </c>
      <c r="I2012" s="28" t="str">
        <f>_xlfn.XLOOKUP(Table134526_79101120212223242526[[#This Row],[Name Surname]],Manpower!$C$4:$C$1048576,Manpower!$H$4:$H$1048576,"")</f>
        <v>Sub Contactor</v>
      </c>
      <c r="J2012" s="21" t="s">
        <v>48</v>
      </c>
      <c r="K2012" s="21" t="s">
        <v>26</v>
      </c>
      <c r="L2012" s="21" t="s">
        <v>49</v>
      </c>
      <c r="M2012" s="21" t="s">
        <v>24</v>
      </c>
      <c r="N2012" s="29">
        <v>3</v>
      </c>
      <c r="O2012" s="21" t="s">
        <v>25</v>
      </c>
      <c r="P2012" s="21" t="s">
        <v>41</v>
      </c>
      <c r="Q2012" s="21" t="s">
        <v>60</v>
      </c>
      <c r="R2012" s="21" t="s">
        <v>26</v>
      </c>
    </row>
    <row r="2013" spans="1:19" ht="14.4" hidden="1">
      <c r="A2013" s="33">
        <f>IF(C2013="","",MAX($A$1:A2012)+1)</f>
        <v>1896</v>
      </c>
      <c r="B2013" s="25" t="s">
        <v>19</v>
      </c>
      <c r="C2013" s="23">
        <v>46098</v>
      </c>
      <c r="D2013" s="28" t="str">
        <f>_xlfn.XLOOKUP(Table134526_79101120212223242526[[#This Row],[Name Surname]],Manpower!$C$4:$C$1048576,Manpower!$B$4:$B$1048576,"")</f>
        <v>Encogroup</v>
      </c>
      <c r="E2013" s="21" t="s">
        <v>44</v>
      </c>
      <c r="F2013" s="12">
        <f>_xlfn.XLOOKUP(Table134526_79101120212223242526[[#This Row],[Name Surname]],Manpower!C:C,Manpower!D:D,)</f>
        <v>140806218</v>
      </c>
      <c r="G2013" s="28" t="str">
        <f>_xlfn.XLOOKUP(Table134526_79101120212223242526[[#This Row],[Name Surname]],Manpower!$C$4:$C$1048576,Manpower!$F$4:$F$1048576,"")</f>
        <v>Fitter/Erector</v>
      </c>
      <c r="H2013" s="28" t="str">
        <f>_xlfn.XLOOKUP(Table134526_79101120212223242526[[#This Row],[Name Surname]],Manpower!$C$4:$C$1048576,Manpower!$H$4:$H$1048576,"")</f>
        <v>Manpower</v>
      </c>
      <c r="I2013" s="28" t="str">
        <f>_xlfn.XLOOKUP(Table134526_79101120212223242526[[#This Row],[Name Surname]],Manpower!$C$4:$C$1048576,Manpower!$H$4:$H$1048576,"")</f>
        <v>Manpower</v>
      </c>
      <c r="J2013" s="21" t="s">
        <v>48</v>
      </c>
      <c r="K2013" s="21" t="s">
        <v>26</v>
      </c>
      <c r="L2013" s="21" t="s">
        <v>49</v>
      </c>
      <c r="M2013" s="21" t="s">
        <v>24</v>
      </c>
      <c r="N2013" s="29">
        <v>10</v>
      </c>
      <c r="O2013" s="21" t="s">
        <v>25</v>
      </c>
      <c r="P2013" s="21" t="s">
        <v>41</v>
      </c>
      <c r="Q2013" s="21" t="s">
        <v>60</v>
      </c>
      <c r="R2013" s="21" t="s">
        <v>26</v>
      </c>
    </row>
    <row r="2014" spans="1:19" ht="12.6" hidden="1" customHeight="1">
      <c r="A2014" s="33">
        <f>IF(C2014="","",MAX($A$1:A2013)+1)</f>
        <v>1897</v>
      </c>
      <c r="B2014" s="25" t="s">
        <v>19</v>
      </c>
      <c r="C2014" s="23">
        <v>46098</v>
      </c>
      <c r="D2014" s="28" t="str">
        <f>_xlfn.XLOOKUP(Table134526_79101120212223242526[[#This Row],[Name Surname]],Manpower!$C$4:$C$1048576,Manpower!$B$4:$B$1048576,"")</f>
        <v>Encogroup</v>
      </c>
      <c r="E2014" s="21" t="s">
        <v>46</v>
      </c>
      <c r="F2014" s="12">
        <f>_xlfn.XLOOKUP(Table134526_79101120212223242526[[#This Row],[Name Surname]],Manpower!C:C,Manpower!D:D,)</f>
        <v>140844618</v>
      </c>
      <c r="G2014" s="28" t="str">
        <f>_xlfn.XLOOKUP(Table134526_79101120212223242526[[#This Row],[Name Surname]],Manpower!$C$4:$C$1048576,Manpower!$F$4:$F$1048576,"")</f>
        <v>Assistant/Helper</v>
      </c>
      <c r="H2014" s="28" t="str">
        <f>_xlfn.XLOOKUP(Table134526_79101120212223242526[[#This Row],[Name Surname]],Manpower!$C$4:$C$1048576,Manpower!$H$4:$H$1048576,"")</f>
        <v>Manpower</v>
      </c>
      <c r="I2014" s="28" t="str">
        <f>_xlfn.XLOOKUP(Table134526_79101120212223242526[[#This Row],[Name Surname]],Manpower!$C$4:$C$1048576,Manpower!$H$4:$H$1048576,"")</f>
        <v>Manpower</v>
      </c>
      <c r="J2014" s="21" t="s">
        <v>48</v>
      </c>
      <c r="K2014" s="21" t="s">
        <v>26</v>
      </c>
      <c r="L2014" s="21" t="s">
        <v>49</v>
      </c>
      <c r="M2014" s="21" t="s">
        <v>24</v>
      </c>
      <c r="N2014" s="29">
        <v>5</v>
      </c>
      <c r="O2014" s="21" t="s">
        <v>25</v>
      </c>
      <c r="P2014" s="21" t="s">
        <v>41</v>
      </c>
      <c r="Q2014" s="21" t="s">
        <v>60</v>
      </c>
      <c r="R2014" s="21" t="s">
        <v>26</v>
      </c>
    </row>
    <row r="2015" spans="1:19" s="45" customFormat="1" ht="12.6" hidden="1" customHeight="1">
      <c r="A2015" s="25">
        <f>IF(C2015="","",MAX($A$1:A2014)+1)</f>
        <v>1898</v>
      </c>
      <c r="B2015" s="25" t="s">
        <v>19</v>
      </c>
      <c r="C2015" s="41">
        <v>46098</v>
      </c>
      <c r="D2015" s="48" t="str">
        <f>_xlfn.XLOOKUP(Table134526_79101120212223242526[[#This Row],[Name Surname]],Manpower!$C$4:$C$1048576,Manpower!$B$4:$B$1048576,"")</f>
        <v>Encogroup</v>
      </c>
      <c r="E2015" s="43" t="s">
        <v>34</v>
      </c>
      <c r="F2015" s="12">
        <f>_xlfn.XLOOKUP(Table134526_79101120212223242526[[#This Row],[Name Surname]],Manpower!C:C,Manpower!D:D,)</f>
        <v>141365023</v>
      </c>
      <c r="G2015" s="48" t="str">
        <f>_xlfn.XLOOKUP(Table134526_79101120212223242526[[#This Row],[Name Surname]],Manpower!$C$4:$C$1048576,Manpower!$F$4:$F$1048576,"")</f>
        <v>Grinder</v>
      </c>
      <c r="H2015" s="48" t="str">
        <f>_xlfn.XLOOKUP(Table134526_79101120212223242526[[#This Row],[Name Surname]],Manpower!$C$4:$C$1048576,Manpower!$H$4:$H$1048576,"")</f>
        <v>Manpower</v>
      </c>
      <c r="I2015" s="48" t="str">
        <f>_xlfn.XLOOKUP(Table134526_79101120212223242526[[#This Row],[Name Surname]],Manpower!$C$4:$C$1048576,Manpower!$H$4:$H$1048576,"")</f>
        <v>Manpower</v>
      </c>
      <c r="J2015" s="43" t="s">
        <v>48</v>
      </c>
      <c r="K2015" s="43" t="s">
        <v>26</v>
      </c>
      <c r="L2015" s="43" t="s">
        <v>49</v>
      </c>
      <c r="M2015" s="43" t="s">
        <v>24</v>
      </c>
      <c r="N2015" s="44">
        <v>10</v>
      </c>
      <c r="O2015" s="43" t="s">
        <v>25</v>
      </c>
      <c r="P2015" s="43" t="s">
        <v>41</v>
      </c>
      <c r="Q2015" s="43" t="s">
        <v>60</v>
      </c>
      <c r="R2015" s="43" t="s">
        <v>26</v>
      </c>
      <c r="S2015" s="43"/>
    </row>
    <row r="2016" spans="1:19" s="45" customFormat="1" ht="12.6" hidden="1" customHeight="1">
      <c r="A2016" s="25">
        <f>IF(C2016="","",MAX($A$1:A2015)+1)</f>
        <v>1899</v>
      </c>
      <c r="B2016" s="25" t="s">
        <v>19</v>
      </c>
      <c r="C2016" s="41">
        <v>46098</v>
      </c>
      <c r="D2016" s="48" t="str">
        <f>_xlfn.XLOOKUP(Table134526_79101120212223242526[[#This Row],[Name Surname]],Manpower!$C$4:$C$1048576,Manpower!$B$4:$B$1048576,"")</f>
        <v>BUSHRA</v>
      </c>
      <c r="E2016" s="43" t="s">
        <v>248</v>
      </c>
      <c r="F2016" s="12" t="e">
        <f>_xlfn.XLOOKUP(Table134526_79101120212223242526[[#This Row],[Name Surname]],Manpower!C:C,Manpower!D:D,)</f>
        <v>#N/A</v>
      </c>
      <c r="G2016" s="48" t="str">
        <f>_xlfn.XLOOKUP(Table134526_79101120212223242526[[#This Row],[Name Surname]],Manpower!$C$4:$C$1048576,Manpower!$F$4:$F$1048576,"")</f>
        <v>Diesel Re-fueling team</v>
      </c>
      <c r="H2016" s="48" t="str">
        <f>_xlfn.XLOOKUP(Table134526_79101120212223242526[[#This Row],[Name Surname]],Manpower!$C$4:$C$1048576,Manpower!$H$4:$H$1048576,"")</f>
        <v>Manpower</v>
      </c>
      <c r="I2016" s="48" t="str">
        <f>_xlfn.XLOOKUP(Table134526_79101120212223242526[[#This Row],[Name Surname]],Manpower!$C$4:$C$1048576,Manpower!$H$4:$H$1048576,"")</f>
        <v>Manpower</v>
      </c>
      <c r="J2016" s="43" t="s">
        <v>48</v>
      </c>
      <c r="K2016" s="43" t="s">
        <v>26</v>
      </c>
      <c r="L2016" s="43" t="s">
        <v>49</v>
      </c>
      <c r="M2016" s="43" t="s">
        <v>24</v>
      </c>
      <c r="N2016" s="44">
        <v>1</v>
      </c>
      <c r="O2016" s="43" t="s">
        <v>249</v>
      </c>
      <c r="P2016" s="43" t="s">
        <v>249</v>
      </c>
      <c r="Q2016" s="43" t="s">
        <v>249</v>
      </c>
      <c r="R2016" s="43" t="s">
        <v>26</v>
      </c>
      <c r="S2016" s="43"/>
    </row>
    <row r="2017" spans="1:19" s="45" customFormat="1" ht="12.6" hidden="1" customHeight="1">
      <c r="A2017" s="25">
        <f>IF(C2017="","",MAX($A$1:A2015)+1)</f>
        <v>1899</v>
      </c>
      <c r="B2017" s="25" t="s">
        <v>19</v>
      </c>
      <c r="C2017" s="41">
        <v>46098</v>
      </c>
      <c r="D2017" s="48" t="str">
        <f>_xlfn.XLOOKUP(Table134526_79101120212223242526[[#This Row],[Name Surname]],Manpower!$C$4:$C$1048576,Manpower!$B$4:$B$1048576,"")</f>
        <v>BUSHRA</v>
      </c>
      <c r="E2017" s="43" t="s">
        <v>250</v>
      </c>
      <c r="F2017" s="12" t="str">
        <f>_xlfn.XLOOKUP(Table134526_79101120212223242526[[#This Row],[Name Surname]],Manpower!C:C,Manpower!D:D,)</f>
        <v>Not Required</v>
      </c>
      <c r="G2017" s="48" t="str">
        <f>_xlfn.XLOOKUP(Table134526_79101120212223242526[[#This Row],[Name Surname]],Manpower!$C$4:$C$1048576,Manpower!$F$4:$F$1048576,"")</f>
        <v>Diesel Re-fueling team</v>
      </c>
      <c r="H2017" s="48" t="str">
        <f>_xlfn.XLOOKUP(Table134526_79101120212223242526[[#This Row],[Name Surname]],Manpower!$C$4:$C$1048576,Manpower!$H$4:$H$1048576,"")</f>
        <v>Manpower</v>
      </c>
      <c r="I2017" s="48" t="str">
        <f>_xlfn.XLOOKUP(Table134526_79101120212223242526[[#This Row],[Name Surname]],Manpower!$C$4:$C$1048576,Manpower!$H$4:$H$1048576,"")</f>
        <v>Manpower</v>
      </c>
      <c r="J2017" s="43" t="s">
        <v>48</v>
      </c>
      <c r="K2017" s="43" t="s">
        <v>26</v>
      </c>
      <c r="L2017" s="43" t="s">
        <v>49</v>
      </c>
      <c r="M2017" s="43" t="s">
        <v>24</v>
      </c>
      <c r="N2017" s="44">
        <v>1</v>
      </c>
      <c r="O2017" s="43" t="s">
        <v>249</v>
      </c>
      <c r="P2017" s="43" t="s">
        <v>249</v>
      </c>
      <c r="Q2017" s="43" t="s">
        <v>249</v>
      </c>
      <c r="R2017" s="43" t="s">
        <v>26</v>
      </c>
      <c r="S2017" s="43"/>
    </row>
    <row r="2018" spans="1:19" ht="14.4" hidden="1">
      <c r="A2018" s="33">
        <f>IF(C2018="","",MAX($A$1:A2014)+1)</f>
        <v>1898</v>
      </c>
      <c r="B2018" s="25" t="s">
        <v>19</v>
      </c>
      <c r="C2018" s="23">
        <v>46098</v>
      </c>
      <c r="D2018" s="28" t="str">
        <f>_xlfn.XLOOKUP(Table134526_79101120212223242526[[#This Row],[Name Surname]],Manpower!$C$4:$C$1048576,Manpower!$B$4:$B$1048576,"")</f>
        <v>Encogroup</v>
      </c>
      <c r="E2018" s="21" t="s">
        <v>72</v>
      </c>
      <c r="F2018" s="12">
        <f>_xlfn.XLOOKUP(Table134526_79101120212223242526[[#This Row],[Name Surname]],Manpower!C:C,Manpower!D:D,)</f>
        <v>140764706</v>
      </c>
      <c r="G2018" s="28" t="str">
        <f>_xlfn.XLOOKUP(Table134526_79101120212223242526[[#This Row],[Name Surname]],Manpower!$C$4:$C$1048576,Manpower!$F$4:$F$1048576,"")</f>
        <v>Rigger</v>
      </c>
      <c r="H2018" s="28" t="str">
        <f>_xlfn.XLOOKUP(Table134526_79101120212223242526[[#This Row],[Name Surname]],Manpower!$C$4:$C$1048576,Manpower!$H$4:$H$1048576,"")</f>
        <v>Manpower</v>
      </c>
      <c r="I2018" s="28" t="str">
        <f>_xlfn.XLOOKUP(Table134526_79101120212223242526[[#This Row],[Name Surname]],Manpower!$C$4:$C$1048576,Manpower!$H$4:$H$1048576,"")</f>
        <v>Manpower</v>
      </c>
      <c r="J2018" s="21" t="s">
        <v>48</v>
      </c>
      <c r="K2018" s="21" t="s">
        <v>26</v>
      </c>
      <c r="L2018" s="21" t="s">
        <v>49</v>
      </c>
      <c r="M2018" s="21" t="s">
        <v>24</v>
      </c>
      <c r="N2018" s="29">
        <v>5</v>
      </c>
      <c r="O2018" s="21" t="s">
        <v>25</v>
      </c>
      <c r="P2018" s="21" t="s">
        <v>41</v>
      </c>
      <c r="Q2018" s="21" t="s">
        <v>60</v>
      </c>
      <c r="R2018" s="21" t="s">
        <v>26</v>
      </c>
    </row>
    <row r="2019" spans="1:19" s="45" customFormat="1" ht="14.4" hidden="1">
      <c r="A2019" s="25">
        <f>IF(C2019="","",MAX($A$1:A2018)+1)</f>
        <v>1900</v>
      </c>
      <c r="B2019" s="25" t="s">
        <v>19</v>
      </c>
      <c r="C2019" s="41">
        <v>46098</v>
      </c>
      <c r="D2019" s="48" t="str">
        <f>_xlfn.XLOOKUP(Table134526_79101120212223242526[[#This Row],[Name Surname]],Manpower!$C$4:$C$1048576,Manpower!$B$4:$B$1048576,"")</f>
        <v>AL Omar International TRAD AND CONT</v>
      </c>
      <c r="E2019" s="43" t="s">
        <v>197</v>
      </c>
      <c r="F2019" s="12">
        <f>_xlfn.XLOOKUP(Table134526_79101120212223242526[[#This Row],[Name Surname]],Manpower!C:C,Manpower!D:D,)</f>
        <v>106093463</v>
      </c>
      <c r="G2019" s="48" t="str">
        <f>_xlfn.XLOOKUP(Table134526_79101120212223242526[[#This Row],[Name Surname]],Manpower!$C$4:$C$1048576,Manpower!$F$4:$F$1048576,"")</f>
        <v>RIgger</v>
      </c>
      <c r="H2019" s="48" t="str">
        <f>_xlfn.XLOOKUP(Table134526_79101120212223242526[[#This Row],[Name Surname]],Manpower!$C$4:$C$1048576,Manpower!$H$4:$H$1048576,"")</f>
        <v>Sub Contactor</v>
      </c>
      <c r="I2019" s="48" t="str">
        <f>_xlfn.XLOOKUP(Table134526_79101120212223242526[[#This Row],[Name Surname]],Manpower!$C$4:$C$1048576,Manpower!$H$4:$H$1048576,"")</f>
        <v>Sub Contactor</v>
      </c>
      <c r="J2019" s="43" t="s">
        <v>48</v>
      </c>
      <c r="K2019" s="43" t="s">
        <v>26</v>
      </c>
      <c r="L2019" s="43" t="s">
        <v>49</v>
      </c>
      <c r="M2019" s="43" t="s">
        <v>24</v>
      </c>
      <c r="N2019" s="44">
        <v>8</v>
      </c>
      <c r="O2019" s="43" t="s">
        <v>25</v>
      </c>
      <c r="P2019" s="43" t="s">
        <v>41</v>
      </c>
      <c r="Q2019" s="43" t="s">
        <v>60</v>
      </c>
      <c r="R2019" s="43" t="s">
        <v>26</v>
      </c>
      <c r="S2019" s="43"/>
    </row>
    <row r="2020" spans="1:19" ht="14.4" hidden="1">
      <c r="A2020" s="33">
        <f>IF(C2020="","",MAX($A$1:A2018)+1)</f>
        <v>1900</v>
      </c>
      <c r="B2020" s="33" t="s">
        <v>19</v>
      </c>
      <c r="C2020" s="23">
        <v>46098</v>
      </c>
      <c r="D2020" s="28" t="str">
        <f>_xlfn.XLOOKUP(Table134526_79101120212223242526[[#This Row],[Name Surname]],Manpower!$C$4:$C$1048576,Manpower!$B$4:$B$1048576,"")</f>
        <v>Encogroup</v>
      </c>
      <c r="E2020" s="21" t="s">
        <v>68</v>
      </c>
      <c r="F2020" s="12">
        <f>_xlfn.XLOOKUP(Table134526_79101120212223242526[[#This Row],[Name Surname]],Manpower!C:C,Manpower!D:D,)</f>
        <v>116915582</v>
      </c>
      <c r="G2020" s="28" t="str">
        <f>_xlfn.XLOOKUP(Table134526_79101120212223242526[[#This Row],[Name Surname]],Manpower!$C$4:$C$1048576,Manpower!$F$4:$F$1048576,"")</f>
        <v>Mechanical Superintendent</v>
      </c>
      <c r="H2020" s="28" t="str">
        <f>_xlfn.XLOOKUP(Table134526_79101120212223242526[[#This Row],[Name Surname]],Manpower!$C$4:$C$1048576,Manpower!$H$4:$H$1048576,"")</f>
        <v>Manpower</v>
      </c>
      <c r="I2020" s="28" t="str">
        <f>_xlfn.XLOOKUP(Table134526_79101120212223242526[[#This Row],[Name Surname]],Manpower!$C$4:$C$1048576,Manpower!$H$4:$H$1048576,"")</f>
        <v>Manpower</v>
      </c>
      <c r="J2020" s="21" t="s">
        <v>48</v>
      </c>
      <c r="K2020" s="21" t="s">
        <v>26</v>
      </c>
      <c r="L2020" s="21" t="s">
        <v>49</v>
      </c>
      <c r="M2020" s="21" t="s">
        <v>24</v>
      </c>
      <c r="N2020" s="29">
        <v>8</v>
      </c>
      <c r="O2020" s="21" t="s">
        <v>25</v>
      </c>
      <c r="P2020" s="21" t="s">
        <v>41</v>
      </c>
      <c r="Q2020" s="21" t="s">
        <v>60</v>
      </c>
      <c r="R2020" s="21" t="s">
        <v>26</v>
      </c>
    </row>
    <row r="2021" spans="1:19" ht="14.4" hidden="1">
      <c r="A2021" s="33">
        <f>IF(C2021="","",MAX($A$1:A2020)+1)</f>
        <v>1901</v>
      </c>
      <c r="B2021" s="33" t="s">
        <v>19</v>
      </c>
      <c r="C2021" s="23">
        <v>46098</v>
      </c>
      <c r="D2021" s="28" t="str">
        <f>_xlfn.XLOOKUP(Table134526_79101120212223242526[[#This Row],[Name Surname]],Manpower!$C$4:$C$1048576,Manpower!$B$4:$B$1048576,"")</f>
        <v>Encogroup</v>
      </c>
      <c r="E2021" s="21" t="s">
        <v>69</v>
      </c>
      <c r="F2021" s="12">
        <f>_xlfn.XLOOKUP(Table134526_79101120212223242526[[#This Row],[Name Surname]],Manpower!C:C,Manpower!D:D,)</f>
        <v>141169071</v>
      </c>
      <c r="G2021" s="28" t="str">
        <f>_xlfn.XLOOKUP(Table134526_79101120212223242526[[#This Row],[Name Surname]],Manpower!$C$4:$C$1048576,Manpower!$F$4:$F$1048576,"")</f>
        <v>Welding Supervisor</v>
      </c>
      <c r="H2021" s="28" t="str">
        <f>_xlfn.XLOOKUP(Table134526_79101120212223242526[[#This Row],[Name Surname]],Manpower!$C$4:$C$1048576,Manpower!$H$4:$H$1048576,"")</f>
        <v>Manpower</v>
      </c>
      <c r="I2021" s="28" t="str">
        <f>_xlfn.XLOOKUP(Table134526_79101120212223242526[[#This Row],[Name Surname]],Manpower!$C$4:$C$1048576,Manpower!$H$4:$H$1048576,"")</f>
        <v>Manpower</v>
      </c>
      <c r="J2021" s="21" t="s">
        <v>48</v>
      </c>
      <c r="K2021" s="21" t="s">
        <v>26</v>
      </c>
      <c r="L2021" s="21" t="s">
        <v>49</v>
      </c>
      <c r="M2021" s="21" t="s">
        <v>24</v>
      </c>
      <c r="N2021" s="29">
        <v>10</v>
      </c>
      <c r="O2021" s="21" t="s">
        <v>25</v>
      </c>
      <c r="P2021" s="21" t="s">
        <v>41</v>
      </c>
      <c r="Q2021" s="21" t="s">
        <v>60</v>
      </c>
      <c r="R2021" s="21" t="s">
        <v>26</v>
      </c>
    </row>
    <row r="2022" spans="1:19" ht="14.4" hidden="1">
      <c r="A2022" s="33">
        <f>IF(C2022="","",MAX($A$1:A2021)+1)</f>
        <v>1902</v>
      </c>
      <c r="B2022" s="33" t="s">
        <v>19</v>
      </c>
      <c r="C2022" s="23">
        <v>46098</v>
      </c>
      <c r="D2022" s="28" t="str">
        <f>_xlfn.XLOOKUP(Table134526_79101120212223242526[[#This Row],[Name Surname]],Manpower!$C$4:$C$1048576,Manpower!$B$4:$B$1048576,"")</f>
        <v>Encogroup</v>
      </c>
      <c r="E2022" s="21" t="s">
        <v>59</v>
      </c>
      <c r="F2022" s="12">
        <f>_xlfn.XLOOKUP(Table134526_79101120212223242526[[#This Row],[Name Surname]],Manpower!C:C,Manpower!D:D,)</f>
        <v>141169085</v>
      </c>
      <c r="G2022" s="28" t="str">
        <f>_xlfn.XLOOKUP(Table134526_79101120212223242526[[#This Row],[Name Surname]],Manpower!$C$4:$C$1048576,Manpower!$F$4:$F$1048576,"")</f>
        <v>Welder</v>
      </c>
      <c r="H2022" s="28" t="str">
        <f>_xlfn.XLOOKUP(Table134526_79101120212223242526[[#This Row],[Name Surname]],Manpower!$C$4:$C$1048576,Manpower!$H$4:$H$1048576,"")</f>
        <v>Manpower</v>
      </c>
      <c r="I2022" s="28" t="str">
        <f>_xlfn.XLOOKUP(Table134526_79101120212223242526[[#This Row],[Name Surname]],Manpower!$C$4:$C$1048576,Manpower!$H$4:$H$1048576,"")</f>
        <v>Manpower</v>
      </c>
      <c r="J2022" s="21" t="s">
        <v>48</v>
      </c>
      <c r="K2022" s="21" t="s">
        <v>26</v>
      </c>
      <c r="L2022" s="21" t="s">
        <v>49</v>
      </c>
      <c r="M2022" s="21" t="s">
        <v>24</v>
      </c>
      <c r="N2022" s="29">
        <v>5</v>
      </c>
      <c r="O2022" s="21" t="s">
        <v>25</v>
      </c>
      <c r="P2022" s="21" t="s">
        <v>41</v>
      </c>
      <c r="Q2022" s="21" t="s">
        <v>60</v>
      </c>
      <c r="R2022" s="21" t="s">
        <v>26</v>
      </c>
    </row>
    <row r="2023" spans="1:19" ht="14.4" hidden="1">
      <c r="A2023" s="33">
        <f>IF(C2023="","",MAX($A$1:A2022)+1)</f>
        <v>1903</v>
      </c>
      <c r="B2023" s="33" t="s">
        <v>19</v>
      </c>
      <c r="C2023" s="23">
        <v>46098</v>
      </c>
      <c r="D2023" s="28" t="str">
        <f>_xlfn.XLOOKUP(Table134526_79101120212223242526[[#This Row],[Name Surname]],Manpower!$C$4:$C$1048576,Manpower!$B$4:$B$1048576,"")</f>
        <v>Encogroup</v>
      </c>
      <c r="E2023" s="21" t="s">
        <v>61</v>
      </c>
      <c r="F2023" s="12">
        <f>_xlfn.XLOOKUP(Table134526_79101120212223242526[[#This Row],[Name Surname]],Manpower!C:C,Manpower!D:D,)</f>
        <v>141169047</v>
      </c>
      <c r="G2023" s="28" t="str">
        <f>_xlfn.XLOOKUP(Table134526_79101120212223242526[[#This Row],[Name Surname]],Manpower!$C$4:$C$1048576,Manpower!$F$4:$F$1048576,"")</f>
        <v>Welder</v>
      </c>
      <c r="H2023" s="28" t="str">
        <f>_xlfn.XLOOKUP(Table134526_79101120212223242526[[#This Row],[Name Surname]],Manpower!$C$4:$C$1048576,Manpower!$H$4:$H$1048576,"")</f>
        <v>Manpower</v>
      </c>
      <c r="I2023" s="28" t="str">
        <f>_xlfn.XLOOKUP(Table134526_79101120212223242526[[#This Row],[Name Surname]],Manpower!$C$4:$C$1048576,Manpower!$H$4:$H$1048576,"")</f>
        <v>Manpower</v>
      </c>
      <c r="J2023" s="21" t="s">
        <v>48</v>
      </c>
      <c r="K2023" s="21" t="s">
        <v>26</v>
      </c>
      <c r="L2023" s="21" t="s">
        <v>49</v>
      </c>
      <c r="M2023" s="21" t="s">
        <v>24</v>
      </c>
      <c r="N2023" s="29">
        <v>5</v>
      </c>
      <c r="O2023" s="21" t="s">
        <v>25</v>
      </c>
      <c r="P2023" s="21" t="s">
        <v>41</v>
      </c>
      <c r="Q2023" s="21" t="s">
        <v>60</v>
      </c>
      <c r="R2023" s="21" t="s">
        <v>26</v>
      </c>
    </row>
    <row r="2024" spans="1:19" ht="14.4" hidden="1">
      <c r="A2024" s="33">
        <f>IF(C2024="","",MAX($A$1:A2023)+1)</f>
        <v>1904</v>
      </c>
      <c r="B2024" s="33" t="s">
        <v>19</v>
      </c>
      <c r="C2024" s="23">
        <v>46098</v>
      </c>
      <c r="D2024" s="28" t="str">
        <f>_xlfn.XLOOKUP(Table134526_79101120212223242526[[#This Row],[Name Surname]],Manpower!$C$4:$C$1048576,Manpower!$B$4:$B$1048576,"")</f>
        <v>Encogroup</v>
      </c>
      <c r="E2024" s="21" t="s">
        <v>70</v>
      </c>
      <c r="F2024" s="12">
        <f>_xlfn.XLOOKUP(Table134526_79101120212223242526[[#This Row],[Name Surname]],Manpower!C:C,Manpower!D:D,)</f>
        <v>141365126</v>
      </c>
      <c r="G2024" s="28" t="str">
        <f>_xlfn.XLOOKUP(Table134526_79101120212223242526[[#This Row],[Name Surname]],Manpower!$C$4:$C$1048576,Manpower!$F$4:$F$1048576,"")</f>
        <v>Helper</v>
      </c>
      <c r="H2024" s="28" t="str">
        <f>_xlfn.XLOOKUP(Table134526_79101120212223242526[[#This Row],[Name Surname]],Manpower!$C$4:$C$1048576,Manpower!$H$4:$H$1048576,"")</f>
        <v>Manpower</v>
      </c>
      <c r="I2024" s="28" t="str">
        <f>_xlfn.XLOOKUP(Table134526_79101120212223242526[[#This Row],[Name Surname]],Manpower!$C$4:$C$1048576,Manpower!$H$4:$H$1048576,"")</f>
        <v>Manpower</v>
      </c>
      <c r="J2024" s="21" t="s">
        <v>48</v>
      </c>
      <c r="K2024" s="21" t="s">
        <v>26</v>
      </c>
      <c r="L2024" s="21" t="s">
        <v>49</v>
      </c>
      <c r="M2024" s="21" t="s">
        <v>24</v>
      </c>
      <c r="N2024" s="29">
        <v>10</v>
      </c>
      <c r="O2024" s="21" t="s">
        <v>25</v>
      </c>
      <c r="P2024" s="21" t="s">
        <v>41</v>
      </c>
      <c r="Q2024" s="21" t="s">
        <v>60</v>
      </c>
      <c r="R2024" s="21" t="s">
        <v>26</v>
      </c>
    </row>
    <row r="2025" spans="1:19" ht="14.4" hidden="1">
      <c r="A2025" s="33">
        <f>IF(C2025="","",MAX($A$1:A2024)+1)</f>
        <v>1905</v>
      </c>
      <c r="B2025" s="33" t="s">
        <v>19</v>
      </c>
      <c r="C2025" s="23">
        <v>46098</v>
      </c>
      <c r="D2025" s="28" t="str">
        <f>_xlfn.XLOOKUP(Table134526_79101120212223242526[[#This Row],[Name Surname]],Manpower!$C$4:$C$1048576,Manpower!$B$4:$B$1048576,"")</f>
        <v>Bright Light</v>
      </c>
      <c r="E2025" s="21" t="s">
        <v>71</v>
      </c>
      <c r="F2025" s="12">
        <f>_xlfn.XLOOKUP(Table134526_79101120212223242526[[#This Row],[Name Surname]],Manpower!C:C,Manpower!D:D,)</f>
        <v>81379273</v>
      </c>
      <c r="G2025" s="28" t="str">
        <f>_xlfn.XLOOKUP(Table134526_79101120212223242526[[#This Row],[Name Surname]],Manpower!$C$4:$C$1048576,Manpower!$F$4:$F$1048576,"")</f>
        <v>Crane Operator-100T Sany Telescopic</v>
      </c>
      <c r="H2025" s="28" t="s">
        <v>39</v>
      </c>
      <c r="I2025" s="28" t="s">
        <v>39</v>
      </c>
      <c r="J2025" s="21" t="s">
        <v>48</v>
      </c>
      <c r="K2025" s="21" t="s">
        <v>26</v>
      </c>
      <c r="L2025" s="21" t="s">
        <v>49</v>
      </c>
      <c r="M2025" s="21" t="s">
        <v>24</v>
      </c>
      <c r="N2025" s="29">
        <v>10</v>
      </c>
      <c r="O2025" s="21" t="s">
        <v>40</v>
      </c>
      <c r="P2025" s="21" t="s">
        <v>41</v>
      </c>
      <c r="Q2025" s="21" t="s">
        <v>42</v>
      </c>
      <c r="R2025" s="21" t="s">
        <v>331</v>
      </c>
    </row>
    <row r="2026" spans="1:19" ht="14.4" hidden="1">
      <c r="A2026" s="33">
        <f>IF(C2026="","",MAX($A$1:A2025)+1)</f>
        <v>1906</v>
      </c>
      <c r="B2026" s="33" t="s">
        <v>19</v>
      </c>
      <c r="C2026" s="23">
        <v>46098</v>
      </c>
      <c r="D2026" s="28" t="str">
        <f>_xlfn.XLOOKUP(Table134526_79101120212223242526[[#This Row],[Name Surname]],Manpower!$C$4:$C$1048576,Manpower!$B$4:$B$1048576,"")</f>
        <v>Encogroup</v>
      </c>
      <c r="E2026" s="21" t="s">
        <v>73</v>
      </c>
      <c r="F2026" s="12">
        <f>_xlfn.XLOOKUP(Table134526_79101120212223242526[[#This Row],[Name Surname]],Manpower!C:C,Manpower!D:D,)</f>
        <v>135325259</v>
      </c>
      <c r="G2026" s="28" t="str">
        <f>_xlfn.XLOOKUP(Table134526_79101120212223242526[[#This Row],[Name Surname]],Manpower!$C$4:$C$1048576,Manpower!$F$4:$F$1048576,"")</f>
        <v>Permit Receiver</v>
      </c>
      <c r="H2026" s="28" t="str">
        <f>_xlfn.XLOOKUP(Table134526_79101120212223242526[[#This Row],[Name Surname]],Manpower!$C$4:$C$1048576,Manpower!$H$4:$H$1048576,"")</f>
        <v>Manpower</v>
      </c>
      <c r="I2026" s="28" t="str">
        <f>_xlfn.XLOOKUP(Table134526_79101120212223242526[[#This Row],[Name Surname]],Manpower!$C$4:$C$1048576,Manpower!$H$4:$H$1048576,"")</f>
        <v>Manpower</v>
      </c>
      <c r="J2026" s="21" t="s">
        <v>48</v>
      </c>
      <c r="K2026" s="21" t="s">
        <v>26</v>
      </c>
      <c r="L2026" s="21" t="s">
        <v>49</v>
      </c>
      <c r="M2026" s="21" t="s">
        <v>24</v>
      </c>
      <c r="N2026" s="29">
        <v>10</v>
      </c>
      <c r="O2026" s="21" t="s">
        <v>25</v>
      </c>
      <c r="P2026" s="21" t="s">
        <v>41</v>
      </c>
      <c r="Q2026" s="21" t="s">
        <v>60</v>
      </c>
      <c r="R2026" s="21" t="s">
        <v>26</v>
      </c>
    </row>
    <row r="2027" spans="1:19" ht="14.4" hidden="1">
      <c r="A2027" s="33">
        <f>IF(C2027="","",MAX($A$1:A2026)+1)</f>
        <v>1907</v>
      </c>
      <c r="B2027" s="33" t="s">
        <v>19</v>
      </c>
      <c r="C2027" s="23">
        <v>46098</v>
      </c>
      <c r="D2027" s="28" t="str">
        <f>_xlfn.XLOOKUP(Table134526_79101120212223242526[[#This Row],[Name Surname]],Manpower!$C$4:$C$1048576,Manpower!$B$4:$B$1048576,"")</f>
        <v>Encogroup</v>
      </c>
      <c r="E2027" s="21" t="s">
        <v>74</v>
      </c>
      <c r="F2027" s="12">
        <f>_xlfn.XLOOKUP(Table134526_79101120212223242526[[#This Row],[Name Surname]],Manpower!C:C,Manpower!D:D,)</f>
        <v>141365089</v>
      </c>
      <c r="G2027" s="28" t="str">
        <f>_xlfn.XLOOKUP(Table134526_79101120212223242526[[#This Row],[Name Surname]],Manpower!$C$4:$C$1048576,Manpower!$F$4:$F$1048576,"")</f>
        <v>Fitter</v>
      </c>
      <c r="H2027" s="28" t="str">
        <f>_xlfn.XLOOKUP(Table134526_79101120212223242526[[#This Row],[Name Surname]],Manpower!$C$4:$C$1048576,Manpower!$H$4:$H$1048576,"")</f>
        <v>Manpower</v>
      </c>
      <c r="I2027" s="28" t="str">
        <f>_xlfn.XLOOKUP(Table134526_79101120212223242526[[#This Row],[Name Surname]],Manpower!$C$4:$C$1048576,Manpower!$H$4:$H$1048576,"")</f>
        <v>Manpower</v>
      </c>
      <c r="J2027" s="21" t="s">
        <v>48</v>
      </c>
      <c r="K2027" s="21" t="s">
        <v>26</v>
      </c>
      <c r="L2027" s="21" t="s">
        <v>49</v>
      </c>
      <c r="M2027" s="21" t="s">
        <v>24</v>
      </c>
      <c r="N2027" s="29">
        <v>10</v>
      </c>
      <c r="O2027" s="21" t="s">
        <v>25</v>
      </c>
      <c r="P2027" s="21" t="s">
        <v>41</v>
      </c>
      <c r="Q2027" s="21" t="s">
        <v>60</v>
      </c>
      <c r="R2027" s="21" t="s">
        <v>26</v>
      </c>
    </row>
    <row r="2028" spans="1:19" ht="14.4" hidden="1">
      <c r="A2028" s="33">
        <f>IF(C2028="","",MAX($A$1:A2027)+1)</f>
        <v>1908</v>
      </c>
      <c r="B2028" s="33" t="s">
        <v>19</v>
      </c>
      <c r="C2028" s="23">
        <v>46098</v>
      </c>
      <c r="D2028" s="28" t="str">
        <f>_xlfn.XLOOKUP(Table134526_79101120212223242526[[#This Row],[Name Surname]],Manpower!$C$4:$C$1048576,Manpower!$B$4:$B$1048576,"")</f>
        <v>Encogroup</v>
      </c>
      <c r="E2028" s="21" t="s">
        <v>75</v>
      </c>
      <c r="F2028" s="12">
        <f>_xlfn.XLOOKUP(Table134526_79101120212223242526[[#This Row],[Name Surname]],Manpower!C:C,Manpower!D:D,)</f>
        <v>122179604</v>
      </c>
      <c r="G2028" s="28" t="str">
        <f>_xlfn.XLOOKUP(Table134526_79101120212223242526[[#This Row],[Name Surname]],Manpower!$C$4:$C$1048576,Manpower!$F$4:$F$1048576,"")</f>
        <v>Fitter/Erector</v>
      </c>
      <c r="H2028" s="28" t="str">
        <f>_xlfn.XLOOKUP(Table134526_79101120212223242526[[#This Row],[Name Surname]],Manpower!$C$4:$C$1048576,Manpower!$H$4:$H$1048576,"")</f>
        <v>Manpower</v>
      </c>
      <c r="I2028" s="28" t="str">
        <f>_xlfn.XLOOKUP(Table134526_79101120212223242526[[#This Row],[Name Surname]],Manpower!$C$4:$C$1048576,Manpower!$H$4:$H$1048576,"")</f>
        <v>Manpower</v>
      </c>
      <c r="J2028" s="21" t="s">
        <v>48</v>
      </c>
      <c r="K2028" s="21" t="s">
        <v>26</v>
      </c>
      <c r="L2028" s="21" t="s">
        <v>49</v>
      </c>
      <c r="M2028" s="21" t="s">
        <v>24</v>
      </c>
      <c r="N2028" s="29">
        <v>10</v>
      </c>
      <c r="O2028" s="21" t="s">
        <v>25</v>
      </c>
      <c r="P2028" s="21" t="s">
        <v>41</v>
      </c>
      <c r="Q2028" s="21" t="s">
        <v>60</v>
      </c>
      <c r="R2028" s="21" t="s">
        <v>26</v>
      </c>
    </row>
    <row r="2029" spans="1:19" ht="14.4" hidden="1">
      <c r="A2029" s="33">
        <f>IF(C2029="","",MAX($A$1:A2028)+1)</f>
        <v>1909</v>
      </c>
      <c r="B2029" s="33" t="s">
        <v>19</v>
      </c>
      <c r="C2029" s="23">
        <v>46098</v>
      </c>
      <c r="D2029" s="28" t="str">
        <f>_xlfn.XLOOKUP(Table134526_79101120212223242526[[#This Row],[Name Surname]],Manpower!$C$4:$C$1048576,Manpower!$B$4:$B$1048576,"")</f>
        <v>Encogroup</v>
      </c>
      <c r="E2029" s="21" t="s">
        <v>78</v>
      </c>
      <c r="F2029" s="12">
        <f>_xlfn.XLOOKUP(Table134526_79101120212223242526[[#This Row],[Name Surname]],Manpower!C:C,Manpower!D:D,)</f>
        <v>117255966</v>
      </c>
      <c r="G2029" s="28" t="str">
        <f>_xlfn.XLOOKUP(Table134526_79101120212223242526[[#This Row],[Name Surname]],Manpower!$C$4:$C$1048576,Manpower!$F$4:$F$1048576,"")</f>
        <v>Mechanical Supervisor</v>
      </c>
      <c r="H2029" s="28" t="str">
        <f>_xlfn.XLOOKUP(Table134526_79101120212223242526[[#This Row],[Name Surname]],Manpower!$C$4:$C$1048576,Manpower!$H$4:$H$1048576,"")</f>
        <v>Manpower</v>
      </c>
      <c r="I2029" s="28" t="str">
        <f>_xlfn.XLOOKUP(Table134526_79101120212223242526[[#This Row],[Name Surname]],Manpower!$C$4:$C$1048576,Manpower!$H$4:$H$1048576,"")</f>
        <v>Manpower</v>
      </c>
      <c r="J2029" s="21" t="s">
        <v>48</v>
      </c>
      <c r="K2029" s="21" t="s">
        <v>26</v>
      </c>
      <c r="L2029" s="21" t="s">
        <v>49</v>
      </c>
      <c r="M2029" s="21" t="s">
        <v>24</v>
      </c>
      <c r="N2029" s="29">
        <v>10</v>
      </c>
      <c r="O2029" s="21" t="s">
        <v>25</v>
      </c>
      <c r="P2029" s="21" t="s">
        <v>41</v>
      </c>
      <c r="Q2029" s="21" t="s">
        <v>60</v>
      </c>
      <c r="R2029" s="21" t="s">
        <v>26</v>
      </c>
    </row>
    <row r="2030" spans="1:19" ht="14.4">
      <c r="A2030" s="33">
        <f>IF(C2030="","",MAX($A$1:A2029)+1)</f>
        <v>1910</v>
      </c>
      <c r="B2030" s="26" t="s">
        <v>79</v>
      </c>
      <c r="C2030" s="23">
        <v>46098</v>
      </c>
      <c r="D2030" s="28" t="str">
        <f>_xlfn.XLOOKUP(Table134526_79101120212223242526[[#This Row],[Name Surname]],Manpower!$C$4:$C$1048576,Manpower!$B$4:$B$1048576,"")</f>
        <v>Encogroup</v>
      </c>
      <c r="E2030" s="21" t="s">
        <v>80</v>
      </c>
      <c r="F2030" s="12" t="e">
        <f>_xlfn.XLOOKUP(Table134526_79101120212223242526[[#This Row],[Name Surname]],Manpower!C:C,Manpower!D:D,)</f>
        <v>#N/A</v>
      </c>
      <c r="G2030" s="28" t="str">
        <f>_xlfn.XLOOKUP(Table134526_79101120212223242526[[#This Row],[Name Surname]],Manpower!$C$4:$C$1048576,Manpower!$F$4:$F$1048576,"")</f>
        <v>22M-Manlift</v>
      </c>
      <c r="H2030" s="28" t="str">
        <f>_xlfn.XLOOKUP(Table134526_79101120212223242526[[#This Row],[Name Surname]],Manpower!$C$4:$C$1048576,Manpower!$H$4:$H$1048576,"")</f>
        <v>Equipment</v>
      </c>
      <c r="I2030" s="28" t="str">
        <f>_xlfn.XLOOKUP(Table134526_79101120212223242526[[#This Row],[Name Surname]],Manpower!$C$4:$C$1048576,Manpower!$H$4:$H$1048576,"")</f>
        <v>Equipment</v>
      </c>
      <c r="J2030" s="21" t="s">
        <v>35</v>
      </c>
      <c r="K2030" s="21" t="s">
        <v>252</v>
      </c>
      <c r="L2030" s="21" t="s">
        <v>82</v>
      </c>
      <c r="M2030" s="21" t="s">
        <v>24</v>
      </c>
      <c r="N2030" s="29">
        <v>10</v>
      </c>
      <c r="O2030" s="21" t="s">
        <v>25</v>
      </c>
      <c r="P2030" s="21" t="s">
        <v>41</v>
      </c>
      <c r="Q2030" s="21" t="s">
        <v>77</v>
      </c>
      <c r="R2030" s="21" t="s">
        <v>332</v>
      </c>
    </row>
    <row r="2031" spans="1:19" ht="14.4">
      <c r="A2031" s="33">
        <f>IF(C2031="","",MAX($A$1:A2030)+1)</f>
        <v>1911</v>
      </c>
      <c r="B2031" s="26" t="s">
        <v>79</v>
      </c>
      <c r="C2031" s="23">
        <v>46098</v>
      </c>
      <c r="D2031" s="28" t="str">
        <f>_xlfn.XLOOKUP(Table134526_79101120212223242526[[#This Row],[Name Surname]],Manpower!$C$4:$C$1048576,Manpower!$B$4:$B$1048576,"")</f>
        <v>Encogroup</v>
      </c>
      <c r="E2031" s="21" t="s">
        <v>84</v>
      </c>
      <c r="F2031" s="12" t="e">
        <f>_xlfn.XLOOKUP(Table134526_79101120212223242526[[#This Row],[Name Surname]],Manpower!C:C,Manpower!D:D,)</f>
        <v>#N/A</v>
      </c>
      <c r="G2031" s="28" t="str">
        <f>_xlfn.XLOOKUP(Table134526_79101120212223242526[[#This Row],[Name Surname]],Manpower!$C$4:$C$1048576,Manpower!$F$4:$F$1048576,"")</f>
        <v>22M-Manlift</v>
      </c>
      <c r="H2031" s="28" t="str">
        <f>_xlfn.XLOOKUP(Table134526_79101120212223242526[[#This Row],[Name Surname]],Manpower!$C$4:$C$1048576,Manpower!$H$4:$H$1048576,"")</f>
        <v>Equipment</v>
      </c>
      <c r="I2031" s="28" t="str">
        <f>_xlfn.XLOOKUP(Table134526_79101120212223242526[[#This Row],[Name Surname]],Manpower!$C$4:$C$1048576,Manpower!$H$4:$H$1048576,"")</f>
        <v>Equipment</v>
      </c>
      <c r="J2031" s="21" t="s">
        <v>35</v>
      </c>
      <c r="K2031" s="21" t="s">
        <v>252</v>
      </c>
      <c r="L2031" s="21" t="s">
        <v>82</v>
      </c>
      <c r="M2031" s="21" t="s">
        <v>24</v>
      </c>
      <c r="N2031" s="29">
        <v>10</v>
      </c>
      <c r="O2031" s="21" t="s">
        <v>25</v>
      </c>
      <c r="P2031" s="21" t="s">
        <v>41</v>
      </c>
      <c r="Q2031" s="21" t="s">
        <v>77</v>
      </c>
      <c r="R2031" s="21" t="s">
        <v>333</v>
      </c>
    </row>
    <row r="2032" spans="1:19" ht="14.4">
      <c r="A2032" s="33">
        <f>IF(C2032="","",MAX($A$1:A2031)+1)</f>
        <v>1912</v>
      </c>
      <c r="B2032" s="26" t="s">
        <v>79</v>
      </c>
      <c r="C2032" s="23">
        <v>46098</v>
      </c>
      <c r="D2032" s="28" t="str">
        <f>_xlfn.XLOOKUP(Table134526_79101120212223242526[[#This Row],[Name Surname]],Manpower!$C$4:$C$1048576,Manpower!$B$4:$B$1048576,"")</f>
        <v>Nass Group</v>
      </c>
      <c r="E2032" s="21" t="s">
        <v>86</v>
      </c>
      <c r="F2032" s="12" t="e">
        <f>_xlfn.XLOOKUP(Table134526_79101120212223242526[[#This Row],[Name Surname]],Manpower!C:C,Manpower!D:D,)</f>
        <v>#N/A</v>
      </c>
      <c r="G2032" s="28" t="str">
        <f>_xlfn.XLOOKUP(Table134526_79101120212223242526[[#This Row],[Name Surname]],Manpower!$C$4:$C$1048576,Manpower!$F$4:$F$1048576,"")</f>
        <v>70T-Telescopic crane</v>
      </c>
      <c r="H2032" s="28" t="str">
        <f>_xlfn.XLOOKUP(Table134526_79101120212223242526[[#This Row],[Name Surname]],Manpower!$C$4:$C$1048576,Manpower!$H$4:$H$1048576,"")</f>
        <v>Equipment</v>
      </c>
      <c r="I2032" s="28" t="str">
        <f>_xlfn.XLOOKUP(Table134526_79101120212223242526[[#This Row],[Name Surname]],Manpower!$C$4:$C$1048576,Manpower!$H$4:$H$1048576,"")</f>
        <v>Equipment</v>
      </c>
      <c r="J2032" s="21" t="s">
        <v>35</v>
      </c>
      <c r="K2032" s="21" t="s">
        <v>252</v>
      </c>
      <c r="L2032" s="21" t="s">
        <v>82</v>
      </c>
      <c r="M2032" s="21" t="s">
        <v>24</v>
      </c>
      <c r="N2032" s="29">
        <v>10</v>
      </c>
      <c r="O2032" s="21" t="s">
        <v>40</v>
      </c>
      <c r="P2032" s="21" t="s">
        <v>41</v>
      </c>
      <c r="Q2032" s="21" t="s">
        <v>42</v>
      </c>
      <c r="R2032" s="21" t="s">
        <v>334</v>
      </c>
    </row>
    <row r="2033" spans="1:19" s="45" customFormat="1" ht="14.4" hidden="1">
      <c r="A2033" s="25">
        <f>IF(C2033="","",MAX($A$1:A2032)+1)</f>
        <v>1913</v>
      </c>
      <c r="B2033" s="25" t="s">
        <v>79</v>
      </c>
      <c r="C2033" s="41">
        <v>46098</v>
      </c>
      <c r="D2033" s="48" t="str">
        <f>_xlfn.XLOOKUP(Table134526_79101120212223242526[[#This Row],[Name Surname]],Manpower!$C$4:$C$1048576,Manpower!$B$4:$B$1048576,"")</f>
        <v>SARENS NASS</v>
      </c>
      <c r="E2033" s="43" t="s">
        <v>103</v>
      </c>
      <c r="F2033" s="12">
        <f>_xlfn.XLOOKUP(Table134526_79101120212223242526[[#This Row],[Name Surname]],Manpower!C:C,Manpower!D:D,)</f>
        <v>79502392</v>
      </c>
      <c r="G2033" s="48" t="str">
        <f>_xlfn.XLOOKUP(Table134526_79101120212223242526[[#This Row],[Name Surname]],Manpower!$C$4:$C$1048576,Manpower!$F$4:$F$1048576,"")</f>
        <v>Crane Operator- 70T Liebherr Telescopic Crane-01</v>
      </c>
      <c r="H2033" s="48" t="str">
        <f>_xlfn.XLOOKUP(Table134526_79101120212223242526[[#This Row],[Name Surname]],Manpower!$C$4:$C$1048576,Manpower!$H$4:$H$1048576,"")</f>
        <v>Manpower</v>
      </c>
      <c r="I2033" s="48" t="str">
        <f>_xlfn.XLOOKUP(Table134526_79101120212223242526[[#This Row],[Name Surname]],Manpower!$C$4:$C$1048576,Manpower!$H$4:$H$1048576,"")</f>
        <v>Manpower</v>
      </c>
      <c r="J2033" s="43" t="s">
        <v>35</v>
      </c>
      <c r="K2033" s="43" t="s">
        <v>252</v>
      </c>
      <c r="L2033" s="43" t="s">
        <v>82</v>
      </c>
      <c r="M2033" s="43" t="s">
        <v>24</v>
      </c>
      <c r="N2033" s="44">
        <v>10</v>
      </c>
      <c r="O2033" s="43" t="s">
        <v>40</v>
      </c>
      <c r="P2033" s="43" t="s">
        <v>41</v>
      </c>
      <c r="Q2033" s="43" t="s">
        <v>42</v>
      </c>
      <c r="R2033" s="43" t="s">
        <v>43</v>
      </c>
      <c r="S2033" s="43"/>
    </row>
    <row r="2034" spans="1:19" ht="14.4">
      <c r="A2034" s="33">
        <f>IF(C2034="","",MAX($A$1:A2033)+1)</f>
        <v>1914</v>
      </c>
      <c r="B2034" s="26" t="s">
        <v>79</v>
      </c>
      <c r="C2034" s="23">
        <v>46098</v>
      </c>
      <c r="D2034" s="28" t="str">
        <f>_xlfn.XLOOKUP(Table134526_79101120212223242526[[#This Row],[Name Surname]],Manpower!$C$4:$C$1048576,Manpower!$B$4:$B$1048576,"")</f>
        <v>Nass Group</v>
      </c>
      <c r="E2034" s="21" t="s">
        <v>146</v>
      </c>
      <c r="F2034" s="12" t="e">
        <f>_xlfn.XLOOKUP(Table134526_79101120212223242526[[#This Row],[Name Surname]],Manpower!C:C,Manpower!D:D,)</f>
        <v>#N/A</v>
      </c>
      <c r="G2034" s="28" t="str">
        <f>_xlfn.XLOOKUP(Table134526_79101120212223242526[[#This Row],[Name Surname]],Manpower!$C$4:$C$1048576,Manpower!$F$4:$F$1048576,"")</f>
        <v>130T Crawler Crane</v>
      </c>
      <c r="H2034" s="28" t="str">
        <f>_xlfn.XLOOKUP(Table134526_79101120212223242526[[#This Row],[Name Surname]],Manpower!$C$4:$C$1048576,Manpower!$H$4:$H$1048576,"")</f>
        <v>Equipment</v>
      </c>
      <c r="I2034" s="28" t="str">
        <f>_xlfn.XLOOKUP(Table134526_79101120212223242526[[#This Row],[Name Surname]],Manpower!$C$4:$C$1048576,Manpower!$H$4:$H$1048576,"")</f>
        <v>Equipment</v>
      </c>
      <c r="J2034" s="21" t="s">
        <v>35</v>
      </c>
      <c r="K2034" s="21" t="s">
        <v>335</v>
      </c>
      <c r="L2034" s="21" t="s">
        <v>82</v>
      </c>
      <c r="M2034" s="21" t="s">
        <v>55</v>
      </c>
      <c r="N2034" s="29">
        <v>10</v>
      </c>
      <c r="R2034" s="21" t="s">
        <v>336</v>
      </c>
      <c r="S2034" s="21" t="s">
        <v>26</v>
      </c>
    </row>
    <row r="2035" spans="1:19" s="45" customFormat="1" ht="14.4" hidden="1">
      <c r="A2035" s="25">
        <f>IF(C2035="","",MAX($A$1:A2034)+1)</f>
        <v>1915</v>
      </c>
      <c r="B2035" s="25" t="s">
        <v>79</v>
      </c>
      <c r="C2035" s="41">
        <v>46098</v>
      </c>
      <c r="D2035" s="48" t="str">
        <f>_xlfn.XLOOKUP(Table134526_79101120212223242526[[#This Row],[Name Surname]],Manpower!$C$4:$C$1048576,Manpower!$B$4:$B$1048576,"")</f>
        <v>SARENS NASS</v>
      </c>
      <c r="E2035" s="43" t="s">
        <v>214</v>
      </c>
      <c r="F2035" s="12">
        <f>_xlfn.XLOOKUP(Table134526_79101120212223242526[[#This Row],[Name Surname]],Manpower!C:C,Manpower!D:D,)</f>
        <v>109957631</v>
      </c>
      <c r="G2035" s="48" t="str">
        <f>_xlfn.XLOOKUP(Table134526_79101120212223242526[[#This Row],[Name Surname]],Manpower!$C$4:$C$1048576,Manpower!$F$4:$F$1048576,"")</f>
        <v>Crane Operator-130T Liebherr Crawler</v>
      </c>
      <c r="H2035" s="48" t="str">
        <f>_xlfn.XLOOKUP(Table134526_79101120212223242526[[#This Row],[Name Surname]],Manpower!$C$4:$C$1048576,Manpower!$H$4:$H$1048576,"")</f>
        <v>Manpower</v>
      </c>
      <c r="I2035" s="48" t="str">
        <f>_xlfn.XLOOKUP(Table134526_79101120212223242526[[#This Row],[Name Surname]],Manpower!$C$4:$C$1048576,Manpower!$H$4:$H$1048576,"")</f>
        <v>Manpower</v>
      </c>
      <c r="J2035" s="43" t="s">
        <v>35</v>
      </c>
      <c r="K2035" s="43" t="s">
        <v>335</v>
      </c>
      <c r="L2035" s="43" t="s">
        <v>82</v>
      </c>
      <c r="M2035" s="43" t="s">
        <v>55</v>
      </c>
      <c r="N2035" s="44">
        <v>10</v>
      </c>
      <c r="O2035" s="43"/>
      <c r="P2035" s="43"/>
      <c r="Q2035" s="43"/>
      <c r="R2035" s="43" t="s">
        <v>336</v>
      </c>
      <c r="S2035" s="43" t="s">
        <v>26</v>
      </c>
    </row>
    <row r="2036" spans="1:19" s="45" customFormat="1" ht="14.4" hidden="1">
      <c r="A2036" s="25">
        <f>IF(C2036="","",MAX($A$1:A2035)+1)</f>
        <v>1916</v>
      </c>
      <c r="B2036" s="25" t="s">
        <v>79</v>
      </c>
      <c r="C2036" s="41">
        <v>46098</v>
      </c>
      <c r="D2036" s="48" t="str">
        <f>_xlfn.XLOOKUP(Table134526_79101120212223242526[[#This Row],[Name Surname]],Manpower!$C$4:$C$1048576,Manpower!$B$4:$B$1048576,"")</f>
        <v>Sarens Nass</v>
      </c>
      <c r="E2036" s="43" t="s">
        <v>293</v>
      </c>
      <c r="F2036" s="12" t="str">
        <f>_xlfn.XLOOKUP(Table134526_79101120212223242526[[#This Row],[Name Surname]],Manpower!C:C,Manpower!D:D,)</f>
        <v>12284034</v>
      </c>
      <c r="G2036" s="48" t="str">
        <f>_xlfn.XLOOKUP(Table134526_79101120212223242526[[#This Row],[Name Surname]],Manpower!$C$4:$C$1048576,Manpower!$F$4:$F$1048576,"")</f>
        <v>Rigger</v>
      </c>
      <c r="H2036" s="48" t="str">
        <f>_xlfn.XLOOKUP(Table134526_79101120212223242526[[#This Row],[Name Surname]],Manpower!$C$4:$C$1048576,Manpower!$H$4:$H$1048576,"")</f>
        <v>Sub Contactor</v>
      </c>
      <c r="I2036" s="48" t="str">
        <f>_xlfn.XLOOKUP(Table134526_79101120212223242526[[#This Row],[Name Surname]],Manpower!$C$4:$C$1048576,Manpower!$H$4:$H$1048576,"")</f>
        <v>Sub Contactor</v>
      </c>
      <c r="J2036" s="43" t="s">
        <v>35</v>
      </c>
      <c r="K2036" s="43" t="s">
        <v>335</v>
      </c>
      <c r="L2036" s="43" t="s">
        <v>82</v>
      </c>
      <c r="M2036" s="43" t="s">
        <v>24</v>
      </c>
      <c r="N2036" s="44">
        <v>10</v>
      </c>
      <c r="O2036" s="43" t="s">
        <v>40</v>
      </c>
      <c r="P2036" s="43" t="s">
        <v>41</v>
      </c>
      <c r="Q2036" s="43" t="s">
        <v>42</v>
      </c>
      <c r="R2036" s="43" t="s">
        <v>336</v>
      </c>
      <c r="S2036" s="43" t="s">
        <v>26</v>
      </c>
    </row>
    <row r="2037" spans="1:19" s="45" customFormat="1" ht="14.4" hidden="1">
      <c r="A2037" s="25">
        <f>IF(C2037="","",MAX($A$1:A2035)+1)</f>
        <v>1916</v>
      </c>
      <c r="B2037" s="25" t="s">
        <v>79</v>
      </c>
      <c r="C2037" s="41">
        <v>46098</v>
      </c>
      <c r="D2037" s="48" t="str">
        <f>_xlfn.XLOOKUP(Table134526_79101120212223242526[[#This Row],[Name Surname]],Manpower!$C$4:$C$1048576,Manpower!$B$4:$B$1048576,"")</f>
        <v>Sarens Nass</v>
      </c>
      <c r="E2037" s="43" t="s">
        <v>216</v>
      </c>
      <c r="F2037" s="12" t="str">
        <f>_xlfn.XLOOKUP(Table134526_79101120212223242526[[#This Row],[Name Surname]],Manpower!C:C,Manpower!D:D,)</f>
        <v>77873529</v>
      </c>
      <c r="G2037" s="48" t="str">
        <f>_xlfn.XLOOKUP(Table134526_79101120212223242526[[#This Row],[Name Surname]],Manpower!$C$4:$C$1048576,Manpower!$F$4:$F$1048576,"")</f>
        <v>Mechanic</v>
      </c>
      <c r="H2037" s="48" t="str">
        <f>_xlfn.XLOOKUP(Table134526_79101120212223242526[[#This Row],[Name Surname]],Manpower!$C$4:$C$1048576,Manpower!$H$4:$H$1048576,"")</f>
        <v>Sub Contactor</v>
      </c>
      <c r="I2037" s="48" t="str">
        <f>_xlfn.XLOOKUP(Table134526_79101120212223242526[[#This Row],[Name Surname]],Manpower!$C$4:$C$1048576,Manpower!$H$4:$H$1048576,"")</f>
        <v>Sub Contactor</v>
      </c>
      <c r="J2037" s="43" t="s">
        <v>135</v>
      </c>
      <c r="K2037" s="43" t="s">
        <v>335</v>
      </c>
      <c r="L2037" s="43" t="s">
        <v>82</v>
      </c>
      <c r="M2037" s="43" t="s">
        <v>24</v>
      </c>
      <c r="N2037" s="44">
        <v>10</v>
      </c>
      <c r="O2037" s="43" t="s">
        <v>40</v>
      </c>
      <c r="P2037" s="43" t="s">
        <v>41</v>
      </c>
      <c r="Q2037" s="43" t="s">
        <v>42</v>
      </c>
      <c r="R2037" s="43" t="s">
        <v>336</v>
      </c>
      <c r="S2037" s="43" t="s">
        <v>26</v>
      </c>
    </row>
    <row r="2038" spans="1:19" s="45" customFormat="1" ht="14.4" hidden="1">
      <c r="A2038" s="25">
        <f>IF(C2038="","",MAX($A$1:A2037)+1)</f>
        <v>1917</v>
      </c>
      <c r="B2038" s="25" t="s">
        <v>79</v>
      </c>
      <c r="C2038" s="41">
        <v>46098</v>
      </c>
      <c r="D2038" s="48" t="str">
        <f>_xlfn.XLOOKUP(Table134526_79101120212223242526[[#This Row],[Name Surname]],Manpower!$C$4:$C$1048576,Manpower!$B$4:$B$1048576,"")</f>
        <v>Sarens Nass</v>
      </c>
      <c r="E2038" s="43" t="s">
        <v>215</v>
      </c>
      <c r="F2038" s="12" t="str">
        <f>_xlfn.XLOOKUP(Table134526_79101120212223242526[[#This Row],[Name Surname]],Manpower!C:C,Manpower!D:D,)</f>
        <v>112346941</v>
      </c>
      <c r="G2038" s="48" t="str">
        <f>_xlfn.XLOOKUP(Table134526_79101120212223242526[[#This Row],[Name Surname]],Manpower!$C$4:$C$1048576,Manpower!$F$4:$F$1048576,"")</f>
        <v>Rigger</v>
      </c>
      <c r="H2038" s="48" t="str">
        <f>_xlfn.XLOOKUP(Table134526_79101120212223242526[[#This Row],[Name Surname]],Manpower!$C$4:$C$1048576,Manpower!$H$4:$H$1048576,"")</f>
        <v>Sub Contactor</v>
      </c>
      <c r="I2038" s="48" t="str">
        <f>_xlfn.XLOOKUP(Table134526_79101120212223242526[[#This Row],[Name Surname]],Manpower!$C$4:$C$1048576,Manpower!$H$4:$H$1048576,"")</f>
        <v>Sub Contactor</v>
      </c>
      <c r="J2038" s="43" t="s">
        <v>135</v>
      </c>
      <c r="K2038" s="43" t="s">
        <v>335</v>
      </c>
      <c r="L2038" s="43" t="s">
        <v>82</v>
      </c>
      <c r="M2038" s="43" t="s">
        <v>24</v>
      </c>
      <c r="N2038" s="44">
        <v>10</v>
      </c>
      <c r="O2038" s="43" t="s">
        <v>40</v>
      </c>
      <c r="P2038" s="43" t="s">
        <v>41</v>
      </c>
      <c r="Q2038" s="43" t="s">
        <v>42</v>
      </c>
      <c r="R2038" s="43" t="s">
        <v>336</v>
      </c>
      <c r="S2038" s="43" t="s">
        <v>26</v>
      </c>
    </row>
    <row r="2039" spans="1:19" s="45" customFormat="1" ht="14.4" hidden="1">
      <c r="A2039" s="25">
        <f>IF(C2039="","",MAX($A$1:A2038)+1)</f>
        <v>1918</v>
      </c>
      <c r="B2039" s="25" t="s">
        <v>79</v>
      </c>
      <c r="C2039" s="41">
        <v>46098</v>
      </c>
      <c r="D2039" s="48" t="str">
        <f>_xlfn.XLOOKUP(Table134526_79101120212223242526[[#This Row],[Name Surname]],Manpower!$C$4:$C$1048576,Manpower!$B$4:$B$1048576,"")</f>
        <v>Encogroup</v>
      </c>
      <c r="E2039" s="43" t="s">
        <v>87</v>
      </c>
      <c r="F2039" s="12">
        <f>_xlfn.XLOOKUP(Table134526_79101120212223242526[[#This Row],[Name Surname]],Manpower!C:C,Manpower!D:D,)</f>
        <v>126724428</v>
      </c>
      <c r="G2039" s="48" t="str">
        <f>_xlfn.XLOOKUP(Table134526_79101120212223242526[[#This Row],[Name Surname]],Manpower!$C$4:$C$1048576,Manpower!$F$4:$F$1048576,"")</f>
        <v>Surveyor</v>
      </c>
      <c r="H2039" s="48" t="str">
        <f>_xlfn.XLOOKUP(Table134526_79101120212223242526[[#This Row],[Name Surname]],Manpower!$C$4:$C$1048576,Manpower!$H$4:$H$1048576,"")</f>
        <v>Manpower</v>
      </c>
      <c r="I2039" s="48" t="str">
        <f>_xlfn.XLOOKUP(Table134526_79101120212223242526[[#This Row],[Name Surname]],Manpower!$C$4:$C$1048576,Manpower!$H$4:$H$1048576,"")</f>
        <v>Manpower</v>
      </c>
      <c r="J2039" s="43" t="s">
        <v>35</v>
      </c>
      <c r="K2039" s="43" t="s">
        <v>26</v>
      </c>
      <c r="L2039" s="43" t="s">
        <v>82</v>
      </c>
      <c r="M2039" s="43" t="s">
        <v>24</v>
      </c>
      <c r="N2039" s="44">
        <v>8</v>
      </c>
      <c r="O2039" s="43" t="s">
        <v>89</v>
      </c>
      <c r="P2039" s="43" t="s">
        <v>89</v>
      </c>
      <c r="Q2039" s="43" t="s">
        <v>89</v>
      </c>
      <c r="R2039" s="43" t="s">
        <v>26</v>
      </c>
      <c r="S2039" s="43"/>
    </row>
    <row r="2040" spans="1:19" s="45" customFormat="1" ht="14.4" hidden="1">
      <c r="A2040" s="25">
        <f>IF(C2040="","",MAX($A$1:A2035)+1)</f>
        <v>1916</v>
      </c>
      <c r="B2040" s="25" t="s">
        <v>79</v>
      </c>
      <c r="C2040" s="41">
        <v>46098</v>
      </c>
      <c r="D2040" s="48" t="str">
        <f>_xlfn.XLOOKUP(Table134526_79101120212223242526[[#This Row],[Name Surname]],Manpower!$C$4:$C$1048576,Manpower!$B$4:$B$1048576,"")</f>
        <v>Encogroup</v>
      </c>
      <c r="E2040" s="43" t="s">
        <v>91</v>
      </c>
      <c r="F2040" s="12">
        <f>_xlfn.XLOOKUP(Table134526_79101120212223242526[[#This Row],[Name Surname]],Manpower!C:C,Manpower!D:D,)</f>
        <v>132915855</v>
      </c>
      <c r="G2040" s="48" t="str">
        <f>_xlfn.XLOOKUP(Table134526_79101120212223242526[[#This Row],[Name Surname]],Manpower!$C$4:$C$1048576,Manpower!$F$4:$F$1048576,"")</f>
        <v>Mechanical Supervisor</v>
      </c>
      <c r="H2040" s="48" t="str">
        <f>_xlfn.XLOOKUP(Table134526_79101120212223242526[[#This Row],[Name Surname]],Manpower!$C$4:$C$1048576,Manpower!$H$4:$H$1048576,"")</f>
        <v>Manpower</v>
      </c>
      <c r="I2040" s="48" t="str">
        <f>_xlfn.XLOOKUP(Table134526_79101120212223242526[[#This Row],[Name Surname]],Manpower!$C$4:$C$1048576,Manpower!$H$4:$H$1048576,"")</f>
        <v>Manpower</v>
      </c>
      <c r="J2040" s="43" t="s">
        <v>35</v>
      </c>
      <c r="K2040" s="43" t="s">
        <v>252</v>
      </c>
      <c r="L2040" s="43" t="s">
        <v>82</v>
      </c>
      <c r="M2040" s="43" t="s">
        <v>24</v>
      </c>
      <c r="N2040" s="44">
        <v>8</v>
      </c>
      <c r="O2040" s="43" t="s">
        <v>25</v>
      </c>
      <c r="P2040" s="43" t="s">
        <v>60</v>
      </c>
      <c r="Q2040" s="43" t="s">
        <v>60</v>
      </c>
      <c r="R2040" s="43" t="s">
        <v>337</v>
      </c>
      <c r="S2040" s="43"/>
    </row>
    <row r="2041" spans="1:19" s="45" customFormat="1" ht="14.4" hidden="1">
      <c r="A2041" s="25">
        <f>IF(C2041="","",MAX($A$1:A2040)+1)</f>
        <v>1919</v>
      </c>
      <c r="B2041" s="25" t="s">
        <v>79</v>
      </c>
      <c r="C2041" s="41">
        <v>46098</v>
      </c>
      <c r="D2041" s="48" t="str">
        <f>_xlfn.XLOOKUP(Table134526_79101120212223242526[[#This Row],[Name Surname]],Manpower!$C$4:$C$1048576,Manpower!$B$4:$B$1048576,"")</f>
        <v>Encogroup</v>
      </c>
      <c r="E2041" s="43" t="s">
        <v>124</v>
      </c>
      <c r="F2041" s="12">
        <f>_xlfn.XLOOKUP(Table134526_79101120212223242526[[#This Row],[Name Surname]],Manpower!C:C,Manpower!D:D,)</f>
        <v>141169033</v>
      </c>
      <c r="G2041" s="48" t="str">
        <f>_xlfn.XLOOKUP(Table134526_79101120212223242526[[#This Row],[Name Surname]],Manpower!$C$4:$C$1048576,Manpower!$F$4:$F$1048576,"")</f>
        <v>Welder</v>
      </c>
      <c r="H2041" s="48" t="str">
        <f>_xlfn.XLOOKUP(Table134526_79101120212223242526[[#This Row],[Name Surname]],Manpower!$C$4:$C$1048576,Manpower!$H$4:$H$1048576,"")</f>
        <v>Manpower</v>
      </c>
      <c r="I2041" s="48" t="str">
        <f>_xlfn.XLOOKUP(Table134526_79101120212223242526[[#This Row],[Name Surname]],Manpower!$C$4:$C$1048576,Manpower!$H$4:$H$1048576,"")</f>
        <v>Manpower</v>
      </c>
      <c r="J2041" s="43" t="s">
        <v>35</v>
      </c>
      <c r="K2041" s="43" t="s">
        <v>252</v>
      </c>
      <c r="L2041" s="43" t="s">
        <v>82</v>
      </c>
      <c r="M2041" s="43" t="s">
        <v>24</v>
      </c>
      <c r="N2041" s="44">
        <v>10</v>
      </c>
      <c r="O2041" s="43" t="s">
        <v>94</v>
      </c>
      <c r="P2041" s="43" t="s">
        <v>95</v>
      </c>
      <c r="Q2041" s="43" t="s">
        <v>95</v>
      </c>
      <c r="R2041" s="43" t="s">
        <v>302</v>
      </c>
      <c r="S2041" s="43"/>
    </row>
    <row r="2042" spans="1:19" s="45" customFormat="1" ht="14.4" hidden="1">
      <c r="A2042" s="25">
        <f>IF(C2042="","",MAX($A$1:A2041)+1)</f>
        <v>1920</v>
      </c>
      <c r="B2042" s="25" t="s">
        <v>79</v>
      </c>
      <c r="C2042" s="41">
        <v>46098</v>
      </c>
      <c r="D2042" s="48" t="str">
        <f>_xlfn.XLOOKUP(Table134526_79101120212223242526[[#This Row],[Name Surname]],Manpower!$C$4:$C$1048576,Manpower!$B$4:$B$1048576,"")</f>
        <v>Encogroup</v>
      </c>
      <c r="E2042" s="43" t="s">
        <v>97</v>
      </c>
      <c r="F2042" s="12">
        <f>_xlfn.XLOOKUP(Table134526_79101120212223242526[[#This Row],[Name Surname]],Manpower!C:C,Manpower!D:D,)</f>
        <v>141359235</v>
      </c>
      <c r="G2042" s="48" t="str">
        <f>_xlfn.XLOOKUP(Table134526_79101120212223242526[[#This Row],[Name Surname]],Manpower!$C$4:$C$1048576,Manpower!$F$4:$F$1048576,"")</f>
        <v>Fitter</v>
      </c>
      <c r="H2042" s="48" t="str">
        <f>_xlfn.XLOOKUP(Table134526_79101120212223242526[[#This Row],[Name Surname]],Manpower!$C$4:$C$1048576,Manpower!$H$4:$H$1048576,"")</f>
        <v>Manpower</v>
      </c>
      <c r="I2042" s="48" t="str">
        <f>_xlfn.XLOOKUP(Table134526_79101120212223242526[[#This Row],[Name Surname]],Manpower!$C$4:$C$1048576,Manpower!$H$4:$H$1048576,"")</f>
        <v>Manpower</v>
      </c>
      <c r="J2042" s="43" t="s">
        <v>35</v>
      </c>
      <c r="K2042" s="43" t="s">
        <v>252</v>
      </c>
      <c r="L2042" s="43" t="s">
        <v>82</v>
      </c>
      <c r="M2042" s="43" t="s">
        <v>24</v>
      </c>
      <c r="N2042" s="44">
        <v>10</v>
      </c>
      <c r="O2042" s="43" t="s">
        <v>25</v>
      </c>
      <c r="P2042" s="43" t="s">
        <v>41</v>
      </c>
      <c r="Q2042" s="43" t="s">
        <v>77</v>
      </c>
      <c r="R2042" s="43" t="s">
        <v>332</v>
      </c>
      <c r="S2042" s="43"/>
    </row>
    <row r="2043" spans="1:19" s="45" customFormat="1" ht="14.4" hidden="1">
      <c r="A2043" s="25">
        <f>IF(C2043="","",MAX($A$1:A2042)+1)</f>
        <v>1921</v>
      </c>
      <c r="B2043" s="25" t="s">
        <v>79</v>
      </c>
      <c r="C2043" s="41">
        <v>46098</v>
      </c>
      <c r="D2043" s="48" t="str">
        <f>_xlfn.XLOOKUP(Table134526_79101120212223242526[[#This Row],[Name Surname]],Manpower!$C$4:$C$1048576,Manpower!$B$4:$B$1048576,"")</f>
        <v>Encogroup</v>
      </c>
      <c r="E2043" s="43" t="s">
        <v>99</v>
      </c>
      <c r="F2043" s="12">
        <f>_xlfn.XLOOKUP(Table134526_79101120212223242526[[#This Row],[Name Surname]],Manpower!C:C,Manpower!D:D,)</f>
        <v>140697025</v>
      </c>
      <c r="G2043" s="48" t="str">
        <f>_xlfn.XLOOKUP(Table134526_79101120212223242526[[#This Row],[Name Surname]],Manpower!$C$4:$C$1048576,Manpower!$F$4:$F$1048576,"")</f>
        <v>Assistant/Helper</v>
      </c>
      <c r="H2043" s="48" t="str">
        <f>_xlfn.XLOOKUP(Table134526_79101120212223242526[[#This Row],[Name Surname]],Manpower!$C$4:$C$1048576,Manpower!$H$4:$H$1048576,"")</f>
        <v>Manpower</v>
      </c>
      <c r="I2043" s="48" t="str">
        <f>_xlfn.XLOOKUP(Table134526_79101120212223242526[[#This Row],[Name Surname]],Manpower!$C$4:$C$1048576,Manpower!$H$4:$H$1048576,"")</f>
        <v>Manpower</v>
      </c>
      <c r="J2043" s="43" t="s">
        <v>35</v>
      </c>
      <c r="K2043" s="43" t="s">
        <v>252</v>
      </c>
      <c r="L2043" s="43" t="s">
        <v>82</v>
      </c>
      <c r="M2043" s="43" t="s">
        <v>24</v>
      </c>
      <c r="N2043" s="44">
        <v>10</v>
      </c>
      <c r="O2043" s="43" t="s">
        <v>25</v>
      </c>
      <c r="P2043" s="43" t="s">
        <v>41</v>
      </c>
      <c r="Q2043" s="43" t="s">
        <v>60</v>
      </c>
      <c r="R2043" s="43" t="s">
        <v>100</v>
      </c>
      <c r="S2043" s="43"/>
    </row>
    <row r="2044" spans="1:19" s="45" customFormat="1" ht="14.4" hidden="1">
      <c r="A2044" s="25">
        <f>IF(C2044="","",MAX($A$1:A2043)+1)</f>
        <v>1922</v>
      </c>
      <c r="B2044" s="25" t="s">
        <v>79</v>
      </c>
      <c r="C2044" s="41">
        <v>46098</v>
      </c>
      <c r="D2044" s="48" t="str">
        <f>_xlfn.XLOOKUP(Table134526_79101120212223242526[[#This Row],[Name Surname]],Manpower!$C$4:$C$1048576,Manpower!$B$4:$B$1048576,"")</f>
        <v>Encogroup</v>
      </c>
      <c r="E2044" s="43" t="s">
        <v>101</v>
      </c>
      <c r="F2044" s="12">
        <f>_xlfn.XLOOKUP(Table134526_79101120212223242526[[#This Row],[Name Surname]],Manpower!C:C,Manpower!D:D,)</f>
        <v>141169052</v>
      </c>
      <c r="G2044" s="48" t="str">
        <f>_xlfn.XLOOKUP(Table134526_79101120212223242526[[#This Row],[Name Surname]],Manpower!$C$4:$C$1048576,Manpower!$F$4:$F$1048576,"")</f>
        <v>Welder</v>
      </c>
      <c r="H2044" s="48" t="str">
        <f>_xlfn.XLOOKUP(Table134526_79101120212223242526[[#This Row],[Name Surname]],Manpower!$C$4:$C$1048576,Manpower!$H$4:$H$1048576,"")</f>
        <v>Manpower</v>
      </c>
      <c r="I2044" s="48" t="str">
        <f>_xlfn.XLOOKUP(Table134526_79101120212223242526[[#This Row],[Name Surname]],Manpower!$C$4:$C$1048576,Manpower!$H$4:$H$1048576,"")</f>
        <v>Manpower</v>
      </c>
      <c r="J2044" s="43" t="s">
        <v>35</v>
      </c>
      <c r="K2044" s="43" t="s">
        <v>252</v>
      </c>
      <c r="L2044" s="43" t="s">
        <v>82</v>
      </c>
      <c r="M2044" s="43" t="s">
        <v>24</v>
      </c>
      <c r="N2044" s="44">
        <v>10</v>
      </c>
      <c r="O2044" s="43" t="s">
        <v>25</v>
      </c>
      <c r="P2044" s="43" t="s">
        <v>41</v>
      </c>
      <c r="Q2044" s="43" t="s">
        <v>77</v>
      </c>
      <c r="R2044" s="43" t="s">
        <v>332</v>
      </c>
      <c r="S2044" s="43"/>
    </row>
    <row r="2045" spans="1:19" s="45" customFormat="1" ht="14.4" hidden="1">
      <c r="A2045" s="25">
        <f>IF(C2045="","",MAX($A$1:A2044)+1)</f>
        <v>1923</v>
      </c>
      <c r="B2045" s="25" t="s">
        <v>79</v>
      </c>
      <c r="C2045" s="41">
        <v>46098</v>
      </c>
      <c r="D2045" s="48" t="str">
        <f>_xlfn.XLOOKUP(Table134526_79101120212223242526[[#This Row],[Name Surname]],Manpower!$C$4:$C$1048576,Manpower!$B$4:$B$1048576,"")</f>
        <v>Encogroup</v>
      </c>
      <c r="E2045" s="43" t="s">
        <v>105</v>
      </c>
      <c r="F2045" s="12">
        <f>_xlfn.XLOOKUP(Table134526_79101120212223242526[[#This Row],[Name Surname]],Manpower!C:C,Manpower!D:D,)</f>
        <v>141358993</v>
      </c>
      <c r="G2045" s="48" t="str">
        <f>_xlfn.XLOOKUP(Table134526_79101120212223242526[[#This Row],[Name Surname]],Manpower!$C$4:$C$1048576,Manpower!$F$4:$F$1048576,"")</f>
        <v>Fitter</v>
      </c>
      <c r="H2045" s="48" t="str">
        <f>_xlfn.XLOOKUP(Table134526_79101120212223242526[[#This Row],[Name Surname]],Manpower!$C$4:$C$1048576,Manpower!$H$4:$H$1048576,"")</f>
        <v>Manpower</v>
      </c>
      <c r="I2045" s="48" t="str">
        <f>_xlfn.XLOOKUP(Table134526_79101120212223242526[[#This Row],[Name Surname]],Manpower!$C$4:$C$1048576,Manpower!$H$4:$H$1048576,"")</f>
        <v>Manpower</v>
      </c>
      <c r="J2045" s="43" t="s">
        <v>35</v>
      </c>
      <c r="K2045" s="43" t="s">
        <v>252</v>
      </c>
      <c r="L2045" s="43" t="s">
        <v>82</v>
      </c>
      <c r="M2045" s="43" t="s">
        <v>24</v>
      </c>
      <c r="N2045" s="44">
        <v>8</v>
      </c>
      <c r="O2045" s="43" t="s">
        <v>25</v>
      </c>
      <c r="P2045" s="43" t="s">
        <v>41</v>
      </c>
      <c r="Q2045" s="43" t="s">
        <v>77</v>
      </c>
      <c r="R2045" s="43" t="s">
        <v>332</v>
      </c>
      <c r="S2045" s="43"/>
    </row>
    <row r="2046" spans="1:19" s="45" customFormat="1" ht="14.4" hidden="1">
      <c r="A2046" s="25">
        <f>IF(C2046="","",MAX($A$1:A2045)+1)</f>
        <v>1924</v>
      </c>
      <c r="B2046" s="25" t="s">
        <v>79</v>
      </c>
      <c r="C2046" s="41">
        <v>46098</v>
      </c>
      <c r="D2046" s="48" t="str">
        <f>_xlfn.XLOOKUP(Table134526_79101120212223242526[[#This Row],[Name Surname]],Manpower!$C$4:$C$1048576,Manpower!$B$4:$B$1048576,"")</f>
        <v>Encogroup</v>
      </c>
      <c r="E2046" s="43" t="s">
        <v>106</v>
      </c>
      <c r="F2046" s="12" t="str">
        <f>_xlfn.XLOOKUP(Table134526_79101120212223242526[[#This Row],[Name Surname]],Manpower!C:C,Manpower!D:D,)</f>
        <v>R3971143</v>
      </c>
      <c r="G2046" s="48" t="str">
        <f>_xlfn.XLOOKUP(Table134526_79101120212223242526[[#This Row],[Name Surname]],Manpower!$C$4:$C$1048576,Manpower!$F$4:$F$1048576,"")</f>
        <v>Mechanical Foreman</v>
      </c>
      <c r="H2046" s="48" t="str">
        <f>_xlfn.XLOOKUP(Table134526_79101120212223242526[[#This Row],[Name Surname]],Manpower!$C$4:$C$1048576,Manpower!$H$4:$H$1048576,"")</f>
        <v>Manpower</v>
      </c>
      <c r="I2046" s="48" t="str">
        <f>_xlfn.XLOOKUP(Table134526_79101120212223242526[[#This Row],[Name Surname]],Manpower!$C$4:$C$1048576,Manpower!$H$4:$H$1048576,"")</f>
        <v>Manpower</v>
      </c>
      <c r="J2046" s="43" t="s">
        <v>35</v>
      </c>
      <c r="K2046" s="43" t="s">
        <v>252</v>
      </c>
      <c r="L2046" s="43" t="s">
        <v>82</v>
      </c>
      <c r="M2046" s="43" t="s">
        <v>24</v>
      </c>
      <c r="N2046" s="44">
        <v>10</v>
      </c>
      <c r="O2046" s="43" t="s">
        <v>25</v>
      </c>
      <c r="P2046" s="43" t="s">
        <v>41</v>
      </c>
      <c r="Q2046" s="43" t="s">
        <v>60</v>
      </c>
      <c r="R2046" s="43" t="s">
        <v>334</v>
      </c>
      <c r="S2046" s="43"/>
    </row>
    <row r="2047" spans="1:19" s="45" customFormat="1" ht="14.4" hidden="1">
      <c r="A2047" s="25">
        <f>IF(C2047="","",MAX($A$1:A2046)+1)</f>
        <v>1925</v>
      </c>
      <c r="B2047" s="25" t="s">
        <v>79</v>
      </c>
      <c r="C2047" s="41">
        <v>46098</v>
      </c>
      <c r="D2047" s="48" t="str">
        <f>_xlfn.XLOOKUP(Table134526_79101120212223242526[[#This Row],[Name Surname]],Manpower!$C$4:$C$1048576,Manpower!$B$4:$B$1048576,"")</f>
        <v>Encogroup</v>
      </c>
      <c r="E2047" s="43" t="s">
        <v>107</v>
      </c>
      <c r="F2047" s="12">
        <f>_xlfn.XLOOKUP(Table134526_79101120212223242526[[#This Row],[Name Surname]],Manpower!C:C,Manpower!D:D,)</f>
        <v>116858297</v>
      </c>
      <c r="G2047" s="48" t="str">
        <f>_xlfn.XLOOKUP(Table134526_79101120212223242526[[#This Row],[Name Surname]],Manpower!$C$4:$C$1048576,Manpower!$F$4:$F$1048576,"")</f>
        <v>Mechanical Superintendent</v>
      </c>
      <c r="H2047" s="48" t="str">
        <f>_xlfn.XLOOKUP(Table134526_79101120212223242526[[#This Row],[Name Surname]],Manpower!$C$4:$C$1048576,Manpower!$H$4:$H$1048576,"")</f>
        <v>Manpower</v>
      </c>
      <c r="I2047" s="48" t="str">
        <f>_xlfn.XLOOKUP(Table134526_79101120212223242526[[#This Row],[Name Surname]],Manpower!$C$4:$C$1048576,Manpower!$H$4:$H$1048576,"")</f>
        <v>Manpower</v>
      </c>
      <c r="J2047" s="43" t="s">
        <v>35</v>
      </c>
      <c r="K2047" s="43" t="s">
        <v>252</v>
      </c>
      <c r="L2047" s="43" t="s">
        <v>82</v>
      </c>
      <c r="M2047" s="43" t="s">
        <v>24</v>
      </c>
      <c r="N2047" s="44">
        <v>8</v>
      </c>
      <c r="O2047" s="43" t="s">
        <v>25</v>
      </c>
      <c r="P2047" s="43" t="s">
        <v>41</v>
      </c>
      <c r="Q2047" s="43" t="s">
        <v>60</v>
      </c>
      <c r="R2047" s="43" t="s">
        <v>337</v>
      </c>
      <c r="S2047" s="43"/>
    </row>
    <row r="2048" spans="1:19" s="45" customFormat="1" ht="14.4" hidden="1">
      <c r="A2048" s="25">
        <f>IF(C2048="","",MAX($A$1:A2047)+1)</f>
        <v>1926</v>
      </c>
      <c r="B2048" s="25" t="s">
        <v>79</v>
      </c>
      <c r="C2048" s="41">
        <v>46098</v>
      </c>
      <c r="D2048" s="48" t="str">
        <f>_xlfn.XLOOKUP(Table134526_79101120212223242526[[#This Row],[Name Surname]],Manpower!$C$4:$C$1048576,Manpower!$B$4:$B$1048576,"")</f>
        <v>Encogroup</v>
      </c>
      <c r="E2048" s="43" t="s">
        <v>126</v>
      </c>
      <c r="F2048" s="12">
        <f>_xlfn.XLOOKUP(Table134526_79101120212223242526[[#This Row],[Name Surname]],Manpower!C:C,Manpower!D:D,)</f>
        <v>140805568</v>
      </c>
      <c r="G2048" s="48" t="str">
        <f>_xlfn.XLOOKUP(Table134526_79101120212223242526[[#This Row],[Name Surname]],Manpower!$C$4:$C$1048576,Manpower!$F$4:$F$1048576,"")</f>
        <v>Assistant/Helper</v>
      </c>
      <c r="H2048" s="48" t="str">
        <f>_xlfn.XLOOKUP(Table134526_79101120212223242526[[#This Row],[Name Surname]],Manpower!$C$4:$C$1048576,Manpower!$H$4:$H$1048576,"")</f>
        <v>Manpower</v>
      </c>
      <c r="I2048" s="48" t="str">
        <f>_xlfn.XLOOKUP(Table134526_79101120212223242526[[#This Row],[Name Surname]],Manpower!$C$4:$C$1048576,Manpower!$H$4:$H$1048576,"")</f>
        <v>Manpower</v>
      </c>
      <c r="J2048" s="43" t="s">
        <v>35</v>
      </c>
      <c r="K2048" s="43" t="s">
        <v>252</v>
      </c>
      <c r="L2048" s="43" t="s">
        <v>82</v>
      </c>
      <c r="M2048" s="43" t="s">
        <v>24</v>
      </c>
      <c r="N2048" s="44">
        <v>10</v>
      </c>
      <c r="O2048" s="43" t="s">
        <v>40</v>
      </c>
      <c r="P2048" s="43" t="s">
        <v>41</v>
      </c>
      <c r="Q2048" s="43" t="s">
        <v>128</v>
      </c>
      <c r="R2048" s="43" t="s">
        <v>270</v>
      </c>
      <c r="S2048" s="43"/>
    </row>
    <row r="2049" spans="1:19" s="45" customFormat="1" ht="14.4" hidden="1">
      <c r="A2049" s="25">
        <f>IF(C2049="","",MAX($A$1:A2048)+1)</f>
        <v>1927</v>
      </c>
      <c r="B2049" s="25" t="s">
        <v>79</v>
      </c>
      <c r="C2049" s="41">
        <v>46098</v>
      </c>
      <c r="D2049" s="48" t="str">
        <f>_xlfn.XLOOKUP(Table134526_79101120212223242526[[#This Row],[Name Surname]],Manpower!$C$4:$C$1048576,Manpower!$B$4:$B$1048576,"")</f>
        <v>Encogroup</v>
      </c>
      <c r="E2049" s="43" t="s">
        <v>109</v>
      </c>
      <c r="F2049" s="12">
        <f>_xlfn.XLOOKUP(Table134526_79101120212223242526[[#This Row],[Name Surname]],Manpower!C:C,Manpower!D:D,)</f>
        <v>123805496</v>
      </c>
      <c r="G2049" s="48" t="str">
        <f>_xlfn.XLOOKUP(Table134526_79101120212223242526[[#This Row],[Name Surname]],Manpower!$C$4:$C$1048576,Manpower!$F$4:$F$1048576,"")</f>
        <v>Fitter/Erector</v>
      </c>
      <c r="H2049" s="48" t="str">
        <f>_xlfn.XLOOKUP(Table134526_79101120212223242526[[#This Row],[Name Surname]],Manpower!$C$4:$C$1048576,Manpower!$H$4:$H$1048576,"")</f>
        <v>Manpower</v>
      </c>
      <c r="I2049" s="48" t="str">
        <f>_xlfn.XLOOKUP(Table134526_79101120212223242526[[#This Row],[Name Surname]],Manpower!$C$4:$C$1048576,Manpower!$H$4:$H$1048576,"")</f>
        <v>Manpower</v>
      </c>
      <c r="J2049" s="43" t="s">
        <v>35</v>
      </c>
      <c r="K2049" s="43" t="s">
        <v>252</v>
      </c>
      <c r="L2049" s="43" t="s">
        <v>82</v>
      </c>
      <c r="M2049" s="43" t="s">
        <v>24</v>
      </c>
      <c r="N2049" s="44">
        <v>8</v>
      </c>
      <c r="O2049" s="43" t="s">
        <v>25</v>
      </c>
      <c r="P2049" s="43" t="s">
        <v>41</v>
      </c>
      <c r="Q2049" s="43" t="s">
        <v>60</v>
      </c>
      <c r="R2049" s="43" t="s">
        <v>334</v>
      </c>
      <c r="S2049" s="43"/>
    </row>
    <row r="2050" spans="1:19" ht="14.4" hidden="1">
      <c r="A2050" s="33">
        <f>IF(C2050="","",MAX($A$1:A2049)+1)</f>
        <v>1928</v>
      </c>
      <c r="B2050" s="26" t="s">
        <v>79</v>
      </c>
      <c r="C2050" s="23">
        <v>46098</v>
      </c>
      <c r="D2050" s="28" t="str">
        <f>_xlfn.XLOOKUP(Table134526_79101120212223242526[[#This Row],[Name Surname]],Manpower!$C$4:$C$1048576,Manpower!$B$4:$B$1048576,"")</f>
        <v>Encogroup</v>
      </c>
      <c r="E2050" s="21" t="s">
        <v>110</v>
      </c>
      <c r="F2050" s="12">
        <f>_xlfn.XLOOKUP(Table134526_79101120212223242526[[#This Row],[Name Surname]],Manpower!C:C,Manpower!D:D,)</f>
        <v>136277866</v>
      </c>
      <c r="G2050" s="28" t="str">
        <f>_xlfn.XLOOKUP(Table134526_79101120212223242526[[#This Row],[Name Surname]],Manpower!$C$4:$C$1048576,Manpower!$F$4:$F$1048576,"")</f>
        <v>Permit Receiver</v>
      </c>
      <c r="H2050" s="28" t="str">
        <f>_xlfn.XLOOKUP(Table134526_79101120212223242526[[#This Row],[Name Surname]],Manpower!$C$4:$C$1048576,Manpower!$H$4:$H$1048576,"")</f>
        <v>Manpower</v>
      </c>
      <c r="I2050" s="28" t="str">
        <f>_xlfn.XLOOKUP(Table134526_79101120212223242526[[#This Row],[Name Surname]],Manpower!$C$4:$C$1048576,Manpower!$H$4:$H$1048576,"")</f>
        <v>Manpower</v>
      </c>
      <c r="J2050" s="21" t="s">
        <v>35</v>
      </c>
      <c r="K2050" s="21" t="s">
        <v>252</v>
      </c>
      <c r="L2050" s="21" t="s">
        <v>82</v>
      </c>
      <c r="M2050" s="21" t="s">
        <v>24</v>
      </c>
      <c r="N2050" s="29">
        <v>10</v>
      </c>
      <c r="O2050" s="21" t="s">
        <v>25</v>
      </c>
      <c r="P2050" s="21" t="s">
        <v>41</v>
      </c>
      <c r="Q2050" s="21" t="s">
        <v>60</v>
      </c>
      <c r="R2050" s="21" t="s">
        <v>337</v>
      </c>
    </row>
    <row r="2051" spans="1:19" s="45" customFormat="1" ht="14.4" hidden="1">
      <c r="A2051" s="25">
        <f>IF(C2051="","",MAX($A$1:A2050)+1)</f>
        <v>1929</v>
      </c>
      <c r="B2051" s="25" t="s">
        <v>79</v>
      </c>
      <c r="C2051" s="41">
        <v>46098</v>
      </c>
      <c r="D2051" s="48" t="str">
        <f>_xlfn.XLOOKUP(Table134526_79101120212223242526[[#This Row],[Name Surname]],Manpower!$C$4:$C$1048576,Manpower!$B$4:$B$1048576,"")</f>
        <v>Encogroup</v>
      </c>
      <c r="E2051" s="43" t="s">
        <v>112</v>
      </c>
      <c r="F2051" s="12">
        <f>_xlfn.XLOOKUP(Table134526_79101120212223242526[[#This Row],[Name Surname]],Manpower!C:C,Manpower!D:D,)</f>
        <v>140663253</v>
      </c>
      <c r="G2051" s="48" t="str">
        <f>_xlfn.XLOOKUP(Table134526_79101120212223242526[[#This Row],[Name Surname]],Manpower!$C$4:$C$1048576,Manpower!$F$4:$F$1048576,"")</f>
        <v>Painting Inspector</v>
      </c>
      <c r="H2051" s="48" t="str">
        <f>_xlfn.XLOOKUP(Table134526_79101120212223242526[[#This Row],[Name Surname]],Manpower!$C$4:$C$1048576,Manpower!$H$4:$H$1048576,"")</f>
        <v>Manpower</v>
      </c>
      <c r="I2051" s="48" t="str">
        <f>_xlfn.XLOOKUP(Table134526_79101120212223242526[[#This Row],[Name Surname]],Manpower!$C$4:$C$1048576,Manpower!$H$4:$H$1048576,"")</f>
        <v>Manpower</v>
      </c>
      <c r="J2051" s="43" t="s">
        <v>35</v>
      </c>
      <c r="K2051" s="43" t="s">
        <v>304</v>
      </c>
      <c r="L2051" s="43" t="s">
        <v>82</v>
      </c>
      <c r="M2051" s="43" t="s">
        <v>24</v>
      </c>
      <c r="N2051" s="44">
        <v>8</v>
      </c>
      <c r="O2051" s="43" t="s">
        <v>94</v>
      </c>
      <c r="P2051" s="43" t="s">
        <v>114</v>
      </c>
      <c r="Q2051" s="43" t="s">
        <v>114</v>
      </c>
      <c r="R2051" s="43" t="s">
        <v>302</v>
      </c>
      <c r="S2051" s="43"/>
    </row>
    <row r="2052" spans="1:19" s="45" customFormat="1" ht="14.4" hidden="1">
      <c r="A2052" s="25">
        <f>IF(C2052="","",MAX($A$1:A2051)+1)</f>
        <v>1930</v>
      </c>
      <c r="B2052" s="25" t="s">
        <v>79</v>
      </c>
      <c r="C2052" s="41">
        <v>46098</v>
      </c>
      <c r="D2052" s="48" t="str">
        <f>_xlfn.XLOOKUP(Table134526_79101120212223242526[[#This Row],[Name Surname]],Manpower!$C$4:$C$1048576,Manpower!$B$4:$B$1048576,"")</f>
        <v>Encogroup</v>
      </c>
      <c r="E2052" s="43" t="s">
        <v>117</v>
      </c>
      <c r="F2052" s="12">
        <f>_xlfn.XLOOKUP(Table134526_79101120212223242526[[#This Row],[Name Surname]],Manpower!C:C,Manpower!D:D,)</f>
        <v>140844783</v>
      </c>
      <c r="G2052" s="48" t="str">
        <f>_xlfn.XLOOKUP(Table134526_79101120212223242526[[#This Row],[Name Surname]],Manpower!$C$4:$C$1048576,Manpower!$F$4:$F$1048576,"")</f>
        <v>Painter</v>
      </c>
      <c r="H2052" s="48" t="str">
        <f>_xlfn.XLOOKUP(Table134526_79101120212223242526[[#This Row],[Name Surname]],Manpower!$C$4:$C$1048576,Manpower!$H$4:$H$1048576,"")</f>
        <v>Manpower</v>
      </c>
      <c r="I2052" s="48" t="str">
        <f>_xlfn.XLOOKUP(Table134526_79101120212223242526[[#This Row],[Name Surname]],Manpower!$C$4:$C$1048576,Manpower!$H$4:$H$1048576,"")</f>
        <v>Manpower</v>
      </c>
      <c r="J2052" s="43" t="s">
        <v>35</v>
      </c>
      <c r="K2052" s="43" t="s">
        <v>304</v>
      </c>
      <c r="L2052" s="43" t="s">
        <v>82</v>
      </c>
      <c r="M2052" s="43" t="s">
        <v>24</v>
      </c>
      <c r="N2052" s="44">
        <v>10</v>
      </c>
      <c r="O2052" s="43" t="s">
        <v>94</v>
      </c>
      <c r="P2052" s="43" t="s">
        <v>114</v>
      </c>
      <c r="Q2052" s="43" t="s">
        <v>114</v>
      </c>
      <c r="R2052" s="43" t="s">
        <v>302</v>
      </c>
      <c r="S2052" s="43"/>
    </row>
    <row r="2053" spans="1:19" s="45" customFormat="1" ht="14.4" hidden="1">
      <c r="A2053" s="25">
        <f>IF(C2053="","",MAX($A$1:A2052)+1)</f>
        <v>1931</v>
      </c>
      <c r="B2053" s="25" t="s">
        <v>79</v>
      </c>
      <c r="C2053" s="41">
        <v>46098</v>
      </c>
      <c r="D2053" s="48" t="str">
        <f>_xlfn.XLOOKUP(Table134526_79101120212223242526[[#This Row],[Name Surname]],Manpower!$C$4:$C$1048576,Manpower!$B$4:$B$1048576,"")</f>
        <v>Encogroup</v>
      </c>
      <c r="E2053" s="43" t="s">
        <v>118</v>
      </c>
      <c r="F2053" s="12" t="str">
        <f>_xlfn.XLOOKUP(Table134526_79101120212223242526[[#This Row],[Name Surname]],Manpower!C:C,Manpower!D:D,)</f>
        <v>AG111207</v>
      </c>
      <c r="G2053" s="48" t="str">
        <f>_xlfn.XLOOKUP(Table134526_79101120212223242526[[#This Row],[Name Surname]],Manpower!$C$4:$C$1048576,Manpower!$F$4:$F$1048576,"")</f>
        <v>Assistant/Helper</v>
      </c>
      <c r="H2053" s="48" t="str">
        <f>_xlfn.XLOOKUP(Table134526_79101120212223242526[[#This Row],[Name Surname]],Manpower!$C$4:$C$1048576,Manpower!$H$4:$H$1048576,"")</f>
        <v>Manpower</v>
      </c>
      <c r="I2053" s="48" t="str">
        <f>_xlfn.XLOOKUP(Table134526_79101120212223242526[[#This Row],[Name Surname]],Manpower!$C$4:$C$1048576,Manpower!$H$4:$H$1048576,"")</f>
        <v>Manpower</v>
      </c>
      <c r="J2053" s="43" t="s">
        <v>35</v>
      </c>
      <c r="K2053" s="43" t="s">
        <v>304</v>
      </c>
      <c r="L2053" s="43" t="s">
        <v>82</v>
      </c>
      <c r="M2053" s="43" t="s">
        <v>24</v>
      </c>
      <c r="N2053" s="44">
        <v>10</v>
      </c>
      <c r="O2053" s="43" t="s">
        <v>94</v>
      </c>
      <c r="P2053" s="43" t="s">
        <v>114</v>
      </c>
      <c r="Q2053" s="43" t="s">
        <v>114</v>
      </c>
      <c r="R2053" s="43" t="s">
        <v>302</v>
      </c>
      <c r="S2053" s="43"/>
    </row>
    <row r="2054" spans="1:19" s="45" customFormat="1" ht="14.4" hidden="1">
      <c r="A2054" s="25">
        <f>IF(C2054="","",MAX($A$1:A2053)+1)</f>
        <v>1932</v>
      </c>
      <c r="B2054" s="25" t="s">
        <v>79</v>
      </c>
      <c r="C2054" s="41">
        <v>46098</v>
      </c>
      <c r="D2054" s="48" t="str">
        <f>_xlfn.XLOOKUP(Table134526_79101120212223242526[[#This Row],[Name Surname]],Manpower!$C$4:$C$1048576,Manpower!$B$4:$B$1048576,"")</f>
        <v>Encogroup</v>
      </c>
      <c r="E2054" s="43" t="s">
        <v>115</v>
      </c>
      <c r="F2054" s="12">
        <f>_xlfn.XLOOKUP(Table134526_79101120212223242526[[#This Row],[Name Surname]],Manpower!C:C,Manpower!D:D,)</f>
        <v>140796986</v>
      </c>
      <c r="G2054" s="48" t="str">
        <f>_xlfn.XLOOKUP(Table134526_79101120212223242526[[#This Row],[Name Surname]],Manpower!$C$4:$C$1048576,Manpower!$F$4:$F$1048576,"")</f>
        <v>Mechanical QC</v>
      </c>
      <c r="H2054" s="48" t="str">
        <f>_xlfn.XLOOKUP(Table134526_79101120212223242526[[#This Row],[Name Surname]],Manpower!$C$4:$C$1048576,Manpower!$H$4:$H$1048576,"")</f>
        <v>Manpower</v>
      </c>
      <c r="I2054" s="48" t="str">
        <f>_xlfn.XLOOKUP(Table134526_79101120212223242526[[#This Row],[Name Surname]],Manpower!$C$4:$C$1048576,Manpower!$H$4:$H$1048576,"")</f>
        <v>Manpower</v>
      </c>
      <c r="J2054" s="43" t="s">
        <v>35</v>
      </c>
      <c r="K2054" s="43" t="s">
        <v>252</v>
      </c>
      <c r="L2054" s="43" t="s">
        <v>82</v>
      </c>
      <c r="M2054" s="43" t="s">
        <v>24</v>
      </c>
      <c r="N2054" s="44">
        <v>10</v>
      </c>
      <c r="O2054" s="43" t="s">
        <v>25</v>
      </c>
      <c r="P2054" s="43" t="s">
        <v>41</v>
      </c>
      <c r="Q2054" s="43" t="s">
        <v>77</v>
      </c>
      <c r="R2054" s="43" t="s">
        <v>332</v>
      </c>
      <c r="S2054" s="43"/>
    </row>
    <row r="2055" spans="1:19" s="45" customFormat="1" ht="14.4" hidden="1">
      <c r="A2055" s="25">
        <f>IF(C2055="","",MAX($A$1:A2053)+1)</f>
        <v>1932</v>
      </c>
      <c r="B2055" s="25" t="s">
        <v>79</v>
      </c>
      <c r="C2055" s="41">
        <v>46098</v>
      </c>
      <c r="D2055" s="48" t="str">
        <f>_xlfn.XLOOKUP(Table134526_79101120212223242526[[#This Row],[Name Surname]],Manpower!$C$4:$C$1048576,Manpower!$B$4:$B$1048576,"")</f>
        <v>Encogroup</v>
      </c>
      <c r="E2055" s="43" t="s">
        <v>92</v>
      </c>
      <c r="F2055" s="12">
        <f>_xlfn.XLOOKUP(Table134526_79101120212223242526[[#This Row],[Name Surname]],Manpower!C:C,Manpower!D:D,)</f>
        <v>141377747</v>
      </c>
      <c r="G2055" s="48" t="str">
        <f>_xlfn.XLOOKUP(Table134526_79101120212223242526[[#This Row],[Name Surname]],Manpower!$C$4:$C$1048576,Manpower!$F$4:$F$1048576,"")</f>
        <v>Painter</v>
      </c>
      <c r="H2055" s="48" t="str">
        <f>_xlfn.XLOOKUP(Table134526_79101120212223242526[[#This Row],[Name Surname]],Manpower!$C$4:$C$1048576,Manpower!$H$4:$H$1048576,"")</f>
        <v>Manpower</v>
      </c>
      <c r="I2055" s="48" t="str">
        <f>_xlfn.XLOOKUP(Table134526_79101120212223242526[[#This Row],[Name Surname]],Manpower!$C$4:$C$1048576,Manpower!$H$4:$H$1048576,"")</f>
        <v>Manpower</v>
      </c>
      <c r="J2055" s="43" t="s">
        <v>35</v>
      </c>
      <c r="K2055" s="43" t="s">
        <v>252</v>
      </c>
      <c r="L2055" s="43" t="s">
        <v>82</v>
      </c>
      <c r="M2055" s="43" t="s">
        <v>24</v>
      </c>
      <c r="N2055" s="44">
        <v>10</v>
      </c>
      <c r="O2055" s="43" t="s">
        <v>25</v>
      </c>
      <c r="P2055" s="43" t="s">
        <v>60</v>
      </c>
      <c r="Q2055" s="43" t="s">
        <v>60</v>
      </c>
      <c r="R2055" s="43" t="s">
        <v>338</v>
      </c>
      <c r="S2055" s="43"/>
    </row>
    <row r="2056" spans="1:19" s="45" customFormat="1" ht="14.4" hidden="1">
      <c r="A2056" s="25">
        <f>IF(C2056="","",MAX($A$1:A2055)+1)</f>
        <v>1933</v>
      </c>
      <c r="B2056" s="25" t="s">
        <v>79</v>
      </c>
      <c r="C2056" s="41">
        <v>46098</v>
      </c>
      <c r="D2056" s="48" t="str">
        <f>_xlfn.XLOOKUP(Table134526_79101120212223242526[[#This Row],[Name Surname]],Manpower!$C$4:$C$1048576,Manpower!$B$4:$B$1048576,"")</f>
        <v>Encogroup</v>
      </c>
      <c r="E2056" s="43" t="s">
        <v>173</v>
      </c>
      <c r="F2056" s="12" t="str">
        <f>_xlfn.XLOOKUP(Table134526_79101120212223242526[[#This Row],[Name Surname]],Manpower!C:C,Manpower!D:D,)</f>
        <v>S3549132</v>
      </c>
      <c r="G2056" s="48" t="str">
        <f>_xlfn.XLOOKUP(Table134526_79101120212223242526[[#This Row],[Name Surname]],Manpower!$C$4:$C$1048576,Manpower!$F$4:$F$1048576,"")</f>
        <v>Grinder</v>
      </c>
      <c r="H2056" s="48" t="str">
        <f>_xlfn.XLOOKUP(Table134526_79101120212223242526[[#This Row],[Name Surname]],Manpower!$C$4:$C$1048576,Manpower!$H$4:$H$1048576,"")</f>
        <v>Manpower</v>
      </c>
      <c r="I2056" s="48" t="str">
        <f>_xlfn.XLOOKUP(Table134526_79101120212223242526[[#This Row],[Name Surname]],Manpower!$C$4:$C$1048576,Manpower!$H$4:$H$1048576,"")</f>
        <v>Manpower</v>
      </c>
      <c r="J2056" s="43" t="s">
        <v>35</v>
      </c>
      <c r="K2056" s="43" t="s">
        <v>304</v>
      </c>
      <c r="L2056" s="43" t="s">
        <v>82</v>
      </c>
      <c r="M2056" s="43" t="s">
        <v>24</v>
      </c>
      <c r="N2056" s="44">
        <v>10</v>
      </c>
      <c r="O2056" s="43" t="s">
        <v>94</v>
      </c>
      <c r="P2056" s="43" t="s">
        <v>114</v>
      </c>
      <c r="Q2056" s="43" t="s">
        <v>114</v>
      </c>
      <c r="R2056" s="43" t="s">
        <v>302</v>
      </c>
      <c r="S2056" s="43"/>
    </row>
    <row r="2057" spans="1:19" s="45" customFormat="1" ht="14.4" hidden="1">
      <c r="A2057" s="25">
        <f>IF(C2057="","",MAX($A$1:A2056)+1)</f>
        <v>1934</v>
      </c>
      <c r="B2057" s="25" t="s">
        <v>79</v>
      </c>
      <c r="C2057" s="41">
        <v>46098</v>
      </c>
      <c r="D2057" s="48" t="str">
        <f>_xlfn.XLOOKUP(Table134526_79101120212223242526[[#This Row],[Name Surname]],Manpower!$C$4:$C$1048576,Manpower!$B$4:$B$1048576,"")</f>
        <v>Encogroup</v>
      </c>
      <c r="E2057" s="43" t="s">
        <v>119</v>
      </c>
      <c r="F2057" s="12">
        <f>_xlfn.XLOOKUP(Table134526_79101120212223242526[[#This Row],[Name Surname]],Manpower!C:C,Manpower!D:D,)</f>
        <v>140844778</v>
      </c>
      <c r="G2057" s="48" t="str">
        <f>_xlfn.XLOOKUP(Table134526_79101120212223242526[[#This Row],[Name Surname]],Manpower!$C$4:$C$1048576,Manpower!$F$4:$F$1048576,"")</f>
        <v>Painter</v>
      </c>
      <c r="H2057" s="48" t="str">
        <f>_xlfn.XLOOKUP(Table134526_79101120212223242526[[#This Row],[Name Surname]],Manpower!$C$4:$C$1048576,Manpower!$H$4:$H$1048576,"")</f>
        <v>Manpower</v>
      </c>
      <c r="I2057" s="48" t="str">
        <f>_xlfn.XLOOKUP(Table134526_79101120212223242526[[#This Row],[Name Surname]],Manpower!$C$4:$C$1048576,Manpower!$H$4:$H$1048576,"")</f>
        <v>Manpower</v>
      </c>
      <c r="J2057" s="43" t="s">
        <v>35</v>
      </c>
      <c r="K2057" s="43" t="s">
        <v>304</v>
      </c>
      <c r="L2057" s="43" t="s">
        <v>82</v>
      </c>
      <c r="M2057" s="43" t="s">
        <v>24</v>
      </c>
      <c r="N2057" s="44">
        <v>8</v>
      </c>
      <c r="O2057" s="43" t="s">
        <v>94</v>
      </c>
      <c r="P2057" s="43" t="s">
        <v>114</v>
      </c>
      <c r="Q2057" s="43" t="s">
        <v>114</v>
      </c>
      <c r="R2057" s="43" t="s">
        <v>302</v>
      </c>
      <c r="S2057" s="43"/>
    </row>
    <row r="2058" spans="1:19" s="45" customFormat="1" ht="14.4" hidden="1">
      <c r="A2058" s="25">
        <f>IF(C2058="","",MAX($A$1:A2057)+1)</f>
        <v>1935</v>
      </c>
      <c r="B2058" s="25" t="s">
        <v>79</v>
      </c>
      <c r="C2058" s="41">
        <v>46098</v>
      </c>
      <c r="D2058" s="48" t="str">
        <f>_xlfn.XLOOKUP(Table134526_79101120212223242526[[#This Row],[Name Surname]],Manpower!$C$4:$C$1048576,Manpower!$B$4:$B$1048576,"")</f>
        <v>Encogroup</v>
      </c>
      <c r="E2058" s="43" t="s">
        <v>122</v>
      </c>
      <c r="F2058" s="12">
        <f>_xlfn.XLOOKUP(Table134526_79101120212223242526[[#This Row],[Name Surname]],Manpower!C:C,Manpower!D:D,)</f>
        <v>140805554</v>
      </c>
      <c r="G2058" s="48" t="str">
        <f>_xlfn.XLOOKUP(Table134526_79101120212223242526[[#This Row],[Name Surname]],Manpower!$C$4:$C$1048576,Manpower!$F$4:$F$1048576,"")</f>
        <v>Assistant/Helper</v>
      </c>
      <c r="H2058" s="48" t="str">
        <f>_xlfn.XLOOKUP(Table134526_79101120212223242526[[#This Row],[Name Surname]],Manpower!$C$4:$C$1048576,Manpower!$H$4:$H$1048576,"")</f>
        <v>Manpower</v>
      </c>
      <c r="I2058" s="48" t="str">
        <f>_xlfn.XLOOKUP(Table134526_79101120212223242526[[#This Row],[Name Surname]],Manpower!$C$4:$C$1048576,Manpower!$H$4:$H$1048576,"")</f>
        <v>Manpower</v>
      </c>
      <c r="J2058" s="43" t="s">
        <v>35</v>
      </c>
      <c r="K2058" s="43" t="s">
        <v>252</v>
      </c>
      <c r="L2058" s="43" t="s">
        <v>82</v>
      </c>
      <c r="M2058" s="43" t="s">
        <v>24</v>
      </c>
      <c r="N2058" s="44">
        <v>10</v>
      </c>
      <c r="O2058" s="43" t="s">
        <v>25</v>
      </c>
      <c r="P2058" s="43" t="s">
        <v>41</v>
      </c>
      <c r="Q2058" s="43" t="s">
        <v>77</v>
      </c>
      <c r="R2058" s="43" t="s">
        <v>332</v>
      </c>
      <c r="S2058" s="43"/>
    </row>
    <row r="2059" spans="1:19" s="45" customFormat="1" ht="14.4" hidden="1">
      <c r="A2059" s="25">
        <f>IF(C2059="","",MAX($A$1:A2058)+1)</f>
        <v>1936</v>
      </c>
      <c r="B2059" s="25" t="s">
        <v>79</v>
      </c>
      <c r="C2059" s="41">
        <v>46098</v>
      </c>
      <c r="D2059" s="48" t="str">
        <f>_xlfn.XLOOKUP(Table134526_79101120212223242526[[#This Row],[Name Surname]],Manpower!$C$4:$C$1048576,Manpower!$B$4:$B$1048576,"")</f>
        <v>Encogroup</v>
      </c>
      <c r="E2059" s="43" t="s">
        <v>125</v>
      </c>
      <c r="F2059" s="12">
        <f>_xlfn.XLOOKUP(Table134526_79101120212223242526[[#This Row],[Name Surname]],Manpower!C:C,Manpower!D:D,)</f>
        <v>141169028</v>
      </c>
      <c r="G2059" s="48" t="str">
        <f>_xlfn.XLOOKUP(Table134526_79101120212223242526[[#This Row],[Name Surname]],Manpower!$C$4:$C$1048576,Manpower!$F$4:$F$1048576,"")</f>
        <v>Welder</v>
      </c>
      <c r="H2059" s="48" t="str">
        <f>_xlfn.XLOOKUP(Table134526_79101120212223242526[[#This Row],[Name Surname]],Manpower!$C$4:$C$1048576,Manpower!$H$4:$H$1048576,"")</f>
        <v>Manpower</v>
      </c>
      <c r="I2059" s="48" t="str">
        <f>_xlfn.XLOOKUP(Table134526_79101120212223242526[[#This Row],[Name Surname]],Manpower!$C$4:$C$1048576,Manpower!$H$4:$H$1048576,"")</f>
        <v>Manpower</v>
      </c>
      <c r="J2059" s="43" t="s">
        <v>35</v>
      </c>
      <c r="K2059" s="43" t="s">
        <v>252</v>
      </c>
      <c r="L2059" s="43" t="s">
        <v>82</v>
      </c>
      <c r="M2059" s="43" t="s">
        <v>24</v>
      </c>
      <c r="N2059" s="44">
        <v>10</v>
      </c>
      <c r="O2059" s="43" t="s">
        <v>25</v>
      </c>
      <c r="P2059" s="43" t="s">
        <v>41</v>
      </c>
      <c r="Q2059" s="43" t="s">
        <v>60</v>
      </c>
      <c r="R2059" s="43" t="s">
        <v>334</v>
      </c>
      <c r="S2059" s="43"/>
    </row>
    <row r="2060" spans="1:19" ht="14.4" hidden="1">
      <c r="A2060" s="33">
        <f>IF(C2060="","",MAX($A$1:A2059)+1)</f>
        <v>1937</v>
      </c>
      <c r="B2060" s="26" t="s">
        <v>79</v>
      </c>
      <c r="C2060" s="23">
        <v>46098</v>
      </c>
      <c r="D2060" s="28" t="str">
        <f>_xlfn.XLOOKUP(Table134526_79101120212223242526[[#This Row],[Name Surname]],Manpower!$C$4:$C$1048576,Manpower!$B$4:$B$1048576,"")</f>
        <v>AL Saif &amp; Al QALLM ENT LLC</v>
      </c>
      <c r="E2060" s="21" t="s">
        <v>130</v>
      </c>
      <c r="F2060" s="12">
        <f>_xlfn.XLOOKUP(Table134526_79101120212223242526[[#This Row],[Name Surname]],Manpower!C:C,Manpower!D:D,)</f>
        <v>76647648</v>
      </c>
      <c r="G2060" s="28" t="str">
        <f>_xlfn.XLOOKUP(Table134526_79101120212223242526[[#This Row],[Name Surname]],Manpower!$C$4:$C$1048576,Manpower!$F$4:$F$1048576,"")</f>
        <v>RIgger</v>
      </c>
      <c r="H2060" s="28" t="str">
        <f>_xlfn.XLOOKUP(Table134526_79101120212223242526[[#This Row],[Name Surname]],Manpower!$C$4:$C$1048576,Manpower!$H$4:$H$1048576,"")</f>
        <v>Sub Contactor</v>
      </c>
      <c r="I2060" s="28" t="str">
        <f>_xlfn.XLOOKUP(Table134526_79101120212223242526[[#This Row],[Name Surname]],Manpower!$C$4:$C$1048576,Manpower!$H$4:$H$1048576,"")</f>
        <v>Sub Contactor</v>
      </c>
      <c r="J2060" s="21" t="s">
        <v>35</v>
      </c>
      <c r="K2060" s="21" t="s">
        <v>252</v>
      </c>
      <c r="L2060" s="21" t="s">
        <v>82</v>
      </c>
      <c r="M2060" s="21" t="s">
        <v>24</v>
      </c>
      <c r="N2060" s="29">
        <v>8</v>
      </c>
      <c r="O2060" s="21" t="s">
        <v>25</v>
      </c>
      <c r="P2060" s="21" t="s">
        <v>41</v>
      </c>
      <c r="Q2060" s="21" t="s">
        <v>60</v>
      </c>
      <c r="R2060" s="21" t="s">
        <v>334</v>
      </c>
    </row>
    <row r="2061" spans="1:19" s="45" customFormat="1" ht="14.4" hidden="1">
      <c r="A2061" s="25">
        <f>IF(C2061="","",MAX($A$1:A2060)+1)</f>
        <v>1938</v>
      </c>
      <c r="B2061" s="25" t="s">
        <v>79</v>
      </c>
      <c r="C2061" s="41">
        <v>46098</v>
      </c>
      <c r="D2061" s="48" t="str">
        <f>_xlfn.XLOOKUP(Table134526_79101120212223242526[[#This Row],[Name Surname]],Manpower!$C$4:$C$1048576,Manpower!$B$4:$B$1048576,"")</f>
        <v>Rabwu Ahamal AL Khaleej Trad</v>
      </c>
      <c r="E2061" s="43" t="s">
        <v>131</v>
      </c>
      <c r="F2061" s="12">
        <f>_xlfn.XLOOKUP(Table134526_79101120212223242526[[#This Row],[Name Surname]],Manpower!C:C,Manpower!D:D,)</f>
        <v>131431131</v>
      </c>
      <c r="G2061" s="48" t="str">
        <f>_xlfn.XLOOKUP(Table134526_79101120212223242526[[#This Row],[Name Surname]],Manpower!$C$4:$C$1048576,Manpower!$F$4:$F$1048576,"")</f>
        <v>RIgger</v>
      </c>
      <c r="H2061" s="48" t="str">
        <f>_xlfn.XLOOKUP(Table134526_79101120212223242526[[#This Row],[Name Surname]],Manpower!$C$4:$C$1048576,Manpower!$H$4:$H$1048576,"")</f>
        <v>Sub Contactor</v>
      </c>
      <c r="I2061" s="48" t="str">
        <f>_xlfn.XLOOKUP(Table134526_79101120212223242526[[#This Row],[Name Surname]],Manpower!$C$4:$C$1048576,Manpower!$H$4:$H$1048576,"")</f>
        <v>Sub Contactor</v>
      </c>
      <c r="J2061" s="43" t="s">
        <v>35</v>
      </c>
      <c r="K2061" s="43" t="s">
        <v>252</v>
      </c>
      <c r="L2061" s="43" t="s">
        <v>82</v>
      </c>
      <c r="M2061" s="43" t="s">
        <v>24</v>
      </c>
      <c r="N2061" s="44">
        <v>8</v>
      </c>
      <c r="O2061" s="43" t="s">
        <v>25</v>
      </c>
      <c r="P2061" s="43" t="s">
        <v>41</v>
      </c>
      <c r="Q2061" s="43" t="s">
        <v>60</v>
      </c>
      <c r="R2061" s="43" t="s">
        <v>334</v>
      </c>
      <c r="S2061" s="43"/>
    </row>
    <row r="2062" spans="1:19" ht="14.4" hidden="1">
      <c r="A2062" s="33">
        <f>IF(C2062="","",MAX($A$1:A2061)+1)</f>
        <v>1939</v>
      </c>
      <c r="B2062" s="26" t="s">
        <v>79</v>
      </c>
      <c r="C2062" s="23">
        <v>46098</v>
      </c>
      <c r="D2062" s="28" t="str">
        <f>_xlfn.XLOOKUP(Table134526_79101120212223242526[[#This Row],[Name Surname]],Manpower!$C$4:$C$1048576,Manpower!$B$4:$B$1048576,"")</f>
        <v>AL Saif &amp; Al QALLM ENT LLC</v>
      </c>
      <c r="E2062" s="21" t="s">
        <v>132</v>
      </c>
      <c r="F2062" s="12">
        <f>_xlfn.XLOOKUP(Table134526_79101120212223242526[[#This Row],[Name Surname]],Manpower!C:C,Manpower!D:D,)</f>
        <v>135762195</v>
      </c>
      <c r="G2062" s="28" t="str">
        <f>_xlfn.XLOOKUP(Table134526_79101120212223242526[[#This Row],[Name Surname]],Manpower!$C$4:$C$1048576,Manpower!$F$4:$F$1048576,"")</f>
        <v>HSE Officer</v>
      </c>
      <c r="H2062" s="28" t="str">
        <f>_xlfn.XLOOKUP(Table134526_79101120212223242526[[#This Row],[Name Surname]],Manpower!$C$4:$C$1048576,Manpower!$H$4:$H$1048576,"")</f>
        <v>Sub Contactor</v>
      </c>
      <c r="I2062" s="28" t="str">
        <f>_xlfn.XLOOKUP(Table134526_79101120212223242526[[#This Row],[Name Surname]],Manpower!$C$4:$C$1048576,Manpower!$H$4:$H$1048576,"")</f>
        <v>Sub Contactor</v>
      </c>
      <c r="J2062" s="21" t="s">
        <v>35</v>
      </c>
      <c r="K2062" s="21" t="s">
        <v>252</v>
      </c>
      <c r="L2062" s="21" t="s">
        <v>82</v>
      </c>
      <c r="M2062" s="21" t="s">
        <v>24</v>
      </c>
      <c r="N2062" s="29">
        <v>10</v>
      </c>
      <c r="O2062" s="21" t="s">
        <v>25</v>
      </c>
      <c r="P2062" s="21" t="s">
        <v>41</v>
      </c>
      <c r="Q2062" s="21" t="s">
        <v>60</v>
      </c>
      <c r="R2062" s="21" t="s">
        <v>337</v>
      </c>
    </row>
    <row r="2063" spans="1:19" s="45" customFormat="1" ht="14.4" hidden="1">
      <c r="A2063" s="25">
        <f>IF(C2063="","",MAX($A$1:A2062)+1)</f>
        <v>1940</v>
      </c>
      <c r="B2063" s="25" t="s">
        <v>79</v>
      </c>
      <c r="C2063" s="41">
        <v>46098</v>
      </c>
      <c r="D2063" s="48" t="str">
        <f>_xlfn.XLOOKUP(Table134526_79101120212223242526[[#This Row],[Name Surname]],Manpower!$C$4:$C$1048576,Manpower!$B$4:$B$1048576,"")</f>
        <v>Encogroup</v>
      </c>
      <c r="E2063" s="43" t="s">
        <v>133</v>
      </c>
      <c r="F2063" s="12">
        <f>_xlfn.XLOOKUP(Table134526_79101120212223242526[[#This Row],[Name Surname]],Manpower!C:C,Manpower!D:D,)</f>
        <v>140846684</v>
      </c>
      <c r="G2063" s="48" t="str">
        <f>_xlfn.XLOOKUP(Table134526_79101120212223242526[[#This Row],[Name Surname]],Manpower!$C$4:$C$1048576,Manpower!$F$4:$F$1048576,"")</f>
        <v>Assistant/Helper</v>
      </c>
      <c r="H2063" s="48" t="str">
        <f>_xlfn.XLOOKUP(Table134526_79101120212223242526[[#This Row],[Name Surname]],Manpower!$C$4:$C$1048576,Manpower!$H$4:$H$1048576,"")</f>
        <v>Manpower</v>
      </c>
      <c r="I2063" s="48" t="str">
        <f>_xlfn.XLOOKUP(Table134526_79101120212223242526[[#This Row],[Name Surname]],Manpower!$C$4:$C$1048576,Manpower!$H$4:$H$1048576,"")</f>
        <v>Manpower</v>
      </c>
      <c r="J2063" s="43" t="s">
        <v>35</v>
      </c>
      <c r="K2063" s="43" t="s">
        <v>252</v>
      </c>
      <c r="L2063" s="43" t="s">
        <v>82</v>
      </c>
      <c r="M2063" s="43" t="s">
        <v>24</v>
      </c>
      <c r="N2063" s="44">
        <v>10</v>
      </c>
      <c r="O2063" s="43" t="s">
        <v>25</v>
      </c>
      <c r="P2063" s="43" t="s">
        <v>41</v>
      </c>
      <c r="Q2063" s="43" t="s">
        <v>60</v>
      </c>
      <c r="R2063" s="43" t="s">
        <v>100</v>
      </c>
      <c r="S2063" s="43"/>
    </row>
    <row r="2064" spans="1:19" s="45" customFormat="1" ht="14.4" hidden="1">
      <c r="A2064" s="25">
        <f>IF(C2064="","",MAX($A$1:A2063)+1)</f>
        <v>1941</v>
      </c>
      <c r="B2064" s="25" t="s">
        <v>79</v>
      </c>
      <c r="C2064" s="41">
        <v>46098</v>
      </c>
      <c r="D2064" s="48" t="str">
        <f>_xlfn.XLOOKUP(Table134526_79101120212223242526[[#This Row],[Name Surname]],Manpower!$C$4:$C$1048576,Manpower!$B$4:$B$1048576,"")</f>
        <v>Encogroup</v>
      </c>
      <c r="E2064" s="43" t="s">
        <v>235</v>
      </c>
      <c r="F2064" s="12">
        <f>_xlfn.XLOOKUP(Table134526_79101120212223242526[[#This Row],[Name Surname]],Manpower!C:C,Manpower!D:D,)</f>
        <v>132423982</v>
      </c>
      <c r="G2064" s="48" t="str">
        <f>_xlfn.XLOOKUP(Table134526_79101120212223242526[[#This Row],[Name Surname]],Manpower!$C$4:$C$1048576,Manpower!$F$4:$F$1048576,"")</f>
        <v>Mechanic Supervisor</v>
      </c>
      <c r="H2064" s="48" t="str">
        <f>_xlfn.XLOOKUP(Table134526_79101120212223242526[[#This Row],[Name Surname]],Manpower!$C$4:$C$1048576,Manpower!$H$4:$H$1048576,"")</f>
        <v>Manpower</v>
      </c>
      <c r="I2064" s="48" t="str">
        <f>_xlfn.XLOOKUP(Table134526_79101120212223242526[[#This Row],[Name Surname]],Manpower!$C$4:$C$1048576,Manpower!$H$4:$H$1048576,"")</f>
        <v>Manpower</v>
      </c>
      <c r="J2064" s="43" t="s">
        <v>135</v>
      </c>
      <c r="K2064" s="43" t="s">
        <v>26</v>
      </c>
      <c r="L2064" s="43"/>
      <c r="M2064" s="43" t="s">
        <v>24</v>
      </c>
      <c r="N2064" s="44">
        <v>10</v>
      </c>
      <c r="O2064" s="43" t="s">
        <v>236</v>
      </c>
      <c r="P2064" s="43" t="s">
        <v>236</v>
      </c>
      <c r="Q2064" s="43" t="s">
        <v>236</v>
      </c>
      <c r="R2064" s="43" t="s">
        <v>26</v>
      </c>
      <c r="S2064" s="43"/>
    </row>
    <row r="2065" spans="1:19" s="45" customFormat="1" ht="14.4" hidden="1">
      <c r="A2065" s="25">
        <f>IF(C2065="","",MAX($A$1:A2064)+1)</f>
        <v>1942</v>
      </c>
      <c r="B2065" s="25" t="s">
        <v>79</v>
      </c>
      <c r="C2065" s="41">
        <v>46098</v>
      </c>
      <c r="D2065" s="48" t="str">
        <f>_xlfn.XLOOKUP(Table134526_79101120212223242526[[#This Row],[Name Surname]],Manpower!$C$4:$C$1048576,Manpower!$B$4:$B$1048576,"")</f>
        <v>Encogroup</v>
      </c>
      <c r="E2065" s="43" t="s">
        <v>237</v>
      </c>
      <c r="F2065" s="12">
        <f>_xlfn.XLOOKUP(Table134526_79101120212223242526[[#This Row],[Name Surname]],Manpower!C:C,Manpower!D:D,)</f>
        <v>75199413</v>
      </c>
      <c r="G2065" s="48" t="str">
        <f>_xlfn.XLOOKUP(Table134526_79101120212223242526[[#This Row],[Name Surname]],Manpower!$C$4:$C$1048576,Manpower!$F$4:$F$1048576,"")</f>
        <v>Mechanic</v>
      </c>
      <c r="H2065" s="48" t="str">
        <f>_xlfn.XLOOKUP(Table134526_79101120212223242526[[#This Row],[Name Surname]],Manpower!$C$4:$C$1048576,Manpower!$H$4:$H$1048576,"")</f>
        <v>Manpower</v>
      </c>
      <c r="I2065" s="48" t="str">
        <f>_xlfn.XLOOKUP(Table134526_79101120212223242526[[#This Row],[Name Surname]],Manpower!$C$4:$C$1048576,Manpower!$H$4:$H$1048576,"")</f>
        <v>Manpower</v>
      </c>
      <c r="J2065" s="43" t="s">
        <v>135</v>
      </c>
      <c r="K2065" s="43" t="s">
        <v>26</v>
      </c>
      <c r="L2065" s="43"/>
      <c r="M2065" s="43" t="s">
        <v>24</v>
      </c>
      <c r="N2065" s="44">
        <v>10</v>
      </c>
      <c r="O2065" s="43" t="s">
        <v>236</v>
      </c>
      <c r="P2065" s="43" t="s">
        <v>236</v>
      </c>
      <c r="Q2065" s="43" t="s">
        <v>236</v>
      </c>
      <c r="R2065" s="43" t="s">
        <v>26</v>
      </c>
      <c r="S2065" s="43"/>
    </row>
    <row r="2066" spans="1:19" s="45" customFormat="1" ht="14.4" hidden="1">
      <c r="A2066" s="25">
        <f>IF(C2066="","",MAX($A$1:A2063)+1)</f>
        <v>1941</v>
      </c>
      <c r="B2066" s="25" t="s">
        <v>79</v>
      </c>
      <c r="C2066" s="41">
        <v>46098</v>
      </c>
      <c r="D2066" s="48" t="str">
        <f>_xlfn.XLOOKUP(Table134526_79101120212223242526[[#This Row],[Name Surname]],Manpower!$C$4:$C$1048576,Manpower!$B$4:$B$1048576,"")</f>
        <v>Encogroup</v>
      </c>
      <c r="E2066" s="43" t="s">
        <v>136</v>
      </c>
      <c r="F2066" s="12">
        <f>_xlfn.XLOOKUP(Table134526_79101120212223242526[[#This Row],[Name Surname]],Manpower!C:C,Manpower!D:D,)</f>
        <v>141250908</v>
      </c>
      <c r="G2066" s="48" t="str">
        <f>_xlfn.XLOOKUP(Table134526_79101120212223242526[[#This Row],[Name Surname]],Manpower!$C$4:$C$1048576,Manpower!$F$4:$F$1048576,"")</f>
        <v>Mechanical Engineer</v>
      </c>
      <c r="H2066" s="48" t="str">
        <f>_xlfn.XLOOKUP(Table134526_79101120212223242526[[#This Row],[Name Surname]],Manpower!$C$4:$C$1048576,Manpower!$H$4:$H$1048576,"")</f>
        <v>Manpower</v>
      </c>
      <c r="I2066" s="48" t="str">
        <f>_xlfn.XLOOKUP(Table134526_79101120212223242526[[#This Row],[Name Surname]],Manpower!$C$4:$C$1048576,Manpower!$H$4:$H$1048576,"")</f>
        <v>Manpower</v>
      </c>
      <c r="J2066" s="43" t="s">
        <v>35</v>
      </c>
      <c r="K2066" s="43" t="s">
        <v>252</v>
      </c>
      <c r="L2066" s="43" t="s">
        <v>82</v>
      </c>
      <c r="M2066" s="43" t="s">
        <v>24</v>
      </c>
      <c r="N2066" s="44">
        <v>10</v>
      </c>
      <c r="O2066" s="43" t="s">
        <v>25</v>
      </c>
      <c r="P2066" s="43" t="s">
        <v>41</v>
      </c>
      <c r="Q2066" s="43" t="s">
        <v>60</v>
      </c>
      <c r="R2066" s="43" t="s">
        <v>337</v>
      </c>
      <c r="S2066" s="43"/>
    </row>
    <row r="2067" spans="1:19" ht="14.4">
      <c r="A2067" s="33">
        <f>IF(C2067="","",MAX($A$1:A2066)+1)</f>
        <v>1943</v>
      </c>
      <c r="B2067" s="26" t="s">
        <v>79</v>
      </c>
      <c r="C2067" s="23">
        <v>46098</v>
      </c>
      <c r="D2067" s="28" t="str">
        <f>_xlfn.XLOOKUP(Table134526_79101120212223242526[[#This Row],[Name Surname]],Manpower!$C$4:$C$1048576,Manpower!$B$4:$B$1048576,"")</f>
        <v>Encogroup</v>
      </c>
      <c r="E2067" s="23" t="s">
        <v>137</v>
      </c>
      <c r="F2067" s="12" t="e">
        <f>_xlfn.XLOOKUP(Table134526_79101120212223242526[[#This Row],[Name Surname]],Manpower!C:C,Manpower!D:D,)</f>
        <v>#N/A</v>
      </c>
      <c r="G2067" s="28" t="str">
        <f>_xlfn.XLOOKUP(Table134526_79101120212223242526[[#This Row],[Name Surname]],Manpower!$C$4:$C$1048576,Manpower!$F$4:$F$1048576,"")</f>
        <v>55 Seat Bus</v>
      </c>
      <c r="H2067" s="28" t="str">
        <f>_xlfn.XLOOKUP(Table134526_79101120212223242526[[#This Row],[Name Surname]],Manpower!$C$4:$C$1048576,Manpower!$H$4:$H$1048576,"")</f>
        <v>Equipment</v>
      </c>
      <c r="I2067" s="28" t="str">
        <f>_xlfn.XLOOKUP(Table134526_79101120212223242526[[#This Row],[Name Surname]],Manpower!$C$4:$C$1048576,Manpower!$H$4:$H$1048576,"")</f>
        <v>Equipment</v>
      </c>
      <c r="J2067" s="21" t="s">
        <v>35</v>
      </c>
      <c r="K2067" s="21" t="s">
        <v>252</v>
      </c>
      <c r="L2067" s="21" t="s">
        <v>82</v>
      </c>
      <c r="M2067" s="21" t="s">
        <v>24</v>
      </c>
      <c r="N2067" s="29">
        <v>10</v>
      </c>
      <c r="O2067" s="21" t="s">
        <v>138</v>
      </c>
      <c r="P2067" s="21" t="s">
        <v>138</v>
      </c>
      <c r="Q2067" s="21" t="s">
        <v>138</v>
      </c>
      <c r="R2067" s="21" t="s">
        <v>26</v>
      </c>
    </row>
    <row r="2068" spans="1:19" ht="14.4">
      <c r="A2068" s="33">
        <f>IF(C2068="","",MAX($A$1:A2066)+1)</f>
        <v>1943</v>
      </c>
      <c r="B2068" s="26" t="s">
        <v>79</v>
      </c>
      <c r="C2068" s="23">
        <v>46098</v>
      </c>
      <c r="D2068" s="28" t="str">
        <f>_xlfn.XLOOKUP(Table134526_79101120212223242526[[#This Row],[Name Surname]],Manpower!$C$4:$C$1048576,Manpower!$B$4:$B$1048576,"")</f>
        <v>Encogroup</v>
      </c>
      <c r="E2068" s="23" t="s">
        <v>139</v>
      </c>
      <c r="F2068" s="12" t="e">
        <f>_xlfn.XLOOKUP(Table134526_79101120212223242526[[#This Row],[Name Surname]],Manpower!C:C,Manpower!D:D,)</f>
        <v>#N/A</v>
      </c>
      <c r="G2068" s="28" t="str">
        <f>_xlfn.XLOOKUP(Table134526_79101120212223242526[[#This Row],[Name Surname]],Manpower!$C$4:$C$1048576,Manpower!$F$4:$F$1048576,"")</f>
        <v>TOWER LIGHT</v>
      </c>
      <c r="H2068" s="28" t="str">
        <f>_xlfn.XLOOKUP(Table134526_79101120212223242526[[#This Row],[Name Surname]],Manpower!$C$4:$C$1048576,Manpower!$H$4:$H$1048576,"")</f>
        <v>Equipment</v>
      </c>
      <c r="I2068" s="28" t="str">
        <f>_xlfn.XLOOKUP(Table134526_79101120212223242526[[#This Row],[Name Surname]],Manpower!$C$4:$C$1048576,Manpower!$H$4:$H$1048576,"")</f>
        <v>Equipment</v>
      </c>
      <c r="J2068" s="21" t="s">
        <v>35</v>
      </c>
      <c r="K2068" s="21" t="s">
        <v>252</v>
      </c>
      <c r="L2068" s="21" t="s">
        <v>82</v>
      </c>
      <c r="M2068" s="21" t="s">
        <v>24</v>
      </c>
      <c r="N2068" s="29">
        <v>10</v>
      </c>
      <c r="O2068" s="21" t="s">
        <v>140</v>
      </c>
      <c r="P2068" s="21" t="s">
        <v>140</v>
      </c>
      <c r="Q2068" s="21" t="s">
        <v>140</v>
      </c>
      <c r="R2068" s="21" t="s">
        <v>26</v>
      </c>
    </row>
    <row r="2069" spans="1:19" ht="14.4">
      <c r="A2069" s="33">
        <f>IF(C2069="","",MAX($A$1:A2068)+1)</f>
        <v>1944</v>
      </c>
      <c r="B2069" s="27" t="s">
        <v>141</v>
      </c>
      <c r="C2069" s="23">
        <v>46098</v>
      </c>
      <c r="D2069" s="28" t="str">
        <f>_xlfn.XLOOKUP(Table134526_79101120212223242526[[#This Row],[Name Surname]],Manpower!$C$4:$C$1048576,Manpower!$B$4:$B$1048576,"")</f>
        <v>Nass Group</v>
      </c>
      <c r="E2069" s="21" t="s">
        <v>148</v>
      </c>
      <c r="F2069" s="12" t="e">
        <f>_xlfn.XLOOKUP(Table134526_79101120212223242526[[#This Row],[Name Surname]],Manpower!C:C,Manpower!D:D,)</f>
        <v>#N/A</v>
      </c>
      <c r="G2069" s="28" t="str">
        <f>_xlfn.XLOOKUP(Table134526_79101120212223242526[[#This Row],[Name Surname]],Manpower!$C$4:$C$1048576,Manpower!$F$4:$F$1048576,"")</f>
        <v>70T-Telescopic crane</v>
      </c>
      <c r="H2069" s="28" t="str">
        <f>_xlfn.XLOOKUP(Table134526_79101120212223242526[[#This Row],[Name Surname]],Manpower!$C$4:$C$1048576,Manpower!$H$4:$H$1048576,"")</f>
        <v>Equipment</v>
      </c>
      <c r="I2069" s="28" t="str">
        <f>_xlfn.XLOOKUP(Table134526_79101120212223242526[[#This Row],[Name Surname]],Manpower!$C$4:$C$1048576,Manpower!$H$4:$H$1048576,"")</f>
        <v>Equipment</v>
      </c>
      <c r="J2069" s="21" t="s">
        <v>143</v>
      </c>
      <c r="K2069" s="21" t="s">
        <v>26</v>
      </c>
      <c r="L2069" s="21" t="s">
        <v>144</v>
      </c>
      <c r="M2069" s="21" t="s">
        <v>24</v>
      </c>
      <c r="N2069" s="29">
        <v>10</v>
      </c>
      <c r="O2069" s="21" t="s">
        <v>40</v>
      </c>
      <c r="P2069" s="21" t="s">
        <v>42</v>
      </c>
      <c r="Q2069" s="21" t="s">
        <v>42</v>
      </c>
      <c r="R2069" s="21" t="s">
        <v>339</v>
      </c>
    </row>
    <row r="2070" spans="1:19" s="45" customFormat="1" ht="14.4" hidden="1">
      <c r="A2070" s="25">
        <f>IF(C2070="","",MAX($A$1:A2069)+1)</f>
        <v>1945</v>
      </c>
      <c r="B2070" s="25" t="s">
        <v>141</v>
      </c>
      <c r="C2070" s="41">
        <v>46098</v>
      </c>
      <c r="D2070" s="48" t="str">
        <f>_xlfn.XLOOKUP(Table134526_79101120212223242526[[#This Row],[Name Surname]],Manpower!$C$4:$C$1048576,Manpower!$B$4:$B$1048576,"")</f>
        <v>SARENS NASS</v>
      </c>
      <c r="E2070" s="43" t="s">
        <v>162</v>
      </c>
      <c r="F2070" s="12">
        <f>_xlfn.XLOOKUP(Table134526_79101120212223242526[[#This Row],[Name Surname]],Manpower!C:C,Manpower!D:D,)</f>
        <v>78753612</v>
      </c>
      <c r="G2070" s="48" t="str">
        <f>_xlfn.XLOOKUP(Table134526_79101120212223242526[[#This Row],[Name Surname]],Manpower!$C$4:$C$1048576,Manpower!$F$4:$F$1048576,"")</f>
        <v>Crane Operator- 70T Liebherr Telescopic Crane-02</v>
      </c>
      <c r="H2070" s="48" t="str">
        <f>_xlfn.XLOOKUP(Table134526_79101120212223242526[[#This Row],[Name Surname]],Manpower!$C$4:$C$1048576,Manpower!$H$4:$H$1048576,"")</f>
        <v>Manpower</v>
      </c>
      <c r="I2070" s="48" t="str">
        <f>_xlfn.XLOOKUP(Table134526_79101120212223242526[[#This Row],[Name Surname]],Manpower!$C$4:$C$1048576,Manpower!$H$4:$H$1048576,"")</f>
        <v>Manpower</v>
      </c>
      <c r="J2070" s="43" t="s">
        <v>143</v>
      </c>
      <c r="K2070" s="43" t="s">
        <v>26</v>
      </c>
      <c r="L2070" s="43" t="s">
        <v>144</v>
      </c>
      <c r="M2070" s="43" t="s">
        <v>24</v>
      </c>
      <c r="N2070" s="44">
        <v>10</v>
      </c>
      <c r="O2070" s="43" t="s">
        <v>40</v>
      </c>
      <c r="P2070" s="43" t="s">
        <v>42</v>
      </c>
      <c r="Q2070" s="43" t="s">
        <v>42</v>
      </c>
      <c r="R2070" s="43" t="s">
        <v>339</v>
      </c>
      <c r="S2070" s="43"/>
    </row>
    <row r="2071" spans="1:19" ht="14.4">
      <c r="A2071" s="33">
        <f>IF(C2071="","",MAX($A$1:A2070)+1)</f>
        <v>1946</v>
      </c>
      <c r="B2071" s="27" t="s">
        <v>141</v>
      </c>
      <c r="C2071" s="23">
        <v>46098</v>
      </c>
      <c r="D2071" s="28" t="str">
        <f>_xlfn.XLOOKUP(Table134526_79101120212223242526[[#This Row],[Name Surname]],Manpower!$C$4:$C$1048576,Manpower!$B$4:$B$1048576,"")</f>
        <v>Encogroup</v>
      </c>
      <c r="E2071" s="21" t="s">
        <v>142</v>
      </c>
      <c r="F2071" s="12" t="e">
        <f>_xlfn.XLOOKUP(Table134526_79101120212223242526[[#This Row],[Name Surname]],Manpower!C:C,Manpower!D:D,)</f>
        <v>#N/A</v>
      </c>
      <c r="G2071" s="28" t="str">
        <f>_xlfn.XLOOKUP(Table134526_79101120212223242526[[#This Row],[Name Surname]],Manpower!$C$4:$C$1048576,Manpower!$F$4:$F$1048576,"")</f>
        <v>13 Seat Bus</v>
      </c>
      <c r="H2071" s="28" t="str">
        <f>_xlfn.XLOOKUP(Table134526_79101120212223242526[[#This Row],[Name Surname]],Manpower!$C$4:$C$1048576,Manpower!$H$4:$H$1048576,"")</f>
        <v>Equipment</v>
      </c>
      <c r="I2071" s="28" t="str">
        <f>_xlfn.XLOOKUP(Table134526_79101120212223242526[[#This Row],[Name Surname]],Manpower!$C$4:$C$1048576,Manpower!$H$4:$H$1048576,"")</f>
        <v>Equipment</v>
      </c>
      <c r="J2071" s="21" t="s">
        <v>143</v>
      </c>
      <c r="K2071" s="21" t="s">
        <v>26</v>
      </c>
      <c r="L2071" s="21" t="s">
        <v>144</v>
      </c>
      <c r="M2071" s="21" t="s">
        <v>24</v>
      </c>
      <c r="N2071" s="29">
        <v>10</v>
      </c>
      <c r="O2071" s="21" t="s">
        <v>138</v>
      </c>
      <c r="P2071" s="21" t="s">
        <v>138</v>
      </c>
      <c r="Q2071" s="21" t="s">
        <v>138</v>
      </c>
      <c r="R2071" s="21" t="s">
        <v>26</v>
      </c>
    </row>
    <row r="2072" spans="1:19" ht="14.4">
      <c r="A2072" s="33">
        <f>IF(C2072="","",MAX($A$1:A2071)+1)</f>
        <v>1947</v>
      </c>
      <c r="B2072" s="27" t="s">
        <v>141</v>
      </c>
      <c r="C2072" s="23">
        <v>46098</v>
      </c>
      <c r="D2072" s="28" t="str">
        <f>_xlfn.XLOOKUP(Table134526_79101120212223242526[[#This Row],[Name Surname]],Manpower!$C$4:$C$1048576,Manpower!$B$4:$B$1048576,"")</f>
        <v>Encogroup</v>
      </c>
      <c r="E2072" s="21" t="s">
        <v>145</v>
      </c>
      <c r="F2072" s="12" t="e">
        <f>_xlfn.XLOOKUP(Table134526_79101120212223242526[[#This Row],[Name Surname]],Manpower!C:C,Manpower!D:D,)</f>
        <v>#N/A</v>
      </c>
      <c r="G2072" s="28" t="str">
        <f>_xlfn.XLOOKUP(Table134526_79101120212223242526[[#This Row],[Name Surname]],Manpower!$C$4:$C$1048576,Manpower!$F$4:$F$1048576,"")</f>
        <v>15 Seat Bus</v>
      </c>
      <c r="H2072" s="28" t="str">
        <f>_xlfn.XLOOKUP(Table134526_79101120212223242526[[#This Row],[Name Surname]],Manpower!$C$4:$C$1048576,Manpower!$H$4:$H$1048576,"")</f>
        <v>Equipment</v>
      </c>
      <c r="I2072" s="28" t="str">
        <f>_xlfn.XLOOKUP(Table134526_79101120212223242526[[#This Row],[Name Surname]],Manpower!$C$4:$C$1048576,Manpower!$H$4:$H$1048576,"")</f>
        <v>Equipment</v>
      </c>
      <c r="J2072" s="21" t="s">
        <v>143</v>
      </c>
      <c r="K2072" s="21" t="s">
        <v>26</v>
      </c>
      <c r="L2072" s="21" t="s">
        <v>144</v>
      </c>
      <c r="M2072" s="21" t="s">
        <v>24</v>
      </c>
      <c r="N2072" s="29">
        <v>10</v>
      </c>
      <c r="O2072" s="21" t="s">
        <v>138</v>
      </c>
      <c r="P2072" s="21" t="s">
        <v>138</v>
      </c>
      <c r="Q2072" s="21" t="s">
        <v>138</v>
      </c>
      <c r="R2072" s="21" t="s">
        <v>26</v>
      </c>
    </row>
    <row r="2073" spans="1:19" ht="14.4">
      <c r="A2073" s="33">
        <f>IF(C2073="","",MAX($A$1:A2071)+1)</f>
        <v>1947</v>
      </c>
      <c r="B2073" s="27" t="s">
        <v>141</v>
      </c>
      <c r="C2073" s="23">
        <v>46098</v>
      </c>
      <c r="D2073" s="28" t="str">
        <f>_xlfn.XLOOKUP(Table134526_79101120212223242526[[#This Row],[Name Surname]],Manpower!$C$4:$C$1048576,Manpower!$B$4:$B$1048576,"")</f>
        <v>Riyan Al Khaleej</v>
      </c>
      <c r="E2073" s="21" t="s">
        <v>20</v>
      </c>
      <c r="F2073" s="12" t="e">
        <f>_xlfn.XLOOKUP(Table134526_79101120212223242526[[#This Row],[Name Surname]],Manpower!C:C,Manpower!D:D,)</f>
        <v>#N/A</v>
      </c>
      <c r="G2073" s="28" t="str">
        <f>_xlfn.XLOOKUP(Table134526_79101120212223242526[[#This Row],[Name Surname]],Manpower!$C$4:$C$1048576,Manpower!$F$4:$F$1048576,"")</f>
        <v>100T Telescopic Crane</v>
      </c>
      <c r="H2073" s="28" t="str">
        <f>_xlfn.XLOOKUP(Table134526_79101120212223242526[[#This Row],[Name Surname]],Manpower!$C$4:$C$1048576,Manpower!$H$4:$H$1048576,"")</f>
        <v>Equipment</v>
      </c>
      <c r="I2073" s="28" t="str">
        <f>_xlfn.XLOOKUP(Table134526_79101120212223242526[[#This Row],[Name Surname]],Manpower!$C$4:$C$1048576,Manpower!$H$4:$H$1048576,"")</f>
        <v>Equipment</v>
      </c>
      <c r="J2073" s="21" t="s">
        <v>143</v>
      </c>
      <c r="K2073" s="21" t="s">
        <v>26</v>
      </c>
      <c r="L2073" s="21" t="s">
        <v>144</v>
      </c>
      <c r="M2073" s="21" t="s">
        <v>24</v>
      </c>
      <c r="N2073" s="29">
        <v>8</v>
      </c>
      <c r="O2073" s="21" t="s">
        <v>40</v>
      </c>
      <c r="P2073" s="21" t="s">
        <v>41</v>
      </c>
      <c r="Q2073" s="21" t="s">
        <v>42</v>
      </c>
      <c r="R2073" s="21" t="s">
        <v>340</v>
      </c>
    </row>
    <row r="2074" spans="1:19" ht="14.4">
      <c r="A2074" s="33">
        <f>IF(C2074="","",MAX($A$1:A2073)+1)</f>
        <v>1948</v>
      </c>
      <c r="B2074" s="27" t="s">
        <v>141</v>
      </c>
      <c r="C2074" s="23">
        <v>46098</v>
      </c>
      <c r="D2074" s="28" t="str">
        <f>_xlfn.XLOOKUP(Table134526_79101120212223242526[[#This Row],[Name Surname]],Manpower!$C$4:$C$1048576,Manpower!$B$4:$B$1048576,"")</f>
        <v>Encogroup</v>
      </c>
      <c r="E2074" s="21" t="s">
        <v>150</v>
      </c>
      <c r="F2074" s="12" t="e">
        <f>_xlfn.XLOOKUP(Table134526_79101120212223242526[[#This Row],[Name Surname]],Manpower!C:C,Manpower!D:D,)</f>
        <v>#N/A</v>
      </c>
      <c r="G2074" s="28" t="str">
        <f>_xlfn.XLOOKUP(Table134526_79101120212223242526[[#This Row],[Name Surname]],Manpower!$C$4:$C$1048576,Manpower!$F$4:$F$1048576,"")</f>
        <v>14T Fork lift</v>
      </c>
      <c r="H2074" s="28" t="str">
        <f>_xlfn.XLOOKUP(Table134526_79101120212223242526[[#This Row],[Name Surname]],Manpower!$C$4:$C$1048576,Manpower!$H$4:$H$1048576,"")</f>
        <v>Equipment</v>
      </c>
      <c r="I2074" s="28" t="str">
        <f>_xlfn.XLOOKUP(Table134526_79101120212223242526[[#This Row],[Name Surname]],Manpower!$C$4:$C$1048576,Manpower!$H$4:$H$1048576,"")</f>
        <v>Equipment</v>
      </c>
      <c r="J2074" s="21" t="s">
        <v>143</v>
      </c>
      <c r="K2074" s="21" t="s">
        <v>26</v>
      </c>
      <c r="L2074" s="21" t="s">
        <v>144</v>
      </c>
      <c r="M2074" s="21" t="s">
        <v>24</v>
      </c>
      <c r="N2074" s="29">
        <v>10</v>
      </c>
      <c r="O2074" s="21" t="s">
        <v>40</v>
      </c>
      <c r="P2074" s="21" t="s">
        <v>42</v>
      </c>
      <c r="Q2074" s="21" t="s">
        <v>41</v>
      </c>
      <c r="R2074" s="21" t="s">
        <v>272</v>
      </c>
    </row>
    <row r="2075" spans="1:19" ht="14.4">
      <c r="A2075" s="33">
        <f>IF(C2075="","",MAX($A$1:A2074)+1)</f>
        <v>1949</v>
      </c>
      <c r="B2075" s="27" t="s">
        <v>141</v>
      </c>
      <c r="C2075" s="23">
        <v>46098</v>
      </c>
      <c r="D2075" s="28" t="str">
        <f>_xlfn.XLOOKUP(Table134526_79101120212223242526[[#This Row],[Name Surname]],Manpower!$C$4:$C$1048576,Manpower!$B$4:$B$1048576,"")</f>
        <v>Al Jaber Heavy Lift</v>
      </c>
      <c r="E2075" s="21" t="s">
        <v>151</v>
      </c>
      <c r="F2075" s="12" t="e">
        <f>_xlfn.XLOOKUP(Table134526_79101120212223242526[[#This Row],[Name Surname]],Manpower!C:C,Manpower!D:D,)</f>
        <v>#N/A</v>
      </c>
      <c r="G2075" s="28" t="str">
        <f>_xlfn.XLOOKUP(Table134526_79101120212223242526[[#This Row],[Name Surname]],Manpower!$C$4:$C$1048576,Manpower!$F$4:$F$1048576,"")</f>
        <v>150T-Crawler Crane</v>
      </c>
      <c r="H2075" s="28" t="str">
        <f>_xlfn.XLOOKUP(Table134526_79101120212223242526[[#This Row],[Name Surname]],Manpower!$C$4:$C$1048576,Manpower!$H$4:$H$1048576,"")</f>
        <v>Equipment</v>
      </c>
      <c r="I2075" s="28" t="str">
        <f>_xlfn.XLOOKUP(Table134526_79101120212223242526[[#This Row],[Name Surname]],Manpower!$C$4:$C$1048576,Manpower!$H$4:$H$1048576,"")</f>
        <v>Equipment</v>
      </c>
      <c r="J2075" s="21" t="s">
        <v>143</v>
      </c>
      <c r="K2075" s="21" t="s">
        <v>26</v>
      </c>
      <c r="L2075" s="21" t="s">
        <v>144</v>
      </c>
      <c r="M2075" s="21" t="s">
        <v>55</v>
      </c>
      <c r="N2075" s="29">
        <v>10</v>
      </c>
      <c r="R2075" s="21" t="s">
        <v>242</v>
      </c>
    </row>
    <row r="2076" spans="1:19" ht="14.4" hidden="1">
      <c r="A2076" s="33">
        <f>IF(C2076="","",MAX($A$1:A2075)+1)</f>
        <v>1950</v>
      </c>
      <c r="B2076" s="27" t="s">
        <v>141</v>
      </c>
      <c r="C2076" s="23">
        <v>46098</v>
      </c>
      <c r="D2076" s="28" t="str">
        <f>_xlfn.XLOOKUP(Table134526_79101120212223242526[[#This Row],[Name Surname]],Manpower!$C$4:$C$1048576,Manpower!$B$4:$B$1048576,"")</f>
        <v>Al Jaber Heavy Lift</v>
      </c>
      <c r="E2076" s="21" t="s">
        <v>164</v>
      </c>
      <c r="F2076" s="12">
        <f>_xlfn.XLOOKUP(Table134526_79101120212223242526[[#This Row],[Name Surname]],Manpower!C:C,Manpower!D:D,)</f>
        <v>112778626</v>
      </c>
      <c r="G2076" s="28" t="str">
        <f>_xlfn.XLOOKUP(Table134526_79101120212223242526[[#This Row],[Name Surname]],Manpower!$C$4:$C$1048576,Manpower!$F$4:$F$1048576,"")</f>
        <v>Crane Operator-150T Hitachi Crawler</v>
      </c>
      <c r="H2076" s="28" t="str">
        <f>_xlfn.XLOOKUP(Table134526_79101120212223242526[[#This Row],[Name Surname]],Manpower!$C$4:$C$1048576,Manpower!$H$4:$H$1048576,"")</f>
        <v>Manpower</v>
      </c>
      <c r="I2076" s="28" t="str">
        <f>_xlfn.XLOOKUP(Table134526_79101120212223242526[[#This Row],[Name Surname]],Manpower!$C$4:$C$1048576,Manpower!$H$4:$H$1048576,"")</f>
        <v>Manpower</v>
      </c>
      <c r="J2076" s="21" t="s">
        <v>143</v>
      </c>
      <c r="K2076" s="21" t="s">
        <v>26</v>
      </c>
      <c r="L2076" s="21" t="s">
        <v>144</v>
      </c>
      <c r="M2076" s="21" t="s">
        <v>55</v>
      </c>
      <c r="N2076" s="29">
        <v>6</v>
      </c>
      <c r="R2076" s="21" t="s">
        <v>242</v>
      </c>
    </row>
    <row r="2077" spans="1:19" ht="14.4">
      <c r="A2077" s="33">
        <f>IF(C2077="","",MAX($A$1:A2076)+1)</f>
        <v>1951</v>
      </c>
      <c r="B2077" s="27" t="s">
        <v>141</v>
      </c>
      <c r="C2077" s="23">
        <v>46098</v>
      </c>
      <c r="D2077" s="28" t="str">
        <f>_xlfn.XLOOKUP(Table134526_79101120212223242526[[#This Row],[Name Surname]],Manpower!$C$4:$C$1048576,Manpower!$B$4:$B$1048576,"")</f>
        <v>Encogroup</v>
      </c>
      <c r="E2077" s="21" t="s">
        <v>153</v>
      </c>
      <c r="F2077" s="12" t="e">
        <f>_xlfn.XLOOKUP(Table134526_79101120212223242526[[#This Row],[Name Surname]],Manpower!C:C,Manpower!D:D,)</f>
        <v>#N/A</v>
      </c>
      <c r="G2077" s="28" t="str">
        <f>_xlfn.XLOOKUP(Table134526_79101120212223242526[[#This Row],[Name Surname]],Manpower!$C$4:$C$1048576,Manpower!$F$4:$F$1048576,"")</f>
        <v>22 Seat Bus</v>
      </c>
      <c r="H2077" s="28" t="str">
        <f>_xlfn.XLOOKUP(Table134526_79101120212223242526[[#This Row],[Name Surname]],Manpower!$C$4:$C$1048576,Manpower!$H$4:$H$1048576,"")</f>
        <v>Equipment</v>
      </c>
      <c r="I2077" s="28" t="str">
        <f>_xlfn.XLOOKUP(Table134526_79101120212223242526[[#This Row],[Name Surname]],Manpower!$C$4:$C$1048576,Manpower!$H$4:$H$1048576,"")</f>
        <v>Equipment</v>
      </c>
      <c r="J2077" s="21" t="s">
        <v>143</v>
      </c>
      <c r="K2077" s="21" t="s">
        <v>26</v>
      </c>
      <c r="L2077" s="21" t="s">
        <v>144</v>
      </c>
      <c r="M2077" s="21" t="s">
        <v>24</v>
      </c>
      <c r="N2077" s="29">
        <v>10</v>
      </c>
      <c r="O2077" s="21" t="s">
        <v>138</v>
      </c>
      <c r="P2077" s="21" t="s">
        <v>138</v>
      </c>
      <c r="Q2077" s="21" t="s">
        <v>138</v>
      </c>
      <c r="R2077" s="21" t="s">
        <v>26</v>
      </c>
    </row>
    <row r="2078" spans="1:19" ht="14.4">
      <c r="A2078" s="33">
        <f>IF(C2078="","",MAX($A$1:A2077)+1)</f>
        <v>1952</v>
      </c>
      <c r="B2078" s="27" t="s">
        <v>141</v>
      </c>
      <c r="C2078" s="23">
        <v>46098</v>
      </c>
      <c r="D2078" s="28" t="str">
        <f>_xlfn.XLOOKUP(Table134526_79101120212223242526[[#This Row],[Name Surname]],Manpower!$C$4:$C$1048576,Manpower!$B$4:$B$1048576,"")</f>
        <v>Encogroup</v>
      </c>
      <c r="E2078" s="21" t="s">
        <v>154</v>
      </c>
      <c r="F2078" s="12" t="e">
        <f>_xlfn.XLOOKUP(Table134526_79101120212223242526[[#This Row],[Name Surname]],Manpower!C:C,Manpower!D:D,)</f>
        <v>#N/A</v>
      </c>
      <c r="G2078" s="28" t="str">
        <f>_xlfn.XLOOKUP(Table134526_79101120212223242526[[#This Row],[Name Surname]],Manpower!$C$4:$C$1048576,Manpower!$F$4:$F$1048576,"")</f>
        <v>22 Seat Bus</v>
      </c>
      <c r="H2078" s="28" t="str">
        <f>_xlfn.XLOOKUP(Table134526_79101120212223242526[[#This Row],[Name Surname]],Manpower!$C$4:$C$1048576,Manpower!$H$4:$H$1048576,"")</f>
        <v>Equipment</v>
      </c>
      <c r="I2078" s="28" t="str">
        <f>_xlfn.XLOOKUP(Table134526_79101120212223242526[[#This Row],[Name Surname]],Manpower!$C$4:$C$1048576,Manpower!$H$4:$H$1048576,"")</f>
        <v>Equipment</v>
      </c>
      <c r="J2078" s="21" t="s">
        <v>143</v>
      </c>
      <c r="K2078" s="21" t="s">
        <v>26</v>
      </c>
      <c r="L2078" s="21" t="s">
        <v>144</v>
      </c>
      <c r="M2078" s="21" t="s">
        <v>24</v>
      </c>
      <c r="N2078" s="29">
        <v>10</v>
      </c>
      <c r="O2078" s="21" t="s">
        <v>138</v>
      </c>
      <c r="P2078" s="21" t="s">
        <v>138</v>
      </c>
      <c r="Q2078" s="21" t="s">
        <v>138</v>
      </c>
      <c r="R2078" s="21" t="s">
        <v>26</v>
      </c>
    </row>
    <row r="2079" spans="1:19" ht="14.4">
      <c r="A2079" s="33">
        <f>IF(C2079="","",MAX($A$1:A2078)+1)</f>
        <v>1953</v>
      </c>
      <c r="B2079" s="27" t="s">
        <v>141</v>
      </c>
      <c r="C2079" s="23">
        <v>46098</v>
      </c>
      <c r="D2079" s="28" t="str">
        <f>_xlfn.XLOOKUP(Table134526_79101120212223242526[[#This Row],[Name Surname]],Manpower!$C$4:$C$1048576,Manpower!$B$4:$B$1048576,"")</f>
        <v>Encogroup</v>
      </c>
      <c r="E2079" s="21" t="s">
        <v>155</v>
      </c>
      <c r="F2079" s="12" t="e">
        <f>_xlfn.XLOOKUP(Table134526_79101120212223242526[[#This Row],[Name Surname]],Manpower!C:C,Manpower!D:D,)</f>
        <v>#N/A</v>
      </c>
      <c r="G2079" s="28" t="str">
        <f>_xlfn.XLOOKUP(Table134526_79101120212223242526[[#This Row],[Name Surname]],Manpower!$C$4:$C$1048576,Manpower!$F$4:$F$1048576,"")</f>
        <v>300 KVA Generator</v>
      </c>
      <c r="H2079" s="28" t="str">
        <f>_xlfn.XLOOKUP(Table134526_79101120212223242526[[#This Row],[Name Surname]],Manpower!$C$4:$C$1048576,Manpower!$H$4:$H$1048576,"")</f>
        <v>Equipment</v>
      </c>
      <c r="I2079" s="28" t="str">
        <f>_xlfn.XLOOKUP(Table134526_79101120212223242526[[#This Row],[Name Surname]],Manpower!$C$4:$C$1048576,Manpower!$H$4:$H$1048576,"")</f>
        <v>Equipment</v>
      </c>
      <c r="J2079" s="21" t="s">
        <v>143</v>
      </c>
      <c r="K2079" s="21" t="s">
        <v>26</v>
      </c>
      <c r="L2079" s="21" t="s">
        <v>144</v>
      </c>
      <c r="M2079" s="21" t="s">
        <v>24</v>
      </c>
      <c r="N2079" s="29">
        <v>10</v>
      </c>
      <c r="R2079" s="21" t="s">
        <v>26</v>
      </c>
    </row>
    <row r="2080" spans="1:19" ht="14.4">
      <c r="A2080" s="33">
        <f>IF(C2080="","",MAX($A$1:A2079)+1)</f>
        <v>1954</v>
      </c>
      <c r="B2080" s="27" t="s">
        <v>141</v>
      </c>
      <c r="C2080" s="23">
        <v>46098</v>
      </c>
      <c r="D2080" s="28" t="str">
        <f>_xlfn.XLOOKUP(Table134526_79101120212223242526[[#This Row],[Name Surname]],Manpower!$C$4:$C$1048576,Manpower!$B$4:$B$1048576,"")</f>
        <v>Encogroup</v>
      </c>
      <c r="E2080" s="21" t="s">
        <v>341</v>
      </c>
      <c r="F2080" s="12" t="e">
        <f>_xlfn.XLOOKUP(Table134526_79101120212223242526[[#This Row],[Name Surname]],Manpower!C:C,Manpower!D:D,)</f>
        <v>#N/A</v>
      </c>
      <c r="G2080" s="28" t="str">
        <f>_xlfn.XLOOKUP(Table134526_79101120212223242526[[#This Row],[Name Surname]],Manpower!$C$4:$C$1048576,Manpower!$F$4:$F$1048576,"")</f>
        <v>SCISSOR LIFT</v>
      </c>
      <c r="H2080" s="28" t="str">
        <f>_xlfn.XLOOKUP(Table134526_79101120212223242526[[#This Row],[Name Surname]],Manpower!$C$4:$C$1048576,Manpower!$H$4:$H$1048576,"")</f>
        <v>Equipment</v>
      </c>
      <c r="I2080" s="28" t="str">
        <f>_xlfn.XLOOKUP(Table134526_79101120212223242526[[#This Row],[Name Surname]],Manpower!$C$4:$C$1048576,Manpower!$H$4:$H$1048576,"")</f>
        <v>Equipment</v>
      </c>
      <c r="J2080" s="21" t="s">
        <v>143</v>
      </c>
      <c r="K2080" s="21" t="s">
        <v>26</v>
      </c>
      <c r="L2080" s="21" t="s">
        <v>144</v>
      </c>
      <c r="M2080" s="21" t="s">
        <v>55</v>
      </c>
      <c r="N2080" s="29">
        <v>10</v>
      </c>
      <c r="O2080" s="21" t="s">
        <v>140</v>
      </c>
      <c r="P2080" s="21" t="s">
        <v>140</v>
      </c>
      <c r="Q2080" s="21" t="s">
        <v>140</v>
      </c>
      <c r="R2080" s="21" t="s">
        <v>56</v>
      </c>
    </row>
    <row r="2081" spans="1:19" ht="14.4">
      <c r="A2081" s="33">
        <f>IF(C2081="","",MAX($A$1:A2080)+1)</f>
        <v>1955</v>
      </c>
      <c r="B2081" s="27" t="s">
        <v>141</v>
      </c>
      <c r="C2081" s="23">
        <v>46098</v>
      </c>
      <c r="D2081" s="28" t="str">
        <f>_xlfn.XLOOKUP(Table134526_79101120212223242526[[#This Row],[Name Surname]],Manpower!$C$4:$C$1048576,Manpower!$B$4:$B$1048576,"")</f>
        <v>Encogroup</v>
      </c>
      <c r="E2081" s="21" t="s">
        <v>342</v>
      </c>
      <c r="F2081" s="12" t="e">
        <f>_xlfn.XLOOKUP(Table134526_79101120212223242526[[#This Row],[Name Surname]],Manpower!C:C,Manpower!D:D,)</f>
        <v>#N/A</v>
      </c>
      <c r="G2081" s="28" t="str">
        <f>_xlfn.XLOOKUP(Table134526_79101120212223242526[[#This Row],[Name Surname]],Manpower!$C$4:$C$1048576,Manpower!$F$4:$F$1048576,"")</f>
        <v>SCISSOR LIFT</v>
      </c>
      <c r="H2081" s="28" t="str">
        <f>_xlfn.XLOOKUP(Table134526_79101120212223242526[[#This Row],[Name Surname]],Manpower!$C$4:$C$1048576,Manpower!$H$4:$H$1048576,"")</f>
        <v>Equipment</v>
      </c>
      <c r="I2081" s="28" t="str">
        <f>_xlfn.XLOOKUP(Table134526_79101120212223242526[[#This Row],[Name Surname]],Manpower!$C$4:$C$1048576,Manpower!$H$4:$H$1048576,"")</f>
        <v>Equipment</v>
      </c>
      <c r="J2081" s="21" t="s">
        <v>143</v>
      </c>
      <c r="K2081" s="21" t="s">
        <v>26</v>
      </c>
      <c r="L2081" s="21" t="s">
        <v>144</v>
      </c>
      <c r="M2081" s="21" t="s">
        <v>55</v>
      </c>
      <c r="N2081" s="29">
        <v>10</v>
      </c>
      <c r="O2081" s="21" t="s">
        <v>140</v>
      </c>
      <c r="P2081" s="21" t="s">
        <v>140</v>
      </c>
      <c r="Q2081" s="21" t="s">
        <v>140</v>
      </c>
      <c r="R2081" s="21" t="s">
        <v>56</v>
      </c>
    </row>
    <row r="2082" spans="1:19" ht="14.4">
      <c r="A2082" s="33">
        <f>IF(C2082="","",MAX($A$1:A2081)+1)</f>
        <v>1956</v>
      </c>
      <c r="B2082" s="27" t="s">
        <v>141</v>
      </c>
      <c r="C2082" s="23">
        <v>46098</v>
      </c>
      <c r="D2082" s="28" t="str">
        <f>_xlfn.XLOOKUP(Table134526_79101120212223242526[[#This Row],[Name Surname]],Manpower!$C$4:$C$1048576,Manpower!$B$4:$B$1048576,"")</f>
        <v>Encogroup</v>
      </c>
      <c r="E2082" s="23" t="s">
        <v>156</v>
      </c>
      <c r="F2082" s="12" t="e">
        <f>_xlfn.XLOOKUP(Table134526_79101120212223242526[[#This Row],[Name Surname]],Manpower!C:C,Manpower!D:D,)</f>
        <v>#N/A</v>
      </c>
      <c r="G2082" s="28" t="str">
        <f>_xlfn.XLOOKUP(Table134526_79101120212223242526[[#This Row],[Name Surname]],Manpower!$C$4:$C$1048576,Manpower!$F$4:$F$1048576,"")</f>
        <v>35 KVA Generator</v>
      </c>
      <c r="H2082" s="28" t="str">
        <f>_xlfn.XLOOKUP(Table134526_79101120212223242526[[#This Row],[Name Surname]],Manpower!$C$4:$C$1048576,Manpower!$H$4:$H$1048576,"")</f>
        <v>Equipment</v>
      </c>
      <c r="I2082" s="28" t="str">
        <f>_xlfn.XLOOKUP(Table134526_79101120212223242526[[#This Row],[Name Surname]],Manpower!$C$4:$C$1048576,Manpower!$H$4:$H$1048576,"")</f>
        <v>Equipment</v>
      </c>
      <c r="J2082" s="21" t="s">
        <v>143</v>
      </c>
      <c r="K2082" s="21" t="s">
        <v>26</v>
      </c>
      <c r="L2082" s="21" t="s">
        <v>144</v>
      </c>
      <c r="M2082" s="21" t="s">
        <v>55</v>
      </c>
      <c r="N2082" s="29">
        <v>10</v>
      </c>
      <c r="R2082" s="21" t="s">
        <v>56</v>
      </c>
    </row>
    <row r="2083" spans="1:19" s="45" customFormat="1" ht="14.4" hidden="1">
      <c r="A2083" s="25">
        <f>IF(C2083="","",MAX($A$1:A2082)+1)</f>
        <v>1957</v>
      </c>
      <c r="B2083" s="25" t="s">
        <v>141</v>
      </c>
      <c r="C2083" s="41">
        <v>46098</v>
      </c>
      <c r="D2083" s="48" t="str">
        <f>_xlfn.XLOOKUP(Table134526_79101120212223242526[[#This Row],[Name Surname]],Manpower!$C$4:$C$1048576,Manpower!$B$4:$B$1048576,"")</f>
        <v>Encogroup</v>
      </c>
      <c r="E2083" s="43" t="s">
        <v>157</v>
      </c>
      <c r="F2083" s="12">
        <f>_xlfn.XLOOKUP(Table134526_79101120212223242526[[#This Row],[Name Surname]],Manpower!C:C,Manpower!D:D,)</f>
        <v>140742144</v>
      </c>
      <c r="G2083" s="48" t="str">
        <f>_xlfn.XLOOKUP(Table134526_79101120212223242526[[#This Row],[Name Surname]],Manpower!$C$4:$C$1048576,Manpower!$F$4:$F$1048576,"")</f>
        <v>Assistant/Helper</v>
      </c>
      <c r="H2083" s="48" t="str">
        <f>_xlfn.XLOOKUP(Table134526_79101120212223242526[[#This Row],[Name Surname]],Manpower!$C$4:$C$1048576,Manpower!$H$4:$H$1048576,"")</f>
        <v>Manpower</v>
      </c>
      <c r="I2083" s="48" t="str">
        <f>_xlfn.XLOOKUP(Table134526_79101120212223242526[[#This Row],[Name Surname]],Manpower!$C$4:$C$1048576,Manpower!$H$4:$H$1048576,"")</f>
        <v>Manpower</v>
      </c>
      <c r="J2083" s="43" t="s">
        <v>158</v>
      </c>
      <c r="K2083" s="43" t="s">
        <v>26</v>
      </c>
      <c r="L2083" s="43" t="s">
        <v>26</v>
      </c>
      <c r="M2083" s="43" t="s">
        <v>24</v>
      </c>
      <c r="N2083" s="44">
        <v>10</v>
      </c>
      <c r="O2083" s="43" t="s">
        <v>159</v>
      </c>
      <c r="P2083" s="43" t="s">
        <v>160</v>
      </c>
      <c r="Q2083" s="43" t="s">
        <v>160</v>
      </c>
      <c r="R2083" s="43" t="s">
        <v>161</v>
      </c>
      <c r="S2083" s="43"/>
    </row>
    <row r="2084" spans="1:19" ht="14.4" hidden="1">
      <c r="A2084" s="33">
        <f>IF(C2084="","",MAX($A$1:A2083)+1)</f>
        <v>1958</v>
      </c>
      <c r="B2084" s="27" t="s">
        <v>141</v>
      </c>
      <c r="C2084" s="23">
        <v>46098</v>
      </c>
      <c r="D2084" s="28" t="str">
        <f>_xlfn.XLOOKUP(Table134526_79101120212223242526[[#This Row],[Name Surname]],Manpower!$C$4:$C$1048576,Manpower!$B$4:$B$1048576,"")</f>
        <v>Encogroup</v>
      </c>
      <c r="E2084" s="21" t="s">
        <v>166</v>
      </c>
      <c r="F2084" s="12" t="str">
        <f>_xlfn.XLOOKUP(Table134526_79101120212223242526[[#This Row],[Name Surname]],Manpower!C:C,Manpower!D:D,)</f>
        <v>U4181508</v>
      </c>
      <c r="G2084" s="28" t="str">
        <f>_xlfn.XLOOKUP(Table134526_79101120212223242526[[#This Row],[Name Surname]],Manpower!$C$4:$C$1048576,Manpower!$F$4:$F$1048576,"")</f>
        <v>Welder</v>
      </c>
      <c r="H2084" s="28" t="str">
        <f>_xlfn.XLOOKUP(Table134526_79101120212223242526[[#This Row],[Name Surname]],Manpower!$C$4:$C$1048576,Manpower!$H$4:$H$1048576,"")</f>
        <v>Manpower</v>
      </c>
      <c r="I2084" s="28" t="str">
        <f>_xlfn.XLOOKUP(Table134526_79101120212223242526[[#This Row],[Name Surname]],Manpower!$C$4:$C$1048576,Manpower!$H$4:$H$1048576,"")</f>
        <v>Manpower</v>
      </c>
      <c r="J2084" s="21" t="s">
        <v>143</v>
      </c>
      <c r="K2084" s="21" t="s">
        <v>26</v>
      </c>
      <c r="L2084" s="21" t="s">
        <v>144</v>
      </c>
      <c r="M2084" s="21" t="s">
        <v>24</v>
      </c>
      <c r="N2084" s="29">
        <v>10</v>
      </c>
      <c r="O2084" s="21" t="s">
        <v>40</v>
      </c>
      <c r="P2084" s="21" t="s">
        <v>42</v>
      </c>
      <c r="Q2084" s="21" t="s">
        <v>42</v>
      </c>
      <c r="R2084" s="21" t="s">
        <v>340</v>
      </c>
    </row>
    <row r="2085" spans="1:19" s="45" customFormat="1" ht="14.4" hidden="1">
      <c r="A2085" s="25">
        <f>IF(C2085="","",MAX($A$1:A2084)+1)</f>
        <v>1959</v>
      </c>
      <c r="B2085" s="25" t="s">
        <v>141</v>
      </c>
      <c r="C2085" s="41">
        <v>46098</v>
      </c>
      <c r="D2085" s="48" t="str">
        <f>_xlfn.XLOOKUP(Table134526_79101120212223242526[[#This Row],[Name Surname]],Manpower!$C$4:$C$1048576,Manpower!$B$4:$B$1048576,"")</f>
        <v>Encogroup</v>
      </c>
      <c r="E2085" s="43" t="s">
        <v>167</v>
      </c>
      <c r="F2085" s="12">
        <f>_xlfn.XLOOKUP(Table134526_79101120212223242526[[#This Row],[Name Surname]],Manpower!C:C,Manpower!D:D,)</f>
        <v>125440631</v>
      </c>
      <c r="G2085" s="48" t="str">
        <f>_xlfn.XLOOKUP(Table134526_79101120212223242526[[#This Row],[Name Surname]],Manpower!$C$4:$C$1048576,Manpower!$F$4:$F$1048576,"")</f>
        <v>Rigger</v>
      </c>
      <c r="H2085" s="48" t="str">
        <f>_xlfn.XLOOKUP(Table134526_79101120212223242526[[#This Row],[Name Surname]],Manpower!$C$4:$C$1048576,Manpower!$H$4:$H$1048576,"")</f>
        <v>Manpower</v>
      </c>
      <c r="I2085" s="48" t="str">
        <f>_xlfn.XLOOKUP(Table134526_79101120212223242526[[#This Row],[Name Surname]],Manpower!$C$4:$C$1048576,Manpower!$H$4:$H$1048576,"")</f>
        <v>Manpower</v>
      </c>
      <c r="J2085" s="43" t="s">
        <v>143</v>
      </c>
      <c r="K2085" s="43" t="s">
        <v>26</v>
      </c>
      <c r="L2085" s="43" t="s">
        <v>144</v>
      </c>
      <c r="M2085" s="43" t="s">
        <v>24</v>
      </c>
      <c r="N2085" s="44">
        <v>8</v>
      </c>
      <c r="O2085" s="43" t="s">
        <v>40</v>
      </c>
      <c r="P2085" s="43" t="s">
        <v>42</v>
      </c>
      <c r="Q2085" s="43" t="s">
        <v>42</v>
      </c>
      <c r="R2085" s="43" t="s">
        <v>340</v>
      </c>
      <c r="S2085" s="43" t="s">
        <v>343</v>
      </c>
    </row>
    <row r="2086" spans="1:19" ht="14.4" hidden="1">
      <c r="A2086" s="33">
        <f>IF(C2086="","",MAX($A$1:A2085)+1)</f>
        <v>1960</v>
      </c>
      <c r="B2086" s="27" t="s">
        <v>141</v>
      </c>
      <c r="C2086" s="23">
        <v>46098</v>
      </c>
      <c r="D2086" s="28" t="str">
        <f>_xlfn.XLOOKUP(Table134526_79101120212223242526[[#This Row],[Name Surname]],Manpower!$C$4:$C$1048576,Manpower!$B$4:$B$1048576,"")</f>
        <v>AL Omar International TRAD AND CONT</v>
      </c>
      <c r="E2086" s="21" t="s">
        <v>169</v>
      </c>
      <c r="F2086" s="12">
        <f>_xlfn.XLOOKUP(Table134526_79101120212223242526[[#This Row],[Name Surname]],Manpower!C:C,Manpower!D:D,)</f>
        <v>115731078</v>
      </c>
      <c r="G2086" s="28" t="str">
        <f>_xlfn.XLOOKUP(Table134526_79101120212223242526[[#This Row],[Name Surname]],Manpower!$C$4:$C$1048576,Manpower!$F$4:$F$1048576,"")</f>
        <v>Scaffolder</v>
      </c>
      <c r="H2086" s="28" t="str">
        <f>_xlfn.XLOOKUP(Table134526_79101120212223242526[[#This Row],[Name Surname]],Manpower!$C$4:$C$1048576,Manpower!$H$4:$H$1048576,"")</f>
        <v>Sub Contactor</v>
      </c>
      <c r="I2086" s="28" t="str">
        <f>_xlfn.XLOOKUP(Table134526_79101120212223242526[[#This Row],[Name Surname]],Manpower!$C$4:$C$1048576,Manpower!$H$4:$H$1048576,"")</f>
        <v>Sub Contactor</v>
      </c>
      <c r="J2086" s="21" t="s">
        <v>143</v>
      </c>
      <c r="K2086" s="21" t="s">
        <v>26</v>
      </c>
      <c r="L2086" s="21" t="s">
        <v>170</v>
      </c>
      <c r="M2086" s="21" t="s">
        <v>24</v>
      </c>
      <c r="N2086" s="29">
        <v>8</v>
      </c>
      <c r="O2086" s="21" t="s">
        <v>40</v>
      </c>
      <c r="P2086" s="21" t="s">
        <v>128</v>
      </c>
      <c r="Q2086" s="21" t="s">
        <v>128</v>
      </c>
      <c r="R2086" s="21" t="s">
        <v>171</v>
      </c>
    </row>
    <row r="2087" spans="1:19" s="45" customFormat="1" ht="14.4" hidden="1">
      <c r="A2087" s="25">
        <f>IF(C2087="","",MAX($A$1:A2086)+1)</f>
        <v>1961</v>
      </c>
      <c r="B2087" s="25" t="s">
        <v>141</v>
      </c>
      <c r="C2087" s="41">
        <v>46098</v>
      </c>
      <c r="D2087" s="48" t="str">
        <f>_xlfn.XLOOKUP(Table134526_79101120212223242526[[#This Row],[Name Surname]],Manpower!$C$4:$C$1048576,Manpower!$B$4:$B$1048576,"")</f>
        <v>Encogroup</v>
      </c>
      <c r="E2087" s="43" t="s">
        <v>172</v>
      </c>
      <c r="F2087" s="12">
        <f>_xlfn.XLOOKUP(Table134526_79101120212223242526[[#This Row],[Name Surname]],Manpower!C:C,Manpower!D:D,)</f>
        <v>140764355</v>
      </c>
      <c r="G2087" s="48" t="str">
        <f>_xlfn.XLOOKUP(Table134526_79101120212223242526[[#This Row],[Name Surname]],Manpower!$C$4:$C$1048576,Manpower!$F$4:$F$1048576,"")</f>
        <v>Fitter/Erector</v>
      </c>
      <c r="H2087" s="48" t="str">
        <f>_xlfn.XLOOKUP(Table134526_79101120212223242526[[#This Row],[Name Surname]],Manpower!$C$4:$C$1048576,Manpower!$H$4:$H$1048576,"")</f>
        <v>Manpower</v>
      </c>
      <c r="I2087" s="48" t="str">
        <f>_xlfn.XLOOKUP(Table134526_79101120212223242526[[#This Row],[Name Surname]],Manpower!$C$4:$C$1048576,Manpower!$H$4:$H$1048576,"")</f>
        <v>Manpower</v>
      </c>
      <c r="J2087" s="43" t="s">
        <v>143</v>
      </c>
      <c r="K2087" s="43" t="s">
        <v>26</v>
      </c>
      <c r="L2087" s="43" t="s">
        <v>144</v>
      </c>
      <c r="M2087" s="43" t="s">
        <v>24</v>
      </c>
      <c r="N2087" s="44">
        <v>10</v>
      </c>
      <c r="O2087" s="43" t="s">
        <v>40</v>
      </c>
      <c r="P2087" s="43" t="s">
        <v>42</v>
      </c>
      <c r="Q2087" s="43" t="s">
        <v>42</v>
      </c>
      <c r="R2087" s="43" t="s">
        <v>340</v>
      </c>
      <c r="S2087" s="43" t="s">
        <v>343</v>
      </c>
    </row>
    <row r="2088" spans="1:19" ht="14.4" hidden="1">
      <c r="A2088" s="33">
        <f>IF(C2088="","",MAX($A$1:A2087)+1)</f>
        <v>1962</v>
      </c>
      <c r="B2088" s="27" t="s">
        <v>141</v>
      </c>
      <c r="C2088" s="23">
        <v>46098</v>
      </c>
      <c r="D2088" s="28" t="str">
        <f>_xlfn.XLOOKUP(Table134526_79101120212223242526[[#This Row],[Name Surname]],Manpower!$C$4:$C$1048576,Manpower!$B$4:$B$1048576,"")</f>
        <v>Encogroup</v>
      </c>
      <c r="E2088" s="21" t="s">
        <v>175</v>
      </c>
      <c r="F2088" s="12">
        <f>_xlfn.XLOOKUP(Table134526_79101120212223242526[[#This Row],[Name Surname]],Manpower!C:C,Manpower!D:D,)</f>
        <v>140742125</v>
      </c>
      <c r="G2088" s="28" t="str">
        <f>_xlfn.XLOOKUP(Table134526_79101120212223242526[[#This Row],[Name Surname]],Manpower!$C$4:$C$1048576,Manpower!$F$4:$F$1048576,"")</f>
        <v>Assistant/Helper</v>
      </c>
      <c r="H2088" s="28" t="str">
        <f>_xlfn.XLOOKUP(Table134526_79101120212223242526[[#This Row],[Name Surname]],Manpower!$C$4:$C$1048576,Manpower!$H$4:$H$1048576,"")</f>
        <v>Manpower</v>
      </c>
      <c r="I2088" s="28" t="str">
        <f>_xlfn.XLOOKUP(Table134526_79101120212223242526[[#This Row],[Name Surname]],Manpower!$C$4:$C$1048576,Manpower!$H$4:$H$1048576,"")</f>
        <v>Manpower</v>
      </c>
      <c r="J2088" s="21" t="s">
        <v>158</v>
      </c>
      <c r="K2088" s="21" t="s">
        <v>26</v>
      </c>
      <c r="L2088" s="21" t="s">
        <v>26</v>
      </c>
      <c r="M2088" s="21" t="s">
        <v>24</v>
      </c>
      <c r="N2088" s="29">
        <v>10</v>
      </c>
      <c r="O2088" s="21" t="s">
        <v>159</v>
      </c>
      <c r="P2088" s="21" t="s">
        <v>160</v>
      </c>
      <c r="Q2088" s="21" t="s">
        <v>160</v>
      </c>
      <c r="R2088" s="21" t="s">
        <v>161</v>
      </c>
    </row>
    <row r="2089" spans="1:19" ht="14.4" hidden="1">
      <c r="A2089" s="33">
        <f>IF(C2089="","",MAX($A$1:A2088)+1)</f>
        <v>1963</v>
      </c>
      <c r="B2089" s="27" t="s">
        <v>141</v>
      </c>
      <c r="C2089" s="23">
        <v>46098</v>
      </c>
      <c r="D2089" s="28" t="str">
        <f>_xlfn.XLOOKUP(Table134526_79101120212223242526[[#This Row],[Name Surname]],Manpower!$C$4:$C$1048576,Manpower!$B$4:$B$1048576,"")</f>
        <v>Encogroup</v>
      </c>
      <c r="E2089" s="21" t="s">
        <v>228</v>
      </c>
      <c r="F2089" s="12">
        <f>_xlfn.XLOOKUP(Table134526_79101120212223242526[[#This Row],[Name Surname]],Manpower!C:C,Manpower!D:D,)</f>
        <v>125199963</v>
      </c>
      <c r="G2089" s="28" t="str">
        <f>_xlfn.XLOOKUP(Table134526_79101120212223242526[[#This Row],[Name Surname]],Manpower!$C$4:$C$1048576,Manpower!$F$4:$F$1048576,"")</f>
        <v>Electrician</v>
      </c>
      <c r="H2089" s="28" t="str">
        <f>_xlfn.XLOOKUP(Table134526_79101120212223242526[[#This Row],[Name Surname]],Manpower!$C$4:$C$1048576,Manpower!$H$4:$H$1048576,"")</f>
        <v>Manpower</v>
      </c>
      <c r="I2089" s="28" t="str">
        <f>_xlfn.XLOOKUP(Table134526_79101120212223242526[[#This Row],[Name Surname]],Manpower!$C$4:$C$1048576,Manpower!$H$4:$H$1048576,"")</f>
        <v>Manpower</v>
      </c>
      <c r="J2089" s="21" t="s">
        <v>158</v>
      </c>
      <c r="K2089" s="21" t="s">
        <v>26</v>
      </c>
      <c r="L2089" s="21" t="s">
        <v>26</v>
      </c>
      <c r="M2089" s="21" t="s">
        <v>24</v>
      </c>
      <c r="N2089" s="29">
        <v>10</v>
      </c>
      <c r="O2089" s="21" t="s">
        <v>159</v>
      </c>
      <c r="P2089" s="21" t="s">
        <v>160</v>
      </c>
      <c r="Q2089" s="21" t="s">
        <v>160</v>
      </c>
      <c r="R2089" s="21" t="s">
        <v>161</v>
      </c>
    </row>
    <row r="2090" spans="1:19" s="45" customFormat="1" ht="14.4" hidden="1">
      <c r="A2090" s="25">
        <f>IF(C2090="","",MAX($A$1:A2089)+1)</f>
        <v>1964</v>
      </c>
      <c r="B2090" s="25" t="s">
        <v>141</v>
      </c>
      <c r="C2090" s="41">
        <v>46098</v>
      </c>
      <c r="D2090" s="48" t="str">
        <f>_xlfn.XLOOKUP(Table134526_79101120212223242526[[#This Row],[Name Surname]],Manpower!$C$4:$C$1048576,Manpower!$B$4:$B$1048576,"")</f>
        <v>Encogroup</v>
      </c>
      <c r="E2090" s="43" t="s">
        <v>176</v>
      </c>
      <c r="F2090" s="12">
        <f>_xlfn.XLOOKUP(Table134526_79101120212223242526[[#This Row],[Name Surname]],Manpower!C:C,Manpower!D:D,)</f>
        <v>124398279</v>
      </c>
      <c r="G2090" s="48" t="str">
        <f>_xlfn.XLOOKUP(Table134526_79101120212223242526[[#This Row],[Name Surname]],Manpower!$C$4:$C$1048576,Manpower!$F$4:$F$1048576,"")</f>
        <v>Permit Receiver</v>
      </c>
      <c r="H2090" s="48" t="str">
        <f>_xlfn.XLOOKUP(Table134526_79101120212223242526[[#This Row],[Name Surname]],Manpower!$C$4:$C$1048576,Manpower!$H$4:$H$1048576,"")</f>
        <v>Manpower</v>
      </c>
      <c r="I2090" s="48" t="str">
        <f>_xlfn.XLOOKUP(Table134526_79101120212223242526[[#This Row],[Name Surname]],Manpower!$C$4:$C$1048576,Manpower!$H$4:$H$1048576,"")</f>
        <v>Manpower</v>
      </c>
      <c r="J2090" s="43" t="s">
        <v>143</v>
      </c>
      <c r="K2090" s="43" t="s">
        <v>26</v>
      </c>
      <c r="L2090" s="43" t="s">
        <v>144</v>
      </c>
      <c r="M2090" s="43" t="s">
        <v>24</v>
      </c>
      <c r="N2090" s="44">
        <v>10</v>
      </c>
      <c r="O2090" s="43" t="s">
        <v>40</v>
      </c>
      <c r="P2090" s="43" t="s">
        <v>42</v>
      </c>
      <c r="Q2090" s="43" t="s">
        <v>42</v>
      </c>
      <c r="R2090" s="43" t="s">
        <v>344</v>
      </c>
      <c r="S2090" s="43" t="s">
        <v>343</v>
      </c>
    </row>
    <row r="2091" spans="1:19" s="45" customFormat="1" ht="14.4" hidden="1">
      <c r="A2091" s="25">
        <f>IF(C2091="","",MAX($A$1:A2090)+1)</f>
        <v>1965</v>
      </c>
      <c r="B2091" s="25" t="s">
        <v>141</v>
      </c>
      <c r="C2091" s="41">
        <v>46098</v>
      </c>
      <c r="D2091" s="48" t="str">
        <f>_xlfn.XLOOKUP(Table134526_79101120212223242526[[#This Row],[Name Surname]],Manpower!$C$4:$C$1048576,Manpower!$B$4:$B$1048576,"")</f>
        <v>Encogroup</v>
      </c>
      <c r="E2091" s="43" t="s">
        <v>177</v>
      </c>
      <c r="F2091" s="12">
        <f>_xlfn.XLOOKUP(Table134526_79101120212223242526[[#This Row],[Name Surname]],Manpower!C:C,Manpower!D:D,)</f>
        <v>140809004</v>
      </c>
      <c r="G2091" s="48" t="str">
        <f>_xlfn.XLOOKUP(Table134526_79101120212223242526[[#This Row],[Name Surname]],Manpower!$C$4:$C$1048576,Manpower!$F$4:$F$1048576,"")</f>
        <v>Fitter/Erector</v>
      </c>
      <c r="H2091" s="48" t="str">
        <f>_xlfn.XLOOKUP(Table134526_79101120212223242526[[#This Row],[Name Surname]],Manpower!$C$4:$C$1048576,Manpower!$H$4:$H$1048576,"")</f>
        <v>Manpower</v>
      </c>
      <c r="I2091" s="48" t="str">
        <f>_xlfn.XLOOKUP(Table134526_79101120212223242526[[#This Row],[Name Surname]],Manpower!$C$4:$C$1048576,Manpower!$H$4:$H$1048576,"")</f>
        <v>Manpower</v>
      </c>
      <c r="J2091" s="43" t="s">
        <v>143</v>
      </c>
      <c r="K2091" s="43" t="s">
        <v>26</v>
      </c>
      <c r="L2091" s="43" t="s">
        <v>144</v>
      </c>
      <c r="M2091" s="43" t="s">
        <v>24</v>
      </c>
      <c r="N2091" s="44">
        <v>10</v>
      </c>
      <c r="O2091" s="43" t="s">
        <v>40</v>
      </c>
      <c r="P2091" s="43" t="s">
        <v>42</v>
      </c>
      <c r="Q2091" s="43" t="s">
        <v>42</v>
      </c>
      <c r="R2091" s="43" t="s">
        <v>340</v>
      </c>
      <c r="S2091" s="43" t="s">
        <v>343</v>
      </c>
    </row>
    <row r="2092" spans="1:19" ht="14.4" hidden="1">
      <c r="A2092" s="33">
        <f>IF(C2092="","",MAX($A$1:A2091)+1)</f>
        <v>1966</v>
      </c>
      <c r="B2092" s="27" t="s">
        <v>141</v>
      </c>
      <c r="C2092" s="23">
        <v>46098</v>
      </c>
      <c r="D2092" s="28" t="str">
        <f>_xlfn.XLOOKUP(Table134526_79101120212223242526[[#This Row],[Name Surname]],Manpower!$C$4:$C$1048576,Manpower!$B$4:$B$1048576,"")</f>
        <v>Encogroup</v>
      </c>
      <c r="E2092" s="21" t="s">
        <v>178</v>
      </c>
      <c r="F2092" s="12">
        <f>_xlfn.XLOOKUP(Table134526_79101120212223242526[[#This Row],[Name Surname]],Manpower!C:C,Manpower!D:D,)</f>
        <v>140683436</v>
      </c>
      <c r="G2092" s="28" t="str">
        <f>_xlfn.XLOOKUP(Table134526_79101120212223242526[[#This Row],[Name Surname]],Manpower!$C$4:$C$1048576,Manpower!$F$4:$F$1048576,"")</f>
        <v>Scaffolder</v>
      </c>
      <c r="H2092" s="28" t="str">
        <f>_xlfn.XLOOKUP(Table134526_79101120212223242526[[#This Row],[Name Surname]],Manpower!$C$4:$C$1048576,Manpower!$H$4:$H$1048576,"")</f>
        <v>Manpower</v>
      </c>
      <c r="I2092" s="28" t="str">
        <f>_xlfn.XLOOKUP(Table134526_79101120212223242526[[#This Row],[Name Surname]],Manpower!$C$4:$C$1048576,Manpower!$H$4:$H$1048576,"")</f>
        <v>Manpower</v>
      </c>
      <c r="J2092" s="21" t="s">
        <v>158</v>
      </c>
      <c r="K2092" s="21" t="s">
        <v>26</v>
      </c>
      <c r="L2092" s="21" t="s">
        <v>26</v>
      </c>
      <c r="M2092" s="21" t="s">
        <v>24</v>
      </c>
      <c r="N2092" s="29">
        <v>8</v>
      </c>
      <c r="O2092" s="21" t="s">
        <v>159</v>
      </c>
      <c r="P2092" s="21" t="s">
        <v>160</v>
      </c>
      <c r="Q2092" s="21" t="s">
        <v>160</v>
      </c>
      <c r="R2092" s="21" t="s">
        <v>161</v>
      </c>
    </row>
    <row r="2093" spans="1:19" ht="14.4">
      <c r="A2093" s="33">
        <f>IF(C2093="","",MAX($A$1:A2092)+1)</f>
        <v>1967</v>
      </c>
      <c r="B2093" s="27" t="s">
        <v>141</v>
      </c>
      <c r="C2093" s="23">
        <v>46098</v>
      </c>
      <c r="D2093" s="28" t="str">
        <f>_xlfn.XLOOKUP(Table134526_79101120212223242526[[#This Row],[Name Surname]],Manpower!$C$4:$C$1048576,Manpower!$B$4:$B$1048576,"")</f>
        <v>Encogroup</v>
      </c>
      <c r="E2093" s="23" t="s">
        <v>179</v>
      </c>
      <c r="F2093" s="12" t="e">
        <f>_xlfn.XLOOKUP(Table134526_79101120212223242526[[#This Row],[Name Surname]],Manpower!C:C,Manpower!D:D,)</f>
        <v>#N/A</v>
      </c>
      <c r="G2093" s="28" t="str">
        <f>_xlfn.XLOOKUP(Table134526_79101120212223242526[[#This Row],[Name Surname]],Manpower!$C$4:$C$1048576,Manpower!$F$4:$F$1048576,"")</f>
        <v>7T-HIAB</v>
      </c>
      <c r="H2093" s="28" t="str">
        <f>_xlfn.XLOOKUP(Table134526_79101120212223242526[[#This Row],[Name Surname]],Manpower!$C$4:$C$1048576,Manpower!$H$4:$H$1048576,"")</f>
        <v>Equipment</v>
      </c>
      <c r="I2093" s="28" t="str">
        <f>_xlfn.XLOOKUP(Table134526_79101120212223242526[[#This Row],[Name Surname]],Manpower!$C$4:$C$1048576,Manpower!$H$4:$H$1048576,"")</f>
        <v>Equipment</v>
      </c>
      <c r="J2093" s="21" t="s">
        <v>143</v>
      </c>
      <c r="K2093" s="21" t="s">
        <v>26</v>
      </c>
      <c r="L2093" s="21" t="s">
        <v>144</v>
      </c>
      <c r="M2093" s="21" t="s">
        <v>24</v>
      </c>
      <c r="N2093" s="29">
        <v>10</v>
      </c>
      <c r="O2093" s="21" t="s">
        <v>138</v>
      </c>
      <c r="P2093" s="21" t="s">
        <v>138</v>
      </c>
      <c r="Q2093" s="21" t="s">
        <v>138</v>
      </c>
      <c r="R2093" s="21" t="s">
        <v>26</v>
      </c>
    </row>
    <row r="2094" spans="1:19" ht="14.4" hidden="1">
      <c r="A2094" s="33">
        <f>IF(C2094="","",MAX($A$1:A2093)+1)</f>
        <v>1968</v>
      </c>
      <c r="B2094" s="27" t="s">
        <v>141</v>
      </c>
      <c r="C2094" s="23">
        <v>46098</v>
      </c>
      <c r="D2094" s="28" t="str">
        <f>_xlfn.XLOOKUP(Table134526_79101120212223242526[[#This Row],[Name Surname]],Manpower!$C$4:$C$1048576,Manpower!$B$4:$B$1048576,"")</f>
        <v>Encogroup</v>
      </c>
      <c r="E2094" s="21" t="s">
        <v>180</v>
      </c>
      <c r="F2094" s="12">
        <f>_xlfn.XLOOKUP(Table134526_79101120212223242526[[#This Row],[Name Surname]],Manpower!C:C,Manpower!D:D,)</f>
        <v>9138415</v>
      </c>
      <c r="G2094" s="28" t="str">
        <f>_xlfn.XLOOKUP(Table134526_79101120212223242526[[#This Row],[Name Surname]],Manpower!$C$4:$C$1048576,Manpower!$F$4:$F$1048576,"")</f>
        <v>HIAB Driver</v>
      </c>
      <c r="H2094" s="28" t="str">
        <f>_xlfn.XLOOKUP(Table134526_79101120212223242526[[#This Row],[Name Surname]],Manpower!$C$4:$C$1048576,Manpower!$H$4:$H$1048576,"")</f>
        <v>Manpower</v>
      </c>
      <c r="I2094" s="28" t="str">
        <f>_xlfn.XLOOKUP(Table134526_79101120212223242526[[#This Row],[Name Surname]],Manpower!$C$4:$C$1048576,Manpower!$H$4:$H$1048576,"")</f>
        <v>Manpower</v>
      </c>
      <c r="J2094" s="21" t="s">
        <v>143</v>
      </c>
      <c r="K2094" s="21" t="s">
        <v>26</v>
      </c>
      <c r="L2094" s="21" t="s">
        <v>144</v>
      </c>
      <c r="M2094" s="21" t="s">
        <v>24</v>
      </c>
      <c r="N2094" s="29">
        <v>9</v>
      </c>
      <c r="O2094" s="21" t="s">
        <v>40</v>
      </c>
      <c r="P2094" s="21" t="s">
        <v>42</v>
      </c>
      <c r="Q2094" s="21" t="s">
        <v>42</v>
      </c>
      <c r="R2094" s="21" t="s">
        <v>181</v>
      </c>
    </row>
    <row r="2095" spans="1:19" ht="14.4" hidden="1">
      <c r="A2095" s="33">
        <f>IF(C2095="","",MAX($A$1:A2094)+1)</f>
        <v>1969</v>
      </c>
      <c r="B2095" s="27" t="s">
        <v>141</v>
      </c>
      <c r="C2095" s="23">
        <v>46098</v>
      </c>
      <c r="D2095" s="28" t="str">
        <f>_xlfn.XLOOKUP(Table134526_79101120212223242526[[#This Row],[Name Surname]],Manpower!$C$4:$C$1048576,Manpower!$B$4:$B$1048576,"")</f>
        <v>Encogroup</v>
      </c>
      <c r="E2095" s="21" t="s">
        <v>184</v>
      </c>
      <c r="F2095" s="12">
        <f>_xlfn.XLOOKUP(Table134526_79101120212223242526[[#This Row],[Name Surname]],Manpower!C:C,Manpower!D:D,)</f>
        <v>140844759</v>
      </c>
      <c r="G2095" s="28" t="str">
        <f>_xlfn.XLOOKUP(Table134526_79101120212223242526[[#This Row],[Name Surname]],Manpower!$C$4:$C$1048576,Manpower!$F$4:$F$1048576,"")</f>
        <v>Welder</v>
      </c>
      <c r="H2095" s="28" t="str">
        <f>_xlfn.XLOOKUP(Table134526_79101120212223242526[[#This Row],[Name Surname]],Manpower!$C$4:$C$1048576,Manpower!$H$4:$H$1048576,"")</f>
        <v>Manpower</v>
      </c>
      <c r="I2095" s="28" t="str">
        <f>_xlfn.XLOOKUP(Table134526_79101120212223242526[[#This Row],[Name Surname]],Manpower!$C$4:$C$1048576,Manpower!$H$4:$H$1048576,"")</f>
        <v>Manpower</v>
      </c>
      <c r="J2095" s="21" t="s">
        <v>143</v>
      </c>
      <c r="K2095" s="21" t="s">
        <v>26</v>
      </c>
      <c r="L2095" s="21" t="s">
        <v>170</v>
      </c>
      <c r="M2095" s="21" t="s">
        <v>24</v>
      </c>
      <c r="N2095" s="29">
        <v>10</v>
      </c>
      <c r="O2095" s="21" t="s">
        <v>40</v>
      </c>
      <c r="P2095" s="21" t="s">
        <v>128</v>
      </c>
      <c r="Q2095" s="21" t="s">
        <v>128</v>
      </c>
      <c r="R2095" s="21" t="s">
        <v>171</v>
      </c>
    </row>
    <row r="2096" spans="1:19" ht="14.4" hidden="1">
      <c r="A2096" s="33">
        <f>IF(C2096="","",MAX($A$1:A2095)+1)</f>
        <v>1970</v>
      </c>
      <c r="B2096" s="27" t="s">
        <v>141</v>
      </c>
      <c r="C2096" s="23">
        <v>46098</v>
      </c>
      <c r="D2096" s="28" t="str">
        <f>_xlfn.XLOOKUP(Table134526_79101120212223242526[[#This Row],[Name Surname]],Manpower!$C$4:$C$1048576,Manpower!$B$4:$B$1048576,"")</f>
        <v>Encogroup</v>
      </c>
      <c r="E2096" s="21" t="s">
        <v>185</v>
      </c>
      <c r="F2096" s="12">
        <f>_xlfn.XLOOKUP(Table134526_79101120212223242526[[#This Row],[Name Surname]],Manpower!C:C,Manpower!D:D,)</f>
        <v>140848828</v>
      </c>
      <c r="G2096" s="28" t="str">
        <f>_xlfn.XLOOKUP(Table134526_79101120212223242526[[#This Row],[Name Surname]],Manpower!$C$4:$C$1048576,Manpower!$F$4:$F$1048576,"")</f>
        <v>Pipe Fitter</v>
      </c>
      <c r="H2096" s="28" t="str">
        <f>_xlfn.XLOOKUP(Table134526_79101120212223242526[[#This Row],[Name Surname]],Manpower!$C$4:$C$1048576,Manpower!$H$4:$H$1048576,"")</f>
        <v>Manpower</v>
      </c>
      <c r="I2096" s="28" t="str">
        <f>_xlfn.XLOOKUP(Table134526_79101120212223242526[[#This Row],[Name Surname]],Manpower!$C$4:$C$1048576,Manpower!$H$4:$H$1048576,"")</f>
        <v>Manpower</v>
      </c>
      <c r="J2096" s="21" t="s">
        <v>143</v>
      </c>
      <c r="K2096" s="21" t="s">
        <v>26</v>
      </c>
      <c r="L2096" s="21" t="s">
        <v>170</v>
      </c>
      <c r="M2096" s="21" t="s">
        <v>24</v>
      </c>
      <c r="N2096" s="29">
        <v>10</v>
      </c>
      <c r="O2096" s="21" t="s">
        <v>40</v>
      </c>
      <c r="P2096" s="21" t="s">
        <v>128</v>
      </c>
      <c r="Q2096" s="21" t="s">
        <v>128</v>
      </c>
      <c r="R2096" s="21" t="s">
        <v>171</v>
      </c>
    </row>
    <row r="2097" spans="1:19" ht="14.4" hidden="1">
      <c r="A2097" s="33">
        <f>IF(C2097="","",MAX($A$1:A2096)+1)</f>
        <v>1971</v>
      </c>
      <c r="B2097" s="27" t="s">
        <v>141</v>
      </c>
      <c r="C2097" s="23">
        <v>46098</v>
      </c>
      <c r="D2097" s="28" t="str">
        <f>_xlfn.XLOOKUP(Table134526_79101120212223242526[[#This Row],[Name Surname]],Manpower!$C$4:$C$1048576,Manpower!$B$4:$B$1048576,"")</f>
        <v>Encogroup</v>
      </c>
      <c r="E2097" s="21" t="s">
        <v>186</v>
      </c>
      <c r="F2097" s="12">
        <f>_xlfn.XLOOKUP(Table134526_79101120212223242526[[#This Row],[Name Surname]],Manpower!C:C,Manpower!D:D,)</f>
        <v>140696961</v>
      </c>
      <c r="G2097" s="28" t="str">
        <f>_xlfn.XLOOKUP(Table134526_79101120212223242526[[#This Row],[Name Surname]],Manpower!$C$4:$C$1048576,Manpower!$F$4:$F$1048576,"")</f>
        <v>Assistant/Helper</v>
      </c>
      <c r="H2097" s="28" t="str">
        <f>_xlfn.XLOOKUP(Table134526_79101120212223242526[[#This Row],[Name Surname]],Manpower!$C$4:$C$1048576,Manpower!$H$4:$H$1048576,"")</f>
        <v>Manpower</v>
      </c>
      <c r="I2097" s="28" t="str">
        <f>_xlfn.XLOOKUP(Table134526_79101120212223242526[[#This Row],[Name Surname]],Manpower!$C$4:$C$1048576,Manpower!$H$4:$H$1048576,"")</f>
        <v>Manpower</v>
      </c>
      <c r="J2097" s="21" t="s">
        <v>158</v>
      </c>
      <c r="K2097" s="21" t="s">
        <v>26</v>
      </c>
      <c r="L2097" s="21" t="s">
        <v>26</v>
      </c>
      <c r="M2097" s="21" t="s">
        <v>24</v>
      </c>
      <c r="N2097" s="29">
        <v>10</v>
      </c>
      <c r="O2097" s="21" t="s">
        <v>159</v>
      </c>
      <c r="P2097" s="21" t="s">
        <v>160</v>
      </c>
      <c r="Q2097" s="21" t="s">
        <v>160</v>
      </c>
      <c r="R2097" s="21" t="s">
        <v>161</v>
      </c>
    </row>
    <row r="2098" spans="1:19" ht="14.4" hidden="1">
      <c r="A2098" s="33">
        <f>IF(C2098="","",MAX($A$1:A2097)+1)</f>
        <v>1972</v>
      </c>
      <c r="B2098" s="27" t="s">
        <v>141</v>
      </c>
      <c r="C2098" s="23">
        <v>46098</v>
      </c>
      <c r="D2098" s="28" t="str">
        <f>_xlfn.XLOOKUP(Table134526_79101120212223242526[[#This Row],[Name Surname]],Manpower!$C$4:$C$1048576,Manpower!$B$4:$B$1048576,"")</f>
        <v>Encogroup</v>
      </c>
      <c r="E2098" s="21" t="s">
        <v>187</v>
      </c>
      <c r="F2098" s="12">
        <f>_xlfn.XLOOKUP(Table134526_79101120212223242526[[#This Row],[Name Surname]],Manpower!C:C,Manpower!D:D,)</f>
        <v>140623599</v>
      </c>
      <c r="G2098" s="28" t="str">
        <f>_xlfn.XLOOKUP(Table134526_79101120212223242526[[#This Row],[Name Surname]],Manpower!$C$4:$C$1048576,Manpower!$F$4:$F$1048576,"")</f>
        <v>Mechanical Supervisor</v>
      </c>
      <c r="H2098" s="28" t="str">
        <f>_xlfn.XLOOKUP(Table134526_79101120212223242526[[#This Row],[Name Surname]],Manpower!$C$4:$C$1048576,Manpower!$H$4:$H$1048576,"")</f>
        <v>Manpower</v>
      </c>
      <c r="I2098" s="28" t="str">
        <f>_xlfn.XLOOKUP(Table134526_79101120212223242526[[#This Row],[Name Surname]],Manpower!$C$4:$C$1048576,Manpower!$H$4:$H$1048576,"")</f>
        <v>Manpower</v>
      </c>
      <c r="J2098" s="21" t="s">
        <v>143</v>
      </c>
      <c r="K2098" s="21" t="s">
        <v>26</v>
      </c>
      <c r="L2098" s="21" t="s">
        <v>144</v>
      </c>
      <c r="M2098" s="21" t="s">
        <v>24</v>
      </c>
      <c r="N2098" s="29">
        <v>8</v>
      </c>
      <c r="O2098" s="21" t="s">
        <v>40</v>
      </c>
      <c r="P2098" s="21" t="s">
        <v>42</v>
      </c>
      <c r="Q2098" s="21" t="s">
        <v>42</v>
      </c>
      <c r="R2098" s="21" t="s">
        <v>339</v>
      </c>
    </row>
    <row r="2099" spans="1:19" ht="14.4" hidden="1">
      <c r="A2099" s="33">
        <f>IF(C2099="","",MAX($A$1:A2098)+1)</f>
        <v>1973</v>
      </c>
      <c r="B2099" s="27" t="s">
        <v>141</v>
      </c>
      <c r="C2099" s="23">
        <v>46098</v>
      </c>
      <c r="D2099" s="28" t="str">
        <f>_xlfn.XLOOKUP(Table134526_79101120212223242526[[#This Row],[Name Surname]],Manpower!$C$4:$C$1048576,Manpower!$B$4:$B$1048576,"")</f>
        <v>Encogroup</v>
      </c>
      <c r="E2099" s="21" t="s">
        <v>189</v>
      </c>
      <c r="F2099" s="12">
        <f>_xlfn.XLOOKUP(Table134526_79101120212223242526[[#This Row],[Name Surname]],Manpower!C:C,Manpower!D:D,)</f>
        <v>121937785</v>
      </c>
      <c r="G2099" s="28" t="str">
        <f>_xlfn.XLOOKUP(Table134526_79101120212223242526[[#This Row],[Name Surname]],Manpower!$C$4:$C$1048576,Manpower!$F$4:$F$1048576,"")</f>
        <v>Scaffolding Inspector</v>
      </c>
      <c r="H2099" s="28" t="str">
        <f>_xlfn.XLOOKUP(Table134526_79101120212223242526[[#This Row],[Name Surname]],Manpower!$C$4:$C$1048576,Manpower!$H$4:$H$1048576,"")</f>
        <v>Manpower</v>
      </c>
      <c r="I2099" s="28" t="str">
        <f>_xlfn.XLOOKUP(Table134526_79101120212223242526[[#This Row],[Name Surname]],Manpower!$C$4:$C$1048576,Manpower!$H$4:$H$1048576,"")</f>
        <v>Manpower</v>
      </c>
      <c r="J2099" s="21" t="s">
        <v>143</v>
      </c>
      <c r="K2099" s="21" t="s">
        <v>26</v>
      </c>
      <c r="L2099" s="21" t="s">
        <v>144</v>
      </c>
      <c r="M2099" s="21" t="s">
        <v>24</v>
      </c>
      <c r="N2099" s="29">
        <v>8</v>
      </c>
      <c r="O2099" s="21" t="s">
        <v>40</v>
      </c>
      <c r="P2099" s="21" t="s">
        <v>128</v>
      </c>
      <c r="Q2099" s="21" t="s">
        <v>128</v>
      </c>
      <c r="R2099" s="21" t="s">
        <v>26</v>
      </c>
    </row>
    <row r="2100" spans="1:19" ht="14.4" hidden="1">
      <c r="A2100" s="33">
        <f>IF(C2100="","",MAX($A$1:A2099)+1)</f>
        <v>1974</v>
      </c>
      <c r="B2100" s="27" t="s">
        <v>141</v>
      </c>
      <c r="C2100" s="23">
        <v>46098</v>
      </c>
      <c r="D2100" s="28" t="str">
        <f>_xlfn.XLOOKUP(Table134526_79101120212223242526[[#This Row],[Name Surname]],Manpower!$C$4:$C$1048576,Manpower!$B$4:$B$1048576,"")</f>
        <v>AL Omar International TRAD AND CONT</v>
      </c>
      <c r="E2100" s="21" t="s">
        <v>192</v>
      </c>
      <c r="F2100" s="12">
        <f>_xlfn.XLOOKUP(Table134526_79101120212223242526[[#This Row],[Name Surname]],Manpower!C:C,Manpower!D:D,)</f>
        <v>96409155</v>
      </c>
      <c r="G2100" s="28" t="str">
        <f>_xlfn.XLOOKUP(Table134526_79101120212223242526[[#This Row],[Name Surname]],Manpower!$C$4:$C$1048576,Manpower!$F$4:$F$1048576,"")</f>
        <v>Scaffolder</v>
      </c>
      <c r="H2100" s="28" t="str">
        <f>_xlfn.XLOOKUP(Table134526_79101120212223242526[[#This Row],[Name Surname]],Manpower!$C$4:$C$1048576,Manpower!$H$4:$H$1048576,"")</f>
        <v>Sub Contactor</v>
      </c>
      <c r="I2100" s="28" t="str">
        <f>_xlfn.XLOOKUP(Table134526_79101120212223242526[[#This Row],[Name Surname]],Manpower!$C$4:$C$1048576,Manpower!$H$4:$H$1048576,"")</f>
        <v>Sub Contactor</v>
      </c>
      <c r="J2100" s="21" t="s">
        <v>143</v>
      </c>
      <c r="K2100" s="21" t="s">
        <v>26</v>
      </c>
      <c r="L2100" s="21" t="s">
        <v>170</v>
      </c>
      <c r="M2100" s="21" t="s">
        <v>24</v>
      </c>
      <c r="N2100" s="29">
        <v>8</v>
      </c>
      <c r="O2100" s="21" t="s">
        <v>40</v>
      </c>
      <c r="P2100" s="21" t="s">
        <v>128</v>
      </c>
      <c r="Q2100" s="21" t="s">
        <v>128</v>
      </c>
      <c r="R2100" s="21" t="s">
        <v>171</v>
      </c>
    </row>
    <row r="2101" spans="1:19" ht="14.4" hidden="1">
      <c r="A2101" s="33">
        <f>IF(C2101="","",MAX($A$1:A2100)+1)</f>
        <v>1975</v>
      </c>
      <c r="B2101" s="27" t="s">
        <v>141</v>
      </c>
      <c r="C2101" s="23">
        <v>46098</v>
      </c>
      <c r="D2101" s="28" t="str">
        <f>_xlfn.XLOOKUP(Table134526_79101120212223242526[[#This Row],[Name Surname]],Manpower!$C$4:$C$1048576,Manpower!$B$4:$B$1048576,"")</f>
        <v>AL Omar International TRAD AND CONT</v>
      </c>
      <c r="E2101" s="21" t="s">
        <v>193</v>
      </c>
      <c r="F2101" s="12">
        <f>_xlfn.XLOOKUP(Table134526_79101120212223242526[[#This Row],[Name Surname]],Manpower!C:C,Manpower!D:D,)</f>
        <v>105813698</v>
      </c>
      <c r="G2101" s="28" t="str">
        <f>_xlfn.XLOOKUP(Table134526_79101120212223242526[[#This Row],[Name Surname]],Manpower!$C$4:$C$1048576,Manpower!$F$4:$F$1048576,"")</f>
        <v>Scaffolding Inspector</v>
      </c>
      <c r="H2101" s="28" t="str">
        <f>_xlfn.XLOOKUP(Table134526_79101120212223242526[[#This Row],[Name Surname]],Manpower!$C$4:$C$1048576,Manpower!$H$4:$H$1048576,"")</f>
        <v>Sub Contactor</v>
      </c>
      <c r="I2101" s="28" t="str">
        <f>_xlfn.XLOOKUP(Table134526_79101120212223242526[[#This Row],[Name Surname]],Manpower!$C$4:$C$1048576,Manpower!$H$4:$H$1048576,"")</f>
        <v>Sub Contactor</v>
      </c>
      <c r="J2101" s="21" t="s">
        <v>143</v>
      </c>
      <c r="K2101" s="21" t="s">
        <v>26</v>
      </c>
      <c r="L2101" s="21" t="s">
        <v>170</v>
      </c>
      <c r="M2101" s="21" t="s">
        <v>24</v>
      </c>
      <c r="N2101" s="29">
        <v>8</v>
      </c>
      <c r="O2101" s="21" t="s">
        <v>40</v>
      </c>
      <c r="P2101" s="21" t="s">
        <v>128</v>
      </c>
      <c r="Q2101" s="21" t="s">
        <v>128</v>
      </c>
      <c r="R2101" s="21" t="s">
        <v>171</v>
      </c>
    </row>
    <row r="2102" spans="1:19" s="45" customFormat="1" ht="14.4">
      <c r="A2102" s="25">
        <f>IF(C2102="","",MAX($A$1:A2101)+1)</f>
        <v>1976</v>
      </c>
      <c r="B2102" s="25" t="s">
        <v>141</v>
      </c>
      <c r="C2102" s="41">
        <v>46098</v>
      </c>
      <c r="D2102" s="48" t="str">
        <f>_xlfn.XLOOKUP(Table134526_79101120212223242526[[#This Row],[Name Surname]],Manpower!$C$4:$C$1048576,Manpower!$B$4:$B$1048576,"")</f>
        <v>ATS</v>
      </c>
      <c r="E2102" s="43" t="s">
        <v>345</v>
      </c>
      <c r="F2102" s="12" t="str">
        <f>_xlfn.XLOOKUP(Table134526_79101120212223242526[[#This Row],[Name Surname]],Manpower!C:C,Manpower!D:D,)</f>
        <v>100398391</v>
      </c>
      <c r="G2102" s="48" t="str">
        <f>_xlfn.XLOOKUP(Table134526_79101120212223242526[[#This Row],[Name Surname]],Manpower!$C$4:$C$1048576,Manpower!$F$4:$F$1048576,"")</f>
        <v>DRIVER</v>
      </c>
      <c r="H2102" s="48" t="str">
        <f>_xlfn.XLOOKUP(Table134526_79101120212223242526[[#This Row],[Name Surname]],Manpower!$C$4:$C$1048576,Manpower!$H$4:$H$1048576,"")</f>
        <v>DRIVER</v>
      </c>
      <c r="I2102" s="48" t="str">
        <f>_xlfn.XLOOKUP(Table134526_79101120212223242526[[#This Row],[Name Surname]],Manpower!$C$4:$C$1048576,Manpower!$H$4:$H$1048576,"")</f>
        <v>DRIVER</v>
      </c>
      <c r="J2102" s="43" t="s">
        <v>143</v>
      </c>
      <c r="K2102" s="43" t="s">
        <v>26</v>
      </c>
      <c r="L2102" s="43" t="s">
        <v>144</v>
      </c>
      <c r="M2102" s="43" t="s">
        <v>24</v>
      </c>
      <c r="N2102" s="44">
        <v>8</v>
      </c>
      <c r="O2102" s="43" t="s">
        <v>40</v>
      </c>
      <c r="P2102" s="43" t="s">
        <v>42</v>
      </c>
      <c r="Q2102" s="43" t="s">
        <v>42</v>
      </c>
      <c r="R2102" s="43" t="s">
        <v>340</v>
      </c>
      <c r="S2102" s="43"/>
    </row>
    <row r="2103" spans="1:19" s="45" customFormat="1" ht="14.4" hidden="1">
      <c r="A2103" s="25">
        <f>IF(C2103="","",MAX($A$1:A2101)+1)</f>
        <v>1976</v>
      </c>
      <c r="B2103" s="25" t="s">
        <v>141</v>
      </c>
      <c r="C2103" s="41">
        <v>46098</v>
      </c>
      <c r="D2103" s="48" t="str">
        <f>_xlfn.XLOOKUP(Table134526_79101120212223242526[[#This Row],[Name Surname]],Manpower!$C$4:$C$1048576,Manpower!$B$4:$B$1048576,"")</f>
        <v>AL Saif &amp; Al QALLM ENT LLC</v>
      </c>
      <c r="E2103" s="43" t="s">
        <v>194</v>
      </c>
      <c r="F2103" s="12">
        <f>_xlfn.XLOOKUP(Table134526_79101120212223242526[[#This Row],[Name Surname]],Manpower!C:C,Manpower!D:D,)</f>
        <v>135340657</v>
      </c>
      <c r="G2103" s="48" t="str">
        <f>_xlfn.XLOOKUP(Table134526_79101120212223242526[[#This Row],[Name Surname]],Manpower!$C$4:$C$1048576,Manpower!$F$4:$F$1048576,"")</f>
        <v>Forklift Operator</v>
      </c>
      <c r="H2103" s="48" t="str">
        <f>_xlfn.XLOOKUP(Table134526_79101120212223242526[[#This Row],[Name Surname]],Manpower!$C$4:$C$1048576,Manpower!$H$4:$H$1048576,"")</f>
        <v>Sub Contactor</v>
      </c>
      <c r="I2103" s="48" t="str">
        <f>_xlfn.XLOOKUP(Table134526_79101120212223242526[[#This Row],[Name Surname]],Manpower!$C$4:$C$1048576,Manpower!$H$4:$H$1048576,"")</f>
        <v>Sub Contactor</v>
      </c>
      <c r="J2103" s="43" t="s">
        <v>143</v>
      </c>
      <c r="K2103" s="43" t="s">
        <v>26</v>
      </c>
      <c r="L2103" s="43" t="s">
        <v>144</v>
      </c>
      <c r="M2103" s="43" t="s">
        <v>24</v>
      </c>
      <c r="N2103" s="44">
        <v>8</v>
      </c>
      <c r="O2103" s="43" t="s">
        <v>40</v>
      </c>
      <c r="P2103" s="43" t="s">
        <v>42</v>
      </c>
      <c r="Q2103" s="43" t="s">
        <v>42</v>
      </c>
      <c r="R2103" s="43" t="s">
        <v>195</v>
      </c>
      <c r="S2103" s="43"/>
    </row>
    <row r="2104" spans="1:19" ht="14.4" hidden="1">
      <c r="A2104" s="33">
        <f>IF(C2104="","",MAX($A$1:A2103)+1)</f>
        <v>1977</v>
      </c>
      <c r="B2104" s="27" t="s">
        <v>141</v>
      </c>
      <c r="C2104" s="23">
        <v>46098</v>
      </c>
      <c r="D2104" s="28" t="str">
        <f>_xlfn.XLOOKUP(Table134526_79101120212223242526[[#This Row],[Name Surname]],Manpower!$C$4:$C$1048576,Manpower!$B$4:$B$1048576,"")</f>
        <v>Encogroup</v>
      </c>
      <c r="E2104" s="21" t="s">
        <v>196</v>
      </c>
      <c r="F2104" s="12">
        <f>_xlfn.XLOOKUP(Table134526_79101120212223242526[[#This Row],[Name Surname]],Manpower!C:C,Manpower!D:D,)</f>
        <v>140844586</v>
      </c>
      <c r="G2104" s="28" t="str">
        <f>_xlfn.XLOOKUP(Table134526_79101120212223242526[[#This Row],[Name Surname]],Manpower!$C$4:$C$1048576,Manpower!$F$4:$F$1048576,"")</f>
        <v>Assistant/Helper</v>
      </c>
      <c r="H2104" s="28" t="str">
        <f>_xlfn.XLOOKUP(Table134526_79101120212223242526[[#This Row],[Name Surname]],Manpower!$C$4:$C$1048576,Manpower!$H$4:$H$1048576,"")</f>
        <v>Manpower</v>
      </c>
      <c r="I2104" s="28" t="str">
        <f>_xlfn.XLOOKUP(Table134526_79101120212223242526[[#This Row],[Name Surname]],Manpower!$C$4:$C$1048576,Manpower!$H$4:$H$1048576,"")</f>
        <v>Manpower</v>
      </c>
      <c r="J2104" s="21" t="s">
        <v>158</v>
      </c>
      <c r="K2104" s="21" t="s">
        <v>26</v>
      </c>
      <c r="L2104" s="21" t="s">
        <v>26</v>
      </c>
      <c r="M2104" s="21" t="s">
        <v>24</v>
      </c>
      <c r="N2104" s="29">
        <v>10</v>
      </c>
      <c r="O2104" s="21" t="s">
        <v>159</v>
      </c>
      <c r="P2104" s="21" t="s">
        <v>160</v>
      </c>
      <c r="Q2104" s="21" t="s">
        <v>160</v>
      </c>
      <c r="R2104" s="21" t="s">
        <v>161</v>
      </c>
    </row>
    <row r="2105" spans="1:19" ht="15" hidden="1" customHeight="1">
      <c r="A2105" s="33">
        <f>IF(C2105="","",MAX($A$1:A2104)+1)</f>
        <v>1978</v>
      </c>
      <c r="B2105" s="27" t="s">
        <v>141</v>
      </c>
      <c r="C2105" s="23">
        <v>46098</v>
      </c>
      <c r="D2105" s="28" t="str">
        <f>_xlfn.XLOOKUP(Table134526_79101120212223242526[[#This Row],[Name Surname]],Manpower!$C$4:$C$1048576,Manpower!$B$4:$B$1048576,"")</f>
        <v>Encogroup</v>
      </c>
      <c r="E2105" s="21" t="s">
        <v>183</v>
      </c>
      <c r="F2105" s="12">
        <f>_xlfn.XLOOKUP(Table134526_79101120212223242526[[#This Row],[Name Surname]],Manpower!C:C,Manpower!D:D,)</f>
        <v>141359024</v>
      </c>
      <c r="G2105" s="28" t="str">
        <f>_xlfn.XLOOKUP(Table134526_79101120212223242526[[#This Row],[Name Surname]],Manpower!$C$4:$C$1048576,Manpower!$F$4:$F$1048576,"")</f>
        <v>Hydraulic Mechanic</v>
      </c>
      <c r="H2105" s="28" t="str">
        <f>_xlfn.XLOOKUP(Table134526_79101120212223242526[[#This Row],[Name Surname]],Manpower!$C$4:$C$1048576,Manpower!$H$4:$H$1048576,"")</f>
        <v>Manpower</v>
      </c>
      <c r="I2105" s="28" t="str">
        <f>_xlfn.XLOOKUP(Table134526_79101120212223242526[[#This Row],[Name Surname]],Manpower!$C$4:$C$1048576,Manpower!$H$4:$H$1048576,"")</f>
        <v>Manpower</v>
      </c>
      <c r="J2105" s="21" t="s">
        <v>143</v>
      </c>
      <c r="K2105" s="21" t="s">
        <v>26</v>
      </c>
      <c r="L2105" s="21" t="s">
        <v>170</v>
      </c>
      <c r="M2105" s="21" t="s">
        <v>24</v>
      </c>
      <c r="N2105" s="29">
        <v>8</v>
      </c>
      <c r="O2105" s="21" t="s">
        <v>40</v>
      </c>
      <c r="P2105" s="21" t="s">
        <v>128</v>
      </c>
      <c r="Q2105" s="21" t="s">
        <v>128</v>
      </c>
      <c r="R2105" s="21" t="s">
        <v>171</v>
      </c>
    </row>
    <row r="2106" spans="1:19" ht="15" hidden="1" customHeight="1">
      <c r="A2106" s="33">
        <f>IF(C2106="","",MAX($A$1:A2105)+1)</f>
        <v>1979</v>
      </c>
      <c r="B2106" s="27" t="s">
        <v>141</v>
      </c>
      <c r="C2106" s="23">
        <v>46098</v>
      </c>
      <c r="D2106" s="28" t="str">
        <f>_xlfn.XLOOKUP(Table134526_79101120212223242526[[#This Row],[Name Surname]],Manpower!$C$4:$C$1048576,Manpower!$B$4:$B$1048576,"")</f>
        <v xml:space="preserve">AL Omar International </v>
      </c>
      <c r="E2106" s="21" t="s">
        <v>190</v>
      </c>
      <c r="F2106" s="12">
        <f>_xlfn.XLOOKUP(Table134526_79101120212223242526[[#This Row],[Name Surname]],Manpower!C:C,Manpower!D:D,)</f>
        <v>85812175</v>
      </c>
      <c r="G2106" s="28" t="str">
        <f>_xlfn.XLOOKUP(Table134526_79101120212223242526[[#This Row],[Name Surname]],Manpower!$C$4:$C$1048576,Manpower!$F$4:$F$1048576,"")</f>
        <v>Scaffolding Supervisor</v>
      </c>
      <c r="H2106" s="28" t="str">
        <f>_xlfn.XLOOKUP(Table134526_79101120212223242526[[#This Row],[Name Surname]],Manpower!$C$4:$C$1048576,Manpower!$H$4:$H$1048576,"")</f>
        <v>Sub Contactor</v>
      </c>
      <c r="I2106" s="28" t="str">
        <f>_xlfn.XLOOKUP(Table134526_79101120212223242526[[#This Row],[Name Surname]],Manpower!$C$4:$C$1048576,Manpower!$H$4:$H$1048576,"")</f>
        <v>Sub Contactor</v>
      </c>
      <c r="J2106" s="21" t="s">
        <v>143</v>
      </c>
      <c r="K2106" s="21" t="s">
        <v>26</v>
      </c>
      <c r="L2106" s="21" t="s">
        <v>170</v>
      </c>
      <c r="M2106" s="21" t="s">
        <v>24</v>
      </c>
      <c r="N2106" s="29">
        <v>8</v>
      </c>
      <c r="O2106" s="21" t="s">
        <v>40</v>
      </c>
      <c r="P2106" s="21" t="s">
        <v>128</v>
      </c>
      <c r="Q2106" s="21" t="s">
        <v>128</v>
      </c>
      <c r="R2106" s="21" t="s">
        <v>171</v>
      </c>
    </row>
    <row r="2107" spans="1:19" ht="15" hidden="1" customHeight="1">
      <c r="A2107" s="33">
        <f>IF(C2107="","",MAX($A$1:A2106)+1)</f>
        <v>1980</v>
      </c>
      <c r="B2107" s="27" t="s">
        <v>141</v>
      </c>
      <c r="C2107" s="23">
        <v>46098</v>
      </c>
      <c r="D2107" s="28" t="str">
        <f>_xlfn.XLOOKUP(Table134526_79101120212223242526[[#This Row],[Name Surname]],Manpower!$C$4:$C$1048576,Manpower!$B$4:$B$1048576,"")</f>
        <v>AL Omar International Tarde&amp;Contracting SPC</v>
      </c>
      <c r="E2107" s="21" t="s">
        <v>221</v>
      </c>
      <c r="F2107" s="12">
        <f>_xlfn.XLOOKUP(Table134526_79101120212223242526[[#This Row],[Name Surname]],Manpower!C:C,Manpower!D:D,)</f>
        <v>115122635</v>
      </c>
      <c r="G2107" s="28" t="str">
        <f>_xlfn.XLOOKUP(Table134526_79101120212223242526[[#This Row],[Name Surname]],Manpower!$C$4:$C$1048576,Manpower!$F$4:$F$1048576,"")</f>
        <v>Scaffolder</v>
      </c>
      <c r="H2107" s="28" t="str">
        <f>_xlfn.XLOOKUP(Table134526_79101120212223242526[[#This Row],[Name Surname]],Manpower!$C$4:$C$1048576,Manpower!$H$4:$H$1048576,"")</f>
        <v>Sub Contactor</v>
      </c>
      <c r="I2107" s="28" t="str">
        <f>_xlfn.XLOOKUP(Table134526_79101120212223242526[[#This Row],[Name Surname]],Manpower!$C$4:$C$1048576,Manpower!$H$4:$H$1048576,"")</f>
        <v>Sub Contactor</v>
      </c>
      <c r="J2107" s="21" t="s">
        <v>143</v>
      </c>
      <c r="K2107" s="21" t="s">
        <v>26</v>
      </c>
      <c r="L2107" s="21" t="s">
        <v>170</v>
      </c>
      <c r="M2107" s="21" t="s">
        <v>24</v>
      </c>
      <c r="N2107" s="29">
        <v>8</v>
      </c>
      <c r="O2107" s="21" t="s">
        <v>40</v>
      </c>
      <c r="P2107" s="21" t="s">
        <v>128</v>
      </c>
      <c r="Q2107" s="21" t="s">
        <v>128</v>
      </c>
      <c r="R2107" s="21" t="s">
        <v>171</v>
      </c>
    </row>
    <row r="2108" spans="1:19" ht="14.4" hidden="1">
      <c r="A2108" s="33">
        <f>IF(C2108="","",MAX($A$1:A2107)+1)</f>
        <v>1981</v>
      </c>
      <c r="B2108" s="27" t="s">
        <v>141</v>
      </c>
      <c r="C2108" s="23">
        <v>46098</v>
      </c>
      <c r="D2108" s="28" t="str">
        <f>_xlfn.XLOOKUP(Table134526_79101120212223242526[[#This Row],[Name Surname]],Manpower!$C$4:$C$1048576,Manpower!$B$4:$B$1048576,"")</f>
        <v>AL Omar International TRAD AND CONT</v>
      </c>
      <c r="E2108" s="21" t="s">
        <v>197</v>
      </c>
      <c r="F2108" s="12">
        <f>_xlfn.XLOOKUP(Table134526_79101120212223242526[[#This Row],[Name Surname]],Manpower!C:C,Manpower!D:D,)</f>
        <v>106093463</v>
      </c>
      <c r="G2108" s="28" t="str">
        <f>_xlfn.XLOOKUP(Table134526_79101120212223242526[[#This Row],[Name Surname]],Manpower!$C$4:$C$1048576,Manpower!$F$4:$F$1048576,"")</f>
        <v>RIgger</v>
      </c>
      <c r="H2108" s="28" t="str">
        <f>_xlfn.XLOOKUP(Table134526_79101120212223242526[[#This Row],[Name Surname]],Manpower!$C$4:$C$1048576,Manpower!$H$4:$H$1048576,"")</f>
        <v>Sub Contactor</v>
      </c>
      <c r="I2108" s="28" t="str">
        <f>_xlfn.XLOOKUP(Table134526_79101120212223242526[[#This Row],[Name Surname]],Manpower!$C$4:$C$1048576,Manpower!$H$4:$H$1048576,"")</f>
        <v>Sub Contactor</v>
      </c>
      <c r="J2108" s="21" t="s">
        <v>143</v>
      </c>
      <c r="K2108" s="21" t="s">
        <v>26</v>
      </c>
      <c r="L2108" s="21" t="s">
        <v>144</v>
      </c>
      <c r="M2108" s="21" t="s">
        <v>24</v>
      </c>
      <c r="N2108" s="29">
        <v>8</v>
      </c>
      <c r="O2108" s="21" t="s">
        <v>40</v>
      </c>
      <c r="P2108" s="21" t="s">
        <v>42</v>
      </c>
      <c r="Q2108" s="21" t="s">
        <v>42</v>
      </c>
      <c r="R2108" s="21" t="s">
        <v>339</v>
      </c>
    </row>
    <row r="2109" spans="1:19" ht="14.4">
      <c r="A2109" s="33">
        <f>IF(C2109="","",MAX($A$1:A2108)+1)</f>
        <v>1982</v>
      </c>
      <c r="B2109" s="27" t="s">
        <v>141</v>
      </c>
      <c r="C2109" s="23">
        <v>46098</v>
      </c>
      <c r="D2109" s="28" t="str">
        <f>_xlfn.XLOOKUP(Table134526_79101120212223242526[[#This Row],[Name Surname]],Manpower!$C$4:$C$1048576,Manpower!$B$4:$B$1048576,"")</f>
        <v>Al Asrah Al Mumayaza Trad</v>
      </c>
      <c r="E2109" s="21" t="s">
        <v>198</v>
      </c>
      <c r="F2109" s="12" t="e">
        <f>_xlfn.XLOOKUP(Table134526_79101120212223242526[[#This Row],[Name Surname]],Manpower!C:C,Manpower!D:D,)</f>
        <v>#N/A</v>
      </c>
      <c r="G2109" s="28" t="str">
        <f>_xlfn.XLOOKUP(Table134526_79101120212223242526[[#This Row],[Name Surname]],Manpower!$C$4:$C$1048576,Manpower!$F$4:$F$1048576,"")</f>
        <v>PICK-UP</v>
      </c>
      <c r="H2109" s="28" t="str">
        <f>_xlfn.XLOOKUP(Table134526_79101120212223242526[[#This Row],[Name Surname]],Manpower!$C$4:$C$1048576,Manpower!$H$4:$H$1048576,"")</f>
        <v>Equipment</v>
      </c>
      <c r="I2109" s="28" t="str">
        <f>_xlfn.XLOOKUP(Table134526_79101120212223242526[[#This Row],[Name Surname]],Manpower!$C$4:$C$1048576,Manpower!$H$4:$H$1048576,"")</f>
        <v>Equipment</v>
      </c>
      <c r="J2109" s="21" t="s">
        <v>143</v>
      </c>
      <c r="K2109" s="21" t="s">
        <v>26</v>
      </c>
      <c r="L2109" s="21" t="s">
        <v>144</v>
      </c>
      <c r="M2109" s="21" t="s">
        <v>24</v>
      </c>
      <c r="N2109" s="29">
        <v>10</v>
      </c>
      <c r="O2109" s="21" t="s">
        <v>138</v>
      </c>
      <c r="P2109" s="21" t="s">
        <v>138</v>
      </c>
      <c r="Q2109" s="21" t="s">
        <v>138</v>
      </c>
      <c r="R2109" s="21" t="s">
        <v>26</v>
      </c>
    </row>
    <row r="2110" spans="1:19" ht="14.4">
      <c r="A2110" s="33">
        <f>IF(C2110="","",MAX($A$1:A2109)+1)</f>
        <v>1983</v>
      </c>
      <c r="B2110" s="27" t="s">
        <v>141</v>
      </c>
      <c r="C2110" s="23">
        <v>46098</v>
      </c>
      <c r="D2110" s="28" t="str">
        <f>_xlfn.XLOOKUP(Table134526_79101120212223242526[[#This Row],[Name Surname]],Manpower!$C$4:$C$1048576,Manpower!$B$4:$B$1048576,"")</f>
        <v>Al Asrah Al Mumayaza Trad</v>
      </c>
      <c r="E2110" s="21" t="s">
        <v>199</v>
      </c>
      <c r="F2110" s="12" t="e">
        <f>_xlfn.XLOOKUP(Table134526_79101120212223242526[[#This Row],[Name Surname]],Manpower!C:C,Manpower!D:D,)</f>
        <v>#N/A</v>
      </c>
      <c r="G2110" s="28" t="str">
        <f>_xlfn.XLOOKUP(Table134526_79101120212223242526[[#This Row],[Name Surname]],Manpower!$C$4:$C$1048576,Manpower!$F$4:$F$1048576,"")</f>
        <v>PICK-UP</v>
      </c>
      <c r="H2110" s="28" t="str">
        <f>_xlfn.XLOOKUP(Table134526_79101120212223242526[[#This Row],[Name Surname]],Manpower!$C$4:$C$1048576,Manpower!$H$4:$H$1048576,"")</f>
        <v>Equipment</v>
      </c>
      <c r="I2110" s="28" t="str">
        <f>_xlfn.XLOOKUP(Table134526_79101120212223242526[[#This Row],[Name Surname]],Manpower!$C$4:$C$1048576,Manpower!$H$4:$H$1048576,"")</f>
        <v>Equipment</v>
      </c>
      <c r="J2110" s="21" t="s">
        <v>143</v>
      </c>
      <c r="K2110" s="21" t="s">
        <v>26</v>
      </c>
      <c r="L2110" s="21" t="s">
        <v>144</v>
      </c>
      <c r="M2110" s="21" t="s">
        <v>24</v>
      </c>
      <c r="N2110" s="29">
        <v>10</v>
      </c>
      <c r="O2110" s="21" t="s">
        <v>138</v>
      </c>
      <c r="P2110" s="21" t="s">
        <v>138</v>
      </c>
      <c r="Q2110" s="21" t="s">
        <v>138</v>
      </c>
      <c r="R2110" s="21" t="s">
        <v>26</v>
      </c>
    </row>
    <row r="2111" spans="1:19" ht="14.4">
      <c r="A2111" s="33">
        <f>IF(C2111="","",MAX($A$1:A2110)+1)</f>
        <v>1984</v>
      </c>
      <c r="B2111" s="27" t="s">
        <v>141</v>
      </c>
      <c r="C2111" s="23">
        <v>46098</v>
      </c>
      <c r="D2111" s="28" t="str">
        <f>_xlfn.XLOOKUP(Table134526_79101120212223242526[[#This Row],[Name Surname]],Manpower!$C$4:$C$1048576,Manpower!$B$4:$B$1048576,"")</f>
        <v>Al Asrah Al Mumayaza Trad</v>
      </c>
      <c r="E2111" s="21" t="s">
        <v>200</v>
      </c>
      <c r="F2111" s="12" t="e">
        <f>_xlfn.XLOOKUP(Table134526_79101120212223242526[[#This Row],[Name Surname]],Manpower!C:C,Manpower!D:D,)</f>
        <v>#N/A</v>
      </c>
      <c r="G2111" s="28" t="str">
        <f>_xlfn.XLOOKUP(Table134526_79101120212223242526[[#This Row],[Name Surname]],Manpower!$C$4:$C$1048576,Manpower!$F$4:$F$1048576,"")</f>
        <v>PICK-UP</v>
      </c>
      <c r="H2111" s="28" t="str">
        <f>_xlfn.XLOOKUP(Table134526_79101120212223242526[[#This Row],[Name Surname]],Manpower!$C$4:$C$1048576,Manpower!$H$4:$H$1048576,"")</f>
        <v>Equipment</v>
      </c>
      <c r="I2111" s="28" t="str">
        <f>_xlfn.XLOOKUP(Table134526_79101120212223242526[[#This Row],[Name Surname]],Manpower!$C$4:$C$1048576,Manpower!$H$4:$H$1048576,"")</f>
        <v>Equipment</v>
      </c>
      <c r="J2111" s="21" t="s">
        <v>143</v>
      </c>
      <c r="K2111" s="21" t="s">
        <v>26</v>
      </c>
      <c r="L2111" s="21" t="s">
        <v>144</v>
      </c>
      <c r="M2111" s="21" t="s">
        <v>24</v>
      </c>
      <c r="N2111" s="29">
        <v>10</v>
      </c>
      <c r="O2111" s="21" t="s">
        <v>138</v>
      </c>
      <c r="P2111" s="21" t="s">
        <v>138</v>
      </c>
      <c r="Q2111" s="21" t="s">
        <v>138</v>
      </c>
      <c r="R2111" s="21" t="s">
        <v>26</v>
      </c>
    </row>
    <row r="2112" spans="1:19" ht="14.4">
      <c r="A2112" s="33">
        <f>IF(C2112="","",MAX($A$1:A2111)+1)</f>
        <v>1985</v>
      </c>
      <c r="B2112" s="27" t="s">
        <v>141</v>
      </c>
      <c r="C2112" s="23">
        <v>46098</v>
      </c>
      <c r="D2112" s="28" t="str">
        <f>_xlfn.XLOOKUP(Table134526_79101120212223242526[[#This Row],[Name Surname]],Manpower!$C$4:$C$1048576,Manpower!$B$4:$B$1048576,"")</f>
        <v>Al Asrah Al Mumayaza Trad</v>
      </c>
      <c r="E2112" s="21" t="s">
        <v>201</v>
      </c>
      <c r="F2112" s="12" t="e">
        <f>_xlfn.XLOOKUP(Table134526_79101120212223242526[[#This Row],[Name Surname]],Manpower!C:C,Manpower!D:D,)</f>
        <v>#N/A</v>
      </c>
      <c r="G2112" s="28" t="str">
        <f>_xlfn.XLOOKUP(Table134526_79101120212223242526[[#This Row],[Name Surname]],Manpower!$C$4:$C$1048576,Manpower!$F$4:$F$1048576,"")</f>
        <v>PICK-UP</v>
      </c>
      <c r="H2112" s="28" t="str">
        <f>_xlfn.XLOOKUP(Table134526_79101120212223242526[[#This Row],[Name Surname]],Manpower!$C$4:$C$1048576,Manpower!$H$4:$H$1048576,"")</f>
        <v>Equipment</v>
      </c>
      <c r="I2112" s="28" t="str">
        <f>_xlfn.XLOOKUP(Table134526_79101120212223242526[[#This Row],[Name Surname]],Manpower!$C$4:$C$1048576,Manpower!$H$4:$H$1048576,"")</f>
        <v>Equipment</v>
      </c>
      <c r="J2112" s="21" t="s">
        <v>143</v>
      </c>
      <c r="K2112" s="21" t="s">
        <v>26</v>
      </c>
      <c r="L2112" s="21" t="s">
        <v>144</v>
      </c>
      <c r="M2112" s="21" t="s">
        <v>24</v>
      </c>
      <c r="N2112" s="29">
        <v>10</v>
      </c>
      <c r="O2112" s="21" t="s">
        <v>138</v>
      </c>
      <c r="P2112" s="21" t="s">
        <v>138</v>
      </c>
      <c r="Q2112" s="21" t="s">
        <v>138</v>
      </c>
      <c r="R2112" s="21" t="s">
        <v>26</v>
      </c>
    </row>
    <row r="2113" spans="1:19" s="45" customFormat="1" ht="14.4" hidden="1">
      <c r="A2113" s="25">
        <f>IF(C2113="","",MAX($A$1:A2112)+1)</f>
        <v>1986</v>
      </c>
      <c r="B2113" s="25" t="s">
        <v>141</v>
      </c>
      <c r="C2113" s="41">
        <v>46098</v>
      </c>
      <c r="D2113" s="48" t="str">
        <f>_xlfn.XLOOKUP(Table134526_79101120212223242526[[#This Row],[Name Surname]],Manpower!$C$4:$C$1048576,Manpower!$B$4:$B$1048576,"")</f>
        <v>Encogroup</v>
      </c>
      <c r="E2113" s="43" t="s">
        <v>202</v>
      </c>
      <c r="F2113" s="12">
        <f>_xlfn.XLOOKUP(Table134526_79101120212223242526[[#This Row],[Name Surname]],Manpower!C:C,Manpower!D:D,)</f>
        <v>140805592</v>
      </c>
      <c r="G2113" s="48" t="str">
        <f>_xlfn.XLOOKUP(Table134526_79101120212223242526[[#This Row],[Name Surname]],Manpower!$C$4:$C$1048576,Manpower!$F$4:$F$1048576,"")</f>
        <v>Assistant/Helper</v>
      </c>
      <c r="H2113" s="48" t="str">
        <f>_xlfn.XLOOKUP(Table134526_79101120212223242526[[#This Row],[Name Surname]],Manpower!$C$4:$C$1048576,Manpower!$H$4:$H$1048576,"")</f>
        <v>Manpower</v>
      </c>
      <c r="I2113" s="48" t="str">
        <f>_xlfn.XLOOKUP(Table134526_79101120212223242526[[#This Row],[Name Surname]],Manpower!$C$4:$C$1048576,Manpower!$H$4:$H$1048576,"")</f>
        <v>Manpower</v>
      </c>
      <c r="J2113" s="43" t="s">
        <v>143</v>
      </c>
      <c r="K2113" s="43" t="s">
        <v>26</v>
      </c>
      <c r="L2113" s="43" t="s">
        <v>144</v>
      </c>
      <c r="M2113" s="43" t="s">
        <v>24</v>
      </c>
      <c r="N2113" s="44">
        <v>10</v>
      </c>
      <c r="O2113" s="43" t="s">
        <v>40</v>
      </c>
      <c r="P2113" s="43" t="s">
        <v>42</v>
      </c>
      <c r="Q2113" s="43" t="s">
        <v>42</v>
      </c>
      <c r="R2113" s="43" t="s">
        <v>340</v>
      </c>
      <c r="S2113" s="43" t="s">
        <v>343</v>
      </c>
    </row>
    <row r="2114" spans="1:19" s="45" customFormat="1" ht="14.4" hidden="1">
      <c r="A2114" s="25">
        <f>IF(C2114="","",MAX($A$1:A2113)+1)</f>
        <v>1987</v>
      </c>
      <c r="B2114" s="25" t="s">
        <v>141</v>
      </c>
      <c r="C2114" s="41">
        <v>46098</v>
      </c>
      <c r="D2114" s="48" t="str">
        <f>_xlfn.XLOOKUP(Table134526_79101120212223242526[[#This Row],[Name Surname]],Manpower!$C$4:$C$1048576,Manpower!$B$4:$B$1048576,"")</f>
        <v>Encogroup</v>
      </c>
      <c r="E2114" s="43" t="s">
        <v>203</v>
      </c>
      <c r="F2114" s="12">
        <f>_xlfn.XLOOKUP(Table134526_79101120212223242526[[#This Row],[Name Surname]],Manpower!C:C,Manpower!D:D,)</f>
        <v>140683371</v>
      </c>
      <c r="G2114" s="48" t="str">
        <f>_xlfn.XLOOKUP(Table134526_79101120212223242526[[#This Row],[Name Surname]],Manpower!$C$4:$C$1048576,Manpower!$F$4:$F$1048576,"")</f>
        <v>Rigger</v>
      </c>
      <c r="H2114" s="48" t="str">
        <f>_xlfn.XLOOKUP(Table134526_79101120212223242526[[#This Row],[Name Surname]],Manpower!$C$4:$C$1048576,Manpower!$H$4:$H$1048576,"")</f>
        <v>Manpower</v>
      </c>
      <c r="I2114" s="48" t="str">
        <f>_xlfn.XLOOKUP(Table134526_79101120212223242526[[#This Row],[Name Surname]],Manpower!$C$4:$C$1048576,Manpower!$H$4:$H$1048576,"")</f>
        <v>Manpower</v>
      </c>
      <c r="J2114" s="43" t="s">
        <v>143</v>
      </c>
      <c r="K2114" s="43" t="s">
        <v>26</v>
      </c>
      <c r="L2114" s="43" t="s">
        <v>144</v>
      </c>
      <c r="M2114" s="43" t="s">
        <v>24</v>
      </c>
      <c r="N2114" s="44">
        <v>10</v>
      </c>
      <c r="O2114" s="43" t="s">
        <v>40</v>
      </c>
      <c r="P2114" s="43" t="s">
        <v>42</v>
      </c>
      <c r="Q2114" s="43" t="s">
        <v>42</v>
      </c>
      <c r="R2114" s="43" t="s">
        <v>339</v>
      </c>
      <c r="S2114" s="43" t="s">
        <v>343</v>
      </c>
    </row>
    <row r="2115" spans="1:19" s="45" customFormat="1" ht="14.4" hidden="1">
      <c r="A2115" s="25">
        <f>IF(C2115="","",MAX($A$1:A2114)+1)</f>
        <v>1988</v>
      </c>
      <c r="B2115" s="25" t="s">
        <v>141</v>
      </c>
      <c r="C2115" s="41">
        <v>46098</v>
      </c>
      <c r="D2115" s="48" t="str">
        <f>_xlfn.XLOOKUP(Table134526_79101120212223242526[[#This Row],[Name Surname]],Manpower!$C$4:$C$1048576,Manpower!$B$4:$B$1048576,"")</f>
        <v>Encogroup</v>
      </c>
      <c r="E2115" s="43" t="s">
        <v>206</v>
      </c>
      <c r="F2115" s="12">
        <f>_xlfn.XLOOKUP(Table134526_79101120212223242526[[#This Row],[Name Surname]],Manpower!C:C,Manpower!D:D,)</f>
        <v>140844848</v>
      </c>
      <c r="G2115" s="48" t="str">
        <f>_xlfn.XLOOKUP(Table134526_79101120212223242526[[#This Row],[Name Surname]],Manpower!$C$4:$C$1048576,Manpower!$F$4:$F$1048576,"")</f>
        <v>Assistant/Helper</v>
      </c>
      <c r="H2115" s="48" t="str">
        <f>_xlfn.XLOOKUP(Table134526_79101120212223242526[[#This Row],[Name Surname]],Manpower!$C$4:$C$1048576,Manpower!$H$4:$H$1048576,"")</f>
        <v>Manpower</v>
      </c>
      <c r="I2115" s="48" t="str">
        <f>_xlfn.XLOOKUP(Table134526_79101120212223242526[[#This Row],[Name Surname]],Manpower!$C$4:$C$1048576,Manpower!$H$4:$H$1048576,"")</f>
        <v>Manpower</v>
      </c>
      <c r="J2115" s="43" t="s">
        <v>143</v>
      </c>
      <c r="K2115" s="43" t="s">
        <v>26</v>
      </c>
      <c r="L2115" s="43" t="s">
        <v>144</v>
      </c>
      <c r="M2115" s="43" t="s">
        <v>24</v>
      </c>
      <c r="N2115" s="44">
        <v>10</v>
      </c>
      <c r="O2115" s="43" t="s">
        <v>40</v>
      </c>
      <c r="P2115" s="43" t="s">
        <v>42</v>
      </c>
      <c r="Q2115" s="43" t="s">
        <v>42</v>
      </c>
      <c r="R2115" s="43" t="s">
        <v>340</v>
      </c>
      <c r="S2115" s="43" t="s">
        <v>343</v>
      </c>
    </row>
    <row r="2116" spans="1:19" ht="14.4" hidden="1">
      <c r="A2116" s="33">
        <f>IF(C2116="","",MAX($A$1:A2115)+1)</f>
        <v>1989</v>
      </c>
      <c r="B2116" s="27" t="s">
        <v>141</v>
      </c>
      <c r="C2116" s="23">
        <v>46098</v>
      </c>
      <c r="D2116" s="28" t="str">
        <f>_xlfn.XLOOKUP(Table134526_79101120212223242526[[#This Row],[Name Surname]],Manpower!$C$4:$C$1048576,Manpower!$B$4:$B$1048576,"")</f>
        <v>Encogroup</v>
      </c>
      <c r="E2116" s="21" t="s">
        <v>207</v>
      </c>
      <c r="F2116" s="12">
        <f>_xlfn.XLOOKUP(Table134526_79101120212223242526[[#This Row],[Name Surname]],Manpower!C:C,Manpower!D:D,)</f>
        <v>141359216</v>
      </c>
      <c r="G2116" s="28" t="str">
        <f>_xlfn.XLOOKUP(Table134526_79101120212223242526[[#This Row],[Name Surname]],Manpower!$C$4:$C$1048576,Manpower!$F$4:$F$1048576,"")</f>
        <v>Electrician</v>
      </c>
      <c r="H2116" s="28" t="str">
        <f>_xlfn.XLOOKUP(Table134526_79101120212223242526[[#This Row],[Name Surname]],Manpower!$C$4:$C$1048576,Manpower!$H$4:$H$1048576,"")</f>
        <v>Manpower</v>
      </c>
      <c r="I2116" s="28" t="str">
        <f>_xlfn.XLOOKUP(Table134526_79101120212223242526[[#This Row],[Name Surname]],Manpower!$C$4:$C$1048576,Manpower!$H$4:$H$1048576,"")</f>
        <v>Manpower</v>
      </c>
      <c r="J2116" s="21" t="s">
        <v>158</v>
      </c>
      <c r="K2116" s="21" t="s">
        <v>26</v>
      </c>
      <c r="L2116" s="21" t="s">
        <v>26</v>
      </c>
      <c r="M2116" s="21" t="s">
        <v>24</v>
      </c>
      <c r="N2116" s="29">
        <v>10</v>
      </c>
      <c r="O2116" s="21" t="s">
        <v>159</v>
      </c>
      <c r="P2116" s="21" t="s">
        <v>160</v>
      </c>
      <c r="Q2116" s="21" t="s">
        <v>160</v>
      </c>
      <c r="R2116" s="21" t="s">
        <v>161</v>
      </c>
    </row>
    <row r="2117" spans="1:19" s="45" customFormat="1" ht="14.4" hidden="1">
      <c r="A2117" s="25">
        <f>IF(C2117="","",MAX($A$1:A2116)+1)</f>
        <v>1990</v>
      </c>
      <c r="B2117" s="25" t="s">
        <v>141</v>
      </c>
      <c r="C2117" s="41">
        <v>46098</v>
      </c>
      <c r="D2117" s="48" t="str">
        <f>_xlfn.XLOOKUP(Table134526_79101120212223242526[[#This Row],[Name Surname]],Manpower!$C$4:$C$1048576,Manpower!$B$4:$B$1048576,"")</f>
        <v>Encogroup</v>
      </c>
      <c r="E2117" s="43" t="s">
        <v>208</v>
      </c>
      <c r="F2117" s="12">
        <f>_xlfn.XLOOKUP(Table134526_79101120212223242526[[#This Row],[Name Surname]],Manpower!C:C,Manpower!D:D,)</f>
        <v>140683399</v>
      </c>
      <c r="G2117" s="48" t="str">
        <f>_xlfn.XLOOKUP(Table134526_79101120212223242526[[#This Row],[Name Surname]],Manpower!$C$4:$C$1048576,Manpower!$F$4:$F$1048576,"")</f>
        <v>Rigger</v>
      </c>
      <c r="H2117" s="48" t="str">
        <f>_xlfn.XLOOKUP(Table134526_79101120212223242526[[#This Row],[Name Surname]],Manpower!$C$4:$C$1048576,Manpower!$H$4:$H$1048576,"")</f>
        <v>Manpower</v>
      </c>
      <c r="I2117" s="48" t="str">
        <f>_xlfn.XLOOKUP(Table134526_79101120212223242526[[#This Row],[Name Surname]],Manpower!$C$4:$C$1048576,Manpower!$H$4:$H$1048576,"")</f>
        <v>Manpower</v>
      </c>
      <c r="J2117" s="43" t="s">
        <v>143</v>
      </c>
      <c r="K2117" s="43" t="s">
        <v>26</v>
      </c>
      <c r="L2117" s="43" t="s">
        <v>144</v>
      </c>
      <c r="M2117" s="43" t="s">
        <v>24</v>
      </c>
      <c r="N2117" s="44">
        <v>10</v>
      </c>
      <c r="O2117" s="43" t="s">
        <v>40</v>
      </c>
      <c r="P2117" s="43" t="s">
        <v>42</v>
      </c>
      <c r="Q2117" s="43" t="s">
        <v>42</v>
      </c>
      <c r="R2117" s="43" t="s">
        <v>340</v>
      </c>
      <c r="S2117" s="43" t="s">
        <v>343</v>
      </c>
    </row>
    <row r="2118" spans="1:19" ht="14.4">
      <c r="A2118" s="33">
        <f>IF(C2118="","",MAX($A$1:A2117)+1)</f>
        <v>1991</v>
      </c>
      <c r="B2118" s="27" t="s">
        <v>141</v>
      </c>
      <c r="C2118" s="23">
        <v>46098</v>
      </c>
      <c r="D2118" s="28" t="str">
        <f>_xlfn.XLOOKUP(Table134526_79101120212223242526[[#This Row],[Name Surname]],Manpower!$C$4:$C$1048576,Manpower!$B$4:$B$1048576,"")</f>
        <v>Bright Light</v>
      </c>
      <c r="E2118" s="21" t="s">
        <v>210</v>
      </c>
      <c r="F2118" s="12" t="e">
        <f>_xlfn.XLOOKUP(Table134526_79101120212223242526[[#This Row],[Name Surname]],Manpower!C:C,Manpower!D:D,)</f>
        <v>#N/A</v>
      </c>
      <c r="G2118" s="28" t="str">
        <f>_xlfn.XLOOKUP(Table134526_79101120212223242526[[#This Row],[Name Surname]],Manpower!$C$4:$C$1048576,Manpower!$F$4:$F$1048576,"")</f>
        <v>Trailer</v>
      </c>
      <c r="H2118" s="28" t="str">
        <f>_xlfn.XLOOKUP(Table134526_79101120212223242526[[#This Row],[Name Surname]],Manpower!$C$4:$C$1048576,Manpower!$H$4:$H$1048576,"")</f>
        <v>Equipment</v>
      </c>
      <c r="I2118" s="28" t="str">
        <f>_xlfn.XLOOKUP(Table134526_79101120212223242526[[#This Row],[Name Surname]],Manpower!$C$4:$C$1048576,Manpower!$H$4:$H$1048576,"")</f>
        <v>Equipment</v>
      </c>
      <c r="J2118" s="21" t="s">
        <v>143</v>
      </c>
      <c r="K2118" s="21" t="s">
        <v>26</v>
      </c>
      <c r="L2118" s="21" t="s">
        <v>144</v>
      </c>
      <c r="M2118" s="21" t="s">
        <v>24</v>
      </c>
      <c r="N2118" s="29">
        <v>8</v>
      </c>
      <c r="O2118" s="21" t="s">
        <v>40</v>
      </c>
      <c r="P2118" s="21" t="s">
        <v>42</v>
      </c>
      <c r="Q2118" s="21" t="s">
        <v>42</v>
      </c>
      <c r="R2118" s="21" t="s">
        <v>26</v>
      </c>
    </row>
    <row r="2119" spans="1:19" ht="14.4" hidden="1">
      <c r="A2119" s="33">
        <f>IF(C2119="","",MAX($A$1:A2118)+1)</f>
        <v>1992</v>
      </c>
      <c r="B2119" s="27" t="s">
        <v>141</v>
      </c>
      <c r="C2119" s="23">
        <v>46098</v>
      </c>
      <c r="D2119" s="28" t="str">
        <f>_xlfn.XLOOKUP(Table134526_79101120212223242526[[#This Row],[Name Surname]],Manpower!$C$4:$C$1048576,Manpower!$B$4:$B$1048576,"")</f>
        <v>Encogroup</v>
      </c>
      <c r="E2119" s="21" t="s">
        <v>211</v>
      </c>
      <c r="F2119" s="12">
        <f>_xlfn.XLOOKUP(Table134526_79101120212223242526[[#This Row],[Name Surname]],Manpower!C:C,Manpower!D:D,)</f>
        <v>140477664</v>
      </c>
      <c r="G2119" s="28" t="str">
        <f>_xlfn.XLOOKUP(Table134526_79101120212223242526[[#This Row],[Name Surname]],Manpower!$C$4:$C$1048576,Manpower!$F$4:$F$1048576,"")</f>
        <v>Junior HSE Officer</v>
      </c>
      <c r="H2119" s="28" t="str">
        <f>_xlfn.XLOOKUP(Table134526_79101120212223242526[[#This Row],[Name Surname]],Manpower!$C$4:$C$1048576,Manpower!$H$4:$H$1048576,"")</f>
        <v>Manpower</v>
      </c>
      <c r="I2119" s="28" t="str">
        <f>_xlfn.XLOOKUP(Table134526_79101120212223242526[[#This Row],[Name Surname]],Manpower!$C$4:$C$1048576,Manpower!$H$4:$H$1048576,"")</f>
        <v>Manpower</v>
      </c>
      <c r="J2119" s="21" t="s">
        <v>143</v>
      </c>
      <c r="K2119" s="21" t="s">
        <v>26</v>
      </c>
      <c r="L2119" s="21" t="s">
        <v>144</v>
      </c>
      <c r="M2119" s="21" t="s">
        <v>24</v>
      </c>
      <c r="N2119" s="29">
        <v>10</v>
      </c>
      <c r="O2119" s="21" t="s">
        <v>40</v>
      </c>
      <c r="P2119" s="21" t="s">
        <v>42</v>
      </c>
      <c r="Q2119" s="21" t="s">
        <v>42</v>
      </c>
      <c r="R2119" s="21" t="s">
        <v>344</v>
      </c>
    </row>
    <row r="2120" spans="1:19" s="45" customFormat="1" ht="14.4" hidden="1">
      <c r="A2120" s="25">
        <f>IF(C2120="","",MAX($A$1:A2119)+1)</f>
        <v>1993</v>
      </c>
      <c r="B2120" s="25" t="s">
        <v>141</v>
      </c>
      <c r="C2120" s="41">
        <v>46098</v>
      </c>
      <c r="D2120" s="48" t="str">
        <f>_xlfn.XLOOKUP(Table134526_79101120212223242526[[#This Row],[Name Surname]],Manpower!$C$4:$C$1048576,Manpower!$B$4:$B$1048576,"")</f>
        <v>Encogroup</v>
      </c>
      <c r="E2120" s="43" t="s">
        <v>213</v>
      </c>
      <c r="F2120" s="12">
        <f>_xlfn.XLOOKUP(Table134526_79101120212223242526[[#This Row],[Name Surname]],Manpower!C:C,Manpower!D:D,)</f>
        <v>140846698</v>
      </c>
      <c r="G2120" s="48" t="str">
        <f>_xlfn.XLOOKUP(Table134526_79101120212223242526[[#This Row],[Name Surname]],Manpower!$C$4:$C$1048576,Manpower!$F$4:$F$1048576,"")</f>
        <v>Assistant/Helper</v>
      </c>
      <c r="H2120" s="48" t="str">
        <f>_xlfn.XLOOKUP(Table134526_79101120212223242526[[#This Row],[Name Surname]],Manpower!$C$4:$C$1048576,Manpower!$H$4:$H$1048576,"")</f>
        <v>Manpower</v>
      </c>
      <c r="I2120" s="48" t="str">
        <f>_xlfn.XLOOKUP(Table134526_79101120212223242526[[#This Row],[Name Surname]],Manpower!$C$4:$C$1048576,Manpower!$H$4:$H$1048576,"")</f>
        <v>Manpower</v>
      </c>
      <c r="J2120" s="43" t="s">
        <v>143</v>
      </c>
      <c r="K2120" s="43" t="s">
        <v>26</v>
      </c>
      <c r="L2120" s="43" t="s">
        <v>144</v>
      </c>
      <c r="M2120" s="43" t="s">
        <v>24</v>
      </c>
      <c r="N2120" s="44">
        <v>10</v>
      </c>
      <c r="O2120" s="43" t="s">
        <v>40</v>
      </c>
      <c r="P2120" s="43" t="s">
        <v>42</v>
      </c>
      <c r="Q2120" s="43" t="s">
        <v>42</v>
      </c>
      <c r="R2120" s="43" t="s">
        <v>339</v>
      </c>
      <c r="S2120" s="43" t="s">
        <v>343</v>
      </c>
    </row>
    <row r="2121" spans="1:19" s="45" customFormat="1" ht="14.4" hidden="1">
      <c r="A2121" s="25">
        <f>IF(C2121="","",MAX($A$1:A2120)+1)</f>
        <v>1994</v>
      </c>
      <c r="B2121" s="25" t="s">
        <v>141</v>
      </c>
      <c r="C2121" s="41">
        <v>46098</v>
      </c>
      <c r="D2121" s="48" t="str">
        <f>_xlfn.XLOOKUP(Table134526_79101120212223242526[[#This Row],[Name Surname]],Manpower!$C$4:$C$1048576,Manpower!$B$4:$B$1048576,"")</f>
        <v>Rial Al Khaleej</v>
      </c>
      <c r="E2121" s="43" t="s">
        <v>38</v>
      </c>
      <c r="F2121" s="12">
        <f>_xlfn.XLOOKUP(Table134526_79101120212223242526[[#This Row],[Name Surname]],Manpower!C:C,Manpower!D:D,)</f>
        <v>98845403</v>
      </c>
      <c r="G2121" s="48" t="str">
        <f>_xlfn.XLOOKUP(Table134526_79101120212223242526[[#This Row],[Name Surname]],Manpower!$C$4:$C$1048576,Manpower!$F$4:$F$1048576,"")</f>
        <v>Crane Operator-100T Zoomlion Telescopic</v>
      </c>
      <c r="H2121" s="48" t="str">
        <f>_xlfn.XLOOKUP(Table134526_79101120212223242526[[#This Row],[Name Surname]],Manpower!$C$4:$C$1048576,Manpower!$H$4:$H$1048576,"")</f>
        <v>Manpower</v>
      </c>
      <c r="I2121" s="48" t="str">
        <f>_xlfn.XLOOKUP(Table134526_79101120212223242526[[#This Row],[Name Surname]],Manpower!$C$4:$C$1048576,Manpower!$H$4:$H$1048576,"")</f>
        <v>Manpower</v>
      </c>
      <c r="J2121" s="43" t="s">
        <v>143</v>
      </c>
      <c r="K2121" s="43" t="s">
        <v>26</v>
      </c>
      <c r="L2121" s="43" t="s">
        <v>144</v>
      </c>
      <c r="M2121" s="43" t="s">
        <v>24</v>
      </c>
      <c r="N2121" s="44">
        <v>8</v>
      </c>
      <c r="O2121" s="43" t="s">
        <v>40</v>
      </c>
      <c r="P2121" s="43" t="s">
        <v>41</v>
      </c>
      <c r="Q2121" s="43" t="s">
        <v>42</v>
      </c>
      <c r="R2121" s="43" t="s">
        <v>339</v>
      </c>
      <c r="S2121" s="43"/>
    </row>
    <row r="2122" spans="1:19" s="45" customFormat="1" ht="14.4" hidden="1">
      <c r="A2122" s="25">
        <f>IF(C2122="","",MAX($A$1:A2121)+1)</f>
        <v>1995</v>
      </c>
      <c r="B2122" s="25" t="s">
        <v>141</v>
      </c>
      <c r="C2122" s="41">
        <v>46098</v>
      </c>
      <c r="D2122" s="48" t="str">
        <f>_xlfn.XLOOKUP(Table134526_79101120212223242526[[#This Row],[Name Surname]],Manpower!$C$4:$C$1048576,Manpower!$B$4:$B$1048576,"")</f>
        <v>Encogroup</v>
      </c>
      <c r="E2122" s="43" t="s">
        <v>217</v>
      </c>
      <c r="F2122" s="12">
        <f>_xlfn.XLOOKUP(Table134526_79101120212223242526[[#This Row],[Name Surname]],Manpower!C:C,Manpower!D:D,)</f>
        <v>140742177</v>
      </c>
      <c r="G2122" s="48" t="str">
        <f>_xlfn.XLOOKUP(Table134526_79101120212223242526[[#This Row],[Name Surname]],Manpower!$C$4:$C$1048576,Manpower!$F$4:$F$1048576,"")</f>
        <v>Grinder</v>
      </c>
      <c r="H2122" s="48" t="str">
        <f>_xlfn.XLOOKUP(Table134526_79101120212223242526[[#This Row],[Name Surname]],Manpower!$C$4:$C$1048576,Manpower!$H$4:$H$1048576,"")</f>
        <v>Manpower</v>
      </c>
      <c r="I2122" s="48" t="str">
        <f>_xlfn.XLOOKUP(Table134526_79101120212223242526[[#This Row],[Name Surname]],Manpower!$C$4:$C$1048576,Manpower!$H$4:$H$1048576,"")</f>
        <v>Manpower</v>
      </c>
      <c r="J2122" s="43" t="s">
        <v>143</v>
      </c>
      <c r="K2122" s="43" t="s">
        <v>26</v>
      </c>
      <c r="L2122" s="43" t="s">
        <v>144</v>
      </c>
      <c r="M2122" s="43" t="s">
        <v>24</v>
      </c>
      <c r="N2122" s="44">
        <v>10</v>
      </c>
      <c r="O2122" s="43" t="s">
        <v>40</v>
      </c>
      <c r="P2122" s="43" t="s">
        <v>329</v>
      </c>
      <c r="Q2122" s="43" t="s">
        <v>128</v>
      </c>
      <c r="R2122" s="43" t="s">
        <v>339</v>
      </c>
      <c r="S2122" s="43" t="s">
        <v>343</v>
      </c>
    </row>
    <row r="2123" spans="1:19" s="45" customFormat="1" ht="14.4" hidden="1">
      <c r="A2123" s="25">
        <f>IF(C2123="","",MAX($A$1:A2122)+1)</f>
        <v>1996</v>
      </c>
      <c r="B2123" s="25" t="s">
        <v>141</v>
      </c>
      <c r="C2123" s="41">
        <v>46098</v>
      </c>
      <c r="D2123" s="48" t="str">
        <f>_xlfn.XLOOKUP(Table134526_79101120212223242526[[#This Row],[Name Surname]],Manpower!$C$4:$C$1048576,Manpower!$B$4:$B$1048576,"")</f>
        <v>Encogroup</v>
      </c>
      <c r="E2123" s="43" t="s">
        <v>188</v>
      </c>
      <c r="F2123" s="12">
        <f>_xlfn.XLOOKUP(Table134526_79101120212223242526[[#This Row],[Name Surname]],Manpower!C:C,Manpower!D:D,)</f>
        <v>140696975</v>
      </c>
      <c r="G2123" s="48" t="str">
        <f>_xlfn.XLOOKUP(Table134526_79101120212223242526[[#This Row],[Name Surname]],Manpower!$C$4:$C$1048576,Manpower!$F$4:$F$1048576,"")</f>
        <v>Assistant/Helper</v>
      </c>
      <c r="H2123" s="48" t="str">
        <f>_xlfn.XLOOKUP(Table134526_79101120212223242526[[#This Row],[Name Surname]],Manpower!$C$4:$C$1048576,Manpower!$H$4:$H$1048576,"")</f>
        <v>Manpower</v>
      </c>
      <c r="I2123" s="48" t="str">
        <f>_xlfn.XLOOKUP(Table134526_79101120212223242526[[#This Row],[Name Surname]],Manpower!$C$4:$C$1048576,Manpower!$H$4:$H$1048576,"")</f>
        <v>Manpower</v>
      </c>
      <c r="J2123" s="43" t="s">
        <v>158</v>
      </c>
      <c r="K2123" s="43" t="s">
        <v>26</v>
      </c>
      <c r="L2123" s="43" t="s">
        <v>26</v>
      </c>
      <c r="M2123" s="43" t="s">
        <v>24</v>
      </c>
      <c r="N2123" s="44">
        <v>10</v>
      </c>
      <c r="O2123" s="43" t="s">
        <v>159</v>
      </c>
      <c r="P2123" s="43" t="s">
        <v>160</v>
      </c>
      <c r="Q2123" s="43" t="s">
        <v>160</v>
      </c>
      <c r="R2123" s="43" t="s">
        <v>161</v>
      </c>
      <c r="S2123" s="43"/>
    </row>
    <row r="2124" spans="1:19" s="45" customFormat="1" ht="14.4" hidden="1">
      <c r="A2124" s="25">
        <f>IF(C2124="","",MAX($A$1:A2123)+1)</f>
        <v>1997</v>
      </c>
      <c r="B2124" s="25" t="s">
        <v>141</v>
      </c>
      <c r="C2124" s="41">
        <v>46098</v>
      </c>
      <c r="D2124" s="48" t="str">
        <f>_xlfn.XLOOKUP(Table134526_79101120212223242526[[#This Row],[Name Surname]],Manpower!$C$4:$C$1048576,Manpower!$B$4:$B$1048576,"")</f>
        <v>Encogroup</v>
      </c>
      <c r="E2124" s="43" t="s">
        <v>204</v>
      </c>
      <c r="F2124" s="12">
        <f>_xlfn.XLOOKUP(Table134526_79101120212223242526[[#This Row],[Name Surname]],Manpower!C:C,Manpower!D:D,)</f>
        <v>140844572</v>
      </c>
      <c r="G2124" s="48" t="str">
        <f>_xlfn.XLOOKUP(Table134526_79101120212223242526[[#This Row],[Name Surname]],Manpower!$C$4:$C$1048576,Manpower!$F$4:$F$1048576,"")</f>
        <v>Assistant/Helper</v>
      </c>
      <c r="H2124" s="48" t="str">
        <f>_xlfn.XLOOKUP(Table134526_79101120212223242526[[#This Row],[Name Surname]],Manpower!$C$4:$C$1048576,Manpower!$H$4:$H$1048576,"")</f>
        <v>Manpower</v>
      </c>
      <c r="I2124" s="48" t="str">
        <f>_xlfn.XLOOKUP(Table134526_79101120212223242526[[#This Row],[Name Surname]],Manpower!$C$4:$C$1048576,Manpower!$H$4:$H$1048576,"")</f>
        <v>Manpower</v>
      </c>
      <c r="J2124" s="43" t="s">
        <v>158</v>
      </c>
      <c r="K2124" s="43" t="s">
        <v>26</v>
      </c>
      <c r="L2124" s="43" t="s">
        <v>26</v>
      </c>
      <c r="M2124" s="43" t="s">
        <v>24</v>
      </c>
      <c r="N2124" s="44">
        <v>10</v>
      </c>
      <c r="O2124" s="43" t="s">
        <v>159</v>
      </c>
      <c r="P2124" s="43" t="s">
        <v>160</v>
      </c>
      <c r="Q2124" s="43" t="s">
        <v>160</v>
      </c>
      <c r="R2124" s="43" t="s">
        <v>161</v>
      </c>
      <c r="S2124" s="43"/>
    </row>
    <row r="2125" spans="1:19" ht="14.4">
      <c r="A2125" s="33">
        <f>IF(C2125="","",MAX($A$1:A2124)+1)</f>
        <v>1998</v>
      </c>
      <c r="B2125" s="27" t="s">
        <v>141</v>
      </c>
      <c r="C2125" s="23">
        <v>46098</v>
      </c>
      <c r="D2125" s="28" t="str">
        <f>_xlfn.XLOOKUP(Table134526_79101120212223242526[[#This Row],[Name Surname]],Manpower!$C$4:$C$1048576,Manpower!$B$4:$B$1048576,"")</f>
        <v>Encogroup</v>
      </c>
      <c r="E2125" s="23" t="s">
        <v>219</v>
      </c>
      <c r="F2125" s="12" t="e">
        <f>_xlfn.XLOOKUP(Table134526_79101120212223242526[[#This Row],[Name Surname]],Manpower!C:C,Manpower!D:D,)</f>
        <v>#N/A</v>
      </c>
      <c r="G2125" s="28" t="str">
        <f>_xlfn.XLOOKUP(Table134526_79101120212223242526[[#This Row],[Name Surname]],Manpower!$C$4:$C$1048576,Manpower!$F$4:$F$1048576,"")</f>
        <v>TOWER LIGHT</v>
      </c>
      <c r="H2125" s="28" t="str">
        <f>_xlfn.XLOOKUP(Table134526_79101120212223242526[[#This Row],[Name Surname]],Manpower!$C$4:$C$1048576,Manpower!$H$4:$H$1048576,"")</f>
        <v>Equipment</v>
      </c>
      <c r="I2125" s="28" t="str">
        <f>_xlfn.XLOOKUP(Table134526_79101120212223242526[[#This Row],[Name Surname]],Manpower!$C$4:$C$1048576,Manpower!$H$4:$H$1048576,"")</f>
        <v>Equipment</v>
      </c>
      <c r="J2125" s="21" t="s">
        <v>143</v>
      </c>
      <c r="K2125" s="21" t="s">
        <v>26</v>
      </c>
      <c r="L2125" s="21" t="s">
        <v>144</v>
      </c>
      <c r="M2125" s="21" t="s">
        <v>55</v>
      </c>
      <c r="N2125" s="29">
        <v>10</v>
      </c>
      <c r="R2125" s="21" t="s">
        <v>56</v>
      </c>
    </row>
    <row r="2126" spans="1:19" ht="14.4">
      <c r="A2126" s="33">
        <f>IF(C2126="","",MAX($A$1:A2125)+1)</f>
        <v>1999</v>
      </c>
      <c r="B2126" s="27" t="s">
        <v>141</v>
      </c>
      <c r="C2126" s="23">
        <v>46098</v>
      </c>
      <c r="D2126" s="28" t="str">
        <f>_xlfn.XLOOKUP(Table134526_79101120212223242526[[#This Row],[Name Surname]],Manpower!$C$4:$C$1048576,Manpower!$B$4:$B$1048576,"")</f>
        <v>Encogroup</v>
      </c>
      <c r="E2126" s="23" t="s">
        <v>220</v>
      </c>
      <c r="F2126" s="12" t="e">
        <f>_xlfn.XLOOKUP(Table134526_79101120212223242526[[#This Row],[Name Surname]],Manpower!C:C,Manpower!D:D,)</f>
        <v>#N/A</v>
      </c>
      <c r="G2126" s="28" t="str">
        <f>_xlfn.XLOOKUP(Table134526_79101120212223242526[[#This Row],[Name Surname]],Manpower!$C$4:$C$1048576,Manpower!$F$4:$F$1048576,"")</f>
        <v>TOWER LIGHT</v>
      </c>
      <c r="H2126" s="28" t="str">
        <f>_xlfn.XLOOKUP(Table134526_79101120212223242526[[#This Row],[Name Surname]],Manpower!$C$4:$C$1048576,Manpower!$H$4:$H$1048576,"")</f>
        <v>Equipment</v>
      </c>
      <c r="I2126" s="28" t="str">
        <f>_xlfn.XLOOKUP(Table134526_79101120212223242526[[#This Row],[Name Surname]],Manpower!$C$4:$C$1048576,Manpower!$H$4:$H$1048576,"")</f>
        <v>Equipment</v>
      </c>
      <c r="J2126" s="21" t="s">
        <v>143</v>
      </c>
      <c r="K2126" s="21" t="s">
        <v>26</v>
      </c>
      <c r="L2126" s="21" t="s">
        <v>144</v>
      </c>
      <c r="M2126" s="21" t="s">
        <v>55</v>
      </c>
      <c r="N2126" s="29">
        <v>10</v>
      </c>
      <c r="R2126" s="21" t="s">
        <v>56</v>
      </c>
    </row>
    <row r="2127" spans="1:19" ht="14.4" hidden="1">
      <c r="A2127" s="33">
        <f>IF(C2127="","",MAX($A$1:A2126)+1)</f>
        <v>2000</v>
      </c>
      <c r="B2127" s="27" t="s">
        <v>141</v>
      </c>
      <c r="C2127" s="23">
        <v>46098</v>
      </c>
      <c r="D2127" s="28" t="str">
        <f>_xlfn.XLOOKUP(Table134526_79101120212223242526[[#This Row],[Name Surname]],Manpower!$C$4:$C$1048576,Manpower!$B$4:$B$1048576,"")</f>
        <v>Encogroup</v>
      </c>
      <c r="E2127" s="21" t="s">
        <v>168</v>
      </c>
      <c r="F2127" s="12">
        <f>_xlfn.XLOOKUP(Table134526_79101120212223242526[[#This Row],[Name Surname]],Manpower!C:C,Manpower!D:D,)</f>
        <v>137114773</v>
      </c>
      <c r="G2127" s="28" t="str">
        <f>_xlfn.XLOOKUP(Table134526_79101120212223242526[[#This Row],[Name Surname]],Manpower!$C$4:$C$1048576,Manpower!$F$4:$F$1048576,"")</f>
        <v>Rigger</v>
      </c>
      <c r="H2127" s="28" t="str">
        <f>_xlfn.XLOOKUP(Table134526_79101120212223242526[[#This Row],[Name Surname]],Manpower!$C$4:$C$1048576,Manpower!$H$4:$H$1048576,"")</f>
        <v>Manpower</v>
      </c>
      <c r="I2127" s="28" t="str">
        <f>_xlfn.XLOOKUP(Table134526_79101120212223242526[[#This Row],[Name Surname]],Manpower!$C$4:$C$1048576,Manpower!$H$4:$H$1048576,"")</f>
        <v>Manpower</v>
      </c>
      <c r="J2127" s="21" t="s">
        <v>143</v>
      </c>
      <c r="K2127" s="21" t="s">
        <v>26</v>
      </c>
      <c r="L2127" s="21" t="s">
        <v>144</v>
      </c>
      <c r="M2127" s="21" t="s">
        <v>24</v>
      </c>
      <c r="N2127" s="29">
        <v>8</v>
      </c>
      <c r="O2127" s="21" t="s">
        <v>40</v>
      </c>
      <c r="P2127" s="21" t="s">
        <v>42</v>
      </c>
      <c r="Q2127" s="21" t="s">
        <v>42</v>
      </c>
      <c r="R2127" s="21" t="s">
        <v>339</v>
      </c>
    </row>
    <row r="2128" spans="1:19" s="45" customFormat="1" ht="14.4" hidden="1">
      <c r="A2128" s="25">
        <f>IF(C2128="","",MAX($A$1:A2127)+1)</f>
        <v>2001</v>
      </c>
      <c r="B2128" s="25" t="s">
        <v>141</v>
      </c>
      <c r="C2128" s="41">
        <v>46098</v>
      </c>
      <c r="D2128" s="48" t="str">
        <f>_xlfn.XLOOKUP(Table134526_79101120212223242526[[#This Row],[Name Surname]],Manpower!$C$4:$C$1048576,Manpower!$B$4:$B$1048576,"")</f>
        <v>Encogroup</v>
      </c>
      <c r="E2128" s="43" t="s">
        <v>222</v>
      </c>
      <c r="F2128" s="12">
        <f>_xlfn.XLOOKUP(Table134526_79101120212223242526[[#This Row],[Name Surname]],Manpower!C:C,Manpower!D:D,)</f>
        <v>122082863</v>
      </c>
      <c r="G2128" s="48" t="str">
        <f>_xlfn.XLOOKUP(Table134526_79101120212223242526[[#This Row],[Name Surname]],Manpower!$C$4:$C$1048576,Manpower!$F$4:$F$1048576,"")</f>
        <v>Grinder</v>
      </c>
      <c r="H2128" s="48" t="str">
        <f>_xlfn.XLOOKUP(Table134526_79101120212223242526[[#This Row],[Name Surname]],Manpower!$C$4:$C$1048576,Manpower!$H$4:$H$1048576,"")</f>
        <v>Manpower</v>
      </c>
      <c r="I2128" s="48" t="str">
        <f>_xlfn.XLOOKUP(Table134526_79101120212223242526[[#This Row],[Name Surname]],Manpower!$C$4:$C$1048576,Manpower!$H$4:$H$1048576,"")</f>
        <v>Manpower</v>
      </c>
      <c r="J2128" s="43" t="s">
        <v>143</v>
      </c>
      <c r="K2128" s="43" t="s">
        <v>26</v>
      </c>
      <c r="L2128" s="43" t="s">
        <v>144</v>
      </c>
      <c r="M2128" s="43" t="s">
        <v>24</v>
      </c>
      <c r="N2128" s="44">
        <v>10</v>
      </c>
      <c r="O2128" s="43" t="s">
        <v>40</v>
      </c>
      <c r="P2128" s="43" t="s">
        <v>42</v>
      </c>
      <c r="Q2128" s="43" t="s">
        <v>42</v>
      </c>
      <c r="R2128" s="43" t="s">
        <v>339</v>
      </c>
      <c r="S2128" s="43" t="s">
        <v>343</v>
      </c>
    </row>
    <row r="2129" spans="1:19" s="45" customFormat="1" ht="14.4" hidden="1">
      <c r="A2129" s="25">
        <f>IF(C2129="","",MAX($A$1:A2128)+1)</f>
        <v>2002</v>
      </c>
      <c r="B2129" s="25" t="s">
        <v>141</v>
      </c>
      <c r="C2129" s="41">
        <v>46098</v>
      </c>
      <c r="D2129" s="48" t="str">
        <f>_xlfn.XLOOKUP(Table134526_79101120212223242526[[#This Row],[Name Surname]],Manpower!$C$4:$C$1048576,Manpower!$B$4:$B$1048576,"")</f>
        <v>Al Jaber Heavy Lift</v>
      </c>
      <c r="E2129" s="43" t="s">
        <v>310</v>
      </c>
      <c r="F2129" s="12">
        <f>_xlfn.XLOOKUP(Table134526_79101120212223242526[[#This Row],[Name Surname]],Manpower!C:C,Manpower!D:D,)</f>
        <v>113787454</v>
      </c>
      <c r="G2129" s="48" t="str">
        <f>_xlfn.XLOOKUP(Table134526_79101120212223242526[[#This Row],[Name Surname]],Manpower!$C$4:$C$1048576,Manpower!$F$4:$F$1048576,"")</f>
        <v>Crane Operator- 70T Crawler Crane- 02</v>
      </c>
      <c r="H2129" s="48" t="str">
        <f>_xlfn.XLOOKUP(Table134526_79101120212223242526[[#This Row],[Name Surname]],Manpower!$C$4:$C$1048576,Manpower!$H$4:$H$1048576,"")</f>
        <v>Manpower</v>
      </c>
      <c r="I2129" s="48" t="str">
        <f>_xlfn.XLOOKUP(Table134526_79101120212223242526[[#This Row],[Name Surname]],Manpower!$C$4:$C$1048576,Manpower!$H$4:$H$1048576,"")</f>
        <v>Manpower</v>
      </c>
      <c r="J2129" s="43" t="s">
        <v>158</v>
      </c>
      <c r="K2129" s="43" t="s">
        <v>26</v>
      </c>
      <c r="L2129" s="43" t="s">
        <v>26</v>
      </c>
      <c r="M2129" s="43" t="s">
        <v>24</v>
      </c>
      <c r="N2129" s="44">
        <v>10</v>
      </c>
      <c r="O2129" s="43" t="s">
        <v>40</v>
      </c>
      <c r="P2129" s="43" t="s">
        <v>42</v>
      </c>
      <c r="Q2129" s="43" t="s">
        <v>42</v>
      </c>
      <c r="R2129" s="43" t="s">
        <v>161</v>
      </c>
      <c r="S2129" s="43"/>
    </row>
    <row r="2130" spans="1:19" ht="14.4" hidden="1">
      <c r="A2130" s="33">
        <f>IF(C2130="","",MAX($A$1:A2128)+1)</f>
        <v>2002</v>
      </c>
      <c r="B2130" s="27" t="s">
        <v>141</v>
      </c>
      <c r="C2130" s="23">
        <v>46098</v>
      </c>
      <c r="D2130" s="28" t="str">
        <f>_xlfn.XLOOKUP(Table134526_79101120212223242526[[#This Row],[Name Surname]],Manpower!$C$4:$C$1048576,Manpower!$B$4:$B$1048576,"")</f>
        <v>Encogroup</v>
      </c>
      <c r="E2130" s="21" t="s">
        <v>223</v>
      </c>
      <c r="F2130" s="12">
        <f>_xlfn.XLOOKUP(Table134526_79101120212223242526[[#This Row],[Name Surname]],Manpower!C:C,Manpower!D:D,)</f>
        <v>140696989</v>
      </c>
      <c r="G2130" s="28" t="str">
        <f>_xlfn.XLOOKUP(Table134526_79101120212223242526[[#This Row],[Name Surname]],Manpower!$C$4:$C$1048576,Manpower!$F$4:$F$1048576,"")</f>
        <v>Assistant/Helper</v>
      </c>
      <c r="H2130" s="28" t="str">
        <f>_xlfn.XLOOKUP(Table134526_79101120212223242526[[#This Row],[Name Surname]],Manpower!$C$4:$C$1048576,Manpower!$H$4:$H$1048576,"")</f>
        <v>Manpower</v>
      </c>
      <c r="I2130" s="28" t="str">
        <f>_xlfn.XLOOKUP(Table134526_79101120212223242526[[#This Row],[Name Surname]],Manpower!$C$4:$C$1048576,Manpower!$H$4:$H$1048576,"")</f>
        <v>Manpower</v>
      </c>
      <c r="J2130" s="21" t="s">
        <v>158</v>
      </c>
      <c r="K2130" s="21" t="s">
        <v>26</v>
      </c>
      <c r="L2130" s="21" t="s">
        <v>26</v>
      </c>
      <c r="M2130" s="21" t="s">
        <v>24</v>
      </c>
      <c r="N2130" s="29">
        <v>10</v>
      </c>
      <c r="O2130" s="21" t="s">
        <v>159</v>
      </c>
      <c r="P2130" s="21" t="s">
        <v>160</v>
      </c>
      <c r="Q2130" s="21" t="s">
        <v>160</v>
      </c>
      <c r="R2130" s="21" t="s">
        <v>161</v>
      </c>
    </row>
    <row r="2131" spans="1:19" ht="14.4" hidden="1">
      <c r="A2131" s="33">
        <f>IF(C2131="","",MAX($A$1:A2130)+1)</f>
        <v>2003</v>
      </c>
      <c r="B2131" s="33" t="s">
        <v>141</v>
      </c>
      <c r="C2131" s="23">
        <v>46098</v>
      </c>
      <c r="D2131" s="28" t="str">
        <f>_xlfn.XLOOKUP(Table134526_79101120212223242526[[#This Row],[Name Surname]],Manpower!$C$4:$C$1048576,Manpower!$B$4:$B$1048576,"")</f>
        <v>Encogroup</v>
      </c>
      <c r="E2131" s="21" t="s">
        <v>218</v>
      </c>
      <c r="F2131" s="12">
        <f>_xlfn.XLOOKUP(Table134526_79101120212223242526[[#This Row],[Name Surname]],Manpower!C:C,Manpower!D:D,)</f>
        <v>116853914</v>
      </c>
      <c r="G2131" s="28" t="str">
        <f>_xlfn.XLOOKUP(Table134526_79101120212223242526[[#This Row],[Name Surname]],Manpower!$C$4:$C$1048576,Manpower!$F$4:$F$1048576,"")</f>
        <v>Electrical Supervisor</v>
      </c>
      <c r="H2131" s="28" t="str">
        <f>_xlfn.XLOOKUP(Table134526_79101120212223242526[[#This Row],[Name Surname]],Manpower!$C$4:$C$1048576,Manpower!$H$4:$H$1048576,"")</f>
        <v>Manpower</v>
      </c>
      <c r="I2131" s="28" t="str">
        <f>_xlfn.XLOOKUP(Table134526_79101120212223242526[[#This Row],[Name Surname]],Manpower!$C$4:$C$1048576,Manpower!$H$4:$H$1048576,"")</f>
        <v>Manpower</v>
      </c>
      <c r="J2131" s="21" t="s">
        <v>158</v>
      </c>
      <c r="K2131" s="21" t="s">
        <v>26</v>
      </c>
      <c r="L2131" s="21" t="s">
        <v>26</v>
      </c>
      <c r="M2131" s="21" t="s">
        <v>24</v>
      </c>
      <c r="N2131" s="29">
        <v>10</v>
      </c>
      <c r="O2131" s="21" t="s">
        <v>159</v>
      </c>
      <c r="P2131" s="21" t="s">
        <v>160</v>
      </c>
      <c r="Q2131" s="21" t="s">
        <v>160</v>
      </c>
      <c r="R2131" s="21" t="s">
        <v>161</v>
      </c>
    </row>
    <row r="2132" spans="1:19" s="45" customFormat="1" ht="14.4" hidden="1">
      <c r="A2132" s="25">
        <f>IF(C2132="","",MAX($A$1:A2131)+1)</f>
        <v>2004</v>
      </c>
      <c r="B2132" s="25" t="s">
        <v>141</v>
      </c>
      <c r="C2132" s="41">
        <v>46098</v>
      </c>
      <c r="D2132" s="48" t="str">
        <f>_xlfn.XLOOKUP(Table134526_79101120212223242526[[#This Row],[Name Surname]],Manpower!$C$4:$C$1048576,Manpower!$B$4:$B$1048576,"")</f>
        <v>Encogroup</v>
      </c>
      <c r="E2132" s="43" t="s">
        <v>209</v>
      </c>
      <c r="F2132" s="12">
        <f>_xlfn.XLOOKUP(Table134526_79101120212223242526[[#This Row],[Name Surname]],Manpower!C:C,Manpower!D:D,)</f>
        <v>141365164</v>
      </c>
      <c r="G2132" s="48" t="str">
        <f>_xlfn.XLOOKUP(Table134526_79101120212223242526[[#This Row],[Name Surname]],Manpower!$C$4:$C$1048576,Manpower!$F$4:$F$1048576,"")</f>
        <v>Helper</v>
      </c>
      <c r="H2132" s="48" t="str">
        <f>_xlfn.XLOOKUP(Table134526_79101120212223242526[[#This Row],[Name Surname]],Manpower!$C$4:$C$1048576,Manpower!$H$4:$H$1048576,"")</f>
        <v>Manpower</v>
      </c>
      <c r="I2132" s="48" t="str">
        <f>_xlfn.XLOOKUP(Table134526_79101120212223242526[[#This Row],[Name Surname]],Manpower!$C$4:$C$1048576,Manpower!$H$4:$H$1048576,"")</f>
        <v>Manpower</v>
      </c>
      <c r="J2132" s="43" t="s">
        <v>158</v>
      </c>
      <c r="K2132" s="43" t="s">
        <v>26</v>
      </c>
      <c r="L2132" s="43" t="s">
        <v>26</v>
      </c>
      <c r="M2132" s="43" t="s">
        <v>24</v>
      </c>
      <c r="N2132" s="44">
        <v>10</v>
      </c>
      <c r="O2132" s="43" t="s">
        <v>159</v>
      </c>
      <c r="P2132" s="43" t="s">
        <v>160</v>
      </c>
      <c r="Q2132" s="43" t="s">
        <v>160</v>
      </c>
      <c r="R2132" s="43" t="s">
        <v>161</v>
      </c>
      <c r="S2132" s="43"/>
    </row>
    <row r="2133" spans="1:19" s="45" customFormat="1" ht="14.4">
      <c r="A2133" s="25">
        <f>IF(C2133="","",MAX($A$1:A2132)+1)</f>
        <v>2005</v>
      </c>
      <c r="B2133" s="25" t="s">
        <v>141</v>
      </c>
      <c r="C2133" s="41">
        <v>46098</v>
      </c>
      <c r="D2133" s="48" t="str">
        <f>_xlfn.XLOOKUP(Table134526_79101120212223242526[[#This Row],[Name Surname]],Manpower!$C$4:$C$1048576,Manpower!$B$4:$B$1048576,"")</f>
        <v>ATS</v>
      </c>
      <c r="E2133" s="43" t="s">
        <v>345</v>
      </c>
      <c r="F2133" s="12" t="str">
        <f>_xlfn.XLOOKUP(Table134526_79101120212223242526[[#This Row],[Name Surname]],Manpower!C:C,Manpower!D:D,)</f>
        <v>100398391</v>
      </c>
      <c r="G2133" s="48" t="str">
        <f>_xlfn.XLOOKUP(Table134526_79101120212223242526[[#This Row],[Name Surname]],Manpower!$C$4:$C$1048576,Manpower!$F$4:$F$1048576,"")</f>
        <v>DRIVER</v>
      </c>
      <c r="H2133" s="48" t="str">
        <f>_xlfn.XLOOKUP(Table134526_79101120212223242526[[#This Row],[Name Surname]],Manpower!$C$4:$C$1048576,Manpower!$H$4:$H$1048576,"")</f>
        <v>DRIVER</v>
      </c>
      <c r="I2133" s="48" t="str">
        <f>_xlfn.XLOOKUP(Table134526_79101120212223242526[[#This Row],[Name Surname]],Manpower!$C$4:$C$1048576,Manpower!$H$4:$H$1048576,"")</f>
        <v>DRIVER</v>
      </c>
      <c r="J2133" s="43" t="s">
        <v>135</v>
      </c>
      <c r="K2133" s="43" t="s">
        <v>26</v>
      </c>
      <c r="L2133" s="43" t="s">
        <v>26</v>
      </c>
      <c r="M2133" s="43" t="s">
        <v>24</v>
      </c>
      <c r="N2133" s="44">
        <v>10</v>
      </c>
      <c r="O2133" s="43" t="s">
        <v>40</v>
      </c>
      <c r="P2133" s="43" t="s">
        <v>42</v>
      </c>
      <c r="Q2133" s="43" t="s">
        <v>42</v>
      </c>
      <c r="R2133" s="43" t="s">
        <v>161</v>
      </c>
      <c r="S2133" s="43"/>
    </row>
    <row r="2134" spans="1:19" s="45" customFormat="1" ht="14.4" hidden="1">
      <c r="A2134" s="25">
        <f>IF(C2134="","",MAX($A$1:A2132)+1)</f>
        <v>2005</v>
      </c>
      <c r="B2134" s="25" t="s">
        <v>141</v>
      </c>
      <c r="C2134" s="41">
        <v>46098</v>
      </c>
      <c r="D2134" s="48" t="str">
        <f>_xlfn.XLOOKUP(Table134526_79101120212223242526[[#This Row],[Name Surname]],Manpower!$C$4:$C$1048576,Manpower!$B$4:$B$1048576,"")</f>
        <v>AL Saif &amp; Al QALLM ENT LLC</v>
      </c>
      <c r="E2134" s="43" t="s">
        <v>194</v>
      </c>
      <c r="F2134" s="12">
        <f>_xlfn.XLOOKUP(Table134526_79101120212223242526[[#This Row],[Name Surname]],Manpower!C:C,Manpower!D:D,)</f>
        <v>135340657</v>
      </c>
      <c r="G2134" s="48" t="str">
        <f>_xlfn.XLOOKUP(Table134526_79101120212223242526[[#This Row],[Name Surname]],Manpower!$C$4:$C$1048576,Manpower!$F$4:$F$1048576,"")</f>
        <v>Forklift Operator</v>
      </c>
      <c r="H2134" s="48" t="str">
        <f>_xlfn.XLOOKUP(Table134526_79101120212223242526[[#This Row],[Name Surname]],Manpower!$C$4:$C$1048576,Manpower!$H$4:$H$1048576,"")</f>
        <v>Sub Contactor</v>
      </c>
      <c r="I2134" s="48" t="str">
        <f>_xlfn.XLOOKUP(Table134526_79101120212223242526[[#This Row],[Name Surname]],Manpower!$C$4:$C$1048576,Manpower!$H$4:$H$1048576,"")</f>
        <v>Sub Contactor</v>
      </c>
      <c r="J2134" s="43" t="s">
        <v>135</v>
      </c>
      <c r="K2134" s="43" t="s">
        <v>26</v>
      </c>
      <c r="L2134" s="43" t="s">
        <v>26</v>
      </c>
      <c r="M2134" s="43" t="s">
        <v>24</v>
      </c>
      <c r="N2134" s="44">
        <v>10</v>
      </c>
      <c r="O2134" s="43" t="s">
        <v>159</v>
      </c>
      <c r="P2134" s="43" t="s">
        <v>160</v>
      </c>
      <c r="Q2134" s="43" t="s">
        <v>160</v>
      </c>
      <c r="R2134" s="43" t="s">
        <v>161</v>
      </c>
      <c r="S2134" s="43"/>
    </row>
    <row r="2135" spans="1:19" ht="14.4" hidden="1">
      <c r="A2135" s="33">
        <f>IF(C2135="","",MAX($A$1:A2132)+1)</f>
        <v>2005</v>
      </c>
      <c r="B2135" s="27" t="s">
        <v>141</v>
      </c>
      <c r="C2135" s="23">
        <v>46098</v>
      </c>
      <c r="D2135" s="28" t="str">
        <f>_xlfn.XLOOKUP(Table134526_79101120212223242526[[#This Row],[Name Surname]],Manpower!$C$4:$C$1048576,Manpower!$B$4:$B$1048576,"")</f>
        <v>Encogroup</v>
      </c>
      <c r="E2135" s="21" t="s">
        <v>346</v>
      </c>
      <c r="F2135" s="12">
        <f>_xlfn.XLOOKUP(Table134526_79101120212223242526[[#This Row],[Name Surname]],Manpower!C:C,Manpower!D:D,)</f>
        <v>117974933</v>
      </c>
      <c r="G2135" s="28" t="str">
        <f>_xlfn.XLOOKUP(Table134526_79101120212223242526[[#This Row],[Name Surname]],Manpower!$C$4:$C$1048576,Manpower!$F$4:$F$1048576,"")</f>
        <v>Scaffolder</v>
      </c>
      <c r="H2135" s="28" t="str">
        <f>_xlfn.XLOOKUP(Table134526_79101120212223242526[[#This Row],[Name Surname]],Manpower!$C$4:$C$1048576,Manpower!$H$4:$H$1048576,"")</f>
        <v>Manpower</v>
      </c>
      <c r="I2135" s="28" t="str">
        <f>_xlfn.XLOOKUP(Table134526_79101120212223242526[[#This Row],[Name Surname]],Manpower!$C$4:$C$1048576,Manpower!$H$4:$H$1048576,"")</f>
        <v>Manpower</v>
      </c>
      <c r="J2135" s="21" t="s">
        <v>158</v>
      </c>
      <c r="K2135" s="21" t="s">
        <v>26</v>
      </c>
      <c r="L2135" s="21" t="s">
        <v>26</v>
      </c>
      <c r="M2135" s="21" t="s">
        <v>24</v>
      </c>
      <c r="N2135" s="29">
        <v>10</v>
      </c>
      <c r="O2135" s="21" t="s">
        <v>159</v>
      </c>
      <c r="P2135" s="21" t="s">
        <v>160</v>
      </c>
      <c r="Q2135" s="21" t="s">
        <v>160</v>
      </c>
      <c r="R2135" s="21" t="s">
        <v>161</v>
      </c>
    </row>
    <row r="2136" spans="1:19" ht="14.4" hidden="1">
      <c r="A2136" s="33">
        <f>IF(C2136="","",MAX($A$1:A2135)+1)</f>
        <v>2006</v>
      </c>
      <c r="B2136" s="27" t="s">
        <v>141</v>
      </c>
      <c r="C2136" s="23">
        <v>46098</v>
      </c>
      <c r="D2136" s="28" t="str">
        <f>_xlfn.XLOOKUP(Table134526_79101120212223242526[[#This Row],[Name Surname]],Manpower!$C$4:$C$1048576,Manpower!$B$4:$B$1048576,"")</f>
        <v>Encogroup</v>
      </c>
      <c r="E2136" s="21" t="s">
        <v>347</v>
      </c>
      <c r="F2136" s="12">
        <f>_xlfn.XLOOKUP(Table134526_79101120212223242526[[#This Row],[Name Surname]],Manpower!C:C,Manpower!D:D,)</f>
        <v>141502853</v>
      </c>
      <c r="G2136" s="28" t="str">
        <f>_xlfn.XLOOKUP(Table134526_79101120212223242526[[#This Row],[Name Surname]],Manpower!$C$4:$C$1048576,Manpower!$F$4:$F$1048576,"")</f>
        <v>Scaffolder</v>
      </c>
      <c r="H2136" s="28" t="str">
        <f>_xlfn.XLOOKUP(Table134526_79101120212223242526[[#This Row],[Name Surname]],Manpower!$C$4:$C$1048576,Manpower!$H$4:$H$1048576,"")</f>
        <v>Manpower</v>
      </c>
      <c r="I2136" s="28" t="str">
        <f>_xlfn.XLOOKUP(Table134526_79101120212223242526[[#This Row],[Name Surname]],Manpower!$C$4:$C$1048576,Manpower!$H$4:$H$1048576,"")</f>
        <v>Manpower</v>
      </c>
      <c r="J2136" s="21" t="s">
        <v>158</v>
      </c>
      <c r="K2136" s="21" t="s">
        <v>26</v>
      </c>
      <c r="L2136" s="21" t="s">
        <v>26</v>
      </c>
      <c r="M2136" s="21" t="s">
        <v>24</v>
      </c>
      <c r="N2136" s="29">
        <v>10</v>
      </c>
      <c r="O2136" s="21" t="s">
        <v>159</v>
      </c>
      <c r="P2136" s="21" t="s">
        <v>160</v>
      </c>
      <c r="Q2136" s="21" t="s">
        <v>160</v>
      </c>
      <c r="R2136" s="21" t="s">
        <v>161</v>
      </c>
    </row>
    <row r="2137" spans="1:19" s="45" customFormat="1" ht="14.4" hidden="1">
      <c r="A2137" s="25">
        <f>IF(C2137="","",MAX($A$1:A2136)+1)</f>
        <v>2007</v>
      </c>
      <c r="B2137" s="25" t="s">
        <v>141</v>
      </c>
      <c r="C2137" s="41">
        <v>46098</v>
      </c>
      <c r="D2137" s="48" t="str">
        <f>_xlfn.XLOOKUP(Table134526_79101120212223242526[[#This Row],[Name Surname]],Manpower!$C$4:$C$1048576,Manpower!$B$4:$B$1048576,"")</f>
        <v>Encogroup</v>
      </c>
      <c r="E2137" s="43" t="s">
        <v>264</v>
      </c>
      <c r="F2137" s="12">
        <f>_xlfn.XLOOKUP(Table134526_79101120212223242526[[#This Row],[Name Surname]],Manpower!C:C,Manpower!D:D,)</f>
        <v>141365061</v>
      </c>
      <c r="G2137" s="48" t="str">
        <f>_xlfn.XLOOKUP(Table134526_79101120212223242526[[#This Row],[Name Surname]],Manpower!$C$4:$C$1048576,Manpower!$F$4:$F$1048576,"")</f>
        <v>Helper</v>
      </c>
      <c r="H2137" s="48" t="str">
        <f>_xlfn.XLOOKUP(Table134526_79101120212223242526[[#This Row],[Name Surname]],Manpower!$C$4:$C$1048576,Manpower!$H$4:$H$1048576,"")</f>
        <v>Manpower</v>
      </c>
      <c r="I2137" s="48" t="str">
        <f>_xlfn.XLOOKUP(Table134526_79101120212223242526[[#This Row],[Name Surname]],Manpower!$C$4:$C$1048576,Manpower!$H$4:$H$1048576,"")</f>
        <v>Manpower</v>
      </c>
      <c r="J2137" s="43" t="s">
        <v>143</v>
      </c>
      <c r="K2137" s="43" t="s">
        <v>26</v>
      </c>
      <c r="L2137" s="43" t="s">
        <v>144</v>
      </c>
      <c r="M2137" s="43" t="s">
        <v>24</v>
      </c>
      <c r="N2137" s="44">
        <v>10</v>
      </c>
      <c r="O2137" s="43" t="s">
        <v>40</v>
      </c>
      <c r="P2137" s="43" t="s">
        <v>42</v>
      </c>
      <c r="Q2137" s="43" t="s">
        <v>42</v>
      </c>
      <c r="R2137" s="43" t="s">
        <v>339</v>
      </c>
      <c r="S2137" s="43" t="s">
        <v>343</v>
      </c>
    </row>
    <row r="2138" spans="1:19" s="45" customFormat="1" ht="14.4" hidden="1">
      <c r="A2138" s="25">
        <f>IF(C2138="","",MAX($A$1:A2137)+1)</f>
        <v>2008</v>
      </c>
      <c r="B2138" s="25" t="s">
        <v>141</v>
      </c>
      <c r="C2138" s="41">
        <v>46098</v>
      </c>
      <c r="D2138" s="48" t="str">
        <f>_xlfn.XLOOKUP(Table134526_79101120212223242526[[#This Row],[Name Surname]],Manpower!$C$4:$C$1048576,Manpower!$B$4:$B$1048576,"")</f>
        <v>Encogroup</v>
      </c>
      <c r="E2138" s="43" t="s">
        <v>224</v>
      </c>
      <c r="F2138" s="12">
        <f>_xlfn.XLOOKUP(Table134526_79101120212223242526[[#This Row],[Name Surname]],Manpower!C:C,Manpower!D:D,)</f>
        <v>141365094</v>
      </c>
      <c r="G2138" s="48" t="str">
        <f>_xlfn.XLOOKUP(Table134526_79101120212223242526[[#This Row],[Name Surname]],Manpower!$C$4:$C$1048576,Manpower!$F$4:$F$1048576,"")</f>
        <v>Helper</v>
      </c>
      <c r="H2138" s="48" t="str">
        <f>_xlfn.XLOOKUP(Table134526_79101120212223242526[[#This Row],[Name Surname]],Manpower!$C$4:$C$1048576,Manpower!$H$4:$H$1048576,"")</f>
        <v>Manpower</v>
      </c>
      <c r="I2138" s="48" t="str">
        <f>_xlfn.XLOOKUP(Table134526_79101120212223242526[[#This Row],[Name Surname]],Manpower!$C$4:$C$1048576,Manpower!$H$4:$H$1048576,"")</f>
        <v>Manpower</v>
      </c>
      <c r="J2138" s="43" t="s">
        <v>143</v>
      </c>
      <c r="K2138" s="43" t="s">
        <v>26</v>
      </c>
      <c r="L2138" s="43" t="s">
        <v>144</v>
      </c>
      <c r="M2138" s="43" t="s">
        <v>24</v>
      </c>
      <c r="N2138" s="44">
        <v>10</v>
      </c>
      <c r="O2138" s="43" t="s">
        <v>40</v>
      </c>
      <c r="P2138" s="43" t="s">
        <v>42</v>
      </c>
      <c r="Q2138" s="43" t="s">
        <v>42</v>
      </c>
      <c r="R2138" s="43" t="s">
        <v>339</v>
      </c>
      <c r="S2138" s="43" t="s">
        <v>343</v>
      </c>
    </row>
    <row r="2139" spans="1:19" s="45" customFormat="1" ht="14.4" hidden="1">
      <c r="A2139" s="25">
        <f>IF(C2139="","",MAX($A$1:A2138)+1)</f>
        <v>2009</v>
      </c>
      <c r="B2139" s="25" t="s">
        <v>141</v>
      </c>
      <c r="C2139" s="41">
        <v>46098</v>
      </c>
      <c r="D2139" s="48" t="str">
        <f>_xlfn.XLOOKUP(Table134526_79101120212223242526[[#This Row],[Name Surname]],Manpower!$C$4:$C$1048576,Manpower!$B$4:$B$1048576,"")</f>
        <v xml:space="preserve">FAL Transport </v>
      </c>
      <c r="E2139" s="43" t="s">
        <v>225</v>
      </c>
      <c r="F2139" s="12">
        <f>_xlfn.XLOOKUP(Table134526_79101120212223242526[[#This Row],[Name Surname]],Manpower!C:C,Manpower!D:D,)</f>
        <v>124233837</v>
      </c>
      <c r="G2139" s="48" t="str">
        <f>_xlfn.XLOOKUP(Table134526_79101120212223242526[[#This Row],[Name Surname]],Manpower!$C$4:$C$1048576,Manpower!$F$4:$F$1048576,"")</f>
        <v>Trailer Driver</v>
      </c>
      <c r="H2139" s="48" t="str">
        <f>_xlfn.XLOOKUP(Table134526_79101120212223242526[[#This Row],[Name Surname]],Manpower!$C$4:$C$1048576,Manpower!$H$4:$H$1048576,"")</f>
        <v>Sub Contactor</v>
      </c>
      <c r="I2139" s="48" t="str">
        <f>_xlfn.XLOOKUP(Table134526_79101120212223242526[[#This Row],[Name Surname]],Manpower!$C$4:$C$1048576,Manpower!$H$4:$H$1048576,"")</f>
        <v>Sub Contactor</v>
      </c>
      <c r="J2139" s="43" t="s">
        <v>143</v>
      </c>
      <c r="K2139" s="43" t="s">
        <v>26</v>
      </c>
      <c r="L2139" s="43" t="s">
        <v>144</v>
      </c>
      <c r="M2139" s="43" t="s">
        <v>24</v>
      </c>
      <c r="N2139" s="44">
        <v>8</v>
      </c>
      <c r="O2139" s="43" t="s">
        <v>40</v>
      </c>
      <c r="P2139" s="43" t="s">
        <v>42</v>
      </c>
      <c r="Q2139" s="43" t="s">
        <v>42</v>
      </c>
      <c r="R2139" s="43" t="s">
        <v>226</v>
      </c>
      <c r="S2139" s="43" t="s">
        <v>343</v>
      </c>
    </row>
    <row r="2140" spans="1:19" ht="14.4">
      <c r="A2140" s="33">
        <f>IF(C2140="","",MAX($A$1:A2139)+1)</f>
        <v>2010</v>
      </c>
      <c r="B2140" s="22" t="s">
        <v>19</v>
      </c>
      <c r="C2140" s="23">
        <v>46099</v>
      </c>
      <c r="D2140" s="28" t="str">
        <f>_xlfn.XLOOKUP(Table134526_79101120212223242526[[#This Row],[Name Surname]],Manpower!$C$4:$C$1048576,Manpower!$B$4:$B$1048576,"")</f>
        <v>Riyan Al Khaleej</v>
      </c>
      <c r="E2140" s="21" t="s">
        <v>20</v>
      </c>
      <c r="F2140" s="12" t="e">
        <f>_xlfn.XLOOKUP(Table134526_79101120212223242526[[#This Row],[Name Surname]],Manpower!C:C,Manpower!D:D,)</f>
        <v>#N/A</v>
      </c>
      <c r="G2140" s="28" t="str">
        <f>_xlfn.XLOOKUP(Table134526_79101120212223242526[[#This Row],[Name Surname]],Manpower!$C$4:$C$1048576,Manpower!$F$4:$F$1048576,"")</f>
        <v>100T Telescopic Crane</v>
      </c>
      <c r="H2140" s="28" t="str">
        <f>_xlfn.XLOOKUP(Table134526_79101120212223242526[[#This Row],[Name Surname]],Manpower!$C$4:$C$1048576,Manpower!$H$4:$H$1048576,"")</f>
        <v>Equipment</v>
      </c>
      <c r="I2140" s="28" t="str">
        <f>_xlfn.XLOOKUP(Table134526_79101120212223242526[[#This Row],[Name Surname]],Manpower!$C$4:$C$1048576,Manpower!$H$4:$H$1048576,"")</f>
        <v>Equipment</v>
      </c>
      <c r="J2140" s="21" t="s">
        <v>21</v>
      </c>
      <c r="K2140" s="21" t="s">
        <v>26</v>
      </c>
      <c r="L2140" s="21" t="s">
        <v>49</v>
      </c>
      <c r="M2140" s="21" t="s">
        <v>24</v>
      </c>
      <c r="N2140" s="29">
        <v>8</v>
      </c>
      <c r="O2140" s="21" t="s">
        <v>25</v>
      </c>
      <c r="P2140" s="21" t="s">
        <v>41</v>
      </c>
      <c r="Q2140" s="21" t="s">
        <v>60</v>
      </c>
      <c r="R2140" s="21" t="s">
        <v>348</v>
      </c>
    </row>
    <row r="2141" spans="1:19" s="45" customFormat="1" ht="14.4" hidden="1">
      <c r="A2141" s="25">
        <f>IF(C2141="","",MAX($A$1:A2140)+1)</f>
        <v>2011</v>
      </c>
      <c r="B2141" s="25" t="s">
        <v>19</v>
      </c>
      <c r="C2141" s="41">
        <v>46099</v>
      </c>
      <c r="D2141" s="48" t="str">
        <f>_xlfn.XLOOKUP(Table134526_79101120212223242526[[#This Row],[Name Surname]],Manpower!$C$4:$C$1048576,Manpower!$B$4:$B$1048576,"")</f>
        <v>Encogroup</v>
      </c>
      <c r="E2141" s="43" t="s">
        <v>30</v>
      </c>
      <c r="F2141" s="12">
        <f>_xlfn.XLOOKUP(Table134526_79101120212223242526[[#This Row],[Name Surname]],Manpower!C:C,Manpower!D:D,)</f>
        <v>116589569</v>
      </c>
      <c r="G2141" s="48" t="str">
        <f>_xlfn.XLOOKUP(Table134526_79101120212223242526[[#This Row],[Name Surname]],Manpower!$C$4:$C$1048576,Manpower!$F$4:$F$1048576,"")</f>
        <v>Mechanical Engineer</v>
      </c>
      <c r="H2141" s="48" t="str">
        <f>_xlfn.XLOOKUP(Table134526_79101120212223242526[[#This Row],[Name Surname]],Manpower!$C$4:$C$1048576,Manpower!$H$4:$H$1048576,"")</f>
        <v>Manpower</v>
      </c>
      <c r="I2141" s="48" t="str">
        <f>_xlfn.XLOOKUP(Table134526_79101120212223242526[[#This Row],[Name Surname]],Manpower!$C$4:$C$1048576,Manpower!$H$4:$H$1048576,"")</f>
        <v>Manpower</v>
      </c>
      <c r="J2141" s="43" t="s">
        <v>21</v>
      </c>
      <c r="K2141" s="43" t="s">
        <v>26</v>
      </c>
      <c r="L2141" s="43" t="s">
        <v>49</v>
      </c>
      <c r="M2141" s="43" t="s">
        <v>24</v>
      </c>
      <c r="N2141" s="44">
        <v>10</v>
      </c>
      <c r="O2141" s="43" t="s">
        <v>25</v>
      </c>
      <c r="P2141" s="43" t="s">
        <v>41</v>
      </c>
      <c r="Q2141" s="43" t="s">
        <v>60</v>
      </c>
      <c r="R2141" s="43" t="s">
        <v>348</v>
      </c>
      <c r="S2141" s="43"/>
    </row>
    <row r="2142" spans="1:19" s="45" customFormat="1" ht="14.4" hidden="1">
      <c r="A2142" s="25">
        <f>IF(C2142="","",MAX($A$1:A2140)+1)</f>
        <v>2011</v>
      </c>
      <c r="B2142" s="25" t="s">
        <v>19</v>
      </c>
      <c r="C2142" s="41">
        <v>46099</v>
      </c>
      <c r="D2142" s="48" t="str">
        <f>_xlfn.XLOOKUP(Table134526_79101120212223242526[[#This Row],[Name Surname]],Manpower!$C$4:$C$1048576,Manpower!$B$4:$B$1048576,"")</f>
        <v>Rial Al Khaleej</v>
      </c>
      <c r="E2142" s="43" t="s">
        <v>38</v>
      </c>
      <c r="F2142" s="12">
        <f>_xlfn.XLOOKUP(Table134526_79101120212223242526[[#This Row],[Name Surname]],Manpower!C:C,Manpower!D:D,)</f>
        <v>98845403</v>
      </c>
      <c r="G2142" s="48" t="str">
        <f>_xlfn.XLOOKUP(Table134526_79101120212223242526[[#This Row],[Name Surname]],Manpower!$C$4:$C$1048576,Manpower!$F$4:$F$1048576,"")</f>
        <v>Crane Operator-100T Zoomlion Telescopic</v>
      </c>
      <c r="H2142" s="48" t="str">
        <f>_xlfn.XLOOKUP(Table134526_79101120212223242526[[#This Row],[Name Surname]],Manpower!$C$4:$C$1048576,Manpower!$H$4:$H$1048576,"")</f>
        <v>Manpower</v>
      </c>
      <c r="I2142" s="48" t="str">
        <f>_xlfn.XLOOKUP(Table134526_79101120212223242526[[#This Row],[Name Surname]],Manpower!$C$4:$C$1048576,Manpower!$H$4:$H$1048576,"")</f>
        <v>Manpower</v>
      </c>
      <c r="J2142" s="43" t="s">
        <v>21</v>
      </c>
      <c r="K2142" s="43" t="s">
        <v>26</v>
      </c>
      <c r="L2142" s="43" t="s">
        <v>49</v>
      </c>
      <c r="M2142" s="43" t="s">
        <v>24</v>
      </c>
      <c r="N2142" s="44">
        <v>8</v>
      </c>
      <c r="O2142" s="43" t="s">
        <v>40</v>
      </c>
      <c r="P2142" s="43" t="s">
        <v>41</v>
      </c>
      <c r="Q2142" s="43" t="s">
        <v>42</v>
      </c>
      <c r="R2142" s="43" t="s">
        <v>348</v>
      </c>
      <c r="S2142" s="43"/>
    </row>
    <row r="2143" spans="1:19" s="45" customFormat="1" ht="14.4" hidden="1">
      <c r="A2143" s="25">
        <f>IF(C2143="","",MAX($A$1:A2142)+1)</f>
        <v>2012</v>
      </c>
      <c r="B2143" s="25" t="s">
        <v>19</v>
      </c>
      <c r="C2143" s="41">
        <v>46099</v>
      </c>
      <c r="D2143" s="48" t="str">
        <f>_xlfn.XLOOKUP(Table134526_79101120212223242526[[#This Row],[Name Surname]],Manpower!$C$4:$C$1048576,Manpower!$B$4:$B$1048576,"")</f>
        <v>AL Saif &amp; Al QALLM ENT LLC</v>
      </c>
      <c r="E2143" s="43" t="s">
        <v>194</v>
      </c>
      <c r="F2143" s="12">
        <f>_xlfn.XLOOKUP(Table134526_79101120212223242526[[#This Row],[Name Surname]],Manpower!C:C,Manpower!D:D,)</f>
        <v>135340657</v>
      </c>
      <c r="G2143" s="48" t="str">
        <f>_xlfn.XLOOKUP(Table134526_79101120212223242526[[#This Row],[Name Surname]],Manpower!$C$4:$C$1048576,Manpower!$F$4:$F$1048576,"")</f>
        <v>Forklift Operator</v>
      </c>
      <c r="H2143" s="48" t="str">
        <f>_xlfn.XLOOKUP(Table134526_79101120212223242526[[#This Row],[Name Surname]],Manpower!$C$4:$C$1048576,Manpower!$H$4:$H$1048576,"")</f>
        <v>Sub Contactor</v>
      </c>
      <c r="I2143" s="48" t="str">
        <f>_xlfn.XLOOKUP(Table134526_79101120212223242526[[#This Row],[Name Surname]],Manpower!$C$4:$C$1048576,Manpower!$H$4:$H$1048576,"")</f>
        <v>Sub Contactor</v>
      </c>
      <c r="J2143" s="43" t="s">
        <v>21</v>
      </c>
      <c r="K2143" s="43" t="s">
        <v>26</v>
      </c>
      <c r="L2143" s="43" t="s">
        <v>49</v>
      </c>
      <c r="M2143" s="43" t="s">
        <v>24</v>
      </c>
      <c r="N2143" s="44">
        <v>8</v>
      </c>
      <c r="O2143" s="43" t="s">
        <v>40</v>
      </c>
      <c r="P2143" s="43" t="s">
        <v>41</v>
      </c>
      <c r="Q2143" s="43" t="s">
        <v>42</v>
      </c>
      <c r="R2143" s="43" t="s">
        <v>348</v>
      </c>
      <c r="S2143" s="43"/>
    </row>
    <row r="2144" spans="1:19" s="45" customFormat="1" ht="14.4" hidden="1">
      <c r="A2144" s="25">
        <f>IF(C2144="","",MAX($A$1:A2143)+1)</f>
        <v>2013</v>
      </c>
      <c r="B2144" s="25" t="s">
        <v>19</v>
      </c>
      <c r="C2144" s="41">
        <v>46099</v>
      </c>
      <c r="D2144" s="48" t="str">
        <f>_xlfn.XLOOKUP(Table134526_79101120212223242526[[#This Row],[Name Surname]],Manpower!$C$4:$C$1048576,Manpower!$B$4:$B$1048576,"")</f>
        <v>Al Jaber Heavy Lift</v>
      </c>
      <c r="E2144" s="43" t="s">
        <v>275</v>
      </c>
      <c r="F2144" s="12">
        <f>_xlfn.XLOOKUP(Table134526_79101120212223242526[[#This Row],[Name Surname]],Manpower!C:C,Manpower!D:D,)</f>
        <v>116448869</v>
      </c>
      <c r="G2144" s="48" t="str">
        <f>_xlfn.XLOOKUP(Table134526_79101120212223242526[[#This Row],[Name Surname]],Manpower!$C$4:$C$1048576,Manpower!$F$4:$F$1048576,"")</f>
        <v xml:space="preserve">Crane Operator </v>
      </c>
      <c r="H2144" s="48" t="str">
        <f>_xlfn.XLOOKUP(Table134526_79101120212223242526[[#This Row],[Name Surname]],Manpower!$C$4:$C$1048576,Manpower!$H$4:$H$1048576,"")</f>
        <v>Manpower</v>
      </c>
      <c r="I2144" s="48" t="str">
        <f>_xlfn.XLOOKUP(Table134526_79101120212223242526[[#This Row],[Name Surname]],Manpower!$C$4:$C$1048576,Manpower!$H$4:$H$1048576,"")</f>
        <v>Manpower</v>
      </c>
      <c r="J2144" s="43" t="s">
        <v>21</v>
      </c>
      <c r="K2144" s="43" t="s">
        <v>26</v>
      </c>
      <c r="L2144" s="43" t="s">
        <v>49</v>
      </c>
      <c r="M2144" s="43" t="s">
        <v>24</v>
      </c>
      <c r="N2144" s="44">
        <v>8</v>
      </c>
      <c r="O2144" s="43" t="s">
        <v>40</v>
      </c>
      <c r="P2144" s="43" t="s">
        <v>41</v>
      </c>
      <c r="Q2144" s="43" t="s">
        <v>42</v>
      </c>
      <c r="R2144" s="43" t="s">
        <v>348</v>
      </c>
      <c r="S2144" s="43"/>
    </row>
    <row r="2145" spans="1:32" s="45" customFormat="1" ht="14.4" hidden="1">
      <c r="A2145" s="25">
        <f>IF(C2145="","",MAX($A$1:A2144)+1)</f>
        <v>2014</v>
      </c>
      <c r="B2145" s="25" t="s">
        <v>19</v>
      </c>
      <c r="C2145" s="41">
        <v>46099</v>
      </c>
      <c r="D2145" s="48" t="str">
        <f>_xlfn.XLOOKUP(Table134526_79101120212223242526[[#This Row],[Name Surname]],Manpower!$C$4:$C$1048576,Manpower!$B$4:$B$1048576,"")</f>
        <v>Bright Light</v>
      </c>
      <c r="E2145" s="43" t="s">
        <v>165</v>
      </c>
      <c r="F2145" s="12">
        <f>_xlfn.XLOOKUP(Table134526_79101120212223242526[[#This Row],[Name Surname]],Manpower!C:C,Manpower!D:D,)</f>
        <v>122771611</v>
      </c>
      <c r="G2145" s="48" t="str">
        <f>_xlfn.XLOOKUP(Table134526_79101120212223242526[[#This Row],[Name Surname]],Manpower!$C$4:$C$1048576,Manpower!$F$4:$F$1048576,"")</f>
        <v>Mechanic</v>
      </c>
      <c r="H2145" s="48" t="str">
        <f>_xlfn.XLOOKUP(Table134526_79101120212223242526[[#This Row],[Name Surname]],Manpower!$C$4:$C$1048576,Manpower!$H$4:$H$1048576,"")</f>
        <v>Sub Contactor</v>
      </c>
      <c r="I2145" s="48" t="str">
        <f>_xlfn.XLOOKUP(Table134526_79101120212223242526[[#This Row],[Name Surname]],Manpower!$C$4:$C$1048576,Manpower!$H$4:$H$1048576,"")</f>
        <v>Sub Contactor</v>
      </c>
      <c r="J2145" s="43" t="s">
        <v>21</v>
      </c>
      <c r="K2145" s="43" t="s">
        <v>26</v>
      </c>
      <c r="L2145" s="43" t="s">
        <v>49</v>
      </c>
      <c r="M2145" s="43" t="s">
        <v>24</v>
      </c>
      <c r="N2145" s="44">
        <v>8</v>
      </c>
      <c r="O2145" s="43" t="s">
        <v>40</v>
      </c>
      <c r="P2145" s="43" t="s">
        <v>41</v>
      </c>
      <c r="Q2145" s="43" t="s">
        <v>42</v>
      </c>
      <c r="R2145" s="43" t="s">
        <v>348</v>
      </c>
      <c r="S2145" s="43"/>
    </row>
    <row r="2146" spans="1:32" s="45" customFormat="1" ht="14.4" hidden="1">
      <c r="A2146" s="25">
        <f>IF(C2146="","",MAX($A$1:A2144)+1)</f>
        <v>2014</v>
      </c>
      <c r="B2146" s="25" t="s">
        <v>19</v>
      </c>
      <c r="C2146" s="41">
        <v>46099</v>
      </c>
      <c r="D2146" s="48" t="str">
        <f>_xlfn.XLOOKUP(Table134526_79101120212223242526[[#This Row],[Name Surname]],Manpower!$C$4:$C$1048576,Manpower!$B$4:$B$1048576,"")</f>
        <v>Al Jaber Heavy Lift</v>
      </c>
      <c r="E2146" s="43" t="s">
        <v>276</v>
      </c>
      <c r="F2146" s="12" t="str">
        <f>_xlfn.XLOOKUP(Table134526_79101120212223242526[[#This Row],[Name Surname]],Manpower!C:C,Manpower!D:D,)</f>
        <v>102607563</v>
      </c>
      <c r="G2146" s="48" t="str">
        <f>_xlfn.XLOOKUP(Table134526_79101120212223242526[[#This Row],[Name Surname]],Manpower!$C$4:$C$1048576,Manpower!$F$4:$F$1048576,"")</f>
        <v>Technician</v>
      </c>
      <c r="H2146" s="48" t="str">
        <f>_xlfn.XLOOKUP(Table134526_79101120212223242526[[#This Row],[Name Surname]],Manpower!$C$4:$C$1048576,Manpower!$H$4:$H$1048576,"")</f>
        <v>Manpower</v>
      </c>
      <c r="I2146" s="48" t="str">
        <f>_xlfn.XLOOKUP(Table134526_79101120212223242526[[#This Row],[Name Surname]],Manpower!$C$4:$C$1048576,Manpower!$H$4:$H$1048576,"")</f>
        <v>Manpower</v>
      </c>
      <c r="J2146" s="43" t="s">
        <v>21</v>
      </c>
      <c r="K2146" s="43" t="s">
        <v>26</v>
      </c>
      <c r="L2146" s="43" t="s">
        <v>49</v>
      </c>
      <c r="M2146" s="43" t="s">
        <v>24</v>
      </c>
      <c r="N2146" s="44">
        <v>8</v>
      </c>
      <c r="O2146" s="43" t="s">
        <v>40</v>
      </c>
      <c r="P2146" s="43" t="s">
        <v>41</v>
      </c>
      <c r="Q2146" s="43" t="s">
        <v>42</v>
      </c>
      <c r="R2146" s="43" t="s">
        <v>348</v>
      </c>
      <c r="S2146" s="43"/>
    </row>
    <row r="2147" spans="1:32" s="45" customFormat="1" ht="14.4" hidden="1">
      <c r="A2147" s="25">
        <f>IF(C2147="","",MAX($A$1:A2146)+1)</f>
        <v>2015</v>
      </c>
      <c r="B2147" s="25" t="s">
        <v>19</v>
      </c>
      <c r="C2147" s="41">
        <v>46099</v>
      </c>
      <c r="D2147" s="48" t="str">
        <f>_xlfn.XLOOKUP(Table134526_79101120212223242526[[#This Row],[Name Surname]],Manpower!$C$4:$C$1048576,Manpower!$B$4:$B$1048576,"")</f>
        <v>Al Jaber Heavy Lift</v>
      </c>
      <c r="E2147" s="43" t="s">
        <v>164</v>
      </c>
      <c r="F2147" s="12">
        <f>_xlfn.XLOOKUP(Table134526_79101120212223242526[[#This Row],[Name Surname]],Manpower!C:C,Manpower!D:D,)</f>
        <v>112778626</v>
      </c>
      <c r="G2147" s="48" t="str">
        <f>_xlfn.XLOOKUP(Table134526_79101120212223242526[[#This Row],[Name Surname]],Manpower!$C$4:$C$1048576,Manpower!$F$4:$F$1048576,"")</f>
        <v>Crane Operator-150T Hitachi Crawler</v>
      </c>
      <c r="H2147" s="48" t="str">
        <f>_xlfn.XLOOKUP(Table134526_79101120212223242526[[#This Row],[Name Surname]],Manpower!$C$4:$C$1048576,Manpower!$H$4:$H$1048576,"")</f>
        <v>Manpower</v>
      </c>
      <c r="I2147" s="48" t="str">
        <f>_xlfn.XLOOKUP(Table134526_79101120212223242526[[#This Row],[Name Surname]],Manpower!$C$4:$C$1048576,Manpower!$H$4:$H$1048576,"")</f>
        <v>Manpower</v>
      </c>
      <c r="J2147" s="43" t="s">
        <v>21</v>
      </c>
      <c r="K2147" s="43" t="s">
        <v>26</v>
      </c>
      <c r="L2147" s="43" t="s">
        <v>49</v>
      </c>
      <c r="M2147" s="43" t="s">
        <v>24</v>
      </c>
      <c r="N2147" s="44">
        <v>4</v>
      </c>
      <c r="O2147" s="43" t="s">
        <v>40</v>
      </c>
      <c r="P2147" s="43" t="s">
        <v>41</v>
      </c>
      <c r="Q2147" s="43" t="s">
        <v>42</v>
      </c>
      <c r="R2147" s="43" t="s">
        <v>348</v>
      </c>
      <c r="S2147" s="43"/>
    </row>
    <row r="2148" spans="1:32" s="45" customFormat="1" ht="14.4" hidden="1">
      <c r="A2148" s="25">
        <f>IF(C2148="","",MAX($A$1:A2144)+1)</f>
        <v>2014</v>
      </c>
      <c r="B2148" s="25" t="s">
        <v>19</v>
      </c>
      <c r="C2148" s="41">
        <v>46099</v>
      </c>
      <c r="D2148" s="48" t="str">
        <f>_xlfn.XLOOKUP(Table134526_79101120212223242526[[#This Row],[Name Surname]],Manpower!$C$4:$C$1048576,Manpower!$B$4:$B$1048576,"")</f>
        <v>Al Jaber Heavy Lift</v>
      </c>
      <c r="E2148" s="43" t="s">
        <v>310</v>
      </c>
      <c r="F2148" s="12">
        <f>_xlfn.XLOOKUP(Table134526_79101120212223242526[[#This Row],[Name Surname]],Manpower!C:C,Manpower!D:D,)</f>
        <v>113787454</v>
      </c>
      <c r="G2148" s="48" t="str">
        <f>_xlfn.XLOOKUP(Table134526_79101120212223242526[[#This Row],[Name Surname]],Manpower!$C$4:$C$1048576,Manpower!$F$4:$F$1048576,"")</f>
        <v>Crane Operator- 70T Crawler Crane- 02</v>
      </c>
      <c r="H2148" s="48" t="str">
        <f>_xlfn.XLOOKUP(Table134526_79101120212223242526[[#This Row],[Name Surname]],Manpower!$C$4:$C$1048576,Manpower!$H$4:$H$1048576,"")</f>
        <v>Manpower</v>
      </c>
      <c r="I2148" s="48" t="str">
        <f>_xlfn.XLOOKUP(Table134526_79101120212223242526[[#This Row],[Name Surname]],Manpower!$C$4:$C$1048576,Manpower!$H$4:$H$1048576,"")</f>
        <v>Manpower</v>
      </c>
      <c r="J2148" s="43" t="s">
        <v>21</v>
      </c>
      <c r="K2148" s="43" t="s">
        <v>26</v>
      </c>
      <c r="L2148" s="43" t="s">
        <v>49</v>
      </c>
      <c r="M2148" s="43" t="s">
        <v>24</v>
      </c>
      <c r="N2148" s="44">
        <v>8</v>
      </c>
      <c r="O2148" s="43" t="s">
        <v>40</v>
      </c>
      <c r="P2148" s="43" t="s">
        <v>41</v>
      </c>
      <c r="Q2148" s="43" t="s">
        <v>42</v>
      </c>
      <c r="R2148" s="43" t="s">
        <v>348</v>
      </c>
      <c r="S2148" s="43"/>
    </row>
    <row r="2149" spans="1:32" s="45" customFormat="1" ht="14.4" hidden="1">
      <c r="A2149" s="25">
        <f>IF(C2149="","",MAX($A$1:A2144)+1)</f>
        <v>2014</v>
      </c>
      <c r="B2149" s="25" t="s">
        <v>19</v>
      </c>
      <c r="C2149" s="41">
        <v>46099</v>
      </c>
      <c r="D2149" s="48" t="str">
        <f>_xlfn.XLOOKUP(Table134526_79101120212223242526[[#This Row],[Name Surname]],Manpower!$C$4:$C$1048576,Manpower!$B$4:$B$1048576,"")</f>
        <v>Bright Light</v>
      </c>
      <c r="E2149" s="43" t="s">
        <v>263</v>
      </c>
      <c r="F2149" s="12">
        <f>_xlfn.XLOOKUP(Table134526_79101120212223242526[[#This Row],[Name Surname]],Manpower!C:C,Manpower!D:D,)</f>
        <v>125287583</v>
      </c>
      <c r="G2149" s="48" t="str">
        <f>_xlfn.XLOOKUP(Table134526_79101120212223242526[[#This Row],[Name Surname]],Manpower!$C$4:$C$1048576,Manpower!$F$4:$F$1048576,"")</f>
        <v>Mechanic</v>
      </c>
      <c r="H2149" s="48" t="str">
        <f>_xlfn.XLOOKUP(Table134526_79101120212223242526[[#This Row],[Name Surname]],Manpower!$C$4:$C$1048576,Manpower!$H$4:$H$1048576,"")</f>
        <v>Sub Contactor</v>
      </c>
      <c r="I2149" s="48" t="str">
        <f>_xlfn.XLOOKUP(Table134526_79101120212223242526[[#This Row],[Name Surname]],Manpower!$C$4:$C$1048576,Manpower!$H$4:$H$1048576,"")</f>
        <v>Sub Contactor</v>
      </c>
      <c r="J2149" s="43" t="s">
        <v>21</v>
      </c>
      <c r="K2149" s="43" t="s">
        <v>26</v>
      </c>
      <c r="L2149" s="43" t="s">
        <v>49</v>
      </c>
      <c r="M2149" s="43" t="s">
        <v>24</v>
      </c>
      <c r="N2149" s="44">
        <v>8</v>
      </c>
      <c r="O2149" s="43" t="s">
        <v>40</v>
      </c>
      <c r="P2149" s="43" t="s">
        <v>41</v>
      </c>
      <c r="Q2149" s="43" t="s">
        <v>42</v>
      </c>
      <c r="R2149" s="43" t="s">
        <v>348</v>
      </c>
      <c r="S2149" s="43"/>
    </row>
    <row r="2150" spans="1:32" s="45" customFormat="1" ht="14.4" hidden="1">
      <c r="A2150" s="25">
        <f>IF(C2150="","",MAX($A$1:A2144)+1)</f>
        <v>2014</v>
      </c>
      <c r="B2150" s="25" t="s">
        <v>19</v>
      </c>
      <c r="C2150" s="41">
        <v>46099</v>
      </c>
      <c r="D2150" s="48" t="str">
        <f>_xlfn.XLOOKUP(Table134526_79101120212223242526[[#This Row],[Name Surname]],Manpower!$C$4:$C$1048576,Manpower!$B$4:$B$1048576,"")</f>
        <v>Al Jaber Heavy Lift</v>
      </c>
      <c r="E2150" s="43" t="s">
        <v>311</v>
      </c>
      <c r="F2150" s="12" t="e">
        <f>_xlfn.XLOOKUP(Table134526_79101120212223242526[[#This Row],[Name Surname]],Manpower!C:C,Manpower!D:D,)</f>
        <v>#N/A</v>
      </c>
      <c r="G2150" s="48" t="str">
        <f>_xlfn.XLOOKUP(Table134526_79101120212223242526[[#This Row],[Name Surname]],Manpower!$C$4:$C$1048576,Manpower!$F$4:$F$1048576,"")</f>
        <v>Technician</v>
      </c>
      <c r="H2150" s="48" t="str">
        <f>_xlfn.XLOOKUP(Table134526_79101120212223242526[[#This Row],[Name Surname]],Manpower!$C$4:$C$1048576,Manpower!$H$4:$H$1048576,"")</f>
        <v>Manpower</v>
      </c>
      <c r="I2150" s="48" t="str">
        <f>_xlfn.XLOOKUP(Table134526_79101120212223242526[[#This Row],[Name Surname]],Manpower!$C$4:$C$1048576,Manpower!$H$4:$H$1048576,"")</f>
        <v>Manpower</v>
      </c>
      <c r="J2150" s="43" t="s">
        <v>21</v>
      </c>
      <c r="K2150" s="43" t="s">
        <v>26</v>
      </c>
      <c r="L2150" s="43" t="s">
        <v>49</v>
      </c>
      <c r="M2150" s="43" t="s">
        <v>24</v>
      </c>
      <c r="N2150" s="44">
        <v>8</v>
      </c>
      <c r="O2150" s="43" t="s">
        <v>40</v>
      </c>
      <c r="P2150" s="43" t="s">
        <v>41</v>
      </c>
      <c r="Q2150" s="43" t="s">
        <v>42</v>
      </c>
      <c r="R2150" s="43" t="s">
        <v>348</v>
      </c>
      <c r="S2150" s="43"/>
    </row>
    <row r="2151" spans="1:32" s="45" customFormat="1" ht="14.4" hidden="1">
      <c r="A2151" s="25">
        <f>IF(C2151="","",MAX($A$1:A2142)+1)</f>
        <v>2012</v>
      </c>
      <c r="B2151" s="25" t="s">
        <v>19</v>
      </c>
      <c r="C2151" s="41">
        <v>46099</v>
      </c>
      <c r="D2151" s="48" t="str">
        <f>_xlfn.XLOOKUP(Table134526_79101120212223242526[[#This Row],[Name Surname]],Manpower!$C$4:$C$1048576,Manpower!$B$4:$B$1048576,"")</f>
        <v>Encogroup</v>
      </c>
      <c r="E2151" s="43" t="s">
        <v>29</v>
      </c>
      <c r="F2151" s="12">
        <f>_xlfn.XLOOKUP(Table134526_79101120212223242526[[#This Row],[Name Surname]],Manpower!C:C,Manpower!D:D,)</f>
        <v>127331574</v>
      </c>
      <c r="G2151" s="48" t="str">
        <f>_xlfn.XLOOKUP(Table134526_79101120212223242526[[#This Row],[Name Surname]],Manpower!$C$4:$C$1048576,Manpower!$F$4:$F$1048576,"")</f>
        <v>Permit Receiver</v>
      </c>
      <c r="H2151" s="48" t="str">
        <f>_xlfn.XLOOKUP(Table134526_79101120212223242526[[#This Row],[Name Surname]],Manpower!$C$4:$C$1048576,Manpower!$H$4:$H$1048576,"")</f>
        <v>Manpower</v>
      </c>
      <c r="I2151" s="48" t="str">
        <f>_xlfn.XLOOKUP(Table134526_79101120212223242526[[#This Row],[Name Surname]],Manpower!$C$4:$C$1048576,Manpower!$H$4:$H$1048576,"")</f>
        <v>Manpower</v>
      </c>
      <c r="J2151" s="43" t="s">
        <v>21</v>
      </c>
      <c r="K2151" s="43" t="s">
        <v>26</v>
      </c>
      <c r="L2151" s="43" t="s">
        <v>49</v>
      </c>
      <c r="M2151" s="43" t="s">
        <v>24</v>
      </c>
      <c r="N2151" s="44">
        <v>8</v>
      </c>
      <c r="O2151" s="43" t="s">
        <v>25</v>
      </c>
      <c r="P2151" s="43" t="s">
        <v>41</v>
      </c>
      <c r="Q2151" s="43" t="s">
        <v>60</v>
      </c>
      <c r="R2151" s="43" t="s">
        <v>348</v>
      </c>
      <c r="S2151" s="43"/>
    </row>
    <row r="2152" spans="1:32" ht="14.4" hidden="1">
      <c r="A2152" s="33">
        <f>IF(C2152="","",MAX($A$1:A2151)+1)</f>
        <v>2016</v>
      </c>
      <c r="B2152" s="22" t="s">
        <v>19</v>
      </c>
      <c r="C2152" s="23">
        <v>46099</v>
      </c>
      <c r="D2152" s="28" t="str">
        <f>_xlfn.XLOOKUP(Table134526_79101120212223242526[[#This Row],[Name Surname]],Manpower!$C$4:$C$1048576,Manpower!$B$4:$B$1048576,"")</f>
        <v>Encogroup</v>
      </c>
      <c r="E2152" s="21" t="s">
        <v>31</v>
      </c>
      <c r="F2152" s="12">
        <f>_xlfn.XLOOKUP(Table134526_79101120212223242526[[#This Row],[Name Surname]],Manpower!C:C,Manpower!D:D,)</f>
        <v>99596058</v>
      </c>
      <c r="G2152" s="28" t="str">
        <f>_xlfn.XLOOKUP(Table134526_79101120212223242526[[#This Row],[Name Surname]],Manpower!$C$4:$C$1048576,Manpower!$F$4:$F$1048576,"")</f>
        <v>HSE Officer</v>
      </c>
      <c r="H2152" s="28" t="str">
        <f>_xlfn.XLOOKUP(Table134526_79101120212223242526[[#This Row],[Name Surname]],Manpower!$C$4:$C$1048576,Manpower!$H$4:$H$1048576,"")</f>
        <v>Manpower</v>
      </c>
      <c r="I2152" s="28" t="str">
        <f>_xlfn.XLOOKUP(Table134526_79101120212223242526[[#This Row],[Name Surname]],Manpower!$C$4:$C$1048576,Manpower!$H$4:$H$1048576,"")</f>
        <v>Manpower</v>
      </c>
      <c r="J2152" s="21" t="s">
        <v>21</v>
      </c>
      <c r="K2152" s="21" t="s">
        <v>26</v>
      </c>
      <c r="L2152" s="21" t="s">
        <v>49</v>
      </c>
      <c r="M2152" s="21" t="s">
        <v>24</v>
      </c>
      <c r="N2152" s="29">
        <v>10</v>
      </c>
      <c r="O2152" s="21" t="s">
        <v>25</v>
      </c>
      <c r="P2152" s="21" t="s">
        <v>41</v>
      </c>
      <c r="Q2152" s="21" t="s">
        <v>60</v>
      </c>
      <c r="R2152" s="21" t="s">
        <v>348</v>
      </c>
    </row>
    <row r="2153" spans="1:32" s="45" customFormat="1" ht="14.4" hidden="1">
      <c r="A2153" s="25">
        <f>IF(C2153="","",MAX($A$1:A2152)+1)</f>
        <v>2017</v>
      </c>
      <c r="B2153" s="25" t="s">
        <v>19</v>
      </c>
      <c r="C2153" s="41">
        <v>46099</v>
      </c>
      <c r="D2153" s="48" t="str">
        <f>_xlfn.XLOOKUP(Table134526_79101120212223242526[[#This Row],[Name Surname]],Manpower!$C$4:$C$1048576,Manpower!$B$4:$B$1048576,"")</f>
        <v>Encogroup</v>
      </c>
      <c r="E2153" s="43" t="s">
        <v>72</v>
      </c>
      <c r="F2153" s="12">
        <f>_xlfn.XLOOKUP(Table134526_79101120212223242526[[#This Row],[Name Surname]],Manpower!C:C,Manpower!D:D,)</f>
        <v>140764706</v>
      </c>
      <c r="G2153" s="48" t="str">
        <f>_xlfn.XLOOKUP(Table134526_79101120212223242526[[#This Row],[Name Surname]],Manpower!$C$4:$C$1048576,Manpower!$F$4:$F$1048576,"")</f>
        <v>Rigger</v>
      </c>
      <c r="H2153" s="48" t="str">
        <f>_xlfn.XLOOKUP(Table134526_79101120212223242526[[#This Row],[Name Surname]],Manpower!$C$4:$C$1048576,Manpower!$H$4:$H$1048576,"")</f>
        <v>Manpower</v>
      </c>
      <c r="I2153" s="48" t="str">
        <f>_xlfn.XLOOKUP(Table134526_79101120212223242526[[#This Row],[Name Surname]],Manpower!$C$4:$C$1048576,Manpower!$H$4:$H$1048576,"")</f>
        <v>Manpower</v>
      </c>
      <c r="J2153" s="43" t="s">
        <v>21</v>
      </c>
      <c r="K2153" s="43" t="s">
        <v>26</v>
      </c>
      <c r="L2153" s="43" t="s">
        <v>49</v>
      </c>
      <c r="M2153" s="43" t="s">
        <v>24</v>
      </c>
      <c r="N2153" s="44">
        <v>5</v>
      </c>
      <c r="O2153" s="43" t="s">
        <v>25</v>
      </c>
      <c r="P2153" s="43" t="s">
        <v>41</v>
      </c>
      <c r="Q2153" s="43" t="s">
        <v>60</v>
      </c>
      <c r="R2153" s="43" t="s">
        <v>348</v>
      </c>
      <c r="S2153" s="43"/>
    </row>
    <row r="2154" spans="1:32" s="45" customFormat="1" ht="14.4" hidden="1">
      <c r="A2154" s="25">
        <f>IF(C2154="","",MAX($A$1:A2153)+1)</f>
        <v>2018</v>
      </c>
      <c r="B2154" s="25" t="s">
        <v>19</v>
      </c>
      <c r="C2154" s="41">
        <v>46099</v>
      </c>
      <c r="D2154" s="48" t="str">
        <f>_xlfn.XLOOKUP(Table134526_79101120212223242526[[#This Row],[Name Surname]],Manpower!$C$4:$C$1048576,Manpower!$B$4:$B$1048576,"")</f>
        <v>Encogroup</v>
      </c>
      <c r="E2154" s="43" t="s">
        <v>27</v>
      </c>
      <c r="F2154" s="12">
        <f>_xlfn.XLOOKUP(Table134526_79101120212223242526[[#This Row],[Name Surname]],Manpower!C:C,Manpower!D:D,)</f>
        <v>127414586</v>
      </c>
      <c r="G2154" s="48" t="str">
        <f>_xlfn.XLOOKUP(Table134526_79101120212223242526[[#This Row],[Name Surname]],Manpower!$C$4:$C$1048576,Manpower!$F$4:$F$1048576,"")</f>
        <v>Electrician</v>
      </c>
      <c r="H2154" s="48" t="str">
        <f>_xlfn.XLOOKUP(Table134526_79101120212223242526[[#This Row],[Name Surname]],Manpower!$C$4:$C$1048576,Manpower!$H$4:$H$1048576,"")</f>
        <v>Manpower</v>
      </c>
      <c r="I2154" s="48" t="str">
        <f>_xlfn.XLOOKUP(Table134526_79101120212223242526[[#This Row],[Name Surname]],Manpower!$C$4:$C$1048576,Manpower!$H$4:$H$1048576,"")</f>
        <v>Manpower</v>
      </c>
      <c r="J2154" s="43" t="s">
        <v>21</v>
      </c>
      <c r="K2154" s="43" t="s">
        <v>26</v>
      </c>
      <c r="L2154" s="43" t="s">
        <v>49</v>
      </c>
      <c r="M2154" s="43" t="s">
        <v>24</v>
      </c>
      <c r="N2154" s="44">
        <v>5</v>
      </c>
      <c r="O2154" s="43" t="s">
        <v>25</v>
      </c>
      <c r="P2154" s="43" t="s">
        <v>41</v>
      </c>
      <c r="Q2154" s="43" t="s">
        <v>60</v>
      </c>
      <c r="R2154" s="43" t="s">
        <v>348</v>
      </c>
      <c r="S2154" s="43"/>
    </row>
    <row r="2155" spans="1:32" s="45" customFormat="1" ht="14.4" hidden="1">
      <c r="A2155" s="25">
        <f>IF(C2155="","",MAX($A$1:A2154)+1)</f>
        <v>2019</v>
      </c>
      <c r="B2155" s="25" t="s">
        <v>19</v>
      </c>
      <c r="C2155" s="41">
        <v>46099</v>
      </c>
      <c r="D2155" s="48" t="str">
        <f>_xlfn.XLOOKUP(Table134526_79101120212223242526[[#This Row],[Name Surname]],Manpower!$C$4:$C$1048576,Manpower!$B$4:$B$1048576,"")</f>
        <v>Encogroup</v>
      </c>
      <c r="E2155" s="43" t="s">
        <v>46</v>
      </c>
      <c r="F2155" s="12">
        <f>_xlfn.XLOOKUP(Table134526_79101120212223242526[[#This Row],[Name Surname]],Manpower!C:C,Manpower!D:D,)</f>
        <v>140844618</v>
      </c>
      <c r="G2155" s="48" t="str">
        <f>_xlfn.XLOOKUP(Table134526_79101120212223242526[[#This Row],[Name Surname]],Manpower!$C$4:$C$1048576,Manpower!$F$4:$F$1048576,"")</f>
        <v>Assistant/Helper</v>
      </c>
      <c r="H2155" s="48" t="str">
        <f>_xlfn.XLOOKUP(Table134526_79101120212223242526[[#This Row],[Name Surname]],Manpower!$C$4:$C$1048576,Manpower!$H$4:$H$1048576,"")</f>
        <v>Manpower</v>
      </c>
      <c r="I2155" s="48" t="str">
        <f>_xlfn.XLOOKUP(Table134526_79101120212223242526[[#This Row],[Name Surname]],Manpower!$C$4:$C$1048576,Manpower!$H$4:$H$1048576,"")</f>
        <v>Manpower</v>
      </c>
      <c r="J2155" s="43" t="s">
        <v>21</v>
      </c>
      <c r="K2155" s="43" t="s">
        <v>26</v>
      </c>
      <c r="L2155" s="43" t="s">
        <v>49</v>
      </c>
      <c r="M2155" s="43" t="s">
        <v>24</v>
      </c>
      <c r="N2155" s="44">
        <v>5</v>
      </c>
      <c r="O2155" s="43" t="s">
        <v>25</v>
      </c>
      <c r="P2155" s="43" t="s">
        <v>41</v>
      </c>
      <c r="Q2155" s="43" t="s">
        <v>60</v>
      </c>
      <c r="R2155" s="43" t="s">
        <v>348</v>
      </c>
      <c r="S2155" s="43"/>
    </row>
    <row r="2156" spans="1:32" s="45" customFormat="1" ht="14.4" hidden="1">
      <c r="A2156" s="25">
        <f>IF(C2156="","",MAX($A$1:A2155)+1)</f>
        <v>2020</v>
      </c>
      <c r="B2156" s="25" t="s">
        <v>19</v>
      </c>
      <c r="C2156" s="41">
        <v>46099</v>
      </c>
      <c r="D2156" s="48" t="str">
        <f>_xlfn.XLOOKUP(Table134526_79101120212223242526[[#This Row],[Name Surname]],Manpower!$C$4:$C$1048576,Manpower!$B$4:$B$1048576,"")</f>
        <v>AL Omar International TRAD AND CONT</v>
      </c>
      <c r="E2156" s="43" t="s">
        <v>36</v>
      </c>
      <c r="F2156" s="12">
        <f>_xlfn.XLOOKUP(Table134526_79101120212223242526[[#This Row],[Name Surname]],Manpower!C:C,Manpower!D:D,)</f>
        <v>114929202</v>
      </c>
      <c r="G2156" s="48" t="str">
        <f>_xlfn.XLOOKUP(Table134526_79101120212223242526[[#This Row],[Name Surname]],Manpower!$C$4:$C$1048576,Manpower!$F$4:$F$1048576,"")</f>
        <v>RIgger</v>
      </c>
      <c r="H2156" s="48" t="str">
        <f>_xlfn.XLOOKUP(Table134526_79101120212223242526[[#This Row],[Name Surname]],Manpower!$C$4:$C$1048576,Manpower!$H$4:$H$1048576,"")</f>
        <v>Sub Contactor</v>
      </c>
      <c r="I2156" s="48" t="str">
        <f>_xlfn.XLOOKUP(Table134526_79101120212223242526[[#This Row],[Name Surname]],Manpower!$C$4:$C$1048576,Manpower!$H$4:$H$1048576,"")</f>
        <v>Sub Contactor</v>
      </c>
      <c r="J2156" s="43" t="s">
        <v>21</v>
      </c>
      <c r="K2156" s="43" t="s">
        <v>26</v>
      </c>
      <c r="L2156" s="43" t="s">
        <v>49</v>
      </c>
      <c r="M2156" s="43" t="s">
        <v>24</v>
      </c>
      <c r="N2156" s="44">
        <v>8</v>
      </c>
      <c r="O2156" s="43" t="s">
        <v>25</v>
      </c>
      <c r="P2156" s="43" t="s">
        <v>41</v>
      </c>
      <c r="Q2156" s="43" t="s">
        <v>60</v>
      </c>
      <c r="R2156" s="43" t="s">
        <v>348</v>
      </c>
      <c r="S2156" s="43"/>
    </row>
    <row r="2157" spans="1:32" s="45" customFormat="1" ht="14.4" hidden="1">
      <c r="A2157" s="25">
        <f>IF(C2157="","",MAX($A$1:A2156)+1)</f>
        <v>2021</v>
      </c>
      <c r="B2157" s="25" t="s">
        <v>19</v>
      </c>
      <c r="C2157" s="41">
        <v>46099</v>
      </c>
      <c r="D2157" s="48" t="str">
        <f>_xlfn.XLOOKUP(Table134526_79101120212223242526[[#This Row],[Name Surname]],Manpower!$C$4:$C$1048576,Manpower!$B$4:$B$1048576,"")</f>
        <v>Encogroup</v>
      </c>
      <c r="E2157" s="43" t="s">
        <v>37</v>
      </c>
      <c r="F2157" s="12">
        <f>_xlfn.XLOOKUP(Table134526_79101120212223242526[[#This Row],[Name Surname]],Manpower!C:C,Manpower!D:D,)</f>
        <v>140742088</v>
      </c>
      <c r="G2157" s="48" t="str">
        <f>_xlfn.XLOOKUP(Table134526_79101120212223242526[[#This Row],[Name Surname]],Manpower!$C$4:$C$1048576,Manpower!$F$4:$F$1048576,"")</f>
        <v>Fitter/Erector</v>
      </c>
      <c r="H2157" s="48" t="str">
        <f>_xlfn.XLOOKUP(Table134526_79101120212223242526[[#This Row],[Name Surname]],Manpower!$C$4:$C$1048576,Manpower!$H$4:$H$1048576,"")</f>
        <v>Manpower</v>
      </c>
      <c r="I2157" s="48" t="str">
        <f>_xlfn.XLOOKUP(Table134526_79101120212223242526[[#This Row],[Name Surname]],Manpower!$C$4:$C$1048576,Manpower!$H$4:$H$1048576,"")</f>
        <v>Manpower</v>
      </c>
      <c r="J2157" s="43" t="s">
        <v>21</v>
      </c>
      <c r="K2157" s="43" t="s">
        <v>26</v>
      </c>
      <c r="L2157" s="43" t="s">
        <v>49</v>
      </c>
      <c r="M2157" s="43" t="s">
        <v>24</v>
      </c>
      <c r="N2157" s="44">
        <v>5</v>
      </c>
      <c r="O2157" s="43" t="s">
        <v>25</v>
      </c>
      <c r="P2157" s="43" t="s">
        <v>41</v>
      </c>
      <c r="Q2157" s="43" t="s">
        <v>60</v>
      </c>
      <c r="R2157" s="43" t="s">
        <v>348</v>
      </c>
      <c r="S2157" s="43"/>
    </row>
    <row r="2158" spans="1:32" ht="15" customHeight="1">
      <c r="A2158" s="33">
        <f>IF(C2158="","",MAX($A$1:A2157)+1)</f>
        <v>2022</v>
      </c>
      <c r="B2158" s="25" t="s">
        <v>19</v>
      </c>
      <c r="C2158" s="23">
        <v>46099</v>
      </c>
      <c r="D2158" s="28" t="str">
        <f>_xlfn.XLOOKUP(Table134526_79101120212223242526[[#This Row],[Name Surname]],Manpower!$C$4:$C$1048576,Manpower!$B$4:$B$1048576,"")</f>
        <v>Bright Light</v>
      </c>
      <c r="E2158" s="23" t="s">
        <v>47</v>
      </c>
      <c r="F2158" s="12" t="e">
        <f>_xlfn.XLOOKUP(Table134526_79101120212223242526[[#This Row],[Name Surname]],Manpower!C:C,Manpower!D:D,)</f>
        <v>#N/A</v>
      </c>
      <c r="G2158" s="28" t="str">
        <f>_xlfn.XLOOKUP(Table134526_79101120212223242526[[#This Row],[Name Surname]],Manpower!$C$4:$C$1048576,Manpower!$F$4:$F$1048576,"")</f>
        <v>100T Telescopic Crane</v>
      </c>
      <c r="H2158" s="28" t="str">
        <f>_xlfn.XLOOKUP(Table134526_79101120212223242526[[#This Row],[Name Surname]],Manpower!$C$4:$C$1048576,Manpower!$H$4:$H$1048576,"")</f>
        <v>Equipment</v>
      </c>
      <c r="I2158" s="28" t="str">
        <f>_xlfn.XLOOKUP(Table134526_79101120212223242526[[#This Row],[Name Surname]],Manpower!$C$4:$C$1048576,Manpower!$H$4:$H$1048576,"")</f>
        <v>Equipment</v>
      </c>
      <c r="J2158" s="21" t="s">
        <v>48</v>
      </c>
      <c r="K2158" s="21" t="s">
        <v>26</v>
      </c>
      <c r="L2158" s="21" t="s">
        <v>49</v>
      </c>
      <c r="M2158" s="21" t="s">
        <v>24</v>
      </c>
      <c r="N2158" s="29">
        <v>10</v>
      </c>
      <c r="O2158" s="21" t="s">
        <v>40</v>
      </c>
      <c r="P2158" s="21" t="s">
        <v>41</v>
      </c>
      <c r="Q2158" s="21" t="s">
        <v>42</v>
      </c>
      <c r="R2158" s="21" t="s">
        <v>349</v>
      </c>
    </row>
    <row r="2159" spans="1:32" ht="14.4">
      <c r="A2159" s="33">
        <f>IF(C2159="","",MAX($A$1:A2158)+1)</f>
        <v>2023</v>
      </c>
      <c r="B2159" s="25" t="s">
        <v>19</v>
      </c>
      <c r="C2159" s="23">
        <v>46099</v>
      </c>
      <c r="D2159" s="28" t="str">
        <f>_xlfn.XLOOKUP(Table134526_79101120212223242526[[#This Row],[Name Surname]],Manpower!$C$4:$C$1048576,Manpower!$B$4:$B$1048576,"")</f>
        <v>Bright Light</v>
      </c>
      <c r="E2159" s="21" t="s">
        <v>51</v>
      </c>
      <c r="F2159" s="12" t="e">
        <f>_xlfn.XLOOKUP(Table134526_79101120212223242526[[#This Row],[Name Surname]],Manpower!C:C,Manpower!D:D,)</f>
        <v>#N/A</v>
      </c>
      <c r="G2159" s="28" t="str">
        <f>_xlfn.XLOOKUP(Table134526_79101120212223242526[[#This Row],[Name Surname]],Manpower!$C$4:$C$1048576,Manpower!$F$4:$F$1048576,"")</f>
        <v>150T-Crawler Crane</v>
      </c>
      <c r="H2159" s="28" t="str">
        <f>_xlfn.XLOOKUP(Table134526_79101120212223242526[[#This Row],[Name Surname]],Manpower!$C$4:$C$1048576,Manpower!$H$4:$H$1048576,"")</f>
        <v>Equipment</v>
      </c>
      <c r="I2159" s="28" t="str">
        <f>_xlfn.XLOOKUP(Table134526_79101120212223242526[[#This Row],[Name Surname]],Manpower!$C$4:$C$1048576,Manpower!$H$4:$H$1048576,"")</f>
        <v>Equipment</v>
      </c>
      <c r="J2159" s="21" t="s">
        <v>48</v>
      </c>
      <c r="K2159" s="21" t="s">
        <v>26</v>
      </c>
      <c r="L2159" s="21" t="s">
        <v>49</v>
      </c>
      <c r="M2159" s="21" t="s">
        <v>24</v>
      </c>
      <c r="N2159" s="29">
        <v>10</v>
      </c>
      <c r="O2159" s="21" t="s">
        <v>40</v>
      </c>
      <c r="P2159" s="21" t="s">
        <v>41</v>
      </c>
      <c r="Q2159" s="21" t="s">
        <v>42</v>
      </c>
      <c r="R2159" s="21" t="s">
        <v>349</v>
      </c>
    </row>
    <row r="2160" spans="1:32" ht="14.4">
      <c r="A2160" s="33">
        <f>IF(C2160="","",MAX($A$1:A2159)+1)</f>
        <v>2024</v>
      </c>
      <c r="B2160" s="25" t="s">
        <v>19</v>
      </c>
      <c r="C2160" s="23">
        <v>46099</v>
      </c>
      <c r="D2160" s="28" t="str">
        <f>_xlfn.XLOOKUP(Table134526_79101120212223242526[[#This Row],[Name Surname]],Manpower!$C$4:$C$1048576,Manpower!$B$4:$B$1048576,"")</f>
        <v>Encogroup</v>
      </c>
      <c r="E2160" s="21" t="s">
        <v>54</v>
      </c>
      <c r="F2160" s="12" t="e">
        <f>_xlfn.XLOOKUP(Table134526_79101120212223242526[[#This Row],[Name Surname]],Manpower!C:C,Manpower!D:D,)</f>
        <v>#N/A</v>
      </c>
      <c r="G2160" s="28" t="str">
        <f>_xlfn.XLOOKUP(Table134526_79101120212223242526[[#This Row],[Name Surname]],Manpower!$C$4:$C$1048576,Manpower!$F$4:$F$1048576,"")</f>
        <v>28M-Manlift</v>
      </c>
      <c r="H2160" s="28" t="str">
        <f>_xlfn.XLOOKUP(Table134526_79101120212223242526[[#This Row],[Name Surname]],Manpower!$C$4:$C$1048576,Manpower!$H$4:$H$1048576,"")</f>
        <v>Equipment</v>
      </c>
      <c r="I2160" s="28" t="str">
        <f>_xlfn.XLOOKUP(Table134526_79101120212223242526[[#This Row],[Name Surname]],Manpower!$C$4:$C$1048576,Manpower!$H$4:$H$1048576,"")</f>
        <v>Equipment</v>
      </c>
      <c r="J2160" s="21" t="s">
        <v>48</v>
      </c>
      <c r="K2160" s="21" t="s">
        <v>26</v>
      </c>
      <c r="L2160" s="21" t="s">
        <v>49</v>
      </c>
      <c r="M2160" s="21" t="s">
        <v>24</v>
      </c>
      <c r="N2160" s="29">
        <v>10</v>
      </c>
      <c r="O2160" s="21" t="s">
        <v>25</v>
      </c>
      <c r="P2160" s="21" t="s">
        <v>41</v>
      </c>
      <c r="Q2160" s="21" t="s">
        <v>60</v>
      </c>
      <c r="R2160" s="21" t="s">
        <v>349</v>
      </c>
      <c r="T2160" s="35"/>
      <c r="U2160" s="35"/>
      <c r="V2160" s="35"/>
      <c r="W2160" s="35"/>
      <c r="X2160" s="35"/>
      <c r="Y2160" s="35"/>
      <c r="Z2160" s="35"/>
      <c r="AA2160" s="35"/>
      <c r="AB2160" s="35"/>
      <c r="AC2160" s="35"/>
      <c r="AD2160" s="35"/>
      <c r="AE2160" s="35"/>
      <c r="AF2160" s="35"/>
    </row>
    <row r="2161" spans="1:18" ht="14.4">
      <c r="A2161" s="33">
        <f>IF(C2161="","",MAX($A$1:A2160)+1)</f>
        <v>2025</v>
      </c>
      <c r="B2161" s="25" t="s">
        <v>19</v>
      </c>
      <c r="C2161" s="23">
        <v>46099</v>
      </c>
      <c r="D2161" s="28" t="str">
        <f>_xlfn.XLOOKUP(Table134526_79101120212223242526[[#This Row],[Name Surname]],Manpower!$C$4:$C$1048576,Manpower!$B$4:$B$1048576,"")</f>
        <v>Encogroup</v>
      </c>
      <c r="E2161" s="21" t="s">
        <v>53</v>
      </c>
      <c r="F2161" s="12" t="e">
        <f>_xlfn.XLOOKUP(Table134526_79101120212223242526[[#This Row],[Name Surname]],Manpower!C:C,Manpower!D:D,)</f>
        <v>#N/A</v>
      </c>
      <c r="G2161" s="28" t="str">
        <f>_xlfn.XLOOKUP(Table134526_79101120212223242526[[#This Row],[Name Surname]],Manpower!$C$4:$C$1048576,Manpower!$F$4:$F$1048576,"")</f>
        <v>22M-Manlift</v>
      </c>
      <c r="H2161" s="28" t="str">
        <f>_xlfn.XLOOKUP(Table134526_79101120212223242526[[#This Row],[Name Surname]],Manpower!$C$4:$C$1048576,Manpower!$H$4:$H$1048576,"")</f>
        <v>Equipment</v>
      </c>
      <c r="I2161" s="28" t="str">
        <f>_xlfn.XLOOKUP(Table134526_79101120212223242526[[#This Row],[Name Surname]],Manpower!$C$4:$C$1048576,Manpower!$H$4:$H$1048576,"")</f>
        <v>Equipment</v>
      </c>
      <c r="J2161" s="21" t="s">
        <v>48</v>
      </c>
      <c r="K2161" s="21" t="s">
        <v>26</v>
      </c>
      <c r="L2161" s="21" t="s">
        <v>49</v>
      </c>
      <c r="M2161" s="21" t="s">
        <v>24</v>
      </c>
      <c r="N2161" s="29">
        <v>10</v>
      </c>
      <c r="O2161" s="21" t="s">
        <v>25</v>
      </c>
      <c r="P2161" s="21" t="s">
        <v>41</v>
      </c>
      <c r="Q2161" s="21" t="s">
        <v>60</v>
      </c>
      <c r="R2161" s="21" t="s">
        <v>349</v>
      </c>
    </row>
    <row r="2162" spans="1:18" ht="14.4" hidden="1">
      <c r="A2162" s="33">
        <f>IF(C2162="","",MAX($A$1:A2161)+1)</f>
        <v>2026</v>
      </c>
      <c r="B2162" s="25" t="s">
        <v>19</v>
      </c>
      <c r="C2162" s="23">
        <v>46099</v>
      </c>
      <c r="D2162" s="28" t="str">
        <f>_xlfn.XLOOKUP(Table134526_79101120212223242526[[#This Row],[Name Surname]],Manpower!$C$4:$C$1048576,Manpower!$B$4:$B$1048576,"")</f>
        <v>Encogroup</v>
      </c>
      <c r="E2162" s="21" t="s">
        <v>57</v>
      </c>
      <c r="F2162" s="12">
        <f>_xlfn.XLOOKUP(Table134526_79101120212223242526[[#This Row],[Name Surname]],Manpower!C:C,Manpower!D:D,)</f>
        <v>140693697</v>
      </c>
      <c r="G2162" s="28" t="str">
        <f>_xlfn.XLOOKUP(Table134526_79101120212223242526[[#This Row],[Name Surname]],Manpower!$C$4:$C$1048576,Manpower!$F$4:$F$1048576,"")</f>
        <v>HSE Officer</v>
      </c>
      <c r="H2162" s="28" t="str">
        <f>_xlfn.XLOOKUP(Table134526_79101120212223242526[[#This Row],[Name Surname]],Manpower!$C$4:$C$1048576,Manpower!$H$4:$H$1048576,"")</f>
        <v>Manpower</v>
      </c>
      <c r="I2162" s="28" t="str">
        <f>_xlfn.XLOOKUP(Table134526_79101120212223242526[[#This Row],[Name Surname]],Manpower!$C$4:$C$1048576,Manpower!$H$4:$H$1048576,"")</f>
        <v>Manpower</v>
      </c>
      <c r="J2162" s="21" t="s">
        <v>48</v>
      </c>
      <c r="K2162" s="21" t="s">
        <v>26</v>
      </c>
      <c r="L2162" s="21" t="s">
        <v>49</v>
      </c>
      <c r="M2162" s="21" t="s">
        <v>24</v>
      </c>
      <c r="N2162" s="29">
        <v>10</v>
      </c>
      <c r="O2162" s="21" t="s">
        <v>25</v>
      </c>
      <c r="P2162" s="21" t="s">
        <v>41</v>
      </c>
      <c r="Q2162" s="21" t="s">
        <v>60</v>
      </c>
      <c r="R2162" s="21" t="s">
        <v>349</v>
      </c>
    </row>
    <row r="2163" spans="1:18" ht="14.4" hidden="1">
      <c r="A2163" s="33">
        <f>IF(C2163="","",MAX($A$1:A2162)+1)</f>
        <v>2027</v>
      </c>
      <c r="B2163" s="25" t="s">
        <v>19</v>
      </c>
      <c r="C2163" s="23">
        <v>46099</v>
      </c>
      <c r="D2163" s="28" t="str">
        <f>_xlfn.XLOOKUP(Table134526_79101120212223242526[[#This Row],[Name Surname]],Manpower!$C$4:$C$1048576,Manpower!$B$4:$B$1048576,"")</f>
        <v>Encogroup</v>
      </c>
      <c r="E2163" s="21" t="s">
        <v>33</v>
      </c>
      <c r="F2163" s="12">
        <f>_xlfn.XLOOKUP(Table134526_79101120212223242526[[#This Row],[Name Surname]],Manpower!C:C,Manpower!D:D,)</f>
        <v>124565057</v>
      </c>
      <c r="G2163" s="28" t="str">
        <f>_xlfn.XLOOKUP(Table134526_79101120212223242526[[#This Row],[Name Surname]],Manpower!$C$4:$C$1048576,Manpower!$F$4:$F$1048576,"")</f>
        <v>Fitter/Erector</v>
      </c>
      <c r="H2163" s="28" t="str">
        <f>_xlfn.XLOOKUP(Table134526_79101120212223242526[[#This Row],[Name Surname]],Manpower!$C$4:$C$1048576,Manpower!$H$4:$H$1048576,"")</f>
        <v>Manpower</v>
      </c>
      <c r="I2163" s="28" t="str">
        <f>_xlfn.XLOOKUP(Table134526_79101120212223242526[[#This Row],[Name Surname]],Manpower!$C$4:$C$1048576,Manpower!$H$4:$H$1048576,"")</f>
        <v>Manpower</v>
      </c>
      <c r="J2163" s="21" t="s">
        <v>48</v>
      </c>
      <c r="K2163" s="21" t="s">
        <v>26</v>
      </c>
      <c r="L2163" s="21" t="s">
        <v>49</v>
      </c>
      <c r="M2163" s="21" t="s">
        <v>24</v>
      </c>
      <c r="N2163" s="29">
        <v>10</v>
      </c>
      <c r="O2163" s="21" t="s">
        <v>25</v>
      </c>
      <c r="P2163" s="21" t="s">
        <v>41</v>
      </c>
      <c r="Q2163" s="21" t="s">
        <v>60</v>
      </c>
      <c r="R2163" s="21" t="s">
        <v>349</v>
      </c>
    </row>
    <row r="2164" spans="1:18" ht="14.4" hidden="1">
      <c r="A2164" s="33">
        <f>IF(C2164="","",MAX($A$1:A2163)+1)</f>
        <v>2028</v>
      </c>
      <c r="B2164" s="25" t="s">
        <v>19</v>
      </c>
      <c r="C2164" s="23">
        <v>46099</v>
      </c>
      <c r="D2164" s="28" t="str">
        <f>_xlfn.XLOOKUP(Table134526_79101120212223242526[[#This Row],[Name Surname]],Manpower!$C$4:$C$1048576,Manpower!$B$4:$B$1048576,"")</f>
        <v>Encogroup</v>
      </c>
      <c r="E2164" s="21" t="s">
        <v>62</v>
      </c>
      <c r="F2164" s="12">
        <f>_xlfn.XLOOKUP(Table134526_79101120212223242526[[#This Row],[Name Surname]],Manpower!C:C,Manpower!D:D,)</f>
        <v>140844797</v>
      </c>
      <c r="G2164" s="28" t="str">
        <f>_xlfn.XLOOKUP(Table134526_79101120212223242526[[#This Row],[Name Surname]],Manpower!$C$4:$C$1048576,Manpower!$F$4:$F$1048576,"")</f>
        <v>Fitter/Erector</v>
      </c>
      <c r="H2164" s="28" t="str">
        <f>_xlfn.XLOOKUP(Table134526_79101120212223242526[[#This Row],[Name Surname]],Manpower!$C$4:$C$1048576,Manpower!$H$4:$H$1048576,"")</f>
        <v>Manpower</v>
      </c>
      <c r="I2164" s="28" t="str">
        <f>_xlfn.XLOOKUP(Table134526_79101120212223242526[[#This Row],[Name Surname]],Manpower!$C$4:$C$1048576,Manpower!$H$4:$H$1048576,"")</f>
        <v>Manpower</v>
      </c>
      <c r="J2164" s="21" t="s">
        <v>48</v>
      </c>
      <c r="K2164" s="21" t="s">
        <v>26</v>
      </c>
      <c r="L2164" s="21" t="s">
        <v>49</v>
      </c>
      <c r="M2164" s="21" t="s">
        <v>24</v>
      </c>
      <c r="N2164" s="29">
        <v>10</v>
      </c>
      <c r="O2164" s="21" t="s">
        <v>25</v>
      </c>
      <c r="P2164" s="21" t="s">
        <v>41</v>
      </c>
      <c r="Q2164" s="21" t="s">
        <v>60</v>
      </c>
      <c r="R2164" s="21" t="s">
        <v>349</v>
      </c>
    </row>
    <row r="2165" spans="1:18" ht="14.4">
      <c r="A2165" s="33">
        <f>IF(C2165="","",MAX($A$1:A2164)+1)</f>
        <v>2029</v>
      </c>
      <c r="B2165" s="25" t="s">
        <v>19</v>
      </c>
      <c r="C2165" s="23">
        <v>46099</v>
      </c>
      <c r="D2165" s="24" t="str">
        <f>_xlfn.XLOOKUP(Table134526_79101120212223242526[[#This Row],[Name Surname]],Manpower!$C$4:$C$1048576,Manpower!$B$4:$B$1048576,"")</f>
        <v>Encogroup</v>
      </c>
      <c r="E2165" s="23" t="s">
        <v>63</v>
      </c>
      <c r="F2165" s="12" t="e">
        <f>_xlfn.XLOOKUP(Table134526_79101120212223242526[[#This Row],[Name Surname]],Manpower!C:C,Manpower!D:D,)</f>
        <v>#N/A</v>
      </c>
      <c r="G2165" s="24" t="str">
        <f>_xlfn.XLOOKUP(Table134526_79101120212223242526[[#This Row],[Name Surname]],Manpower!$C$4:$C$1048576,Manpower!$F$4:$F$1048576,"")</f>
        <v>22KVA-Generator</v>
      </c>
      <c r="H2165" s="24" t="str">
        <f>_xlfn.XLOOKUP(Table134526_79101120212223242526[[#This Row],[Name Surname]],Manpower!$C$4:$C$1048576,Manpower!$H$4:$H$1048576,"")</f>
        <v>Equipment</v>
      </c>
      <c r="I2165" s="24" t="str">
        <f>_xlfn.XLOOKUP(Table134526_79101120212223242526[[#This Row],[Name Surname]],Manpower!$C$4:$C$1048576,Manpower!$H$4:$H$1048576,"")</f>
        <v>Equipment</v>
      </c>
      <c r="J2165" s="21" t="s">
        <v>48</v>
      </c>
      <c r="K2165" s="21" t="s">
        <v>26</v>
      </c>
      <c r="L2165" s="21" t="s">
        <v>49</v>
      </c>
      <c r="M2165" s="21" t="s">
        <v>24</v>
      </c>
      <c r="N2165" s="29">
        <v>10</v>
      </c>
      <c r="O2165" s="21" t="s">
        <v>25</v>
      </c>
      <c r="P2165" s="21" t="s">
        <v>41</v>
      </c>
      <c r="Q2165" s="21" t="s">
        <v>41</v>
      </c>
      <c r="R2165" s="21" t="s">
        <v>349</v>
      </c>
    </row>
    <row r="2166" spans="1:18" ht="14.4" hidden="1">
      <c r="A2166" s="33">
        <f>IF(C2166="","",MAX($A$1:A2164)+1)</f>
        <v>2029</v>
      </c>
      <c r="B2166" s="25" t="s">
        <v>19</v>
      </c>
      <c r="C2166" s="23">
        <v>46099</v>
      </c>
      <c r="D2166" s="28" t="str">
        <f>_xlfn.XLOOKUP(Table134526_79101120212223242526[[#This Row],[Name Surname]],Manpower!$C$4:$C$1048576,Manpower!$B$4:$B$1048576,"")</f>
        <v>Bright Light</v>
      </c>
      <c r="E2166" s="21" t="s">
        <v>64</v>
      </c>
      <c r="F2166" s="12">
        <f>_xlfn.XLOOKUP(Table134526_79101120212223242526[[#This Row],[Name Surname]],Manpower!C:C,Manpower!D:D,)</f>
        <v>114531608</v>
      </c>
      <c r="G2166" s="28" t="str">
        <f>_xlfn.XLOOKUP(Table134526_79101120212223242526[[#This Row],[Name Surname]],Manpower!$C$4:$C$1048576,Manpower!$F$4:$F$1048576,"")</f>
        <v>Crane Operator-150T Sany Crawler</v>
      </c>
      <c r="H2166" s="28" t="str">
        <f>_xlfn.XLOOKUP(Table134526_79101120212223242526[[#This Row],[Name Surname]],Manpower!$C$4:$C$1048576,Manpower!$H$4:$H$1048576,"")</f>
        <v>Manpower</v>
      </c>
      <c r="I2166" s="28" t="str">
        <f>_xlfn.XLOOKUP(Table134526_79101120212223242526[[#This Row],[Name Surname]],Manpower!$C$4:$C$1048576,Manpower!$H$4:$H$1048576,"")</f>
        <v>Manpower</v>
      </c>
      <c r="J2166" s="21" t="s">
        <v>48</v>
      </c>
      <c r="K2166" s="21" t="s">
        <v>26</v>
      </c>
      <c r="L2166" s="21" t="s">
        <v>49</v>
      </c>
      <c r="M2166" s="21" t="s">
        <v>24</v>
      </c>
      <c r="N2166" s="29">
        <v>10</v>
      </c>
      <c r="O2166" s="21" t="s">
        <v>40</v>
      </c>
      <c r="P2166" s="21" t="s">
        <v>41</v>
      </c>
      <c r="Q2166" s="21" t="s">
        <v>42</v>
      </c>
      <c r="R2166" s="21" t="s">
        <v>349</v>
      </c>
    </row>
    <row r="2167" spans="1:18" ht="14.4" hidden="1">
      <c r="A2167" s="33">
        <f>IF(C2167="","",MAX($A$1:A2166)+1)</f>
        <v>2030</v>
      </c>
      <c r="B2167" s="25" t="s">
        <v>19</v>
      </c>
      <c r="C2167" s="23">
        <v>46099</v>
      </c>
      <c r="D2167" s="28" t="str">
        <f>_xlfn.XLOOKUP(Table134526_79101120212223242526[[#This Row],[Name Surname]],Manpower!$C$4:$C$1048576,Manpower!$B$4:$B$1048576,"")</f>
        <v>Encogroup</v>
      </c>
      <c r="E2167" s="21" t="s">
        <v>67</v>
      </c>
      <c r="F2167" s="12">
        <f>_xlfn.XLOOKUP(Table134526_79101120212223242526[[#This Row],[Name Surname]],Manpower!C:C,Manpower!D:D,)</f>
        <v>122082769</v>
      </c>
      <c r="G2167" s="28" t="str">
        <f>_xlfn.XLOOKUP(Table134526_79101120212223242526[[#This Row],[Name Surname]],Manpower!$C$4:$C$1048576,Manpower!$F$4:$F$1048576,"")</f>
        <v>Grinder</v>
      </c>
      <c r="H2167" s="28" t="str">
        <f>_xlfn.XLOOKUP(Table134526_79101120212223242526[[#This Row],[Name Surname]],Manpower!$C$4:$C$1048576,Manpower!$H$4:$H$1048576,"")</f>
        <v>Manpower</v>
      </c>
      <c r="I2167" s="28" t="str">
        <f>_xlfn.XLOOKUP(Table134526_79101120212223242526[[#This Row],[Name Surname]],Manpower!$C$4:$C$1048576,Manpower!$H$4:$H$1048576,"")</f>
        <v>Manpower</v>
      </c>
      <c r="J2167" s="21" t="s">
        <v>48</v>
      </c>
      <c r="K2167" s="21" t="s">
        <v>26</v>
      </c>
      <c r="L2167" s="21" t="s">
        <v>49</v>
      </c>
      <c r="M2167" s="21" t="s">
        <v>24</v>
      </c>
      <c r="N2167" s="29">
        <v>10</v>
      </c>
      <c r="O2167" s="21" t="s">
        <v>25</v>
      </c>
      <c r="P2167" s="21" t="s">
        <v>41</v>
      </c>
      <c r="Q2167" s="21" t="s">
        <v>60</v>
      </c>
      <c r="R2167" s="21" t="s">
        <v>349</v>
      </c>
    </row>
    <row r="2168" spans="1:18" ht="14.4" hidden="1">
      <c r="A2168" s="33">
        <f>IF(C2168="","",MAX($A$1:A2167)+1)</f>
        <v>2031</v>
      </c>
      <c r="B2168" s="25" t="s">
        <v>19</v>
      </c>
      <c r="C2168" s="23">
        <v>46099</v>
      </c>
      <c r="D2168" s="28" t="str">
        <f>_xlfn.XLOOKUP(Table134526_79101120212223242526[[#This Row],[Name Surname]],Manpower!$C$4:$C$1048576,Manpower!$B$4:$B$1048576,"")</f>
        <v>AL Saif &amp; Al QALLM ENT LLC</v>
      </c>
      <c r="E2168" s="21" t="s">
        <v>65</v>
      </c>
      <c r="F2168" s="12">
        <f>_xlfn.XLOOKUP(Table134526_79101120212223242526[[#This Row],[Name Surname]],Manpower!C:C,Manpower!D:D,)</f>
        <v>108478006</v>
      </c>
      <c r="G2168" s="28" t="str">
        <f>_xlfn.XLOOKUP(Table134526_79101120212223242526[[#This Row],[Name Surname]],Manpower!$C$4:$C$1048576,Manpower!$F$4:$F$1048576,"")</f>
        <v>RIgger</v>
      </c>
      <c r="H2168" s="28" t="str">
        <f>_xlfn.XLOOKUP(Table134526_79101120212223242526[[#This Row],[Name Surname]],Manpower!$C$4:$C$1048576,Manpower!$H$4:$H$1048576,"")</f>
        <v>Sub Contactor</v>
      </c>
      <c r="I2168" s="28" t="str">
        <f>_xlfn.XLOOKUP(Table134526_79101120212223242526[[#This Row],[Name Surname]],Manpower!$C$4:$C$1048576,Manpower!$H$4:$H$1048576,"")</f>
        <v>Sub Contactor</v>
      </c>
      <c r="J2168" s="21" t="s">
        <v>48</v>
      </c>
      <c r="K2168" s="21" t="s">
        <v>26</v>
      </c>
      <c r="L2168" s="21" t="s">
        <v>49</v>
      </c>
      <c r="M2168" s="21" t="s">
        <v>24</v>
      </c>
      <c r="N2168" s="29">
        <v>8</v>
      </c>
      <c r="O2168" s="21" t="s">
        <v>25</v>
      </c>
      <c r="P2168" s="21" t="s">
        <v>41</v>
      </c>
      <c r="Q2168" s="21" t="s">
        <v>60</v>
      </c>
      <c r="R2168" s="21" t="s">
        <v>349</v>
      </c>
    </row>
    <row r="2169" spans="1:18" ht="14.4" hidden="1">
      <c r="A2169" s="33">
        <f>IF(C2169="","",MAX($A$1:A2168)+1)</f>
        <v>2032</v>
      </c>
      <c r="B2169" s="25" t="s">
        <v>19</v>
      </c>
      <c r="C2169" s="23">
        <v>46099</v>
      </c>
      <c r="D2169" s="28" t="str">
        <f>_xlfn.XLOOKUP(Table134526_79101120212223242526[[#This Row],[Name Surname]],Manpower!$C$4:$C$1048576,Manpower!$B$4:$B$1048576,"")</f>
        <v>AL Omar International TRAD AND CONT</v>
      </c>
      <c r="E2169" s="21" t="s">
        <v>66</v>
      </c>
      <c r="F2169" s="12">
        <f>_xlfn.XLOOKUP(Table134526_79101120212223242526[[#This Row],[Name Surname]],Manpower!C:C,Manpower!D:D,)</f>
        <v>115018512</v>
      </c>
      <c r="G2169" s="28" t="str">
        <f>_xlfn.XLOOKUP(Table134526_79101120212223242526[[#This Row],[Name Surname]],Manpower!$C$4:$C$1048576,Manpower!$F$4:$F$1048576,"")</f>
        <v>RIgger</v>
      </c>
      <c r="H2169" s="28" t="str">
        <f>_xlfn.XLOOKUP(Table134526_79101120212223242526[[#This Row],[Name Surname]],Manpower!$C$4:$C$1048576,Manpower!$H$4:$H$1048576,"")</f>
        <v>Sub Contactor</v>
      </c>
      <c r="I2169" s="28" t="str">
        <f>_xlfn.XLOOKUP(Table134526_79101120212223242526[[#This Row],[Name Surname]],Manpower!$C$4:$C$1048576,Manpower!$H$4:$H$1048576,"")</f>
        <v>Sub Contactor</v>
      </c>
      <c r="J2169" s="21" t="s">
        <v>48</v>
      </c>
      <c r="K2169" s="21" t="s">
        <v>26</v>
      </c>
      <c r="L2169" s="21" t="s">
        <v>49</v>
      </c>
      <c r="M2169" s="21" t="s">
        <v>24</v>
      </c>
      <c r="N2169" s="29">
        <v>8</v>
      </c>
      <c r="O2169" s="21" t="s">
        <v>25</v>
      </c>
      <c r="P2169" s="21" t="s">
        <v>41</v>
      </c>
      <c r="Q2169" s="21" t="s">
        <v>60</v>
      </c>
      <c r="R2169" s="21" t="s">
        <v>349</v>
      </c>
    </row>
    <row r="2170" spans="1:18" ht="14.4" hidden="1">
      <c r="A2170" s="33">
        <f>IF(C2170="","",MAX($A$1:A2169)+1)</f>
        <v>2033</v>
      </c>
      <c r="B2170" s="25" t="s">
        <v>19</v>
      </c>
      <c r="C2170" s="23">
        <v>46099</v>
      </c>
      <c r="D2170" s="28" t="str">
        <f>_xlfn.XLOOKUP(Table134526_79101120212223242526[[#This Row],[Name Surname]],Manpower!$C$4:$C$1048576,Manpower!$B$4:$B$1048576,"")</f>
        <v>Encogroup</v>
      </c>
      <c r="E2170" s="21" t="s">
        <v>34</v>
      </c>
      <c r="F2170" s="12">
        <f>_xlfn.XLOOKUP(Table134526_79101120212223242526[[#This Row],[Name Surname]],Manpower!C:C,Manpower!D:D,)</f>
        <v>141365023</v>
      </c>
      <c r="G2170" s="28" t="str">
        <f>_xlfn.XLOOKUP(Table134526_79101120212223242526[[#This Row],[Name Surname]],Manpower!$C$4:$C$1048576,Manpower!$F$4:$F$1048576,"")</f>
        <v>Grinder</v>
      </c>
      <c r="H2170" s="28" t="str">
        <f>_xlfn.XLOOKUP(Table134526_79101120212223242526[[#This Row],[Name Surname]],Manpower!$C$4:$C$1048576,Manpower!$H$4:$H$1048576,"")</f>
        <v>Manpower</v>
      </c>
      <c r="I2170" s="28" t="str">
        <f>_xlfn.XLOOKUP(Table134526_79101120212223242526[[#This Row],[Name Surname]],Manpower!$C$4:$C$1048576,Manpower!$H$4:$H$1048576,"")</f>
        <v>Manpower</v>
      </c>
      <c r="J2170" s="21" t="s">
        <v>48</v>
      </c>
      <c r="K2170" s="21" t="s">
        <v>26</v>
      </c>
      <c r="L2170" s="21" t="s">
        <v>49</v>
      </c>
      <c r="M2170" s="21" t="s">
        <v>24</v>
      </c>
      <c r="N2170" s="29">
        <v>10</v>
      </c>
      <c r="O2170" s="21" t="s">
        <v>25</v>
      </c>
      <c r="P2170" s="21" t="s">
        <v>41</v>
      </c>
      <c r="Q2170" s="21" t="s">
        <v>60</v>
      </c>
      <c r="R2170" s="21" t="s">
        <v>349</v>
      </c>
    </row>
    <row r="2171" spans="1:18" ht="14.4" hidden="1">
      <c r="A2171" s="33">
        <f>IF(C2171="","",MAX($A$1:A2170)+1)</f>
        <v>2034</v>
      </c>
      <c r="B2171" s="25" t="s">
        <v>19</v>
      </c>
      <c r="C2171" s="23">
        <v>46099</v>
      </c>
      <c r="D2171" s="28" t="str">
        <f>_xlfn.XLOOKUP(Table134526_79101120212223242526[[#This Row],[Name Surname]],Manpower!$C$4:$C$1048576,Manpower!$B$4:$B$1048576,"")</f>
        <v>AL Omar International TRAD AND CONT</v>
      </c>
      <c r="E2171" s="21" t="s">
        <v>197</v>
      </c>
      <c r="F2171" s="12">
        <f>_xlfn.XLOOKUP(Table134526_79101120212223242526[[#This Row],[Name Surname]],Manpower!C:C,Manpower!D:D,)</f>
        <v>106093463</v>
      </c>
      <c r="G2171" s="28" t="str">
        <f>_xlfn.XLOOKUP(Table134526_79101120212223242526[[#This Row],[Name Surname]],Manpower!$C$4:$C$1048576,Manpower!$F$4:$F$1048576,"")</f>
        <v>RIgger</v>
      </c>
      <c r="H2171" s="28" t="str">
        <f>_xlfn.XLOOKUP(Table134526_79101120212223242526[[#This Row],[Name Surname]],Manpower!$C$4:$C$1048576,Manpower!$H$4:$H$1048576,"")</f>
        <v>Sub Contactor</v>
      </c>
      <c r="I2171" s="28" t="str">
        <f>_xlfn.XLOOKUP(Table134526_79101120212223242526[[#This Row],[Name Surname]],Manpower!$C$4:$C$1048576,Manpower!$H$4:$H$1048576,"")</f>
        <v>Sub Contactor</v>
      </c>
      <c r="J2171" s="21" t="s">
        <v>48</v>
      </c>
      <c r="K2171" s="21" t="s">
        <v>26</v>
      </c>
      <c r="L2171" s="21" t="s">
        <v>49</v>
      </c>
      <c r="M2171" s="21" t="s">
        <v>24</v>
      </c>
      <c r="N2171" s="29">
        <v>4</v>
      </c>
      <c r="O2171" s="21" t="s">
        <v>25</v>
      </c>
      <c r="P2171" s="21" t="s">
        <v>41</v>
      </c>
      <c r="Q2171" s="21" t="s">
        <v>60</v>
      </c>
      <c r="R2171" s="21" t="s">
        <v>349</v>
      </c>
    </row>
    <row r="2172" spans="1:18" ht="14.4" hidden="1">
      <c r="A2172" s="33">
        <f>IF(C2172="","",MAX($A$1:A2171)+1)</f>
        <v>2035</v>
      </c>
      <c r="B2172" s="25" t="s">
        <v>19</v>
      </c>
      <c r="C2172" s="23">
        <v>46099</v>
      </c>
      <c r="D2172" s="28" t="str">
        <f>_xlfn.XLOOKUP(Table134526_79101120212223242526[[#This Row],[Name Surname]],Manpower!$C$4:$C$1048576,Manpower!$B$4:$B$1048576,"")</f>
        <v>Encogroup</v>
      </c>
      <c r="E2172" s="21" t="s">
        <v>44</v>
      </c>
      <c r="F2172" s="12">
        <f>_xlfn.XLOOKUP(Table134526_79101120212223242526[[#This Row],[Name Surname]],Manpower!C:C,Manpower!D:D,)</f>
        <v>140806218</v>
      </c>
      <c r="G2172" s="28" t="str">
        <f>_xlfn.XLOOKUP(Table134526_79101120212223242526[[#This Row],[Name Surname]],Manpower!$C$4:$C$1048576,Manpower!$F$4:$F$1048576,"")</f>
        <v>Fitter/Erector</v>
      </c>
      <c r="H2172" s="28" t="str">
        <f>_xlfn.XLOOKUP(Table134526_79101120212223242526[[#This Row],[Name Surname]],Manpower!$C$4:$C$1048576,Manpower!$H$4:$H$1048576,"")</f>
        <v>Manpower</v>
      </c>
      <c r="I2172" s="28" t="str">
        <f>_xlfn.XLOOKUP(Table134526_79101120212223242526[[#This Row],[Name Surname]],Manpower!$C$4:$C$1048576,Manpower!$H$4:$H$1048576,"")</f>
        <v>Manpower</v>
      </c>
      <c r="J2172" s="21" t="s">
        <v>48</v>
      </c>
      <c r="K2172" s="21" t="s">
        <v>26</v>
      </c>
      <c r="L2172" s="21" t="s">
        <v>49</v>
      </c>
      <c r="M2172" s="21" t="s">
        <v>24</v>
      </c>
      <c r="N2172" s="29">
        <v>10</v>
      </c>
      <c r="O2172" s="21" t="s">
        <v>25</v>
      </c>
      <c r="P2172" s="21" t="s">
        <v>41</v>
      </c>
      <c r="Q2172" s="21" t="s">
        <v>60</v>
      </c>
      <c r="R2172" s="21" t="s">
        <v>349</v>
      </c>
    </row>
    <row r="2173" spans="1:18" ht="14.4" hidden="1">
      <c r="A2173" s="33">
        <f>IF(C2173="","",MAX($A$1:A2172)+1)</f>
        <v>2036</v>
      </c>
      <c r="B2173" s="25" t="s">
        <v>19</v>
      </c>
      <c r="C2173" s="23">
        <v>46099</v>
      </c>
      <c r="D2173" s="28" t="str">
        <f>_xlfn.XLOOKUP(Table134526_79101120212223242526[[#This Row],[Name Surname]],Manpower!$C$4:$C$1048576,Manpower!$B$4:$B$1048576,"")</f>
        <v>Encogroup</v>
      </c>
      <c r="E2173" s="21" t="s">
        <v>68</v>
      </c>
      <c r="F2173" s="12">
        <f>_xlfn.XLOOKUP(Table134526_79101120212223242526[[#This Row],[Name Surname]],Manpower!C:C,Manpower!D:D,)</f>
        <v>116915582</v>
      </c>
      <c r="G2173" s="28" t="str">
        <f>_xlfn.XLOOKUP(Table134526_79101120212223242526[[#This Row],[Name Surname]],Manpower!$C$4:$C$1048576,Manpower!$F$4:$F$1048576,"")</f>
        <v>Mechanical Superintendent</v>
      </c>
      <c r="H2173" s="28" t="str">
        <f>_xlfn.XLOOKUP(Table134526_79101120212223242526[[#This Row],[Name Surname]],Manpower!$C$4:$C$1048576,Manpower!$H$4:$H$1048576,"")</f>
        <v>Manpower</v>
      </c>
      <c r="I2173" s="28" t="str">
        <f>_xlfn.XLOOKUP(Table134526_79101120212223242526[[#This Row],[Name Surname]],Manpower!$C$4:$C$1048576,Manpower!$H$4:$H$1048576,"")</f>
        <v>Manpower</v>
      </c>
      <c r="J2173" s="21" t="s">
        <v>48</v>
      </c>
      <c r="K2173" s="21" t="s">
        <v>26</v>
      </c>
      <c r="L2173" s="21" t="s">
        <v>49</v>
      </c>
      <c r="M2173" s="21" t="s">
        <v>24</v>
      </c>
      <c r="N2173" s="29">
        <v>8</v>
      </c>
      <c r="O2173" s="21" t="s">
        <v>25</v>
      </c>
      <c r="P2173" s="21" t="s">
        <v>41</v>
      </c>
      <c r="Q2173" s="21" t="s">
        <v>60</v>
      </c>
      <c r="R2173" s="21" t="s">
        <v>349</v>
      </c>
    </row>
    <row r="2174" spans="1:18" ht="14.4" hidden="1">
      <c r="A2174" s="33">
        <f>IF(C2174="","",MAX($A$1:A2173)+1)</f>
        <v>2037</v>
      </c>
      <c r="B2174" s="25" t="s">
        <v>19</v>
      </c>
      <c r="C2174" s="23">
        <v>46099</v>
      </c>
      <c r="D2174" s="28" t="str">
        <f>_xlfn.XLOOKUP(Table134526_79101120212223242526[[#This Row],[Name Surname]],Manpower!$C$4:$C$1048576,Manpower!$B$4:$B$1048576,"")</f>
        <v>Encogroup</v>
      </c>
      <c r="E2174" s="21" t="s">
        <v>69</v>
      </c>
      <c r="F2174" s="12">
        <f>_xlfn.XLOOKUP(Table134526_79101120212223242526[[#This Row],[Name Surname]],Manpower!C:C,Manpower!D:D,)</f>
        <v>141169071</v>
      </c>
      <c r="G2174" s="28" t="str">
        <f>_xlfn.XLOOKUP(Table134526_79101120212223242526[[#This Row],[Name Surname]],Manpower!$C$4:$C$1048576,Manpower!$F$4:$F$1048576,"")</f>
        <v>Welding Supervisor</v>
      </c>
      <c r="H2174" s="28" t="str">
        <f>_xlfn.XLOOKUP(Table134526_79101120212223242526[[#This Row],[Name Surname]],Manpower!$C$4:$C$1048576,Manpower!$H$4:$H$1048576,"")</f>
        <v>Manpower</v>
      </c>
      <c r="I2174" s="28" t="str">
        <f>_xlfn.XLOOKUP(Table134526_79101120212223242526[[#This Row],[Name Surname]],Manpower!$C$4:$C$1048576,Manpower!$H$4:$H$1048576,"")</f>
        <v>Manpower</v>
      </c>
      <c r="J2174" s="21" t="s">
        <v>48</v>
      </c>
      <c r="K2174" s="21" t="s">
        <v>26</v>
      </c>
      <c r="L2174" s="21" t="s">
        <v>49</v>
      </c>
      <c r="M2174" s="21" t="s">
        <v>24</v>
      </c>
      <c r="N2174" s="29">
        <v>10</v>
      </c>
      <c r="O2174" s="21" t="s">
        <v>25</v>
      </c>
      <c r="P2174" s="21" t="s">
        <v>41</v>
      </c>
      <c r="Q2174" s="21" t="s">
        <v>60</v>
      </c>
      <c r="R2174" s="21" t="s">
        <v>349</v>
      </c>
    </row>
    <row r="2175" spans="1:18" ht="14.4" hidden="1">
      <c r="A2175" s="33">
        <f>IF(C2175="","",MAX($A$1:A2174)+1)</f>
        <v>2038</v>
      </c>
      <c r="B2175" s="25" t="s">
        <v>19</v>
      </c>
      <c r="C2175" s="23">
        <v>46099</v>
      </c>
      <c r="D2175" s="28" t="str">
        <f>_xlfn.XLOOKUP(Table134526_79101120212223242526[[#This Row],[Name Surname]],Manpower!$C$4:$C$1048576,Manpower!$B$4:$B$1048576,"")</f>
        <v>Encogroup</v>
      </c>
      <c r="E2175" s="21" t="s">
        <v>59</v>
      </c>
      <c r="F2175" s="12">
        <f>_xlfn.XLOOKUP(Table134526_79101120212223242526[[#This Row],[Name Surname]],Manpower!C:C,Manpower!D:D,)</f>
        <v>141169085</v>
      </c>
      <c r="G2175" s="28" t="str">
        <f>_xlfn.XLOOKUP(Table134526_79101120212223242526[[#This Row],[Name Surname]],Manpower!$C$4:$C$1048576,Manpower!$F$4:$F$1048576,"")</f>
        <v>Welder</v>
      </c>
      <c r="H2175" s="28" t="str">
        <f>_xlfn.XLOOKUP(Table134526_79101120212223242526[[#This Row],[Name Surname]],Manpower!$C$4:$C$1048576,Manpower!$H$4:$H$1048576,"")</f>
        <v>Manpower</v>
      </c>
      <c r="I2175" s="28" t="str">
        <f>_xlfn.XLOOKUP(Table134526_79101120212223242526[[#This Row],[Name Surname]],Manpower!$C$4:$C$1048576,Manpower!$H$4:$H$1048576,"")</f>
        <v>Manpower</v>
      </c>
      <c r="J2175" s="21" t="s">
        <v>48</v>
      </c>
      <c r="K2175" s="21" t="s">
        <v>26</v>
      </c>
      <c r="L2175" s="21" t="s">
        <v>49</v>
      </c>
      <c r="M2175" s="21" t="s">
        <v>24</v>
      </c>
      <c r="N2175" s="29">
        <v>10</v>
      </c>
      <c r="O2175" s="21" t="s">
        <v>25</v>
      </c>
      <c r="P2175" s="21" t="s">
        <v>41</v>
      </c>
      <c r="Q2175" s="21" t="s">
        <v>60</v>
      </c>
      <c r="R2175" s="21" t="s">
        <v>349</v>
      </c>
    </row>
    <row r="2176" spans="1:18" ht="14.4" hidden="1">
      <c r="A2176" s="33">
        <f>IF(C2176="","",MAX($A$1:A2175)+1)</f>
        <v>2039</v>
      </c>
      <c r="B2176" s="25" t="s">
        <v>19</v>
      </c>
      <c r="C2176" s="23">
        <v>46099</v>
      </c>
      <c r="D2176" s="28" t="str">
        <f>_xlfn.XLOOKUP(Table134526_79101120212223242526[[#This Row],[Name Surname]],Manpower!$C$4:$C$1048576,Manpower!$B$4:$B$1048576,"")</f>
        <v>Encogroup</v>
      </c>
      <c r="E2176" s="21" t="s">
        <v>70</v>
      </c>
      <c r="F2176" s="12">
        <f>_xlfn.XLOOKUP(Table134526_79101120212223242526[[#This Row],[Name Surname]],Manpower!C:C,Manpower!D:D,)</f>
        <v>141365126</v>
      </c>
      <c r="G2176" s="28" t="str">
        <f>_xlfn.XLOOKUP(Table134526_79101120212223242526[[#This Row],[Name Surname]],Manpower!$C$4:$C$1048576,Manpower!$F$4:$F$1048576,"")</f>
        <v>Helper</v>
      </c>
      <c r="H2176" s="28" t="str">
        <f>_xlfn.XLOOKUP(Table134526_79101120212223242526[[#This Row],[Name Surname]],Manpower!$C$4:$C$1048576,Manpower!$H$4:$H$1048576,"")</f>
        <v>Manpower</v>
      </c>
      <c r="I2176" s="28" t="str">
        <f>_xlfn.XLOOKUP(Table134526_79101120212223242526[[#This Row],[Name Surname]],Manpower!$C$4:$C$1048576,Manpower!$H$4:$H$1048576,"")</f>
        <v>Manpower</v>
      </c>
      <c r="J2176" s="21" t="s">
        <v>48</v>
      </c>
      <c r="K2176" s="21" t="s">
        <v>26</v>
      </c>
      <c r="L2176" s="21" t="s">
        <v>49</v>
      </c>
      <c r="M2176" s="21" t="s">
        <v>24</v>
      </c>
      <c r="N2176" s="29">
        <v>10</v>
      </c>
      <c r="O2176" s="21" t="s">
        <v>25</v>
      </c>
      <c r="P2176" s="21" t="s">
        <v>41</v>
      </c>
      <c r="Q2176" s="21" t="s">
        <v>60</v>
      </c>
      <c r="R2176" s="21" t="s">
        <v>349</v>
      </c>
    </row>
    <row r="2177" spans="1:19" ht="15.6" hidden="1" customHeight="1">
      <c r="A2177" s="33">
        <f>IF(C2177="","",MAX($A$1:A2176)+1)</f>
        <v>2040</v>
      </c>
      <c r="B2177" s="25" t="s">
        <v>19</v>
      </c>
      <c r="C2177" s="23">
        <v>46099</v>
      </c>
      <c r="D2177" s="28" t="str">
        <f>_xlfn.XLOOKUP(Table134526_79101120212223242526[[#This Row],[Name Surname]],Manpower!$C$4:$C$1048576,Manpower!$B$4:$B$1048576,"")</f>
        <v>Bright Light</v>
      </c>
      <c r="E2177" s="21" t="s">
        <v>71</v>
      </c>
      <c r="F2177" s="12">
        <f>_xlfn.XLOOKUP(Table134526_79101120212223242526[[#This Row],[Name Surname]],Manpower!C:C,Manpower!D:D,)</f>
        <v>81379273</v>
      </c>
      <c r="G2177" s="28" t="str">
        <f>_xlfn.XLOOKUP(Table134526_79101120212223242526[[#This Row],[Name Surname]],Manpower!$C$4:$C$1048576,Manpower!$F$4:$F$1048576,"")</f>
        <v>Crane Operator-100T Sany Telescopic</v>
      </c>
      <c r="H2177" s="28" t="str">
        <f>_xlfn.XLOOKUP(Table134526_79101120212223242526[[#This Row],[Name Surname]],Manpower!$C$4:$C$1048576,Manpower!$H$4:$H$1048576,"")</f>
        <v>Manpower</v>
      </c>
      <c r="I2177" s="28" t="str">
        <f>_xlfn.XLOOKUP(Table134526_79101120212223242526[[#This Row],[Name Surname]],Manpower!$C$4:$C$1048576,Manpower!$H$4:$H$1048576,"")</f>
        <v>Manpower</v>
      </c>
      <c r="J2177" s="21" t="s">
        <v>48</v>
      </c>
      <c r="K2177" s="21" t="s">
        <v>26</v>
      </c>
      <c r="L2177" s="21" t="s">
        <v>49</v>
      </c>
      <c r="M2177" s="21" t="s">
        <v>24</v>
      </c>
      <c r="N2177" s="29">
        <v>10</v>
      </c>
      <c r="O2177" s="21" t="s">
        <v>40</v>
      </c>
      <c r="P2177" s="21" t="s">
        <v>41</v>
      </c>
      <c r="Q2177" s="21" t="s">
        <v>42</v>
      </c>
      <c r="R2177" s="21" t="s">
        <v>349</v>
      </c>
    </row>
    <row r="2178" spans="1:19" s="45" customFormat="1" ht="15.6" hidden="1" customHeight="1">
      <c r="A2178" s="25">
        <f>IF(C2178="","",MAX($A$1:A2177)+1)</f>
        <v>2041</v>
      </c>
      <c r="B2178" s="25" t="s">
        <v>19</v>
      </c>
      <c r="C2178" s="41">
        <v>46099</v>
      </c>
      <c r="D2178" s="48" t="str">
        <f>_xlfn.XLOOKUP(Table134526_79101120212223242526[[#This Row],[Name Surname]],Manpower!$C$4:$C$1048576,Manpower!$B$4:$B$1048576,"")</f>
        <v>AL Saif &amp; Al QALLM ENT LLC</v>
      </c>
      <c r="E2178" s="43" t="s">
        <v>194</v>
      </c>
      <c r="F2178" s="12">
        <f>_xlfn.XLOOKUP(Table134526_79101120212223242526[[#This Row],[Name Surname]],Manpower!C:C,Manpower!D:D,)</f>
        <v>135340657</v>
      </c>
      <c r="G2178" s="48" t="str">
        <f>_xlfn.XLOOKUP(Table134526_79101120212223242526[[#This Row],[Name Surname]],Manpower!$C$4:$C$1048576,Manpower!$F$4:$F$1048576,"")</f>
        <v>Forklift Operator</v>
      </c>
      <c r="H2178" s="48" t="str">
        <f>_xlfn.XLOOKUP(Table134526_79101120212223242526[[#This Row],[Name Surname]],Manpower!$C$4:$C$1048576,Manpower!$H$4:$H$1048576,"")</f>
        <v>Sub Contactor</v>
      </c>
      <c r="I2178" s="48" t="str">
        <f>_xlfn.XLOOKUP(Table134526_79101120212223242526[[#This Row],[Name Surname]],Manpower!$C$4:$C$1048576,Manpower!$H$4:$H$1048576,"")</f>
        <v>Sub Contactor</v>
      </c>
      <c r="J2178" s="43" t="s">
        <v>48</v>
      </c>
      <c r="K2178" s="43" t="s">
        <v>26</v>
      </c>
      <c r="L2178" s="43" t="s">
        <v>49</v>
      </c>
      <c r="M2178" s="43" t="s">
        <v>24</v>
      </c>
      <c r="N2178" s="44">
        <v>10</v>
      </c>
      <c r="O2178" s="43" t="s">
        <v>40</v>
      </c>
      <c r="P2178" s="43" t="s">
        <v>41</v>
      </c>
      <c r="Q2178" s="43" t="s">
        <v>42</v>
      </c>
      <c r="R2178" s="43" t="s">
        <v>349</v>
      </c>
      <c r="S2178" s="43"/>
    </row>
    <row r="2179" spans="1:19" s="45" customFormat="1" ht="15.6" hidden="1" customHeight="1">
      <c r="A2179" s="25">
        <f>IF(C2179="","",MAX($A$1:A2178)+1)</f>
        <v>2042</v>
      </c>
      <c r="B2179" s="25" t="s">
        <v>19</v>
      </c>
      <c r="C2179" s="41">
        <v>46099</v>
      </c>
      <c r="D2179" s="48" t="str">
        <f>_xlfn.XLOOKUP(Table134526_79101120212223242526[[#This Row],[Name Surname]],Manpower!$C$4:$C$1048576,Manpower!$B$4:$B$1048576,"")</f>
        <v>Encogroup</v>
      </c>
      <c r="E2179" s="43" t="s">
        <v>37</v>
      </c>
      <c r="F2179" s="12">
        <f>_xlfn.XLOOKUP(Table134526_79101120212223242526[[#This Row],[Name Surname]],Manpower!C:C,Manpower!D:D,)</f>
        <v>140742088</v>
      </c>
      <c r="G2179" s="48" t="str">
        <f>_xlfn.XLOOKUP(Table134526_79101120212223242526[[#This Row],[Name Surname]],Manpower!$C$4:$C$1048576,Manpower!$F$4:$F$1048576,"")</f>
        <v>Fitter/Erector</v>
      </c>
      <c r="H2179" s="48" t="str">
        <f>_xlfn.XLOOKUP(Table134526_79101120212223242526[[#This Row],[Name Surname]],Manpower!$C$4:$C$1048576,Manpower!$H$4:$H$1048576,"")</f>
        <v>Manpower</v>
      </c>
      <c r="I2179" s="48" t="str">
        <f>_xlfn.XLOOKUP(Table134526_79101120212223242526[[#This Row],[Name Surname]],Manpower!$C$4:$C$1048576,Manpower!$H$4:$H$1048576,"")</f>
        <v>Manpower</v>
      </c>
      <c r="J2179" s="43" t="s">
        <v>48</v>
      </c>
      <c r="K2179" s="43" t="s">
        <v>26</v>
      </c>
      <c r="L2179" s="43" t="s">
        <v>49</v>
      </c>
      <c r="M2179" s="43" t="s">
        <v>24</v>
      </c>
      <c r="N2179" s="44">
        <v>5</v>
      </c>
      <c r="O2179" s="43" t="s">
        <v>25</v>
      </c>
      <c r="P2179" s="43" t="s">
        <v>41</v>
      </c>
      <c r="Q2179" s="43" t="s">
        <v>60</v>
      </c>
      <c r="R2179" s="43" t="s">
        <v>349</v>
      </c>
      <c r="S2179" s="43"/>
    </row>
    <row r="2180" spans="1:19" s="45" customFormat="1" ht="15.6" hidden="1" customHeight="1">
      <c r="A2180" s="25">
        <f>IF(C2180="","",MAX($A$1:A2177)+1)</f>
        <v>2041</v>
      </c>
      <c r="B2180" s="25" t="s">
        <v>19</v>
      </c>
      <c r="C2180" s="41">
        <v>46099</v>
      </c>
      <c r="D2180" s="48" t="str">
        <f>_xlfn.XLOOKUP(Table134526_79101120212223242526[[#This Row],[Name Surname]],Manpower!$C$4:$C$1048576,Manpower!$B$4:$B$1048576,"")</f>
        <v>Encogroup</v>
      </c>
      <c r="E2180" s="43" t="s">
        <v>32</v>
      </c>
      <c r="F2180" s="12">
        <f>_xlfn.XLOOKUP(Table134526_79101120212223242526[[#This Row],[Name Surname]],Manpower!C:C,Manpower!D:D,)</f>
        <v>140697039</v>
      </c>
      <c r="G2180" s="48" t="str">
        <f>_xlfn.XLOOKUP(Table134526_79101120212223242526[[#This Row],[Name Surname]],Manpower!$C$4:$C$1048576,Manpower!$F$4:$F$1048576,"")</f>
        <v>Fitter/Erector</v>
      </c>
      <c r="H2180" s="48" t="str">
        <f>_xlfn.XLOOKUP(Table134526_79101120212223242526[[#This Row],[Name Surname]],Manpower!$C$4:$C$1048576,Manpower!$H$4:$H$1048576,"")</f>
        <v>Manpower</v>
      </c>
      <c r="I2180" s="48" t="str">
        <f>_xlfn.XLOOKUP(Table134526_79101120212223242526[[#This Row],[Name Surname]],Manpower!$C$4:$C$1048576,Manpower!$H$4:$H$1048576,"")</f>
        <v>Manpower</v>
      </c>
      <c r="J2180" s="43" t="s">
        <v>48</v>
      </c>
      <c r="K2180" s="43" t="s">
        <v>26</v>
      </c>
      <c r="L2180" s="43" t="s">
        <v>49</v>
      </c>
      <c r="M2180" s="43" t="s">
        <v>24</v>
      </c>
      <c r="N2180" s="44">
        <v>5</v>
      </c>
      <c r="O2180" s="43" t="s">
        <v>25</v>
      </c>
      <c r="P2180" s="43" t="s">
        <v>41</v>
      </c>
      <c r="Q2180" s="43" t="s">
        <v>60</v>
      </c>
      <c r="R2180" s="43" t="s">
        <v>349</v>
      </c>
      <c r="S2180" s="43"/>
    </row>
    <row r="2181" spans="1:19" s="45" customFormat="1" ht="15.6" hidden="1" customHeight="1">
      <c r="A2181" s="25">
        <f>IF(C2181="","",MAX($A$1:A2180)+1)</f>
        <v>2043</v>
      </c>
      <c r="B2181" s="25" t="s">
        <v>19</v>
      </c>
      <c r="C2181" s="41">
        <v>46099</v>
      </c>
      <c r="D2181" s="48" t="str">
        <f>_xlfn.XLOOKUP(Table134526_79101120212223242526[[#This Row],[Name Surname]],Manpower!$C$4:$C$1048576,Manpower!$B$4:$B$1048576,"")</f>
        <v>Encogroup</v>
      </c>
      <c r="E2181" s="43" t="s">
        <v>27</v>
      </c>
      <c r="F2181" s="12">
        <f>_xlfn.XLOOKUP(Table134526_79101120212223242526[[#This Row],[Name Surname]],Manpower!C:C,Manpower!D:D,)</f>
        <v>127414586</v>
      </c>
      <c r="G2181" s="48" t="str">
        <f>_xlfn.XLOOKUP(Table134526_79101120212223242526[[#This Row],[Name Surname]],Manpower!$C$4:$C$1048576,Manpower!$F$4:$F$1048576,"")</f>
        <v>Electrician</v>
      </c>
      <c r="H2181" s="48" t="str">
        <f>_xlfn.XLOOKUP(Table134526_79101120212223242526[[#This Row],[Name Surname]],Manpower!$C$4:$C$1048576,Manpower!$H$4:$H$1048576,"")</f>
        <v>Manpower</v>
      </c>
      <c r="I2181" s="48" t="str">
        <f>_xlfn.XLOOKUP(Table134526_79101120212223242526[[#This Row],[Name Surname]],Manpower!$C$4:$C$1048576,Manpower!$H$4:$H$1048576,"")</f>
        <v>Manpower</v>
      </c>
      <c r="J2181" s="43" t="s">
        <v>48</v>
      </c>
      <c r="K2181" s="43" t="s">
        <v>26</v>
      </c>
      <c r="L2181" s="43" t="s">
        <v>49</v>
      </c>
      <c r="M2181" s="43" t="s">
        <v>24</v>
      </c>
      <c r="N2181" s="44">
        <v>5</v>
      </c>
      <c r="O2181" s="43" t="s">
        <v>25</v>
      </c>
      <c r="P2181" s="43" t="s">
        <v>41</v>
      </c>
      <c r="Q2181" s="43" t="s">
        <v>60</v>
      </c>
      <c r="R2181" s="43" t="s">
        <v>349</v>
      </c>
      <c r="S2181" s="43"/>
    </row>
    <row r="2182" spans="1:19" s="45" customFormat="1" ht="15.6" hidden="1" customHeight="1">
      <c r="A2182" s="25">
        <f>IF(C2182="","",MAX($A$1:A2181)+1)</f>
        <v>2044</v>
      </c>
      <c r="B2182" s="25" t="s">
        <v>19</v>
      </c>
      <c r="C2182" s="41">
        <v>46099</v>
      </c>
      <c r="D2182" s="48" t="str">
        <f>_xlfn.XLOOKUP(Table134526_79101120212223242526[[#This Row],[Name Surname]],Manpower!$C$4:$C$1048576,Manpower!$B$4:$B$1048576,"")</f>
        <v>Encogroup</v>
      </c>
      <c r="E2182" s="43" t="s">
        <v>72</v>
      </c>
      <c r="F2182" s="12">
        <f>_xlfn.XLOOKUP(Table134526_79101120212223242526[[#This Row],[Name Surname]],Manpower!C:C,Manpower!D:D,)</f>
        <v>140764706</v>
      </c>
      <c r="G2182" s="48" t="str">
        <f>_xlfn.XLOOKUP(Table134526_79101120212223242526[[#This Row],[Name Surname]],Manpower!$C$4:$C$1048576,Manpower!$F$4:$F$1048576,"")</f>
        <v>Rigger</v>
      </c>
      <c r="H2182" s="48" t="str">
        <f>_xlfn.XLOOKUP(Table134526_79101120212223242526[[#This Row],[Name Surname]],Manpower!$C$4:$C$1048576,Manpower!$H$4:$H$1048576,"")</f>
        <v>Manpower</v>
      </c>
      <c r="I2182" s="48" t="str">
        <f>_xlfn.XLOOKUP(Table134526_79101120212223242526[[#This Row],[Name Surname]],Manpower!$C$4:$C$1048576,Manpower!$H$4:$H$1048576,"")</f>
        <v>Manpower</v>
      </c>
      <c r="J2182" s="43" t="s">
        <v>48</v>
      </c>
      <c r="K2182" s="43" t="s">
        <v>26</v>
      </c>
      <c r="L2182" s="43" t="s">
        <v>49</v>
      </c>
      <c r="M2182" s="43" t="s">
        <v>24</v>
      </c>
      <c r="N2182" s="44">
        <v>5</v>
      </c>
      <c r="O2182" s="43" t="s">
        <v>25</v>
      </c>
      <c r="P2182" s="43" t="s">
        <v>41</v>
      </c>
      <c r="Q2182" s="43" t="s">
        <v>60</v>
      </c>
      <c r="R2182" s="43" t="s">
        <v>349</v>
      </c>
      <c r="S2182" s="43"/>
    </row>
    <row r="2183" spans="1:19" s="45" customFormat="1" ht="15.6" hidden="1" customHeight="1">
      <c r="A2183" s="25">
        <f>IF(C2183="","",MAX($A$1:A2181)+1)</f>
        <v>2044</v>
      </c>
      <c r="B2183" s="25" t="s">
        <v>19</v>
      </c>
      <c r="C2183" s="41">
        <v>46099</v>
      </c>
      <c r="D2183" s="48" t="str">
        <f>_xlfn.XLOOKUP(Table134526_79101120212223242526[[#This Row],[Name Surname]],Manpower!$C$4:$C$1048576,Manpower!$B$4:$B$1048576,"")</f>
        <v>Encogroup</v>
      </c>
      <c r="E2183" s="43" t="s">
        <v>46</v>
      </c>
      <c r="F2183" s="12">
        <f>_xlfn.XLOOKUP(Table134526_79101120212223242526[[#This Row],[Name Surname]],Manpower!C:C,Manpower!D:D,)</f>
        <v>140844618</v>
      </c>
      <c r="G2183" s="48" t="str">
        <f>_xlfn.XLOOKUP(Table134526_79101120212223242526[[#This Row],[Name Surname]],Manpower!$C$4:$C$1048576,Manpower!$F$4:$F$1048576,"")</f>
        <v>Assistant/Helper</v>
      </c>
      <c r="H2183" s="48" t="str">
        <f>_xlfn.XLOOKUP(Table134526_79101120212223242526[[#This Row],[Name Surname]],Manpower!$C$4:$C$1048576,Manpower!$H$4:$H$1048576,"")</f>
        <v>Manpower</v>
      </c>
      <c r="I2183" s="48" t="str">
        <f>_xlfn.XLOOKUP(Table134526_79101120212223242526[[#This Row],[Name Surname]],Manpower!$C$4:$C$1048576,Manpower!$H$4:$H$1048576,"")</f>
        <v>Manpower</v>
      </c>
      <c r="J2183" s="43" t="s">
        <v>48</v>
      </c>
      <c r="K2183" s="43" t="s">
        <v>26</v>
      </c>
      <c r="L2183" s="43" t="s">
        <v>49</v>
      </c>
      <c r="M2183" s="43" t="s">
        <v>24</v>
      </c>
      <c r="N2183" s="44">
        <v>5</v>
      </c>
      <c r="O2183" s="43" t="s">
        <v>25</v>
      </c>
      <c r="P2183" s="43" t="s">
        <v>41</v>
      </c>
      <c r="Q2183" s="43" t="s">
        <v>60</v>
      </c>
      <c r="R2183" s="43" t="s">
        <v>349</v>
      </c>
      <c r="S2183" s="43"/>
    </row>
    <row r="2184" spans="1:19" ht="14.4" hidden="1">
      <c r="A2184" s="33">
        <f>IF(C2184="","",MAX($A$1:A2177)+1)</f>
        <v>2041</v>
      </c>
      <c r="B2184" s="25" t="s">
        <v>19</v>
      </c>
      <c r="C2184" s="23">
        <v>46099</v>
      </c>
      <c r="D2184" s="28" t="str">
        <f>_xlfn.XLOOKUP(Table134526_79101120212223242526[[#This Row],[Name Surname]],Manpower!$C$4:$C$1048576,Manpower!$B$4:$B$1048576,"")</f>
        <v>Encogroup</v>
      </c>
      <c r="E2184" s="21" t="s">
        <v>73</v>
      </c>
      <c r="F2184" s="12">
        <f>_xlfn.XLOOKUP(Table134526_79101120212223242526[[#This Row],[Name Surname]],Manpower!C:C,Manpower!D:D,)</f>
        <v>135325259</v>
      </c>
      <c r="G2184" s="28" t="str">
        <f>_xlfn.XLOOKUP(Table134526_79101120212223242526[[#This Row],[Name Surname]],Manpower!$C$4:$C$1048576,Manpower!$F$4:$F$1048576,"")</f>
        <v>Permit Receiver</v>
      </c>
      <c r="H2184" s="28" t="str">
        <f>_xlfn.XLOOKUP(Table134526_79101120212223242526[[#This Row],[Name Surname]],Manpower!$C$4:$C$1048576,Manpower!$H$4:$H$1048576,"")</f>
        <v>Manpower</v>
      </c>
      <c r="I2184" s="28" t="str">
        <f>_xlfn.XLOOKUP(Table134526_79101120212223242526[[#This Row],[Name Surname]],Manpower!$C$4:$C$1048576,Manpower!$H$4:$H$1048576,"")</f>
        <v>Manpower</v>
      </c>
      <c r="J2184" s="21" t="s">
        <v>48</v>
      </c>
      <c r="K2184" s="21" t="s">
        <v>26</v>
      </c>
      <c r="L2184" s="21" t="s">
        <v>49</v>
      </c>
      <c r="M2184" s="21" t="s">
        <v>24</v>
      </c>
      <c r="N2184" s="29">
        <v>10</v>
      </c>
      <c r="O2184" s="21" t="s">
        <v>25</v>
      </c>
      <c r="P2184" s="21" t="s">
        <v>41</v>
      </c>
      <c r="Q2184" s="21" t="s">
        <v>60</v>
      </c>
      <c r="R2184" s="21" t="s">
        <v>349</v>
      </c>
    </row>
    <row r="2185" spans="1:19" ht="14.4" hidden="1">
      <c r="A2185" s="33">
        <f>IF(C2185="","",MAX($A$1:A2184)+1)</f>
        <v>2045</v>
      </c>
      <c r="B2185" s="25" t="s">
        <v>19</v>
      </c>
      <c r="C2185" s="23">
        <v>46099</v>
      </c>
      <c r="D2185" s="28" t="str">
        <f>_xlfn.XLOOKUP(Table134526_79101120212223242526[[#This Row],[Name Surname]],Manpower!$C$4:$C$1048576,Manpower!$B$4:$B$1048576,"")</f>
        <v>Encogroup</v>
      </c>
      <c r="E2185" s="21" t="s">
        <v>74</v>
      </c>
      <c r="F2185" s="12">
        <f>_xlfn.XLOOKUP(Table134526_79101120212223242526[[#This Row],[Name Surname]],Manpower!C:C,Manpower!D:D,)</f>
        <v>141365089</v>
      </c>
      <c r="G2185" s="28" t="str">
        <f>_xlfn.XLOOKUP(Table134526_79101120212223242526[[#This Row],[Name Surname]],Manpower!$C$4:$C$1048576,Manpower!$F$4:$F$1048576,"")</f>
        <v>Fitter</v>
      </c>
      <c r="H2185" s="28" t="str">
        <f>_xlfn.XLOOKUP(Table134526_79101120212223242526[[#This Row],[Name Surname]],Manpower!$C$4:$C$1048576,Manpower!$H$4:$H$1048576,"")</f>
        <v>Manpower</v>
      </c>
      <c r="I2185" s="28" t="str">
        <f>_xlfn.XLOOKUP(Table134526_79101120212223242526[[#This Row],[Name Surname]],Manpower!$C$4:$C$1048576,Manpower!$H$4:$H$1048576,"")</f>
        <v>Manpower</v>
      </c>
      <c r="J2185" s="21" t="s">
        <v>48</v>
      </c>
      <c r="K2185" s="21" t="s">
        <v>26</v>
      </c>
      <c r="L2185" s="21" t="s">
        <v>49</v>
      </c>
      <c r="M2185" s="21" t="s">
        <v>24</v>
      </c>
      <c r="N2185" s="29">
        <v>10</v>
      </c>
      <c r="O2185" s="21" t="s">
        <v>25</v>
      </c>
      <c r="P2185" s="21" t="s">
        <v>41</v>
      </c>
      <c r="Q2185" s="21" t="s">
        <v>60</v>
      </c>
      <c r="R2185" s="21" t="s">
        <v>349</v>
      </c>
    </row>
    <row r="2186" spans="1:19" ht="14.4" hidden="1">
      <c r="A2186" s="33">
        <f>IF(C2186="","",MAX($A$1:A2185)+1)</f>
        <v>2046</v>
      </c>
      <c r="B2186" s="25" t="s">
        <v>19</v>
      </c>
      <c r="C2186" s="23">
        <v>46099</v>
      </c>
      <c r="D2186" s="28" t="str">
        <f>_xlfn.XLOOKUP(Table134526_79101120212223242526[[#This Row],[Name Surname]],Manpower!$C$4:$C$1048576,Manpower!$B$4:$B$1048576,"")</f>
        <v>Encogroup</v>
      </c>
      <c r="E2186" s="21" t="s">
        <v>75</v>
      </c>
      <c r="F2186" s="12">
        <f>_xlfn.XLOOKUP(Table134526_79101120212223242526[[#This Row],[Name Surname]],Manpower!C:C,Manpower!D:D,)</f>
        <v>122179604</v>
      </c>
      <c r="G2186" s="28" t="str">
        <f>_xlfn.XLOOKUP(Table134526_79101120212223242526[[#This Row],[Name Surname]],Manpower!$C$4:$C$1048576,Manpower!$F$4:$F$1048576,"")</f>
        <v>Fitter/Erector</v>
      </c>
      <c r="H2186" s="28" t="str">
        <f>_xlfn.XLOOKUP(Table134526_79101120212223242526[[#This Row],[Name Surname]],Manpower!$C$4:$C$1048576,Manpower!$H$4:$H$1048576,"")</f>
        <v>Manpower</v>
      </c>
      <c r="I2186" s="28" t="str">
        <f>_xlfn.XLOOKUP(Table134526_79101120212223242526[[#This Row],[Name Surname]],Manpower!$C$4:$C$1048576,Manpower!$H$4:$H$1048576,"")</f>
        <v>Manpower</v>
      </c>
      <c r="J2186" s="21" t="s">
        <v>48</v>
      </c>
      <c r="K2186" s="21" t="s">
        <v>26</v>
      </c>
      <c r="L2186" s="21" t="s">
        <v>49</v>
      </c>
      <c r="M2186" s="21" t="s">
        <v>24</v>
      </c>
      <c r="N2186" s="29">
        <v>10</v>
      </c>
      <c r="O2186" s="21" t="s">
        <v>25</v>
      </c>
      <c r="P2186" s="21" t="s">
        <v>41</v>
      </c>
      <c r="Q2186" s="21" t="s">
        <v>60</v>
      </c>
      <c r="R2186" s="21" t="s">
        <v>349</v>
      </c>
    </row>
    <row r="2187" spans="1:19" ht="14.4" hidden="1">
      <c r="A2187" s="33">
        <f>IF(C2187="","",MAX($A$1:A2186)+1)</f>
        <v>2047</v>
      </c>
      <c r="B2187" s="25" t="s">
        <v>19</v>
      </c>
      <c r="C2187" s="23">
        <v>46099</v>
      </c>
      <c r="D2187" s="28" t="str">
        <f>_xlfn.XLOOKUP(Table134526_79101120212223242526[[#This Row],[Name Surname]],Manpower!$C$4:$C$1048576,Manpower!$B$4:$B$1048576,"")</f>
        <v>Encogroup</v>
      </c>
      <c r="E2187" s="21" t="s">
        <v>78</v>
      </c>
      <c r="F2187" s="12">
        <f>_xlfn.XLOOKUP(Table134526_79101120212223242526[[#This Row],[Name Surname]],Manpower!C:C,Manpower!D:D,)</f>
        <v>117255966</v>
      </c>
      <c r="G2187" s="28" t="str">
        <f>_xlfn.XLOOKUP(Table134526_79101120212223242526[[#This Row],[Name Surname]],Manpower!$C$4:$C$1048576,Manpower!$F$4:$F$1048576,"")</f>
        <v>Mechanical Supervisor</v>
      </c>
      <c r="H2187" s="28" t="str">
        <f>_xlfn.XLOOKUP(Table134526_79101120212223242526[[#This Row],[Name Surname]],Manpower!$C$4:$C$1048576,Manpower!$H$4:$H$1048576,"")</f>
        <v>Manpower</v>
      </c>
      <c r="I2187" s="28" t="str">
        <f>_xlfn.XLOOKUP(Table134526_79101120212223242526[[#This Row],[Name Surname]],Manpower!$C$4:$C$1048576,Manpower!$H$4:$H$1048576,"")</f>
        <v>Manpower</v>
      </c>
      <c r="J2187" s="21" t="s">
        <v>48</v>
      </c>
      <c r="K2187" s="21" t="s">
        <v>26</v>
      </c>
      <c r="L2187" s="21" t="s">
        <v>49</v>
      </c>
      <c r="M2187" s="21" t="s">
        <v>24</v>
      </c>
      <c r="N2187" s="29">
        <v>10</v>
      </c>
      <c r="O2187" s="21" t="s">
        <v>25</v>
      </c>
      <c r="P2187" s="21" t="s">
        <v>41</v>
      </c>
      <c r="Q2187" s="21" t="s">
        <v>60</v>
      </c>
      <c r="R2187" s="21" t="s">
        <v>349</v>
      </c>
    </row>
    <row r="2188" spans="1:19" ht="14.4">
      <c r="A2188" s="33">
        <f>IF(C2188="","",MAX($A$1:A2187)+1)</f>
        <v>2048</v>
      </c>
      <c r="B2188" s="26" t="s">
        <v>79</v>
      </c>
      <c r="C2188" s="23">
        <v>46099</v>
      </c>
      <c r="D2188" s="28" t="str">
        <f>_xlfn.XLOOKUP(Table134526_79101120212223242526[[#This Row],[Name Surname]],Manpower!$C$4:$C$1048576,Manpower!$B$4:$B$1048576,"")</f>
        <v>Encogroup</v>
      </c>
      <c r="E2188" s="21" t="s">
        <v>80</v>
      </c>
      <c r="F2188" s="12" t="e">
        <f>_xlfn.XLOOKUP(Table134526_79101120212223242526[[#This Row],[Name Surname]],Manpower!C:C,Manpower!D:D,)</f>
        <v>#N/A</v>
      </c>
      <c r="G2188" s="28" t="str">
        <f>_xlfn.XLOOKUP(Table134526_79101120212223242526[[#This Row],[Name Surname]],Manpower!$C$4:$C$1048576,Manpower!$F$4:$F$1048576,"")</f>
        <v>22M-Manlift</v>
      </c>
      <c r="H2188" s="28" t="str">
        <f>_xlfn.XLOOKUP(Table134526_79101120212223242526[[#This Row],[Name Surname]],Manpower!$C$4:$C$1048576,Manpower!$H$4:$H$1048576,"")</f>
        <v>Equipment</v>
      </c>
      <c r="I2188" s="28" t="str">
        <f>_xlfn.XLOOKUP(Table134526_79101120212223242526[[#This Row],[Name Surname]],Manpower!$C$4:$C$1048576,Manpower!$H$4:$H$1048576,"")</f>
        <v>Equipment</v>
      </c>
      <c r="J2188" s="21" t="s">
        <v>35</v>
      </c>
      <c r="K2188" s="21" t="s">
        <v>252</v>
      </c>
      <c r="L2188" s="21" t="s">
        <v>82</v>
      </c>
      <c r="M2188" s="21" t="s">
        <v>24</v>
      </c>
      <c r="N2188" s="29">
        <v>10</v>
      </c>
      <c r="O2188" s="21" t="s">
        <v>25</v>
      </c>
      <c r="P2188" s="21" t="s">
        <v>41</v>
      </c>
      <c r="Q2188" s="21" t="s">
        <v>77</v>
      </c>
      <c r="R2188" s="21" t="s">
        <v>350</v>
      </c>
    </row>
    <row r="2189" spans="1:19" ht="14.4">
      <c r="A2189" s="33">
        <f>IF(C2189="","",MAX($A$1:A2188)+1)</f>
        <v>2049</v>
      </c>
      <c r="B2189" s="26" t="s">
        <v>79</v>
      </c>
      <c r="C2189" s="23">
        <v>46099</v>
      </c>
      <c r="D2189" s="28" t="str">
        <f>_xlfn.XLOOKUP(Table134526_79101120212223242526[[#This Row],[Name Surname]],Manpower!$C$4:$C$1048576,Manpower!$B$4:$B$1048576,"")</f>
        <v>Encogroup</v>
      </c>
      <c r="E2189" s="21" t="s">
        <v>84</v>
      </c>
      <c r="F2189" s="12" t="e">
        <f>_xlfn.XLOOKUP(Table134526_79101120212223242526[[#This Row],[Name Surname]],Manpower!C:C,Manpower!D:D,)</f>
        <v>#N/A</v>
      </c>
      <c r="G2189" s="28" t="str">
        <f>_xlfn.XLOOKUP(Table134526_79101120212223242526[[#This Row],[Name Surname]],Manpower!$C$4:$C$1048576,Manpower!$F$4:$F$1048576,"")</f>
        <v>22M-Manlift</v>
      </c>
      <c r="H2189" s="28" t="str">
        <f>_xlfn.XLOOKUP(Table134526_79101120212223242526[[#This Row],[Name Surname]],Manpower!$C$4:$C$1048576,Manpower!$H$4:$H$1048576,"")</f>
        <v>Equipment</v>
      </c>
      <c r="I2189" s="28" t="str">
        <f>_xlfn.XLOOKUP(Table134526_79101120212223242526[[#This Row],[Name Surname]],Manpower!$C$4:$C$1048576,Manpower!$H$4:$H$1048576,"")</f>
        <v>Equipment</v>
      </c>
      <c r="J2189" s="21" t="s">
        <v>35</v>
      </c>
      <c r="K2189" s="21" t="s">
        <v>252</v>
      </c>
      <c r="L2189" s="21" t="s">
        <v>82</v>
      </c>
      <c r="M2189" s="21" t="s">
        <v>24</v>
      </c>
      <c r="N2189" s="29">
        <v>10</v>
      </c>
      <c r="O2189" s="21" t="s">
        <v>25</v>
      </c>
      <c r="P2189" s="21" t="s">
        <v>41</v>
      </c>
      <c r="Q2189" s="21" t="s">
        <v>77</v>
      </c>
      <c r="R2189" s="21" t="s">
        <v>351</v>
      </c>
    </row>
    <row r="2190" spans="1:19" ht="14.4">
      <c r="A2190" s="33">
        <f>IF(C2190="","",MAX($A$1:A2189)+1)</f>
        <v>2050</v>
      </c>
      <c r="B2190" s="26" t="s">
        <v>79</v>
      </c>
      <c r="C2190" s="23">
        <v>46099</v>
      </c>
      <c r="D2190" s="28" t="str">
        <f>_xlfn.XLOOKUP(Table134526_79101120212223242526[[#This Row],[Name Surname]],Manpower!$C$4:$C$1048576,Manpower!$B$4:$B$1048576,"")</f>
        <v>Nass Group</v>
      </c>
      <c r="E2190" s="21" t="s">
        <v>86</v>
      </c>
      <c r="F2190" s="12" t="e">
        <f>_xlfn.XLOOKUP(Table134526_79101120212223242526[[#This Row],[Name Surname]],Manpower!C:C,Manpower!D:D,)</f>
        <v>#N/A</v>
      </c>
      <c r="G2190" s="28" t="str">
        <f>_xlfn.XLOOKUP(Table134526_79101120212223242526[[#This Row],[Name Surname]],Manpower!$C$4:$C$1048576,Manpower!$F$4:$F$1048576,"")</f>
        <v>70T-Telescopic crane</v>
      </c>
      <c r="H2190" s="28" t="str">
        <f>_xlfn.XLOOKUP(Table134526_79101120212223242526[[#This Row],[Name Surname]],Manpower!$C$4:$C$1048576,Manpower!$H$4:$H$1048576,"")</f>
        <v>Equipment</v>
      </c>
      <c r="I2190" s="28" t="str">
        <f>_xlfn.XLOOKUP(Table134526_79101120212223242526[[#This Row],[Name Surname]],Manpower!$C$4:$C$1048576,Manpower!$H$4:$H$1048576,"")</f>
        <v>Equipment</v>
      </c>
      <c r="J2190" s="21" t="s">
        <v>35</v>
      </c>
      <c r="K2190" s="21" t="s">
        <v>252</v>
      </c>
      <c r="L2190" s="21" t="s">
        <v>82</v>
      </c>
      <c r="M2190" s="21" t="s">
        <v>24</v>
      </c>
      <c r="N2190" s="29">
        <v>10</v>
      </c>
      <c r="O2190" s="21" t="s">
        <v>40</v>
      </c>
      <c r="P2190" s="21" t="s">
        <v>41</v>
      </c>
      <c r="Q2190" s="21" t="s">
        <v>42</v>
      </c>
      <c r="R2190" s="21" t="s">
        <v>335</v>
      </c>
    </row>
    <row r="2191" spans="1:19" ht="14.4" hidden="1">
      <c r="A2191" s="33">
        <f>IF(C2191="","",MAX($A$1:A2190)+1)</f>
        <v>2051</v>
      </c>
      <c r="B2191" s="26" t="s">
        <v>79</v>
      </c>
      <c r="C2191" s="23">
        <v>46099</v>
      </c>
      <c r="D2191" s="28" t="str">
        <f>_xlfn.XLOOKUP(Table134526_79101120212223242526[[#This Row],[Name Surname]],Manpower!$C$4:$C$1048576,Manpower!$B$4:$B$1048576,"")</f>
        <v>SARENS NASS</v>
      </c>
      <c r="E2191" s="21" t="s">
        <v>103</v>
      </c>
      <c r="F2191" s="12">
        <f>_xlfn.XLOOKUP(Table134526_79101120212223242526[[#This Row],[Name Surname]],Manpower!C:C,Manpower!D:D,)</f>
        <v>79502392</v>
      </c>
      <c r="G2191" s="28" t="str">
        <f>_xlfn.XLOOKUP(Table134526_79101120212223242526[[#This Row],[Name Surname]],Manpower!$C$4:$C$1048576,Manpower!$F$4:$F$1048576,"")</f>
        <v>Crane Operator- 70T Liebherr Telescopic Crane-01</v>
      </c>
      <c r="H2191" s="28" t="str">
        <f>_xlfn.XLOOKUP(Table134526_79101120212223242526[[#This Row],[Name Surname]],Manpower!$C$4:$C$1048576,Manpower!$H$4:$H$1048576,"")</f>
        <v>Manpower</v>
      </c>
      <c r="I2191" s="28" t="str">
        <f>_xlfn.XLOOKUP(Table134526_79101120212223242526[[#This Row],[Name Surname]],Manpower!$C$4:$C$1048576,Manpower!$H$4:$H$1048576,"")</f>
        <v>Manpower</v>
      </c>
      <c r="J2191" s="21" t="s">
        <v>35</v>
      </c>
      <c r="K2191" s="21" t="s">
        <v>252</v>
      </c>
      <c r="L2191" s="21" t="s">
        <v>82</v>
      </c>
      <c r="M2191" s="21" t="s">
        <v>24</v>
      </c>
      <c r="N2191" s="29">
        <v>10</v>
      </c>
      <c r="O2191" s="21" t="s">
        <v>40</v>
      </c>
      <c r="P2191" s="21" t="s">
        <v>41</v>
      </c>
      <c r="Q2191" s="21" t="s">
        <v>42</v>
      </c>
      <c r="R2191" s="21" t="s">
        <v>43</v>
      </c>
    </row>
    <row r="2192" spans="1:19" ht="14.4">
      <c r="A2192" s="33">
        <f>IF(C2192="","",MAX($A$1:A2191)+1)</f>
        <v>2052</v>
      </c>
      <c r="B2192" s="26" t="s">
        <v>79</v>
      </c>
      <c r="C2192" s="23">
        <v>46099</v>
      </c>
      <c r="D2192" s="28" t="str">
        <f>_xlfn.XLOOKUP(Table134526_79101120212223242526[[#This Row],[Name Surname]],Manpower!$C$4:$C$1048576,Manpower!$B$4:$B$1048576,"")</f>
        <v>Nass Group</v>
      </c>
      <c r="E2192" s="21" t="s">
        <v>146</v>
      </c>
      <c r="F2192" s="12" t="e">
        <f>_xlfn.XLOOKUP(Table134526_79101120212223242526[[#This Row],[Name Surname]],Manpower!C:C,Manpower!D:D,)</f>
        <v>#N/A</v>
      </c>
      <c r="G2192" s="28" t="str">
        <f>_xlfn.XLOOKUP(Table134526_79101120212223242526[[#This Row],[Name Surname]],Manpower!$C$4:$C$1048576,Manpower!$F$4:$F$1048576,"")</f>
        <v>130T Crawler Crane</v>
      </c>
      <c r="H2192" s="28" t="str">
        <f>_xlfn.XLOOKUP(Table134526_79101120212223242526[[#This Row],[Name Surname]],Manpower!$C$4:$C$1048576,Manpower!$H$4:$H$1048576,"")</f>
        <v>Equipment</v>
      </c>
      <c r="I2192" s="28" t="str">
        <f>_xlfn.XLOOKUP(Table134526_79101120212223242526[[#This Row],[Name Surname]],Manpower!$C$4:$C$1048576,Manpower!$H$4:$H$1048576,"")</f>
        <v>Equipment</v>
      </c>
      <c r="J2192" s="21" t="s">
        <v>35</v>
      </c>
      <c r="K2192" s="21" t="s">
        <v>335</v>
      </c>
      <c r="L2192" s="21" t="s">
        <v>82</v>
      </c>
      <c r="M2192" s="21" t="s">
        <v>55</v>
      </c>
      <c r="N2192" s="29">
        <v>10</v>
      </c>
      <c r="R2192" s="21" t="s">
        <v>336</v>
      </c>
    </row>
    <row r="2193" spans="1:18" ht="14.4" hidden="1">
      <c r="A2193" s="33">
        <f>IF(C2193="","",MAX($A$1:A2192)+1)</f>
        <v>2053</v>
      </c>
      <c r="B2193" s="26" t="s">
        <v>79</v>
      </c>
      <c r="C2193" s="23">
        <v>46099</v>
      </c>
      <c r="D2193" s="28" t="str">
        <f>_xlfn.XLOOKUP(Table134526_79101120212223242526[[#This Row],[Name Surname]],Manpower!$C$4:$C$1048576,Manpower!$B$4:$B$1048576,"")</f>
        <v>SARENS NASS</v>
      </c>
      <c r="E2193" s="21" t="s">
        <v>214</v>
      </c>
      <c r="F2193" s="12">
        <f>_xlfn.XLOOKUP(Table134526_79101120212223242526[[#This Row],[Name Surname]],Manpower!C:C,Manpower!D:D,)</f>
        <v>109957631</v>
      </c>
      <c r="G2193" s="28" t="str">
        <f>_xlfn.XLOOKUP(Table134526_79101120212223242526[[#This Row],[Name Surname]],Manpower!$C$4:$C$1048576,Manpower!$F$4:$F$1048576,"")</f>
        <v>Crane Operator-130T Liebherr Crawler</v>
      </c>
      <c r="H2193" s="28" t="str">
        <f>_xlfn.XLOOKUP(Table134526_79101120212223242526[[#This Row],[Name Surname]],Manpower!$C$4:$C$1048576,Manpower!$H$4:$H$1048576,"")</f>
        <v>Manpower</v>
      </c>
      <c r="I2193" s="28" t="str">
        <f>_xlfn.XLOOKUP(Table134526_79101120212223242526[[#This Row],[Name Surname]],Manpower!$C$4:$C$1048576,Manpower!$H$4:$H$1048576,"")</f>
        <v>Manpower</v>
      </c>
      <c r="J2193" s="21" t="s">
        <v>35</v>
      </c>
      <c r="K2193" s="21" t="s">
        <v>335</v>
      </c>
      <c r="L2193" s="21" t="s">
        <v>82</v>
      </c>
      <c r="M2193" s="21" t="s">
        <v>55</v>
      </c>
      <c r="N2193" s="29">
        <v>10</v>
      </c>
      <c r="R2193" s="21" t="s">
        <v>336</v>
      </c>
    </row>
    <row r="2194" spans="1:18" ht="14.4" hidden="1">
      <c r="A2194" s="33">
        <f>IF(C2194="","",MAX($A$1:A2193)+1)</f>
        <v>2054</v>
      </c>
      <c r="B2194" s="26" t="s">
        <v>79</v>
      </c>
      <c r="C2194" s="23">
        <v>46099</v>
      </c>
      <c r="D2194" s="28" t="str">
        <f>_xlfn.XLOOKUP(Table134526_79101120212223242526[[#This Row],[Name Surname]],Manpower!$C$4:$C$1048576,Manpower!$B$4:$B$1048576,"")</f>
        <v>Encogroup</v>
      </c>
      <c r="E2194" s="21" t="s">
        <v>91</v>
      </c>
      <c r="F2194" s="12">
        <f>_xlfn.XLOOKUP(Table134526_79101120212223242526[[#This Row],[Name Surname]],Manpower!C:C,Manpower!D:D,)</f>
        <v>132915855</v>
      </c>
      <c r="G2194" s="28" t="str">
        <f>_xlfn.XLOOKUP(Table134526_79101120212223242526[[#This Row],[Name Surname]],Manpower!$C$4:$C$1048576,Manpower!$F$4:$F$1048576,"")</f>
        <v>Mechanical Supervisor</v>
      </c>
      <c r="H2194" s="28" t="str">
        <f>_xlfn.XLOOKUP(Table134526_79101120212223242526[[#This Row],[Name Surname]],Manpower!$C$4:$C$1048576,Manpower!$H$4:$H$1048576,"")</f>
        <v>Manpower</v>
      </c>
      <c r="I2194" s="28" t="str">
        <f>_xlfn.XLOOKUP(Table134526_79101120212223242526[[#This Row],[Name Surname]],Manpower!$C$4:$C$1048576,Manpower!$H$4:$H$1048576,"")</f>
        <v>Manpower</v>
      </c>
      <c r="J2194" s="21" t="s">
        <v>35</v>
      </c>
      <c r="K2194" s="21" t="s">
        <v>252</v>
      </c>
      <c r="L2194" s="21" t="s">
        <v>82</v>
      </c>
      <c r="M2194" s="21" t="s">
        <v>24</v>
      </c>
      <c r="N2194" s="29">
        <v>8</v>
      </c>
      <c r="O2194" s="21" t="s">
        <v>25</v>
      </c>
      <c r="P2194" s="21" t="s">
        <v>60</v>
      </c>
      <c r="Q2194" s="21" t="s">
        <v>60</v>
      </c>
      <c r="R2194" s="21" t="s">
        <v>352</v>
      </c>
    </row>
    <row r="2195" spans="1:18" ht="14.4" hidden="1">
      <c r="A2195" s="33">
        <f>IF(C2195="","",MAX($A$1:A2194)+1)</f>
        <v>2055</v>
      </c>
      <c r="B2195" s="26" t="s">
        <v>79</v>
      </c>
      <c r="C2195" s="23">
        <v>46099</v>
      </c>
      <c r="D2195" s="28" t="str">
        <f>_xlfn.XLOOKUP(Table134526_79101120212223242526[[#This Row],[Name Surname]],Manpower!$C$4:$C$1048576,Manpower!$B$4:$B$1048576,"")</f>
        <v>Encogroup</v>
      </c>
      <c r="E2195" s="21" t="s">
        <v>124</v>
      </c>
      <c r="F2195" s="12">
        <f>_xlfn.XLOOKUP(Table134526_79101120212223242526[[#This Row],[Name Surname]],Manpower!C:C,Manpower!D:D,)</f>
        <v>141169033</v>
      </c>
      <c r="G2195" s="28" t="str">
        <f>_xlfn.XLOOKUP(Table134526_79101120212223242526[[#This Row],[Name Surname]],Manpower!$C$4:$C$1048576,Manpower!$F$4:$F$1048576,"")</f>
        <v>Welder</v>
      </c>
      <c r="H2195" s="28" t="str">
        <f>_xlfn.XLOOKUP(Table134526_79101120212223242526[[#This Row],[Name Surname]],Manpower!$C$4:$C$1048576,Manpower!$H$4:$H$1048576,"")</f>
        <v>Manpower</v>
      </c>
      <c r="I2195" s="28" t="str">
        <f>_xlfn.XLOOKUP(Table134526_79101120212223242526[[#This Row],[Name Surname]],Manpower!$C$4:$C$1048576,Manpower!$H$4:$H$1048576,"")</f>
        <v>Manpower</v>
      </c>
      <c r="J2195" s="21" t="s">
        <v>35</v>
      </c>
      <c r="K2195" s="21" t="s">
        <v>252</v>
      </c>
      <c r="L2195" s="21" t="s">
        <v>82</v>
      </c>
      <c r="M2195" s="21" t="s">
        <v>24</v>
      </c>
      <c r="N2195" s="29">
        <v>10</v>
      </c>
      <c r="O2195" s="21" t="s">
        <v>25</v>
      </c>
      <c r="P2195" s="21" t="s">
        <v>41</v>
      </c>
      <c r="Q2195" s="21" t="s">
        <v>60</v>
      </c>
      <c r="R2195" s="21" t="s">
        <v>353</v>
      </c>
    </row>
    <row r="2196" spans="1:18" ht="14.4" hidden="1">
      <c r="A2196" s="33">
        <f>IF(C2196="","",MAX($A$1:A2195)+1)</f>
        <v>2056</v>
      </c>
      <c r="B2196" s="26" t="s">
        <v>79</v>
      </c>
      <c r="C2196" s="23">
        <v>46099</v>
      </c>
      <c r="D2196" s="28" t="str">
        <f>_xlfn.XLOOKUP(Table134526_79101120212223242526[[#This Row],[Name Surname]],Manpower!$C$4:$C$1048576,Manpower!$B$4:$B$1048576,"")</f>
        <v>Encogroup</v>
      </c>
      <c r="E2196" s="21" t="s">
        <v>97</v>
      </c>
      <c r="F2196" s="12">
        <f>_xlfn.XLOOKUP(Table134526_79101120212223242526[[#This Row],[Name Surname]],Manpower!C:C,Manpower!D:D,)</f>
        <v>141359235</v>
      </c>
      <c r="G2196" s="28" t="str">
        <f>_xlfn.XLOOKUP(Table134526_79101120212223242526[[#This Row],[Name Surname]],Manpower!$C$4:$C$1048576,Manpower!$F$4:$F$1048576,"")</f>
        <v>Fitter</v>
      </c>
      <c r="H2196" s="28" t="str">
        <f>_xlfn.XLOOKUP(Table134526_79101120212223242526[[#This Row],[Name Surname]],Manpower!$C$4:$C$1048576,Manpower!$H$4:$H$1048576,"")</f>
        <v>Manpower</v>
      </c>
      <c r="I2196" s="28" t="str">
        <f>_xlfn.XLOOKUP(Table134526_79101120212223242526[[#This Row],[Name Surname]],Manpower!$C$4:$C$1048576,Manpower!$H$4:$H$1048576,"")</f>
        <v>Manpower</v>
      </c>
      <c r="J2196" s="21" t="s">
        <v>35</v>
      </c>
      <c r="K2196" s="21" t="s">
        <v>252</v>
      </c>
      <c r="L2196" s="21" t="s">
        <v>82</v>
      </c>
      <c r="M2196" s="21" t="s">
        <v>24</v>
      </c>
      <c r="N2196" s="29">
        <v>10</v>
      </c>
      <c r="O2196" s="21" t="s">
        <v>25</v>
      </c>
      <c r="P2196" s="21" t="s">
        <v>41</v>
      </c>
      <c r="Q2196" s="21" t="s">
        <v>77</v>
      </c>
      <c r="R2196" s="21" t="s">
        <v>350</v>
      </c>
    </row>
    <row r="2197" spans="1:18" ht="14.4" hidden="1">
      <c r="A2197" s="33">
        <f>IF(C2197="","",MAX($A$1:A2196)+1)</f>
        <v>2057</v>
      </c>
      <c r="B2197" s="26" t="s">
        <v>79</v>
      </c>
      <c r="C2197" s="23">
        <v>46099</v>
      </c>
      <c r="D2197" s="28" t="str">
        <f>_xlfn.XLOOKUP(Table134526_79101120212223242526[[#This Row],[Name Surname]],Manpower!$C$4:$C$1048576,Manpower!$B$4:$B$1048576,"")</f>
        <v>Encogroup</v>
      </c>
      <c r="E2197" s="21" t="s">
        <v>99</v>
      </c>
      <c r="F2197" s="12">
        <f>_xlfn.XLOOKUP(Table134526_79101120212223242526[[#This Row],[Name Surname]],Manpower!C:C,Manpower!D:D,)</f>
        <v>140697025</v>
      </c>
      <c r="G2197" s="28" t="str">
        <f>_xlfn.XLOOKUP(Table134526_79101120212223242526[[#This Row],[Name Surname]],Manpower!$C$4:$C$1048576,Manpower!$F$4:$F$1048576,"")</f>
        <v>Assistant/Helper</v>
      </c>
      <c r="H2197" s="28" t="str">
        <f>_xlfn.XLOOKUP(Table134526_79101120212223242526[[#This Row],[Name Surname]],Manpower!$C$4:$C$1048576,Manpower!$H$4:$H$1048576,"")</f>
        <v>Manpower</v>
      </c>
      <c r="I2197" s="28" t="str">
        <f>_xlfn.XLOOKUP(Table134526_79101120212223242526[[#This Row],[Name Surname]],Manpower!$C$4:$C$1048576,Manpower!$H$4:$H$1048576,"")</f>
        <v>Manpower</v>
      </c>
      <c r="J2197" s="21" t="s">
        <v>35</v>
      </c>
      <c r="K2197" s="21" t="s">
        <v>252</v>
      </c>
      <c r="L2197" s="21" t="s">
        <v>82</v>
      </c>
      <c r="M2197" s="21" t="s">
        <v>24</v>
      </c>
      <c r="N2197" s="29">
        <v>10</v>
      </c>
      <c r="O2197" s="21" t="s">
        <v>25</v>
      </c>
      <c r="P2197" s="21" t="s">
        <v>41</v>
      </c>
      <c r="Q2197" s="21" t="s">
        <v>60</v>
      </c>
      <c r="R2197" s="21" t="s">
        <v>100</v>
      </c>
    </row>
    <row r="2198" spans="1:18" ht="14.4" hidden="1">
      <c r="A2198" s="33">
        <f>IF(C2198="","",MAX($A$1:A2197)+1)</f>
        <v>2058</v>
      </c>
      <c r="B2198" s="26" t="s">
        <v>79</v>
      </c>
      <c r="C2198" s="23">
        <v>46099</v>
      </c>
      <c r="D2198" s="28" t="str">
        <f>_xlfn.XLOOKUP(Table134526_79101120212223242526[[#This Row],[Name Surname]],Manpower!$C$4:$C$1048576,Manpower!$B$4:$B$1048576,"")</f>
        <v>Encogroup</v>
      </c>
      <c r="E2198" s="21" t="s">
        <v>101</v>
      </c>
      <c r="F2198" s="12">
        <f>_xlfn.XLOOKUP(Table134526_79101120212223242526[[#This Row],[Name Surname]],Manpower!C:C,Manpower!D:D,)</f>
        <v>141169052</v>
      </c>
      <c r="G2198" s="28" t="str">
        <f>_xlfn.XLOOKUP(Table134526_79101120212223242526[[#This Row],[Name Surname]],Manpower!$C$4:$C$1048576,Manpower!$F$4:$F$1048576,"")</f>
        <v>Welder</v>
      </c>
      <c r="H2198" s="28" t="str">
        <f>_xlfn.XLOOKUP(Table134526_79101120212223242526[[#This Row],[Name Surname]],Manpower!$C$4:$C$1048576,Manpower!$H$4:$H$1048576,"")</f>
        <v>Manpower</v>
      </c>
      <c r="I2198" s="28" t="str">
        <f>_xlfn.XLOOKUP(Table134526_79101120212223242526[[#This Row],[Name Surname]],Manpower!$C$4:$C$1048576,Manpower!$H$4:$H$1048576,"")</f>
        <v>Manpower</v>
      </c>
      <c r="J2198" s="21" t="s">
        <v>35</v>
      </c>
      <c r="K2198" s="21" t="s">
        <v>252</v>
      </c>
      <c r="L2198" s="21" t="s">
        <v>82</v>
      </c>
      <c r="M2198" s="21" t="s">
        <v>24</v>
      </c>
      <c r="N2198" s="29">
        <v>10</v>
      </c>
      <c r="O2198" s="21" t="s">
        <v>25</v>
      </c>
      <c r="P2198" s="21" t="s">
        <v>41</v>
      </c>
      <c r="Q2198" s="21" t="s">
        <v>77</v>
      </c>
      <c r="R2198" s="21" t="s">
        <v>350</v>
      </c>
    </row>
    <row r="2199" spans="1:18" ht="14.4" hidden="1">
      <c r="A2199" s="33">
        <f>IF(C2199="","",MAX($A$1:A2198)+1)</f>
        <v>2059</v>
      </c>
      <c r="B2199" s="26" t="s">
        <v>79</v>
      </c>
      <c r="C2199" s="23">
        <v>46099</v>
      </c>
      <c r="D2199" s="28" t="str">
        <f>_xlfn.XLOOKUP(Table134526_79101120212223242526[[#This Row],[Name Surname]],Manpower!$C$4:$C$1048576,Manpower!$B$4:$B$1048576,"")</f>
        <v>Encogroup</v>
      </c>
      <c r="E2199" s="21" t="s">
        <v>105</v>
      </c>
      <c r="F2199" s="12">
        <f>_xlfn.XLOOKUP(Table134526_79101120212223242526[[#This Row],[Name Surname]],Manpower!C:C,Manpower!D:D,)</f>
        <v>141358993</v>
      </c>
      <c r="G2199" s="28" t="str">
        <f>_xlfn.XLOOKUP(Table134526_79101120212223242526[[#This Row],[Name Surname]],Manpower!$C$4:$C$1048576,Manpower!$F$4:$F$1048576,"")</f>
        <v>Fitter</v>
      </c>
      <c r="H2199" s="28" t="str">
        <f>_xlfn.XLOOKUP(Table134526_79101120212223242526[[#This Row],[Name Surname]],Manpower!$C$4:$C$1048576,Manpower!$H$4:$H$1048576,"")</f>
        <v>Manpower</v>
      </c>
      <c r="I2199" s="28" t="str">
        <f>_xlfn.XLOOKUP(Table134526_79101120212223242526[[#This Row],[Name Surname]],Manpower!$C$4:$C$1048576,Manpower!$H$4:$H$1048576,"")</f>
        <v>Manpower</v>
      </c>
      <c r="J2199" s="21" t="s">
        <v>35</v>
      </c>
      <c r="K2199" s="21" t="s">
        <v>252</v>
      </c>
      <c r="L2199" s="21" t="s">
        <v>82</v>
      </c>
      <c r="M2199" s="21" t="s">
        <v>24</v>
      </c>
      <c r="N2199" s="29">
        <v>8</v>
      </c>
      <c r="O2199" s="21" t="s">
        <v>25</v>
      </c>
      <c r="P2199" s="21" t="s">
        <v>41</v>
      </c>
      <c r="Q2199" s="21" t="s">
        <v>77</v>
      </c>
      <c r="R2199" s="21" t="s">
        <v>350</v>
      </c>
    </row>
    <row r="2200" spans="1:18" ht="14.4" hidden="1">
      <c r="A2200" s="33">
        <f>IF(C2200="","",MAX($A$1:A2199)+1)</f>
        <v>2060</v>
      </c>
      <c r="B2200" s="26" t="s">
        <v>79</v>
      </c>
      <c r="C2200" s="23">
        <v>46099</v>
      </c>
      <c r="D2200" s="28" t="str">
        <f>_xlfn.XLOOKUP(Table134526_79101120212223242526[[#This Row],[Name Surname]],Manpower!$C$4:$C$1048576,Manpower!$B$4:$B$1048576,"")</f>
        <v>Encogroup</v>
      </c>
      <c r="E2200" s="21" t="s">
        <v>106</v>
      </c>
      <c r="F2200" s="12" t="str">
        <f>_xlfn.XLOOKUP(Table134526_79101120212223242526[[#This Row],[Name Surname]],Manpower!C:C,Manpower!D:D,)</f>
        <v>R3971143</v>
      </c>
      <c r="G2200" s="28" t="str">
        <f>_xlfn.XLOOKUP(Table134526_79101120212223242526[[#This Row],[Name Surname]],Manpower!$C$4:$C$1048576,Manpower!$F$4:$F$1048576,"")</f>
        <v>Mechanical Foreman</v>
      </c>
      <c r="H2200" s="28" t="str">
        <f>_xlfn.XLOOKUP(Table134526_79101120212223242526[[#This Row],[Name Surname]],Manpower!$C$4:$C$1048576,Manpower!$H$4:$H$1048576,"")</f>
        <v>Manpower</v>
      </c>
      <c r="I2200" s="28" t="str">
        <f>_xlfn.XLOOKUP(Table134526_79101120212223242526[[#This Row],[Name Surname]],Manpower!$C$4:$C$1048576,Manpower!$H$4:$H$1048576,"")</f>
        <v>Manpower</v>
      </c>
      <c r="J2200" s="21" t="s">
        <v>35</v>
      </c>
      <c r="K2200" s="21" t="s">
        <v>252</v>
      </c>
      <c r="L2200" s="21" t="s">
        <v>82</v>
      </c>
      <c r="M2200" s="21" t="s">
        <v>24</v>
      </c>
      <c r="N2200" s="29">
        <v>10</v>
      </c>
      <c r="O2200" s="21" t="s">
        <v>25</v>
      </c>
      <c r="P2200" s="21" t="s">
        <v>41</v>
      </c>
      <c r="Q2200" s="21" t="s">
        <v>60</v>
      </c>
      <c r="R2200" s="21" t="s">
        <v>353</v>
      </c>
    </row>
    <row r="2201" spans="1:18" ht="14.4" hidden="1">
      <c r="A2201" s="33">
        <f>IF(C2201="","",MAX($A$1:A2200)+1)</f>
        <v>2061</v>
      </c>
      <c r="B2201" s="26" t="s">
        <v>79</v>
      </c>
      <c r="C2201" s="23">
        <v>46099</v>
      </c>
      <c r="D2201" s="28" t="str">
        <f>_xlfn.XLOOKUP(Table134526_79101120212223242526[[#This Row],[Name Surname]],Manpower!$C$4:$C$1048576,Manpower!$B$4:$B$1048576,"")</f>
        <v>Encogroup</v>
      </c>
      <c r="E2201" s="21" t="s">
        <v>107</v>
      </c>
      <c r="F2201" s="12">
        <f>_xlfn.XLOOKUP(Table134526_79101120212223242526[[#This Row],[Name Surname]],Manpower!C:C,Manpower!D:D,)</f>
        <v>116858297</v>
      </c>
      <c r="G2201" s="28" t="str">
        <f>_xlfn.XLOOKUP(Table134526_79101120212223242526[[#This Row],[Name Surname]],Manpower!$C$4:$C$1048576,Manpower!$F$4:$F$1048576,"")</f>
        <v>Mechanical Superintendent</v>
      </c>
      <c r="H2201" s="28" t="str">
        <f>_xlfn.XLOOKUP(Table134526_79101120212223242526[[#This Row],[Name Surname]],Manpower!$C$4:$C$1048576,Manpower!$H$4:$H$1048576,"")</f>
        <v>Manpower</v>
      </c>
      <c r="I2201" s="28" t="str">
        <f>_xlfn.XLOOKUP(Table134526_79101120212223242526[[#This Row],[Name Surname]],Manpower!$C$4:$C$1048576,Manpower!$H$4:$H$1048576,"")</f>
        <v>Manpower</v>
      </c>
      <c r="J2201" s="21" t="s">
        <v>35</v>
      </c>
      <c r="K2201" s="21" t="s">
        <v>252</v>
      </c>
      <c r="L2201" s="21" t="s">
        <v>82</v>
      </c>
      <c r="M2201" s="21" t="s">
        <v>24</v>
      </c>
      <c r="N2201" s="29">
        <v>8</v>
      </c>
      <c r="O2201" s="21" t="s">
        <v>25</v>
      </c>
      <c r="P2201" s="21" t="s">
        <v>41</v>
      </c>
      <c r="Q2201" s="21" t="s">
        <v>60</v>
      </c>
      <c r="R2201" s="21" t="s">
        <v>352</v>
      </c>
    </row>
    <row r="2202" spans="1:18" ht="14.4" hidden="1">
      <c r="A2202" s="33">
        <f>IF(C2202="","",MAX($A$1:A2201)+1)</f>
        <v>2062</v>
      </c>
      <c r="B2202" s="26" t="s">
        <v>79</v>
      </c>
      <c r="C2202" s="23">
        <v>46099</v>
      </c>
      <c r="D2202" s="28" t="str">
        <f>_xlfn.XLOOKUP(Table134526_79101120212223242526[[#This Row],[Name Surname]],Manpower!$C$4:$C$1048576,Manpower!$B$4:$B$1048576,"")</f>
        <v>Encogroup</v>
      </c>
      <c r="E2202" s="21" t="s">
        <v>126</v>
      </c>
      <c r="F2202" s="12">
        <f>_xlfn.XLOOKUP(Table134526_79101120212223242526[[#This Row],[Name Surname]],Manpower!C:C,Manpower!D:D,)</f>
        <v>140805568</v>
      </c>
      <c r="G2202" s="28" t="str">
        <f>_xlfn.XLOOKUP(Table134526_79101120212223242526[[#This Row],[Name Surname]],Manpower!$C$4:$C$1048576,Manpower!$F$4:$F$1048576,"")</f>
        <v>Assistant/Helper</v>
      </c>
      <c r="H2202" s="28" t="str">
        <f>_xlfn.XLOOKUP(Table134526_79101120212223242526[[#This Row],[Name Surname]],Manpower!$C$4:$C$1048576,Manpower!$H$4:$H$1048576,"")</f>
        <v>Manpower</v>
      </c>
      <c r="I2202" s="28" t="str">
        <f>_xlfn.XLOOKUP(Table134526_79101120212223242526[[#This Row],[Name Surname]],Manpower!$C$4:$C$1048576,Manpower!$H$4:$H$1048576,"")</f>
        <v>Manpower</v>
      </c>
      <c r="J2202" s="21" t="s">
        <v>35</v>
      </c>
      <c r="K2202" s="21" t="s">
        <v>252</v>
      </c>
      <c r="L2202" s="21" t="s">
        <v>82</v>
      </c>
      <c r="M2202" s="21" t="s">
        <v>24</v>
      </c>
      <c r="N2202" s="29">
        <v>10</v>
      </c>
      <c r="O2202" s="21" t="s">
        <v>40</v>
      </c>
      <c r="P2202" s="21" t="s">
        <v>41</v>
      </c>
      <c r="Q2202" s="21" t="s">
        <v>128</v>
      </c>
      <c r="R2202" s="21" t="s">
        <v>270</v>
      </c>
    </row>
    <row r="2203" spans="1:18" ht="14.4" hidden="1">
      <c r="A2203" s="33">
        <f>IF(C2203="","",MAX($A$1:A2202)+1)</f>
        <v>2063</v>
      </c>
      <c r="B2203" s="26" t="s">
        <v>79</v>
      </c>
      <c r="C2203" s="23">
        <v>46099</v>
      </c>
      <c r="D2203" s="28" t="str">
        <f>_xlfn.XLOOKUP(Table134526_79101120212223242526[[#This Row],[Name Surname]],Manpower!$C$4:$C$1048576,Manpower!$B$4:$B$1048576,"")</f>
        <v>Encogroup</v>
      </c>
      <c r="E2203" s="21" t="s">
        <v>109</v>
      </c>
      <c r="F2203" s="12">
        <f>_xlfn.XLOOKUP(Table134526_79101120212223242526[[#This Row],[Name Surname]],Manpower!C:C,Manpower!D:D,)</f>
        <v>123805496</v>
      </c>
      <c r="G2203" s="28" t="str">
        <f>_xlfn.XLOOKUP(Table134526_79101120212223242526[[#This Row],[Name Surname]],Manpower!$C$4:$C$1048576,Manpower!$F$4:$F$1048576,"")</f>
        <v>Fitter/Erector</v>
      </c>
      <c r="H2203" s="28" t="str">
        <f>_xlfn.XLOOKUP(Table134526_79101120212223242526[[#This Row],[Name Surname]],Manpower!$C$4:$C$1048576,Manpower!$H$4:$H$1048576,"")</f>
        <v>Manpower</v>
      </c>
      <c r="I2203" s="28" t="str">
        <f>_xlfn.XLOOKUP(Table134526_79101120212223242526[[#This Row],[Name Surname]],Manpower!$C$4:$C$1048576,Manpower!$H$4:$H$1048576,"")</f>
        <v>Manpower</v>
      </c>
      <c r="J2203" s="21" t="s">
        <v>35</v>
      </c>
      <c r="K2203" s="21" t="s">
        <v>252</v>
      </c>
      <c r="L2203" s="21" t="s">
        <v>82</v>
      </c>
      <c r="M2203" s="21" t="s">
        <v>24</v>
      </c>
      <c r="N2203" s="29">
        <v>6</v>
      </c>
      <c r="O2203" s="21" t="s">
        <v>25</v>
      </c>
      <c r="P2203" s="21" t="s">
        <v>41</v>
      </c>
      <c r="Q2203" s="21" t="s">
        <v>60</v>
      </c>
      <c r="R2203" s="21" t="s">
        <v>335</v>
      </c>
    </row>
    <row r="2204" spans="1:18" ht="14.4" hidden="1">
      <c r="A2204" s="33">
        <f>IF(C2204="","",MAX($A$1:A2203)+1)</f>
        <v>2064</v>
      </c>
      <c r="B2204" s="26" t="s">
        <v>79</v>
      </c>
      <c r="C2204" s="23">
        <v>46099</v>
      </c>
      <c r="D2204" s="28" t="str">
        <f>_xlfn.XLOOKUP(Table134526_79101120212223242526[[#This Row],[Name Surname]],Manpower!$C$4:$C$1048576,Manpower!$B$4:$B$1048576,"")</f>
        <v>Encogroup</v>
      </c>
      <c r="E2204" s="21" t="s">
        <v>110</v>
      </c>
      <c r="F2204" s="12">
        <f>_xlfn.XLOOKUP(Table134526_79101120212223242526[[#This Row],[Name Surname]],Manpower!C:C,Manpower!D:D,)</f>
        <v>136277866</v>
      </c>
      <c r="G2204" s="28" t="str">
        <f>_xlfn.XLOOKUP(Table134526_79101120212223242526[[#This Row],[Name Surname]],Manpower!$C$4:$C$1048576,Manpower!$F$4:$F$1048576,"")</f>
        <v>Permit Receiver</v>
      </c>
      <c r="H2204" s="28" t="str">
        <f>_xlfn.XLOOKUP(Table134526_79101120212223242526[[#This Row],[Name Surname]],Manpower!$C$4:$C$1048576,Manpower!$H$4:$H$1048576,"")</f>
        <v>Manpower</v>
      </c>
      <c r="I2204" s="28" t="str">
        <f>_xlfn.XLOOKUP(Table134526_79101120212223242526[[#This Row],[Name Surname]],Manpower!$C$4:$C$1048576,Manpower!$H$4:$H$1048576,"")</f>
        <v>Manpower</v>
      </c>
      <c r="J2204" s="21" t="s">
        <v>35</v>
      </c>
      <c r="K2204" s="21" t="s">
        <v>252</v>
      </c>
      <c r="L2204" s="21" t="s">
        <v>82</v>
      </c>
      <c r="M2204" s="21" t="s">
        <v>24</v>
      </c>
      <c r="N2204" s="29">
        <v>10</v>
      </c>
      <c r="O2204" s="21" t="s">
        <v>25</v>
      </c>
      <c r="P2204" s="21" t="s">
        <v>41</v>
      </c>
      <c r="Q2204" s="21" t="s">
        <v>60</v>
      </c>
      <c r="R2204" s="21" t="s">
        <v>354</v>
      </c>
    </row>
    <row r="2205" spans="1:18" ht="14.4" hidden="1">
      <c r="A2205" s="33">
        <f>IF(C2205="","",MAX($A$1:A2204)+1)</f>
        <v>2065</v>
      </c>
      <c r="B2205" s="26" t="s">
        <v>79</v>
      </c>
      <c r="C2205" s="23">
        <v>46099</v>
      </c>
      <c r="D2205" s="28" t="str">
        <f>_xlfn.XLOOKUP(Table134526_79101120212223242526[[#This Row],[Name Surname]],Manpower!$C$4:$C$1048576,Manpower!$B$4:$B$1048576,"")</f>
        <v>Encogroup</v>
      </c>
      <c r="E2205" s="21" t="s">
        <v>112</v>
      </c>
      <c r="F2205" s="12">
        <f>_xlfn.XLOOKUP(Table134526_79101120212223242526[[#This Row],[Name Surname]],Manpower!C:C,Manpower!D:D,)</f>
        <v>140663253</v>
      </c>
      <c r="G2205" s="28" t="str">
        <f>_xlfn.XLOOKUP(Table134526_79101120212223242526[[#This Row],[Name Surname]],Manpower!$C$4:$C$1048576,Manpower!$F$4:$F$1048576,"")</f>
        <v>Painting Inspector</v>
      </c>
      <c r="H2205" s="28" t="str">
        <f>_xlfn.XLOOKUP(Table134526_79101120212223242526[[#This Row],[Name Surname]],Manpower!$C$4:$C$1048576,Manpower!$H$4:$H$1048576,"")</f>
        <v>Manpower</v>
      </c>
      <c r="I2205" s="28" t="str">
        <f>_xlfn.XLOOKUP(Table134526_79101120212223242526[[#This Row],[Name Surname]],Manpower!$C$4:$C$1048576,Manpower!$H$4:$H$1048576,"")</f>
        <v>Manpower</v>
      </c>
      <c r="J2205" s="21" t="s">
        <v>35</v>
      </c>
      <c r="K2205" s="21" t="s">
        <v>304</v>
      </c>
      <c r="L2205" s="21" t="s">
        <v>82</v>
      </c>
      <c r="M2205" s="21" t="s">
        <v>24</v>
      </c>
      <c r="N2205" s="29">
        <v>8</v>
      </c>
      <c r="O2205" s="21" t="s">
        <v>94</v>
      </c>
      <c r="P2205" s="21" t="s">
        <v>114</v>
      </c>
      <c r="Q2205" s="21" t="s">
        <v>114</v>
      </c>
      <c r="R2205" s="21" t="s">
        <v>302</v>
      </c>
    </row>
    <row r="2206" spans="1:18" ht="14.4" hidden="1">
      <c r="A2206" s="33">
        <f>IF(C2206="","",MAX($A$1:A2205)+1)</f>
        <v>2066</v>
      </c>
      <c r="B2206" s="26" t="s">
        <v>79</v>
      </c>
      <c r="C2206" s="23">
        <v>46099</v>
      </c>
      <c r="D2206" s="28" t="str">
        <f>_xlfn.XLOOKUP(Table134526_79101120212223242526[[#This Row],[Name Surname]],Manpower!$C$4:$C$1048576,Manpower!$B$4:$B$1048576,"")</f>
        <v>Encogroup</v>
      </c>
      <c r="E2206" s="21" t="s">
        <v>118</v>
      </c>
      <c r="F2206" s="12" t="str">
        <f>_xlfn.XLOOKUP(Table134526_79101120212223242526[[#This Row],[Name Surname]],Manpower!C:C,Manpower!D:D,)</f>
        <v>AG111207</v>
      </c>
      <c r="G2206" s="28" t="str">
        <f>_xlfn.XLOOKUP(Table134526_79101120212223242526[[#This Row],[Name Surname]],Manpower!$C$4:$C$1048576,Manpower!$F$4:$F$1048576,"")</f>
        <v>Assistant/Helper</v>
      </c>
      <c r="H2206" s="28" t="str">
        <f>_xlfn.XLOOKUP(Table134526_79101120212223242526[[#This Row],[Name Surname]],Manpower!$C$4:$C$1048576,Manpower!$H$4:$H$1048576,"")</f>
        <v>Manpower</v>
      </c>
      <c r="I2206" s="28" t="str">
        <f>_xlfn.XLOOKUP(Table134526_79101120212223242526[[#This Row],[Name Surname]],Manpower!$C$4:$C$1048576,Manpower!$H$4:$H$1048576,"")</f>
        <v>Manpower</v>
      </c>
      <c r="J2206" s="21" t="s">
        <v>35</v>
      </c>
      <c r="K2206" s="21" t="s">
        <v>304</v>
      </c>
      <c r="L2206" s="21" t="s">
        <v>82</v>
      </c>
      <c r="M2206" s="21" t="s">
        <v>24</v>
      </c>
      <c r="N2206" s="29">
        <v>10</v>
      </c>
      <c r="O2206" s="21" t="s">
        <v>94</v>
      </c>
      <c r="P2206" s="21" t="s">
        <v>114</v>
      </c>
      <c r="Q2206" s="21" t="s">
        <v>114</v>
      </c>
      <c r="R2206" s="21" t="s">
        <v>302</v>
      </c>
    </row>
    <row r="2207" spans="1:18" ht="14.4" hidden="1">
      <c r="A2207" s="33">
        <f>IF(C2207="","",MAX($A$1:A2206)+1)</f>
        <v>2067</v>
      </c>
      <c r="B2207" s="26" t="s">
        <v>79</v>
      </c>
      <c r="C2207" s="23">
        <v>46099</v>
      </c>
      <c r="D2207" s="28" t="str">
        <f>_xlfn.XLOOKUP(Table134526_79101120212223242526[[#This Row],[Name Surname]],Manpower!$C$4:$C$1048576,Manpower!$B$4:$B$1048576,"")</f>
        <v>Encogroup</v>
      </c>
      <c r="E2207" s="21" t="s">
        <v>92</v>
      </c>
      <c r="F2207" s="12">
        <f>_xlfn.XLOOKUP(Table134526_79101120212223242526[[#This Row],[Name Surname]],Manpower!C:C,Manpower!D:D,)</f>
        <v>141377747</v>
      </c>
      <c r="G2207" s="28" t="str">
        <f>_xlfn.XLOOKUP(Table134526_79101120212223242526[[#This Row],[Name Surname]],Manpower!$C$4:$C$1048576,Manpower!$F$4:$F$1048576,"")</f>
        <v>Painter</v>
      </c>
      <c r="H2207" s="28" t="str">
        <f>_xlfn.XLOOKUP(Table134526_79101120212223242526[[#This Row],[Name Surname]],Manpower!$C$4:$C$1048576,Manpower!$H$4:$H$1048576,"")</f>
        <v>Manpower</v>
      </c>
      <c r="I2207" s="28" t="str">
        <f>_xlfn.XLOOKUP(Table134526_79101120212223242526[[#This Row],[Name Surname]],Manpower!$C$4:$C$1048576,Manpower!$H$4:$H$1048576,"")</f>
        <v>Manpower</v>
      </c>
      <c r="J2207" s="21" t="s">
        <v>35</v>
      </c>
      <c r="K2207" s="21" t="s">
        <v>252</v>
      </c>
      <c r="L2207" s="21" t="s">
        <v>82</v>
      </c>
      <c r="M2207" s="21" t="s">
        <v>24</v>
      </c>
      <c r="N2207" s="29">
        <v>10</v>
      </c>
      <c r="O2207" s="21" t="s">
        <v>25</v>
      </c>
      <c r="P2207" s="21" t="s">
        <v>60</v>
      </c>
      <c r="Q2207" s="21" t="s">
        <v>60</v>
      </c>
      <c r="R2207" s="21" t="s">
        <v>353</v>
      </c>
    </row>
    <row r="2208" spans="1:18" ht="14.4" hidden="1">
      <c r="A2208" s="33">
        <f>IF(C2208="","",MAX($A$1:A2207)+1)</f>
        <v>2068</v>
      </c>
      <c r="B2208" s="26" t="s">
        <v>79</v>
      </c>
      <c r="C2208" s="23">
        <v>46099</v>
      </c>
      <c r="D2208" s="28" t="str">
        <f>_xlfn.XLOOKUP(Table134526_79101120212223242526[[#This Row],[Name Surname]],Manpower!$C$4:$C$1048576,Manpower!$B$4:$B$1048576,"")</f>
        <v>Encogroup</v>
      </c>
      <c r="E2208" s="21" t="s">
        <v>173</v>
      </c>
      <c r="F2208" s="12" t="str">
        <f>_xlfn.XLOOKUP(Table134526_79101120212223242526[[#This Row],[Name Surname]],Manpower!C:C,Manpower!D:D,)</f>
        <v>S3549132</v>
      </c>
      <c r="G2208" s="28" t="str">
        <f>_xlfn.XLOOKUP(Table134526_79101120212223242526[[#This Row],[Name Surname]],Manpower!$C$4:$C$1048576,Manpower!$F$4:$F$1048576,"")</f>
        <v>Grinder</v>
      </c>
      <c r="H2208" s="28" t="str">
        <f>_xlfn.XLOOKUP(Table134526_79101120212223242526[[#This Row],[Name Surname]],Manpower!$C$4:$C$1048576,Manpower!$H$4:$H$1048576,"")</f>
        <v>Manpower</v>
      </c>
      <c r="I2208" s="28" t="str">
        <f>_xlfn.XLOOKUP(Table134526_79101120212223242526[[#This Row],[Name Surname]],Manpower!$C$4:$C$1048576,Manpower!$H$4:$H$1048576,"")</f>
        <v>Manpower</v>
      </c>
      <c r="J2208" s="21" t="s">
        <v>35</v>
      </c>
      <c r="K2208" s="21" t="s">
        <v>304</v>
      </c>
      <c r="L2208" s="21" t="s">
        <v>82</v>
      </c>
      <c r="M2208" s="21" t="s">
        <v>24</v>
      </c>
      <c r="N2208" s="29">
        <v>10</v>
      </c>
      <c r="O2208" s="21" t="s">
        <v>94</v>
      </c>
      <c r="P2208" s="21" t="s">
        <v>114</v>
      </c>
      <c r="Q2208" s="21" t="s">
        <v>114</v>
      </c>
      <c r="R2208" s="21" t="s">
        <v>302</v>
      </c>
    </row>
    <row r="2209" spans="1:19" ht="14.4" hidden="1">
      <c r="A2209" s="33">
        <f>IF(C2209="","",MAX($A$1:A2208)+1)</f>
        <v>2069</v>
      </c>
      <c r="B2209" s="26" t="s">
        <v>79</v>
      </c>
      <c r="C2209" s="23">
        <v>46099</v>
      </c>
      <c r="D2209" s="28" t="str">
        <f>_xlfn.XLOOKUP(Table134526_79101120212223242526[[#This Row],[Name Surname]],Manpower!$C$4:$C$1048576,Manpower!$B$4:$B$1048576,"")</f>
        <v>Encogroup</v>
      </c>
      <c r="E2209" s="21" t="s">
        <v>122</v>
      </c>
      <c r="F2209" s="12">
        <f>_xlfn.XLOOKUP(Table134526_79101120212223242526[[#This Row],[Name Surname]],Manpower!C:C,Manpower!D:D,)</f>
        <v>140805554</v>
      </c>
      <c r="G2209" s="28" t="str">
        <f>_xlfn.XLOOKUP(Table134526_79101120212223242526[[#This Row],[Name Surname]],Manpower!$C$4:$C$1048576,Manpower!$F$4:$F$1048576,"")</f>
        <v>Assistant/Helper</v>
      </c>
      <c r="H2209" s="28" t="str">
        <f>_xlfn.XLOOKUP(Table134526_79101120212223242526[[#This Row],[Name Surname]],Manpower!$C$4:$C$1048576,Manpower!$H$4:$H$1048576,"")</f>
        <v>Manpower</v>
      </c>
      <c r="I2209" s="28" t="str">
        <f>_xlfn.XLOOKUP(Table134526_79101120212223242526[[#This Row],[Name Surname]],Manpower!$C$4:$C$1048576,Manpower!$H$4:$H$1048576,"")</f>
        <v>Manpower</v>
      </c>
      <c r="J2209" s="21" t="s">
        <v>35</v>
      </c>
      <c r="K2209" s="21" t="s">
        <v>252</v>
      </c>
      <c r="L2209" s="21" t="s">
        <v>82</v>
      </c>
      <c r="M2209" s="21" t="s">
        <v>24</v>
      </c>
      <c r="N2209" s="29">
        <v>10</v>
      </c>
      <c r="O2209" s="21" t="s">
        <v>25</v>
      </c>
      <c r="P2209" s="21" t="s">
        <v>41</v>
      </c>
      <c r="Q2209" s="21" t="s">
        <v>77</v>
      </c>
      <c r="R2209" s="21" t="s">
        <v>350</v>
      </c>
    </row>
    <row r="2210" spans="1:19" ht="14.4" hidden="1">
      <c r="A2210" s="33">
        <f>IF(C2210="","",MAX($A$1:A2209)+1)</f>
        <v>2070</v>
      </c>
      <c r="B2210" s="26" t="s">
        <v>79</v>
      </c>
      <c r="C2210" s="23">
        <v>46099</v>
      </c>
      <c r="D2210" s="28" t="str">
        <f>_xlfn.XLOOKUP(Table134526_79101120212223242526[[#This Row],[Name Surname]],Manpower!$C$4:$C$1048576,Manpower!$B$4:$B$1048576,"")</f>
        <v>Encogroup</v>
      </c>
      <c r="E2210" s="21" t="s">
        <v>125</v>
      </c>
      <c r="F2210" s="12">
        <f>_xlfn.XLOOKUP(Table134526_79101120212223242526[[#This Row],[Name Surname]],Manpower!C:C,Manpower!D:D,)</f>
        <v>141169028</v>
      </c>
      <c r="G2210" s="28" t="str">
        <f>_xlfn.XLOOKUP(Table134526_79101120212223242526[[#This Row],[Name Surname]],Manpower!$C$4:$C$1048576,Manpower!$F$4:$F$1048576,"")</f>
        <v>Welder</v>
      </c>
      <c r="H2210" s="28" t="str">
        <f>_xlfn.XLOOKUP(Table134526_79101120212223242526[[#This Row],[Name Surname]],Manpower!$C$4:$C$1048576,Manpower!$H$4:$H$1048576,"")</f>
        <v>Manpower</v>
      </c>
      <c r="I2210" s="28" t="str">
        <f>_xlfn.XLOOKUP(Table134526_79101120212223242526[[#This Row],[Name Surname]],Manpower!$C$4:$C$1048576,Manpower!$H$4:$H$1048576,"")</f>
        <v>Manpower</v>
      </c>
      <c r="J2210" s="21" t="s">
        <v>35</v>
      </c>
      <c r="K2210" s="21" t="s">
        <v>252</v>
      </c>
      <c r="L2210" s="21" t="s">
        <v>82</v>
      </c>
      <c r="M2210" s="21" t="s">
        <v>24</v>
      </c>
      <c r="N2210" s="29">
        <v>10</v>
      </c>
      <c r="O2210" s="21" t="s">
        <v>25</v>
      </c>
      <c r="P2210" s="21" t="s">
        <v>41</v>
      </c>
      <c r="Q2210" s="21" t="s">
        <v>60</v>
      </c>
      <c r="R2210" s="21" t="s">
        <v>353</v>
      </c>
    </row>
    <row r="2211" spans="1:19" ht="14.4" hidden="1">
      <c r="A2211" s="33">
        <f>IF(C2211="","",MAX($A$1:A2210)+1)</f>
        <v>2071</v>
      </c>
      <c r="B2211" s="26" t="s">
        <v>79</v>
      </c>
      <c r="C2211" s="23">
        <v>46099</v>
      </c>
      <c r="D2211" s="28" t="str">
        <f>_xlfn.XLOOKUP(Table134526_79101120212223242526[[#This Row],[Name Surname]],Manpower!$C$4:$C$1048576,Manpower!$B$4:$B$1048576,"")</f>
        <v>AL Saif &amp; Al QALLM ENT LLC</v>
      </c>
      <c r="E2211" s="21" t="s">
        <v>130</v>
      </c>
      <c r="F2211" s="12">
        <f>_xlfn.XLOOKUP(Table134526_79101120212223242526[[#This Row],[Name Surname]],Manpower!C:C,Manpower!D:D,)</f>
        <v>76647648</v>
      </c>
      <c r="G2211" s="28" t="str">
        <f>_xlfn.XLOOKUP(Table134526_79101120212223242526[[#This Row],[Name Surname]],Manpower!$C$4:$C$1048576,Manpower!$F$4:$F$1048576,"")</f>
        <v>RIgger</v>
      </c>
      <c r="H2211" s="28" t="str">
        <f>_xlfn.XLOOKUP(Table134526_79101120212223242526[[#This Row],[Name Surname]],Manpower!$C$4:$C$1048576,Manpower!$H$4:$H$1048576,"")</f>
        <v>Sub Contactor</v>
      </c>
      <c r="I2211" s="28" t="str">
        <f>_xlfn.XLOOKUP(Table134526_79101120212223242526[[#This Row],[Name Surname]],Manpower!$C$4:$C$1048576,Manpower!$H$4:$H$1048576,"")</f>
        <v>Sub Contactor</v>
      </c>
      <c r="J2211" s="21" t="s">
        <v>35</v>
      </c>
      <c r="K2211" s="21" t="s">
        <v>252</v>
      </c>
      <c r="L2211" s="21" t="s">
        <v>82</v>
      </c>
      <c r="M2211" s="21" t="s">
        <v>24</v>
      </c>
      <c r="N2211" s="29">
        <v>8</v>
      </c>
      <c r="O2211" s="21" t="s">
        <v>25</v>
      </c>
      <c r="P2211" s="21" t="s">
        <v>41</v>
      </c>
      <c r="Q2211" s="21" t="s">
        <v>60</v>
      </c>
      <c r="R2211" s="21" t="s">
        <v>335</v>
      </c>
    </row>
    <row r="2212" spans="1:19" ht="14.4" hidden="1">
      <c r="A2212" s="33">
        <f>IF(C2212="","",MAX($A$1:A2211)+1)</f>
        <v>2072</v>
      </c>
      <c r="B2212" s="26" t="s">
        <v>79</v>
      </c>
      <c r="C2212" s="23">
        <v>46099</v>
      </c>
      <c r="D2212" s="28" t="str">
        <f>_xlfn.XLOOKUP(Table134526_79101120212223242526[[#This Row],[Name Surname]],Manpower!$C$4:$C$1048576,Manpower!$B$4:$B$1048576,"")</f>
        <v>Rabwu Ahamal AL Khaleej Trad</v>
      </c>
      <c r="E2212" s="21" t="s">
        <v>131</v>
      </c>
      <c r="F2212" s="12">
        <f>_xlfn.XLOOKUP(Table134526_79101120212223242526[[#This Row],[Name Surname]],Manpower!C:C,Manpower!D:D,)</f>
        <v>131431131</v>
      </c>
      <c r="G2212" s="28" t="str">
        <f>_xlfn.XLOOKUP(Table134526_79101120212223242526[[#This Row],[Name Surname]],Manpower!$C$4:$C$1048576,Manpower!$F$4:$F$1048576,"")</f>
        <v>RIgger</v>
      </c>
      <c r="H2212" s="28" t="str">
        <f>_xlfn.XLOOKUP(Table134526_79101120212223242526[[#This Row],[Name Surname]],Manpower!$C$4:$C$1048576,Manpower!$H$4:$H$1048576,"")</f>
        <v>Sub Contactor</v>
      </c>
      <c r="I2212" s="28" t="str">
        <f>_xlfn.XLOOKUP(Table134526_79101120212223242526[[#This Row],[Name Surname]],Manpower!$C$4:$C$1048576,Manpower!$H$4:$H$1048576,"")</f>
        <v>Sub Contactor</v>
      </c>
      <c r="J2212" s="21" t="s">
        <v>35</v>
      </c>
      <c r="K2212" s="21" t="s">
        <v>252</v>
      </c>
      <c r="L2212" s="21" t="s">
        <v>82</v>
      </c>
      <c r="M2212" s="21" t="s">
        <v>24</v>
      </c>
      <c r="N2212" s="29">
        <v>8</v>
      </c>
      <c r="O2212" s="21" t="s">
        <v>25</v>
      </c>
      <c r="P2212" s="21" t="s">
        <v>41</v>
      </c>
      <c r="Q2212" s="21" t="s">
        <v>60</v>
      </c>
      <c r="R2212" s="21" t="s">
        <v>335</v>
      </c>
    </row>
    <row r="2213" spans="1:19" ht="14.4" hidden="1">
      <c r="A2213" s="33">
        <f>IF(C2213="","",MAX($A$1:A2212)+1)</f>
        <v>2073</v>
      </c>
      <c r="B2213" s="26" t="s">
        <v>79</v>
      </c>
      <c r="C2213" s="23">
        <v>46099</v>
      </c>
      <c r="D2213" s="28" t="str">
        <f>_xlfn.XLOOKUP(Table134526_79101120212223242526[[#This Row],[Name Surname]],Manpower!$C$4:$C$1048576,Manpower!$B$4:$B$1048576,"")</f>
        <v>AL Saif &amp; Al QALLM ENT LLC</v>
      </c>
      <c r="E2213" s="21" t="s">
        <v>132</v>
      </c>
      <c r="F2213" s="12">
        <f>_xlfn.XLOOKUP(Table134526_79101120212223242526[[#This Row],[Name Surname]],Manpower!C:C,Manpower!D:D,)</f>
        <v>135762195</v>
      </c>
      <c r="G2213" s="28" t="str">
        <f>_xlfn.XLOOKUP(Table134526_79101120212223242526[[#This Row],[Name Surname]],Manpower!$C$4:$C$1048576,Manpower!$F$4:$F$1048576,"")</f>
        <v>HSE Officer</v>
      </c>
      <c r="H2213" s="28" t="str">
        <f>_xlfn.XLOOKUP(Table134526_79101120212223242526[[#This Row],[Name Surname]],Manpower!$C$4:$C$1048576,Manpower!$H$4:$H$1048576,"")</f>
        <v>Sub Contactor</v>
      </c>
      <c r="I2213" s="28" t="str">
        <f>_xlfn.XLOOKUP(Table134526_79101120212223242526[[#This Row],[Name Surname]],Manpower!$C$4:$C$1048576,Manpower!$H$4:$H$1048576,"")</f>
        <v>Sub Contactor</v>
      </c>
      <c r="J2213" s="21" t="s">
        <v>35</v>
      </c>
      <c r="K2213" s="21" t="s">
        <v>252</v>
      </c>
      <c r="L2213" s="21" t="s">
        <v>82</v>
      </c>
      <c r="M2213" s="21" t="s">
        <v>24</v>
      </c>
      <c r="N2213" s="29">
        <v>10</v>
      </c>
      <c r="O2213" s="21" t="s">
        <v>25</v>
      </c>
      <c r="P2213" s="21" t="s">
        <v>41</v>
      </c>
      <c r="Q2213" s="21" t="s">
        <v>60</v>
      </c>
      <c r="R2213" s="21" t="s">
        <v>352</v>
      </c>
    </row>
    <row r="2214" spans="1:19" ht="14.4" hidden="1">
      <c r="A2214" s="33">
        <f>IF(C2214="","",MAX($A$1:A2213)+1)</f>
        <v>2074</v>
      </c>
      <c r="B2214" s="26" t="s">
        <v>79</v>
      </c>
      <c r="C2214" s="23">
        <v>46099</v>
      </c>
      <c r="D2214" s="28" t="str">
        <f>_xlfn.XLOOKUP(Table134526_79101120212223242526[[#This Row],[Name Surname]],Manpower!$C$4:$C$1048576,Manpower!$B$4:$B$1048576,"")</f>
        <v>Encogroup</v>
      </c>
      <c r="E2214" s="21" t="s">
        <v>133</v>
      </c>
      <c r="F2214" s="12">
        <f>_xlfn.XLOOKUP(Table134526_79101120212223242526[[#This Row],[Name Surname]],Manpower!C:C,Manpower!D:D,)</f>
        <v>140846684</v>
      </c>
      <c r="G2214" s="28" t="str">
        <f>_xlfn.XLOOKUP(Table134526_79101120212223242526[[#This Row],[Name Surname]],Manpower!$C$4:$C$1048576,Manpower!$F$4:$F$1048576,"")</f>
        <v>Assistant/Helper</v>
      </c>
      <c r="H2214" s="28" t="str">
        <f>_xlfn.XLOOKUP(Table134526_79101120212223242526[[#This Row],[Name Surname]],Manpower!$C$4:$C$1048576,Manpower!$H$4:$H$1048576,"")</f>
        <v>Manpower</v>
      </c>
      <c r="I2214" s="28" t="str">
        <f>_xlfn.XLOOKUP(Table134526_79101120212223242526[[#This Row],[Name Surname]],Manpower!$C$4:$C$1048576,Manpower!$H$4:$H$1048576,"")</f>
        <v>Manpower</v>
      </c>
      <c r="J2214" s="21" t="s">
        <v>35</v>
      </c>
      <c r="K2214" s="21" t="s">
        <v>252</v>
      </c>
      <c r="L2214" s="21" t="s">
        <v>82</v>
      </c>
      <c r="M2214" s="21" t="s">
        <v>24</v>
      </c>
      <c r="N2214" s="29">
        <v>10</v>
      </c>
      <c r="O2214" s="21" t="s">
        <v>25</v>
      </c>
      <c r="P2214" s="21" t="s">
        <v>41</v>
      </c>
      <c r="Q2214" s="21" t="s">
        <v>60</v>
      </c>
      <c r="R2214" s="21" t="s">
        <v>100</v>
      </c>
    </row>
    <row r="2215" spans="1:19" ht="14.4" hidden="1">
      <c r="A2215" s="33">
        <f>IF(C2215="","",MAX($A$1:A2214)+1)</f>
        <v>2075</v>
      </c>
      <c r="B2215" s="26" t="s">
        <v>79</v>
      </c>
      <c r="C2215" s="23">
        <v>46099</v>
      </c>
      <c r="D2215" s="28" t="str">
        <f>_xlfn.XLOOKUP(Table134526_79101120212223242526[[#This Row],[Name Surname]],Manpower!$C$4:$C$1048576,Manpower!$B$4:$B$1048576,"")</f>
        <v>Encogroup</v>
      </c>
      <c r="E2215" s="21" t="s">
        <v>136</v>
      </c>
      <c r="F2215" s="12">
        <f>_xlfn.XLOOKUP(Table134526_79101120212223242526[[#This Row],[Name Surname]],Manpower!C:C,Manpower!D:D,)</f>
        <v>141250908</v>
      </c>
      <c r="G2215" s="28" t="str">
        <f>_xlfn.XLOOKUP(Table134526_79101120212223242526[[#This Row],[Name Surname]],Manpower!$C$4:$C$1048576,Manpower!$F$4:$F$1048576,"")</f>
        <v>Mechanical Engineer</v>
      </c>
      <c r="H2215" s="28" t="str">
        <f>_xlfn.XLOOKUP(Table134526_79101120212223242526[[#This Row],[Name Surname]],Manpower!$C$4:$C$1048576,Manpower!$H$4:$H$1048576,"")</f>
        <v>Manpower</v>
      </c>
      <c r="I2215" s="28" t="str">
        <f>_xlfn.XLOOKUP(Table134526_79101120212223242526[[#This Row],[Name Surname]],Manpower!$C$4:$C$1048576,Manpower!$H$4:$H$1048576,"")</f>
        <v>Manpower</v>
      </c>
      <c r="J2215" s="21" t="s">
        <v>35</v>
      </c>
      <c r="K2215" s="21" t="s">
        <v>252</v>
      </c>
      <c r="L2215" s="21" t="s">
        <v>82</v>
      </c>
      <c r="M2215" s="21" t="s">
        <v>24</v>
      </c>
      <c r="N2215" s="29">
        <v>10</v>
      </c>
      <c r="O2215" s="21" t="s">
        <v>25</v>
      </c>
      <c r="P2215" s="21" t="s">
        <v>41</v>
      </c>
      <c r="Q2215" s="21" t="s">
        <v>60</v>
      </c>
      <c r="R2215" s="21" t="s">
        <v>352</v>
      </c>
    </row>
    <row r="2216" spans="1:19" ht="14.4">
      <c r="A2216" s="33">
        <f>IF(C2216="","",MAX($A$1:A2215)+1)</f>
        <v>2076</v>
      </c>
      <c r="B2216" s="26" t="s">
        <v>79</v>
      </c>
      <c r="C2216" s="23">
        <v>46099</v>
      </c>
      <c r="D2216" s="28" t="str">
        <f>_xlfn.XLOOKUP(Table134526_79101120212223242526[[#This Row],[Name Surname]],Manpower!$C$4:$C$1048576,Manpower!$B$4:$B$1048576,"")</f>
        <v>Encogroup</v>
      </c>
      <c r="E2216" s="21" t="s">
        <v>137</v>
      </c>
      <c r="F2216" s="12" t="e">
        <f>_xlfn.XLOOKUP(Table134526_79101120212223242526[[#This Row],[Name Surname]],Manpower!C:C,Manpower!D:D,)</f>
        <v>#N/A</v>
      </c>
      <c r="G2216" s="28" t="str">
        <f>_xlfn.XLOOKUP(Table134526_79101120212223242526[[#This Row],[Name Surname]],Manpower!$C$4:$C$1048576,Manpower!$F$4:$F$1048576,"")</f>
        <v>55 Seat Bus</v>
      </c>
      <c r="H2216" s="28" t="str">
        <f>_xlfn.XLOOKUP(Table134526_79101120212223242526[[#This Row],[Name Surname]],Manpower!$C$4:$C$1048576,Manpower!$H$4:$H$1048576,"")</f>
        <v>Equipment</v>
      </c>
      <c r="I2216" s="28" t="str">
        <f>_xlfn.XLOOKUP(Table134526_79101120212223242526[[#This Row],[Name Surname]],Manpower!$C$4:$C$1048576,Manpower!$H$4:$H$1048576,"")</f>
        <v>Equipment</v>
      </c>
      <c r="J2216" s="21" t="s">
        <v>35</v>
      </c>
      <c r="K2216" s="21" t="s">
        <v>252</v>
      </c>
      <c r="L2216" s="21" t="s">
        <v>82</v>
      </c>
      <c r="M2216" s="21" t="s">
        <v>24</v>
      </c>
      <c r="N2216" s="29">
        <v>10</v>
      </c>
      <c r="O2216" s="21" t="s">
        <v>138</v>
      </c>
      <c r="P2216" s="21" t="s">
        <v>138</v>
      </c>
      <c r="Q2216" s="21" t="s">
        <v>138</v>
      </c>
      <c r="R2216" s="21" t="s">
        <v>26</v>
      </c>
    </row>
    <row r="2217" spans="1:19" ht="14.4">
      <c r="A2217" s="33">
        <f>IF(C2217="","",MAX($A$1:A2215)+1)</f>
        <v>2076</v>
      </c>
      <c r="B2217" s="26" t="s">
        <v>79</v>
      </c>
      <c r="C2217" s="23">
        <v>46099</v>
      </c>
      <c r="D2217" s="28" t="str">
        <f>_xlfn.XLOOKUP(Table134526_79101120212223242526[[#This Row],[Name Surname]],Manpower!$C$4:$C$1048576,Manpower!$B$4:$B$1048576,"")</f>
        <v>Encogroup</v>
      </c>
      <c r="E2217" s="21" t="s">
        <v>139</v>
      </c>
      <c r="F2217" s="12" t="e">
        <f>_xlfn.XLOOKUP(Table134526_79101120212223242526[[#This Row],[Name Surname]],Manpower!C:C,Manpower!D:D,)</f>
        <v>#N/A</v>
      </c>
      <c r="G2217" s="28" t="str">
        <f>_xlfn.XLOOKUP(Table134526_79101120212223242526[[#This Row],[Name Surname]],Manpower!$C$4:$C$1048576,Manpower!$F$4:$F$1048576,"")</f>
        <v>TOWER LIGHT</v>
      </c>
      <c r="H2217" s="28" t="str">
        <f>_xlfn.XLOOKUP(Table134526_79101120212223242526[[#This Row],[Name Surname]],Manpower!$C$4:$C$1048576,Manpower!$H$4:$H$1048576,"")</f>
        <v>Equipment</v>
      </c>
      <c r="I2217" s="28" t="str">
        <f>_xlfn.XLOOKUP(Table134526_79101120212223242526[[#This Row],[Name Surname]],Manpower!$C$4:$C$1048576,Manpower!$H$4:$H$1048576,"")</f>
        <v>Equipment</v>
      </c>
      <c r="J2217" s="21" t="s">
        <v>35</v>
      </c>
      <c r="K2217" s="21" t="s">
        <v>252</v>
      </c>
      <c r="L2217" s="21" t="s">
        <v>82</v>
      </c>
      <c r="M2217" s="21" t="s">
        <v>24</v>
      </c>
      <c r="N2217" s="29">
        <v>10</v>
      </c>
      <c r="O2217" s="21" t="s">
        <v>140</v>
      </c>
      <c r="P2217" s="21" t="s">
        <v>140</v>
      </c>
      <c r="Q2217" s="21" t="s">
        <v>140</v>
      </c>
      <c r="R2217" s="21" t="s">
        <v>26</v>
      </c>
    </row>
    <row r="2218" spans="1:19" ht="14.4">
      <c r="A2218" s="33">
        <f>IF(C2218="","",MAX($A$1:A2217)+1)</f>
        <v>2077</v>
      </c>
      <c r="B2218" s="26" t="s">
        <v>79</v>
      </c>
      <c r="C2218" s="23">
        <v>46099</v>
      </c>
      <c r="D2218" s="28" t="str">
        <f>_xlfn.XLOOKUP(Table134526_79101120212223242526[[#This Row],[Name Surname]],Manpower!$C$4:$C$1048576,Manpower!$B$4:$B$1048576,"")</f>
        <v>Encogroup</v>
      </c>
      <c r="E2218" s="21" t="s">
        <v>355</v>
      </c>
      <c r="F2218" s="12" t="e">
        <f>_xlfn.XLOOKUP(Table134526_79101120212223242526[[#This Row],[Name Surname]],Manpower!C:C,Manpower!D:D,)</f>
        <v>#N/A</v>
      </c>
      <c r="G2218" s="28" t="str">
        <f>_xlfn.XLOOKUP(Table134526_79101120212223242526[[#This Row],[Name Surname]],Manpower!$C$4:$C$1048576,Manpower!$F$4:$F$1048576,"")</f>
        <v>TOWER LIGHT</v>
      </c>
      <c r="H2218" s="28" t="str">
        <f>_xlfn.XLOOKUP(Table134526_79101120212223242526[[#This Row],[Name Surname]],Manpower!$C$4:$C$1048576,Manpower!$H$4:$H$1048576,"")</f>
        <v>Equipment</v>
      </c>
      <c r="I2218" s="28" t="str">
        <f>_xlfn.XLOOKUP(Table134526_79101120212223242526[[#This Row],[Name Surname]],Manpower!$C$4:$C$1048576,Manpower!$H$4:$H$1048576,"")</f>
        <v>Equipment</v>
      </c>
      <c r="J2218" s="21" t="s">
        <v>35</v>
      </c>
      <c r="K2218" s="21" t="s">
        <v>252</v>
      </c>
      <c r="L2218" s="21" t="s">
        <v>82</v>
      </c>
      <c r="M2218" s="21" t="s">
        <v>24</v>
      </c>
      <c r="N2218" s="29">
        <v>10</v>
      </c>
      <c r="O2218" s="21" t="s">
        <v>140</v>
      </c>
      <c r="P2218" s="21" t="s">
        <v>140</v>
      </c>
      <c r="Q2218" s="21" t="s">
        <v>140</v>
      </c>
      <c r="R2218" s="21" t="s">
        <v>26</v>
      </c>
    </row>
    <row r="2219" spans="1:19" ht="14.4">
      <c r="A2219" s="33">
        <f>IF(C2219="","",MAX($A$1:A2218)+1)</f>
        <v>2078</v>
      </c>
      <c r="B2219" s="27" t="s">
        <v>141</v>
      </c>
      <c r="C2219" s="23">
        <v>46099</v>
      </c>
      <c r="D2219" s="28" t="str">
        <f>_xlfn.XLOOKUP(Table134526_79101120212223242526[[#This Row],[Name Surname]],Manpower!$C$4:$C$1048576,Manpower!$B$4:$B$1048576,"")</f>
        <v>Nass Group</v>
      </c>
      <c r="E2219" s="21" t="s">
        <v>148</v>
      </c>
      <c r="F2219" s="12" t="e">
        <f>_xlfn.XLOOKUP(Table134526_79101120212223242526[[#This Row],[Name Surname]],Manpower!C:C,Manpower!D:D,)</f>
        <v>#N/A</v>
      </c>
      <c r="G2219" s="28" t="str">
        <f>_xlfn.XLOOKUP(Table134526_79101120212223242526[[#This Row],[Name Surname]],Manpower!$C$4:$C$1048576,Manpower!$F$4:$F$1048576,"")</f>
        <v>70T-Telescopic crane</v>
      </c>
      <c r="H2219" s="28" t="str">
        <f>_xlfn.XLOOKUP(Table134526_79101120212223242526[[#This Row],[Name Surname]],Manpower!$C$4:$C$1048576,Manpower!$H$4:$H$1048576,"")</f>
        <v>Equipment</v>
      </c>
      <c r="I2219" s="28" t="str">
        <f>_xlfn.XLOOKUP(Table134526_79101120212223242526[[#This Row],[Name Surname]],Manpower!$C$4:$C$1048576,Manpower!$H$4:$H$1048576,"")</f>
        <v>Equipment</v>
      </c>
      <c r="J2219" s="21" t="s">
        <v>143</v>
      </c>
      <c r="K2219" s="21" t="s">
        <v>26</v>
      </c>
      <c r="L2219" s="21" t="s">
        <v>144</v>
      </c>
      <c r="M2219" s="21" t="s">
        <v>24</v>
      </c>
      <c r="N2219" s="29">
        <v>10</v>
      </c>
      <c r="O2219" s="21" t="s">
        <v>40</v>
      </c>
      <c r="P2219" s="21" t="s">
        <v>42</v>
      </c>
      <c r="Q2219" s="21" t="s">
        <v>42</v>
      </c>
      <c r="R2219" s="21" t="s">
        <v>356</v>
      </c>
    </row>
    <row r="2220" spans="1:19" s="45" customFormat="1" ht="14.4" hidden="1">
      <c r="A2220" s="25">
        <f>IF(C2220="","",MAX($A$1:A2219)+1)</f>
        <v>2079</v>
      </c>
      <c r="B2220" s="25" t="s">
        <v>141</v>
      </c>
      <c r="C2220" s="41">
        <v>46099</v>
      </c>
      <c r="D2220" s="48" t="str">
        <f>_xlfn.XLOOKUP(Table134526_79101120212223242526[[#This Row],[Name Surname]],Manpower!$C$4:$C$1048576,Manpower!$B$4:$B$1048576,"")</f>
        <v>SARENS NASS</v>
      </c>
      <c r="E2220" s="43" t="s">
        <v>162</v>
      </c>
      <c r="F2220" s="12">
        <f>_xlfn.XLOOKUP(Table134526_79101120212223242526[[#This Row],[Name Surname]],Manpower!C:C,Manpower!D:D,)</f>
        <v>78753612</v>
      </c>
      <c r="G2220" s="48" t="str">
        <f>_xlfn.XLOOKUP(Table134526_79101120212223242526[[#This Row],[Name Surname]],Manpower!$C$4:$C$1048576,Manpower!$F$4:$F$1048576,"")</f>
        <v>Crane Operator- 70T Liebherr Telescopic Crane-02</v>
      </c>
      <c r="H2220" s="48" t="str">
        <f>_xlfn.XLOOKUP(Table134526_79101120212223242526[[#This Row],[Name Surname]],Manpower!$C$4:$C$1048576,Manpower!$H$4:$H$1048576,"")</f>
        <v>Manpower</v>
      </c>
      <c r="I2220" s="48" t="str">
        <f>_xlfn.XLOOKUP(Table134526_79101120212223242526[[#This Row],[Name Surname]],Manpower!$C$4:$C$1048576,Manpower!$H$4:$H$1048576,"")</f>
        <v>Manpower</v>
      </c>
      <c r="J2220" s="43" t="s">
        <v>143</v>
      </c>
      <c r="K2220" s="43" t="s">
        <v>26</v>
      </c>
      <c r="L2220" s="43" t="s">
        <v>144</v>
      </c>
      <c r="M2220" s="43" t="s">
        <v>24</v>
      </c>
      <c r="N2220" s="44">
        <v>10</v>
      </c>
      <c r="O2220" s="43" t="s">
        <v>40</v>
      </c>
      <c r="P2220" s="43" t="s">
        <v>42</v>
      </c>
      <c r="Q2220" s="43" t="s">
        <v>42</v>
      </c>
      <c r="R2220" s="43" t="s">
        <v>356</v>
      </c>
      <c r="S2220" s="43"/>
    </row>
    <row r="2221" spans="1:19" ht="14.4">
      <c r="A2221" s="33">
        <f>IF(C2221="","",MAX($A$1:A2220)+1)</f>
        <v>2080</v>
      </c>
      <c r="B2221" s="27" t="s">
        <v>141</v>
      </c>
      <c r="C2221" s="23">
        <v>46099</v>
      </c>
      <c r="D2221" s="28" t="str">
        <f>_xlfn.XLOOKUP(Table134526_79101120212223242526[[#This Row],[Name Surname]],Manpower!$C$4:$C$1048576,Manpower!$B$4:$B$1048576,"")</f>
        <v>Encogroup</v>
      </c>
      <c r="E2221" s="21" t="s">
        <v>142</v>
      </c>
      <c r="F2221" s="12" t="e">
        <f>_xlfn.XLOOKUP(Table134526_79101120212223242526[[#This Row],[Name Surname]],Manpower!C:C,Manpower!D:D,)</f>
        <v>#N/A</v>
      </c>
      <c r="G2221" s="28" t="str">
        <f>_xlfn.XLOOKUP(Table134526_79101120212223242526[[#This Row],[Name Surname]],Manpower!$C$4:$C$1048576,Manpower!$F$4:$F$1048576,"")</f>
        <v>13 Seat Bus</v>
      </c>
      <c r="H2221" s="28" t="str">
        <f>_xlfn.XLOOKUP(Table134526_79101120212223242526[[#This Row],[Name Surname]],Manpower!$C$4:$C$1048576,Manpower!$H$4:$H$1048576,"")</f>
        <v>Equipment</v>
      </c>
      <c r="I2221" s="28" t="str">
        <f>_xlfn.XLOOKUP(Table134526_79101120212223242526[[#This Row],[Name Surname]],Manpower!$C$4:$C$1048576,Manpower!$H$4:$H$1048576,"")</f>
        <v>Equipment</v>
      </c>
      <c r="J2221" s="21" t="s">
        <v>143</v>
      </c>
      <c r="K2221" s="21" t="s">
        <v>26</v>
      </c>
      <c r="L2221" s="21" t="s">
        <v>144</v>
      </c>
      <c r="M2221" s="21" t="s">
        <v>24</v>
      </c>
      <c r="N2221" s="29">
        <v>10</v>
      </c>
      <c r="O2221" s="21" t="s">
        <v>138</v>
      </c>
      <c r="P2221" s="21" t="s">
        <v>138</v>
      </c>
      <c r="Q2221" s="21" t="s">
        <v>138</v>
      </c>
      <c r="R2221" s="21" t="s">
        <v>26</v>
      </c>
    </row>
    <row r="2222" spans="1:19" ht="14.4">
      <c r="A2222" s="33">
        <f>IF(C2222="","",MAX($A$1:A2221)+1)</f>
        <v>2081</v>
      </c>
      <c r="B2222" s="27" t="s">
        <v>141</v>
      </c>
      <c r="C2222" s="23">
        <v>46099</v>
      </c>
      <c r="D2222" s="28" t="str">
        <f>_xlfn.XLOOKUP(Table134526_79101120212223242526[[#This Row],[Name Surname]],Manpower!$C$4:$C$1048576,Manpower!$B$4:$B$1048576,"")</f>
        <v>Encogroup</v>
      </c>
      <c r="E2222" s="21" t="s">
        <v>145</v>
      </c>
      <c r="F2222" s="12" t="e">
        <f>_xlfn.XLOOKUP(Table134526_79101120212223242526[[#This Row],[Name Surname]],Manpower!C:C,Manpower!D:D,)</f>
        <v>#N/A</v>
      </c>
      <c r="G2222" s="28" t="str">
        <f>_xlfn.XLOOKUP(Table134526_79101120212223242526[[#This Row],[Name Surname]],Manpower!$C$4:$C$1048576,Manpower!$F$4:$F$1048576,"")</f>
        <v>15 Seat Bus</v>
      </c>
      <c r="H2222" s="28" t="str">
        <f>_xlfn.XLOOKUP(Table134526_79101120212223242526[[#This Row],[Name Surname]],Manpower!$C$4:$C$1048576,Manpower!$H$4:$H$1048576,"")</f>
        <v>Equipment</v>
      </c>
      <c r="I2222" s="28" t="str">
        <f>_xlfn.XLOOKUP(Table134526_79101120212223242526[[#This Row],[Name Surname]],Manpower!$C$4:$C$1048576,Manpower!$H$4:$H$1048576,"")</f>
        <v>Equipment</v>
      </c>
      <c r="J2222" s="21" t="s">
        <v>143</v>
      </c>
      <c r="K2222" s="21" t="s">
        <v>26</v>
      </c>
      <c r="L2222" s="21" t="s">
        <v>144</v>
      </c>
      <c r="M2222" s="21" t="s">
        <v>24</v>
      </c>
      <c r="N2222" s="29">
        <v>10</v>
      </c>
      <c r="O2222" s="21" t="s">
        <v>138</v>
      </c>
      <c r="P2222" s="21" t="s">
        <v>138</v>
      </c>
      <c r="Q2222" s="21" t="s">
        <v>138</v>
      </c>
      <c r="R2222" s="21" t="s">
        <v>26</v>
      </c>
    </row>
    <row r="2223" spans="1:19" ht="14.4">
      <c r="A2223" s="33">
        <f>IF(C2223="","",MAX($A$1:A2221)+1)</f>
        <v>2081</v>
      </c>
      <c r="B2223" s="27" t="s">
        <v>141</v>
      </c>
      <c r="C2223" s="23">
        <v>46099</v>
      </c>
      <c r="D2223" s="28" t="str">
        <f>_xlfn.XLOOKUP(Table134526_79101120212223242526[[#This Row],[Name Surname]],Manpower!$C$4:$C$1048576,Manpower!$B$4:$B$1048576,"")</f>
        <v>Encogroup</v>
      </c>
      <c r="E2223" s="21" t="s">
        <v>150</v>
      </c>
      <c r="F2223" s="12" t="e">
        <f>_xlfn.XLOOKUP(Table134526_79101120212223242526[[#This Row],[Name Surname]],Manpower!C:C,Manpower!D:D,)</f>
        <v>#N/A</v>
      </c>
      <c r="G2223" s="28" t="str">
        <f>_xlfn.XLOOKUP(Table134526_79101120212223242526[[#This Row],[Name Surname]],Manpower!$C$4:$C$1048576,Manpower!$F$4:$F$1048576,"")</f>
        <v>14T Fork lift</v>
      </c>
      <c r="H2223" s="28" t="str">
        <f>_xlfn.XLOOKUP(Table134526_79101120212223242526[[#This Row],[Name Surname]],Manpower!$C$4:$C$1048576,Manpower!$H$4:$H$1048576,"")</f>
        <v>Equipment</v>
      </c>
      <c r="I2223" s="28" t="str">
        <f>_xlfn.XLOOKUP(Table134526_79101120212223242526[[#This Row],[Name Surname]],Manpower!$C$4:$C$1048576,Manpower!$H$4:$H$1048576,"")</f>
        <v>Equipment</v>
      </c>
      <c r="J2223" s="21" t="s">
        <v>143</v>
      </c>
      <c r="K2223" s="21" t="s">
        <v>26</v>
      </c>
      <c r="L2223" s="21" t="s">
        <v>144</v>
      </c>
      <c r="M2223" s="21" t="s">
        <v>24</v>
      </c>
      <c r="N2223" s="29">
        <v>10</v>
      </c>
      <c r="O2223" s="21" t="s">
        <v>40</v>
      </c>
      <c r="P2223" s="21" t="s">
        <v>42</v>
      </c>
      <c r="Q2223" s="21" t="s">
        <v>41</v>
      </c>
      <c r="R2223" s="21" t="s">
        <v>272</v>
      </c>
    </row>
    <row r="2224" spans="1:19" ht="14.4">
      <c r="A2224" s="33">
        <f>IF(C2224="","",MAX($A$1:A2223)+1)</f>
        <v>2082</v>
      </c>
      <c r="B2224" s="27" t="s">
        <v>141</v>
      </c>
      <c r="C2224" s="23">
        <v>46099</v>
      </c>
      <c r="D2224" s="28" t="str">
        <f>_xlfn.XLOOKUP(Table134526_79101120212223242526[[#This Row],[Name Surname]],Manpower!$C$4:$C$1048576,Manpower!$B$4:$B$1048576,"")</f>
        <v>Al Jaber Heavy Lift</v>
      </c>
      <c r="E2224" s="21" t="s">
        <v>151</v>
      </c>
      <c r="F2224" s="12" t="e">
        <f>_xlfn.XLOOKUP(Table134526_79101120212223242526[[#This Row],[Name Surname]],Manpower!C:C,Manpower!D:D,)</f>
        <v>#N/A</v>
      </c>
      <c r="G2224" s="28" t="str">
        <f>_xlfn.XLOOKUP(Table134526_79101120212223242526[[#This Row],[Name Surname]],Manpower!$C$4:$C$1048576,Manpower!$F$4:$F$1048576,"")</f>
        <v>150T-Crawler Crane</v>
      </c>
      <c r="H2224" s="28" t="str">
        <f>_xlfn.XLOOKUP(Table134526_79101120212223242526[[#This Row],[Name Surname]],Manpower!$C$4:$C$1048576,Manpower!$H$4:$H$1048576,"")</f>
        <v>Equipment</v>
      </c>
      <c r="I2224" s="28" t="str">
        <f>_xlfn.XLOOKUP(Table134526_79101120212223242526[[#This Row],[Name Surname]],Manpower!$C$4:$C$1048576,Manpower!$H$4:$H$1048576,"")</f>
        <v>Equipment</v>
      </c>
      <c r="J2224" s="21" t="s">
        <v>143</v>
      </c>
      <c r="K2224" s="21" t="s">
        <v>26</v>
      </c>
      <c r="L2224" s="21" t="s">
        <v>144</v>
      </c>
      <c r="M2224" s="21" t="s">
        <v>55</v>
      </c>
      <c r="N2224" s="29">
        <v>10</v>
      </c>
      <c r="R2224" s="21" t="s">
        <v>357</v>
      </c>
    </row>
    <row r="2225" spans="1:19" s="45" customFormat="1" ht="14.4" hidden="1">
      <c r="A2225" s="25">
        <f>IF(C2225="","",MAX($A$1:A2224)+1)</f>
        <v>2083</v>
      </c>
      <c r="B2225" s="25" t="s">
        <v>141</v>
      </c>
      <c r="C2225" s="41">
        <v>46099</v>
      </c>
      <c r="D2225" s="48" t="str">
        <f>_xlfn.XLOOKUP(Table134526_79101120212223242526[[#This Row],[Name Surname]],Manpower!$C$4:$C$1048576,Manpower!$B$4:$B$1048576,"")</f>
        <v>Al Jaber Heavy Lift</v>
      </c>
      <c r="E2225" s="43" t="s">
        <v>164</v>
      </c>
      <c r="F2225" s="12">
        <f>_xlfn.XLOOKUP(Table134526_79101120212223242526[[#This Row],[Name Surname]],Manpower!C:C,Manpower!D:D,)</f>
        <v>112778626</v>
      </c>
      <c r="G2225" s="48" t="str">
        <f>_xlfn.XLOOKUP(Table134526_79101120212223242526[[#This Row],[Name Surname]],Manpower!$C$4:$C$1048576,Manpower!$F$4:$F$1048576,"")</f>
        <v>Crane Operator-150T Hitachi Crawler</v>
      </c>
      <c r="H2225" s="48" t="str">
        <f>_xlfn.XLOOKUP(Table134526_79101120212223242526[[#This Row],[Name Surname]],Manpower!$C$4:$C$1048576,Manpower!$H$4:$H$1048576,"")</f>
        <v>Manpower</v>
      </c>
      <c r="I2225" s="48" t="str">
        <f>_xlfn.XLOOKUP(Table134526_79101120212223242526[[#This Row],[Name Surname]],Manpower!$C$4:$C$1048576,Manpower!$H$4:$H$1048576,"")</f>
        <v>Manpower</v>
      </c>
      <c r="J2225" s="43" t="s">
        <v>143</v>
      </c>
      <c r="K2225" s="43" t="s">
        <v>26</v>
      </c>
      <c r="L2225" s="43" t="s">
        <v>144</v>
      </c>
      <c r="M2225" s="43" t="s">
        <v>55</v>
      </c>
      <c r="N2225" s="44">
        <v>4</v>
      </c>
      <c r="O2225" s="43"/>
      <c r="P2225" s="43"/>
      <c r="Q2225" s="43"/>
      <c r="R2225" s="43" t="s">
        <v>358</v>
      </c>
      <c r="S2225" s="43"/>
    </row>
    <row r="2226" spans="1:19" ht="14.4">
      <c r="A2226" s="33">
        <f>IF(C2226="","",MAX($A$1:A2225)+1)</f>
        <v>2084</v>
      </c>
      <c r="B2226" s="27" t="s">
        <v>141</v>
      </c>
      <c r="C2226" s="23">
        <v>46099</v>
      </c>
      <c r="D2226" s="28" t="str">
        <f>_xlfn.XLOOKUP(Table134526_79101120212223242526[[#This Row],[Name Surname]],Manpower!$C$4:$C$1048576,Manpower!$B$4:$B$1048576,"")</f>
        <v>Encogroup</v>
      </c>
      <c r="E2226" s="21" t="s">
        <v>153</v>
      </c>
      <c r="F2226" s="12" t="e">
        <f>_xlfn.XLOOKUP(Table134526_79101120212223242526[[#This Row],[Name Surname]],Manpower!C:C,Manpower!D:D,)</f>
        <v>#N/A</v>
      </c>
      <c r="G2226" s="28" t="str">
        <f>_xlfn.XLOOKUP(Table134526_79101120212223242526[[#This Row],[Name Surname]],Manpower!$C$4:$C$1048576,Manpower!$F$4:$F$1048576,"")</f>
        <v>22 Seat Bus</v>
      </c>
      <c r="H2226" s="28" t="str">
        <f>_xlfn.XLOOKUP(Table134526_79101120212223242526[[#This Row],[Name Surname]],Manpower!$C$4:$C$1048576,Manpower!$H$4:$H$1048576,"")</f>
        <v>Equipment</v>
      </c>
      <c r="I2226" s="28" t="str">
        <f>_xlfn.XLOOKUP(Table134526_79101120212223242526[[#This Row],[Name Surname]],Manpower!$C$4:$C$1048576,Manpower!$H$4:$H$1048576,"")</f>
        <v>Equipment</v>
      </c>
      <c r="J2226" s="21" t="s">
        <v>143</v>
      </c>
      <c r="K2226" s="21" t="s">
        <v>26</v>
      </c>
      <c r="L2226" s="21" t="s">
        <v>144</v>
      </c>
      <c r="M2226" s="21" t="s">
        <v>24</v>
      </c>
      <c r="N2226" s="29">
        <v>10</v>
      </c>
      <c r="O2226" s="21" t="s">
        <v>138</v>
      </c>
      <c r="P2226" s="21" t="s">
        <v>138</v>
      </c>
      <c r="Q2226" s="21" t="s">
        <v>138</v>
      </c>
      <c r="R2226" s="21" t="s">
        <v>26</v>
      </c>
    </row>
    <row r="2227" spans="1:19" ht="14.4">
      <c r="A2227" s="33">
        <f>IF(C2227="","",MAX($A$1:A2226)+1)</f>
        <v>2085</v>
      </c>
      <c r="B2227" s="27" t="s">
        <v>141</v>
      </c>
      <c r="C2227" s="23">
        <v>46099</v>
      </c>
      <c r="D2227" s="28" t="str">
        <f>_xlfn.XLOOKUP(Table134526_79101120212223242526[[#This Row],[Name Surname]],Manpower!$C$4:$C$1048576,Manpower!$B$4:$B$1048576,"")</f>
        <v>Encogroup</v>
      </c>
      <c r="E2227" s="21" t="s">
        <v>154</v>
      </c>
      <c r="F2227" s="12" t="e">
        <f>_xlfn.XLOOKUP(Table134526_79101120212223242526[[#This Row],[Name Surname]],Manpower!C:C,Manpower!D:D,)</f>
        <v>#N/A</v>
      </c>
      <c r="G2227" s="28" t="str">
        <f>_xlfn.XLOOKUP(Table134526_79101120212223242526[[#This Row],[Name Surname]],Manpower!$C$4:$C$1048576,Manpower!$F$4:$F$1048576,"")</f>
        <v>22 Seat Bus</v>
      </c>
      <c r="H2227" s="28" t="str">
        <f>_xlfn.XLOOKUP(Table134526_79101120212223242526[[#This Row],[Name Surname]],Manpower!$C$4:$C$1048576,Manpower!$H$4:$H$1048576,"")</f>
        <v>Equipment</v>
      </c>
      <c r="I2227" s="28" t="str">
        <f>_xlfn.XLOOKUP(Table134526_79101120212223242526[[#This Row],[Name Surname]],Manpower!$C$4:$C$1048576,Manpower!$H$4:$H$1048576,"")</f>
        <v>Equipment</v>
      </c>
      <c r="J2227" s="21" t="s">
        <v>143</v>
      </c>
      <c r="K2227" s="21" t="s">
        <v>26</v>
      </c>
      <c r="L2227" s="21" t="s">
        <v>144</v>
      </c>
      <c r="M2227" s="21" t="s">
        <v>24</v>
      </c>
      <c r="N2227" s="29">
        <v>10</v>
      </c>
      <c r="O2227" s="21" t="s">
        <v>138</v>
      </c>
      <c r="P2227" s="21" t="s">
        <v>138</v>
      </c>
      <c r="Q2227" s="21" t="s">
        <v>138</v>
      </c>
      <c r="R2227" s="21" t="s">
        <v>26</v>
      </c>
    </row>
    <row r="2228" spans="1:19" ht="14.4">
      <c r="A2228" s="33">
        <f>IF(C2228="","",MAX($A$1:A2227)+1)</f>
        <v>2086</v>
      </c>
      <c r="B2228" s="27" t="s">
        <v>141</v>
      </c>
      <c r="C2228" s="23">
        <v>46099</v>
      </c>
      <c r="D2228" s="28" t="str">
        <f>_xlfn.XLOOKUP(Table134526_79101120212223242526[[#This Row],[Name Surname]],Manpower!$C$4:$C$1048576,Manpower!$B$4:$B$1048576,"")</f>
        <v>Encogroup</v>
      </c>
      <c r="E2228" s="21" t="s">
        <v>155</v>
      </c>
      <c r="F2228" s="12" t="e">
        <f>_xlfn.XLOOKUP(Table134526_79101120212223242526[[#This Row],[Name Surname]],Manpower!C:C,Manpower!D:D,)</f>
        <v>#N/A</v>
      </c>
      <c r="G2228" s="28" t="str">
        <f>_xlfn.XLOOKUP(Table134526_79101120212223242526[[#This Row],[Name Surname]],Manpower!$C$4:$C$1048576,Manpower!$F$4:$F$1048576,"")</f>
        <v>300 KVA Generator</v>
      </c>
      <c r="H2228" s="28" t="str">
        <f>_xlfn.XLOOKUP(Table134526_79101120212223242526[[#This Row],[Name Surname]],Manpower!$C$4:$C$1048576,Manpower!$H$4:$H$1048576,"")</f>
        <v>Equipment</v>
      </c>
      <c r="I2228" s="28" t="str">
        <f>_xlfn.XLOOKUP(Table134526_79101120212223242526[[#This Row],[Name Surname]],Manpower!$C$4:$C$1048576,Manpower!$H$4:$H$1048576,"")</f>
        <v>Equipment</v>
      </c>
      <c r="J2228" s="21" t="s">
        <v>143</v>
      </c>
      <c r="K2228" s="21" t="s">
        <v>26</v>
      </c>
      <c r="L2228" s="21" t="s">
        <v>144</v>
      </c>
      <c r="M2228" s="21" t="s">
        <v>24</v>
      </c>
      <c r="N2228" s="29">
        <v>10</v>
      </c>
      <c r="R2228" s="21" t="s">
        <v>26</v>
      </c>
    </row>
    <row r="2229" spans="1:19" ht="14.4">
      <c r="A2229" s="33">
        <f>IF(C2229="","",MAX($A$1:A2228)+1)</f>
        <v>2087</v>
      </c>
      <c r="B2229" s="27" t="s">
        <v>141</v>
      </c>
      <c r="C2229" s="23">
        <v>46099</v>
      </c>
      <c r="D2229" s="28" t="str">
        <f>_xlfn.XLOOKUP(Table134526_79101120212223242526[[#This Row],[Name Surname]],Manpower!$C$4:$C$1048576,Manpower!$B$4:$B$1048576,"")</f>
        <v>Encogroup</v>
      </c>
      <c r="E2229" s="23" t="s">
        <v>156</v>
      </c>
      <c r="F2229" s="12" t="e">
        <f>_xlfn.XLOOKUP(Table134526_79101120212223242526[[#This Row],[Name Surname]],Manpower!C:C,Manpower!D:D,)</f>
        <v>#N/A</v>
      </c>
      <c r="G2229" s="28" t="str">
        <f>_xlfn.XLOOKUP(Table134526_79101120212223242526[[#This Row],[Name Surname]],Manpower!$C$4:$C$1048576,Manpower!$F$4:$F$1048576,"")</f>
        <v>35 KVA Generator</v>
      </c>
      <c r="H2229" s="28" t="str">
        <f>_xlfn.XLOOKUP(Table134526_79101120212223242526[[#This Row],[Name Surname]],Manpower!$C$4:$C$1048576,Manpower!$H$4:$H$1048576,"")</f>
        <v>Equipment</v>
      </c>
      <c r="I2229" s="28" t="str">
        <f>_xlfn.XLOOKUP(Table134526_79101120212223242526[[#This Row],[Name Surname]],Manpower!$C$4:$C$1048576,Manpower!$H$4:$H$1048576,"")</f>
        <v>Equipment</v>
      </c>
      <c r="J2229" s="21" t="s">
        <v>143</v>
      </c>
      <c r="K2229" s="21" t="s">
        <v>26</v>
      </c>
      <c r="L2229" s="21" t="s">
        <v>144</v>
      </c>
      <c r="M2229" s="21" t="s">
        <v>55</v>
      </c>
      <c r="N2229" s="29">
        <v>10</v>
      </c>
      <c r="R2229" s="21" t="s">
        <v>56</v>
      </c>
    </row>
    <row r="2230" spans="1:19" ht="14.4">
      <c r="A2230" s="33">
        <f>IF(C2230="","",MAX($A$1:A2229)+1)</f>
        <v>2088</v>
      </c>
      <c r="B2230" s="27" t="s">
        <v>141</v>
      </c>
      <c r="C2230" s="23">
        <v>46099</v>
      </c>
      <c r="D2230" s="28" t="str">
        <f>_xlfn.XLOOKUP(Table134526_79101120212223242526[[#This Row],[Name Surname]],Manpower!$C$4:$C$1048576,Manpower!$B$4:$B$1048576,"")</f>
        <v>Encogroup</v>
      </c>
      <c r="E2230" s="21" t="s">
        <v>341</v>
      </c>
      <c r="F2230" s="12" t="e">
        <f>_xlfn.XLOOKUP(Table134526_79101120212223242526[[#This Row],[Name Surname]],Manpower!C:C,Manpower!D:D,)</f>
        <v>#N/A</v>
      </c>
      <c r="G2230" s="28" t="str">
        <f>_xlfn.XLOOKUP(Table134526_79101120212223242526[[#This Row],[Name Surname]],Manpower!$C$4:$C$1048576,Manpower!$F$4:$F$1048576,"")</f>
        <v>SCISSOR LIFT</v>
      </c>
      <c r="H2230" s="28" t="str">
        <f>_xlfn.XLOOKUP(Table134526_79101120212223242526[[#This Row],[Name Surname]],Manpower!$C$4:$C$1048576,Manpower!$H$4:$H$1048576,"")</f>
        <v>Equipment</v>
      </c>
      <c r="I2230" s="28" t="str">
        <f>_xlfn.XLOOKUP(Table134526_79101120212223242526[[#This Row],[Name Surname]],Manpower!$C$4:$C$1048576,Manpower!$H$4:$H$1048576,"")</f>
        <v>Equipment</v>
      </c>
      <c r="J2230" s="21" t="s">
        <v>143</v>
      </c>
      <c r="K2230" s="21" t="s">
        <v>26</v>
      </c>
      <c r="L2230" s="21" t="s">
        <v>144</v>
      </c>
      <c r="M2230" s="21" t="s">
        <v>55</v>
      </c>
      <c r="N2230" s="29">
        <v>10</v>
      </c>
      <c r="O2230" s="21" t="s">
        <v>140</v>
      </c>
      <c r="P2230" s="21" t="s">
        <v>140</v>
      </c>
      <c r="Q2230" s="21" t="s">
        <v>140</v>
      </c>
      <c r="R2230" s="21" t="s">
        <v>56</v>
      </c>
    </row>
    <row r="2231" spans="1:19" ht="14.4">
      <c r="A2231" s="33">
        <f>IF(C2231="","",MAX($A$1:A2230)+1)</f>
        <v>2089</v>
      </c>
      <c r="B2231" s="27" t="s">
        <v>141</v>
      </c>
      <c r="C2231" s="23">
        <v>46099</v>
      </c>
      <c r="D2231" s="28" t="str">
        <f>_xlfn.XLOOKUP(Table134526_79101120212223242526[[#This Row],[Name Surname]],Manpower!$C$4:$C$1048576,Manpower!$B$4:$B$1048576,"")</f>
        <v>Encogroup</v>
      </c>
      <c r="E2231" s="21" t="s">
        <v>342</v>
      </c>
      <c r="F2231" s="12" t="e">
        <f>_xlfn.XLOOKUP(Table134526_79101120212223242526[[#This Row],[Name Surname]],Manpower!C:C,Manpower!D:D,)</f>
        <v>#N/A</v>
      </c>
      <c r="G2231" s="28" t="str">
        <f>_xlfn.XLOOKUP(Table134526_79101120212223242526[[#This Row],[Name Surname]],Manpower!$C$4:$C$1048576,Manpower!$F$4:$F$1048576,"")</f>
        <v>SCISSOR LIFT</v>
      </c>
      <c r="H2231" s="28" t="str">
        <f>_xlfn.XLOOKUP(Table134526_79101120212223242526[[#This Row],[Name Surname]],Manpower!$C$4:$C$1048576,Manpower!$H$4:$H$1048576,"")</f>
        <v>Equipment</v>
      </c>
      <c r="I2231" s="28" t="str">
        <f>_xlfn.XLOOKUP(Table134526_79101120212223242526[[#This Row],[Name Surname]],Manpower!$C$4:$C$1048576,Manpower!$H$4:$H$1048576,"")</f>
        <v>Equipment</v>
      </c>
      <c r="J2231" s="21" t="s">
        <v>143</v>
      </c>
      <c r="K2231" s="21" t="s">
        <v>26</v>
      </c>
      <c r="L2231" s="21" t="s">
        <v>144</v>
      </c>
      <c r="M2231" s="21" t="s">
        <v>55</v>
      </c>
      <c r="N2231" s="29">
        <v>10</v>
      </c>
      <c r="O2231" s="21" t="s">
        <v>140</v>
      </c>
      <c r="P2231" s="21" t="s">
        <v>140</v>
      </c>
      <c r="Q2231" s="21" t="s">
        <v>140</v>
      </c>
      <c r="R2231" s="21" t="s">
        <v>56</v>
      </c>
    </row>
    <row r="2232" spans="1:19" s="45" customFormat="1" ht="14.4" hidden="1">
      <c r="A2232" s="25">
        <f>IF(C2232="","",MAX($A$1:A2231)+1)</f>
        <v>2090</v>
      </c>
      <c r="B2232" s="25" t="s">
        <v>141</v>
      </c>
      <c r="C2232" s="41">
        <v>46099</v>
      </c>
      <c r="D2232" s="48" t="str">
        <f>_xlfn.XLOOKUP(Table134526_79101120212223242526[[#This Row],[Name Surname]],Manpower!$C$4:$C$1048576,Manpower!$B$4:$B$1048576,"")</f>
        <v>Encogroup</v>
      </c>
      <c r="E2232" s="43" t="s">
        <v>157</v>
      </c>
      <c r="F2232" s="12">
        <f>_xlfn.XLOOKUP(Table134526_79101120212223242526[[#This Row],[Name Surname]],Manpower!C:C,Manpower!D:D,)</f>
        <v>140742144</v>
      </c>
      <c r="G2232" s="48" t="str">
        <f>_xlfn.XLOOKUP(Table134526_79101120212223242526[[#This Row],[Name Surname]],Manpower!$C$4:$C$1048576,Manpower!$F$4:$F$1048576,"")</f>
        <v>Assistant/Helper</v>
      </c>
      <c r="H2232" s="48" t="str">
        <f>_xlfn.XLOOKUP(Table134526_79101120212223242526[[#This Row],[Name Surname]],Manpower!$C$4:$C$1048576,Manpower!$H$4:$H$1048576,"")</f>
        <v>Manpower</v>
      </c>
      <c r="I2232" s="48" t="str">
        <f>_xlfn.XLOOKUP(Table134526_79101120212223242526[[#This Row],[Name Surname]],Manpower!$C$4:$C$1048576,Manpower!$H$4:$H$1048576,"")</f>
        <v>Manpower</v>
      </c>
      <c r="J2232" s="43" t="s">
        <v>158</v>
      </c>
      <c r="K2232" s="43" t="s">
        <v>26</v>
      </c>
      <c r="L2232" s="43" t="s">
        <v>26</v>
      </c>
      <c r="M2232" s="43" t="s">
        <v>24</v>
      </c>
      <c r="N2232" s="44">
        <v>10</v>
      </c>
      <c r="O2232" s="43" t="s">
        <v>159</v>
      </c>
      <c r="P2232" s="43" t="s">
        <v>160</v>
      </c>
      <c r="Q2232" s="43" t="s">
        <v>160</v>
      </c>
      <c r="R2232" s="43" t="s">
        <v>161</v>
      </c>
      <c r="S2232" s="43" t="s">
        <v>230</v>
      </c>
    </row>
    <row r="2233" spans="1:19" s="45" customFormat="1" ht="14.4" hidden="1">
      <c r="A2233" s="25">
        <f>IF(C2233="","",MAX($A$1:A2232)+1)</f>
        <v>2091</v>
      </c>
      <c r="B2233" s="25" t="s">
        <v>141</v>
      </c>
      <c r="C2233" s="41">
        <v>46099</v>
      </c>
      <c r="D2233" s="48" t="str">
        <f>_xlfn.XLOOKUP(Table134526_79101120212223242526[[#This Row],[Name Surname]],Manpower!$C$4:$C$1048576,Manpower!$B$4:$B$1048576,"")</f>
        <v>Encogroup</v>
      </c>
      <c r="E2233" s="43" t="s">
        <v>166</v>
      </c>
      <c r="F2233" s="12" t="str">
        <f>_xlfn.XLOOKUP(Table134526_79101120212223242526[[#This Row],[Name Surname]],Manpower!C:C,Manpower!D:D,)</f>
        <v>U4181508</v>
      </c>
      <c r="G2233" s="48" t="str">
        <f>_xlfn.XLOOKUP(Table134526_79101120212223242526[[#This Row],[Name Surname]],Manpower!$C$4:$C$1048576,Manpower!$F$4:$F$1048576,"")</f>
        <v>Welder</v>
      </c>
      <c r="H2233" s="48" t="str">
        <f>_xlfn.XLOOKUP(Table134526_79101120212223242526[[#This Row],[Name Surname]],Manpower!$C$4:$C$1048576,Manpower!$H$4:$H$1048576,"")</f>
        <v>Manpower</v>
      </c>
      <c r="I2233" s="48" t="str">
        <f>_xlfn.XLOOKUP(Table134526_79101120212223242526[[#This Row],[Name Surname]],Manpower!$C$4:$C$1048576,Manpower!$H$4:$H$1048576,"")</f>
        <v>Manpower</v>
      </c>
      <c r="J2233" s="43" t="s">
        <v>143</v>
      </c>
      <c r="K2233" s="43" t="s">
        <v>26</v>
      </c>
      <c r="L2233" s="43" t="s">
        <v>144</v>
      </c>
      <c r="M2233" s="43" t="s">
        <v>24</v>
      </c>
      <c r="N2233" s="44">
        <v>10</v>
      </c>
      <c r="O2233" s="43" t="s">
        <v>40</v>
      </c>
      <c r="P2233" s="43" t="s">
        <v>42</v>
      </c>
      <c r="Q2233" s="43" t="s">
        <v>42</v>
      </c>
      <c r="R2233" s="43" t="s">
        <v>356</v>
      </c>
      <c r="S2233" s="43"/>
    </row>
    <row r="2234" spans="1:19" s="45" customFormat="1" ht="14.4" hidden="1">
      <c r="A2234" s="25">
        <f>IF(C2234="","",MAX($A$1:A2233)+1)</f>
        <v>2092</v>
      </c>
      <c r="B2234" s="25" t="s">
        <v>141</v>
      </c>
      <c r="C2234" s="41">
        <v>46099</v>
      </c>
      <c r="D2234" s="48" t="str">
        <f>_xlfn.XLOOKUP(Table134526_79101120212223242526[[#This Row],[Name Surname]],Manpower!$C$4:$C$1048576,Manpower!$B$4:$B$1048576,"")</f>
        <v>Encogroup</v>
      </c>
      <c r="E2234" s="43" t="s">
        <v>167</v>
      </c>
      <c r="F2234" s="12">
        <f>_xlfn.XLOOKUP(Table134526_79101120212223242526[[#This Row],[Name Surname]],Manpower!C:C,Manpower!D:D,)</f>
        <v>125440631</v>
      </c>
      <c r="G2234" s="48" t="str">
        <f>_xlfn.XLOOKUP(Table134526_79101120212223242526[[#This Row],[Name Surname]],Manpower!$C$4:$C$1048576,Manpower!$F$4:$F$1048576,"")</f>
        <v>Rigger</v>
      </c>
      <c r="H2234" s="48" t="str">
        <f>_xlfn.XLOOKUP(Table134526_79101120212223242526[[#This Row],[Name Surname]],Manpower!$C$4:$C$1048576,Manpower!$H$4:$H$1048576,"")</f>
        <v>Manpower</v>
      </c>
      <c r="I2234" s="48" t="str">
        <f>_xlfn.XLOOKUP(Table134526_79101120212223242526[[#This Row],[Name Surname]],Manpower!$C$4:$C$1048576,Manpower!$H$4:$H$1048576,"")</f>
        <v>Manpower</v>
      </c>
      <c r="J2234" s="43" t="s">
        <v>143</v>
      </c>
      <c r="K2234" s="43" t="s">
        <v>26</v>
      </c>
      <c r="L2234" s="43" t="s">
        <v>144</v>
      </c>
      <c r="M2234" s="43" t="s">
        <v>24</v>
      </c>
      <c r="N2234" s="44">
        <v>8</v>
      </c>
      <c r="O2234" s="43" t="s">
        <v>40</v>
      </c>
      <c r="P2234" s="43" t="s">
        <v>42</v>
      </c>
      <c r="Q2234" s="43" t="s">
        <v>42</v>
      </c>
      <c r="R2234" s="43" t="s">
        <v>356</v>
      </c>
      <c r="S2234" s="43" t="s">
        <v>343</v>
      </c>
    </row>
    <row r="2235" spans="1:19" ht="14.4" hidden="1">
      <c r="A2235" s="33">
        <f>IF(C2235="","",MAX($A$1:A2234)+1)</f>
        <v>2093</v>
      </c>
      <c r="B2235" s="27" t="s">
        <v>141</v>
      </c>
      <c r="C2235" s="23">
        <v>46099</v>
      </c>
      <c r="D2235" s="28" t="str">
        <f>_xlfn.XLOOKUP(Table134526_79101120212223242526[[#This Row],[Name Surname]],Manpower!$C$4:$C$1048576,Manpower!$B$4:$B$1048576,"")</f>
        <v>AL Omar International TRAD AND CONT</v>
      </c>
      <c r="E2235" s="21" t="s">
        <v>169</v>
      </c>
      <c r="F2235" s="12">
        <f>_xlfn.XLOOKUP(Table134526_79101120212223242526[[#This Row],[Name Surname]],Manpower!C:C,Manpower!D:D,)</f>
        <v>115731078</v>
      </c>
      <c r="G2235" s="28" t="str">
        <f>_xlfn.XLOOKUP(Table134526_79101120212223242526[[#This Row],[Name Surname]],Manpower!$C$4:$C$1048576,Manpower!$F$4:$F$1048576,"")</f>
        <v>Scaffolder</v>
      </c>
      <c r="H2235" s="28" t="str">
        <f>_xlfn.XLOOKUP(Table134526_79101120212223242526[[#This Row],[Name Surname]],Manpower!$C$4:$C$1048576,Manpower!$H$4:$H$1048576,"")</f>
        <v>Sub Contactor</v>
      </c>
      <c r="I2235" s="28" t="str">
        <f>_xlfn.XLOOKUP(Table134526_79101120212223242526[[#This Row],[Name Surname]],Manpower!$C$4:$C$1048576,Manpower!$H$4:$H$1048576,"")</f>
        <v>Sub Contactor</v>
      </c>
      <c r="J2235" s="21" t="s">
        <v>143</v>
      </c>
      <c r="K2235" s="21" t="s">
        <v>26</v>
      </c>
      <c r="L2235" s="21" t="s">
        <v>170</v>
      </c>
      <c r="M2235" s="21" t="s">
        <v>24</v>
      </c>
      <c r="N2235" s="29">
        <v>8</v>
      </c>
      <c r="O2235" s="21" t="s">
        <v>40</v>
      </c>
      <c r="P2235" s="21" t="s">
        <v>128</v>
      </c>
      <c r="Q2235" s="21" t="s">
        <v>128</v>
      </c>
      <c r="R2235" s="21" t="s">
        <v>171</v>
      </c>
    </row>
    <row r="2236" spans="1:19" s="45" customFormat="1" ht="14.4" hidden="1">
      <c r="A2236" s="25">
        <f>IF(C2236="","",MAX($A$1:A2235)+1)</f>
        <v>2094</v>
      </c>
      <c r="B2236" s="25" t="s">
        <v>141</v>
      </c>
      <c r="C2236" s="41">
        <v>46099</v>
      </c>
      <c r="D2236" s="48" t="str">
        <f>_xlfn.XLOOKUP(Table134526_79101120212223242526[[#This Row],[Name Surname]],Manpower!$C$4:$C$1048576,Manpower!$B$4:$B$1048576,"")</f>
        <v>Encogroup</v>
      </c>
      <c r="E2236" s="43" t="s">
        <v>172</v>
      </c>
      <c r="F2236" s="12">
        <f>_xlfn.XLOOKUP(Table134526_79101120212223242526[[#This Row],[Name Surname]],Manpower!C:C,Manpower!D:D,)</f>
        <v>140764355</v>
      </c>
      <c r="G2236" s="48" t="str">
        <f>_xlfn.XLOOKUP(Table134526_79101120212223242526[[#This Row],[Name Surname]],Manpower!$C$4:$C$1048576,Manpower!$F$4:$F$1048576,"")</f>
        <v>Fitter/Erector</v>
      </c>
      <c r="H2236" s="48" t="str">
        <f>_xlfn.XLOOKUP(Table134526_79101120212223242526[[#This Row],[Name Surname]],Manpower!$C$4:$C$1048576,Manpower!$H$4:$H$1048576,"")</f>
        <v>Manpower</v>
      </c>
      <c r="I2236" s="48" t="str">
        <f>_xlfn.XLOOKUP(Table134526_79101120212223242526[[#This Row],[Name Surname]],Manpower!$C$4:$C$1048576,Manpower!$H$4:$H$1048576,"")</f>
        <v>Manpower</v>
      </c>
      <c r="J2236" s="43" t="s">
        <v>143</v>
      </c>
      <c r="K2236" s="43" t="s">
        <v>26</v>
      </c>
      <c r="L2236" s="43" t="s">
        <v>144</v>
      </c>
      <c r="M2236" s="43" t="s">
        <v>24</v>
      </c>
      <c r="N2236" s="44">
        <v>10</v>
      </c>
      <c r="O2236" s="43" t="s">
        <v>40</v>
      </c>
      <c r="P2236" s="43" t="s">
        <v>42</v>
      </c>
      <c r="Q2236" s="43" t="s">
        <v>42</v>
      </c>
      <c r="R2236" s="43" t="s">
        <v>356</v>
      </c>
      <c r="S2236" s="43" t="s">
        <v>343</v>
      </c>
    </row>
    <row r="2237" spans="1:19" ht="14.4" hidden="1">
      <c r="A2237" s="33">
        <f>IF(C2237="","",MAX($A$1:A2236)+1)</f>
        <v>2095</v>
      </c>
      <c r="B2237" s="27" t="s">
        <v>141</v>
      </c>
      <c r="C2237" s="23">
        <v>46099</v>
      </c>
      <c r="D2237" s="28" t="str">
        <f>_xlfn.XLOOKUP(Table134526_79101120212223242526[[#This Row],[Name Surname]],Manpower!$C$4:$C$1048576,Manpower!$B$4:$B$1048576,"")</f>
        <v>Encogroup</v>
      </c>
      <c r="E2237" s="21" t="s">
        <v>175</v>
      </c>
      <c r="F2237" s="12">
        <f>_xlfn.XLOOKUP(Table134526_79101120212223242526[[#This Row],[Name Surname]],Manpower!C:C,Manpower!D:D,)</f>
        <v>140742125</v>
      </c>
      <c r="G2237" s="28" t="str">
        <f>_xlfn.XLOOKUP(Table134526_79101120212223242526[[#This Row],[Name Surname]],Manpower!$C$4:$C$1048576,Manpower!$F$4:$F$1048576,"")</f>
        <v>Assistant/Helper</v>
      </c>
      <c r="H2237" s="28" t="str">
        <f>_xlfn.XLOOKUP(Table134526_79101120212223242526[[#This Row],[Name Surname]],Manpower!$C$4:$C$1048576,Manpower!$H$4:$H$1048576,"")</f>
        <v>Manpower</v>
      </c>
      <c r="I2237" s="28" t="str">
        <f>_xlfn.XLOOKUP(Table134526_79101120212223242526[[#This Row],[Name Surname]],Manpower!$C$4:$C$1048576,Manpower!$H$4:$H$1048576,"")</f>
        <v>Manpower</v>
      </c>
      <c r="J2237" s="21" t="s">
        <v>158</v>
      </c>
      <c r="K2237" s="21" t="s">
        <v>26</v>
      </c>
      <c r="L2237" s="21" t="s">
        <v>26</v>
      </c>
      <c r="M2237" s="21" t="s">
        <v>24</v>
      </c>
      <c r="N2237" s="29">
        <v>10</v>
      </c>
      <c r="O2237" s="21" t="s">
        <v>159</v>
      </c>
      <c r="P2237" s="21" t="s">
        <v>160</v>
      </c>
      <c r="Q2237" s="21" t="s">
        <v>160</v>
      </c>
      <c r="R2237" s="21" t="s">
        <v>161</v>
      </c>
    </row>
    <row r="2238" spans="1:19" ht="14.4" hidden="1">
      <c r="A2238" s="33">
        <f>IF(C2238="","",MAX($A$1:A2237)+1)</f>
        <v>2096</v>
      </c>
      <c r="B2238" s="27" t="s">
        <v>141</v>
      </c>
      <c r="C2238" s="23">
        <v>46099</v>
      </c>
      <c r="D2238" s="28" t="str">
        <f>_xlfn.XLOOKUP(Table134526_79101120212223242526[[#This Row],[Name Surname]],Manpower!$C$4:$C$1048576,Manpower!$B$4:$B$1048576,"")</f>
        <v>Encogroup</v>
      </c>
      <c r="E2238" s="21" t="s">
        <v>228</v>
      </c>
      <c r="F2238" s="12">
        <f>_xlfn.XLOOKUP(Table134526_79101120212223242526[[#This Row],[Name Surname]],Manpower!C:C,Manpower!D:D,)</f>
        <v>125199963</v>
      </c>
      <c r="G2238" s="28" t="str">
        <f>_xlfn.XLOOKUP(Table134526_79101120212223242526[[#This Row],[Name Surname]],Manpower!$C$4:$C$1048576,Manpower!$F$4:$F$1048576,"")</f>
        <v>Electrician</v>
      </c>
      <c r="H2238" s="28" t="str">
        <f>_xlfn.XLOOKUP(Table134526_79101120212223242526[[#This Row],[Name Surname]],Manpower!$C$4:$C$1048576,Manpower!$H$4:$H$1048576,"")</f>
        <v>Manpower</v>
      </c>
      <c r="I2238" s="28" t="str">
        <f>_xlfn.XLOOKUP(Table134526_79101120212223242526[[#This Row],[Name Surname]],Manpower!$C$4:$C$1048576,Manpower!$H$4:$H$1048576,"")</f>
        <v>Manpower</v>
      </c>
      <c r="J2238" s="21" t="s">
        <v>158</v>
      </c>
      <c r="K2238" s="21" t="s">
        <v>26</v>
      </c>
      <c r="L2238" s="21" t="s">
        <v>26</v>
      </c>
      <c r="M2238" s="21" t="s">
        <v>24</v>
      </c>
      <c r="N2238" s="29">
        <v>10</v>
      </c>
      <c r="O2238" s="21" t="s">
        <v>159</v>
      </c>
      <c r="P2238" s="21" t="s">
        <v>160</v>
      </c>
      <c r="Q2238" s="21" t="s">
        <v>160</v>
      </c>
      <c r="R2238" s="21" t="s">
        <v>161</v>
      </c>
    </row>
    <row r="2239" spans="1:19" ht="14.4" hidden="1">
      <c r="A2239" s="33">
        <f>IF(C2239="","",MAX($A$1:A2238)+1)</f>
        <v>2097</v>
      </c>
      <c r="B2239" s="27" t="s">
        <v>141</v>
      </c>
      <c r="C2239" s="23">
        <v>46099</v>
      </c>
      <c r="D2239" s="28" t="str">
        <f>_xlfn.XLOOKUP(Table134526_79101120212223242526[[#This Row],[Name Surname]],Manpower!$C$4:$C$1048576,Manpower!$B$4:$B$1048576,"")</f>
        <v>Encogroup</v>
      </c>
      <c r="E2239" s="21" t="s">
        <v>119</v>
      </c>
      <c r="F2239" s="12">
        <f>_xlfn.XLOOKUP(Table134526_79101120212223242526[[#This Row],[Name Surname]],Manpower!C:C,Manpower!D:D,)</f>
        <v>140844778</v>
      </c>
      <c r="G2239" s="28" t="str">
        <f>_xlfn.XLOOKUP(Table134526_79101120212223242526[[#This Row],[Name Surname]],Manpower!$C$4:$C$1048576,Manpower!$F$4:$F$1048576,"")</f>
        <v>Painter</v>
      </c>
      <c r="H2239" s="28" t="str">
        <f>_xlfn.XLOOKUP(Table134526_79101120212223242526[[#This Row],[Name Surname]],Manpower!$C$4:$C$1048576,Manpower!$H$4:$H$1048576,"")</f>
        <v>Manpower</v>
      </c>
      <c r="I2239" s="28" t="str">
        <f>_xlfn.XLOOKUP(Table134526_79101120212223242526[[#This Row],[Name Surname]],Manpower!$C$4:$C$1048576,Manpower!$H$4:$H$1048576,"")</f>
        <v>Manpower</v>
      </c>
      <c r="J2239" s="21" t="s">
        <v>143</v>
      </c>
      <c r="K2239" s="21" t="s">
        <v>26</v>
      </c>
      <c r="L2239" s="21" t="s">
        <v>144</v>
      </c>
      <c r="M2239" s="21" t="s">
        <v>24</v>
      </c>
      <c r="N2239" s="29">
        <v>8</v>
      </c>
      <c r="O2239" s="21" t="s">
        <v>40</v>
      </c>
      <c r="P2239" s="21" t="s">
        <v>42</v>
      </c>
      <c r="Q2239" s="21" t="s">
        <v>42</v>
      </c>
      <c r="R2239" s="21" t="s">
        <v>356</v>
      </c>
    </row>
    <row r="2240" spans="1:19" ht="14.4" hidden="1">
      <c r="A2240" s="33">
        <f>IF(C2240="","",MAX($A$1:A2239)+1)</f>
        <v>2098</v>
      </c>
      <c r="B2240" s="27" t="s">
        <v>141</v>
      </c>
      <c r="C2240" s="23">
        <v>46099</v>
      </c>
      <c r="D2240" s="28" t="str">
        <f>_xlfn.XLOOKUP(Table134526_79101120212223242526[[#This Row],[Name Surname]],Manpower!$C$4:$C$1048576,Manpower!$B$4:$B$1048576,"")</f>
        <v>Encogroup</v>
      </c>
      <c r="E2240" s="21" t="s">
        <v>117</v>
      </c>
      <c r="F2240" s="12">
        <f>_xlfn.XLOOKUP(Table134526_79101120212223242526[[#This Row],[Name Surname]],Manpower!C:C,Manpower!D:D,)</f>
        <v>140844783</v>
      </c>
      <c r="G2240" s="28" t="str">
        <f>_xlfn.XLOOKUP(Table134526_79101120212223242526[[#This Row],[Name Surname]],Manpower!$C$4:$C$1048576,Manpower!$F$4:$F$1048576,"")</f>
        <v>Painter</v>
      </c>
      <c r="H2240" s="28" t="str">
        <f>_xlfn.XLOOKUP(Table134526_79101120212223242526[[#This Row],[Name Surname]],Manpower!$C$4:$C$1048576,Manpower!$H$4:$H$1048576,"")</f>
        <v>Manpower</v>
      </c>
      <c r="I2240" s="28" t="str">
        <f>_xlfn.XLOOKUP(Table134526_79101120212223242526[[#This Row],[Name Surname]],Manpower!$C$4:$C$1048576,Manpower!$H$4:$H$1048576,"")</f>
        <v>Manpower</v>
      </c>
      <c r="J2240" s="21" t="s">
        <v>143</v>
      </c>
      <c r="K2240" s="21" t="s">
        <v>26</v>
      </c>
      <c r="L2240" s="21" t="s">
        <v>144</v>
      </c>
      <c r="M2240" s="21" t="s">
        <v>24</v>
      </c>
      <c r="N2240" s="29">
        <v>10</v>
      </c>
      <c r="O2240" s="21" t="s">
        <v>40</v>
      </c>
      <c r="P2240" s="21" t="s">
        <v>42</v>
      </c>
      <c r="Q2240" s="21" t="s">
        <v>42</v>
      </c>
      <c r="R2240" s="21" t="s">
        <v>356</v>
      </c>
    </row>
    <row r="2241" spans="1:19" s="45" customFormat="1" ht="14.4" hidden="1">
      <c r="A2241" s="25">
        <f>IF(C2241="","",MAX($A$1:A2240)+1)</f>
        <v>2099</v>
      </c>
      <c r="B2241" s="25" t="s">
        <v>141</v>
      </c>
      <c r="C2241" s="41">
        <v>46099</v>
      </c>
      <c r="D2241" s="48" t="str">
        <f>_xlfn.XLOOKUP(Table134526_79101120212223242526[[#This Row],[Name Surname]],Manpower!$C$4:$C$1048576,Manpower!$B$4:$B$1048576,"")</f>
        <v>Encogroup</v>
      </c>
      <c r="E2241" s="43" t="s">
        <v>176</v>
      </c>
      <c r="F2241" s="12">
        <f>_xlfn.XLOOKUP(Table134526_79101120212223242526[[#This Row],[Name Surname]],Manpower!C:C,Manpower!D:D,)</f>
        <v>124398279</v>
      </c>
      <c r="G2241" s="48" t="str">
        <f>_xlfn.XLOOKUP(Table134526_79101120212223242526[[#This Row],[Name Surname]],Manpower!$C$4:$C$1048576,Manpower!$F$4:$F$1048576,"")</f>
        <v>Permit Receiver</v>
      </c>
      <c r="H2241" s="48" t="str">
        <f>_xlfn.XLOOKUP(Table134526_79101120212223242526[[#This Row],[Name Surname]],Manpower!$C$4:$C$1048576,Manpower!$H$4:$H$1048576,"")</f>
        <v>Manpower</v>
      </c>
      <c r="I2241" s="48" t="str">
        <f>_xlfn.XLOOKUP(Table134526_79101120212223242526[[#This Row],[Name Surname]],Manpower!$C$4:$C$1048576,Manpower!$H$4:$H$1048576,"")</f>
        <v>Manpower</v>
      </c>
      <c r="J2241" s="43" t="s">
        <v>143</v>
      </c>
      <c r="K2241" s="43" t="s">
        <v>26</v>
      </c>
      <c r="L2241" s="43" t="s">
        <v>144</v>
      </c>
      <c r="M2241" s="43" t="s">
        <v>24</v>
      </c>
      <c r="N2241" s="44">
        <v>10</v>
      </c>
      <c r="O2241" s="43" t="s">
        <v>40</v>
      </c>
      <c r="P2241" s="43" t="s">
        <v>42</v>
      </c>
      <c r="Q2241" s="43" t="s">
        <v>42</v>
      </c>
      <c r="R2241" s="43" t="s">
        <v>356</v>
      </c>
      <c r="S2241" s="43" t="s">
        <v>343</v>
      </c>
    </row>
    <row r="2242" spans="1:19" s="45" customFormat="1" ht="14.4" hidden="1">
      <c r="A2242" s="25">
        <f>IF(C2242="","",MAX($A$1:A2241)+1)</f>
        <v>2100</v>
      </c>
      <c r="B2242" s="25" t="s">
        <v>141</v>
      </c>
      <c r="C2242" s="41">
        <v>46099</v>
      </c>
      <c r="D2242" s="48" t="str">
        <f>_xlfn.XLOOKUP(Table134526_79101120212223242526[[#This Row],[Name Surname]],Manpower!$C$4:$C$1048576,Manpower!$B$4:$B$1048576,"")</f>
        <v>Encogroup</v>
      </c>
      <c r="E2242" s="43" t="s">
        <v>177</v>
      </c>
      <c r="F2242" s="12">
        <f>_xlfn.XLOOKUP(Table134526_79101120212223242526[[#This Row],[Name Surname]],Manpower!C:C,Manpower!D:D,)</f>
        <v>140809004</v>
      </c>
      <c r="G2242" s="48" t="str">
        <f>_xlfn.XLOOKUP(Table134526_79101120212223242526[[#This Row],[Name Surname]],Manpower!$C$4:$C$1048576,Manpower!$F$4:$F$1048576,"")</f>
        <v>Fitter/Erector</v>
      </c>
      <c r="H2242" s="48" t="str">
        <f>_xlfn.XLOOKUP(Table134526_79101120212223242526[[#This Row],[Name Surname]],Manpower!$C$4:$C$1048576,Manpower!$H$4:$H$1048576,"")</f>
        <v>Manpower</v>
      </c>
      <c r="I2242" s="48" t="str">
        <f>_xlfn.XLOOKUP(Table134526_79101120212223242526[[#This Row],[Name Surname]],Manpower!$C$4:$C$1048576,Manpower!$H$4:$H$1048576,"")</f>
        <v>Manpower</v>
      </c>
      <c r="J2242" s="43" t="s">
        <v>143</v>
      </c>
      <c r="K2242" s="43" t="s">
        <v>26</v>
      </c>
      <c r="L2242" s="43" t="s">
        <v>144</v>
      </c>
      <c r="M2242" s="43" t="s">
        <v>24</v>
      </c>
      <c r="N2242" s="44">
        <v>10</v>
      </c>
      <c r="O2242" s="43" t="s">
        <v>40</v>
      </c>
      <c r="P2242" s="43" t="s">
        <v>42</v>
      </c>
      <c r="Q2242" s="43" t="s">
        <v>42</v>
      </c>
      <c r="R2242" s="43" t="s">
        <v>356</v>
      </c>
      <c r="S2242" s="43"/>
    </row>
    <row r="2243" spans="1:19" ht="14.4" hidden="1">
      <c r="A2243" s="33">
        <f>IF(C2243="","",MAX($A$1:A2242)+1)</f>
        <v>2101</v>
      </c>
      <c r="B2243" s="27" t="s">
        <v>141</v>
      </c>
      <c r="C2243" s="23">
        <v>46099</v>
      </c>
      <c r="D2243" s="28" t="str">
        <f>_xlfn.XLOOKUP(Table134526_79101120212223242526[[#This Row],[Name Surname]],Manpower!$C$4:$C$1048576,Manpower!$B$4:$B$1048576,"")</f>
        <v>Encogroup</v>
      </c>
      <c r="E2243" s="21" t="s">
        <v>178</v>
      </c>
      <c r="F2243" s="12">
        <f>_xlfn.XLOOKUP(Table134526_79101120212223242526[[#This Row],[Name Surname]],Manpower!C:C,Manpower!D:D,)</f>
        <v>140683436</v>
      </c>
      <c r="G2243" s="28" t="str">
        <f>_xlfn.XLOOKUP(Table134526_79101120212223242526[[#This Row],[Name Surname]],Manpower!$C$4:$C$1048576,Manpower!$F$4:$F$1048576,"")</f>
        <v>Scaffolder</v>
      </c>
      <c r="H2243" s="28" t="str">
        <f>_xlfn.XLOOKUP(Table134526_79101120212223242526[[#This Row],[Name Surname]],Manpower!$C$4:$C$1048576,Manpower!$H$4:$H$1048576,"")</f>
        <v>Manpower</v>
      </c>
      <c r="I2243" s="28" t="str">
        <f>_xlfn.XLOOKUP(Table134526_79101120212223242526[[#This Row],[Name Surname]],Manpower!$C$4:$C$1048576,Manpower!$H$4:$H$1048576,"")</f>
        <v>Manpower</v>
      </c>
      <c r="J2243" s="21" t="s">
        <v>158</v>
      </c>
      <c r="K2243" s="21" t="s">
        <v>26</v>
      </c>
      <c r="L2243" s="21" t="s">
        <v>26</v>
      </c>
      <c r="M2243" s="21" t="s">
        <v>24</v>
      </c>
      <c r="N2243" s="29">
        <v>8</v>
      </c>
      <c r="O2243" s="21" t="s">
        <v>159</v>
      </c>
      <c r="P2243" s="21" t="s">
        <v>160</v>
      </c>
      <c r="Q2243" s="21" t="s">
        <v>160</v>
      </c>
      <c r="R2243" s="21" t="s">
        <v>161</v>
      </c>
    </row>
    <row r="2244" spans="1:19" ht="14.4">
      <c r="A2244" s="33">
        <f>IF(C2244="","",MAX($A$1:A2243)+1)</f>
        <v>2102</v>
      </c>
      <c r="B2244" s="27" t="s">
        <v>141</v>
      </c>
      <c r="C2244" s="23">
        <v>46099</v>
      </c>
      <c r="D2244" s="28" t="str">
        <f>_xlfn.XLOOKUP(Table134526_79101120212223242526[[#This Row],[Name Surname]],Manpower!$C$4:$C$1048576,Manpower!$B$4:$B$1048576,"")</f>
        <v>Encogroup</v>
      </c>
      <c r="E2244" s="23" t="s">
        <v>179</v>
      </c>
      <c r="F2244" s="12" t="e">
        <f>_xlfn.XLOOKUP(Table134526_79101120212223242526[[#This Row],[Name Surname]],Manpower!C:C,Manpower!D:D,)</f>
        <v>#N/A</v>
      </c>
      <c r="G2244" s="28" t="str">
        <f>_xlfn.XLOOKUP(Table134526_79101120212223242526[[#This Row],[Name Surname]],Manpower!$C$4:$C$1048576,Manpower!$F$4:$F$1048576,"")</f>
        <v>7T-HIAB</v>
      </c>
      <c r="H2244" s="28" t="str">
        <f>_xlfn.XLOOKUP(Table134526_79101120212223242526[[#This Row],[Name Surname]],Manpower!$C$4:$C$1048576,Manpower!$H$4:$H$1048576,"")</f>
        <v>Equipment</v>
      </c>
      <c r="I2244" s="28" t="str">
        <f>_xlfn.XLOOKUP(Table134526_79101120212223242526[[#This Row],[Name Surname]],Manpower!$C$4:$C$1048576,Manpower!$H$4:$H$1048576,"")</f>
        <v>Equipment</v>
      </c>
      <c r="J2244" s="21" t="s">
        <v>143</v>
      </c>
      <c r="K2244" s="21" t="s">
        <v>26</v>
      </c>
      <c r="L2244" s="21" t="s">
        <v>144</v>
      </c>
      <c r="M2244" s="21" t="s">
        <v>24</v>
      </c>
      <c r="N2244" s="29">
        <v>10</v>
      </c>
      <c r="O2244" s="21" t="s">
        <v>138</v>
      </c>
      <c r="P2244" s="21" t="s">
        <v>138</v>
      </c>
      <c r="Q2244" s="21" t="s">
        <v>138</v>
      </c>
      <c r="R2244" s="21" t="s">
        <v>26</v>
      </c>
    </row>
    <row r="2245" spans="1:19" ht="14.4" hidden="1">
      <c r="A2245" s="33">
        <f>IF(C2245="","",MAX($A$1:A2244)+1)</f>
        <v>2103</v>
      </c>
      <c r="B2245" s="27" t="s">
        <v>141</v>
      </c>
      <c r="C2245" s="23">
        <v>46099</v>
      </c>
      <c r="D2245" s="28" t="str">
        <f>_xlfn.XLOOKUP(Table134526_79101120212223242526[[#This Row],[Name Surname]],Manpower!$C$4:$C$1048576,Manpower!$B$4:$B$1048576,"")</f>
        <v>Encogroup</v>
      </c>
      <c r="E2245" s="21" t="s">
        <v>180</v>
      </c>
      <c r="F2245" s="12">
        <f>_xlfn.XLOOKUP(Table134526_79101120212223242526[[#This Row],[Name Surname]],Manpower!C:C,Manpower!D:D,)</f>
        <v>9138415</v>
      </c>
      <c r="G2245" s="28" t="str">
        <f>_xlfn.XLOOKUP(Table134526_79101120212223242526[[#This Row],[Name Surname]],Manpower!$C$4:$C$1048576,Manpower!$F$4:$F$1048576,"")</f>
        <v>HIAB Driver</v>
      </c>
      <c r="H2245" s="28" t="str">
        <f>_xlfn.XLOOKUP(Table134526_79101120212223242526[[#This Row],[Name Surname]],Manpower!$C$4:$C$1048576,Manpower!$H$4:$H$1048576,"")</f>
        <v>Manpower</v>
      </c>
      <c r="I2245" s="28" t="str">
        <f>_xlfn.XLOOKUP(Table134526_79101120212223242526[[#This Row],[Name Surname]],Manpower!$C$4:$C$1048576,Manpower!$H$4:$H$1048576,"")</f>
        <v>Manpower</v>
      </c>
      <c r="J2245" s="21" t="s">
        <v>143</v>
      </c>
      <c r="K2245" s="21" t="s">
        <v>26</v>
      </c>
      <c r="L2245" s="21" t="s">
        <v>144</v>
      </c>
      <c r="M2245" s="21" t="s">
        <v>24</v>
      </c>
      <c r="N2245" s="29">
        <v>10</v>
      </c>
      <c r="O2245" s="21" t="s">
        <v>40</v>
      </c>
      <c r="P2245" s="21" t="s">
        <v>42</v>
      </c>
      <c r="Q2245" s="21" t="s">
        <v>42</v>
      </c>
      <c r="R2245" s="21" t="s">
        <v>181</v>
      </c>
    </row>
    <row r="2246" spans="1:19" s="45" customFormat="1" ht="14.4" hidden="1">
      <c r="A2246" s="25">
        <f>IF(C2246="","",MAX($A$1:A2245)+1)</f>
        <v>2104</v>
      </c>
      <c r="B2246" s="25" t="s">
        <v>141</v>
      </c>
      <c r="C2246" s="41">
        <v>46099</v>
      </c>
      <c r="D2246" s="48" t="str">
        <f>_xlfn.XLOOKUP(Table134526_79101120212223242526[[#This Row],[Name Surname]],Manpower!$C$4:$C$1048576,Manpower!$B$4:$B$1048576,"")</f>
        <v>Encogroup</v>
      </c>
      <c r="E2246" s="43" t="s">
        <v>184</v>
      </c>
      <c r="F2246" s="12">
        <f>_xlfn.XLOOKUP(Table134526_79101120212223242526[[#This Row],[Name Surname]],Manpower!C:C,Manpower!D:D,)</f>
        <v>140844759</v>
      </c>
      <c r="G2246" s="48" t="str">
        <f>_xlfn.XLOOKUP(Table134526_79101120212223242526[[#This Row],[Name Surname]],Manpower!$C$4:$C$1048576,Manpower!$F$4:$F$1048576,"")</f>
        <v>Welder</v>
      </c>
      <c r="H2246" s="48" t="str">
        <f>_xlfn.XLOOKUP(Table134526_79101120212223242526[[#This Row],[Name Surname]],Manpower!$C$4:$C$1048576,Manpower!$H$4:$H$1048576,"")</f>
        <v>Manpower</v>
      </c>
      <c r="I2246" s="48" t="str">
        <f>_xlfn.XLOOKUP(Table134526_79101120212223242526[[#This Row],[Name Surname]],Manpower!$C$4:$C$1048576,Manpower!$H$4:$H$1048576,"")</f>
        <v>Manpower</v>
      </c>
      <c r="J2246" s="43" t="s">
        <v>143</v>
      </c>
      <c r="K2246" s="43" t="s">
        <v>26</v>
      </c>
      <c r="L2246" s="43" t="s">
        <v>170</v>
      </c>
      <c r="M2246" s="43" t="s">
        <v>24</v>
      </c>
      <c r="N2246" s="44">
        <v>10</v>
      </c>
      <c r="O2246" s="43" t="s">
        <v>40</v>
      </c>
      <c r="P2246" s="43" t="s">
        <v>128</v>
      </c>
      <c r="Q2246" s="43" t="s">
        <v>128</v>
      </c>
      <c r="R2246" s="43" t="s">
        <v>171</v>
      </c>
      <c r="S2246" s="43" t="s">
        <v>343</v>
      </c>
    </row>
    <row r="2247" spans="1:19" s="45" customFormat="1" ht="14.4" hidden="1">
      <c r="A2247" s="25">
        <f>IF(C2247="","",MAX($A$1:A2246)+1)</f>
        <v>2105</v>
      </c>
      <c r="B2247" s="25" t="s">
        <v>141</v>
      </c>
      <c r="C2247" s="41">
        <v>46099</v>
      </c>
      <c r="D2247" s="48" t="str">
        <f>_xlfn.XLOOKUP(Table134526_79101120212223242526[[#This Row],[Name Surname]],Manpower!$C$4:$C$1048576,Manpower!$B$4:$B$1048576,"")</f>
        <v>Encogroup</v>
      </c>
      <c r="E2247" s="43" t="s">
        <v>185</v>
      </c>
      <c r="F2247" s="12">
        <f>_xlfn.XLOOKUP(Table134526_79101120212223242526[[#This Row],[Name Surname]],Manpower!C:C,Manpower!D:D,)</f>
        <v>140848828</v>
      </c>
      <c r="G2247" s="48" t="str">
        <f>_xlfn.XLOOKUP(Table134526_79101120212223242526[[#This Row],[Name Surname]],Manpower!$C$4:$C$1048576,Manpower!$F$4:$F$1048576,"")</f>
        <v>Pipe Fitter</v>
      </c>
      <c r="H2247" s="48" t="str">
        <f>_xlfn.XLOOKUP(Table134526_79101120212223242526[[#This Row],[Name Surname]],Manpower!$C$4:$C$1048576,Manpower!$H$4:$H$1048576,"")</f>
        <v>Manpower</v>
      </c>
      <c r="I2247" s="48" t="str">
        <f>_xlfn.XLOOKUP(Table134526_79101120212223242526[[#This Row],[Name Surname]],Manpower!$C$4:$C$1048576,Manpower!$H$4:$H$1048576,"")</f>
        <v>Manpower</v>
      </c>
      <c r="J2247" s="43" t="s">
        <v>143</v>
      </c>
      <c r="K2247" s="43" t="s">
        <v>26</v>
      </c>
      <c r="L2247" s="43" t="s">
        <v>170</v>
      </c>
      <c r="M2247" s="43" t="s">
        <v>24</v>
      </c>
      <c r="N2247" s="44">
        <v>10</v>
      </c>
      <c r="O2247" s="43" t="s">
        <v>40</v>
      </c>
      <c r="P2247" s="43" t="s">
        <v>128</v>
      </c>
      <c r="Q2247" s="43" t="s">
        <v>128</v>
      </c>
      <c r="R2247" s="43" t="s">
        <v>171</v>
      </c>
      <c r="S2247" s="43"/>
    </row>
    <row r="2248" spans="1:19" ht="14.4" hidden="1">
      <c r="A2248" s="33">
        <f>IF(C2248="","",MAX($A$1:A2247)+1)</f>
        <v>2106</v>
      </c>
      <c r="B2248" s="27" t="s">
        <v>141</v>
      </c>
      <c r="C2248" s="23">
        <v>46099</v>
      </c>
      <c r="D2248" s="28" t="str">
        <f>_xlfn.XLOOKUP(Table134526_79101120212223242526[[#This Row],[Name Surname]],Manpower!$C$4:$C$1048576,Manpower!$B$4:$B$1048576,"")</f>
        <v>Encogroup</v>
      </c>
      <c r="E2248" s="21" t="s">
        <v>186</v>
      </c>
      <c r="F2248" s="12">
        <f>_xlfn.XLOOKUP(Table134526_79101120212223242526[[#This Row],[Name Surname]],Manpower!C:C,Manpower!D:D,)</f>
        <v>140696961</v>
      </c>
      <c r="G2248" s="28" t="str">
        <f>_xlfn.XLOOKUP(Table134526_79101120212223242526[[#This Row],[Name Surname]],Manpower!$C$4:$C$1048576,Manpower!$F$4:$F$1048576,"")</f>
        <v>Assistant/Helper</v>
      </c>
      <c r="H2248" s="28" t="str">
        <f>_xlfn.XLOOKUP(Table134526_79101120212223242526[[#This Row],[Name Surname]],Manpower!$C$4:$C$1048576,Manpower!$H$4:$H$1048576,"")</f>
        <v>Manpower</v>
      </c>
      <c r="I2248" s="28" t="str">
        <f>_xlfn.XLOOKUP(Table134526_79101120212223242526[[#This Row],[Name Surname]],Manpower!$C$4:$C$1048576,Manpower!$H$4:$H$1048576,"")</f>
        <v>Manpower</v>
      </c>
      <c r="J2248" s="21" t="s">
        <v>143</v>
      </c>
      <c r="K2248" s="21" t="s">
        <v>26</v>
      </c>
      <c r="L2248" s="21" t="s">
        <v>170</v>
      </c>
      <c r="M2248" s="21" t="s">
        <v>24</v>
      </c>
      <c r="N2248" s="29">
        <v>10</v>
      </c>
      <c r="O2248" s="21" t="s">
        <v>40</v>
      </c>
      <c r="P2248" s="21" t="s">
        <v>128</v>
      </c>
      <c r="Q2248" s="21" t="s">
        <v>128</v>
      </c>
      <c r="R2248" s="21" t="s">
        <v>171</v>
      </c>
    </row>
    <row r="2249" spans="1:19" s="45" customFormat="1" ht="14.4" hidden="1">
      <c r="A2249" s="25">
        <f>IF(C2249="","",MAX($A$1:A2248)+1)</f>
        <v>2107</v>
      </c>
      <c r="B2249" s="25" t="s">
        <v>141</v>
      </c>
      <c r="C2249" s="41">
        <v>46099</v>
      </c>
      <c r="D2249" s="48" t="str">
        <f>_xlfn.XLOOKUP(Table134526_79101120212223242526[[#This Row],[Name Surname]],Manpower!$C$4:$C$1048576,Manpower!$B$4:$B$1048576,"")</f>
        <v>Encogroup</v>
      </c>
      <c r="E2249" s="43" t="s">
        <v>187</v>
      </c>
      <c r="F2249" s="12">
        <f>_xlfn.XLOOKUP(Table134526_79101120212223242526[[#This Row],[Name Surname]],Manpower!C:C,Manpower!D:D,)</f>
        <v>140623599</v>
      </c>
      <c r="G2249" s="48" t="str">
        <f>_xlfn.XLOOKUP(Table134526_79101120212223242526[[#This Row],[Name Surname]],Manpower!$C$4:$C$1048576,Manpower!$F$4:$F$1048576,"")</f>
        <v>Mechanical Supervisor</v>
      </c>
      <c r="H2249" s="48" t="str">
        <f>_xlfn.XLOOKUP(Table134526_79101120212223242526[[#This Row],[Name Surname]],Manpower!$C$4:$C$1048576,Manpower!$H$4:$H$1048576,"")</f>
        <v>Manpower</v>
      </c>
      <c r="I2249" s="48" t="str">
        <f>_xlfn.XLOOKUP(Table134526_79101120212223242526[[#This Row],[Name Surname]],Manpower!$C$4:$C$1048576,Manpower!$H$4:$H$1048576,"")</f>
        <v>Manpower</v>
      </c>
      <c r="J2249" s="43" t="s">
        <v>143</v>
      </c>
      <c r="K2249" s="43" t="s">
        <v>26</v>
      </c>
      <c r="L2249" s="43" t="s">
        <v>144</v>
      </c>
      <c r="M2249" s="43" t="s">
        <v>24</v>
      </c>
      <c r="N2249" s="44">
        <v>8</v>
      </c>
      <c r="O2249" s="43" t="s">
        <v>40</v>
      </c>
      <c r="P2249" s="43" t="s">
        <v>42</v>
      </c>
      <c r="Q2249" s="43" t="s">
        <v>42</v>
      </c>
      <c r="R2249" s="43" t="s">
        <v>356</v>
      </c>
      <c r="S2249" s="43"/>
    </row>
    <row r="2250" spans="1:19" ht="14.4" hidden="1">
      <c r="A2250" s="33">
        <f>IF(C2250="","",MAX($A$1:A2249)+1)</f>
        <v>2108</v>
      </c>
      <c r="B2250" s="27" t="s">
        <v>141</v>
      </c>
      <c r="C2250" s="23">
        <v>46099</v>
      </c>
      <c r="D2250" s="28" t="str">
        <f>_xlfn.XLOOKUP(Table134526_79101120212223242526[[#This Row],[Name Surname]],Manpower!$C$4:$C$1048576,Manpower!$B$4:$B$1048576,"")</f>
        <v>Encogroup</v>
      </c>
      <c r="E2250" s="21" t="s">
        <v>189</v>
      </c>
      <c r="F2250" s="12">
        <f>_xlfn.XLOOKUP(Table134526_79101120212223242526[[#This Row],[Name Surname]],Manpower!C:C,Manpower!D:D,)</f>
        <v>121937785</v>
      </c>
      <c r="G2250" s="28" t="str">
        <f>_xlfn.XLOOKUP(Table134526_79101120212223242526[[#This Row],[Name Surname]],Manpower!$C$4:$C$1048576,Manpower!$F$4:$F$1048576,"")</f>
        <v>Scaffolding Inspector</v>
      </c>
      <c r="H2250" s="28" t="str">
        <f>_xlfn.XLOOKUP(Table134526_79101120212223242526[[#This Row],[Name Surname]],Manpower!$C$4:$C$1048576,Manpower!$H$4:$H$1048576,"")</f>
        <v>Manpower</v>
      </c>
      <c r="I2250" s="28" t="str">
        <f>_xlfn.XLOOKUP(Table134526_79101120212223242526[[#This Row],[Name Surname]],Manpower!$C$4:$C$1048576,Manpower!$H$4:$H$1048576,"")</f>
        <v>Manpower</v>
      </c>
      <c r="J2250" s="21" t="s">
        <v>143</v>
      </c>
      <c r="K2250" s="21" t="s">
        <v>26</v>
      </c>
      <c r="L2250" s="21" t="s">
        <v>144</v>
      </c>
      <c r="M2250" s="21" t="s">
        <v>24</v>
      </c>
      <c r="N2250" s="29">
        <v>8</v>
      </c>
      <c r="O2250" s="21" t="s">
        <v>40</v>
      </c>
      <c r="P2250" s="21" t="s">
        <v>128</v>
      </c>
      <c r="Q2250" s="21" t="s">
        <v>128</v>
      </c>
      <c r="R2250" s="21" t="s">
        <v>26</v>
      </c>
    </row>
    <row r="2251" spans="1:19" ht="14.4" hidden="1">
      <c r="A2251" s="33">
        <f>IF(C2251="","",MAX($A$1:A2250)+1)</f>
        <v>2109</v>
      </c>
      <c r="B2251" s="27" t="s">
        <v>141</v>
      </c>
      <c r="C2251" s="23">
        <v>46099</v>
      </c>
      <c r="D2251" s="28" t="str">
        <f>_xlfn.XLOOKUP(Table134526_79101120212223242526[[#This Row],[Name Surname]],Manpower!$C$4:$C$1048576,Manpower!$B$4:$B$1048576,"")</f>
        <v>AL Omar International TRAD AND CONT</v>
      </c>
      <c r="E2251" s="21" t="s">
        <v>193</v>
      </c>
      <c r="F2251" s="12">
        <f>_xlfn.XLOOKUP(Table134526_79101120212223242526[[#This Row],[Name Surname]],Manpower!C:C,Manpower!D:D,)</f>
        <v>105813698</v>
      </c>
      <c r="G2251" s="28" t="str">
        <f>_xlfn.XLOOKUP(Table134526_79101120212223242526[[#This Row],[Name Surname]],Manpower!$C$4:$C$1048576,Manpower!$F$4:$F$1048576,"")</f>
        <v>Scaffolding Inspector</v>
      </c>
      <c r="H2251" s="28" t="str">
        <f>_xlfn.XLOOKUP(Table134526_79101120212223242526[[#This Row],[Name Surname]],Manpower!$C$4:$C$1048576,Manpower!$H$4:$H$1048576,"")</f>
        <v>Sub Contactor</v>
      </c>
      <c r="I2251" s="28" t="str">
        <f>_xlfn.XLOOKUP(Table134526_79101120212223242526[[#This Row],[Name Surname]],Manpower!$C$4:$C$1048576,Manpower!$H$4:$H$1048576,"")</f>
        <v>Sub Contactor</v>
      </c>
      <c r="J2251" s="21" t="s">
        <v>143</v>
      </c>
      <c r="K2251" s="21" t="s">
        <v>26</v>
      </c>
      <c r="L2251" s="21" t="s">
        <v>170</v>
      </c>
      <c r="M2251" s="21" t="s">
        <v>24</v>
      </c>
      <c r="N2251" s="29">
        <v>8</v>
      </c>
      <c r="O2251" s="21" t="s">
        <v>40</v>
      </c>
      <c r="P2251" s="21" t="s">
        <v>128</v>
      </c>
      <c r="Q2251" s="21" t="s">
        <v>128</v>
      </c>
      <c r="R2251" s="21" t="s">
        <v>171</v>
      </c>
    </row>
    <row r="2252" spans="1:19" s="45" customFormat="1" ht="14.4" hidden="1">
      <c r="A2252" s="25">
        <f>IF(C2252="","",MAX($A$1:A2251)+1)</f>
        <v>2110</v>
      </c>
      <c r="B2252" s="25" t="s">
        <v>141</v>
      </c>
      <c r="C2252" s="41">
        <v>46099</v>
      </c>
      <c r="D2252" s="48" t="str">
        <f>_xlfn.XLOOKUP(Table134526_79101120212223242526[[#This Row],[Name Surname]],Manpower!$C$4:$C$1048576,Manpower!$B$4:$B$1048576,"")</f>
        <v>AL Saif &amp; Al QALLM ENT LLC</v>
      </c>
      <c r="E2252" s="43" t="s">
        <v>194</v>
      </c>
      <c r="F2252" s="12">
        <f>_xlfn.XLOOKUP(Table134526_79101120212223242526[[#This Row],[Name Surname]],Manpower!C:C,Manpower!D:D,)</f>
        <v>135340657</v>
      </c>
      <c r="G2252" s="48" t="str">
        <f>_xlfn.XLOOKUP(Table134526_79101120212223242526[[#This Row],[Name Surname]],Manpower!$C$4:$C$1048576,Manpower!$F$4:$F$1048576,"")</f>
        <v>Forklift Operator</v>
      </c>
      <c r="H2252" s="48" t="str">
        <f>_xlfn.XLOOKUP(Table134526_79101120212223242526[[#This Row],[Name Surname]],Manpower!$C$4:$C$1048576,Manpower!$H$4:$H$1048576,"")</f>
        <v>Sub Contactor</v>
      </c>
      <c r="I2252" s="48" t="str">
        <f>_xlfn.XLOOKUP(Table134526_79101120212223242526[[#This Row],[Name Surname]],Manpower!$C$4:$C$1048576,Manpower!$H$4:$H$1048576,"")</f>
        <v>Sub Contactor</v>
      </c>
      <c r="J2252" s="43" t="s">
        <v>143</v>
      </c>
      <c r="K2252" s="43" t="s">
        <v>26</v>
      </c>
      <c r="L2252" s="43" t="s">
        <v>144</v>
      </c>
      <c r="M2252" s="43" t="s">
        <v>24</v>
      </c>
      <c r="N2252" s="44">
        <v>8</v>
      </c>
      <c r="O2252" s="43" t="s">
        <v>40</v>
      </c>
      <c r="P2252" s="43" t="s">
        <v>42</v>
      </c>
      <c r="Q2252" s="43" t="s">
        <v>42</v>
      </c>
      <c r="R2252" s="43" t="s">
        <v>195</v>
      </c>
      <c r="S2252" s="43"/>
    </row>
    <row r="2253" spans="1:19" ht="14.4" hidden="1">
      <c r="A2253" s="33">
        <f>IF(C2253="","",MAX($A$1:A2252)+1)</f>
        <v>2111</v>
      </c>
      <c r="B2253" s="27" t="s">
        <v>141</v>
      </c>
      <c r="C2253" s="23">
        <v>46099</v>
      </c>
      <c r="D2253" s="28" t="str">
        <f>_xlfn.XLOOKUP(Table134526_79101120212223242526[[#This Row],[Name Surname]],Manpower!$C$4:$C$1048576,Manpower!$B$4:$B$1048576,"")</f>
        <v>Encogroup</v>
      </c>
      <c r="E2253" s="21" t="s">
        <v>196</v>
      </c>
      <c r="F2253" s="12">
        <f>_xlfn.XLOOKUP(Table134526_79101120212223242526[[#This Row],[Name Surname]],Manpower!C:C,Manpower!D:D,)</f>
        <v>140844586</v>
      </c>
      <c r="G2253" s="28" t="str">
        <f>_xlfn.XLOOKUP(Table134526_79101120212223242526[[#This Row],[Name Surname]],Manpower!$C$4:$C$1048576,Manpower!$F$4:$F$1048576,"")</f>
        <v>Assistant/Helper</v>
      </c>
      <c r="H2253" s="28" t="str">
        <f>_xlfn.XLOOKUP(Table134526_79101120212223242526[[#This Row],[Name Surname]],Manpower!$C$4:$C$1048576,Manpower!$H$4:$H$1048576,"")</f>
        <v>Manpower</v>
      </c>
      <c r="I2253" s="28" t="str">
        <f>_xlfn.XLOOKUP(Table134526_79101120212223242526[[#This Row],[Name Surname]],Manpower!$C$4:$C$1048576,Manpower!$H$4:$H$1048576,"")</f>
        <v>Manpower</v>
      </c>
      <c r="J2253" s="21" t="s">
        <v>143</v>
      </c>
      <c r="K2253" s="21" t="s">
        <v>26</v>
      </c>
      <c r="L2253" s="21" t="s">
        <v>170</v>
      </c>
      <c r="M2253" s="21" t="s">
        <v>24</v>
      </c>
      <c r="N2253" s="29">
        <v>10</v>
      </c>
      <c r="O2253" s="21" t="s">
        <v>40</v>
      </c>
      <c r="P2253" s="21" t="s">
        <v>128</v>
      </c>
      <c r="Q2253" s="21" t="s">
        <v>128</v>
      </c>
      <c r="R2253" s="21" t="s">
        <v>171</v>
      </c>
    </row>
    <row r="2254" spans="1:19" s="45" customFormat="1" ht="14.4" hidden="1">
      <c r="A2254" s="25">
        <f>IF(C2254="","",MAX($A$1:A2253)+1)</f>
        <v>2112</v>
      </c>
      <c r="B2254" s="25" t="s">
        <v>141</v>
      </c>
      <c r="C2254" s="41">
        <v>46099</v>
      </c>
      <c r="D2254" s="48" t="str">
        <f>_xlfn.XLOOKUP(Table134526_79101120212223242526[[#This Row],[Name Surname]],Manpower!$C$4:$C$1048576,Manpower!$B$4:$B$1048576,"")</f>
        <v>Bright Light</v>
      </c>
      <c r="E2254" s="43" t="s">
        <v>165</v>
      </c>
      <c r="F2254" s="12">
        <f>_xlfn.XLOOKUP(Table134526_79101120212223242526[[#This Row],[Name Surname]],Manpower!C:C,Manpower!D:D,)</f>
        <v>122771611</v>
      </c>
      <c r="G2254" s="48" t="str">
        <f>_xlfn.XLOOKUP(Table134526_79101120212223242526[[#This Row],[Name Surname]],Manpower!$C$4:$C$1048576,Manpower!$F$4:$F$1048576,"")</f>
        <v>Mechanic</v>
      </c>
      <c r="H2254" s="48" t="str">
        <f>_xlfn.XLOOKUP(Table134526_79101120212223242526[[#This Row],[Name Surname]],Manpower!$C$4:$C$1048576,Manpower!$H$4:$H$1048576,"")</f>
        <v>Sub Contactor</v>
      </c>
      <c r="I2254" s="48" t="str">
        <f>_xlfn.XLOOKUP(Table134526_79101120212223242526[[#This Row],[Name Surname]],Manpower!$C$4:$C$1048576,Manpower!$H$4:$H$1048576,"")</f>
        <v>Sub Contactor</v>
      </c>
      <c r="J2254" s="43" t="s">
        <v>143</v>
      </c>
      <c r="K2254" s="43" t="s">
        <v>26</v>
      </c>
      <c r="L2254" s="43" t="s">
        <v>359</v>
      </c>
      <c r="M2254" s="43" t="s">
        <v>24</v>
      </c>
      <c r="N2254" s="44">
        <v>10</v>
      </c>
      <c r="O2254" s="43" t="s">
        <v>40</v>
      </c>
      <c r="P2254" s="43" t="s">
        <v>42</v>
      </c>
      <c r="Q2254" s="43" t="s">
        <v>42</v>
      </c>
      <c r="R2254" s="43" t="s">
        <v>360</v>
      </c>
      <c r="S2254" s="43"/>
    </row>
    <row r="2255" spans="1:19" s="45" customFormat="1" ht="14.4" hidden="1">
      <c r="A2255" s="25">
        <f>IF(C2255="","",MAX($A$1:A2254)+1)</f>
        <v>2113</v>
      </c>
      <c r="B2255" s="25" t="s">
        <v>141</v>
      </c>
      <c r="C2255" s="41">
        <v>46099</v>
      </c>
      <c r="D2255" s="48" t="str">
        <f>_xlfn.XLOOKUP(Table134526_79101120212223242526[[#This Row],[Name Surname]],Manpower!$C$4:$C$1048576,Manpower!$B$4:$B$1048576,"")</f>
        <v>Al Jaber Heavy Lift</v>
      </c>
      <c r="E2255" s="43" t="s">
        <v>276</v>
      </c>
      <c r="F2255" s="12" t="str">
        <f>_xlfn.XLOOKUP(Table134526_79101120212223242526[[#This Row],[Name Surname]],Manpower!C:C,Manpower!D:D,)</f>
        <v>102607563</v>
      </c>
      <c r="G2255" s="48" t="str">
        <f>_xlfn.XLOOKUP(Table134526_79101120212223242526[[#This Row],[Name Surname]],Manpower!$C$4:$C$1048576,Manpower!$F$4:$F$1048576,"")</f>
        <v>Technician</v>
      </c>
      <c r="H2255" s="48" t="str">
        <f>_xlfn.XLOOKUP(Table134526_79101120212223242526[[#This Row],[Name Surname]],Manpower!$C$4:$C$1048576,Manpower!$H$4:$H$1048576,"")</f>
        <v>Manpower</v>
      </c>
      <c r="I2255" s="48" t="str">
        <f>_xlfn.XLOOKUP(Table134526_79101120212223242526[[#This Row],[Name Surname]],Manpower!$C$4:$C$1048576,Manpower!$H$4:$H$1048576,"")</f>
        <v>Manpower</v>
      </c>
      <c r="J2255" s="43" t="s">
        <v>143</v>
      </c>
      <c r="K2255" s="43" t="s">
        <v>26</v>
      </c>
      <c r="L2255" s="43" t="s">
        <v>359</v>
      </c>
      <c r="M2255" s="43" t="s">
        <v>24</v>
      </c>
      <c r="N2255" s="44">
        <v>10</v>
      </c>
      <c r="O2255" s="43" t="s">
        <v>40</v>
      </c>
      <c r="P2255" s="43" t="s">
        <v>42</v>
      </c>
      <c r="Q2255" s="43" t="s">
        <v>42</v>
      </c>
      <c r="R2255" s="43" t="s">
        <v>360</v>
      </c>
      <c r="S2255" s="43"/>
    </row>
    <row r="2256" spans="1:19" s="45" customFormat="1" ht="14.4" hidden="1">
      <c r="A2256" s="25">
        <f>IF(C2256="","",MAX($A$1:A2255)+1)</f>
        <v>2114</v>
      </c>
      <c r="B2256" s="25" t="s">
        <v>141</v>
      </c>
      <c r="C2256" s="41">
        <v>46099</v>
      </c>
      <c r="D2256" s="48" t="str">
        <f>_xlfn.XLOOKUP(Table134526_79101120212223242526[[#This Row],[Name Surname]],Manpower!$C$4:$C$1048576,Manpower!$B$4:$B$1048576,"")</f>
        <v>Al Jaber Heavy Lift</v>
      </c>
      <c r="E2256" s="43" t="s">
        <v>164</v>
      </c>
      <c r="F2256" s="12">
        <f>_xlfn.XLOOKUP(Table134526_79101120212223242526[[#This Row],[Name Surname]],Manpower!C:C,Manpower!D:D,)</f>
        <v>112778626</v>
      </c>
      <c r="G2256" s="48" t="str">
        <f>_xlfn.XLOOKUP(Table134526_79101120212223242526[[#This Row],[Name Surname]],Manpower!$C$4:$C$1048576,Manpower!$F$4:$F$1048576,"")</f>
        <v>Crane Operator-150T Hitachi Crawler</v>
      </c>
      <c r="H2256" s="48" t="str">
        <f>_xlfn.XLOOKUP(Table134526_79101120212223242526[[#This Row],[Name Surname]],Manpower!$C$4:$C$1048576,Manpower!$H$4:$H$1048576,"")</f>
        <v>Manpower</v>
      </c>
      <c r="I2256" s="48" t="str">
        <f>_xlfn.XLOOKUP(Table134526_79101120212223242526[[#This Row],[Name Surname]],Manpower!$C$4:$C$1048576,Manpower!$H$4:$H$1048576,"")</f>
        <v>Manpower</v>
      </c>
      <c r="J2256" s="43" t="s">
        <v>143</v>
      </c>
      <c r="K2256" s="43" t="s">
        <v>26</v>
      </c>
      <c r="L2256" s="43" t="s">
        <v>359</v>
      </c>
      <c r="M2256" s="43" t="s">
        <v>24</v>
      </c>
      <c r="N2256" s="44">
        <v>10</v>
      </c>
      <c r="O2256" s="43" t="s">
        <v>40</v>
      </c>
      <c r="P2256" s="43" t="s">
        <v>42</v>
      </c>
      <c r="Q2256" s="43" t="s">
        <v>42</v>
      </c>
      <c r="R2256" s="43" t="s">
        <v>360</v>
      </c>
      <c r="S2256" s="43"/>
    </row>
    <row r="2257" spans="1:19" s="45" customFormat="1" ht="14.4" hidden="1">
      <c r="A2257" s="25">
        <f>IF(C2257="","",MAX($A$1:A2256)+1)</f>
        <v>2115</v>
      </c>
      <c r="B2257" s="25" t="s">
        <v>141</v>
      </c>
      <c r="C2257" s="41">
        <v>46099</v>
      </c>
      <c r="D2257" s="48" t="str">
        <f>_xlfn.XLOOKUP(Table134526_79101120212223242526[[#This Row],[Name Surname]],Manpower!$C$4:$C$1048576,Manpower!$B$4:$B$1048576,"")</f>
        <v>Bright Light</v>
      </c>
      <c r="E2257" s="43" t="s">
        <v>263</v>
      </c>
      <c r="F2257" s="12">
        <f>_xlfn.XLOOKUP(Table134526_79101120212223242526[[#This Row],[Name Surname]],Manpower!C:C,Manpower!D:D,)</f>
        <v>125287583</v>
      </c>
      <c r="G2257" s="48" t="str">
        <f>_xlfn.XLOOKUP(Table134526_79101120212223242526[[#This Row],[Name Surname]],Manpower!$C$4:$C$1048576,Manpower!$F$4:$F$1048576,"")</f>
        <v>Mechanic</v>
      </c>
      <c r="H2257" s="48" t="str">
        <f>_xlfn.XLOOKUP(Table134526_79101120212223242526[[#This Row],[Name Surname]],Manpower!$C$4:$C$1048576,Manpower!$H$4:$H$1048576,"")</f>
        <v>Sub Contactor</v>
      </c>
      <c r="I2257" s="48" t="str">
        <f>_xlfn.XLOOKUP(Table134526_79101120212223242526[[#This Row],[Name Surname]],Manpower!$C$4:$C$1048576,Manpower!$H$4:$H$1048576,"")</f>
        <v>Sub Contactor</v>
      </c>
      <c r="J2257" s="43" t="s">
        <v>143</v>
      </c>
      <c r="K2257" s="43" t="s">
        <v>26</v>
      </c>
      <c r="L2257" s="43" t="s">
        <v>359</v>
      </c>
      <c r="M2257" s="43" t="s">
        <v>24</v>
      </c>
      <c r="N2257" s="44">
        <v>10</v>
      </c>
      <c r="O2257" s="43" t="s">
        <v>40</v>
      </c>
      <c r="P2257" s="43" t="s">
        <v>42</v>
      </c>
      <c r="Q2257" s="43" t="s">
        <v>42</v>
      </c>
      <c r="R2257" s="43" t="s">
        <v>360</v>
      </c>
      <c r="S2257" s="43"/>
    </row>
    <row r="2258" spans="1:19" s="45" customFormat="1" ht="14.4" hidden="1">
      <c r="A2258" s="25">
        <f>IF(C2258="","",MAX($A$1:A2253)+1)</f>
        <v>2112</v>
      </c>
      <c r="B2258" s="25" t="s">
        <v>141</v>
      </c>
      <c r="C2258" s="41">
        <v>46099</v>
      </c>
      <c r="D2258" s="48" t="str">
        <f>_xlfn.XLOOKUP(Table134526_79101120212223242526[[#This Row],[Name Surname]],Manpower!$C$4:$C$1048576,Manpower!$B$4:$B$1048576,"")</f>
        <v>Al Jaber Heavy Lift</v>
      </c>
      <c r="E2258" s="43" t="s">
        <v>310</v>
      </c>
      <c r="F2258" s="12">
        <f>_xlfn.XLOOKUP(Table134526_79101120212223242526[[#This Row],[Name Surname]],Manpower!C:C,Manpower!D:D,)</f>
        <v>113787454</v>
      </c>
      <c r="G2258" s="48" t="str">
        <f>_xlfn.XLOOKUP(Table134526_79101120212223242526[[#This Row],[Name Surname]],Manpower!$C$4:$C$1048576,Manpower!$F$4:$F$1048576,"")</f>
        <v>Crane Operator- 70T Crawler Crane- 02</v>
      </c>
      <c r="H2258" s="48" t="str">
        <f>_xlfn.XLOOKUP(Table134526_79101120212223242526[[#This Row],[Name Surname]],Manpower!$C$4:$C$1048576,Manpower!$H$4:$H$1048576,"")</f>
        <v>Manpower</v>
      </c>
      <c r="I2258" s="48" t="str">
        <f>_xlfn.XLOOKUP(Table134526_79101120212223242526[[#This Row],[Name Surname]],Manpower!$C$4:$C$1048576,Manpower!$H$4:$H$1048576,"")</f>
        <v>Manpower</v>
      </c>
      <c r="J2258" s="43" t="s">
        <v>143</v>
      </c>
      <c r="K2258" s="43" t="s">
        <v>26</v>
      </c>
      <c r="L2258" s="43" t="s">
        <v>359</v>
      </c>
      <c r="M2258" s="43" t="s">
        <v>24</v>
      </c>
      <c r="N2258" s="44">
        <v>10</v>
      </c>
      <c r="O2258" s="43" t="s">
        <v>40</v>
      </c>
      <c r="P2258" s="43" t="s">
        <v>42</v>
      </c>
      <c r="Q2258" s="43" t="s">
        <v>42</v>
      </c>
      <c r="R2258" s="43" t="s">
        <v>360</v>
      </c>
      <c r="S2258" s="43"/>
    </row>
    <row r="2259" spans="1:19" s="45" customFormat="1" ht="14.4" hidden="1">
      <c r="A2259" s="25">
        <f>IF(C2259="","",MAX($A$1:A2258)+1)</f>
        <v>2116</v>
      </c>
      <c r="B2259" s="25" t="s">
        <v>141</v>
      </c>
      <c r="C2259" s="41">
        <v>46099</v>
      </c>
      <c r="D2259" s="48" t="str">
        <f>_xlfn.XLOOKUP(Table134526_79101120212223242526[[#This Row],[Name Surname]],Manpower!$C$4:$C$1048576,Manpower!$B$4:$B$1048576,"")</f>
        <v>Al Jaber Heavy Lift</v>
      </c>
      <c r="E2259" s="43" t="s">
        <v>361</v>
      </c>
      <c r="F2259" s="12" t="e">
        <f>_xlfn.XLOOKUP(Table134526_79101120212223242526[[#This Row],[Name Surname]],Manpower!C:C,Manpower!D:D,)</f>
        <v>#N/A</v>
      </c>
      <c r="G2259" s="48" t="str">
        <f>_xlfn.XLOOKUP(Table134526_79101120212223242526[[#This Row],[Name Surname]],Manpower!$C$4:$C$1048576,Manpower!$F$4:$F$1048576,"")</f>
        <v>Technician</v>
      </c>
      <c r="H2259" s="48" t="str">
        <f>_xlfn.XLOOKUP(Table134526_79101120212223242526[[#This Row],[Name Surname]],Manpower!$C$4:$C$1048576,Manpower!$H$4:$H$1048576,"")</f>
        <v>Manpower</v>
      </c>
      <c r="I2259" s="48" t="str">
        <f>_xlfn.XLOOKUP(Table134526_79101120212223242526[[#This Row],[Name Surname]],Manpower!$C$4:$C$1048576,Manpower!$H$4:$H$1048576,"")</f>
        <v>Manpower</v>
      </c>
      <c r="J2259" s="43" t="s">
        <v>143</v>
      </c>
      <c r="K2259" s="43" t="s">
        <v>26</v>
      </c>
      <c r="L2259" s="43" t="s">
        <v>359</v>
      </c>
      <c r="M2259" s="43" t="s">
        <v>24</v>
      </c>
      <c r="N2259" s="44">
        <v>10</v>
      </c>
      <c r="O2259" s="43" t="s">
        <v>40</v>
      </c>
      <c r="P2259" s="43" t="s">
        <v>42</v>
      </c>
      <c r="Q2259" s="43" t="s">
        <v>42</v>
      </c>
      <c r="R2259" s="43" t="s">
        <v>360</v>
      </c>
      <c r="S2259" s="43"/>
    </row>
    <row r="2260" spans="1:19" ht="14.4" hidden="1">
      <c r="A2260" s="33">
        <f>IF(C2260="","",MAX($A$1:A2253)+1)</f>
        <v>2112</v>
      </c>
      <c r="B2260" s="33" t="s">
        <v>141</v>
      </c>
      <c r="C2260" s="23">
        <v>46099</v>
      </c>
      <c r="D2260" s="28" t="str">
        <f>_xlfn.XLOOKUP(Table134526_79101120212223242526[[#This Row],[Name Surname]],Manpower!$C$4:$C$1048576,Manpower!$B$4:$B$1048576,"")</f>
        <v>Encogroup</v>
      </c>
      <c r="E2260" s="21" t="s">
        <v>183</v>
      </c>
      <c r="F2260" s="12">
        <f>_xlfn.XLOOKUP(Table134526_79101120212223242526[[#This Row],[Name Surname]],Manpower!C:C,Manpower!D:D,)</f>
        <v>141359024</v>
      </c>
      <c r="G2260" s="28" t="str">
        <f>_xlfn.XLOOKUP(Table134526_79101120212223242526[[#This Row],[Name Surname]],Manpower!$C$4:$C$1048576,Manpower!$F$4:$F$1048576,"")</f>
        <v>Hydraulic Mechanic</v>
      </c>
      <c r="H2260" s="28" t="str">
        <f>_xlfn.XLOOKUP(Table134526_79101120212223242526[[#This Row],[Name Surname]],Manpower!$C$4:$C$1048576,Manpower!$H$4:$H$1048576,"")</f>
        <v>Manpower</v>
      </c>
      <c r="I2260" s="28" t="str">
        <f>_xlfn.XLOOKUP(Table134526_79101120212223242526[[#This Row],[Name Surname]],Manpower!$C$4:$C$1048576,Manpower!$H$4:$H$1048576,"")</f>
        <v>Manpower</v>
      </c>
      <c r="J2260" s="21" t="s">
        <v>143</v>
      </c>
      <c r="K2260" s="21" t="s">
        <v>26</v>
      </c>
      <c r="L2260" s="21" t="s">
        <v>170</v>
      </c>
      <c r="M2260" s="21" t="s">
        <v>24</v>
      </c>
      <c r="N2260" s="29">
        <v>8</v>
      </c>
      <c r="O2260" s="21" t="s">
        <v>40</v>
      </c>
      <c r="P2260" s="21" t="s">
        <v>128</v>
      </c>
      <c r="Q2260" s="21" t="s">
        <v>128</v>
      </c>
      <c r="R2260" s="21" t="s">
        <v>171</v>
      </c>
    </row>
    <row r="2261" spans="1:19" ht="14.4" hidden="1">
      <c r="A2261" s="33">
        <f>IF(C2261="","",MAX($A$1:A2260)+1)</f>
        <v>2117</v>
      </c>
      <c r="B2261" s="27" t="s">
        <v>141</v>
      </c>
      <c r="C2261" s="23">
        <v>46099</v>
      </c>
      <c r="D2261" s="28" t="str">
        <f>_xlfn.XLOOKUP(Table134526_79101120212223242526[[#This Row],[Name Surname]],Manpower!$C$4:$C$1048576,Manpower!$B$4:$B$1048576,"")</f>
        <v xml:space="preserve">AL Omar International </v>
      </c>
      <c r="E2261" s="21" t="s">
        <v>190</v>
      </c>
      <c r="F2261" s="12">
        <f>_xlfn.XLOOKUP(Table134526_79101120212223242526[[#This Row],[Name Surname]],Manpower!C:C,Manpower!D:D,)</f>
        <v>85812175</v>
      </c>
      <c r="G2261" s="28" t="str">
        <f>_xlfn.XLOOKUP(Table134526_79101120212223242526[[#This Row],[Name Surname]],Manpower!$C$4:$C$1048576,Manpower!$F$4:$F$1048576,"")</f>
        <v>Scaffolding Supervisor</v>
      </c>
      <c r="H2261" s="28" t="str">
        <f>_xlfn.XLOOKUP(Table134526_79101120212223242526[[#This Row],[Name Surname]],Manpower!$C$4:$C$1048576,Manpower!$H$4:$H$1048576,"")</f>
        <v>Sub Contactor</v>
      </c>
      <c r="I2261" s="28" t="str">
        <f>_xlfn.XLOOKUP(Table134526_79101120212223242526[[#This Row],[Name Surname]],Manpower!$C$4:$C$1048576,Manpower!$H$4:$H$1048576,"")</f>
        <v>Sub Contactor</v>
      </c>
      <c r="J2261" s="21" t="s">
        <v>143</v>
      </c>
      <c r="K2261" s="21" t="s">
        <v>26</v>
      </c>
      <c r="L2261" s="21" t="s">
        <v>170</v>
      </c>
      <c r="M2261" s="21" t="s">
        <v>24</v>
      </c>
      <c r="N2261" s="29">
        <v>8</v>
      </c>
      <c r="O2261" s="21" t="s">
        <v>40</v>
      </c>
      <c r="P2261" s="21" t="s">
        <v>128</v>
      </c>
      <c r="Q2261" s="21" t="s">
        <v>128</v>
      </c>
      <c r="R2261" s="21" t="s">
        <v>171</v>
      </c>
    </row>
    <row r="2262" spans="1:19" ht="14.4" hidden="1">
      <c r="A2262" s="33">
        <f>IF(C2262="","",MAX($A$1:A2261)+1)</f>
        <v>2118</v>
      </c>
      <c r="B2262" s="27" t="s">
        <v>141</v>
      </c>
      <c r="C2262" s="23">
        <v>46099</v>
      </c>
      <c r="D2262" s="28" t="str">
        <f>_xlfn.XLOOKUP(Table134526_79101120212223242526[[#This Row],[Name Surname]],Manpower!$C$4:$C$1048576,Manpower!$B$4:$B$1048576,"")</f>
        <v>AL Omar International Tarde&amp;Contracting SPC</v>
      </c>
      <c r="E2262" s="21" t="s">
        <v>221</v>
      </c>
      <c r="F2262" s="12">
        <f>_xlfn.XLOOKUP(Table134526_79101120212223242526[[#This Row],[Name Surname]],Manpower!C:C,Manpower!D:D,)</f>
        <v>115122635</v>
      </c>
      <c r="G2262" s="28" t="str">
        <f>_xlfn.XLOOKUP(Table134526_79101120212223242526[[#This Row],[Name Surname]],Manpower!$C$4:$C$1048576,Manpower!$F$4:$F$1048576,"")</f>
        <v>Scaffolder</v>
      </c>
      <c r="H2262" s="28" t="str">
        <f>_xlfn.XLOOKUP(Table134526_79101120212223242526[[#This Row],[Name Surname]],Manpower!$C$4:$C$1048576,Manpower!$H$4:$H$1048576,"")</f>
        <v>Sub Contactor</v>
      </c>
      <c r="I2262" s="28" t="str">
        <f>_xlfn.XLOOKUP(Table134526_79101120212223242526[[#This Row],[Name Surname]],Manpower!$C$4:$C$1048576,Manpower!$H$4:$H$1048576,"")</f>
        <v>Sub Contactor</v>
      </c>
      <c r="J2262" s="21" t="s">
        <v>143</v>
      </c>
      <c r="K2262" s="21" t="s">
        <v>26</v>
      </c>
      <c r="L2262" s="21" t="s">
        <v>170</v>
      </c>
      <c r="M2262" s="21" t="s">
        <v>24</v>
      </c>
      <c r="N2262" s="29">
        <v>8</v>
      </c>
      <c r="O2262" s="21" t="s">
        <v>40</v>
      </c>
      <c r="P2262" s="21" t="s">
        <v>128</v>
      </c>
      <c r="Q2262" s="21" t="s">
        <v>128</v>
      </c>
      <c r="R2262" s="21" t="s">
        <v>171</v>
      </c>
    </row>
    <row r="2263" spans="1:19" ht="14.4" hidden="1">
      <c r="A2263" s="33">
        <f>IF(C2263="","",MAX($A$1:A2262)+1)</f>
        <v>2119</v>
      </c>
      <c r="B2263" s="27" t="s">
        <v>141</v>
      </c>
      <c r="C2263" s="23">
        <v>46099</v>
      </c>
      <c r="D2263" s="28" t="str">
        <f>_xlfn.XLOOKUP(Table134526_79101120212223242526[[#This Row],[Name Surname]],Manpower!$C$4:$C$1048576,Manpower!$B$4:$B$1048576,"")</f>
        <v>AL Omar International TRAD AND CONT</v>
      </c>
      <c r="E2263" s="21" t="s">
        <v>197</v>
      </c>
      <c r="F2263" s="12">
        <f>_xlfn.XLOOKUP(Table134526_79101120212223242526[[#This Row],[Name Surname]],Manpower!C:C,Manpower!D:D,)</f>
        <v>106093463</v>
      </c>
      <c r="G2263" s="28" t="str">
        <f>_xlfn.XLOOKUP(Table134526_79101120212223242526[[#This Row],[Name Surname]],Manpower!$C$4:$C$1048576,Manpower!$F$4:$F$1048576,"")</f>
        <v>RIgger</v>
      </c>
      <c r="H2263" s="28" t="str">
        <f>_xlfn.XLOOKUP(Table134526_79101120212223242526[[#This Row],[Name Surname]],Manpower!$C$4:$C$1048576,Manpower!$H$4:$H$1048576,"")</f>
        <v>Sub Contactor</v>
      </c>
      <c r="I2263" s="28" t="str">
        <f>_xlfn.XLOOKUP(Table134526_79101120212223242526[[#This Row],[Name Surname]],Manpower!$C$4:$C$1048576,Manpower!$H$4:$H$1048576,"")</f>
        <v>Sub Contactor</v>
      </c>
      <c r="J2263" s="21" t="s">
        <v>143</v>
      </c>
      <c r="K2263" s="21" t="s">
        <v>26</v>
      </c>
      <c r="L2263" s="21" t="s">
        <v>144</v>
      </c>
      <c r="M2263" s="21" t="s">
        <v>24</v>
      </c>
      <c r="N2263" s="29">
        <v>4</v>
      </c>
      <c r="O2263" s="21" t="s">
        <v>40</v>
      </c>
      <c r="P2263" s="21" t="s">
        <v>42</v>
      </c>
      <c r="Q2263" s="21" t="s">
        <v>42</v>
      </c>
      <c r="R2263" s="21" t="s">
        <v>356</v>
      </c>
    </row>
    <row r="2264" spans="1:19" ht="14.4">
      <c r="A2264" s="33">
        <f>IF(C2264="","",MAX($A$1:A2263)+1)</f>
        <v>2120</v>
      </c>
      <c r="B2264" s="27" t="s">
        <v>141</v>
      </c>
      <c r="C2264" s="23">
        <v>46099</v>
      </c>
      <c r="D2264" s="28" t="str">
        <f>_xlfn.XLOOKUP(Table134526_79101120212223242526[[#This Row],[Name Surname]],Manpower!$C$4:$C$1048576,Manpower!$B$4:$B$1048576,"")</f>
        <v>Al Asrah Al Mumayaza Trad</v>
      </c>
      <c r="E2264" s="21" t="s">
        <v>198</v>
      </c>
      <c r="F2264" s="12" t="e">
        <f>_xlfn.XLOOKUP(Table134526_79101120212223242526[[#This Row],[Name Surname]],Manpower!C:C,Manpower!D:D,)</f>
        <v>#N/A</v>
      </c>
      <c r="G2264" s="28" t="str">
        <f>_xlfn.XLOOKUP(Table134526_79101120212223242526[[#This Row],[Name Surname]],Manpower!$C$4:$C$1048576,Manpower!$F$4:$F$1048576,"")</f>
        <v>PICK-UP</v>
      </c>
      <c r="H2264" s="28" t="str">
        <f>_xlfn.XLOOKUP(Table134526_79101120212223242526[[#This Row],[Name Surname]],Manpower!$C$4:$C$1048576,Manpower!$H$4:$H$1048576,"")</f>
        <v>Equipment</v>
      </c>
      <c r="I2264" s="28" t="str">
        <f>_xlfn.XLOOKUP(Table134526_79101120212223242526[[#This Row],[Name Surname]],Manpower!$C$4:$C$1048576,Manpower!$H$4:$H$1048576,"")</f>
        <v>Equipment</v>
      </c>
      <c r="J2264" s="21" t="s">
        <v>143</v>
      </c>
      <c r="K2264" s="21" t="s">
        <v>26</v>
      </c>
      <c r="L2264" s="21" t="s">
        <v>144</v>
      </c>
      <c r="M2264" s="21" t="s">
        <v>24</v>
      </c>
      <c r="N2264" s="29">
        <v>10</v>
      </c>
      <c r="O2264" s="21" t="s">
        <v>138</v>
      </c>
      <c r="P2264" s="21" t="s">
        <v>138</v>
      </c>
      <c r="Q2264" s="21" t="s">
        <v>138</v>
      </c>
      <c r="R2264" s="21" t="s">
        <v>26</v>
      </c>
    </row>
    <row r="2265" spans="1:19" ht="14.4">
      <c r="A2265" s="33">
        <f>IF(C2265="","",MAX($A$1:A2264)+1)</f>
        <v>2121</v>
      </c>
      <c r="B2265" s="27" t="s">
        <v>141</v>
      </c>
      <c r="C2265" s="23">
        <v>46099</v>
      </c>
      <c r="D2265" s="28" t="str">
        <f>_xlfn.XLOOKUP(Table134526_79101120212223242526[[#This Row],[Name Surname]],Manpower!$C$4:$C$1048576,Manpower!$B$4:$B$1048576,"")</f>
        <v>Al Asrah Al Mumayaza Trad</v>
      </c>
      <c r="E2265" s="21" t="s">
        <v>199</v>
      </c>
      <c r="F2265" s="12" t="e">
        <f>_xlfn.XLOOKUP(Table134526_79101120212223242526[[#This Row],[Name Surname]],Manpower!C:C,Manpower!D:D,)</f>
        <v>#N/A</v>
      </c>
      <c r="G2265" s="28" t="str">
        <f>_xlfn.XLOOKUP(Table134526_79101120212223242526[[#This Row],[Name Surname]],Manpower!$C$4:$C$1048576,Manpower!$F$4:$F$1048576,"")</f>
        <v>PICK-UP</v>
      </c>
      <c r="H2265" s="28" t="str">
        <f>_xlfn.XLOOKUP(Table134526_79101120212223242526[[#This Row],[Name Surname]],Manpower!$C$4:$C$1048576,Manpower!$H$4:$H$1048576,"")</f>
        <v>Equipment</v>
      </c>
      <c r="I2265" s="28" t="str">
        <f>_xlfn.XLOOKUP(Table134526_79101120212223242526[[#This Row],[Name Surname]],Manpower!$C$4:$C$1048576,Manpower!$H$4:$H$1048576,"")</f>
        <v>Equipment</v>
      </c>
      <c r="J2265" s="21" t="s">
        <v>143</v>
      </c>
      <c r="K2265" s="21" t="s">
        <v>26</v>
      </c>
      <c r="L2265" s="21" t="s">
        <v>144</v>
      </c>
      <c r="M2265" s="21" t="s">
        <v>24</v>
      </c>
      <c r="N2265" s="29">
        <v>10</v>
      </c>
      <c r="O2265" s="21" t="s">
        <v>138</v>
      </c>
      <c r="P2265" s="21" t="s">
        <v>138</v>
      </c>
      <c r="Q2265" s="21" t="s">
        <v>138</v>
      </c>
      <c r="R2265" s="21" t="s">
        <v>26</v>
      </c>
    </row>
    <row r="2266" spans="1:19" ht="14.4">
      <c r="A2266" s="33">
        <f>IF(C2266="","",MAX($A$1:A2265)+1)</f>
        <v>2122</v>
      </c>
      <c r="B2266" s="27" t="s">
        <v>141</v>
      </c>
      <c r="C2266" s="23">
        <v>46099</v>
      </c>
      <c r="D2266" s="28" t="str">
        <f>_xlfn.XLOOKUP(Table134526_79101120212223242526[[#This Row],[Name Surname]],Manpower!$C$4:$C$1048576,Manpower!$B$4:$B$1048576,"")</f>
        <v>Al Asrah Al Mumayaza Trad</v>
      </c>
      <c r="E2266" s="21" t="s">
        <v>200</v>
      </c>
      <c r="F2266" s="12" t="e">
        <f>_xlfn.XLOOKUP(Table134526_79101120212223242526[[#This Row],[Name Surname]],Manpower!C:C,Manpower!D:D,)</f>
        <v>#N/A</v>
      </c>
      <c r="G2266" s="28" t="str">
        <f>_xlfn.XLOOKUP(Table134526_79101120212223242526[[#This Row],[Name Surname]],Manpower!$C$4:$C$1048576,Manpower!$F$4:$F$1048576,"")</f>
        <v>PICK-UP</v>
      </c>
      <c r="H2266" s="28" t="str">
        <f>_xlfn.XLOOKUP(Table134526_79101120212223242526[[#This Row],[Name Surname]],Manpower!$C$4:$C$1048576,Manpower!$H$4:$H$1048576,"")</f>
        <v>Equipment</v>
      </c>
      <c r="I2266" s="28" t="str">
        <f>_xlfn.XLOOKUP(Table134526_79101120212223242526[[#This Row],[Name Surname]],Manpower!$C$4:$C$1048576,Manpower!$H$4:$H$1048576,"")</f>
        <v>Equipment</v>
      </c>
      <c r="J2266" s="21" t="s">
        <v>143</v>
      </c>
      <c r="K2266" s="21" t="s">
        <v>26</v>
      </c>
      <c r="L2266" s="21" t="s">
        <v>144</v>
      </c>
      <c r="M2266" s="21" t="s">
        <v>24</v>
      </c>
      <c r="N2266" s="29">
        <v>10</v>
      </c>
      <c r="O2266" s="21" t="s">
        <v>138</v>
      </c>
      <c r="P2266" s="21" t="s">
        <v>138</v>
      </c>
      <c r="Q2266" s="21" t="s">
        <v>138</v>
      </c>
      <c r="R2266" s="21" t="s">
        <v>26</v>
      </c>
    </row>
    <row r="2267" spans="1:19" ht="14.4">
      <c r="A2267" s="33">
        <f>IF(C2267="","",MAX($A$1:A2266)+1)</f>
        <v>2123</v>
      </c>
      <c r="B2267" s="27" t="s">
        <v>141</v>
      </c>
      <c r="C2267" s="23">
        <v>46099</v>
      </c>
      <c r="D2267" s="28" t="str">
        <f>_xlfn.XLOOKUP(Table134526_79101120212223242526[[#This Row],[Name Surname]],Manpower!$C$4:$C$1048576,Manpower!$B$4:$B$1048576,"")</f>
        <v>Al Asrah Al Mumayaza Trad</v>
      </c>
      <c r="E2267" s="21" t="s">
        <v>201</v>
      </c>
      <c r="F2267" s="12" t="e">
        <f>_xlfn.XLOOKUP(Table134526_79101120212223242526[[#This Row],[Name Surname]],Manpower!C:C,Manpower!D:D,)</f>
        <v>#N/A</v>
      </c>
      <c r="G2267" s="28" t="str">
        <f>_xlfn.XLOOKUP(Table134526_79101120212223242526[[#This Row],[Name Surname]],Manpower!$C$4:$C$1048576,Manpower!$F$4:$F$1048576,"")</f>
        <v>PICK-UP</v>
      </c>
      <c r="H2267" s="28" t="str">
        <f>_xlfn.XLOOKUP(Table134526_79101120212223242526[[#This Row],[Name Surname]],Manpower!$C$4:$C$1048576,Manpower!$H$4:$H$1048576,"")</f>
        <v>Equipment</v>
      </c>
      <c r="I2267" s="28" t="str">
        <f>_xlfn.XLOOKUP(Table134526_79101120212223242526[[#This Row],[Name Surname]],Manpower!$C$4:$C$1048576,Manpower!$H$4:$H$1048576,"")</f>
        <v>Equipment</v>
      </c>
      <c r="J2267" s="21" t="s">
        <v>143</v>
      </c>
      <c r="K2267" s="21" t="s">
        <v>26</v>
      </c>
      <c r="L2267" s="21" t="s">
        <v>144</v>
      </c>
      <c r="M2267" s="21" t="s">
        <v>24</v>
      </c>
      <c r="N2267" s="29">
        <v>10</v>
      </c>
      <c r="O2267" s="21" t="s">
        <v>138</v>
      </c>
      <c r="P2267" s="21" t="s">
        <v>138</v>
      </c>
      <c r="Q2267" s="21" t="s">
        <v>138</v>
      </c>
      <c r="R2267" s="21" t="s">
        <v>26</v>
      </c>
    </row>
    <row r="2268" spans="1:19" s="45" customFormat="1" ht="14.4" hidden="1">
      <c r="A2268" s="25">
        <f>IF(C2268="","",MAX($A$1:A2267)+1)</f>
        <v>2124</v>
      </c>
      <c r="B2268" s="25" t="s">
        <v>141</v>
      </c>
      <c r="C2268" s="41">
        <v>46099</v>
      </c>
      <c r="D2268" s="48" t="str">
        <f>_xlfn.XLOOKUP(Table134526_79101120212223242526[[#This Row],[Name Surname]],Manpower!$C$4:$C$1048576,Manpower!$B$4:$B$1048576,"")</f>
        <v>Encogroup</v>
      </c>
      <c r="E2268" s="43" t="s">
        <v>202</v>
      </c>
      <c r="F2268" s="12">
        <f>_xlfn.XLOOKUP(Table134526_79101120212223242526[[#This Row],[Name Surname]],Manpower!C:C,Manpower!D:D,)</f>
        <v>140805592</v>
      </c>
      <c r="G2268" s="48" t="str">
        <f>_xlfn.XLOOKUP(Table134526_79101120212223242526[[#This Row],[Name Surname]],Manpower!$C$4:$C$1048576,Manpower!$F$4:$F$1048576,"")</f>
        <v>Assistant/Helper</v>
      </c>
      <c r="H2268" s="48" t="str">
        <f>_xlfn.XLOOKUP(Table134526_79101120212223242526[[#This Row],[Name Surname]],Manpower!$C$4:$C$1048576,Manpower!$H$4:$H$1048576,"")</f>
        <v>Manpower</v>
      </c>
      <c r="I2268" s="48" t="str">
        <f>_xlfn.XLOOKUP(Table134526_79101120212223242526[[#This Row],[Name Surname]],Manpower!$C$4:$C$1048576,Manpower!$H$4:$H$1048576,"")</f>
        <v>Manpower</v>
      </c>
      <c r="J2268" s="43" t="s">
        <v>143</v>
      </c>
      <c r="K2268" s="43" t="s">
        <v>26</v>
      </c>
      <c r="L2268" s="43" t="s">
        <v>144</v>
      </c>
      <c r="M2268" s="43" t="s">
        <v>24</v>
      </c>
      <c r="N2268" s="44">
        <v>10</v>
      </c>
      <c r="O2268" s="43" t="s">
        <v>40</v>
      </c>
      <c r="P2268" s="43" t="s">
        <v>42</v>
      </c>
      <c r="Q2268" s="43" t="s">
        <v>42</v>
      </c>
      <c r="R2268" s="43" t="s">
        <v>356</v>
      </c>
      <c r="S2268" s="43" t="s">
        <v>343</v>
      </c>
    </row>
    <row r="2269" spans="1:19" s="45" customFormat="1" ht="14.4" hidden="1">
      <c r="A2269" s="25">
        <f>IF(C2269="","",MAX($A$1:A2268)+1)</f>
        <v>2125</v>
      </c>
      <c r="B2269" s="25" t="s">
        <v>141</v>
      </c>
      <c r="C2269" s="41">
        <v>46099</v>
      </c>
      <c r="D2269" s="48" t="str">
        <f>_xlfn.XLOOKUP(Table134526_79101120212223242526[[#This Row],[Name Surname]],Manpower!$C$4:$C$1048576,Manpower!$B$4:$B$1048576,"")</f>
        <v>Encogroup</v>
      </c>
      <c r="E2269" s="43" t="s">
        <v>203</v>
      </c>
      <c r="F2269" s="12">
        <f>_xlfn.XLOOKUP(Table134526_79101120212223242526[[#This Row],[Name Surname]],Manpower!C:C,Manpower!D:D,)</f>
        <v>140683371</v>
      </c>
      <c r="G2269" s="48" t="str">
        <f>_xlfn.XLOOKUP(Table134526_79101120212223242526[[#This Row],[Name Surname]],Manpower!$C$4:$C$1048576,Manpower!$F$4:$F$1048576,"")</f>
        <v>Rigger</v>
      </c>
      <c r="H2269" s="48" t="str">
        <f>_xlfn.XLOOKUP(Table134526_79101120212223242526[[#This Row],[Name Surname]],Manpower!$C$4:$C$1048576,Manpower!$H$4:$H$1048576,"")</f>
        <v>Manpower</v>
      </c>
      <c r="I2269" s="48" t="str">
        <f>_xlfn.XLOOKUP(Table134526_79101120212223242526[[#This Row],[Name Surname]],Manpower!$C$4:$C$1048576,Manpower!$H$4:$H$1048576,"")</f>
        <v>Manpower</v>
      </c>
      <c r="J2269" s="43" t="s">
        <v>143</v>
      </c>
      <c r="K2269" s="43" t="s">
        <v>26</v>
      </c>
      <c r="L2269" s="43" t="s">
        <v>144</v>
      </c>
      <c r="M2269" s="43" t="s">
        <v>24</v>
      </c>
      <c r="N2269" s="44">
        <v>10</v>
      </c>
      <c r="O2269" s="43" t="s">
        <v>40</v>
      </c>
      <c r="P2269" s="43" t="s">
        <v>42</v>
      </c>
      <c r="Q2269" s="43" t="s">
        <v>42</v>
      </c>
      <c r="R2269" s="43" t="s">
        <v>356</v>
      </c>
      <c r="S2269" s="43"/>
    </row>
    <row r="2270" spans="1:19" s="45" customFormat="1" ht="14.4" hidden="1">
      <c r="A2270" s="25">
        <f>IF(C2270="","",MAX($A$1:A2269)+1)</f>
        <v>2126</v>
      </c>
      <c r="B2270" s="25" t="s">
        <v>141</v>
      </c>
      <c r="C2270" s="41">
        <v>46099</v>
      </c>
      <c r="D2270" s="48" t="str">
        <f>_xlfn.XLOOKUP(Table134526_79101120212223242526[[#This Row],[Name Surname]],Manpower!$C$4:$C$1048576,Manpower!$B$4:$B$1048576,"")</f>
        <v>Encogroup</v>
      </c>
      <c r="E2270" s="43" t="s">
        <v>206</v>
      </c>
      <c r="F2270" s="12">
        <f>_xlfn.XLOOKUP(Table134526_79101120212223242526[[#This Row],[Name Surname]],Manpower!C:C,Manpower!D:D,)</f>
        <v>140844848</v>
      </c>
      <c r="G2270" s="48" t="str">
        <f>_xlfn.XLOOKUP(Table134526_79101120212223242526[[#This Row],[Name Surname]],Manpower!$C$4:$C$1048576,Manpower!$F$4:$F$1048576,"")</f>
        <v>Assistant/Helper</v>
      </c>
      <c r="H2270" s="48" t="str">
        <f>_xlfn.XLOOKUP(Table134526_79101120212223242526[[#This Row],[Name Surname]],Manpower!$C$4:$C$1048576,Manpower!$H$4:$H$1048576,"")</f>
        <v>Manpower</v>
      </c>
      <c r="I2270" s="48" t="str">
        <f>_xlfn.XLOOKUP(Table134526_79101120212223242526[[#This Row],[Name Surname]],Manpower!$C$4:$C$1048576,Manpower!$H$4:$H$1048576,"")</f>
        <v>Manpower</v>
      </c>
      <c r="J2270" s="43" t="s">
        <v>143</v>
      </c>
      <c r="K2270" s="43" t="s">
        <v>26</v>
      </c>
      <c r="L2270" s="43" t="s">
        <v>144</v>
      </c>
      <c r="M2270" s="43" t="s">
        <v>24</v>
      </c>
      <c r="N2270" s="44">
        <v>10</v>
      </c>
      <c r="O2270" s="43" t="s">
        <v>40</v>
      </c>
      <c r="P2270" s="43" t="s">
        <v>42</v>
      </c>
      <c r="Q2270" s="43" t="s">
        <v>42</v>
      </c>
      <c r="R2270" s="43" t="s">
        <v>356</v>
      </c>
      <c r="S2270" s="43" t="s">
        <v>343</v>
      </c>
    </row>
    <row r="2271" spans="1:19" ht="14.4" hidden="1">
      <c r="A2271" s="33">
        <f>IF(C2271="","",MAX($A$1:A2270)+1)</f>
        <v>2127</v>
      </c>
      <c r="B2271" s="27" t="s">
        <v>141</v>
      </c>
      <c r="C2271" s="23">
        <v>46099</v>
      </c>
      <c r="D2271" s="28" t="str">
        <f>_xlfn.XLOOKUP(Table134526_79101120212223242526[[#This Row],[Name Surname]],Manpower!$C$4:$C$1048576,Manpower!$B$4:$B$1048576,"")</f>
        <v>Encogroup</v>
      </c>
      <c r="E2271" s="21" t="s">
        <v>207</v>
      </c>
      <c r="F2271" s="12">
        <f>_xlfn.XLOOKUP(Table134526_79101120212223242526[[#This Row],[Name Surname]],Manpower!C:C,Manpower!D:D,)</f>
        <v>141359216</v>
      </c>
      <c r="G2271" s="28" t="str">
        <f>_xlfn.XLOOKUP(Table134526_79101120212223242526[[#This Row],[Name Surname]],Manpower!$C$4:$C$1048576,Manpower!$F$4:$F$1048576,"")</f>
        <v>Electrician</v>
      </c>
      <c r="H2271" s="28" t="str">
        <f>_xlfn.XLOOKUP(Table134526_79101120212223242526[[#This Row],[Name Surname]],Manpower!$C$4:$C$1048576,Manpower!$H$4:$H$1048576,"")</f>
        <v>Manpower</v>
      </c>
      <c r="I2271" s="28" t="str">
        <f>_xlfn.XLOOKUP(Table134526_79101120212223242526[[#This Row],[Name Surname]],Manpower!$C$4:$C$1048576,Manpower!$H$4:$H$1048576,"")</f>
        <v>Manpower</v>
      </c>
      <c r="J2271" s="21" t="s">
        <v>158</v>
      </c>
      <c r="K2271" s="21" t="s">
        <v>26</v>
      </c>
      <c r="L2271" s="21" t="s">
        <v>26</v>
      </c>
      <c r="M2271" s="21" t="s">
        <v>24</v>
      </c>
      <c r="N2271" s="29">
        <v>10</v>
      </c>
      <c r="O2271" s="21" t="s">
        <v>159</v>
      </c>
      <c r="P2271" s="21" t="s">
        <v>160</v>
      </c>
      <c r="Q2271" s="21" t="s">
        <v>160</v>
      </c>
      <c r="R2271" s="21" t="s">
        <v>161</v>
      </c>
    </row>
    <row r="2272" spans="1:19" s="45" customFormat="1" ht="14.4" hidden="1">
      <c r="A2272" s="25">
        <f>IF(C2272="","",MAX($A$1:A2271)+1)</f>
        <v>2128</v>
      </c>
      <c r="B2272" s="25" t="s">
        <v>141</v>
      </c>
      <c r="C2272" s="41">
        <v>46099</v>
      </c>
      <c r="D2272" s="48" t="str">
        <f>_xlfn.XLOOKUP(Table134526_79101120212223242526[[#This Row],[Name Surname]],Manpower!$C$4:$C$1048576,Manpower!$B$4:$B$1048576,"")</f>
        <v>Encogroup</v>
      </c>
      <c r="E2272" s="43" t="s">
        <v>208</v>
      </c>
      <c r="F2272" s="12">
        <f>_xlfn.XLOOKUP(Table134526_79101120212223242526[[#This Row],[Name Surname]],Manpower!C:C,Manpower!D:D,)</f>
        <v>140683399</v>
      </c>
      <c r="G2272" s="48" t="str">
        <f>_xlfn.XLOOKUP(Table134526_79101120212223242526[[#This Row],[Name Surname]],Manpower!$C$4:$C$1048576,Manpower!$F$4:$F$1048576,"")</f>
        <v>Rigger</v>
      </c>
      <c r="H2272" s="48" t="str">
        <f>_xlfn.XLOOKUP(Table134526_79101120212223242526[[#This Row],[Name Surname]],Manpower!$C$4:$C$1048576,Manpower!$H$4:$H$1048576,"")</f>
        <v>Manpower</v>
      </c>
      <c r="I2272" s="48" t="str">
        <f>_xlfn.XLOOKUP(Table134526_79101120212223242526[[#This Row],[Name Surname]],Manpower!$C$4:$C$1048576,Manpower!$H$4:$H$1048576,"")</f>
        <v>Manpower</v>
      </c>
      <c r="J2272" s="43" t="s">
        <v>143</v>
      </c>
      <c r="K2272" s="43" t="s">
        <v>26</v>
      </c>
      <c r="L2272" s="43" t="s">
        <v>144</v>
      </c>
      <c r="M2272" s="43" t="s">
        <v>24</v>
      </c>
      <c r="N2272" s="44">
        <v>10</v>
      </c>
      <c r="O2272" s="43" t="s">
        <v>40</v>
      </c>
      <c r="P2272" s="43" t="s">
        <v>42</v>
      </c>
      <c r="Q2272" s="43" t="s">
        <v>42</v>
      </c>
      <c r="R2272" s="43" t="s">
        <v>356</v>
      </c>
      <c r="S2272" s="43" t="s">
        <v>343</v>
      </c>
    </row>
    <row r="2273" spans="1:19" ht="14.4">
      <c r="A2273" s="33">
        <f>IF(C2273="","",MAX($A$1:A2272)+1)</f>
        <v>2129</v>
      </c>
      <c r="B2273" s="27" t="s">
        <v>141</v>
      </c>
      <c r="C2273" s="23">
        <v>46099</v>
      </c>
      <c r="D2273" s="28" t="str">
        <f>_xlfn.XLOOKUP(Table134526_79101120212223242526[[#This Row],[Name Surname]],Manpower!$C$4:$C$1048576,Manpower!$B$4:$B$1048576,"")</f>
        <v>Encogroup</v>
      </c>
      <c r="E2273" s="21" t="s">
        <v>341</v>
      </c>
      <c r="F2273" s="12" t="e">
        <f>_xlfn.XLOOKUP(Table134526_79101120212223242526[[#This Row],[Name Surname]],Manpower!C:C,Manpower!D:D,)</f>
        <v>#N/A</v>
      </c>
      <c r="G2273" s="28" t="str">
        <f>_xlfn.XLOOKUP(Table134526_79101120212223242526[[#This Row],[Name Surname]],Manpower!$C$4:$C$1048576,Manpower!$F$4:$F$1048576,"")</f>
        <v>SCISSOR LIFT</v>
      </c>
      <c r="H2273" s="28" t="str">
        <f>_xlfn.XLOOKUP(Table134526_79101120212223242526[[#This Row],[Name Surname]],Manpower!$C$4:$C$1048576,Manpower!$H$4:$H$1048576,"")</f>
        <v>Equipment</v>
      </c>
      <c r="I2273" s="28" t="str">
        <f>_xlfn.XLOOKUP(Table134526_79101120212223242526[[#This Row],[Name Surname]],Manpower!$C$4:$C$1048576,Manpower!$H$4:$H$1048576,"")</f>
        <v>Equipment</v>
      </c>
      <c r="J2273" s="21" t="s">
        <v>143</v>
      </c>
      <c r="K2273" s="21" t="s">
        <v>26</v>
      </c>
      <c r="L2273" s="21" t="s">
        <v>144</v>
      </c>
      <c r="M2273" s="21" t="s">
        <v>55</v>
      </c>
      <c r="N2273" s="29">
        <v>10</v>
      </c>
      <c r="R2273" s="21" t="s">
        <v>56</v>
      </c>
    </row>
    <row r="2274" spans="1:19" ht="14.4">
      <c r="A2274" s="33">
        <f>IF(C2274="","",MAX($A$1:A2273)+1)</f>
        <v>2130</v>
      </c>
      <c r="B2274" s="27" t="s">
        <v>141</v>
      </c>
      <c r="C2274" s="23">
        <v>46099</v>
      </c>
      <c r="D2274" s="28" t="str">
        <f>_xlfn.XLOOKUP(Table134526_79101120212223242526[[#This Row],[Name Surname]],Manpower!$C$4:$C$1048576,Manpower!$B$4:$B$1048576,"")</f>
        <v>Encogroup</v>
      </c>
      <c r="E2274" s="21" t="s">
        <v>342</v>
      </c>
      <c r="F2274" s="12" t="e">
        <f>_xlfn.XLOOKUP(Table134526_79101120212223242526[[#This Row],[Name Surname]],Manpower!C:C,Manpower!D:D,)</f>
        <v>#N/A</v>
      </c>
      <c r="G2274" s="28" t="str">
        <f>_xlfn.XLOOKUP(Table134526_79101120212223242526[[#This Row],[Name Surname]],Manpower!$C$4:$C$1048576,Manpower!$F$4:$F$1048576,"")</f>
        <v>SCISSOR LIFT</v>
      </c>
      <c r="H2274" s="28" t="str">
        <f>_xlfn.XLOOKUP(Table134526_79101120212223242526[[#This Row],[Name Surname]],Manpower!$C$4:$C$1048576,Manpower!$H$4:$H$1048576,"")</f>
        <v>Equipment</v>
      </c>
      <c r="I2274" s="28" t="str">
        <f>_xlfn.XLOOKUP(Table134526_79101120212223242526[[#This Row],[Name Surname]],Manpower!$C$4:$C$1048576,Manpower!$H$4:$H$1048576,"")</f>
        <v>Equipment</v>
      </c>
      <c r="J2274" s="21" t="s">
        <v>143</v>
      </c>
      <c r="K2274" s="21" t="s">
        <v>26</v>
      </c>
      <c r="L2274" s="21" t="s">
        <v>144</v>
      </c>
      <c r="M2274" s="21" t="s">
        <v>55</v>
      </c>
      <c r="N2274" s="29">
        <v>10</v>
      </c>
      <c r="R2274" s="21" t="s">
        <v>56</v>
      </c>
    </row>
    <row r="2275" spans="1:19" ht="14.4">
      <c r="A2275" s="33">
        <f>IF(C2275="","",MAX($A$1:A2272)+1)</f>
        <v>2129</v>
      </c>
      <c r="B2275" s="27" t="s">
        <v>141</v>
      </c>
      <c r="C2275" s="23">
        <v>46099</v>
      </c>
      <c r="D2275" s="28" t="str">
        <f>_xlfn.XLOOKUP(Table134526_79101120212223242526[[#This Row],[Name Surname]],Manpower!$C$4:$C$1048576,Manpower!$B$4:$B$1048576,"")</f>
        <v>Bright Light</v>
      </c>
      <c r="E2275" s="21" t="s">
        <v>210</v>
      </c>
      <c r="F2275" s="12" t="e">
        <f>_xlfn.XLOOKUP(Table134526_79101120212223242526[[#This Row],[Name Surname]],Manpower!C:C,Manpower!D:D,)</f>
        <v>#N/A</v>
      </c>
      <c r="G2275" s="28" t="str">
        <f>_xlfn.XLOOKUP(Table134526_79101120212223242526[[#This Row],[Name Surname]],Manpower!$C$4:$C$1048576,Manpower!$F$4:$F$1048576,"")</f>
        <v>Trailer</v>
      </c>
      <c r="H2275" s="28" t="str">
        <f>_xlfn.XLOOKUP(Table134526_79101120212223242526[[#This Row],[Name Surname]],Manpower!$C$4:$C$1048576,Manpower!$H$4:$H$1048576,"")</f>
        <v>Equipment</v>
      </c>
      <c r="I2275" s="28" t="str">
        <f>_xlfn.XLOOKUP(Table134526_79101120212223242526[[#This Row],[Name Surname]],Manpower!$C$4:$C$1048576,Manpower!$H$4:$H$1048576,"")</f>
        <v>Equipment</v>
      </c>
      <c r="J2275" s="21" t="s">
        <v>143</v>
      </c>
      <c r="K2275" s="21" t="s">
        <v>26</v>
      </c>
      <c r="L2275" s="21" t="s">
        <v>144</v>
      </c>
      <c r="M2275" s="21" t="s">
        <v>24</v>
      </c>
      <c r="N2275" s="29">
        <v>8</v>
      </c>
      <c r="O2275" s="21" t="s">
        <v>40</v>
      </c>
      <c r="P2275" s="21" t="s">
        <v>42</v>
      </c>
      <c r="Q2275" s="21" t="s">
        <v>42</v>
      </c>
      <c r="R2275" s="21" t="s">
        <v>26</v>
      </c>
    </row>
    <row r="2276" spans="1:19" ht="14.4">
      <c r="A2276" s="33">
        <f>IF(C2276="","",MAX($A$1:A2275)+1)</f>
        <v>2131</v>
      </c>
      <c r="B2276" s="27" t="s">
        <v>141</v>
      </c>
      <c r="C2276" s="23">
        <v>46099</v>
      </c>
      <c r="D2276" s="28" t="str">
        <f>_xlfn.XLOOKUP(Table134526_79101120212223242526[[#This Row],[Name Surname]],Manpower!$C$4:$C$1048576,Manpower!$B$4:$B$1048576,"")</f>
        <v>Encogroup</v>
      </c>
      <c r="E2276" s="21" t="s">
        <v>341</v>
      </c>
      <c r="F2276" s="12" t="e">
        <f>_xlfn.XLOOKUP(Table134526_79101120212223242526[[#This Row],[Name Surname]],Manpower!C:C,Manpower!D:D,)</f>
        <v>#N/A</v>
      </c>
      <c r="G2276" s="28" t="str">
        <f>_xlfn.XLOOKUP(Table134526_79101120212223242526[[#This Row],[Name Surname]],Manpower!$C$4:$C$1048576,Manpower!$F$4:$F$1048576,"")</f>
        <v>SCISSOR LIFT</v>
      </c>
      <c r="H2276" s="28" t="str">
        <f>_xlfn.XLOOKUP(Table134526_79101120212223242526[[#This Row],[Name Surname]],Manpower!$C$4:$C$1048576,Manpower!$H$4:$H$1048576,"")</f>
        <v>Equipment</v>
      </c>
      <c r="I2276" s="28" t="str">
        <f>_xlfn.XLOOKUP(Table134526_79101120212223242526[[#This Row],[Name Surname]],Manpower!$C$4:$C$1048576,Manpower!$H$4:$H$1048576,"")</f>
        <v>Equipment</v>
      </c>
      <c r="J2276" s="21"/>
      <c r="N2276" s="29"/>
    </row>
    <row r="2277" spans="1:19" ht="14.4">
      <c r="A2277" s="33">
        <f>IF(C2277="","",MAX($A$1:A2275)+1)</f>
        <v>2131</v>
      </c>
      <c r="B2277" s="27" t="s">
        <v>141</v>
      </c>
      <c r="C2277" s="23">
        <v>46099</v>
      </c>
      <c r="D2277" s="28" t="str">
        <f>_xlfn.XLOOKUP(Table134526_79101120212223242526[[#This Row],[Name Surname]],Manpower!$C$4:$C$1048576,Manpower!$B$4:$B$1048576,"")</f>
        <v>Encogroup</v>
      </c>
      <c r="E2277" s="21" t="s">
        <v>342</v>
      </c>
      <c r="F2277" s="12" t="e">
        <f>_xlfn.XLOOKUP(Table134526_79101120212223242526[[#This Row],[Name Surname]],Manpower!C:C,Manpower!D:D,)</f>
        <v>#N/A</v>
      </c>
      <c r="G2277" s="28" t="str">
        <f>_xlfn.XLOOKUP(Table134526_79101120212223242526[[#This Row],[Name Surname]],Manpower!$C$4:$C$1048576,Manpower!$F$4:$F$1048576,"")</f>
        <v>SCISSOR LIFT</v>
      </c>
      <c r="H2277" s="28" t="str">
        <f>_xlfn.XLOOKUP(Table134526_79101120212223242526[[#This Row],[Name Surname]],Manpower!$C$4:$C$1048576,Manpower!$H$4:$H$1048576,"")</f>
        <v>Equipment</v>
      </c>
      <c r="I2277" s="28" t="str">
        <f>_xlfn.XLOOKUP(Table134526_79101120212223242526[[#This Row],[Name Surname]],Manpower!$C$4:$C$1048576,Manpower!$H$4:$H$1048576,"")</f>
        <v>Equipment</v>
      </c>
      <c r="J2277" s="21"/>
      <c r="N2277" s="29"/>
    </row>
    <row r="2278" spans="1:19" ht="14.4">
      <c r="A2278" s="33">
        <f>IF(C2278="","",MAX($A$1:A2275)+1)</f>
        <v>2131</v>
      </c>
      <c r="B2278" s="27" t="s">
        <v>141</v>
      </c>
      <c r="C2278" s="23">
        <v>46099</v>
      </c>
      <c r="D2278" s="28" t="str">
        <f>_xlfn.XLOOKUP(Table134526_79101120212223242526[[#This Row],[Name Surname]],Manpower!$C$4:$C$1048576,Manpower!$B$4:$B$1048576,"")</f>
        <v>Encogroup</v>
      </c>
      <c r="E2278" s="21" t="s">
        <v>362</v>
      </c>
      <c r="F2278" s="12" t="e">
        <f>_xlfn.XLOOKUP(Table134526_79101120212223242526[[#This Row],[Name Surname]],Manpower!C:C,Manpower!D:D,)</f>
        <v>#N/A</v>
      </c>
      <c r="G2278" s="28" t="str">
        <f>_xlfn.XLOOKUP(Table134526_79101120212223242526[[#This Row],[Name Surname]],Manpower!$C$4:$C$1048576,Manpower!$F$4:$F$1048576,"")</f>
        <v>Trailer</v>
      </c>
      <c r="H2278" s="28" t="str">
        <f>_xlfn.XLOOKUP(Table134526_79101120212223242526[[#This Row],[Name Surname]],Manpower!$C$4:$C$1048576,Manpower!$H$4:$H$1048576,"")</f>
        <v>Equipment</v>
      </c>
      <c r="I2278" s="28" t="str">
        <f>_xlfn.XLOOKUP(Table134526_79101120212223242526[[#This Row],[Name Surname]],Manpower!$C$4:$C$1048576,Manpower!$H$4:$H$1048576,"")</f>
        <v>Equipment</v>
      </c>
      <c r="J2278" s="21" t="s">
        <v>143</v>
      </c>
      <c r="K2278" s="21" t="s">
        <v>26</v>
      </c>
      <c r="L2278" s="21" t="s">
        <v>144</v>
      </c>
      <c r="M2278" s="21" t="s">
        <v>24</v>
      </c>
      <c r="N2278" s="29">
        <v>8</v>
      </c>
      <c r="O2278" s="21" t="s">
        <v>40</v>
      </c>
      <c r="P2278" s="21" t="s">
        <v>42</v>
      </c>
      <c r="Q2278" s="21" t="s">
        <v>42</v>
      </c>
      <c r="R2278" s="21" t="s">
        <v>26</v>
      </c>
    </row>
    <row r="2279" spans="1:19" ht="14.4" hidden="1">
      <c r="A2279" s="33">
        <f>IF(C2279="","",MAX($A$1:A2278)+1)</f>
        <v>2132</v>
      </c>
      <c r="B2279" s="27" t="s">
        <v>141</v>
      </c>
      <c r="C2279" s="23">
        <v>46099</v>
      </c>
      <c r="D2279" s="28" t="str">
        <f>_xlfn.XLOOKUP(Table134526_79101120212223242526[[#This Row],[Name Surname]],Manpower!$C$4:$C$1048576,Manpower!$B$4:$B$1048576,"")</f>
        <v>Encogroup</v>
      </c>
      <c r="E2279" s="21" t="s">
        <v>363</v>
      </c>
      <c r="F2279" s="12">
        <f>_xlfn.XLOOKUP(Table134526_79101120212223242526[[#This Row],[Name Surname]],Manpower!C:C,Manpower!D:D,)</f>
        <v>7065269</v>
      </c>
      <c r="G2279" s="28" t="str">
        <f>_xlfn.XLOOKUP(Table134526_79101120212223242526[[#This Row],[Name Surname]],Manpower!$C$4:$C$1048576,Manpower!$F$4:$F$1048576,"")</f>
        <v>Lowbed Trailer Driver</v>
      </c>
      <c r="H2279" s="28" t="str">
        <f>_xlfn.XLOOKUP(Table134526_79101120212223242526[[#This Row],[Name Surname]],Manpower!$C$4:$C$1048576,Manpower!$H$4:$H$1048576,"")</f>
        <v>Manpower</v>
      </c>
      <c r="I2279" s="28" t="str">
        <f>_xlfn.XLOOKUP(Table134526_79101120212223242526[[#This Row],[Name Surname]],Manpower!$C$4:$C$1048576,Manpower!$H$4:$H$1048576,"")</f>
        <v>Manpower</v>
      </c>
      <c r="J2279" s="21" t="s">
        <v>143</v>
      </c>
      <c r="K2279" s="21" t="s">
        <v>26</v>
      </c>
      <c r="L2279" s="21" t="s">
        <v>144</v>
      </c>
      <c r="M2279" s="21" t="s">
        <v>24</v>
      </c>
      <c r="N2279" s="29">
        <v>8</v>
      </c>
      <c r="O2279" s="21" t="s">
        <v>40</v>
      </c>
      <c r="P2279" s="21" t="s">
        <v>42</v>
      </c>
      <c r="Q2279" s="21" t="s">
        <v>42</v>
      </c>
      <c r="R2279" s="21" t="s">
        <v>26</v>
      </c>
    </row>
    <row r="2280" spans="1:19" ht="14.4" hidden="1">
      <c r="A2280" s="33">
        <f>IF(C2280="","",MAX($A$1:A2275)+1)</f>
        <v>2131</v>
      </c>
      <c r="B2280" s="27" t="s">
        <v>141</v>
      </c>
      <c r="C2280" s="23">
        <v>46099</v>
      </c>
      <c r="D2280" s="28" t="str">
        <f>_xlfn.XLOOKUP(Table134526_79101120212223242526[[#This Row],[Name Surname]],Manpower!$C$4:$C$1048576,Manpower!$B$4:$B$1048576,"")</f>
        <v>Encogroup</v>
      </c>
      <c r="E2280" s="21" t="s">
        <v>211</v>
      </c>
      <c r="F2280" s="12">
        <f>_xlfn.XLOOKUP(Table134526_79101120212223242526[[#This Row],[Name Surname]],Manpower!C:C,Manpower!D:D,)</f>
        <v>140477664</v>
      </c>
      <c r="G2280" s="28" t="str">
        <f>_xlfn.XLOOKUP(Table134526_79101120212223242526[[#This Row],[Name Surname]],Manpower!$C$4:$C$1048576,Manpower!$F$4:$F$1048576,"")</f>
        <v>Junior HSE Officer</v>
      </c>
      <c r="H2280" s="28" t="str">
        <f>_xlfn.XLOOKUP(Table134526_79101120212223242526[[#This Row],[Name Surname]],Manpower!$C$4:$C$1048576,Manpower!$H$4:$H$1048576,"")</f>
        <v>Manpower</v>
      </c>
      <c r="I2280" s="28" t="str">
        <f>_xlfn.XLOOKUP(Table134526_79101120212223242526[[#This Row],[Name Surname]],Manpower!$C$4:$C$1048576,Manpower!$H$4:$H$1048576,"")</f>
        <v>Manpower</v>
      </c>
      <c r="J2280" s="21" t="s">
        <v>143</v>
      </c>
      <c r="K2280" s="21" t="s">
        <v>26</v>
      </c>
      <c r="L2280" s="21" t="s">
        <v>144</v>
      </c>
      <c r="M2280" s="21" t="s">
        <v>24</v>
      </c>
      <c r="N2280" s="29">
        <v>10</v>
      </c>
      <c r="O2280" s="21" t="s">
        <v>40</v>
      </c>
      <c r="P2280" s="21" t="s">
        <v>42</v>
      </c>
      <c r="Q2280" s="21" t="s">
        <v>42</v>
      </c>
      <c r="R2280" s="21" t="s">
        <v>356</v>
      </c>
    </row>
    <row r="2281" spans="1:19" s="45" customFormat="1" ht="14.4" hidden="1">
      <c r="A2281" s="25">
        <f>IF(C2281="","",MAX($A$1:A2280)+1)</f>
        <v>2133</v>
      </c>
      <c r="B2281" s="25" t="s">
        <v>141</v>
      </c>
      <c r="C2281" s="41">
        <v>46099</v>
      </c>
      <c r="D2281" s="48" t="str">
        <f>_xlfn.XLOOKUP(Table134526_79101120212223242526[[#This Row],[Name Surname]],Manpower!$C$4:$C$1048576,Manpower!$B$4:$B$1048576,"")</f>
        <v>Encogroup</v>
      </c>
      <c r="E2281" s="43" t="s">
        <v>213</v>
      </c>
      <c r="F2281" s="12">
        <f>_xlfn.XLOOKUP(Table134526_79101120212223242526[[#This Row],[Name Surname]],Manpower!C:C,Manpower!D:D,)</f>
        <v>140846698</v>
      </c>
      <c r="G2281" s="48" t="str">
        <f>_xlfn.XLOOKUP(Table134526_79101120212223242526[[#This Row],[Name Surname]],Manpower!$C$4:$C$1048576,Manpower!$F$4:$F$1048576,"")</f>
        <v>Assistant/Helper</v>
      </c>
      <c r="H2281" s="48" t="str">
        <f>_xlfn.XLOOKUP(Table134526_79101120212223242526[[#This Row],[Name Surname]],Manpower!$C$4:$C$1048576,Manpower!$H$4:$H$1048576,"")</f>
        <v>Manpower</v>
      </c>
      <c r="I2281" s="48" t="str">
        <f>_xlfn.XLOOKUP(Table134526_79101120212223242526[[#This Row],[Name Surname]],Manpower!$C$4:$C$1048576,Manpower!$H$4:$H$1048576,"")</f>
        <v>Manpower</v>
      </c>
      <c r="J2281" s="43" t="s">
        <v>143</v>
      </c>
      <c r="K2281" s="43" t="s">
        <v>26</v>
      </c>
      <c r="L2281" s="43" t="s">
        <v>144</v>
      </c>
      <c r="M2281" s="43" t="s">
        <v>24</v>
      </c>
      <c r="N2281" s="44">
        <v>10</v>
      </c>
      <c r="O2281" s="43" t="s">
        <v>40</v>
      </c>
      <c r="P2281" s="43" t="s">
        <v>42</v>
      </c>
      <c r="Q2281" s="43" t="s">
        <v>42</v>
      </c>
      <c r="R2281" s="43" t="s">
        <v>356</v>
      </c>
      <c r="S2281" s="43"/>
    </row>
    <row r="2282" spans="1:19" s="45" customFormat="1" ht="14.4" hidden="1">
      <c r="A2282" s="25">
        <f>IF(C2282="","",MAX($A$1:A2281)+1)</f>
        <v>2134</v>
      </c>
      <c r="B2282" s="25" t="s">
        <v>141</v>
      </c>
      <c r="C2282" s="41">
        <v>46099</v>
      </c>
      <c r="D2282" s="48" t="str">
        <f>_xlfn.XLOOKUP(Table134526_79101120212223242526[[#This Row],[Name Surname]],Manpower!$C$4:$C$1048576,Manpower!$B$4:$B$1048576,"")</f>
        <v>Encogroup</v>
      </c>
      <c r="E2282" s="43" t="s">
        <v>217</v>
      </c>
      <c r="F2282" s="12">
        <f>_xlfn.XLOOKUP(Table134526_79101120212223242526[[#This Row],[Name Surname]],Manpower!C:C,Manpower!D:D,)</f>
        <v>140742177</v>
      </c>
      <c r="G2282" s="48" t="str">
        <f>_xlfn.XLOOKUP(Table134526_79101120212223242526[[#This Row],[Name Surname]],Manpower!$C$4:$C$1048576,Manpower!$F$4:$F$1048576,"")</f>
        <v>Grinder</v>
      </c>
      <c r="H2282" s="48" t="str">
        <f>_xlfn.XLOOKUP(Table134526_79101120212223242526[[#This Row],[Name Surname]],Manpower!$C$4:$C$1048576,Manpower!$H$4:$H$1048576,"")</f>
        <v>Manpower</v>
      </c>
      <c r="I2282" s="48" t="str">
        <f>_xlfn.XLOOKUP(Table134526_79101120212223242526[[#This Row],[Name Surname]],Manpower!$C$4:$C$1048576,Manpower!$H$4:$H$1048576,"")</f>
        <v>Manpower</v>
      </c>
      <c r="J2282" s="43" t="s">
        <v>143</v>
      </c>
      <c r="K2282" s="43" t="s">
        <v>26</v>
      </c>
      <c r="L2282" s="43" t="s">
        <v>144</v>
      </c>
      <c r="M2282" s="43" t="s">
        <v>24</v>
      </c>
      <c r="N2282" s="44">
        <v>10</v>
      </c>
      <c r="O2282" s="43" t="s">
        <v>40</v>
      </c>
      <c r="P2282" s="43" t="s">
        <v>329</v>
      </c>
      <c r="Q2282" s="43" t="s">
        <v>128</v>
      </c>
      <c r="R2282" s="43" t="s">
        <v>356</v>
      </c>
      <c r="S2282" s="43"/>
    </row>
    <row r="2283" spans="1:19" s="45" customFormat="1" ht="14.4" hidden="1">
      <c r="A2283" s="25">
        <f>IF(C2283="","",MAX($A$1:A2282)+1)</f>
        <v>2135</v>
      </c>
      <c r="B2283" s="25" t="s">
        <v>141</v>
      </c>
      <c r="C2283" s="41">
        <v>46099</v>
      </c>
      <c r="D2283" s="48" t="str">
        <f>_xlfn.XLOOKUP(Table134526_79101120212223242526[[#This Row],[Name Surname]],Manpower!$C$4:$C$1048576,Manpower!$B$4:$B$1048576,"")</f>
        <v>Encogroup</v>
      </c>
      <c r="E2283" s="43" t="s">
        <v>188</v>
      </c>
      <c r="F2283" s="12">
        <f>_xlfn.XLOOKUP(Table134526_79101120212223242526[[#This Row],[Name Surname]],Manpower!C:C,Manpower!D:D,)</f>
        <v>140696975</v>
      </c>
      <c r="G2283" s="48" t="str">
        <f>_xlfn.XLOOKUP(Table134526_79101120212223242526[[#This Row],[Name Surname]],Manpower!$C$4:$C$1048576,Manpower!$F$4:$F$1048576,"")</f>
        <v>Assistant/Helper</v>
      </c>
      <c r="H2283" s="48" t="str">
        <f>_xlfn.XLOOKUP(Table134526_79101120212223242526[[#This Row],[Name Surname]],Manpower!$C$4:$C$1048576,Manpower!$H$4:$H$1048576,"")</f>
        <v>Manpower</v>
      </c>
      <c r="I2283" s="48" t="str">
        <f>_xlfn.XLOOKUP(Table134526_79101120212223242526[[#This Row],[Name Surname]],Manpower!$C$4:$C$1048576,Manpower!$H$4:$H$1048576,"")</f>
        <v>Manpower</v>
      </c>
      <c r="J2283" s="43" t="s">
        <v>158</v>
      </c>
      <c r="K2283" s="43" t="s">
        <v>26</v>
      </c>
      <c r="L2283" s="43" t="s">
        <v>26</v>
      </c>
      <c r="M2283" s="43" t="s">
        <v>24</v>
      </c>
      <c r="N2283" s="44">
        <v>10</v>
      </c>
      <c r="O2283" s="43" t="s">
        <v>159</v>
      </c>
      <c r="P2283" s="43" t="s">
        <v>160</v>
      </c>
      <c r="Q2283" s="43" t="s">
        <v>160</v>
      </c>
      <c r="R2283" s="43" t="s">
        <v>161</v>
      </c>
      <c r="S2283" s="43" t="s">
        <v>230</v>
      </c>
    </row>
    <row r="2284" spans="1:19" s="45" customFormat="1" ht="14.4" hidden="1">
      <c r="A2284" s="25">
        <f>IF(C2284="","",MAX($A$1:A2283)+1)</f>
        <v>2136</v>
      </c>
      <c r="B2284" s="25" t="s">
        <v>141</v>
      </c>
      <c r="C2284" s="41">
        <v>46099</v>
      </c>
      <c r="D2284" s="48" t="str">
        <f>_xlfn.XLOOKUP(Table134526_79101120212223242526[[#This Row],[Name Surname]],Manpower!$C$4:$C$1048576,Manpower!$B$4:$B$1048576,"")</f>
        <v>Encogroup</v>
      </c>
      <c r="E2284" s="43" t="s">
        <v>204</v>
      </c>
      <c r="F2284" s="12">
        <f>_xlfn.XLOOKUP(Table134526_79101120212223242526[[#This Row],[Name Surname]],Manpower!C:C,Manpower!D:D,)</f>
        <v>140844572</v>
      </c>
      <c r="G2284" s="48" t="str">
        <f>_xlfn.XLOOKUP(Table134526_79101120212223242526[[#This Row],[Name Surname]],Manpower!$C$4:$C$1048576,Manpower!$F$4:$F$1048576,"")</f>
        <v>Assistant/Helper</v>
      </c>
      <c r="H2284" s="48" t="str">
        <f>_xlfn.XLOOKUP(Table134526_79101120212223242526[[#This Row],[Name Surname]],Manpower!$C$4:$C$1048576,Manpower!$H$4:$H$1048576,"")</f>
        <v>Manpower</v>
      </c>
      <c r="I2284" s="48" t="str">
        <f>_xlfn.XLOOKUP(Table134526_79101120212223242526[[#This Row],[Name Surname]],Manpower!$C$4:$C$1048576,Manpower!$H$4:$H$1048576,"")</f>
        <v>Manpower</v>
      </c>
      <c r="J2284" s="43" t="s">
        <v>158</v>
      </c>
      <c r="K2284" s="43" t="s">
        <v>26</v>
      </c>
      <c r="L2284" s="43" t="s">
        <v>26</v>
      </c>
      <c r="M2284" s="43" t="s">
        <v>24</v>
      </c>
      <c r="N2284" s="44">
        <v>10</v>
      </c>
      <c r="O2284" s="43" t="s">
        <v>159</v>
      </c>
      <c r="P2284" s="43" t="s">
        <v>160</v>
      </c>
      <c r="Q2284" s="43" t="s">
        <v>160</v>
      </c>
      <c r="R2284" s="43" t="s">
        <v>161</v>
      </c>
      <c r="S2284" s="43" t="s">
        <v>230</v>
      </c>
    </row>
    <row r="2285" spans="1:19" ht="14.4">
      <c r="A2285" s="33">
        <f>IF(C2285="","",MAX($A$1:A2284)+1)</f>
        <v>2137</v>
      </c>
      <c r="B2285" s="27" t="s">
        <v>141</v>
      </c>
      <c r="C2285" s="23">
        <v>46099</v>
      </c>
      <c r="D2285" s="28" t="str">
        <f>_xlfn.XLOOKUP(Table134526_79101120212223242526[[#This Row],[Name Surname]],Manpower!$C$4:$C$1048576,Manpower!$B$4:$B$1048576,"")</f>
        <v>Encogroup</v>
      </c>
      <c r="E2285" s="23" t="s">
        <v>219</v>
      </c>
      <c r="F2285" s="12" t="e">
        <f>_xlfn.XLOOKUP(Table134526_79101120212223242526[[#This Row],[Name Surname]],Manpower!C:C,Manpower!D:D,)</f>
        <v>#N/A</v>
      </c>
      <c r="G2285" s="28" t="str">
        <f>_xlfn.XLOOKUP(Table134526_79101120212223242526[[#This Row],[Name Surname]],Manpower!$C$4:$C$1048576,Manpower!$F$4:$F$1048576,"")</f>
        <v>TOWER LIGHT</v>
      </c>
      <c r="H2285" s="28" t="str">
        <f>_xlfn.XLOOKUP(Table134526_79101120212223242526[[#This Row],[Name Surname]],Manpower!$C$4:$C$1048576,Manpower!$H$4:$H$1048576,"")</f>
        <v>Equipment</v>
      </c>
      <c r="I2285" s="28" t="str">
        <f>_xlfn.XLOOKUP(Table134526_79101120212223242526[[#This Row],[Name Surname]],Manpower!$C$4:$C$1048576,Manpower!$H$4:$H$1048576,"")</f>
        <v>Equipment</v>
      </c>
      <c r="J2285" s="21" t="s">
        <v>143</v>
      </c>
      <c r="K2285" s="21" t="s">
        <v>26</v>
      </c>
      <c r="L2285" s="21" t="s">
        <v>144</v>
      </c>
      <c r="M2285" s="21" t="s">
        <v>55</v>
      </c>
      <c r="N2285" s="29">
        <v>10</v>
      </c>
      <c r="R2285" s="21" t="s">
        <v>56</v>
      </c>
    </row>
    <row r="2286" spans="1:19" ht="14.4">
      <c r="A2286" s="33">
        <f>IF(C2286="","",MAX($A$1:A2285)+1)</f>
        <v>2138</v>
      </c>
      <c r="B2286" s="27" t="s">
        <v>141</v>
      </c>
      <c r="C2286" s="23">
        <v>46099</v>
      </c>
      <c r="D2286" s="28" t="str">
        <f>_xlfn.XLOOKUP(Table134526_79101120212223242526[[#This Row],[Name Surname]],Manpower!$C$4:$C$1048576,Manpower!$B$4:$B$1048576,"")</f>
        <v>Encogroup</v>
      </c>
      <c r="E2286" s="23" t="s">
        <v>220</v>
      </c>
      <c r="F2286" s="12" t="e">
        <f>_xlfn.XLOOKUP(Table134526_79101120212223242526[[#This Row],[Name Surname]],Manpower!C:C,Manpower!D:D,)</f>
        <v>#N/A</v>
      </c>
      <c r="G2286" s="28" t="str">
        <f>_xlfn.XLOOKUP(Table134526_79101120212223242526[[#This Row],[Name Surname]],Manpower!$C$4:$C$1048576,Manpower!$F$4:$F$1048576,"")</f>
        <v>TOWER LIGHT</v>
      </c>
      <c r="H2286" s="28" t="str">
        <f>_xlfn.XLOOKUP(Table134526_79101120212223242526[[#This Row],[Name Surname]],Manpower!$C$4:$C$1048576,Manpower!$H$4:$H$1048576,"")</f>
        <v>Equipment</v>
      </c>
      <c r="I2286" s="28" t="str">
        <f>_xlfn.XLOOKUP(Table134526_79101120212223242526[[#This Row],[Name Surname]],Manpower!$C$4:$C$1048576,Manpower!$H$4:$H$1048576,"")</f>
        <v>Equipment</v>
      </c>
      <c r="J2286" s="21" t="s">
        <v>143</v>
      </c>
      <c r="K2286" s="21" t="s">
        <v>26</v>
      </c>
      <c r="L2286" s="21" t="s">
        <v>144</v>
      </c>
      <c r="M2286" s="21" t="s">
        <v>55</v>
      </c>
      <c r="N2286" s="29">
        <v>10</v>
      </c>
      <c r="R2286" s="21" t="s">
        <v>56</v>
      </c>
    </row>
    <row r="2287" spans="1:19" s="45" customFormat="1" ht="14.4" hidden="1">
      <c r="A2287" s="25">
        <f>IF(C2287="","",MAX($A$1:A2286)+1)</f>
        <v>2139</v>
      </c>
      <c r="B2287" s="25" t="s">
        <v>141</v>
      </c>
      <c r="C2287" s="41">
        <v>46099</v>
      </c>
      <c r="D2287" s="48" t="str">
        <f>_xlfn.XLOOKUP(Table134526_79101120212223242526[[#This Row],[Name Surname]],Manpower!$C$4:$C$1048576,Manpower!$B$4:$B$1048576,"")</f>
        <v>Encogroup</v>
      </c>
      <c r="E2287" s="43" t="s">
        <v>222</v>
      </c>
      <c r="F2287" s="12">
        <f>_xlfn.XLOOKUP(Table134526_79101120212223242526[[#This Row],[Name Surname]],Manpower!C:C,Manpower!D:D,)</f>
        <v>122082863</v>
      </c>
      <c r="G2287" s="48" t="str">
        <f>_xlfn.XLOOKUP(Table134526_79101120212223242526[[#This Row],[Name Surname]],Manpower!$C$4:$C$1048576,Manpower!$F$4:$F$1048576,"")</f>
        <v>Grinder</v>
      </c>
      <c r="H2287" s="48" t="str">
        <f>_xlfn.XLOOKUP(Table134526_79101120212223242526[[#This Row],[Name Surname]],Manpower!$C$4:$C$1048576,Manpower!$H$4:$H$1048576,"")</f>
        <v>Manpower</v>
      </c>
      <c r="I2287" s="48" t="str">
        <f>_xlfn.XLOOKUP(Table134526_79101120212223242526[[#This Row],[Name Surname]],Manpower!$C$4:$C$1048576,Manpower!$H$4:$H$1048576,"")</f>
        <v>Manpower</v>
      </c>
      <c r="J2287" s="43" t="s">
        <v>143</v>
      </c>
      <c r="K2287" s="43" t="s">
        <v>26</v>
      </c>
      <c r="L2287" s="43" t="s">
        <v>144</v>
      </c>
      <c r="M2287" s="43" t="s">
        <v>24</v>
      </c>
      <c r="N2287" s="44">
        <v>10</v>
      </c>
      <c r="O2287" s="43" t="s">
        <v>40</v>
      </c>
      <c r="P2287" s="43" t="s">
        <v>42</v>
      </c>
      <c r="Q2287" s="43" t="s">
        <v>42</v>
      </c>
      <c r="R2287" s="43" t="s">
        <v>356</v>
      </c>
      <c r="S2287" s="43" t="s">
        <v>343</v>
      </c>
    </row>
    <row r="2288" spans="1:19" ht="14.4" hidden="1">
      <c r="A2288" s="33">
        <f>IF(C2288="","",MAX($A$1:A2287)+1)</f>
        <v>2140</v>
      </c>
      <c r="B2288" s="27" t="s">
        <v>141</v>
      </c>
      <c r="C2288" s="23">
        <v>46099</v>
      </c>
      <c r="D2288" s="28" t="str">
        <f>_xlfn.XLOOKUP(Table134526_79101120212223242526[[#This Row],[Name Surname]],Manpower!$C$4:$C$1048576,Manpower!$B$4:$B$1048576,"")</f>
        <v>Encogroup</v>
      </c>
      <c r="E2288" s="21" t="s">
        <v>223</v>
      </c>
      <c r="F2288" s="12">
        <f>_xlfn.XLOOKUP(Table134526_79101120212223242526[[#This Row],[Name Surname]],Manpower!C:C,Manpower!D:D,)</f>
        <v>140696989</v>
      </c>
      <c r="G2288" s="28" t="str">
        <f>_xlfn.XLOOKUP(Table134526_79101120212223242526[[#This Row],[Name Surname]],Manpower!$C$4:$C$1048576,Manpower!$F$4:$F$1048576,"")</f>
        <v>Assistant/Helper</v>
      </c>
      <c r="H2288" s="28" t="str">
        <f>_xlfn.XLOOKUP(Table134526_79101120212223242526[[#This Row],[Name Surname]],Manpower!$C$4:$C$1048576,Manpower!$H$4:$H$1048576,"")</f>
        <v>Manpower</v>
      </c>
      <c r="I2288" s="28" t="str">
        <f>_xlfn.XLOOKUP(Table134526_79101120212223242526[[#This Row],[Name Surname]],Manpower!$C$4:$C$1048576,Manpower!$H$4:$H$1048576,"")</f>
        <v>Manpower</v>
      </c>
      <c r="J2288" s="21" t="s">
        <v>158</v>
      </c>
      <c r="K2288" s="21" t="s">
        <v>26</v>
      </c>
      <c r="L2288" s="21" t="s">
        <v>26</v>
      </c>
      <c r="M2288" s="21" t="s">
        <v>24</v>
      </c>
      <c r="N2288" s="29">
        <v>10</v>
      </c>
      <c r="O2288" s="21" t="s">
        <v>159</v>
      </c>
      <c r="P2288" s="21" t="s">
        <v>160</v>
      </c>
      <c r="Q2288" s="21" t="s">
        <v>160</v>
      </c>
      <c r="R2288" s="21" t="s">
        <v>161</v>
      </c>
    </row>
    <row r="2289" spans="1:19" ht="14.4" hidden="1">
      <c r="A2289" s="33">
        <f>IF(C2289="","",MAX($A$1:A2288)+1)</f>
        <v>2141</v>
      </c>
      <c r="B2289" s="27" t="s">
        <v>141</v>
      </c>
      <c r="C2289" s="23">
        <v>46099</v>
      </c>
      <c r="D2289" s="28" t="str">
        <f>_xlfn.XLOOKUP(Table134526_79101120212223242526[[#This Row],[Name Surname]],Manpower!$C$4:$C$1048576,Manpower!$B$4:$B$1048576,"")</f>
        <v>Encogroup</v>
      </c>
      <c r="E2289" s="21" t="s">
        <v>218</v>
      </c>
      <c r="F2289" s="12">
        <f>_xlfn.XLOOKUP(Table134526_79101120212223242526[[#This Row],[Name Surname]],Manpower!C:C,Manpower!D:D,)</f>
        <v>116853914</v>
      </c>
      <c r="G2289" s="28" t="str">
        <f>_xlfn.XLOOKUP(Table134526_79101120212223242526[[#This Row],[Name Surname]],Manpower!$C$4:$C$1048576,Manpower!$F$4:$F$1048576,"")</f>
        <v>Electrical Supervisor</v>
      </c>
      <c r="H2289" s="28" t="str">
        <f>_xlfn.XLOOKUP(Table134526_79101120212223242526[[#This Row],[Name Surname]],Manpower!$C$4:$C$1048576,Manpower!$H$4:$H$1048576,"")</f>
        <v>Manpower</v>
      </c>
      <c r="I2289" s="28" t="str">
        <f>_xlfn.XLOOKUP(Table134526_79101120212223242526[[#This Row],[Name Surname]],Manpower!$C$4:$C$1048576,Manpower!$H$4:$H$1048576,"")</f>
        <v>Manpower</v>
      </c>
      <c r="J2289" s="21" t="s">
        <v>158</v>
      </c>
      <c r="K2289" s="21" t="s">
        <v>26</v>
      </c>
      <c r="L2289" s="21" t="s">
        <v>26</v>
      </c>
      <c r="M2289" s="21" t="s">
        <v>24</v>
      </c>
      <c r="N2289" s="29">
        <v>10</v>
      </c>
      <c r="O2289" s="21" t="s">
        <v>159</v>
      </c>
      <c r="P2289" s="21" t="s">
        <v>160</v>
      </c>
      <c r="Q2289" s="21" t="s">
        <v>160</v>
      </c>
      <c r="R2289" s="21" t="s">
        <v>161</v>
      </c>
    </row>
    <row r="2290" spans="1:19" ht="14.4" hidden="1">
      <c r="A2290" s="33">
        <f>IF(C2290="","",MAX($A$1:A2289)+1)</f>
        <v>2142</v>
      </c>
      <c r="B2290" s="27" t="s">
        <v>141</v>
      </c>
      <c r="C2290" s="23">
        <v>46099</v>
      </c>
      <c r="D2290" s="28" t="str">
        <f>_xlfn.XLOOKUP(Table134526_79101120212223242526[[#This Row],[Name Surname]],Manpower!$C$4:$C$1048576,Manpower!$B$4:$B$1048576,"")</f>
        <v>Encogroup</v>
      </c>
      <c r="E2290" s="21" t="s">
        <v>209</v>
      </c>
      <c r="F2290" s="12">
        <f>_xlfn.XLOOKUP(Table134526_79101120212223242526[[#This Row],[Name Surname]],Manpower!C:C,Manpower!D:D,)</f>
        <v>141365164</v>
      </c>
      <c r="G2290" s="28" t="str">
        <f>_xlfn.XLOOKUP(Table134526_79101120212223242526[[#This Row],[Name Surname]],Manpower!$C$4:$C$1048576,Manpower!$F$4:$F$1048576,"")</f>
        <v>Helper</v>
      </c>
      <c r="H2290" s="28" t="str">
        <f>_xlfn.XLOOKUP(Table134526_79101120212223242526[[#This Row],[Name Surname]],Manpower!$C$4:$C$1048576,Manpower!$H$4:$H$1048576,"")</f>
        <v>Manpower</v>
      </c>
      <c r="I2290" s="28" t="str">
        <f>_xlfn.XLOOKUP(Table134526_79101120212223242526[[#This Row],[Name Surname]],Manpower!$C$4:$C$1048576,Manpower!$H$4:$H$1048576,"")</f>
        <v>Manpower</v>
      </c>
      <c r="J2290" s="21" t="s">
        <v>158</v>
      </c>
      <c r="K2290" s="21" t="s">
        <v>26</v>
      </c>
      <c r="L2290" s="21" t="s">
        <v>26</v>
      </c>
      <c r="M2290" s="21" t="s">
        <v>24</v>
      </c>
      <c r="N2290" s="29">
        <v>10</v>
      </c>
      <c r="O2290" s="21" t="s">
        <v>159</v>
      </c>
      <c r="P2290" s="21" t="s">
        <v>160</v>
      </c>
      <c r="Q2290" s="21" t="s">
        <v>160</v>
      </c>
      <c r="R2290" s="21" t="s">
        <v>161</v>
      </c>
    </row>
    <row r="2291" spans="1:19" ht="14.4" hidden="1">
      <c r="A2291" s="33">
        <f>IF(C2291="","",MAX($A$1:A2290)+1)</f>
        <v>2143</v>
      </c>
      <c r="B2291" s="27" t="s">
        <v>141</v>
      </c>
      <c r="C2291" s="23">
        <v>46099</v>
      </c>
      <c r="D2291" s="28" t="str">
        <f>_xlfn.XLOOKUP(Table134526_79101120212223242526[[#This Row],[Name Surname]],Manpower!$C$4:$C$1048576,Manpower!$B$4:$B$1048576,"")</f>
        <v>Encogroup</v>
      </c>
      <c r="E2291" s="21" t="s">
        <v>346</v>
      </c>
      <c r="F2291" s="12">
        <f>_xlfn.XLOOKUP(Table134526_79101120212223242526[[#This Row],[Name Surname]],Manpower!C:C,Manpower!D:D,)</f>
        <v>117974933</v>
      </c>
      <c r="G2291" s="28" t="str">
        <f>_xlfn.XLOOKUP(Table134526_79101120212223242526[[#This Row],[Name Surname]],Manpower!$C$4:$C$1048576,Manpower!$F$4:$F$1048576,"")</f>
        <v>Scaffolder</v>
      </c>
      <c r="H2291" s="28" t="str">
        <f>_xlfn.XLOOKUP(Table134526_79101120212223242526[[#This Row],[Name Surname]],Manpower!$C$4:$C$1048576,Manpower!$H$4:$H$1048576,"")</f>
        <v>Manpower</v>
      </c>
      <c r="I2291" s="28" t="str">
        <f>_xlfn.XLOOKUP(Table134526_79101120212223242526[[#This Row],[Name Surname]],Manpower!$C$4:$C$1048576,Manpower!$H$4:$H$1048576,"")</f>
        <v>Manpower</v>
      </c>
      <c r="J2291" s="21" t="s">
        <v>158</v>
      </c>
      <c r="K2291" s="21" t="s">
        <v>26</v>
      </c>
      <c r="L2291" s="21" t="s">
        <v>26</v>
      </c>
      <c r="M2291" s="21" t="s">
        <v>24</v>
      </c>
      <c r="N2291" s="29">
        <v>10</v>
      </c>
      <c r="O2291" s="21" t="s">
        <v>159</v>
      </c>
      <c r="P2291" s="21" t="s">
        <v>160</v>
      </c>
      <c r="Q2291" s="21" t="s">
        <v>160</v>
      </c>
      <c r="R2291" s="21" t="s">
        <v>161</v>
      </c>
    </row>
    <row r="2292" spans="1:19" ht="14.4" hidden="1">
      <c r="A2292" s="33">
        <f>IF(C2292="","",MAX($A$1:A2291)+1)</f>
        <v>2144</v>
      </c>
      <c r="B2292" s="27" t="s">
        <v>141</v>
      </c>
      <c r="C2292" s="23">
        <v>46099</v>
      </c>
      <c r="D2292" s="28" t="str">
        <f>_xlfn.XLOOKUP(Table134526_79101120212223242526[[#This Row],[Name Surname]],Manpower!$C$4:$C$1048576,Manpower!$B$4:$B$1048576,"")</f>
        <v>Encogroup</v>
      </c>
      <c r="E2292" s="21" t="s">
        <v>347</v>
      </c>
      <c r="F2292" s="12">
        <f>_xlfn.XLOOKUP(Table134526_79101120212223242526[[#This Row],[Name Surname]],Manpower!C:C,Manpower!D:D,)</f>
        <v>141502853</v>
      </c>
      <c r="G2292" s="28" t="str">
        <f>_xlfn.XLOOKUP(Table134526_79101120212223242526[[#This Row],[Name Surname]],Manpower!$C$4:$C$1048576,Manpower!$F$4:$F$1048576,"")</f>
        <v>Scaffolder</v>
      </c>
      <c r="H2292" s="28" t="str">
        <f>_xlfn.XLOOKUP(Table134526_79101120212223242526[[#This Row],[Name Surname]],Manpower!$C$4:$C$1048576,Manpower!$H$4:$H$1048576,"")</f>
        <v>Manpower</v>
      </c>
      <c r="I2292" s="28" t="str">
        <f>_xlfn.XLOOKUP(Table134526_79101120212223242526[[#This Row],[Name Surname]],Manpower!$C$4:$C$1048576,Manpower!$H$4:$H$1048576,"")</f>
        <v>Manpower</v>
      </c>
      <c r="J2292" s="21" t="s">
        <v>158</v>
      </c>
      <c r="K2292" s="21" t="s">
        <v>26</v>
      </c>
      <c r="L2292" s="21" t="s">
        <v>26</v>
      </c>
      <c r="M2292" s="21" t="s">
        <v>24</v>
      </c>
      <c r="N2292" s="29">
        <v>10</v>
      </c>
      <c r="O2292" s="21" t="s">
        <v>159</v>
      </c>
      <c r="P2292" s="21" t="s">
        <v>160</v>
      </c>
      <c r="Q2292" s="21" t="s">
        <v>160</v>
      </c>
      <c r="R2292" s="21" t="s">
        <v>161</v>
      </c>
    </row>
    <row r="2293" spans="1:19" s="45" customFormat="1" ht="14.4" hidden="1">
      <c r="A2293" s="25">
        <f>IF(C2293="","",MAX($A$1:A2292)+1)</f>
        <v>2145</v>
      </c>
      <c r="B2293" s="25" t="s">
        <v>141</v>
      </c>
      <c r="C2293" s="41">
        <v>46099</v>
      </c>
      <c r="D2293" s="48" t="str">
        <f>_xlfn.XLOOKUP(Table134526_79101120212223242526[[#This Row],[Name Surname]],Manpower!$C$4:$C$1048576,Manpower!$B$4:$B$1048576,"")</f>
        <v>Encogroup</v>
      </c>
      <c r="E2293" s="43" t="s">
        <v>264</v>
      </c>
      <c r="F2293" s="12">
        <f>_xlfn.XLOOKUP(Table134526_79101120212223242526[[#This Row],[Name Surname]],Manpower!C:C,Manpower!D:D,)</f>
        <v>141365061</v>
      </c>
      <c r="G2293" s="48" t="str">
        <f>_xlfn.XLOOKUP(Table134526_79101120212223242526[[#This Row],[Name Surname]],Manpower!$C$4:$C$1048576,Manpower!$F$4:$F$1048576,"")</f>
        <v>Helper</v>
      </c>
      <c r="H2293" s="48" t="str">
        <f>_xlfn.XLOOKUP(Table134526_79101120212223242526[[#This Row],[Name Surname]],Manpower!$C$4:$C$1048576,Manpower!$H$4:$H$1048576,"")</f>
        <v>Manpower</v>
      </c>
      <c r="I2293" s="48" t="str">
        <f>_xlfn.XLOOKUP(Table134526_79101120212223242526[[#This Row],[Name Surname]],Manpower!$C$4:$C$1048576,Manpower!$H$4:$H$1048576,"")</f>
        <v>Manpower</v>
      </c>
      <c r="J2293" s="43" t="s">
        <v>143</v>
      </c>
      <c r="K2293" s="43" t="s">
        <v>26</v>
      </c>
      <c r="L2293" s="43" t="s">
        <v>144</v>
      </c>
      <c r="M2293" s="43" t="s">
        <v>24</v>
      </c>
      <c r="N2293" s="44">
        <v>10</v>
      </c>
      <c r="O2293" s="43" t="s">
        <v>40</v>
      </c>
      <c r="P2293" s="43" t="s">
        <v>42</v>
      </c>
      <c r="Q2293" s="43" t="s">
        <v>42</v>
      </c>
      <c r="R2293" s="43" t="s">
        <v>356</v>
      </c>
      <c r="S2293" s="43"/>
    </row>
    <row r="2294" spans="1:19" s="45" customFormat="1" ht="14.4" hidden="1">
      <c r="A2294" s="25">
        <f>IF(C2294="","",MAX($A$1:A2293)+1)</f>
        <v>2146</v>
      </c>
      <c r="B2294" s="25" t="s">
        <v>141</v>
      </c>
      <c r="C2294" s="41">
        <v>46099</v>
      </c>
      <c r="D2294" s="48" t="str">
        <f>_xlfn.XLOOKUP(Table134526_79101120212223242526[[#This Row],[Name Surname]],Manpower!$C$4:$C$1048576,Manpower!$B$4:$B$1048576,"")</f>
        <v>Encogroup</v>
      </c>
      <c r="E2294" s="43" t="s">
        <v>224</v>
      </c>
      <c r="F2294" s="12">
        <f>_xlfn.XLOOKUP(Table134526_79101120212223242526[[#This Row],[Name Surname]],Manpower!C:C,Manpower!D:D,)</f>
        <v>141365094</v>
      </c>
      <c r="G2294" s="48" t="str">
        <f>_xlfn.XLOOKUP(Table134526_79101120212223242526[[#This Row],[Name Surname]],Manpower!$C$4:$C$1048576,Manpower!$F$4:$F$1048576,"")</f>
        <v>Helper</v>
      </c>
      <c r="H2294" s="48" t="str">
        <f>_xlfn.XLOOKUP(Table134526_79101120212223242526[[#This Row],[Name Surname]],Manpower!$C$4:$C$1048576,Manpower!$H$4:$H$1048576,"")</f>
        <v>Manpower</v>
      </c>
      <c r="I2294" s="48" t="str">
        <f>_xlfn.XLOOKUP(Table134526_79101120212223242526[[#This Row],[Name Surname]],Manpower!$C$4:$C$1048576,Manpower!$H$4:$H$1048576,"")</f>
        <v>Manpower</v>
      </c>
      <c r="J2294" s="43" t="s">
        <v>143</v>
      </c>
      <c r="K2294" s="43" t="s">
        <v>26</v>
      </c>
      <c r="L2294" s="43" t="s">
        <v>144</v>
      </c>
      <c r="M2294" s="43" t="s">
        <v>24</v>
      </c>
      <c r="N2294" s="44">
        <v>10</v>
      </c>
      <c r="O2294" s="43" t="s">
        <v>40</v>
      </c>
      <c r="P2294" s="43" t="s">
        <v>42</v>
      </c>
      <c r="Q2294" s="43" t="s">
        <v>42</v>
      </c>
      <c r="R2294" s="43" t="s">
        <v>356</v>
      </c>
      <c r="S2294" s="43"/>
    </row>
    <row r="2295" spans="1:19" s="45" customFormat="1" ht="14.4" hidden="1">
      <c r="A2295" s="25">
        <f>IF(C2295="","",MAX($A$1:A2294)+1)</f>
        <v>2147</v>
      </c>
      <c r="B2295" s="25" t="s">
        <v>141</v>
      </c>
      <c r="C2295" s="41">
        <v>46099</v>
      </c>
      <c r="D2295" s="48" t="str">
        <f>_xlfn.XLOOKUP(Table134526_79101120212223242526[[#This Row],[Name Surname]],Manpower!$C$4:$C$1048576,Manpower!$B$4:$B$1048576,"")</f>
        <v xml:space="preserve">FAL Transport </v>
      </c>
      <c r="E2295" s="43" t="s">
        <v>225</v>
      </c>
      <c r="F2295" s="12">
        <f>_xlfn.XLOOKUP(Table134526_79101120212223242526[[#This Row],[Name Surname]],Manpower!C:C,Manpower!D:D,)</f>
        <v>124233837</v>
      </c>
      <c r="G2295" s="48" t="str">
        <f>_xlfn.XLOOKUP(Table134526_79101120212223242526[[#This Row],[Name Surname]],Manpower!$C$4:$C$1048576,Manpower!$F$4:$F$1048576,"")</f>
        <v>Trailer Driver</v>
      </c>
      <c r="H2295" s="48" t="str">
        <f>_xlfn.XLOOKUP(Table134526_79101120212223242526[[#This Row],[Name Surname]],Manpower!$C$4:$C$1048576,Manpower!$H$4:$H$1048576,"")</f>
        <v>Sub Contactor</v>
      </c>
      <c r="I2295" s="48" t="str">
        <f>_xlfn.XLOOKUP(Table134526_79101120212223242526[[#This Row],[Name Surname]],Manpower!$C$4:$C$1048576,Manpower!$H$4:$H$1048576,"")</f>
        <v>Sub Contactor</v>
      </c>
      <c r="J2295" s="43" t="s">
        <v>143</v>
      </c>
      <c r="K2295" s="43" t="s">
        <v>26</v>
      </c>
      <c r="L2295" s="43" t="s">
        <v>144</v>
      </c>
      <c r="M2295" s="43" t="s">
        <v>24</v>
      </c>
      <c r="N2295" s="44">
        <v>8</v>
      </c>
      <c r="O2295" s="43" t="s">
        <v>40</v>
      </c>
      <c r="P2295" s="43" t="s">
        <v>42</v>
      </c>
      <c r="Q2295" s="43" t="s">
        <v>42</v>
      </c>
      <c r="R2295" s="43" t="s">
        <v>226</v>
      </c>
      <c r="S2295" s="43" t="s">
        <v>45</v>
      </c>
    </row>
    <row r="2296" spans="1:19" ht="14.4">
      <c r="A2296" s="33">
        <f>IF(C2296="","",MAX($A$1:A2295)+1)</f>
        <v>2148</v>
      </c>
      <c r="B2296" s="22" t="s">
        <v>19</v>
      </c>
      <c r="C2296" s="23">
        <v>46100</v>
      </c>
      <c r="D2296" s="28" t="str">
        <f>_xlfn.XLOOKUP(Table134526_79101120212223242526[[#This Row],[Name Surname]],Manpower!$C$4:$C$1048576,Manpower!$B$4:$B$1048576,"")</f>
        <v>Riyan Al Khaleej</v>
      </c>
      <c r="E2296" s="21" t="s">
        <v>20</v>
      </c>
      <c r="F2296" s="12" t="e">
        <f>_xlfn.XLOOKUP(Table134526_79101120212223242526[[#This Row],[Name Surname]],Manpower!C:C,Manpower!D:D,)</f>
        <v>#N/A</v>
      </c>
      <c r="G2296" s="28" t="str">
        <f>_xlfn.XLOOKUP(Table134526_79101120212223242526[[#This Row],[Name Surname]],Manpower!$C$4:$C$1048576,Manpower!$F$4:$F$1048576,"")</f>
        <v>100T Telescopic Crane</v>
      </c>
      <c r="H2296" s="28" t="str">
        <f>_xlfn.XLOOKUP(Table134526_79101120212223242526[[#This Row],[Name Surname]],Manpower!$C$4:$C$1048576,Manpower!$H$4:$H$1048576,"")</f>
        <v>Equipment</v>
      </c>
      <c r="I2296" s="28" t="str">
        <f>_xlfn.XLOOKUP(Table134526_79101120212223242526[[#This Row],[Name Surname]],Manpower!$C$4:$C$1048576,Manpower!$H$4:$H$1048576,"")</f>
        <v>Equipment</v>
      </c>
      <c r="J2296" s="21" t="s">
        <v>21</v>
      </c>
      <c r="K2296" s="21" t="s">
        <v>144</v>
      </c>
      <c r="L2296" s="21" t="s">
        <v>49</v>
      </c>
      <c r="M2296" s="21" t="s">
        <v>24</v>
      </c>
      <c r="N2296" s="29">
        <v>8</v>
      </c>
      <c r="O2296" s="21" t="s">
        <v>40</v>
      </c>
      <c r="P2296" s="21" t="s">
        <v>41</v>
      </c>
      <c r="Q2296" s="21" t="s">
        <v>42</v>
      </c>
      <c r="R2296" s="21" t="s">
        <v>364</v>
      </c>
    </row>
    <row r="2297" spans="1:19" s="45" customFormat="1" ht="14.4" hidden="1">
      <c r="A2297" s="25">
        <f>IF(C2297="","",MAX($A$1:A2296)+1)</f>
        <v>2149</v>
      </c>
      <c r="B2297" s="25" t="s">
        <v>19</v>
      </c>
      <c r="C2297" s="41">
        <v>46100</v>
      </c>
      <c r="D2297" s="48" t="str">
        <f>_xlfn.XLOOKUP(Table134526_79101120212223242526[[#This Row],[Name Surname]],Manpower!$C$4:$C$1048576,Manpower!$B$4:$B$1048576,"")</f>
        <v>Rial Al Khaleej</v>
      </c>
      <c r="E2297" s="43" t="s">
        <v>38</v>
      </c>
      <c r="F2297" s="12">
        <f>_xlfn.XLOOKUP(Table134526_79101120212223242526[[#This Row],[Name Surname]],Manpower!C:C,Manpower!D:D,)</f>
        <v>98845403</v>
      </c>
      <c r="G2297" s="48" t="str">
        <f>_xlfn.XLOOKUP(Table134526_79101120212223242526[[#This Row],[Name Surname]],Manpower!$C$4:$C$1048576,Manpower!$F$4:$F$1048576,"")</f>
        <v>Crane Operator-100T Zoomlion Telescopic</v>
      </c>
      <c r="H2297" s="48" t="s">
        <v>39</v>
      </c>
      <c r="I2297" s="48" t="s">
        <v>39</v>
      </c>
      <c r="J2297" s="43" t="s">
        <v>21</v>
      </c>
      <c r="K2297" s="43" t="s">
        <v>144</v>
      </c>
      <c r="L2297" s="43" t="s">
        <v>49</v>
      </c>
      <c r="M2297" s="43" t="s">
        <v>24</v>
      </c>
      <c r="N2297" s="44">
        <v>8</v>
      </c>
      <c r="O2297" s="43" t="s">
        <v>40</v>
      </c>
      <c r="P2297" s="43" t="s">
        <v>41</v>
      </c>
      <c r="Q2297" s="43" t="s">
        <v>42</v>
      </c>
      <c r="R2297" s="43" t="s">
        <v>364</v>
      </c>
      <c r="S2297" s="43"/>
    </row>
    <row r="2298" spans="1:19" s="45" customFormat="1" ht="14.4" hidden="1">
      <c r="A2298" s="25">
        <f>IF(C2298="","",MAX($A$1:A2297)+1)</f>
        <v>2150</v>
      </c>
      <c r="B2298" s="25" t="s">
        <v>19</v>
      </c>
      <c r="C2298" s="41">
        <v>46100</v>
      </c>
      <c r="D2298" s="48" t="str">
        <f>_xlfn.XLOOKUP(Table134526_79101120212223242526[[#This Row],[Name Surname]],Manpower!$C$4:$C$1048576,Manpower!$B$4:$B$1048576,"")</f>
        <v>Encogroup</v>
      </c>
      <c r="E2298" s="43" t="s">
        <v>30</v>
      </c>
      <c r="F2298" s="12">
        <f>_xlfn.XLOOKUP(Table134526_79101120212223242526[[#This Row],[Name Surname]],Manpower!C:C,Manpower!D:D,)</f>
        <v>116589569</v>
      </c>
      <c r="G2298" s="48" t="str">
        <f>_xlfn.XLOOKUP(Table134526_79101120212223242526[[#This Row],[Name Surname]],Manpower!$C$4:$C$1048576,Manpower!$F$4:$F$1048576,"")</f>
        <v>Mechanical Engineer</v>
      </c>
      <c r="H2298" s="48" t="str">
        <f>_xlfn.XLOOKUP(Table134526_79101120212223242526[[#This Row],[Name Surname]],Manpower!$C$4:$C$1048576,Manpower!$H$4:$H$1048576,"")</f>
        <v>Manpower</v>
      </c>
      <c r="I2298" s="48" t="str">
        <f>_xlfn.XLOOKUP(Table134526_79101120212223242526[[#This Row],[Name Surname]],Manpower!$C$4:$C$1048576,Manpower!$H$4:$H$1048576,"")</f>
        <v>Manpower</v>
      </c>
      <c r="J2298" s="43" t="s">
        <v>21</v>
      </c>
      <c r="K2298" s="43" t="s">
        <v>144</v>
      </c>
      <c r="L2298" s="43" t="s">
        <v>49</v>
      </c>
      <c r="M2298" s="43" t="s">
        <v>24</v>
      </c>
      <c r="N2298" s="44">
        <v>10</v>
      </c>
      <c r="O2298" s="43" t="s">
        <v>25</v>
      </c>
      <c r="P2298" s="43" t="s">
        <v>41</v>
      </c>
      <c r="Q2298" s="43" t="s">
        <v>60</v>
      </c>
      <c r="R2298" s="43" t="s">
        <v>364</v>
      </c>
      <c r="S2298" s="43"/>
    </row>
    <row r="2299" spans="1:19" s="45" customFormat="1" ht="14.4" hidden="1">
      <c r="A2299" s="25">
        <f>IF(C2299="","",MAX($A$1:A2298)+1)</f>
        <v>2151</v>
      </c>
      <c r="B2299" s="25" t="s">
        <v>19</v>
      </c>
      <c r="C2299" s="41">
        <v>46100</v>
      </c>
      <c r="D2299" s="48" t="str">
        <f>_xlfn.XLOOKUP(Table134526_79101120212223242526[[#This Row],[Name Surname]],Manpower!$C$4:$C$1048576,Manpower!$B$4:$B$1048576,"")</f>
        <v>Al Jaber Heavy Lift</v>
      </c>
      <c r="E2299" s="43" t="s">
        <v>275</v>
      </c>
      <c r="F2299" s="12">
        <f>_xlfn.XLOOKUP(Table134526_79101120212223242526[[#This Row],[Name Surname]],Manpower!C:C,Manpower!D:D,)</f>
        <v>116448869</v>
      </c>
      <c r="G2299" s="48" t="str">
        <f>_xlfn.XLOOKUP(Table134526_79101120212223242526[[#This Row],[Name Surname]],Manpower!$C$4:$C$1048576,Manpower!$F$4:$F$1048576,"")</f>
        <v xml:space="preserve">Crane Operator </v>
      </c>
      <c r="H2299" s="48" t="s">
        <v>39</v>
      </c>
      <c r="I2299" s="48" t="s">
        <v>39</v>
      </c>
      <c r="J2299" s="43" t="s">
        <v>21</v>
      </c>
      <c r="K2299" s="43" t="s">
        <v>144</v>
      </c>
      <c r="L2299" s="43" t="s">
        <v>49</v>
      </c>
      <c r="M2299" s="43" t="s">
        <v>24</v>
      </c>
      <c r="N2299" s="44">
        <v>8</v>
      </c>
      <c r="O2299" s="43" t="s">
        <v>40</v>
      </c>
      <c r="P2299" s="43" t="s">
        <v>41</v>
      </c>
      <c r="Q2299" s="43" t="s">
        <v>42</v>
      </c>
      <c r="R2299" s="43" t="s">
        <v>364</v>
      </c>
      <c r="S2299" s="43"/>
    </row>
    <row r="2300" spans="1:19" s="45" customFormat="1" ht="14.4" hidden="1">
      <c r="A2300" s="25">
        <f>IF(C2300="","",MAX($A$1:A2299)+1)</f>
        <v>2152</v>
      </c>
      <c r="B2300" s="25" t="s">
        <v>19</v>
      </c>
      <c r="C2300" s="41">
        <v>46100</v>
      </c>
      <c r="D2300" s="48" t="str">
        <f>_xlfn.XLOOKUP(Table134526_79101120212223242526[[#This Row],[Name Surname]],Manpower!$C$4:$C$1048576,Manpower!$B$4:$B$1048576,"")</f>
        <v>Al Jaber Heavy Lift</v>
      </c>
      <c r="E2300" s="43" t="s">
        <v>164</v>
      </c>
      <c r="F2300" s="12">
        <f>_xlfn.XLOOKUP(Table134526_79101120212223242526[[#This Row],[Name Surname]],Manpower!C:C,Manpower!D:D,)</f>
        <v>112778626</v>
      </c>
      <c r="G2300" s="48" t="str">
        <f>_xlfn.XLOOKUP(Table134526_79101120212223242526[[#This Row],[Name Surname]],Manpower!$C$4:$C$1048576,Manpower!$F$4:$F$1048576,"")</f>
        <v>Crane Operator-150T Hitachi Crawler</v>
      </c>
      <c r="H2300" s="48" t="str">
        <f>_xlfn.XLOOKUP(Table134526_79101120212223242526[[#This Row],[Name Surname]],Manpower!$C$4:$C$1048576,Manpower!$H$4:$H$1048576,"")</f>
        <v>Manpower</v>
      </c>
      <c r="I2300" s="48" t="str">
        <f>_xlfn.XLOOKUP(Table134526_79101120212223242526[[#This Row],[Name Surname]],Manpower!$C$4:$C$1048576,Manpower!$H$4:$H$1048576,"")</f>
        <v>Manpower</v>
      </c>
      <c r="J2300" s="43" t="s">
        <v>21</v>
      </c>
      <c r="K2300" s="43" t="s">
        <v>144</v>
      </c>
      <c r="L2300" s="43" t="s">
        <v>49</v>
      </c>
      <c r="M2300" s="43" t="s">
        <v>24</v>
      </c>
      <c r="N2300" s="44">
        <v>4</v>
      </c>
      <c r="O2300" s="43" t="s">
        <v>40</v>
      </c>
      <c r="P2300" s="43" t="s">
        <v>41</v>
      </c>
      <c r="Q2300" s="43" t="s">
        <v>42</v>
      </c>
      <c r="R2300" s="43" t="s">
        <v>364</v>
      </c>
      <c r="S2300" s="43"/>
    </row>
    <row r="2301" spans="1:19" s="45" customFormat="1" ht="14.4" hidden="1">
      <c r="A2301" s="25">
        <f>IF(C2301="","",MAX($A$1:A2299)+1)</f>
        <v>2152</v>
      </c>
      <c r="B2301" s="25" t="s">
        <v>19</v>
      </c>
      <c r="C2301" s="41">
        <v>46100</v>
      </c>
      <c r="D2301" s="48" t="str">
        <f>_xlfn.XLOOKUP(Table134526_79101120212223242526[[#This Row],[Name Surname]],Manpower!$C$4:$C$1048576,Manpower!$B$4:$B$1048576,"")</f>
        <v>Bright Light</v>
      </c>
      <c r="E2301" s="43" t="s">
        <v>165</v>
      </c>
      <c r="F2301" s="12">
        <f>_xlfn.XLOOKUP(Table134526_79101120212223242526[[#This Row],[Name Surname]],Manpower!C:C,Manpower!D:D,)</f>
        <v>122771611</v>
      </c>
      <c r="G2301" s="48" t="str">
        <f>_xlfn.XLOOKUP(Table134526_79101120212223242526[[#This Row],[Name Surname]],Manpower!$C$4:$C$1048576,Manpower!$F$4:$F$1048576,"")</f>
        <v>Mechanic</v>
      </c>
      <c r="H2301" s="48" t="str">
        <f>_xlfn.XLOOKUP(Table134526_79101120212223242526[[#This Row],[Name Surname]],Manpower!$C$4:$C$1048576,Manpower!$H$4:$H$1048576,"")</f>
        <v>Sub Contactor</v>
      </c>
      <c r="I2301" s="48" t="str">
        <f>_xlfn.XLOOKUP(Table134526_79101120212223242526[[#This Row],[Name Surname]],Manpower!$C$4:$C$1048576,Manpower!$H$4:$H$1048576,"")</f>
        <v>Sub Contactor</v>
      </c>
      <c r="J2301" s="43" t="s">
        <v>21</v>
      </c>
      <c r="K2301" s="43" t="s">
        <v>144</v>
      </c>
      <c r="L2301" s="43" t="s">
        <v>49</v>
      </c>
      <c r="M2301" s="43" t="s">
        <v>24</v>
      </c>
      <c r="N2301" s="44">
        <v>8</v>
      </c>
      <c r="O2301" s="43" t="s">
        <v>40</v>
      </c>
      <c r="P2301" s="43" t="s">
        <v>41</v>
      </c>
      <c r="Q2301" s="43" t="s">
        <v>42</v>
      </c>
      <c r="R2301" s="43" t="s">
        <v>364</v>
      </c>
      <c r="S2301" s="43"/>
    </row>
    <row r="2302" spans="1:19" s="45" customFormat="1" ht="14.4" hidden="1">
      <c r="A2302" s="25">
        <f>IF(C2302="","",MAX($A$1:A2299)+1)</f>
        <v>2152</v>
      </c>
      <c r="B2302" s="25" t="s">
        <v>19</v>
      </c>
      <c r="C2302" s="41">
        <v>46100</v>
      </c>
      <c r="D2302" s="48" t="str">
        <f>_xlfn.XLOOKUP(Table134526_79101120212223242526[[#This Row],[Name Surname]],Manpower!$C$4:$C$1048576,Manpower!$B$4:$B$1048576,"")</f>
        <v>Al Jaber Heavy Lift</v>
      </c>
      <c r="E2302" s="43" t="s">
        <v>276</v>
      </c>
      <c r="F2302" s="12" t="str">
        <f>_xlfn.XLOOKUP(Table134526_79101120212223242526[[#This Row],[Name Surname]],Manpower!C:C,Manpower!D:D,)</f>
        <v>102607563</v>
      </c>
      <c r="G2302" s="48" t="str">
        <f>_xlfn.XLOOKUP(Table134526_79101120212223242526[[#This Row],[Name Surname]],Manpower!$C$4:$C$1048576,Manpower!$F$4:$F$1048576,"")</f>
        <v>Technician</v>
      </c>
      <c r="H2302" s="48" t="str">
        <f>_xlfn.XLOOKUP(Table134526_79101120212223242526[[#This Row],[Name Surname]],Manpower!$C$4:$C$1048576,Manpower!$H$4:$H$1048576,"")</f>
        <v>Manpower</v>
      </c>
      <c r="I2302" s="48" t="str">
        <f>_xlfn.XLOOKUP(Table134526_79101120212223242526[[#This Row],[Name Surname]],Manpower!$C$4:$C$1048576,Manpower!$H$4:$H$1048576,"")</f>
        <v>Manpower</v>
      </c>
      <c r="J2302" s="43" t="s">
        <v>21</v>
      </c>
      <c r="K2302" s="43" t="s">
        <v>144</v>
      </c>
      <c r="L2302" s="43" t="s">
        <v>49</v>
      </c>
      <c r="M2302" s="43" t="s">
        <v>24</v>
      </c>
      <c r="N2302" s="44">
        <v>8</v>
      </c>
      <c r="O2302" s="43" t="s">
        <v>40</v>
      </c>
      <c r="P2302" s="43" t="s">
        <v>41</v>
      </c>
      <c r="Q2302" s="43" t="s">
        <v>42</v>
      </c>
      <c r="R2302" s="43" t="s">
        <v>364</v>
      </c>
      <c r="S2302" s="43"/>
    </row>
    <row r="2303" spans="1:19" s="45" customFormat="1" ht="14.4" hidden="1">
      <c r="A2303" s="25">
        <f>IF(C2303="","",MAX($A$1:A2299)+1)</f>
        <v>2152</v>
      </c>
      <c r="B2303" s="25" t="s">
        <v>19</v>
      </c>
      <c r="C2303" s="41">
        <v>46100</v>
      </c>
      <c r="D2303" s="48" t="str">
        <f>_xlfn.XLOOKUP(Table134526_79101120212223242526[[#This Row],[Name Surname]],Manpower!$C$4:$C$1048576,Manpower!$B$4:$B$1048576,"")</f>
        <v>Al Jaber Heavy Lift</v>
      </c>
      <c r="E2303" s="43" t="s">
        <v>311</v>
      </c>
      <c r="F2303" s="12" t="e">
        <f>_xlfn.XLOOKUP(Table134526_79101120212223242526[[#This Row],[Name Surname]],Manpower!C:C,Manpower!D:D,)</f>
        <v>#N/A</v>
      </c>
      <c r="G2303" s="48" t="str">
        <f>_xlfn.XLOOKUP(Table134526_79101120212223242526[[#This Row],[Name Surname]],Manpower!$C$4:$C$1048576,Manpower!$F$4:$F$1048576,"")</f>
        <v>Technician</v>
      </c>
      <c r="H2303" s="48" t="str">
        <f>_xlfn.XLOOKUP(Table134526_79101120212223242526[[#This Row],[Name Surname]],Manpower!$C$4:$C$1048576,Manpower!$H$4:$H$1048576,"")</f>
        <v>Manpower</v>
      </c>
      <c r="I2303" s="48" t="str">
        <f>_xlfn.XLOOKUP(Table134526_79101120212223242526[[#This Row],[Name Surname]],Manpower!$C$4:$C$1048576,Manpower!$H$4:$H$1048576,"")</f>
        <v>Manpower</v>
      </c>
      <c r="J2303" s="43" t="s">
        <v>21</v>
      </c>
      <c r="K2303" s="43" t="s">
        <v>144</v>
      </c>
      <c r="L2303" s="43" t="s">
        <v>49</v>
      </c>
      <c r="M2303" s="43" t="s">
        <v>24</v>
      </c>
      <c r="N2303" s="44">
        <v>8</v>
      </c>
      <c r="O2303" s="43" t="s">
        <v>40</v>
      </c>
      <c r="P2303" s="43" t="s">
        <v>41</v>
      </c>
      <c r="Q2303" s="43" t="s">
        <v>42</v>
      </c>
      <c r="R2303" s="43" t="s">
        <v>364</v>
      </c>
      <c r="S2303" s="43"/>
    </row>
    <row r="2304" spans="1:19" s="45" customFormat="1" ht="14.4" hidden="1">
      <c r="A2304" s="25">
        <f>IF(C2304="","",MAX($A$1:A2299)+1)</f>
        <v>2152</v>
      </c>
      <c r="B2304" s="25" t="s">
        <v>19</v>
      </c>
      <c r="C2304" s="41">
        <v>46100</v>
      </c>
      <c r="D2304" s="48" t="str">
        <f>_xlfn.XLOOKUP(Table134526_79101120212223242526[[#This Row],[Name Surname]],Manpower!$C$4:$C$1048576,Manpower!$B$4:$B$1048576,"")</f>
        <v>Encogroup</v>
      </c>
      <c r="E2304" s="43" t="s">
        <v>29</v>
      </c>
      <c r="F2304" s="12">
        <f>_xlfn.XLOOKUP(Table134526_79101120212223242526[[#This Row],[Name Surname]],Manpower!C:C,Manpower!D:D,)</f>
        <v>127331574</v>
      </c>
      <c r="G2304" s="48" t="str">
        <f>_xlfn.XLOOKUP(Table134526_79101120212223242526[[#This Row],[Name Surname]],Manpower!$C$4:$C$1048576,Manpower!$F$4:$F$1048576,"")</f>
        <v>Permit Receiver</v>
      </c>
      <c r="H2304" s="48" t="str">
        <f>_xlfn.XLOOKUP(Table134526_79101120212223242526[[#This Row],[Name Surname]],Manpower!$C$4:$C$1048576,Manpower!$H$4:$H$1048576,"")</f>
        <v>Manpower</v>
      </c>
      <c r="I2304" s="48" t="str">
        <f>_xlfn.XLOOKUP(Table134526_79101120212223242526[[#This Row],[Name Surname]],Manpower!$C$4:$C$1048576,Manpower!$H$4:$H$1048576,"")</f>
        <v>Manpower</v>
      </c>
      <c r="J2304" s="43" t="s">
        <v>21</v>
      </c>
      <c r="K2304" s="43" t="s">
        <v>144</v>
      </c>
      <c r="L2304" s="43" t="s">
        <v>49</v>
      </c>
      <c r="M2304" s="43" t="s">
        <v>24</v>
      </c>
      <c r="N2304" s="44">
        <v>8</v>
      </c>
      <c r="O2304" s="43" t="s">
        <v>25</v>
      </c>
      <c r="P2304" s="43" t="s">
        <v>41</v>
      </c>
      <c r="Q2304" s="43" t="s">
        <v>60</v>
      </c>
      <c r="R2304" s="43" t="s">
        <v>364</v>
      </c>
      <c r="S2304" s="43"/>
    </row>
    <row r="2305" spans="1:19" ht="14.4" hidden="1">
      <c r="A2305" s="33">
        <f>IF(C2305="","",MAX($A$1:A2304)+1)</f>
        <v>2153</v>
      </c>
      <c r="B2305" s="22" t="s">
        <v>19</v>
      </c>
      <c r="C2305" s="23">
        <v>46100</v>
      </c>
      <c r="D2305" s="28" t="str">
        <f>_xlfn.XLOOKUP(Table134526_79101120212223242526[[#This Row],[Name Surname]],Manpower!$C$4:$C$1048576,Manpower!$B$4:$B$1048576,"")</f>
        <v>Encogroup</v>
      </c>
      <c r="E2305" s="21" t="s">
        <v>31</v>
      </c>
      <c r="F2305" s="12">
        <f>_xlfn.XLOOKUP(Table134526_79101120212223242526[[#This Row],[Name Surname]],Manpower!C:C,Manpower!D:D,)</f>
        <v>99596058</v>
      </c>
      <c r="G2305" s="28" t="str">
        <f>_xlfn.XLOOKUP(Table134526_79101120212223242526[[#This Row],[Name Surname]],Manpower!$C$4:$C$1048576,Manpower!$F$4:$F$1048576,"")</f>
        <v>HSE Officer</v>
      </c>
      <c r="H2305" s="28" t="str">
        <f>_xlfn.XLOOKUP(Table134526_79101120212223242526[[#This Row],[Name Surname]],Manpower!$C$4:$C$1048576,Manpower!$H$4:$H$1048576,"")</f>
        <v>Manpower</v>
      </c>
      <c r="I2305" s="28" t="str">
        <f>_xlfn.XLOOKUP(Table134526_79101120212223242526[[#This Row],[Name Surname]],Manpower!$C$4:$C$1048576,Manpower!$H$4:$H$1048576,"")</f>
        <v>Manpower</v>
      </c>
      <c r="J2305" s="21" t="s">
        <v>21</v>
      </c>
      <c r="K2305" s="21" t="s">
        <v>144</v>
      </c>
      <c r="L2305" s="21" t="s">
        <v>49</v>
      </c>
      <c r="M2305" s="21" t="s">
        <v>24</v>
      </c>
      <c r="N2305" s="29">
        <v>10</v>
      </c>
      <c r="O2305" s="21" t="s">
        <v>25</v>
      </c>
      <c r="P2305" s="21" t="s">
        <v>41</v>
      </c>
      <c r="Q2305" s="21" t="s">
        <v>60</v>
      </c>
      <c r="R2305" s="21" t="s">
        <v>364</v>
      </c>
    </row>
    <row r="2306" spans="1:19" s="45" customFormat="1" ht="14.4" hidden="1">
      <c r="A2306" s="25">
        <f>IF(C2306="","",MAX($A$1:A2305)+1)</f>
        <v>2154</v>
      </c>
      <c r="B2306" s="25" t="s">
        <v>19</v>
      </c>
      <c r="C2306" s="41">
        <v>46100</v>
      </c>
      <c r="D2306" s="48" t="str">
        <f>_xlfn.XLOOKUP(Table134526_79101120212223242526[[#This Row],[Name Surname]],Manpower!$C$4:$C$1048576,Manpower!$B$4:$B$1048576,"")</f>
        <v>Encogroup</v>
      </c>
      <c r="E2306" s="43" t="s">
        <v>72</v>
      </c>
      <c r="F2306" s="12">
        <f>_xlfn.XLOOKUP(Table134526_79101120212223242526[[#This Row],[Name Surname]],Manpower!C:C,Manpower!D:D,)</f>
        <v>140764706</v>
      </c>
      <c r="G2306" s="48" t="str">
        <f>_xlfn.XLOOKUP(Table134526_79101120212223242526[[#This Row],[Name Surname]],Manpower!$C$4:$C$1048576,Manpower!$F$4:$F$1048576,"")</f>
        <v>Rigger</v>
      </c>
      <c r="H2306" s="48" t="str">
        <f>_xlfn.XLOOKUP(Table134526_79101120212223242526[[#This Row],[Name Surname]],Manpower!$C$4:$C$1048576,Manpower!$H$4:$H$1048576,"")</f>
        <v>Manpower</v>
      </c>
      <c r="I2306" s="48" t="str">
        <f>_xlfn.XLOOKUP(Table134526_79101120212223242526[[#This Row],[Name Surname]],Manpower!$C$4:$C$1048576,Manpower!$H$4:$H$1048576,"")</f>
        <v>Manpower</v>
      </c>
      <c r="J2306" s="43" t="s">
        <v>21</v>
      </c>
      <c r="K2306" s="43" t="s">
        <v>144</v>
      </c>
      <c r="L2306" s="43" t="s">
        <v>49</v>
      </c>
      <c r="M2306" s="43" t="s">
        <v>24</v>
      </c>
      <c r="N2306" s="44">
        <v>5</v>
      </c>
      <c r="O2306" s="43" t="s">
        <v>25</v>
      </c>
      <c r="P2306" s="43" t="s">
        <v>41</v>
      </c>
      <c r="Q2306" s="43" t="s">
        <v>60</v>
      </c>
      <c r="R2306" s="43" t="s">
        <v>364</v>
      </c>
      <c r="S2306" s="43"/>
    </row>
    <row r="2307" spans="1:19" s="45" customFormat="1" ht="15" hidden="1" customHeight="1">
      <c r="A2307" s="25">
        <f>IF(C2307="","",MAX($A$1:A2306)+1)</f>
        <v>2155</v>
      </c>
      <c r="B2307" s="25" t="s">
        <v>19</v>
      </c>
      <c r="C2307" s="41">
        <v>46100</v>
      </c>
      <c r="D2307" s="48" t="str">
        <f>_xlfn.XLOOKUP(Table134526_79101120212223242526[[#This Row],[Name Surname]],Manpower!$C$4:$C$1048576,Manpower!$B$4:$B$1048576,"")</f>
        <v>Encogroup</v>
      </c>
      <c r="E2307" s="43" t="s">
        <v>27</v>
      </c>
      <c r="F2307" s="12">
        <f>_xlfn.XLOOKUP(Table134526_79101120212223242526[[#This Row],[Name Surname]],Manpower!C:C,Manpower!D:D,)</f>
        <v>127414586</v>
      </c>
      <c r="G2307" s="48" t="str">
        <f>_xlfn.XLOOKUP(Table134526_79101120212223242526[[#This Row],[Name Surname]],Manpower!$C$4:$C$1048576,Manpower!$F$4:$F$1048576,"")</f>
        <v>Electrician</v>
      </c>
      <c r="H2307" s="48" t="str">
        <f>_xlfn.XLOOKUP(Table134526_79101120212223242526[[#This Row],[Name Surname]],Manpower!$C$4:$C$1048576,Manpower!$H$4:$H$1048576,"")</f>
        <v>Manpower</v>
      </c>
      <c r="I2307" s="48" t="str">
        <f>_xlfn.XLOOKUP(Table134526_79101120212223242526[[#This Row],[Name Surname]],Manpower!$C$4:$C$1048576,Manpower!$H$4:$H$1048576,"")</f>
        <v>Manpower</v>
      </c>
      <c r="J2307" s="43" t="s">
        <v>21</v>
      </c>
      <c r="K2307" s="43" t="s">
        <v>144</v>
      </c>
      <c r="L2307" s="43" t="s">
        <v>49</v>
      </c>
      <c r="M2307" s="43" t="s">
        <v>24</v>
      </c>
      <c r="N2307" s="44">
        <v>5</v>
      </c>
      <c r="O2307" s="43" t="s">
        <v>28</v>
      </c>
      <c r="P2307" s="43" t="s">
        <v>41</v>
      </c>
      <c r="Q2307" s="43" t="s">
        <v>58</v>
      </c>
      <c r="R2307" s="43" t="s">
        <v>364</v>
      </c>
      <c r="S2307" s="43"/>
    </row>
    <row r="2308" spans="1:19" s="45" customFormat="1" ht="15" hidden="1" customHeight="1">
      <c r="A2308" s="25">
        <f>IF(C2308="","",MAX($A$1:A2307)+1)</f>
        <v>2156</v>
      </c>
      <c r="B2308" s="25" t="s">
        <v>19</v>
      </c>
      <c r="C2308" s="41">
        <v>46100</v>
      </c>
      <c r="D2308" s="48" t="str">
        <f>_xlfn.XLOOKUP(Table134526_79101120212223242526[[#This Row],[Name Surname]],Manpower!$C$4:$C$1048576,Manpower!$B$4:$B$1048576,"")</f>
        <v>Encogroup</v>
      </c>
      <c r="E2308" s="43" t="s">
        <v>32</v>
      </c>
      <c r="F2308" s="12">
        <f>_xlfn.XLOOKUP(Table134526_79101120212223242526[[#This Row],[Name Surname]],Manpower!C:C,Manpower!D:D,)</f>
        <v>140697039</v>
      </c>
      <c r="G2308" s="48" t="str">
        <f>_xlfn.XLOOKUP(Table134526_79101120212223242526[[#This Row],[Name Surname]],Manpower!$C$4:$C$1048576,Manpower!$F$4:$F$1048576,"")</f>
        <v>Fitter/Erector</v>
      </c>
      <c r="H2308" s="48" t="str">
        <f>_xlfn.XLOOKUP(Table134526_79101120212223242526[[#This Row],[Name Surname]],Manpower!$C$4:$C$1048576,Manpower!$H$4:$H$1048576,"")</f>
        <v>Manpower</v>
      </c>
      <c r="I2308" s="48" t="str">
        <f>_xlfn.XLOOKUP(Table134526_79101120212223242526[[#This Row],[Name Surname]],Manpower!$C$4:$C$1048576,Manpower!$H$4:$H$1048576,"")</f>
        <v>Manpower</v>
      </c>
      <c r="J2308" s="43" t="s">
        <v>21</v>
      </c>
      <c r="K2308" s="43" t="s">
        <v>144</v>
      </c>
      <c r="L2308" s="43" t="s">
        <v>49</v>
      </c>
      <c r="M2308" s="43" t="s">
        <v>24</v>
      </c>
      <c r="N2308" s="44">
        <v>5</v>
      </c>
      <c r="O2308" s="43" t="s">
        <v>25</v>
      </c>
      <c r="P2308" s="43" t="s">
        <v>41</v>
      </c>
      <c r="Q2308" s="43" t="s">
        <v>60</v>
      </c>
      <c r="R2308" s="43" t="s">
        <v>364</v>
      </c>
      <c r="S2308" s="43" t="s">
        <v>274</v>
      </c>
    </row>
    <row r="2309" spans="1:19" s="45" customFormat="1" ht="14.4" hidden="1">
      <c r="A2309" s="25">
        <f>IF(C2309="","",MAX($A$1:A2308)+1)</f>
        <v>2157</v>
      </c>
      <c r="B2309" s="25" t="s">
        <v>19</v>
      </c>
      <c r="C2309" s="41">
        <v>46100</v>
      </c>
      <c r="D2309" s="48" t="str">
        <f>_xlfn.XLOOKUP(Table134526_79101120212223242526[[#This Row],[Name Surname]],Manpower!$C$4:$C$1048576,Manpower!$B$4:$B$1048576,"")</f>
        <v>Encogroup</v>
      </c>
      <c r="E2309" s="43" t="s">
        <v>46</v>
      </c>
      <c r="F2309" s="12">
        <f>_xlfn.XLOOKUP(Table134526_79101120212223242526[[#This Row],[Name Surname]],Manpower!C:C,Manpower!D:D,)</f>
        <v>140844618</v>
      </c>
      <c r="G2309" s="48" t="str">
        <f>_xlfn.XLOOKUP(Table134526_79101120212223242526[[#This Row],[Name Surname]],Manpower!$C$4:$C$1048576,Manpower!$F$4:$F$1048576,"")</f>
        <v>Assistant/Helper</v>
      </c>
      <c r="H2309" s="48" t="str">
        <f>_xlfn.XLOOKUP(Table134526_79101120212223242526[[#This Row],[Name Surname]],Manpower!$C$4:$C$1048576,Manpower!$H$4:$H$1048576,"")</f>
        <v>Manpower</v>
      </c>
      <c r="I2309" s="48" t="str">
        <f>_xlfn.XLOOKUP(Table134526_79101120212223242526[[#This Row],[Name Surname]],Manpower!$C$4:$C$1048576,Manpower!$H$4:$H$1048576,"")</f>
        <v>Manpower</v>
      </c>
      <c r="J2309" s="43" t="s">
        <v>21</v>
      </c>
      <c r="K2309" s="43" t="s">
        <v>144</v>
      </c>
      <c r="L2309" s="43" t="s">
        <v>49</v>
      </c>
      <c r="M2309" s="43" t="s">
        <v>24</v>
      </c>
      <c r="N2309" s="44">
        <v>5</v>
      </c>
      <c r="O2309" s="43" t="s">
        <v>25</v>
      </c>
      <c r="P2309" s="43" t="s">
        <v>41</v>
      </c>
      <c r="Q2309" s="43" t="s">
        <v>60</v>
      </c>
      <c r="R2309" s="43" t="s">
        <v>364</v>
      </c>
      <c r="S2309" s="43"/>
    </row>
    <row r="2310" spans="1:19" s="45" customFormat="1" ht="14.4" hidden="1">
      <c r="A2310" s="25">
        <f>IF(C2310="","",MAX($A$1:A2309)+1)</f>
        <v>2158</v>
      </c>
      <c r="B2310" s="25" t="s">
        <v>19</v>
      </c>
      <c r="C2310" s="41">
        <v>46100</v>
      </c>
      <c r="D2310" s="48" t="str">
        <f>_xlfn.XLOOKUP(Table134526_79101120212223242526[[#This Row],[Name Surname]],Manpower!$C$4:$C$1048576,Manpower!$B$4:$B$1048576,"")</f>
        <v>AL Omar International TRAD AND CONT</v>
      </c>
      <c r="E2310" s="43" t="s">
        <v>36</v>
      </c>
      <c r="F2310" s="12">
        <f>_xlfn.XLOOKUP(Table134526_79101120212223242526[[#This Row],[Name Surname]],Manpower!C:C,Manpower!D:D,)</f>
        <v>114929202</v>
      </c>
      <c r="G2310" s="48" t="str">
        <f>_xlfn.XLOOKUP(Table134526_79101120212223242526[[#This Row],[Name Surname]],Manpower!$C$4:$C$1048576,Manpower!$F$4:$F$1048576,"")</f>
        <v>RIgger</v>
      </c>
      <c r="H2310" s="48" t="str">
        <f>_xlfn.XLOOKUP(Table134526_79101120212223242526[[#This Row],[Name Surname]],Manpower!$C$4:$C$1048576,Manpower!$H$4:$H$1048576,"")</f>
        <v>Sub Contactor</v>
      </c>
      <c r="I2310" s="48" t="str">
        <f>_xlfn.XLOOKUP(Table134526_79101120212223242526[[#This Row],[Name Surname]],Manpower!$C$4:$C$1048576,Manpower!$H$4:$H$1048576,"")</f>
        <v>Sub Contactor</v>
      </c>
      <c r="J2310" s="43" t="s">
        <v>21</v>
      </c>
      <c r="K2310" s="43" t="s">
        <v>144</v>
      </c>
      <c r="L2310" s="43" t="s">
        <v>49</v>
      </c>
      <c r="M2310" s="43" t="s">
        <v>24</v>
      </c>
      <c r="N2310" s="44">
        <v>5</v>
      </c>
      <c r="O2310" s="43" t="s">
        <v>25</v>
      </c>
      <c r="P2310" s="43" t="s">
        <v>41</v>
      </c>
      <c r="Q2310" s="43" t="s">
        <v>60</v>
      </c>
      <c r="R2310" s="43" t="s">
        <v>364</v>
      </c>
      <c r="S2310" s="43"/>
    </row>
    <row r="2311" spans="1:19" s="45" customFormat="1" ht="14.4" hidden="1">
      <c r="A2311" s="25">
        <f>IF(C2311="","",MAX($A$1:A2310)+1)</f>
        <v>2159</v>
      </c>
      <c r="B2311" s="25" t="s">
        <v>19</v>
      </c>
      <c r="C2311" s="41">
        <v>46100</v>
      </c>
      <c r="D2311" s="48" t="str">
        <f>_xlfn.XLOOKUP(Table134526_79101120212223242526[[#This Row],[Name Surname]],Manpower!$C$4:$C$1048576,Manpower!$B$4:$B$1048576,"")</f>
        <v>Encogroup</v>
      </c>
      <c r="E2311" s="43" t="s">
        <v>37</v>
      </c>
      <c r="F2311" s="12">
        <f>_xlfn.XLOOKUP(Table134526_79101120212223242526[[#This Row],[Name Surname]],Manpower!C:C,Manpower!D:D,)</f>
        <v>140742088</v>
      </c>
      <c r="G2311" s="48" t="str">
        <f>_xlfn.XLOOKUP(Table134526_79101120212223242526[[#This Row],[Name Surname]],Manpower!$C$4:$C$1048576,Manpower!$F$4:$F$1048576,"")</f>
        <v>Fitter/Erector</v>
      </c>
      <c r="H2311" s="48" t="str">
        <f>_xlfn.XLOOKUP(Table134526_79101120212223242526[[#This Row],[Name Surname]],Manpower!$C$4:$C$1048576,Manpower!$H$4:$H$1048576,"")</f>
        <v>Manpower</v>
      </c>
      <c r="I2311" s="48" t="str">
        <f>_xlfn.XLOOKUP(Table134526_79101120212223242526[[#This Row],[Name Surname]],Manpower!$C$4:$C$1048576,Manpower!$H$4:$H$1048576,"")</f>
        <v>Manpower</v>
      </c>
      <c r="J2311" s="43" t="s">
        <v>21</v>
      </c>
      <c r="K2311" s="43" t="s">
        <v>144</v>
      </c>
      <c r="L2311" s="43" t="s">
        <v>49</v>
      </c>
      <c r="M2311" s="43" t="s">
        <v>24</v>
      </c>
      <c r="N2311" s="44">
        <v>5</v>
      </c>
      <c r="O2311" s="43" t="s">
        <v>25</v>
      </c>
      <c r="P2311" s="43" t="s">
        <v>41</v>
      </c>
      <c r="Q2311" s="43" t="s">
        <v>60</v>
      </c>
      <c r="R2311" s="43" t="s">
        <v>364</v>
      </c>
      <c r="S2311" s="43"/>
    </row>
    <row r="2312" spans="1:19" ht="16.95" customHeight="1">
      <c r="A2312" s="33">
        <f>IF(C2312="","",MAX($A$1:A2311)+1)</f>
        <v>2160</v>
      </c>
      <c r="B2312" s="25" t="s">
        <v>19</v>
      </c>
      <c r="C2312" s="23">
        <v>46100</v>
      </c>
      <c r="D2312" s="28" t="str">
        <f>_xlfn.XLOOKUP(Table134526_79101120212223242526[[#This Row],[Name Surname]],Manpower!$C$4:$C$1048576,Manpower!$B$4:$B$1048576,"")</f>
        <v>Bright Light</v>
      </c>
      <c r="E2312" s="23" t="s">
        <v>47</v>
      </c>
      <c r="F2312" s="12" t="e">
        <f>_xlfn.XLOOKUP(Table134526_79101120212223242526[[#This Row],[Name Surname]],Manpower!C:C,Manpower!D:D,)</f>
        <v>#N/A</v>
      </c>
      <c r="G2312" s="28" t="str">
        <f>_xlfn.XLOOKUP(Table134526_79101120212223242526[[#This Row],[Name Surname]],Manpower!$C$4:$C$1048576,Manpower!$F$4:$F$1048576,"")</f>
        <v>100T Telescopic Crane</v>
      </c>
      <c r="H2312" s="28" t="str">
        <f>_xlfn.XLOOKUP(Table134526_79101120212223242526[[#This Row],[Name Surname]],Manpower!$C$4:$C$1048576,Manpower!$H$4:$H$1048576,"")</f>
        <v>Equipment</v>
      </c>
      <c r="I2312" s="28" t="str">
        <f>_xlfn.XLOOKUP(Table134526_79101120212223242526[[#This Row],[Name Surname]],Manpower!$C$4:$C$1048576,Manpower!$H$4:$H$1048576,"")</f>
        <v>Equipment</v>
      </c>
      <c r="J2312" s="21" t="s">
        <v>48</v>
      </c>
      <c r="K2312" s="21" t="s">
        <v>26</v>
      </c>
      <c r="L2312" s="21" t="s">
        <v>49</v>
      </c>
      <c r="M2312" s="21" t="s">
        <v>24</v>
      </c>
      <c r="N2312" s="29">
        <v>10</v>
      </c>
      <c r="O2312" s="21" t="s">
        <v>40</v>
      </c>
      <c r="P2312" s="21" t="s">
        <v>41</v>
      </c>
      <c r="Q2312" s="21" t="s">
        <v>42</v>
      </c>
      <c r="R2312" s="21" t="s">
        <v>365</v>
      </c>
    </row>
    <row r="2313" spans="1:19" ht="14.4">
      <c r="A2313" s="33">
        <f>IF(C2313="","",MAX($A$1:A2312)+1)</f>
        <v>2161</v>
      </c>
      <c r="B2313" s="25" t="s">
        <v>19</v>
      </c>
      <c r="C2313" s="23">
        <v>46100</v>
      </c>
      <c r="D2313" s="28" t="str">
        <f>_xlfn.XLOOKUP(Table134526_79101120212223242526[[#This Row],[Name Surname]],Manpower!$C$4:$C$1048576,Manpower!$B$4:$B$1048576,"")</f>
        <v>Bright Light</v>
      </c>
      <c r="E2313" s="21" t="s">
        <v>51</v>
      </c>
      <c r="F2313" s="12" t="e">
        <f>_xlfn.XLOOKUP(Table134526_79101120212223242526[[#This Row],[Name Surname]],Manpower!C:C,Manpower!D:D,)</f>
        <v>#N/A</v>
      </c>
      <c r="G2313" s="28" t="str">
        <f>_xlfn.XLOOKUP(Table134526_79101120212223242526[[#This Row],[Name Surname]],Manpower!$C$4:$C$1048576,Manpower!$F$4:$F$1048576,"")</f>
        <v>150T-Crawler Crane</v>
      </c>
      <c r="H2313" s="28" t="str">
        <f>_xlfn.XLOOKUP(Table134526_79101120212223242526[[#This Row],[Name Surname]],Manpower!$C$4:$C$1048576,Manpower!$H$4:$H$1048576,"")</f>
        <v>Equipment</v>
      </c>
      <c r="I2313" s="28" t="str">
        <f>_xlfn.XLOOKUP(Table134526_79101120212223242526[[#This Row],[Name Surname]],Manpower!$C$4:$C$1048576,Manpower!$H$4:$H$1048576,"")</f>
        <v>Equipment</v>
      </c>
      <c r="J2313" s="21" t="s">
        <v>48</v>
      </c>
      <c r="K2313" s="21" t="s">
        <v>26</v>
      </c>
      <c r="L2313" s="21" t="s">
        <v>49</v>
      </c>
      <c r="M2313" s="21" t="s">
        <v>24</v>
      </c>
      <c r="N2313" s="29">
        <v>10</v>
      </c>
      <c r="O2313" s="21" t="s">
        <v>40</v>
      </c>
      <c r="P2313" s="21" t="s">
        <v>41</v>
      </c>
      <c r="Q2313" s="21" t="s">
        <v>42</v>
      </c>
      <c r="R2313" s="21" t="s">
        <v>365</v>
      </c>
    </row>
    <row r="2314" spans="1:19" ht="14.4">
      <c r="A2314" s="33">
        <f>IF(C2314="","",MAX($A$1:A2313)+1)</f>
        <v>2162</v>
      </c>
      <c r="B2314" s="25" t="s">
        <v>19</v>
      </c>
      <c r="C2314" s="23">
        <v>46100</v>
      </c>
      <c r="D2314" s="28" t="str">
        <f>_xlfn.XLOOKUP(Table134526_79101120212223242526[[#This Row],[Name Surname]],Manpower!$C$4:$C$1048576,Manpower!$B$4:$B$1048576,"")</f>
        <v>Encogroup</v>
      </c>
      <c r="E2314" s="21" t="s">
        <v>54</v>
      </c>
      <c r="F2314" s="12" t="e">
        <f>_xlfn.XLOOKUP(Table134526_79101120212223242526[[#This Row],[Name Surname]],Manpower!C:C,Manpower!D:D,)</f>
        <v>#N/A</v>
      </c>
      <c r="G2314" s="28" t="str">
        <f>_xlfn.XLOOKUP(Table134526_79101120212223242526[[#This Row],[Name Surname]],Manpower!$C$4:$C$1048576,Manpower!$F$4:$F$1048576,"")</f>
        <v>28M-Manlift</v>
      </c>
      <c r="H2314" s="28" t="str">
        <f>_xlfn.XLOOKUP(Table134526_79101120212223242526[[#This Row],[Name Surname]],Manpower!$C$4:$C$1048576,Manpower!$H$4:$H$1048576,"")</f>
        <v>Equipment</v>
      </c>
      <c r="I2314" s="28" t="str">
        <f>_xlfn.XLOOKUP(Table134526_79101120212223242526[[#This Row],[Name Surname]],Manpower!$C$4:$C$1048576,Manpower!$H$4:$H$1048576,"")</f>
        <v>Equipment</v>
      </c>
      <c r="J2314" s="21" t="s">
        <v>48</v>
      </c>
      <c r="K2314" s="21" t="s">
        <v>26</v>
      </c>
      <c r="L2314" s="21" t="s">
        <v>49</v>
      </c>
      <c r="M2314" s="21" t="s">
        <v>24</v>
      </c>
      <c r="N2314" s="29">
        <v>10</v>
      </c>
      <c r="O2314" s="21" t="s">
        <v>25</v>
      </c>
      <c r="P2314" s="21" t="s">
        <v>41</v>
      </c>
      <c r="Q2314" s="21" t="s">
        <v>60</v>
      </c>
      <c r="R2314" s="21" t="s">
        <v>365</v>
      </c>
    </row>
    <row r="2315" spans="1:19" ht="14.4">
      <c r="A2315" s="33">
        <f>IF(C2315="","",MAX($A$1:A2314)+1)</f>
        <v>2163</v>
      </c>
      <c r="B2315" s="25" t="s">
        <v>19</v>
      </c>
      <c r="C2315" s="23">
        <v>46100</v>
      </c>
      <c r="D2315" s="28" t="str">
        <f>_xlfn.XLOOKUP(Table134526_79101120212223242526[[#This Row],[Name Surname]],Manpower!$C$4:$C$1048576,Manpower!$B$4:$B$1048576,"")</f>
        <v>Encogroup</v>
      </c>
      <c r="E2315" s="21" t="s">
        <v>53</v>
      </c>
      <c r="F2315" s="12" t="e">
        <f>_xlfn.XLOOKUP(Table134526_79101120212223242526[[#This Row],[Name Surname]],Manpower!C:C,Manpower!D:D,)</f>
        <v>#N/A</v>
      </c>
      <c r="G2315" s="28" t="str">
        <f>_xlfn.XLOOKUP(Table134526_79101120212223242526[[#This Row],[Name Surname]],Manpower!$C$4:$C$1048576,Manpower!$F$4:$F$1048576,"")</f>
        <v>22M-Manlift</v>
      </c>
      <c r="H2315" s="28" t="str">
        <f>_xlfn.XLOOKUP(Table134526_79101120212223242526[[#This Row],[Name Surname]],Manpower!$C$4:$C$1048576,Manpower!$H$4:$H$1048576,"")</f>
        <v>Equipment</v>
      </c>
      <c r="I2315" s="28" t="str">
        <f>_xlfn.XLOOKUP(Table134526_79101120212223242526[[#This Row],[Name Surname]],Manpower!$C$4:$C$1048576,Manpower!$H$4:$H$1048576,"")</f>
        <v>Equipment</v>
      </c>
      <c r="J2315" s="21" t="s">
        <v>48</v>
      </c>
      <c r="K2315" s="21" t="s">
        <v>26</v>
      </c>
      <c r="L2315" s="21" t="s">
        <v>49</v>
      </c>
      <c r="M2315" s="21" t="s">
        <v>24</v>
      </c>
      <c r="N2315" s="29">
        <v>10</v>
      </c>
      <c r="O2315" s="21" t="s">
        <v>25</v>
      </c>
      <c r="P2315" s="21" t="s">
        <v>41</v>
      </c>
      <c r="Q2315" s="21" t="s">
        <v>60</v>
      </c>
      <c r="R2315" s="21" t="s">
        <v>365</v>
      </c>
    </row>
    <row r="2316" spans="1:19" ht="14.4" hidden="1">
      <c r="A2316" s="33">
        <f>IF(C2316="","",MAX($A$1:A2315)+1)</f>
        <v>2164</v>
      </c>
      <c r="B2316" s="25" t="s">
        <v>19</v>
      </c>
      <c r="C2316" s="23">
        <v>46100</v>
      </c>
      <c r="D2316" s="28" t="str">
        <f>_xlfn.XLOOKUP(Table134526_79101120212223242526[[#This Row],[Name Surname]],Manpower!$C$4:$C$1048576,Manpower!$B$4:$B$1048576,"")</f>
        <v>Encogroup</v>
      </c>
      <c r="E2316" s="21" t="s">
        <v>57</v>
      </c>
      <c r="F2316" s="12">
        <f>_xlfn.XLOOKUP(Table134526_79101120212223242526[[#This Row],[Name Surname]],Manpower!C:C,Manpower!D:D,)</f>
        <v>140693697</v>
      </c>
      <c r="G2316" s="28" t="str">
        <f>_xlfn.XLOOKUP(Table134526_79101120212223242526[[#This Row],[Name Surname]],Manpower!$C$4:$C$1048576,Manpower!$F$4:$F$1048576,"")</f>
        <v>HSE Officer</v>
      </c>
      <c r="H2316" s="28" t="str">
        <f>_xlfn.XLOOKUP(Table134526_79101120212223242526[[#This Row],[Name Surname]],Manpower!$C$4:$C$1048576,Manpower!$H$4:$H$1048576,"")</f>
        <v>Manpower</v>
      </c>
      <c r="I2316" s="28" t="str">
        <f>_xlfn.XLOOKUP(Table134526_79101120212223242526[[#This Row],[Name Surname]],Manpower!$C$4:$C$1048576,Manpower!$H$4:$H$1048576,"")</f>
        <v>Manpower</v>
      </c>
      <c r="J2316" s="21" t="s">
        <v>48</v>
      </c>
      <c r="K2316" s="21" t="s">
        <v>26</v>
      </c>
      <c r="L2316" s="21" t="s">
        <v>49</v>
      </c>
      <c r="M2316" s="21" t="s">
        <v>24</v>
      </c>
      <c r="N2316" s="29">
        <v>10</v>
      </c>
      <c r="O2316" s="21" t="s">
        <v>25</v>
      </c>
      <c r="P2316" s="21" t="s">
        <v>41</v>
      </c>
      <c r="Q2316" s="21" t="s">
        <v>60</v>
      </c>
      <c r="R2316" s="21" t="s">
        <v>365</v>
      </c>
    </row>
    <row r="2317" spans="1:19" ht="14.4" hidden="1">
      <c r="A2317" s="33">
        <f>IF(C2317="","",MAX($A$1:A2316)+1)</f>
        <v>2165</v>
      </c>
      <c r="B2317" s="25" t="s">
        <v>19</v>
      </c>
      <c r="C2317" s="23">
        <v>46100</v>
      </c>
      <c r="D2317" s="28" t="str">
        <f>_xlfn.XLOOKUP(Table134526_79101120212223242526[[#This Row],[Name Surname]],Manpower!$C$4:$C$1048576,Manpower!$B$4:$B$1048576,"")</f>
        <v>Encogroup</v>
      </c>
      <c r="E2317" s="21" t="s">
        <v>33</v>
      </c>
      <c r="F2317" s="12">
        <f>_xlfn.XLOOKUP(Table134526_79101120212223242526[[#This Row],[Name Surname]],Manpower!C:C,Manpower!D:D,)</f>
        <v>124565057</v>
      </c>
      <c r="G2317" s="28" t="str">
        <f>_xlfn.XLOOKUP(Table134526_79101120212223242526[[#This Row],[Name Surname]],Manpower!$C$4:$C$1048576,Manpower!$F$4:$F$1048576,"")</f>
        <v>Fitter/Erector</v>
      </c>
      <c r="H2317" s="28" t="str">
        <f>_xlfn.XLOOKUP(Table134526_79101120212223242526[[#This Row],[Name Surname]],Manpower!$C$4:$C$1048576,Manpower!$H$4:$H$1048576,"")</f>
        <v>Manpower</v>
      </c>
      <c r="I2317" s="28" t="str">
        <f>_xlfn.XLOOKUP(Table134526_79101120212223242526[[#This Row],[Name Surname]],Manpower!$C$4:$C$1048576,Manpower!$H$4:$H$1048576,"")</f>
        <v>Manpower</v>
      </c>
      <c r="J2317" s="21" t="s">
        <v>48</v>
      </c>
      <c r="K2317" s="21" t="s">
        <v>26</v>
      </c>
      <c r="L2317" s="21" t="s">
        <v>49</v>
      </c>
      <c r="M2317" s="21" t="s">
        <v>24</v>
      </c>
      <c r="N2317" s="29">
        <v>10</v>
      </c>
      <c r="O2317" s="21" t="s">
        <v>25</v>
      </c>
      <c r="P2317" s="21" t="s">
        <v>41</v>
      </c>
      <c r="Q2317" s="21" t="s">
        <v>60</v>
      </c>
      <c r="R2317" s="21" t="s">
        <v>365</v>
      </c>
    </row>
    <row r="2318" spans="1:19" ht="14.4" hidden="1">
      <c r="A2318" s="33">
        <f>IF(C2318="","",MAX($A$1:A2317)+1)</f>
        <v>2166</v>
      </c>
      <c r="B2318" s="33" t="s">
        <v>19</v>
      </c>
      <c r="C2318" s="23">
        <v>46100</v>
      </c>
      <c r="D2318" s="28" t="str">
        <f>_xlfn.XLOOKUP(Table134526_79101120212223242526[[#This Row],[Name Surname]],Manpower!$C$4:$C$1048576,Manpower!$B$4:$B$1048576,"")</f>
        <v>Encogroup</v>
      </c>
      <c r="E2318" s="21" t="s">
        <v>62</v>
      </c>
      <c r="F2318" s="12">
        <f>_xlfn.XLOOKUP(Table134526_79101120212223242526[[#This Row],[Name Surname]],Manpower!C:C,Manpower!D:D,)</f>
        <v>140844797</v>
      </c>
      <c r="G2318" s="28" t="str">
        <f>_xlfn.XLOOKUP(Table134526_79101120212223242526[[#This Row],[Name Surname]],Manpower!$C$4:$C$1048576,Manpower!$F$4:$F$1048576,"")</f>
        <v>Fitter/Erector</v>
      </c>
      <c r="H2318" s="28" t="str">
        <f>_xlfn.XLOOKUP(Table134526_79101120212223242526[[#This Row],[Name Surname]],Manpower!$C$4:$C$1048576,Manpower!$H$4:$H$1048576,"")</f>
        <v>Manpower</v>
      </c>
      <c r="I2318" s="28" t="str">
        <f>_xlfn.XLOOKUP(Table134526_79101120212223242526[[#This Row],[Name Surname]],Manpower!$C$4:$C$1048576,Manpower!$H$4:$H$1048576,"")</f>
        <v>Manpower</v>
      </c>
      <c r="J2318" s="21" t="s">
        <v>48</v>
      </c>
      <c r="K2318" s="21" t="s">
        <v>26</v>
      </c>
      <c r="L2318" s="21" t="s">
        <v>49</v>
      </c>
      <c r="M2318" s="21" t="s">
        <v>24</v>
      </c>
      <c r="N2318" s="29">
        <v>10</v>
      </c>
      <c r="O2318" s="21" t="s">
        <v>25</v>
      </c>
      <c r="P2318" s="21" t="s">
        <v>41</v>
      </c>
      <c r="Q2318" s="21" t="s">
        <v>60</v>
      </c>
      <c r="R2318" s="21" t="s">
        <v>365</v>
      </c>
    </row>
    <row r="2319" spans="1:19" ht="14.4">
      <c r="A2319" s="33">
        <f>IF(C2319="","",MAX($A$1:A2318)+1)</f>
        <v>2167</v>
      </c>
      <c r="B2319" s="25" t="s">
        <v>19</v>
      </c>
      <c r="C2319" s="23">
        <v>46100</v>
      </c>
      <c r="D2319" s="24" t="str">
        <f>_xlfn.XLOOKUP(Table134526_79101120212223242526[[#This Row],[Name Surname]],Manpower!$C$4:$C$1048576,Manpower!$B$4:$B$1048576,"")</f>
        <v>Encogroup</v>
      </c>
      <c r="E2319" s="23" t="s">
        <v>63</v>
      </c>
      <c r="F2319" s="12" t="e">
        <f>_xlfn.XLOOKUP(Table134526_79101120212223242526[[#This Row],[Name Surname]],Manpower!C:C,Manpower!D:D,)</f>
        <v>#N/A</v>
      </c>
      <c r="G2319" s="24" t="str">
        <f>_xlfn.XLOOKUP(Table134526_79101120212223242526[[#This Row],[Name Surname]],Manpower!$C$4:$C$1048576,Manpower!$F$4:$F$1048576,"")</f>
        <v>22KVA-Generator</v>
      </c>
      <c r="H2319" s="24" t="str">
        <f>_xlfn.XLOOKUP(Table134526_79101120212223242526[[#This Row],[Name Surname]],Manpower!$C$4:$C$1048576,Manpower!$H$4:$H$1048576,"")</f>
        <v>Equipment</v>
      </c>
      <c r="I2319" s="24" t="str">
        <f>_xlfn.XLOOKUP(Table134526_79101120212223242526[[#This Row],[Name Surname]],Manpower!$C$4:$C$1048576,Manpower!$H$4:$H$1048576,"")</f>
        <v>Equipment</v>
      </c>
      <c r="J2319" s="21" t="s">
        <v>48</v>
      </c>
      <c r="K2319" s="21" t="s">
        <v>26</v>
      </c>
      <c r="L2319" s="21" t="s">
        <v>49</v>
      </c>
      <c r="M2319" s="21" t="s">
        <v>24</v>
      </c>
      <c r="N2319" s="29">
        <v>10</v>
      </c>
      <c r="O2319" s="21" t="s">
        <v>25</v>
      </c>
      <c r="P2319" s="21" t="s">
        <v>41</v>
      </c>
      <c r="Q2319" s="21" t="s">
        <v>41</v>
      </c>
      <c r="R2319" s="21" t="s">
        <v>365</v>
      </c>
    </row>
    <row r="2320" spans="1:19" ht="14.4" hidden="1">
      <c r="A2320" s="33">
        <f>IF(C2320="","",MAX($A$1:A2318)+1)</f>
        <v>2167</v>
      </c>
      <c r="B2320" s="33" t="s">
        <v>19</v>
      </c>
      <c r="C2320" s="23">
        <v>46100</v>
      </c>
      <c r="D2320" s="28" t="str">
        <f>_xlfn.XLOOKUP(Table134526_79101120212223242526[[#This Row],[Name Surname]],Manpower!$C$4:$C$1048576,Manpower!$B$4:$B$1048576,"")</f>
        <v>Bright Light</v>
      </c>
      <c r="E2320" s="21" t="s">
        <v>64</v>
      </c>
      <c r="F2320" s="12">
        <f>_xlfn.XLOOKUP(Table134526_79101120212223242526[[#This Row],[Name Surname]],Manpower!C:C,Manpower!D:D,)</f>
        <v>114531608</v>
      </c>
      <c r="G2320" s="28" t="str">
        <f>_xlfn.XLOOKUP(Table134526_79101120212223242526[[#This Row],[Name Surname]],Manpower!$C$4:$C$1048576,Manpower!$F$4:$F$1048576,"")</f>
        <v>Crane Operator-150T Sany Crawler</v>
      </c>
      <c r="H2320" s="28" t="s">
        <v>39</v>
      </c>
      <c r="I2320" s="28" t="s">
        <v>39</v>
      </c>
      <c r="J2320" s="21" t="s">
        <v>48</v>
      </c>
      <c r="K2320" s="21" t="s">
        <v>26</v>
      </c>
      <c r="L2320" s="21" t="s">
        <v>49</v>
      </c>
      <c r="M2320" s="21" t="s">
        <v>24</v>
      </c>
      <c r="N2320" s="29">
        <v>10</v>
      </c>
      <c r="O2320" s="21" t="s">
        <v>40</v>
      </c>
      <c r="P2320" s="21" t="s">
        <v>41</v>
      </c>
      <c r="Q2320" s="21" t="s">
        <v>42</v>
      </c>
      <c r="R2320" s="21" t="s">
        <v>365</v>
      </c>
    </row>
    <row r="2321" spans="1:19" ht="14.4" hidden="1">
      <c r="A2321" s="33">
        <f>IF(C2321="","",MAX($A$1:A2320)+1)</f>
        <v>2168</v>
      </c>
      <c r="B2321" s="33" t="s">
        <v>19</v>
      </c>
      <c r="C2321" s="23">
        <v>46100</v>
      </c>
      <c r="D2321" s="28" t="str">
        <f>_xlfn.XLOOKUP(Table134526_79101120212223242526[[#This Row],[Name Surname]],Manpower!$C$4:$C$1048576,Manpower!$B$4:$B$1048576,"")</f>
        <v>Encogroup</v>
      </c>
      <c r="E2321" s="21" t="s">
        <v>67</v>
      </c>
      <c r="F2321" s="12">
        <f>_xlfn.XLOOKUP(Table134526_79101120212223242526[[#This Row],[Name Surname]],Manpower!C:C,Manpower!D:D,)</f>
        <v>122082769</v>
      </c>
      <c r="G2321" s="28" t="str">
        <f>_xlfn.XLOOKUP(Table134526_79101120212223242526[[#This Row],[Name Surname]],Manpower!$C$4:$C$1048576,Manpower!$F$4:$F$1048576,"")</f>
        <v>Grinder</v>
      </c>
      <c r="H2321" s="28" t="str">
        <f>_xlfn.XLOOKUP(Table134526_79101120212223242526[[#This Row],[Name Surname]],Manpower!$C$4:$C$1048576,Manpower!$H$4:$H$1048576,"")</f>
        <v>Manpower</v>
      </c>
      <c r="I2321" s="28" t="str">
        <f>_xlfn.XLOOKUP(Table134526_79101120212223242526[[#This Row],[Name Surname]],Manpower!$C$4:$C$1048576,Manpower!$H$4:$H$1048576,"")</f>
        <v>Manpower</v>
      </c>
      <c r="J2321" s="21" t="s">
        <v>48</v>
      </c>
      <c r="K2321" s="21" t="s">
        <v>26</v>
      </c>
      <c r="L2321" s="21" t="s">
        <v>49</v>
      </c>
      <c r="M2321" s="21" t="s">
        <v>24</v>
      </c>
      <c r="N2321" s="29">
        <v>10</v>
      </c>
      <c r="O2321" s="21" t="s">
        <v>25</v>
      </c>
      <c r="P2321" s="21" t="s">
        <v>41</v>
      </c>
      <c r="Q2321" s="21" t="s">
        <v>60</v>
      </c>
      <c r="R2321" s="21" t="s">
        <v>365</v>
      </c>
    </row>
    <row r="2322" spans="1:19" ht="14.4" hidden="1">
      <c r="A2322" s="33">
        <f>IF(C2322="","",MAX($A$1:A2321)+1)</f>
        <v>2169</v>
      </c>
      <c r="B2322" s="25" t="s">
        <v>19</v>
      </c>
      <c r="C2322" s="23">
        <v>46100</v>
      </c>
      <c r="D2322" s="28" t="str">
        <f>_xlfn.XLOOKUP(Table134526_79101120212223242526[[#This Row],[Name Surname]],Manpower!$C$4:$C$1048576,Manpower!$B$4:$B$1048576,"")</f>
        <v>AL Saif &amp; Al QALLM ENT LLC</v>
      </c>
      <c r="E2322" s="21" t="s">
        <v>65</v>
      </c>
      <c r="F2322" s="12">
        <f>_xlfn.XLOOKUP(Table134526_79101120212223242526[[#This Row],[Name Surname]],Manpower!C:C,Manpower!D:D,)</f>
        <v>108478006</v>
      </c>
      <c r="G2322" s="28" t="str">
        <f>_xlfn.XLOOKUP(Table134526_79101120212223242526[[#This Row],[Name Surname]],Manpower!$C$4:$C$1048576,Manpower!$F$4:$F$1048576,"")</f>
        <v>RIgger</v>
      </c>
      <c r="H2322" s="28" t="str">
        <f>_xlfn.XLOOKUP(Table134526_79101120212223242526[[#This Row],[Name Surname]],Manpower!$C$4:$C$1048576,Manpower!$H$4:$H$1048576,"")</f>
        <v>Sub Contactor</v>
      </c>
      <c r="I2322" s="28" t="str">
        <f>_xlfn.XLOOKUP(Table134526_79101120212223242526[[#This Row],[Name Surname]],Manpower!$C$4:$C$1048576,Manpower!$H$4:$H$1048576,"")</f>
        <v>Sub Contactor</v>
      </c>
      <c r="J2322" s="21" t="s">
        <v>48</v>
      </c>
      <c r="K2322" s="21" t="s">
        <v>26</v>
      </c>
      <c r="L2322" s="21" t="s">
        <v>49</v>
      </c>
      <c r="M2322" s="21" t="s">
        <v>24</v>
      </c>
      <c r="N2322" s="29">
        <v>8</v>
      </c>
      <c r="O2322" s="21" t="s">
        <v>25</v>
      </c>
      <c r="P2322" s="21" t="s">
        <v>41</v>
      </c>
      <c r="Q2322" s="21" t="s">
        <v>60</v>
      </c>
      <c r="R2322" s="21" t="s">
        <v>365</v>
      </c>
    </row>
    <row r="2323" spans="1:19" ht="14.4" hidden="1">
      <c r="A2323" s="33">
        <f>IF(C2323="","",MAX($A$1:A2322)+1)</f>
        <v>2170</v>
      </c>
      <c r="B2323" s="33" t="s">
        <v>19</v>
      </c>
      <c r="C2323" s="23">
        <v>46100</v>
      </c>
      <c r="D2323" s="28" t="str">
        <f>_xlfn.XLOOKUP(Table134526_79101120212223242526[[#This Row],[Name Surname]],Manpower!$C$4:$C$1048576,Manpower!$B$4:$B$1048576,"")</f>
        <v>AL Omar International TRAD AND CONT</v>
      </c>
      <c r="E2323" s="21" t="s">
        <v>66</v>
      </c>
      <c r="F2323" s="12">
        <f>_xlfn.XLOOKUP(Table134526_79101120212223242526[[#This Row],[Name Surname]],Manpower!C:C,Manpower!D:D,)</f>
        <v>115018512</v>
      </c>
      <c r="G2323" s="28" t="str">
        <f>_xlfn.XLOOKUP(Table134526_79101120212223242526[[#This Row],[Name Surname]],Manpower!$C$4:$C$1048576,Manpower!$F$4:$F$1048576,"")</f>
        <v>RIgger</v>
      </c>
      <c r="H2323" s="28" t="str">
        <f>_xlfn.XLOOKUP(Table134526_79101120212223242526[[#This Row],[Name Surname]],Manpower!$C$4:$C$1048576,Manpower!$H$4:$H$1048576,"")</f>
        <v>Sub Contactor</v>
      </c>
      <c r="I2323" s="28" t="str">
        <f>_xlfn.XLOOKUP(Table134526_79101120212223242526[[#This Row],[Name Surname]],Manpower!$C$4:$C$1048576,Manpower!$H$4:$H$1048576,"")</f>
        <v>Sub Contactor</v>
      </c>
      <c r="J2323" s="21" t="s">
        <v>48</v>
      </c>
      <c r="K2323" s="21" t="s">
        <v>26</v>
      </c>
      <c r="L2323" s="21" t="s">
        <v>49</v>
      </c>
      <c r="M2323" s="21" t="s">
        <v>24</v>
      </c>
      <c r="N2323" s="29">
        <v>8</v>
      </c>
      <c r="O2323" s="21" t="s">
        <v>25</v>
      </c>
      <c r="P2323" s="21" t="s">
        <v>41</v>
      </c>
      <c r="Q2323" s="21" t="s">
        <v>60</v>
      </c>
      <c r="R2323" s="21" t="s">
        <v>365</v>
      </c>
    </row>
    <row r="2324" spans="1:19" s="45" customFormat="1" ht="14.4" hidden="1">
      <c r="A2324" s="25">
        <f>IF(C2324="","",MAX($A$1:A2323)+1)</f>
        <v>2171</v>
      </c>
      <c r="B2324" s="25" t="s">
        <v>19</v>
      </c>
      <c r="C2324" s="41">
        <v>46100</v>
      </c>
      <c r="D2324" s="48" t="str">
        <f>_xlfn.XLOOKUP(Table134526_79101120212223242526[[#This Row],[Name Surname]],Manpower!$C$4:$C$1048576,Manpower!$B$4:$B$1048576,"")</f>
        <v>AL Omar International TRAD AND CONT</v>
      </c>
      <c r="E2324" s="43" t="s">
        <v>36</v>
      </c>
      <c r="F2324" s="12">
        <f>_xlfn.XLOOKUP(Table134526_79101120212223242526[[#This Row],[Name Surname]],Manpower!C:C,Manpower!D:D,)</f>
        <v>114929202</v>
      </c>
      <c r="G2324" s="48" t="str">
        <f>_xlfn.XLOOKUP(Table134526_79101120212223242526[[#This Row],[Name Surname]],Manpower!$C$4:$C$1048576,Manpower!$F$4:$F$1048576,"")</f>
        <v>RIgger</v>
      </c>
      <c r="H2324" s="48" t="str">
        <f>_xlfn.XLOOKUP(Table134526_79101120212223242526[[#This Row],[Name Surname]],Manpower!$C$4:$C$1048576,Manpower!$H$4:$H$1048576,"")</f>
        <v>Sub Contactor</v>
      </c>
      <c r="I2324" s="48" t="str">
        <f>_xlfn.XLOOKUP(Table134526_79101120212223242526[[#This Row],[Name Surname]],Manpower!$C$4:$C$1048576,Manpower!$H$4:$H$1048576,"")</f>
        <v>Sub Contactor</v>
      </c>
      <c r="J2324" s="43" t="s">
        <v>48</v>
      </c>
      <c r="K2324" s="43" t="s">
        <v>26</v>
      </c>
      <c r="L2324" s="43" t="s">
        <v>49</v>
      </c>
      <c r="M2324" s="43" t="s">
        <v>24</v>
      </c>
      <c r="N2324" s="44">
        <v>3</v>
      </c>
      <c r="O2324" s="43" t="s">
        <v>25</v>
      </c>
      <c r="P2324" s="43" t="s">
        <v>41</v>
      </c>
      <c r="Q2324" s="43" t="s">
        <v>60</v>
      </c>
      <c r="R2324" s="43" t="s">
        <v>365</v>
      </c>
      <c r="S2324" s="43"/>
    </row>
    <row r="2325" spans="1:19" s="45" customFormat="1" ht="14.4" hidden="1">
      <c r="A2325" s="25">
        <f>IF(C2325="","",MAX($A$1:A2324)+1)</f>
        <v>2172</v>
      </c>
      <c r="B2325" s="25" t="s">
        <v>19</v>
      </c>
      <c r="C2325" s="41">
        <v>46100</v>
      </c>
      <c r="D2325" s="48" t="str">
        <f>_xlfn.XLOOKUP(Table134526_79101120212223242526[[#This Row],[Name Surname]],Manpower!$C$4:$C$1048576,Manpower!$B$4:$B$1048576,"")</f>
        <v>Encogroup</v>
      </c>
      <c r="E2325" s="43" t="s">
        <v>27</v>
      </c>
      <c r="F2325" s="12">
        <f>_xlfn.XLOOKUP(Table134526_79101120212223242526[[#This Row],[Name Surname]],Manpower!C:C,Manpower!D:D,)</f>
        <v>127414586</v>
      </c>
      <c r="G2325" s="48" t="str">
        <f>_xlfn.XLOOKUP(Table134526_79101120212223242526[[#This Row],[Name Surname]],Manpower!$C$4:$C$1048576,Manpower!$F$4:$F$1048576,"")</f>
        <v>Electrician</v>
      </c>
      <c r="H2325" s="48" t="str">
        <f>_xlfn.XLOOKUP(Table134526_79101120212223242526[[#This Row],[Name Surname]],Manpower!$C$4:$C$1048576,Manpower!$H$4:$H$1048576,"")</f>
        <v>Manpower</v>
      </c>
      <c r="I2325" s="48" t="str">
        <f>_xlfn.XLOOKUP(Table134526_79101120212223242526[[#This Row],[Name Surname]],Manpower!$C$4:$C$1048576,Manpower!$H$4:$H$1048576,"")</f>
        <v>Manpower</v>
      </c>
      <c r="J2325" s="43" t="s">
        <v>48</v>
      </c>
      <c r="K2325" s="43" t="s">
        <v>26</v>
      </c>
      <c r="L2325" s="43" t="s">
        <v>49</v>
      </c>
      <c r="M2325" s="43" t="s">
        <v>24</v>
      </c>
      <c r="N2325" s="44">
        <v>5</v>
      </c>
      <c r="O2325" s="43" t="s">
        <v>25</v>
      </c>
      <c r="P2325" s="43" t="s">
        <v>41</v>
      </c>
      <c r="Q2325" s="43" t="s">
        <v>60</v>
      </c>
      <c r="R2325" s="43" t="s">
        <v>365</v>
      </c>
      <c r="S2325" s="43"/>
    </row>
    <row r="2326" spans="1:19" s="45" customFormat="1" ht="14.4" hidden="1">
      <c r="A2326" s="25">
        <f>IF(C2326="","",MAX($A$1:A2325)+1)</f>
        <v>2173</v>
      </c>
      <c r="B2326" s="25" t="s">
        <v>19</v>
      </c>
      <c r="C2326" s="41">
        <v>46100</v>
      </c>
      <c r="D2326" s="48" t="str">
        <f>_xlfn.XLOOKUP(Table134526_79101120212223242526[[#This Row],[Name Surname]],Manpower!$C$4:$C$1048576,Manpower!$B$4:$B$1048576,"")</f>
        <v>Encogroup</v>
      </c>
      <c r="E2326" s="43" t="s">
        <v>32</v>
      </c>
      <c r="F2326" s="12">
        <f>_xlfn.XLOOKUP(Table134526_79101120212223242526[[#This Row],[Name Surname]],Manpower!C:C,Manpower!D:D,)</f>
        <v>140697039</v>
      </c>
      <c r="G2326" s="48" t="str">
        <f>_xlfn.XLOOKUP(Table134526_79101120212223242526[[#This Row],[Name Surname]],Manpower!$C$4:$C$1048576,Manpower!$F$4:$F$1048576,"")</f>
        <v>Fitter/Erector</v>
      </c>
      <c r="H2326" s="48" t="str">
        <f>_xlfn.XLOOKUP(Table134526_79101120212223242526[[#This Row],[Name Surname]],Manpower!$C$4:$C$1048576,Manpower!$H$4:$H$1048576,"")</f>
        <v>Manpower</v>
      </c>
      <c r="I2326" s="48" t="str">
        <f>_xlfn.XLOOKUP(Table134526_79101120212223242526[[#This Row],[Name Surname]],Manpower!$C$4:$C$1048576,Manpower!$H$4:$H$1048576,"")</f>
        <v>Manpower</v>
      </c>
      <c r="J2326" s="43" t="s">
        <v>48</v>
      </c>
      <c r="K2326" s="43" t="s">
        <v>26</v>
      </c>
      <c r="L2326" s="43" t="s">
        <v>49</v>
      </c>
      <c r="M2326" s="43" t="s">
        <v>24</v>
      </c>
      <c r="N2326" s="44">
        <v>5</v>
      </c>
      <c r="O2326" s="43" t="s">
        <v>25</v>
      </c>
      <c r="P2326" s="43" t="s">
        <v>41</v>
      </c>
      <c r="Q2326" s="43" t="s">
        <v>60</v>
      </c>
      <c r="R2326" s="43" t="s">
        <v>365</v>
      </c>
      <c r="S2326" s="43"/>
    </row>
    <row r="2327" spans="1:19" s="45" customFormat="1" ht="14.4" hidden="1">
      <c r="A2327" s="25">
        <f>IF(C2327="","",MAX($A$1:A2326)+1)</f>
        <v>2174</v>
      </c>
      <c r="B2327" s="25" t="s">
        <v>19</v>
      </c>
      <c r="C2327" s="41">
        <v>46100</v>
      </c>
      <c r="D2327" s="48" t="str">
        <f>_xlfn.XLOOKUP(Table134526_79101120212223242526[[#This Row],[Name Surname]],Manpower!$C$4:$C$1048576,Manpower!$B$4:$B$1048576,"")</f>
        <v>Encogroup</v>
      </c>
      <c r="E2327" s="43" t="s">
        <v>46</v>
      </c>
      <c r="F2327" s="12">
        <f>_xlfn.XLOOKUP(Table134526_79101120212223242526[[#This Row],[Name Surname]],Manpower!C:C,Manpower!D:D,)</f>
        <v>140844618</v>
      </c>
      <c r="G2327" s="48" t="str">
        <f>_xlfn.XLOOKUP(Table134526_79101120212223242526[[#This Row],[Name Surname]],Manpower!$C$4:$C$1048576,Manpower!$F$4:$F$1048576,"")</f>
        <v>Assistant/Helper</v>
      </c>
      <c r="H2327" s="48" t="str">
        <f>_xlfn.XLOOKUP(Table134526_79101120212223242526[[#This Row],[Name Surname]],Manpower!$C$4:$C$1048576,Manpower!$H$4:$H$1048576,"")</f>
        <v>Manpower</v>
      </c>
      <c r="I2327" s="48" t="str">
        <f>_xlfn.XLOOKUP(Table134526_79101120212223242526[[#This Row],[Name Surname]],Manpower!$C$4:$C$1048576,Manpower!$H$4:$H$1048576,"")</f>
        <v>Manpower</v>
      </c>
      <c r="J2327" s="43" t="s">
        <v>48</v>
      </c>
      <c r="K2327" s="43" t="s">
        <v>26</v>
      </c>
      <c r="L2327" s="43" t="s">
        <v>49</v>
      </c>
      <c r="M2327" s="43" t="s">
        <v>24</v>
      </c>
      <c r="N2327" s="44">
        <v>5</v>
      </c>
      <c r="O2327" s="43" t="s">
        <v>25</v>
      </c>
      <c r="P2327" s="43" t="s">
        <v>41</v>
      </c>
      <c r="Q2327" s="43" t="s">
        <v>60</v>
      </c>
      <c r="R2327" s="43" t="s">
        <v>365</v>
      </c>
      <c r="S2327" s="43"/>
    </row>
    <row r="2328" spans="1:19" s="45" customFormat="1" ht="14.4" hidden="1">
      <c r="A2328" s="25">
        <f>IF(C2328="","",MAX($A$1:A2327)+1)</f>
        <v>2175</v>
      </c>
      <c r="B2328" s="25" t="s">
        <v>19</v>
      </c>
      <c r="C2328" s="41">
        <v>46100</v>
      </c>
      <c r="D2328" s="48" t="str">
        <f>_xlfn.XLOOKUP(Table134526_79101120212223242526[[#This Row],[Name Surname]],Manpower!$C$4:$C$1048576,Manpower!$B$4:$B$1048576,"")</f>
        <v>Encogroup</v>
      </c>
      <c r="E2328" s="43" t="s">
        <v>37</v>
      </c>
      <c r="F2328" s="12">
        <f>_xlfn.XLOOKUP(Table134526_79101120212223242526[[#This Row],[Name Surname]],Manpower!C:C,Manpower!D:D,)</f>
        <v>140742088</v>
      </c>
      <c r="G2328" s="48" t="str">
        <f>_xlfn.XLOOKUP(Table134526_79101120212223242526[[#This Row],[Name Surname]],Manpower!$C$4:$C$1048576,Manpower!$F$4:$F$1048576,"")</f>
        <v>Fitter/Erector</v>
      </c>
      <c r="H2328" s="48" t="str">
        <f>_xlfn.XLOOKUP(Table134526_79101120212223242526[[#This Row],[Name Surname]],Manpower!$C$4:$C$1048576,Manpower!$H$4:$H$1048576,"")</f>
        <v>Manpower</v>
      </c>
      <c r="I2328" s="48" t="str">
        <f>_xlfn.XLOOKUP(Table134526_79101120212223242526[[#This Row],[Name Surname]],Manpower!$C$4:$C$1048576,Manpower!$H$4:$H$1048576,"")</f>
        <v>Manpower</v>
      </c>
      <c r="J2328" s="43" t="s">
        <v>48</v>
      </c>
      <c r="K2328" s="43" t="s">
        <v>26</v>
      </c>
      <c r="L2328" s="43" t="s">
        <v>49</v>
      </c>
      <c r="M2328" s="43" t="s">
        <v>24</v>
      </c>
      <c r="N2328" s="44">
        <v>5</v>
      </c>
      <c r="O2328" s="43" t="s">
        <v>25</v>
      </c>
      <c r="P2328" s="43" t="s">
        <v>41</v>
      </c>
      <c r="Q2328" s="43" t="s">
        <v>60</v>
      </c>
      <c r="R2328" s="43" t="s">
        <v>365</v>
      </c>
      <c r="S2328" s="43"/>
    </row>
    <row r="2329" spans="1:19" s="45" customFormat="1" ht="14.4" hidden="1">
      <c r="A2329" s="25">
        <f>IF(C2329="","",MAX($A$1:A2328)+1)</f>
        <v>2176</v>
      </c>
      <c r="B2329" s="25" t="s">
        <v>19</v>
      </c>
      <c r="C2329" s="41">
        <v>46100</v>
      </c>
      <c r="D2329" s="48" t="str">
        <f>_xlfn.XLOOKUP(Table134526_79101120212223242526[[#This Row],[Name Surname]],Manpower!$C$4:$C$1048576,Manpower!$B$4:$B$1048576,"")</f>
        <v>Encogroup</v>
      </c>
      <c r="E2329" s="43" t="s">
        <v>72</v>
      </c>
      <c r="F2329" s="12">
        <f>_xlfn.XLOOKUP(Table134526_79101120212223242526[[#This Row],[Name Surname]],Manpower!C:C,Manpower!D:D,)</f>
        <v>140764706</v>
      </c>
      <c r="G2329" s="48" t="str">
        <f>_xlfn.XLOOKUP(Table134526_79101120212223242526[[#This Row],[Name Surname]],Manpower!$C$4:$C$1048576,Manpower!$F$4:$F$1048576,"")</f>
        <v>Rigger</v>
      </c>
      <c r="H2329" s="48" t="str">
        <f>_xlfn.XLOOKUP(Table134526_79101120212223242526[[#This Row],[Name Surname]],Manpower!$C$4:$C$1048576,Manpower!$H$4:$H$1048576,"")</f>
        <v>Manpower</v>
      </c>
      <c r="I2329" s="48" t="str">
        <f>_xlfn.XLOOKUP(Table134526_79101120212223242526[[#This Row],[Name Surname]],Manpower!$C$4:$C$1048576,Manpower!$H$4:$H$1048576,"")</f>
        <v>Manpower</v>
      </c>
      <c r="J2329" s="43" t="s">
        <v>48</v>
      </c>
      <c r="K2329" s="43" t="s">
        <v>26</v>
      </c>
      <c r="L2329" s="43" t="s">
        <v>49</v>
      </c>
      <c r="M2329" s="43" t="s">
        <v>24</v>
      </c>
      <c r="N2329" s="44">
        <v>5</v>
      </c>
      <c r="O2329" s="43" t="s">
        <v>25</v>
      </c>
      <c r="P2329" s="43" t="s">
        <v>41</v>
      </c>
      <c r="Q2329" s="43" t="s">
        <v>60</v>
      </c>
      <c r="R2329" s="43" t="s">
        <v>365</v>
      </c>
      <c r="S2329" s="43"/>
    </row>
    <row r="2330" spans="1:19" ht="14.4" hidden="1">
      <c r="A2330" s="33">
        <f>IF(C2330="","",MAX($A$1:A2323)+1)</f>
        <v>2171</v>
      </c>
      <c r="B2330" s="25" t="s">
        <v>19</v>
      </c>
      <c r="C2330" s="23">
        <v>46100</v>
      </c>
      <c r="D2330" s="28" t="str">
        <f>_xlfn.XLOOKUP(Table134526_79101120212223242526[[#This Row],[Name Surname]],Manpower!$C$4:$C$1048576,Manpower!$B$4:$B$1048576,"")</f>
        <v>Encogroup</v>
      </c>
      <c r="E2330" s="21" t="s">
        <v>34</v>
      </c>
      <c r="F2330" s="12">
        <f>_xlfn.XLOOKUP(Table134526_79101120212223242526[[#This Row],[Name Surname]],Manpower!C:C,Manpower!D:D,)</f>
        <v>141365023</v>
      </c>
      <c r="G2330" s="28" t="str">
        <f>_xlfn.XLOOKUP(Table134526_79101120212223242526[[#This Row],[Name Surname]],Manpower!$C$4:$C$1048576,Manpower!$F$4:$F$1048576,"")</f>
        <v>Grinder</v>
      </c>
      <c r="H2330" s="28" t="str">
        <f>_xlfn.XLOOKUP(Table134526_79101120212223242526[[#This Row],[Name Surname]],Manpower!$C$4:$C$1048576,Manpower!$H$4:$H$1048576,"")</f>
        <v>Manpower</v>
      </c>
      <c r="I2330" s="28" t="str">
        <f>_xlfn.XLOOKUP(Table134526_79101120212223242526[[#This Row],[Name Surname]],Manpower!$C$4:$C$1048576,Manpower!$H$4:$H$1048576,"")</f>
        <v>Manpower</v>
      </c>
      <c r="J2330" s="21" t="s">
        <v>48</v>
      </c>
      <c r="K2330" s="21" t="s">
        <v>26</v>
      </c>
      <c r="L2330" s="21" t="s">
        <v>49</v>
      </c>
      <c r="M2330" s="21" t="s">
        <v>24</v>
      </c>
      <c r="N2330" s="29">
        <v>10</v>
      </c>
      <c r="O2330" s="21" t="s">
        <v>25</v>
      </c>
      <c r="P2330" s="21" t="s">
        <v>41</v>
      </c>
      <c r="Q2330" s="21" t="s">
        <v>60</v>
      </c>
      <c r="R2330" s="21" t="s">
        <v>365</v>
      </c>
    </row>
    <row r="2331" spans="1:19" ht="14.4" hidden="1">
      <c r="A2331" s="33">
        <f>IF(C2331="","",MAX($A$1:A2330)+1)</f>
        <v>2177</v>
      </c>
      <c r="B2331" s="25" t="s">
        <v>19</v>
      </c>
      <c r="C2331" s="23">
        <v>46100</v>
      </c>
      <c r="D2331" s="28" t="str">
        <f>_xlfn.XLOOKUP(Table134526_79101120212223242526[[#This Row],[Name Surname]],Manpower!$C$4:$C$1048576,Manpower!$B$4:$B$1048576,"")</f>
        <v>Encogroup</v>
      </c>
      <c r="E2331" s="21" t="s">
        <v>207</v>
      </c>
      <c r="F2331" s="12">
        <f>_xlfn.XLOOKUP(Table134526_79101120212223242526[[#This Row],[Name Surname]],Manpower!C:C,Manpower!D:D,)</f>
        <v>141359216</v>
      </c>
      <c r="G2331" s="28" t="str">
        <f>_xlfn.XLOOKUP(Table134526_79101120212223242526[[#This Row],[Name Surname]],Manpower!$C$4:$C$1048576,Manpower!$F$4:$F$1048576,"")</f>
        <v>Electrician</v>
      </c>
      <c r="H2331" s="28" t="str">
        <f>_xlfn.XLOOKUP(Table134526_79101120212223242526[[#This Row],[Name Surname]],Manpower!$C$4:$C$1048576,Manpower!$H$4:$H$1048576,"")</f>
        <v>Manpower</v>
      </c>
      <c r="I2331" s="28" t="str">
        <f>_xlfn.XLOOKUP(Table134526_79101120212223242526[[#This Row],[Name Surname]],Manpower!$C$4:$C$1048576,Manpower!$H$4:$H$1048576,"")</f>
        <v>Manpower</v>
      </c>
      <c r="J2331" s="21" t="s">
        <v>48</v>
      </c>
      <c r="K2331" s="21" t="s">
        <v>26</v>
      </c>
      <c r="L2331" s="21" t="s">
        <v>49</v>
      </c>
      <c r="M2331" s="21" t="s">
        <v>24</v>
      </c>
      <c r="N2331" s="29">
        <v>10</v>
      </c>
      <c r="O2331" s="21" t="s">
        <v>28</v>
      </c>
      <c r="P2331" s="21" t="s">
        <v>41</v>
      </c>
      <c r="Q2331" s="21" t="s">
        <v>58</v>
      </c>
      <c r="R2331" s="21" t="s">
        <v>365</v>
      </c>
    </row>
    <row r="2332" spans="1:19" ht="14.4" hidden="1">
      <c r="A2332" s="33">
        <f>IF(C2332="","",MAX($A$1:A2331)+1)</f>
        <v>2178</v>
      </c>
      <c r="B2332" s="25" t="s">
        <v>19</v>
      </c>
      <c r="C2332" s="23">
        <v>46100</v>
      </c>
      <c r="D2332" s="28" t="str">
        <f>_xlfn.XLOOKUP(Table134526_79101120212223242526[[#This Row],[Name Surname]],Manpower!$C$4:$C$1048576,Manpower!$B$4:$B$1048576,"")</f>
        <v>AL Omar International TRAD AND CONT</v>
      </c>
      <c r="E2332" s="21" t="s">
        <v>197</v>
      </c>
      <c r="F2332" s="12">
        <f>_xlfn.XLOOKUP(Table134526_79101120212223242526[[#This Row],[Name Surname]],Manpower!C:C,Manpower!D:D,)</f>
        <v>106093463</v>
      </c>
      <c r="G2332" s="28" t="str">
        <f>_xlfn.XLOOKUP(Table134526_79101120212223242526[[#This Row],[Name Surname]],Manpower!$C$4:$C$1048576,Manpower!$F$4:$F$1048576,"")</f>
        <v>RIgger</v>
      </c>
      <c r="H2332" s="28" t="str">
        <f>_xlfn.XLOOKUP(Table134526_79101120212223242526[[#This Row],[Name Surname]],Manpower!$C$4:$C$1048576,Manpower!$H$4:$H$1048576,"")</f>
        <v>Sub Contactor</v>
      </c>
      <c r="I2332" s="28" t="str">
        <f>_xlfn.XLOOKUP(Table134526_79101120212223242526[[#This Row],[Name Surname]],Manpower!$C$4:$C$1048576,Manpower!$H$4:$H$1048576,"")</f>
        <v>Sub Contactor</v>
      </c>
      <c r="J2332" s="21" t="s">
        <v>48</v>
      </c>
      <c r="K2332" s="21" t="s">
        <v>26</v>
      </c>
      <c r="L2332" s="21" t="s">
        <v>49</v>
      </c>
      <c r="M2332" s="21" t="s">
        <v>24</v>
      </c>
      <c r="N2332" s="29">
        <v>4</v>
      </c>
      <c r="O2332" s="21" t="s">
        <v>25</v>
      </c>
      <c r="P2332" s="21" t="s">
        <v>41</v>
      </c>
      <c r="Q2332" s="21" t="s">
        <v>60</v>
      </c>
      <c r="R2332" s="21" t="s">
        <v>365</v>
      </c>
    </row>
    <row r="2333" spans="1:19" ht="14.4" hidden="1">
      <c r="A2333" s="33">
        <f>IF(C2333="","",MAX($A$1:A2332)+1)</f>
        <v>2179</v>
      </c>
      <c r="B2333" s="25" t="s">
        <v>19</v>
      </c>
      <c r="C2333" s="23">
        <v>46100</v>
      </c>
      <c r="D2333" s="28" t="str">
        <f>_xlfn.XLOOKUP(Table134526_79101120212223242526[[#This Row],[Name Surname]],Manpower!$C$4:$C$1048576,Manpower!$B$4:$B$1048576,"")</f>
        <v>Encogroup</v>
      </c>
      <c r="E2333" s="21" t="s">
        <v>44</v>
      </c>
      <c r="F2333" s="12">
        <f>_xlfn.XLOOKUP(Table134526_79101120212223242526[[#This Row],[Name Surname]],Manpower!C:C,Manpower!D:D,)</f>
        <v>140806218</v>
      </c>
      <c r="G2333" s="28" t="str">
        <f>_xlfn.XLOOKUP(Table134526_79101120212223242526[[#This Row],[Name Surname]],Manpower!$C$4:$C$1048576,Manpower!$F$4:$F$1048576,"")</f>
        <v>Fitter/Erector</v>
      </c>
      <c r="H2333" s="28" t="str">
        <f>_xlfn.XLOOKUP(Table134526_79101120212223242526[[#This Row],[Name Surname]],Manpower!$C$4:$C$1048576,Manpower!$H$4:$H$1048576,"")</f>
        <v>Manpower</v>
      </c>
      <c r="I2333" s="28" t="str">
        <f>_xlfn.XLOOKUP(Table134526_79101120212223242526[[#This Row],[Name Surname]],Manpower!$C$4:$C$1048576,Manpower!$H$4:$H$1048576,"")</f>
        <v>Manpower</v>
      </c>
      <c r="J2333" s="21" t="s">
        <v>48</v>
      </c>
      <c r="K2333" s="21" t="s">
        <v>26</v>
      </c>
      <c r="L2333" s="21" t="s">
        <v>49</v>
      </c>
      <c r="M2333" s="21" t="s">
        <v>24</v>
      </c>
      <c r="N2333" s="29">
        <v>10</v>
      </c>
      <c r="O2333" s="21" t="s">
        <v>25</v>
      </c>
      <c r="P2333" s="21" t="s">
        <v>41</v>
      </c>
      <c r="Q2333" s="21" t="s">
        <v>60</v>
      </c>
      <c r="R2333" s="21" t="s">
        <v>365</v>
      </c>
    </row>
    <row r="2334" spans="1:19" ht="14.4" hidden="1">
      <c r="A2334" s="33">
        <f>IF(C2334="","",MAX($A$1:A2333)+1)</f>
        <v>2180</v>
      </c>
      <c r="B2334" s="25" t="s">
        <v>19</v>
      </c>
      <c r="C2334" s="23">
        <v>46100</v>
      </c>
      <c r="D2334" s="28" t="str">
        <f>_xlfn.XLOOKUP(Table134526_79101120212223242526[[#This Row],[Name Surname]],Manpower!$C$4:$C$1048576,Manpower!$B$4:$B$1048576,"")</f>
        <v>Encogroup</v>
      </c>
      <c r="E2334" s="21" t="s">
        <v>68</v>
      </c>
      <c r="F2334" s="12">
        <f>_xlfn.XLOOKUP(Table134526_79101120212223242526[[#This Row],[Name Surname]],Manpower!C:C,Manpower!D:D,)</f>
        <v>116915582</v>
      </c>
      <c r="G2334" s="28" t="str">
        <f>_xlfn.XLOOKUP(Table134526_79101120212223242526[[#This Row],[Name Surname]],Manpower!$C$4:$C$1048576,Manpower!$F$4:$F$1048576,"")</f>
        <v>Mechanical Superintendent</v>
      </c>
      <c r="H2334" s="28" t="str">
        <f>_xlfn.XLOOKUP(Table134526_79101120212223242526[[#This Row],[Name Surname]],Manpower!$C$4:$C$1048576,Manpower!$H$4:$H$1048576,"")</f>
        <v>Manpower</v>
      </c>
      <c r="I2334" s="28" t="str">
        <f>_xlfn.XLOOKUP(Table134526_79101120212223242526[[#This Row],[Name Surname]],Manpower!$C$4:$C$1048576,Manpower!$H$4:$H$1048576,"")</f>
        <v>Manpower</v>
      </c>
      <c r="J2334" s="21" t="s">
        <v>48</v>
      </c>
      <c r="K2334" s="21" t="s">
        <v>26</v>
      </c>
      <c r="L2334" s="21" t="s">
        <v>49</v>
      </c>
      <c r="M2334" s="21" t="s">
        <v>24</v>
      </c>
      <c r="N2334" s="29">
        <v>8</v>
      </c>
      <c r="O2334" s="21" t="s">
        <v>25</v>
      </c>
      <c r="P2334" s="21" t="s">
        <v>41</v>
      </c>
      <c r="Q2334" s="21" t="s">
        <v>60</v>
      </c>
      <c r="R2334" s="21" t="s">
        <v>365</v>
      </c>
    </row>
    <row r="2335" spans="1:19" ht="14.4" hidden="1">
      <c r="A2335" s="33">
        <f>IF(C2335="","",MAX($A$1:A2334)+1)</f>
        <v>2181</v>
      </c>
      <c r="B2335" s="25" t="s">
        <v>19</v>
      </c>
      <c r="C2335" s="23">
        <v>46100</v>
      </c>
      <c r="D2335" s="28" t="str">
        <f>_xlfn.XLOOKUP(Table134526_79101120212223242526[[#This Row],[Name Surname]],Manpower!$C$4:$C$1048576,Manpower!$B$4:$B$1048576,"")</f>
        <v>Encogroup</v>
      </c>
      <c r="E2335" s="21" t="s">
        <v>69</v>
      </c>
      <c r="F2335" s="12">
        <f>_xlfn.XLOOKUP(Table134526_79101120212223242526[[#This Row],[Name Surname]],Manpower!C:C,Manpower!D:D,)</f>
        <v>141169071</v>
      </c>
      <c r="G2335" s="28" t="str">
        <f>_xlfn.XLOOKUP(Table134526_79101120212223242526[[#This Row],[Name Surname]],Manpower!$C$4:$C$1048576,Manpower!$F$4:$F$1048576,"")</f>
        <v>Welding Supervisor</v>
      </c>
      <c r="H2335" s="28" t="str">
        <f>_xlfn.XLOOKUP(Table134526_79101120212223242526[[#This Row],[Name Surname]],Manpower!$C$4:$C$1048576,Manpower!$H$4:$H$1048576,"")</f>
        <v>Manpower</v>
      </c>
      <c r="I2335" s="28" t="str">
        <f>_xlfn.XLOOKUP(Table134526_79101120212223242526[[#This Row],[Name Surname]],Manpower!$C$4:$C$1048576,Manpower!$H$4:$H$1048576,"")</f>
        <v>Manpower</v>
      </c>
      <c r="J2335" s="21" t="s">
        <v>48</v>
      </c>
      <c r="K2335" s="21" t="s">
        <v>26</v>
      </c>
      <c r="L2335" s="21" t="s">
        <v>49</v>
      </c>
      <c r="M2335" s="21" t="s">
        <v>24</v>
      </c>
      <c r="N2335" s="29">
        <v>10</v>
      </c>
      <c r="O2335" s="21" t="s">
        <v>25</v>
      </c>
      <c r="P2335" s="21" t="s">
        <v>41</v>
      </c>
      <c r="Q2335" s="21" t="s">
        <v>60</v>
      </c>
      <c r="R2335" s="21" t="s">
        <v>365</v>
      </c>
    </row>
    <row r="2336" spans="1:19" ht="14.4" hidden="1">
      <c r="A2336" s="33">
        <f>IF(C2336="","",MAX($A$1:A2335)+1)</f>
        <v>2182</v>
      </c>
      <c r="B2336" s="33" t="s">
        <v>19</v>
      </c>
      <c r="C2336" s="23">
        <v>46100</v>
      </c>
      <c r="D2336" s="28" t="str">
        <f>_xlfn.XLOOKUP(Table134526_79101120212223242526[[#This Row],[Name Surname]],Manpower!$C$4:$C$1048576,Manpower!$B$4:$B$1048576,"")</f>
        <v>Encogroup</v>
      </c>
      <c r="E2336" s="21" t="s">
        <v>61</v>
      </c>
      <c r="F2336" s="12">
        <f>_xlfn.XLOOKUP(Table134526_79101120212223242526[[#This Row],[Name Surname]],Manpower!C:C,Manpower!D:D,)</f>
        <v>141169047</v>
      </c>
      <c r="G2336" s="28" t="str">
        <f>_xlfn.XLOOKUP(Table134526_79101120212223242526[[#This Row],[Name Surname]],Manpower!$C$4:$C$1048576,Manpower!$F$4:$F$1048576,"")</f>
        <v>Welder</v>
      </c>
      <c r="H2336" s="28" t="str">
        <f>_xlfn.XLOOKUP(Table134526_79101120212223242526[[#This Row],[Name Surname]],Manpower!$C$4:$C$1048576,Manpower!$H$4:$H$1048576,"")</f>
        <v>Manpower</v>
      </c>
      <c r="I2336" s="28" t="str">
        <f>_xlfn.XLOOKUP(Table134526_79101120212223242526[[#This Row],[Name Surname]],Manpower!$C$4:$C$1048576,Manpower!$H$4:$H$1048576,"")</f>
        <v>Manpower</v>
      </c>
      <c r="J2336" s="21" t="s">
        <v>48</v>
      </c>
      <c r="K2336" s="21" t="s">
        <v>26</v>
      </c>
      <c r="L2336" s="21" t="s">
        <v>49</v>
      </c>
      <c r="M2336" s="21" t="s">
        <v>24</v>
      </c>
      <c r="N2336" s="29">
        <v>10</v>
      </c>
      <c r="O2336" s="21" t="s">
        <v>25</v>
      </c>
      <c r="P2336" s="21" t="s">
        <v>41</v>
      </c>
      <c r="Q2336" s="21" t="s">
        <v>60</v>
      </c>
      <c r="R2336" s="21" t="s">
        <v>365</v>
      </c>
    </row>
    <row r="2337" spans="1:18" ht="14.4" hidden="1">
      <c r="A2337" s="33">
        <f>IF(C2337="","",MAX($A$1:A2336)+1)</f>
        <v>2183</v>
      </c>
      <c r="B2337" s="33" t="s">
        <v>19</v>
      </c>
      <c r="C2337" s="23">
        <v>46100</v>
      </c>
      <c r="D2337" s="28" t="str">
        <f>_xlfn.XLOOKUP(Table134526_79101120212223242526[[#This Row],[Name Surname]],Manpower!$C$4:$C$1048576,Manpower!$B$4:$B$1048576,"")</f>
        <v>Encogroup</v>
      </c>
      <c r="E2337" s="21" t="s">
        <v>59</v>
      </c>
      <c r="F2337" s="12">
        <f>_xlfn.XLOOKUP(Table134526_79101120212223242526[[#This Row],[Name Surname]],Manpower!C:C,Manpower!D:D,)</f>
        <v>141169085</v>
      </c>
      <c r="G2337" s="28" t="str">
        <f>_xlfn.XLOOKUP(Table134526_79101120212223242526[[#This Row],[Name Surname]],Manpower!$C$4:$C$1048576,Manpower!$F$4:$F$1048576,"")</f>
        <v>Welder</v>
      </c>
      <c r="H2337" s="28" t="str">
        <f>_xlfn.XLOOKUP(Table134526_79101120212223242526[[#This Row],[Name Surname]],Manpower!$C$4:$C$1048576,Manpower!$H$4:$H$1048576,"")</f>
        <v>Manpower</v>
      </c>
      <c r="I2337" s="28" t="str">
        <f>_xlfn.XLOOKUP(Table134526_79101120212223242526[[#This Row],[Name Surname]],Manpower!$C$4:$C$1048576,Manpower!$H$4:$H$1048576,"")</f>
        <v>Manpower</v>
      </c>
      <c r="J2337" s="21" t="s">
        <v>48</v>
      </c>
      <c r="K2337" s="21" t="s">
        <v>26</v>
      </c>
      <c r="L2337" s="21" t="s">
        <v>49</v>
      </c>
      <c r="M2337" s="21" t="s">
        <v>24</v>
      </c>
      <c r="N2337" s="29">
        <v>10</v>
      </c>
      <c r="O2337" s="21" t="s">
        <v>25</v>
      </c>
      <c r="P2337" s="21" t="s">
        <v>41</v>
      </c>
      <c r="Q2337" s="21" t="s">
        <v>60</v>
      </c>
      <c r="R2337" s="21" t="s">
        <v>365</v>
      </c>
    </row>
    <row r="2338" spans="1:18" ht="14.4" hidden="1">
      <c r="A2338" s="33">
        <f>IF(C2338="","",MAX($A$1:A2337)+1)</f>
        <v>2184</v>
      </c>
      <c r="B2338" s="33" t="s">
        <v>19</v>
      </c>
      <c r="C2338" s="23">
        <v>46100</v>
      </c>
      <c r="D2338" s="28" t="str">
        <f>_xlfn.XLOOKUP(Table134526_79101120212223242526[[#This Row],[Name Surname]],Manpower!$C$4:$C$1048576,Manpower!$B$4:$B$1048576,"")</f>
        <v>Encogroup</v>
      </c>
      <c r="E2338" s="21" t="s">
        <v>70</v>
      </c>
      <c r="F2338" s="12">
        <f>_xlfn.XLOOKUP(Table134526_79101120212223242526[[#This Row],[Name Surname]],Manpower!C:C,Manpower!D:D,)</f>
        <v>141365126</v>
      </c>
      <c r="G2338" s="28" t="str">
        <f>_xlfn.XLOOKUP(Table134526_79101120212223242526[[#This Row],[Name Surname]],Manpower!$C$4:$C$1048576,Manpower!$F$4:$F$1048576,"")</f>
        <v>Helper</v>
      </c>
      <c r="H2338" s="28" t="str">
        <f>_xlfn.XLOOKUP(Table134526_79101120212223242526[[#This Row],[Name Surname]],Manpower!$C$4:$C$1048576,Manpower!$H$4:$H$1048576,"")</f>
        <v>Manpower</v>
      </c>
      <c r="I2338" s="28" t="str">
        <f>_xlfn.XLOOKUP(Table134526_79101120212223242526[[#This Row],[Name Surname]],Manpower!$C$4:$C$1048576,Manpower!$H$4:$H$1048576,"")</f>
        <v>Manpower</v>
      </c>
      <c r="J2338" s="21" t="s">
        <v>48</v>
      </c>
      <c r="K2338" s="21" t="s">
        <v>26</v>
      </c>
      <c r="L2338" s="21" t="s">
        <v>49</v>
      </c>
      <c r="M2338" s="21" t="s">
        <v>24</v>
      </c>
      <c r="N2338" s="29">
        <v>10</v>
      </c>
      <c r="O2338" s="21" t="s">
        <v>25</v>
      </c>
      <c r="P2338" s="21" t="s">
        <v>41</v>
      </c>
      <c r="Q2338" s="21" t="s">
        <v>60</v>
      </c>
      <c r="R2338" s="21" t="s">
        <v>365</v>
      </c>
    </row>
    <row r="2339" spans="1:18" ht="14.4" hidden="1">
      <c r="A2339" s="33">
        <f>IF(C2339="","",MAX($A$1:A2338)+1)</f>
        <v>2185</v>
      </c>
      <c r="B2339" s="33" t="s">
        <v>19</v>
      </c>
      <c r="C2339" s="23">
        <v>46100</v>
      </c>
      <c r="D2339" s="28" t="str">
        <f>_xlfn.XLOOKUP(Table134526_79101120212223242526[[#This Row],[Name Surname]],Manpower!$C$4:$C$1048576,Manpower!$B$4:$B$1048576,"")</f>
        <v>Bright Light</v>
      </c>
      <c r="E2339" s="21" t="s">
        <v>71</v>
      </c>
      <c r="F2339" s="12">
        <f>_xlfn.XLOOKUP(Table134526_79101120212223242526[[#This Row],[Name Surname]],Manpower!C:C,Manpower!D:D,)</f>
        <v>81379273</v>
      </c>
      <c r="G2339" s="28" t="str">
        <f>_xlfn.XLOOKUP(Table134526_79101120212223242526[[#This Row],[Name Surname]],Manpower!$C$4:$C$1048576,Manpower!$F$4:$F$1048576,"")</f>
        <v>Crane Operator-100T Sany Telescopic</v>
      </c>
      <c r="H2339" s="28" t="s">
        <v>39</v>
      </c>
      <c r="I2339" s="28" t="s">
        <v>39</v>
      </c>
      <c r="J2339" s="21" t="s">
        <v>48</v>
      </c>
      <c r="K2339" s="21" t="s">
        <v>26</v>
      </c>
      <c r="L2339" s="21" t="s">
        <v>49</v>
      </c>
      <c r="M2339" s="21" t="s">
        <v>24</v>
      </c>
      <c r="N2339" s="29">
        <v>10</v>
      </c>
      <c r="O2339" s="21" t="s">
        <v>40</v>
      </c>
      <c r="P2339" s="21" t="s">
        <v>41</v>
      </c>
      <c r="Q2339" s="21" t="s">
        <v>42</v>
      </c>
      <c r="R2339" s="21" t="s">
        <v>365</v>
      </c>
    </row>
    <row r="2340" spans="1:18" ht="14.4" hidden="1">
      <c r="A2340" s="33">
        <f>IF(C2340="","",MAX($A$1:A2339)+1)</f>
        <v>2186</v>
      </c>
      <c r="B2340" s="33" t="s">
        <v>19</v>
      </c>
      <c r="C2340" s="23">
        <v>46100</v>
      </c>
      <c r="D2340" s="28" t="str">
        <f>_xlfn.XLOOKUP(Table134526_79101120212223242526[[#This Row],[Name Surname]],Manpower!$C$4:$C$1048576,Manpower!$B$4:$B$1048576,"")</f>
        <v>Encogroup</v>
      </c>
      <c r="E2340" s="21" t="s">
        <v>73</v>
      </c>
      <c r="F2340" s="12">
        <f>_xlfn.XLOOKUP(Table134526_79101120212223242526[[#This Row],[Name Surname]],Manpower!C:C,Manpower!D:D,)</f>
        <v>135325259</v>
      </c>
      <c r="G2340" s="28" t="str">
        <f>_xlfn.XLOOKUP(Table134526_79101120212223242526[[#This Row],[Name Surname]],Manpower!$C$4:$C$1048576,Manpower!$F$4:$F$1048576,"")</f>
        <v>Permit Receiver</v>
      </c>
      <c r="H2340" s="28" t="str">
        <f>_xlfn.XLOOKUP(Table134526_79101120212223242526[[#This Row],[Name Surname]],Manpower!$C$4:$C$1048576,Manpower!$H$4:$H$1048576,"")</f>
        <v>Manpower</v>
      </c>
      <c r="I2340" s="28" t="str">
        <f>_xlfn.XLOOKUP(Table134526_79101120212223242526[[#This Row],[Name Surname]],Manpower!$C$4:$C$1048576,Manpower!$H$4:$H$1048576,"")</f>
        <v>Manpower</v>
      </c>
      <c r="J2340" s="21" t="s">
        <v>48</v>
      </c>
      <c r="K2340" s="21" t="s">
        <v>26</v>
      </c>
      <c r="L2340" s="21" t="s">
        <v>49</v>
      </c>
      <c r="M2340" s="21" t="s">
        <v>24</v>
      </c>
      <c r="N2340" s="29">
        <v>10</v>
      </c>
      <c r="O2340" s="21" t="s">
        <v>25</v>
      </c>
      <c r="P2340" s="21" t="s">
        <v>41</v>
      </c>
      <c r="Q2340" s="21" t="s">
        <v>60</v>
      </c>
      <c r="R2340" s="21" t="s">
        <v>365</v>
      </c>
    </row>
    <row r="2341" spans="1:18" ht="14.4" hidden="1">
      <c r="A2341" s="33">
        <f>IF(C2341="","",MAX($A$1:A2340)+1)</f>
        <v>2187</v>
      </c>
      <c r="B2341" s="33" t="s">
        <v>19</v>
      </c>
      <c r="C2341" s="23">
        <v>46100</v>
      </c>
      <c r="D2341" s="28" t="str">
        <f>_xlfn.XLOOKUP(Table134526_79101120212223242526[[#This Row],[Name Surname]],Manpower!$C$4:$C$1048576,Manpower!$B$4:$B$1048576,"")</f>
        <v>Encogroup</v>
      </c>
      <c r="E2341" s="21" t="s">
        <v>74</v>
      </c>
      <c r="F2341" s="12">
        <f>_xlfn.XLOOKUP(Table134526_79101120212223242526[[#This Row],[Name Surname]],Manpower!C:C,Manpower!D:D,)</f>
        <v>141365089</v>
      </c>
      <c r="G2341" s="28" t="str">
        <f>_xlfn.XLOOKUP(Table134526_79101120212223242526[[#This Row],[Name Surname]],Manpower!$C$4:$C$1048576,Manpower!$F$4:$F$1048576,"")</f>
        <v>Fitter</v>
      </c>
      <c r="H2341" s="28" t="str">
        <f>_xlfn.XLOOKUP(Table134526_79101120212223242526[[#This Row],[Name Surname]],Manpower!$C$4:$C$1048576,Manpower!$H$4:$H$1048576,"")</f>
        <v>Manpower</v>
      </c>
      <c r="I2341" s="28" t="str">
        <f>_xlfn.XLOOKUP(Table134526_79101120212223242526[[#This Row],[Name Surname]],Manpower!$C$4:$C$1048576,Manpower!$H$4:$H$1048576,"")</f>
        <v>Manpower</v>
      </c>
      <c r="J2341" s="21" t="s">
        <v>48</v>
      </c>
      <c r="K2341" s="21" t="s">
        <v>26</v>
      </c>
      <c r="L2341" s="21" t="s">
        <v>49</v>
      </c>
      <c r="M2341" s="21" t="s">
        <v>24</v>
      </c>
      <c r="N2341" s="29">
        <v>10</v>
      </c>
      <c r="O2341" s="21" t="s">
        <v>25</v>
      </c>
      <c r="P2341" s="21" t="s">
        <v>41</v>
      </c>
      <c r="Q2341" s="21" t="s">
        <v>60</v>
      </c>
      <c r="R2341" s="21" t="s">
        <v>365</v>
      </c>
    </row>
    <row r="2342" spans="1:18" ht="14.4" hidden="1">
      <c r="A2342" s="33">
        <f>IF(C2342="","",MAX($A$1:A2341)+1)</f>
        <v>2188</v>
      </c>
      <c r="B2342" s="33" t="s">
        <v>19</v>
      </c>
      <c r="C2342" s="23">
        <v>46100</v>
      </c>
      <c r="D2342" s="28" t="str">
        <f>_xlfn.XLOOKUP(Table134526_79101120212223242526[[#This Row],[Name Surname]],Manpower!$C$4:$C$1048576,Manpower!$B$4:$B$1048576,"")</f>
        <v>Encogroup</v>
      </c>
      <c r="E2342" s="21" t="s">
        <v>75</v>
      </c>
      <c r="F2342" s="12">
        <f>_xlfn.XLOOKUP(Table134526_79101120212223242526[[#This Row],[Name Surname]],Manpower!C:C,Manpower!D:D,)</f>
        <v>122179604</v>
      </c>
      <c r="G2342" s="28" t="str">
        <f>_xlfn.XLOOKUP(Table134526_79101120212223242526[[#This Row],[Name Surname]],Manpower!$C$4:$C$1048576,Manpower!$F$4:$F$1048576,"")</f>
        <v>Fitter/Erector</v>
      </c>
      <c r="H2342" s="28" t="str">
        <f>_xlfn.XLOOKUP(Table134526_79101120212223242526[[#This Row],[Name Surname]],Manpower!$C$4:$C$1048576,Manpower!$H$4:$H$1048576,"")</f>
        <v>Manpower</v>
      </c>
      <c r="I2342" s="28" t="str">
        <f>_xlfn.XLOOKUP(Table134526_79101120212223242526[[#This Row],[Name Surname]],Manpower!$C$4:$C$1048576,Manpower!$H$4:$H$1048576,"")</f>
        <v>Manpower</v>
      </c>
      <c r="J2342" s="21" t="s">
        <v>48</v>
      </c>
      <c r="K2342" s="21" t="s">
        <v>26</v>
      </c>
      <c r="L2342" s="21" t="s">
        <v>49</v>
      </c>
      <c r="M2342" s="21" t="s">
        <v>24</v>
      </c>
      <c r="N2342" s="29">
        <v>10</v>
      </c>
      <c r="O2342" s="21" t="s">
        <v>25</v>
      </c>
      <c r="P2342" s="21" t="s">
        <v>41</v>
      </c>
      <c r="Q2342" s="21" t="s">
        <v>60</v>
      </c>
      <c r="R2342" s="21" t="s">
        <v>365</v>
      </c>
    </row>
    <row r="2343" spans="1:18" ht="14.4" hidden="1">
      <c r="A2343" s="33">
        <f>IF(C2343="","",MAX($A$1:A2342)+1)</f>
        <v>2189</v>
      </c>
      <c r="B2343" s="33" t="s">
        <v>19</v>
      </c>
      <c r="C2343" s="23">
        <v>46100</v>
      </c>
      <c r="D2343" s="28" t="str">
        <f>_xlfn.XLOOKUP(Table134526_79101120212223242526[[#This Row],[Name Surname]],Manpower!$C$4:$C$1048576,Manpower!$B$4:$B$1048576,"")</f>
        <v>Encogroup</v>
      </c>
      <c r="E2343" s="21" t="s">
        <v>78</v>
      </c>
      <c r="F2343" s="12">
        <f>_xlfn.XLOOKUP(Table134526_79101120212223242526[[#This Row],[Name Surname]],Manpower!C:C,Manpower!D:D,)</f>
        <v>117255966</v>
      </c>
      <c r="G2343" s="28" t="str">
        <f>_xlfn.XLOOKUP(Table134526_79101120212223242526[[#This Row],[Name Surname]],Manpower!$C$4:$C$1048576,Manpower!$F$4:$F$1048576,"")</f>
        <v>Mechanical Supervisor</v>
      </c>
      <c r="H2343" s="28" t="str">
        <f>_xlfn.XLOOKUP(Table134526_79101120212223242526[[#This Row],[Name Surname]],Manpower!$C$4:$C$1048576,Manpower!$H$4:$H$1048576,"")</f>
        <v>Manpower</v>
      </c>
      <c r="I2343" s="28" t="str">
        <f>_xlfn.XLOOKUP(Table134526_79101120212223242526[[#This Row],[Name Surname]],Manpower!$C$4:$C$1048576,Manpower!$H$4:$H$1048576,"")</f>
        <v>Manpower</v>
      </c>
      <c r="J2343" s="21" t="s">
        <v>48</v>
      </c>
      <c r="K2343" s="21" t="s">
        <v>26</v>
      </c>
      <c r="L2343" s="21" t="s">
        <v>49</v>
      </c>
      <c r="M2343" s="21" t="s">
        <v>24</v>
      </c>
      <c r="N2343" s="29">
        <v>10</v>
      </c>
      <c r="O2343" s="21" t="s">
        <v>25</v>
      </c>
      <c r="P2343" s="21" t="s">
        <v>41</v>
      </c>
      <c r="Q2343" s="21" t="s">
        <v>60</v>
      </c>
      <c r="R2343" s="21" t="s">
        <v>365</v>
      </c>
    </row>
    <row r="2344" spans="1:18" ht="14.4">
      <c r="A2344" s="33">
        <f>IF(C2344="","",MAX($A$1:A2343)+1)</f>
        <v>2190</v>
      </c>
      <c r="B2344" s="26" t="s">
        <v>79</v>
      </c>
      <c r="C2344" s="23">
        <v>46100</v>
      </c>
      <c r="D2344" s="28" t="str">
        <f>_xlfn.XLOOKUP(Table134526_79101120212223242526[[#This Row],[Name Surname]],Manpower!$C$4:$C$1048576,Manpower!$B$4:$B$1048576,"")</f>
        <v>Encogroup</v>
      </c>
      <c r="E2344" s="21" t="s">
        <v>80</v>
      </c>
      <c r="F2344" s="12" t="e">
        <f>_xlfn.XLOOKUP(Table134526_79101120212223242526[[#This Row],[Name Surname]],Manpower!C:C,Manpower!D:D,)</f>
        <v>#N/A</v>
      </c>
      <c r="G2344" s="28" t="str">
        <f>_xlfn.XLOOKUP(Table134526_79101120212223242526[[#This Row],[Name Surname]],Manpower!$C$4:$C$1048576,Manpower!$F$4:$F$1048576,"")</f>
        <v>22M-Manlift</v>
      </c>
      <c r="H2344" s="28" t="str">
        <f>_xlfn.XLOOKUP(Table134526_79101120212223242526[[#This Row],[Name Surname]],Manpower!$C$4:$C$1048576,Manpower!$H$4:$H$1048576,"")</f>
        <v>Equipment</v>
      </c>
      <c r="I2344" s="28" t="str">
        <f>_xlfn.XLOOKUP(Table134526_79101120212223242526[[#This Row],[Name Surname]],Manpower!$C$4:$C$1048576,Manpower!$H$4:$H$1048576,"")</f>
        <v>Equipment</v>
      </c>
      <c r="J2344" s="21" t="s">
        <v>35</v>
      </c>
      <c r="K2344" s="21" t="s">
        <v>252</v>
      </c>
      <c r="L2344" s="21" t="s">
        <v>82</v>
      </c>
      <c r="M2344" s="21" t="s">
        <v>24</v>
      </c>
      <c r="N2344" s="29">
        <v>10</v>
      </c>
      <c r="O2344" s="21" t="s">
        <v>25</v>
      </c>
      <c r="P2344" s="21" t="s">
        <v>41</v>
      </c>
      <c r="Q2344" s="21" t="s">
        <v>77</v>
      </c>
      <c r="R2344" s="21" t="s">
        <v>350</v>
      </c>
    </row>
    <row r="2345" spans="1:18" ht="14.4">
      <c r="A2345" s="33">
        <f>IF(C2345="","",MAX($A$1:A2344)+1)</f>
        <v>2191</v>
      </c>
      <c r="B2345" s="26" t="s">
        <v>79</v>
      </c>
      <c r="C2345" s="23">
        <v>46100</v>
      </c>
      <c r="D2345" s="28" t="str">
        <f>_xlfn.XLOOKUP(Table134526_79101120212223242526[[#This Row],[Name Surname]],Manpower!$C$4:$C$1048576,Manpower!$B$4:$B$1048576,"")</f>
        <v>Encogroup</v>
      </c>
      <c r="E2345" s="21" t="s">
        <v>84</v>
      </c>
      <c r="F2345" s="12" t="e">
        <f>_xlfn.XLOOKUP(Table134526_79101120212223242526[[#This Row],[Name Surname]],Manpower!C:C,Manpower!D:D,)</f>
        <v>#N/A</v>
      </c>
      <c r="G2345" s="28" t="str">
        <f>_xlfn.XLOOKUP(Table134526_79101120212223242526[[#This Row],[Name Surname]],Manpower!$C$4:$C$1048576,Manpower!$F$4:$F$1048576,"")</f>
        <v>22M-Manlift</v>
      </c>
      <c r="H2345" s="28" t="str">
        <f>_xlfn.XLOOKUP(Table134526_79101120212223242526[[#This Row],[Name Surname]],Manpower!$C$4:$C$1048576,Manpower!$H$4:$H$1048576,"")</f>
        <v>Equipment</v>
      </c>
      <c r="I2345" s="28" t="str">
        <f>_xlfn.XLOOKUP(Table134526_79101120212223242526[[#This Row],[Name Surname]],Manpower!$C$4:$C$1048576,Manpower!$H$4:$H$1048576,"")</f>
        <v>Equipment</v>
      </c>
      <c r="J2345" s="21" t="s">
        <v>35</v>
      </c>
      <c r="K2345" s="21" t="s">
        <v>252</v>
      </c>
      <c r="L2345" s="21" t="s">
        <v>82</v>
      </c>
      <c r="M2345" s="21" t="s">
        <v>24</v>
      </c>
      <c r="N2345" s="29">
        <v>10</v>
      </c>
      <c r="O2345" s="21" t="s">
        <v>25</v>
      </c>
      <c r="P2345" s="21" t="s">
        <v>41</v>
      </c>
      <c r="Q2345" s="21" t="s">
        <v>77</v>
      </c>
      <c r="R2345" s="21" t="s">
        <v>351</v>
      </c>
    </row>
    <row r="2346" spans="1:18" ht="14.4">
      <c r="A2346" s="33">
        <f>IF(C2346="","",MAX($A$1:A2345)+1)</f>
        <v>2192</v>
      </c>
      <c r="B2346" s="26" t="s">
        <v>79</v>
      </c>
      <c r="C2346" s="23">
        <v>46100</v>
      </c>
      <c r="D2346" s="28" t="str">
        <f>_xlfn.XLOOKUP(Table134526_79101120212223242526[[#This Row],[Name Surname]],Manpower!$C$4:$C$1048576,Manpower!$B$4:$B$1048576,"")</f>
        <v>Nass Group</v>
      </c>
      <c r="E2346" s="21" t="s">
        <v>86</v>
      </c>
      <c r="F2346" s="12" t="e">
        <f>_xlfn.XLOOKUP(Table134526_79101120212223242526[[#This Row],[Name Surname]],Manpower!C:C,Manpower!D:D,)</f>
        <v>#N/A</v>
      </c>
      <c r="G2346" s="28" t="str">
        <f>_xlfn.XLOOKUP(Table134526_79101120212223242526[[#This Row],[Name Surname]],Manpower!$C$4:$C$1048576,Manpower!$F$4:$F$1048576,"")</f>
        <v>70T-Telescopic crane</v>
      </c>
      <c r="H2346" s="28" t="str">
        <f>_xlfn.XLOOKUP(Table134526_79101120212223242526[[#This Row],[Name Surname]],Manpower!$C$4:$C$1048576,Manpower!$H$4:$H$1048576,"")</f>
        <v>Equipment</v>
      </c>
      <c r="I2346" s="28" t="str">
        <f>_xlfn.XLOOKUP(Table134526_79101120212223242526[[#This Row],[Name Surname]],Manpower!$C$4:$C$1048576,Manpower!$H$4:$H$1048576,"")</f>
        <v>Equipment</v>
      </c>
      <c r="J2346" s="21" t="s">
        <v>35</v>
      </c>
      <c r="K2346" s="21" t="s">
        <v>252</v>
      </c>
      <c r="L2346" s="21" t="s">
        <v>82</v>
      </c>
      <c r="M2346" s="21" t="s">
        <v>24</v>
      </c>
      <c r="N2346" s="29">
        <v>10</v>
      </c>
      <c r="O2346" s="21" t="s">
        <v>40</v>
      </c>
      <c r="P2346" s="21" t="s">
        <v>41</v>
      </c>
      <c r="Q2346" s="21" t="s">
        <v>42</v>
      </c>
      <c r="R2346" s="21" t="s">
        <v>335</v>
      </c>
    </row>
    <row r="2347" spans="1:18" ht="14.4" hidden="1">
      <c r="A2347" s="33">
        <f>IF(C2347="","",MAX($A$1:A2346)+1)</f>
        <v>2193</v>
      </c>
      <c r="B2347" s="26" t="s">
        <v>79</v>
      </c>
      <c r="C2347" s="23">
        <v>46100</v>
      </c>
      <c r="D2347" s="28" t="str">
        <f>_xlfn.XLOOKUP(Table134526_79101120212223242526[[#This Row],[Name Surname]],Manpower!$C$4:$C$1048576,Manpower!$B$4:$B$1048576,"")</f>
        <v>SARENS NASS</v>
      </c>
      <c r="E2347" s="21" t="s">
        <v>103</v>
      </c>
      <c r="F2347" s="12">
        <f>_xlfn.XLOOKUP(Table134526_79101120212223242526[[#This Row],[Name Surname]],Manpower!C:C,Manpower!D:D,)</f>
        <v>79502392</v>
      </c>
      <c r="G2347" s="28" t="str">
        <f>_xlfn.XLOOKUP(Table134526_79101120212223242526[[#This Row],[Name Surname]],Manpower!$C$4:$C$1048576,Manpower!$F$4:$F$1048576,"")</f>
        <v>Crane Operator- 70T Liebherr Telescopic Crane-01</v>
      </c>
      <c r="H2347" s="28" t="str">
        <f>_xlfn.XLOOKUP(Table134526_79101120212223242526[[#This Row],[Name Surname]],Manpower!$C$4:$C$1048576,Manpower!$H$4:$H$1048576,"")</f>
        <v>Manpower</v>
      </c>
      <c r="I2347" s="28" t="str">
        <f>_xlfn.XLOOKUP(Table134526_79101120212223242526[[#This Row],[Name Surname]],Manpower!$C$4:$C$1048576,Manpower!$H$4:$H$1048576,"")</f>
        <v>Manpower</v>
      </c>
      <c r="J2347" s="21" t="s">
        <v>35</v>
      </c>
      <c r="K2347" s="21" t="s">
        <v>252</v>
      </c>
      <c r="L2347" s="21" t="s">
        <v>82</v>
      </c>
      <c r="M2347" s="21" t="s">
        <v>24</v>
      </c>
      <c r="N2347" s="29">
        <v>10</v>
      </c>
      <c r="O2347" s="21" t="s">
        <v>40</v>
      </c>
      <c r="P2347" s="21" t="s">
        <v>41</v>
      </c>
      <c r="Q2347" s="21" t="s">
        <v>42</v>
      </c>
      <c r="R2347" s="21" t="s">
        <v>43</v>
      </c>
    </row>
    <row r="2348" spans="1:18" ht="14.4">
      <c r="A2348" s="33">
        <f>IF(C2348="","",MAX($A$1:A2347)+1)</f>
        <v>2194</v>
      </c>
      <c r="B2348" s="26" t="s">
        <v>79</v>
      </c>
      <c r="C2348" s="23">
        <v>46100</v>
      </c>
      <c r="D2348" s="28" t="str">
        <f>_xlfn.XLOOKUP(Table134526_79101120212223242526[[#This Row],[Name Surname]],Manpower!$C$4:$C$1048576,Manpower!$B$4:$B$1048576,"")</f>
        <v>Nass Group</v>
      </c>
      <c r="E2348" s="21" t="s">
        <v>146</v>
      </c>
      <c r="F2348" s="12" t="e">
        <f>_xlfn.XLOOKUP(Table134526_79101120212223242526[[#This Row],[Name Surname]],Manpower!C:C,Manpower!D:D,)</f>
        <v>#N/A</v>
      </c>
      <c r="G2348" s="28" t="str">
        <f>_xlfn.XLOOKUP(Table134526_79101120212223242526[[#This Row],[Name Surname]],Manpower!$C$4:$C$1048576,Manpower!$F$4:$F$1048576,"")</f>
        <v>130T Crawler Crane</v>
      </c>
      <c r="H2348" s="28" t="str">
        <f>_xlfn.XLOOKUP(Table134526_79101120212223242526[[#This Row],[Name Surname]],Manpower!$C$4:$C$1048576,Manpower!$H$4:$H$1048576,"")</f>
        <v>Equipment</v>
      </c>
      <c r="I2348" s="28" t="str">
        <f>_xlfn.XLOOKUP(Table134526_79101120212223242526[[#This Row],[Name Surname]],Manpower!$C$4:$C$1048576,Manpower!$H$4:$H$1048576,"")</f>
        <v>Equipment</v>
      </c>
      <c r="J2348" s="21" t="s">
        <v>35</v>
      </c>
      <c r="K2348" s="21" t="s">
        <v>335</v>
      </c>
      <c r="L2348" s="21" t="s">
        <v>82</v>
      </c>
      <c r="M2348" s="21" t="s">
        <v>55</v>
      </c>
      <c r="N2348" s="29">
        <v>10</v>
      </c>
      <c r="R2348" s="21" t="s">
        <v>366</v>
      </c>
    </row>
    <row r="2349" spans="1:18" ht="14.4" hidden="1">
      <c r="A2349" s="33">
        <f>IF(C2349="","",MAX($A$1:A2348)+1)</f>
        <v>2195</v>
      </c>
      <c r="B2349" s="26" t="s">
        <v>79</v>
      </c>
      <c r="C2349" s="23">
        <v>46100</v>
      </c>
      <c r="D2349" s="28" t="str">
        <f>_xlfn.XLOOKUP(Table134526_79101120212223242526[[#This Row],[Name Surname]],Manpower!$C$4:$C$1048576,Manpower!$B$4:$B$1048576,"")</f>
        <v>SARENS NASS</v>
      </c>
      <c r="E2349" s="21" t="s">
        <v>214</v>
      </c>
      <c r="F2349" s="12">
        <f>_xlfn.XLOOKUP(Table134526_79101120212223242526[[#This Row],[Name Surname]],Manpower!C:C,Manpower!D:D,)</f>
        <v>109957631</v>
      </c>
      <c r="G2349" s="28" t="str">
        <f>_xlfn.XLOOKUP(Table134526_79101120212223242526[[#This Row],[Name Surname]],Manpower!$C$4:$C$1048576,Manpower!$F$4:$F$1048576,"")</f>
        <v>Crane Operator-130T Liebherr Crawler</v>
      </c>
      <c r="H2349" s="28" t="str">
        <f>_xlfn.XLOOKUP(Table134526_79101120212223242526[[#This Row],[Name Surname]],Manpower!$C$4:$C$1048576,Manpower!$H$4:$H$1048576,"")</f>
        <v>Manpower</v>
      </c>
      <c r="I2349" s="28" t="str">
        <f>_xlfn.XLOOKUP(Table134526_79101120212223242526[[#This Row],[Name Surname]],Manpower!$C$4:$C$1048576,Manpower!$H$4:$H$1048576,"")</f>
        <v>Manpower</v>
      </c>
      <c r="J2349" s="21" t="s">
        <v>35</v>
      </c>
      <c r="K2349" s="21" t="s">
        <v>335</v>
      </c>
      <c r="L2349" s="21" t="s">
        <v>82</v>
      </c>
      <c r="M2349" s="21" t="s">
        <v>55</v>
      </c>
      <c r="N2349" s="29">
        <v>10</v>
      </c>
      <c r="R2349" s="21" t="s">
        <v>366</v>
      </c>
    </row>
    <row r="2350" spans="1:18" ht="14.4" hidden="1">
      <c r="A2350" s="33">
        <f>IF(C2350="","",MAX($A$1:A2349)+1)</f>
        <v>2196</v>
      </c>
      <c r="B2350" s="26" t="s">
        <v>79</v>
      </c>
      <c r="C2350" s="23">
        <v>46100</v>
      </c>
      <c r="D2350" s="28" t="str">
        <f>_xlfn.XLOOKUP(Table134526_79101120212223242526[[#This Row],[Name Surname]],Manpower!$C$4:$C$1048576,Manpower!$B$4:$B$1048576,"")</f>
        <v>Encogroup</v>
      </c>
      <c r="E2350" s="21" t="s">
        <v>91</v>
      </c>
      <c r="F2350" s="12">
        <f>_xlfn.XLOOKUP(Table134526_79101120212223242526[[#This Row],[Name Surname]],Manpower!C:C,Manpower!D:D,)</f>
        <v>132915855</v>
      </c>
      <c r="G2350" s="28" t="str">
        <f>_xlfn.XLOOKUP(Table134526_79101120212223242526[[#This Row],[Name Surname]],Manpower!$C$4:$C$1048576,Manpower!$F$4:$F$1048576,"")</f>
        <v>Mechanical Supervisor</v>
      </c>
      <c r="H2350" s="28" t="str">
        <f>_xlfn.XLOOKUP(Table134526_79101120212223242526[[#This Row],[Name Surname]],Manpower!$C$4:$C$1048576,Manpower!$H$4:$H$1048576,"")</f>
        <v>Manpower</v>
      </c>
      <c r="I2350" s="28" t="str">
        <f>_xlfn.XLOOKUP(Table134526_79101120212223242526[[#This Row],[Name Surname]],Manpower!$C$4:$C$1048576,Manpower!$H$4:$H$1048576,"")</f>
        <v>Manpower</v>
      </c>
      <c r="J2350" s="21" t="s">
        <v>35</v>
      </c>
      <c r="K2350" s="21" t="s">
        <v>252</v>
      </c>
      <c r="L2350" s="21" t="s">
        <v>82</v>
      </c>
      <c r="M2350" s="21" t="s">
        <v>24</v>
      </c>
      <c r="N2350" s="29">
        <v>8</v>
      </c>
      <c r="O2350" s="21" t="s">
        <v>25</v>
      </c>
      <c r="P2350" s="21" t="s">
        <v>60</v>
      </c>
      <c r="Q2350" s="21" t="s">
        <v>60</v>
      </c>
      <c r="R2350" s="21" t="s">
        <v>352</v>
      </c>
    </row>
    <row r="2351" spans="1:18" ht="14.4" hidden="1">
      <c r="A2351" s="33">
        <f>IF(C2351="","",MAX($A$1:A2350)+1)</f>
        <v>2197</v>
      </c>
      <c r="B2351" s="26" t="s">
        <v>79</v>
      </c>
      <c r="C2351" s="23">
        <v>46100</v>
      </c>
      <c r="D2351" s="28" t="str">
        <f>_xlfn.XLOOKUP(Table134526_79101120212223242526[[#This Row],[Name Surname]],Manpower!$C$4:$C$1048576,Manpower!$B$4:$B$1048576,"")</f>
        <v>Encogroup</v>
      </c>
      <c r="E2351" s="21" t="s">
        <v>124</v>
      </c>
      <c r="F2351" s="12">
        <f>_xlfn.XLOOKUP(Table134526_79101120212223242526[[#This Row],[Name Surname]],Manpower!C:C,Manpower!D:D,)</f>
        <v>141169033</v>
      </c>
      <c r="G2351" s="28" t="str">
        <f>_xlfn.XLOOKUP(Table134526_79101120212223242526[[#This Row],[Name Surname]],Manpower!$C$4:$C$1048576,Manpower!$F$4:$F$1048576,"")</f>
        <v>Welder</v>
      </c>
      <c r="H2351" s="28" t="str">
        <f>_xlfn.XLOOKUP(Table134526_79101120212223242526[[#This Row],[Name Surname]],Manpower!$C$4:$C$1048576,Manpower!$H$4:$H$1048576,"")</f>
        <v>Manpower</v>
      </c>
      <c r="I2351" s="28" t="str">
        <f>_xlfn.XLOOKUP(Table134526_79101120212223242526[[#This Row],[Name Surname]],Manpower!$C$4:$C$1048576,Manpower!$H$4:$H$1048576,"")</f>
        <v>Manpower</v>
      </c>
      <c r="J2351" s="21" t="s">
        <v>35</v>
      </c>
      <c r="K2351" s="21" t="s">
        <v>252</v>
      </c>
      <c r="L2351" s="21" t="s">
        <v>82</v>
      </c>
      <c r="M2351" s="21" t="s">
        <v>24</v>
      </c>
      <c r="N2351" s="29">
        <v>10</v>
      </c>
      <c r="O2351" s="21" t="s">
        <v>25</v>
      </c>
      <c r="P2351" s="21" t="s">
        <v>41</v>
      </c>
      <c r="Q2351" s="21" t="s">
        <v>60</v>
      </c>
      <c r="R2351" s="21" t="s">
        <v>353</v>
      </c>
    </row>
    <row r="2352" spans="1:18" ht="14.4" hidden="1">
      <c r="A2352" s="33">
        <f>IF(C2352="","",MAX($A$1:A2351)+1)</f>
        <v>2198</v>
      </c>
      <c r="B2352" s="26" t="s">
        <v>79</v>
      </c>
      <c r="C2352" s="23">
        <v>46100</v>
      </c>
      <c r="D2352" s="28" t="str">
        <f>_xlfn.XLOOKUP(Table134526_79101120212223242526[[#This Row],[Name Surname]],Manpower!$C$4:$C$1048576,Manpower!$B$4:$B$1048576,"")</f>
        <v>Encogroup</v>
      </c>
      <c r="E2352" s="21" t="s">
        <v>97</v>
      </c>
      <c r="F2352" s="12">
        <f>_xlfn.XLOOKUP(Table134526_79101120212223242526[[#This Row],[Name Surname]],Manpower!C:C,Manpower!D:D,)</f>
        <v>141359235</v>
      </c>
      <c r="G2352" s="28" t="str">
        <f>_xlfn.XLOOKUP(Table134526_79101120212223242526[[#This Row],[Name Surname]],Manpower!$C$4:$C$1048576,Manpower!$F$4:$F$1048576,"")</f>
        <v>Fitter</v>
      </c>
      <c r="H2352" s="28" t="str">
        <f>_xlfn.XLOOKUP(Table134526_79101120212223242526[[#This Row],[Name Surname]],Manpower!$C$4:$C$1048576,Manpower!$H$4:$H$1048576,"")</f>
        <v>Manpower</v>
      </c>
      <c r="I2352" s="28" t="str">
        <f>_xlfn.XLOOKUP(Table134526_79101120212223242526[[#This Row],[Name Surname]],Manpower!$C$4:$C$1048576,Manpower!$H$4:$H$1048576,"")</f>
        <v>Manpower</v>
      </c>
      <c r="J2352" s="21" t="s">
        <v>35</v>
      </c>
      <c r="K2352" s="21" t="s">
        <v>252</v>
      </c>
      <c r="L2352" s="21" t="s">
        <v>82</v>
      </c>
      <c r="M2352" s="21" t="s">
        <v>24</v>
      </c>
      <c r="N2352" s="29">
        <v>10</v>
      </c>
      <c r="O2352" s="21" t="s">
        <v>25</v>
      </c>
      <c r="P2352" s="21" t="s">
        <v>41</v>
      </c>
      <c r="Q2352" s="21" t="s">
        <v>77</v>
      </c>
      <c r="R2352" s="21" t="s">
        <v>350</v>
      </c>
    </row>
    <row r="2353" spans="1:18" ht="14.4" hidden="1">
      <c r="A2353" s="33">
        <f>IF(C2353="","",MAX($A$1:A2352)+1)</f>
        <v>2199</v>
      </c>
      <c r="B2353" s="26" t="s">
        <v>79</v>
      </c>
      <c r="C2353" s="23">
        <v>46100</v>
      </c>
      <c r="D2353" s="28" t="str">
        <f>_xlfn.XLOOKUP(Table134526_79101120212223242526[[#This Row],[Name Surname]],Manpower!$C$4:$C$1048576,Manpower!$B$4:$B$1048576,"")</f>
        <v>Encogroup</v>
      </c>
      <c r="E2353" s="21" t="s">
        <v>99</v>
      </c>
      <c r="F2353" s="12">
        <f>_xlfn.XLOOKUP(Table134526_79101120212223242526[[#This Row],[Name Surname]],Manpower!C:C,Manpower!D:D,)</f>
        <v>140697025</v>
      </c>
      <c r="G2353" s="28" t="str">
        <f>_xlfn.XLOOKUP(Table134526_79101120212223242526[[#This Row],[Name Surname]],Manpower!$C$4:$C$1048576,Manpower!$F$4:$F$1048576,"")</f>
        <v>Assistant/Helper</v>
      </c>
      <c r="H2353" s="28" t="str">
        <f>_xlfn.XLOOKUP(Table134526_79101120212223242526[[#This Row],[Name Surname]],Manpower!$C$4:$C$1048576,Manpower!$H$4:$H$1048576,"")</f>
        <v>Manpower</v>
      </c>
      <c r="I2353" s="28" t="str">
        <f>_xlfn.XLOOKUP(Table134526_79101120212223242526[[#This Row],[Name Surname]],Manpower!$C$4:$C$1048576,Manpower!$H$4:$H$1048576,"")</f>
        <v>Manpower</v>
      </c>
      <c r="J2353" s="21" t="s">
        <v>35</v>
      </c>
      <c r="K2353" s="21" t="s">
        <v>252</v>
      </c>
      <c r="L2353" s="21" t="s">
        <v>82</v>
      </c>
      <c r="M2353" s="21" t="s">
        <v>24</v>
      </c>
      <c r="N2353" s="29">
        <v>10</v>
      </c>
      <c r="O2353" s="21" t="s">
        <v>25</v>
      </c>
      <c r="P2353" s="21" t="s">
        <v>41</v>
      </c>
      <c r="Q2353" s="21" t="s">
        <v>60</v>
      </c>
      <c r="R2353" s="21" t="s">
        <v>100</v>
      </c>
    </row>
    <row r="2354" spans="1:18" ht="14.4" hidden="1">
      <c r="A2354" s="33">
        <f>IF(C2354="","",MAX($A$1:A2353)+1)</f>
        <v>2200</v>
      </c>
      <c r="B2354" s="26" t="s">
        <v>79</v>
      </c>
      <c r="C2354" s="23">
        <v>46100</v>
      </c>
      <c r="D2354" s="28" t="str">
        <f>_xlfn.XLOOKUP(Table134526_79101120212223242526[[#This Row],[Name Surname]],Manpower!$C$4:$C$1048576,Manpower!$B$4:$B$1048576,"")</f>
        <v>Encogroup</v>
      </c>
      <c r="E2354" s="21" t="s">
        <v>101</v>
      </c>
      <c r="F2354" s="12">
        <f>_xlfn.XLOOKUP(Table134526_79101120212223242526[[#This Row],[Name Surname]],Manpower!C:C,Manpower!D:D,)</f>
        <v>141169052</v>
      </c>
      <c r="G2354" s="28" t="str">
        <f>_xlfn.XLOOKUP(Table134526_79101120212223242526[[#This Row],[Name Surname]],Manpower!$C$4:$C$1048576,Manpower!$F$4:$F$1048576,"")</f>
        <v>Welder</v>
      </c>
      <c r="H2354" s="28" t="str">
        <f>_xlfn.XLOOKUP(Table134526_79101120212223242526[[#This Row],[Name Surname]],Manpower!$C$4:$C$1048576,Manpower!$H$4:$H$1048576,"")</f>
        <v>Manpower</v>
      </c>
      <c r="I2354" s="28" t="str">
        <f>_xlfn.XLOOKUP(Table134526_79101120212223242526[[#This Row],[Name Surname]],Manpower!$C$4:$C$1048576,Manpower!$H$4:$H$1048576,"")</f>
        <v>Manpower</v>
      </c>
      <c r="J2354" s="21" t="s">
        <v>35</v>
      </c>
      <c r="K2354" s="21" t="s">
        <v>252</v>
      </c>
      <c r="L2354" s="21" t="s">
        <v>82</v>
      </c>
      <c r="M2354" s="21" t="s">
        <v>24</v>
      </c>
      <c r="N2354" s="29">
        <v>10</v>
      </c>
      <c r="O2354" s="21" t="s">
        <v>25</v>
      </c>
      <c r="P2354" s="21" t="s">
        <v>41</v>
      </c>
      <c r="Q2354" s="21" t="s">
        <v>77</v>
      </c>
      <c r="R2354" s="21" t="s">
        <v>350</v>
      </c>
    </row>
    <row r="2355" spans="1:18" ht="14.4" hidden="1">
      <c r="A2355" s="33">
        <f>IF(C2355="","",MAX($A$1:A2354)+1)</f>
        <v>2201</v>
      </c>
      <c r="B2355" s="26" t="s">
        <v>79</v>
      </c>
      <c r="C2355" s="23">
        <v>46100</v>
      </c>
      <c r="D2355" s="28" t="str">
        <f>_xlfn.XLOOKUP(Table134526_79101120212223242526[[#This Row],[Name Surname]],Manpower!$C$4:$C$1048576,Manpower!$B$4:$B$1048576,"")</f>
        <v>Encogroup</v>
      </c>
      <c r="E2355" s="21" t="s">
        <v>105</v>
      </c>
      <c r="F2355" s="12">
        <f>_xlfn.XLOOKUP(Table134526_79101120212223242526[[#This Row],[Name Surname]],Manpower!C:C,Manpower!D:D,)</f>
        <v>141358993</v>
      </c>
      <c r="G2355" s="28" t="str">
        <f>_xlfn.XLOOKUP(Table134526_79101120212223242526[[#This Row],[Name Surname]],Manpower!$C$4:$C$1048576,Manpower!$F$4:$F$1048576,"")</f>
        <v>Fitter</v>
      </c>
      <c r="H2355" s="28" t="str">
        <f>_xlfn.XLOOKUP(Table134526_79101120212223242526[[#This Row],[Name Surname]],Manpower!$C$4:$C$1048576,Manpower!$H$4:$H$1048576,"")</f>
        <v>Manpower</v>
      </c>
      <c r="I2355" s="28" t="str">
        <f>_xlfn.XLOOKUP(Table134526_79101120212223242526[[#This Row],[Name Surname]],Manpower!$C$4:$C$1048576,Manpower!$H$4:$H$1048576,"")</f>
        <v>Manpower</v>
      </c>
      <c r="J2355" s="21" t="s">
        <v>35</v>
      </c>
      <c r="K2355" s="21" t="s">
        <v>252</v>
      </c>
      <c r="L2355" s="21" t="s">
        <v>82</v>
      </c>
      <c r="M2355" s="21" t="s">
        <v>24</v>
      </c>
      <c r="N2355" s="29">
        <v>6</v>
      </c>
      <c r="O2355" s="21" t="s">
        <v>25</v>
      </c>
      <c r="P2355" s="21" t="s">
        <v>41</v>
      </c>
      <c r="Q2355" s="21" t="s">
        <v>77</v>
      </c>
      <c r="R2355" s="21" t="s">
        <v>350</v>
      </c>
    </row>
    <row r="2356" spans="1:18" ht="14.4" hidden="1">
      <c r="A2356" s="33">
        <f>IF(C2356="","",MAX($A$1:A2355)+1)</f>
        <v>2202</v>
      </c>
      <c r="B2356" s="26" t="s">
        <v>79</v>
      </c>
      <c r="C2356" s="23">
        <v>46100</v>
      </c>
      <c r="D2356" s="28" t="str">
        <f>_xlfn.XLOOKUP(Table134526_79101120212223242526[[#This Row],[Name Surname]],Manpower!$C$4:$C$1048576,Manpower!$B$4:$B$1048576,"")</f>
        <v>Encogroup</v>
      </c>
      <c r="E2356" s="21" t="s">
        <v>106</v>
      </c>
      <c r="F2356" s="12" t="str">
        <f>_xlfn.XLOOKUP(Table134526_79101120212223242526[[#This Row],[Name Surname]],Manpower!C:C,Manpower!D:D,)</f>
        <v>R3971143</v>
      </c>
      <c r="G2356" s="28" t="str">
        <f>_xlfn.XLOOKUP(Table134526_79101120212223242526[[#This Row],[Name Surname]],Manpower!$C$4:$C$1048576,Manpower!$F$4:$F$1048576,"")</f>
        <v>Mechanical Foreman</v>
      </c>
      <c r="H2356" s="28" t="str">
        <f>_xlfn.XLOOKUP(Table134526_79101120212223242526[[#This Row],[Name Surname]],Manpower!$C$4:$C$1048576,Manpower!$H$4:$H$1048576,"")</f>
        <v>Manpower</v>
      </c>
      <c r="I2356" s="28" t="str">
        <f>_xlfn.XLOOKUP(Table134526_79101120212223242526[[#This Row],[Name Surname]],Manpower!$C$4:$C$1048576,Manpower!$H$4:$H$1048576,"")</f>
        <v>Manpower</v>
      </c>
      <c r="J2356" s="21" t="s">
        <v>35</v>
      </c>
      <c r="K2356" s="21" t="s">
        <v>252</v>
      </c>
      <c r="L2356" s="21" t="s">
        <v>82</v>
      </c>
      <c r="M2356" s="21" t="s">
        <v>24</v>
      </c>
      <c r="N2356" s="29">
        <v>10</v>
      </c>
      <c r="O2356" s="21" t="s">
        <v>25</v>
      </c>
      <c r="P2356" s="21" t="s">
        <v>41</v>
      </c>
      <c r="Q2356" s="21" t="s">
        <v>60</v>
      </c>
      <c r="R2356" s="21" t="s">
        <v>353</v>
      </c>
    </row>
    <row r="2357" spans="1:18" ht="14.4" hidden="1">
      <c r="A2357" s="33">
        <f>IF(C2357="","",MAX($A$1:A2356)+1)</f>
        <v>2203</v>
      </c>
      <c r="B2357" s="26" t="s">
        <v>79</v>
      </c>
      <c r="C2357" s="23">
        <v>46100</v>
      </c>
      <c r="D2357" s="28" t="str">
        <f>_xlfn.XLOOKUP(Table134526_79101120212223242526[[#This Row],[Name Surname]],Manpower!$C$4:$C$1048576,Manpower!$B$4:$B$1048576,"")</f>
        <v>Encogroup</v>
      </c>
      <c r="E2357" s="21" t="s">
        <v>107</v>
      </c>
      <c r="F2357" s="12">
        <f>_xlfn.XLOOKUP(Table134526_79101120212223242526[[#This Row],[Name Surname]],Manpower!C:C,Manpower!D:D,)</f>
        <v>116858297</v>
      </c>
      <c r="G2357" s="28" t="str">
        <f>_xlfn.XLOOKUP(Table134526_79101120212223242526[[#This Row],[Name Surname]],Manpower!$C$4:$C$1048576,Manpower!$F$4:$F$1048576,"")</f>
        <v>Mechanical Superintendent</v>
      </c>
      <c r="H2357" s="28" t="str">
        <f>_xlfn.XLOOKUP(Table134526_79101120212223242526[[#This Row],[Name Surname]],Manpower!$C$4:$C$1048576,Manpower!$H$4:$H$1048576,"")</f>
        <v>Manpower</v>
      </c>
      <c r="I2357" s="28" t="str">
        <f>_xlfn.XLOOKUP(Table134526_79101120212223242526[[#This Row],[Name Surname]],Manpower!$C$4:$C$1048576,Manpower!$H$4:$H$1048576,"")</f>
        <v>Manpower</v>
      </c>
      <c r="J2357" s="21" t="s">
        <v>35</v>
      </c>
      <c r="K2357" s="21" t="s">
        <v>252</v>
      </c>
      <c r="L2357" s="21" t="s">
        <v>82</v>
      </c>
      <c r="M2357" s="21" t="s">
        <v>24</v>
      </c>
      <c r="N2357" s="29">
        <v>8</v>
      </c>
      <c r="O2357" s="21" t="s">
        <v>25</v>
      </c>
      <c r="P2357" s="21" t="s">
        <v>41</v>
      </c>
      <c r="Q2357" s="21" t="s">
        <v>60</v>
      </c>
      <c r="R2357" s="21" t="s">
        <v>352</v>
      </c>
    </row>
    <row r="2358" spans="1:18" ht="14.4" hidden="1">
      <c r="A2358" s="33">
        <f>IF(C2358="","",MAX($A$1:A2357)+1)</f>
        <v>2204</v>
      </c>
      <c r="B2358" s="26" t="s">
        <v>79</v>
      </c>
      <c r="C2358" s="23">
        <v>46100</v>
      </c>
      <c r="D2358" s="28" t="str">
        <f>_xlfn.XLOOKUP(Table134526_79101120212223242526[[#This Row],[Name Surname]],Manpower!$C$4:$C$1048576,Manpower!$B$4:$B$1048576,"")</f>
        <v>Encogroup</v>
      </c>
      <c r="E2358" s="21" t="s">
        <v>126</v>
      </c>
      <c r="F2358" s="12">
        <f>_xlfn.XLOOKUP(Table134526_79101120212223242526[[#This Row],[Name Surname]],Manpower!C:C,Manpower!D:D,)</f>
        <v>140805568</v>
      </c>
      <c r="G2358" s="28" t="str">
        <f>_xlfn.XLOOKUP(Table134526_79101120212223242526[[#This Row],[Name Surname]],Manpower!$C$4:$C$1048576,Manpower!$F$4:$F$1048576,"")</f>
        <v>Assistant/Helper</v>
      </c>
      <c r="H2358" s="28" t="str">
        <f>_xlfn.XLOOKUP(Table134526_79101120212223242526[[#This Row],[Name Surname]],Manpower!$C$4:$C$1048576,Manpower!$H$4:$H$1048576,"")</f>
        <v>Manpower</v>
      </c>
      <c r="I2358" s="28" t="str">
        <f>_xlfn.XLOOKUP(Table134526_79101120212223242526[[#This Row],[Name Surname]],Manpower!$C$4:$C$1048576,Manpower!$H$4:$H$1048576,"")</f>
        <v>Manpower</v>
      </c>
      <c r="J2358" s="21" t="s">
        <v>35</v>
      </c>
      <c r="K2358" s="21" t="s">
        <v>252</v>
      </c>
      <c r="L2358" s="21" t="s">
        <v>82</v>
      </c>
      <c r="M2358" s="21" t="s">
        <v>24</v>
      </c>
      <c r="N2358" s="29">
        <v>10</v>
      </c>
      <c r="O2358" s="21" t="s">
        <v>40</v>
      </c>
      <c r="P2358" s="21" t="s">
        <v>41</v>
      </c>
      <c r="Q2358" s="21" t="s">
        <v>128</v>
      </c>
      <c r="R2358" s="21" t="s">
        <v>270</v>
      </c>
    </row>
    <row r="2359" spans="1:18" ht="14.4" hidden="1">
      <c r="A2359" s="33">
        <f>IF(C2359="","",MAX($A$1:A2358)+1)</f>
        <v>2205</v>
      </c>
      <c r="B2359" s="26" t="s">
        <v>79</v>
      </c>
      <c r="C2359" s="23">
        <v>46100</v>
      </c>
      <c r="D2359" s="28" t="str">
        <f>_xlfn.XLOOKUP(Table134526_79101120212223242526[[#This Row],[Name Surname]],Manpower!$C$4:$C$1048576,Manpower!$B$4:$B$1048576,"")</f>
        <v>Encogroup</v>
      </c>
      <c r="E2359" s="21" t="s">
        <v>109</v>
      </c>
      <c r="F2359" s="12">
        <f>_xlfn.XLOOKUP(Table134526_79101120212223242526[[#This Row],[Name Surname]],Manpower!C:C,Manpower!D:D,)</f>
        <v>123805496</v>
      </c>
      <c r="G2359" s="28" t="str">
        <f>_xlfn.XLOOKUP(Table134526_79101120212223242526[[#This Row],[Name Surname]],Manpower!$C$4:$C$1048576,Manpower!$F$4:$F$1048576,"")</f>
        <v>Fitter/Erector</v>
      </c>
      <c r="H2359" s="28" t="str">
        <f>_xlfn.XLOOKUP(Table134526_79101120212223242526[[#This Row],[Name Surname]],Manpower!$C$4:$C$1048576,Manpower!$H$4:$H$1048576,"")</f>
        <v>Manpower</v>
      </c>
      <c r="I2359" s="28" t="str">
        <f>_xlfn.XLOOKUP(Table134526_79101120212223242526[[#This Row],[Name Surname]],Manpower!$C$4:$C$1048576,Manpower!$H$4:$H$1048576,"")</f>
        <v>Manpower</v>
      </c>
      <c r="J2359" s="21" t="s">
        <v>35</v>
      </c>
      <c r="K2359" s="21" t="s">
        <v>252</v>
      </c>
      <c r="L2359" s="21" t="s">
        <v>82</v>
      </c>
      <c r="M2359" s="21" t="s">
        <v>24</v>
      </c>
      <c r="N2359" s="29">
        <v>6</v>
      </c>
      <c r="O2359" s="21" t="s">
        <v>25</v>
      </c>
      <c r="P2359" s="21" t="s">
        <v>41</v>
      </c>
      <c r="Q2359" s="21" t="s">
        <v>60</v>
      </c>
      <c r="R2359" s="21" t="s">
        <v>335</v>
      </c>
    </row>
    <row r="2360" spans="1:18" ht="14.4" hidden="1">
      <c r="A2360" s="33">
        <f>IF(C2360="","",MAX($A$1:A2359)+1)</f>
        <v>2206</v>
      </c>
      <c r="B2360" s="26" t="s">
        <v>79</v>
      </c>
      <c r="C2360" s="23">
        <v>46100</v>
      </c>
      <c r="D2360" s="28" t="str">
        <f>_xlfn.XLOOKUP(Table134526_79101120212223242526[[#This Row],[Name Surname]],Manpower!$C$4:$C$1048576,Manpower!$B$4:$B$1048576,"")</f>
        <v>Encogroup</v>
      </c>
      <c r="E2360" s="21" t="s">
        <v>110</v>
      </c>
      <c r="F2360" s="12">
        <f>_xlfn.XLOOKUP(Table134526_79101120212223242526[[#This Row],[Name Surname]],Manpower!C:C,Manpower!D:D,)</f>
        <v>136277866</v>
      </c>
      <c r="G2360" s="28" t="str">
        <f>_xlfn.XLOOKUP(Table134526_79101120212223242526[[#This Row],[Name Surname]],Manpower!$C$4:$C$1048576,Manpower!$F$4:$F$1048576,"")</f>
        <v>Permit Receiver</v>
      </c>
      <c r="H2360" s="28" t="str">
        <f>_xlfn.XLOOKUP(Table134526_79101120212223242526[[#This Row],[Name Surname]],Manpower!$C$4:$C$1048576,Manpower!$H$4:$H$1048576,"")</f>
        <v>Manpower</v>
      </c>
      <c r="I2360" s="28" t="str">
        <f>_xlfn.XLOOKUP(Table134526_79101120212223242526[[#This Row],[Name Surname]],Manpower!$C$4:$C$1048576,Manpower!$H$4:$H$1048576,"")</f>
        <v>Manpower</v>
      </c>
      <c r="J2360" s="21" t="s">
        <v>35</v>
      </c>
      <c r="K2360" s="21" t="s">
        <v>252</v>
      </c>
      <c r="L2360" s="21" t="s">
        <v>82</v>
      </c>
      <c r="M2360" s="21" t="s">
        <v>24</v>
      </c>
      <c r="N2360" s="29">
        <v>10</v>
      </c>
      <c r="O2360" s="21" t="s">
        <v>25</v>
      </c>
      <c r="P2360" s="21" t="s">
        <v>41</v>
      </c>
      <c r="Q2360" s="21" t="s">
        <v>60</v>
      </c>
      <c r="R2360" s="21" t="s">
        <v>354</v>
      </c>
    </row>
    <row r="2361" spans="1:18" ht="14.4" hidden="1">
      <c r="A2361" s="33">
        <f>IF(C2361="","",MAX($A$1:A2360)+1)</f>
        <v>2207</v>
      </c>
      <c r="B2361" s="26" t="s">
        <v>79</v>
      </c>
      <c r="C2361" s="23">
        <v>46100</v>
      </c>
      <c r="D2361" s="28" t="str">
        <f>_xlfn.XLOOKUP(Table134526_79101120212223242526[[#This Row],[Name Surname]],Manpower!$C$4:$C$1048576,Manpower!$B$4:$B$1048576,"")</f>
        <v>Encogroup</v>
      </c>
      <c r="E2361" s="21" t="s">
        <v>112</v>
      </c>
      <c r="F2361" s="12">
        <f>_xlfn.XLOOKUP(Table134526_79101120212223242526[[#This Row],[Name Surname]],Manpower!C:C,Manpower!D:D,)</f>
        <v>140663253</v>
      </c>
      <c r="G2361" s="28" t="str">
        <f>_xlfn.XLOOKUP(Table134526_79101120212223242526[[#This Row],[Name Surname]],Manpower!$C$4:$C$1048576,Manpower!$F$4:$F$1048576,"")</f>
        <v>Painting Inspector</v>
      </c>
      <c r="H2361" s="28" t="str">
        <f>_xlfn.XLOOKUP(Table134526_79101120212223242526[[#This Row],[Name Surname]],Manpower!$C$4:$C$1048576,Manpower!$H$4:$H$1048576,"")</f>
        <v>Manpower</v>
      </c>
      <c r="I2361" s="28" t="str">
        <f>_xlfn.XLOOKUP(Table134526_79101120212223242526[[#This Row],[Name Surname]],Manpower!$C$4:$C$1048576,Manpower!$H$4:$H$1048576,"")</f>
        <v>Manpower</v>
      </c>
      <c r="J2361" s="21" t="s">
        <v>35</v>
      </c>
      <c r="K2361" s="21" t="s">
        <v>281</v>
      </c>
      <c r="L2361" s="21" t="s">
        <v>82</v>
      </c>
      <c r="M2361" s="21" t="s">
        <v>24</v>
      </c>
      <c r="N2361" s="29">
        <v>8</v>
      </c>
      <c r="O2361" s="21" t="s">
        <v>94</v>
      </c>
      <c r="P2361" s="21" t="s">
        <v>114</v>
      </c>
      <c r="Q2361" s="21" t="s">
        <v>114</v>
      </c>
      <c r="R2361" s="21" t="s">
        <v>367</v>
      </c>
    </row>
    <row r="2362" spans="1:18" ht="14.4" hidden="1">
      <c r="A2362" s="33">
        <f>IF(C2362="","",MAX($A$1:A2361)+1)</f>
        <v>2208</v>
      </c>
      <c r="B2362" s="26" t="s">
        <v>79</v>
      </c>
      <c r="C2362" s="23">
        <v>46100</v>
      </c>
      <c r="D2362" s="28" t="str">
        <f>_xlfn.XLOOKUP(Table134526_79101120212223242526[[#This Row],[Name Surname]],Manpower!$C$4:$C$1048576,Manpower!$B$4:$B$1048576,"")</f>
        <v>Encogroup</v>
      </c>
      <c r="E2362" s="21" t="s">
        <v>118</v>
      </c>
      <c r="F2362" s="12" t="str">
        <f>_xlfn.XLOOKUP(Table134526_79101120212223242526[[#This Row],[Name Surname]],Manpower!C:C,Manpower!D:D,)</f>
        <v>AG111207</v>
      </c>
      <c r="G2362" s="28" t="str">
        <f>_xlfn.XLOOKUP(Table134526_79101120212223242526[[#This Row],[Name Surname]],Manpower!$C$4:$C$1048576,Manpower!$F$4:$F$1048576,"")</f>
        <v>Assistant/Helper</v>
      </c>
      <c r="H2362" s="28" t="str">
        <f>_xlfn.XLOOKUP(Table134526_79101120212223242526[[#This Row],[Name Surname]],Manpower!$C$4:$C$1048576,Manpower!$H$4:$H$1048576,"")</f>
        <v>Manpower</v>
      </c>
      <c r="I2362" s="28" t="str">
        <f>_xlfn.XLOOKUP(Table134526_79101120212223242526[[#This Row],[Name Surname]],Manpower!$C$4:$C$1048576,Manpower!$H$4:$H$1048576,"")</f>
        <v>Manpower</v>
      </c>
      <c r="J2362" s="21" t="s">
        <v>35</v>
      </c>
      <c r="K2362" s="21" t="s">
        <v>281</v>
      </c>
      <c r="L2362" s="21" t="s">
        <v>82</v>
      </c>
      <c r="M2362" s="21" t="s">
        <v>24</v>
      </c>
      <c r="N2362" s="29">
        <v>10</v>
      </c>
      <c r="O2362" s="21" t="s">
        <v>94</v>
      </c>
      <c r="P2362" s="21" t="s">
        <v>114</v>
      </c>
      <c r="Q2362" s="21" t="s">
        <v>114</v>
      </c>
      <c r="R2362" s="21" t="s">
        <v>367</v>
      </c>
    </row>
    <row r="2363" spans="1:18" ht="14.4" hidden="1">
      <c r="A2363" s="33">
        <f>IF(C2363="","",MAX($A$1:A2362)+1)</f>
        <v>2209</v>
      </c>
      <c r="B2363" s="26" t="s">
        <v>79</v>
      </c>
      <c r="C2363" s="23">
        <v>46100</v>
      </c>
      <c r="D2363" s="28" t="str">
        <f>_xlfn.XLOOKUP(Table134526_79101120212223242526[[#This Row],[Name Surname]],Manpower!$C$4:$C$1048576,Manpower!$B$4:$B$1048576,"")</f>
        <v>Encogroup</v>
      </c>
      <c r="E2363" s="21" t="s">
        <v>92</v>
      </c>
      <c r="F2363" s="12">
        <f>_xlfn.XLOOKUP(Table134526_79101120212223242526[[#This Row],[Name Surname]],Manpower!C:C,Manpower!D:D,)</f>
        <v>141377747</v>
      </c>
      <c r="G2363" s="28" t="str">
        <f>_xlfn.XLOOKUP(Table134526_79101120212223242526[[#This Row],[Name Surname]],Manpower!$C$4:$C$1048576,Manpower!$F$4:$F$1048576,"")</f>
        <v>Painter</v>
      </c>
      <c r="H2363" s="28" t="str">
        <f>_xlfn.XLOOKUP(Table134526_79101120212223242526[[#This Row],[Name Surname]],Manpower!$C$4:$C$1048576,Manpower!$H$4:$H$1048576,"")</f>
        <v>Manpower</v>
      </c>
      <c r="I2363" s="28" t="str">
        <f>_xlfn.XLOOKUP(Table134526_79101120212223242526[[#This Row],[Name Surname]],Manpower!$C$4:$C$1048576,Manpower!$H$4:$H$1048576,"")</f>
        <v>Manpower</v>
      </c>
      <c r="J2363" s="21" t="s">
        <v>35</v>
      </c>
      <c r="K2363" s="21" t="s">
        <v>252</v>
      </c>
      <c r="L2363" s="21" t="s">
        <v>82</v>
      </c>
      <c r="M2363" s="21" t="s">
        <v>24</v>
      </c>
      <c r="N2363" s="29">
        <v>10</v>
      </c>
      <c r="O2363" s="21" t="s">
        <v>25</v>
      </c>
      <c r="P2363" s="21" t="s">
        <v>60</v>
      </c>
      <c r="Q2363" s="21" t="s">
        <v>60</v>
      </c>
      <c r="R2363" s="21" t="s">
        <v>353</v>
      </c>
    </row>
    <row r="2364" spans="1:18" ht="14.4" hidden="1">
      <c r="A2364" s="33">
        <f>IF(C2364="","",MAX($A$1:A2363)+1)</f>
        <v>2210</v>
      </c>
      <c r="B2364" s="26" t="s">
        <v>79</v>
      </c>
      <c r="C2364" s="23">
        <v>46100</v>
      </c>
      <c r="D2364" s="28" t="str">
        <f>_xlfn.XLOOKUP(Table134526_79101120212223242526[[#This Row],[Name Surname]],Manpower!$C$4:$C$1048576,Manpower!$B$4:$B$1048576,"")</f>
        <v>Encogroup</v>
      </c>
      <c r="E2364" s="21" t="s">
        <v>173</v>
      </c>
      <c r="F2364" s="12" t="str">
        <f>_xlfn.XLOOKUP(Table134526_79101120212223242526[[#This Row],[Name Surname]],Manpower!C:C,Manpower!D:D,)</f>
        <v>S3549132</v>
      </c>
      <c r="G2364" s="28" t="str">
        <f>_xlfn.XLOOKUP(Table134526_79101120212223242526[[#This Row],[Name Surname]],Manpower!$C$4:$C$1048576,Manpower!$F$4:$F$1048576,"")</f>
        <v>Grinder</v>
      </c>
      <c r="H2364" s="28" t="str">
        <f>_xlfn.XLOOKUP(Table134526_79101120212223242526[[#This Row],[Name Surname]],Manpower!$C$4:$C$1048576,Manpower!$H$4:$H$1048576,"")</f>
        <v>Manpower</v>
      </c>
      <c r="I2364" s="28" t="str">
        <f>_xlfn.XLOOKUP(Table134526_79101120212223242526[[#This Row],[Name Surname]],Manpower!$C$4:$C$1048576,Manpower!$H$4:$H$1048576,"")</f>
        <v>Manpower</v>
      </c>
      <c r="J2364" s="21" t="s">
        <v>35</v>
      </c>
      <c r="K2364" s="21" t="s">
        <v>281</v>
      </c>
      <c r="L2364" s="21" t="s">
        <v>82</v>
      </c>
      <c r="M2364" s="21" t="s">
        <v>24</v>
      </c>
      <c r="N2364" s="29">
        <v>10</v>
      </c>
      <c r="O2364" s="21" t="s">
        <v>94</v>
      </c>
      <c r="P2364" s="21" t="s">
        <v>114</v>
      </c>
      <c r="Q2364" s="21" t="s">
        <v>114</v>
      </c>
      <c r="R2364" s="21" t="s">
        <v>367</v>
      </c>
    </row>
    <row r="2365" spans="1:18" ht="14.4" hidden="1">
      <c r="A2365" s="33">
        <f>IF(C2365="","",MAX($A$1:A2364)+1)</f>
        <v>2211</v>
      </c>
      <c r="B2365" s="26" t="s">
        <v>79</v>
      </c>
      <c r="C2365" s="23">
        <v>46100</v>
      </c>
      <c r="D2365" s="28" t="str">
        <f>_xlfn.XLOOKUP(Table134526_79101120212223242526[[#This Row],[Name Surname]],Manpower!$C$4:$C$1048576,Manpower!$B$4:$B$1048576,"")</f>
        <v>Encogroup</v>
      </c>
      <c r="E2365" s="21" t="s">
        <v>119</v>
      </c>
      <c r="F2365" s="12">
        <f>_xlfn.XLOOKUP(Table134526_79101120212223242526[[#This Row],[Name Surname]],Manpower!C:C,Manpower!D:D,)</f>
        <v>140844778</v>
      </c>
      <c r="G2365" s="28" t="str">
        <f>_xlfn.XLOOKUP(Table134526_79101120212223242526[[#This Row],[Name Surname]],Manpower!$C$4:$C$1048576,Manpower!$F$4:$F$1048576,"")</f>
        <v>Painter</v>
      </c>
      <c r="H2365" s="28" t="str">
        <f>_xlfn.XLOOKUP(Table134526_79101120212223242526[[#This Row],[Name Surname]],Manpower!$C$4:$C$1048576,Manpower!$H$4:$H$1048576,"")</f>
        <v>Manpower</v>
      </c>
      <c r="I2365" s="28" t="str">
        <f>_xlfn.XLOOKUP(Table134526_79101120212223242526[[#This Row],[Name Surname]],Manpower!$C$4:$C$1048576,Manpower!$H$4:$H$1048576,"")</f>
        <v>Manpower</v>
      </c>
      <c r="J2365" s="21" t="s">
        <v>35</v>
      </c>
      <c r="K2365" s="21" t="s">
        <v>281</v>
      </c>
      <c r="L2365" s="21" t="s">
        <v>82</v>
      </c>
      <c r="M2365" s="21" t="s">
        <v>24</v>
      </c>
      <c r="N2365" s="29">
        <v>8</v>
      </c>
      <c r="O2365" s="21" t="s">
        <v>94</v>
      </c>
      <c r="P2365" s="21" t="s">
        <v>114</v>
      </c>
      <c r="Q2365" s="21" t="s">
        <v>114</v>
      </c>
      <c r="R2365" s="21" t="s">
        <v>367</v>
      </c>
    </row>
    <row r="2366" spans="1:18" ht="14.4" hidden="1">
      <c r="A2366" s="33">
        <f>IF(C2366="","",MAX($A$1:A2365)+1)</f>
        <v>2212</v>
      </c>
      <c r="B2366" s="26" t="s">
        <v>79</v>
      </c>
      <c r="C2366" s="23">
        <v>46100</v>
      </c>
      <c r="D2366" s="28" t="str">
        <f>_xlfn.XLOOKUP(Table134526_79101120212223242526[[#This Row],[Name Surname]],Manpower!$C$4:$C$1048576,Manpower!$B$4:$B$1048576,"")</f>
        <v>Encogroup</v>
      </c>
      <c r="E2366" s="21" t="s">
        <v>117</v>
      </c>
      <c r="F2366" s="12">
        <f>_xlfn.XLOOKUP(Table134526_79101120212223242526[[#This Row],[Name Surname]],Manpower!C:C,Manpower!D:D,)</f>
        <v>140844783</v>
      </c>
      <c r="G2366" s="28" t="str">
        <f>_xlfn.XLOOKUP(Table134526_79101120212223242526[[#This Row],[Name Surname]],Manpower!$C$4:$C$1048576,Manpower!$F$4:$F$1048576,"")</f>
        <v>Painter</v>
      </c>
      <c r="H2366" s="28" t="str">
        <f>_xlfn.XLOOKUP(Table134526_79101120212223242526[[#This Row],[Name Surname]],Manpower!$C$4:$C$1048576,Manpower!$H$4:$H$1048576,"")</f>
        <v>Manpower</v>
      </c>
      <c r="I2366" s="28" t="str">
        <f>_xlfn.XLOOKUP(Table134526_79101120212223242526[[#This Row],[Name Surname]],Manpower!$C$4:$C$1048576,Manpower!$H$4:$H$1048576,"")</f>
        <v>Manpower</v>
      </c>
      <c r="J2366" s="21" t="s">
        <v>35</v>
      </c>
      <c r="K2366" s="21" t="s">
        <v>281</v>
      </c>
      <c r="L2366" s="21" t="s">
        <v>82</v>
      </c>
      <c r="M2366" s="21" t="s">
        <v>24</v>
      </c>
      <c r="N2366" s="29">
        <v>10</v>
      </c>
      <c r="O2366" s="21" t="s">
        <v>94</v>
      </c>
      <c r="P2366" s="21" t="s">
        <v>114</v>
      </c>
      <c r="Q2366" s="21" t="s">
        <v>114</v>
      </c>
      <c r="R2366" s="21" t="s">
        <v>367</v>
      </c>
    </row>
    <row r="2367" spans="1:18" ht="14.4" hidden="1">
      <c r="A2367" s="33">
        <f>IF(C2367="","",MAX($A$1:A2366)+1)</f>
        <v>2213</v>
      </c>
      <c r="B2367" s="26" t="s">
        <v>79</v>
      </c>
      <c r="C2367" s="23">
        <v>46100</v>
      </c>
      <c r="D2367" s="28" t="str">
        <f>_xlfn.XLOOKUP(Table134526_79101120212223242526[[#This Row],[Name Surname]],Manpower!$C$4:$C$1048576,Manpower!$B$4:$B$1048576,"")</f>
        <v>Encogroup</v>
      </c>
      <c r="E2367" s="21" t="s">
        <v>122</v>
      </c>
      <c r="F2367" s="12">
        <f>_xlfn.XLOOKUP(Table134526_79101120212223242526[[#This Row],[Name Surname]],Manpower!C:C,Manpower!D:D,)</f>
        <v>140805554</v>
      </c>
      <c r="G2367" s="28" t="str">
        <f>_xlfn.XLOOKUP(Table134526_79101120212223242526[[#This Row],[Name Surname]],Manpower!$C$4:$C$1048576,Manpower!$F$4:$F$1048576,"")</f>
        <v>Assistant/Helper</v>
      </c>
      <c r="H2367" s="28" t="str">
        <f>_xlfn.XLOOKUP(Table134526_79101120212223242526[[#This Row],[Name Surname]],Manpower!$C$4:$C$1048576,Manpower!$H$4:$H$1048576,"")</f>
        <v>Manpower</v>
      </c>
      <c r="I2367" s="28" t="str">
        <f>_xlfn.XLOOKUP(Table134526_79101120212223242526[[#This Row],[Name Surname]],Manpower!$C$4:$C$1048576,Manpower!$H$4:$H$1048576,"")</f>
        <v>Manpower</v>
      </c>
      <c r="J2367" s="21" t="s">
        <v>35</v>
      </c>
      <c r="K2367" s="21" t="s">
        <v>252</v>
      </c>
      <c r="L2367" s="21" t="s">
        <v>82</v>
      </c>
      <c r="M2367" s="21" t="s">
        <v>24</v>
      </c>
      <c r="N2367" s="29">
        <v>10</v>
      </c>
      <c r="O2367" s="21" t="s">
        <v>25</v>
      </c>
      <c r="P2367" s="21" t="s">
        <v>41</v>
      </c>
      <c r="Q2367" s="21" t="s">
        <v>77</v>
      </c>
      <c r="R2367" s="21" t="s">
        <v>350</v>
      </c>
    </row>
    <row r="2368" spans="1:18" ht="14.4" hidden="1">
      <c r="A2368" s="33">
        <f>IF(C2368="","",MAX($A$1:A2367)+1)</f>
        <v>2214</v>
      </c>
      <c r="B2368" s="26" t="s">
        <v>79</v>
      </c>
      <c r="C2368" s="23">
        <v>46100</v>
      </c>
      <c r="D2368" s="28" t="str">
        <f>_xlfn.XLOOKUP(Table134526_79101120212223242526[[#This Row],[Name Surname]],Manpower!$C$4:$C$1048576,Manpower!$B$4:$B$1048576,"")</f>
        <v>Encogroup</v>
      </c>
      <c r="E2368" s="21" t="s">
        <v>125</v>
      </c>
      <c r="F2368" s="12">
        <f>_xlfn.XLOOKUP(Table134526_79101120212223242526[[#This Row],[Name Surname]],Manpower!C:C,Manpower!D:D,)</f>
        <v>141169028</v>
      </c>
      <c r="G2368" s="28" t="str">
        <f>_xlfn.XLOOKUP(Table134526_79101120212223242526[[#This Row],[Name Surname]],Manpower!$C$4:$C$1048576,Manpower!$F$4:$F$1048576,"")</f>
        <v>Welder</v>
      </c>
      <c r="H2368" s="28" t="str">
        <f>_xlfn.XLOOKUP(Table134526_79101120212223242526[[#This Row],[Name Surname]],Manpower!$C$4:$C$1048576,Manpower!$H$4:$H$1048576,"")</f>
        <v>Manpower</v>
      </c>
      <c r="I2368" s="28" t="str">
        <f>_xlfn.XLOOKUP(Table134526_79101120212223242526[[#This Row],[Name Surname]],Manpower!$C$4:$C$1048576,Manpower!$H$4:$H$1048576,"")</f>
        <v>Manpower</v>
      </c>
      <c r="J2368" s="21" t="s">
        <v>35</v>
      </c>
      <c r="K2368" s="21" t="s">
        <v>252</v>
      </c>
      <c r="L2368" s="21" t="s">
        <v>82</v>
      </c>
      <c r="M2368" s="21" t="s">
        <v>24</v>
      </c>
      <c r="N2368" s="29">
        <v>10</v>
      </c>
      <c r="O2368" s="21" t="s">
        <v>25</v>
      </c>
      <c r="P2368" s="21" t="s">
        <v>41</v>
      </c>
      <c r="Q2368" s="21" t="s">
        <v>60</v>
      </c>
      <c r="R2368" s="21" t="s">
        <v>353</v>
      </c>
    </row>
    <row r="2369" spans="1:18" ht="14.4" hidden="1">
      <c r="A2369" s="33">
        <f>IF(C2369="","",MAX($A$1:A2368)+1)</f>
        <v>2215</v>
      </c>
      <c r="B2369" s="26" t="s">
        <v>79</v>
      </c>
      <c r="C2369" s="23">
        <v>46100</v>
      </c>
      <c r="D2369" s="28" t="str">
        <f>_xlfn.XLOOKUP(Table134526_79101120212223242526[[#This Row],[Name Surname]],Manpower!$C$4:$C$1048576,Manpower!$B$4:$B$1048576,"")</f>
        <v>AL Saif &amp; Al QALLM ENT LLC</v>
      </c>
      <c r="E2369" s="21" t="s">
        <v>130</v>
      </c>
      <c r="F2369" s="12">
        <f>_xlfn.XLOOKUP(Table134526_79101120212223242526[[#This Row],[Name Surname]],Manpower!C:C,Manpower!D:D,)</f>
        <v>76647648</v>
      </c>
      <c r="G2369" s="28" t="str">
        <f>_xlfn.XLOOKUP(Table134526_79101120212223242526[[#This Row],[Name Surname]],Manpower!$C$4:$C$1048576,Manpower!$F$4:$F$1048576,"")</f>
        <v>RIgger</v>
      </c>
      <c r="H2369" s="28" t="str">
        <f>_xlfn.XLOOKUP(Table134526_79101120212223242526[[#This Row],[Name Surname]],Manpower!$C$4:$C$1048576,Manpower!$H$4:$H$1048576,"")</f>
        <v>Sub Contactor</v>
      </c>
      <c r="I2369" s="28" t="str">
        <f>_xlfn.XLOOKUP(Table134526_79101120212223242526[[#This Row],[Name Surname]],Manpower!$C$4:$C$1048576,Manpower!$H$4:$H$1048576,"")</f>
        <v>Sub Contactor</v>
      </c>
      <c r="J2369" s="21" t="s">
        <v>35</v>
      </c>
      <c r="K2369" s="21" t="s">
        <v>252</v>
      </c>
      <c r="L2369" s="21" t="s">
        <v>82</v>
      </c>
      <c r="M2369" s="21" t="s">
        <v>24</v>
      </c>
      <c r="N2369" s="29">
        <v>8</v>
      </c>
      <c r="O2369" s="21" t="s">
        <v>25</v>
      </c>
      <c r="P2369" s="21" t="s">
        <v>41</v>
      </c>
      <c r="Q2369" s="21" t="s">
        <v>60</v>
      </c>
      <c r="R2369" s="21" t="s">
        <v>335</v>
      </c>
    </row>
    <row r="2370" spans="1:18" ht="14.4" hidden="1">
      <c r="A2370" s="33">
        <f>IF(C2370="","",MAX($A$1:A2369)+1)</f>
        <v>2216</v>
      </c>
      <c r="B2370" s="26" t="s">
        <v>79</v>
      </c>
      <c r="C2370" s="23">
        <v>46100</v>
      </c>
      <c r="D2370" s="28" t="str">
        <f>_xlfn.XLOOKUP(Table134526_79101120212223242526[[#This Row],[Name Surname]],Manpower!$C$4:$C$1048576,Manpower!$B$4:$B$1048576,"")</f>
        <v>Rabwu Ahamal AL Khaleej Trad</v>
      </c>
      <c r="E2370" s="21" t="s">
        <v>131</v>
      </c>
      <c r="F2370" s="12">
        <f>_xlfn.XLOOKUP(Table134526_79101120212223242526[[#This Row],[Name Surname]],Manpower!C:C,Manpower!D:D,)</f>
        <v>131431131</v>
      </c>
      <c r="G2370" s="28" t="str">
        <f>_xlfn.XLOOKUP(Table134526_79101120212223242526[[#This Row],[Name Surname]],Manpower!$C$4:$C$1048576,Manpower!$F$4:$F$1048576,"")</f>
        <v>RIgger</v>
      </c>
      <c r="H2370" s="28" t="str">
        <f>_xlfn.XLOOKUP(Table134526_79101120212223242526[[#This Row],[Name Surname]],Manpower!$C$4:$C$1048576,Manpower!$H$4:$H$1048576,"")</f>
        <v>Sub Contactor</v>
      </c>
      <c r="I2370" s="28" t="str">
        <f>_xlfn.XLOOKUP(Table134526_79101120212223242526[[#This Row],[Name Surname]],Manpower!$C$4:$C$1048576,Manpower!$H$4:$H$1048576,"")</f>
        <v>Sub Contactor</v>
      </c>
      <c r="J2370" s="21" t="s">
        <v>35</v>
      </c>
      <c r="K2370" s="21" t="s">
        <v>252</v>
      </c>
      <c r="L2370" s="21" t="s">
        <v>82</v>
      </c>
      <c r="M2370" s="21" t="s">
        <v>24</v>
      </c>
      <c r="N2370" s="29">
        <v>8</v>
      </c>
      <c r="O2370" s="21" t="s">
        <v>25</v>
      </c>
      <c r="P2370" s="21" t="s">
        <v>41</v>
      </c>
      <c r="Q2370" s="21" t="s">
        <v>60</v>
      </c>
      <c r="R2370" s="21" t="s">
        <v>335</v>
      </c>
    </row>
    <row r="2371" spans="1:18" ht="14.4" hidden="1">
      <c r="A2371" s="33">
        <f>IF(C2371="","",MAX($A$1:A2370)+1)</f>
        <v>2217</v>
      </c>
      <c r="B2371" s="26" t="s">
        <v>79</v>
      </c>
      <c r="C2371" s="23">
        <v>46100</v>
      </c>
      <c r="D2371" s="28" t="str">
        <f>_xlfn.XLOOKUP(Table134526_79101120212223242526[[#This Row],[Name Surname]],Manpower!$C$4:$C$1048576,Manpower!$B$4:$B$1048576,"")</f>
        <v>AL Saif &amp; Al QALLM ENT LLC</v>
      </c>
      <c r="E2371" s="21" t="s">
        <v>132</v>
      </c>
      <c r="F2371" s="12">
        <f>_xlfn.XLOOKUP(Table134526_79101120212223242526[[#This Row],[Name Surname]],Manpower!C:C,Manpower!D:D,)</f>
        <v>135762195</v>
      </c>
      <c r="G2371" s="28" t="str">
        <f>_xlfn.XLOOKUP(Table134526_79101120212223242526[[#This Row],[Name Surname]],Manpower!$C$4:$C$1048576,Manpower!$F$4:$F$1048576,"")</f>
        <v>HSE Officer</v>
      </c>
      <c r="H2371" s="28" t="str">
        <f>_xlfn.XLOOKUP(Table134526_79101120212223242526[[#This Row],[Name Surname]],Manpower!$C$4:$C$1048576,Manpower!$H$4:$H$1048576,"")</f>
        <v>Sub Contactor</v>
      </c>
      <c r="I2371" s="28" t="str">
        <f>_xlfn.XLOOKUP(Table134526_79101120212223242526[[#This Row],[Name Surname]],Manpower!$C$4:$C$1048576,Manpower!$H$4:$H$1048576,"")</f>
        <v>Sub Contactor</v>
      </c>
      <c r="J2371" s="21" t="s">
        <v>35</v>
      </c>
      <c r="K2371" s="21" t="s">
        <v>252</v>
      </c>
      <c r="L2371" s="21" t="s">
        <v>82</v>
      </c>
      <c r="M2371" s="21" t="s">
        <v>24</v>
      </c>
      <c r="N2371" s="29">
        <v>10</v>
      </c>
      <c r="O2371" s="21" t="s">
        <v>25</v>
      </c>
      <c r="P2371" s="21" t="s">
        <v>41</v>
      </c>
      <c r="Q2371" s="21" t="s">
        <v>60</v>
      </c>
      <c r="R2371" s="21" t="s">
        <v>352</v>
      </c>
    </row>
    <row r="2372" spans="1:18" ht="14.4" hidden="1">
      <c r="A2372" s="33">
        <f>IF(C2372="","",MAX($A$1:A2371)+1)</f>
        <v>2218</v>
      </c>
      <c r="B2372" s="26" t="s">
        <v>79</v>
      </c>
      <c r="C2372" s="23">
        <v>46100</v>
      </c>
      <c r="D2372" s="28" t="str">
        <f>_xlfn.XLOOKUP(Table134526_79101120212223242526[[#This Row],[Name Surname]],Manpower!$C$4:$C$1048576,Manpower!$B$4:$B$1048576,"")</f>
        <v>Encogroup</v>
      </c>
      <c r="E2372" s="21" t="s">
        <v>133</v>
      </c>
      <c r="F2372" s="12">
        <f>_xlfn.XLOOKUP(Table134526_79101120212223242526[[#This Row],[Name Surname]],Manpower!C:C,Manpower!D:D,)</f>
        <v>140846684</v>
      </c>
      <c r="G2372" s="28" t="str">
        <f>_xlfn.XLOOKUP(Table134526_79101120212223242526[[#This Row],[Name Surname]],Manpower!$C$4:$C$1048576,Manpower!$F$4:$F$1048576,"")</f>
        <v>Assistant/Helper</v>
      </c>
      <c r="H2372" s="28" t="str">
        <f>_xlfn.XLOOKUP(Table134526_79101120212223242526[[#This Row],[Name Surname]],Manpower!$C$4:$C$1048576,Manpower!$H$4:$H$1048576,"")</f>
        <v>Manpower</v>
      </c>
      <c r="I2372" s="28" t="str">
        <f>_xlfn.XLOOKUP(Table134526_79101120212223242526[[#This Row],[Name Surname]],Manpower!$C$4:$C$1048576,Manpower!$H$4:$H$1048576,"")</f>
        <v>Manpower</v>
      </c>
      <c r="J2372" s="21" t="s">
        <v>35</v>
      </c>
      <c r="K2372" s="21" t="s">
        <v>252</v>
      </c>
      <c r="L2372" s="21" t="s">
        <v>82</v>
      </c>
      <c r="M2372" s="21" t="s">
        <v>24</v>
      </c>
      <c r="N2372" s="29">
        <v>10</v>
      </c>
      <c r="O2372" s="21" t="s">
        <v>25</v>
      </c>
      <c r="P2372" s="21" t="s">
        <v>41</v>
      </c>
      <c r="Q2372" s="21" t="s">
        <v>60</v>
      </c>
      <c r="R2372" s="21" t="s">
        <v>100</v>
      </c>
    </row>
    <row r="2373" spans="1:18" ht="14.4" hidden="1">
      <c r="A2373" s="33">
        <f>IF(C2373="","",MAX($A$1:A2372)+1)</f>
        <v>2219</v>
      </c>
      <c r="B2373" s="26" t="s">
        <v>79</v>
      </c>
      <c r="C2373" s="23">
        <v>46100</v>
      </c>
      <c r="D2373" s="28" t="str">
        <f>_xlfn.XLOOKUP(Table134526_79101120212223242526[[#This Row],[Name Surname]],Manpower!$C$4:$C$1048576,Manpower!$B$4:$B$1048576,"")</f>
        <v>Encogroup</v>
      </c>
      <c r="E2373" s="21" t="s">
        <v>136</v>
      </c>
      <c r="F2373" s="12">
        <f>_xlfn.XLOOKUP(Table134526_79101120212223242526[[#This Row],[Name Surname]],Manpower!C:C,Manpower!D:D,)</f>
        <v>141250908</v>
      </c>
      <c r="G2373" s="28" t="str">
        <f>_xlfn.XLOOKUP(Table134526_79101120212223242526[[#This Row],[Name Surname]],Manpower!$C$4:$C$1048576,Manpower!$F$4:$F$1048576,"")</f>
        <v>Mechanical Engineer</v>
      </c>
      <c r="H2373" s="28" t="str">
        <f>_xlfn.XLOOKUP(Table134526_79101120212223242526[[#This Row],[Name Surname]],Manpower!$C$4:$C$1048576,Manpower!$H$4:$H$1048576,"")</f>
        <v>Manpower</v>
      </c>
      <c r="I2373" s="28" t="str">
        <f>_xlfn.XLOOKUP(Table134526_79101120212223242526[[#This Row],[Name Surname]],Manpower!$C$4:$C$1048576,Manpower!$H$4:$H$1048576,"")</f>
        <v>Manpower</v>
      </c>
      <c r="J2373" s="21" t="s">
        <v>35</v>
      </c>
      <c r="K2373" s="21" t="s">
        <v>252</v>
      </c>
      <c r="L2373" s="21" t="s">
        <v>82</v>
      </c>
      <c r="M2373" s="21" t="s">
        <v>24</v>
      </c>
      <c r="N2373" s="29">
        <v>10</v>
      </c>
      <c r="O2373" s="21" t="s">
        <v>25</v>
      </c>
      <c r="P2373" s="21" t="s">
        <v>41</v>
      </c>
      <c r="Q2373" s="21" t="s">
        <v>60</v>
      </c>
      <c r="R2373" s="21" t="s">
        <v>352</v>
      </c>
    </row>
    <row r="2374" spans="1:18" ht="14.4">
      <c r="A2374" s="33">
        <f>IF(C2374="","",MAX($A$1:A2373)+1)</f>
        <v>2220</v>
      </c>
      <c r="B2374" s="26" t="s">
        <v>79</v>
      </c>
      <c r="C2374" s="23">
        <v>46100</v>
      </c>
      <c r="D2374" s="28" t="str">
        <f>_xlfn.XLOOKUP(Table134526_79101120212223242526[[#This Row],[Name Surname]],Manpower!$C$4:$C$1048576,Manpower!$B$4:$B$1048576,"")</f>
        <v>Encogroup</v>
      </c>
      <c r="E2374" s="21" t="s">
        <v>137</v>
      </c>
      <c r="F2374" s="12" t="e">
        <f>_xlfn.XLOOKUP(Table134526_79101120212223242526[[#This Row],[Name Surname]],Manpower!C:C,Manpower!D:D,)</f>
        <v>#N/A</v>
      </c>
      <c r="G2374" s="28" t="str">
        <f>_xlfn.XLOOKUP(Table134526_79101120212223242526[[#This Row],[Name Surname]],Manpower!$C$4:$C$1048576,Manpower!$F$4:$F$1048576,"")</f>
        <v>55 Seat Bus</v>
      </c>
      <c r="H2374" s="28" t="str">
        <f>_xlfn.XLOOKUP(Table134526_79101120212223242526[[#This Row],[Name Surname]],Manpower!$C$4:$C$1048576,Manpower!$H$4:$H$1048576,"")</f>
        <v>Equipment</v>
      </c>
      <c r="I2374" s="28" t="str">
        <f>_xlfn.XLOOKUP(Table134526_79101120212223242526[[#This Row],[Name Surname]],Manpower!$C$4:$C$1048576,Manpower!$H$4:$H$1048576,"")</f>
        <v>Equipment</v>
      </c>
      <c r="J2374" s="21" t="s">
        <v>35</v>
      </c>
      <c r="K2374" s="21" t="s">
        <v>252</v>
      </c>
      <c r="L2374" s="21" t="s">
        <v>82</v>
      </c>
      <c r="M2374" s="21" t="s">
        <v>24</v>
      </c>
      <c r="N2374" s="29">
        <v>10</v>
      </c>
      <c r="O2374" s="21" t="s">
        <v>138</v>
      </c>
      <c r="P2374" s="21" t="s">
        <v>138</v>
      </c>
      <c r="Q2374" s="21" t="s">
        <v>138</v>
      </c>
      <c r="R2374" s="21" t="s">
        <v>26</v>
      </c>
    </row>
    <row r="2375" spans="1:18" ht="14.4">
      <c r="A2375" s="33">
        <f>IF(C2375="","",MAX($A$1:A2373)+1)</f>
        <v>2220</v>
      </c>
      <c r="B2375" s="26" t="s">
        <v>79</v>
      </c>
      <c r="C2375" s="23">
        <v>46100</v>
      </c>
      <c r="D2375" s="28" t="str">
        <f>_xlfn.XLOOKUP(Table134526_79101120212223242526[[#This Row],[Name Surname]],Manpower!$C$4:$C$1048576,Manpower!$B$4:$B$1048576,"")</f>
        <v>Encogroup</v>
      </c>
      <c r="E2375" s="21" t="s">
        <v>139</v>
      </c>
      <c r="F2375" s="12" t="e">
        <f>_xlfn.XLOOKUP(Table134526_79101120212223242526[[#This Row],[Name Surname]],Manpower!C:C,Manpower!D:D,)</f>
        <v>#N/A</v>
      </c>
      <c r="G2375" s="28" t="str">
        <f>_xlfn.XLOOKUP(Table134526_79101120212223242526[[#This Row],[Name Surname]],Manpower!$C$4:$C$1048576,Manpower!$F$4:$F$1048576,"")</f>
        <v>TOWER LIGHT</v>
      </c>
      <c r="H2375" s="28" t="str">
        <f>_xlfn.XLOOKUP(Table134526_79101120212223242526[[#This Row],[Name Surname]],Manpower!$C$4:$C$1048576,Manpower!$H$4:$H$1048576,"")</f>
        <v>Equipment</v>
      </c>
      <c r="I2375" s="28" t="str">
        <f>_xlfn.XLOOKUP(Table134526_79101120212223242526[[#This Row],[Name Surname]],Manpower!$C$4:$C$1048576,Manpower!$H$4:$H$1048576,"")</f>
        <v>Equipment</v>
      </c>
      <c r="J2375" s="21" t="s">
        <v>35</v>
      </c>
      <c r="K2375" s="21" t="s">
        <v>252</v>
      </c>
      <c r="L2375" s="21" t="s">
        <v>82</v>
      </c>
      <c r="M2375" s="21" t="s">
        <v>24</v>
      </c>
      <c r="N2375" s="29">
        <v>10</v>
      </c>
      <c r="O2375" s="21" t="s">
        <v>140</v>
      </c>
      <c r="P2375" s="21" t="s">
        <v>140</v>
      </c>
      <c r="Q2375" s="21" t="s">
        <v>140</v>
      </c>
      <c r="R2375" s="21" t="s">
        <v>352</v>
      </c>
    </row>
    <row r="2376" spans="1:18" ht="14.4">
      <c r="A2376" s="33">
        <f>IF(C2376="","",MAX($A$1:A2375)+1)</f>
        <v>2221</v>
      </c>
      <c r="B2376" s="26" t="s">
        <v>79</v>
      </c>
      <c r="C2376" s="23">
        <v>46100</v>
      </c>
      <c r="D2376" s="28" t="str">
        <f>_xlfn.XLOOKUP(Table134526_79101120212223242526[[#This Row],[Name Surname]],Manpower!$C$4:$C$1048576,Manpower!$B$4:$B$1048576,"")</f>
        <v>Encogroup</v>
      </c>
      <c r="E2376" s="21" t="s">
        <v>355</v>
      </c>
      <c r="F2376" s="12" t="e">
        <f>_xlfn.XLOOKUP(Table134526_79101120212223242526[[#This Row],[Name Surname]],Manpower!C:C,Manpower!D:D,)</f>
        <v>#N/A</v>
      </c>
      <c r="G2376" s="28" t="str">
        <f>_xlfn.XLOOKUP(Table134526_79101120212223242526[[#This Row],[Name Surname]],Manpower!$C$4:$C$1048576,Manpower!$F$4:$F$1048576,"")</f>
        <v>TOWER LIGHT</v>
      </c>
      <c r="H2376" s="28" t="str">
        <f>_xlfn.XLOOKUP(Table134526_79101120212223242526[[#This Row],[Name Surname]],Manpower!$C$4:$C$1048576,Manpower!$H$4:$H$1048576,"")</f>
        <v>Equipment</v>
      </c>
      <c r="I2376" s="28" t="str">
        <f>_xlfn.XLOOKUP(Table134526_79101120212223242526[[#This Row],[Name Surname]],Manpower!$C$4:$C$1048576,Manpower!$H$4:$H$1048576,"")</f>
        <v>Equipment</v>
      </c>
      <c r="J2376" s="21" t="s">
        <v>35</v>
      </c>
      <c r="K2376" s="21" t="s">
        <v>252</v>
      </c>
      <c r="L2376" s="21" t="s">
        <v>82</v>
      </c>
      <c r="M2376" s="21" t="s">
        <v>24</v>
      </c>
      <c r="N2376" s="29">
        <v>10</v>
      </c>
      <c r="O2376" s="21" t="s">
        <v>140</v>
      </c>
      <c r="P2376" s="21" t="s">
        <v>140</v>
      </c>
      <c r="Q2376" s="21" t="s">
        <v>140</v>
      </c>
      <c r="R2376" s="21" t="s">
        <v>26</v>
      </c>
    </row>
    <row r="2377" spans="1:18" ht="14.4">
      <c r="A2377" s="33">
        <f>IF(C2377="","",MAX($A$1:A2376)+1)</f>
        <v>2222</v>
      </c>
      <c r="B2377" s="27" t="s">
        <v>141</v>
      </c>
      <c r="C2377" s="23">
        <v>46100</v>
      </c>
      <c r="D2377" s="28" t="str">
        <f>_xlfn.XLOOKUP(Table134526_79101120212223242526[[#This Row],[Name Surname]],Manpower!$C$4:$C$1048576,Manpower!$B$4:$B$1048576,"")</f>
        <v>Nass Group</v>
      </c>
      <c r="E2377" s="21" t="s">
        <v>148</v>
      </c>
      <c r="F2377" s="12" t="e">
        <f>_xlfn.XLOOKUP(Table134526_79101120212223242526[[#This Row],[Name Surname]],Manpower!C:C,Manpower!D:D,)</f>
        <v>#N/A</v>
      </c>
      <c r="G2377" s="28" t="str">
        <f>_xlfn.XLOOKUP(Table134526_79101120212223242526[[#This Row],[Name Surname]],Manpower!$C$4:$C$1048576,Manpower!$F$4:$F$1048576,"")</f>
        <v>70T-Telescopic crane</v>
      </c>
      <c r="H2377" s="28" t="str">
        <f>_xlfn.XLOOKUP(Table134526_79101120212223242526[[#This Row],[Name Surname]],Manpower!$C$4:$C$1048576,Manpower!$H$4:$H$1048576,"")</f>
        <v>Equipment</v>
      </c>
      <c r="I2377" s="28" t="str">
        <f>_xlfn.XLOOKUP(Table134526_79101120212223242526[[#This Row],[Name Surname]],Manpower!$C$4:$C$1048576,Manpower!$H$4:$H$1048576,"")</f>
        <v>Equipment</v>
      </c>
      <c r="J2377" s="21" t="s">
        <v>143</v>
      </c>
      <c r="K2377" s="21" t="s">
        <v>26</v>
      </c>
      <c r="L2377" s="21" t="s">
        <v>144</v>
      </c>
      <c r="M2377" s="21" t="s">
        <v>24</v>
      </c>
      <c r="N2377" s="29">
        <v>10</v>
      </c>
      <c r="O2377" s="21" t="s">
        <v>40</v>
      </c>
      <c r="P2377" s="21" t="s">
        <v>42</v>
      </c>
      <c r="Q2377" s="21" t="s">
        <v>42</v>
      </c>
      <c r="R2377" s="21" t="s">
        <v>368</v>
      </c>
    </row>
    <row r="2378" spans="1:18" ht="14.4" hidden="1">
      <c r="A2378" s="33">
        <f>IF(C2378="","",MAX($A$1:A2377)+1)</f>
        <v>2223</v>
      </c>
      <c r="B2378" s="27" t="s">
        <v>141</v>
      </c>
      <c r="C2378" s="23">
        <v>46100</v>
      </c>
      <c r="D2378" s="28" t="str">
        <f>_xlfn.XLOOKUP(Table134526_79101120212223242526[[#This Row],[Name Surname]],Manpower!$C$4:$C$1048576,Manpower!$B$4:$B$1048576,"")</f>
        <v>SARENS NASS</v>
      </c>
      <c r="E2378" s="21" t="s">
        <v>162</v>
      </c>
      <c r="F2378" s="12">
        <f>_xlfn.XLOOKUP(Table134526_79101120212223242526[[#This Row],[Name Surname]],Manpower!C:C,Manpower!D:D,)</f>
        <v>78753612</v>
      </c>
      <c r="G2378" s="28" t="str">
        <f>_xlfn.XLOOKUP(Table134526_79101120212223242526[[#This Row],[Name Surname]],Manpower!$C$4:$C$1048576,Manpower!$F$4:$F$1048576,"")</f>
        <v>Crane Operator- 70T Liebherr Telescopic Crane-02</v>
      </c>
      <c r="H2378" s="28" t="str">
        <f>_xlfn.XLOOKUP(Table134526_79101120212223242526[[#This Row],[Name Surname]],Manpower!$C$4:$C$1048576,Manpower!$H$4:$H$1048576,"")</f>
        <v>Manpower</v>
      </c>
      <c r="I2378" s="28" t="str">
        <f>_xlfn.XLOOKUP(Table134526_79101120212223242526[[#This Row],[Name Surname]],Manpower!$C$4:$C$1048576,Manpower!$H$4:$H$1048576,"")</f>
        <v>Manpower</v>
      </c>
      <c r="J2378" s="21" t="s">
        <v>143</v>
      </c>
      <c r="K2378" s="21" t="s">
        <v>26</v>
      </c>
      <c r="L2378" s="21" t="s">
        <v>144</v>
      </c>
      <c r="M2378" s="21" t="s">
        <v>24</v>
      </c>
      <c r="N2378" s="29">
        <v>10</v>
      </c>
      <c r="O2378" s="21" t="s">
        <v>40</v>
      </c>
      <c r="P2378" s="21" t="s">
        <v>42</v>
      </c>
      <c r="Q2378" s="21" t="s">
        <v>42</v>
      </c>
      <c r="R2378" s="21" t="s">
        <v>368</v>
      </c>
    </row>
    <row r="2379" spans="1:18" ht="14.4">
      <c r="A2379" s="33">
        <f>IF(C2379="","",MAX($A$1:A2378)+1)</f>
        <v>2224</v>
      </c>
      <c r="B2379" s="27" t="s">
        <v>141</v>
      </c>
      <c r="C2379" s="23">
        <v>46100</v>
      </c>
      <c r="D2379" s="28" t="str">
        <f>_xlfn.XLOOKUP(Table134526_79101120212223242526[[#This Row],[Name Surname]],Manpower!$C$4:$C$1048576,Manpower!$B$4:$B$1048576,"")</f>
        <v>Encogroup</v>
      </c>
      <c r="E2379" s="21" t="s">
        <v>142</v>
      </c>
      <c r="F2379" s="12" t="e">
        <f>_xlfn.XLOOKUP(Table134526_79101120212223242526[[#This Row],[Name Surname]],Manpower!C:C,Manpower!D:D,)</f>
        <v>#N/A</v>
      </c>
      <c r="G2379" s="28" t="str">
        <f>_xlfn.XLOOKUP(Table134526_79101120212223242526[[#This Row],[Name Surname]],Manpower!$C$4:$C$1048576,Manpower!$F$4:$F$1048576,"")</f>
        <v>13 Seat Bus</v>
      </c>
      <c r="H2379" s="28" t="str">
        <f>_xlfn.XLOOKUP(Table134526_79101120212223242526[[#This Row],[Name Surname]],Manpower!$C$4:$C$1048576,Manpower!$H$4:$H$1048576,"")</f>
        <v>Equipment</v>
      </c>
      <c r="I2379" s="28" t="str">
        <f>_xlfn.XLOOKUP(Table134526_79101120212223242526[[#This Row],[Name Surname]],Manpower!$C$4:$C$1048576,Manpower!$H$4:$H$1048576,"")</f>
        <v>Equipment</v>
      </c>
      <c r="J2379" s="21" t="s">
        <v>143</v>
      </c>
      <c r="K2379" s="21" t="s">
        <v>26</v>
      </c>
      <c r="L2379" s="21" t="s">
        <v>144</v>
      </c>
      <c r="M2379" s="21" t="s">
        <v>24</v>
      </c>
      <c r="N2379" s="29">
        <v>10</v>
      </c>
      <c r="O2379" s="21" t="s">
        <v>138</v>
      </c>
      <c r="P2379" s="21" t="s">
        <v>138</v>
      </c>
      <c r="Q2379" s="21" t="s">
        <v>138</v>
      </c>
      <c r="R2379" s="21" t="s">
        <v>26</v>
      </c>
    </row>
    <row r="2380" spans="1:18" ht="14.4">
      <c r="A2380" s="33">
        <f>IF(C2380="","",MAX($A$1:A2379)+1)</f>
        <v>2225</v>
      </c>
      <c r="B2380" s="27" t="s">
        <v>141</v>
      </c>
      <c r="C2380" s="23">
        <v>46100</v>
      </c>
      <c r="D2380" s="28" t="str">
        <f>_xlfn.XLOOKUP(Table134526_79101120212223242526[[#This Row],[Name Surname]],Manpower!$C$4:$C$1048576,Manpower!$B$4:$B$1048576,"")</f>
        <v>Encogroup</v>
      </c>
      <c r="E2380" s="21" t="s">
        <v>145</v>
      </c>
      <c r="F2380" s="12" t="e">
        <f>_xlfn.XLOOKUP(Table134526_79101120212223242526[[#This Row],[Name Surname]],Manpower!C:C,Manpower!D:D,)</f>
        <v>#N/A</v>
      </c>
      <c r="G2380" s="28" t="str">
        <f>_xlfn.XLOOKUP(Table134526_79101120212223242526[[#This Row],[Name Surname]],Manpower!$C$4:$C$1048576,Manpower!$F$4:$F$1048576,"")</f>
        <v>15 Seat Bus</v>
      </c>
      <c r="H2380" s="28" t="str">
        <f>_xlfn.XLOOKUP(Table134526_79101120212223242526[[#This Row],[Name Surname]],Manpower!$C$4:$C$1048576,Manpower!$H$4:$H$1048576,"")</f>
        <v>Equipment</v>
      </c>
      <c r="I2380" s="28" t="str">
        <f>_xlfn.XLOOKUP(Table134526_79101120212223242526[[#This Row],[Name Surname]],Manpower!$C$4:$C$1048576,Manpower!$H$4:$H$1048576,"")</f>
        <v>Equipment</v>
      </c>
      <c r="J2380" s="21" t="s">
        <v>143</v>
      </c>
      <c r="K2380" s="21" t="s">
        <v>26</v>
      </c>
      <c r="L2380" s="21" t="s">
        <v>144</v>
      </c>
      <c r="M2380" s="21" t="s">
        <v>24</v>
      </c>
      <c r="N2380" s="29">
        <v>10</v>
      </c>
      <c r="O2380" s="21" t="s">
        <v>138</v>
      </c>
      <c r="P2380" s="21" t="s">
        <v>138</v>
      </c>
      <c r="Q2380" s="21" t="s">
        <v>138</v>
      </c>
      <c r="R2380" s="21" t="s">
        <v>26</v>
      </c>
    </row>
    <row r="2381" spans="1:18" ht="14.4">
      <c r="A2381" s="33">
        <f>IF(C2381="","",MAX($A$1:A2379)+1)</f>
        <v>2225</v>
      </c>
      <c r="B2381" s="27" t="s">
        <v>141</v>
      </c>
      <c r="C2381" s="23">
        <v>46100</v>
      </c>
      <c r="D2381" s="28" t="str">
        <f>_xlfn.XLOOKUP(Table134526_79101120212223242526[[#This Row],[Name Surname]],Manpower!$C$4:$C$1048576,Manpower!$B$4:$B$1048576,"")</f>
        <v>Encogroup</v>
      </c>
      <c r="E2381" s="21" t="s">
        <v>150</v>
      </c>
      <c r="F2381" s="12" t="e">
        <f>_xlfn.XLOOKUP(Table134526_79101120212223242526[[#This Row],[Name Surname]],Manpower!C:C,Manpower!D:D,)</f>
        <v>#N/A</v>
      </c>
      <c r="G2381" s="28" t="str">
        <f>_xlfn.XLOOKUP(Table134526_79101120212223242526[[#This Row],[Name Surname]],Manpower!$C$4:$C$1048576,Manpower!$F$4:$F$1048576,"")</f>
        <v>14T Fork lift</v>
      </c>
      <c r="H2381" s="28" t="str">
        <f>_xlfn.XLOOKUP(Table134526_79101120212223242526[[#This Row],[Name Surname]],Manpower!$C$4:$C$1048576,Manpower!$H$4:$H$1048576,"")</f>
        <v>Equipment</v>
      </c>
      <c r="I2381" s="28" t="str">
        <f>_xlfn.XLOOKUP(Table134526_79101120212223242526[[#This Row],[Name Surname]],Manpower!$C$4:$C$1048576,Manpower!$H$4:$H$1048576,"")</f>
        <v>Equipment</v>
      </c>
      <c r="J2381" s="21" t="s">
        <v>143</v>
      </c>
      <c r="K2381" s="21" t="s">
        <v>26</v>
      </c>
      <c r="L2381" s="21" t="s">
        <v>144</v>
      </c>
      <c r="M2381" s="21" t="s">
        <v>24</v>
      </c>
      <c r="N2381" s="29">
        <v>10</v>
      </c>
      <c r="O2381" s="21" t="s">
        <v>40</v>
      </c>
      <c r="P2381" s="21" t="s">
        <v>42</v>
      </c>
      <c r="Q2381" s="21" t="s">
        <v>41</v>
      </c>
      <c r="R2381" s="21" t="s">
        <v>272</v>
      </c>
    </row>
    <row r="2382" spans="1:18" ht="14.4">
      <c r="A2382" s="33">
        <f>IF(C2382="","",MAX($A$1:A2381)+1)</f>
        <v>2226</v>
      </c>
      <c r="B2382" s="27" t="s">
        <v>141</v>
      </c>
      <c r="C2382" s="23">
        <v>46100</v>
      </c>
      <c r="D2382" s="28" t="str">
        <f>_xlfn.XLOOKUP(Table134526_79101120212223242526[[#This Row],[Name Surname]],Manpower!$C$4:$C$1048576,Manpower!$B$4:$B$1048576,"")</f>
        <v>Al Jaber Heavy Lift</v>
      </c>
      <c r="E2382" s="21" t="s">
        <v>151</v>
      </c>
      <c r="F2382" s="12" t="e">
        <f>_xlfn.XLOOKUP(Table134526_79101120212223242526[[#This Row],[Name Surname]],Manpower!C:C,Manpower!D:D,)</f>
        <v>#N/A</v>
      </c>
      <c r="G2382" s="28" t="str">
        <f>_xlfn.XLOOKUP(Table134526_79101120212223242526[[#This Row],[Name Surname]],Manpower!$C$4:$C$1048576,Manpower!$F$4:$F$1048576,"")</f>
        <v>150T-Crawler Crane</v>
      </c>
      <c r="H2382" s="28" t="str">
        <f>_xlfn.XLOOKUP(Table134526_79101120212223242526[[#This Row],[Name Surname]],Manpower!$C$4:$C$1048576,Manpower!$H$4:$H$1048576,"")</f>
        <v>Equipment</v>
      </c>
      <c r="I2382" s="28" t="str">
        <f>_xlfn.XLOOKUP(Table134526_79101120212223242526[[#This Row],[Name Surname]],Manpower!$C$4:$C$1048576,Manpower!$H$4:$H$1048576,"")</f>
        <v>Equipment</v>
      </c>
      <c r="J2382" s="21" t="s">
        <v>143</v>
      </c>
      <c r="K2382" s="21" t="s">
        <v>26</v>
      </c>
      <c r="L2382" s="21" t="s">
        <v>144</v>
      </c>
      <c r="M2382" s="21" t="s">
        <v>55</v>
      </c>
      <c r="N2382" s="29">
        <v>10</v>
      </c>
      <c r="R2382" s="21" t="s">
        <v>357</v>
      </c>
    </row>
    <row r="2383" spans="1:18" ht="14.4" hidden="1">
      <c r="A2383" s="33">
        <f>IF(C2383="","",MAX($A$1:A2382)+1)</f>
        <v>2227</v>
      </c>
      <c r="B2383" s="27" t="s">
        <v>141</v>
      </c>
      <c r="C2383" s="23">
        <v>46100</v>
      </c>
      <c r="D2383" s="28" t="str">
        <f>_xlfn.XLOOKUP(Table134526_79101120212223242526[[#This Row],[Name Surname]],Manpower!$C$4:$C$1048576,Manpower!$B$4:$B$1048576,"")</f>
        <v>Al Jaber Heavy Lift</v>
      </c>
      <c r="E2383" s="21" t="s">
        <v>164</v>
      </c>
      <c r="F2383" s="12">
        <f>_xlfn.XLOOKUP(Table134526_79101120212223242526[[#This Row],[Name Surname]],Manpower!C:C,Manpower!D:D,)</f>
        <v>112778626</v>
      </c>
      <c r="G2383" s="28" t="str">
        <f>_xlfn.XLOOKUP(Table134526_79101120212223242526[[#This Row],[Name Surname]],Manpower!$C$4:$C$1048576,Manpower!$F$4:$F$1048576,"")</f>
        <v>Crane Operator-150T Hitachi Crawler</v>
      </c>
      <c r="H2383" s="28" t="str">
        <f>_xlfn.XLOOKUP(Table134526_79101120212223242526[[#This Row],[Name Surname]],Manpower!$C$4:$C$1048576,Manpower!$H$4:$H$1048576,"")</f>
        <v>Manpower</v>
      </c>
      <c r="I2383" s="28" t="str">
        <f>_xlfn.XLOOKUP(Table134526_79101120212223242526[[#This Row],[Name Surname]],Manpower!$C$4:$C$1048576,Manpower!$H$4:$H$1048576,"")</f>
        <v>Manpower</v>
      </c>
      <c r="J2383" s="21" t="s">
        <v>143</v>
      </c>
      <c r="K2383" s="21" t="s">
        <v>26</v>
      </c>
      <c r="L2383" s="21" t="s">
        <v>144</v>
      </c>
      <c r="M2383" s="21" t="s">
        <v>55</v>
      </c>
      <c r="N2383" s="29">
        <v>4</v>
      </c>
      <c r="R2383" s="21" t="s">
        <v>357</v>
      </c>
    </row>
    <row r="2384" spans="1:18" ht="14.4">
      <c r="A2384" s="33">
        <f>IF(C2384="","",MAX($A$1:A2383)+1)</f>
        <v>2228</v>
      </c>
      <c r="B2384" s="27" t="s">
        <v>141</v>
      </c>
      <c r="C2384" s="23">
        <v>46100</v>
      </c>
      <c r="D2384" s="28" t="str">
        <f>_xlfn.XLOOKUP(Table134526_79101120212223242526[[#This Row],[Name Surname]],Manpower!$C$4:$C$1048576,Manpower!$B$4:$B$1048576,"")</f>
        <v>Encogroup</v>
      </c>
      <c r="E2384" s="21" t="s">
        <v>153</v>
      </c>
      <c r="F2384" s="12" t="e">
        <f>_xlfn.XLOOKUP(Table134526_79101120212223242526[[#This Row],[Name Surname]],Manpower!C:C,Manpower!D:D,)</f>
        <v>#N/A</v>
      </c>
      <c r="G2384" s="28" t="str">
        <f>_xlfn.XLOOKUP(Table134526_79101120212223242526[[#This Row],[Name Surname]],Manpower!$C$4:$C$1048576,Manpower!$F$4:$F$1048576,"")</f>
        <v>22 Seat Bus</v>
      </c>
      <c r="H2384" s="28" t="str">
        <f>_xlfn.XLOOKUP(Table134526_79101120212223242526[[#This Row],[Name Surname]],Manpower!$C$4:$C$1048576,Manpower!$H$4:$H$1048576,"")</f>
        <v>Equipment</v>
      </c>
      <c r="I2384" s="28" t="str">
        <f>_xlfn.XLOOKUP(Table134526_79101120212223242526[[#This Row],[Name Surname]],Manpower!$C$4:$C$1048576,Manpower!$H$4:$H$1048576,"")</f>
        <v>Equipment</v>
      </c>
      <c r="J2384" s="21" t="s">
        <v>143</v>
      </c>
      <c r="K2384" s="21" t="s">
        <v>26</v>
      </c>
      <c r="L2384" s="21" t="s">
        <v>144</v>
      </c>
      <c r="M2384" s="21" t="s">
        <v>24</v>
      </c>
      <c r="N2384" s="29">
        <v>10</v>
      </c>
      <c r="O2384" s="21" t="s">
        <v>138</v>
      </c>
      <c r="P2384" s="21" t="s">
        <v>138</v>
      </c>
      <c r="Q2384" s="21" t="s">
        <v>138</v>
      </c>
      <c r="R2384" s="21" t="s">
        <v>26</v>
      </c>
    </row>
    <row r="2385" spans="1:18" ht="14.4">
      <c r="A2385" s="33">
        <f>IF(C2385="","",MAX($A$1:A2384)+1)</f>
        <v>2229</v>
      </c>
      <c r="B2385" s="27" t="s">
        <v>141</v>
      </c>
      <c r="C2385" s="23">
        <v>46100</v>
      </c>
      <c r="D2385" s="28" t="str">
        <f>_xlfn.XLOOKUP(Table134526_79101120212223242526[[#This Row],[Name Surname]],Manpower!$C$4:$C$1048576,Manpower!$B$4:$B$1048576,"")</f>
        <v>Encogroup</v>
      </c>
      <c r="E2385" s="21" t="s">
        <v>154</v>
      </c>
      <c r="F2385" s="12" t="e">
        <f>_xlfn.XLOOKUP(Table134526_79101120212223242526[[#This Row],[Name Surname]],Manpower!C:C,Manpower!D:D,)</f>
        <v>#N/A</v>
      </c>
      <c r="G2385" s="28" t="str">
        <f>_xlfn.XLOOKUP(Table134526_79101120212223242526[[#This Row],[Name Surname]],Manpower!$C$4:$C$1048576,Manpower!$F$4:$F$1048576,"")</f>
        <v>22 Seat Bus</v>
      </c>
      <c r="H2385" s="28" t="str">
        <f>_xlfn.XLOOKUP(Table134526_79101120212223242526[[#This Row],[Name Surname]],Manpower!$C$4:$C$1048576,Manpower!$H$4:$H$1048576,"")</f>
        <v>Equipment</v>
      </c>
      <c r="I2385" s="28" t="str">
        <f>_xlfn.XLOOKUP(Table134526_79101120212223242526[[#This Row],[Name Surname]],Manpower!$C$4:$C$1048576,Manpower!$H$4:$H$1048576,"")</f>
        <v>Equipment</v>
      </c>
      <c r="J2385" s="21" t="s">
        <v>143</v>
      </c>
      <c r="K2385" s="21" t="s">
        <v>26</v>
      </c>
      <c r="L2385" s="21" t="s">
        <v>144</v>
      </c>
      <c r="M2385" s="21" t="s">
        <v>24</v>
      </c>
      <c r="N2385" s="29">
        <v>10</v>
      </c>
      <c r="O2385" s="21" t="s">
        <v>138</v>
      </c>
      <c r="P2385" s="21" t="s">
        <v>138</v>
      </c>
      <c r="Q2385" s="21" t="s">
        <v>138</v>
      </c>
      <c r="R2385" s="21" t="s">
        <v>26</v>
      </c>
    </row>
    <row r="2386" spans="1:18" ht="14.4">
      <c r="A2386" s="33">
        <f>IF(C2386="","",MAX($A$1:A2385)+1)</f>
        <v>2230</v>
      </c>
      <c r="B2386" s="27" t="s">
        <v>141</v>
      </c>
      <c r="C2386" s="23">
        <v>46100</v>
      </c>
      <c r="D2386" s="28" t="str">
        <f>_xlfn.XLOOKUP(Table134526_79101120212223242526[[#This Row],[Name Surname]],Manpower!$C$4:$C$1048576,Manpower!$B$4:$B$1048576,"")</f>
        <v>Encogroup</v>
      </c>
      <c r="E2386" s="21" t="s">
        <v>155</v>
      </c>
      <c r="F2386" s="12" t="e">
        <f>_xlfn.XLOOKUP(Table134526_79101120212223242526[[#This Row],[Name Surname]],Manpower!C:C,Manpower!D:D,)</f>
        <v>#N/A</v>
      </c>
      <c r="G2386" s="28" t="str">
        <f>_xlfn.XLOOKUP(Table134526_79101120212223242526[[#This Row],[Name Surname]],Manpower!$C$4:$C$1048576,Manpower!$F$4:$F$1048576,"")</f>
        <v>300 KVA Generator</v>
      </c>
      <c r="H2386" s="28" t="str">
        <f>_xlfn.XLOOKUP(Table134526_79101120212223242526[[#This Row],[Name Surname]],Manpower!$C$4:$C$1048576,Manpower!$H$4:$H$1048576,"")</f>
        <v>Equipment</v>
      </c>
      <c r="I2386" s="28" t="str">
        <f>_xlfn.XLOOKUP(Table134526_79101120212223242526[[#This Row],[Name Surname]],Manpower!$C$4:$C$1048576,Manpower!$H$4:$H$1048576,"")</f>
        <v>Equipment</v>
      </c>
      <c r="J2386" s="21" t="s">
        <v>143</v>
      </c>
      <c r="K2386" s="21" t="s">
        <v>26</v>
      </c>
      <c r="L2386" s="21" t="s">
        <v>144</v>
      </c>
      <c r="M2386" s="21" t="s">
        <v>24</v>
      </c>
      <c r="N2386" s="29">
        <v>10</v>
      </c>
      <c r="R2386" s="21" t="s">
        <v>26</v>
      </c>
    </row>
    <row r="2387" spans="1:18" ht="14.4">
      <c r="A2387" s="33">
        <f>IF(C2387="","",MAX($A$1:A2386)+1)</f>
        <v>2231</v>
      </c>
      <c r="B2387" s="27" t="s">
        <v>141</v>
      </c>
      <c r="C2387" s="23">
        <v>46100</v>
      </c>
      <c r="D2387" s="28" t="str">
        <f>_xlfn.XLOOKUP(Table134526_79101120212223242526[[#This Row],[Name Surname]],Manpower!$C$4:$C$1048576,Manpower!$B$4:$B$1048576,"")</f>
        <v>Encogroup</v>
      </c>
      <c r="E2387" s="23" t="s">
        <v>156</v>
      </c>
      <c r="F2387" s="12" t="e">
        <f>_xlfn.XLOOKUP(Table134526_79101120212223242526[[#This Row],[Name Surname]],Manpower!C:C,Manpower!D:D,)</f>
        <v>#N/A</v>
      </c>
      <c r="G2387" s="28" t="str">
        <f>_xlfn.XLOOKUP(Table134526_79101120212223242526[[#This Row],[Name Surname]],Manpower!$C$4:$C$1048576,Manpower!$F$4:$F$1048576,"")</f>
        <v>35 KVA Generator</v>
      </c>
      <c r="H2387" s="28" t="str">
        <f>_xlfn.XLOOKUP(Table134526_79101120212223242526[[#This Row],[Name Surname]],Manpower!$C$4:$C$1048576,Manpower!$H$4:$H$1048576,"")</f>
        <v>Equipment</v>
      </c>
      <c r="I2387" s="28" t="str">
        <f>_xlfn.XLOOKUP(Table134526_79101120212223242526[[#This Row],[Name Surname]],Manpower!$C$4:$C$1048576,Manpower!$H$4:$H$1048576,"")</f>
        <v>Equipment</v>
      </c>
      <c r="J2387" s="21" t="s">
        <v>143</v>
      </c>
      <c r="K2387" s="21" t="s">
        <v>26</v>
      </c>
      <c r="L2387" s="21" t="s">
        <v>144</v>
      </c>
      <c r="M2387" s="21" t="s">
        <v>55</v>
      </c>
      <c r="N2387" s="29">
        <v>10</v>
      </c>
      <c r="R2387" s="21" t="s">
        <v>56</v>
      </c>
    </row>
    <row r="2388" spans="1:18" ht="14.4">
      <c r="A2388" s="33">
        <f>IF(C2388="","",MAX($A$1:A2387)+1)</f>
        <v>2232</v>
      </c>
      <c r="B2388" s="27" t="s">
        <v>141</v>
      </c>
      <c r="C2388" s="23">
        <v>46100</v>
      </c>
      <c r="D2388" s="28" t="str">
        <f>_xlfn.XLOOKUP(Table134526_79101120212223242526[[#This Row],[Name Surname]],Manpower!$C$4:$C$1048576,Manpower!$B$4:$B$1048576,"")</f>
        <v>Encogroup</v>
      </c>
      <c r="E2388" s="21" t="s">
        <v>341</v>
      </c>
      <c r="F2388" s="12" t="e">
        <f>_xlfn.XLOOKUP(Table134526_79101120212223242526[[#This Row],[Name Surname]],Manpower!C:C,Manpower!D:D,)</f>
        <v>#N/A</v>
      </c>
      <c r="G2388" s="28" t="str">
        <f>_xlfn.XLOOKUP(Table134526_79101120212223242526[[#This Row],[Name Surname]],Manpower!$C$4:$C$1048576,Manpower!$F$4:$F$1048576,"")</f>
        <v>SCISSOR LIFT</v>
      </c>
      <c r="H2388" s="28" t="str">
        <f>_xlfn.XLOOKUP(Table134526_79101120212223242526[[#This Row],[Name Surname]],Manpower!$C$4:$C$1048576,Manpower!$H$4:$H$1048576,"")</f>
        <v>Equipment</v>
      </c>
      <c r="I2388" s="28" t="str">
        <f>_xlfn.XLOOKUP(Table134526_79101120212223242526[[#This Row],[Name Surname]],Manpower!$C$4:$C$1048576,Manpower!$H$4:$H$1048576,"")</f>
        <v>Equipment</v>
      </c>
      <c r="J2388" s="21" t="s">
        <v>143</v>
      </c>
      <c r="K2388" s="21" t="s">
        <v>26</v>
      </c>
      <c r="L2388" s="21" t="s">
        <v>144</v>
      </c>
      <c r="M2388" s="21" t="s">
        <v>55</v>
      </c>
      <c r="N2388" s="29">
        <v>10</v>
      </c>
      <c r="O2388" s="21" t="s">
        <v>140</v>
      </c>
      <c r="P2388" s="21" t="s">
        <v>140</v>
      </c>
      <c r="Q2388" s="21" t="s">
        <v>140</v>
      </c>
      <c r="R2388" s="21" t="s">
        <v>56</v>
      </c>
    </row>
    <row r="2389" spans="1:18" ht="14.4">
      <c r="A2389" s="33">
        <f>IF(C2389="","",MAX($A$1:A2388)+1)</f>
        <v>2233</v>
      </c>
      <c r="B2389" s="27" t="s">
        <v>141</v>
      </c>
      <c r="C2389" s="23">
        <v>46100</v>
      </c>
      <c r="D2389" s="28" t="str">
        <f>_xlfn.XLOOKUP(Table134526_79101120212223242526[[#This Row],[Name Surname]],Manpower!$C$4:$C$1048576,Manpower!$B$4:$B$1048576,"")</f>
        <v>Encogroup</v>
      </c>
      <c r="E2389" s="21" t="s">
        <v>342</v>
      </c>
      <c r="F2389" s="12" t="e">
        <f>_xlfn.XLOOKUP(Table134526_79101120212223242526[[#This Row],[Name Surname]],Manpower!C:C,Manpower!D:D,)</f>
        <v>#N/A</v>
      </c>
      <c r="G2389" s="28" t="str">
        <f>_xlfn.XLOOKUP(Table134526_79101120212223242526[[#This Row],[Name Surname]],Manpower!$C$4:$C$1048576,Manpower!$F$4:$F$1048576,"")</f>
        <v>SCISSOR LIFT</v>
      </c>
      <c r="H2389" s="28" t="str">
        <f>_xlfn.XLOOKUP(Table134526_79101120212223242526[[#This Row],[Name Surname]],Manpower!$C$4:$C$1048576,Manpower!$H$4:$H$1048576,"")</f>
        <v>Equipment</v>
      </c>
      <c r="I2389" s="28" t="str">
        <f>_xlfn.XLOOKUP(Table134526_79101120212223242526[[#This Row],[Name Surname]],Manpower!$C$4:$C$1048576,Manpower!$H$4:$H$1048576,"")</f>
        <v>Equipment</v>
      </c>
      <c r="J2389" s="21" t="s">
        <v>143</v>
      </c>
      <c r="K2389" s="21" t="s">
        <v>26</v>
      </c>
      <c r="L2389" s="21" t="s">
        <v>144</v>
      </c>
      <c r="M2389" s="21" t="s">
        <v>55</v>
      </c>
      <c r="N2389" s="29">
        <v>10</v>
      </c>
      <c r="O2389" s="21" t="s">
        <v>140</v>
      </c>
      <c r="P2389" s="21" t="s">
        <v>140</v>
      </c>
      <c r="Q2389" s="21" t="s">
        <v>140</v>
      </c>
      <c r="R2389" s="21" t="s">
        <v>56</v>
      </c>
    </row>
    <row r="2390" spans="1:18" ht="14.4" hidden="1">
      <c r="A2390" s="33">
        <f>IF(C2390="","",MAX($A$1:A2389)+1)</f>
        <v>2234</v>
      </c>
      <c r="B2390" s="27" t="s">
        <v>141</v>
      </c>
      <c r="C2390" s="23">
        <v>46100</v>
      </c>
      <c r="D2390" s="28" t="str">
        <f>_xlfn.XLOOKUP(Table134526_79101120212223242526[[#This Row],[Name Surname]],Manpower!$C$4:$C$1048576,Manpower!$B$4:$B$1048576,"")</f>
        <v>Encogroup</v>
      </c>
      <c r="E2390" s="21" t="s">
        <v>157</v>
      </c>
      <c r="F2390" s="12">
        <f>_xlfn.XLOOKUP(Table134526_79101120212223242526[[#This Row],[Name Surname]],Manpower!C:C,Manpower!D:D,)</f>
        <v>140742144</v>
      </c>
      <c r="G2390" s="28" t="str">
        <f>_xlfn.XLOOKUP(Table134526_79101120212223242526[[#This Row],[Name Surname]],Manpower!$C$4:$C$1048576,Manpower!$F$4:$F$1048576,"")</f>
        <v>Assistant/Helper</v>
      </c>
      <c r="H2390" s="28" t="str">
        <f>_xlfn.XLOOKUP(Table134526_79101120212223242526[[#This Row],[Name Surname]],Manpower!$C$4:$C$1048576,Manpower!$H$4:$H$1048576,"")</f>
        <v>Manpower</v>
      </c>
      <c r="I2390" s="28" t="str">
        <f>_xlfn.XLOOKUP(Table134526_79101120212223242526[[#This Row],[Name Surname]],Manpower!$C$4:$C$1048576,Manpower!$H$4:$H$1048576,"")</f>
        <v>Manpower</v>
      </c>
      <c r="J2390" s="21" t="s">
        <v>158</v>
      </c>
      <c r="K2390" s="21" t="s">
        <v>26</v>
      </c>
      <c r="L2390" s="21" t="s">
        <v>26</v>
      </c>
      <c r="M2390" s="21" t="s">
        <v>24</v>
      </c>
      <c r="N2390" s="29">
        <v>10</v>
      </c>
      <c r="O2390" s="21" t="s">
        <v>159</v>
      </c>
      <c r="P2390" s="21" t="s">
        <v>160</v>
      </c>
      <c r="Q2390" s="21" t="s">
        <v>160</v>
      </c>
      <c r="R2390" s="21" t="s">
        <v>161</v>
      </c>
    </row>
    <row r="2391" spans="1:18" ht="14.4" hidden="1">
      <c r="A2391" s="33">
        <f>IF(C2391="","",MAX($A$1:A2390)+1)</f>
        <v>2235</v>
      </c>
      <c r="B2391" s="27" t="s">
        <v>141</v>
      </c>
      <c r="C2391" s="23">
        <v>46100</v>
      </c>
      <c r="D2391" s="28" t="str">
        <f>_xlfn.XLOOKUP(Table134526_79101120212223242526[[#This Row],[Name Surname]],Manpower!$C$4:$C$1048576,Manpower!$B$4:$B$1048576,"")</f>
        <v>Encogroup</v>
      </c>
      <c r="E2391" s="21" t="s">
        <v>166</v>
      </c>
      <c r="F2391" s="12" t="str">
        <f>_xlfn.XLOOKUP(Table134526_79101120212223242526[[#This Row],[Name Surname]],Manpower!C:C,Manpower!D:D,)</f>
        <v>U4181508</v>
      </c>
      <c r="G2391" s="28" t="str">
        <f>_xlfn.XLOOKUP(Table134526_79101120212223242526[[#This Row],[Name Surname]],Manpower!$C$4:$C$1048576,Manpower!$F$4:$F$1048576,"")</f>
        <v>Welder</v>
      </c>
      <c r="H2391" s="28" t="str">
        <f>_xlfn.XLOOKUP(Table134526_79101120212223242526[[#This Row],[Name Surname]],Manpower!$C$4:$C$1048576,Manpower!$H$4:$H$1048576,"")</f>
        <v>Manpower</v>
      </c>
      <c r="I2391" s="28" t="str">
        <f>_xlfn.XLOOKUP(Table134526_79101120212223242526[[#This Row],[Name Surname]],Manpower!$C$4:$C$1048576,Manpower!$H$4:$H$1048576,"")</f>
        <v>Manpower</v>
      </c>
      <c r="J2391" s="21" t="s">
        <v>143</v>
      </c>
      <c r="K2391" s="21" t="s">
        <v>26</v>
      </c>
      <c r="L2391" s="21" t="s">
        <v>144</v>
      </c>
      <c r="M2391" s="21" t="s">
        <v>24</v>
      </c>
      <c r="N2391" s="29">
        <v>10</v>
      </c>
      <c r="O2391" s="21" t="s">
        <v>40</v>
      </c>
      <c r="P2391" s="21" t="s">
        <v>42</v>
      </c>
      <c r="Q2391" s="21" t="s">
        <v>42</v>
      </c>
      <c r="R2391" s="21" t="s">
        <v>368</v>
      </c>
    </row>
    <row r="2392" spans="1:18" ht="14.4" hidden="1">
      <c r="A2392" s="33">
        <f>IF(C2392="","",MAX($A$1:A2391)+1)</f>
        <v>2236</v>
      </c>
      <c r="B2392" s="27" t="s">
        <v>141</v>
      </c>
      <c r="C2392" s="23">
        <v>46100</v>
      </c>
      <c r="D2392" s="28" t="str">
        <f>_xlfn.XLOOKUP(Table134526_79101120212223242526[[#This Row],[Name Surname]],Manpower!$C$4:$C$1048576,Manpower!$B$4:$B$1048576,"")</f>
        <v>Encogroup</v>
      </c>
      <c r="E2392" s="21" t="s">
        <v>167</v>
      </c>
      <c r="F2392" s="12">
        <f>_xlfn.XLOOKUP(Table134526_79101120212223242526[[#This Row],[Name Surname]],Manpower!C:C,Manpower!D:D,)</f>
        <v>125440631</v>
      </c>
      <c r="G2392" s="28" t="str">
        <f>_xlfn.XLOOKUP(Table134526_79101120212223242526[[#This Row],[Name Surname]],Manpower!$C$4:$C$1048576,Manpower!$F$4:$F$1048576,"")</f>
        <v>Rigger</v>
      </c>
      <c r="H2392" s="28" t="str">
        <f>_xlfn.XLOOKUP(Table134526_79101120212223242526[[#This Row],[Name Surname]],Manpower!$C$4:$C$1048576,Manpower!$H$4:$H$1048576,"")</f>
        <v>Manpower</v>
      </c>
      <c r="I2392" s="28" t="str">
        <f>_xlfn.XLOOKUP(Table134526_79101120212223242526[[#This Row],[Name Surname]],Manpower!$C$4:$C$1048576,Manpower!$H$4:$H$1048576,"")</f>
        <v>Manpower</v>
      </c>
      <c r="J2392" s="21" t="s">
        <v>143</v>
      </c>
      <c r="K2392" s="21" t="s">
        <v>26</v>
      </c>
      <c r="L2392" s="21" t="s">
        <v>144</v>
      </c>
      <c r="M2392" s="21" t="s">
        <v>24</v>
      </c>
      <c r="N2392" s="29">
        <v>8</v>
      </c>
      <c r="O2392" s="21" t="s">
        <v>40</v>
      </c>
      <c r="P2392" s="21" t="s">
        <v>42</v>
      </c>
      <c r="Q2392" s="21" t="s">
        <v>42</v>
      </c>
      <c r="R2392" s="21" t="s">
        <v>368</v>
      </c>
    </row>
    <row r="2393" spans="1:18" ht="14.4" hidden="1">
      <c r="A2393" s="33">
        <f>IF(C2393="","",MAX($A$1:A2392)+1)</f>
        <v>2237</v>
      </c>
      <c r="B2393" s="27" t="s">
        <v>141</v>
      </c>
      <c r="C2393" s="23">
        <v>46100</v>
      </c>
      <c r="D2393" s="28" t="str">
        <f>_xlfn.XLOOKUP(Table134526_79101120212223242526[[#This Row],[Name Surname]],Manpower!$C$4:$C$1048576,Manpower!$B$4:$B$1048576,"")</f>
        <v>AL Omar International TRAD AND CONT</v>
      </c>
      <c r="E2393" s="21" t="s">
        <v>169</v>
      </c>
      <c r="F2393" s="12">
        <f>_xlfn.XLOOKUP(Table134526_79101120212223242526[[#This Row],[Name Surname]],Manpower!C:C,Manpower!D:D,)</f>
        <v>115731078</v>
      </c>
      <c r="G2393" s="28" t="str">
        <f>_xlfn.XLOOKUP(Table134526_79101120212223242526[[#This Row],[Name Surname]],Manpower!$C$4:$C$1048576,Manpower!$F$4:$F$1048576,"")</f>
        <v>Scaffolder</v>
      </c>
      <c r="H2393" s="28" t="str">
        <f>_xlfn.XLOOKUP(Table134526_79101120212223242526[[#This Row],[Name Surname]],Manpower!$C$4:$C$1048576,Manpower!$H$4:$H$1048576,"")</f>
        <v>Sub Contactor</v>
      </c>
      <c r="I2393" s="28" t="str">
        <f>_xlfn.XLOOKUP(Table134526_79101120212223242526[[#This Row],[Name Surname]],Manpower!$C$4:$C$1048576,Manpower!$H$4:$H$1048576,"")</f>
        <v>Sub Contactor</v>
      </c>
      <c r="J2393" s="21" t="s">
        <v>143</v>
      </c>
      <c r="K2393" s="21" t="s">
        <v>26</v>
      </c>
      <c r="L2393" s="21" t="s">
        <v>170</v>
      </c>
      <c r="M2393" s="21" t="s">
        <v>24</v>
      </c>
      <c r="N2393" s="29">
        <v>8</v>
      </c>
      <c r="O2393" s="21" t="s">
        <v>40</v>
      </c>
      <c r="P2393" s="21" t="s">
        <v>128</v>
      </c>
      <c r="Q2393" s="21" t="s">
        <v>128</v>
      </c>
      <c r="R2393" s="21" t="s">
        <v>171</v>
      </c>
    </row>
    <row r="2394" spans="1:18" ht="14.4" hidden="1">
      <c r="A2394" s="33">
        <f>IF(C2394="","",MAX($A$1:A2393)+1)</f>
        <v>2238</v>
      </c>
      <c r="B2394" s="27" t="s">
        <v>141</v>
      </c>
      <c r="C2394" s="23">
        <v>46100</v>
      </c>
      <c r="D2394" s="28" t="str">
        <f>_xlfn.XLOOKUP(Table134526_79101120212223242526[[#This Row],[Name Surname]],Manpower!$C$4:$C$1048576,Manpower!$B$4:$B$1048576,"")</f>
        <v>Encogroup</v>
      </c>
      <c r="E2394" s="21" t="s">
        <v>172</v>
      </c>
      <c r="F2394" s="12">
        <f>_xlfn.XLOOKUP(Table134526_79101120212223242526[[#This Row],[Name Surname]],Manpower!C:C,Manpower!D:D,)</f>
        <v>140764355</v>
      </c>
      <c r="G2394" s="28" t="str">
        <f>_xlfn.XLOOKUP(Table134526_79101120212223242526[[#This Row],[Name Surname]],Manpower!$C$4:$C$1048576,Manpower!$F$4:$F$1048576,"")</f>
        <v>Fitter/Erector</v>
      </c>
      <c r="H2394" s="28" t="str">
        <f>_xlfn.XLOOKUP(Table134526_79101120212223242526[[#This Row],[Name Surname]],Manpower!$C$4:$C$1048576,Manpower!$H$4:$H$1048576,"")</f>
        <v>Manpower</v>
      </c>
      <c r="I2394" s="28" t="str">
        <f>_xlfn.XLOOKUP(Table134526_79101120212223242526[[#This Row],[Name Surname]],Manpower!$C$4:$C$1048576,Manpower!$H$4:$H$1048576,"")</f>
        <v>Manpower</v>
      </c>
      <c r="J2394" s="21" t="s">
        <v>143</v>
      </c>
      <c r="K2394" s="21" t="s">
        <v>26</v>
      </c>
      <c r="L2394" s="21" t="s">
        <v>144</v>
      </c>
      <c r="M2394" s="21" t="s">
        <v>24</v>
      </c>
      <c r="N2394" s="29">
        <v>10</v>
      </c>
      <c r="O2394" s="21" t="s">
        <v>40</v>
      </c>
      <c r="P2394" s="21" t="s">
        <v>42</v>
      </c>
      <c r="Q2394" s="21" t="s">
        <v>42</v>
      </c>
      <c r="R2394" s="21" t="s">
        <v>368</v>
      </c>
    </row>
    <row r="2395" spans="1:18" ht="14.4" hidden="1">
      <c r="A2395" s="33">
        <f>IF(C2395="","",MAX($A$1:A2394)+1)</f>
        <v>2239</v>
      </c>
      <c r="B2395" s="27" t="s">
        <v>141</v>
      </c>
      <c r="C2395" s="23">
        <v>46100</v>
      </c>
      <c r="D2395" s="28" t="str">
        <f>_xlfn.XLOOKUP(Table134526_79101120212223242526[[#This Row],[Name Surname]],Manpower!$C$4:$C$1048576,Manpower!$B$4:$B$1048576,"")</f>
        <v>Encogroup</v>
      </c>
      <c r="E2395" s="21" t="s">
        <v>175</v>
      </c>
      <c r="F2395" s="12">
        <f>_xlfn.XLOOKUP(Table134526_79101120212223242526[[#This Row],[Name Surname]],Manpower!C:C,Manpower!D:D,)</f>
        <v>140742125</v>
      </c>
      <c r="G2395" s="28" t="str">
        <f>_xlfn.XLOOKUP(Table134526_79101120212223242526[[#This Row],[Name Surname]],Manpower!$C$4:$C$1048576,Manpower!$F$4:$F$1048576,"")</f>
        <v>Assistant/Helper</v>
      </c>
      <c r="H2395" s="28" t="str">
        <f>_xlfn.XLOOKUP(Table134526_79101120212223242526[[#This Row],[Name Surname]],Manpower!$C$4:$C$1048576,Manpower!$H$4:$H$1048576,"")</f>
        <v>Manpower</v>
      </c>
      <c r="I2395" s="28" t="str">
        <f>_xlfn.XLOOKUP(Table134526_79101120212223242526[[#This Row],[Name Surname]],Manpower!$C$4:$C$1048576,Manpower!$H$4:$H$1048576,"")</f>
        <v>Manpower</v>
      </c>
      <c r="J2395" s="21" t="s">
        <v>158</v>
      </c>
      <c r="K2395" s="21" t="s">
        <v>26</v>
      </c>
      <c r="L2395" s="21" t="s">
        <v>26</v>
      </c>
      <c r="M2395" s="21" t="s">
        <v>24</v>
      </c>
      <c r="N2395" s="29">
        <v>10</v>
      </c>
      <c r="O2395" s="21" t="s">
        <v>159</v>
      </c>
      <c r="P2395" s="21" t="s">
        <v>160</v>
      </c>
      <c r="Q2395" s="21" t="s">
        <v>160</v>
      </c>
      <c r="R2395" s="21" t="s">
        <v>161</v>
      </c>
    </row>
    <row r="2396" spans="1:18" ht="14.4" hidden="1">
      <c r="A2396" s="33">
        <f>IF(C2396="","",MAX($A$1:A2395)+1)</f>
        <v>2240</v>
      </c>
      <c r="B2396" s="27" t="s">
        <v>141</v>
      </c>
      <c r="C2396" s="23">
        <v>46100</v>
      </c>
      <c r="D2396" s="28" t="str">
        <f>_xlfn.XLOOKUP(Table134526_79101120212223242526[[#This Row],[Name Surname]],Manpower!$C$4:$C$1048576,Manpower!$B$4:$B$1048576,"")</f>
        <v>Encogroup</v>
      </c>
      <c r="E2396" s="21" t="s">
        <v>228</v>
      </c>
      <c r="F2396" s="12">
        <f>_xlfn.XLOOKUP(Table134526_79101120212223242526[[#This Row],[Name Surname]],Manpower!C:C,Manpower!D:D,)</f>
        <v>125199963</v>
      </c>
      <c r="G2396" s="28" t="str">
        <f>_xlfn.XLOOKUP(Table134526_79101120212223242526[[#This Row],[Name Surname]],Manpower!$C$4:$C$1048576,Manpower!$F$4:$F$1048576,"")</f>
        <v>Electrician</v>
      </c>
      <c r="H2396" s="28" t="str">
        <f>_xlfn.XLOOKUP(Table134526_79101120212223242526[[#This Row],[Name Surname]],Manpower!$C$4:$C$1048576,Manpower!$H$4:$H$1048576,"")</f>
        <v>Manpower</v>
      </c>
      <c r="I2396" s="28" t="str">
        <f>_xlfn.XLOOKUP(Table134526_79101120212223242526[[#This Row],[Name Surname]],Manpower!$C$4:$C$1048576,Manpower!$H$4:$H$1048576,"")</f>
        <v>Manpower</v>
      </c>
      <c r="J2396" s="21" t="s">
        <v>158</v>
      </c>
      <c r="K2396" s="21" t="s">
        <v>26</v>
      </c>
      <c r="L2396" s="21" t="s">
        <v>26</v>
      </c>
      <c r="M2396" s="21" t="s">
        <v>24</v>
      </c>
      <c r="N2396" s="29">
        <v>10</v>
      </c>
      <c r="O2396" s="21" t="s">
        <v>159</v>
      </c>
      <c r="P2396" s="21" t="s">
        <v>160</v>
      </c>
      <c r="Q2396" s="21" t="s">
        <v>160</v>
      </c>
      <c r="R2396" s="21" t="s">
        <v>161</v>
      </c>
    </row>
    <row r="2397" spans="1:18" ht="14.4" hidden="1">
      <c r="A2397" s="33">
        <f>IF(C2397="","",MAX($A$1:A2396)+1)</f>
        <v>2241</v>
      </c>
      <c r="B2397" s="27" t="s">
        <v>141</v>
      </c>
      <c r="C2397" s="23">
        <v>46100</v>
      </c>
      <c r="D2397" s="28" t="str">
        <f>_xlfn.XLOOKUP(Table134526_79101120212223242526[[#This Row],[Name Surname]],Manpower!$C$4:$C$1048576,Manpower!$B$4:$B$1048576,"")</f>
        <v>Encogroup</v>
      </c>
      <c r="E2397" s="21" t="s">
        <v>119</v>
      </c>
      <c r="F2397" s="12">
        <f>_xlfn.XLOOKUP(Table134526_79101120212223242526[[#This Row],[Name Surname]],Manpower!C:C,Manpower!D:D,)</f>
        <v>140844778</v>
      </c>
      <c r="G2397" s="28" t="str">
        <f>_xlfn.XLOOKUP(Table134526_79101120212223242526[[#This Row],[Name Surname]],Manpower!$C$4:$C$1048576,Manpower!$F$4:$F$1048576,"")</f>
        <v>Painter</v>
      </c>
      <c r="H2397" s="28" t="str">
        <f>_xlfn.XLOOKUP(Table134526_79101120212223242526[[#This Row],[Name Surname]],Manpower!$C$4:$C$1048576,Manpower!$H$4:$H$1048576,"")</f>
        <v>Manpower</v>
      </c>
      <c r="I2397" s="28" t="str">
        <f>_xlfn.XLOOKUP(Table134526_79101120212223242526[[#This Row],[Name Surname]],Manpower!$C$4:$C$1048576,Manpower!$H$4:$H$1048576,"")</f>
        <v>Manpower</v>
      </c>
      <c r="J2397" s="21" t="s">
        <v>143</v>
      </c>
      <c r="K2397" s="21" t="s">
        <v>26</v>
      </c>
      <c r="L2397" s="21" t="s">
        <v>144</v>
      </c>
      <c r="M2397" s="21" t="s">
        <v>24</v>
      </c>
      <c r="N2397" s="29">
        <v>8</v>
      </c>
      <c r="O2397" s="21" t="s">
        <v>40</v>
      </c>
      <c r="P2397" s="21" t="s">
        <v>42</v>
      </c>
      <c r="Q2397" s="21" t="s">
        <v>42</v>
      </c>
      <c r="R2397" s="21" t="s">
        <v>368</v>
      </c>
    </row>
    <row r="2398" spans="1:18" ht="14.4" hidden="1">
      <c r="A2398" s="33">
        <f>IF(C2398="","",MAX($A$1:A2397)+1)</f>
        <v>2242</v>
      </c>
      <c r="B2398" s="27" t="s">
        <v>141</v>
      </c>
      <c r="C2398" s="23">
        <v>46100</v>
      </c>
      <c r="D2398" s="28" t="str">
        <f>_xlfn.XLOOKUP(Table134526_79101120212223242526[[#This Row],[Name Surname]],Manpower!$C$4:$C$1048576,Manpower!$B$4:$B$1048576,"")</f>
        <v>Encogroup</v>
      </c>
      <c r="E2398" s="21" t="s">
        <v>117</v>
      </c>
      <c r="F2398" s="12">
        <f>_xlfn.XLOOKUP(Table134526_79101120212223242526[[#This Row],[Name Surname]],Manpower!C:C,Manpower!D:D,)</f>
        <v>140844783</v>
      </c>
      <c r="G2398" s="28" t="str">
        <f>_xlfn.XLOOKUP(Table134526_79101120212223242526[[#This Row],[Name Surname]],Manpower!$C$4:$C$1048576,Manpower!$F$4:$F$1048576,"")</f>
        <v>Painter</v>
      </c>
      <c r="H2398" s="28" t="str">
        <f>_xlfn.XLOOKUP(Table134526_79101120212223242526[[#This Row],[Name Surname]],Manpower!$C$4:$C$1048576,Manpower!$H$4:$H$1048576,"")</f>
        <v>Manpower</v>
      </c>
      <c r="I2398" s="28" t="str">
        <f>_xlfn.XLOOKUP(Table134526_79101120212223242526[[#This Row],[Name Surname]],Manpower!$C$4:$C$1048576,Manpower!$H$4:$H$1048576,"")</f>
        <v>Manpower</v>
      </c>
      <c r="J2398" s="21" t="s">
        <v>143</v>
      </c>
      <c r="K2398" s="21" t="s">
        <v>26</v>
      </c>
      <c r="L2398" s="21" t="s">
        <v>144</v>
      </c>
      <c r="M2398" s="21" t="s">
        <v>24</v>
      </c>
      <c r="N2398" s="29">
        <v>10</v>
      </c>
      <c r="O2398" s="21" t="s">
        <v>40</v>
      </c>
      <c r="P2398" s="21" t="s">
        <v>42</v>
      </c>
      <c r="Q2398" s="21" t="s">
        <v>42</v>
      </c>
      <c r="R2398" s="21" t="s">
        <v>368</v>
      </c>
    </row>
    <row r="2399" spans="1:18" ht="14.4" hidden="1">
      <c r="A2399" s="33">
        <f>IF(C2399="","",MAX($A$1:A2398)+1)</f>
        <v>2243</v>
      </c>
      <c r="B2399" s="27" t="s">
        <v>141</v>
      </c>
      <c r="C2399" s="23">
        <v>46100</v>
      </c>
      <c r="D2399" s="28" t="str">
        <f>_xlfn.XLOOKUP(Table134526_79101120212223242526[[#This Row],[Name Surname]],Manpower!$C$4:$C$1048576,Manpower!$B$4:$B$1048576,"")</f>
        <v>Encogroup</v>
      </c>
      <c r="E2399" s="21" t="s">
        <v>176</v>
      </c>
      <c r="F2399" s="12">
        <f>_xlfn.XLOOKUP(Table134526_79101120212223242526[[#This Row],[Name Surname]],Manpower!C:C,Manpower!D:D,)</f>
        <v>124398279</v>
      </c>
      <c r="G2399" s="28" t="str">
        <f>_xlfn.XLOOKUP(Table134526_79101120212223242526[[#This Row],[Name Surname]],Manpower!$C$4:$C$1048576,Manpower!$F$4:$F$1048576,"")</f>
        <v>Permit Receiver</v>
      </c>
      <c r="H2399" s="28" t="str">
        <f>_xlfn.XLOOKUP(Table134526_79101120212223242526[[#This Row],[Name Surname]],Manpower!$C$4:$C$1048576,Manpower!$H$4:$H$1048576,"")</f>
        <v>Manpower</v>
      </c>
      <c r="I2399" s="28" t="str">
        <f>_xlfn.XLOOKUP(Table134526_79101120212223242526[[#This Row],[Name Surname]],Manpower!$C$4:$C$1048576,Manpower!$H$4:$H$1048576,"")</f>
        <v>Manpower</v>
      </c>
      <c r="J2399" s="21" t="s">
        <v>143</v>
      </c>
      <c r="K2399" s="21" t="s">
        <v>26</v>
      </c>
      <c r="L2399" s="21" t="s">
        <v>144</v>
      </c>
      <c r="M2399" s="21" t="s">
        <v>24</v>
      </c>
      <c r="N2399" s="29">
        <v>10</v>
      </c>
      <c r="O2399" s="21" t="s">
        <v>40</v>
      </c>
      <c r="P2399" s="21" t="s">
        <v>42</v>
      </c>
      <c r="Q2399" s="21" t="s">
        <v>42</v>
      </c>
      <c r="R2399" s="21" t="s">
        <v>368</v>
      </c>
    </row>
    <row r="2400" spans="1:18" ht="14.4" hidden="1">
      <c r="A2400" s="33">
        <f>IF(C2400="","",MAX($A$1:A2399)+1)</f>
        <v>2244</v>
      </c>
      <c r="B2400" s="27" t="s">
        <v>141</v>
      </c>
      <c r="C2400" s="23">
        <v>46100</v>
      </c>
      <c r="D2400" s="28" t="str">
        <f>_xlfn.XLOOKUP(Table134526_79101120212223242526[[#This Row],[Name Surname]],Manpower!$C$4:$C$1048576,Manpower!$B$4:$B$1048576,"")</f>
        <v>Encogroup</v>
      </c>
      <c r="E2400" s="21" t="s">
        <v>177</v>
      </c>
      <c r="F2400" s="12">
        <f>_xlfn.XLOOKUP(Table134526_79101120212223242526[[#This Row],[Name Surname]],Manpower!C:C,Manpower!D:D,)</f>
        <v>140809004</v>
      </c>
      <c r="G2400" s="28" t="str">
        <f>_xlfn.XLOOKUP(Table134526_79101120212223242526[[#This Row],[Name Surname]],Manpower!$C$4:$C$1048576,Manpower!$F$4:$F$1048576,"")</f>
        <v>Fitter/Erector</v>
      </c>
      <c r="H2400" s="28" t="str">
        <f>_xlfn.XLOOKUP(Table134526_79101120212223242526[[#This Row],[Name Surname]],Manpower!$C$4:$C$1048576,Manpower!$H$4:$H$1048576,"")</f>
        <v>Manpower</v>
      </c>
      <c r="I2400" s="28" t="str">
        <f>_xlfn.XLOOKUP(Table134526_79101120212223242526[[#This Row],[Name Surname]],Manpower!$C$4:$C$1048576,Manpower!$H$4:$H$1048576,"")</f>
        <v>Manpower</v>
      </c>
      <c r="J2400" s="21" t="s">
        <v>143</v>
      </c>
      <c r="K2400" s="21" t="s">
        <v>26</v>
      </c>
      <c r="L2400" s="21" t="s">
        <v>144</v>
      </c>
      <c r="M2400" s="21" t="s">
        <v>24</v>
      </c>
      <c r="N2400" s="29">
        <v>10</v>
      </c>
      <c r="O2400" s="21" t="s">
        <v>40</v>
      </c>
      <c r="P2400" s="21" t="s">
        <v>42</v>
      </c>
      <c r="Q2400" s="21" t="s">
        <v>42</v>
      </c>
      <c r="R2400" s="21" t="s">
        <v>368</v>
      </c>
    </row>
    <row r="2401" spans="1:18" ht="14.4" hidden="1">
      <c r="A2401" s="33">
        <f>IF(C2401="","",MAX($A$1:A2400)+1)</f>
        <v>2245</v>
      </c>
      <c r="B2401" s="27" t="s">
        <v>141</v>
      </c>
      <c r="C2401" s="23">
        <v>46100</v>
      </c>
      <c r="D2401" s="28" t="str">
        <f>_xlfn.XLOOKUP(Table134526_79101120212223242526[[#This Row],[Name Surname]],Manpower!$C$4:$C$1048576,Manpower!$B$4:$B$1048576,"")</f>
        <v>Encogroup</v>
      </c>
      <c r="E2401" s="21" t="s">
        <v>178</v>
      </c>
      <c r="F2401" s="12">
        <f>_xlfn.XLOOKUP(Table134526_79101120212223242526[[#This Row],[Name Surname]],Manpower!C:C,Manpower!D:D,)</f>
        <v>140683436</v>
      </c>
      <c r="G2401" s="28" t="str">
        <f>_xlfn.XLOOKUP(Table134526_79101120212223242526[[#This Row],[Name Surname]],Manpower!$C$4:$C$1048576,Manpower!$F$4:$F$1048576,"")</f>
        <v>Scaffolder</v>
      </c>
      <c r="H2401" s="28" t="str">
        <f>_xlfn.XLOOKUP(Table134526_79101120212223242526[[#This Row],[Name Surname]],Manpower!$C$4:$C$1048576,Manpower!$H$4:$H$1048576,"")</f>
        <v>Manpower</v>
      </c>
      <c r="I2401" s="28" t="str">
        <f>_xlfn.XLOOKUP(Table134526_79101120212223242526[[#This Row],[Name Surname]],Manpower!$C$4:$C$1048576,Manpower!$H$4:$H$1048576,"")</f>
        <v>Manpower</v>
      </c>
      <c r="J2401" s="21" t="s">
        <v>158</v>
      </c>
      <c r="K2401" s="21" t="s">
        <v>26</v>
      </c>
      <c r="L2401" s="21" t="s">
        <v>26</v>
      </c>
      <c r="M2401" s="21" t="s">
        <v>24</v>
      </c>
      <c r="N2401" s="29">
        <v>8</v>
      </c>
      <c r="O2401" s="21" t="s">
        <v>159</v>
      </c>
      <c r="P2401" s="21" t="s">
        <v>160</v>
      </c>
      <c r="Q2401" s="21" t="s">
        <v>160</v>
      </c>
      <c r="R2401" s="21" t="s">
        <v>161</v>
      </c>
    </row>
    <row r="2402" spans="1:18" ht="14.4">
      <c r="A2402" s="33">
        <f>IF(C2402="","",MAX($A$1:A2401)+1)</f>
        <v>2246</v>
      </c>
      <c r="B2402" s="27" t="s">
        <v>141</v>
      </c>
      <c r="C2402" s="23">
        <v>46100</v>
      </c>
      <c r="D2402" s="28" t="str">
        <f>_xlfn.XLOOKUP(Table134526_79101120212223242526[[#This Row],[Name Surname]],Manpower!$C$4:$C$1048576,Manpower!$B$4:$B$1048576,"")</f>
        <v>Encogroup</v>
      </c>
      <c r="E2402" s="23" t="s">
        <v>179</v>
      </c>
      <c r="F2402" s="12" t="e">
        <f>_xlfn.XLOOKUP(Table134526_79101120212223242526[[#This Row],[Name Surname]],Manpower!C:C,Manpower!D:D,)</f>
        <v>#N/A</v>
      </c>
      <c r="G2402" s="28" t="str">
        <f>_xlfn.XLOOKUP(Table134526_79101120212223242526[[#This Row],[Name Surname]],Manpower!$C$4:$C$1048576,Manpower!$F$4:$F$1048576,"")</f>
        <v>7T-HIAB</v>
      </c>
      <c r="H2402" s="28" t="str">
        <f>_xlfn.XLOOKUP(Table134526_79101120212223242526[[#This Row],[Name Surname]],Manpower!$C$4:$C$1048576,Manpower!$H$4:$H$1048576,"")</f>
        <v>Equipment</v>
      </c>
      <c r="I2402" s="28" t="str">
        <f>_xlfn.XLOOKUP(Table134526_79101120212223242526[[#This Row],[Name Surname]],Manpower!$C$4:$C$1048576,Manpower!$H$4:$H$1048576,"")</f>
        <v>Equipment</v>
      </c>
      <c r="J2402" s="21" t="s">
        <v>143</v>
      </c>
      <c r="K2402" s="21" t="s">
        <v>26</v>
      </c>
      <c r="L2402" s="21" t="s">
        <v>144</v>
      </c>
      <c r="M2402" s="21" t="s">
        <v>24</v>
      </c>
      <c r="N2402" s="29">
        <v>10</v>
      </c>
      <c r="O2402" s="21" t="s">
        <v>138</v>
      </c>
      <c r="P2402" s="21" t="s">
        <v>138</v>
      </c>
      <c r="Q2402" s="21" t="s">
        <v>138</v>
      </c>
      <c r="R2402" s="21" t="s">
        <v>26</v>
      </c>
    </row>
    <row r="2403" spans="1:18" ht="14.4" hidden="1">
      <c r="A2403" s="33">
        <f>IF(C2403="","",MAX($A$1:A2402)+1)</f>
        <v>2247</v>
      </c>
      <c r="B2403" s="27" t="s">
        <v>141</v>
      </c>
      <c r="C2403" s="23">
        <v>46100</v>
      </c>
      <c r="D2403" s="28" t="str">
        <f>_xlfn.XLOOKUP(Table134526_79101120212223242526[[#This Row],[Name Surname]],Manpower!$C$4:$C$1048576,Manpower!$B$4:$B$1048576,"")</f>
        <v>Encogroup</v>
      </c>
      <c r="E2403" s="21" t="s">
        <v>180</v>
      </c>
      <c r="F2403" s="12">
        <f>_xlfn.XLOOKUP(Table134526_79101120212223242526[[#This Row],[Name Surname]],Manpower!C:C,Manpower!D:D,)</f>
        <v>9138415</v>
      </c>
      <c r="G2403" s="28" t="str">
        <f>_xlfn.XLOOKUP(Table134526_79101120212223242526[[#This Row],[Name Surname]],Manpower!$C$4:$C$1048576,Manpower!$F$4:$F$1048576,"")</f>
        <v>HIAB Driver</v>
      </c>
      <c r="H2403" s="28" t="str">
        <f>_xlfn.XLOOKUP(Table134526_79101120212223242526[[#This Row],[Name Surname]],Manpower!$C$4:$C$1048576,Manpower!$H$4:$H$1048576,"")</f>
        <v>Manpower</v>
      </c>
      <c r="I2403" s="28" t="str">
        <f>_xlfn.XLOOKUP(Table134526_79101120212223242526[[#This Row],[Name Surname]],Manpower!$C$4:$C$1048576,Manpower!$H$4:$H$1048576,"")</f>
        <v>Manpower</v>
      </c>
      <c r="J2403" s="21" t="s">
        <v>143</v>
      </c>
      <c r="K2403" s="21" t="s">
        <v>26</v>
      </c>
      <c r="L2403" s="21" t="s">
        <v>144</v>
      </c>
      <c r="M2403" s="21" t="s">
        <v>24</v>
      </c>
      <c r="N2403" s="29">
        <v>10</v>
      </c>
      <c r="O2403" s="21" t="s">
        <v>40</v>
      </c>
      <c r="P2403" s="21" t="s">
        <v>42</v>
      </c>
      <c r="Q2403" s="21" t="s">
        <v>42</v>
      </c>
      <c r="R2403" s="21" t="s">
        <v>181</v>
      </c>
    </row>
    <row r="2404" spans="1:18" ht="14.4" hidden="1">
      <c r="A2404" s="33">
        <f>IF(C2404="","",MAX($A$1:A2403)+1)</f>
        <v>2248</v>
      </c>
      <c r="B2404" s="27" t="s">
        <v>141</v>
      </c>
      <c r="C2404" s="23">
        <v>46100</v>
      </c>
      <c r="D2404" s="28" t="str">
        <f>_xlfn.XLOOKUP(Table134526_79101120212223242526[[#This Row],[Name Surname]],Manpower!$C$4:$C$1048576,Manpower!$B$4:$B$1048576,"")</f>
        <v>Encogroup</v>
      </c>
      <c r="E2404" s="21" t="s">
        <v>184</v>
      </c>
      <c r="F2404" s="12">
        <f>_xlfn.XLOOKUP(Table134526_79101120212223242526[[#This Row],[Name Surname]],Manpower!C:C,Manpower!D:D,)</f>
        <v>140844759</v>
      </c>
      <c r="G2404" s="28" t="str">
        <f>_xlfn.XLOOKUP(Table134526_79101120212223242526[[#This Row],[Name Surname]],Manpower!$C$4:$C$1048576,Manpower!$F$4:$F$1048576,"")</f>
        <v>Welder</v>
      </c>
      <c r="H2404" s="28" t="str">
        <f>_xlfn.XLOOKUP(Table134526_79101120212223242526[[#This Row],[Name Surname]],Manpower!$C$4:$C$1048576,Manpower!$H$4:$H$1048576,"")</f>
        <v>Manpower</v>
      </c>
      <c r="I2404" s="28" t="str">
        <f>_xlfn.XLOOKUP(Table134526_79101120212223242526[[#This Row],[Name Surname]],Manpower!$C$4:$C$1048576,Manpower!$H$4:$H$1048576,"")</f>
        <v>Manpower</v>
      </c>
      <c r="J2404" s="21" t="s">
        <v>158</v>
      </c>
      <c r="K2404" s="21" t="s">
        <v>26</v>
      </c>
      <c r="L2404" s="21" t="s">
        <v>144</v>
      </c>
      <c r="M2404" s="21" t="s">
        <v>24</v>
      </c>
      <c r="N2404" s="29">
        <v>10</v>
      </c>
      <c r="O2404" s="21" t="s">
        <v>159</v>
      </c>
      <c r="P2404" s="21" t="s">
        <v>160</v>
      </c>
      <c r="Q2404" s="21" t="s">
        <v>160</v>
      </c>
      <c r="R2404" s="21" t="s">
        <v>161</v>
      </c>
    </row>
    <row r="2405" spans="1:18" ht="14.4" hidden="1">
      <c r="A2405" s="33">
        <f>IF(C2405="","",MAX($A$1:A2404)+1)</f>
        <v>2249</v>
      </c>
      <c r="B2405" s="27" t="s">
        <v>141</v>
      </c>
      <c r="C2405" s="23">
        <v>46100</v>
      </c>
      <c r="D2405" s="28" t="str">
        <f>_xlfn.XLOOKUP(Table134526_79101120212223242526[[#This Row],[Name Surname]],Manpower!$C$4:$C$1048576,Manpower!$B$4:$B$1048576,"")</f>
        <v>Encogroup</v>
      </c>
      <c r="E2405" s="21" t="s">
        <v>185</v>
      </c>
      <c r="F2405" s="12">
        <f>_xlfn.XLOOKUP(Table134526_79101120212223242526[[#This Row],[Name Surname]],Manpower!C:C,Manpower!D:D,)</f>
        <v>140848828</v>
      </c>
      <c r="G2405" s="28" t="str">
        <f>_xlfn.XLOOKUP(Table134526_79101120212223242526[[#This Row],[Name Surname]],Manpower!$C$4:$C$1048576,Manpower!$F$4:$F$1048576,"")</f>
        <v>Pipe Fitter</v>
      </c>
      <c r="H2405" s="28" t="str">
        <f>_xlfn.XLOOKUP(Table134526_79101120212223242526[[#This Row],[Name Surname]],Manpower!$C$4:$C$1048576,Manpower!$H$4:$H$1048576,"")</f>
        <v>Manpower</v>
      </c>
      <c r="I2405" s="28" t="str">
        <f>_xlfn.XLOOKUP(Table134526_79101120212223242526[[#This Row],[Name Surname]],Manpower!$C$4:$C$1048576,Manpower!$H$4:$H$1048576,"")</f>
        <v>Manpower</v>
      </c>
      <c r="J2405" s="21" t="s">
        <v>143</v>
      </c>
      <c r="K2405" s="21" t="s">
        <v>26</v>
      </c>
      <c r="L2405" s="21" t="s">
        <v>170</v>
      </c>
      <c r="M2405" s="21" t="s">
        <v>24</v>
      </c>
      <c r="N2405" s="29">
        <v>10</v>
      </c>
      <c r="O2405" s="21" t="s">
        <v>40</v>
      </c>
      <c r="P2405" s="21" t="s">
        <v>128</v>
      </c>
      <c r="Q2405" s="21" t="s">
        <v>128</v>
      </c>
      <c r="R2405" s="21" t="s">
        <v>171</v>
      </c>
    </row>
    <row r="2406" spans="1:18" ht="14.4" hidden="1">
      <c r="A2406" s="33">
        <f>IF(C2406="","",MAX($A$1:A2405)+1)</f>
        <v>2250</v>
      </c>
      <c r="B2406" s="27" t="s">
        <v>141</v>
      </c>
      <c r="C2406" s="23">
        <v>46100</v>
      </c>
      <c r="D2406" s="28" t="str">
        <f>_xlfn.XLOOKUP(Table134526_79101120212223242526[[#This Row],[Name Surname]],Manpower!$C$4:$C$1048576,Manpower!$B$4:$B$1048576,"")</f>
        <v>Encogroup</v>
      </c>
      <c r="E2406" s="21" t="s">
        <v>186</v>
      </c>
      <c r="F2406" s="12">
        <f>_xlfn.XLOOKUP(Table134526_79101120212223242526[[#This Row],[Name Surname]],Manpower!C:C,Manpower!D:D,)</f>
        <v>140696961</v>
      </c>
      <c r="G2406" s="28" t="str">
        <f>_xlfn.XLOOKUP(Table134526_79101120212223242526[[#This Row],[Name Surname]],Manpower!$C$4:$C$1048576,Manpower!$F$4:$F$1048576,"")</f>
        <v>Assistant/Helper</v>
      </c>
      <c r="H2406" s="28" t="str">
        <f>_xlfn.XLOOKUP(Table134526_79101120212223242526[[#This Row],[Name Surname]],Manpower!$C$4:$C$1048576,Manpower!$H$4:$H$1048576,"")</f>
        <v>Manpower</v>
      </c>
      <c r="I2406" s="28" t="str">
        <f>_xlfn.XLOOKUP(Table134526_79101120212223242526[[#This Row],[Name Surname]],Manpower!$C$4:$C$1048576,Manpower!$H$4:$H$1048576,"")</f>
        <v>Manpower</v>
      </c>
      <c r="J2406" s="21" t="s">
        <v>158</v>
      </c>
      <c r="K2406" s="21" t="s">
        <v>26</v>
      </c>
      <c r="L2406" s="21" t="s">
        <v>144</v>
      </c>
      <c r="M2406" s="21" t="s">
        <v>24</v>
      </c>
      <c r="N2406" s="29">
        <v>10</v>
      </c>
      <c r="O2406" s="21" t="s">
        <v>159</v>
      </c>
      <c r="P2406" s="21" t="s">
        <v>160</v>
      </c>
      <c r="Q2406" s="21" t="s">
        <v>160</v>
      </c>
      <c r="R2406" s="21" t="s">
        <v>161</v>
      </c>
    </row>
    <row r="2407" spans="1:18" ht="14.4" hidden="1">
      <c r="A2407" s="33">
        <f>IF(C2407="","",MAX($A$1:A2406)+1)</f>
        <v>2251</v>
      </c>
      <c r="B2407" s="27" t="s">
        <v>141</v>
      </c>
      <c r="C2407" s="23">
        <v>46100</v>
      </c>
      <c r="D2407" s="28" t="str">
        <f>_xlfn.XLOOKUP(Table134526_79101120212223242526[[#This Row],[Name Surname]],Manpower!$C$4:$C$1048576,Manpower!$B$4:$B$1048576,"")</f>
        <v>Encogroup</v>
      </c>
      <c r="E2407" s="21" t="s">
        <v>187</v>
      </c>
      <c r="F2407" s="12">
        <f>_xlfn.XLOOKUP(Table134526_79101120212223242526[[#This Row],[Name Surname]],Manpower!C:C,Manpower!D:D,)</f>
        <v>140623599</v>
      </c>
      <c r="G2407" s="28" t="str">
        <f>_xlfn.XLOOKUP(Table134526_79101120212223242526[[#This Row],[Name Surname]],Manpower!$C$4:$C$1048576,Manpower!$F$4:$F$1048576,"")</f>
        <v>Mechanical Supervisor</v>
      </c>
      <c r="H2407" s="28" t="str">
        <f>_xlfn.XLOOKUP(Table134526_79101120212223242526[[#This Row],[Name Surname]],Manpower!$C$4:$C$1048576,Manpower!$H$4:$H$1048576,"")</f>
        <v>Manpower</v>
      </c>
      <c r="I2407" s="28" t="str">
        <f>_xlfn.XLOOKUP(Table134526_79101120212223242526[[#This Row],[Name Surname]],Manpower!$C$4:$C$1048576,Manpower!$H$4:$H$1048576,"")</f>
        <v>Manpower</v>
      </c>
      <c r="J2407" s="21" t="s">
        <v>143</v>
      </c>
      <c r="K2407" s="21" t="s">
        <v>26</v>
      </c>
      <c r="L2407" s="21" t="s">
        <v>144</v>
      </c>
      <c r="M2407" s="21" t="s">
        <v>24</v>
      </c>
      <c r="N2407" s="29">
        <v>8</v>
      </c>
      <c r="O2407" s="21" t="s">
        <v>40</v>
      </c>
      <c r="P2407" s="21" t="s">
        <v>42</v>
      </c>
      <c r="Q2407" s="21" t="s">
        <v>42</v>
      </c>
      <c r="R2407" s="21" t="s">
        <v>368</v>
      </c>
    </row>
    <row r="2408" spans="1:18" ht="14.4" hidden="1">
      <c r="A2408" s="33">
        <f>IF(C2408="","",MAX($A$1:A2407)+1)</f>
        <v>2252</v>
      </c>
      <c r="B2408" s="27" t="s">
        <v>141</v>
      </c>
      <c r="C2408" s="23">
        <v>46100</v>
      </c>
      <c r="D2408" s="28" t="str">
        <f>_xlfn.XLOOKUP(Table134526_79101120212223242526[[#This Row],[Name Surname]],Manpower!$C$4:$C$1048576,Manpower!$B$4:$B$1048576,"")</f>
        <v>Encogroup</v>
      </c>
      <c r="E2408" s="21" t="s">
        <v>189</v>
      </c>
      <c r="F2408" s="12">
        <f>_xlfn.XLOOKUP(Table134526_79101120212223242526[[#This Row],[Name Surname]],Manpower!C:C,Manpower!D:D,)</f>
        <v>121937785</v>
      </c>
      <c r="G2408" s="28" t="str">
        <f>_xlfn.XLOOKUP(Table134526_79101120212223242526[[#This Row],[Name Surname]],Manpower!$C$4:$C$1048576,Manpower!$F$4:$F$1048576,"")</f>
        <v>Scaffolding Inspector</v>
      </c>
      <c r="H2408" s="28" t="str">
        <f>_xlfn.XLOOKUP(Table134526_79101120212223242526[[#This Row],[Name Surname]],Manpower!$C$4:$C$1048576,Manpower!$H$4:$H$1048576,"")</f>
        <v>Manpower</v>
      </c>
      <c r="I2408" s="28" t="str">
        <f>_xlfn.XLOOKUP(Table134526_79101120212223242526[[#This Row],[Name Surname]],Manpower!$C$4:$C$1048576,Manpower!$H$4:$H$1048576,"")</f>
        <v>Manpower</v>
      </c>
      <c r="J2408" s="21" t="s">
        <v>143</v>
      </c>
      <c r="K2408" s="21" t="s">
        <v>26</v>
      </c>
      <c r="L2408" s="21" t="s">
        <v>144</v>
      </c>
      <c r="M2408" s="21" t="s">
        <v>24</v>
      </c>
      <c r="N2408" s="29">
        <v>8</v>
      </c>
      <c r="O2408" s="21" t="s">
        <v>40</v>
      </c>
      <c r="P2408" s="21" t="s">
        <v>128</v>
      </c>
      <c r="Q2408" s="21" t="s">
        <v>128</v>
      </c>
      <c r="R2408" s="21" t="s">
        <v>26</v>
      </c>
    </row>
    <row r="2409" spans="1:18" ht="14.4" hidden="1">
      <c r="A2409" s="33">
        <f>IF(C2409="","",MAX($A$1:A2408)+1)</f>
        <v>2253</v>
      </c>
      <c r="B2409" s="27" t="s">
        <v>141</v>
      </c>
      <c r="C2409" s="23">
        <v>46100</v>
      </c>
      <c r="D2409" s="28" t="str">
        <f>_xlfn.XLOOKUP(Table134526_79101120212223242526[[#This Row],[Name Surname]],Manpower!$C$4:$C$1048576,Manpower!$B$4:$B$1048576,"")</f>
        <v>AL Omar International TRAD AND CONT</v>
      </c>
      <c r="E2409" s="21" t="s">
        <v>193</v>
      </c>
      <c r="F2409" s="12">
        <f>_xlfn.XLOOKUP(Table134526_79101120212223242526[[#This Row],[Name Surname]],Manpower!C:C,Manpower!D:D,)</f>
        <v>105813698</v>
      </c>
      <c r="G2409" s="28" t="str">
        <f>_xlfn.XLOOKUP(Table134526_79101120212223242526[[#This Row],[Name Surname]],Manpower!$C$4:$C$1048576,Manpower!$F$4:$F$1048576,"")</f>
        <v>Scaffolding Inspector</v>
      </c>
      <c r="H2409" s="28" t="str">
        <f>_xlfn.XLOOKUP(Table134526_79101120212223242526[[#This Row],[Name Surname]],Manpower!$C$4:$C$1048576,Manpower!$H$4:$H$1048576,"")</f>
        <v>Sub Contactor</v>
      </c>
      <c r="I2409" s="28" t="str">
        <f>_xlfn.XLOOKUP(Table134526_79101120212223242526[[#This Row],[Name Surname]],Manpower!$C$4:$C$1048576,Manpower!$H$4:$H$1048576,"")</f>
        <v>Sub Contactor</v>
      </c>
      <c r="J2409" s="21" t="s">
        <v>143</v>
      </c>
      <c r="K2409" s="21" t="s">
        <v>26</v>
      </c>
      <c r="L2409" s="21" t="s">
        <v>170</v>
      </c>
      <c r="M2409" s="21" t="s">
        <v>24</v>
      </c>
      <c r="N2409" s="29">
        <v>8</v>
      </c>
      <c r="O2409" s="21" t="s">
        <v>40</v>
      </c>
      <c r="P2409" s="21" t="s">
        <v>128</v>
      </c>
      <c r="Q2409" s="21" t="s">
        <v>128</v>
      </c>
      <c r="R2409" s="21" t="s">
        <v>171</v>
      </c>
    </row>
    <row r="2410" spans="1:18" ht="14.4" hidden="1">
      <c r="A2410" s="33">
        <f>IF(C2410="","",MAX($A$1:A2409)+1)</f>
        <v>2254</v>
      </c>
      <c r="B2410" s="27" t="s">
        <v>141</v>
      </c>
      <c r="C2410" s="23">
        <v>46100</v>
      </c>
      <c r="D2410" s="28" t="str">
        <f>_xlfn.XLOOKUP(Table134526_79101120212223242526[[#This Row],[Name Surname]],Manpower!$C$4:$C$1048576,Manpower!$B$4:$B$1048576,"")</f>
        <v>AL Saif &amp; Al QALLM ENT LLC</v>
      </c>
      <c r="E2410" s="21" t="s">
        <v>194</v>
      </c>
      <c r="F2410" s="12">
        <f>_xlfn.XLOOKUP(Table134526_79101120212223242526[[#This Row],[Name Surname]],Manpower!C:C,Manpower!D:D,)</f>
        <v>135340657</v>
      </c>
      <c r="G2410" s="28" t="str">
        <f>_xlfn.XLOOKUP(Table134526_79101120212223242526[[#This Row],[Name Surname]],Manpower!$C$4:$C$1048576,Manpower!$F$4:$F$1048576,"")</f>
        <v>Forklift Operator</v>
      </c>
      <c r="H2410" s="28" t="str">
        <f>_xlfn.XLOOKUP(Table134526_79101120212223242526[[#This Row],[Name Surname]],Manpower!$C$4:$C$1048576,Manpower!$H$4:$H$1048576,"")</f>
        <v>Sub Contactor</v>
      </c>
      <c r="I2410" s="28" t="str">
        <f>_xlfn.XLOOKUP(Table134526_79101120212223242526[[#This Row],[Name Surname]],Manpower!$C$4:$C$1048576,Manpower!$H$4:$H$1048576,"")</f>
        <v>Sub Contactor</v>
      </c>
      <c r="J2410" s="21" t="s">
        <v>143</v>
      </c>
      <c r="K2410" s="21" t="s">
        <v>26</v>
      </c>
      <c r="L2410" s="21" t="s">
        <v>144</v>
      </c>
      <c r="M2410" s="21" t="s">
        <v>24</v>
      </c>
      <c r="N2410" s="29">
        <v>8</v>
      </c>
      <c r="O2410" s="21" t="s">
        <v>40</v>
      </c>
      <c r="P2410" s="21" t="s">
        <v>42</v>
      </c>
      <c r="Q2410" s="21" t="s">
        <v>42</v>
      </c>
      <c r="R2410" s="21" t="s">
        <v>195</v>
      </c>
    </row>
    <row r="2411" spans="1:18" ht="14.4" hidden="1">
      <c r="A2411" s="33">
        <f>IF(C2411="","",MAX($A$1:A2410)+1)</f>
        <v>2255</v>
      </c>
      <c r="B2411" s="27" t="s">
        <v>141</v>
      </c>
      <c r="C2411" s="23">
        <v>46100</v>
      </c>
      <c r="D2411" s="28" t="str">
        <f>_xlfn.XLOOKUP(Table134526_79101120212223242526[[#This Row],[Name Surname]],Manpower!$C$4:$C$1048576,Manpower!$B$4:$B$1048576,"")</f>
        <v>Encogroup</v>
      </c>
      <c r="E2411" s="21" t="s">
        <v>196</v>
      </c>
      <c r="F2411" s="12">
        <f>_xlfn.XLOOKUP(Table134526_79101120212223242526[[#This Row],[Name Surname]],Manpower!C:C,Manpower!D:D,)</f>
        <v>140844586</v>
      </c>
      <c r="G2411" s="28" t="str">
        <f>_xlfn.XLOOKUP(Table134526_79101120212223242526[[#This Row],[Name Surname]],Manpower!$C$4:$C$1048576,Manpower!$F$4:$F$1048576,"")</f>
        <v>Assistant/Helper</v>
      </c>
      <c r="H2411" s="28" t="str">
        <f>_xlfn.XLOOKUP(Table134526_79101120212223242526[[#This Row],[Name Surname]],Manpower!$C$4:$C$1048576,Manpower!$H$4:$H$1048576,"")</f>
        <v>Manpower</v>
      </c>
      <c r="I2411" s="28" t="str">
        <f>_xlfn.XLOOKUP(Table134526_79101120212223242526[[#This Row],[Name Surname]],Manpower!$C$4:$C$1048576,Manpower!$H$4:$H$1048576,"")</f>
        <v>Manpower</v>
      </c>
      <c r="J2411" s="21" t="s">
        <v>143</v>
      </c>
      <c r="K2411" s="21" t="s">
        <v>26</v>
      </c>
      <c r="L2411" s="21" t="s">
        <v>170</v>
      </c>
      <c r="M2411" s="21" t="s">
        <v>24</v>
      </c>
      <c r="N2411" s="29">
        <v>10</v>
      </c>
      <c r="O2411" s="21" t="s">
        <v>40</v>
      </c>
      <c r="P2411" s="21" t="s">
        <v>128</v>
      </c>
      <c r="Q2411" s="21" t="s">
        <v>128</v>
      </c>
      <c r="R2411" s="21" t="s">
        <v>171</v>
      </c>
    </row>
    <row r="2412" spans="1:18" ht="14.4" hidden="1">
      <c r="A2412" s="33">
        <f>IF(C2412="","",MAX($A$1:A2411)+1)</f>
        <v>2256</v>
      </c>
      <c r="B2412" s="27" t="s">
        <v>141</v>
      </c>
      <c r="C2412" s="23">
        <v>46100</v>
      </c>
      <c r="D2412" s="28" t="str">
        <f>_xlfn.XLOOKUP(Table134526_79101120212223242526[[#This Row],[Name Surname]],Manpower!$C$4:$C$1048576,Manpower!$B$4:$B$1048576,"")</f>
        <v>AL Omar International TRAD AND CONT</v>
      </c>
      <c r="E2412" s="21" t="s">
        <v>212</v>
      </c>
      <c r="F2412" s="12">
        <f>_xlfn.XLOOKUP(Table134526_79101120212223242526[[#This Row],[Name Surname]],Manpower!C:C,Manpower!D:D,)</f>
        <v>116676257</v>
      </c>
      <c r="G2412" s="28" t="str">
        <f>_xlfn.XLOOKUP(Table134526_79101120212223242526[[#This Row],[Name Surname]],Manpower!$C$4:$C$1048576,Manpower!$F$4:$F$1048576,"")</f>
        <v>Scaffolder</v>
      </c>
      <c r="H2412" s="28" t="str">
        <f>_xlfn.XLOOKUP(Table134526_79101120212223242526[[#This Row],[Name Surname]],Manpower!$C$4:$C$1048576,Manpower!$H$4:$H$1048576,"")</f>
        <v>Sub Contactor</v>
      </c>
      <c r="I2412" s="28" t="str">
        <f>_xlfn.XLOOKUP(Table134526_79101120212223242526[[#This Row],[Name Surname]],Manpower!$C$4:$C$1048576,Manpower!$H$4:$H$1048576,"")</f>
        <v>Sub Contactor</v>
      </c>
      <c r="J2412" s="21" t="s">
        <v>143</v>
      </c>
      <c r="K2412" s="21" t="s">
        <v>26</v>
      </c>
      <c r="L2412" s="21" t="s">
        <v>170</v>
      </c>
      <c r="M2412" s="21" t="s">
        <v>24</v>
      </c>
      <c r="N2412" s="29">
        <v>8</v>
      </c>
      <c r="O2412" s="21" t="s">
        <v>40</v>
      </c>
      <c r="P2412" s="21" t="s">
        <v>128</v>
      </c>
      <c r="Q2412" s="21" t="s">
        <v>128</v>
      </c>
      <c r="R2412" s="21" t="s">
        <v>171</v>
      </c>
    </row>
    <row r="2413" spans="1:18" ht="14.4" hidden="1">
      <c r="A2413" s="33">
        <f>IF(C2413="","",MAX($A$1:A2412)+1)</f>
        <v>2257</v>
      </c>
      <c r="B2413" s="27" t="s">
        <v>141</v>
      </c>
      <c r="C2413" s="23">
        <v>46100</v>
      </c>
      <c r="D2413" s="28" t="str">
        <f>_xlfn.XLOOKUP(Table134526_79101120212223242526[[#This Row],[Name Surname]],Manpower!$C$4:$C$1048576,Manpower!$B$4:$B$1048576,"")</f>
        <v>Encogroup</v>
      </c>
      <c r="E2413" s="21" t="s">
        <v>183</v>
      </c>
      <c r="F2413" s="12">
        <f>_xlfn.XLOOKUP(Table134526_79101120212223242526[[#This Row],[Name Surname]],Manpower!C:C,Manpower!D:D,)</f>
        <v>141359024</v>
      </c>
      <c r="G2413" s="28" t="str">
        <f>_xlfn.XLOOKUP(Table134526_79101120212223242526[[#This Row],[Name Surname]],Manpower!$C$4:$C$1048576,Manpower!$F$4:$F$1048576,"")</f>
        <v>Hydraulic Mechanic</v>
      </c>
      <c r="H2413" s="28" t="str">
        <f>_xlfn.XLOOKUP(Table134526_79101120212223242526[[#This Row],[Name Surname]],Manpower!$C$4:$C$1048576,Manpower!$H$4:$H$1048576,"")</f>
        <v>Manpower</v>
      </c>
      <c r="I2413" s="28" t="str">
        <f>_xlfn.XLOOKUP(Table134526_79101120212223242526[[#This Row],[Name Surname]],Manpower!$C$4:$C$1048576,Manpower!$H$4:$H$1048576,"")</f>
        <v>Manpower</v>
      </c>
      <c r="J2413" s="21" t="s">
        <v>143</v>
      </c>
      <c r="K2413" s="21" t="s">
        <v>26</v>
      </c>
      <c r="L2413" s="21" t="s">
        <v>170</v>
      </c>
      <c r="M2413" s="21" t="s">
        <v>24</v>
      </c>
      <c r="N2413" s="29">
        <v>8</v>
      </c>
      <c r="O2413" s="21" t="s">
        <v>40</v>
      </c>
      <c r="P2413" s="21" t="s">
        <v>128</v>
      </c>
      <c r="Q2413" s="21" t="s">
        <v>128</v>
      </c>
      <c r="R2413" s="21" t="s">
        <v>171</v>
      </c>
    </row>
    <row r="2414" spans="1:18" ht="14.4" hidden="1">
      <c r="A2414" s="33">
        <f>IF(C2414="","",MAX($A$1:A2413)+1)</f>
        <v>2258</v>
      </c>
      <c r="B2414" s="27" t="s">
        <v>141</v>
      </c>
      <c r="C2414" s="23">
        <v>46100</v>
      </c>
      <c r="D2414" s="28" t="str">
        <f>_xlfn.XLOOKUP(Table134526_79101120212223242526[[#This Row],[Name Surname]],Manpower!$C$4:$C$1048576,Manpower!$B$4:$B$1048576,"")</f>
        <v xml:space="preserve">AL Omar International </v>
      </c>
      <c r="E2414" s="21" t="s">
        <v>190</v>
      </c>
      <c r="F2414" s="12">
        <f>_xlfn.XLOOKUP(Table134526_79101120212223242526[[#This Row],[Name Surname]],Manpower!C:C,Manpower!D:D,)</f>
        <v>85812175</v>
      </c>
      <c r="G2414" s="28" t="str">
        <f>_xlfn.XLOOKUP(Table134526_79101120212223242526[[#This Row],[Name Surname]],Manpower!$C$4:$C$1048576,Manpower!$F$4:$F$1048576,"")</f>
        <v>Scaffolding Supervisor</v>
      </c>
      <c r="H2414" s="28" t="str">
        <f>_xlfn.XLOOKUP(Table134526_79101120212223242526[[#This Row],[Name Surname]],Manpower!$C$4:$C$1048576,Manpower!$H$4:$H$1048576,"")</f>
        <v>Sub Contactor</v>
      </c>
      <c r="I2414" s="28" t="str">
        <f>_xlfn.XLOOKUP(Table134526_79101120212223242526[[#This Row],[Name Surname]],Manpower!$C$4:$C$1048576,Manpower!$H$4:$H$1048576,"")</f>
        <v>Sub Contactor</v>
      </c>
      <c r="J2414" s="21" t="s">
        <v>143</v>
      </c>
      <c r="K2414" s="21" t="s">
        <v>26</v>
      </c>
      <c r="L2414" s="21" t="s">
        <v>170</v>
      </c>
      <c r="M2414" s="21" t="s">
        <v>24</v>
      </c>
      <c r="N2414" s="29">
        <v>8</v>
      </c>
      <c r="O2414" s="21" t="s">
        <v>40</v>
      </c>
      <c r="P2414" s="21" t="s">
        <v>128</v>
      </c>
      <c r="Q2414" s="21" t="s">
        <v>128</v>
      </c>
      <c r="R2414" s="21" t="s">
        <v>171</v>
      </c>
    </row>
    <row r="2415" spans="1:18" ht="14.4" hidden="1">
      <c r="A2415" s="33">
        <f>IF(C2415="","",MAX($A$1:A2414)+1)</f>
        <v>2259</v>
      </c>
      <c r="B2415" s="27" t="s">
        <v>141</v>
      </c>
      <c r="C2415" s="23">
        <v>46100</v>
      </c>
      <c r="D2415" s="28" t="str">
        <f>_xlfn.XLOOKUP(Table134526_79101120212223242526[[#This Row],[Name Surname]],Manpower!$C$4:$C$1048576,Manpower!$B$4:$B$1048576,"")</f>
        <v>AL Omar International TRAD AND CONT</v>
      </c>
      <c r="E2415" s="21" t="s">
        <v>197</v>
      </c>
      <c r="F2415" s="12">
        <f>_xlfn.XLOOKUP(Table134526_79101120212223242526[[#This Row],[Name Surname]],Manpower!C:C,Manpower!D:D,)</f>
        <v>106093463</v>
      </c>
      <c r="G2415" s="28" t="str">
        <f>_xlfn.XLOOKUP(Table134526_79101120212223242526[[#This Row],[Name Surname]],Manpower!$C$4:$C$1048576,Manpower!$F$4:$F$1048576,"")</f>
        <v>RIgger</v>
      </c>
      <c r="H2415" s="28" t="str">
        <f>_xlfn.XLOOKUP(Table134526_79101120212223242526[[#This Row],[Name Surname]],Manpower!$C$4:$C$1048576,Manpower!$H$4:$H$1048576,"")</f>
        <v>Sub Contactor</v>
      </c>
      <c r="I2415" s="28" t="str">
        <f>_xlfn.XLOOKUP(Table134526_79101120212223242526[[#This Row],[Name Surname]],Manpower!$C$4:$C$1048576,Manpower!$H$4:$H$1048576,"")</f>
        <v>Sub Contactor</v>
      </c>
      <c r="J2415" s="21" t="s">
        <v>143</v>
      </c>
      <c r="K2415" s="21" t="s">
        <v>26</v>
      </c>
      <c r="L2415" s="21" t="s">
        <v>144</v>
      </c>
      <c r="M2415" s="21" t="s">
        <v>24</v>
      </c>
      <c r="N2415" s="29">
        <v>4</v>
      </c>
      <c r="O2415" s="21" t="s">
        <v>40</v>
      </c>
      <c r="P2415" s="21" t="s">
        <v>42</v>
      </c>
      <c r="Q2415" s="21" t="s">
        <v>42</v>
      </c>
      <c r="R2415" s="21" t="s">
        <v>368</v>
      </c>
    </row>
    <row r="2416" spans="1:18" ht="14.4">
      <c r="A2416" s="33">
        <f>IF(C2416="","",MAX($A$1:A2415)+1)</f>
        <v>2260</v>
      </c>
      <c r="B2416" s="27" t="s">
        <v>141</v>
      </c>
      <c r="C2416" s="23">
        <v>46100</v>
      </c>
      <c r="D2416" s="28" t="str">
        <f>_xlfn.XLOOKUP(Table134526_79101120212223242526[[#This Row],[Name Surname]],Manpower!$C$4:$C$1048576,Manpower!$B$4:$B$1048576,"")</f>
        <v>Al Asrah Al Mumayaza Trad</v>
      </c>
      <c r="E2416" s="21" t="s">
        <v>198</v>
      </c>
      <c r="F2416" s="12" t="e">
        <f>_xlfn.XLOOKUP(Table134526_79101120212223242526[[#This Row],[Name Surname]],Manpower!C:C,Manpower!D:D,)</f>
        <v>#N/A</v>
      </c>
      <c r="G2416" s="28" t="str">
        <f>_xlfn.XLOOKUP(Table134526_79101120212223242526[[#This Row],[Name Surname]],Manpower!$C$4:$C$1048576,Manpower!$F$4:$F$1048576,"")</f>
        <v>PICK-UP</v>
      </c>
      <c r="H2416" s="28" t="str">
        <f>_xlfn.XLOOKUP(Table134526_79101120212223242526[[#This Row],[Name Surname]],Manpower!$C$4:$C$1048576,Manpower!$H$4:$H$1048576,"")</f>
        <v>Equipment</v>
      </c>
      <c r="I2416" s="28" t="str">
        <f>_xlfn.XLOOKUP(Table134526_79101120212223242526[[#This Row],[Name Surname]],Manpower!$C$4:$C$1048576,Manpower!$H$4:$H$1048576,"")</f>
        <v>Equipment</v>
      </c>
      <c r="J2416" s="21" t="s">
        <v>143</v>
      </c>
      <c r="K2416" s="21" t="s">
        <v>26</v>
      </c>
      <c r="L2416" s="21" t="s">
        <v>144</v>
      </c>
      <c r="M2416" s="21" t="s">
        <v>24</v>
      </c>
      <c r="N2416" s="29">
        <v>10</v>
      </c>
      <c r="O2416" s="21" t="s">
        <v>138</v>
      </c>
      <c r="P2416" s="21" t="s">
        <v>138</v>
      </c>
      <c r="Q2416" s="21" t="s">
        <v>138</v>
      </c>
      <c r="R2416" s="21" t="s">
        <v>26</v>
      </c>
    </row>
    <row r="2417" spans="1:19" ht="14.4">
      <c r="A2417" s="33">
        <f>IF(C2417="","",MAX($A$1:A2416)+1)</f>
        <v>2261</v>
      </c>
      <c r="B2417" s="27" t="s">
        <v>141</v>
      </c>
      <c r="C2417" s="23">
        <v>46100</v>
      </c>
      <c r="D2417" s="28" t="str">
        <f>_xlfn.XLOOKUP(Table134526_79101120212223242526[[#This Row],[Name Surname]],Manpower!$C$4:$C$1048576,Manpower!$B$4:$B$1048576,"")</f>
        <v>Al Asrah Al Mumayaza Trad</v>
      </c>
      <c r="E2417" s="21" t="s">
        <v>199</v>
      </c>
      <c r="F2417" s="12" t="e">
        <f>_xlfn.XLOOKUP(Table134526_79101120212223242526[[#This Row],[Name Surname]],Manpower!C:C,Manpower!D:D,)</f>
        <v>#N/A</v>
      </c>
      <c r="G2417" s="28" t="str">
        <f>_xlfn.XLOOKUP(Table134526_79101120212223242526[[#This Row],[Name Surname]],Manpower!$C$4:$C$1048576,Manpower!$F$4:$F$1048576,"")</f>
        <v>PICK-UP</v>
      </c>
      <c r="H2417" s="28" t="str">
        <f>_xlfn.XLOOKUP(Table134526_79101120212223242526[[#This Row],[Name Surname]],Manpower!$C$4:$C$1048576,Manpower!$H$4:$H$1048576,"")</f>
        <v>Equipment</v>
      </c>
      <c r="I2417" s="28" t="str">
        <f>_xlfn.XLOOKUP(Table134526_79101120212223242526[[#This Row],[Name Surname]],Manpower!$C$4:$C$1048576,Manpower!$H$4:$H$1048576,"")</f>
        <v>Equipment</v>
      </c>
      <c r="J2417" s="21" t="s">
        <v>143</v>
      </c>
      <c r="K2417" s="21" t="s">
        <v>26</v>
      </c>
      <c r="L2417" s="21" t="s">
        <v>144</v>
      </c>
      <c r="M2417" s="21" t="s">
        <v>24</v>
      </c>
      <c r="N2417" s="29">
        <v>10</v>
      </c>
      <c r="O2417" s="21" t="s">
        <v>138</v>
      </c>
      <c r="P2417" s="21" t="s">
        <v>138</v>
      </c>
      <c r="Q2417" s="21" t="s">
        <v>138</v>
      </c>
      <c r="R2417" s="21" t="s">
        <v>26</v>
      </c>
    </row>
    <row r="2418" spans="1:19" ht="14.4">
      <c r="A2418" s="33">
        <f>IF(C2418="","",MAX($A$1:A2417)+1)</f>
        <v>2262</v>
      </c>
      <c r="B2418" s="27" t="s">
        <v>141</v>
      </c>
      <c r="C2418" s="23">
        <v>46100</v>
      </c>
      <c r="D2418" s="28" t="str">
        <f>_xlfn.XLOOKUP(Table134526_79101120212223242526[[#This Row],[Name Surname]],Manpower!$C$4:$C$1048576,Manpower!$B$4:$B$1048576,"")</f>
        <v>Al Asrah Al Mumayaza Trad</v>
      </c>
      <c r="E2418" s="21" t="s">
        <v>200</v>
      </c>
      <c r="F2418" s="12" t="e">
        <f>_xlfn.XLOOKUP(Table134526_79101120212223242526[[#This Row],[Name Surname]],Manpower!C:C,Manpower!D:D,)</f>
        <v>#N/A</v>
      </c>
      <c r="G2418" s="28" t="str">
        <f>_xlfn.XLOOKUP(Table134526_79101120212223242526[[#This Row],[Name Surname]],Manpower!$C$4:$C$1048576,Manpower!$F$4:$F$1048576,"")</f>
        <v>PICK-UP</v>
      </c>
      <c r="H2418" s="28" t="str">
        <f>_xlfn.XLOOKUP(Table134526_79101120212223242526[[#This Row],[Name Surname]],Manpower!$C$4:$C$1048576,Manpower!$H$4:$H$1048576,"")</f>
        <v>Equipment</v>
      </c>
      <c r="I2418" s="28" t="str">
        <f>_xlfn.XLOOKUP(Table134526_79101120212223242526[[#This Row],[Name Surname]],Manpower!$C$4:$C$1048576,Manpower!$H$4:$H$1048576,"")</f>
        <v>Equipment</v>
      </c>
      <c r="J2418" s="21" t="s">
        <v>143</v>
      </c>
      <c r="K2418" s="21" t="s">
        <v>26</v>
      </c>
      <c r="L2418" s="21" t="s">
        <v>144</v>
      </c>
      <c r="M2418" s="21" t="s">
        <v>24</v>
      </c>
      <c r="N2418" s="29">
        <v>10</v>
      </c>
      <c r="O2418" s="21" t="s">
        <v>138</v>
      </c>
      <c r="P2418" s="21" t="s">
        <v>138</v>
      </c>
      <c r="Q2418" s="21" t="s">
        <v>138</v>
      </c>
      <c r="R2418" s="21" t="s">
        <v>26</v>
      </c>
    </row>
    <row r="2419" spans="1:19" ht="14.4">
      <c r="A2419" s="33">
        <f>IF(C2419="","",MAX($A$1:A2418)+1)</f>
        <v>2263</v>
      </c>
      <c r="B2419" s="27" t="s">
        <v>141</v>
      </c>
      <c r="C2419" s="23">
        <v>46100</v>
      </c>
      <c r="D2419" s="28" t="str">
        <f>_xlfn.XLOOKUP(Table134526_79101120212223242526[[#This Row],[Name Surname]],Manpower!$C$4:$C$1048576,Manpower!$B$4:$B$1048576,"")</f>
        <v>Al Asrah Al Mumayaza Trad</v>
      </c>
      <c r="E2419" s="21" t="s">
        <v>201</v>
      </c>
      <c r="F2419" s="12" t="e">
        <f>_xlfn.XLOOKUP(Table134526_79101120212223242526[[#This Row],[Name Surname]],Manpower!C:C,Manpower!D:D,)</f>
        <v>#N/A</v>
      </c>
      <c r="G2419" s="28" t="str">
        <f>_xlfn.XLOOKUP(Table134526_79101120212223242526[[#This Row],[Name Surname]],Manpower!$C$4:$C$1048576,Manpower!$F$4:$F$1048576,"")</f>
        <v>PICK-UP</v>
      </c>
      <c r="H2419" s="28" t="str">
        <f>_xlfn.XLOOKUP(Table134526_79101120212223242526[[#This Row],[Name Surname]],Manpower!$C$4:$C$1048576,Manpower!$H$4:$H$1048576,"")</f>
        <v>Equipment</v>
      </c>
      <c r="I2419" s="28" t="str">
        <f>_xlfn.XLOOKUP(Table134526_79101120212223242526[[#This Row],[Name Surname]],Manpower!$C$4:$C$1048576,Manpower!$H$4:$H$1048576,"")</f>
        <v>Equipment</v>
      </c>
      <c r="J2419" s="21" t="s">
        <v>143</v>
      </c>
      <c r="K2419" s="21" t="s">
        <v>26</v>
      </c>
      <c r="L2419" s="21" t="s">
        <v>144</v>
      </c>
      <c r="M2419" s="21" t="s">
        <v>24</v>
      </c>
      <c r="N2419" s="29">
        <v>10</v>
      </c>
      <c r="O2419" s="21" t="s">
        <v>138</v>
      </c>
      <c r="P2419" s="21" t="s">
        <v>138</v>
      </c>
      <c r="Q2419" s="21" t="s">
        <v>138</v>
      </c>
      <c r="R2419" s="21" t="s">
        <v>26</v>
      </c>
    </row>
    <row r="2420" spans="1:19" ht="14.4" hidden="1">
      <c r="A2420" s="33">
        <f>IF(C2420="","",MAX($A$1:A2419)+1)</f>
        <v>2264</v>
      </c>
      <c r="B2420" s="27" t="s">
        <v>141</v>
      </c>
      <c r="C2420" s="23">
        <v>46100</v>
      </c>
      <c r="D2420" s="28" t="str">
        <f>_xlfn.XLOOKUP(Table134526_79101120212223242526[[#This Row],[Name Surname]],Manpower!$C$4:$C$1048576,Manpower!$B$4:$B$1048576,"")</f>
        <v>Encogroup</v>
      </c>
      <c r="E2420" s="21" t="s">
        <v>202</v>
      </c>
      <c r="F2420" s="12">
        <f>_xlfn.XLOOKUP(Table134526_79101120212223242526[[#This Row],[Name Surname]],Manpower!C:C,Manpower!D:D,)</f>
        <v>140805592</v>
      </c>
      <c r="G2420" s="28" t="str">
        <f>_xlfn.XLOOKUP(Table134526_79101120212223242526[[#This Row],[Name Surname]],Manpower!$C$4:$C$1048576,Manpower!$F$4:$F$1048576,"")</f>
        <v>Assistant/Helper</v>
      </c>
      <c r="H2420" s="28" t="str">
        <f>_xlfn.XLOOKUP(Table134526_79101120212223242526[[#This Row],[Name Surname]],Manpower!$C$4:$C$1048576,Manpower!$H$4:$H$1048576,"")</f>
        <v>Manpower</v>
      </c>
      <c r="I2420" s="28" t="str">
        <f>_xlfn.XLOOKUP(Table134526_79101120212223242526[[#This Row],[Name Surname]],Manpower!$C$4:$C$1048576,Manpower!$H$4:$H$1048576,"")</f>
        <v>Manpower</v>
      </c>
      <c r="J2420" s="21" t="s">
        <v>143</v>
      </c>
      <c r="K2420" s="21" t="s">
        <v>26</v>
      </c>
      <c r="L2420" s="21" t="s">
        <v>144</v>
      </c>
      <c r="M2420" s="21" t="s">
        <v>24</v>
      </c>
      <c r="N2420" s="29">
        <v>10</v>
      </c>
      <c r="O2420" s="21" t="s">
        <v>40</v>
      </c>
      <c r="P2420" s="21" t="s">
        <v>42</v>
      </c>
      <c r="Q2420" s="21" t="s">
        <v>42</v>
      </c>
      <c r="R2420" s="21" t="s">
        <v>368</v>
      </c>
    </row>
    <row r="2421" spans="1:19" ht="14.4" hidden="1">
      <c r="A2421" s="33">
        <f>IF(C2421="","",MAX($A$1:A2420)+1)</f>
        <v>2265</v>
      </c>
      <c r="B2421" s="27" t="s">
        <v>141</v>
      </c>
      <c r="C2421" s="23">
        <v>46100</v>
      </c>
      <c r="D2421" s="28" t="str">
        <f>_xlfn.XLOOKUP(Table134526_79101120212223242526[[#This Row],[Name Surname]],Manpower!$C$4:$C$1048576,Manpower!$B$4:$B$1048576,"")</f>
        <v>Encogroup</v>
      </c>
      <c r="E2421" s="21" t="s">
        <v>203</v>
      </c>
      <c r="F2421" s="12">
        <f>_xlfn.XLOOKUP(Table134526_79101120212223242526[[#This Row],[Name Surname]],Manpower!C:C,Manpower!D:D,)</f>
        <v>140683371</v>
      </c>
      <c r="G2421" s="28" t="str">
        <f>_xlfn.XLOOKUP(Table134526_79101120212223242526[[#This Row],[Name Surname]],Manpower!$C$4:$C$1048576,Manpower!$F$4:$F$1048576,"")</f>
        <v>Rigger</v>
      </c>
      <c r="H2421" s="28" t="str">
        <f>_xlfn.XLOOKUP(Table134526_79101120212223242526[[#This Row],[Name Surname]],Manpower!$C$4:$C$1048576,Manpower!$H$4:$H$1048576,"")</f>
        <v>Manpower</v>
      </c>
      <c r="I2421" s="28" t="str">
        <f>_xlfn.XLOOKUP(Table134526_79101120212223242526[[#This Row],[Name Surname]],Manpower!$C$4:$C$1048576,Manpower!$H$4:$H$1048576,"")</f>
        <v>Manpower</v>
      </c>
      <c r="J2421" s="21" t="s">
        <v>143</v>
      </c>
      <c r="K2421" s="21" t="s">
        <v>26</v>
      </c>
      <c r="L2421" s="21" t="s">
        <v>144</v>
      </c>
      <c r="M2421" s="21" t="s">
        <v>24</v>
      </c>
      <c r="N2421" s="29">
        <v>10</v>
      </c>
      <c r="O2421" s="21" t="s">
        <v>40</v>
      </c>
      <c r="P2421" s="21" t="s">
        <v>42</v>
      </c>
      <c r="Q2421" s="21" t="s">
        <v>42</v>
      </c>
      <c r="R2421" s="21" t="s">
        <v>368</v>
      </c>
    </row>
    <row r="2422" spans="1:19" ht="14.4" hidden="1">
      <c r="A2422" s="33">
        <f>IF(C2422="","",MAX($A$1:A2421)+1)</f>
        <v>2266</v>
      </c>
      <c r="B2422" s="27" t="s">
        <v>141</v>
      </c>
      <c r="C2422" s="23">
        <v>46100</v>
      </c>
      <c r="D2422" s="28" t="str">
        <f>_xlfn.XLOOKUP(Table134526_79101120212223242526[[#This Row],[Name Surname]],Manpower!$C$4:$C$1048576,Manpower!$B$4:$B$1048576,"")</f>
        <v>Encogroup</v>
      </c>
      <c r="E2422" s="21" t="s">
        <v>206</v>
      </c>
      <c r="F2422" s="12">
        <f>_xlfn.XLOOKUP(Table134526_79101120212223242526[[#This Row],[Name Surname]],Manpower!C:C,Manpower!D:D,)</f>
        <v>140844848</v>
      </c>
      <c r="G2422" s="28" t="str">
        <f>_xlfn.XLOOKUP(Table134526_79101120212223242526[[#This Row],[Name Surname]],Manpower!$C$4:$C$1048576,Manpower!$F$4:$F$1048576,"")</f>
        <v>Assistant/Helper</v>
      </c>
      <c r="H2422" s="28" t="str">
        <f>_xlfn.XLOOKUP(Table134526_79101120212223242526[[#This Row],[Name Surname]],Manpower!$C$4:$C$1048576,Manpower!$H$4:$H$1048576,"")</f>
        <v>Manpower</v>
      </c>
      <c r="I2422" s="28" t="str">
        <f>_xlfn.XLOOKUP(Table134526_79101120212223242526[[#This Row],[Name Surname]],Manpower!$C$4:$C$1048576,Manpower!$H$4:$H$1048576,"")</f>
        <v>Manpower</v>
      </c>
      <c r="J2422" s="21" t="s">
        <v>143</v>
      </c>
      <c r="K2422" s="21" t="s">
        <v>26</v>
      </c>
      <c r="L2422" s="21" t="s">
        <v>144</v>
      </c>
      <c r="M2422" s="21" t="s">
        <v>24</v>
      </c>
      <c r="N2422" s="29">
        <v>10</v>
      </c>
      <c r="O2422" s="21" t="s">
        <v>40</v>
      </c>
      <c r="P2422" s="21" t="s">
        <v>42</v>
      </c>
      <c r="Q2422" s="21" t="s">
        <v>42</v>
      </c>
      <c r="R2422" s="21" t="s">
        <v>368</v>
      </c>
    </row>
    <row r="2423" spans="1:19" ht="14.4" hidden="1">
      <c r="A2423" s="33">
        <f>IF(C2423="","",MAX($A$1:A2422)+1)</f>
        <v>2267</v>
      </c>
      <c r="B2423" s="27" t="s">
        <v>141</v>
      </c>
      <c r="C2423" s="23">
        <v>46100</v>
      </c>
      <c r="D2423" s="28" t="str">
        <f>_xlfn.XLOOKUP(Table134526_79101120212223242526[[#This Row],[Name Surname]],Manpower!$C$4:$C$1048576,Manpower!$B$4:$B$1048576,"")</f>
        <v>Encogroup</v>
      </c>
      <c r="E2423" s="21" t="s">
        <v>207</v>
      </c>
      <c r="F2423" s="12">
        <f>_xlfn.XLOOKUP(Table134526_79101120212223242526[[#This Row],[Name Surname]],Manpower!C:C,Manpower!D:D,)</f>
        <v>141359216</v>
      </c>
      <c r="G2423" s="28" t="str">
        <f>_xlfn.XLOOKUP(Table134526_79101120212223242526[[#This Row],[Name Surname]],Manpower!$C$4:$C$1048576,Manpower!$F$4:$F$1048576,"")</f>
        <v>Electrician</v>
      </c>
      <c r="H2423" s="28" t="str">
        <f>_xlfn.XLOOKUP(Table134526_79101120212223242526[[#This Row],[Name Surname]],Manpower!$C$4:$C$1048576,Manpower!$H$4:$H$1048576,"")</f>
        <v>Manpower</v>
      </c>
      <c r="I2423" s="28" t="str">
        <f>_xlfn.XLOOKUP(Table134526_79101120212223242526[[#This Row],[Name Surname]],Manpower!$C$4:$C$1048576,Manpower!$H$4:$H$1048576,"")</f>
        <v>Manpower</v>
      </c>
      <c r="J2423" s="21" t="s">
        <v>158</v>
      </c>
      <c r="K2423" s="21" t="s">
        <v>26</v>
      </c>
      <c r="L2423" s="21" t="s">
        <v>26</v>
      </c>
      <c r="M2423" s="21" t="s">
        <v>24</v>
      </c>
      <c r="N2423" s="29">
        <v>10</v>
      </c>
      <c r="O2423" s="21" t="s">
        <v>159</v>
      </c>
      <c r="P2423" s="21" t="s">
        <v>160</v>
      </c>
      <c r="Q2423" s="21" t="s">
        <v>160</v>
      </c>
      <c r="R2423" s="21" t="s">
        <v>161</v>
      </c>
    </row>
    <row r="2424" spans="1:19" ht="14.4" hidden="1">
      <c r="A2424" s="33">
        <f>IF(C2424="","",MAX($A$1:A2423)+1)</f>
        <v>2268</v>
      </c>
      <c r="B2424" s="27" t="s">
        <v>141</v>
      </c>
      <c r="C2424" s="23">
        <v>46100</v>
      </c>
      <c r="D2424" s="28" t="str">
        <f>_xlfn.XLOOKUP(Table134526_79101120212223242526[[#This Row],[Name Surname]],Manpower!$C$4:$C$1048576,Manpower!$B$4:$B$1048576,"")</f>
        <v>Encogroup</v>
      </c>
      <c r="E2424" s="21" t="s">
        <v>208</v>
      </c>
      <c r="F2424" s="12">
        <f>_xlfn.XLOOKUP(Table134526_79101120212223242526[[#This Row],[Name Surname]],Manpower!C:C,Manpower!D:D,)</f>
        <v>140683399</v>
      </c>
      <c r="G2424" s="28" t="str">
        <f>_xlfn.XLOOKUP(Table134526_79101120212223242526[[#This Row],[Name Surname]],Manpower!$C$4:$C$1048576,Manpower!$F$4:$F$1048576,"")</f>
        <v>Rigger</v>
      </c>
      <c r="H2424" s="28" t="str">
        <f>_xlfn.XLOOKUP(Table134526_79101120212223242526[[#This Row],[Name Surname]],Manpower!$C$4:$C$1048576,Manpower!$H$4:$H$1048576,"")</f>
        <v>Manpower</v>
      </c>
      <c r="I2424" s="28" t="str">
        <f>_xlfn.XLOOKUP(Table134526_79101120212223242526[[#This Row],[Name Surname]],Manpower!$C$4:$C$1048576,Manpower!$H$4:$H$1048576,"")</f>
        <v>Manpower</v>
      </c>
      <c r="J2424" s="21" t="s">
        <v>143</v>
      </c>
      <c r="K2424" s="21" t="s">
        <v>26</v>
      </c>
      <c r="L2424" s="21" t="s">
        <v>144</v>
      </c>
      <c r="M2424" s="21" t="s">
        <v>24</v>
      </c>
      <c r="N2424" s="29">
        <v>10</v>
      </c>
      <c r="O2424" s="21" t="s">
        <v>40</v>
      </c>
      <c r="P2424" s="21" t="s">
        <v>42</v>
      </c>
      <c r="Q2424" s="21" t="s">
        <v>42</v>
      </c>
      <c r="R2424" s="21" t="s">
        <v>368</v>
      </c>
    </row>
    <row r="2425" spans="1:19" ht="14.4">
      <c r="A2425" s="33">
        <f>IF(C2425="","",MAX($A$1:A2424)+1)</f>
        <v>2269</v>
      </c>
      <c r="B2425" s="27" t="s">
        <v>141</v>
      </c>
      <c r="C2425" s="23">
        <v>46100</v>
      </c>
      <c r="D2425" s="28" t="str">
        <f>_xlfn.XLOOKUP(Table134526_79101120212223242526[[#This Row],[Name Surname]],Manpower!$C$4:$C$1048576,Manpower!$B$4:$B$1048576,"")</f>
        <v>Bright Light</v>
      </c>
      <c r="E2425" s="21" t="s">
        <v>210</v>
      </c>
      <c r="F2425" s="12" t="e">
        <f>_xlfn.XLOOKUP(Table134526_79101120212223242526[[#This Row],[Name Surname]],Manpower!C:C,Manpower!D:D,)</f>
        <v>#N/A</v>
      </c>
      <c r="G2425" s="28" t="str">
        <f>_xlfn.XLOOKUP(Table134526_79101120212223242526[[#This Row],[Name Surname]],Manpower!$C$4:$C$1048576,Manpower!$F$4:$F$1048576,"")</f>
        <v>Trailer</v>
      </c>
      <c r="H2425" s="28" t="str">
        <f>_xlfn.XLOOKUP(Table134526_79101120212223242526[[#This Row],[Name Surname]],Manpower!$C$4:$C$1048576,Manpower!$H$4:$H$1048576,"")</f>
        <v>Equipment</v>
      </c>
      <c r="I2425" s="28" t="str">
        <f>_xlfn.XLOOKUP(Table134526_79101120212223242526[[#This Row],[Name Surname]],Manpower!$C$4:$C$1048576,Manpower!$H$4:$H$1048576,"")</f>
        <v>Equipment</v>
      </c>
      <c r="J2425" s="21" t="s">
        <v>143</v>
      </c>
      <c r="K2425" s="21" t="s">
        <v>26</v>
      </c>
      <c r="L2425" s="21" t="s">
        <v>144</v>
      </c>
      <c r="M2425" s="21" t="s">
        <v>24</v>
      </c>
      <c r="N2425" s="29">
        <v>8</v>
      </c>
      <c r="O2425" s="21" t="s">
        <v>40</v>
      </c>
      <c r="P2425" s="21" t="s">
        <v>42</v>
      </c>
      <c r="Q2425" s="21" t="s">
        <v>42</v>
      </c>
      <c r="R2425" s="21" t="s">
        <v>26</v>
      </c>
    </row>
    <row r="2426" spans="1:19" ht="14.4">
      <c r="A2426" s="33">
        <f>IF(C2426="","",MAX($A$1:A2425)+1)</f>
        <v>2270</v>
      </c>
      <c r="B2426" s="27" t="s">
        <v>141</v>
      </c>
      <c r="C2426" s="23">
        <v>46100</v>
      </c>
      <c r="D2426" s="28" t="str">
        <f>_xlfn.XLOOKUP(Table134526_79101120212223242526[[#This Row],[Name Surname]],Manpower!$C$4:$C$1048576,Manpower!$B$4:$B$1048576,"")</f>
        <v>Encogroup</v>
      </c>
      <c r="E2426" s="21" t="s">
        <v>341</v>
      </c>
      <c r="F2426" s="12" t="e">
        <f>_xlfn.XLOOKUP(Table134526_79101120212223242526[[#This Row],[Name Surname]],Manpower!C:C,Manpower!D:D,)</f>
        <v>#N/A</v>
      </c>
      <c r="G2426" s="28" t="str">
        <f>_xlfn.XLOOKUP(Table134526_79101120212223242526[[#This Row],[Name Surname]],Manpower!$C$4:$C$1048576,Manpower!$F$4:$F$1048576,"")</f>
        <v>SCISSOR LIFT</v>
      </c>
      <c r="H2426" s="28" t="str">
        <f>_xlfn.XLOOKUP(Table134526_79101120212223242526[[#This Row],[Name Surname]],Manpower!$C$4:$C$1048576,Manpower!$H$4:$H$1048576,"")</f>
        <v>Equipment</v>
      </c>
      <c r="I2426" s="28" t="str">
        <f>_xlfn.XLOOKUP(Table134526_79101120212223242526[[#This Row],[Name Surname]],Manpower!$C$4:$C$1048576,Manpower!$H$4:$H$1048576,"")</f>
        <v>Equipment</v>
      </c>
      <c r="J2426" s="21" t="s">
        <v>143</v>
      </c>
      <c r="K2426" s="21" t="s">
        <v>26</v>
      </c>
      <c r="L2426" s="21" t="s">
        <v>144</v>
      </c>
      <c r="M2426" s="21" t="s">
        <v>55</v>
      </c>
      <c r="N2426" s="29">
        <v>10</v>
      </c>
      <c r="R2426" s="21" t="s">
        <v>56</v>
      </c>
    </row>
    <row r="2427" spans="1:19" ht="14.4">
      <c r="A2427" s="33">
        <f>IF(C2427="","",MAX($A$1:A2425)+1)</f>
        <v>2270</v>
      </c>
      <c r="B2427" s="27" t="s">
        <v>141</v>
      </c>
      <c r="C2427" s="23">
        <v>46100</v>
      </c>
      <c r="D2427" s="28" t="str">
        <f>_xlfn.XLOOKUP(Table134526_79101120212223242526[[#This Row],[Name Surname]],Manpower!$C$4:$C$1048576,Manpower!$B$4:$B$1048576,"")</f>
        <v>Encogroup</v>
      </c>
      <c r="E2427" s="21" t="s">
        <v>342</v>
      </c>
      <c r="F2427" s="12" t="e">
        <f>_xlfn.XLOOKUP(Table134526_79101120212223242526[[#This Row],[Name Surname]],Manpower!C:C,Manpower!D:D,)</f>
        <v>#N/A</v>
      </c>
      <c r="G2427" s="28" t="str">
        <f>_xlfn.XLOOKUP(Table134526_79101120212223242526[[#This Row],[Name Surname]],Manpower!$C$4:$C$1048576,Manpower!$F$4:$F$1048576,"")</f>
        <v>SCISSOR LIFT</v>
      </c>
      <c r="H2427" s="28" t="str">
        <f>_xlfn.XLOOKUP(Table134526_79101120212223242526[[#This Row],[Name Surname]],Manpower!$C$4:$C$1048576,Manpower!$H$4:$H$1048576,"")</f>
        <v>Equipment</v>
      </c>
      <c r="I2427" s="28" t="str">
        <f>_xlfn.XLOOKUP(Table134526_79101120212223242526[[#This Row],[Name Surname]],Manpower!$C$4:$C$1048576,Manpower!$H$4:$H$1048576,"")</f>
        <v>Equipment</v>
      </c>
      <c r="J2427" s="21" t="s">
        <v>143</v>
      </c>
      <c r="K2427" s="21" t="s">
        <v>26</v>
      </c>
      <c r="L2427" s="21" t="s">
        <v>144</v>
      </c>
      <c r="M2427" s="21" t="s">
        <v>55</v>
      </c>
      <c r="N2427" s="29">
        <v>10</v>
      </c>
      <c r="R2427" s="21" t="s">
        <v>56</v>
      </c>
    </row>
    <row r="2428" spans="1:19" ht="14.4">
      <c r="A2428" s="33">
        <f>IF(C2428="","",MAX($A$1:A2425)+1)</f>
        <v>2270</v>
      </c>
      <c r="B2428" s="27" t="s">
        <v>141</v>
      </c>
      <c r="C2428" s="23">
        <v>46100</v>
      </c>
      <c r="D2428" s="28" t="str">
        <f>_xlfn.XLOOKUP(Table134526_79101120212223242526[[#This Row],[Name Surname]],Manpower!$C$4:$C$1048576,Manpower!$B$4:$B$1048576,"")</f>
        <v>Encogroup</v>
      </c>
      <c r="E2428" s="21" t="s">
        <v>362</v>
      </c>
      <c r="F2428" s="12" t="e">
        <f>_xlfn.XLOOKUP(Table134526_79101120212223242526[[#This Row],[Name Surname]],Manpower!C:C,Manpower!D:D,)</f>
        <v>#N/A</v>
      </c>
      <c r="G2428" s="28" t="str">
        <f>_xlfn.XLOOKUP(Table134526_79101120212223242526[[#This Row],[Name Surname]],Manpower!$C$4:$C$1048576,Manpower!$F$4:$F$1048576,"")</f>
        <v>Trailer</v>
      </c>
      <c r="H2428" s="28" t="str">
        <f>_xlfn.XLOOKUP(Table134526_79101120212223242526[[#This Row],[Name Surname]],Manpower!$C$4:$C$1048576,Manpower!$H$4:$H$1048576,"")</f>
        <v>Equipment</v>
      </c>
      <c r="I2428" s="28" t="str">
        <f>_xlfn.XLOOKUP(Table134526_79101120212223242526[[#This Row],[Name Surname]],Manpower!$C$4:$C$1048576,Manpower!$H$4:$H$1048576,"")</f>
        <v>Equipment</v>
      </c>
      <c r="J2428" s="21" t="s">
        <v>143</v>
      </c>
      <c r="K2428" s="21" t="s">
        <v>26</v>
      </c>
      <c r="L2428" s="21" t="s">
        <v>144</v>
      </c>
      <c r="M2428" s="21" t="s">
        <v>24</v>
      </c>
      <c r="N2428" s="29">
        <v>8</v>
      </c>
      <c r="O2428" s="21" t="s">
        <v>40</v>
      </c>
      <c r="P2428" s="21" t="s">
        <v>42</v>
      </c>
      <c r="Q2428" s="21" t="s">
        <v>42</v>
      </c>
      <c r="R2428" s="21" t="s">
        <v>26</v>
      </c>
    </row>
    <row r="2429" spans="1:19" ht="14.4" hidden="1">
      <c r="A2429" s="33">
        <f>IF(C2429="","",MAX($A$1:A2425)+1)</f>
        <v>2270</v>
      </c>
      <c r="B2429" s="27" t="s">
        <v>141</v>
      </c>
      <c r="C2429" s="23">
        <v>46100</v>
      </c>
      <c r="D2429" s="28" t="str">
        <f>_xlfn.XLOOKUP(Table134526_79101120212223242526[[#This Row],[Name Surname]],Manpower!$C$4:$C$1048576,Manpower!$B$4:$B$1048576,"")</f>
        <v>Encogroup</v>
      </c>
      <c r="E2429" s="21" t="s">
        <v>363</v>
      </c>
      <c r="F2429" s="12">
        <f>_xlfn.XLOOKUP(Table134526_79101120212223242526[[#This Row],[Name Surname]],Manpower!C:C,Manpower!D:D,)</f>
        <v>7065269</v>
      </c>
      <c r="G2429" s="28" t="str">
        <f>_xlfn.XLOOKUP(Table134526_79101120212223242526[[#This Row],[Name Surname]],Manpower!$C$4:$C$1048576,Manpower!$F$4:$F$1048576,"")</f>
        <v>Lowbed Trailer Driver</v>
      </c>
      <c r="H2429" s="28" t="str">
        <f>_xlfn.XLOOKUP(Table134526_79101120212223242526[[#This Row],[Name Surname]],Manpower!$C$4:$C$1048576,Manpower!$H$4:$H$1048576,"")</f>
        <v>Manpower</v>
      </c>
      <c r="I2429" s="28" t="str">
        <f>_xlfn.XLOOKUP(Table134526_79101120212223242526[[#This Row],[Name Surname]],Manpower!$C$4:$C$1048576,Manpower!$H$4:$H$1048576,"")</f>
        <v>Manpower</v>
      </c>
      <c r="J2429" s="21"/>
      <c r="N2429" s="29"/>
    </row>
    <row r="2430" spans="1:19" ht="14.4" hidden="1">
      <c r="A2430" s="33">
        <f>IF(C2430="","",MAX($A$1:A2425)+1)</f>
        <v>2270</v>
      </c>
      <c r="B2430" s="27" t="s">
        <v>141</v>
      </c>
      <c r="C2430" s="23">
        <v>46100</v>
      </c>
      <c r="D2430" s="28" t="str">
        <f>_xlfn.XLOOKUP(Table134526_79101120212223242526[[#This Row],[Name Surname]],Manpower!$C$4:$C$1048576,Manpower!$B$4:$B$1048576,"")</f>
        <v>Encogroup</v>
      </c>
      <c r="E2430" s="21" t="s">
        <v>211</v>
      </c>
      <c r="F2430" s="12">
        <f>_xlfn.XLOOKUP(Table134526_79101120212223242526[[#This Row],[Name Surname]],Manpower!C:C,Manpower!D:D,)</f>
        <v>140477664</v>
      </c>
      <c r="G2430" s="28" t="str">
        <f>_xlfn.XLOOKUP(Table134526_79101120212223242526[[#This Row],[Name Surname]],Manpower!$C$4:$C$1048576,Manpower!$F$4:$F$1048576,"")</f>
        <v>Junior HSE Officer</v>
      </c>
      <c r="H2430" s="28" t="str">
        <f>_xlfn.XLOOKUP(Table134526_79101120212223242526[[#This Row],[Name Surname]],Manpower!$C$4:$C$1048576,Manpower!$H$4:$H$1048576,"")</f>
        <v>Manpower</v>
      </c>
      <c r="I2430" s="28" t="str">
        <f>_xlfn.XLOOKUP(Table134526_79101120212223242526[[#This Row],[Name Surname]],Manpower!$C$4:$C$1048576,Manpower!$H$4:$H$1048576,"")</f>
        <v>Manpower</v>
      </c>
      <c r="J2430" s="21" t="s">
        <v>143</v>
      </c>
      <c r="K2430" s="21" t="s">
        <v>26</v>
      </c>
      <c r="L2430" s="21" t="s">
        <v>144</v>
      </c>
      <c r="M2430" s="21" t="s">
        <v>24</v>
      </c>
      <c r="N2430" s="29">
        <v>10</v>
      </c>
      <c r="O2430" s="21" t="s">
        <v>40</v>
      </c>
      <c r="P2430" s="21" t="s">
        <v>42</v>
      </c>
      <c r="Q2430" s="21" t="s">
        <v>42</v>
      </c>
      <c r="R2430" s="21" t="s">
        <v>368</v>
      </c>
    </row>
    <row r="2431" spans="1:19" s="45" customFormat="1" ht="14.4" hidden="1">
      <c r="A2431" s="25">
        <f>IF(C2431="","",MAX($A$1:A2430)+1)</f>
        <v>2271</v>
      </c>
      <c r="B2431" s="25" t="s">
        <v>141</v>
      </c>
      <c r="C2431" s="41">
        <v>46100</v>
      </c>
      <c r="D2431" s="48" t="str">
        <f>_xlfn.XLOOKUP(Table134526_79101120212223242526[[#This Row],[Name Surname]],Manpower!$C$4:$C$1048576,Manpower!$B$4:$B$1048576,"")</f>
        <v>Encogroup</v>
      </c>
      <c r="E2431" s="43" t="s">
        <v>213</v>
      </c>
      <c r="F2431" s="12">
        <f>_xlfn.XLOOKUP(Table134526_79101120212223242526[[#This Row],[Name Surname]],Manpower!C:C,Manpower!D:D,)</f>
        <v>140846698</v>
      </c>
      <c r="G2431" s="48" t="str">
        <f>_xlfn.XLOOKUP(Table134526_79101120212223242526[[#This Row],[Name Surname]],Manpower!$C$4:$C$1048576,Manpower!$F$4:$F$1048576,"")</f>
        <v>Assistant/Helper</v>
      </c>
      <c r="H2431" s="48" t="str">
        <f>_xlfn.XLOOKUP(Table134526_79101120212223242526[[#This Row],[Name Surname]],Manpower!$C$4:$C$1048576,Manpower!$H$4:$H$1048576,"")</f>
        <v>Manpower</v>
      </c>
      <c r="I2431" s="48" t="str">
        <f>_xlfn.XLOOKUP(Table134526_79101120212223242526[[#This Row],[Name Surname]],Manpower!$C$4:$C$1048576,Manpower!$H$4:$H$1048576,"")</f>
        <v>Manpower</v>
      </c>
      <c r="J2431" s="43" t="s">
        <v>143</v>
      </c>
      <c r="K2431" s="43" t="s">
        <v>26</v>
      </c>
      <c r="L2431" s="43" t="s">
        <v>144</v>
      </c>
      <c r="M2431" s="43" t="s">
        <v>24</v>
      </c>
      <c r="N2431" s="44">
        <v>10</v>
      </c>
      <c r="O2431" s="43" t="s">
        <v>40</v>
      </c>
      <c r="P2431" s="43" t="s">
        <v>42</v>
      </c>
      <c r="Q2431" s="43" t="s">
        <v>42</v>
      </c>
      <c r="R2431" s="43" t="s">
        <v>368</v>
      </c>
      <c r="S2431" s="43"/>
    </row>
    <row r="2432" spans="1:19" ht="14.4" hidden="1">
      <c r="A2432" s="33">
        <f>IF(C2432="","",MAX($A$1:A2431)+1)</f>
        <v>2272</v>
      </c>
      <c r="B2432" s="27" t="s">
        <v>141</v>
      </c>
      <c r="C2432" s="23">
        <v>46100</v>
      </c>
      <c r="D2432" s="28" t="str">
        <f>_xlfn.XLOOKUP(Table134526_79101120212223242526[[#This Row],[Name Surname]],Manpower!$C$4:$C$1048576,Manpower!$B$4:$B$1048576,"")</f>
        <v>Encogroup</v>
      </c>
      <c r="E2432" s="21" t="s">
        <v>217</v>
      </c>
      <c r="F2432" s="12">
        <f>_xlfn.XLOOKUP(Table134526_79101120212223242526[[#This Row],[Name Surname]],Manpower!C:C,Manpower!D:D,)</f>
        <v>140742177</v>
      </c>
      <c r="G2432" s="28" t="str">
        <f>_xlfn.XLOOKUP(Table134526_79101120212223242526[[#This Row],[Name Surname]],Manpower!$C$4:$C$1048576,Manpower!$F$4:$F$1048576,"")</f>
        <v>Grinder</v>
      </c>
      <c r="H2432" s="28" t="str">
        <f>_xlfn.XLOOKUP(Table134526_79101120212223242526[[#This Row],[Name Surname]],Manpower!$C$4:$C$1048576,Manpower!$H$4:$H$1048576,"")</f>
        <v>Manpower</v>
      </c>
      <c r="I2432" s="28" t="str">
        <f>_xlfn.XLOOKUP(Table134526_79101120212223242526[[#This Row],[Name Surname]],Manpower!$C$4:$C$1048576,Manpower!$H$4:$H$1048576,"")</f>
        <v>Manpower</v>
      </c>
      <c r="J2432" s="21" t="s">
        <v>143</v>
      </c>
      <c r="K2432" s="21" t="s">
        <v>26</v>
      </c>
      <c r="L2432" s="21" t="s">
        <v>144</v>
      </c>
      <c r="M2432" s="21" t="s">
        <v>24</v>
      </c>
      <c r="N2432" s="29">
        <v>10</v>
      </c>
      <c r="O2432" s="21" t="s">
        <v>40</v>
      </c>
      <c r="P2432" s="21" t="s">
        <v>329</v>
      </c>
      <c r="Q2432" s="21" t="s">
        <v>128</v>
      </c>
      <c r="R2432" s="21" t="s">
        <v>368</v>
      </c>
    </row>
    <row r="2433" spans="1:19" ht="14.4" hidden="1">
      <c r="A2433" s="33">
        <f>IF(C2433="","",MAX($A$1:A2432)+1)</f>
        <v>2273</v>
      </c>
      <c r="B2433" s="27" t="s">
        <v>141</v>
      </c>
      <c r="C2433" s="23">
        <v>46100</v>
      </c>
      <c r="D2433" s="28" t="str">
        <f>_xlfn.XLOOKUP(Table134526_79101120212223242526[[#This Row],[Name Surname]],Manpower!$C$4:$C$1048576,Manpower!$B$4:$B$1048576,"")</f>
        <v>Encogroup</v>
      </c>
      <c r="E2433" s="21" t="s">
        <v>188</v>
      </c>
      <c r="F2433" s="12">
        <f>_xlfn.XLOOKUP(Table134526_79101120212223242526[[#This Row],[Name Surname]],Manpower!C:C,Manpower!D:D,)</f>
        <v>140696975</v>
      </c>
      <c r="G2433" s="28" t="str">
        <f>_xlfn.XLOOKUP(Table134526_79101120212223242526[[#This Row],[Name Surname]],Manpower!$C$4:$C$1048576,Manpower!$F$4:$F$1048576,"")</f>
        <v>Assistant/Helper</v>
      </c>
      <c r="H2433" s="28" t="str">
        <f>_xlfn.XLOOKUP(Table134526_79101120212223242526[[#This Row],[Name Surname]],Manpower!$C$4:$C$1048576,Manpower!$H$4:$H$1048576,"")</f>
        <v>Manpower</v>
      </c>
      <c r="I2433" s="28" t="str">
        <f>_xlfn.XLOOKUP(Table134526_79101120212223242526[[#This Row],[Name Surname]],Manpower!$C$4:$C$1048576,Manpower!$H$4:$H$1048576,"")</f>
        <v>Manpower</v>
      </c>
      <c r="J2433" s="21" t="s">
        <v>158</v>
      </c>
      <c r="K2433" s="21" t="s">
        <v>26</v>
      </c>
      <c r="L2433" s="21" t="s">
        <v>26</v>
      </c>
      <c r="M2433" s="21" t="s">
        <v>24</v>
      </c>
      <c r="N2433" s="29">
        <v>10</v>
      </c>
      <c r="O2433" s="21" t="s">
        <v>159</v>
      </c>
      <c r="P2433" s="21" t="s">
        <v>160</v>
      </c>
      <c r="Q2433" s="21" t="s">
        <v>160</v>
      </c>
      <c r="R2433" s="21" t="s">
        <v>161</v>
      </c>
    </row>
    <row r="2434" spans="1:19" ht="14.4" hidden="1">
      <c r="A2434" s="33">
        <f>IF(C2434="","",MAX($A$1:A2433)+1)</f>
        <v>2274</v>
      </c>
      <c r="B2434" s="27" t="s">
        <v>141</v>
      </c>
      <c r="C2434" s="23">
        <v>46100</v>
      </c>
      <c r="D2434" s="28" t="str">
        <f>_xlfn.XLOOKUP(Table134526_79101120212223242526[[#This Row],[Name Surname]],Manpower!$C$4:$C$1048576,Manpower!$B$4:$B$1048576,"")</f>
        <v>Encogroup</v>
      </c>
      <c r="E2434" s="21" t="s">
        <v>204</v>
      </c>
      <c r="F2434" s="12">
        <f>_xlfn.XLOOKUP(Table134526_79101120212223242526[[#This Row],[Name Surname]],Manpower!C:C,Manpower!D:D,)</f>
        <v>140844572</v>
      </c>
      <c r="G2434" s="28" t="str">
        <f>_xlfn.XLOOKUP(Table134526_79101120212223242526[[#This Row],[Name Surname]],Manpower!$C$4:$C$1048576,Manpower!$F$4:$F$1048576,"")</f>
        <v>Assistant/Helper</v>
      </c>
      <c r="H2434" s="28" t="str">
        <f>_xlfn.XLOOKUP(Table134526_79101120212223242526[[#This Row],[Name Surname]],Manpower!$C$4:$C$1048576,Manpower!$H$4:$H$1048576,"")</f>
        <v>Manpower</v>
      </c>
      <c r="I2434" s="28" t="str">
        <f>_xlfn.XLOOKUP(Table134526_79101120212223242526[[#This Row],[Name Surname]],Manpower!$C$4:$C$1048576,Manpower!$H$4:$H$1048576,"")</f>
        <v>Manpower</v>
      </c>
      <c r="J2434" s="21" t="s">
        <v>158</v>
      </c>
      <c r="K2434" s="21" t="s">
        <v>26</v>
      </c>
      <c r="L2434" s="21" t="s">
        <v>26</v>
      </c>
      <c r="M2434" s="21" t="s">
        <v>24</v>
      </c>
      <c r="N2434" s="29">
        <v>10</v>
      </c>
      <c r="O2434" s="21" t="s">
        <v>159</v>
      </c>
      <c r="P2434" s="21" t="s">
        <v>160</v>
      </c>
      <c r="Q2434" s="21" t="s">
        <v>160</v>
      </c>
      <c r="R2434" s="21" t="s">
        <v>161</v>
      </c>
    </row>
    <row r="2435" spans="1:19" ht="14.4">
      <c r="A2435" s="33">
        <f>IF(C2435="","",MAX($A$1:A2434)+1)</f>
        <v>2275</v>
      </c>
      <c r="B2435" s="27" t="s">
        <v>141</v>
      </c>
      <c r="C2435" s="23">
        <v>46100</v>
      </c>
      <c r="D2435" s="28" t="str">
        <f>_xlfn.XLOOKUP(Table134526_79101120212223242526[[#This Row],[Name Surname]],Manpower!$C$4:$C$1048576,Manpower!$B$4:$B$1048576,"")</f>
        <v>Encogroup</v>
      </c>
      <c r="E2435" s="23" t="s">
        <v>219</v>
      </c>
      <c r="F2435" s="12" t="e">
        <f>_xlfn.XLOOKUP(Table134526_79101120212223242526[[#This Row],[Name Surname]],Manpower!C:C,Manpower!D:D,)</f>
        <v>#N/A</v>
      </c>
      <c r="G2435" s="28" t="str">
        <f>_xlfn.XLOOKUP(Table134526_79101120212223242526[[#This Row],[Name Surname]],Manpower!$C$4:$C$1048576,Manpower!$F$4:$F$1048576,"")</f>
        <v>TOWER LIGHT</v>
      </c>
      <c r="H2435" s="28" t="str">
        <f>_xlfn.XLOOKUP(Table134526_79101120212223242526[[#This Row],[Name Surname]],Manpower!$C$4:$C$1048576,Manpower!$H$4:$H$1048576,"")</f>
        <v>Equipment</v>
      </c>
      <c r="I2435" s="28" t="str">
        <f>_xlfn.XLOOKUP(Table134526_79101120212223242526[[#This Row],[Name Surname]],Manpower!$C$4:$C$1048576,Manpower!$H$4:$H$1048576,"")</f>
        <v>Equipment</v>
      </c>
      <c r="J2435" s="21" t="s">
        <v>143</v>
      </c>
      <c r="K2435" s="21" t="s">
        <v>26</v>
      </c>
      <c r="L2435" s="21" t="s">
        <v>144</v>
      </c>
      <c r="M2435" s="21" t="s">
        <v>55</v>
      </c>
      <c r="N2435" s="29">
        <v>10</v>
      </c>
      <c r="R2435" s="21" t="s">
        <v>56</v>
      </c>
    </row>
    <row r="2436" spans="1:19" ht="14.4">
      <c r="A2436" s="33">
        <f>IF(C2436="","",MAX($A$1:A2435)+1)</f>
        <v>2276</v>
      </c>
      <c r="B2436" s="27" t="s">
        <v>141</v>
      </c>
      <c r="C2436" s="23">
        <v>46100</v>
      </c>
      <c r="D2436" s="28" t="str">
        <f>_xlfn.XLOOKUP(Table134526_79101120212223242526[[#This Row],[Name Surname]],Manpower!$C$4:$C$1048576,Manpower!$B$4:$B$1048576,"")</f>
        <v>Encogroup</v>
      </c>
      <c r="E2436" s="23" t="s">
        <v>220</v>
      </c>
      <c r="F2436" s="12" t="e">
        <f>_xlfn.XLOOKUP(Table134526_79101120212223242526[[#This Row],[Name Surname]],Manpower!C:C,Manpower!D:D,)</f>
        <v>#N/A</v>
      </c>
      <c r="G2436" s="28" t="str">
        <f>_xlfn.XLOOKUP(Table134526_79101120212223242526[[#This Row],[Name Surname]],Manpower!$C$4:$C$1048576,Manpower!$F$4:$F$1048576,"")</f>
        <v>TOWER LIGHT</v>
      </c>
      <c r="H2436" s="28" t="str">
        <f>_xlfn.XLOOKUP(Table134526_79101120212223242526[[#This Row],[Name Surname]],Manpower!$C$4:$C$1048576,Manpower!$H$4:$H$1048576,"")</f>
        <v>Equipment</v>
      </c>
      <c r="I2436" s="28" t="str">
        <f>_xlfn.XLOOKUP(Table134526_79101120212223242526[[#This Row],[Name Surname]],Manpower!$C$4:$C$1048576,Manpower!$H$4:$H$1048576,"")</f>
        <v>Equipment</v>
      </c>
      <c r="J2436" s="21" t="s">
        <v>143</v>
      </c>
      <c r="K2436" s="21" t="s">
        <v>26</v>
      </c>
      <c r="L2436" s="21" t="s">
        <v>144</v>
      </c>
      <c r="M2436" s="21" t="s">
        <v>55</v>
      </c>
      <c r="N2436" s="29">
        <v>10</v>
      </c>
      <c r="R2436" s="21" t="s">
        <v>56</v>
      </c>
    </row>
    <row r="2437" spans="1:19" ht="14.4" hidden="1">
      <c r="A2437" s="33">
        <f>IF(C2437="","",MAX($A$1:A2436)+1)</f>
        <v>2277</v>
      </c>
      <c r="B2437" s="27" t="s">
        <v>141</v>
      </c>
      <c r="C2437" s="23">
        <v>46100</v>
      </c>
      <c r="D2437" s="28" t="str">
        <f>_xlfn.XLOOKUP(Table134526_79101120212223242526[[#This Row],[Name Surname]],Manpower!$C$4:$C$1048576,Manpower!$B$4:$B$1048576,"")</f>
        <v>Encogroup</v>
      </c>
      <c r="E2437" s="21" t="s">
        <v>222</v>
      </c>
      <c r="F2437" s="12">
        <f>_xlfn.XLOOKUP(Table134526_79101120212223242526[[#This Row],[Name Surname]],Manpower!C:C,Manpower!D:D,)</f>
        <v>122082863</v>
      </c>
      <c r="G2437" s="28" t="str">
        <f>_xlfn.XLOOKUP(Table134526_79101120212223242526[[#This Row],[Name Surname]],Manpower!$C$4:$C$1048576,Manpower!$F$4:$F$1048576,"")</f>
        <v>Grinder</v>
      </c>
      <c r="H2437" s="28" t="str">
        <f>_xlfn.XLOOKUP(Table134526_79101120212223242526[[#This Row],[Name Surname]],Manpower!$C$4:$C$1048576,Manpower!$H$4:$H$1048576,"")</f>
        <v>Manpower</v>
      </c>
      <c r="I2437" s="28" t="str">
        <f>_xlfn.XLOOKUP(Table134526_79101120212223242526[[#This Row],[Name Surname]],Manpower!$C$4:$C$1048576,Manpower!$H$4:$H$1048576,"")</f>
        <v>Manpower</v>
      </c>
      <c r="J2437" s="21" t="s">
        <v>143</v>
      </c>
      <c r="K2437" s="21" t="s">
        <v>26</v>
      </c>
      <c r="L2437" s="21" t="s">
        <v>144</v>
      </c>
      <c r="M2437" s="21" t="s">
        <v>24</v>
      </c>
      <c r="N2437" s="29">
        <v>10</v>
      </c>
      <c r="O2437" s="21" t="s">
        <v>40</v>
      </c>
      <c r="P2437" s="21" t="s">
        <v>42</v>
      </c>
      <c r="Q2437" s="21" t="s">
        <v>42</v>
      </c>
      <c r="R2437" s="21" t="s">
        <v>368</v>
      </c>
    </row>
    <row r="2438" spans="1:19" ht="14.4" hidden="1">
      <c r="A2438" s="33">
        <f>IF(C2438="","",MAX($A$1:A2437)+1)</f>
        <v>2278</v>
      </c>
      <c r="B2438" s="27" t="s">
        <v>141</v>
      </c>
      <c r="C2438" s="23">
        <v>46100</v>
      </c>
      <c r="D2438" s="28" t="str">
        <f>_xlfn.XLOOKUP(Table134526_79101120212223242526[[#This Row],[Name Surname]],Manpower!$C$4:$C$1048576,Manpower!$B$4:$B$1048576,"")</f>
        <v>Encogroup</v>
      </c>
      <c r="E2438" s="21" t="s">
        <v>223</v>
      </c>
      <c r="F2438" s="12">
        <f>_xlfn.XLOOKUP(Table134526_79101120212223242526[[#This Row],[Name Surname]],Manpower!C:C,Manpower!D:D,)</f>
        <v>140696989</v>
      </c>
      <c r="G2438" s="28" t="str">
        <f>_xlfn.XLOOKUP(Table134526_79101120212223242526[[#This Row],[Name Surname]],Manpower!$C$4:$C$1048576,Manpower!$F$4:$F$1048576,"")</f>
        <v>Assistant/Helper</v>
      </c>
      <c r="H2438" s="28" t="str">
        <f>_xlfn.XLOOKUP(Table134526_79101120212223242526[[#This Row],[Name Surname]],Manpower!$C$4:$C$1048576,Manpower!$H$4:$H$1048576,"")</f>
        <v>Manpower</v>
      </c>
      <c r="I2438" s="28" t="str">
        <f>_xlfn.XLOOKUP(Table134526_79101120212223242526[[#This Row],[Name Surname]],Manpower!$C$4:$C$1048576,Manpower!$H$4:$H$1048576,"")</f>
        <v>Manpower</v>
      </c>
      <c r="J2438" s="21" t="s">
        <v>158</v>
      </c>
      <c r="K2438" s="21" t="s">
        <v>26</v>
      </c>
      <c r="L2438" s="21" t="s">
        <v>26</v>
      </c>
      <c r="M2438" s="21" t="s">
        <v>24</v>
      </c>
      <c r="N2438" s="29">
        <v>10</v>
      </c>
      <c r="O2438" s="21" t="s">
        <v>159</v>
      </c>
      <c r="P2438" s="21" t="s">
        <v>160</v>
      </c>
      <c r="Q2438" s="21" t="s">
        <v>160</v>
      </c>
      <c r="R2438" s="21" t="s">
        <v>161</v>
      </c>
    </row>
    <row r="2439" spans="1:19" ht="14.4" hidden="1">
      <c r="A2439" s="33">
        <f>IF(C2439="","",MAX($A$1:A2438)+1)</f>
        <v>2279</v>
      </c>
      <c r="B2439" s="27" t="s">
        <v>141</v>
      </c>
      <c r="C2439" s="23">
        <v>46100</v>
      </c>
      <c r="D2439" s="28" t="str">
        <f>_xlfn.XLOOKUP(Table134526_79101120212223242526[[#This Row],[Name Surname]],Manpower!$C$4:$C$1048576,Manpower!$B$4:$B$1048576,"")</f>
        <v>Encogroup</v>
      </c>
      <c r="E2439" s="21" t="s">
        <v>218</v>
      </c>
      <c r="F2439" s="12">
        <f>_xlfn.XLOOKUP(Table134526_79101120212223242526[[#This Row],[Name Surname]],Manpower!C:C,Manpower!D:D,)</f>
        <v>116853914</v>
      </c>
      <c r="G2439" s="28" t="str">
        <f>_xlfn.XLOOKUP(Table134526_79101120212223242526[[#This Row],[Name Surname]],Manpower!$C$4:$C$1048576,Manpower!$F$4:$F$1048576,"")</f>
        <v>Electrical Supervisor</v>
      </c>
      <c r="H2439" s="28" t="str">
        <f>_xlfn.XLOOKUP(Table134526_79101120212223242526[[#This Row],[Name Surname]],Manpower!$C$4:$C$1048576,Manpower!$H$4:$H$1048576,"")</f>
        <v>Manpower</v>
      </c>
      <c r="I2439" s="28" t="str">
        <f>_xlfn.XLOOKUP(Table134526_79101120212223242526[[#This Row],[Name Surname]],Manpower!$C$4:$C$1048576,Manpower!$H$4:$H$1048576,"")</f>
        <v>Manpower</v>
      </c>
      <c r="J2439" s="21" t="s">
        <v>158</v>
      </c>
      <c r="K2439" s="21" t="s">
        <v>26</v>
      </c>
      <c r="L2439" s="21" t="s">
        <v>26</v>
      </c>
      <c r="M2439" s="21" t="s">
        <v>24</v>
      </c>
      <c r="N2439" s="29">
        <v>10</v>
      </c>
      <c r="O2439" s="21" t="s">
        <v>159</v>
      </c>
      <c r="P2439" s="21" t="s">
        <v>160</v>
      </c>
      <c r="Q2439" s="21" t="s">
        <v>160</v>
      </c>
      <c r="R2439" s="21" t="s">
        <v>161</v>
      </c>
    </row>
    <row r="2440" spans="1:19" ht="14.4" hidden="1">
      <c r="A2440" s="33">
        <f>IF(C2440="","",MAX($A$1:A2439)+1)</f>
        <v>2280</v>
      </c>
      <c r="B2440" s="27" t="s">
        <v>141</v>
      </c>
      <c r="C2440" s="23">
        <v>46100</v>
      </c>
      <c r="D2440" s="28" t="str">
        <f>_xlfn.XLOOKUP(Table134526_79101120212223242526[[#This Row],[Name Surname]],Manpower!$C$4:$C$1048576,Manpower!$B$4:$B$1048576,"")</f>
        <v>Encogroup</v>
      </c>
      <c r="E2440" s="21" t="s">
        <v>209</v>
      </c>
      <c r="F2440" s="12">
        <f>_xlfn.XLOOKUP(Table134526_79101120212223242526[[#This Row],[Name Surname]],Manpower!C:C,Manpower!D:D,)</f>
        <v>141365164</v>
      </c>
      <c r="G2440" s="28" t="str">
        <f>_xlfn.XLOOKUP(Table134526_79101120212223242526[[#This Row],[Name Surname]],Manpower!$C$4:$C$1048576,Manpower!$F$4:$F$1048576,"")</f>
        <v>Helper</v>
      </c>
      <c r="H2440" s="28" t="str">
        <f>_xlfn.XLOOKUP(Table134526_79101120212223242526[[#This Row],[Name Surname]],Manpower!$C$4:$C$1048576,Manpower!$H$4:$H$1048576,"")</f>
        <v>Manpower</v>
      </c>
      <c r="I2440" s="28" t="str">
        <f>_xlfn.XLOOKUP(Table134526_79101120212223242526[[#This Row],[Name Surname]],Manpower!$C$4:$C$1048576,Manpower!$H$4:$H$1048576,"")</f>
        <v>Manpower</v>
      </c>
      <c r="J2440" s="21" t="s">
        <v>158</v>
      </c>
      <c r="K2440" s="21" t="s">
        <v>26</v>
      </c>
      <c r="L2440" s="21" t="s">
        <v>26</v>
      </c>
      <c r="M2440" s="21" t="s">
        <v>24</v>
      </c>
      <c r="N2440" s="29">
        <v>10</v>
      </c>
      <c r="O2440" s="21" t="s">
        <v>159</v>
      </c>
      <c r="P2440" s="21" t="s">
        <v>160</v>
      </c>
      <c r="Q2440" s="21" t="s">
        <v>160</v>
      </c>
      <c r="R2440" s="21" t="s">
        <v>161</v>
      </c>
    </row>
    <row r="2441" spans="1:19" ht="14.4" hidden="1">
      <c r="A2441" s="33">
        <f>IF(C2441="","",MAX($A$1:A2440)+1)</f>
        <v>2281</v>
      </c>
      <c r="B2441" s="27" t="s">
        <v>141</v>
      </c>
      <c r="C2441" s="23">
        <v>46100</v>
      </c>
      <c r="D2441" s="28" t="str">
        <f>_xlfn.XLOOKUP(Table134526_79101120212223242526[[#This Row],[Name Surname]],Manpower!$C$4:$C$1048576,Manpower!$B$4:$B$1048576,"")</f>
        <v>Encogroup</v>
      </c>
      <c r="E2441" s="21" t="s">
        <v>346</v>
      </c>
      <c r="F2441" s="12">
        <f>_xlfn.XLOOKUP(Table134526_79101120212223242526[[#This Row],[Name Surname]],Manpower!C:C,Manpower!D:D,)</f>
        <v>117974933</v>
      </c>
      <c r="G2441" s="28" t="str">
        <f>_xlfn.XLOOKUP(Table134526_79101120212223242526[[#This Row],[Name Surname]],Manpower!$C$4:$C$1048576,Manpower!$F$4:$F$1048576,"")</f>
        <v>Scaffolder</v>
      </c>
      <c r="H2441" s="28" t="str">
        <f>_xlfn.XLOOKUP(Table134526_79101120212223242526[[#This Row],[Name Surname]],Manpower!$C$4:$C$1048576,Manpower!$H$4:$H$1048576,"")</f>
        <v>Manpower</v>
      </c>
      <c r="I2441" s="28" t="str">
        <f>_xlfn.XLOOKUP(Table134526_79101120212223242526[[#This Row],[Name Surname]],Manpower!$C$4:$C$1048576,Manpower!$H$4:$H$1048576,"")</f>
        <v>Manpower</v>
      </c>
      <c r="J2441" s="21" t="s">
        <v>158</v>
      </c>
      <c r="K2441" s="21" t="s">
        <v>26</v>
      </c>
      <c r="L2441" s="21" t="s">
        <v>26</v>
      </c>
      <c r="M2441" s="21" t="s">
        <v>24</v>
      </c>
      <c r="N2441" s="29">
        <v>10</v>
      </c>
      <c r="O2441" s="21" t="s">
        <v>159</v>
      </c>
      <c r="P2441" s="21" t="s">
        <v>160</v>
      </c>
      <c r="Q2441" s="21" t="s">
        <v>160</v>
      </c>
      <c r="R2441" s="21" t="s">
        <v>161</v>
      </c>
    </row>
    <row r="2442" spans="1:19" ht="14.4" hidden="1">
      <c r="A2442" s="33">
        <f>IF(C2442="","",MAX($A$1:A2441)+1)</f>
        <v>2282</v>
      </c>
      <c r="B2442" s="27" t="s">
        <v>141</v>
      </c>
      <c r="C2442" s="23">
        <v>46100</v>
      </c>
      <c r="D2442" s="28" t="str">
        <f>_xlfn.XLOOKUP(Table134526_79101120212223242526[[#This Row],[Name Surname]],Manpower!$C$4:$C$1048576,Manpower!$B$4:$B$1048576,"")</f>
        <v>Encogroup</v>
      </c>
      <c r="E2442" s="21" t="s">
        <v>347</v>
      </c>
      <c r="F2442" s="12">
        <f>_xlfn.XLOOKUP(Table134526_79101120212223242526[[#This Row],[Name Surname]],Manpower!C:C,Manpower!D:D,)</f>
        <v>141502853</v>
      </c>
      <c r="G2442" s="28" t="str">
        <f>_xlfn.XLOOKUP(Table134526_79101120212223242526[[#This Row],[Name Surname]],Manpower!$C$4:$C$1048576,Manpower!$F$4:$F$1048576,"")</f>
        <v>Scaffolder</v>
      </c>
      <c r="H2442" s="28" t="str">
        <f>_xlfn.XLOOKUP(Table134526_79101120212223242526[[#This Row],[Name Surname]],Manpower!$C$4:$C$1048576,Manpower!$H$4:$H$1048576,"")</f>
        <v>Manpower</v>
      </c>
      <c r="I2442" s="28" t="str">
        <f>_xlfn.XLOOKUP(Table134526_79101120212223242526[[#This Row],[Name Surname]],Manpower!$C$4:$C$1048576,Manpower!$H$4:$H$1048576,"")</f>
        <v>Manpower</v>
      </c>
      <c r="J2442" s="21" t="s">
        <v>158</v>
      </c>
      <c r="K2442" s="21" t="s">
        <v>26</v>
      </c>
      <c r="L2442" s="21" t="s">
        <v>26</v>
      </c>
      <c r="M2442" s="21" t="s">
        <v>24</v>
      </c>
      <c r="N2442" s="29">
        <v>10</v>
      </c>
      <c r="O2442" s="21" t="s">
        <v>159</v>
      </c>
      <c r="P2442" s="21" t="s">
        <v>160</v>
      </c>
      <c r="Q2442" s="21" t="s">
        <v>160</v>
      </c>
      <c r="R2442" s="21" t="s">
        <v>161</v>
      </c>
    </row>
    <row r="2443" spans="1:19" ht="14.4" hidden="1">
      <c r="A2443" s="33">
        <f>IF(C2443="","",MAX($A$1:A2442)+1)</f>
        <v>2283</v>
      </c>
      <c r="B2443" s="27" t="s">
        <v>141</v>
      </c>
      <c r="C2443" s="23">
        <v>46100</v>
      </c>
      <c r="D2443" s="28" t="str">
        <f>_xlfn.XLOOKUP(Table134526_79101120212223242526[[#This Row],[Name Surname]],Manpower!$C$4:$C$1048576,Manpower!$B$4:$B$1048576,"")</f>
        <v>Encogroup</v>
      </c>
      <c r="E2443" s="21" t="s">
        <v>264</v>
      </c>
      <c r="F2443" s="12">
        <f>_xlfn.XLOOKUP(Table134526_79101120212223242526[[#This Row],[Name Surname]],Manpower!C:C,Manpower!D:D,)</f>
        <v>141365061</v>
      </c>
      <c r="G2443" s="28" t="str">
        <f>_xlfn.XLOOKUP(Table134526_79101120212223242526[[#This Row],[Name Surname]],Manpower!$C$4:$C$1048576,Manpower!$F$4:$F$1048576,"")</f>
        <v>Helper</v>
      </c>
      <c r="H2443" s="28" t="str">
        <f>_xlfn.XLOOKUP(Table134526_79101120212223242526[[#This Row],[Name Surname]],Manpower!$C$4:$C$1048576,Manpower!$H$4:$H$1048576,"")</f>
        <v>Manpower</v>
      </c>
      <c r="I2443" s="28" t="str">
        <f>_xlfn.XLOOKUP(Table134526_79101120212223242526[[#This Row],[Name Surname]],Manpower!$C$4:$C$1048576,Manpower!$H$4:$H$1048576,"")</f>
        <v>Manpower</v>
      </c>
      <c r="J2443" s="21" t="s">
        <v>143</v>
      </c>
      <c r="K2443" s="21" t="s">
        <v>26</v>
      </c>
      <c r="L2443" s="21" t="s">
        <v>144</v>
      </c>
      <c r="M2443" s="21" t="s">
        <v>24</v>
      </c>
      <c r="N2443" s="29">
        <v>10</v>
      </c>
      <c r="O2443" s="21" t="s">
        <v>40</v>
      </c>
      <c r="P2443" s="21" t="s">
        <v>42</v>
      </c>
      <c r="Q2443" s="21" t="s">
        <v>42</v>
      </c>
      <c r="R2443" s="21" t="s">
        <v>368</v>
      </c>
    </row>
    <row r="2444" spans="1:19" ht="14.4" hidden="1">
      <c r="A2444" s="33">
        <f>IF(C2444="","",MAX($A$1:A2443)+1)</f>
        <v>2284</v>
      </c>
      <c r="B2444" s="27" t="s">
        <v>141</v>
      </c>
      <c r="C2444" s="23">
        <v>46100</v>
      </c>
      <c r="D2444" s="28" t="str">
        <f>_xlfn.XLOOKUP(Table134526_79101120212223242526[[#This Row],[Name Surname]],Manpower!$C$4:$C$1048576,Manpower!$B$4:$B$1048576,"")</f>
        <v>Encogroup</v>
      </c>
      <c r="E2444" s="21" t="s">
        <v>224</v>
      </c>
      <c r="F2444" s="12">
        <f>_xlfn.XLOOKUP(Table134526_79101120212223242526[[#This Row],[Name Surname]],Manpower!C:C,Manpower!D:D,)</f>
        <v>141365094</v>
      </c>
      <c r="G2444" s="28" t="str">
        <f>_xlfn.XLOOKUP(Table134526_79101120212223242526[[#This Row],[Name Surname]],Manpower!$C$4:$C$1048576,Manpower!$F$4:$F$1048576,"")</f>
        <v>Helper</v>
      </c>
      <c r="H2444" s="28" t="str">
        <f>_xlfn.XLOOKUP(Table134526_79101120212223242526[[#This Row],[Name Surname]],Manpower!$C$4:$C$1048576,Manpower!$H$4:$H$1048576,"")</f>
        <v>Manpower</v>
      </c>
      <c r="I2444" s="28" t="str">
        <f>_xlfn.XLOOKUP(Table134526_79101120212223242526[[#This Row],[Name Surname]],Manpower!$C$4:$C$1048576,Manpower!$H$4:$H$1048576,"")</f>
        <v>Manpower</v>
      </c>
      <c r="J2444" s="21" t="s">
        <v>143</v>
      </c>
      <c r="K2444" s="21" t="s">
        <v>26</v>
      </c>
      <c r="L2444" s="21" t="s">
        <v>144</v>
      </c>
      <c r="M2444" s="21" t="s">
        <v>24</v>
      </c>
      <c r="N2444" s="29">
        <v>10</v>
      </c>
      <c r="O2444" s="21" t="s">
        <v>40</v>
      </c>
      <c r="P2444" s="21" t="s">
        <v>42</v>
      </c>
      <c r="Q2444" s="21" t="s">
        <v>42</v>
      </c>
      <c r="R2444" s="21" t="s">
        <v>368</v>
      </c>
    </row>
    <row r="2445" spans="1:19" ht="14.4" hidden="1">
      <c r="A2445" s="33">
        <f>IF(C2445="","",MAX($A$1:A2444)+1)</f>
        <v>2285</v>
      </c>
      <c r="B2445" s="27" t="s">
        <v>141</v>
      </c>
      <c r="C2445" s="23">
        <v>46100</v>
      </c>
      <c r="D2445" s="28" t="str">
        <f>_xlfn.XLOOKUP(Table134526_79101120212223242526[[#This Row],[Name Surname]],Manpower!$C$4:$C$1048576,Manpower!$B$4:$B$1048576,"")</f>
        <v xml:space="preserve">FAL Transport </v>
      </c>
      <c r="E2445" s="21" t="s">
        <v>225</v>
      </c>
      <c r="F2445" s="12">
        <f>_xlfn.XLOOKUP(Table134526_79101120212223242526[[#This Row],[Name Surname]],Manpower!C:C,Manpower!D:D,)</f>
        <v>124233837</v>
      </c>
      <c r="G2445" s="28" t="str">
        <f>_xlfn.XLOOKUP(Table134526_79101120212223242526[[#This Row],[Name Surname]],Manpower!$C$4:$C$1048576,Manpower!$F$4:$F$1048576,"")</f>
        <v>Trailer Driver</v>
      </c>
      <c r="H2445" s="28" t="str">
        <f>_xlfn.XLOOKUP(Table134526_79101120212223242526[[#This Row],[Name Surname]],Manpower!$C$4:$C$1048576,Manpower!$H$4:$H$1048576,"")</f>
        <v>Sub Contactor</v>
      </c>
      <c r="I2445" s="28" t="str">
        <f>_xlfn.XLOOKUP(Table134526_79101120212223242526[[#This Row],[Name Surname]],Manpower!$C$4:$C$1048576,Manpower!$H$4:$H$1048576,"")</f>
        <v>Sub Contactor</v>
      </c>
      <c r="J2445" s="21" t="s">
        <v>143</v>
      </c>
      <c r="K2445" s="21" t="s">
        <v>26</v>
      </c>
      <c r="L2445" s="21" t="s">
        <v>144</v>
      </c>
      <c r="M2445" s="21" t="s">
        <v>24</v>
      </c>
      <c r="N2445" s="29">
        <v>8</v>
      </c>
      <c r="O2445" s="21" t="s">
        <v>40</v>
      </c>
      <c r="P2445" s="21" t="s">
        <v>42</v>
      </c>
      <c r="Q2445" s="21" t="s">
        <v>42</v>
      </c>
      <c r="R2445" s="21" t="s">
        <v>226</v>
      </c>
    </row>
    <row r="2446" spans="1:19" s="45" customFormat="1" ht="14.4" hidden="1">
      <c r="A2446" s="25">
        <f>IF(C2446="","",MAX($A$1:A2445)+1)</f>
        <v>2286</v>
      </c>
      <c r="B2446" s="25" t="s">
        <v>19</v>
      </c>
      <c r="C2446" s="41">
        <v>46103</v>
      </c>
      <c r="D2446" s="48" t="str">
        <f>_xlfn.XLOOKUP(Table134526_79101120212223242526[[#This Row],[Name Surname]],Manpower!$C$4:$C$1048576,Manpower!$B$4:$B$1048576,"")</f>
        <v>Encogroup</v>
      </c>
      <c r="E2446" s="43" t="s">
        <v>30</v>
      </c>
      <c r="F2446" s="12">
        <f>_xlfn.XLOOKUP(Table134526_79101120212223242526[[#This Row],[Name Surname]],Manpower!C:C,Manpower!D:D,)</f>
        <v>116589569</v>
      </c>
      <c r="G2446" s="48" t="str">
        <f>_xlfn.XLOOKUP(Table134526_79101120212223242526[[#This Row],[Name Surname]],Manpower!$C$4:$C$1048576,Manpower!$F$4:$F$1048576,"")</f>
        <v>Mechanical Engineer</v>
      </c>
      <c r="H2446" s="48" t="str">
        <f>_xlfn.XLOOKUP(Table134526_79101120212223242526[[#This Row],[Name Surname]],Manpower!$C$4:$C$1048576,Manpower!$H$4:$H$1048576,"")</f>
        <v>Manpower</v>
      </c>
      <c r="I2446" s="48" t="str">
        <f>_xlfn.XLOOKUP(Table134526_79101120212223242526[[#This Row],[Name Surname]],Manpower!$C$4:$C$1048576,Manpower!$H$4:$H$1048576,"")</f>
        <v>Manpower</v>
      </c>
      <c r="J2446" s="43" t="s">
        <v>21</v>
      </c>
      <c r="K2446" s="43" t="s">
        <v>369</v>
      </c>
      <c r="L2446" s="43" t="s">
        <v>49</v>
      </c>
      <c r="M2446" s="43" t="s">
        <v>24</v>
      </c>
      <c r="N2446" s="44">
        <v>10</v>
      </c>
      <c r="O2446" s="43" t="s">
        <v>25</v>
      </c>
      <c r="P2446" s="43" t="s">
        <v>41</v>
      </c>
      <c r="Q2446" s="43" t="s">
        <v>60</v>
      </c>
      <c r="R2446" s="43" t="s">
        <v>370</v>
      </c>
      <c r="S2446" s="43"/>
    </row>
    <row r="2447" spans="1:19" ht="14.4">
      <c r="A2447" s="33">
        <f>IF(C2447="","",MAX($A$1:A2446)+1)</f>
        <v>2287</v>
      </c>
      <c r="B2447" s="22" t="s">
        <v>19</v>
      </c>
      <c r="C2447" s="23">
        <v>46103</v>
      </c>
      <c r="D2447" s="28" t="str">
        <f>_xlfn.XLOOKUP(Table134526_79101120212223242526[[#This Row],[Name Surname]],Manpower!$C$4:$C$1048576,Manpower!$B$4:$B$1048576,"")</f>
        <v>Al Jaber Heavy Lift</v>
      </c>
      <c r="E2447" s="21" t="s">
        <v>371</v>
      </c>
      <c r="F2447" s="12" t="e">
        <f>_xlfn.XLOOKUP(Table134526_79101120212223242526[[#This Row],[Name Surname]],Manpower!C:C,Manpower!D:D,)</f>
        <v>#N/A</v>
      </c>
      <c r="G2447" s="28" t="str">
        <f>_xlfn.XLOOKUP(Table134526_79101120212223242526[[#This Row],[Name Surname]],Manpower!$C$4:$C$1048576,Manpower!$F$4:$F$1048576,"")</f>
        <v>70T Crawler Crane</v>
      </c>
      <c r="H2447" s="28" t="str">
        <f>_xlfn.XLOOKUP(Table134526_79101120212223242526[[#This Row],[Name Surname]],Manpower!$C$4:$C$1048576,Manpower!$H$4:$H$1048576,"")</f>
        <v>Equipment</v>
      </c>
      <c r="I2447" s="28" t="str">
        <f>_xlfn.XLOOKUP(Table134526_79101120212223242526[[#This Row],[Name Surname]],Manpower!$C$4:$C$1048576,Manpower!$H$4:$H$1048576,"")</f>
        <v>Equipment</v>
      </c>
      <c r="J2447" s="21" t="s">
        <v>21</v>
      </c>
      <c r="K2447" s="21" t="s">
        <v>369</v>
      </c>
      <c r="L2447" s="21" t="s">
        <v>49</v>
      </c>
      <c r="M2447" s="21" t="s">
        <v>55</v>
      </c>
      <c r="N2447" s="29">
        <v>10</v>
      </c>
      <c r="O2447" s="21" t="s">
        <v>25</v>
      </c>
      <c r="P2447" s="21" t="s">
        <v>41</v>
      </c>
      <c r="Q2447" s="21" t="s">
        <v>60</v>
      </c>
      <c r="R2447" s="21" t="s">
        <v>372</v>
      </c>
    </row>
    <row r="2448" spans="1:19" ht="14.4">
      <c r="A2448" s="33">
        <f>IF(C2448="","",MAX($A$1:A2447)+1)</f>
        <v>2288</v>
      </c>
      <c r="B2448" s="22" t="s">
        <v>19</v>
      </c>
      <c r="C2448" s="23">
        <v>46103</v>
      </c>
      <c r="D2448" s="28" t="str">
        <f>_xlfn.XLOOKUP(Table134526_79101120212223242526[[#This Row],[Name Surname]],Manpower!$C$4:$C$1048576,Manpower!$B$4:$B$1048576,"")</f>
        <v>Al Jaber Heavy Lift</v>
      </c>
      <c r="E2448" s="21" t="s">
        <v>151</v>
      </c>
      <c r="F2448" s="12" t="e">
        <f>_xlfn.XLOOKUP(Table134526_79101120212223242526[[#This Row],[Name Surname]],Manpower!C:C,Manpower!D:D,)</f>
        <v>#N/A</v>
      </c>
      <c r="G2448" s="28" t="str">
        <f>_xlfn.XLOOKUP(Table134526_79101120212223242526[[#This Row],[Name Surname]],Manpower!$C$4:$C$1048576,Manpower!$F$4:$F$1048576,"")</f>
        <v>150T-Crawler Crane</v>
      </c>
      <c r="H2448" s="28" t="str">
        <f>_xlfn.XLOOKUP(Table134526_79101120212223242526[[#This Row],[Name Surname]],Manpower!$C$4:$C$1048576,Manpower!$H$4:$H$1048576,"")</f>
        <v>Equipment</v>
      </c>
      <c r="I2448" s="28" t="str">
        <f>_xlfn.XLOOKUP(Table134526_79101120212223242526[[#This Row],[Name Surname]],Manpower!$C$4:$C$1048576,Manpower!$H$4:$H$1048576,"")</f>
        <v>Equipment</v>
      </c>
      <c r="J2448" s="21" t="s">
        <v>21</v>
      </c>
      <c r="K2448" s="21" t="s">
        <v>369</v>
      </c>
      <c r="L2448" s="21" t="s">
        <v>49</v>
      </c>
      <c r="M2448" s="21" t="s">
        <v>55</v>
      </c>
      <c r="N2448" s="29">
        <v>10</v>
      </c>
      <c r="O2448" s="21" t="s">
        <v>25</v>
      </c>
      <c r="P2448" s="21" t="s">
        <v>41</v>
      </c>
      <c r="Q2448" s="21" t="s">
        <v>60</v>
      </c>
      <c r="R2448" s="21" t="s">
        <v>373</v>
      </c>
    </row>
    <row r="2449" spans="1:19" s="45" customFormat="1" ht="14.4" hidden="1">
      <c r="A2449" s="25">
        <f>IF(C2449="","",MAX($A$1:A2448)+1)</f>
        <v>2289</v>
      </c>
      <c r="B2449" s="25" t="s">
        <v>19</v>
      </c>
      <c r="C2449" s="41">
        <v>46103</v>
      </c>
      <c r="D2449" s="48" t="str">
        <f>_xlfn.XLOOKUP(Table134526_79101120212223242526[[#This Row],[Name Surname]],Manpower!$C$4:$C$1048576,Manpower!$B$4:$B$1048576,"")</f>
        <v>Al Jaber Heavy Lift</v>
      </c>
      <c r="E2449" s="43" t="s">
        <v>164</v>
      </c>
      <c r="F2449" s="12">
        <f>_xlfn.XLOOKUP(Table134526_79101120212223242526[[#This Row],[Name Surname]],Manpower!C:C,Manpower!D:D,)</f>
        <v>112778626</v>
      </c>
      <c r="G2449" s="48" t="str">
        <f>_xlfn.XLOOKUP(Table134526_79101120212223242526[[#This Row],[Name Surname]],Manpower!$C$4:$C$1048576,Manpower!$F$4:$F$1048576,"")</f>
        <v>Crane Operator-150T Hitachi Crawler</v>
      </c>
      <c r="H2449" s="48" t="str">
        <f>_xlfn.XLOOKUP(Table134526_79101120212223242526[[#This Row],[Name Surname]],Manpower!$C$4:$C$1048576,Manpower!$H$4:$H$1048576,"")</f>
        <v>Manpower</v>
      </c>
      <c r="I2449" s="48" t="str">
        <f>_xlfn.XLOOKUP(Table134526_79101120212223242526[[#This Row],[Name Surname]],Manpower!$C$4:$C$1048576,Manpower!$H$4:$H$1048576,"")</f>
        <v>Manpower</v>
      </c>
      <c r="J2449" s="43" t="s">
        <v>21</v>
      </c>
      <c r="K2449" s="43" t="s">
        <v>369</v>
      </c>
      <c r="L2449" s="43" t="s">
        <v>49</v>
      </c>
      <c r="M2449" s="43" t="s">
        <v>24</v>
      </c>
      <c r="N2449" s="44">
        <v>10</v>
      </c>
      <c r="O2449" s="43" t="s">
        <v>40</v>
      </c>
      <c r="P2449" s="43" t="s">
        <v>41</v>
      </c>
      <c r="Q2449" s="43" t="s">
        <v>42</v>
      </c>
      <c r="R2449" s="43" t="s">
        <v>373</v>
      </c>
      <c r="S2449" s="43"/>
    </row>
    <row r="2450" spans="1:19" s="45" customFormat="1" ht="14.4" hidden="1">
      <c r="A2450" s="25">
        <f>IF(C2450="","",MAX($A$1:A2449)+1)</f>
        <v>2290</v>
      </c>
      <c r="B2450" s="25" t="s">
        <v>19</v>
      </c>
      <c r="C2450" s="41">
        <v>46103</v>
      </c>
      <c r="D2450" s="48" t="str">
        <f>_xlfn.XLOOKUP(Table134526_79101120212223242526[[#This Row],[Name Surname]],Manpower!$C$4:$C$1048576,Manpower!$B$4:$B$1048576,"")</f>
        <v>Al Jaber Heavy Lift</v>
      </c>
      <c r="E2450" s="43" t="s">
        <v>275</v>
      </c>
      <c r="F2450" s="12">
        <f>_xlfn.XLOOKUP(Table134526_79101120212223242526[[#This Row],[Name Surname]],Manpower!C:C,Manpower!D:D,)</f>
        <v>116448869</v>
      </c>
      <c r="G2450" s="48" t="str">
        <f>_xlfn.XLOOKUP(Table134526_79101120212223242526[[#This Row],[Name Surname]],Manpower!$C$4:$C$1048576,Manpower!$F$4:$F$1048576,"")</f>
        <v xml:space="preserve">Crane Operator </v>
      </c>
      <c r="H2450" s="48" t="str">
        <f>_xlfn.XLOOKUP(Table134526_79101120212223242526[[#This Row],[Name Surname]],Manpower!$C$4:$C$1048576,Manpower!$H$4:$H$1048576,"")</f>
        <v>Manpower</v>
      </c>
      <c r="I2450" s="48" t="str">
        <f>_xlfn.XLOOKUP(Table134526_79101120212223242526[[#This Row],[Name Surname]],Manpower!$C$4:$C$1048576,Manpower!$H$4:$H$1048576,"")</f>
        <v>Manpower</v>
      </c>
      <c r="J2450" s="43" t="s">
        <v>21</v>
      </c>
      <c r="K2450" s="43" t="s">
        <v>369</v>
      </c>
      <c r="L2450" s="43" t="s">
        <v>49</v>
      </c>
      <c r="M2450" s="43" t="s">
        <v>24</v>
      </c>
      <c r="N2450" s="44">
        <v>10</v>
      </c>
      <c r="O2450" s="43" t="s">
        <v>40</v>
      </c>
      <c r="P2450" s="43" t="s">
        <v>41</v>
      </c>
      <c r="Q2450" s="43" t="s">
        <v>42</v>
      </c>
      <c r="R2450" s="43" t="s">
        <v>372</v>
      </c>
      <c r="S2450" s="43"/>
    </row>
    <row r="2451" spans="1:19" s="45" customFormat="1" ht="14.4" hidden="1">
      <c r="A2451" s="25">
        <f>IF(C2451="","",MAX($A$1:A2450)+1)</f>
        <v>2291</v>
      </c>
      <c r="B2451" s="25" t="s">
        <v>19</v>
      </c>
      <c r="C2451" s="41">
        <v>46103</v>
      </c>
      <c r="D2451" s="48" t="str">
        <f>_xlfn.XLOOKUP(Table134526_79101120212223242526[[#This Row],[Name Surname]],Manpower!$C$4:$C$1048576,Manpower!$B$4:$B$1048576,"")</f>
        <v>Bright Light</v>
      </c>
      <c r="E2451" s="43" t="s">
        <v>165</v>
      </c>
      <c r="F2451" s="12">
        <f>_xlfn.XLOOKUP(Table134526_79101120212223242526[[#This Row],[Name Surname]],Manpower!C:C,Manpower!D:D,)</f>
        <v>122771611</v>
      </c>
      <c r="G2451" s="48" t="str">
        <f>_xlfn.XLOOKUP(Table134526_79101120212223242526[[#This Row],[Name Surname]],Manpower!$C$4:$C$1048576,Manpower!$F$4:$F$1048576,"")</f>
        <v>Mechanic</v>
      </c>
      <c r="H2451" s="48" t="str">
        <f>_xlfn.XLOOKUP(Table134526_79101120212223242526[[#This Row],[Name Surname]],Manpower!$C$4:$C$1048576,Manpower!$H$4:$H$1048576,"")</f>
        <v>Sub Contactor</v>
      </c>
      <c r="I2451" s="48" t="str">
        <f>_xlfn.XLOOKUP(Table134526_79101120212223242526[[#This Row],[Name Surname]],Manpower!$C$4:$C$1048576,Manpower!$H$4:$H$1048576,"")</f>
        <v>Sub Contactor</v>
      </c>
      <c r="J2451" s="43" t="s">
        <v>21</v>
      </c>
      <c r="K2451" s="43" t="s">
        <v>369</v>
      </c>
      <c r="L2451" s="43" t="s">
        <v>49</v>
      </c>
      <c r="M2451" s="43" t="s">
        <v>24</v>
      </c>
      <c r="N2451" s="44">
        <v>10</v>
      </c>
      <c r="O2451" s="43" t="s">
        <v>40</v>
      </c>
      <c r="P2451" s="43" t="s">
        <v>41</v>
      </c>
      <c r="Q2451" s="43" t="s">
        <v>42</v>
      </c>
      <c r="R2451" s="43" t="s">
        <v>372</v>
      </c>
      <c r="S2451" s="43"/>
    </row>
    <row r="2452" spans="1:19" s="45" customFormat="1" ht="14.4" hidden="1">
      <c r="A2452" s="25">
        <f>IF(C2452="","",MAX($A$1:A2450)+1)</f>
        <v>2291</v>
      </c>
      <c r="B2452" s="25" t="s">
        <v>19</v>
      </c>
      <c r="C2452" s="41">
        <v>46103</v>
      </c>
      <c r="D2452" s="48" t="str">
        <f>_xlfn.XLOOKUP(Table134526_79101120212223242526[[#This Row],[Name Surname]],Manpower!$C$4:$C$1048576,Manpower!$B$4:$B$1048576,"")</f>
        <v>Al Jaber Heavy Lift</v>
      </c>
      <c r="E2452" s="43" t="s">
        <v>276</v>
      </c>
      <c r="F2452" s="12" t="str">
        <f>_xlfn.XLOOKUP(Table134526_79101120212223242526[[#This Row],[Name Surname]],Manpower!C:C,Manpower!D:D,)</f>
        <v>102607563</v>
      </c>
      <c r="G2452" s="48" t="str">
        <f>_xlfn.XLOOKUP(Table134526_79101120212223242526[[#This Row],[Name Surname]],Manpower!$C$4:$C$1048576,Manpower!$F$4:$F$1048576,"")</f>
        <v>Technician</v>
      </c>
      <c r="H2452" s="48" t="str">
        <f>_xlfn.XLOOKUP(Table134526_79101120212223242526[[#This Row],[Name Surname]],Manpower!$C$4:$C$1048576,Manpower!$H$4:$H$1048576,"")</f>
        <v>Manpower</v>
      </c>
      <c r="I2452" s="48" t="str">
        <f>_xlfn.XLOOKUP(Table134526_79101120212223242526[[#This Row],[Name Surname]],Manpower!$C$4:$C$1048576,Manpower!$H$4:$H$1048576,"")</f>
        <v>Manpower</v>
      </c>
      <c r="J2452" s="43" t="s">
        <v>21</v>
      </c>
      <c r="K2452" s="43" t="s">
        <v>369</v>
      </c>
      <c r="L2452" s="43" t="s">
        <v>49</v>
      </c>
      <c r="M2452" s="43" t="s">
        <v>24</v>
      </c>
      <c r="N2452" s="44">
        <v>10</v>
      </c>
      <c r="O2452" s="43" t="s">
        <v>40</v>
      </c>
      <c r="P2452" s="43" t="s">
        <v>41</v>
      </c>
      <c r="Q2452" s="43" t="s">
        <v>42</v>
      </c>
      <c r="R2452" s="43" t="s">
        <v>372</v>
      </c>
      <c r="S2452" s="43"/>
    </row>
    <row r="2453" spans="1:19" s="45" customFormat="1" ht="14.4" hidden="1">
      <c r="A2453" s="25">
        <f>IF(C2453="","",MAX($A$1:A2450)+1)</f>
        <v>2291</v>
      </c>
      <c r="B2453" s="25" t="s">
        <v>19</v>
      </c>
      <c r="C2453" s="41">
        <v>46103</v>
      </c>
      <c r="D2453" s="48" t="str">
        <f>_xlfn.XLOOKUP(Table134526_79101120212223242526[[#This Row],[Name Surname]],Manpower!$C$4:$C$1048576,Manpower!$B$4:$B$1048576,"")</f>
        <v>Al Jaber Heavy Lift</v>
      </c>
      <c r="E2453" s="43" t="s">
        <v>311</v>
      </c>
      <c r="F2453" s="12" t="e">
        <f>_xlfn.XLOOKUP(Table134526_79101120212223242526[[#This Row],[Name Surname]],Manpower!C:C,Manpower!D:D,)</f>
        <v>#N/A</v>
      </c>
      <c r="G2453" s="48" t="str">
        <f>_xlfn.XLOOKUP(Table134526_79101120212223242526[[#This Row],[Name Surname]],Manpower!$C$4:$C$1048576,Manpower!$F$4:$F$1048576,"")</f>
        <v>Technician</v>
      </c>
      <c r="H2453" s="48" t="str">
        <f>_xlfn.XLOOKUP(Table134526_79101120212223242526[[#This Row],[Name Surname]],Manpower!$C$4:$C$1048576,Manpower!$H$4:$H$1048576,"")</f>
        <v>Manpower</v>
      </c>
      <c r="I2453" s="48" t="str">
        <f>_xlfn.XLOOKUP(Table134526_79101120212223242526[[#This Row],[Name Surname]],Manpower!$C$4:$C$1048576,Manpower!$H$4:$H$1048576,"")</f>
        <v>Manpower</v>
      </c>
      <c r="J2453" s="43" t="s">
        <v>21</v>
      </c>
      <c r="K2453" s="43" t="s">
        <v>369</v>
      </c>
      <c r="L2453" s="43" t="s">
        <v>49</v>
      </c>
      <c r="M2453" s="43" t="s">
        <v>24</v>
      </c>
      <c r="N2453" s="44">
        <v>10</v>
      </c>
      <c r="O2453" s="43" t="s">
        <v>40</v>
      </c>
      <c r="P2453" s="43" t="s">
        <v>41</v>
      </c>
      <c r="Q2453" s="43" t="s">
        <v>42</v>
      </c>
      <c r="R2453" s="43" t="s">
        <v>372</v>
      </c>
      <c r="S2453" s="43"/>
    </row>
    <row r="2454" spans="1:19" s="45" customFormat="1" ht="14.4" hidden="1">
      <c r="A2454" s="25">
        <f>IF(C2454="","",MAX($A$1:A2453)+1)</f>
        <v>2292</v>
      </c>
      <c r="B2454" s="25" t="s">
        <v>19</v>
      </c>
      <c r="C2454" s="41">
        <v>46103</v>
      </c>
      <c r="D2454" s="48" t="str">
        <f>_xlfn.XLOOKUP(Table134526_79101120212223242526[[#This Row],[Name Surname]],Manpower!$C$4:$C$1048576,Manpower!$B$4:$B$1048576,"")</f>
        <v>Bright Light</v>
      </c>
      <c r="E2454" s="43" t="s">
        <v>263</v>
      </c>
      <c r="F2454" s="12">
        <f>_xlfn.XLOOKUP(Table134526_79101120212223242526[[#This Row],[Name Surname]],Manpower!C:C,Manpower!D:D,)</f>
        <v>125287583</v>
      </c>
      <c r="G2454" s="48" t="str">
        <f>_xlfn.XLOOKUP(Table134526_79101120212223242526[[#This Row],[Name Surname]],Manpower!$C$4:$C$1048576,Manpower!$F$4:$F$1048576,"")</f>
        <v>Mechanic</v>
      </c>
      <c r="H2454" s="48" t="str">
        <f>_xlfn.XLOOKUP(Table134526_79101120212223242526[[#This Row],[Name Surname]],Manpower!$C$4:$C$1048576,Manpower!$H$4:$H$1048576,"")</f>
        <v>Sub Contactor</v>
      </c>
      <c r="I2454" s="48" t="str">
        <f>_xlfn.XLOOKUP(Table134526_79101120212223242526[[#This Row],[Name Surname]],Manpower!$C$4:$C$1048576,Manpower!$H$4:$H$1048576,"")</f>
        <v>Sub Contactor</v>
      </c>
      <c r="J2454" s="43" t="s">
        <v>21</v>
      </c>
      <c r="K2454" s="43" t="s">
        <v>369</v>
      </c>
      <c r="L2454" s="43" t="s">
        <v>49</v>
      </c>
      <c r="M2454" s="43" t="s">
        <v>24</v>
      </c>
      <c r="N2454" s="44">
        <v>10</v>
      </c>
      <c r="O2454" s="43" t="s">
        <v>40</v>
      </c>
      <c r="P2454" s="43" t="s">
        <v>41</v>
      </c>
      <c r="Q2454" s="43" t="s">
        <v>42</v>
      </c>
      <c r="R2454" s="43" t="s">
        <v>372</v>
      </c>
      <c r="S2454" s="43"/>
    </row>
    <row r="2455" spans="1:19" s="45" customFormat="1" ht="14.4" hidden="1">
      <c r="A2455" s="25">
        <f>IF(C2455="","",MAX($A$1:A2450)+1)</f>
        <v>2291</v>
      </c>
      <c r="B2455" s="25" t="s">
        <v>19</v>
      </c>
      <c r="C2455" s="41">
        <v>46103</v>
      </c>
      <c r="D2455" s="48" t="str">
        <f>_xlfn.XLOOKUP(Table134526_79101120212223242526[[#This Row],[Name Surname]],Manpower!$C$4:$C$1048576,Manpower!$B$4:$B$1048576,"")</f>
        <v>Al Jaber Heavy Lift</v>
      </c>
      <c r="E2455" s="43" t="s">
        <v>310</v>
      </c>
      <c r="F2455" s="12">
        <f>_xlfn.XLOOKUP(Table134526_79101120212223242526[[#This Row],[Name Surname]],Manpower!C:C,Manpower!D:D,)</f>
        <v>113787454</v>
      </c>
      <c r="G2455" s="48" t="str">
        <f>_xlfn.XLOOKUP(Table134526_79101120212223242526[[#This Row],[Name Surname]],Manpower!$C$4:$C$1048576,Manpower!$F$4:$F$1048576,"")</f>
        <v>Crane Operator- 70T Crawler Crane- 02</v>
      </c>
      <c r="H2455" s="48" t="str">
        <f>_xlfn.XLOOKUP(Table134526_79101120212223242526[[#This Row],[Name Surname]],Manpower!$C$4:$C$1048576,Manpower!$H$4:$H$1048576,"")</f>
        <v>Manpower</v>
      </c>
      <c r="I2455" s="48" t="str">
        <f>_xlfn.XLOOKUP(Table134526_79101120212223242526[[#This Row],[Name Surname]],Manpower!$C$4:$C$1048576,Manpower!$H$4:$H$1048576,"")</f>
        <v>Manpower</v>
      </c>
      <c r="J2455" s="43" t="s">
        <v>21</v>
      </c>
      <c r="K2455" s="43" t="s">
        <v>369</v>
      </c>
      <c r="L2455" s="43" t="s">
        <v>49</v>
      </c>
      <c r="M2455" s="43" t="s">
        <v>24</v>
      </c>
      <c r="N2455" s="44">
        <v>10</v>
      </c>
      <c r="O2455" s="43" t="s">
        <v>40</v>
      </c>
      <c r="P2455" s="43" t="s">
        <v>41</v>
      </c>
      <c r="Q2455" s="43" t="s">
        <v>42</v>
      </c>
      <c r="R2455" s="43" t="s">
        <v>372</v>
      </c>
      <c r="S2455" s="43"/>
    </row>
    <row r="2456" spans="1:19" s="45" customFormat="1" ht="14.4" hidden="1">
      <c r="A2456" s="25">
        <f>IF(C2456="","",MAX($A$1:A2450)+1)</f>
        <v>2291</v>
      </c>
      <c r="B2456" s="25" t="s">
        <v>19</v>
      </c>
      <c r="C2456" s="41">
        <v>46103</v>
      </c>
      <c r="D2456" s="48" t="str">
        <f>_xlfn.XLOOKUP(Table134526_79101120212223242526[[#This Row],[Name Surname]],Manpower!$C$4:$C$1048576,Manpower!$B$4:$B$1048576,"")</f>
        <v>Encogroup</v>
      </c>
      <c r="E2456" s="43" t="s">
        <v>29</v>
      </c>
      <c r="F2456" s="12">
        <f>_xlfn.XLOOKUP(Table134526_79101120212223242526[[#This Row],[Name Surname]],Manpower!C:C,Manpower!D:D,)</f>
        <v>127331574</v>
      </c>
      <c r="G2456" s="48" t="str">
        <f>_xlfn.XLOOKUP(Table134526_79101120212223242526[[#This Row],[Name Surname]],Manpower!$C$4:$C$1048576,Manpower!$F$4:$F$1048576,"")</f>
        <v>Permit Receiver</v>
      </c>
      <c r="H2456" s="48" t="str">
        <f>_xlfn.XLOOKUP(Table134526_79101120212223242526[[#This Row],[Name Surname]],Manpower!$C$4:$C$1048576,Manpower!$H$4:$H$1048576,"")</f>
        <v>Manpower</v>
      </c>
      <c r="I2456" s="48" t="str">
        <f>_xlfn.XLOOKUP(Table134526_79101120212223242526[[#This Row],[Name Surname]],Manpower!$C$4:$C$1048576,Manpower!$H$4:$H$1048576,"")</f>
        <v>Manpower</v>
      </c>
      <c r="J2456" s="43" t="s">
        <v>21</v>
      </c>
      <c r="K2456" s="43" t="s">
        <v>369</v>
      </c>
      <c r="L2456" s="43" t="s">
        <v>49</v>
      </c>
      <c r="M2456" s="43" t="s">
        <v>24</v>
      </c>
      <c r="N2456" s="44">
        <v>10</v>
      </c>
      <c r="O2456" s="43" t="s">
        <v>25</v>
      </c>
      <c r="P2456" s="43" t="s">
        <v>41</v>
      </c>
      <c r="Q2456" s="43" t="s">
        <v>60</v>
      </c>
      <c r="R2456" s="43" t="s">
        <v>370</v>
      </c>
      <c r="S2456" s="43"/>
    </row>
    <row r="2457" spans="1:19" ht="14.4" hidden="1">
      <c r="A2457" s="33">
        <f>IF(C2457="","",MAX($A$1:A2456)+1)</f>
        <v>2293</v>
      </c>
      <c r="B2457" s="22" t="s">
        <v>19</v>
      </c>
      <c r="C2457" s="23">
        <v>46103</v>
      </c>
      <c r="D2457" s="28" t="str">
        <f>_xlfn.XLOOKUP(Table134526_79101120212223242526[[#This Row],[Name Surname]],Manpower!$C$4:$C$1048576,Manpower!$B$4:$B$1048576,"")</f>
        <v>Encogroup</v>
      </c>
      <c r="E2457" s="21" t="s">
        <v>31</v>
      </c>
      <c r="F2457" s="12">
        <f>_xlfn.XLOOKUP(Table134526_79101120212223242526[[#This Row],[Name Surname]],Manpower!C:C,Manpower!D:D,)</f>
        <v>99596058</v>
      </c>
      <c r="G2457" s="28" t="str">
        <f>_xlfn.XLOOKUP(Table134526_79101120212223242526[[#This Row],[Name Surname]],Manpower!$C$4:$C$1048576,Manpower!$F$4:$F$1048576,"")</f>
        <v>HSE Officer</v>
      </c>
      <c r="H2457" s="28" t="str">
        <f>_xlfn.XLOOKUP(Table134526_79101120212223242526[[#This Row],[Name Surname]],Manpower!$C$4:$C$1048576,Manpower!$H$4:$H$1048576,"")</f>
        <v>Manpower</v>
      </c>
      <c r="I2457" s="28" t="str">
        <f>_xlfn.XLOOKUP(Table134526_79101120212223242526[[#This Row],[Name Surname]],Manpower!$C$4:$C$1048576,Manpower!$H$4:$H$1048576,"")</f>
        <v>Manpower</v>
      </c>
      <c r="J2457" s="21" t="s">
        <v>21</v>
      </c>
      <c r="K2457" s="21" t="s">
        <v>369</v>
      </c>
      <c r="L2457" s="21" t="s">
        <v>49</v>
      </c>
      <c r="M2457" s="21" t="s">
        <v>24</v>
      </c>
      <c r="N2457" s="29">
        <v>10</v>
      </c>
      <c r="O2457" s="21" t="s">
        <v>25</v>
      </c>
      <c r="P2457" s="21" t="s">
        <v>41</v>
      </c>
      <c r="Q2457" s="21" t="s">
        <v>60</v>
      </c>
      <c r="R2457" s="21" t="s">
        <v>370</v>
      </c>
    </row>
    <row r="2458" spans="1:19" s="45" customFormat="1" ht="14.4" hidden="1">
      <c r="A2458" s="25">
        <f>IF(C2458="","",MAX($A$1:A2457)+1)</f>
        <v>2294</v>
      </c>
      <c r="B2458" s="25" t="s">
        <v>19</v>
      </c>
      <c r="C2458" s="41">
        <v>46103</v>
      </c>
      <c r="D2458" s="48" t="str">
        <f>_xlfn.XLOOKUP(Table134526_79101120212223242526[[#This Row],[Name Surname]],Manpower!$C$4:$C$1048576,Manpower!$B$4:$B$1048576,"")</f>
        <v>Encogroup</v>
      </c>
      <c r="E2458" s="43" t="s">
        <v>72</v>
      </c>
      <c r="F2458" s="12">
        <f>_xlfn.XLOOKUP(Table134526_79101120212223242526[[#This Row],[Name Surname]],Manpower!C:C,Manpower!D:D,)</f>
        <v>140764706</v>
      </c>
      <c r="G2458" s="48" t="str">
        <f>_xlfn.XLOOKUP(Table134526_79101120212223242526[[#This Row],[Name Surname]],Manpower!$C$4:$C$1048576,Manpower!$F$4:$F$1048576,"")</f>
        <v>Rigger</v>
      </c>
      <c r="H2458" s="48" t="str">
        <f>_xlfn.XLOOKUP(Table134526_79101120212223242526[[#This Row],[Name Surname]],Manpower!$C$4:$C$1048576,Manpower!$H$4:$H$1048576,"")</f>
        <v>Manpower</v>
      </c>
      <c r="I2458" s="48" t="str">
        <f>_xlfn.XLOOKUP(Table134526_79101120212223242526[[#This Row],[Name Surname]],Manpower!$C$4:$C$1048576,Manpower!$H$4:$H$1048576,"")</f>
        <v>Manpower</v>
      </c>
      <c r="J2458" s="43" t="s">
        <v>21</v>
      </c>
      <c r="K2458" s="43" t="s">
        <v>369</v>
      </c>
      <c r="L2458" s="43" t="s">
        <v>49</v>
      </c>
      <c r="M2458" s="43" t="s">
        <v>24</v>
      </c>
      <c r="N2458" s="44">
        <v>5</v>
      </c>
      <c r="O2458" s="43" t="s">
        <v>25</v>
      </c>
      <c r="P2458" s="43" t="s">
        <v>41</v>
      </c>
      <c r="Q2458" s="43" t="s">
        <v>60</v>
      </c>
      <c r="R2458" s="43" t="s">
        <v>370</v>
      </c>
      <c r="S2458" s="43"/>
    </row>
    <row r="2459" spans="1:19" s="45" customFormat="1" ht="14.4" hidden="1">
      <c r="A2459" s="25">
        <f>IF(C2459="","",MAX($A$1:A2458)+1)</f>
        <v>2295</v>
      </c>
      <c r="B2459" s="25" t="s">
        <v>19</v>
      </c>
      <c r="C2459" s="41">
        <v>46103</v>
      </c>
      <c r="D2459" s="48" t="str">
        <f>_xlfn.XLOOKUP(Table134526_79101120212223242526[[#This Row],[Name Surname]],Manpower!$C$4:$C$1048576,Manpower!$B$4:$B$1048576,"")</f>
        <v>Encogroup</v>
      </c>
      <c r="E2459" s="43" t="s">
        <v>27</v>
      </c>
      <c r="F2459" s="12">
        <f>_xlfn.XLOOKUP(Table134526_79101120212223242526[[#This Row],[Name Surname]],Manpower!C:C,Manpower!D:D,)</f>
        <v>127414586</v>
      </c>
      <c r="G2459" s="48" t="str">
        <f>_xlfn.XLOOKUP(Table134526_79101120212223242526[[#This Row],[Name Surname]],Manpower!$C$4:$C$1048576,Manpower!$F$4:$F$1048576,"")</f>
        <v>Electrician</v>
      </c>
      <c r="H2459" s="48" t="str">
        <f>_xlfn.XLOOKUP(Table134526_79101120212223242526[[#This Row],[Name Surname]],Manpower!$C$4:$C$1048576,Manpower!$H$4:$H$1048576,"")</f>
        <v>Manpower</v>
      </c>
      <c r="I2459" s="48" t="str">
        <f>_xlfn.XLOOKUP(Table134526_79101120212223242526[[#This Row],[Name Surname]],Manpower!$C$4:$C$1048576,Manpower!$H$4:$H$1048576,"")</f>
        <v>Manpower</v>
      </c>
      <c r="J2459" s="43" t="s">
        <v>21</v>
      </c>
      <c r="K2459" s="43" t="s">
        <v>369</v>
      </c>
      <c r="L2459" s="43" t="s">
        <v>49</v>
      </c>
      <c r="M2459" s="43" t="s">
        <v>24</v>
      </c>
      <c r="N2459" s="44">
        <v>5</v>
      </c>
      <c r="O2459" s="43" t="s">
        <v>28</v>
      </c>
      <c r="P2459" s="43" t="s">
        <v>41</v>
      </c>
      <c r="Q2459" s="43" t="s">
        <v>58</v>
      </c>
      <c r="R2459" s="43" t="s">
        <v>370</v>
      </c>
      <c r="S2459" s="43"/>
    </row>
    <row r="2460" spans="1:19" s="45" customFormat="1" ht="14.4" hidden="1">
      <c r="A2460" s="25">
        <f>IF(C2460="","",MAX($A$1:A2459)+1)</f>
        <v>2296</v>
      </c>
      <c r="B2460" s="25" t="s">
        <v>19</v>
      </c>
      <c r="C2460" s="41">
        <v>46103</v>
      </c>
      <c r="D2460" s="48" t="str">
        <f>_xlfn.XLOOKUP(Table134526_79101120212223242526[[#This Row],[Name Surname]],Manpower!$C$4:$C$1048576,Manpower!$B$4:$B$1048576,"")</f>
        <v>Encogroup</v>
      </c>
      <c r="E2460" s="43" t="s">
        <v>32</v>
      </c>
      <c r="F2460" s="12">
        <f>_xlfn.XLOOKUP(Table134526_79101120212223242526[[#This Row],[Name Surname]],Manpower!C:C,Manpower!D:D,)</f>
        <v>140697039</v>
      </c>
      <c r="G2460" s="48" t="str">
        <f>_xlfn.XLOOKUP(Table134526_79101120212223242526[[#This Row],[Name Surname]],Manpower!$C$4:$C$1048576,Manpower!$F$4:$F$1048576,"")</f>
        <v>Fitter/Erector</v>
      </c>
      <c r="H2460" s="48" t="str">
        <f>_xlfn.XLOOKUP(Table134526_79101120212223242526[[#This Row],[Name Surname]],Manpower!$C$4:$C$1048576,Manpower!$H$4:$H$1048576,"")</f>
        <v>Manpower</v>
      </c>
      <c r="I2460" s="48" t="str">
        <f>_xlfn.XLOOKUP(Table134526_79101120212223242526[[#This Row],[Name Surname]],Manpower!$C$4:$C$1048576,Manpower!$H$4:$H$1048576,"")</f>
        <v>Manpower</v>
      </c>
      <c r="J2460" s="43" t="s">
        <v>21</v>
      </c>
      <c r="K2460" s="43" t="s">
        <v>369</v>
      </c>
      <c r="L2460" s="43" t="s">
        <v>49</v>
      </c>
      <c r="M2460" s="43" t="s">
        <v>24</v>
      </c>
      <c r="N2460" s="44">
        <v>5</v>
      </c>
      <c r="O2460" s="43" t="s">
        <v>25</v>
      </c>
      <c r="P2460" s="43" t="s">
        <v>41</v>
      </c>
      <c r="Q2460" s="43" t="s">
        <v>60</v>
      </c>
      <c r="R2460" s="43" t="s">
        <v>370</v>
      </c>
      <c r="S2460" s="43"/>
    </row>
    <row r="2461" spans="1:19" s="45" customFormat="1" ht="14.4" hidden="1">
      <c r="A2461" s="25">
        <f>IF(C2461="","",MAX($A$1:A2460)+1)</f>
        <v>2297</v>
      </c>
      <c r="B2461" s="25" t="s">
        <v>19</v>
      </c>
      <c r="C2461" s="41">
        <v>46103</v>
      </c>
      <c r="D2461" s="48" t="str">
        <f>_xlfn.XLOOKUP(Table134526_79101120212223242526[[#This Row],[Name Surname]],Manpower!$C$4:$C$1048576,Manpower!$B$4:$B$1048576,"")</f>
        <v>Encogroup</v>
      </c>
      <c r="E2461" s="43" t="s">
        <v>46</v>
      </c>
      <c r="F2461" s="12">
        <f>_xlfn.XLOOKUP(Table134526_79101120212223242526[[#This Row],[Name Surname]],Manpower!C:C,Manpower!D:D,)</f>
        <v>140844618</v>
      </c>
      <c r="G2461" s="48" t="str">
        <f>_xlfn.XLOOKUP(Table134526_79101120212223242526[[#This Row],[Name Surname]],Manpower!$C$4:$C$1048576,Manpower!$F$4:$F$1048576,"")</f>
        <v>Assistant/Helper</v>
      </c>
      <c r="H2461" s="48" t="str">
        <f>_xlfn.XLOOKUP(Table134526_79101120212223242526[[#This Row],[Name Surname]],Manpower!$C$4:$C$1048576,Manpower!$H$4:$H$1048576,"")</f>
        <v>Manpower</v>
      </c>
      <c r="I2461" s="48" t="str">
        <f>_xlfn.XLOOKUP(Table134526_79101120212223242526[[#This Row],[Name Surname]],Manpower!$C$4:$C$1048576,Manpower!$H$4:$H$1048576,"")</f>
        <v>Manpower</v>
      </c>
      <c r="J2461" s="43" t="s">
        <v>21</v>
      </c>
      <c r="K2461" s="43" t="s">
        <v>369</v>
      </c>
      <c r="L2461" s="43" t="s">
        <v>49</v>
      </c>
      <c r="M2461" s="43" t="s">
        <v>24</v>
      </c>
      <c r="N2461" s="44">
        <v>5</v>
      </c>
      <c r="O2461" s="43" t="s">
        <v>25</v>
      </c>
      <c r="P2461" s="43" t="s">
        <v>41</v>
      </c>
      <c r="Q2461" s="43" t="s">
        <v>60</v>
      </c>
      <c r="R2461" s="43" t="s">
        <v>370</v>
      </c>
      <c r="S2461" s="43"/>
    </row>
    <row r="2462" spans="1:19" s="45" customFormat="1" ht="14.4" hidden="1">
      <c r="A2462" s="25">
        <f>IF(C2462="","",MAX($A$1:A2461)+1)</f>
        <v>2298</v>
      </c>
      <c r="B2462" s="25" t="s">
        <v>19</v>
      </c>
      <c r="C2462" s="41">
        <v>46103</v>
      </c>
      <c r="D2462" s="48" t="str">
        <f>_xlfn.XLOOKUP(Table134526_79101120212223242526[[#This Row],[Name Surname]],Manpower!$C$4:$C$1048576,Manpower!$B$4:$B$1048576,"")</f>
        <v>AL Omar International TRAD AND CONT</v>
      </c>
      <c r="E2462" s="43" t="s">
        <v>36</v>
      </c>
      <c r="F2462" s="12">
        <f>_xlfn.XLOOKUP(Table134526_79101120212223242526[[#This Row],[Name Surname]],Manpower!C:C,Manpower!D:D,)</f>
        <v>114929202</v>
      </c>
      <c r="G2462" s="48" t="str">
        <f>_xlfn.XLOOKUP(Table134526_79101120212223242526[[#This Row],[Name Surname]],Manpower!$C$4:$C$1048576,Manpower!$F$4:$F$1048576,"")</f>
        <v>RIgger</v>
      </c>
      <c r="H2462" s="48" t="str">
        <f>_xlfn.XLOOKUP(Table134526_79101120212223242526[[#This Row],[Name Surname]],Manpower!$C$4:$C$1048576,Manpower!$H$4:$H$1048576,"")</f>
        <v>Sub Contactor</v>
      </c>
      <c r="I2462" s="48" t="str">
        <f>_xlfn.XLOOKUP(Table134526_79101120212223242526[[#This Row],[Name Surname]],Manpower!$C$4:$C$1048576,Manpower!$H$4:$H$1048576,"")</f>
        <v>Sub Contactor</v>
      </c>
      <c r="J2462" s="43" t="s">
        <v>21</v>
      </c>
      <c r="K2462" s="43" t="s">
        <v>369</v>
      </c>
      <c r="L2462" s="43" t="s">
        <v>49</v>
      </c>
      <c r="M2462" s="43" t="s">
        <v>24</v>
      </c>
      <c r="N2462" s="44">
        <v>5</v>
      </c>
      <c r="O2462" s="43" t="s">
        <v>25</v>
      </c>
      <c r="P2462" s="43" t="s">
        <v>41</v>
      </c>
      <c r="Q2462" s="43" t="s">
        <v>60</v>
      </c>
      <c r="R2462" s="43" t="s">
        <v>370</v>
      </c>
      <c r="S2462" s="43"/>
    </row>
    <row r="2463" spans="1:19" s="45" customFormat="1" ht="14.4" hidden="1">
      <c r="A2463" s="25">
        <f>IF(C2463="","",MAX($A$1:A2462)+1)</f>
        <v>2299</v>
      </c>
      <c r="B2463" s="25" t="s">
        <v>19</v>
      </c>
      <c r="C2463" s="41">
        <v>46103</v>
      </c>
      <c r="D2463" s="48" t="str">
        <f>_xlfn.XLOOKUP(Table134526_79101120212223242526[[#This Row],[Name Surname]],Manpower!$C$4:$C$1048576,Manpower!$B$4:$B$1048576,"")</f>
        <v>Encogroup</v>
      </c>
      <c r="E2463" s="43" t="s">
        <v>37</v>
      </c>
      <c r="F2463" s="12">
        <f>_xlfn.XLOOKUP(Table134526_79101120212223242526[[#This Row],[Name Surname]],Manpower!C:C,Manpower!D:D,)</f>
        <v>140742088</v>
      </c>
      <c r="G2463" s="48" t="str">
        <f>_xlfn.XLOOKUP(Table134526_79101120212223242526[[#This Row],[Name Surname]],Manpower!$C$4:$C$1048576,Manpower!$F$4:$F$1048576,"")</f>
        <v>Fitter/Erector</v>
      </c>
      <c r="H2463" s="48" t="str">
        <f>_xlfn.XLOOKUP(Table134526_79101120212223242526[[#This Row],[Name Surname]],Manpower!$C$4:$C$1048576,Manpower!$H$4:$H$1048576,"")</f>
        <v>Manpower</v>
      </c>
      <c r="I2463" s="48" t="str">
        <f>_xlfn.XLOOKUP(Table134526_79101120212223242526[[#This Row],[Name Surname]],Manpower!$C$4:$C$1048576,Manpower!$H$4:$H$1048576,"")</f>
        <v>Manpower</v>
      </c>
      <c r="J2463" s="43" t="s">
        <v>21</v>
      </c>
      <c r="K2463" s="43" t="s">
        <v>369</v>
      </c>
      <c r="L2463" s="43" t="s">
        <v>49</v>
      </c>
      <c r="M2463" s="43" t="s">
        <v>24</v>
      </c>
      <c r="N2463" s="44">
        <v>5</v>
      </c>
      <c r="O2463" s="43" t="s">
        <v>25</v>
      </c>
      <c r="P2463" s="43" t="s">
        <v>41</v>
      </c>
      <c r="Q2463" s="43" t="s">
        <v>60</v>
      </c>
      <c r="R2463" s="43" t="s">
        <v>370</v>
      </c>
      <c r="S2463" s="43"/>
    </row>
    <row r="2464" spans="1:19" ht="14.4">
      <c r="A2464" s="33">
        <f>IF(C2464="","",MAX($A$1:A2463)+1)</f>
        <v>2300</v>
      </c>
      <c r="B2464" s="25" t="s">
        <v>19</v>
      </c>
      <c r="C2464" s="23">
        <v>46103</v>
      </c>
      <c r="D2464" s="28" t="str">
        <f>_xlfn.XLOOKUP(Table134526_79101120212223242526[[#This Row],[Name Surname]],Manpower!$C$4:$C$1048576,Manpower!$B$4:$B$1048576,"")</f>
        <v>Bright Light</v>
      </c>
      <c r="E2464" s="23" t="s">
        <v>47</v>
      </c>
      <c r="F2464" s="12" t="e">
        <f>_xlfn.XLOOKUP(Table134526_79101120212223242526[[#This Row],[Name Surname]],Manpower!C:C,Manpower!D:D,)</f>
        <v>#N/A</v>
      </c>
      <c r="G2464" s="28" t="str">
        <f>_xlfn.XLOOKUP(Table134526_79101120212223242526[[#This Row],[Name Surname]],Manpower!$C$4:$C$1048576,Manpower!$F$4:$F$1048576,"")</f>
        <v>100T Telescopic Crane</v>
      </c>
      <c r="H2464" s="28" t="str">
        <f>_xlfn.XLOOKUP(Table134526_79101120212223242526[[#This Row],[Name Surname]],Manpower!$C$4:$C$1048576,Manpower!$H$4:$H$1048576,"")</f>
        <v>Equipment</v>
      </c>
      <c r="I2464" s="28" t="str">
        <f>_xlfn.XLOOKUP(Table134526_79101120212223242526[[#This Row],[Name Surname]],Manpower!$C$4:$C$1048576,Manpower!$H$4:$H$1048576,"")</f>
        <v>Equipment</v>
      </c>
      <c r="J2464" s="21" t="s">
        <v>48</v>
      </c>
      <c r="K2464" s="21" t="s">
        <v>26</v>
      </c>
      <c r="L2464" s="21" t="s">
        <v>49</v>
      </c>
      <c r="M2464" s="21" t="s">
        <v>24</v>
      </c>
      <c r="N2464" s="29">
        <v>10</v>
      </c>
      <c r="O2464" s="21" t="s">
        <v>40</v>
      </c>
      <c r="P2464" s="21" t="s">
        <v>41</v>
      </c>
      <c r="Q2464" s="21" t="s">
        <v>42</v>
      </c>
      <c r="R2464" s="21" t="s">
        <v>374</v>
      </c>
    </row>
    <row r="2465" spans="1:19" ht="14.4">
      <c r="A2465" s="33">
        <f>IF(C2465="","",MAX($A$1:A2464)+1)</f>
        <v>2301</v>
      </c>
      <c r="B2465" s="25" t="s">
        <v>19</v>
      </c>
      <c r="C2465" s="23">
        <v>46103</v>
      </c>
      <c r="D2465" s="28" t="str">
        <f>_xlfn.XLOOKUP(Table134526_79101120212223242526[[#This Row],[Name Surname]],Manpower!$C$4:$C$1048576,Manpower!$B$4:$B$1048576,"")</f>
        <v>Bright Light</v>
      </c>
      <c r="E2465" s="21" t="s">
        <v>51</v>
      </c>
      <c r="F2465" s="12" t="e">
        <f>_xlfn.XLOOKUP(Table134526_79101120212223242526[[#This Row],[Name Surname]],Manpower!C:C,Manpower!D:D,)</f>
        <v>#N/A</v>
      </c>
      <c r="G2465" s="28" t="str">
        <f>_xlfn.XLOOKUP(Table134526_79101120212223242526[[#This Row],[Name Surname]],Manpower!$C$4:$C$1048576,Manpower!$F$4:$F$1048576,"")</f>
        <v>150T-Crawler Crane</v>
      </c>
      <c r="H2465" s="28" t="str">
        <f>_xlfn.XLOOKUP(Table134526_79101120212223242526[[#This Row],[Name Surname]],Manpower!$C$4:$C$1048576,Manpower!$H$4:$H$1048576,"")</f>
        <v>Equipment</v>
      </c>
      <c r="I2465" s="28" t="str">
        <f>_xlfn.XLOOKUP(Table134526_79101120212223242526[[#This Row],[Name Surname]],Manpower!$C$4:$C$1048576,Manpower!$H$4:$H$1048576,"")</f>
        <v>Equipment</v>
      </c>
      <c r="J2465" s="21" t="s">
        <v>48</v>
      </c>
      <c r="K2465" s="21" t="s">
        <v>26</v>
      </c>
      <c r="L2465" s="21" t="s">
        <v>49</v>
      </c>
      <c r="M2465" s="21" t="s">
        <v>24</v>
      </c>
      <c r="N2465" s="29">
        <v>10</v>
      </c>
      <c r="O2465" s="21" t="s">
        <v>40</v>
      </c>
      <c r="P2465" s="21" t="s">
        <v>41</v>
      </c>
      <c r="Q2465" s="21" t="s">
        <v>42</v>
      </c>
      <c r="R2465" s="21" t="s">
        <v>374</v>
      </c>
    </row>
    <row r="2466" spans="1:19" ht="14.4">
      <c r="A2466" s="33">
        <f>IF(C2466="","",MAX($A$1:A2465)+1)</f>
        <v>2302</v>
      </c>
      <c r="B2466" s="25" t="s">
        <v>19</v>
      </c>
      <c r="C2466" s="23">
        <v>46103</v>
      </c>
      <c r="D2466" s="28" t="str">
        <f>_xlfn.XLOOKUP(Table134526_79101120212223242526[[#This Row],[Name Surname]],Manpower!$C$4:$C$1048576,Manpower!$B$4:$B$1048576,"")</f>
        <v>Encogroup</v>
      </c>
      <c r="E2466" s="21" t="s">
        <v>54</v>
      </c>
      <c r="F2466" s="12" t="e">
        <f>_xlfn.XLOOKUP(Table134526_79101120212223242526[[#This Row],[Name Surname]],Manpower!C:C,Manpower!D:D,)</f>
        <v>#N/A</v>
      </c>
      <c r="G2466" s="28" t="str">
        <f>_xlfn.XLOOKUP(Table134526_79101120212223242526[[#This Row],[Name Surname]],Manpower!$C$4:$C$1048576,Manpower!$F$4:$F$1048576,"")</f>
        <v>28M-Manlift</v>
      </c>
      <c r="H2466" s="28" t="str">
        <f>_xlfn.XLOOKUP(Table134526_79101120212223242526[[#This Row],[Name Surname]],Manpower!$C$4:$C$1048576,Manpower!$H$4:$H$1048576,"")</f>
        <v>Equipment</v>
      </c>
      <c r="I2466" s="28" t="str">
        <f>_xlfn.XLOOKUP(Table134526_79101120212223242526[[#This Row],[Name Surname]],Manpower!$C$4:$C$1048576,Manpower!$H$4:$H$1048576,"")</f>
        <v>Equipment</v>
      </c>
      <c r="J2466" s="21" t="s">
        <v>48</v>
      </c>
      <c r="K2466" s="21" t="s">
        <v>26</v>
      </c>
      <c r="L2466" s="21" t="s">
        <v>49</v>
      </c>
      <c r="M2466" s="21" t="s">
        <v>24</v>
      </c>
      <c r="N2466" s="29">
        <v>10</v>
      </c>
      <c r="O2466" s="21" t="s">
        <v>25</v>
      </c>
      <c r="P2466" s="21" t="s">
        <v>41</v>
      </c>
      <c r="Q2466" s="21" t="s">
        <v>60</v>
      </c>
      <c r="R2466" s="21" t="s">
        <v>374</v>
      </c>
    </row>
    <row r="2467" spans="1:19" ht="14.4">
      <c r="A2467" s="33">
        <f>IF(C2467="","",MAX($A$1:A2466)+1)</f>
        <v>2303</v>
      </c>
      <c r="B2467" s="25" t="s">
        <v>19</v>
      </c>
      <c r="C2467" s="23">
        <v>46103</v>
      </c>
      <c r="D2467" s="28" t="str">
        <f>_xlfn.XLOOKUP(Table134526_79101120212223242526[[#This Row],[Name Surname]],Manpower!$C$4:$C$1048576,Manpower!$B$4:$B$1048576,"")</f>
        <v>Encogroup</v>
      </c>
      <c r="E2467" s="21" t="s">
        <v>53</v>
      </c>
      <c r="F2467" s="12" t="e">
        <f>_xlfn.XLOOKUP(Table134526_79101120212223242526[[#This Row],[Name Surname]],Manpower!C:C,Manpower!D:D,)</f>
        <v>#N/A</v>
      </c>
      <c r="G2467" s="28" t="str">
        <f>_xlfn.XLOOKUP(Table134526_79101120212223242526[[#This Row],[Name Surname]],Manpower!$C$4:$C$1048576,Manpower!$F$4:$F$1048576,"")</f>
        <v>22M-Manlift</v>
      </c>
      <c r="H2467" s="28" t="str">
        <f>_xlfn.XLOOKUP(Table134526_79101120212223242526[[#This Row],[Name Surname]],Manpower!$C$4:$C$1048576,Manpower!$H$4:$H$1048576,"")</f>
        <v>Equipment</v>
      </c>
      <c r="I2467" s="28" t="str">
        <f>_xlfn.XLOOKUP(Table134526_79101120212223242526[[#This Row],[Name Surname]],Manpower!$C$4:$C$1048576,Manpower!$H$4:$H$1048576,"")</f>
        <v>Equipment</v>
      </c>
      <c r="J2467" s="21" t="s">
        <v>48</v>
      </c>
      <c r="K2467" s="21" t="s">
        <v>26</v>
      </c>
      <c r="L2467" s="21" t="s">
        <v>49</v>
      </c>
      <c r="M2467" s="21" t="s">
        <v>24</v>
      </c>
      <c r="N2467" s="29">
        <v>10</v>
      </c>
      <c r="O2467" s="21" t="s">
        <v>25</v>
      </c>
      <c r="P2467" s="21" t="s">
        <v>41</v>
      </c>
      <c r="Q2467" s="21" t="s">
        <v>60</v>
      </c>
      <c r="R2467" s="21" t="s">
        <v>374</v>
      </c>
    </row>
    <row r="2468" spans="1:19" ht="14.4" hidden="1">
      <c r="A2468" s="33">
        <f>IF(C2468="","",MAX($A$1:A2467)+1)</f>
        <v>2304</v>
      </c>
      <c r="B2468" s="25" t="s">
        <v>19</v>
      </c>
      <c r="C2468" s="23">
        <v>46103</v>
      </c>
      <c r="D2468" s="28" t="str">
        <f>_xlfn.XLOOKUP(Table134526_79101120212223242526[[#This Row],[Name Surname]],Manpower!$C$4:$C$1048576,Manpower!$B$4:$B$1048576,"")</f>
        <v>Encogroup</v>
      </c>
      <c r="E2468" s="21" t="s">
        <v>57</v>
      </c>
      <c r="F2468" s="12">
        <f>_xlfn.XLOOKUP(Table134526_79101120212223242526[[#This Row],[Name Surname]],Manpower!C:C,Manpower!D:D,)</f>
        <v>140693697</v>
      </c>
      <c r="G2468" s="28" t="str">
        <f>_xlfn.XLOOKUP(Table134526_79101120212223242526[[#This Row],[Name Surname]],Manpower!$C$4:$C$1048576,Manpower!$F$4:$F$1048576,"")</f>
        <v>HSE Officer</v>
      </c>
      <c r="H2468" s="28" t="str">
        <f>_xlfn.XLOOKUP(Table134526_79101120212223242526[[#This Row],[Name Surname]],Manpower!$C$4:$C$1048576,Manpower!$H$4:$H$1048576,"")</f>
        <v>Manpower</v>
      </c>
      <c r="I2468" s="28" t="str">
        <f>_xlfn.XLOOKUP(Table134526_79101120212223242526[[#This Row],[Name Surname]],Manpower!$C$4:$C$1048576,Manpower!$H$4:$H$1048576,"")</f>
        <v>Manpower</v>
      </c>
      <c r="J2468" s="21" t="s">
        <v>48</v>
      </c>
      <c r="K2468" s="21" t="s">
        <v>26</v>
      </c>
      <c r="L2468" s="21" t="s">
        <v>49</v>
      </c>
      <c r="M2468" s="21" t="s">
        <v>24</v>
      </c>
      <c r="N2468" s="29">
        <v>10</v>
      </c>
      <c r="O2468" s="21" t="s">
        <v>25</v>
      </c>
      <c r="P2468" s="21" t="s">
        <v>41</v>
      </c>
      <c r="Q2468" s="21" t="s">
        <v>60</v>
      </c>
      <c r="R2468" s="21" t="s">
        <v>374</v>
      </c>
    </row>
    <row r="2469" spans="1:19" ht="14.4" hidden="1">
      <c r="A2469" s="33">
        <f>IF(C2469="","",MAX($A$1:A2468)+1)</f>
        <v>2305</v>
      </c>
      <c r="B2469" s="25" t="s">
        <v>19</v>
      </c>
      <c r="C2469" s="23">
        <v>46103</v>
      </c>
      <c r="D2469" s="28" t="str">
        <f>_xlfn.XLOOKUP(Table134526_79101120212223242526[[#This Row],[Name Surname]],Manpower!$C$4:$C$1048576,Manpower!$B$4:$B$1048576,"")</f>
        <v>Encogroup</v>
      </c>
      <c r="E2469" s="21" t="s">
        <v>33</v>
      </c>
      <c r="F2469" s="12">
        <f>_xlfn.XLOOKUP(Table134526_79101120212223242526[[#This Row],[Name Surname]],Manpower!C:C,Manpower!D:D,)</f>
        <v>124565057</v>
      </c>
      <c r="G2469" s="28" t="str">
        <f>_xlfn.XLOOKUP(Table134526_79101120212223242526[[#This Row],[Name Surname]],Manpower!$C$4:$C$1048576,Manpower!$F$4:$F$1048576,"")</f>
        <v>Fitter/Erector</v>
      </c>
      <c r="H2469" s="28" t="str">
        <f>_xlfn.XLOOKUP(Table134526_79101120212223242526[[#This Row],[Name Surname]],Manpower!$C$4:$C$1048576,Manpower!$H$4:$H$1048576,"")</f>
        <v>Manpower</v>
      </c>
      <c r="I2469" s="28" t="str">
        <f>_xlfn.XLOOKUP(Table134526_79101120212223242526[[#This Row],[Name Surname]],Manpower!$C$4:$C$1048576,Manpower!$H$4:$H$1048576,"")</f>
        <v>Manpower</v>
      </c>
      <c r="J2469" s="21" t="s">
        <v>48</v>
      </c>
      <c r="K2469" s="21" t="s">
        <v>26</v>
      </c>
      <c r="L2469" s="21" t="s">
        <v>49</v>
      </c>
      <c r="M2469" s="21" t="s">
        <v>24</v>
      </c>
      <c r="N2469" s="29">
        <v>10</v>
      </c>
      <c r="O2469" s="21" t="s">
        <v>25</v>
      </c>
      <c r="P2469" s="21" t="s">
        <v>41</v>
      </c>
      <c r="Q2469" s="21" t="s">
        <v>60</v>
      </c>
      <c r="R2469" s="21" t="s">
        <v>374</v>
      </c>
    </row>
    <row r="2470" spans="1:19" ht="14.4" hidden="1">
      <c r="A2470" s="33">
        <f>IF(C2470="","",MAX($A$1:A2469)+1)</f>
        <v>2306</v>
      </c>
      <c r="B2470" s="25" t="s">
        <v>19</v>
      </c>
      <c r="C2470" s="23">
        <v>46103</v>
      </c>
      <c r="D2470" s="28" t="str">
        <f>_xlfn.XLOOKUP(Table134526_79101120212223242526[[#This Row],[Name Surname]],Manpower!$C$4:$C$1048576,Manpower!$B$4:$B$1048576,"")</f>
        <v>Encogroup</v>
      </c>
      <c r="E2470" s="21" t="s">
        <v>62</v>
      </c>
      <c r="F2470" s="12">
        <f>_xlfn.XLOOKUP(Table134526_79101120212223242526[[#This Row],[Name Surname]],Manpower!C:C,Manpower!D:D,)</f>
        <v>140844797</v>
      </c>
      <c r="G2470" s="28" t="str">
        <f>_xlfn.XLOOKUP(Table134526_79101120212223242526[[#This Row],[Name Surname]],Manpower!$C$4:$C$1048576,Manpower!$F$4:$F$1048576,"")</f>
        <v>Fitter/Erector</v>
      </c>
      <c r="H2470" s="28" t="str">
        <f>_xlfn.XLOOKUP(Table134526_79101120212223242526[[#This Row],[Name Surname]],Manpower!$C$4:$C$1048576,Manpower!$H$4:$H$1048576,"")</f>
        <v>Manpower</v>
      </c>
      <c r="I2470" s="28" t="str">
        <f>_xlfn.XLOOKUP(Table134526_79101120212223242526[[#This Row],[Name Surname]],Manpower!$C$4:$C$1048576,Manpower!$H$4:$H$1048576,"")</f>
        <v>Manpower</v>
      </c>
      <c r="J2470" s="21" t="s">
        <v>48</v>
      </c>
      <c r="K2470" s="21" t="s">
        <v>26</v>
      </c>
      <c r="L2470" s="21" t="s">
        <v>49</v>
      </c>
      <c r="M2470" s="21" t="s">
        <v>24</v>
      </c>
      <c r="N2470" s="29">
        <v>10</v>
      </c>
      <c r="O2470" s="21" t="s">
        <v>25</v>
      </c>
      <c r="P2470" s="21" t="s">
        <v>41</v>
      </c>
      <c r="Q2470" s="21" t="s">
        <v>60</v>
      </c>
      <c r="R2470" s="21" t="s">
        <v>374</v>
      </c>
    </row>
    <row r="2471" spans="1:19" ht="14.4">
      <c r="A2471" s="33">
        <f>IF(C2471="","",MAX($A$1:A2470)+1)</f>
        <v>2307</v>
      </c>
      <c r="B2471" s="25" t="s">
        <v>19</v>
      </c>
      <c r="C2471" s="23">
        <v>46103</v>
      </c>
      <c r="D2471" s="24" t="str">
        <f>_xlfn.XLOOKUP(Table134526_79101120212223242526[[#This Row],[Name Surname]],Manpower!$C$4:$C$1048576,Manpower!$B$4:$B$1048576,"")</f>
        <v>Encogroup</v>
      </c>
      <c r="E2471" s="23" t="s">
        <v>63</v>
      </c>
      <c r="F2471" s="12" t="e">
        <f>_xlfn.XLOOKUP(Table134526_79101120212223242526[[#This Row],[Name Surname]],Manpower!C:C,Manpower!D:D,)</f>
        <v>#N/A</v>
      </c>
      <c r="G2471" s="24" t="str">
        <f>_xlfn.XLOOKUP(Table134526_79101120212223242526[[#This Row],[Name Surname]],Manpower!$C$4:$C$1048576,Manpower!$F$4:$F$1048576,"")</f>
        <v>22KVA-Generator</v>
      </c>
      <c r="H2471" s="24" t="str">
        <f>_xlfn.XLOOKUP(Table134526_79101120212223242526[[#This Row],[Name Surname]],Manpower!$C$4:$C$1048576,Manpower!$H$4:$H$1048576,"")</f>
        <v>Equipment</v>
      </c>
      <c r="I2471" s="24" t="str">
        <f>_xlfn.XLOOKUP(Table134526_79101120212223242526[[#This Row],[Name Surname]],Manpower!$C$4:$C$1048576,Manpower!$H$4:$H$1048576,"")</f>
        <v>Equipment</v>
      </c>
      <c r="J2471" s="21" t="s">
        <v>48</v>
      </c>
      <c r="K2471" s="21" t="s">
        <v>26</v>
      </c>
      <c r="L2471" s="21" t="s">
        <v>49</v>
      </c>
      <c r="M2471" s="21" t="s">
        <v>24</v>
      </c>
      <c r="N2471" s="29">
        <v>10</v>
      </c>
      <c r="O2471" s="21" t="s">
        <v>25</v>
      </c>
      <c r="P2471" s="21" t="s">
        <v>41</v>
      </c>
      <c r="Q2471" s="21" t="s">
        <v>41</v>
      </c>
      <c r="R2471" s="21" t="s">
        <v>374</v>
      </c>
    </row>
    <row r="2472" spans="1:19" ht="14.4" hidden="1">
      <c r="A2472" s="33">
        <f>IF(C2472="","",MAX($A$1:A2470)+1)</f>
        <v>2307</v>
      </c>
      <c r="B2472" s="25" t="s">
        <v>19</v>
      </c>
      <c r="C2472" s="23">
        <v>46103</v>
      </c>
      <c r="D2472" s="28" t="str">
        <f>_xlfn.XLOOKUP(Table134526_79101120212223242526[[#This Row],[Name Surname]],Manpower!$C$4:$C$1048576,Manpower!$B$4:$B$1048576,"")</f>
        <v>Bright Light</v>
      </c>
      <c r="E2472" s="21" t="s">
        <v>64</v>
      </c>
      <c r="F2472" s="12">
        <f>_xlfn.XLOOKUP(Table134526_79101120212223242526[[#This Row],[Name Surname]],Manpower!C:C,Manpower!D:D,)</f>
        <v>114531608</v>
      </c>
      <c r="G2472" s="28" t="str">
        <f>_xlfn.XLOOKUP(Table134526_79101120212223242526[[#This Row],[Name Surname]],Manpower!$C$4:$C$1048576,Manpower!$F$4:$F$1048576,"")</f>
        <v>Crane Operator-150T Sany Crawler</v>
      </c>
      <c r="H2472" s="28" t="str">
        <f>_xlfn.XLOOKUP(Table134526_79101120212223242526[[#This Row],[Name Surname]],Manpower!$C$4:$C$1048576,Manpower!$H$4:$H$1048576,"")</f>
        <v>Manpower</v>
      </c>
      <c r="I2472" s="28" t="str">
        <f>_xlfn.XLOOKUP(Table134526_79101120212223242526[[#This Row],[Name Surname]],Manpower!$C$4:$C$1048576,Manpower!$H$4:$H$1048576,"")</f>
        <v>Manpower</v>
      </c>
      <c r="J2472" s="21" t="s">
        <v>48</v>
      </c>
      <c r="K2472" s="21" t="s">
        <v>26</v>
      </c>
      <c r="L2472" s="21" t="s">
        <v>49</v>
      </c>
      <c r="M2472" s="21" t="s">
        <v>24</v>
      </c>
      <c r="N2472" s="29">
        <v>10</v>
      </c>
      <c r="O2472" s="21" t="s">
        <v>40</v>
      </c>
      <c r="P2472" s="21" t="s">
        <v>41</v>
      </c>
      <c r="Q2472" s="21" t="s">
        <v>42</v>
      </c>
      <c r="R2472" s="21" t="s">
        <v>374</v>
      </c>
    </row>
    <row r="2473" spans="1:19" ht="14.4" hidden="1">
      <c r="A2473" s="33">
        <f>IF(C2473="","",MAX($A$1:A2472)+1)</f>
        <v>2308</v>
      </c>
      <c r="B2473" s="25" t="s">
        <v>19</v>
      </c>
      <c r="C2473" s="23">
        <v>46103</v>
      </c>
      <c r="D2473" s="28" t="str">
        <f>_xlfn.XLOOKUP(Table134526_79101120212223242526[[#This Row],[Name Surname]],Manpower!$C$4:$C$1048576,Manpower!$B$4:$B$1048576,"")</f>
        <v>Encogroup</v>
      </c>
      <c r="E2473" s="21" t="s">
        <v>67</v>
      </c>
      <c r="F2473" s="12">
        <f>_xlfn.XLOOKUP(Table134526_79101120212223242526[[#This Row],[Name Surname]],Manpower!C:C,Manpower!D:D,)</f>
        <v>122082769</v>
      </c>
      <c r="G2473" s="28" t="str">
        <f>_xlfn.XLOOKUP(Table134526_79101120212223242526[[#This Row],[Name Surname]],Manpower!$C$4:$C$1048576,Manpower!$F$4:$F$1048576,"")</f>
        <v>Grinder</v>
      </c>
      <c r="H2473" s="28" t="str">
        <f>_xlfn.XLOOKUP(Table134526_79101120212223242526[[#This Row],[Name Surname]],Manpower!$C$4:$C$1048576,Manpower!$H$4:$H$1048576,"")</f>
        <v>Manpower</v>
      </c>
      <c r="I2473" s="28" t="str">
        <f>_xlfn.XLOOKUP(Table134526_79101120212223242526[[#This Row],[Name Surname]],Manpower!$C$4:$C$1048576,Manpower!$H$4:$H$1048576,"")</f>
        <v>Manpower</v>
      </c>
      <c r="J2473" s="21" t="s">
        <v>48</v>
      </c>
      <c r="K2473" s="21" t="s">
        <v>26</v>
      </c>
      <c r="L2473" s="21" t="s">
        <v>49</v>
      </c>
      <c r="M2473" s="21" t="s">
        <v>24</v>
      </c>
      <c r="N2473" s="29">
        <v>10</v>
      </c>
      <c r="O2473" s="21" t="s">
        <v>25</v>
      </c>
      <c r="P2473" s="21" t="s">
        <v>41</v>
      </c>
      <c r="Q2473" s="21" t="s">
        <v>60</v>
      </c>
      <c r="R2473" s="21" t="s">
        <v>374</v>
      </c>
    </row>
    <row r="2474" spans="1:19" ht="14.4" hidden="1">
      <c r="A2474" s="33">
        <f>IF(C2474="","",MAX($A$1:A2473)+1)</f>
        <v>2309</v>
      </c>
      <c r="B2474" s="25" t="s">
        <v>19</v>
      </c>
      <c r="C2474" s="23">
        <v>46103</v>
      </c>
      <c r="D2474" s="28" t="str">
        <f>_xlfn.XLOOKUP(Table134526_79101120212223242526[[#This Row],[Name Surname]],Manpower!$C$4:$C$1048576,Manpower!$B$4:$B$1048576,"")</f>
        <v>AL Saif &amp; Al QALLM ENT LLC</v>
      </c>
      <c r="E2474" s="21" t="s">
        <v>65</v>
      </c>
      <c r="F2474" s="12">
        <f>_xlfn.XLOOKUP(Table134526_79101120212223242526[[#This Row],[Name Surname]],Manpower!C:C,Manpower!D:D,)</f>
        <v>108478006</v>
      </c>
      <c r="G2474" s="28" t="str">
        <f>_xlfn.XLOOKUP(Table134526_79101120212223242526[[#This Row],[Name Surname]],Manpower!$C$4:$C$1048576,Manpower!$F$4:$F$1048576,"")</f>
        <v>RIgger</v>
      </c>
      <c r="H2474" s="28" t="str">
        <f>_xlfn.XLOOKUP(Table134526_79101120212223242526[[#This Row],[Name Surname]],Manpower!$C$4:$C$1048576,Manpower!$H$4:$H$1048576,"")</f>
        <v>Sub Contactor</v>
      </c>
      <c r="I2474" s="28" t="str">
        <f>_xlfn.XLOOKUP(Table134526_79101120212223242526[[#This Row],[Name Surname]],Manpower!$C$4:$C$1048576,Manpower!$H$4:$H$1048576,"")</f>
        <v>Sub Contactor</v>
      </c>
      <c r="J2474" s="21" t="s">
        <v>48</v>
      </c>
      <c r="K2474" s="21" t="s">
        <v>26</v>
      </c>
      <c r="L2474" s="21" t="s">
        <v>49</v>
      </c>
      <c r="M2474" s="21" t="s">
        <v>24</v>
      </c>
      <c r="N2474" s="29">
        <v>10</v>
      </c>
      <c r="O2474" s="21" t="s">
        <v>25</v>
      </c>
      <c r="P2474" s="21" t="s">
        <v>41</v>
      </c>
      <c r="Q2474" s="21" t="s">
        <v>60</v>
      </c>
      <c r="R2474" s="21" t="s">
        <v>374</v>
      </c>
    </row>
    <row r="2475" spans="1:19" ht="14.4" hidden="1">
      <c r="A2475" s="33">
        <f>IF(C2475="","",MAX($A$1:A2474)+1)</f>
        <v>2310</v>
      </c>
      <c r="B2475" s="25" t="s">
        <v>19</v>
      </c>
      <c r="C2475" s="23">
        <v>46103</v>
      </c>
      <c r="D2475" s="28" t="str">
        <f>_xlfn.XLOOKUP(Table134526_79101120212223242526[[#This Row],[Name Surname]],Manpower!$C$4:$C$1048576,Manpower!$B$4:$B$1048576,"")</f>
        <v>AL Omar International TRAD AND CONT</v>
      </c>
      <c r="E2475" s="21" t="s">
        <v>66</v>
      </c>
      <c r="F2475" s="12">
        <f>_xlfn.XLOOKUP(Table134526_79101120212223242526[[#This Row],[Name Surname]],Manpower!C:C,Manpower!D:D,)</f>
        <v>115018512</v>
      </c>
      <c r="G2475" s="28" t="str">
        <f>_xlfn.XLOOKUP(Table134526_79101120212223242526[[#This Row],[Name Surname]],Manpower!$C$4:$C$1048576,Manpower!$F$4:$F$1048576,"")</f>
        <v>RIgger</v>
      </c>
      <c r="H2475" s="28" t="str">
        <f>_xlfn.XLOOKUP(Table134526_79101120212223242526[[#This Row],[Name Surname]],Manpower!$C$4:$C$1048576,Manpower!$H$4:$H$1048576,"")</f>
        <v>Sub Contactor</v>
      </c>
      <c r="I2475" s="28" t="str">
        <f>_xlfn.XLOOKUP(Table134526_79101120212223242526[[#This Row],[Name Surname]],Manpower!$C$4:$C$1048576,Manpower!$H$4:$H$1048576,"")</f>
        <v>Sub Contactor</v>
      </c>
      <c r="J2475" s="21" t="s">
        <v>48</v>
      </c>
      <c r="K2475" s="21" t="s">
        <v>26</v>
      </c>
      <c r="L2475" s="21" t="s">
        <v>49</v>
      </c>
      <c r="M2475" s="21" t="s">
        <v>24</v>
      </c>
      <c r="N2475" s="29">
        <v>10</v>
      </c>
      <c r="O2475" s="21" t="s">
        <v>25</v>
      </c>
      <c r="P2475" s="21" t="s">
        <v>41</v>
      </c>
      <c r="Q2475" s="21" t="s">
        <v>60</v>
      </c>
      <c r="R2475" s="21" t="s">
        <v>374</v>
      </c>
    </row>
    <row r="2476" spans="1:19" ht="14.4" hidden="1">
      <c r="A2476" s="33">
        <f>IF(C2476="","",MAX($A$1:A2475)+1)</f>
        <v>2311</v>
      </c>
      <c r="B2476" s="25" t="s">
        <v>19</v>
      </c>
      <c r="C2476" s="23">
        <v>46103</v>
      </c>
      <c r="D2476" s="28" t="str">
        <f>_xlfn.XLOOKUP(Table134526_79101120212223242526[[#This Row],[Name Surname]],Manpower!$C$4:$C$1048576,Manpower!$B$4:$B$1048576,"")</f>
        <v>Encogroup</v>
      </c>
      <c r="E2476" s="21" t="s">
        <v>32</v>
      </c>
      <c r="F2476" s="12">
        <f>_xlfn.XLOOKUP(Table134526_79101120212223242526[[#This Row],[Name Surname]],Manpower!C:C,Manpower!D:D,)</f>
        <v>140697039</v>
      </c>
      <c r="G2476" s="28" t="str">
        <f>_xlfn.XLOOKUP(Table134526_79101120212223242526[[#This Row],[Name Surname]],Manpower!$C$4:$C$1048576,Manpower!$F$4:$F$1048576,"")</f>
        <v>Fitter/Erector</v>
      </c>
      <c r="H2476" s="28" t="str">
        <f>_xlfn.XLOOKUP(Table134526_79101120212223242526[[#This Row],[Name Surname]],Manpower!$C$4:$C$1048576,Manpower!$H$4:$H$1048576,"")</f>
        <v>Manpower</v>
      </c>
      <c r="I2476" s="28" t="str">
        <f>_xlfn.XLOOKUP(Table134526_79101120212223242526[[#This Row],[Name Surname]],Manpower!$C$4:$C$1048576,Manpower!$H$4:$H$1048576,"")</f>
        <v>Manpower</v>
      </c>
      <c r="J2476" s="21" t="s">
        <v>48</v>
      </c>
      <c r="K2476" s="21" t="s">
        <v>26</v>
      </c>
      <c r="L2476" s="21" t="s">
        <v>49</v>
      </c>
      <c r="M2476" s="21" t="s">
        <v>24</v>
      </c>
      <c r="N2476" s="29">
        <v>5</v>
      </c>
      <c r="O2476" s="21" t="s">
        <v>25</v>
      </c>
      <c r="P2476" s="21" t="s">
        <v>41</v>
      </c>
      <c r="Q2476" s="21" t="s">
        <v>60</v>
      </c>
      <c r="R2476" s="21" t="s">
        <v>374</v>
      </c>
    </row>
    <row r="2477" spans="1:19" s="45" customFormat="1" ht="14.4" hidden="1">
      <c r="A2477" s="25">
        <f>IF(C2477="","",MAX($A$1:A2476)+1)</f>
        <v>2312</v>
      </c>
      <c r="B2477" s="25" t="s">
        <v>19</v>
      </c>
      <c r="C2477" s="41">
        <v>46103</v>
      </c>
      <c r="D2477" s="48" t="str">
        <f>_xlfn.XLOOKUP(Table134526_79101120212223242526[[#This Row],[Name Surname]],Manpower!$C$4:$C$1048576,Manpower!$B$4:$B$1048576,"")</f>
        <v>Encogroup</v>
      </c>
      <c r="E2477" s="43" t="s">
        <v>237</v>
      </c>
      <c r="F2477" s="12">
        <f>_xlfn.XLOOKUP(Table134526_79101120212223242526[[#This Row],[Name Surname]],Manpower!C:C,Manpower!D:D,)</f>
        <v>75199413</v>
      </c>
      <c r="G2477" s="48" t="str">
        <f>_xlfn.XLOOKUP(Table134526_79101120212223242526[[#This Row],[Name Surname]],Manpower!$C$4:$C$1048576,Manpower!$F$4:$F$1048576,"")</f>
        <v>Mechanic</v>
      </c>
      <c r="H2477" s="48" t="str">
        <f>_xlfn.XLOOKUP(Table134526_79101120212223242526[[#This Row],[Name Surname]],Manpower!$C$4:$C$1048576,Manpower!$H$4:$H$1048576,"")</f>
        <v>Manpower</v>
      </c>
      <c r="I2477" s="48" t="str">
        <f>_xlfn.XLOOKUP(Table134526_79101120212223242526[[#This Row],[Name Surname]],Manpower!$C$4:$C$1048576,Manpower!$H$4:$H$1048576,"")</f>
        <v>Manpower</v>
      </c>
      <c r="J2477" s="43" t="s">
        <v>48</v>
      </c>
      <c r="K2477" s="43" t="s">
        <v>26</v>
      </c>
      <c r="L2477" s="43" t="s">
        <v>49</v>
      </c>
      <c r="M2477" s="43" t="s">
        <v>24</v>
      </c>
      <c r="N2477" s="44">
        <v>10</v>
      </c>
      <c r="O2477" s="43" t="s">
        <v>236</v>
      </c>
      <c r="P2477" s="43" t="s">
        <v>236</v>
      </c>
      <c r="Q2477" s="43" t="s">
        <v>236</v>
      </c>
      <c r="R2477" s="43" t="s">
        <v>374</v>
      </c>
      <c r="S2477" s="43"/>
    </row>
    <row r="2478" spans="1:19" s="45" customFormat="1" ht="14.4" hidden="1">
      <c r="A2478" s="25">
        <f>IF(C2478="","",MAX($A$1:A2476)+1)</f>
        <v>2312</v>
      </c>
      <c r="B2478" s="25" t="s">
        <v>19</v>
      </c>
      <c r="C2478" s="41">
        <v>46103</v>
      </c>
      <c r="D2478" s="48" t="str">
        <f>_xlfn.XLOOKUP(Table134526_79101120212223242526[[#This Row],[Name Surname]],Manpower!$C$4:$C$1048576,Manpower!$B$4:$B$1048576,"")</f>
        <v>Encogroup</v>
      </c>
      <c r="E2478" s="43" t="s">
        <v>235</v>
      </c>
      <c r="F2478" s="12">
        <f>_xlfn.XLOOKUP(Table134526_79101120212223242526[[#This Row],[Name Surname]],Manpower!C:C,Manpower!D:D,)</f>
        <v>132423982</v>
      </c>
      <c r="G2478" s="48" t="str">
        <f>_xlfn.XLOOKUP(Table134526_79101120212223242526[[#This Row],[Name Surname]],Manpower!$C$4:$C$1048576,Manpower!$F$4:$F$1048576,"")</f>
        <v>Mechanic Supervisor</v>
      </c>
      <c r="H2478" s="48" t="str">
        <f>_xlfn.XLOOKUP(Table134526_79101120212223242526[[#This Row],[Name Surname]],Manpower!$C$4:$C$1048576,Manpower!$H$4:$H$1048576,"")</f>
        <v>Manpower</v>
      </c>
      <c r="I2478" s="48" t="str">
        <f>_xlfn.XLOOKUP(Table134526_79101120212223242526[[#This Row],[Name Surname]],Manpower!$C$4:$C$1048576,Manpower!$H$4:$H$1048576,"")</f>
        <v>Manpower</v>
      </c>
      <c r="J2478" s="43" t="s">
        <v>48</v>
      </c>
      <c r="K2478" s="43" t="s">
        <v>26</v>
      </c>
      <c r="L2478" s="43" t="s">
        <v>49</v>
      </c>
      <c r="M2478" s="43" t="s">
        <v>24</v>
      </c>
      <c r="N2478" s="44">
        <v>10</v>
      </c>
      <c r="O2478" s="43" t="s">
        <v>236</v>
      </c>
      <c r="P2478" s="43" t="s">
        <v>236</v>
      </c>
      <c r="Q2478" s="43" t="s">
        <v>236</v>
      </c>
      <c r="R2478" s="43" t="s">
        <v>374</v>
      </c>
      <c r="S2478" s="43"/>
    </row>
    <row r="2479" spans="1:19" s="45" customFormat="1" ht="14.4" hidden="1">
      <c r="A2479" s="25">
        <f>IF(C2479="","",MAX($A$1:A2476)+1)</f>
        <v>2312</v>
      </c>
      <c r="B2479" s="25" t="s">
        <v>19</v>
      </c>
      <c r="C2479" s="41">
        <v>46103</v>
      </c>
      <c r="D2479" s="48" t="str">
        <f>_xlfn.XLOOKUP(Table134526_79101120212223242526[[#This Row],[Name Surname]],Manpower!$C$4:$C$1048576,Manpower!$B$4:$B$1048576,"")</f>
        <v>Encogroup</v>
      </c>
      <c r="E2479" s="43" t="s">
        <v>375</v>
      </c>
      <c r="F2479" s="12">
        <f>_xlfn.XLOOKUP(Table134526_79101120212223242526[[#This Row],[Name Surname]],Manpower!C:C,Manpower!D:D,)</f>
        <v>130805123</v>
      </c>
      <c r="G2479" s="48" t="str">
        <f>_xlfn.XLOOKUP(Table134526_79101120212223242526[[#This Row],[Name Surname]],Manpower!$C$4:$C$1048576,Manpower!$F$4:$F$1048576,"")</f>
        <v>Mechanic</v>
      </c>
      <c r="H2479" s="48" t="str">
        <f>_xlfn.XLOOKUP(Table134526_79101120212223242526[[#This Row],[Name Surname]],Manpower!$C$4:$C$1048576,Manpower!$H$4:$H$1048576,"")</f>
        <v>Manpower</v>
      </c>
      <c r="I2479" s="48" t="str">
        <f>_xlfn.XLOOKUP(Table134526_79101120212223242526[[#This Row],[Name Surname]],Manpower!$C$4:$C$1048576,Manpower!$H$4:$H$1048576,"")</f>
        <v>Manpower</v>
      </c>
      <c r="J2479" s="43" t="s">
        <v>48</v>
      </c>
      <c r="K2479" s="43" t="s">
        <v>26</v>
      </c>
      <c r="L2479" s="43" t="s">
        <v>49</v>
      </c>
      <c r="M2479" s="43" t="s">
        <v>24</v>
      </c>
      <c r="N2479" s="44">
        <v>10</v>
      </c>
      <c r="O2479" s="43" t="s">
        <v>236</v>
      </c>
      <c r="P2479" s="43" t="s">
        <v>236</v>
      </c>
      <c r="Q2479" s="43" t="s">
        <v>236</v>
      </c>
      <c r="R2479" s="43" t="s">
        <v>374</v>
      </c>
      <c r="S2479" s="43"/>
    </row>
    <row r="2480" spans="1:19" s="45" customFormat="1" ht="14.4" hidden="1">
      <c r="A2480" s="25">
        <f>IF(C2480="","",MAX($A$1:A2476)+1)</f>
        <v>2312</v>
      </c>
      <c r="B2480" s="25" t="s">
        <v>19</v>
      </c>
      <c r="C2480" s="41">
        <v>46103</v>
      </c>
      <c r="D2480" s="48" t="str">
        <f>_xlfn.XLOOKUP(Table134526_79101120212223242526[[#This Row],[Name Surname]],Manpower!$C$4:$C$1048576,Manpower!$B$4:$B$1048576,"")</f>
        <v>Encogroup</v>
      </c>
      <c r="E2480" s="43" t="s">
        <v>207</v>
      </c>
      <c r="F2480" s="12">
        <f>_xlfn.XLOOKUP(Table134526_79101120212223242526[[#This Row],[Name Surname]],Manpower!C:C,Manpower!D:D,)</f>
        <v>141359216</v>
      </c>
      <c r="G2480" s="48" t="str">
        <f>_xlfn.XLOOKUP(Table134526_79101120212223242526[[#This Row],[Name Surname]],Manpower!$C$4:$C$1048576,Manpower!$F$4:$F$1048576,"")</f>
        <v>Electrician</v>
      </c>
      <c r="H2480" s="48" t="str">
        <f>_xlfn.XLOOKUP(Table134526_79101120212223242526[[#This Row],[Name Surname]],Manpower!$C$4:$C$1048576,Manpower!$H$4:$H$1048576,"")</f>
        <v>Manpower</v>
      </c>
      <c r="I2480" s="48" t="str">
        <f>_xlfn.XLOOKUP(Table134526_79101120212223242526[[#This Row],[Name Surname]],Manpower!$C$4:$C$1048576,Manpower!$H$4:$H$1048576,"")</f>
        <v>Manpower</v>
      </c>
      <c r="J2480" s="43" t="s">
        <v>48</v>
      </c>
      <c r="K2480" s="43" t="s">
        <v>26</v>
      </c>
      <c r="L2480" s="43" t="s">
        <v>49</v>
      </c>
      <c r="M2480" s="43" t="s">
        <v>24</v>
      </c>
      <c r="N2480" s="44">
        <v>10</v>
      </c>
      <c r="O2480" s="43" t="s">
        <v>25</v>
      </c>
      <c r="P2480" s="43" t="s">
        <v>41</v>
      </c>
      <c r="Q2480" s="43" t="s">
        <v>60</v>
      </c>
      <c r="R2480" s="43" t="s">
        <v>374</v>
      </c>
      <c r="S2480" s="43"/>
    </row>
    <row r="2481" spans="1:19" s="45" customFormat="1" ht="14.4" hidden="1">
      <c r="A2481" s="25">
        <f>IF(C2481="","",MAX($A$1:A2480)+1)</f>
        <v>2313</v>
      </c>
      <c r="B2481" s="25" t="s">
        <v>19</v>
      </c>
      <c r="C2481" s="41">
        <v>46103</v>
      </c>
      <c r="D2481" s="48" t="str">
        <f>_xlfn.XLOOKUP(Table134526_79101120212223242526[[#This Row],[Name Surname]],Manpower!$C$4:$C$1048576,Manpower!$B$4:$B$1048576,"")</f>
        <v>Encogroup</v>
      </c>
      <c r="E2481" s="43" t="s">
        <v>76</v>
      </c>
      <c r="F2481" s="12">
        <f>_xlfn.XLOOKUP(Table134526_79101120212223242526[[#This Row],[Name Surname]],Manpower!C:C,Manpower!D:D,)</f>
        <v>127859069</v>
      </c>
      <c r="G2481" s="48" t="str">
        <f>_xlfn.XLOOKUP(Table134526_79101120212223242526[[#This Row],[Name Surname]],Manpower!$C$4:$C$1048576,Manpower!$F$4:$F$1048576,"")</f>
        <v>QC Mechanical Engineer</v>
      </c>
      <c r="H2481" s="48" t="str">
        <f>_xlfn.XLOOKUP(Table134526_79101120212223242526[[#This Row],[Name Surname]],Manpower!$C$4:$C$1048576,Manpower!$H$4:$H$1048576,"")</f>
        <v>Manpower</v>
      </c>
      <c r="I2481" s="48" t="str">
        <f>_xlfn.XLOOKUP(Table134526_79101120212223242526[[#This Row],[Name Surname]],Manpower!$C$4:$C$1048576,Manpower!$H$4:$H$1048576,"")</f>
        <v>Manpower</v>
      </c>
      <c r="J2481" s="43" t="s">
        <v>48</v>
      </c>
      <c r="K2481" s="43" t="s">
        <v>26</v>
      </c>
      <c r="L2481" s="43" t="s">
        <v>49</v>
      </c>
      <c r="M2481" s="43" t="s">
        <v>24</v>
      </c>
      <c r="N2481" s="44">
        <v>10</v>
      </c>
      <c r="O2481" s="43" t="s">
        <v>25</v>
      </c>
      <c r="P2481" s="43" t="s">
        <v>41</v>
      </c>
      <c r="Q2481" s="43" t="s">
        <v>77</v>
      </c>
      <c r="R2481" s="43" t="s">
        <v>374</v>
      </c>
      <c r="S2481" s="43"/>
    </row>
    <row r="2482" spans="1:19" ht="14.4" hidden="1">
      <c r="A2482" s="33">
        <f>IF(C2482="","",MAX($A$1:A2476)+1)</f>
        <v>2312</v>
      </c>
      <c r="B2482" s="25" t="s">
        <v>19</v>
      </c>
      <c r="C2482" s="23">
        <v>46103</v>
      </c>
      <c r="D2482" s="28" t="str">
        <f>_xlfn.XLOOKUP(Table134526_79101120212223242526[[#This Row],[Name Surname]],Manpower!$C$4:$C$1048576,Manpower!$B$4:$B$1048576,"")</f>
        <v>AL Omar International TRAD AND CONT</v>
      </c>
      <c r="E2482" s="21" t="s">
        <v>197</v>
      </c>
      <c r="F2482" s="12">
        <f>_xlfn.XLOOKUP(Table134526_79101120212223242526[[#This Row],[Name Surname]],Manpower!C:C,Manpower!D:D,)</f>
        <v>106093463</v>
      </c>
      <c r="G2482" s="28" t="str">
        <f>_xlfn.XLOOKUP(Table134526_79101120212223242526[[#This Row],[Name Surname]],Manpower!$C$4:$C$1048576,Manpower!$F$4:$F$1048576,"")</f>
        <v>RIgger</v>
      </c>
      <c r="H2482" s="28" t="str">
        <f>_xlfn.XLOOKUP(Table134526_79101120212223242526[[#This Row],[Name Surname]],Manpower!$C$4:$C$1048576,Manpower!$H$4:$H$1048576,"")</f>
        <v>Sub Contactor</v>
      </c>
      <c r="I2482" s="28" t="str">
        <f>_xlfn.XLOOKUP(Table134526_79101120212223242526[[#This Row],[Name Surname]],Manpower!$C$4:$C$1048576,Manpower!$H$4:$H$1048576,"")</f>
        <v>Sub Contactor</v>
      </c>
      <c r="J2482" s="21" t="s">
        <v>48</v>
      </c>
      <c r="K2482" s="21" t="s">
        <v>26</v>
      </c>
      <c r="L2482" s="21" t="s">
        <v>49</v>
      </c>
      <c r="M2482" s="21" t="s">
        <v>24</v>
      </c>
      <c r="N2482" s="29">
        <v>5</v>
      </c>
      <c r="O2482" s="21" t="s">
        <v>25</v>
      </c>
      <c r="P2482" s="21" t="s">
        <v>41</v>
      </c>
      <c r="Q2482" s="21" t="s">
        <v>60</v>
      </c>
      <c r="R2482" s="21" t="s">
        <v>374</v>
      </c>
    </row>
    <row r="2483" spans="1:19" ht="14.4" hidden="1">
      <c r="A2483" s="33">
        <f>IF(C2483="","",MAX($A$1:A2482)+1)</f>
        <v>2314</v>
      </c>
      <c r="B2483" s="25" t="s">
        <v>19</v>
      </c>
      <c r="C2483" s="23">
        <v>46103</v>
      </c>
      <c r="D2483" s="28" t="str">
        <f>_xlfn.XLOOKUP(Table134526_79101120212223242526[[#This Row],[Name Surname]],Manpower!$C$4:$C$1048576,Manpower!$B$4:$B$1048576,"")</f>
        <v>Encogroup</v>
      </c>
      <c r="E2483" s="21" t="s">
        <v>44</v>
      </c>
      <c r="F2483" s="12">
        <f>_xlfn.XLOOKUP(Table134526_79101120212223242526[[#This Row],[Name Surname]],Manpower!C:C,Manpower!D:D,)</f>
        <v>140806218</v>
      </c>
      <c r="G2483" s="28" t="str">
        <f>_xlfn.XLOOKUP(Table134526_79101120212223242526[[#This Row],[Name Surname]],Manpower!$C$4:$C$1048576,Manpower!$F$4:$F$1048576,"")</f>
        <v>Fitter/Erector</v>
      </c>
      <c r="H2483" s="28" t="str">
        <f>_xlfn.XLOOKUP(Table134526_79101120212223242526[[#This Row],[Name Surname]],Manpower!$C$4:$C$1048576,Manpower!$H$4:$H$1048576,"")</f>
        <v>Manpower</v>
      </c>
      <c r="I2483" s="28" t="str">
        <f>_xlfn.XLOOKUP(Table134526_79101120212223242526[[#This Row],[Name Surname]],Manpower!$C$4:$C$1048576,Manpower!$H$4:$H$1048576,"")</f>
        <v>Manpower</v>
      </c>
      <c r="J2483" s="21" t="s">
        <v>48</v>
      </c>
      <c r="K2483" s="21" t="s">
        <v>26</v>
      </c>
      <c r="L2483" s="21" t="s">
        <v>49</v>
      </c>
      <c r="M2483" s="21" t="s">
        <v>24</v>
      </c>
      <c r="N2483" s="29">
        <v>10</v>
      </c>
      <c r="O2483" s="21" t="s">
        <v>25</v>
      </c>
      <c r="P2483" s="21" t="s">
        <v>41</v>
      </c>
      <c r="Q2483" s="21" t="s">
        <v>60</v>
      </c>
      <c r="R2483" s="21" t="s">
        <v>374</v>
      </c>
    </row>
    <row r="2484" spans="1:19" ht="14.4" hidden="1">
      <c r="A2484" s="33">
        <f>IF(C2484="","",MAX($A$1:A2483)+1)</f>
        <v>2315</v>
      </c>
      <c r="B2484" s="25" t="s">
        <v>19</v>
      </c>
      <c r="C2484" s="23">
        <v>46103</v>
      </c>
      <c r="D2484" s="28" t="str">
        <f>_xlfn.XLOOKUP(Table134526_79101120212223242526[[#This Row],[Name Surname]],Manpower!$C$4:$C$1048576,Manpower!$B$4:$B$1048576,"")</f>
        <v>Encogroup</v>
      </c>
      <c r="E2484" s="21" t="s">
        <v>68</v>
      </c>
      <c r="F2484" s="12">
        <f>_xlfn.XLOOKUP(Table134526_79101120212223242526[[#This Row],[Name Surname]],Manpower!C:C,Manpower!D:D,)</f>
        <v>116915582</v>
      </c>
      <c r="G2484" s="28" t="str">
        <f>_xlfn.XLOOKUP(Table134526_79101120212223242526[[#This Row],[Name Surname]],Manpower!$C$4:$C$1048576,Manpower!$F$4:$F$1048576,"")</f>
        <v>Mechanical Superintendent</v>
      </c>
      <c r="H2484" s="28" t="str">
        <f>_xlfn.XLOOKUP(Table134526_79101120212223242526[[#This Row],[Name Surname]],Manpower!$C$4:$C$1048576,Manpower!$H$4:$H$1048576,"")</f>
        <v>Manpower</v>
      </c>
      <c r="I2484" s="28" t="str">
        <f>_xlfn.XLOOKUP(Table134526_79101120212223242526[[#This Row],[Name Surname]],Manpower!$C$4:$C$1048576,Manpower!$H$4:$H$1048576,"")</f>
        <v>Manpower</v>
      </c>
      <c r="J2484" s="21" t="s">
        <v>48</v>
      </c>
      <c r="K2484" s="21" t="s">
        <v>26</v>
      </c>
      <c r="L2484" s="21" t="s">
        <v>49</v>
      </c>
      <c r="M2484" s="21" t="s">
        <v>24</v>
      </c>
      <c r="N2484" s="29">
        <v>10</v>
      </c>
      <c r="O2484" s="21" t="s">
        <v>25</v>
      </c>
      <c r="P2484" s="21" t="s">
        <v>41</v>
      </c>
      <c r="Q2484" s="21" t="s">
        <v>60</v>
      </c>
      <c r="R2484" s="21" t="s">
        <v>374</v>
      </c>
    </row>
    <row r="2485" spans="1:19" ht="14.4" hidden="1">
      <c r="A2485" s="33">
        <f>IF(C2485="","",MAX($A$1:A2484)+1)</f>
        <v>2316</v>
      </c>
      <c r="B2485" s="25" t="s">
        <v>19</v>
      </c>
      <c r="C2485" s="23">
        <v>46103</v>
      </c>
      <c r="D2485" s="28" t="str">
        <f>_xlfn.XLOOKUP(Table134526_79101120212223242526[[#This Row],[Name Surname]],Manpower!$C$4:$C$1048576,Manpower!$B$4:$B$1048576,"")</f>
        <v>Encogroup</v>
      </c>
      <c r="E2485" s="21" t="s">
        <v>69</v>
      </c>
      <c r="F2485" s="12">
        <f>_xlfn.XLOOKUP(Table134526_79101120212223242526[[#This Row],[Name Surname]],Manpower!C:C,Manpower!D:D,)</f>
        <v>141169071</v>
      </c>
      <c r="G2485" s="28" t="str">
        <f>_xlfn.XLOOKUP(Table134526_79101120212223242526[[#This Row],[Name Surname]],Manpower!$C$4:$C$1048576,Manpower!$F$4:$F$1048576,"")</f>
        <v>Welding Supervisor</v>
      </c>
      <c r="H2485" s="28" t="str">
        <f>_xlfn.XLOOKUP(Table134526_79101120212223242526[[#This Row],[Name Surname]],Manpower!$C$4:$C$1048576,Manpower!$H$4:$H$1048576,"")</f>
        <v>Manpower</v>
      </c>
      <c r="I2485" s="28" t="str">
        <f>_xlfn.XLOOKUP(Table134526_79101120212223242526[[#This Row],[Name Surname]],Manpower!$C$4:$C$1048576,Manpower!$H$4:$H$1048576,"")</f>
        <v>Manpower</v>
      </c>
      <c r="J2485" s="21" t="s">
        <v>48</v>
      </c>
      <c r="K2485" s="21" t="s">
        <v>26</v>
      </c>
      <c r="L2485" s="21" t="s">
        <v>49</v>
      </c>
      <c r="M2485" s="21" t="s">
        <v>24</v>
      </c>
      <c r="N2485" s="29">
        <v>10</v>
      </c>
      <c r="O2485" s="21" t="s">
        <v>25</v>
      </c>
      <c r="P2485" s="21" t="s">
        <v>41</v>
      </c>
      <c r="Q2485" s="21" t="s">
        <v>60</v>
      </c>
      <c r="R2485" s="21" t="s">
        <v>374</v>
      </c>
    </row>
    <row r="2486" spans="1:19" ht="14.4" hidden="1">
      <c r="A2486" s="33">
        <f>IF(C2486="","",MAX($A$1:A2485)+1)</f>
        <v>2317</v>
      </c>
      <c r="B2486" s="25" t="s">
        <v>19</v>
      </c>
      <c r="C2486" s="23">
        <v>46103</v>
      </c>
      <c r="D2486" s="28" t="str">
        <f>_xlfn.XLOOKUP(Table134526_79101120212223242526[[#This Row],[Name Surname]],Manpower!$C$4:$C$1048576,Manpower!$B$4:$B$1048576,"")</f>
        <v>Encogroup</v>
      </c>
      <c r="E2486" s="21" t="s">
        <v>59</v>
      </c>
      <c r="F2486" s="12">
        <f>_xlfn.XLOOKUP(Table134526_79101120212223242526[[#This Row],[Name Surname]],Manpower!C:C,Manpower!D:D,)</f>
        <v>141169085</v>
      </c>
      <c r="G2486" s="28" t="str">
        <f>_xlfn.XLOOKUP(Table134526_79101120212223242526[[#This Row],[Name Surname]],Manpower!$C$4:$C$1048576,Manpower!$F$4:$F$1048576,"")</f>
        <v>Welder</v>
      </c>
      <c r="H2486" s="28" t="str">
        <f>_xlfn.XLOOKUP(Table134526_79101120212223242526[[#This Row],[Name Surname]],Manpower!$C$4:$C$1048576,Manpower!$H$4:$H$1048576,"")</f>
        <v>Manpower</v>
      </c>
      <c r="I2486" s="28" t="str">
        <f>_xlfn.XLOOKUP(Table134526_79101120212223242526[[#This Row],[Name Surname]],Manpower!$C$4:$C$1048576,Manpower!$H$4:$H$1048576,"")</f>
        <v>Manpower</v>
      </c>
      <c r="J2486" s="21" t="s">
        <v>48</v>
      </c>
      <c r="K2486" s="21" t="s">
        <v>26</v>
      </c>
      <c r="L2486" s="21" t="s">
        <v>49</v>
      </c>
      <c r="M2486" s="21" t="s">
        <v>24</v>
      </c>
      <c r="N2486" s="29">
        <v>10</v>
      </c>
      <c r="O2486" s="21" t="s">
        <v>25</v>
      </c>
      <c r="P2486" s="21" t="s">
        <v>41</v>
      </c>
      <c r="Q2486" s="21" t="s">
        <v>60</v>
      </c>
      <c r="R2486" s="21" t="s">
        <v>374</v>
      </c>
    </row>
    <row r="2487" spans="1:19" ht="14.4" hidden="1">
      <c r="A2487" s="33">
        <f>IF(C2487="","",MAX($A$1:A2486)+1)</f>
        <v>2318</v>
      </c>
      <c r="B2487" s="25" t="s">
        <v>19</v>
      </c>
      <c r="C2487" s="23">
        <v>46103</v>
      </c>
      <c r="D2487" s="28" t="str">
        <f>_xlfn.XLOOKUP(Table134526_79101120212223242526[[#This Row],[Name Surname]],Manpower!$C$4:$C$1048576,Manpower!$B$4:$B$1048576,"")</f>
        <v>Encogroup</v>
      </c>
      <c r="E2487" s="21" t="s">
        <v>46</v>
      </c>
      <c r="F2487" s="12">
        <f>_xlfn.XLOOKUP(Table134526_79101120212223242526[[#This Row],[Name Surname]],Manpower!C:C,Manpower!D:D,)</f>
        <v>140844618</v>
      </c>
      <c r="G2487" s="28" t="str">
        <f>_xlfn.XLOOKUP(Table134526_79101120212223242526[[#This Row],[Name Surname]],Manpower!$C$4:$C$1048576,Manpower!$F$4:$F$1048576,"")</f>
        <v>Assistant/Helper</v>
      </c>
      <c r="H2487" s="28" t="str">
        <f>_xlfn.XLOOKUP(Table134526_79101120212223242526[[#This Row],[Name Surname]],Manpower!$C$4:$C$1048576,Manpower!$H$4:$H$1048576,"")</f>
        <v>Manpower</v>
      </c>
      <c r="I2487" s="28" t="str">
        <f>_xlfn.XLOOKUP(Table134526_79101120212223242526[[#This Row],[Name Surname]],Manpower!$C$4:$C$1048576,Manpower!$H$4:$H$1048576,"")</f>
        <v>Manpower</v>
      </c>
      <c r="J2487" s="21" t="s">
        <v>48</v>
      </c>
      <c r="K2487" s="21" t="s">
        <v>26</v>
      </c>
      <c r="L2487" s="21" t="s">
        <v>49</v>
      </c>
      <c r="M2487" s="21" t="s">
        <v>24</v>
      </c>
      <c r="N2487" s="29">
        <v>5</v>
      </c>
      <c r="O2487" s="21" t="s">
        <v>25</v>
      </c>
      <c r="P2487" s="21" t="s">
        <v>41</v>
      </c>
      <c r="Q2487" s="21" t="s">
        <v>60</v>
      </c>
      <c r="R2487" s="21" t="s">
        <v>374</v>
      </c>
    </row>
    <row r="2488" spans="1:19" ht="14.4" hidden="1">
      <c r="A2488" s="33"/>
      <c r="B2488" s="25" t="s">
        <v>19</v>
      </c>
      <c r="C2488" s="23">
        <v>46103</v>
      </c>
      <c r="D2488" s="28" t="str">
        <f>_xlfn.XLOOKUP(Table134526_79101120212223242526[[#This Row],[Name Surname]],Manpower!$C$4:$C$1048576,Manpower!$B$4:$B$1048576,"")</f>
        <v>AL Omar International TRAD AND CONT</v>
      </c>
      <c r="E2488" s="21" t="s">
        <v>36</v>
      </c>
      <c r="F2488" s="12">
        <f>_xlfn.XLOOKUP(Table134526_79101120212223242526[[#This Row],[Name Surname]],Manpower!C:C,Manpower!D:D,)</f>
        <v>114929202</v>
      </c>
      <c r="G2488" s="28" t="str">
        <f>_xlfn.XLOOKUP(Table134526_79101120212223242526[[#This Row],[Name Surname]],Manpower!$C$4:$C$1048576,Manpower!$F$4:$F$1048576,"")</f>
        <v>RIgger</v>
      </c>
      <c r="H2488" s="28" t="str">
        <f>_xlfn.XLOOKUP(Table134526_79101120212223242526[[#This Row],[Name Surname]],Manpower!$C$4:$C$1048576,Manpower!$H$4:$H$1048576,"")</f>
        <v>Sub Contactor</v>
      </c>
      <c r="I2488" s="28" t="str">
        <f>_xlfn.XLOOKUP(Table134526_79101120212223242526[[#This Row],[Name Surname]],Manpower!$C$4:$C$1048576,Manpower!$H$4:$H$1048576,"")</f>
        <v>Sub Contactor</v>
      </c>
      <c r="J2488" s="21" t="s">
        <v>48</v>
      </c>
      <c r="K2488" s="21" t="s">
        <v>26</v>
      </c>
      <c r="L2488" s="21" t="s">
        <v>49</v>
      </c>
      <c r="M2488" s="21" t="s">
        <v>24</v>
      </c>
      <c r="N2488" s="29">
        <v>2</v>
      </c>
      <c r="O2488" s="21" t="s">
        <v>25</v>
      </c>
      <c r="P2488" s="21" t="s">
        <v>41</v>
      </c>
      <c r="Q2488" s="21" t="s">
        <v>60</v>
      </c>
      <c r="R2488" s="21" t="s">
        <v>374</v>
      </c>
    </row>
    <row r="2489" spans="1:19" ht="14.4" hidden="1">
      <c r="A2489" s="33">
        <f>IF(C2489="","",MAX($A$1:A2488)+1)</f>
        <v>2319</v>
      </c>
      <c r="B2489" s="25" t="s">
        <v>19</v>
      </c>
      <c r="C2489" s="23">
        <v>46103</v>
      </c>
      <c r="D2489" s="28" t="str">
        <f>_xlfn.XLOOKUP(Table134526_79101120212223242526[[#This Row],[Name Surname]],Manpower!$C$4:$C$1048576,Manpower!$B$4:$B$1048576,"")</f>
        <v>Encogroup</v>
      </c>
      <c r="E2489" s="21" t="s">
        <v>37</v>
      </c>
      <c r="F2489" s="12">
        <f>_xlfn.XLOOKUP(Table134526_79101120212223242526[[#This Row],[Name Surname]],Manpower!C:C,Manpower!D:D,)</f>
        <v>140742088</v>
      </c>
      <c r="G2489" s="28" t="str">
        <f>_xlfn.XLOOKUP(Table134526_79101120212223242526[[#This Row],[Name Surname]],Manpower!$C$4:$C$1048576,Manpower!$F$4:$F$1048576,"")</f>
        <v>Fitter/Erector</v>
      </c>
      <c r="H2489" s="28" t="str">
        <f>_xlfn.XLOOKUP(Table134526_79101120212223242526[[#This Row],[Name Surname]],Manpower!$C$4:$C$1048576,Manpower!$H$4:$H$1048576,"")</f>
        <v>Manpower</v>
      </c>
      <c r="I2489" s="28" t="str">
        <f>_xlfn.XLOOKUP(Table134526_79101120212223242526[[#This Row],[Name Surname]],Manpower!$C$4:$C$1048576,Manpower!$H$4:$H$1048576,"")</f>
        <v>Manpower</v>
      </c>
      <c r="J2489" s="21" t="s">
        <v>48</v>
      </c>
      <c r="K2489" s="21" t="s">
        <v>26</v>
      </c>
      <c r="L2489" s="21" t="s">
        <v>49</v>
      </c>
      <c r="M2489" s="21" t="s">
        <v>24</v>
      </c>
      <c r="N2489" s="29">
        <v>5</v>
      </c>
      <c r="O2489" s="21" t="s">
        <v>25</v>
      </c>
      <c r="P2489" s="21" t="s">
        <v>41</v>
      </c>
      <c r="Q2489" s="21" t="s">
        <v>60</v>
      </c>
      <c r="R2489" s="21" t="s">
        <v>374</v>
      </c>
    </row>
    <row r="2490" spans="1:19" ht="14.4" hidden="1">
      <c r="A2490" s="33">
        <f>IF(C2490="","",MAX($A$1:A2489)+1)</f>
        <v>2320</v>
      </c>
      <c r="B2490" s="25" t="s">
        <v>19</v>
      </c>
      <c r="C2490" s="23">
        <v>46103</v>
      </c>
      <c r="D2490" s="28" t="str">
        <f>_xlfn.XLOOKUP(Table134526_79101120212223242526[[#This Row],[Name Surname]],Manpower!$C$4:$C$1048576,Manpower!$B$4:$B$1048576,"")</f>
        <v>Encogroup</v>
      </c>
      <c r="E2490" s="21" t="s">
        <v>27</v>
      </c>
      <c r="F2490" s="12">
        <f>_xlfn.XLOOKUP(Table134526_79101120212223242526[[#This Row],[Name Surname]],Manpower!C:C,Manpower!D:D,)</f>
        <v>127414586</v>
      </c>
      <c r="G2490" s="28" t="str">
        <f>_xlfn.XLOOKUP(Table134526_79101120212223242526[[#This Row],[Name Surname]],Manpower!$C$4:$C$1048576,Manpower!$F$4:$F$1048576,"")</f>
        <v>Electrician</v>
      </c>
      <c r="H2490" s="28" t="str">
        <f>_xlfn.XLOOKUP(Table134526_79101120212223242526[[#This Row],[Name Surname]],Manpower!$C$4:$C$1048576,Manpower!$H$4:$H$1048576,"")</f>
        <v>Manpower</v>
      </c>
      <c r="I2490" s="28" t="str">
        <f>_xlfn.XLOOKUP(Table134526_79101120212223242526[[#This Row],[Name Surname]],Manpower!$C$4:$C$1048576,Manpower!$H$4:$H$1048576,"")</f>
        <v>Manpower</v>
      </c>
      <c r="J2490" s="21" t="s">
        <v>48</v>
      </c>
      <c r="K2490" s="21" t="s">
        <v>26</v>
      </c>
      <c r="L2490" s="21" t="s">
        <v>49</v>
      </c>
      <c r="M2490" s="21" t="s">
        <v>24</v>
      </c>
      <c r="N2490" s="29">
        <v>5</v>
      </c>
      <c r="O2490" s="21" t="s">
        <v>28</v>
      </c>
      <c r="P2490" s="21" t="s">
        <v>41</v>
      </c>
      <c r="Q2490" s="21" t="s">
        <v>58</v>
      </c>
      <c r="R2490" s="21" t="s">
        <v>374</v>
      </c>
    </row>
    <row r="2491" spans="1:19" ht="14.4" hidden="1">
      <c r="A2491" s="33">
        <f>IF(C2491="","",MAX($A$1:A2490)+1)</f>
        <v>2321</v>
      </c>
      <c r="B2491" s="25" t="s">
        <v>19</v>
      </c>
      <c r="C2491" s="23">
        <v>46103</v>
      </c>
      <c r="D2491" s="28" t="str">
        <f>_xlfn.XLOOKUP(Table134526_79101120212223242526[[#This Row],[Name Surname]],Manpower!$C$4:$C$1048576,Manpower!$B$4:$B$1048576,"")</f>
        <v>Encogroup</v>
      </c>
      <c r="E2491" s="21" t="s">
        <v>72</v>
      </c>
      <c r="F2491" s="12">
        <f>_xlfn.XLOOKUP(Table134526_79101120212223242526[[#This Row],[Name Surname]],Manpower!C:C,Manpower!D:D,)</f>
        <v>140764706</v>
      </c>
      <c r="G2491" s="28" t="str">
        <f>_xlfn.XLOOKUP(Table134526_79101120212223242526[[#This Row],[Name Surname]],Manpower!$C$4:$C$1048576,Manpower!$F$4:$F$1048576,"")</f>
        <v>Rigger</v>
      </c>
      <c r="H2491" s="28" t="str">
        <f>_xlfn.XLOOKUP(Table134526_79101120212223242526[[#This Row],[Name Surname]],Manpower!$C$4:$C$1048576,Manpower!$H$4:$H$1048576,"")</f>
        <v>Manpower</v>
      </c>
      <c r="I2491" s="28" t="str">
        <f>_xlfn.XLOOKUP(Table134526_79101120212223242526[[#This Row],[Name Surname]],Manpower!$C$4:$C$1048576,Manpower!$H$4:$H$1048576,"")</f>
        <v>Manpower</v>
      </c>
      <c r="J2491" s="21" t="s">
        <v>48</v>
      </c>
      <c r="K2491" s="21" t="s">
        <v>26</v>
      </c>
      <c r="L2491" s="21" t="s">
        <v>49</v>
      </c>
      <c r="M2491" s="21" t="s">
        <v>24</v>
      </c>
      <c r="N2491" s="29">
        <v>5</v>
      </c>
      <c r="O2491" s="21" t="s">
        <v>25</v>
      </c>
      <c r="P2491" s="21" t="s">
        <v>41</v>
      </c>
      <c r="Q2491" s="21" t="s">
        <v>60</v>
      </c>
      <c r="R2491" s="21" t="s">
        <v>374</v>
      </c>
    </row>
    <row r="2492" spans="1:19" ht="14.4" hidden="1">
      <c r="A2492" s="33">
        <f>IF(C2492="","",MAX($A$1:A2491)+1)</f>
        <v>2322</v>
      </c>
      <c r="B2492" s="25" t="s">
        <v>19</v>
      </c>
      <c r="C2492" s="23">
        <v>46103</v>
      </c>
      <c r="D2492" s="28" t="str">
        <f>_xlfn.XLOOKUP(Table134526_79101120212223242526[[#This Row],[Name Surname]],Manpower!$C$4:$C$1048576,Manpower!$B$4:$B$1048576,"")</f>
        <v>Encogroup</v>
      </c>
      <c r="E2492" s="21" t="s">
        <v>70</v>
      </c>
      <c r="F2492" s="12">
        <f>_xlfn.XLOOKUP(Table134526_79101120212223242526[[#This Row],[Name Surname]],Manpower!C:C,Manpower!D:D,)</f>
        <v>141365126</v>
      </c>
      <c r="G2492" s="28" t="str">
        <f>_xlfn.XLOOKUP(Table134526_79101120212223242526[[#This Row],[Name Surname]],Manpower!$C$4:$C$1048576,Manpower!$F$4:$F$1048576,"")</f>
        <v>Helper</v>
      </c>
      <c r="H2492" s="28" t="str">
        <f>_xlfn.XLOOKUP(Table134526_79101120212223242526[[#This Row],[Name Surname]],Manpower!$C$4:$C$1048576,Manpower!$H$4:$H$1048576,"")</f>
        <v>Manpower</v>
      </c>
      <c r="I2492" s="28" t="str">
        <f>_xlfn.XLOOKUP(Table134526_79101120212223242526[[#This Row],[Name Surname]],Manpower!$C$4:$C$1048576,Manpower!$H$4:$H$1048576,"")</f>
        <v>Manpower</v>
      </c>
      <c r="J2492" s="21" t="s">
        <v>48</v>
      </c>
      <c r="K2492" s="21" t="s">
        <v>26</v>
      </c>
      <c r="L2492" s="21" t="s">
        <v>49</v>
      </c>
      <c r="M2492" s="21" t="s">
        <v>24</v>
      </c>
      <c r="N2492" s="29">
        <v>10</v>
      </c>
      <c r="O2492" s="21" t="s">
        <v>25</v>
      </c>
      <c r="P2492" s="21" t="s">
        <v>41</v>
      </c>
      <c r="Q2492" s="21" t="s">
        <v>60</v>
      </c>
      <c r="R2492" s="21" t="s">
        <v>374</v>
      </c>
    </row>
    <row r="2493" spans="1:19" ht="14.4" hidden="1">
      <c r="A2493" s="33">
        <f>IF(C2493="","",MAX($A$1:A2492)+1)</f>
        <v>2323</v>
      </c>
      <c r="B2493" s="25" t="s">
        <v>19</v>
      </c>
      <c r="C2493" s="23">
        <v>46103</v>
      </c>
      <c r="D2493" s="28" t="str">
        <f>_xlfn.XLOOKUP(Table134526_79101120212223242526[[#This Row],[Name Surname]],Manpower!$C$4:$C$1048576,Manpower!$B$4:$B$1048576,"")</f>
        <v>Bright Light</v>
      </c>
      <c r="E2493" s="21" t="s">
        <v>71</v>
      </c>
      <c r="F2493" s="12">
        <f>_xlfn.XLOOKUP(Table134526_79101120212223242526[[#This Row],[Name Surname]],Manpower!C:C,Manpower!D:D,)</f>
        <v>81379273</v>
      </c>
      <c r="G2493" s="28" t="str">
        <f>_xlfn.XLOOKUP(Table134526_79101120212223242526[[#This Row],[Name Surname]],Manpower!$C$4:$C$1048576,Manpower!$F$4:$F$1048576,"")</f>
        <v>Crane Operator-100T Sany Telescopic</v>
      </c>
      <c r="H2493" s="28" t="str">
        <f>_xlfn.XLOOKUP(Table134526_79101120212223242526[[#This Row],[Name Surname]],Manpower!$C$4:$C$1048576,Manpower!$H$4:$H$1048576,"")</f>
        <v>Manpower</v>
      </c>
      <c r="I2493" s="28" t="str">
        <f>_xlfn.XLOOKUP(Table134526_79101120212223242526[[#This Row],[Name Surname]],Manpower!$C$4:$C$1048576,Manpower!$H$4:$H$1048576,"")</f>
        <v>Manpower</v>
      </c>
      <c r="J2493" s="21" t="s">
        <v>48</v>
      </c>
      <c r="K2493" s="21" t="s">
        <v>26</v>
      </c>
      <c r="L2493" s="21" t="s">
        <v>49</v>
      </c>
      <c r="M2493" s="21" t="s">
        <v>24</v>
      </c>
      <c r="N2493" s="29">
        <v>10</v>
      </c>
      <c r="O2493" s="21" t="s">
        <v>40</v>
      </c>
      <c r="P2493" s="21" t="s">
        <v>41</v>
      </c>
      <c r="Q2493" s="21" t="s">
        <v>42</v>
      </c>
      <c r="R2493" s="21" t="s">
        <v>374</v>
      </c>
    </row>
    <row r="2494" spans="1:19" ht="14.4" hidden="1">
      <c r="A2494" s="33">
        <f>IF(C2494="","",MAX($A$1:A2493)+1)</f>
        <v>2324</v>
      </c>
      <c r="B2494" s="25" t="s">
        <v>19</v>
      </c>
      <c r="C2494" s="23">
        <v>46103</v>
      </c>
      <c r="D2494" s="28" t="str">
        <f>_xlfn.XLOOKUP(Table134526_79101120212223242526[[#This Row],[Name Surname]],Manpower!$C$4:$C$1048576,Manpower!$B$4:$B$1048576,"")</f>
        <v>Encogroup</v>
      </c>
      <c r="E2494" s="21" t="s">
        <v>73</v>
      </c>
      <c r="F2494" s="12">
        <f>_xlfn.XLOOKUP(Table134526_79101120212223242526[[#This Row],[Name Surname]],Manpower!C:C,Manpower!D:D,)</f>
        <v>135325259</v>
      </c>
      <c r="G2494" s="28" t="str">
        <f>_xlfn.XLOOKUP(Table134526_79101120212223242526[[#This Row],[Name Surname]],Manpower!$C$4:$C$1048576,Manpower!$F$4:$F$1048576,"")</f>
        <v>Permit Receiver</v>
      </c>
      <c r="H2494" s="28" t="str">
        <f>_xlfn.XLOOKUP(Table134526_79101120212223242526[[#This Row],[Name Surname]],Manpower!$C$4:$C$1048576,Manpower!$H$4:$H$1048576,"")</f>
        <v>Manpower</v>
      </c>
      <c r="I2494" s="28" t="str">
        <f>_xlfn.XLOOKUP(Table134526_79101120212223242526[[#This Row],[Name Surname]],Manpower!$C$4:$C$1048576,Manpower!$H$4:$H$1048576,"")</f>
        <v>Manpower</v>
      </c>
      <c r="J2494" s="21" t="s">
        <v>48</v>
      </c>
      <c r="K2494" s="21" t="s">
        <v>26</v>
      </c>
      <c r="L2494" s="21" t="s">
        <v>49</v>
      </c>
      <c r="M2494" s="21" t="s">
        <v>24</v>
      </c>
      <c r="N2494" s="29">
        <v>10</v>
      </c>
      <c r="O2494" s="21" t="s">
        <v>25</v>
      </c>
      <c r="P2494" s="21" t="s">
        <v>41</v>
      </c>
      <c r="Q2494" s="21" t="s">
        <v>60</v>
      </c>
      <c r="R2494" s="21" t="s">
        <v>374</v>
      </c>
    </row>
    <row r="2495" spans="1:19" ht="14.4" hidden="1">
      <c r="A2495" s="33">
        <f>IF(C2495="","",MAX($A$1:A2494)+1)</f>
        <v>2325</v>
      </c>
      <c r="B2495" s="25" t="s">
        <v>19</v>
      </c>
      <c r="C2495" s="23">
        <v>46103</v>
      </c>
      <c r="D2495" s="28" t="str">
        <f>_xlfn.XLOOKUP(Table134526_79101120212223242526[[#This Row],[Name Surname]],Manpower!$C$4:$C$1048576,Manpower!$B$4:$B$1048576,"")</f>
        <v>Encogroup</v>
      </c>
      <c r="E2495" s="21" t="s">
        <v>74</v>
      </c>
      <c r="F2495" s="12">
        <f>_xlfn.XLOOKUP(Table134526_79101120212223242526[[#This Row],[Name Surname]],Manpower!C:C,Manpower!D:D,)</f>
        <v>141365089</v>
      </c>
      <c r="G2495" s="28" t="str">
        <f>_xlfn.XLOOKUP(Table134526_79101120212223242526[[#This Row],[Name Surname]],Manpower!$C$4:$C$1048576,Manpower!$F$4:$F$1048576,"")</f>
        <v>Fitter</v>
      </c>
      <c r="H2495" s="28" t="str">
        <f>_xlfn.XLOOKUP(Table134526_79101120212223242526[[#This Row],[Name Surname]],Manpower!$C$4:$C$1048576,Manpower!$H$4:$H$1048576,"")</f>
        <v>Manpower</v>
      </c>
      <c r="I2495" s="28" t="str">
        <f>_xlfn.XLOOKUP(Table134526_79101120212223242526[[#This Row],[Name Surname]],Manpower!$C$4:$C$1048576,Manpower!$H$4:$H$1048576,"")</f>
        <v>Manpower</v>
      </c>
      <c r="J2495" s="21" t="s">
        <v>48</v>
      </c>
      <c r="K2495" s="21" t="s">
        <v>26</v>
      </c>
      <c r="L2495" s="21" t="s">
        <v>49</v>
      </c>
      <c r="M2495" s="21" t="s">
        <v>24</v>
      </c>
      <c r="N2495" s="29">
        <v>10</v>
      </c>
      <c r="O2495" s="21" t="s">
        <v>25</v>
      </c>
      <c r="P2495" s="21" t="s">
        <v>41</v>
      </c>
      <c r="Q2495" s="21" t="s">
        <v>60</v>
      </c>
      <c r="R2495" s="21" t="s">
        <v>374</v>
      </c>
    </row>
    <row r="2496" spans="1:19" ht="14.4" hidden="1">
      <c r="A2496" s="33">
        <f>IF(C2496="","",MAX($A$1:A2495)+1)</f>
        <v>2326</v>
      </c>
      <c r="B2496" s="25" t="s">
        <v>19</v>
      </c>
      <c r="C2496" s="23">
        <v>46103</v>
      </c>
      <c r="D2496" s="28" t="str">
        <f>_xlfn.XLOOKUP(Table134526_79101120212223242526[[#This Row],[Name Surname]],Manpower!$C$4:$C$1048576,Manpower!$B$4:$B$1048576,"")</f>
        <v>Encogroup</v>
      </c>
      <c r="E2496" s="21" t="s">
        <v>75</v>
      </c>
      <c r="F2496" s="12">
        <f>_xlfn.XLOOKUP(Table134526_79101120212223242526[[#This Row],[Name Surname]],Manpower!C:C,Manpower!D:D,)</f>
        <v>122179604</v>
      </c>
      <c r="G2496" s="28" t="str">
        <f>_xlfn.XLOOKUP(Table134526_79101120212223242526[[#This Row],[Name Surname]],Manpower!$C$4:$C$1048576,Manpower!$F$4:$F$1048576,"")</f>
        <v>Fitter/Erector</v>
      </c>
      <c r="H2496" s="28" t="str">
        <f>_xlfn.XLOOKUP(Table134526_79101120212223242526[[#This Row],[Name Surname]],Manpower!$C$4:$C$1048576,Manpower!$H$4:$H$1048576,"")</f>
        <v>Manpower</v>
      </c>
      <c r="I2496" s="28" t="str">
        <f>_xlfn.XLOOKUP(Table134526_79101120212223242526[[#This Row],[Name Surname]],Manpower!$C$4:$C$1048576,Manpower!$H$4:$H$1048576,"")</f>
        <v>Manpower</v>
      </c>
      <c r="J2496" s="21" t="s">
        <v>48</v>
      </c>
      <c r="K2496" s="21" t="s">
        <v>26</v>
      </c>
      <c r="L2496" s="21" t="s">
        <v>49</v>
      </c>
      <c r="M2496" s="21" t="s">
        <v>24</v>
      </c>
      <c r="N2496" s="29">
        <v>10</v>
      </c>
      <c r="O2496" s="21" t="s">
        <v>25</v>
      </c>
      <c r="P2496" s="21" t="s">
        <v>41</v>
      </c>
      <c r="Q2496" s="21" t="s">
        <v>60</v>
      </c>
      <c r="R2496" s="21" t="s">
        <v>374</v>
      </c>
    </row>
    <row r="2497" spans="1:19" s="45" customFormat="1" ht="14.4" hidden="1">
      <c r="A2497" s="25">
        <f>IF(C2497="","",MAX($A$1:A2496)+1)</f>
        <v>2327</v>
      </c>
      <c r="B2497" s="25" t="s">
        <v>19</v>
      </c>
      <c r="C2497" s="41">
        <v>46103</v>
      </c>
      <c r="D2497" s="48" t="str">
        <f>_xlfn.XLOOKUP(Table134526_79101120212223242526[[#This Row],[Name Surname]],Manpower!$C$4:$C$1048576,Manpower!$B$4:$B$1048576,"")</f>
        <v>Encogroup</v>
      </c>
      <c r="E2497" s="43" t="s">
        <v>376</v>
      </c>
      <c r="F2497" s="12">
        <f>_xlfn.XLOOKUP(Table134526_79101120212223242526[[#This Row],[Name Surname]],Manpower!C:C,Manpower!D:D,)</f>
        <v>140696356</v>
      </c>
      <c r="G2497" s="48" t="str">
        <f>_xlfn.XLOOKUP(Table134526_79101120212223242526[[#This Row],[Name Surname]],Manpower!$C$4:$C$1048576,Manpower!$F$4:$F$1048576,"")</f>
        <v>Mechanical engineer</v>
      </c>
      <c r="H2497" s="48" t="str">
        <f>_xlfn.XLOOKUP(Table134526_79101120212223242526[[#This Row],[Name Surname]],Manpower!$C$4:$C$1048576,Manpower!$H$4:$H$1048576,"")</f>
        <v>Manpower</v>
      </c>
      <c r="I2497" s="48" t="str">
        <f>_xlfn.XLOOKUP(Table134526_79101120212223242526[[#This Row],[Name Surname]],Manpower!$C$4:$C$1048576,Manpower!$H$4:$H$1048576,"")</f>
        <v>Manpower</v>
      </c>
      <c r="J2497" s="43" t="s">
        <v>48</v>
      </c>
      <c r="K2497" s="43" t="s">
        <v>26</v>
      </c>
      <c r="L2497" s="43" t="s">
        <v>49</v>
      </c>
      <c r="M2497" s="43" t="s">
        <v>24</v>
      </c>
      <c r="N2497" s="44">
        <v>10</v>
      </c>
      <c r="O2497" s="43" t="s">
        <v>25</v>
      </c>
      <c r="P2497" s="43" t="s">
        <v>41</v>
      </c>
      <c r="Q2497" s="43" t="s">
        <v>60</v>
      </c>
      <c r="R2497" s="43" t="s">
        <v>374</v>
      </c>
      <c r="S2497" s="43"/>
    </row>
    <row r="2498" spans="1:19" ht="14.4" hidden="1">
      <c r="A2498" s="33">
        <f>IF(C2498="","",MAX($A$1:A2496)+1)</f>
        <v>2327</v>
      </c>
      <c r="B2498" s="25" t="s">
        <v>19</v>
      </c>
      <c r="C2498" s="23">
        <v>46103</v>
      </c>
      <c r="D2498" s="28" t="str">
        <f>_xlfn.XLOOKUP(Table134526_79101120212223242526[[#This Row],[Name Surname]],Manpower!$C$4:$C$1048576,Manpower!$B$4:$B$1048576,"")</f>
        <v>Encogroup</v>
      </c>
      <c r="E2498" s="21" t="s">
        <v>78</v>
      </c>
      <c r="F2498" s="12">
        <f>_xlfn.XLOOKUP(Table134526_79101120212223242526[[#This Row],[Name Surname]],Manpower!C:C,Manpower!D:D,)</f>
        <v>117255966</v>
      </c>
      <c r="G2498" s="28" t="str">
        <f>_xlfn.XLOOKUP(Table134526_79101120212223242526[[#This Row],[Name Surname]],Manpower!$C$4:$C$1048576,Manpower!$F$4:$F$1048576,"")</f>
        <v>Mechanical Supervisor</v>
      </c>
      <c r="H2498" s="28" t="str">
        <f>_xlfn.XLOOKUP(Table134526_79101120212223242526[[#This Row],[Name Surname]],Manpower!$C$4:$C$1048576,Manpower!$H$4:$H$1048576,"")</f>
        <v>Manpower</v>
      </c>
      <c r="I2498" s="28" t="str">
        <f>_xlfn.XLOOKUP(Table134526_79101120212223242526[[#This Row],[Name Surname]],Manpower!$C$4:$C$1048576,Manpower!$H$4:$H$1048576,"")</f>
        <v>Manpower</v>
      </c>
      <c r="J2498" s="21" t="s">
        <v>48</v>
      </c>
      <c r="K2498" s="21" t="s">
        <v>26</v>
      </c>
      <c r="L2498" s="21" t="s">
        <v>49</v>
      </c>
      <c r="M2498" s="21" t="s">
        <v>24</v>
      </c>
      <c r="N2498" s="29">
        <v>10</v>
      </c>
      <c r="O2498" s="21" t="s">
        <v>25</v>
      </c>
      <c r="P2498" s="21" t="s">
        <v>41</v>
      </c>
      <c r="Q2498" s="21" t="s">
        <v>60</v>
      </c>
      <c r="R2498" s="21" t="s">
        <v>374</v>
      </c>
    </row>
    <row r="2499" spans="1:19" ht="14.4" hidden="1">
      <c r="A2499" s="33">
        <f>IF(C2499="","",MAX($A$1:A2498)+1)</f>
        <v>2328</v>
      </c>
      <c r="B2499" s="37" t="s">
        <v>141</v>
      </c>
      <c r="C2499" s="23">
        <v>46103</v>
      </c>
      <c r="D2499" s="28" t="str">
        <f>_xlfn.XLOOKUP(Table134526_79101120212223242526[[#This Row],[Name Surname]],Manpower!$C$4:$C$1048576,Manpower!$B$4:$B$1048576,"")</f>
        <v>Encogroup</v>
      </c>
      <c r="E2499" s="21" t="s">
        <v>377</v>
      </c>
      <c r="F2499" s="12">
        <f>_xlfn.XLOOKUP(Table134526_79101120212223242526[[#This Row],[Name Surname]],Manpower!C:C,Manpower!D:D,)</f>
        <v>141322485</v>
      </c>
      <c r="G2499" s="28" t="str">
        <f>_xlfn.XLOOKUP(Table134526_79101120212223242526[[#This Row],[Name Surname]],Manpower!$C$4:$C$1048576,Manpower!$F$4:$F$1048576,"")</f>
        <v>Electrical Engineer</v>
      </c>
      <c r="H2499" s="28" t="str">
        <f>_xlfn.XLOOKUP(Table134526_79101120212223242526[[#This Row],[Name Surname]],Manpower!$C$4:$C$1048576,Manpower!$H$4:$H$1048576,"")</f>
        <v>Manpower</v>
      </c>
      <c r="I2499" s="28" t="str">
        <f>_xlfn.XLOOKUP(Table134526_79101120212223242526[[#This Row],[Name Surname]],Manpower!$C$4:$C$1048576,Manpower!$H$4:$H$1048576,"")</f>
        <v>Manpower</v>
      </c>
      <c r="J2499" s="21" t="s">
        <v>378</v>
      </c>
      <c r="K2499" s="21" t="s">
        <v>26</v>
      </c>
      <c r="L2499" s="21" t="s">
        <v>379</v>
      </c>
      <c r="M2499" s="21" t="s">
        <v>24</v>
      </c>
      <c r="N2499" s="29">
        <v>10</v>
      </c>
      <c r="O2499" s="21" t="s">
        <v>28</v>
      </c>
      <c r="P2499" s="21" t="s">
        <v>28</v>
      </c>
      <c r="Q2499" s="21" t="s">
        <v>380</v>
      </c>
      <c r="R2499" s="21" t="s">
        <v>381</v>
      </c>
    </row>
    <row r="2500" spans="1:19" ht="14.4" hidden="1">
      <c r="A2500" s="33">
        <f>IF(C2500="","",MAX($A$1:A2498)+1)</f>
        <v>2328</v>
      </c>
      <c r="B2500" s="37" t="s">
        <v>141</v>
      </c>
      <c r="C2500" s="23">
        <v>46103</v>
      </c>
      <c r="D2500" s="28" t="str">
        <f>_xlfn.XLOOKUP(Table134526_79101120212223242526[[#This Row],[Name Surname]],Manpower!$C$4:$C$1048576,Manpower!$B$4:$B$1048576,"")</f>
        <v>Encogroup</v>
      </c>
      <c r="E2500" s="21" t="s">
        <v>382</v>
      </c>
      <c r="F2500" s="12">
        <f>_xlfn.XLOOKUP(Table134526_79101120212223242526[[#This Row],[Name Surname]],Manpower!C:C,Manpower!D:D,)</f>
        <v>127414586</v>
      </c>
      <c r="G2500" s="28" t="str">
        <f>_xlfn.XLOOKUP(Table134526_79101120212223242526[[#This Row],[Name Surname]],Manpower!$C$4:$C$1048576,Manpower!$F$4:$F$1048576,"")</f>
        <v>HSE Officer</v>
      </c>
      <c r="H2500" s="28" t="str">
        <f>_xlfn.XLOOKUP(Table134526_79101120212223242526[[#This Row],[Name Surname]],Manpower!$C$4:$C$1048576,Manpower!$H$4:$H$1048576,"")</f>
        <v>Manpower</v>
      </c>
      <c r="I2500" s="28" t="str">
        <f>_xlfn.XLOOKUP(Table134526_79101120212223242526[[#This Row],[Name Surname]],Manpower!$C$4:$C$1048576,Manpower!$H$4:$H$1048576,"")</f>
        <v>Manpower</v>
      </c>
      <c r="J2500" s="21" t="s">
        <v>378</v>
      </c>
      <c r="K2500" s="21" t="s">
        <v>26</v>
      </c>
      <c r="L2500" s="21" t="s">
        <v>379</v>
      </c>
      <c r="M2500" s="21" t="s">
        <v>24</v>
      </c>
      <c r="N2500" s="29">
        <v>10</v>
      </c>
      <c r="O2500" s="21" t="s">
        <v>28</v>
      </c>
      <c r="P2500" s="21" t="s">
        <v>28</v>
      </c>
      <c r="Q2500" s="21" t="s">
        <v>380</v>
      </c>
      <c r="R2500" s="21" t="s">
        <v>381</v>
      </c>
    </row>
    <row r="2501" spans="1:19" ht="14.4" hidden="1">
      <c r="A2501" s="33">
        <f>IF(C2501="","",MAX($A$1:A2498)+1)</f>
        <v>2328</v>
      </c>
      <c r="B2501" s="37" t="s">
        <v>141</v>
      </c>
      <c r="C2501" s="23">
        <v>46103</v>
      </c>
      <c r="D2501" s="28" t="str">
        <f>_xlfn.XLOOKUP(Table134526_79101120212223242526[[#This Row],[Name Surname]],Manpower!$C$4:$C$1048576,Manpower!$B$4:$B$1048576,"")</f>
        <v>Encogroup</v>
      </c>
      <c r="E2501" s="21" t="s">
        <v>383</v>
      </c>
      <c r="F2501" s="12">
        <f>_xlfn.XLOOKUP(Table134526_79101120212223242526[[#This Row],[Name Surname]],Manpower!C:C,Manpower!D:D,)</f>
        <v>71437827</v>
      </c>
      <c r="G2501" s="28" t="str">
        <f>_xlfn.XLOOKUP(Table134526_79101120212223242526[[#This Row],[Name Surname]],Manpower!$C$4:$C$1048576,Manpower!$F$4:$F$1048576,"")</f>
        <v>Electrical  Supervisor</v>
      </c>
      <c r="H2501" s="28" t="str">
        <f>_xlfn.XLOOKUP(Table134526_79101120212223242526[[#This Row],[Name Surname]],Manpower!$C$4:$C$1048576,Manpower!$H$4:$H$1048576,"")</f>
        <v>Manpower</v>
      </c>
      <c r="I2501" s="28" t="str">
        <f>_xlfn.XLOOKUP(Table134526_79101120212223242526[[#This Row],[Name Surname]],Manpower!$C$4:$C$1048576,Manpower!$H$4:$H$1048576,"")</f>
        <v>Manpower</v>
      </c>
      <c r="J2501" s="21" t="s">
        <v>378</v>
      </c>
      <c r="K2501" s="21" t="s">
        <v>26</v>
      </c>
      <c r="L2501" s="21" t="s">
        <v>379</v>
      </c>
      <c r="M2501" s="21" t="s">
        <v>24</v>
      </c>
      <c r="N2501" s="29">
        <v>10</v>
      </c>
      <c r="O2501" s="21" t="s">
        <v>28</v>
      </c>
      <c r="P2501" s="21" t="s">
        <v>28</v>
      </c>
      <c r="Q2501" s="21" t="s">
        <v>380</v>
      </c>
      <c r="R2501" s="21" t="s">
        <v>381</v>
      </c>
    </row>
    <row r="2502" spans="1:19" ht="14.4" hidden="1">
      <c r="A2502" s="33">
        <f>IF(C2502="","",MAX($A$1:A2498)+1)</f>
        <v>2328</v>
      </c>
      <c r="B2502" s="37" t="s">
        <v>141</v>
      </c>
      <c r="C2502" s="23">
        <v>46103</v>
      </c>
      <c r="D2502" s="28" t="str">
        <f>_xlfn.XLOOKUP(Table134526_79101120212223242526[[#This Row],[Name Surname]],Manpower!$C$4:$C$1048576,Manpower!$B$4:$B$1048576,"")</f>
        <v>Encogroup</v>
      </c>
      <c r="E2502" s="21" t="s">
        <v>218</v>
      </c>
      <c r="F2502" s="12">
        <f>_xlfn.XLOOKUP(Table134526_79101120212223242526[[#This Row],[Name Surname]],Manpower!C:C,Manpower!D:D,)</f>
        <v>116853914</v>
      </c>
      <c r="G2502" s="28" t="str">
        <f>_xlfn.XLOOKUP(Table134526_79101120212223242526[[#This Row],[Name Surname]],Manpower!$C$4:$C$1048576,Manpower!$F$4:$F$1048576,"")</f>
        <v>Electrical Supervisor</v>
      </c>
      <c r="H2502" s="28" t="str">
        <f>_xlfn.XLOOKUP(Table134526_79101120212223242526[[#This Row],[Name Surname]],Manpower!$C$4:$C$1048576,Manpower!$H$4:$H$1048576,"")</f>
        <v>Manpower</v>
      </c>
      <c r="I2502" s="28" t="str">
        <f>_xlfn.XLOOKUP(Table134526_79101120212223242526[[#This Row],[Name Surname]],Manpower!$C$4:$C$1048576,Manpower!$H$4:$H$1048576,"")</f>
        <v>Manpower</v>
      </c>
      <c r="J2502" s="21" t="s">
        <v>378</v>
      </c>
      <c r="K2502" s="21" t="s">
        <v>26</v>
      </c>
      <c r="L2502" s="21" t="s">
        <v>379</v>
      </c>
      <c r="M2502" s="21" t="s">
        <v>24</v>
      </c>
      <c r="N2502" s="29">
        <v>10</v>
      </c>
      <c r="O2502" s="21" t="s">
        <v>28</v>
      </c>
      <c r="P2502" s="21" t="s">
        <v>28</v>
      </c>
      <c r="Q2502" s="21" t="s">
        <v>380</v>
      </c>
      <c r="R2502" s="21" t="s">
        <v>381</v>
      </c>
    </row>
    <row r="2503" spans="1:19" ht="14.4" hidden="1">
      <c r="A2503" s="33">
        <f>IF(C2503="","",MAX($A$1:A2498)+1)</f>
        <v>2328</v>
      </c>
      <c r="B2503" s="37" t="s">
        <v>141</v>
      </c>
      <c r="C2503" s="23">
        <v>46103</v>
      </c>
      <c r="D2503" s="28" t="str">
        <f>_xlfn.XLOOKUP(Table134526_79101120212223242526[[#This Row],[Name Surname]],Manpower!$C$4:$C$1048576,Manpower!$B$4:$B$1048576,"")</f>
        <v>Encogroup</v>
      </c>
      <c r="E2503" s="21" t="s">
        <v>384</v>
      </c>
      <c r="F2503" s="12">
        <f>_xlfn.XLOOKUP(Table134526_79101120212223242526[[#This Row],[Name Surname]],Manpower!C:C,Manpower!D:D,)</f>
        <v>141307968</v>
      </c>
      <c r="G2503" s="28" t="str">
        <f>_xlfn.XLOOKUP(Table134526_79101120212223242526[[#This Row],[Name Surname]],Manpower!$C$4:$C$1048576,Manpower!$F$4:$F$1048576,"")</f>
        <v>Mechanical Supervisor</v>
      </c>
      <c r="H2503" s="28" t="str">
        <f>_xlfn.XLOOKUP(Table134526_79101120212223242526[[#This Row],[Name Surname]],Manpower!$C$4:$C$1048576,Manpower!$H$4:$H$1048576,"")</f>
        <v>Manpower</v>
      </c>
      <c r="I2503" s="28" t="str">
        <f>_xlfn.XLOOKUP(Table134526_79101120212223242526[[#This Row],[Name Surname]],Manpower!$C$4:$C$1048576,Manpower!$H$4:$H$1048576,"")</f>
        <v>Manpower</v>
      </c>
      <c r="J2503" s="21" t="s">
        <v>378</v>
      </c>
      <c r="K2503" s="21" t="s">
        <v>26</v>
      </c>
      <c r="L2503" s="21" t="s">
        <v>379</v>
      </c>
      <c r="M2503" s="21" t="s">
        <v>24</v>
      </c>
      <c r="N2503" s="29">
        <v>10</v>
      </c>
      <c r="O2503" s="21" t="s">
        <v>28</v>
      </c>
      <c r="P2503" s="21" t="s">
        <v>28</v>
      </c>
      <c r="Q2503" s="21" t="s">
        <v>380</v>
      </c>
      <c r="R2503" s="21" t="s">
        <v>381</v>
      </c>
    </row>
    <row r="2504" spans="1:19" ht="14.4" hidden="1">
      <c r="A2504" s="33">
        <f>IF(C2504="","",MAX($A$1:A2498)+1)</f>
        <v>2328</v>
      </c>
      <c r="B2504" s="37" t="s">
        <v>141</v>
      </c>
      <c r="C2504" s="23">
        <v>46103</v>
      </c>
      <c r="D2504" s="28" t="str">
        <f>_xlfn.XLOOKUP(Table134526_79101120212223242526[[#This Row],[Name Surname]],Manpower!$C$4:$C$1048576,Manpower!$B$4:$B$1048576,"")</f>
        <v>Encogroup</v>
      </c>
      <c r="E2504" s="21" t="s">
        <v>385</v>
      </c>
      <c r="F2504" s="12">
        <f>_xlfn.XLOOKUP(Table134526_79101120212223242526[[#This Row],[Name Surname]],Manpower!C:C,Manpower!D:D,)</f>
        <v>141307921</v>
      </c>
      <c r="G2504" s="28" t="str">
        <f>_xlfn.XLOOKUP(Table134526_79101120212223242526[[#This Row],[Name Surname]],Manpower!$C$4:$C$1048576,Manpower!$F$4:$F$1048576,"")</f>
        <v>Mechanical Assistant</v>
      </c>
      <c r="H2504" s="28" t="str">
        <f>_xlfn.XLOOKUP(Table134526_79101120212223242526[[#This Row],[Name Surname]],Manpower!$C$4:$C$1048576,Manpower!$H$4:$H$1048576,"")</f>
        <v>Manpower</v>
      </c>
      <c r="I2504" s="28" t="str">
        <f>_xlfn.XLOOKUP(Table134526_79101120212223242526[[#This Row],[Name Surname]],Manpower!$C$4:$C$1048576,Manpower!$H$4:$H$1048576,"")</f>
        <v>Manpower</v>
      </c>
      <c r="J2504" s="21" t="s">
        <v>378</v>
      </c>
      <c r="K2504" s="21" t="s">
        <v>26</v>
      </c>
      <c r="L2504" s="21" t="s">
        <v>379</v>
      </c>
      <c r="M2504" s="21" t="s">
        <v>24</v>
      </c>
      <c r="N2504" s="29">
        <v>10</v>
      </c>
      <c r="O2504" s="21" t="s">
        <v>28</v>
      </c>
      <c r="P2504" s="21" t="s">
        <v>28</v>
      </c>
      <c r="Q2504" s="21" t="s">
        <v>380</v>
      </c>
      <c r="R2504" s="21" t="s">
        <v>381</v>
      </c>
    </row>
    <row r="2505" spans="1:19" ht="14.4">
      <c r="A2505" s="33">
        <f>IF(C2505="","",MAX($A$1:A2498)+1)</f>
        <v>2328</v>
      </c>
      <c r="B2505" s="26" t="s">
        <v>79</v>
      </c>
      <c r="C2505" s="23">
        <v>46103</v>
      </c>
      <c r="D2505" s="28" t="str">
        <f>_xlfn.XLOOKUP(Table134526_79101120212223242526[[#This Row],[Name Surname]],Manpower!$C$4:$C$1048576,Manpower!$B$4:$B$1048576,"")</f>
        <v>Encogroup</v>
      </c>
      <c r="E2505" s="21" t="s">
        <v>80</v>
      </c>
      <c r="F2505" s="12" t="e">
        <f>_xlfn.XLOOKUP(Table134526_79101120212223242526[[#This Row],[Name Surname]],Manpower!C:C,Manpower!D:D,)</f>
        <v>#N/A</v>
      </c>
      <c r="G2505" s="28" t="str">
        <f>_xlfn.XLOOKUP(Table134526_79101120212223242526[[#This Row],[Name Surname]],Manpower!$C$4:$C$1048576,Manpower!$F$4:$F$1048576,"")</f>
        <v>22M-Manlift</v>
      </c>
      <c r="H2505" s="28" t="str">
        <f>_xlfn.XLOOKUP(Table134526_79101120212223242526[[#This Row],[Name Surname]],Manpower!$C$4:$C$1048576,Manpower!$H$4:$H$1048576,"")</f>
        <v>Equipment</v>
      </c>
      <c r="I2505" s="28" t="str">
        <f>_xlfn.XLOOKUP(Table134526_79101120212223242526[[#This Row],[Name Surname]],Manpower!$C$4:$C$1048576,Manpower!$H$4:$H$1048576,"")</f>
        <v>Equipment</v>
      </c>
      <c r="J2505" s="21" t="s">
        <v>35</v>
      </c>
      <c r="K2505" s="21" t="s">
        <v>279</v>
      </c>
      <c r="L2505" s="21" t="s">
        <v>82</v>
      </c>
      <c r="M2505" s="21" t="s">
        <v>24</v>
      </c>
      <c r="N2505" s="29">
        <v>10</v>
      </c>
      <c r="O2505" s="21" t="s">
        <v>25</v>
      </c>
      <c r="P2505" s="21" t="s">
        <v>41</v>
      </c>
      <c r="Q2505" s="21" t="s">
        <v>77</v>
      </c>
      <c r="R2505" s="21" t="s">
        <v>386</v>
      </c>
    </row>
    <row r="2506" spans="1:19" ht="14.4">
      <c r="A2506" s="33">
        <f>IF(C2506="","",MAX($A$1:A2505)+1)</f>
        <v>2329</v>
      </c>
      <c r="B2506" s="26" t="s">
        <v>79</v>
      </c>
      <c r="C2506" s="23">
        <v>46103</v>
      </c>
      <c r="D2506" s="28" t="str">
        <f>_xlfn.XLOOKUP(Table134526_79101120212223242526[[#This Row],[Name Surname]],Manpower!$C$4:$C$1048576,Manpower!$B$4:$B$1048576,"")</f>
        <v>Encogroup</v>
      </c>
      <c r="E2506" s="21" t="s">
        <v>84</v>
      </c>
      <c r="F2506" s="12" t="e">
        <f>_xlfn.XLOOKUP(Table134526_79101120212223242526[[#This Row],[Name Surname]],Manpower!C:C,Manpower!D:D,)</f>
        <v>#N/A</v>
      </c>
      <c r="G2506" s="28" t="str">
        <f>_xlfn.XLOOKUP(Table134526_79101120212223242526[[#This Row],[Name Surname]],Manpower!$C$4:$C$1048576,Manpower!$F$4:$F$1048576,"")</f>
        <v>22M-Manlift</v>
      </c>
      <c r="H2506" s="28" t="str">
        <f>_xlfn.XLOOKUP(Table134526_79101120212223242526[[#This Row],[Name Surname]],Manpower!$C$4:$C$1048576,Manpower!$H$4:$H$1048576,"")</f>
        <v>Equipment</v>
      </c>
      <c r="I2506" s="28" t="str">
        <f>_xlfn.XLOOKUP(Table134526_79101120212223242526[[#This Row],[Name Surname]],Manpower!$C$4:$C$1048576,Manpower!$H$4:$H$1048576,"")</f>
        <v>Equipment</v>
      </c>
      <c r="J2506" s="21" t="s">
        <v>35</v>
      </c>
      <c r="K2506" s="21" t="s">
        <v>279</v>
      </c>
      <c r="L2506" s="21" t="s">
        <v>82</v>
      </c>
      <c r="M2506" s="21" t="s">
        <v>24</v>
      </c>
      <c r="N2506" s="29">
        <v>10</v>
      </c>
      <c r="O2506" s="21" t="s">
        <v>25</v>
      </c>
      <c r="P2506" s="21" t="s">
        <v>41</v>
      </c>
      <c r="Q2506" s="21" t="s">
        <v>77</v>
      </c>
      <c r="R2506" s="21" t="s">
        <v>387</v>
      </c>
    </row>
    <row r="2507" spans="1:19" ht="14.4">
      <c r="A2507" s="33">
        <f>IF(C2507="","",MAX($A$1:A2506)+1)</f>
        <v>2330</v>
      </c>
      <c r="B2507" s="26" t="s">
        <v>79</v>
      </c>
      <c r="C2507" s="23">
        <v>46103</v>
      </c>
      <c r="D2507" s="28" t="str">
        <f>_xlfn.XLOOKUP(Table134526_79101120212223242526[[#This Row],[Name Surname]],Manpower!$C$4:$C$1048576,Manpower!$B$4:$B$1048576,"")</f>
        <v>Encogroup</v>
      </c>
      <c r="E2507" s="21" t="s">
        <v>341</v>
      </c>
      <c r="F2507" s="12" t="e">
        <f>_xlfn.XLOOKUP(Table134526_79101120212223242526[[#This Row],[Name Surname]],Manpower!C:C,Manpower!D:D,)</f>
        <v>#N/A</v>
      </c>
      <c r="G2507" s="28" t="str">
        <f>_xlfn.XLOOKUP(Table134526_79101120212223242526[[#This Row],[Name Surname]],Manpower!$C$4:$C$1048576,Manpower!$F$4:$F$1048576,"")</f>
        <v>SCISSOR LIFT</v>
      </c>
      <c r="H2507" s="28" t="str">
        <f>_xlfn.XLOOKUP(Table134526_79101120212223242526[[#This Row],[Name Surname]],Manpower!$C$4:$C$1048576,Manpower!$H$4:$H$1048576,"")</f>
        <v>Equipment</v>
      </c>
      <c r="I2507" s="28" t="str">
        <f>_xlfn.XLOOKUP(Table134526_79101120212223242526[[#This Row],[Name Surname]],Manpower!$C$4:$C$1048576,Manpower!$H$4:$H$1048576,"")</f>
        <v>Equipment</v>
      </c>
      <c r="J2507" s="21" t="s">
        <v>35</v>
      </c>
      <c r="K2507" s="21" t="s">
        <v>279</v>
      </c>
      <c r="L2507" s="21" t="s">
        <v>82</v>
      </c>
      <c r="M2507" s="21" t="s">
        <v>55</v>
      </c>
      <c r="N2507" s="29">
        <v>10</v>
      </c>
      <c r="R2507" s="21" t="s">
        <v>56</v>
      </c>
    </row>
    <row r="2508" spans="1:19" ht="14.4">
      <c r="A2508" s="33">
        <f>IF(C2508="","",MAX($A$1:A2507)+1)</f>
        <v>2331</v>
      </c>
      <c r="B2508" s="26" t="s">
        <v>79</v>
      </c>
      <c r="C2508" s="23">
        <v>46103</v>
      </c>
      <c r="D2508" s="28" t="str">
        <f>_xlfn.XLOOKUP(Table134526_79101120212223242526[[#This Row],[Name Surname]],Manpower!$C$4:$C$1048576,Manpower!$B$4:$B$1048576,"")</f>
        <v>Nass Group</v>
      </c>
      <c r="E2508" s="21" t="s">
        <v>86</v>
      </c>
      <c r="F2508" s="12" t="e">
        <f>_xlfn.XLOOKUP(Table134526_79101120212223242526[[#This Row],[Name Surname]],Manpower!C:C,Manpower!D:D,)</f>
        <v>#N/A</v>
      </c>
      <c r="G2508" s="28" t="str">
        <f>_xlfn.XLOOKUP(Table134526_79101120212223242526[[#This Row],[Name Surname]],Manpower!$C$4:$C$1048576,Manpower!$F$4:$F$1048576,"")</f>
        <v>70T-Telescopic crane</v>
      </c>
      <c r="H2508" s="28" t="str">
        <f>_xlfn.XLOOKUP(Table134526_79101120212223242526[[#This Row],[Name Surname]],Manpower!$C$4:$C$1048576,Manpower!$H$4:$H$1048576,"")</f>
        <v>Equipment</v>
      </c>
      <c r="I2508" s="28" t="str">
        <f>_xlfn.XLOOKUP(Table134526_79101120212223242526[[#This Row],[Name Surname]],Manpower!$C$4:$C$1048576,Manpower!$H$4:$H$1048576,"")</f>
        <v>Equipment</v>
      </c>
      <c r="J2508" s="21" t="s">
        <v>35</v>
      </c>
      <c r="K2508" s="21" t="s">
        <v>279</v>
      </c>
      <c r="L2508" s="21" t="s">
        <v>82</v>
      </c>
      <c r="M2508" s="21" t="s">
        <v>24</v>
      </c>
      <c r="N2508" s="29">
        <v>10</v>
      </c>
      <c r="O2508" s="21" t="s">
        <v>40</v>
      </c>
      <c r="P2508" s="21" t="s">
        <v>41</v>
      </c>
      <c r="Q2508" s="21" t="s">
        <v>42</v>
      </c>
    </row>
    <row r="2509" spans="1:19" ht="14.4" hidden="1">
      <c r="A2509" s="33">
        <f>IF(C2509="","",MAX($A$1:A2508)+1)</f>
        <v>2332</v>
      </c>
      <c r="B2509" s="26" t="s">
        <v>79</v>
      </c>
      <c r="C2509" s="23">
        <v>46103</v>
      </c>
      <c r="D2509" s="28" t="str">
        <f>_xlfn.XLOOKUP(Table134526_79101120212223242526[[#This Row],[Name Surname]],Manpower!$C$4:$C$1048576,Manpower!$B$4:$B$1048576,"")</f>
        <v>SARENS NASS</v>
      </c>
      <c r="E2509" s="21" t="s">
        <v>103</v>
      </c>
      <c r="F2509" s="12">
        <f>_xlfn.XLOOKUP(Table134526_79101120212223242526[[#This Row],[Name Surname]],Manpower!C:C,Manpower!D:D,)</f>
        <v>79502392</v>
      </c>
      <c r="G2509" s="28" t="str">
        <f>_xlfn.XLOOKUP(Table134526_79101120212223242526[[#This Row],[Name Surname]],Manpower!$C$4:$C$1048576,Manpower!$F$4:$F$1048576,"")</f>
        <v>Crane Operator- 70T Liebherr Telescopic Crane-01</v>
      </c>
      <c r="H2509" s="28" t="str">
        <f>_xlfn.XLOOKUP(Table134526_79101120212223242526[[#This Row],[Name Surname]],Manpower!$C$4:$C$1048576,Manpower!$H$4:$H$1048576,"")</f>
        <v>Manpower</v>
      </c>
      <c r="I2509" s="28" t="str">
        <f>_xlfn.XLOOKUP(Table134526_79101120212223242526[[#This Row],[Name Surname]],Manpower!$C$4:$C$1048576,Manpower!$H$4:$H$1048576,"")</f>
        <v>Manpower</v>
      </c>
      <c r="J2509" s="21" t="s">
        <v>35</v>
      </c>
      <c r="K2509" s="21" t="s">
        <v>279</v>
      </c>
      <c r="L2509" s="21" t="s">
        <v>82</v>
      </c>
      <c r="M2509" s="21" t="s">
        <v>24</v>
      </c>
      <c r="N2509" s="29">
        <v>10</v>
      </c>
      <c r="O2509" s="21" t="s">
        <v>40</v>
      </c>
      <c r="P2509" s="21" t="s">
        <v>41</v>
      </c>
      <c r="Q2509" s="21" t="s">
        <v>42</v>
      </c>
      <c r="R2509" s="21" t="s">
        <v>43</v>
      </c>
    </row>
    <row r="2510" spans="1:19" ht="14.4">
      <c r="A2510" s="33">
        <f>IF(C2510="","",MAX($A$1:A2509)+1)</f>
        <v>2333</v>
      </c>
      <c r="B2510" s="26" t="s">
        <v>79</v>
      </c>
      <c r="C2510" s="23">
        <v>46103</v>
      </c>
      <c r="D2510" s="28" t="str">
        <f>_xlfn.XLOOKUP(Table134526_79101120212223242526[[#This Row],[Name Surname]],Manpower!$C$4:$C$1048576,Manpower!$B$4:$B$1048576,"")</f>
        <v>Nass Group</v>
      </c>
      <c r="E2510" s="21" t="s">
        <v>146</v>
      </c>
      <c r="F2510" s="12" t="e">
        <f>_xlfn.XLOOKUP(Table134526_79101120212223242526[[#This Row],[Name Surname]],Manpower!C:C,Manpower!D:D,)</f>
        <v>#N/A</v>
      </c>
      <c r="G2510" s="28" t="str">
        <f>_xlfn.XLOOKUP(Table134526_79101120212223242526[[#This Row],[Name Surname]],Manpower!$C$4:$C$1048576,Manpower!$F$4:$F$1048576,"")</f>
        <v>130T Crawler Crane</v>
      </c>
      <c r="H2510" s="28" t="str">
        <f>_xlfn.XLOOKUP(Table134526_79101120212223242526[[#This Row],[Name Surname]],Manpower!$C$4:$C$1048576,Manpower!$H$4:$H$1048576,"")</f>
        <v>Equipment</v>
      </c>
      <c r="I2510" s="28" t="str">
        <f>_xlfn.XLOOKUP(Table134526_79101120212223242526[[#This Row],[Name Surname]],Manpower!$C$4:$C$1048576,Manpower!$H$4:$H$1048576,"")</f>
        <v>Equipment</v>
      </c>
      <c r="J2510" s="21" t="s">
        <v>35</v>
      </c>
      <c r="K2510" s="21" t="s">
        <v>26</v>
      </c>
      <c r="L2510" s="21" t="s">
        <v>82</v>
      </c>
      <c r="M2510" s="21" t="s">
        <v>55</v>
      </c>
      <c r="N2510" s="29">
        <v>10</v>
      </c>
      <c r="R2510" s="21" t="s">
        <v>366</v>
      </c>
    </row>
    <row r="2511" spans="1:19" ht="14.4" hidden="1">
      <c r="A2511" s="33">
        <f>IF(C2511="","",MAX($A$1:A2510)+1)</f>
        <v>2334</v>
      </c>
      <c r="B2511" s="26" t="s">
        <v>79</v>
      </c>
      <c r="C2511" s="23">
        <v>46103</v>
      </c>
      <c r="D2511" s="28" t="str">
        <f>_xlfn.XLOOKUP(Table134526_79101120212223242526[[#This Row],[Name Surname]],Manpower!$C$4:$C$1048576,Manpower!$B$4:$B$1048576,"")</f>
        <v>SARENS NASS</v>
      </c>
      <c r="E2511" s="21" t="s">
        <v>214</v>
      </c>
      <c r="F2511" s="12">
        <f>_xlfn.XLOOKUP(Table134526_79101120212223242526[[#This Row],[Name Surname]],Manpower!C:C,Manpower!D:D,)</f>
        <v>109957631</v>
      </c>
      <c r="G2511" s="28" t="str">
        <f>_xlfn.XLOOKUP(Table134526_79101120212223242526[[#This Row],[Name Surname]],Manpower!$C$4:$C$1048576,Manpower!$F$4:$F$1048576,"")</f>
        <v>Crane Operator-130T Liebherr Crawler</v>
      </c>
      <c r="H2511" s="28" t="str">
        <f>_xlfn.XLOOKUP(Table134526_79101120212223242526[[#This Row],[Name Surname]],Manpower!$C$4:$C$1048576,Manpower!$H$4:$H$1048576,"")</f>
        <v>Manpower</v>
      </c>
      <c r="I2511" s="28" t="str">
        <f>_xlfn.XLOOKUP(Table134526_79101120212223242526[[#This Row],[Name Surname]],Manpower!$C$4:$C$1048576,Manpower!$H$4:$H$1048576,"")</f>
        <v>Manpower</v>
      </c>
      <c r="J2511" s="21" t="s">
        <v>35</v>
      </c>
      <c r="K2511" s="21" t="s">
        <v>26</v>
      </c>
      <c r="L2511" s="21" t="s">
        <v>82</v>
      </c>
      <c r="M2511" s="21" t="s">
        <v>55</v>
      </c>
      <c r="N2511" s="29">
        <v>10</v>
      </c>
      <c r="R2511" s="21" t="s">
        <v>366</v>
      </c>
    </row>
    <row r="2512" spans="1:19" ht="14.4" hidden="1">
      <c r="A2512" s="33">
        <f>IF(C2512="","",MAX($A$1:A2511)+1)</f>
        <v>2335</v>
      </c>
      <c r="B2512" s="26" t="s">
        <v>79</v>
      </c>
      <c r="C2512" s="23">
        <v>46103</v>
      </c>
      <c r="D2512" s="28" t="str">
        <f>_xlfn.XLOOKUP(Table134526_79101120212223242526[[#This Row],[Name Surname]],Manpower!$C$4:$C$1048576,Manpower!$B$4:$B$1048576,"")</f>
        <v>Encogroup</v>
      </c>
      <c r="E2512" s="21" t="s">
        <v>91</v>
      </c>
      <c r="F2512" s="12">
        <f>_xlfn.XLOOKUP(Table134526_79101120212223242526[[#This Row],[Name Surname]],Manpower!C:C,Manpower!D:D,)</f>
        <v>132915855</v>
      </c>
      <c r="G2512" s="28" t="str">
        <f>_xlfn.XLOOKUP(Table134526_79101120212223242526[[#This Row],[Name Surname]],Manpower!$C$4:$C$1048576,Manpower!$F$4:$F$1048576,"")</f>
        <v>Mechanical Supervisor</v>
      </c>
      <c r="H2512" s="28" t="str">
        <f>_xlfn.XLOOKUP(Table134526_79101120212223242526[[#This Row],[Name Surname]],Manpower!$C$4:$C$1048576,Manpower!$H$4:$H$1048576,"")</f>
        <v>Manpower</v>
      </c>
      <c r="I2512" s="28" t="str">
        <f>_xlfn.XLOOKUP(Table134526_79101120212223242526[[#This Row],[Name Surname]],Manpower!$C$4:$C$1048576,Manpower!$H$4:$H$1048576,"")</f>
        <v>Manpower</v>
      </c>
      <c r="J2512" s="21" t="s">
        <v>35</v>
      </c>
      <c r="K2512" s="21" t="s">
        <v>279</v>
      </c>
      <c r="L2512" s="21" t="s">
        <v>82</v>
      </c>
      <c r="M2512" s="21" t="s">
        <v>24</v>
      </c>
      <c r="N2512" s="29">
        <v>10</v>
      </c>
      <c r="O2512" s="21" t="s">
        <v>25</v>
      </c>
      <c r="P2512" s="21" t="s">
        <v>60</v>
      </c>
      <c r="Q2512" s="21" t="s">
        <v>60</v>
      </c>
      <c r="R2512" s="21" t="s">
        <v>388</v>
      </c>
    </row>
    <row r="2513" spans="1:18" ht="14.4" hidden="1">
      <c r="A2513" s="33">
        <f>IF(C2513="","",MAX($A$1:A2512)+1)</f>
        <v>2336</v>
      </c>
      <c r="B2513" s="26" t="s">
        <v>79</v>
      </c>
      <c r="C2513" s="23">
        <v>46103</v>
      </c>
      <c r="D2513" s="28" t="str">
        <f>_xlfn.XLOOKUP(Table134526_79101120212223242526[[#This Row],[Name Surname]],Manpower!$C$4:$C$1048576,Manpower!$B$4:$B$1048576,"")</f>
        <v>Encogroup</v>
      </c>
      <c r="E2513" s="21" t="s">
        <v>97</v>
      </c>
      <c r="F2513" s="12">
        <f>_xlfn.XLOOKUP(Table134526_79101120212223242526[[#This Row],[Name Surname]],Manpower!C:C,Manpower!D:D,)</f>
        <v>141359235</v>
      </c>
      <c r="G2513" s="28" t="str">
        <f>_xlfn.XLOOKUP(Table134526_79101120212223242526[[#This Row],[Name Surname]],Manpower!$C$4:$C$1048576,Manpower!$F$4:$F$1048576,"")</f>
        <v>Fitter</v>
      </c>
      <c r="H2513" s="28" t="str">
        <f>_xlfn.XLOOKUP(Table134526_79101120212223242526[[#This Row],[Name Surname]],Manpower!$C$4:$C$1048576,Manpower!$H$4:$H$1048576,"")</f>
        <v>Manpower</v>
      </c>
      <c r="I2513" s="28" t="str">
        <f>_xlfn.XLOOKUP(Table134526_79101120212223242526[[#This Row],[Name Surname]],Manpower!$C$4:$C$1048576,Manpower!$H$4:$H$1048576,"")</f>
        <v>Manpower</v>
      </c>
      <c r="J2513" s="21" t="s">
        <v>35</v>
      </c>
      <c r="K2513" s="21" t="s">
        <v>279</v>
      </c>
      <c r="L2513" s="21" t="s">
        <v>82</v>
      </c>
      <c r="M2513" s="21" t="s">
        <v>24</v>
      </c>
      <c r="N2513" s="29">
        <v>10</v>
      </c>
      <c r="O2513" s="21" t="s">
        <v>25</v>
      </c>
      <c r="P2513" s="21" t="s">
        <v>41</v>
      </c>
      <c r="Q2513" s="21" t="s">
        <v>77</v>
      </c>
      <c r="R2513" s="21" t="s">
        <v>386</v>
      </c>
    </row>
    <row r="2514" spans="1:18" ht="14.4" hidden="1">
      <c r="A2514" s="33">
        <f>IF(C2514="","",MAX($A$1:A2513)+1)</f>
        <v>2337</v>
      </c>
      <c r="B2514" s="26" t="s">
        <v>79</v>
      </c>
      <c r="C2514" s="23">
        <v>46103</v>
      </c>
      <c r="D2514" s="28" t="str">
        <f>_xlfn.XLOOKUP(Table134526_79101120212223242526[[#This Row],[Name Surname]],Manpower!$C$4:$C$1048576,Manpower!$B$4:$B$1048576,"")</f>
        <v>Encogroup</v>
      </c>
      <c r="E2514" s="21" t="s">
        <v>99</v>
      </c>
      <c r="F2514" s="12">
        <f>_xlfn.XLOOKUP(Table134526_79101120212223242526[[#This Row],[Name Surname]],Manpower!C:C,Manpower!D:D,)</f>
        <v>140697025</v>
      </c>
      <c r="G2514" s="28" t="str">
        <f>_xlfn.XLOOKUP(Table134526_79101120212223242526[[#This Row],[Name Surname]],Manpower!$C$4:$C$1048576,Manpower!$F$4:$F$1048576,"")</f>
        <v>Assistant/Helper</v>
      </c>
      <c r="H2514" s="28" t="str">
        <f>_xlfn.XLOOKUP(Table134526_79101120212223242526[[#This Row],[Name Surname]],Manpower!$C$4:$C$1048576,Manpower!$H$4:$H$1048576,"")</f>
        <v>Manpower</v>
      </c>
      <c r="I2514" s="28" t="str">
        <f>_xlfn.XLOOKUP(Table134526_79101120212223242526[[#This Row],[Name Surname]],Manpower!$C$4:$C$1048576,Manpower!$H$4:$H$1048576,"")</f>
        <v>Manpower</v>
      </c>
      <c r="J2514" s="21" t="s">
        <v>35</v>
      </c>
      <c r="K2514" s="21" t="s">
        <v>279</v>
      </c>
      <c r="L2514" s="21" t="s">
        <v>82</v>
      </c>
      <c r="M2514" s="21" t="s">
        <v>24</v>
      </c>
      <c r="N2514" s="29">
        <v>10</v>
      </c>
      <c r="O2514" s="21" t="s">
        <v>25</v>
      </c>
      <c r="P2514" s="21" t="s">
        <v>41</v>
      </c>
      <c r="Q2514" s="21" t="s">
        <v>60</v>
      </c>
      <c r="R2514" s="21" t="s">
        <v>100</v>
      </c>
    </row>
    <row r="2515" spans="1:18" ht="14.4" hidden="1">
      <c r="A2515" s="33">
        <f>IF(C2515="","",MAX($A$1:A2514)+1)</f>
        <v>2338</v>
      </c>
      <c r="B2515" s="26" t="s">
        <v>79</v>
      </c>
      <c r="C2515" s="23">
        <v>46103</v>
      </c>
      <c r="D2515" s="28" t="str">
        <f>_xlfn.XLOOKUP(Table134526_79101120212223242526[[#This Row],[Name Surname]],Manpower!$C$4:$C$1048576,Manpower!$B$4:$B$1048576,"")</f>
        <v>Encogroup</v>
      </c>
      <c r="E2515" s="21" t="s">
        <v>101</v>
      </c>
      <c r="F2515" s="12">
        <f>_xlfn.XLOOKUP(Table134526_79101120212223242526[[#This Row],[Name Surname]],Manpower!C:C,Manpower!D:D,)</f>
        <v>141169052</v>
      </c>
      <c r="G2515" s="28" t="str">
        <f>_xlfn.XLOOKUP(Table134526_79101120212223242526[[#This Row],[Name Surname]],Manpower!$C$4:$C$1048576,Manpower!$F$4:$F$1048576,"")</f>
        <v>Welder</v>
      </c>
      <c r="H2515" s="28" t="str">
        <f>_xlfn.XLOOKUP(Table134526_79101120212223242526[[#This Row],[Name Surname]],Manpower!$C$4:$C$1048576,Manpower!$H$4:$H$1048576,"")</f>
        <v>Manpower</v>
      </c>
      <c r="I2515" s="28" t="str">
        <f>_xlfn.XLOOKUP(Table134526_79101120212223242526[[#This Row],[Name Surname]],Manpower!$C$4:$C$1048576,Manpower!$H$4:$H$1048576,"")</f>
        <v>Manpower</v>
      </c>
      <c r="J2515" s="21" t="s">
        <v>35</v>
      </c>
      <c r="K2515" s="21" t="s">
        <v>279</v>
      </c>
      <c r="L2515" s="21" t="s">
        <v>82</v>
      </c>
      <c r="M2515" s="21" t="s">
        <v>24</v>
      </c>
      <c r="N2515" s="29">
        <v>10</v>
      </c>
      <c r="O2515" s="21" t="s">
        <v>25</v>
      </c>
      <c r="P2515" s="21" t="s">
        <v>41</v>
      </c>
      <c r="Q2515" s="21" t="s">
        <v>77</v>
      </c>
      <c r="R2515" s="21" t="s">
        <v>386</v>
      </c>
    </row>
    <row r="2516" spans="1:18" ht="14.4" hidden="1">
      <c r="A2516" s="33">
        <f>IF(C2516="","",MAX($A$1:A2515)+1)</f>
        <v>2339</v>
      </c>
      <c r="B2516" s="26" t="s">
        <v>79</v>
      </c>
      <c r="C2516" s="23">
        <v>46103</v>
      </c>
      <c r="D2516" s="28" t="str">
        <f>_xlfn.XLOOKUP(Table134526_79101120212223242526[[#This Row],[Name Surname]],Manpower!$C$4:$C$1048576,Manpower!$B$4:$B$1048576,"")</f>
        <v>Encogroup</v>
      </c>
      <c r="E2516" s="21" t="s">
        <v>105</v>
      </c>
      <c r="F2516" s="12">
        <f>_xlfn.XLOOKUP(Table134526_79101120212223242526[[#This Row],[Name Surname]],Manpower!C:C,Manpower!D:D,)</f>
        <v>141358993</v>
      </c>
      <c r="G2516" s="28" t="str">
        <f>_xlfn.XLOOKUP(Table134526_79101120212223242526[[#This Row],[Name Surname]],Manpower!$C$4:$C$1048576,Manpower!$F$4:$F$1048576,"")</f>
        <v>Fitter</v>
      </c>
      <c r="H2516" s="28" t="str">
        <f>_xlfn.XLOOKUP(Table134526_79101120212223242526[[#This Row],[Name Surname]],Manpower!$C$4:$C$1048576,Manpower!$H$4:$H$1048576,"")</f>
        <v>Manpower</v>
      </c>
      <c r="I2516" s="28" t="str">
        <f>_xlfn.XLOOKUP(Table134526_79101120212223242526[[#This Row],[Name Surname]],Manpower!$C$4:$C$1048576,Manpower!$H$4:$H$1048576,"")</f>
        <v>Manpower</v>
      </c>
      <c r="J2516" s="21" t="s">
        <v>35</v>
      </c>
      <c r="K2516" s="21" t="s">
        <v>279</v>
      </c>
      <c r="L2516" s="21" t="s">
        <v>82</v>
      </c>
      <c r="M2516" s="21" t="s">
        <v>24</v>
      </c>
      <c r="N2516" s="29">
        <v>10</v>
      </c>
      <c r="O2516" s="21" t="s">
        <v>25</v>
      </c>
      <c r="P2516" s="21" t="s">
        <v>41</v>
      </c>
      <c r="Q2516" s="21" t="s">
        <v>77</v>
      </c>
      <c r="R2516" s="21" t="s">
        <v>386</v>
      </c>
    </row>
    <row r="2517" spans="1:18" ht="14.4" hidden="1">
      <c r="A2517" s="33">
        <f>IF(C2517="","",MAX($A$1:A2516)+1)</f>
        <v>2340</v>
      </c>
      <c r="B2517" s="26" t="s">
        <v>79</v>
      </c>
      <c r="C2517" s="23">
        <v>46103</v>
      </c>
      <c r="D2517" s="28" t="str">
        <f>_xlfn.XLOOKUP(Table134526_79101120212223242526[[#This Row],[Name Surname]],Manpower!$C$4:$C$1048576,Manpower!$B$4:$B$1048576,"")</f>
        <v>Encogroup</v>
      </c>
      <c r="E2517" s="21" t="s">
        <v>106</v>
      </c>
      <c r="F2517" s="12" t="str">
        <f>_xlfn.XLOOKUP(Table134526_79101120212223242526[[#This Row],[Name Surname]],Manpower!C:C,Manpower!D:D,)</f>
        <v>R3971143</v>
      </c>
      <c r="G2517" s="28" t="str">
        <f>_xlfn.XLOOKUP(Table134526_79101120212223242526[[#This Row],[Name Surname]],Manpower!$C$4:$C$1048576,Manpower!$F$4:$F$1048576,"")</f>
        <v>Mechanical Foreman</v>
      </c>
      <c r="H2517" s="28" t="str">
        <f>_xlfn.XLOOKUP(Table134526_79101120212223242526[[#This Row],[Name Surname]],Manpower!$C$4:$C$1048576,Manpower!$H$4:$H$1048576,"")</f>
        <v>Manpower</v>
      </c>
      <c r="I2517" s="28" t="str">
        <f>_xlfn.XLOOKUP(Table134526_79101120212223242526[[#This Row],[Name Surname]],Manpower!$C$4:$C$1048576,Manpower!$H$4:$H$1048576,"")</f>
        <v>Manpower</v>
      </c>
      <c r="J2517" s="21" t="s">
        <v>35</v>
      </c>
      <c r="K2517" s="21" t="s">
        <v>389</v>
      </c>
      <c r="L2517" s="21" t="s">
        <v>82</v>
      </c>
      <c r="M2517" s="21" t="s">
        <v>24</v>
      </c>
      <c r="N2517" s="29">
        <v>10</v>
      </c>
      <c r="O2517" s="21" t="s">
        <v>25</v>
      </c>
      <c r="P2517" s="21" t="s">
        <v>41</v>
      </c>
      <c r="Q2517" s="21" t="s">
        <v>60</v>
      </c>
      <c r="R2517" s="21" t="s">
        <v>388</v>
      </c>
    </row>
    <row r="2518" spans="1:18" ht="14.4" hidden="1">
      <c r="A2518" s="33">
        <f>IF(C2518="","",MAX($A$1:A2517)+1)</f>
        <v>2341</v>
      </c>
      <c r="B2518" s="26" t="s">
        <v>79</v>
      </c>
      <c r="C2518" s="23">
        <v>46103</v>
      </c>
      <c r="D2518" s="28" t="str">
        <f>_xlfn.XLOOKUP(Table134526_79101120212223242526[[#This Row],[Name Surname]],Manpower!$C$4:$C$1048576,Manpower!$B$4:$B$1048576,"")</f>
        <v>Encogroup</v>
      </c>
      <c r="E2518" s="21" t="s">
        <v>107</v>
      </c>
      <c r="F2518" s="12">
        <f>_xlfn.XLOOKUP(Table134526_79101120212223242526[[#This Row],[Name Surname]],Manpower!C:C,Manpower!D:D,)</f>
        <v>116858297</v>
      </c>
      <c r="G2518" s="28" t="str">
        <f>_xlfn.XLOOKUP(Table134526_79101120212223242526[[#This Row],[Name Surname]],Manpower!$C$4:$C$1048576,Manpower!$F$4:$F$1048576,"")</f>
        <v>Mechanical Superintendent</v>
      </c>
      <c r="H2518" s="28" t="str">
        <f>_xlfn.XLOOKUP(Table134526_79101120212223242526[[#This Row],[Name Surname]],Manpower!$C$4:$C$1048576,Manpower!$H$4:$H$1048576,"")</f>
        <v>Manpower</v>
      </c>
      <c r="I2518" s="28" t="str">
        <f>_xlfn.XLOOKUP(Table134526_79101120212223242526[[#This Row],[Name Surname]],Manpower!$C$4:$C$1048576,Manpower!$H$4:$H$1048576,"")</f>
        <v>Manpower</v>
      </c>
      <c r="J2518" s="21" t="s">
        <v>35</v>
      </c>
      <c r="K2518" s="21" t="s">
        <v>389</v>
      </c>
      <c r="L2518" s="21" t="s">
        <v>82</v>
      </c>
      <c r="M2518" s="21" t="s">
        <v>24</v>
      </c>
      <c r="N2518" s="29">
        <v>10</v>
      </c>
      <c r="O2518" s="21" t="s">
        <v>25</v>
      </c>
      <c r="P2518" s="21" t="s">
        <v>41</v>
      </c>
      <c r="Q2518" s="21" t="s">
        <v>60</v>
      </c>
      <c r="R2518" s="21" t="s">
        <v>388</v>
      </c>
    </row>
    <row r="2519" spans="1:18" ht="14.4" hidden="1">
      <c r="A2519" s="33">
        <f>IF(C2519="","",MAX($A$1:A2518)+1)</f>
        <v>2342</v>
      </c>
      <c r="B2519" s="26" t="s">
        <v>79</v>
      </c>
      <c r="C2519" s="23">
        <v>46103</v>
      </c>
      <c r="D2519" s="28" t="str">
        <f>_xlfn.XLOOKUP(Table134526_79101120212223242526[[#This Row],[Name Surname]],Manpower!$C$4:$C$1048576,Manpower!$B$4:$B$1048576,"")</f>
        <v>Encogroup</v>
      </c>
      <c r="E2519" s="21" t="s">
        <v>126</v>
      </c>
      <c r="F2519" s="12">
        <f>_xlfn.XLOOKUP(Table134526_79101120212223242526[[#This Row],[Name Surname]],Manpower!C:C,Manpower!D:D,)</f>
        <v>140805568</v>
      </c>
      <c r="G2519" s="28" t="str">
        <f>_xlfn.XLOOKUP(Table134526_79101120212223242526[[#This Row],[Name Surname]],Manpower!$C$4:$C$1048576,Manpower!$F$4:$F$1048576,"")</f>
        <v>Assistant/Helper</v>
      </c>
      <c r="H2519" s="28" t="str">
        <f>_xlfn.XLOOKUP(Table134526_79101120212223242526[[#This Row],[Name Surname]],Manpower!$C$4:$C$1048576,Manpower!$H$4:$H$1048576,"")</f>
        <v>Manpower</v>
      </c>
      <c r="I2519" s="28" t="str">
        <f>_xlfn.XLOOKUP(Table134526_79101120212223242526[[#This Row],[Name Surname]],Manpower!$C$4:$C$1048576,Manpower!$H$4:$H$1048576,"")</f>
        <v>Manpower</v>
      </c>
      <c r="J2519" s="21" t="s">
        <v>35</v>
      </c>
      <c r="K2519" s="21" t="s">
        <v>279</v>
      </c>
      <c r="L2519" s="21" t="s">
        <v>82</v>
      </c>
      <c r="M2519" s="21" t="s">
        <v>24</v>
      </c>
      <c r="N2519" s="29">
        <v>10</v>
      </c>
      <c r="O2519" s="21" t="s">
        <v>40</v>
      </c>
      <c r="P2519" s="21" t="s">
        <v>41</v>
      </c>
      <c r="Q2519" s="21" t="s">
        <v>128</v>
      </c>
      <c r="R2519" s="21" t="s">
        <v>270</v>
      </c>
    </row>
    <row r="2520" spans="1:18" ht="14.4" hidden="1">
      <c r="A2520" s="33">
        <f>IF(C2520="","",MAX($A$1:A2519)+1)</f>
        <v>2343</v>
      </c>
      <c r="B2520" s="26" t="s">
        <v>79</v>
      </c>
      <c r="C2520" s="23">
        <v>46103</v>
      </c>
      <c r="D2520" s="28" t="str">
        <f>_xlfn.XLOOKUP(Table134526_79101120212223242526[[#This Row],[Name Surname]],Manpower!$C$4:$C$1048576,Manpower!$B$4:$B$1048576,"")</f>
        <v>Encogroup</v>
      </c>
      <c r="E2520" s="21" t="s">
        <v>109</v>
      </c>
      <c r="F2520" s="12">
        <f>_xlfn.XLOOKUP(Table134526_79101120212223242526[[#This Row],[Name Surname]],Manpower!C:C,Manpower!D:D,)</f>
        <v>123805496</v>
      </c>
      <c r="G2520" s="28" t="str">
        <f>_xlfn.XLOOKUP(Table134526_79101120212223242526[[#This Row],[Name Surname]],Manpower!$C$4:$C$1048576,Manpower!$F$4:$F$1048576,"")</f>
        <v>Fitter/Erector</v>
      </c>
      <c r="H2520" s="28" t="str">
        <f>_xlfn.XLOOKUP(Table134526_79101120212223242526[[#This Row],[Name Surname]],Manpower!$C$4:$C$1048576,Manpower!$H$4:$H$1048576,"")</f>
        <v>Manpower</v>
      </c>
      <c r="I2520" s="28" t="str">
        <f>_xlfn.XLOOKUP(Table134526_79101120212223242526[[#This Row],[Name Surname]],Manpower!$C$4:$C$1048576,Manpower!$H$4:$H$1048576,"")</f>
        <v>Manpower</v>
      </c>
      <c r="J2520" s="21" t="s">
        <v>35</v>
      </c>
      <c r="K2520" s="21" t="s">
        <v>279</v>
      </c>
      <c r="L2520" s="21" t="s">
        <v>82</v>
      </c>
      <c r="M2520" s="21" t="s">
        <v>24</v>
      </c>
      <c r="N2520" s="29">
        <v>10</v>
      </c>
      <c r="O2520" s="21" t="s">
        <v>25</v>
      </c>
      <c r="P2520" s="21" t="s">
        <v>41</v>
      </c>
      <c r="Q2520" s="21" t="s">
        <v>60</v>
      </c>
      <c r="R2520" s="21" t="s">
        <v>390</v>
      </c>
    </row>
    <row r="2521" spans="1:18" ht="14.4" hidden="1">
      <c r="A2521" s="33">
        <f>IF(C2521="","",MAX($A$1:A2520)+1)</f>
        <v>2344</v>
      </c>
      <c r="B2521" s="26" t="s">
        <v>79</v>
      </c>
      <c r="C2521" s="23">
        <v>46103</v>
      </c>
      <c r="D2521" s="28" t="str">
        <f>_xlfn.XLOOKUP(Table134526_79101120212223242526[[#This Row],[Name Surname]],Manpower!$C$4:$C$1048576,Manpower!$B$4:$B$1048576,"")</f>
        <v>Encogroup</v>
      </c>
      <c r="E2521" s="21" t="s">
        <v>110</v>
      </c>
      <c r="F2521" s="12">
        <f>_xlfn.XLOOKUP(Table134526_79101120212223242526[[#This Row],[Name Surname]],Manpower!C:C,Manpower!D:D,)</f>
        <v>136277866</v>
      </c>
      <c r="G2521" s="28" t="str">
        <f>_xlfn.XLOOKUP(Table134526_79101120212223242526[[#This Row],[Name Surname]],Manpower!$C$4:$C$1048576,Manpower!$F$4:$F$1048576,"")</f>
        <v>Permit Receiver</v>
      </c>
      <c r="H2521" s="28" t="str">
        <f>_xlfn.XLOOKUP(Table134526_79101120212223242526[[#This Row],[Name Surname]],Manpower!$C$4:$C$1048576,Manpower!$H$4:$H$1048576,"")</f>
        <v>Manpower</v>
      </c>
      <c r="I2521" s="28" t="str">
        <f>_xlfn.XLOOKUP(Table134526_79101120212223242526[[#This Row],[Name Surname]],Manpower!$C$4:$C$1048576,Manpower!$H$4:$H$1048576,"")</f>
        <v>Manpower</v>
      </c>
      <c r="J2521" s="21" t="s">
        <v>35</v>
      </c>
      <c r="K2521" s="21" t="s">
        <v>389</v>
      </c>
      <c r="L2521" s="21" t="s">
        <v>82</v>
      </c>
      <c r="M2521" s="21" t="s">
        <v>24</v>
      </c>
      <c r="N2521" s="29">
        <v>10</v>
      </c>
      <c r="O2521" s="21" t="s">
        <v>25</v>
      </c>
      <c r="P2521" s="21" t="s">
        <v>41</v>
      </c>
      <c r="Q2521" s="21" t="s">
        <v>60</v>
      </c>
      <c r="R2521" s="21" t="s">
        <v>388</v>
      </c>
    </row>
    <row r="2522" spans="1:18" ht="14.4" hidden="1">
      <c r="A2522" s="33">
        <f>IF(C2522="","",MAX($A$1:A2521)+1)</f>
        <v>2345</v>
      </c>
      <c r="B2522" s="26" t="s">
        <v>79</v>
      </c>
      <c r="C2522" s="23">
        <v>46103</v>
      </c>
      <c r="D2522" s="28" t="str">
        <f>_xlfn.XLOOKUP(Table134526_79101120212223242526[[#This Row],[Name Surname]],Manpower!$C$4:$C$1048576,Manpower!$B$4:$B$1048576,"")</f>
        <v>Encogroup</v>
      </c>
      <c r="E2522" s="21" t="s">
        <v>112</v>
      </c>
      <c r="F2522" s="12">
        <f>_xlfn.XLOOKUP(Table134526_79101120212223242526[[#This Row],[Name Surname]],Manpower!C:C,Manpower!D:D,)</f>
        <v>140663253</v>
      </c>
      <c r="G2522" s="28" t="str">
        <f>_xlfn.XLOOKUP(Table134526_79101120212223242526[[#This Row],[Name Surname]],Manpower!$C$4:$C$1048576,Manpower!$F$4:$F$1048576,"")</f>
        <v>Painting Inspector</v>
      </c>
      <c r="H2522" s="28" t="str">
        <f>_xlfn.XLOOKUP(Table134526_79101120212223242526[[#This Row],[Name Surname]],Manpower!$C$4:$C$1048576,Manpower!$H$4:$H$1048576,"")</f>
        <v>Manpower</v>
      </c>
      <c r="I2522" s="28" t="str">
        <f>_xlfn.XLOOKUP(Table134526_79101120212223242526[[#This Row],[Name Surname]],Manpower!$C$4:$C$1048576,Manpower!$H$4:$H$1048576,"")</f>
        <v>Manpower</v>
      </c>
      <c r="J2522" s="21" t="s">
        <v>35</v>
      </c>
      <c r="K2522" s="21" t="s">
        <v>88</v>
      </c>
      <c r="L2522" s="21" t="s">
        <v>82</v>
      </c>
      <c r="M2522" s="21" t="s">
        <v>24</v>
      </c>
      <c r="N2522" s="29">
        <v>10</v>
      </c>
      <c r="O2522" s="21" t="s">
        <v>94</v>
      </c>
      <c r="P2522" s="21" t="s">
        <v>114</v>
      </c>
      <c r="Q2522" s="21" t="s">
        <v>114</v>
      </c>
      <c r="R2522" s="21" t="s">
        <v>391</v>
      </c>
    </row>
    <row r="2523" spans="1:18" ht="14.4" hidden="1">
      <c r="A2523" s="33">
        <f>IF(C2523="","",MAX($A$1:A2522)+1)</f>
        <v>2346</v>
      </c>
      <c r="B2523" s="26" t="s">
        <v>79</v>
      </c>
      <c r="C2523" s="23">
        <v>46103</v>
      </c>
      <c r="D2523" s="28" t="str">
        <f>_xlfn.XLOOKUP(Table134526_79101120212223242526[[#This Row],[Name Surname]],Manpower!$C$4:$C$1048576,Manpower!$B$4:$B$1048576,"")</f>
        <v>Encogroup</v>
      </c>
      <c r="E2523" s="21" t="s">
        <v>118</v>
      </c>
      <c r="F2523" s="12" t="str">
        <f>_xlfn.XLOOKUP(Table134526_79101120212223242526[[#This Row],[Name Surname]],Manpower!C:C,Manpower!D:D,)</f>
        <v>AG111207</v>
      </c>
      <c r="G2523" s="28" t="str">
        <f>_xlfn.XLOOKUP(Table134526_79101120212223242526[[#This Row],[Name Surname]],Manpower!$C$4:$C$1048576,Manpower!$F$4:$F$1048576,"")</f>
        <v>Assistant/Helper</v>
      </c>
      <c r="H2523" s="28" t="str">
        <f>_xlfn.XLOOKUP(Table134526_79101120212223242526[[#This Row],[Name Surname]],Manpower!$C$4:$C$1048576,Manpower!$H$4:$H$1048576,"")</f>
        <v>Manpower</v>
      </c>
      <c r="I2523" s="28" t="str">
        <f>_xlfn.XLOOKUP(Table134526_79101120212223242526[[#This Row],[Name Surname]],Manpower!$C$4:$C$1048576,Manpower!$H$4:$H$1048576,"")</f>
        <v>Manpower</v>
      </c>
      <c r="J2523" s="21" t="s">
        <v>35</v>
      </c>
      <c r="K2523" s="21" t="s">
        <v>88</v>
      </c>
      <c r="L2523" s="21" t="s">
        <v>82</v>
      </c>
      <c r="M2523" s="21" t="s">
        <v>24</v>
      </c>
      <c r="N2523" s="29">
        <v>10</v>
      </c>
      <c r="O2523" s="21" t="s">
        <v>94</v>
      </c>
      <c r="P2523" s="21" t="s">
        <v>114</v>
      </c>
      <c r="Q2523" s="21" t="s">
        <v>114</v>
      </c>
      <c r="R2523" s="21" t="s">
        <v>391</v>
      </c>
    </row>
    <row r="2524" spans="1:18" ht="14.4" hidden="1">
      <c r="A2524" s="33">
        <f>IF(C2524="","",MAX($A$1:A2523)+1)</f>
        <v>2347</v>
      </c>
      <c r="B2524" s="26" t="s">
        <v>79</v>
      </c>
      <c r="C2524" s="23">
        <v>46103</v>
      </c>
      <c r="D2524" s="28" t="str">
        <f>_xlfn.XLOOKUP(Table134526_79101120212223242526[[#This Row],[Name Surname]],Manpower!$C$4:$C$1048576,Manpower!$B$4:$B$1048576,"")</f>
        <v>Encogroup</v>
      </c>
      <c r="E2524" s="21" t="s">
        <v>92</v>
      </c>
      <c r="F2524" s="12">
        <f>_xlfn.XLOOKUP(Table134526_79101120212223242526[[#This Row],[Name Surname]],Manpower!C:C,Manpower!D:D,)</f>
        <v>141377747</v>
      </c>
      <c r="G2524" s="28" t="str">
        <f>_xlfn.XLOOKUP(Table134526_79101120212223242526[[#This Row],[Name Surname]],Manpower!$C$4:$C$1048576,Manpower!$F$4:$F$1048576,"")</f>
        <v>Painter</v>
      </c>
      <c r="H2524" s="28" t="str">
        <f>_xlfn.XLOOKUP(Table134526_79101120212223242526[[#This Row],[Name Surname]],Manpower!$C$4:$C$1048576,Manpower!$H$4:$H$1048576,"")</f>
        <v>Manpower</v>
      </c>
      <c r="I2524" s="28" t="str">
        <f>_xlfn.XLOOKUP(Table134526_79101120212223242526[[#This Row],[Name Surname]],Manpower!$C$4:$C$1048576,Manpower!$H$4:$H$1048576,"")</f>
        <v>Manpower</v>
      </c>
      <c r="J2524" s="21" t="s">
        <v>35</v>
      </c>
      <c r="K2524" s="21" t="s">
        <v>252</v>
      </c>
      <c r="L2524" s="21" t="s">
        <v>82</v>
      </c>
      <c r="M2524" s="21" t="s">
        <v>24</v>
      </c>
      <c r="N2524" s="29">
        <v>10</v>
      </c>
      <c r="O2524" s="21" t="s">
        <v>25</v>
      </c>
      <c r="P2524" s="21" t="s">
        <v>60</v>
      </c>
      <c r="Q2524" s="21" t="s">
        <v>60</v>
      </c>
      <c r="R2524" s="21" t="s">
        <v>390</v>
      </c>
    </row>
    <row r="2525" spans="1:18" ht="14.4" hidden="1">
      <c r="A2525" s="33">
        <f>IF(C2525="","",MAX($A$1:A2524)+1)</f>
        <v>2348</v>
      </c>
      <c r="B2525" s="26" t="s">
        <v>79</v>
      </c>
      <c r="C2525" s="23">
        <v>46103</v>
      </c>
      <c r="D2525" s="28" t="str">
        <f>_xlfn.XLOOKUP(Table134526_79101120212223242526[[#This Row],[Name Surname]],Manpower!$C$4:$C$1048576,Manpower!$B$4:$B$1048576,"")</f>
        <v>Encogroup</v>
      </c>
      <c r="E2525" s="21" t="s">
        <v>173</v>
      </c>
      <c r="F2525" s="12" t="str">
        <f>_xlfn.XLOOKUP(Table134526_79101120212223242526[[#This Row],[Name Surname]],Manpower!C:C,Manpower!D:D,)</f>
        <v>S3549132</v>
      </c>
      <c r="G2525" s="28" t="str">
        <f>_xlfn.XLOOKUP(Table134526_79101120212223242526[[#This Row],[Name Surname]],Manpower!$C$4:$C$1048576,Manpower!$F$4:$F$1048576,"")</f>
        <v>Grinder</v>
      </c>
      <c r="H2525" s="28" t="str">
        <f>_xlfn.XLOOKUP(Table134526_79101120212223242526[[#This Row],[Name Surname]],Manpower!$C$4:$C$1048576,Manpower!$H$4:$H$1048576,"")</f>
        <v>Manpower</v>
      </c>
      <c r="I2525" s="28" t="str">
        <f>_xlfn.XLOOKUP(Table134526_79101120212223242526[[#This Row],[Name Surname]],Manpower!$C$4:$C$1048576,Manpower!$H$4:$H$1048576,"")</f>
        <v>Manpower</v>
      </c>
      <c r="J2525" s="21" t="s">
        <v>35</v>
      </c>
      <c r="K2525" s="21" t="s">
        <v>88</v>
      </c>
      <c r="L2525" s="21" t="s">
        <v>82</v>
      </c>
      <c r="M2525" s="21" t="s">
        <v>24</v>
      </c>
      <c r="N2525" s="29">
        <v>10</v>
      </c>
      <c r="O2525" s="21" t="s">
        <v>94</v>
      </c>
      <c r="P2525" s="21" t="s">
        <v>114</v>
      </c>
      <c r="Q2525" s="21" t="s">
        <v>114</v>
      </c>
      <c r="R2525" s="21" t="s">
        <v>391</v>
      </c>
    </row>
    <row r="2526" spans="1:18" ht="14.4" hidden="1">
      <c r="A2526" s="33">
        <f>IF(C2526="","",MAX($A$1:A2525)+1)</f>
        <v>2349</v>
      </c>
      <c r="B2526" s="26" t="s">
        <v>79</v>
      </c>
      <c r="C2526" s="23">
        <v>46103</v>
      </c>
      <c r="D2526" s="28" t="str">
        <f>_xlfn.XLOOKUP(Table134526_79101120212223242526[[#This Row],[Name Surname]],Manpower!$C$4:$C$1048576,Manpower!$B$4:$B$1048576,"")</f>
        <v>Encogroup</v>
      </c>
      <c r="E2526" s="21" t="s">
        <v>119</v>
      </c>
      <c r="F2526" s="12">
        <f>_xlfn.XLOOKUP(Table134526_79101120212223242526[[#This Row],[Name Surname]],Manpower!C:C,Manpower!D:D,)</f>
        <v>140844778</v>
      </c>
      <c r="G2526" s="28" t="str">
        <f>_xlfn.XLOOKUP(Table134526_79101120212223242526[[#This Row],[Name Surname]],Manpower!$C$4:$C$1048576,Manpower!$F$4:$F$1048576,"")</f>
        <v>Painter</v>
      </c>
      <c r="H2526" s="28" t="str">
        <f>_xlfn.XLOOKUP(Table134526_79101120212223242526[[#This Row],[Name Surname]],Manpower!$C$4:$C$1048576,Manpower!$H$4:$H$1048576,"")</f>
        <v>Manpower</v>
      </c>
      <c r="I2526" s="28" t="str">
        <f>_xlfn.XLOOKUP(Table134526_79101120212223242526[[#This Row],[Name Surname]],Manpower!$C$4:$C$1048576,Manpower!$H$4:$H$1048576,"")</f>
        <v>Manpower</v>
      </c>
      <c r="J2526" s="21" t="s">
        <v>35</v>
      </c>
      <c r="K2526" s="21" t="s">
        <v>88</v>
      </c>
      <c r="L2526" s="21" t="s">
        <v>82</v>
      </c>
      <c r="M2526" s="21" t="s">
        <v>24</v>
      </c>
      <c r="N2526" s="29">
        <v>10</v>
      </c>
      <c r="O2526" s="21" t="s">
        <v>94</v>
      </c>
      <c r="P2526" s="21" t="s">
        <v>114</v>
      </c>
      <c r="Q2526" s="21" t="s">
        <v>114</v>
      </c>
      <c r="R2526" s="21" t="s">
        <v>391</v>
      </c>
    </row>
    <row r="2527" spans="1:18" ht="14.4" hidden="1">
      <c r="A2527" s="33">
        <f>IF(C2527="","",MAX($A$1:A2526)+1)</f>
        <v>2350</v>
      </c>
      <c r="B2527" s="26" t="s">
        <v>79</v>
      </c>
      <c r="C2527" s="23">
        <v>46103</v>
      </c>
      <c r="D2527" s="28" t="str">
        <f>_xlfn.XLOOKUP(Table134526_79101120212223242526[[#This Row],[Name Surname]],Manpower!$C$4:$C$1048576,Manpower!$B$4:$B$1048576,"")</f>
        <v>Encogroup</v>
      </c>
      <c r="E2527" s="21" t="s">
        <v>117</v>
      </c>
      <c r="F2527" s="12">
        <f>_xlfn.XLOOKUP(Table134526_79101120212223242526[[#This Row],[Name Surname]],Manpower!C:C,Manpower!D:D,)</f>
        <v>140844783</v>
      </c>
      <c r="G2527" s="28" t="str">
        <f>_xlfn.XLOOKUP(Table134526_79101120212223242526[[#This Row],[Name Surname]],Manpower!$C$4:$C$1048576,Manpower!$F$4:$F$1048576,"")</f>
        <v>Painter</v>
      </c>
      <c r="H2527" s="28" t="str">
        <f>_xlfn.XLOOKUP(Table134526_79101120212223242526[[#This Row],[Name Surname]],Manpower!$C$4:$C$1048576,Manpower!$H$4:$H$1048576,"")</f>
        <v>Manpower</v>
      </c>
      <c r="I2527" s="28" t="str">
        <f>_xlfn.XLOOKUP(Table134526_79101120212223242526[[#This Row],[Name Surname]],Manpower!$C$4:$C$1048576,Manpower!$H$4:$H$1048576,"")</f>
        <v>Manpower</v>
      </c>
      <c r="J2527" s="21" t="s">
        <v>35</v>
      </c>
      <c r="K2527" s="21" t="s">
        <v>88</v>
      </c>
      <c r="L2527" s="21" t="s">
        <v>82</v>
      </c>
      <c r="M2527" s="21" t="s">
        <v>24</v>
      </c>
      <c r="N2527" s="29">
        <v>10</v>
      </c>
      <c r="O2527" s="21" t="s">
        <v>94</v>
      </c>
      <c r="P2527" s="21" t="s">
        <v>114</v>
      </c>
      <c r="Q2527" s="21" t="s">
        <v>114</v>
      </c>
      <c r="R2527" s="21" t="s">
        <v>391</v>
      </c>
    </row>
    <row r="2528" spans="1:18" ht="14.4" hidden="1">
      <c r="A2528" s="33">
        <f>IF(C2528="","",MAX($A$1:A2527)+1)</f>
        <v>2351</v>
      </c>
      <c r="B2528" s="26" t="s">
        <v>79</v>
      </c>
      <c r="C2528" s="23">
        <v>46103</v>
      </c>
      <c r="D2528" s="28" t="str">
        <f>_xlfn.XLOOKUP(Table134526_79101120212223242526[[#This Row],[Name Surname]],Manpower!$C$4:$C$1048576,Manpower!$B$4:$B$1048576,"")</f>
        <v>Encogroup</v>
      </c>
      <c r="E2528" s="21" t="s">
        <v>122</v>
      </c>
      <c r="F2528" s="12">
        <f>_xlfn.XLOOKUP(Table134526_79101120212223242526[[#This Row],[Name Surname]],Manpower!C:C,Manpower!D:D,)</f>
        <v>140805554</v>
      </c>
      <c r="G2528" s="28" t="str">
        <f>_xlfn.XLOOKUP(Table134526_79101120212223242526[[#This Row],[Name Surname]],Manpower!$C$4:$C$1048576,Manpower!$F$4:$F$1048576,"")</f>
        <v>Assistant/Helper</v>
      </c>
      <c r="H2528" s="28" t="str">
        <f>_xlfn.XLOOKUP(Table134526_79101120212223242526[[#This Row],[Name Surname]],Manpower!$C$4:$C$1048576,Manpower!$H$4:$H$1048576,"")</f>
        <v>Manpower</v>
      </c>
      <c r="I2528" s="28" t="str">
        <f>_xlfn.XLOOKUP(Table134526_79101120212223242526[[#This Row],[Name Surname]],Manpower!$C$4:$C$1048576,Manpower!$H$4:$H$1048576,"")</f>
        <v>Manpower</v>
      </c>
      <c r="J2528" s="21" t="s">
        <v>35</v>
      </c>
      <c r="K2528" s="21" t="s">
        <v>279</v>
      </c>
      <c r="L2528" s="21" t="s">
        <v>82</v>
      </c>
      <c r="M2528" s="21" t="s">
        <v>24</v>
      </c>
      <c r="N2528" s="29">
        <v>10</v>
      </c>
      <c r="O2528" s="21" t="s">
        <v>25</v>
      </c>
      <c r="P2528" s="21" t="s">
        <v>41</v>
      </c>
      <c r="Q2528" s="21" t="s">
        <v>77</v>
      </c>
      <c r="R2528" s="21" t="s">
        <v>386</v>
      </c>
    </row>
    <row r="2529" spans="1:19" ht="14.4" hidden="1">
      <c r="A2529" s="33">
        <f>IF(C2529="","",MAX($A$1:A2528)+1)</f>
        <v>2352</v>
      </c>
      <c r="B2529" s="26" t="s">
        <v>79</v>
      </c>
      <c r="C2529" s="23">
        <v>46103</v>
      </c>
      <c r="D2529" s="28" t="str">
        <f>_xlfn.XLOOKUP(Table134526_79101120212223242526[[#This Row],[Name Surname]],Manpower!$C$4:$C$1048576,Manpower!$B$4:$B$1048576,"")</f>
        <v>AL Saif &amp; Al QALLM ENT LLC</v>
      </c>
      <c r="E2529" s="21" t="s">
        <v>132</v>
      </c>
      <c r="F2529" s="12">
        <f>_xlfn.XLOOKUP(Table134526_79101120212223242526[[#This Row],[Name Surname]],Manpower!C:C,Manpower!D:D,)</f>
        <v>135762195</v>
      </c>
      <c r="G2529" s="28" t="str">
        <f>_xlfn.XLOOKUP(Table134526_79101120212223242526[[#This Row],[Name Surname]],Manpower!$C$4:$C$1048576,Manpower!$F$4:$F$1048576,"")</f>
        <v>HSE Officer</v>
      </c>
      <c r="H2529" s="28" t="str">
        <f>_xlfn.XLOOKUP(Table134526_79101120212223242526[[#This Row],[Name Surname]],Manpower!$C$4:$C$1048576,Manpower!$H$4:$H$1048576,"")</f>
        <v>Sub Contactor</v>
      </c>
      <c r="I2529" s="28" t="str">
        <f>_xlfn.XLOOKUP(Table134526_79101120212223242526[[#This Row],[Name Surname]],Manpower!$C$4:$C$1048576,Manpower!$H$4:$H$1048576,"")</f>
        <v>Sub Contactor</v>
      </c>
      <c r="J2529" s="21" t="s">
        <v>35</v>
      </c>
      <c r="K2529" s="21" t="s">
        <v>279</v>
      </c>
      <c r="L2529" s="21" t="s">
        <v>82</v>
      </c>
      <c r="M2529" s="21" t="s">
        <v>24</v>
      </c>
      <c r="N2529" s="29">
        <v>10</v>
      </c>
      <c r="O2529" s="21" t="s">
        <v>25</v>
      </c>
      <c r="P2529" s="21" t="s">
        <v>41</v>
      </c>
      <c r="Q2529" s="21" t="s">
        <v>60</v>
      </c>
      <c r="R2529" s="21" t="s">
        <v>388</v>
      </c>
    </row>
    <row r="2530" spans="1:19" ht="14.4" hidden="1">
      <c r="A2530" s="33">
        <f>IF(C2530="","",MAX($A$1:A2529)+1)</f>
        <v>2353</v>
      </c>
      <c r="B2530" s="26" t="s">
        <v>79</v>
      </c>
      <c r="C2530" s="23">
        <v>46103</v>
      </c>
      <c r="D2530" s="28" t="str">
        <f>_xlfn.XLOOKUP(Table134526_79101120212223242526[[#This Row],[Name Surname]],Manpower!$C$4:$C$1048576,Manpower!$B$4:$B$1048576,"")</f>
        <v>Encogroup</v>
      </c>
      <c r="E2530" s="21" t="s">
        <v>133</v>
      </c>
      <c r="F2530" s="12">
        <f>_xlfn.XLOOKUP(Table134526_79101120212223242526[[#This Row],[Name Surname]],Manpower!C:C,Manpower!D:D,)</f>
        <v>140846684</v>
      </c>
      <c r="G2530" s="28" t="str">
        <f>_xlfn.XLOOKUP(Table134526_79101120212223242526[[#This Row],[Name Surname]],Manpower!$C$4:$C$1048576,Manpower!$F$4:$F$1048576,"")</f>
        <v>Assistant/Helper</v>
      </c>
      <c r="H2530" s="28" t="str">
        <f>_xlfn.XLOOKUP(Table134526_79101120212223242526[[#This Row],[Name Surname]],Manpower!$C$4:$C$1048576,Manpower!$H$4:$H$1048576,"")</f>
        <v>Manpower</v>
      </c>
      <c r="I2530" s="28" t="str">
        <f>_xlfn.XLOOKUP(Table134526_79101120212223242526[[#This Row],[Name Surname]],Manpower!$C$4:$C$1048576,Manpower!$H$4:$H$1048576,"")</f>
        <v>Manpower</v>
      </c>
      <c r="J2530" s="21" t="s">
        <v>35</v>
      </c>
      <c r="K2530" s="21" t="s">
        <v>279</v>
      </c>
      <c r="L2530" s="21" t="s">
        <v>82</v>
      </c>
      <c r="M2530" s="21" t="s">
        <v>24</v>
      </c>
      <c r="N2530" s="29">
        <v>10</v>
      </c>
      <c r="O2530" s="21" t="s">
        <v>25</v>
      </c>
      <c r="P2530" s="21" t="s">
        <v>41</v>
      </c>
      <c r="Q2530" s="21" t="s">
        <v>60</v>
      </c>
      <c r="R2530" s="21" t="s">
        <v>100</v>
      </c>
    </row>
    <row r="2531" spans="1:19" ht="14.4" hidden="1">
      <c r="A2531" s="33">
        <f>IF(C2531="","",MAX($A$1:A2530)+1)</f>
        <v>2354</v>
      </c>
      <c r="B2531" s="26" t="s">
        <v>79</v>
      </c>
      <c r="C2531" s="23">
        <v>46103</v>
      </c>
      <c r="D2531" s="28" t="str">
        <f>_xlfn.XLOOKUP(Table134526_79101120212223242526[[#This Row],[Name Surname]],Manpower!$C$4:$C$1048576,Manpower!$B$4:$B$1048576,"")</f>
        <v>Encogroup</v>
      </c>
      <c r="E2531" s="21" t="s">
        <v>136</v>
      </c>
      <c r="F2531" s="12">
        <f>_xlfn.XLOOKUP(Table134526_79101120212223242526[[#This Row],[Name Surname]],Manpower!C:C,Manpower!D:D,)</f>
        <v>141250908</v>
      </c>
      <c r="G2531" s="28" t="str">
        <f>_xlfn.XLOOKUP(Table134526_79101120212223242526[[#This Row],[Name Surname]],Manpower!$C$4:$C$1048576,Manpower!$F$4:$F$1048576,"")</f>
        <v>Mechanical Engineer</v>
      </c>
      <c r="H2531" s="28" t="str">
        <f>_xlfn.XLOOKUP(Table134526_79101120212223242526[[#This Row],[Name Surname]],Manpower!$C$4:$C$1048576,Manpower!$H$4:$H$1048576,"")</f>
        <v>Manpower</v>
      </c>
      <c r="I2531" s="28" t="str">
        <f>_xlfn.XLOOKUP(Table134526_79101120212223242526[[#This Row],[Name Surname]],Manpower!$C$4:$C$1048576,Manpower!$H$4:$H$1048576,"")</f>
        <v>Manpower</v>
      </c>
      <c r="J2531" s="21" t="s">
        <v>35</v>
      </c>
      <c r="K2531" s="21" t="s">
        <v>279</v>
      </c>
      <c r="L2531" s="21" t="s">
        <v>82</v>
      </c>
      <c r="M2531" s="21" t="s">
        <v>24</v>
      </c>
      <c r="N2531" s="29">
        <v>10</v>
      </c>
      <c r="O2531" s="21" t="s">
        <v>25</v>
      </c>
      <c r="P2531" s="21" t="s">
        <v>41</v>
      </c>
      <c r="Q2531" s="21" t="s">
        <v>60</v>
      </c>
      <c r="R2531" s="21" t="s">
        <v>388</v>
      </c>
    </row>
    <row r="2532" spans="1:19" ht="14.4">
      <c r="A2532" s="33">
        <f>IF(C2532="","",MAX($A$1:A2531)+1)</f>
        <v>2355</v>
      </c>
      <c r="B2532" s="26" t="s">
        <v>79</v>
      </c>
      <c r="C2532" s="23">
        <v>46103</v>
      </c>
      <c r="D2532" s="28" t="str">
        <f>_xlfn.XLOOKUP(Table134526_79101120212223242526[[#This Row],[Name Surname]],Manpower!$C$4:$C$1048576,Manpower!$B$4:$B$1048576,"")</f>
        <v>Encogroup</v>
      </c>
      <c r="E2532" s="21" t="s">
        <v>137</v>
      </c>
      <c r="F2532" s="12" t="e">
        <f>_xlfn.XLOOKUP(Table134526_79101120212223242526[[#This Row],[Name Surname]],Manpower!C:C,Manpower!D:D,)</f>
        <v>#N/A</v>
      </c>
      <c r="G2532" s="28" t="str">
        <f>_xlfn.XLOOKUP(Table134526_79101120212223242526[[#This Row],[Name Surname]],Manpower!$C$4:$C$1048576,Manpower!$F$4:$F$1048576,"")</f>
        <v>55 Seat Bus</v>
      </c>
      <c r="H2532" s="28" t="str">
        <f>_xlfn.XLOOKUP(Table134526_79101120212223242526[[#This Row],[Name Surname]],Manpower!$C$4:$C$1048576,Manpower!$H$4:$H$1048576,"")</f>
        <v>Equipment</v>
      </c>
      <c r="I2532" s="28" t="str">
        <f>_xlfn.XLOOKUP(Table134526_79101120212223242526[[#This Row],[Name Surname]],Manpower!$C$4:$C$1048576,Manpower!$H$4:$H$1048576,"")</f>
        <v>Equipment</v>
      </c>
      <c r="J2532" s="21" t="s">
        <v>35</v>
      </c>
      <c r="K2532" s="21" t="s">
        <v>279</v>
      </c>
      <c r="L2532" s="21" t="s">
        <v>82</v>
      </c>
      <c r="M2532" s="21" t="s">
        <v>24</v>
      </c>
      <c r="N2532" s="29">
        <v>10</v>
      </c>
      <c r="O2532" s="21" t="s">
        <v>138</v>
      </c>
      <c r="P2532" s="21" t="s">
        <v>138</v>
      </c>
      <c r="Q2532" s="21" t="s">
        <v>138</v>
      </c>
      <c r="R2532" s="21" t="s">
        <v>26</v>
      </c>
    </row>
    <row r="2533" spans="1:19" ht="14.4">
      <c r="A2533" s="33">
        <f>IF(C2533="","",MAX($A$1:A2531)+1)</f>
        <v>2355</v>
      </c>
      <c r="B2533" s="26" t="s">
        <v>79</v>
      </c>
      <c r="C2533" s="23">
        <v>46103</v>
      </c>
      <c r="D2533" s="28" t="str">
        <f>_xlfn.XLOOKUP(Table134526_79101120212223242526[[#This Row],[Name Surname]],Manpower!$C$4:$C$1048576,Manpower!$B$4:$B$1048576,"")</f>
        <v>Encogroup</v>
      </c>
      <c r="E2533" s="21" t="s">
        <v>139</v>
      </c>
      <c r="F2533" s="12" t="e">
        <f>_xlfn.XLOOKUP(Table134526_79101120212223242526[[#This Row],[Name Surname]],Manpower!C:C,Manpower!D:D,)</f>
        <v>#N/A</v>
      </c>
      <c r="G2533" s="28" t="str">
        <f>_xlfn.XLOOKUP(Table134526_79101120212223242526[[#This Row],[Name Surname]],Manpower!$C$4:$C$1048576,Manpower!$F$4:$F$1048576,"")</f>
        <v>TOWER LIGHT</v>
      </c>
      <c r="H2533" s="28" t="str">
        <f>_xlfn.XLOOKUP(Table134526_79101120212223242526[[#This Row],[Name Surname]],Manpower!$C$4:$C$1048576,Manpower!$H$4:$H$1048576,"")</f>
        <v>Equipment</v>
      </c>
      <c r="I2533" s="28" t="str">
        <f>_xlfn.XLOOKUP(Table134526_79101120212223242526[[#This Row],[Name Surname]],Manpower!$C$4:$C$1048576,Manpower!$H$4:$H$1048576,"")</f>
        <v>Equipment</v>
      </c>
      <c r="J2533" s="21" t="s">
        <v>35</v>
      </c>
      <c r="K2533" s="21" t="s">
        <v>279</v>
      </c>
      <c r="L2533" s="21" t="s">
        <v>82</v>
      </c>
      <c r="M2533" s="21" t="s">
        <v>24</v>
      </c>
      <c r="N2533" s="29">
        <v>10</v>
      </c>
      <c r="O2533" s="21" t="s">
        <v>140</v>
      </c>
      <c r="P2533" s="21" t="s">
        <v>140</v>
      </c>
      <c r="Q2533" s="21" t="s">
        <v>140</v>
      </c>
      <c r="R2533" s="21" t="s">
        <v>26</v>
      </c>
    </row>
    <row r="2534" spans="1:19" ht="14.4">
      <c r="A2534" s="33">
        <f>IF(C2534="","",MAX($A$1:A2533)+1)</f>
        <v>2356</v>
      </c>
      <c r="B2534" s="26" t="s">
        <v>79</v>
      </c>
      <c r="C2534" s="23">
        <v>46103</v>
      </c>
      <c r="D2534" s="28" t="str">
        <f>_xlfn.XLOOKUP(Table134526_79101120212223242526[[#This Row],[Name Surname]],Manpower!$C$4:$C$1048576,Manpower!$B$4:$B$1048576,"")</f>
        <v>Encogroup</v>
      </c>
      <c r="E2534" s="21" t="s">
        <v>355</v>
      </c>
      <c r="F2534" s="12" t="e">
        <f>_xlfn.XLOOKUP(Table134526_79101120212223242526[[#This Row],[Name Surname]],Manpower!C:C,Manpower!D:D,)</f>
        <v>#N/A</v>
      </c>
      <c r="G2534" s="28" t="str">
        <f>_xlfn.XLOOKUP(Table134526_79101120212223242526[[#This Row],[Name Surname]],Manpower!$C$4:$C$1048576,Manpower!$F$4:$F$1048576,"")</f>
        <v>TOWER LIGHT</v>
      </c>
      <c r="H2534" s="28" t="str">
        <f>_xlfn.XLOOKUP(Table134526_79101120212223242526[[#This Row],[Name Surname]],Manpower!$C$4:$C$1048576,Manpower!$H$4:$H$1048576,"")</f>
        <v>Equipment</v>
      </c>
      <c r="I2534" s="28" t="str">
        <f>_xlfn.XLOOKUP(Table134526_79101120212223242526[[#This Row],[Name Surname]],Manpower!$C$4:$C$1048576,Manpower!$H$4:$H$1048576,"")</f>
        <v>Equipment</v>
      </c>
      <c r="J2534" s="21" t="s">
        <v>35</v>
      </c>
      <c r="K2534" s="21" t="s">
        <v>279</v>
      </c>
      <c r="L2534" s="21" t="s">
        <v>82</v>
      </c>
      <c r="M2534" s="21" t="s">
        <v>24</v>
      </c>
      <c r="N2534" s="29">
        <v>10</v>
      </c>
      <c r="O2534" s="21" t="s">
        <v>140</v>
      </c>
      <c r="P2534" s="21" t="s">
        <v>140</v>
      </c>
      <c r="Q2534" s="21" t="s">
        <v>140</v>
      </c>
      <c r="R2534" s="21" t="s">
        <v>26</v>
      </c>
    </row>
    <row r="2535" spans="1:19" ht="14.4">
      <c r="A2535" s="33">
        <f>IF(C2535="","",MAX($A$1:A2534)+1)</f>
        <v>2357</v>
      </c>
      <c r="B2535" s="27" t="s">
        <v>141</v>
      </c>
      <c r="C2535" s="23">
        <v>46103</v>
      </c>
      <c r="D2535" s="28" t="str">
        <f>_xlfn.XLOOKUP(Table134526_79101120212223242526[[#This Row],[Name Surname]],Manpower!$C$4:$C$1048576,Manpower!$B$4:$B$1048576,"")</f>
        <v>Nass Group</v>
      </c>
      <c r="E2535" s="21" t="s">
        <v>148</v>
      </c>
      <c r="F2535" s="12" t="e">
        <f>_xlfn.XLOOKUP(Table134526_79101120212223242526[[#This Row],[Name Surname]],Manpower!C:C,Manpower!D:D,)</f>
        <v>#N/A</v>
      </c>
      <c r="G2535" s="28" t="str">
        <f>_xlfn.XLOOKUP(Table134526_79101120212223242526[[#This Row],[Name Surname]],Manpower!$C$4:$C$1048576,Manpower!$F$4:$F$1048576,"")</f>
        <v>70T-Telescopic crane</v>
      </c>
      <c r="H2535" s="28" t="str">
        <f>_xlfn.XLOOKUP(Table134526_79101120212223242526[[#This Row],[Name Surname]],Manpower!$C$4:$C$1048576,Manpower!$H$4:$H$1048576,"")</f>
        <v>Equipment</v>
      </c>
      <c r="I2535" s="28" t="str">
        <f>_xlfn.XLOOKUP(Table134526_79101120212223242526[[#This Row],[Name Surname]],Manpower!$C$4:$C$1048576,Manpower!$H$4:$H$1048576,"")</f>
        <v>Equipment</v>
      </c>
      <c r="J2535" s="21" t="s">
        <v>143</v>
      </c>
      <c r="K2535" s="21" t="s">
        <v>26</v>
      </c>
      <c r="L2535" s="21" t="s">
        <v>144</v>
      </c>
      <c r="M2535" s="21" t="s">
        <v>24</v>
      </c>
      <c r="N2535" s="29">
        <v>10</v>
      </c>
      <c r="O2535" s="21" t="s">
        <v>40</v>
      </c>
      <c r="P2535" s="21" t="s">
        <v>42</v>
      </c>
      <c r="Q2535" s="21" t="s">
        <v>42</v>
      </c>
      <c r="R2535" s="21" t="s">
        <v>368</v>
      </c>
    </row>
    <row r="2536" spans="1:19" s="45" customFormat="1" ht="14.4" hidden="1">
      <c r="A2536" s="25">
        <f>IF(C2536="","",MAX($A$1:A2535)+1)</f>
        <v>2358</v>
      </c>
      <c r="B2536" s="25" t="s">
        <v>141</v>
      </c>
      <c r="C2536" s="41">
        <v>46103</v>
      </c>
      <c r="D2536" s="48" t="str">
        <f>_xlfn.XLOOKUP(Table134526_79101120212223242526[[#This Row],[Name Surname]],Manpower!$C$4:$C$1048576,Manpower!$B$4:$B$1048576,"")</f>
        <v>Rial Al Khaleej</v>
      </c>
      <c r="E2536" s="43" t="s">
        <v>38</v>
      </c>
      <c r="F2536" s="12">
        <f>_xlfn.XLOOKUP(Table134526_79101120212223242526[[#This Row],[Name Surname]],Manpower!C:C,Manpower!D:D,)</f>
        <v>98845403</v>
      </c>
      <c r="G2536" s="48" t="str">
        <f>_xlfn.XLOOKUP(Table134526_79101120212223242526[[#This Row],[Name Surname]],Manpower!$C$4:$C$1048576,Manpower!$F$4:$F$1048576,"")</f>
        <v>Crane Operator-100T Zoomlion Telescopic</v>
      </c>
      <c r="H2536" s="48" t="str">
        <f>_xlfn.XLOOKUP(Table134526_79101120212223242526[[#This Row],[Name Surname]],Manpower!$C$4:$C$1048576,Manpower!$H$4:$H$1048576,"")</f>
        <v>Manpower</v>
      </c>
      <c r="I2536" s="48" t="str">
        <f>_xlfn.XLOOKUP(Table134526_79101120212223242526[[#This Row],[Name Surname]],Manpower!$C$4:$C$1048576,Manpower!$H$4:$H$1048576,"")</f>
        <v>Manpower</v>
      </c>
      <c r="J2536" s="43" t="s">
        <v>143</v>
      </c>
      <c r="K2536" s="43" t="s">
        <v>26</v>
      </c>
      <c r="L2536" s="43" t="s">
        <v>144</v>
      </c>
      <c r="M2536" s="43" t="s">
        <v>24</v>
      </c>
      <c r="N2536" s="44">
        <v>10</v>
      </c>
      <c r="O2536" s="43" t="s">
        <v>40</v>
      </c>
      <c r="P2536" s="43" t="s">
        <v>42</v>
      </c>
      <c r="Q2536" s="43" t="s">
        <v>42</v>
      </c>
      <c r="R2536" s="43" t="s">
        <v>392</v>
      </c>
      <c r="S2536" s="43"/>
    </row>
    <row r="2537" spans="1:19" ht="14.4">
      <c r="A2537" s="33">
        <f>IF(C2537="","",MAX($A$1:A2536)+1)</f>
        <v>2359</v>
      </c>
      <c r="B2537" s="27" t="s">
        <v>141</v>
      </c>
      <c r="C2537" s="23">
        <v>46103</v>
      </c>
      <c r="D2537" s="28" t="str">
        <f>_xlfn.XLOOKUP(Table134526_79101120212223242526[[#This Row],[Name Surname]],Manpower!$C$4:$C$1048576,Manpower!$B$4:$B$1048576,"")</f>
        <v>Riyan Al Khaleej</v>
      </c>
      <c r="E2537" s="21" t="s">
        <v>20</v>
      </c>
      <c r="F2537" s="12" t="e">
        <f>_xlfn.XLOOKUP(Table134526_79101120212223242526[[#This Row],[Name Surname]],Manpower!C:C,Manpower!D:D,)</f>
        <v>#N/A</v>
      </c>
      <c r="G2537" s="28" t="str">
        <f>_xlfn.XLOOKUP(Table134526_79101120212223242526[[#This Row],[Name Surname]],Manpower!$C$4:$C$1048576,Manpower!$F$4:$F$1048576,"")</f>
        <v>100T Telescopic Crane</v>
      </c>
      <c r="H2537" s="28" t="str">
        <f>_xlfn.XLOOKUP(Table134526_79101120212223242526[[#This Row],[Name Surname]],Manpower!$C$4:$C$1048576,Manpower!$H$4:$H$1048576,"")</f>
        <v>Equipment</v>
      </c>
      <c r="I2537" s="28" t="str">
        <f>_xlfn.XLOOKUP(Table134526_79101120212223242526[[#This Row],[Name Surname]],Manpower!$C$4:$C$1048576,Manpower!$H$4:$H$1048576,"")</f>
        <v>Equipment</v>
      </c>
      <c r="J2537" s="21" t="s">
        <v>143</v>
      </c>
      <c r="K2537" s="21" t="s">
        <v>26</v>
      </c>
      <c r="L2537" s="21" t="s">
        <v>144</v>
      </c>
      <c r="M2537" s="21" t="s">
        <v>24</v>
      </c>
      <c r="N2537" s="29">
        <v>10</v>
      </c>
      <c r="O2537" s="21" t="s">
        <v>40</v>
      </c>
      <c r="P2537" s="21" t="s">
        <v>42</v>
      </c>
      <c r="Q2537" s="21" t="s">
        <v>42</v>
      </c>
      <c r="R2537" s="21" t="s">
        <v>392</v>
      </c>
    </row>
    <row r="2538" spans="1:19" s="45" customFormat="1" ht="14.4" hidden="1">
      <c r="A2538" s="25">
        <f>IF(C2538="","",MAX($A$1:A2537)+1)</f>
        <v>2360</v>
      </c>
      <c r="B2538" s="25" t="s">
        <v>141</v>
      </c>
      <c r="C2538" s="41">
        <v>46103</v>
      </c>
      <c r="D2538" s="48" t="str">
        <f>_xlfn.XLOOKUP(Table134526_79101120212223242526[[#This Row],[Name Surname]],Manpower!$C$4:$C$1048576,Manpower!$B$4:$B$1048576,"")</f>
        <v>SARENS NASS</v>
      </c>
      <c r="E2538" s="43" t="s">
        <v>162</v>
      </c>
      <c r="F2538" s="12">
        <f>_xlfn.XLOOKUP(Table134526_79101120212223242526[[#This Row],[Name Surname]],Manpower!C:C,Manpower!D:D,)</f>
        <v>78753612</v>
      </c>
      <c r="G2538" s="48" t="str">
        <f>_xlfn.XLOOKUP(Table134526_79101120212223242526[[#This Row],[Name Surname]],Manpower!$C$4:$C$1048576,Manpower!$F$4:$F$1048576,"")</f>
        <v>Crane Operator- 70T Liebherr Telescopic Crane-02</v>
      </c>
      <c r="H2538" s="48" t="str">
        <f>_xlfn.XLOOKUP(Table134526_79101120212223242526[[#This Row],[Name Surname]],Manpower!$C$4:$C$1048576,Manpower!$H$4:$H$1048576,"")</f>
        <v>Manpower</v>
      </c>
      <c r="I2538" s="48" t="str">
        <f>_xlfn.XLOOKUP(Table134526_79101120212223242526[[#This Row],[Name Surname]],Manpower!$C$4:$C$1048576,Manpower!$H$4:$H$1048576,"")</f>
        <v>Manpower</v>
      </c>
      <c r="J2538" s="43" t="s">
        <v>143</v>
      </c>
      <c r="K2538" s="43" t="s">
        <v>26</v>
      </c>
      <c r="L2538" s="43" t="s">
        <v>144</v>
      </c>
      <c r="M2538" s="43" t="s">
        <v>24</v>
      </c>
      <c r="N2538" s="44">
        <v>10</v>
      </c>
      <c r="O2538" s="43" t="s">
        <v>40</v>
      </c>
      <c r="P2538" s="43" t="s">
        <v>42</v>
      </c>
      <c r="Q2538" s="43" t="s">
        <v>42</v>
      </c>
      <c r="R2538" s="43" t="s">
        <v>368</v>
      </c>
      <c r="S2538" s="43"/>
    </row>
    <row r="2539" spans="1:19" ht="14.4">
      <c r="A2539" s="33">
        <f>IF(C2539="","",MAX($A$1:A2538)+1)</f>
        <v>2361</v>
      </c>
      <c r="B2539" s="27" t="s">
        <v>141</v>
      </c>
      <c r="C2539" s="23">
        <v>46103</v>
      </c>
      <c r="D2539" s="28" t="str">
        <f>_xlfn.XLOOKUP(Table134526_79101120212223242526[[#This Row],[Name Surname]],Manpower!$C$4:$C$1048576,Manpower!$B$4:$B$1048576,"")</f>
        <v>Encogroup</v>
      </c>
      <c r="E2539" s="21" t="s">
        <v>142</v>
      </c>
      <c r="F2539" s="12" t="e">
        <f>_xlfn.XLOOKUP(Table134526_79101120212223242526[[#This Row],[Name Surname]],Manpower!C:C,Manpower!D:D,)</f>
        <v>#N/A</v>
      </c>
      <c r="G2539" s="28" t="str">
        <f>_xlfn.XLOOKUP(Table134526_79101120212223242526[[#This Row],[Name Surname]],Manpower!$C$4:$C$1048576,Manpower!$F$4:$F$1048576,"")</f>
        <v>13 Seat Bus</v>
      </c>
      <c r="H2539" s="28" t="str">
        <f>_xlfn.XLOOKUP(Table134526_79101120212223242526[[#This Row],[Name Surname]],Manpower!$C$4:$C$1048576,Manpower!$H$4:$H$1048576,"")</f>
        <v>Equipment</v>
      </c>
      <c r="I2539" s="28" t="str">
        <f>_xlfn.XLOOKUP(Table134526_79101120212223242526[[#This Row],[Name Surname]],Manpower!$C$4:$C$1048576,Manpower!$H$4:$H$1048576,"")</f>
        <v>Equipment</v>
      </c>
      <c r="J2539" s="21" t="s">
        <v>143</v>
      </c>
      <c r="K2539" s="21" t="s">
        <v>26</v>
      </c>
      <c r="L2539" s="21" t="s">
        <v>144</v>
      </c>
      <c r="M2539" s="21" t="s">
        <v>24</v>
      </c>
      <c r="N2539" s="29">
        <v>10</v>
      </c>
      <c r="O2539" s="21" t="s">
        <v>138</v>
      </c>
      <c r="P2539" s="21" t="s">
        <v>138</v>
      </c>
      <c r="Q2539" s="21" t="s">
        <v>138</v>
      </c>
      <c r="R2539" s="21" t="s">
        <v>26</v>
      </c>
    </row>
    <row r="2540" spans="1:19" ht="14.4">
      <c r="A2540" s="33">
        <f>IF(C2540="","",MAX($A$1:A2539)+1)</f>
        <v>2362</v>
      </c>
      <c r="B2540" s="27" t="s">
        <v>141</v>
      </c>
      <c r="C2540" s="23">
        <v>46103</v>
      </c>
      <c r="D2540" s="28" t="str">
        <f>_xlfn.XLOOKUP(Table134526_79101120212223242526[[#This Row],[Name Surname]],Manpower!$C$4:$C$1048576,Manpower!$B$4:$B$1048576,"")</f>
        <v>Encogroup</v>
      </c>
      <c r="E2540" s="21" t="s">
        <v>145</v>
      </c>
      <c r="F2540" s="12" t="e">
        <f>_xlfn.XLOOKUP(Table134526_79101120212223242526[[#This Row],[Name Surname]],Manpower!C:C,Manpower!D:D,)</f>
        <v>#N/A</v>
      </c>
      <c r="G2540" s="28" t="str">
        <f>_xlfn.XLOOKUP(Table134526_79101120212223242526[[#This Row],[Name Surname]],Manpower!$C$4:$C$1048576,Manpower!$F$4:$F$1048576,"")</f>
        <v>15 Seat Bus</v>
      </c>
      <c r="H2540" s="28" t="str">
        <f>_xlfn.XLOOKUP(Table134526_79101120212223242526[[#This Row],[Name Surname]],Manpower!$C$4:$C$1048576,Manpower!$H$4:$H$1048576,"")</f>
        <v>Equipment</v>
      </c>
      <c r="I2540" s="28" t="str">
        <f>_xlfn.XLOOKUP(Table134526_79101120212223242526[[#This Row],[Name Surname]],Manpower!$C$4:$C$1048576,Manpower!$H$4:$H$1048576,"")</f>
        <v>Equipment</v>
      </c>
      <c r="J2540" s="21" t="s">
        <v>143</v>
      </c>
      <c r="K2540" s="21" t="s">
        <v>26</v>
      </c>
      <c r="L2540" s="21" t="s">
        <v>144</v>
      </c>
      <c r="M2540" s="21" t="s">
        <v>24</v>
      </c>
      <c r="N2540" s="29">
        <v>10</v>
      </c>
      <c r="O2540" s="21" t="s">
        <v>138</v>
      </c>
      <c r="P2540" s="21" t="s">
        <v>138</v>
      </c>
      <c r="Q2540" s="21" t="s">
        <v>138</v>
      </c>
      <c r="R2540" s="21" t="s">
        <v>26</v>
      </c>
    </row>
    <row r="2541" spans="1:19" ht="14.4">
      <c r="A2541" s="33">
        <f>IF(C2541="","",MAX($A$1:A2539)+1)</f>
        <v>2362</v>
      </c>
      <c r="B2541" s="27" t="s">
        <v>141</v>
      </c>
      <c r="C2541" s="23">
        <v>46103</v>
      </c>
      <c r="D2541" s="28" t="str">
        <f>_xlfn.XLOOKUP(Table134526_79101120212223242526[[#This Row],[Name Surname]],Manpower!$C$4:$C$1048576,Manpower!$B$4:$B$1048576,"")</f>
        <v>Encogroup</v>
      </c>
      <c r="E2541" s="21" t="s">
        <v>150</v>
      </c>
      <c r="F2541" s="12" t="e">
        <f>_xlfn.XLOOKUP(Table134526_79101120212223242526[[#This Row],[Name Surname]],Manpower!C:C,Manpower!D:D,)</f>
        <v>#N/A</v>
      </c>
      <c r="G2541" s="28" t="str">
        <f>_xlfn.XLOOKUP(Table134526_79101120212223242526[[#This Row],[Name Surname]],Manpower!$C$4:$C$1048576,Manpower!$F$4:$F$1048576,"")</f>
        <v>14T Fork lift</v>
      </c>
      <c r="H2541" s="28" t="str">
        <f>_xlfn.XLOOKUP(Table134526_79101120212223242526[[#This Row],[Name Surname]],Manpower!$C$4:$C$1048576,Manpower!$H$4:$H$1048576,"")</f>
        <v>Equipment</v>
      </c>
      <c r="I2541" s="28" t="str">
        <f>_xlfn.XLOOKUP(Table134526_79101120212223242526[[#This Row],[Name Surname]],Manpower!$C$4:$C$1048576,Manpower!$H$4:$H$1048576,"")</f>
        <v>Equipment</v>
      </c>
      <c r="J2541" s="21" t="s">
        <v>143</v>
      </c>
      <c r="K2541" s="21" t="s">
        <v>26</v>
      </c>
      <c r="L2541" s="21" t="s">
        <v>144</v>
      </c>
      <c r="M2541" s="21" t="s">
        <v>24</v>
      </c>
      <c r="N2541" s="29">
        <v>10</v>
      </c>
      <c r="O2541" s="21" t="s">
        <v>40</v>
      </c>
      <c r="P2541" s="21" t="s">
        <v>42</v>
      </c>
      <c r="Q2541" s="21" t="s">
        <v>41</v>
      </c>
      <c r="R2541" s="21" t="s">
        <v>272</v>
      </c>
    </row>
    <row r="2542" spans="1:19" ht="14.4">
      <c r="A2542" s="33">
        <f>IF(C2542="","",MAX($A$1:A2541)+1)</f>
        <v>2363</v>
      </c>
      <c r="B2542" s="27" t="s">
        <v>141</v>
      </c>
      <c r="C2542" s="23">
        <v>46103</v>
      </c>
      <c r="D2542" s="28" t="str">
        <f>_xlfn.XLOOKUP(Table134526_79101120212223242526[[#This Row],[Name Surname]],Manpower!$C$4:$C$1048576,Manpower!$B$4:$B$1048576,"")</f>
        <v>Encogroup</v>
      </c>
      <c r="E2542" s="21" t="s">
        <v>153</v>
      </c>
      <c r="F2542" s="12" t="e">
        <f>_xlfn.XLOOKUP(Table134526_79101120212223242526[[#This Row],[Name Surname]],Manpower!C:C,Manpower!D:D,)</f>
        <v>#N/A</v>
      </c>
      <c r="G2542" s="28" t="str">
        <f>_xlfn.XLOOKUP(Table134526_79101120212223242526[[#This Row],[Name Surname]],Manpower!$C$4:$C$1048576,Manpower!$F$4:$F$1048576,"")</f>
        <v>22 Seat Bus</v>
      </c>
      <c r="H2542" s="28" t="str">
        <f>_xlfn.XLOOKUP(Table134526_79101120212223242526[[#This Row],[Name Surname]],Manpower!$C$4:$C$1048576,Manpower!$H$4:$H$1048576,"")</f>
        <v>Equipment</v>
      </c>
      <c r="I2542" s="28" t="str">
        <f>_xlfn.XLOOKUP(Table134526_79101120212223242526[[#This Row],[Name Surname]],Manpower!$C$4:$C$1048576,Manpower!$H$4:$H$1048576,"")</f>
        <v>Equipment</v>
      </c>
      <c r="J2542" s="21" t="s">
        <v>143</v>
      </c>
      <c r="K2542" s="21" t="s">
        <v>26</v>
      </c>
      <c r="L2542" s="21" t="s">
        <v>144</v>
      </c>
      <c r="M2542" s="21" t="s">
        <v>24</v>
      </c>
      <c r="N2542" s="29">
        <v>10</v>
      </c>
      <c r="O2542" s="21" t="s">
        <v>138</v>
      </c>
      <c r="P2542" s="21" t="s">
        <v>138</v>
      </c>
      <c r="Q2542" s="21" t="s">
        <v>138</v>
      </c>
      <c r="R2542" s="21" t="s">
        <v>26</v>
      </c>
    </row>
    <row r="2543" spans="1:19" ht="14.4">
      <c r="A2543" s="33">
        <f>IF(C2543="","",MAX($A$1:A2542)+1)</f>
        <v>2364</v>
      </c>
      <c r="B2543" s="27" t="s">
        <v>141</v>
      </c>
      <c r="C2543" s="23">
        <v>46103</v>
      </c>
      <c r="D2543" s="28" t="str">
        <f>_xlfn.XLOOKUP(Table134526_79101120212223242526[[#This Row],[Name Surname]],Manpower!$C$4:$C$1048576,Manpower!$B$4:$B$1048576,"")</f>
        <v>Encogroup</v>
      </c>
      <c r="E2543" s="21" t="s">
        <v>154</v>
      </c>
      <c r="F2543" s="12" t="e">
        <f>_xlfn.XLOOKUP(Table134526_79101120212223242526[[#This Row],[Name Surname]],Manpower!C:C,Manpower!D:D,)</f>
        <v>#N/A</v>
      </c>
      <c r="G2543" s="28" t="str">
        <f>_xlfn.XLOOKUP(Table134526_79101120212223242526[[#This Row],[Name Surname]],Manpower!$C$4:$C$1048576,Manpower!$F$4:$F$1048576,"")</f>
        <v>22 Seat Bus</v>
      </c>
      <c r="H2543" s="28" t="str">
        <f>_xlfn.XLOOKUP(Table134526_79101120212223242526[[#This Row],[Name Surname]],Manpower!$C$4:$C$1048576,Manpower!$H$4:$H$1048576,"")</f>
        <v>Equipment</v>
      </c>
      <c r="I2543" s="28" t="str">
        <f>_xlfn.XLOOKUP(Table134526_79101120212223242526[[#This Row],[Name Surname]],Manpower!$C$4:$C$1048576,Manpower!$H$4:$H$1048576,"")</f>
        <v>Equipment</v>
      </c>
      <c r="J2543" s="21" t="s">
        <v>143</v>
      </c>
      <c r="K2543" s="21" t="s">
        <v>26</v>
      </c>
      <c r="L2543" s="21" t="s">
        <v>144</v>
      </c>
      <c r="M2543" s="21" t="s">
        <v>24</v>
      </c>
      <c r="N2543" s="29">
        <v>10</v>
      </c>
      <c r="O2543" s="21" t="s">
        <v>138</v>
      </c>
      <c r="P2543" s="21" t="s">
        <v>138</v>
      </c>
      <c r="Q2543" s="21" t="s">
        <v>138</v>
      </c>
      <c r="R2543" s="21" t="s">
        <v>26</v>
      </c>
    </row>
    <row r="2544" spans="1:19" ht="14.4">
      <c r="A2544" s="33">
        <f>IF(C2544="","",MAX($A$1:A2543)+1)</f>
        <v>2365</v>
      </c>
      <c r="B2544" s="27" t="s">
        <v>141</v>
      </c>
      <c r="C2544" s="23">
        <v>46103</v>
      </c>
      <c r="D2544" s="28" t="str">
        <f>_xlfn.XLOOKUP(Table134526_79101120212223242526[[#This Row],[Name Surname]],Manpower!$C$4:$C$1048576,Manpower!$B$4:$B$1048576,"")</f>
        <v>Encogroup</v>
      </c>
      <c r="E2544" s="21" t="s">
        <v>155</v>
      </c>
      <c r="F2544" s="12" t="e">
        <f>_xlfn.XLOOKUP(Table134526_79101120212223242526[[#This Row],[Name Surname]],Manpower!C:C,Manpower!D:D,)</f>
        <v>#N/A</v>
      </c>
      <c r="G2544" s="28" t="str">
        <f>_xlfn.XLOOKUP(Table134526_79101120212223242526[[#This Row],[Name Surname]],Manpower!$C$4:$C$1048576,Manpower!$F$4:$F$1048576,"")</f>
        <v>300 KVA Generator</v>
      </c>
      <c r="H2544" s="28" t="str">
        <f>_xlfn.XLOOKUP(Table134526_79101120212223242526[[#This Row],[Name Surname]],Manpower!$C$4:$C$1048576,Manpower!$H$4:$H$1048576,"")</f>
        <v>Equipment</v>
      </c>
      <c r="I2544" s="28" t="str">
        <f>_xlfn.XLOOKUP(Table134526_79101120212223242526[[#This Row],[Name Surname]],Manpower!$C$4:$C$1048576,Manpower!$H$4:$H$1048576,"")</f>
        <v>Equipment</v>
      </c>
      <c r="J2544" s="21" t="s">
        <v>143</v>
      </c>
      <c r="K2544" s="21" t="s">
        <v>26</v>
      </c>
      <c r="L2544" s="21" t="s">
        <v>144</v>
      </c>
      <c r="M2544" s="21" t="s">
        <v>24</v>
      </c>
      <c r="N2544" s="29">
        <v>10</v>
      </c>
      <c r="R2544" s="21" t="s">
        <v>26</v>
      </c>
    </row>
    <row r="2545" spans="1:19" ht="14.4">
      <c r="A2545" s="33">
        <f>IF(C2545="","",MAX($A$1:A2544)+1)</f>
        <v>2366</v>
      </c>
      <c r="B2545" s="27" t="s">
        <v>141</v>
      </c>
      <c r="C2545" s="23">
        <v>46103</v>
      </c>
      <c r="D2545" s="28" t="str">
        <f>_xlfn.XLOOKUP(Table134526_79101120212223242526[[#This Row],[Name Surname]],Manpower!$C$4:$C$1048576,Manpower!$B$4:$B$1048576,"")</f>
        <v>Encogroup</v>
      </c>
      <c r="E2545" s="23" t="s">
        <v>156</v>
      </c>
      <c r="F2545" s="12" t="e">
        <f>_xlfn.XLOOKUP(Table134526_79101120212223242526[[#This Row],[Name Surname]],Manpower!C:C,Manpower!D:D,)</f>
        <v>#N/A</v>
      </c>
      <c r="G2545" s="28" t="str">
        <f>_xlfn.XLOOKUP(Table134526_79101120212223242526[[#This Row],[Name Surname]],Manpower!$C$4:$C$1048576,Manpower!$F$4:$F$1048576,"")</f>
        <v>35 KVA Generator</v>
      </c>
      <c r="H2545" s="28" t="str">
        <f>_xlfn.XLOOKUP(Table134526_79101120212223242526[[#This Row],[Name Surname]],Manpower!$C$4:$C$1048576,Manpower!$H$4:$H$1048576,"")</f>
        <v>Equipment</v>
      </c>
      <c r="I2545" s="28" t="str">
        <f>_xlfn.XLOOKUP(Table134526_79101120212223242526[[#This Row],[Name Surname]],Manpower!$C$4:$C$1048576,Manpower!$H$4:$H$1048576,"")</f>
        <v>Equipment</v>
      </c>
      <c r="J2545" s="21" t="s">
        <v>143</v>
      </c>
      <c r="K2545" s="21" t="s">
        <v>26</v>
      </c>
      <c r="L2545" s="21" t="s">
        <v>144</v>
      </c>
      <c r="M2545" s="21" t="s">
        <v>55</v>
      </c>
      <c r="N2545" s="29">
        <v>10</v>
      </c>
      <c r="R2545" s="21" t="s">
        <v>56</v>
      </c>
    </row>
    <row r="2546" spans="1:19" ht="14.4">
      <c r="A2546" s="33">
        <f>IF(C2546="","",MAX($A$1:A2545)+1)</f>
        <v>2367</v>
      </c>
      <c r="B2546" s="27" t="s">
        <v>141</v>
      </c>
      <c r="C2546" s="23">
        <v>46103</v>
      </c>
      <c r="D2546" s="28" t="str">
        <f>_xlfn.XLOOKUP(Table134526_79101120212223242526[[#This Row],[Name Surname]],Manpower!$C$4:$C$1048576,Manpower!$B$4:$B$1048576,"")</f>
        <v>Encogroup</v>
      </c>
      <c r="E2546" s="21" t="s">
        <v>342</v>
      </c>
      <c r="F2546" s="12" t="e">
        <f>_xlfn.XLOOKUP(Table134526_79101120212223242526[[#This Row],[Name Surname]],Manpower!C:C,Manpower!D:D,)</f>
        <v>#N/A</v>
      </c>
      <c r="G2546" s="28" t="str">
        <f>_xlfn.XLOOKUP(Table134526_79101120212223242526[[#This Row],[Name Surname]],Manpower!$C$4:$C$1048576,Manpower!$F$4:$F$1048576,"")</f>
        <v>SCISSOR LIFT</v>
      </c>
      <c r="H2546" s="28" t="str">
        <f>_xlfn.XLOOKUP(Table134526_79101120212223242526[[#This Row],[Name Surname]],Manpower!$C$4:$C$1048576,Manpower!$H$4:$H$1048576,"")</f>
        <v>Equipment</v>
      </c>
      <c r="I2546" s="28" t="str">
        <f>_xlfn.XLOOKUP(Table134526_79101120212223242526[[#This Row],[Name Surname]],Manpower!$C$4:$C$1048576,Manpower!$H$4:$H$1048576,"")</f>
        <v>Equipment</v>
      </c>
      <c r="J2546" s="21" t="s">
        <v>143</v>
      </c>
      <c r="K2546" s="21" t="s">
        <v>26</v>
      </c>
      <c r="L2546" s="21" t="s">
        <v>144</v>
      </c>
      <c r="M2546" s="21" t="s">
        <v>55</v>
      </c>
      <c r="N2546" s="29">
        <v>10</v>
      </c>
      <c r="R2546" s="21" t="s">
        <v>56</v>
      </c>
    </row>
    <row r="2547" spans="1:19" s="45" customFormat="1" ht="14.4" hidden="1">
      <c r="A2547" s="25">
        <f>IF(C2547="","",MAX($A$1:A2546)+1)</f>
        <v>2368</v>
      </c>
      <c r="B2547" s="25" t="s">
        <v>141</v>
      </c>
      <c r="C2547" s="41">
        <v>46103</v>
      </c>
      <c r="D2547" s="48" t="str">
        <f>_xlfn.XLOOKUP(Table134526_79101120212223242526[[#This Row],[Name Surname]],Manpower!$C$4:$C$1048576,Manpower!$B$4:$B$1048576,"")</f>
        <v>Encogroup</v>
      </c>
      <c r="E2547" s="43" t="s">
        <v>157</v>
      </c>
      <c r="F2547" s="12">
        <f>_xlfn.XLOOKUP(Table134526_79101120212223242526[[#This Row],[Name Surname]],Manpower!C:C,Manpower!D:D,)</f>
        <v>140742144</v>
      </c>
      <c r="G2547" s="48" t="str">
        <f>_xlfn.XLOOKUP(Table134526_79101120212223242526[[#This Row],[Name Surname]],Manpower!$C$4:$C$1048576,Manpower!$F$4:$F$1048576,"")</f>
        <v>Assistant/Helper</v>
      </c>
      <c r="H2547" s="48" t="str">
        <f>_xlfn.XLOOKUP(Table134526_79101120212223242526[[#This Row],[Name Surname]],Manpower!$C$4:$C$1048576,Manpower!$H$4:$H$1048576,"")</f>
        <v>Manpower</v>
      </c>
      <c r="I2547" s="48" t="str">
        <f>_xlfn.XLOOKUP(Table134526_79101120212223242526[[#This Row],[Name Surname]],Manpower!$C$4:$C$1048576,Manpower!$H$4:$H$1048576,"")</f>
        <v>Manpower</v>
      </c>
      <c r="J2547" s="43" t="s">
        <v>158</v>
      </c>
      <c r="K2547" s="43" t="s">
        <v>26</v>
      </c>
      <c r="L2547" s="43" t="s">
        <v>26</v>
      </c>
      <c r="M2547" s="43" t="s">
        <v>24</v>
      </c>
      <c r="N2547" s="44">
        <v>10</v>
      </c>
      <c r="O2547" s="43" t="s">
        <v>159</v>
      </c>
      <c r="P2547" s="43" t="s">
        <v>160</v>
      </c>
      <c r="Q2547" s="43" t="s">
        <v>160</v>
      </c>
      <c r="R2547" s="43" t="s">
        <v>161</v>
      </c>
      <c r="S2547" s="43" t="s">
        <v>230</v>
      </c>
    </row>
    <row r="2548" spans="1:19" s="45" customFormat="1" ht="14.4" hidden="1">
      <c r="A2548" s="25">
        <f>IF(C2548="","",MAX($A$1:A2547)+1)</f>
        <v>2369</v>
      </c>
      <c r="B2548" s="25" t="s">
        <v>141</v>
      </c>
      <c r="C2548" s="41">
        <v>46103</v>
      </c>
      <c r="D2548" s="48" t="str">
        <f>_xlfn.XLOOKUP(Table134526_79101120212223242526[[#This Row],[Name Surname]],Manpower!$C$4:$C$1048576,Manpower!$B$4:$B$1048576,"")</f>
        <v>Encogroup</v>
      </c>
      <c r="E2548" s="43" t="s">
        <v>166</v>
      </c>
      <c r="F2548" s="12" t="str">
        <f>_xlfn.XLOOKUP(Table134526_79101120212223242526[[#This Row],[Name Surname]],Manpower!C:C,Manpower!D:D,)</f>
        <v>U4181508</v>
      </c>
      <c r="G2548" s="48" t="str">
        <f>_xlfn.XLOOKUP(Table134526_79101120212223242526[[#This Row],[Name Surname]],Manpower!$C$4:$C$1048576,Manpower!$F$4:$F$1048576,"")</f>
        <v>Welder</v>
      </c>
      <c r="H2548" s="48" t="str">
        <f>_xlfn.XLOOKUP(Table134526_79101120212223242526[[#This Row],[Name Surname]],Manpower!$C$4:$C$1048576,Manpower!$H$4:$H$1048576,"")</f>
        <v>Manpower</v>
      </c>
      <c r="I2548" s="48" t="str">
        <f>_xlfn.XLOOKUP(Table134526_79101120212223242526[[#This Row],[Name Surname]],Manpower!$C$4:$C$1048576,Manpower!$H$4:$H$1048576,"")</f>
        <v>Manpower</v>
      </c>
      <c r="J2548" s="43" t="s">
        <v>143</v>
      </c>
      <c r="K2548" s="43" t="s">
        <v>26</v>
      </c>
      <c r="L2548" s="43" t="s">
        <v>144</v>
      </c>
      <c r="M2548" s="43" t="s">
        <v>24</v>
      </c>
      <c r="N2548" s="44">
        <v>10</v>
      </c>
      <c r="O2548" s="43" t="s">
        <v>40</v>
      </c>
      <c r="P2548" s="43" t="s">
        <v>42</v>
      </c>
      <c r="Q2548" s="43" t="s">
        <v>42</v>
      </c>
      <c r="R2548" s="43" t="s">
        <v>368</v>
      </c>
      <c r="S2548" s="43"/>
    </row>
    <row r="2549" spans="1:19" s="45" customFormat="1" ht="14.4" hidden="1">
      <c r="A2549" s="25">
        <f>IF(C2549="","",MAX($A$1:A2548)+1)</f>
        <v>2370</v>
      </c>
      <c r="B2549" s="25" t="s">
        <v>141</v>
      </c>
      <c r="C2549" s="41">
        <v>46103</v>
      </c>
      <c r="D2549" s="48" t="str">
        <f>_xlfn.XLOOKUP(Table134526_79101120212223242526[[#This Row],[Name Surname]],Manpower!$C$4:$C$1048576,Manpower!$B$4:$B$1048576,"")</f>
        <v>Encogroup</v>
      </c>
      <c r="E2549" s="43" t="s">
        <v>167</v>
      </c>
      <c r="F2549" s="12">
        <f>_xlfn.XLOOKUP(Table134526_79101120212223242526[[#This Row],[Name Surname]],Manpower!C:C,Manpower!D:D,)</f>
        <v>125440631</v>
      </c>
      <c r="G2549" s="48" t="str">
        <f>_xlfn.XLOOKUP(Table134526_79101120212223242526[[#This Row],[Name Surname]],Manpower!$C$4:$C$1048576,Manpower!$F$4:$F$1048576,"")</f>
        <v>Rigger</v>
      </c>
      <c r="H2549" s="48" t="str">
        <f>_xlfn.XLOOKUP(Table134526_79101120212223242526[[#This Row],[Name Surname]],Manpower!$C$4:$C$1048576,Manpower!$H$4:$H$1048576,"")</f>
        <v>Manpower</v>
      </c>
      <c r="I2549" s="48" t="str">
        <f>_xlfn.XLOOKUP(Table134526_79101120212223242526[[#This Row],[Name Surname]],Manpower!$C$4:$C$1048576,Manpower!$H$4:$H$1048576,"")</f>
        <v>Manpower</v>
      </c>
      <c r="J2549" s="43" t="s">
        <v>143</v>
      </c>
      <c r="K2549" s="43" t="s">
        <v>26</v>
      </c>
      <c r="L2549" s="43" t="s">
        <v>144</v>
      </c>
      <c r="M2549" s="43" t="s">
        <v>24</v>
      </c>
      <c r="N2549" s="44">
        <v>10</v>
      </c>
      <c r="O2549" s="43" t="s">
        <v>40</v>
      </c>
      <c r="P2549" s="43" t="s">
        <v>42</v>
      </c>
      <c r="Q2549" s="43" t="s">
        <v>42</v>
      </c>
      <c r="R2549" s="43" t="s">
        <v>368</v>
      </c>
      <c r="S2549" s="43"/>
    </row>
    <row r="2550" spans="1:19" ht="14.4" hidden="1">
      <c r="A2550" s="33">
        <f>IF(C2550="","",MAX($A$1:A2549)+1)</f>
        <v>2371</v>
      </c>
      <c r="B2550" s="27" t="s">
        <v>141</v>
      </c>
      <c r="C2550" s="23">
        <v>46103</v>
      </c>
      <c r="D2550" s="28" t="str">
        <f>_xlfn.XLOOKUP(Table134526_79101120212223242526[[#This Row],[Name Surname]],Manpower!$C$4:$C$1048576,Manpower!$B$4:$B$1048576,"")</f>
        <v>AL Omar International TRAD AND CONT</v>
      </c>
      <c r="E2550" s="21" t="s">
        <v>212</v>
      </c>
      <c r="F2550" s="12">
        <f>_xlfn.XLOOKUP(Table134526_79101120212223242526[[#This Row],[Name Surname]],Manpower!C:C,Manpower!D:D,)</f>
        <v>116676257</v>
      </c>
      <c r="G2550" s="28" t="str">
        <f>_xlfn.XLOOKUP(Table134526_79101120212223242526[[#This Row],[Name Surname]],Manpower!$C$4:$C$1048576,Manpower!$F$4:$F$1048576,"")</f>
        <v>Scaffolder</v>
      </c>
      <c r="H2550" s="28" t="str">
        <f>_xlfn.XLOOKUP(Table134526_79101120212223242526[[#This Row],[Name Surname]],Manpower!$C$4:$C$1048576,Manpower!$H$4:$H$1048576,"")</f>
        <v>Sub Contactor</v>
      </c>
      <c r="I2550" s="28" t="str">
        <f>_xlfn.XLOOKUP(Table134526_79101120212223242526[[#This Row],[Name Surname]],Manpower!$C$4:$C$1048576,Manpower!$H$4:$H$1048576,"")</f>
        <v>Sub Contactor</v>
      </c>
      <c r="J2550" s="21" t="s">
        <v>143</v>
      </c>
      <c r="K2550" s="21" t="s">
        <v>26</v>
      </c>
      <c r="L2550" s="21" t="s">
        <v>170</v>
      </c>
      <c r="M2550" s="21" t="s">
        <v>24</v>
      </c>
      <c r="N2550" s="29">
        <v>10</v>
      </c>
      <c r="O2550" s="21" t="s">
        <v>40</v>
      </c>
      <c r="P2550" s="21" t="s">
        <v>128</v>
      </c>
      <c r="Q2550" s="21" t="s">
        <v>128</v>
      </c>
      <c r="R2550" s="21" t="s">
        <v>171</v>
      </c>
    </row>
    <row r="2551" spans="1:19" s="45" customFormat="1" ht="14.4" hidden="1">
      <c r="A2551" s="25">
        <f>IF(C2551="","",MAX($A$1:A2550)+1)</f>
        <v>2372</v>
      </c>
      <c r="B2551" s="25" t="s">
        <v>141</v>
      </c>
      <c r="C2551" s="41">
        <v>46103</v>
      </c>
      <c r="D2551" s="48" t="str">
        <f>_xlfn.XLOOKUP(Table134526_79101120212223242526[[#This Row],[Name Surname]],Manpower!$C$4:$C$1048576,Manpower!$B$4:$B$1048576,"")</f>
        <v>Encogroup</v>
      </c>
      <c r="E2551" s="43" t="s">
        <v>172</v>
      </c>
      <c r="F2551" s="12">
        <f>_xlfn.XLOOKUP(Table134526_79101120212223242526[[#This Row],[Name Surname]],Manpower!C:C,Manpower!D:D,)</f>
        <v>140764355</v>
      </c>
      <c r="G2551" s="48" t="str">
        <f>_xlfn.XLOOKUP(Table134526_79101120212223242526[[#This Row],[Name Surname]],Manpower!$C$4:$C$1048576,Manpower!$F$4:$F$1048576,"")</f>
        <v>Fitter/Erector</v>
      </c>
      <c r="H2551" s="48" t="str">
        <f>_xlfn.XLOOKUP(Table134526_79101120212223242526[[#This Row],[Name Surname]],Manpower!$C$4:$C$1048576,Manpower!$H$4:$H$1048576,"")</f>
        <v>Manpower</v>
      </c>
      <c r="I2551" s="48" t="str">
        <f>_xlfn.XLOOKUP(Table134526_79101120212223242526[[#This Row],[Name Surname]],Manpower!$C$4:$C$1048576,Manpower!$H$4:$H$1048576,"")</f>
        <v>Manpower</v>
      </c>
      <c r="J2551" s="43" t="s">
        <v>143</v>
      </c>
      <c r="K2551" s="43" t="s">
        <v>26</v>
      </c>
      <c r="L2551" s="43" t="s">
        <v>144</v>
      </c>
      <c r="M2551" s="43" t="s">
        <v>24</v>
      </c>
      <c r="N2551" s="44">
        <v>10</v>
      </c>
      <c r="O2551" s="43" t="s">
        <v>40</v>
      </c>
      <c r="P2551" s="43" t="s">
        <v>42</v>
      </c>
      <c r="Q2551" s="43" t="s">
        <v>42</v>
      </c>
      <c r="R2551" s="43" t="s">
        <v>368</v>
      </c>
      <c r="S2551" s="43"/>
    </row>
    <row r="2552" spans="1:19" ht="14.4" hidden="1">
      <c r="A2552" s="33">
        <f>IF(C2552="","",MAX($A$1:A2551)+1)</f>
        <v>2373</v>
      </c>
      <c r="B2552" s="27" t="s">
        <v>141</v>
      </c>
      <c r="C2552" s="23">
        <v>46103</v>
      </c>
      <c r="D2552" s="28" t="str">
        <f>_xlfn.XLOOKUP(Table134526_79101120212223242526[[#This Row],[Name Surname]],Manpower!$C$4:$C$1048576,Manpower!$B$4:$B$1048576,"")</f>
        <v>Encogroup</v>
      </c>
      <c r="E2552" s="21" t="s">
        <v>175</v>
      </c>
      <c r="F2552" s="12">
        <f>_xlfn.XLOOKUP(Table134526_79101120212223242526[[#This Row],[Name Surname]],Manpower!C:C,Manpower!D:D,)</f>
        <v>140742125</v>
      </c>
      <c r="G2552" s="28" t="str">
        <f>_xlfn.XLOOKUP(Table134526_79101120212223242526[[#This Row],[Name Surname]],Manpower!$C$4:$C$1048576,Manpower!$F$4:$F$1048576,"")</f>
        <v>Assistant/Helper</v>
      </c>
      <c r="H2552" s="28" t="str">
        <f>_xlfn.XLOOKUP(Table134526_79101120212223242526[[#This Row],[Name Surname]],Manpower!$C$4:$C$1048576,Manpower!$H$4:$H$1048576,"")</f>
        <v>Manpower</v>
      </c>
      <c r="I2552" s="28" t="str">
        <f>_xlfn.XLOOKUP(Table134526_79101120212223242526[[#This Row],[Name Surname]],Manpower!$C$4:$C$1048576,Manpower!$H$4:$H$1048576,"")</f>
        <v>Manpower</v>
      </c>
      <c r="J2552" s="21" t="s">
        <v>158</v>
      </c>
      <c r="K2552" s="21" t="s">
        <v>26</v>
      </c>
      <c r="L2552" s="21" t="s">
        <v>26</v>
      </c>
      <c r="M2552" s="21" t="s">
        <v>24</v>
      </c>
      <c r="N2552" s="29">
        <v>10</v>
      </c>
      <c r="O2552" s="21" t="s">
        <v>159</v>
      </c>
      <c r="P2552" s="21" t="s">
        <v>160</v>
      </c>
      <c r="Q2552" s="21" t="s">
        <v>160</v>
      </c>
      <c r="R2552" s="21" t="s">
        <v>161</v>
      </c>
    </row>
    <row r="2553" spans="1:19" ht="14.4" hidden="1">
      <c r="A2553" s="33">
        <f>IF(C2553="","",MAX($A$1:A2552)+1)</f>
        <v>2374</v>
      </c>
      <c r="B2553" s="27" t="s">
        <v>141</v>
      </c>
      <c r="C2553" s="23">
        <v>46103</v>
      </c>
      <c r="D2553" s="28" t="str">
        <f>_xlfn.XLOOKUP(Table134526_79101120212223242526[[#This Row],[Name Surname]],Manpower!$C$4:$C$1048576,Manpower!$B$4:$B$1048576,"")</f>
        <v>Encogroup</v>
      </c>
      <c r="E2553" s="21" t="s">
        <v>228</v>
      </c>
      <c r="F2553" s="12">
        <f>_xlfn.XLOOKUP(Table134526_79101120212223242526[[#This Row],[Name Surname]],Manpower!C:C,Manpower!D:D,)</f>
        <v>125199963</v>
      </c>
      <c r="G2553" s="28" t="str">
        <f>_xlfn.XLOOKUP(Table134526_79101120212223242526[[#This Row],[Name Surname]],Manpower!$C$4:$C$1048576,Manpower!$F$4:$F$1048576,"")</f>
        <v>Electrician</v>
      </c>
      <c r="H2553" s="28" t="str">
        <f>_xlfn.XLOOKUP(Table134526_79101120212223242526[[#This Row],[Name Surname]],Manpower!$C$4:$C$1048576,Manpower!$H$4:$H$1048576,"")</f>
        <v>Manpower</v>
      </c>
      <c r="I2553" s="28" t="str">
        <f>_xlfn.XLOOKUP(Table134526_79101120212223242526[[#This Row],[Name Surname]],Manpower!$C$4:$C$1048576,Manpower!$H$4:$H$1048576,"")</f>
        <v>Manpower</v>
      </c>
      <c r="J2553" s="21" t="s">
        <v>158</v>
      </c>
      <c r="K2553" s="21" t="s">
        <v>26</v>
      </c>
      <c r="L2553" s="21" t="s">
        <v>26</v>
      </c>
      <c r="M2553" s="21" t="s">
        <v>24</v>
      </c>
      <c r="N2553" s="29">
        <v>10</v>
      </c>
      <c r="O2553" s="21" t="s">
        <v>159</v>
      </c>
      <c r="P2553" s="21" t="s">
        <v>160</v>
      </c>
      <c r="Q2553" s="21" t="s">
        <v>160</v>
      </c>
      <c r="R2553" s="21" t="s">
        <v>161</v>
      </c>
    </row>
    <row r="2554" spans="1:19" ht="14.4" hidden="1">
      <c r="A2554" s="33">
        <f>IF(C2554="","",MAX($A$1:A2553)+1)</f>
        <v>2375</v>
      </c>
      <c r="B2554" s="27" t="s">
        <v>141</v>
      </c>
      <c r="C2554" s="23">
        <v>46103</v>
      </c>
      <c r="D2554" s="28" t="str">
        <f>_xlfn.XLOOKUP(Table134526_79101120212223242526[[#This Row],[Name Surname]],Manpower!$C$4:$C$1048576,Manpower!$B$4:$B$1048576,"")</f>
        <v>Encogroup</v>
      </c>
      <c r="E2554" s="21" t="s">
        <v>119</v>
      </c>
      <c r="F2554" s="12">
        <f>_xlfn.XLOOKUP(Table134526_79101120212223242526[[#This Row],[Name Surname]],Manpower!C:C,Manpower!D:D,)</f>
        <v>140844778</v>
      </c>
      <c r="G2554" s="28" t="str">
        <f>_xlfn.XLOOKUP(Table134526_79101120212223242526[[#This Row],[Name Surname]],Manpower!$C$4:$C$1048576,Manpower!$F$4:$F$1048576,"")</f>
        <v>Painter</v>
      </c>
      <c r="H2554" s="28" t="str">
        <f>_xlfn.XLOOKUP(Table134526_79101120212223242526[[#This Row],[Name Surname]],Manpower!$C$4:$C$1048576,Manpower!$H$4:$H$1048576,"")</f>
        <v>Manpower</v>
      </c>
      <c r="I2554" s="28" t="str">
        <f>_xlfn.XLOOKUP(Table134526_79101120212223242526[[#This Row],[Name Surname]],Manpower!$C$4:$C$1048576,Manpower!$H$4:$H$1048576,"")</f>
        <v>Manpower</v>
      </c>
      <c r="J2554" s="21" t="s">
        <v>143</v>
      </c>
      <c r="K2554" s="21" t="s">
        <v>26</v>
      </c>
      <c r="L2554" s="21" t="s">
        <v>144</v>
      </c>
      <c r="M2554" s="21" t="s">
        <v>24</v>
      </c>
      <c r="N2554" s="29">
        <v>10</v>
      </c>
      <c r="O2554" s="21" t="s">
        <v>40</v>
      </c>
      <c r="P2554" s="21" t="s">
        <v>42</v>
      </c>
      <c r="Q2554" s="21" t="s">
        <v>42</v>
      </c>
      <c r="R2554" s="21" t="s">
        <v>368</v>
      </c>
    </row>
    <row r="2555" spans="1:19" ht="14.4" hidden="1">
      <c r="A2555" s="33">
        <f>IF(C2555="","",MAX($A$1:A2554)+1)</f>
        <v>2376</v>
      </c>
      <c r="B2555" s="27" t="s">
        <v>141</v>
      </c>
      <c r="C2555" s="23">
        <v>46103</v>
      </c>
      <c r="D2555" s="28" t="str">
        <f>_xlfn.XLOOKUP(Table134526_79101120212223242526[[#This Row],[Name Surname]],Manpower!$C$4:$C$1048576,Manpower!$B$4:$B$1048576,"")</f>
        <v>Encogroup</v>
      </c>
      <c r="E2555" s="21" t="s">
        <v>117</v>
      </c>
      <c r="F2555" s="12">
        <f>_xlfn.XLOOKUP(Table134526_79101120212223242526[[#This Row],[Name Surname]],Manpower!C:C,Manpower!D:D,)</f>
        <v>140844783</v>
      </c>
      <c r="G2555" s="28" t="str">
        <f>_xlfn.XLOOKUP(Table134526_79101120212223242526[[#This Row],[Name Surname]],Manpower!$C$4:$C$1048576,Manpower!$F$4:$F$1048576,"")</f>
        <v>Painter</v>
      </c>
      <c r="H2555" s="28" t="str">
        <f>_xlfn.XLOOKUP(Table134526_79101120212223242526[[#This Row],[Name Surname]],Manpower!$C$4:$C$1048576,Manpower!$H$4:$H$1048576,"")</f>
        <v>Manpower</v>
      </c>
      <c r="I2555" s="28" t="str">
        <f>_xlfn.XLOOKUP(Table134526_79101120212223242526[[#This Row],[Name Surname]],Manpower!$C$4:$C$1048576,Manpower!$H$4:$H$1048576,"")</f>
        <v>Manpower</v>
      </c>
      <c r="J2555" s="21" t="s">
        <v>143</v>
      </c>
      <c r="K2555" s="21" t="s">
        <v>26</v>
      </c>
      <c r="L2555" s="21" t="s">
        <v>144</v>
      </c>
      <c r="M2555" s="21" t="s">
        <v>24</v>
      </c>
      <c r="N2555" s="29">
        <v>10</v>
      </c>
      <c r="O2555" s="21" t="s">
        <v>40</v>
      </c>
      <c r="P2555" s="21" t="s">
        <v>42</v>
      </c>
      <c r="Q2555" s="21" t="s">
        <v>42</v>
      </c>
      <c r="R2555" s="21" t="s">
        <v>368</v>
      </c>
    </row>
    <row r="2556" spans="1:19" s="45" customFormat="1" ht="14.4" hidden="1">
      <c r="A2556" s="25">
        <f>IF(C2556="","",MAX($A$1:A2555)+1)</f>
        <v>2377</v>
      </c>
      <c r="B2556" s="25" t="s">
        <v>141</v>
      </c>
      <c r="C2556" s="41">
        <v>46103</v>
      </c>
      <c r="D2556" s="48" t="str">
        <f>_xlfn.XLOOKUP(Table134526_79101120212223242526[[#This Row],[Name Surname]],Manpower!$C$4:$C$1048576,Manpower!$B$4:$B$1048576,"")</f>
        <v>Encogroup</v>
      </c>
      <c r="E2556" s="43" t="s">
        <v>176</v>
      </c>
      <c r="F2556" s="12">
        <f>_xlfn.XLOOKUP(Table134526_79101120212223242526[[#This Row],[Name Surname]],Manpower!C:C,Manpower!D:D,)</f>
        <v>124398279</v>
      </c>
      <c r="G2556" s="48" t="str">
        <f>_xlfn.XLOOKUP(Table134526_79101120212223242526[[#This Row],[Name Surname]],Manpower!$C$4:$C$1048576,Manpower!$F$4:$F$1048576,"")</f>
        <v>Permit Receiver</v>
      </c>
      <c r="H2556" s="48" t="str">
        <f>_xlfn.XLOOKUP(Table134526_79101120212223242526[[#This Row],[Name Surname]],Manpower!$C$4:$C$1048576,Manpower!$H$4:$H$1048576,"")</f>
        <v>Manpower</v>
      </c>
      <c r="I2556" s="48" t="str">
        <f>_xlfn.XLOOKUP(Table134526_79101120212223242526[[#This Row],[Name Surname]],Manpower!$C$4:$C$1048576,Manpower!$H$4:$H$1048576,"")</f>
        <v>Manpower</v>
      </c>
      <c r="J2556" s="43" t="s">
        <v>143</v>
      </c>
      <c r="K2556" s="43" t="s">
        <v>26</v>
      </c>
      <c r="L2556" s="43" t="s">
        <v>144</v>
      </c>
      <c r="M2556" s="43" t="s">
        <v>24</v>
      </c>
      <c r="N2556" s="44">
        <v>10</v>
      </c>
      <c r="O2556" s="43" t="s">
        <v>40</v>
      </c>
      <c r="P2556" s="43" t="s">
        <v>42</v>
      </c>
      <c r="Q2556" s="43" t="s">
        <v>42</v>
      </c>
      <c r="R2556" s="43" t="s">
        <v>368</v>
      </c>
      <c r="S2556" s="43"/>
    </row>
    <row r="2557" spans="1:19" s="45" customFormat="1" ht="14.4" hidden="1">
      <c r="A2557" s="25">
        <f>IF(C2557="","",MAX($A$1:A2556)+1)</f>
        <v>2378</v>
      </c>
      <c r="B2557" s="25" t="s">
        <v>141</v>
      </c>
      <c r="C2557" s="41">
        <v>46103</v>
      </c>
      <c r="D2557" s="48" t="str">
        <f>_xlfn.XLOOKUP(Table134526_79101120212223242526[[#This Row],[Name Surname]],Manpower!$C$4:$C$1048576,Manpower!$B$4:$B$1048576,"")</f>
        <v>Encogroup</v>
      </c>
      <c r="E2557" s="43" t="s">
        <v>177</v>
      </c>
      <c r="F2557" s="12">
        <f>_xlfn.XLOOKUP(Table134526_79101120212223242526[[#This Row],[Name Surname]],Manpower!C:C,Manpower!D:D,)</f>
        <v>140809004</v>
      </c>
      <c r="G2557" s="48" t="str">
        <f>_xlfn.XLOOKUP(Table134526_79101120212223242526[[#This Row],[Name Surname]],Manpower!$C$4:$C$1048576,Manpower!$F$4:$F$1048576,"")</f>
        <v>Fitter/Erector</v>
      </c>
      <c r="H2557" s="48" t="str">
        <f>_xlfn.XLOOKUP(Table134526_79101120212223242526[[#This Row],[Name Surname]],Manpower!$C$4:$C$1048576,Manpower!$H$4:$H$1048576,"")</f>
        <v>Manpower</v>
      </c>
      <c r="I2557" s="48" t="str">
        <f>_xlfn.XLOOKUP(Table134526_79101120212223242526[[#This Row],[Name Surname]],Manpower!$C$4:$C$1048576,Manpower!$H$4:$H$1048576,"")</f>
        <v>Manpower</v>
      </c>
      <c r="J2557" s="43" t="s">
        <v>143</v>
      </c>
      <c r="K2557" s="43" t="s">
        <v>26</v>
      </c>
      <c r="L2557" s="43" t="s">
        <v>144</v>
      </c>
      <c r="M2557" s="43" t="s">
        <v>24</v>
      </c>
      <c r="N2557" s="44">
        <v>10</v>
      </c>
      <c r="O2557" s="43" t="s">
        <v>40</v>
      </c>
      <c r="P2557" s="43" t="s">
        <v>42</v>
      </c>
      <c r="Q2557" s="43" t="s">
        <v>42</v>
      </c>
      <c r="R2557" s="43" t="s">
        <v>368</v>
      </c>
      <c r="S2557" s="43"/>
    </row>
    <row r="2558" spans="1:19" ht="14.4" hidden="1">
      <c r="A2558" s="33">
        <f>IF(C2558="","",MAX($A$1:A2557)+1)</f>
        <v>2379</v>
      </c>
      <c r="B2558" s="27" t="s">
        <v>141</v>
      </c>
      <c r="C2558" s="23">
        <v>46103</v>
      </c>
      <c r="D2558" s="28" t="str">
        <f>_xlfn.XLOOKUP(Table134526_79101120212223242526[[#This Row],[Name Surname]],Manpower!$C$4:$C$1048576,Manpower!$B$4:$B$1048576,"")</f>
        <v>Encogroup</v>
      </c>
      <c r="E2558" s="21" t="s">
        <v>178</v>
      </c>
      <c r="F2558" s="12">
        <f>_xlfn.XLOOKUP(Table134526_79101120212223242526[[#This Row],[Name Surname]],Manpower!C:C,Manpower!D:D,)</f>
        <v>140683436</v>
      </c>
      <c r="G2558" s="28" t="str">
        <f>_xlfn.XLOOKUP(Table134526_79101120212223242526[[#This Row],[Name Surname]],Manpower!$C$4:$C$1048576,Manpower!$F$4:$F$1048576,"")</f>
        <v>Scaffolder</v>
      </c>
      <c r="H2558" s="28" t="str">
        <f>_xlfn.XLOOKUP(Table134526_79101120212223242526[[#This Row],[Name Surname]],Manpower!$C$4:$C$1048576,Manpower!$H$4:$H$1048576,"")</f>
        <v>Manpower</v>
      </c>
      <c r="I2558" s="28" t="str">
        <f>_xlfn.XLOOKUP(Table134526_79101120212223242526[[#This Row],[Name Surname]],Manpower!$C$4:$C$1048576,Manpower!$H$4:$H$1048576,"")</f>
        <v>Manpower</v>
      </c>
      <c r="J2558" s="21" t="s">
        <v>158</v>
      </c>
      <c r="K2558" s="21" t="s">
        <v>26</v>
      </c>
      <c r="L2558" s="21" t="s">
        <v>26</v>
      </c>
      <c r="M2558" s="21" t="s">
        <v>24</v>
      </c>
      <c r="N2558" s="29">
        <v>10</v>
      </c>
      <c r="O2558" s="21" t="s">
        <v>159</v>
      </c>
      <c r="P2558" s="21" t="s">
        <v>160</v>
      </c>
      <c r="Q2558" s="21" t="s">
        <v>160</v>
      </c>
      <c r="R2558" s="21" t="s">
        <v>161</v>
      </c>
    </row>
    <row r="2559" spans="1:19" ht="14.4">
      <c r="A2559" s="33">
        <f>IF(C2559="","",MAX($A$1:A2558)+1)</f>
        <v>2380</v>
      </c>
      <c r="B2559" s="27" t="s">
        <v>141</v>
      </c>
      <c r="C2559" s="23">
        <v>46103</v>
      </c>
      <c r="D2559" s="28" t="str">
        <f>_xlfn.XLOOKUP(Table134526_79101120212223242526[[#This Row],[Name Surname]],Manpower!$C$4:$C$1048576,Manpower!$B$4:$B$1048576,"")</f>
        <v>Encogroup</v>
      </c>
      <c r="E2559" s="23" t="s">
        <v>179</v>
      </c>
      <c r="F2559" s="12" t="e">
        <f>_xlfn.XLOOKUP(Table134526_79101120212223242526[[#This Row],[Name Surname]],Manpower!C:C,Manpower!D:D,)</f>
        <v>#N/A</v>
      </c>
      <c r="G2559" s="28" t="str">
        <f>_xlfn.XLOOKUP(Table134526_79101120212223242526[[#This Row],[Name Surname]],Manpower!$C$4:$C$1048576,Manpower!$F$4:$F$1048576,"")</f>
        <v>7T-HIAB</v>
      </c>
      <c r="H2559" s="28" t="str">
        <f>_xlfn.XLOOKUP(Table134526_79101120212223242526[[#This Row],[Name Surname]],Manpower!$C$4:$C$1048576,Manpower!$H$4:$H$1048576,"")</f>
        <v>Equipment</v>
      </c>
      <c r="I2559" s="28" t="str">
        <f>_xlfn.XLOOKUP(Table134526_79101120212223242526[[#This Row],[Name Surname]],Manpower!$C$4:$C$1048576,Manpower!$H$4:$H$1048576,"")</f>
        <v>Equipment</v>
      </c>
      <c r="J2559" s="21" t="s">
        <v>143</v>
      </c>
      <c r="K2559" s="21" t="s">
        <v>26</v>
      </c>
      <c r="L2559" s="21" t="s">
        <v>144</v>
      </c>
      <c r="M2559" s="21" t="s">
        <v>55</v>
      </c>
      <c r="N2559" s="29">
        <v>10</v>
      </c>
      <c r="R2559" s="21" t="s">
        <v>393</v>
      </c>
    </row>
    <row r="2560" spans="1:19" ht="14.4" hidden="1">
      <c r="A2560" s="33">
        <f>IF(C2560="","",MAX($A$1:A2559)+1)</f>
        <v>2381</v>
      </c>
      <c r="B2560" s="27" t="s">
        <v>141</v>
      </c>
      <c r="C2560" s="23">
        <v>46103</v>
      </c>
      <c r="D2560" s="28" t="str">
        <f>_xlfn.XLOOKUP(Table134526_79101120212223242526[[#This Row],[Name Surname]],Manpower!$C$4:$C$1048576,Manpower!$B$4:$B$1048576,"")</f>
        <v>Encogroup</v>
      </c>
      <c r="E2560" s="21" t="s">
        <v>184</v>
      </c>
      <c r="F2560" s="12">
        <f>_xlfn.XLOOKUP(Table134526_79101120212223242526[[#This Row],[Name Surname]],Manpower!C:C,Manpower!D:D,)</f>
        <v>140844759</v>
      </c>
      <c r="G2560" s="28" t="str">
        <f>_xlfn.XLOOKUP(Table134526_79101120212223242526[[#This Row],[Name Surname]],Manpower!$C$4:$C$1048576,Manpower!$F$4:$F$1048576,"")</f>
        <v>Welder</v>
      </c>
      <c r="H2560" s="28" t="str">
        <f>_xlfn.XLOOKUP(Table134526_79101120212223242526[[#This Row],[Name Surname]],Manpower!$C$4:$C$1048576,Manpower!$H$4:$H$1048576,"")</f>
        <v>Manpower</v>
      </c>
      <c r="I2560" s="28" t="str">
        <f>_xlfn.XLOOKUP(Table134526_79101120212223242526[[#This Row],[Name Surname]],Manpower!$C$4:$C$1048576,Manpower!$H$4:$H$1048576,"")</f>
        <v>Manpower</v>
      </c>
      <c r="J2560" s="21" t="s">
        <v>158</v>
      </c>
      <c r="K2560" s="21" t="s">
        <v>26</v>
      </c>
      <c r="L2560" s="21" t="s">
        <v>144</v>
      </c>
      <c r="M2560" s="21" t="s">
        <v>24</v>
      </c>
      <c r="N2560" s="29">
        <v>10</v>
      </c>
      <c r="O2560" s="21" t="s">
        <v>159</v>
      </c>
      <c r="P2560" s="21" t="s">
        <v>160</v>
      </c>
      <c r="Q2560" s="21" t="s">
        <v>160</v>
      </c>
      <c r="R2560" s="21" t="s">
        <v>161</v>
      </c>
    </row>
    <row r="2561" spans="1:19" s="45" customFormat="1" ht="14.4" hidden="1">
      <c r="A2561" s="25">
        <f>IF(C2561="","",MAX($A$1:A2560)+1)</f>
        <v>2382</v>
      </c>
      <c r="B2561" s="25" t="s">
        <v>141</v>
      </c>
      <c r="C2561" s="41">
        <v>46103</v>
      </c>
      <c r="D2561" s="48" t="str">
        <f>_xlfn.XLOOKUP(Table134526_79101120212223242526[[#This Row],[Name Surname]],Manpower!$C$4:$C$1048576,Manpower!$B$4:$B$1048576,"")</f>
        <v>Encogroup</v>
      </c>
      <c r="E2561" s="43" t="s">
        <v>185</v>
      </c>
      <c r="F2561" s="12">
        <f>_xlfn.XLOOKUP(Table134526_79101120212223242526[[#This Row],[Name Surname]],Manpower!C:C,Manpower!D:D,)</f>
        <v>140848828</v>
      </c>
      <c r="G2561" s="48" t="str">
        <f>_xlfn.XLOOKUP(Table134526_79101120212223242526[[#This Row],[Name Surname]],Manpower!$C$4:$C$1048576,Manpower!$F$4:$F$1048576,"")</f>
        <v>Pipe Fitter</v>
      </c>
      <c r="H2561" s="48" t="str">
        <f>_xlfn.XLOOKUP(Table134526_79101120212223242526[[#This Row],[Name Surname]],Manpower!$C$4:$C$1048576,Manpower!$H$4:$H$1048576,"")</f>
        <v>Manpower</v>
      </c>
      <c r="I2561" s="48" t="str">
        <f>_xlfn.XLOOKUP(Table134526_79101120212223242526[[#This Row],[Name Surname]],Manpower!$C$4:$C$1048576,Manpower!$H$4:$H$1048576,"")</f>
        <v>Manpower</v>
      </c>
      <c r="J2561" s="43" t="s">
        <v>143</v>
      </c>
      <c r="K2561" s="43" t="s">
        <v>26</v>
      </c>
      <c r="L2561" s="43" t="s">
        <v>144</v>
      </c>
      <c r="M2561" s="43" t="s">
        <v>24</v>
      </c>
      <c r="N2561" s="44">
        <v>10</v>
      </c>
      <c r="O2561" s="43" t="s">
        <v>40</v>
      </c>
      <c r="P2561" s="43" t="s">
        <v>42</v>
      </c>
      <c r="Q2561" s="43" t="s">
        <v>42</v>
      </c>
      <c r="R2561" s="43" t="s">
        <v>368</v>
      </c>
      <c r="S2561" s="43"/>
    </row>
    <row r="2562" spans="1:19" ht="14.4" hidden="1">
      <c r="A2562" s="33">
        <f>IF(C2562="","",MAX($A$1:A2561)+1)</f>
        <v>2383</v>
      </c>
      <c r="B2562" s="27" t="s">
        <v>141</v>
      </c>
      <c r="C2562" s="23">
        <v>46103</v>
      </c>
      <c r="D2562" s="28" t="str">
        <f>_xlfn.XLOOKUP(Table134526_79101120212223242526[[#This Row],[Name Surname]],Manpower!$C$4:$C$1048576,Manpower!$B$4:$B$1048576,"")</f>
        <v>Encogroup</v>
      </c>
      <c r="E2562" s="21" t="s">
        <v>186</v>
      </c>
      <c r="F2562" s="12">
        <f>_xlfn.XLOOKUP(Table134526_79101120212223242526[[#This Row],[Name Surname]],Manpower!C:C,Manpower!D:D,)</f>
        <v>140696961</v>
      </c>
      <c r="G2562" s="28" t="str">
        <f>_xlfn.XLOOKUP(Table134526_79101120212223242526[[#This Row],[Name Surname]],Manpower!$C$4:$C$1048576,Manpower!$F$4:$F$1048576,"")</f>
        <v>Assistant/Helper</v>
      </c>
      <c r="H2562" s="28" t="str">
        <f>_xlfn.XLOOKUP(Table134526_79101120212223242526[[#This Row],[Name Surname]],Manpower!$C$4:$C$1048576,Manpower!$H$4:$H$1048576,"")</f>
        <v>Manpower</v>
      </c>
      <c r="I2562" s="28" t="str">
        <f>_xlfn.XLOOKUP(Table134526_79101120212223242526[[#This Row],[Name Surname]],Manpower!$C$4:$C$1048576,Manpower!$H$4:$H$1048576,"")</f>
        <v>Manpower</v>
      </c>
      <c r="J2562" s="21" t="s">
        <v>158</v>
      </c>
      <c r="K2562" s="21" t="s">
        <v>26</v>
      </c>
      <c r="L2562" s="21" t="s">
        <v>144</v>
      </c>
      <c r="M2562" s="21" t="s">
        <v>24</v>
      </c>
      <c r="N2562" s="29">
        <v>10</v>
      </c>
      <c r="O2562" s="21" t="s">
        <v>159</v>
      </c>
      <c r="P2562" s="21" t="s">
        <v>160</v>
      </c>
      <c r="Q2562" s="21" t="s">
        <v>160</v>
      </c>
      <c r="R2562" s="21" t="s">
        <v>161</v>
      </c>
    </row>
    <row r="2563" spans="1:19" s="45" customFormat="1" ht="14.4" hidden="1">
      <c r="A2563" s="25">
        <f>IF(C2563="","",MAX($A$1:A2562)+1)</f>
        <v>2384</v>
      </c>
      <c r="B2563" s="25" t="s">
        <v>141</v>
      </c>
      <c r="C2563" s="41">
        <v>46103</v>
      </c>
      <c r="D2563" s="48" t="str">
        <f>_xlfn.XLOOKUP(Table134526_79101120212223242526[[#This Row],[Name Surname]],Manpower!$C$4:$C$1048576,Manpower!$B$4:$B$1048576,"")</f>
        <v>Encogroup</v>
      </c>
      <c r="E2563" s="43" t="s">
        <v>187</v>
      </c>
      <c r="F2563" s="12">
        <f>_xlfn.XLOOKUP(Table134526_79101120212223242526[[#This Row],[Name Surname]],Manpower!C:C,Manpower!D:D,)</f>
        <v>140623599</v>
      </c>
      <c r="G2563" s="48" t="str">
        <f>_xlfn.XLOOKUP(Table134526_79101120212223242526[[#This Row],[Name Surname]],Manpower!$C$4:$C$1048576,Manpower!$F$4:$F$1048576,"")</f>
        <v>Mechanical Supervisor</v>
      </c>
      <c r="H2563" s="48" t="str">
        <f>_xlfn.XLOOKUP(Table134526_79101120212223242526[[#This Row],[Name Surname]],Manpower!$C$4:$C$1048576,Manpower!$H$4:$H$1048576,"")</f>
        <v>Manpower</v>
      </c>
      <c r="I2563" s="48" t="str">
        <f>_xlfn.XLOOKUP(Table134526_79101120212223242526[[#This Row],[Name Surname]],Manpower!$C$4:$C$1048576,Manpower!$H$4:$H$1048576,"")</f>
        <v>Manpower</v>
      </c>
      <c r="J2563" s="43" t="s">
        <v>143</v>
      </c>
      <c r="K2563" s="43" t="s">
        <v>26</v>
      </c>
      <c r="L2563" s="43" t="s">
        <v>144</v>
      </c>
      <c r="M2563" s="43" t="s">
        <v>24</v>
      </c>
      <c r="N2563" s="44">
        <v>10</v>
      </c>
      <c r="O2563" s="43" t="s">
        <v>40</v>
      </c>
      <c r="P2563" s="43" t="s">
        <v>42</v>
      </c>
      <c r="Q2563" s="43" t="s">
        <v>42</v>
      </c>
      <c r="R2563" s="43" t="s">
        <v>368</v>
      </c>
      <c r="S2563" s="43"/>
    </row>
    <row r="2564" spans="1:19" ht="14.4" hidden="1">
      <c r="A2564" s="33">
        <f>IF(C2564="","",MAX($A$1:A2563)+1)</f>
        <v>2385</v>
      </c>
      <c r="B2564" s="27" t="s">
        <v>141</v>
      </c>
      <c r="C2564" s="23">
        <v>46103</v>
      </c>
      <c r="D2564" s="28" t="str">
        <f>_xlfn.XLOOKUP(Table134526_79101120212223242526[[#This Row],[Name Surname]],Manpower!$C$4:$C$1048576,Manpower!$B$4:$B$1048576,"")</f>
        <v>Encogroup</v>
      </c>
      <c r="E2564" s="21" t="s">
        <v>189</v>
      </c>
      <c r="F2564" s="12">
        <f>_xlfn.XLOOKUP(Table134526_79101120212223242526[[#This Row],[Name Surname]],Manpower!C:C,Manpower!D:D,)</f>
        <v>121937785</v>
      </c>
      <c r="G2564" s="28" t="str">
        <f>_xlfn.XLOOKUP(Table134526_79101120212223242526[[#This Row],[Name Surname]],Manpower!$C$4:$C$1048576,Manpower!$F$4:$F$1048576,"")</f>
        <v>Scaffolding Inspector</v>
      </c>
      <c r="H2564" s="28" t="str">
        <f>_xlfn.XLOOKUP(Table134526_79101120212223242526[[#This Row],[Name Surname]],Manpower!$C$4:$C$1048576,Manpower!$H$4:$H$1048576,"")</f>
        <v>Manpower</v>
      </c>
      <c r="I2564" s="28" t="str">
        <f>_xlfn.XLOOKUP(Table134526_79101120212223242526[[#This Row],[Name Surname]],Manpower!$C$4:$C$1048576,Manpower!$H$4:$H$1048576,"")</f>
        <v>Manpower</v>
      </c>
      <c r="J2564" s="21" t="s">
        <v>143</v>
      </c>
      <c r="K2564" s="21" t="s">
        <v>26</v>
      </c>
      <c r="L2564" s="21" t="s">
        <v>144</v>
      </c>
      <c r="M2564" s="21" t="s">
        <v>24</v>
      </c>
      <c r="N2564" s="29">
        <v>10</v>
      </c>
      <c r="O2564" s="21" t="s">
        <v>40</v>
      </c>
      <c r="P2564" s="21" t="s">
        <v>128</v>
      </c>
      <c r="Q2564" s="21" t="s">
        <v>128</v>
      </c>
      <c r="R2564" s="21" t="s">
        <v>26</v>
      </c>
    </row>
    <row r="2565" spans="1:19" ht="14.4" hidden="1">
      <c r="A2565" s="33">
        <f>IF(C2565="","",MAX($A$1:A2564)+1)</f>
        <v>2386</v>
      </c>
      <c r="B2565" s="27" t="s">
        <v>141</v>
      </c>
      <c r="C2565" s="23">
        <v>46103</v>
      </c>
      <c r="D2565" s="28" t="str">
        <f>_xlfn.XLOOKUP(Table134526_79101120212223242526[[#This Row],[Name Surname]],Manpower!$C$4:$C$1048576,Manpower!$B$4:$B$1048576,"")</f>
        <v>AL Omar International TRAD AND CONT</v>
      </c>
      <c r="E2565" s="21" t="s">
        <v>193</v>
      </c>
      <c r="F2565" s="12">
        <f>_xlfn.XLOOKUP(Table134526_79101120212223242526[[#This Row],[Name Surname]],Manpower!C:C,Manpower!D:D,)</f>
        <v>105813698</v>
      </c>
      <c r="G2565" s="28" t="str">
        <f>_xlfn.XLOOKUP(Table134526_79101120212223242526[[#This Row],[Name Surname]],Manpower!$C$4:$C$1048576,Manpower!$F$4:$F$1048576,"")</f>
        <v>Scaffolding Inspector</v>
      </c>
      <c r="H2565" s="28" t="str">
        <f>_xlfn.XLOOKUP(Table134526_79101120212223242526[[#This Row],[Name Surname]],Manpower!$C$4:$C$1048576,Manpower!$H$4:$H$1048576,"")</f>
        <v>Sub Contactor</v>
      </c>
      <c r="I2565" s="28" t="str">
        <f>_xlfn.XLOOKUP(Table134526_79101120212223242526[[#This Row],[Name Surname]],Manpower!$C$4:$C$1048576,Manpower!$H$4:$H$1048576,"")</f>
        <v>Sub Contactor</v>
      </c>
      <c r="J2565" s="21" t="s">
        <v>143</v>
      </c>
      <c r="K2565" s="21" t="s">
        <v>26</v>
      </c>
      <c r="L2565" s="21" t="s">
        <v>170</v>
      </c>
      <c r="M2565" s="21" t="s">
        <v>24</v>
      </c>
      <c r="N2565" s="29">
        <v>10</v>
      </c>
      <c r="O2565" s="21" t="s">
        <v>40</v>
      </c>
      <c r="P2565" s="21" t="s">
        <v>128</v>
      </c>
      <c r="Q2565" s="21" t="s">
        <v>128</v>
      </c>
      <c r="R2565" s="21" t="s">
        <v>171</v>
      </c>
    </row>
    <row r="2566" spans="1:19" s="45" customFormat="1" ht="14.4" hidden="1">
      <c r="A2566" s="25">
        <f>IF(C2566="","",MAX($A$1:A2565)+1)</f>
        <v>2387</v>
      </c>
      <c r="B2566" s="25" t="s">
        <v>141</v>
      </c>
      <c r="C2566" s="41">
        <v>46103</v>
      </c>
      <c r="D2566" s="48" t="str">
        <f>_xlfn.XLOOKUP(Table134526_79101120212223242526[[#This Row],[Name Surname]],Manpower!$C$4:$C$1048576,Manpower!$B$4:$B$1048576,"")</f>
        <v>AL Saif &amp; Al QALLM ENT LLC</v>
      </c>
      <c r="E2566" s="43" t="s">
        <v>194</v>
      </c>
      <c r="F2566" s="12">
        <f>_xlfn.XLOOKUP(Table134526_79101120212223242526[[#This Row],[Name Surname]],Manpower!C:C,Manpower!D:D,)</f>
        <v>135340657</v>
      </c>
      <c r="G2566" s="48" t="str">
        <f>_xlfn.XLOOKUP(Table134526_79101120212223242526[[#This Row],[Name Surname]],Manpower!$C$4:$C$1048576,Manpower!$F$4:$F$1048576,"")</f>
        <v>Forklift Operator</v>
      </c>
      <c r="H2566" s="48" t="str">
        <f>_xlfn.XLOOKUP(Table134526_79101120212223242526[[#This Row],[Name Surname]],Manpower!$C$4:$C$1048576,Manpower!$H$4:$H$1048576,"")</f>
        <v>Sub Contactor</v>
      </c>
      <c r="I2566" s="48" t="str">
        <f>_xlfn.XLOOKUP(Table134526_79101120212223242526[[#This Row],[Name Surname]],Manpower!$C$4:$C$1048576,Manpower!$H$4:$H$1048576,"")</f>
        <v>Sub Contactor</v>
      </c>
      <c r="J2566" s="43" t="s">
        <v>143</v>
      </c>
      <c r="K2566" s="43" t="s">
        <v>26</v>
      </c>
      <c r="L2566" s="43" t="s">
        <v>144</v>
      </c>
      <c r="M2566" s="43" t="s">
        <v>24</v>
      </c>
      <c r="N2566" s="44">
        <v>10</v>
      </c>
      <c r="O2566" s="43" t="s">
        <v>40</v>
      </c>
      <c r="P2566" s="43" t="s">
        <v>42</v>
      </c>
      <c r="Q2566" s="43" t="s">
        <v>42</v>
      </c>
      <c r="R2566" s="43" t="s">
        <v>195</v>
      </c>
      <c r="S2566" s="43"/>
    </row>
    <row r="2567" spans="1:19" s="45" customFormat="1" ht="14.4" hidden="1">
      <c r="A2567" s="25">
        <f>IF(C2567="","",MAX($A$1:A2566)+1)</f>
        <v>2388</v>
      </c>
      <c r="B2567" s="25" t="s">
        <v>141</v>
      </c>
      <c r="C2567" s="41">
        <v>46103</v>
      </c>
      <c r="D2567" s="48" t="str">
        <f>_xlfn.XLOOKUP(Table134526_79101120212223242526[[#This Row],[Name Surname]],Manpower!$C$4:$C$1048576,Manpower!$B$4:$B$1048576,"")</f>
        <v>Encogroup</v>
      </c>
      <c r="E2567" s="43" t="s">
        <v>196</v>
      </c>
      <c r="F2567" s="12">
        <f>_xlfn.XLOOKUP(Table134526_79101120212223242526[[#This Row],[Name Surname]],Manpower!C:C,Manpower!D:D,)</f>
        <v>140844586</v>
      </c>
      <c r="G2567" s="48" t="str">
        <f>_xlfn.XLOOKUP(Table134526_79101120212223242526[[#This Row],[Name Surname]],Manpower!$C$4:$C$1048576,Manpower!$F$4:$F$1048576,"")</f>
        <v>Assistant/Helper</v>
      </c>
      <c r="H2567" s="48" t="str">
        <f>_xlfn.XLOOKUP(Table134526_79101120212223242526[[#This Row],[Name Surname]],Manpower!$C$4:$C$1048576,Manpower!$H$4:$H$1048576,"")</f>
        <v>Manpower</v>
      </c>
      <c r="I2567" s="48" t="str">
        <f>_xlfn.XLOOKUP(Table134526_79101120212223242526[[#This Row],[Name Surname]],Manpower!$C$4:$C$1048576,Manpower!$H$4:$H$1048576,"")</f>
        <v>Manpower</v>
      </c>
      <c r="J2567" s="43" t="s">
        <v>143</v>
      </c>
      <c r="K2567" s="43" t="s">
        <v>26</v>
      </c>
      <c r="L2567" s="43" t="s">
        <v>170</v>
      </c>
      <c r="M2567" s="43" t="s">
        <v>24</v>
      </c>
      <c r="N2567" s="44">
        <v>10</v>
      </c>
      <c r="O2567" s="43" t="s">
        <v>40</v>
      </c>
      <c r="P2567" s="43" t="s">
        <v>128</v>
      </c>
      <c r="Q2567" s="43" t="s">
        <v>128</v>
      </c>
      <c r="R2567" s="43" t="s">
        <v>171</v>
      </c>
      <c r="S2567" s="43"/>
    </row>
    <row r="2568" spans="1:19" ht="14.4" hidden="1">
      <c r="A2568" s="33">
        <f>IF(C2568="","",MAX($A$1:A2567)+1)</f>
        <v>2389</v>
      </c>
      <c r="B2568" s="27" t="s">
        <v>141</v>
      </c>
      <c r="C2568" s="23">
        <v>46103</v>
      </c>
      <c r="D2568" s="28" t="str">
        <f>_xlfn.XLOOKUP(Table134526_79101120212223242526[[#This Row],[Name Surname]],Manpower!$C$4:$C$1048576,Manpower!$B$4:$B$1048576,"")</f>
        <v>AL Omar International TRAD AND CONT</v>
      </c>
      <c r="E2568" s="21" t="s">
        <v>169</v>
      </c>
      <c r="F2568" s="12">
        <f>_xlfn.XLOOKUP(Table134526_79101120212223242526[[#This Row],[Name Surname]],Manpower!C:C,Manpower!D:D,)</f>
        <v>115731078</v>
      </c>
      <c r="G2568" s="28" t="str">
        <f>_xlfn.XLOOKUP(Table134526_79101120212223242526[[#This Row],[Name Surname]],Manpower!$C$4:$C$1048576,Manpower!$F$4:$F$1048576,"")</f>
        <v>Scaffolder</v>
      </c>
      <c r="H2568" s="28" t="str">
        <f>_xlfn.XLOOKUP(Table134526_79101120212223242526[[#This Row],[Name Surname]],Manpower!$C$4:$C$1048576,Manpower!$H$4:$H$1048576,"")</f>
        <v>Sub Contactor</v>
      </c>
      <c r="I2568" s="28" t="str">
        <f>_xlfn.XLOOKUP(Table134526_79101120212223242526[[#This Row],[Name Surname]],Manpower!$C$4:$C$1048576,Manpower!$H$4:$H$1048576,"")</f>
        <v>Sub Contactor</v>
      </c>
      <c r="J2568" s="21" t="s">
        <v>143</v>
      </c>
      <c r="K2568" s="21" t="s">
        <v>26</v>
      </c>
      <c r="L2568" s="21" t="s">
        <v>170</v>
      </c>
      <c r="M2568" s="21" t="s">
        <v>24</v>
      </c>
      <c r="N2568" s="29">
        <v>10</v>
      </c>
      <c r="O2568" s="21" t="s">
        <v>40</v>
      </c>
      <c r="P2568" s="21" t="s">
        <v>128</v>
      </c>
      <c r="Q2568" s="21" t="s">
        <v>128</v>
      </c>
      <c r="R2568" s="21" t="s">
        <v>171</v>
      </c>
    </row>
    <row r="2569" spans="1:19" ht="14.4" hidden="1">
      <c r="A2569" s="33">
        <f>IF(C2569="","",MAX($A$1:A2568)+1)</f>
        <v>2390</v>
      </c>
      <c r="B2569" s="27" t="s">
        <v>141</v>
      </c>
      <c r="C2569" s="23">
        <v>46103</v>
      </c>
      <c r="D2569" s="28" t="str">
        <f>_xlfn.XLOOKUP(Table134526_79101120212223242526[[#This Row],[Name Surname]],Manpower!$C$4:$C$1048576,Manpower!$B$4:$B$1048576,"")</f>
        <v>Encogroup</v>
      </c>
      <c r="E2569" s="21" t="s">
        <v>186</v>
      </c>
      <c r="F2569" s="12">
        <f>_xlfn.XLOOKUP(Table134526_79101120212223242526[[#This Row],[Name Surname]],Manpower!C:C,Manpower!D:D,)</f>
        <v>140696961</v>
      </c>
      <c r="G2569" s="28" t="str">
        <f>_xlfn.XLOOKUP(Table134526_79101120212223242526[[#This Row],[Name Surname]],Manpower!$C$4:$C$1048576,Manpower!$F$4:$F$1048576,"")</f>
        <v>Assistant/Helper</v>
      </c>
      <c r="H2569" s="28" t="str">
        <f>_xlfn.XLOOKUP(Table134526_79101120212223242526[[#This Row],[Name Surname]],Manpower!$C$4:$C$1048576,Manpower!$H$4:$H$1048576,"")</f>
        <v>Manpower</v>
      </c>
      <c r="I2569" s="28" t="str">
        <f>_xlfn.XLOOKUP(Table134526_79101120212223242526[[#This Row],[Name Surname]],Manpower!$C$4:$C$1048576,Manpower!$H$4:$H$1048576,"")</f>
        <v>Manpower</v>
      </c>
      <c r="J2569" s="21" t="s">
        <v>143</v>
      </c>
      <c r="K2569" s="21" t="s">
        <v>26</v>
      </c>
      <c r="L2569" s="21" t="s">
        <v>170</v>
      </c>
      <c r="M2569" s="21" t="s">
        <v>24</v>
      </c>
      <c r="N2569" s="29">
        <v>10</v>
      </c>
      <c r="O2569" s="21" t="s">
        <v>40</v>
      </c>
      <c r="P2569" s="21" t="s">
        <v>128</v>
      </c>
      <c r="Q2569" s="21" t="s">
        <v>128</v>
      </c>
      <c r="R2569" s="21" t="s">
        <v>171</v>
      </c>
    </row>
    <row r="2570" spans="1:19" ht="14.4" hidden="1">
      <c r="A2570" s="33">
        <f>IF(C2570="","",MAX($A$1:A2569)+1)</f>
        <v>2391</v>
      </c>
      <c r="B2570" s="27" t="s">
        <v>141</v>
      </c>
      <c r="C2570" s="23">
        <v>46103</v>
      </c>
      <c r="D2570" s="28" t="str">
        <f>_xlfn.XLOOKUP(Table134526_79101120212223242526[[#This Row],[Name Surname]],Manpower!$C$4:$C$1048576,Manpower!$B$4:$B$1048576,"")</f>
        <v>AL Omar International Tarde&amp;Contracting SPC</v>
      </c>
      <c r="E2570" s="21" t="s">
        <v>221</v>
      </c>
      <c r="F2570" s="12">
        <f>_xlfn.XLOOKUP(Table134526_79101120212223242526[[#This Row],[Name Surname]],Manpower!C:C,Manpower!D:D,)</f>
        <v>115122635</v>
      </c>
      <c r="G2570" s="28" t="str">
        <f>_xlfn.XLOOKUP(Table134526_79101120212223242526[[#This Row],[Name Surname]],Manpower!$C$4:$C$1048576,Manpower!$F$4:$F$1048576,"")</f>
        <v>Scaffolder</v>
      </c>
      <c r="H2570" s="28" t="str">
        <f>_xlfn.XLOOKUP(Table134526_79101120212223242526[[#This Row],[Name Surname]],Manpower!$C$4:$C$1048576,Manpower!$H$4:$H$1048576,"")</f>
        <v>Sub Contactor</v>
      </c>
      <c r="I2570" s="28" t="str">
        <f>_xlfn.XLOOKUP(Table134526_79101120212223242526[[#This Row],[Name Surname]],Manpower!$C$4:$C$1048576,Manpower!$H$4:$H$1048576,"")</f>
        <v>Sub Contactor</v>
      </c>
      <c r="J2570" s="21" t="s">
        <v>143</v>
      </c>
      <c r="K2570" s="21" t="s">
        <v>26</v>
      </c>
      <c r="L2570" s="21" t="s">
        <v>170</v>
      </c>
      <c r="M2570" s="21" t="s">
        <v>24</v>
      </c>
      <c r="N2570" s="29">
        <v>10</v>
      </c>
      <c r="O2570" s="21" t="s">
        <v>40</v>
      </c>
      <c r="P2570" s="21" t="s">
        <v>128</v>
      </c>
      <c r="Q2570" s="21" t="s">
        <v>128</v>
      </c>
      <c r="R2570" s="21" t="s">
        <v>171</v>
      </c>
    </row>
    <row r="2571" spans="1:19" ht="14.4" hidden="1">
      <c r="A2571" s="33">
        <f>IF(C2571="","",MAX($A$1:A2570)+1)</f>
        <v>2392</v>
      </c>
      <c r="B2571" s="27" t="s">
        <v>141</v>
      </c>
      <c r="C2571" s="23">
        <v>46103</v>
      </c>
      <c r="D2571" s="28" t="str">
        <f>_xlfn.XLOOKUP(Table134526_79101120212223242526[[#This Row],[Name Surname]],Manpower!$C$4:$C$1048576,Manpower!$B$4:$B$1048576,"")</f>
        <v>Encogroup</v>
      </c>
      <c r="E2571" s="21" t="s">
        <v>183</v>
      </c>
      <c r="F2571" s="12">
        <f>_xlfn.XLOOKUP(Table134526_79101120212223242526[[#This Row],[Name Surname]],Manpower!C:C,Manpower!D:D,)</f>
        <v>141359024</v>
      </c>
      <c r="G2571" s="28" t="str">
        <f>_xlfn.XLOOKUP(Table134526_79101120212223242526[[#This Row],[Name Surname]],Manpower!$C$4:$C$1048576,Manpower!$F$4:$F$1048576,"")</f>
        <v>Hydraulic Mechanic</v>
      </c>
      <c r="H2571" s="28" t="str">
        <f>_xlfn.XLOOKUP(Table134526_79101120212223242526[[#This Row],[Name Surname]],Manpower!$C$4:$C$1048576,Manpower!$H$4:$H$1048576,"")</f>
        <v>Manpower</v>
      </c>
      <c r="I2571" s="28" t="str">
        <f>_xlfn.XLOOKUP(Table134526_79101120212223242526[[#This Row],[Name Surname]],Manpower!$C$4:$C$1048576,Manpower!$H$4:$H$1048576,"")</f>
        <v>Manpower</v>
      </c>
      <c r="J2571" s="21" t="s">
        <v>143</v>
      </c>
      <c r="K2571" s="21" t="s">
        <v>26</v>
      </c>
      <c r="L2571" s="21" t="s">
        <v>170</v>
      </c>
      <c r="M2571" s="21" t="s">
        <v>24</v>
      </c>
      <c r="N2571" s="29">
        <v>10</v>
      </c>
      <c r="O2571" s="21" t="s">
        <v>40</v>
      </c>
      <c r="P2571" s="21" t="s">
        <v>128</v>
      </c>
      <c r="Q2571" s="21" t="s">
        <v>128</v>
      </c>
      <c r="R2571" s="21" t="s">
        <v>171</v>
      </c>
    </row>
    <row r="2572" spans="1:19" ht="14.4" hidden="1">
      <c r="A2572" s="33">
        <f>IF(C2572="","",MAX($A$1:A2571)+1)</f>
        <v>2393</v>
      </c>
      <c r="B2572" s="27" t="s">
        <v>141</v>
      </c>
      <c r="C2572" s="23">
        <v>46103</v>
      </c>
      <c r="D2572" s="28" t="str">
        <f>_xlfn.XLOOKUP(Table134526_79101120212223242526[[#This Row],[Name Surname]],Manpower!$C$4:$C$1048576,Manpower!$B$4:$B$1048576,"")</f>
        <v>AL Omar International TRAD AND CONT</v>
      </c>
      <c r="E2572" s="21" t="s">
        <v>197</v>
      </c>
      <c r="F2572" s="12">
        <f>_xlfn.XLOOKUP(Table134526_79101120212223242526[[#This Row],[Name Surname]],Manpower!C:C,Manpower!D:D,)</f>
        <v>106093463</v>
      </c>
      <c r="G2572" s="28" t="str">
        <f>_xlfn.XLOOKUP(Table134526_79101120212223242526[[#This Row],[Name Surname]],Manpower!$C$4:$C$1048576,Manpower!$F$4:$F$1048576,"")</f>
        <v>RIgger</v>
      </c>
      <c r="H2572" s="28" t="str">
        <f>_xlfn.XLOOKUP(Table134526_79101120212223242526[[#This Row],[Name Surname]],Manpower!$C$4:$C$1048576,Manpower!$H$4:$H$1048576,"")</f>
        <v>Sub Contactor</v>
      </c>
      <c r="I2572" s="28" t="str">
        <f>_xlfn.XLOOKUP(Table134526_79101120212223242526[[#This Row],[Name Surname]],Manpower!$C$4:$C$1048576,Manpower!$H$4:$H$1048576,"")</f>
        <v>Sub Contactor</v>
      </c>
      <c r="J2572" s="21" t="s">
        <v>143</v>
      </c>
      <c r="K2572" s="21" t="s">
        <v>26</v>
      </c>
      <c r="L2572" s="21" t="s">
        <v>144</v>
      </c>
      <c r="M2572" s="21" t="s">
        <v>24</v>
      </c>
      <c r="N2572" s="29">
        <v>5</v>
      </c>
      <c r="O2572" s="21" t="s">
        <v>40</v>
      </c>
      <c r="P2572" s="21" t="s">
        <v>42</v>
      </c>
      <c r="Q2572" s="21" t="s">
        <v>42</v>
      </c>
      <c r="R2572" s="21" t="s">
        <v>368</v>
      </c>
    </row>
    <row r="2573" spans="1:19" ht="14.4">
      <c r="A2573" s="33">
        <f>IF(C2573="","",MAX($A$1:A2572)+1)</f>
        <v>2394</v>
      </c>
      <c r="B2573" s="27" t="s">
        <v>141</v>
      </c>
      <c r="C2573" s="23">
        <v>46103</v>
      </c>
      <c r="D2573" s="28" t="str">
        <f>_xlfn.XLOOKUP(Table134526_79101120212223242526[[#This Row],[Name Surname]],Manpower!$C$4:$C$1048576,Manpower!$B$4:$B$1048576,"")</f>
        <v>Al Asrah Al Mumayaza Trad</v>
      </c>
      <c r="E2573" s="21" t="s">
        <v>198</v>
      </c>
      <c r="F2573" s="12" t="e">
        <f>_xlfn.XLOOKUP(Table134526_79101120212223242526[[#This Row],[Name Surname]],Manpower!C:C,Manpower!D:D,)</f>
        <v>#N/A</v>
      </c>
      <c r="G2573" s="28" t="str">
        <f>_xlfn.XLOOKUP(Table134526_79101120212223242526[[#This Row],[Name Surname]],Manpower!$C$4:$C$1048576,Manpower!$F$4:$F$1048576,"")</f>
        <v>PICK-UP</v>
      </c>
      <c r="H2573" s="28" t="str">
        <f>_xlfn.XLOOKUP(Table134526_79101120212223242526[[#This Row],[Name Surname]],Manpower!$C$4:$C$1048576,Manpower!$H$4:$H$1048576,"")</f>
        <v>Equipment</v>
      </c>
      <c r="I2573" s="28" t="str">
        <f>_xlfn.XLOOKUP(Table134526_79101120212223242526[[#This Row],[Name Surname]],Manpower!$C$4:$C$1048576,Manpower!$H$4:$H$1048576,"")</f>
        <v>Equipment</v>
      </c>
      <c r="J2573" s="21" t="s">
        <v>143</v>
      </c>
      <c r="K2573" s="21" t="s">
        <v>26</v>
      </c>
      <c r="L2573" s="21" t="s">
        <v>144</v>
      </c>
      <c r="M2573" s="21" t="s">
        <v>24</v>
      </c>
      <c r="N2573" s="29">
        <v>10</v>
      </c>
      <c r="O2573" s="21" t="s">
        <v>138</v>
      </c>
      <c r="P2573" s="21" t="s">
        <v>138</v>
      </c>
      <c r="Q2573" s="21" t="s">
        <v>138</v>
      </c>
      <c r="R2573" s="21" t="s">
        <v>26</v>
      </c>
    </row>
    <row r="2574" spans="1:19" ht="14.4">
      <c r="A2574" s="33">
        <f>IF(C2574="","",MAX($A$1:A2573)+1)</f>
        <v>2395</v>
      </c>
      <c r="B2574" s="27" t="s">
        <v>141</v>
      </c>
      <c r="C2574" s="23">
        <v>46103</v>
      </c>
      <c r="D2574" s="28" t="str">
        <f>_xlfn.XLOOKUP(Table134526_79101120212223242526[[#This Row],[Name Surname]],Manpower!$C$4:$C$1048576,Manpower!$B$4:$B$1048576,"")</f>
        <v>Al Asrah Al Mumayaza Trad</v>
      </c>
      <c r="E2574" s="21" t="s">
        <v>199</v>
      </c>
      <c r="F2574" s="12" t="e">
        <f>_xlfn.XLOOKUP(Table134526_79101120212223242526[[#This Row],[Name Surname]],Manpower!C:C,Manpower!D:D,)</f>
        <v>#N/A</v>
      </c>
      <c r="G2574" s="28" t="str">
        <f>_xlfn.XLOOKUP(Table134526_79101120212223242526[[#This Row],[Name Surname]],Manpower!$C$4:$C$1048576,Manpower!$F$4:$F$1048576,"")</f>
        <v>PICK-UP</v>
      </c>
      <c r="H2574" s="28" t="str">
        <f>_xlfn.XLOOKUP(Table134526_79101120212223242526[[#This Row],[Name Surname]],Manpower!$C$4:$C$1048576,Manpower!$H$4:$H$1048576,"")</f>
        <v>Equipment</v>
      </c>
      <c r="I2574" s="28" t="str">
        <f>_xlfn.XLOOKUP(Table134526_79101120212223242526[[#This Row],[Name Surname]],Manpower!$C$4:$C$1048576,Manpower!$H$4:$H$1048576,"")</f>
        <v>Equipment</v>
      </c>
      <c r="J2574" s="21" t="s">
        <v>143</v>
      </c>
      <c r="K2574" s="21" t="s">
        <v>26</v>
      </c>
      <c r="L2574" s="21" t="s">
        <v>144</v>
      </c>
      <c r="M2574" s="21" t="s">
        <v>24</v>
      </c>
      <c r="N2574" s="29">
        <v>10</v>
      </c>
      <c r="O2574" s="21" t="s">
        <v>138</v>
      </c>
      <c r="P2574" s="21" t="s">
        <v>138</v>
      </c>
      <c r="Q2574" s="21" t="s">
        <v>138</v>
      </c>
      <c r="R2574" s="21" t="s">
        <v>26</v>
      </c>
    </row>
    <row r="2575" spans="1:19" ht="14.4">
      <c r="A2575" s="33">
        <f>IF(C2575="","",MAX($A$1:A2574)+1)</f>
        <v>2396</v>
      </c>
      <c r="B2575" s="27" t="s">
        <v>141</v>
      </c>
      <c r="C2575" s="23">
        <v>46103</v>
      </c>
      <c r="D2575" s="28" t="str">
        <f>_xlfn.XLOOKUP(Table134526_79101120212223242526[[#This Row],[Name Surname]],Manpower!$C$4:$C$1048576,Manpower!$B$4:$B$1048576,"")</f>
        <v>Al Asrah Al Mumayaza Trad</v>
      </c>
      <c r="E2575" s="21" t="s">
        <v>200</v>
      </c>
      <c r="F2575" s="12" t="e">
        <f>_xlfn.XLOOKUP(Table134526_79101120212223242526[[#This Row],[Name Surname]],Manpower!C:C,Manpower!D:D,)</f>
        <v>#N/A</v>
      </c>
      <c r="G2575" s="28" t="str">
        <f>_xlfn.XLOOKUP(Table134526_79101120212223242526[[#This Row],[Name Surname]],Manpower!$C$4:$C$1048576,Manpower!$F$4:$F$1048576,"")</f>
        <v>PICK-UP</v>
      </c>
      <c r="H2575" s="28" t="str">
        <f>_xlfn.XLOOKUP(Table134526_79101120212223242526[[#This Row],[Name Surname]],Manpower!$C$4:$C$1048576,Manpower!$H$4:$H$1048576,"")</f>
        <v>Equipment</v>
      </c>
      <c r="I2575" s="28" t="str">
        <f>_xlfn.XLOOKUP(Table134526_79101120212223242526[[#This Row],[Name Surname]],Manpower!$C$4:$C$1048576,Manpower!$H$4:$H$1048576,"")</f>
        <v>Equipment</v>
      </c>
      <c r="J2575" s="21" t="s">
        <v>143</v>
      </c>
      <c r="K2575" s="21" t="s">
        <v>26</v>
      </c>
      <c r="L2575" s="21" t="s">
        <v>144</v>
      </c>
      <c r="M2575" s="21" t="s">
        <v>24</v>
      </c>
      <c r="N2575" s="29">
        <v>10</v>
      </c>
      <c r="O2575" s="21" t="s">
        <v>138</v>
      </c>
      <c r="P2575" s="21" t="s">
        <v>138</v>
      </c>
      <c r="Q2575" s="21" t="s">
        <v>138</v>
      </c>
      <c r="R2575" s="21" t="s">
        <v>26</v>
      </c>
    </row>
    <row r="2576" spans="1:19" ht="14.4">
      <c r="A2576" s="33">
        <f>IF(C2576="","",MAX($A$1:A2575)+1)</f>
        <v>2397</v>
      </c>
      <c r="B2576" s="27" t="s">
        <v>141</v>
      </c>
      <c r="C2576" s="23">
        <v>46103</v>
      </c>
      <c r="D2576" s="28" t="str">
        <f>_xlfn.XLOOKUP(Table134526_79101120212223242526[[#This Row],[Name Surname]],Manpower!$C$4:$C$1048576,Manpower!$B$4:$B$1048576,"")</f>
        <v>Al Asrah Al Mumayaza Trad</v>
      </c>
      <c r="E2576" s="21" t="s">
        <v>201</v>
      </c>
      <c r="F2576" s="12" t="e">
        <f>_xlfn.XLOOKUP(Table134526_79101120212223242526[[#This Row],[Name Surname]],Manpower!C:C,Manpower!D:D,)</f>
        <v>#N/A</v>
      </c>
      <c r="G2576" s="28" t="str">
        <f>_xlfn.XLOOKUP(Table134526_79101120212223242526[[#This Row],[Name Surname]],Manpower!$C$4:$C$1048576,Manpower!$F$4:$F$1048576,"")</f>
        <v>PICK-UP</v>
      </c>
      <c r="H2576" s="28" t="str">
        <f>_xlfn.XLOOKUP(Table134526_79101120212223242526[[#This Row],[Name Surname]],Manpower!$C$4:$C$1048576,Manpower!$H$4:$H$1048576,"")</f>
        <v>Equipment</v>
      </c>
      <c r="I2576" s="28" t="str">
        <f>_xlfn.XLOOKUP(Table134526_79101120212223242526[[#This Row],[Name Surname]],Manpower!$C$4:$C$1048576,Manpower!$H$4:$H$1048576,"")</f>
        <v>Equipment</v>
      </c>
      <c r="J2576" s="21" t="s">
        <v>143</v>
      </c>
      <c r="K2576" s="21" t="s">
        <v>26</v>
      </c>
      <c r="L2576" s="21" t="s">
        <v>144</v>
      </c>
      <c r="M2576" s="21" t="s">
        <v>24</v>
      </c>
      <c r="N2576" s="29">
        <v>10</v>
      </c>
      <c r="O2576" s="21" t="s">
        <v>138</v>
      </c>
      <c r="P2576" s="21" t="s">
        <v>138</v>
      </c>
      <c r="Q2576" s="21" t="s">
        <v>138</v>
      </c>
      <c r="R2576" s="21" t="s">
        <v>26</v>
      </c>
    </row>
    <row r="2577" spans="1:19" s="45" customFormat="1" ht="14.4" hidden="1">
      <c r="A2577" s="25">
        <f>IF(C2577="","",MAX($A$1:A2576)+1)</f>
        <v>2398</v>
      </c>
      <c r="B2577" s="25" t="s">
        <v>141</v>
      </c>
      <c r="C2577" s="41">
        <v>46103</v>
      </c>
      <c r="D2577" s="48" t="str">
        <f>_xlfn.XLOOKUP(Table134526_79101120212223242526[[#This Row],[Name Surname]],Manpower!$C$4:$C$1048576,Manpower!$B$4:$B$1048576,"")</f>
        <v>Encogroup</v>
      </c>
      <c r="E2577" s="43" t="s">
        <v>202</v>
      </c>
      <c r="F2577" s="12">
        <f>_xlfn.XLOOKUP(Table134526_79101120212223242526[[#This Row],[Name Surname]],Manpower!C:C,Manpower!D:D,)</f>
        <v>140805592</v>
      </c>
      <c r="G2577" s="48" t="str">
        <f>_xlfn.XLOOKUP(Table134526_79101120212223242526[[#This Row],[Name Surname]],Manpower!$C$4:$C$1048576,Manpower!$F$4:$F$1048576,"")</f>
        <v>Assistant/Helper</v>
      </c>
      <c r="H2577" s="48" t="str">
        <f>_xlfn.XLOOKUP(Table134526_79101120212223242526[[#This Row],[Name Surname]],Manpower!$C$4:$C$1048576,Manpower!$H$4:$H$1048576,"")</f>
        <v>Manpower</v>
      </c>
      <c r="I2577" s="48" t="str">
        <f>_xlfn.XLOOKUP(Table134526_79101120212223242526[[#This Row],[Name Surname]],Manpower!$C$4:$C$1048576,Manpower!$H$4:$H$1048576,"")</f>
        <v>Manpower</v>
      </c>
      <c r="J2577" s="43" t="s">
        <v>143</v>
      </c>
      <c r="K2577" s="43" t="s">
        <v>26</v>
      </c>
      <c r="L2577" s="43" t="s">
        <v>144</v>
      </c>
      <c r="M2577" s="43" t="s">
        <v>24</v>
      </c>
      <c r="N2577" s="44">
        <v>10</v>
      </c>
      <c r="O2577" s="43" t="s">
        <v>40</v>
      </c>
      <c r="P2577" s="43" t="s">
        <v>42</v>
      </c>
      <c r="Q2577" s="43" t="s">
        <v>42</v>
      </c>
      <c r="R2577" s="43" t="s">
        <v>368</v>
      </c>
      <c r="S2577" s="43"/>
    </row>
    <row r="2578" spans="1:19" s="45" customFormat="1" ht="14.4" hidden="1">
      <c r="A2578" s="25">
        <f>IF(C2578="","",MAX($A$1:A2577)+1)</f>
        <v>2399</v>
      </c>
      <c r="B2578" s="25" t="s">
        <v>141</v>
      </c>
      <c r="C2578" s="41">
        <v>46103</v>
      </c>
      <c r="D2578" s="48" t="str">
        <f>_xlfn.XLOOKUP(Table134526_79101120212223242526[[#This Row],[Name Surname]],Manpower!$C$4:$C$1048576,Manpower!$B$4:$B$1048576,"")</f>
        <v>Encogroup</v>
      </c>
      <c r="E2578" s="43" t="s">
        <v>203</v>
      </c>
      <c r="F2578" s="12">
        <f>_xlfn.XLOOKUP(Table134526_79101120212223242526[[#This Row],[Name Surname]],Manpower!C:C,Manpower!D:D,)</f>
        <v>140683371</v>
      </c>
      <c r="G2578" s="48" t="str">
        <f>_xlfn.XLOOKUP(Table134526_79101120212223242526[[#This Row],[Name Surname]],Manpower!$C$4:$C$1048576,Manpower!$F$4:$F$1048576,"")</f>
        <v>Rigger</v>
      </c>
      <c r="H2578" s="48" t="str">
        <f>_xlfn.XLOOKUP(Table134526_79101120212223242526[[#This Row],[Name Surname]],Manpower!$C$4:$C$1048576,Manpower!$H$4:$H$1048576,"")</f>
        <v>Manpower</v>
      </c>
      <c r="I2578" s="48" t="str">
        <f>_xlfn.XLOOKUP(Table134526_79101120212223242526[[#This Row],[Name Surname]],Manpower!$C$4:$C$1048576,Manpower!$H$4:$H$1048576,"")</f>
        <v>Manpower</v>
      </c>
      <c r="J2578" s="43" t="s">
        <v>143</v>
      </c>
      <c r="K2578" s="43" t="s">
        <v>26</v>
      </c>
      <c r="L2578" s="43" t="s">
        <v>144</v>
      </c>
      <c r="M2578" s="43" t="s">
        <v>24</v>
      </c>
      <c r="N2578" s="44">
        <v>10</v>
      </c>
      <c r="O2578" s="43" t="s">
        <v>40</v>
      </c>
      <c r="P2578" s="43" t="s">
        <v>42</v>
      </c>
      <c r="Q2578" s="43" t="s">
        <v>42</v>
      </c>
      <c r="R2578" s="43" t="s">
        <v>368</v>
      </c>
      <c r="S2578" s="43"/>
    </row>
    <row r="2579" spans="1:19" s="45" customFormat="1" ht="14.4" hidden="1">
      <c r="A2579" s="25">
        <f>IF(C2579="","",MAX($A$1:A2578)+1)</f>
        <v>2400</v>
      </c>
      <c r="B2579" s="25" t="s">
        <v>141</v>
      </c>
      <c r="C2579" s="41">
        <v>46103</v>
      </c>
      <c r="D2579" s="48" t="str">
        <f>_xlfn.XLOOKUP(Table134526_79101120212223242526[[#This Row],[Name Surname]],Manpower!$C$4:$C$1048576,Manpower!$B$4:$B$1048576,"")</f>
        <v>AL Omar International TRAD AND CONT</v>
      </c>
      <c r="E2579" s="43" t="s">
        <v>36</v>
      </c>
      <c r="F2579" s="12">
        <f>_xlfn.XLOOKUP(Table134526_79101120212223242526[[#This Row],[Name Surname]],Manpower!C:C,Manpower!D:D,)</f>
        <v>114929202</v>
      </c>
      <c r="G2579" s="48" t="str">
        <f>_xlfn.XLOOKUP(Table134526_79101120212223242526[[#This Row],[Name Surname]],Manpower!$C$4:$C$1048576,Manpower!$F$4:$F$1048576,"")</f>
        <v>RIgger</v>
      </c>
      <c r="H2579" s="48" t="str">
        <f>_xlfn.XLOOKUP(Table134526_79101120212223242526[[#This Row],[Name Surname]],Manpower!$C$4:$C$1048576,Manpower!$H$4:$H$1048576,"")</f>
        <v>Sub Contactor</v>
      </c>
      <c r="I2579" s="48" t="str">
        <f>_xlfn.XLOOKUP(Table134526_79101120212223242526[[#This Row],[Name Surname]],Manpower!$C$4:$C$1048576,Manpower!$H$4:$H$1048576,"")</f>
        <v>Sub Contactor</v>
      </c>
      <c r="J2579" s="43" t="s">
        <v>143</v>
      </c>
      <c r="K2579" s="43" t="s">
        <v>26</v>
      </c>
      <c r="L2579" s="43" t="s">
        <v>144</v>
      </c>
      <c r="M2579" s="43" t="s">
        <v>24</v>
      </c>
      <c r="N2579" s="44">
        <v>3</v>
      </c>
      <c r="O2579" s="43" t="s">
        <v>40</v>
      </c>
      <c r="P2579" s="43" t="s">
        <v>42</v>
      </c>
      <c r="Q2579" s="43" t="s">
        <v>42</v>
      </c>
      <c r="R2579" s="43" t="s">
        <v>368</v>
      </c>
      <c r="S2579" s="43"/>
    </row>
    <row r="2580" spans="1:19" s="45" customFormat="1" ht="14.4" hidden="1">
      <c r="A2580" s="25">
        <f>IF(C2580="","",MAX($A$1:A2579)+1)</f>
        <v>2401</v>
      </c>
      <c r="B2580" s="25" t="s">
        <v>141</v>
      </c>
      <c r="C2580" s="41">
        <v>46103</v>
      </c>
      <c r="D2580" s="48" t="str">
        <f>_xlfn.XLOOKUP(Table134526_79101120212223242526[[#This Row],[Name Surname]],Manpower!$C$4:$C$1048576,Manpower!$B$4:$B$1048576,"")</f>
        <v>Encogroup</v>
      </c>
      <c r="E2580" s="43" t="s">
        <v>168</v>
      </c>
      <c r="F2580" s="12">
        <f>_xlfn.XLOOKUP(Table134526_79101120212223242526[[#This Row],[Name Surname]],Manpower!C:C,Manpower!D:D,)</f>
        <v>137114773</v>
      </c>
      <c r="G2580" s="48" t="str">
        <f>_xlfn.XLOOKUP(Table134526_79101120212223242526[[#This Row],[Name Surname]],Manpower!$C$4:$C$1048576,Manpower!$F$4:$F$1048576,"")</f>
        <v>Rigger</v>
      </c>
      <c r="H2580" s="48" t="str">
        <f>_xlfn.XLOOKUP(Table134526_79101120212223242526[[#This Row],[Name Surname]],Manpower!$C$4:$C$1048576,Manpower!$H$4:$H$1048576,"")</f>
        <v>Manpower</v>
      </c>
      <c r="I2580" s="48" t="str">
        <f>_xlfn.XLOOKUP(Table134526_79101120212223242526[[#This Row],[Name Surname]],Manpower!$C$4:$C$1048576,Manpower!$H$4:$H$1048576,"")</f>
        <v>Manpower</v>
      </c>
      <c r="J2580" s="43" t="s">
        <v>143</v>
      </c>
      <c r="K2580" s="43" t="s">
        <v>26</v>
      </c>
      <c r="L2580" s="43" t="s">
        <v>144</v>
      </c>
      <c r="M2580" s="43" t="s">
        <v>24</v>
      </c>
      <c r="N2580" s="44">
        <v>10</v>
      </c>
      <c r="O2580" s="43" t="s">
        <v>40</v>
      </c>
      <c r="P2580" s="43" t="s">
        <v>42</v>
      </c>
      <c r="Q2580" s="43" t="s">
        <v>42</v>
      </c>
      <c r="R2580" s="43" t="s">
        <v>368</v>
      </c>
      <c r="S2580" s="43"/>
    </row>
    <row r="2581" spans="1:19" s="45" customFormat="1" ht="14.4" hidden="1">
      <c r="A2581" s="25">
        <f>IF(C2581="","",MAX($A$1:A2580)+1)</f>
        <v>2402</v>
      </c>
      <c r="B2581" s="25" t="s">
        <v>141</v>
      </c>
      <c r="C2581" s="41">
        <v>46103</v>
      </c>
      <c r="D2581" s="48" t="str">
        <f>_xlfn.XLOOKUP(Table134526_79101120212223242526[[#This Row],[Name Surname]],Manpower!$C$4:$C$1048576,Manpower!$B$4:$B$1048576,"")</f>
        <v>Encogroup</v>
      </c>
      <c r="E2581" s="43" t="s">
        <v>346</v>
      </c>
      <c r="F2581" s="12">
        <f>_xlfn.XLOOKUP(Table134526_79101120212223242526[[#This Row],[Name Surname]],Manpower!C:C,Manpower!D:D,)</f>
        <v>117974933</v>
      </c>
      <c r="G2581" s="48" t="str">
        <f>_xlfn.XLOOKUP(Table134526_79101120212223242526[[#This Row],[Name Surname]],Manpower!$C$4:$C$1048576,Manpower!$F$4:$F$1048576,"")</f>
        <v>Scaffolder</v>
      </c>
      <c r="H2581" s="48" t="str">
        <f>_xlfn.XLOOKUP(Table134526_79101120212223242526[[#This Row],[Name Surname]],Manpower!$C$4:$C$1048576,Manpower!$H$4:$H$1048576,"")</f>
        <v>Manpower</v>
      </c>
      <c r="I2581" s="48" t="str">
        <f>_xlfn.XLOOKUP(Table134526_79101120212223242526[[#This Row],[Name Surname]],Manpower!$C$4:$C$1048576,Manpower!$H$4:$H$1048576,"")</f>
        <v>Manpower</v>
      </c>
      <c r="J2581" s="43" t="s">
        <v>143</v>
      </c>
      <c r="K2581" s="43" t="s">
        <v>26</v>
      </c>
      <c r="L2581" s="43" t="s">
        <v>144</v>
      </c>
      <c r="M2581" s="43" t="s">
        <v>24</v>
      </c>
      <c r="N2581" s="44">
        <v>10</v>
      </c>
      <c r="O2581" s="43" t="s">
        <v>40</v>
      </c>
      <c r="P2581" s="43" t="s">
        <v>42</v>
      </c>
      <c r="Q2581" s="43" t="s">
        <v>42</v>
      </c>
      <c r="R2581" s="43" t="s">
        <v>368</v>
      </c>
      <c r="S2581" s="43"/>
    </row>
    <row r="2582" spans="1:19" s="45" customFormat="1" ht="14.4" hidden="1">
      <c r="A2582" s="25">
        <f>IF(C2582="","",MAX($A$1:A2581)+1)</f>
        <v>2403</v>
      </c>
      <c r="B2582" s="25" t="s">
        <v>141</v>
      </c>
      <c r="C2582" s="41">
        <v>46103</v>
      </c>
      <c r="D2582" s="48" t="str">
        <f>_xlfn.XLOOKUP(Table134526_79101120212223242526[[#This Row],[Name Surname]],Manpower!$C$4:$C$1048576,Manpower!$B$4:$B$1048576,"")</f>
        <v>Encogroup</v>
      </c>
      <c r="E2582" s="43" t="s">
        <v>347</v>
      </c>
      <c r="F2582" s="12">
        <f>_xlfn.XLOOKUP(Table134526_79101120212223242526[[#This Row],[Name Surname]],Manpower!C:C,Manpower!D:D,)</f>
        <v>141502853</v>
      </c>
      <c r="G2582" s="48" t="str">
        <f>_xlfn.XLOOKUP(Table134526_79101120212223242526[[#This Row],[Name Surname]],Manpower!$C$4:$C$1048576,Manpower!$F$4:$F$1048576,"")</f>
        <v>Scaffolder</v>
      </c>
      <c r="H2582" s="48" t="str">
        <f>_xlfn.XLOOKUP(Table134526_79101120212223242526[[#This Row],[Name Surname]],Manpower!$C$4:$C$1048576,Manpower!$H$4:$H$1048576,"")</f>
        <v>Manpower</v>
      </c>
      <c r="I2582" s="48" t="str">
        <f>_xlfn.XLOOKUP(Table134526_79101120212223242526[[#This Row],[Name Surname]],Manpower!$C$4:$C$1048576,Manpower!$H$4:$H$1048576,"")</f>
        <v>Manpower</v>
      </c>
      <c r="J2582" s="43" t="s">
        <v>143</v>
      </c>
      <c r="K2582" s="43" t="s">
        <v>26</v>
      </c>
      <c r="L2582" s="43" t="s">
        <v>144</v>
      </c>
      <c r="M2582" s="43" t="s">
        <v>24</v>
      </c>
      <c r="N2582" s="44">
        <v>10</v>
      </c>
      <c r="O2582" s="43" t="s">
        <v>40</v>
      </c>
      <c r="P2582" s="43" t="s">
        <v>42</v>
      </c>
      <c r="Q2582" s="43" t="s">
        <v>42</v>
      </c>
      <c r="R2582" s="43" t="s">
        <v>368</v>
      </c>
      <c r="S2582" s="43"/>
    </row>
    <row r="2583" spans="1:19" s="45" customFormat="1" ht="14.4" hidden="1">
      <c r="A2583" s="25">
        <f>IF(C2583="","",MAX($A$1:A2578)+1)</f>
        <v>2400</v>
      </c>
      <c r="B2583" s="25" t="s">
        <v>141</v>
      </c>
      <c r="C2583" s="41">
        <v>46103</v>
      </c>
      <c r="D2583" s="48" t="str">
        <f>_xlfn.XLOOKUP(Table134526_79101120212223242526[[#This Row],[Name Surname]],Manpower!$C$4:$C$1048576,Manpower!$B$4:$B$1048576,"")</f>
        <v>Encogroup</v>
      </c>
      <c r="E2583" s="43" t="s">
        <v>206</v>
      </c>
      <c r="F2583" s="12">
        <f>_xlfn.XLOOKUP(Table134526_79101120212223242526[[#This Row],[Name Surname]],Manpower!C:C,Manpower!D:D,)</f>
        <v>140844848</v>
      </c>
      <c r="G2583" s="48" t="str">
        <f>_xlfn.XLOOKUP(Table134526_79101120212223242526[[#This Row],[Name Surname]],Manpower!$C$4:$C$1048576,Manpower!$F$4:$F$1048576,"")</f>
        <v>Assistant/Helper</v>
      </c>
      <c r="H2583" s="48" t="str">
        <f>_xlfn.XLOOKUP(Table134526_79101120212223242526[[#This Row],[Name Surname]],Manpower!$C$4:$C$1048576,Manpower!$H$4:$H$1048576,"")</f>
        <v>Manpower</v>
      </c>
      <c r="I2583" s="48" t="str">
        <f>_xlfn.XLOOKUP(Table134526_79101120212223242526[[#This Row],[Name Surname]],Manpower!$C$4:$C$1048576,Manpower!$H$4:$H$1048576,"")</f>
        <v>Manpower</v>
      </c>
      <c r="J2583" s="43" t="s">
        <v>143</v>
      </c>
      <c r="K2583" s="43" t="s">
        <v>26</v>
      </c>
      <c r="L2583" s="43" t="s">
        <v>144</v>
      </c>
      <c r="M2583" s="43" t="s">
        <v>24</v>
      </c>
      <c r="N2583" s="44">
        <v>10</v>
      </c>
      <c r="O2583" s="43" t="s">
        <v>40</v>
      </c>
      <c r="P2583" s="43" t="s">
        <v>42</v>
      </c>
      <c r="Q2583" s="43" t="s">
        <v>42</v>
      </c>
      <c r="R2583" s="43" t="s">
        <v>368</v>
      </c>
      <c r="S2583" s="43"/>
    </row>
    <row r="2584" spans="1:19" ht="14.4" hidden="1">
      <c r="A2584" s="33">
        <f>IF(C2584="","",MAX($A$1:A2583)+1)</f>
        <v>2404</v>
      </c>
      <c r="B2584" s="27" t="s">
        <v>141</v>
      </c>
      <c r="C2584" s="23">
        <v>46103</v>
      </c>
      <c r="D2584" s="28" t="str">
        <f>_xlfn.XLOOKUP(Table134526_79101120212223242526[[#This Row],[Name Surname]],Manpower!$C$4:$C$1048576,Manpower!$B$4:$B$1048576,"")</f>
        <v>Encogroup</v>
      </c>
      <c r="E2584" s="21" t="s">
        <v>207</v>
      </c>
      <c r="F2584" s="12">
        <f>_xlfn.XLOOKUP(Table134526_79101120212223242526[[#This Row],[Name Surname]],Manpower!C:C,Manpower!D:D,)</f>
        <v>141359216</v>
      </c>
      <c r="G2584" s="28" t="str">
        <f>_xlfn.XLOOKUP(Table134526_79101120212223242526[[#This Row],[Name Surname]],Manpower!$C$4:$C$1048576,Manpower!$F$4:$F$1048576,"")</f>
        <v>Electrician</v>
      </c>
      <c r="H2584" s="28" t="str">
        <f>_xlfn.XLOOKUP(Table134526_79101120212223242526[[#This Row],[Name Surname]],Manpower!$C$4:$C$1048576,Manpower!$H$4:$H$1048576,"")</f>
        <v>Manpower</v>
      </c>
      <c r="I2584" s="28" t="str">
        <f>_xlfn.XLOOKUP(Table134526_79101120212223242526[[#This Row],[Name Surname]],Manpower!$C$4:$C$1048576,Manpower!$H$4:$H$1048576,"")</f>
        <v>Manpower</v>
      </c>
      <c r="J2584" s="21" t="s">
        <v>158</v>
      </c>
      <c r="K2584" s="21" t="s">
        <v>26</v>
      </c>
      <c r="L2584" s="21" t="s">
        <v>26</v>
      </c>
      <c r="M2584" s="21" t="s">
        <v>24</v>
      </c>
      <c r="N2584" s="29">
        <v>10</v>
      </c>
      <c r="O2584" s="21" t="s">
        <v>159</v>
      </c>
      <c r="P2584" s="21" t="s">
        <v>160</v>
      </c>
      <c r="Q2584" s="21" t="s">
        <v>160</v>
      </c>
      <c r="R2584" s="21" t="s">
        <v>161</v>
      </c>
    </row>
    <row r="2585" spans="1:19" s="45" customFormat="1" ht="14.4" hidden="1">
      <c r="A2585" s="25">
        <f>IF(C2585="","",MAX($A$1:A2584)+1)</f>
        <v>2405</v>
      </c>
      <c r="B2585" s="25" t="s">
        <v>141</v>
      </c>
      <c r="C2585" s="41">
        <v>46103</v>
      </c>
      <c r="D2585" s="48" t="str">
        <f>_xlfn.XLOOKUP(Table134526_79101120212223242526[[#This Row],[Name Surname]],Manpower!$C$4:$C$1048576,Manpower!$B$4:$B$1048576,"")</f>
        <v>Encogroup</v>
      </c>
      <c r="E2585" s="43" t="s">
        <v>208</v>
      </c>
      <c r="F2585" s="12">
        <f>_xlfn.XLOOKUP(Table134526_79101120212223242526[[#This Row],[Name Surname]],Manpower!C:C,Manpower!D:D,)</f>
        <v>140683399</v>
      </c>
      <c r="G2585" s="48" t="str">
        <f>_xlfn.XLOOKUP(Table134526_79101120212223242526[[#This Row],[Name Surname]],Manpower!$C$4:$C$1048576,Manpower!$F$4:$F$1048576,"")</f>
        <v>Rigger</v>
      </c>
      <c r="H2585" s="48" t="str">
        <f>_xlfn.XLOOKUP(Table134526_79101120212223242526[[#This Row],[Name Surname]],Manpower!$C$4:$C$1048576,Manpower!$H$4:$H$1048576,"")</f>
        <v>Manpower</v>
      </c>
      <c r="I2585" s="48" t="str">
        <f>_xlfn.XLOOKUP(Table134526_79101120212223242526[[#This Row],[Name Surname]],Manpower!$C$4:$C$1048576,Manpower!$H$4:$H$1048576,"")</f>
        <v>Manpower</v>
      </c>
      <c r="J2585" s="43" t="s">
        <v>143</v>
      </c>
      <c r="K2585" s="43" t="s">
        <v>26</v>
      </c>
      <c r="L2585" s="43" t="s">
        <v>144</v>
      </c>
      <c r="M2585" s="43" t="s">
        <v>24</v>
      </c>
      <c r="N2585" s="44">
        <v>10</v>
      </c>
      <c r="O2585" s="43" t="s">
        <v>40</v>
      </c>
      <c r="P2585" s="43" t="s">
        <v>42</v>
      </c>
      <c r="Q2585" s="43" t="s">
        <v>42</v>
      </c>
      <c r="R2585" s="43" t="s">
        <v>368</v>
      </c>
      <c r="S2585" s="43"/>
    </row>
    <row r="2586" spans="1:19" ht="14.4" hidden="1">
      <c r="A2586" s="33">
        <f>IF(C2586="","",MAX($A$1:A2585)+1)</f>
        <v>2406</v>
      </c>
      <c r="B2586" s="27" t="s">
        <v>141</v>
      </c>
      <c r="C2586" s="23">
        <v>46103</v>
      </c>
      <c r="D2586" s="28" t="str">
        <f>_xlfn.XLOOKUP(Table134526_79101120212223242526[[#This Row],[Name Surname]],Manpower!$C$4:$C$1048576,Manpower!$B$4:$B$1048576,"")</f>
        <v>Encogroup</v>
      </c>
      <c r="E2586" s="21" t="s">
        <v>363</v>
      </c>
      <c r="F2586" s="12">
        <f>_xlfn.XLOOKUP(Table134526_79101120212223242526[[#This Row],[Name Surname]],Manpower!C:C,Manpower!D:D,)</f>
        <v>7065269</v>
      </c>
      <c r="G2586" s="28" t="str">
        <f>_xlfn.XLOOKUP(Table134526_79101120212223242526[[#This Row],[Name Surname]],Manpower!$C$4:$C$1048576,Manpower!$F$4:$F$1048576,"")</f>
        <v>Lowbed Trailer Driver</v>
      </c>
      <c r="H2586" s="28" t="str">
        <f>_xlfn.XLOOKUP(Table134526_79101120212223242526[[#This Row],[Name Surname]],Manpower!$C$4:$C$1048576,Manpower!$H$4:$H$1048576,"")</f>
        <v>Manpower</v>
      </c>
      <c r="I2586" s="28" t="str">
        <f>_xlfn.XLOOKUP(Table134526_79101120212223242526[[#This Row],[Name Surname]],Manpower!$C$4:$C$1048576,Manpower!$H$4:$H$1048576,"")</f>
        <v>Manpower</v>
      </c>
      <c r="J2586" s="21" t="s">
        <v>143</v>
      </c>
      <c r="K2586" s="21" t="s">
        <v>26</v>
      </c>
      <c r="L2586" s="21" t="s">
        <v>144</v>
      </c>
      <c r="M2586" s="21" t="s">
        <v>24</v>
      </c>
      <c r="N2586" s="29">
        <v>8</v>
      </c>
      <c r="O2586" s="21" t="s">
        <v>40</v>
      </c>
      <c r="P2586" s="21" t="s">
        <v>42</v>
      </c>
      <c r="Q2586" s="21" t="s">
        <v>42</v>
      </c>
      <c r="R2586" s="21" t="s">
        <v>26</v>
      </c>
    </row>
    <row r="2587" spans="1:19" ht="14.4">
      <c r="A2587" s="33">
        <f>IF(C2587="","",MAX($A$1:A2585)+1)</f>
        <v>2406</v>
      </c>
      <c r="B2587" s="27" t="s">
        <v>141</v>
      </c>
      <c r="C2587" s="23">
        <v>46103</v>
      </c>
      <c r="D2587" s="28" t="str">
        <f>_xlfn.XLOOKUP(Table134526_79101120212223242526[[#This Row],[Name Surname]],Manpower!$C$4:$C$1048576,Manpower!$B$4:$B$1048576,"")</f>
        <v>Bright Light</v>
      </c>
      <c r="E2587" s="21" t="s">
        <v>210</v>
      </c>
      <c r="F2587" s="12" t="e">
        <f>_xlfn.XLOOKUP(Table134526_79101120212223242526[[#This Row],[Name Surname]],Manpower!C:C,Manpower!D:D,)</f>
        <v>#N/A</v>
      </c>
      <c r="G2587" s="28" t="str">
        <f>_xlfn.XLOOKUP(Table134526_79101120212223242526[[#This Row],[Name Surname]],Manpower!$C$4:$C$1048576,Manpower!$F$4:$F$1048576,"")</f>
        <v>Trailer</v>
      </c>
      <c r="H2587" s="28" t="str">
        <f>_xlfn.XLOOKUP(Table134526_79101120212223242526[[#This Row],[Name Surname]],Manpower!$C$4:$C$1048576,Manpower!$H$4:$H$1048576,"")</f>
        <v>Equipment</v>
      </c>
      <c r="I2587" s="28" t="str">
        <f>_xlfn.XLOOKUP(Table134526_79101120212223242526[[#This Row],[Name Surname]],Manpower!$C$4:$C$1048576,Manpower!$H$4:$H$1048576,"")</f>
        <v>Equipment</v>
      </c>
      <c r="J2587" s="21" t="s">
        <v>143</v>
      </c>
      <c r="K2587" s="21" t="s">
        <v>26</v>
      </c>
      <c r="L2587" s="21" t="s">
        <v>144</v>
      </c>
      <c r="M2587" s="21" t="s">
        <v>55</v>
      </c>
      <c r="N2587" s="29">
        <v>10</v>
      </c>
      <c r="R2587" s="21" t="s">
        <v>394</v>
      </c>
    </row>
    <row r="2588" spans="1:19" ht="14.4" hidden="1">
      <c r="A2588" s="33">
        <f>IF(C2588="","",MAX($A$1:A2587)+1)</f>
        <v>2407</v>
      </c>
      <c r="B2588" s="27" t="s">
        <v>141</v>
      </c>
      <c r="C2588" s="23">
        <v>46103</v>
      </c>
      <c r="D2588" s="28" t="str">
        <f>_xlfn.XLOOKUP(Table134526_79101120212223242526[[#This Row],[Name Surname]],Manpower!$C$4:$C$1048576,Manpower!$B$4:$B$1048576,"")</f>
        <v>Encogroup</v>
      </c>
      <c r="E2588" s="21" t="s">
        <v>211</v>
      </c>
      <c r="F2588" s="12">
        <f>_xlfn.XLOOKUP(Table134526_79101120212223242526[[#This Row],[Name Surname]],Manpower!C:C,Manpower!D:D,)</f>
        <v>140477664</v>
      </c>
      <c r="G2588" s="28" t="str">
        <f>_xlfn.XLOOKUP(Table134526_79101120212223242526[[#This Row],[Name Surname]],Manpower!$C$4:$C$1048576,Manpower!$F$4:$F$1048576,"")</f>
        <v>Junior HSE Officer</v>
      </c>
      <c r="H2588" s="28" t="str">
        <f>_xlfn.XLOOKUP(Table134526_79101120212223242526[[#This Row],[Name Surname]],Manpower!$C$4:$C$1048576,Manpower!$H$4:$H$1048576,"")</f>
        <v>Manpower</v>
      </c>
      <c r="I2588" s="28" t="str">
        <f>_xlfn.XLOOKUP(Table134526_79101120212223242526[[#This Row],[Name Surname]],Manpower!$C$4:$C$1048576,Manpower!$H$4:$H$1048576,"")</f>
        <v>Manpower</v>
      </c>
      <c r="J2588" s="21" t="s">
        <v>143</v>
      </c>
      <c r="K2588" s="21" t="s">
        <v>26</v>
      </c>
      <c r="L2588" s="21" t="s">
        <v>144</v>
      </c>
      <c r="M2588" s="21" t="s">
        <v>24</v>
      </c>
      <c r="N2588" s="29">
        <v>10</v>
      </c>
      <c r="O2588" s="21" t="s">
        <v>40</v>
      </c>
      <c r="P2588" s="21" t="s">
        <v>42</v>
      </c>
      <c r="Q2588" s="21" t="s">
        <v>42</v>
      </c>
      <c r="R2588" s="21" t="s">
        <v>368</v>
      </c>
    </row>
    <row r="2589" spans="1:19" s="45" customFormat="1" ht="14.4" hidden="1">
      <c r="A2589" s="25">
        <f>IF(C2589="","",MAX($A$1:A2588)+1)</f>
        <v>2408</v>
      </c>
      <c r="B2589" s="25" t="s">
        <v>141</v>
      </c>
      <c r="C2589" s="41">
        <v>46103</v>
      </c>
      <c r="D2589" s="48" t="str">
        <f>_xlfn.XLOOKUP(Table134526_79101120212223242526[[#This Row],[Name Surname]],Manpower!$C$4:$C$1048576,Manpower!$B$4:$B$1048576,"")</f>
        <v>Encogroup</v>
      </c>
      <c r="E2589" s="43" t="s">
        <v>213</v>
      </c>
      <c r="F2589" s="12">
        <f>_xlfn.XLOOKUP(Table134526_79101120212223242526[[#This Row],[Name Surname]],Manpower!C:C,Manpower!D:D,)</f>
        <v>140846698</v>
      </c>
      <c r="G2589" s="48" t="str">
        <f>_xlfn.XLOOKUP(Table134526_79101120212223242526[[#This Row],[Name Surname]],Manpower!$C$4:$C$1048576,Manpower!$F$4:$F$1048576,"")</f>
        <v>Assistant/Helper</v>
      </c>
      <c r="H2589" s="48" t="str">
        <f>_xlfn.XLOOKUP(Table134526_79101120212223242526[[#This Row],[Name Surname]],Manpower!$C$4:$C$1048576,Manpower!$H$4:$H$1048576,"")</f>
        <v>Manpower</v>
      </c>
      <c r="I2589" s="48" t="str">
        <f>_xlfn.XLOOKUP(Table134526_79101120212223242526[[#This Row],[Name Surname]],Manpower!$C$4:$C$1048576,Manpower!$H$4:$H$1048576,"")</f>
        <v>Manpower</v>
      </c>
      <c r="J2589" s="43" t="s">
        <v>143</v>
      </c>
      <c r="K2589" s="43" t="s">
        <v>26</v>
      </c>
      <c r="L2589" s="43" t="s">
        <v>144</v>
      </c>
      <c r="M2589" s="43" t="s">
        <v>24</v>
      </c>
      <c r="N2589" s="44">
        <v>10</v>
      </c>
      <c r="O2589" s="43" t="s">
        <v>40</v>
      </c>
      <c r="P2589" s="43" t="s">
        <v>42</v>
      </c>
      <c r="Q2589" s="43" t="s">
        <v>42</v>
      </c>
      <c r="R2589" s="43" t="s">
        <v>368</v>
      </c>
      <c r="S2589" s="43"/>
    </row>
    <row r="2590" spans="1:19" s="45" customFormat="1" ht="14.4" hidden="1">
      <c r="A2590" s="25">
        <f>IF(C2590="","",MAX($A$1:A2589)+1)</f>
        <v>2409</v>
      </c>
      <c r="B2590" s="25" t="s">
        <v>141</v>
      </c>
      <c r="C2590" s="41">
        <v>46103</v>
      </c>
      <c r="D2590" s="48" t="str">
        <f>_xlfn.XLOOKUP(Table134526_79101120212223242526[[#This Row],[Name Surname]],Manpower!$C$4:$C$1048576,Manpower!$B$4:$B$1048576,"")</f>
        <v>Encogroup</v>
      </c>
      <c r="E2590" s="43" t="s">
        <v>217</v>
      </c>
      <c r="F2590" s="12">
        <f>_xlfn.XLOOKUP(Table134526_79101120212223242526[[#This Row],[Name Surname]],Manpower!C:C,Manpower!D:D,)</f>
        <v>140742177</v>
      </c>
      <c r="G2590" s="48" t="str">
        <f>_xlfn.XLOOKUP(Table134526_79101120212223242526[[#This Row],[Name Surname]],Manpower!$C$4:$C$1048576,Manpower!$F$4:$F$1048576,"")</f>
        <v>Grinder</v>
      </c>
      <c r="H2590" s="48" t="str">
        <f>_xlfn.XLOOKUP(Table134526_79101120212223242526[[#This Row],[Name Surname]],Manpower!$C$4:$C$1048576,Manpower!$H$4:$H$1048576,"")</f>
        <v>Manpower</v>
      </c>
      <c r="I2590" s="48" t="str">
        <f>_xlfn.XLOOKUP(Table134526_79101120212223242526[[#This Row],[Name Surname]],Manpower!$C$4:$C$1048576,Manpower!$H$4:$H$1048576,"")</f>
        <v>Manpower</v>
      </c>
      <c r="J2590" s="43" t="s">
        <v>143</v>
      </c>
      <c r="K2590" s="43" t="s">
        <v>26</v>
      </c>
      <c r="L2590" s="43" t="s">
        <v>144</v>
      </c>
      <c r="M2590" s="43" t="s">
        <v>24</v>
      </c>
      <c r="N2590" s="44">
        <v>10</v>
      </c>
      <c r="O2590" s="43" t="s">
        <v>40</v>
      </c>
      <c r="P2590" s="43" t="s">
        <v>329</v>
      </c>
      <c r="Q2590" s="43" t="s">
        <v>128</v>
      </c>
      <c r="R2590" s="43" t="s">
        <v>368</v>
      </c>
      <c r="S2590" s="43"/>
    </row>
    <row r="2591" spans="1:19" s="45" customFormat="1" ht="14.4" hidden="1">
      <c r="A2591" s="25">
        <f>IF(C2591="","",MAX($A$1:A2590)+1)</f>
        <v>2410</v>
      </c>
      <c r="B2591" s="25" t="s">
        <v>141</v>
      </c>
      <c r="C2591" s="41">
        <v>46103</v>
      </c>
      <c r="D2591" s="48" t="str">
        <f>_xlfn.XLOOKUP(Table134526_79101120212223242526[[#This Row],[Name Surname]],Manpower!$C$4:$C$1048576,Manpower!$B$4:$B$1048576,"")</f>
        <v>Encogroup</v>
      </c>
      <c r="E2591" s="43" t="s">
        <v>188</v>
      </c>
      <c r="F2591" s="12">
        <f>_xlfn.XLOOKUP(Table134526_79101120212223242526[[#This Row],[Name Surname]],Manpower!C:C,Manpower!D:D,)</f>
        <v>140696975</v>
      </c>
      <c r="G2591" s="48" t="str">
        <f>_xlfn.XLOOKUP(Table134526_79101120212223242526[[#This Row],[Name Surname]],Manpower!$C$4:$C$1048576,Manpower!$F$4:$F$1048576,"")</f>
        <v>Assistant/Helper</v>
      </c>
      <c r="H2591" s="48" t="str">
        <f>_xlfn.XLOOKUP(Table134526_79101120212223242526[[#This Row],[Name Surname]],Manpower!$C$4:$C$1048576,Manpower!$H$4:$H$1048576,"")</f>
        <v>Manpower</v>
      </c>
      <c r="I2591" s="48" t="str">
        <f>_xlfn.XLOOKUP(Table134526_79101120212223242526[[#This Row],[Name Surname]],Manpower!$C$4:$C$1048576,Manpower!$H$4:$H$1048576,"")</f>
        <v>Manpower</v>
      </c>
      <c r="J2591" s="43" t="s">
        <v>158</v>
      </c>
      <c r="K2591" s="43" t="s">
        <v>26</v>
      </c>
      <c r="L2591" s="43" t="s">
        <v>26</v>
      </c>
      <c r="M2591" s="43" t="s">
        <v>24</v>
      </c>
      <c r="N2591" s="44">
        <v>10</v>
      </c>
      <c r="O2591" s="43" t="s">
        <v>159</v>
      </c>
      <c r="P2591" s="43" t="s">
        <v>160</v>
      </c>
      <c r="Q2591" s="43" t="s">
        <v>160</v>
      </c>
      <c r="R2591" s="43" t="s">
        <v>161</v>
      </c>
      <c r="S2591" s="43" t="s">
        <v>230</v>
      </c>
    </row>
    <row r="2592" spans="1:19" s="45" customFormat="1" ht="14.4" hidden="1">
      <c r="A2592" s="25">
        <f>IF(C2592="","",MAX($A$1:A2591)+1)</f>
        <v>2411</v>
      </c>
      <c r="B2592" s="25" t="s">
        <v>141</v>
      </c>
      <c r="C2592" s="41">
        <v>46103</v>
      </c>
      <c r="D2592" s="48" t="str">
        <f>_xlfn.XLOOKUP(Table134526_79101120212223242526[[#This Row],[Name Surname]],Manpower!$C$4:$C$1048576,Manpower!$B$4:$B$1048576,"")</f>
        <v>Encogroup</v>
      </c>
      <c r="E2592" s="43" t="s">
        <v>204</v>
      </c>
      <c r="F2592" s="12">
        <f>_xlfn.XLOOKUP(Table134526_79101120212223242526[[#This Row],[Name Surname]],Manpower!C:C,Manpower!D:D,)</f>
        <v>140844572</v>
      </c>
      <c r="G2592" s="48" t="str">
        <f>_xlfn.XLOOKUP(Table134526_79101120212223242526[[#This Row],[Name Surname]],Manpower!$C$4:$C$1048576,Manpower!$F$4:$F$1048576,"")</f>
        <v>Assistant/Helper</v>
      </c>
      <c r="H2592" s="48" t="str">
        <f>_xlfn.XLOOKUP(Table134526_79101120212223242526[[#This Row],[Name Surname]],Manpower!$C$4:$C$1048576,Manpower!$H$4:$H$1048576,"")</f>
        <v>Manpower</v>
      </c>
      <c r="I2592" s="48" t="str">
        <f>_xlfn.XLOOKUP(Table134526_79101120212223242526[[#This Row],[Name Surname]],Manpower!$C$4:$C$1048576,Manpower!$H$4:$H$1048576,"")</f>
        <v>Manpower</v>
      </c>
      <c r="J2592" s="43" t="s">
        <v>158</v>
      </c>
      <c r="K2592" s="43" t="s">
        <v>26</v>
      </c>
      <c r="L2592" s="43" t="s">
        <v>26</v>
      </c>
      <c r="M2592" s="43" t="s">
        <v>24</v>
      </c>
      <c r="N2592" s="44">
        <v>10</v>
      </c>
      <c r="O2592" s="43" t="s">
        <v>159</v>
      </c>
      <c r="P2592" s="43" t="s">
        <v>160</v>
      </c>
      <c r="Q2592" s="43" t="s">
        <v>160</v>
      </c>
      <c r="R2592" s="43" t="s">
        <v>161</v>
      </c>
      <c r="S2592" s="43" t="s">
        <v>230</v>
      </c>
    </row>
    <row r="2593" spans="1:20" ht="14.4">
      <c r="A2593" s="33">
        <f>IF(C2593="","",MAX($A$1:A2592)+1)</f>
        <v>2412</v>
      </c>
      <c r="B2593" s="27" t="s">
        <v>141</v>
      </c>
      <c r="C2593" s="23">
        <v>46103</v>
      </c>
      <c r="D2593" s="28" t="str">
        <f>_xlfn.XLOOKUP(Table134526_79101120212223242526[[#This Row],[Name Surname]],Manpower!$C$4:$C$1048576,Manpower!$B$4:$B$1048576,"")</f>
        <v>Encogroup</v>
      </c>
      <c r="E2593" s="23" t="s">
        <v>219</v>
      </c>
      <c r="F2593" s="12" t="e">
        <f>_xlfn.XLOOKUP(Table134526_79101120212223242526[[#This Row],[Name Surname]],Manpower!C:C,Manpower!D:D,)</f>
        <v>#N/A</v>
      </c>
      <c r="G2593" s="28" t="str">
        <f>_xlfn.XLOOKUP(Table134526_79101120212223242526[[#This Row],[Name Surname]],Manpower!$C$4:$C$1048576,Manpower!$F$4:$F$1048576,"")</f>
        <v>TOWER LIGHT</v>
      </c>
      <c r="H2593" s="28" t="str">
        <f>_xlfn.XLOOKUP(Table134526_79101120212223242526[[#This Row],[Name Surname]],Manpower!$C$4:$C$1048576,Manpower!$H$4:$H$1048576,"")</f>
        <v>Equipment</v>
      </c>
      <c r="I2593" s="28" t="str">
        <f>_xlfn.XLOOKUP(Table134526_79101120212223242526[[#This Row],[Name Surname]],Manpower!$C$4:$C$1048576,Manpower!$H$4:$H$1048576,"")</f>
        <v>Equipment</v>
      </c>
      <c r="J2593" s="21" t="s">
        <v>143</v>
      </c>
      <c r="K2593" s="21" t="s">
        <v>26</v>
      </c>
      <c r="L2593" s="21" t="s">
        <v>144</v>
      </c>
      <c r="M2593" s="21" t="s">
        <v>55</v>
      </c>
      <c r="N2593" s="29">
        <v>10</v>
      </c>
      <c r="R2593" s="21" t="s">
        <v>56</v>
      </c>
    </row>
    <row r="2594" spans="1:20" ht="14.4">
      <c r="A2594" s="33">
        <f>IF(C2594="","",MAX($A$1:A2593)+1)</f>
        <v>2413</v>
      </c>
      <c r="B2594" s="27" t="s">
        <v>141</v>
      </c>
      <c r="C2594" s="23">
        <v>46103</v>
      </c>
      <c r="D2594" s="28" t="str">
        <f>_xlfn.XLOOKUP(Table134526_79101120212223242526[[#This Row],[Name Surname]],Manpower!$C$4:$C$1048576,Manpower!$B$4:$B$1048576,"")</f>
        <v>Encogroup</v>
      </c>
      <c r="E2594" s="23" t="s">
        <v>220</v>
      </c>
      <c r="F2594" s="12" t="e">
        <f>_xlfn.XLOOKUP(Table134526_79101120212223242526[[#This Row],[Name Surname]],Manpower!C:C,Manpower!D:D,)</f>
        <v>#N/A</v>
      </c>
      <c r="G2594" s="28" t="str">
        <f>_xlfn.XLOOKUP(Table134526_79101120212223242526[[#This Row],[Name Surname]],Manpower!$C$4:$C$1048576,Manpower!$F$4:$F$1048576,"")</f>
        <v>TOWER LIGHT</v>
      </c>
      <c r="H2594" s="28" t="str">
        <f>_xlfn.XLOOKUP(Table134526_79101120212223242526[[#This Row],[Name Surname]],Manpower!$C$4:$C$1048576,Manpower!$H$4:$H$1048576,"")</f>
        <v>Equipment</v>
      </c>
      <c r="I2594" s="28" t="str">
        <f>_xlfn.XLOOKUP(Table134526_79101120212223242526[[#This Row],[Name Surname]],Manpower!$C$4:$C$1048576,Manpower!$H$4:$H$1048576,"")</f>
        <v>Equipment</v>
      </c>
      <c r="J2594" s="21" t="s">
        <v>143</v>
      </c>
      <c r="K2594" s="21" t="s">
        <v>26</v>
      </c>
      <c r="L2594" s="21" t="s">
        <v>144</v>
      </c>
      <c r="M2594" s="21" t="s">
        <v>55</v>
      </c>
      <c r="N2594" s="29">
        <v>10</v>
      </c>
      <c r="R2594" s="21" t="s">
        <v>56</v>
      </c>
    </row>
    <row r="2595" spans="1:20" s="45" customFormat="1" ht="14.4" hidden="1">
      <c r="A2595" s="25">
        <f>IF(C2595="","",MAX($A$1:A2594)+1)</f>
        <v>2414</v>
      </c>
      <c r="B2595" s="25" t="s">
        <v>141</v>
      </c>
      <c r="C2595" s="41">
        <v>46103</v>
      </c>
      <c r="D2595" s="48" t="str">
        <f>_xlfn.XLOOKUP(Table134526_79101120212223242526[[#This Row],[Name Surname]],Manpower!$C$4:$C$1048576,Manpower!$B$4:$B$1048576,"")</f>
        <v>Encogroup</v>
      </c>
      <c r="E2595" s="43" t="s">
        <v>222</v>
      </c>
      <c r="F2595" s="12">
        <f>_xlfn.XLOOKUP(Table134526_79101120212223242526[[#This Row],[Name Surname]],Manpower!C:C,Manpower!D:D,)</f>
        <v>122082863</v>
      </c>
      <c r="G2595" s="48" t="str">
        <f>_xlfn.XLOOKUP(Table134526_79101120212223242526[[#This Row],[Name Surname]],Manpower!$C$4:$C$1048576,Manpower!$F$4:$F$1048576,"")</f>
        <v>Grinder</v>
      </c>
      <c r="H2595" s="48" t="str">
        <f>_xlfn.XLOOKUP(Table134526_79101120212223242526[[#This Row],[Name Surname]],Manpower!$C$4:$C$1048576,Manpower!$H$4:$H$1048576,"")</f>
        <v>Manpower</v>
      </c>
      <c r="I2595" s="48" t="str">
        <f>_xlfn.XLOOKUP(Table134526_79101120212223242526[[#This Row],[Name Surname]],Manpower!$C$4:$C$1048576,Manpower!$H$4:$H$1048576,"")</f>
        <v>Manpower</v>
      </c>
      <c r="J2595" s="43" t="s">
        <v>143</v>
      </c>
      <c r="K2595" s="43" t="s">
        <v>26</v>
      </c>
      <c r="L2595" s="43" t="s">
        <v>144</v>
      </c>
      <c r="M2595" s="43" t="s">
        <v>24</v>
      </c>
      <c r="N2595" s="44">
        <v>10</v>
      </c>
      <c r="O2595" s="43" t="s">
        <v>40</v>
      </c>
      <c r="P2595" s="43" t="s">
        <v>42</v>
      </c>
      <c r="Q2595" s="43" t="s">
        <v>42</v>
      </c>
      <c r="R2595" s="43" t="s">
        <v>368</v>
      </c>
      <c r="S2595" s="43"/>
    </row>
    <row r="2596" spans="1:20" ht="14.4" hidden="1">
      <c r="A2596" s="33">
        <f>IF(C2596="","",MAX($A$1:A2595)+1)</f>
        <v>2415</v>
      </c>
      <c r="B2596" s="27" t="s">
        <v>141</v>
      </c>
      <c r="C2596" s="23">
        <v>46103</v>
      </c>
      <c r="D2596" s="28" t="str">
        <f>_xlfn.XLOOKUP(Table134526_79101120212223242526[[#This Row],[Name Surname]],Manpower!$C$4:$C$1048576,Manpower!$B$4:$B$1048576,"")</f>
        <v>Encogroup</v>
      </c>
      <c r="E2596" s="21" t="s">
        <v>223</v>
      </c>
      <c r="F2596" s="12">
        <f>_xlfn.XLOOKUP(Table134526_79101120212223242526[[#This Row],[Name Surname]],Manpower!C:C,Manpower!D:D,)</f>
        <v>140696989</v>
      </c>
      <c r="G2596" s="28" t="str">
        <f>_xlfn.XLOOKUP(Table134526_79101120212223242526[[#This Row],[Name Surname]],Manpower!$C$4:$C$1048576,Manpower!$F$4:$F$1048576,"")</f>
        <v>Assistant/Helper</v>
      </c>
      <c r="H2596" s="28" t="str">
        <f>_xlfn.XLOOKUP(Table134526_79101120212223242526[[#This Row],[Name Surname]],Manpower!$C$4:$C$1048576,Manpower!$H$4:$H$1048576,"")</f>
        <v>Manpower</v>
      </c>
      <c r="I2596" s="28" t="str">
        <f>_xlfn.XLOOKUP(Table134526_79101120212223242526[[#This Row],[Name Surname]],Manpower!$C$4:$C$1048576,Manpower!$H$4:$H$1048576,"")</f>
        <v>Manpower</v>
      </c>
      <c r="J2596" s="21" t="s">
        <v>158</v>
      </c>
      <c r="K2596" s="21" t="s">
        <v>26</v>
      </c>
      <c r="L2596" s="21" t="s">
        <v>26</v>
      </c>
      <c r="M2596" s="21" t="s">
        <v>24</v>
      </c>
      <c r="N2596" s="29">
        <v>10</v>
      </c>
      <c r="O2596" s="21" t="s">
        <v>159</v>
      </c>
      <c r="P2596" s="21" t="s">
        <v>160</v>
      </c>
      <c r="Q2596" s="21" t="s">
        <v>160</v>
      </c>
      <c r="R2596" s="21" t="s">
        <v>161</v>
      </c>
    </row>
    <row r="2597" spans="1:20" ht="14.4" hidden="1">
      <c r="A2597" s="33">
        <f>IF(C2597="","",MAX($A$1:A2596)+1)</f>
        <v>2416</v>
      </c>
      <c r="B2597" s="27" t="s">
        <v>141</v>
      </c>
      <c r="C2597" s="23">
        <v>46103</v>
      </c>
      <c r="D2597" s="28" t="str">
        <f>_xlfn.XLOOKUP(Table134526_79101120212223242526[[#This Row],[Name Surname]],Manpower!$C$4:$C$1048576,Manpower!$B$4:$B$1048576,"")</f>
        <v>Encogroup</v>
      </c>
      <c r="E2597" s="21" t="s">
        <v>218</v>
      </c>
      <c r="F2597" s="12">
        <f>_xlfn.XLOOKUP(Table134526_79101120212223242526[[#This Row],[Name Surname]],Manpower!C:C,Manpower!D:D,)</f>
        <v>116853914</v>
      </c>
      <c r="G2597" s="28" t="str">
        <f>_xlfn.XLOOKUP(Table134526_79101120212223242526[[#This Row],[Name Surname]],Manpower!$C$4:$C$1048576,Manpower!$F$4:$F$1048576,"")</f>
        <v>Electrical Supervisor</v>
      </c>
      <c r="H2597" s="28" t="str">
        <f>_xlfn.XLOOKUP(Table134526_79101120212223242526[[#This Row],[Name Surname]],Manpower!$C$4:$C$1048576,Manpower!$H$4:$H$1048576,"")</f>
        <v>Manpower</v>
      </c>
      <c r="I2597" s="28" t="str">
        <f>_xlfn.XLOOKUP(Table134526_79101120212223242526[[#This Row],[Name Surname]],Manpower!$C$4:$C$1048576,Manpower!$H$4:$H$1048576,"")</f>
        <v>Manpower</v>
      </c>
      <c r="J2597" s="21" t="s">
        <v>158</v>
      </c>
      <c r="K2597" s="21" t="s">
        <v>26</v>
      </c>
      <c r="L2597" s="21" t="s">
        <v>26</v>
      </c>
      <c r="M2597" s="21" t="s">
        <v>24</v>
      </c>
      <c r="N2597" s="29">
        <v>10</v>
      </c>
      <c r="O2597" s="21" t="s">
        <v>159</v>
      </c>
      <c r="P2597" s="21" t="s">
        <v>160</v>
      </c>
      <c r="Q2597" s="21" t="s">
        <v>160</v>
      </c>
      <c r="R2597" s="21" t="s">
        <v>161</v>
      </c>
    </row>
    <row r="2598" spans="1:20" s="45" customFormat="1" ht="14.4" hidden="1">
      <c r="A2598" s="25">
        <f>IF(C2598="","",MAX($A$1:A2597)+1)</f>
        <v>2417</v>
      </c>
      <c r="B2598" s="25" t="s">
        <v>141</v>
      </c>
      <c r="C2598" s="41">
        <v>46103</v>
      </c>
      <c r="D2598" s="48" t="str">
        <f>_xlfn.XLOOKUP(Table134526_79101120212223242526[[#This Row],[Name Surname]],Manpower!$C$4:$C$1048576,Manpower!$B$4:$B$1048576,"")</f>
        <v>Encogroup</v>
      </c>
      <c r="E2598" s="43" t="s">
        <v>209</v>
      </c>
      <c r="F2598" s="12">
        <f>_xlfn.XLOOKUP(Table134526_79101120212223242526[[#This Row],[Name Surname]],Manpower!C:C,Manpower!D:D,)</f>
        <v>141365164</v>
      </c>
      <c r="G2598" s="48" t="str">
        <f>_xlfn.XLOOKUP(Table134526_79101120212223242526[[#This Row],[Name Surname]],Manpower!$C$4:$C$1048576,Manpower!$F$4:$F$1048576,"")</f>
        <v>Helper</v>
      </c>
      <c r="H2598" s="48" t="str">
        <f>_xlfn.XLOOKUP(Table134526_79101120212223242526[[#This Row],[Name Surname]],Manpower!$C$4:$C$1048576,Manpower!$H$4:$H$1048576,"")</f>
        <v>Manpower</v>
      </c>
      <c r="I2598" s="48" t="str">
        <f>_xlfn.XLOOKUP(Table134526_79101120212223242526[[#This Row],[Name Surname]],Manpower!$C$4:$C$1048576,Manpower!$H$4:$H$1048576,"")</f>
        <v>Manpower</v>
      </c>
      <c r="J2598" s="43" t="s">
        <v>158</v>
      </c>
      <c r="K2598" s="43" t="s">
        <v>26</v>
      </c>
      <c r="L2598" s="43" t="s">
        <v>26</v>
      </c>
      <c r="M2598" s="43" t="s">
        <v>24</v>
      </c>
      <c r="N2598" s="44">
        <v>10</v>
      </c>
      <c r="O2598" s="43" t="s">
        <v>159</v>
      </c>
      <c r="P2598" s="43" t="s">
        <v>160</v>
      </c>
      <c r="Q2598" s="43" t="s">
        <v>160</v>
      </c>
      <c r="R2598" s="43" t="s">
        <v>161</v>
      </c>
      <c r="S2598" s="43" t="s">
        <v>230</v>
      </c>
    </row>
    <row r="2599" spans="1:20" ht="14.4" hidden="1">
      <c r="A2599" s="33">
        <f>IF(C2599="","",MAX($A$1:A2598)+1)</f>
        <v>2418</v>
      </c>
      <c r="B2599" s="27" t="s">
        <v>141</v>
      </c>
      <c r="C2599" s="23">
        <v>46103</v>
      </c>
      <c r="D2599" s="28" t="str">
        <f>_xlfn.XLOOKUP(Table134526_79101120212223242526[[#This Row],[Name Surname]],Manpower!$C$4:$C$1048576,Manpower!$B$4:$B$1048576,"")</f>
        <v>Encogroup</v>
      </c>
      <c r="E2599" s="21" t="s">
        <v>346</v>
      </c>
      <c r="F2599" s="12">
        <f>_xlfn.XLOOKUP(Table134526_79101120212223242526[[#This Row],[Name Surname]],Manpower!C:C,Manpower!D:D,)</f>
        <v>117974933</v>
      </c>
      <c r="G2599" s="28" t="str">
        <f>_xlfn.XLOOKUP(Table134526_79101120212223242526[[#This Row],[Name Surname]],Manpower!$C$4:$C$1048576,Manpower!$F$4:$F$1048576,"")</f>
        <v>Scaffolder</v>
      </c>
      <c r="H2599" s="28" t="str">
        <f>_xlfn.XLOOKUP(Table134526_79101120212223242526[[#This Row],[Name Surname]],Manpower!$C$4:$C$1048576,Manpower!$H$4:$H$1048576,"")</f>
        <v>Manpower</v>
      </c>
      <c r="I2599" s="28" t="str">
        <f>_xlfn.XLOOKUP(Table134526_79101120212223242526[[#This Row],[Name Surname]],Manpower!$C$4:$C$1048576,Manpower!$H$4:$H$1048576,"")</f>
        <v>Manpower</v>
      </c>
      <c r="J2599" s="21" t="s">
        <v>158</v>
      </c>
      <c r="K2599" s="21" t="s">
        <v>26</v>
      </c>
      <c r="L2599" s="21" t="s">
        <v>26</v>
      </c>
      <c r="M2599" s="21" t="s">
        <v>24</v>
      </c>
      <c r="N2599" s="29">
        <v>10</v>
      </c>
      <c r="O2599" s="21" t="s">
        <v>159</v>
      </c>
      <c r="P2599" s="21" t="s">
        <v>160</v>
      </c>
      <c r="Q2599" s="21" t="s">
        <v>160</v>
      </c>
      <c r="R2599" s="21" t="s">
        <v>161</v>
      </c>
    </row>
    <row r="2600" spans="1:20" ht="14.4" hidden="1">
      <c r="A2600" s="33">
        <f>IF(C2600="","",MAX($A$1:A2599)+1)</f>
        <v>2419</v>
      </c>
      <c r="B2600" s="27" t="s">
        <v>141</v>
      </c>
      <c r="C2600" s="23">
        <v>46103</v>
      </c>
      <c r="D2600" s="28" t="str">
        <f>_xlfn.XLOOKUP(Table134526_79101120212223242526[[#This Row],[Name Surname]],Manpower!$C$4:$C$1048576,Manpower!$B$4:$B$1048576,"")</f>
        <v>Encogroup</v>
      </c>
      <c r="E2600" s="21" t="s">
        <v>347</v>
      </c>
      <c r="F2600" s="12">
        <f>_xlfn.XLOOKUP(Table134526_79101120212223242526[[#This Row],[Name Surname]],Manpower!C:C,Manpower!D:D,)</f>
        <v>141502853</v>
      </c>
      <c r="G2600" s="28" t="str">
        <f>_xlfn.XLOOKUP(Table134526_79101120212223242526[[#This Row],[Name Surname]],Manpower!$C$4:$C$1048576,Manpower!$F$4:$F$1048576,"")</f>
        <v>Scaffolder</v>
      </c>
      <c r="H2600" s="28" t="str">
        <f>_xlfn.XLOOKUP(Table134526_79101120212223242526[[#This Row],[Name Surname]],Manpower!$C$4:$C$1048576,Manpower!$H$4:$H$1048576,"")</f>
        <v>Manpower</v>
      </c>
      <c r="I2600" s="28" t="str">
        <f>_xlfn.XLOOKUP(Table134526_79101120212223242526[[#This Row],[Name Surname]],Manpower!$C$4:$C$1048576,Manpower!$H$4:$H$1048576,"")</f>
        <v>Manpower</v>
      </c>
      <c r="J2600" s="21" t="s">
        <v>158</v>
      </c>
      <c r="K2600" s="21" t="s">
        <v>26</v>
      </c>
      <c r="L2600" s="21" t="s">
        <v>26</v>
      </c>
      <c r="M2600" s="21" t="s">
        <v>24</v>
      </c>
      <c r="N2600" s="29">
        <v>10</v>
      </c>
      <c r="O2600" s="21" t="s">
        <v>159</v>
      </c>
      <c r="P2600" s="21" t="s">
        <v>160</v>
      </c>
      <c r="Q2600" s="21" t="s">
        <v>160</v>
      </c>
      <c r="R2600" s="21" t="s">
        <v>161</v>
      </c>
    </row>
    <row r="2601" spans="1:20" s="45" customFormat="1" ht="14.4" hidden="1">
      <c r="A2601" s="25">
        <f>IF(C2601="","",MAX($A$1:A2600)+1)</f>
        <v>2420</v>
      </c>
      <c r="B2601" s="25" t="s">
        <v>141</v>
      </c>
      <c r="C2601" s="41">
        <v>46103</v>
      </c>
      <c r="D2601" s="48" t="str">
        <f>_xlfn.XLOOKUP(Table134526_79101120212223242526[[#This Row],[Name Surname]],Manpower!$C$4:$C$1048576,Manpower!$B$4:$B$1048576,"")</f>
        <v>Encogroup</v>
      </c>
      <c r="E2601" s="43" t="s">
        <v>264</v>
      </c>
      <c r="F2601" s="12">
        <f>_xlfn.XLOOKUP(Table134526_79101120212223242526[[#This Row],[Name Surname]],Manpower!C:C,Manpower!D:D,)</f>
        <v>141365061</v>
      </c>
      <c r="G2601" s="48" t="str">
        <f>_xlfn.XLOOKUP(Table134526_79101120212223242526[[#This Row],[Name Surname]],Manpower!$C$4:$C$1048576,Manpower!$F$4:$F$1048576,"")</f>
        <v>Helper</v>
      </c>
      <c r="H2601" s="48" t="str">
        <f>_xlfn.XLOOKUP(Table134526_79101120212223242526[[#This Row],[Name Surname]],Manpower!$C$4:$C$1048576,Manpower!$H$4:$H$1048576,"")</f>
        <v>Manpower</v>
      </c>
      <c r="I2601" s="48" t="str">
        <f>_xlfn.XLOOKUP(Table134526_79101120212223242526[[#This Row],[Name Surname]],Manpower!$C$4:$C$1048576,Manpower!$H$4:$H$1048576,"")</f>
        <v>Manpower</v>
      </c>
      <c r="J2601" s="43" t="s">
        <v>143</v>
      </c>
      <c r="K2601" s="43" t="s">
        <v>26</v>
      </c>
      <c r="L2601" s="43" t="s">
        <v>144</v>
      </c>
      <c r="M2601" s="43" t="s">
        <v>24</v>
      </c>
      <c r="N2601" s="44">
        <v>10</v>
      </c>
      <c r="O2601" s="43" t="s">
        <v>40</v>
      </c>
      <c r="P2601" s="43" t="s">
        <v>42</v>
      </c>
      <c r="Q2601" s="43" t="s">
        <v>42</v>
      </c>
      <c r="R2601" s="43" t="s">
        <v>368</v>
      </c>
      <c r="S2601" s="43"/>
    </row>
    <row r="2602" spans="1:20" s="45" customFormat="1" ht="14.4" hidden="1">
      <c r="A2602" s="25">
        <f>IF(C2602="","",MAX($A$1:A2601)+1)</f>
        <v>2421</v>
      </c>
      <c r="B2602" s="25" t="s">
        <v>141</v>
      </c>
      <c r="C2602" s="41">
        <v>46103</v>
      </c>
      <c r="D2602" s="48" t="str">
        <f>_xlfn.XLOOKUP(Table134526_79101120212223242526[[#This Row],[Name Surname]],Manpower!$C$4:$C$1048576,Manpower!$B$4:$B$1048576,"")</f>
        <v>Encogroup</v>
      </c>
      <c r="E2602" s="43" t="s">
        <v>224</v>
      </c>
      <c r="F2602" s="12">
        <f>_xlfn.XLOOKUP(Table134526_79101120212223242526[[#This Row],[Name Surname]],Manpower!C:C,Manpower!D:D,)</f>
        <v>141365094</v>
      </c>
      <c r="G2602" s="48" t="str">
        <f>_xlfn.XLOOKUP(Table134526_79101120212223242526[[#This Row],[Name Surname]],Manpower!$C$4:$C$1048576,Manpower!$F$4:$F$1048576,"")</f>
        <v>Helper</v>
      </c>
      <c r="H2602" s="48" t="str">
        <f>_xlfn.XLOOKUP(Table134526_79101120212223242526[[#This Row],[Name Surname]],Manpower!$C$4:$C$1048576,Manpower!$H$4:$H$1048576,"")</f>
        <v>Manpower</v>
      </c>
      <c r="I2602" s="48" t="str">
        <f>_xlfn.XLOOKUP(Table134526_79101120212223242526[[#This Row],[Name Surname]],Manpower!$C$4:$C$1048576,Manpower!$H$4:$H$1048576,"")</f>
        <v>Manpower</v>
      </c>
      <c r="J2602" s="43" t="s">
        <v>143</v>
      </c>
      <c r="K2602" s="43" t="s">
        <v>26</v>
      </c>
      <c r="L2602" s="43" t="s">
        <v>144</v>
      </c>
      <c r="M2602" s="43" t="s">
        <v>24</v>
      </c>
      <c r="N2602" s="44">
        <v>10</v>
      </c>
      <c r="O2602" s="43" t="s">
        <v>40</v>
      </c>
      <c r="P2602" s="43" t="s">
        <v>42</v>
      </c>
      <c r="Q2602" s="43" t="s">
        <v>42</v>
      </c>
      <c r="R2602" s="43" t="s">
        <v>368</v>
      </c>
      <c r="S2602" s="43"/>
    </row>
    <row r="2603" spans="1:20" s="45" customFormat="1" ht="14.4" hidden="1">
      <c r="A2603" s="25">
        <f>IF(C2603="","",MAX($A$1:A2602)+1)</f>
        <v>2422</v>
      </c>
      <c r="B2603" s="25" t="s">
        <v>19</v>
      </c>
      <c r="C2603" s="41">
        <v>46104</v>
      </c>
      <c r="D2603" s="48" t="str">
        <f>_xlfn.XLOOKUP(Table134526_79101120212223242526[[#This Row],[Name Surname]],Manpower!$C$4:$C$1048576,Manpower!$B$4:$B$1048576,"")</f>
        <v>Encogroup</v>
      </c>
      <c r="E2603" s="43" t="s">
        <v>30</v>
      </c>
      <c r="F2603" s="12">
        <f>_xlfn.XLOOKUP(Table134526_79101120212223242526[[#This Row],[Name Surname]],Manpower!C:C,Manpower!D:D,)</f>
        <v>116589569</v>
      </c>
      <c r="G2603" s="48" t="str">
        <f>_xlfn.XLOOKUP(Table134526_79101120212223242526[[#This Row],[Name Surname]],Manpower!$C$4:$C$1048576,Manpower!$F$4:$F$1048576,"")</f>
        <v>Mechanical Engineer</v>
      </c>
      <c r="H2603" s="48" t="str">
        <f>_xlfn.XLOOKUP(Table134526_79101120212223242526[[#This Row],[Name Surname]],Manpower!$C$4:$C$1048576,Manpower!$H$4:$H$1048576,"")</f>
        <v>Manpower</v>
      </c>
      <c r="I2603" s="48" t="str">
        <f>_xlfn.XLOOKUP(Table134526_79101120212223242526[[#This Row],[Name Surname]],Manpower!$C$4:$C$1048576,Manpower!$H$4:$H$1048576,"")</f>
        <v>Manpower</v>
      </c>
      <c r="J2603" s="43" t="s">
        <v>21</v>
      </c>
      <c r="K2603" s="43" t="s">
        <v>144</v>
      </c>
      <c r="L2603" s="43" t="s">
        <v>49</v>
      </c>
      <c r="M2603" s="43" t="s">
        <v>55</v>
      </c>
      <c r="N2603" s="44">
        <v>10</v>
      </c>
      <c r="O2603" s="43"/>
      <c r="P2603" s="43"/>
      <c r="Q2603" s="43"/>
      <c r="R2603" s="43" t="s">
        <v>395</v>
      </c>
      <c r="S2603" s="43"/>
      <c r="T2603" s="67" t="s">
        <v>396</v>
      </c>
    </row>
    <row r="2604" spans="1:20" ht="14.4">
      <c r="A2604" s="33">
        <f>IF(C2604="","",MAX($A$1:A2603)+1)</f>
        <v>2423</v>
      </c>
      <c r="B2604" s="22" t="s">
        <v>19</v>
      </c>
      <c r="C2604" s="23">
        <v>46104</v>
      </c>
      <c r="D2604" s="28" t="str">
        <f>_xlfn.XLOOKUP(Table134526_79101120212223242526[[#This Row],[Name Surname]],Manpower!$C$4:$C$1048576,Manpower!$B$4:$B$1048576,"")</f>
        <v>Al Jaber Heavy Lift</v>
      </c>
      <c r="E2604" s="21" t="s">
        <v>371</v>
      </c>
      <c r="F2604" s="12" t="e">
        <f>_xlfn.XLOOKUP(Table134526_79101120212223242526[[#This Row],[Name Surname]],Manpower!C:C,Manpower!D:D,)</f>
        <v>#N/A</v>
      </c>
      <c r="G2604" s="28" t="str">
        <f>_xlfn.XLOOKUP(Table134526_79101120212223242526[[#This Row],[Name Surname]],Manpower!$C$4:$C$1048576,Manpower!$F$4:$F$1048576,"")</f>
        <v>70T Crawler Crane</v>
      </c>
      <c r="H2604" s="28" t="str">
        <f>_xlfn.XLOOKUP(Table134526_79101120212223242526[[#This Row],[Name Surname]],Manpower!$C$4:$C$1048576,Manpower!$H$4:$H$1048576,"")</f>
        <v>Equipment</v>
      </c>
      <c r="I2604" s="28" t="str">
        <f>_xlfn.XLOOKUP(Table134526_79101120212223242526[[#This Row],[Name Surname]],Manpower!$C$4:$C$1048576,Manpower!$H$4:$H$1048576,"")</f>
        <v>Equipment</v>
      </c>
      <c r="J2604" s="21" t="s">
        <v>21</v>
      </c>
      <c r="K2604" s="21" t="s">
        <v>144</v>
      </c>
      <c r="L2604" s="21" t="s">
        <v>49</v>
      </c>
      <c r="M2604" s="21" t="s">
        <v>55</v>
      </c>
      <c r="N2604" s="29">
        <v>10</v>
      </c>
      <c r="R2604" s="21" t="s">
        <v>395</v>
      </c>
      <c r="T2604" s="56" t="s">
        <v>396</v>
      </c>
    </row>
    <row r="2605" spans="1:20" ht="14.4">
      <c r="A2605" s="33">
        <f>IF(C2605="","",MAX($A$1:A2604)+1)</f>
        <v>2424</v>
      </c>
      <c r="B2605" s="22" t="s">
        <v>19</v>
      </c>
      <c r="C2605" s="23">
        <v>46104</v>
      </c>
      <c r="D2605" s="28" t="str">
        <f>_xlfn.XLOOKUP(Table134526_79101120212223242526[[#This Row],[Name Surname]],Manpower!$C$4:$C$1048576,Manpower!$B$4:$B$1048576,"")</f>
        <v>Al Jaber Heavy Lift</v>
      </c>
      <c r="E2605" s="21" t="s">
        <v>151</v>
      </c>
      <c r="F2605" s="12" t="e">
        <f>_xlfn.XLOOKUP(Table134526_79101120212223242526[[#This Row],[Name Surname]],Manpower!C:C,Manpower!D:D,)</f>
        <v>#N/A</v>
      </c>
      <c r="G2605" s="28" t="str">
        <f>_xlfn.XLOOKUP(Table134526_79101120212223242526[[#This Row],[Name Surname]],Manpower!$C$4:$C$1048576,Manpower!$F$4:$F$1048576,"")</f>
        <v>150T-Crawler Crane</v>
      </c>
      <c r="H2605" s="28" t="str">
        <f>_xlfn.XLOOKUP(Table134526_79101120212223242526[[#This Row],[Name Surname]],Manpower!$C$4:$C$1048576,Manpower!$H$4:$H$1048576,"")</f>
        <v>Equipment</v>
      </c>
      <c r="I2605" s="28" t="str">
        <f>_xlfn.XLOOKUP(Table134526_79101120212223242526[[#This Row],[Name Surname]],Manpower!$C$4:$C$1048576,Manpower!$H$4:$H$1048576,"")</f>
        <v>Equipment</v>
      </c>
      <c r="J2605" s="21" t="s">
        <v>21</v>
      </c>
      <c r="K2605" s="21" t="s">
        <v>144</v>
      </c>
      <c r="L2605" s="21" t="s">
        <v>49</v>
      </c>
      <c r="M2605" s="21" t="s">
        <v>55</v>
      </c>
      <c r="N2605" s="29">
        <v>10</v>
      </c>
      <c r="R2605" s="21" t="s">
        <v>395</v>
      </c>
      <c r="T2605" s="56" t="s">
        <v>396</v>
      </c>
    </row>
    <row r="2606" spans="1:20" ht="14.4" hidden="1">
      <c r="A2606" s="33">
        <f>IF(C2606="","",MAX($A$1:A2605)+1)</f>
        <v>2425</v>
      </c>
      <c r="B2606" s="22" t="s">
        <v>19</v>
      </c>
      <c r="C2606" s="23">
        <v>46104</v>
      </c>
      <c r="D2606" s="28" t="str">
        <f>_xlfn.XLOOKUP(Table134526_79101120212223242526[[#This Row],[Name Surname]],Manpower!$C$4:$C$1048576,Manpower!$B$4:$B$1048576,"")</f>
        <v>Al Jaber Heavy Lift</v>
      </c>
      <c r="E2606" s="21" t="s">
        <v>164</v>
      </c>
      <c r="F2606" s="12">
        <f>_xlfn.XLOOKUP(Table134526_79101120212223242526[[#This Row],[Name Surname]],Manpower!C:C,Manpower!D:D,)</f>
        <v>112778626</v>
      </c>
      <c r="G2606" s="28" t="str">
        <f>_xlfn.XLOOKUP(Table134526_79101120212223242526[[#This Row],[Name Surname]],Manpower!$C$4:$C$1048576,Manpower!$F$4:$F$1048576,"")</f>
        <v>Crane Operator-150T Hitachi Crawler</v>
      </c>
      <c r="H2606" s="28" t="str">
        <f>_xlfn.XLOOKUP(Table134526_79101120212223242526[[#This Row],[Name Surname]],Manpower!$C$4:$C$1048576,Manpower!$H$4:$H$1048576,"")</f>
        <v>Manpower</v>
      </c>
      <c r="I2606" s="28" t="str">
        <f>_xlfn.XLOOKUP(Table134526_79101120212223242526[[#This Row],[Name Surname]],Manpower!$C$4:$C$1048576,Manpower!$H$4:$H$1048576,"")</f>
        <v>Manpower</v>
      </c>
      <c r="J2606" s="21" t="s">
        <v>21</v>
      </c>
      <c r="K2606" s="21" t="s">
        <v>144</v>
      </c>
      <c r="L2606" s="21" t="s">
        <v>49</v>
      </c>
      <c r="M2606" s="21" t="s">
        <v>55</v>
      </c>
      <c r="N2606" s="29">
        <v>10</v>
      </c>
      <c r="R2606" s="21" t="s">
        <v>395</v>
      </c>
      <c r="T2606" s="56" t="s">
        <v>396</v>
      </c>
    </row>
    <row r="2607" spans="1:20" s="45" customFormat="1" ht="14.4" hidden="1">
      <c r="A2607" s="25">
        <f>IF(C2607="","",MAX($A$1:A2606)+1)</f>
        <v>2426</v>
      </c>
      <c r="B2607" s="25" t="s">
        <v>19</v>
      </c>
      <c r="C2607" s="41">
        <v>46104</v>
      </c>
      <c r="D2607" s="48" t="str">
        <f>_xlfn.XLOOKUP(Table134526_79101120212223242526[[#This Row],[Name Surname]],Manpower!$C$4:$C$1048576,Manpower!$B$4:$B$1048576,"")</f>
        <v>Al Jaber Heavy Lift</v>
      </c>
      <c r="E2607" s="43" t="s">
        <v>164</v>
      </c>
      <c r="F2607" s="12">
        <f>_xlfn.XLOOKUP(Table134526_79101120212223242526[[#This Row],[Name Surname]],Manpower!C:C,Manpower!D:D,)</f>
        <v>112778626</v>
      </c>
      <c r="G2607" s="48" t="str">
        <f>_xlfn.XLOOKUP(Table134526_79101120212223242526[[#This Row],[Name Surname]],Manpower!$C$4:$C$1048576,Manpower!$F$4:$F$1048576,"")</f>
        <v>Crane Operator-150T Hitachi Crawler</v>
      </c>
      <c r="H2607" s="48" t="str">
        <f>_xlfn.XLOOKUP(Table134526_79101120212223242526[[#This Row],[Name Surname]],Manpower!$C$4:$C$1048576,Manpower!$H$4:$H$1048576,"")</f>
        <v>Manpower</v>
      </c>
      <c r="I2607" s="48" t="str">
        <f>_xlfn.XLOOKUP(Table134526_79101120212223242526[[#This Row],[Name Surname]],Manpower!$C$4:$C$1048576,Manpower!$H$4:$H$1048576,"")</f>
        <v>Manpower</v>
      </c>
      <c r="J2607" s="43" t="s">
        <v>21</v>
      </c>
      <c r="K2607" s="43" t="s">
        <v>144</v>
      </c>
      <c r="L2607" s="43" t="s">
        <v>49</v>
      </c>
      <c r="M2607" s="43" t="s">
        <v>55</v>
      </c>
      <c r="N2607" s="44">
        <v>10</v>
      </c>
      <c r="O2607" s="43"/>
      <c r="P2607" s="43"/>
      <c r="Q2607" s="43"/>
      <c r="R2607" s="43" t="s">
        <v>395</v>
      </c>
      <c r="S2607" s="43"/>
      <c r="T2607" s="67" t="s">
        <v>396</v>
      </c>
    </row>
    <row r="2608" spans="1:20" s="45" customFormat="1" ht="14.4" hidden="1">
      <c r="A2608" s="25">
        <f>IF(C2608="","",MAX($A$1:A2607)+1)</f>
        <v>2427</v>
      </c>
      <c r="B2608" s="25" t="s">
        <v>19</v>
      </c>
      <c r="C2608" s="41">
        <v>46104</v>
      </c>
      <c r="D2608" s="48" t="str">
        <f>_xlfn.XLOOKUP(Table134526_79101120212223242526[[#This Row],[Name Surname]],Manpower!$C$4:$C$1048576,Manpower!$B$4:$B$1048576,"")</f>
        <v>Al Jaber Heavy Lift</v>
      </c>
      <c r="E2608" s="43" t="s">
        <v>275</v>
      </c>
      <c r="F2608" s="12">
        <f>_xlfn.XLOOKUP(Table134526_79101120212223242526[[#This Row],[Name Surname]],Manpower!C:C,Manpower!D:D,)</f>
        <v>116448869</v>
      </c>
      <c r="G2608" s="48" t="str">
        <f>_xlfn.XLOOKUP(Table134526_79101120212223242526[[#This Row],[Name Surname]],Manpower!$C$4:$C$1048576,Manpower!$F$4:$F$1048576,"")</f>
        <v xml:space="preserve">Crane Operator </v>
      </c>
      <c r="H2608" s="48" t="str">
        <f>_xlfn.XLOOKUP(Table134526_79101120212223242526[[#This Row],[Name Surname]],Manpower!$C$4:$C$1048576,Manpower!$H$4:$H$1048576,"")</f>
        <v>Manpower</v>
      </c>
      <c r="I2608" s="48" t="str">
        <f>_xlfn.XLOOKUP(Table134526_79101120212223242526[[#This Row],[Name Surname]],Manpower!$C$4:$C$1048576,Manpower!$H$4:$H$1048576,"")</f>
        <v>Manpower</v>
      </c>
      <c r="J2608" s="43" t="s">
        <v>21</v>
      </c>
      <c r="K2608" s="43" t="s">
        <v>144</v>
      </c>
      <c r="L2608" s="43" t="s">
        <v>49</v>
      </c>
      <c r="M2608" s="43" t="s">
        <v>55</v>
      </c>
      <c r="N2608" s="44">
        <v>10</v>
      </c>
      <c r="O2608" s="43"/>
      <c r="P2608" s="43"/>
      <c r="Q2608" s="43"/>
      <c r="R2608" s="43" t="s">
        <v>395</v>
      </c>
      <c r="S2608" s="43"/>
      <c r="T2608" s="67" t="s">
        <v>396</v>
      </c>
    </row>
    <row r="2609" spans="1:20" s="45" customFormat="1" ht="14.4" hidden="1">
      <c r="A2609" s="25">
        <f>IF(C2609="","",MAX($A$1:A2608)+1)</f>
        <v>2428</v>
      </c>
      <c r="B2609" s="25" t="s">
        <v>19</v>
      </c>
      <c r="C2609" s="41">
        <v>46104</v>
      </c>
      <c r="D2609" s="48" t="str">
        <f>_xlfn.XLOOKUP(Table134526_79101120212223242526[[#This Row],[Name Surname]],Manpower!$C$4:$C$1048576,Manpower!$B$4:$B$1048576,"")</f>
        <v>Bright Light</v>
      </c>
      <c r="E2609" s="43" t="s">
        <v>165</v>
      </c>
      <c r="F2609" s="12">
        <f>_xlfn.XLOOKUP(Table134526_79101120212223242526[[#This Row],[Name Surname]],Manpower!C:C,Manpower!D:D,)</f>
        <v>122771611</v>
      </c>
      <c r="G2609" s="48" t="str">
        <f>_xlfn.XLOOKUP(Table134526_79101120212223242526[[#This Row],[Name Surname]],Manpower!$C$4:$C$1048576,Manpower!$F$4:$F$1048576,"")</f>
        <v>Mechanic</v>
      </c>
      <c r="H2609" s="48" t="str">
        <f>_xlfn.XLOOKUP(Table134526_79101120212223242526[[#This Row],[Name Surname]],Manpower!$C$4:$C$1048576,Manpower!$H$4:$H$1048576,"")</f>
        <v>Sub Contactor</v>
      </c>
      <c r="I2609" s="48" t="str">
        <f>_xlfn.XLOOKUP(Table134526_79101120212223242526[[#This Row],[Name Surname]],Manpower!$C$4:$C$1048576,Manpower!$H$4:$H$1048576,"")</f>
        <v>Sub Contactor</v>
      </c>
      <c r="J2609" s="43" t="s">
        <v>21</v>
      </c>
      <c r="K2609" s="43" t="s">
        <v>144</v>
      </c>
      <c r="L2609" s="43" t="s">
        <v>49</v>
      </c>
      <c r="M2609" s="43" t="s">
        <v>55</v>
      </c>
      <c r="N2609" s="44">
        <v>10</v>
      </c>
      <c r="O2609" s="43"/>
      <c r="P2609" s="43"/>
      <c r="Q2609" s="43"/>
      <c r="R2609" s="43" t="s">
        <v>395</v>
      </c>
      <c r="S2609" s="43"/>
      <c r="T2609" s="67" t="s">
        <v>396</v>
      </c>
    </row>
    <row r="2610" spans="1:20" s="45" customFormat="1" ht="14.4" hidden="1">
      <c r="A2610" s="25">
        <f>IF(C2610="","",MAX($A$1:A2606)+1)</f>
        <v>2426</v>
      </c>
      <c r="B2610" s="25" t="s">
        <v>19</v>
      </c>
      <c r="C2610" s="41">
        <v>46104</v>
      </c>
      <c r="D2610" s="48" t="str">
        <f>_xlfn.XLOOKUP(Table134526_79101120212223242526[[#This Row],[Name Surname]],Manpower!$C$4:$C$1048576,Manpower!$B$4:$B$1048576,"")</f>
        <v>Al Jaber Heavy Lift</v>
      </c>
      <c r="E2610" s="43" t="s">
        <v>276</v>
      </c>
      <c r="F2610" s="12" t="str">
        <f>_xlfn.XLOOKUP(Table134526_79101120212223242526[[#This Row],[Name Surname]],Manpower!C:C,Manpower!D:D,)</f>
        <v>102607563</v>
      </c>
      <c r="G2610" s="48" t="str">
        <f>_xlfn.XLOOKUP(Table134526_79101120212223242526[[#This Row],[Name Surname]],Manpower!$C$4:$C$1048576,Manpower!$F$4:$F$1048576,"")</f>
        <v>Technician</v>
      </c>
      <c r="H2610" s="48" t="str">
        <f>_xlfn.XLOOKUP(Table134526_79101120212223242526[[#This Row],[Name Surname]],Manpower!$C$4:$C$1048576,Manpower!$H$4:$H$1048576,"")</f>
        <v>Manpower</v>
      </c>
      <c r="I2610" s="48" t="str">
        <f>_xlfn.XLOOKUP(Table134526_79101120212223242526[[#This Row],[Name Surname]],Manpower!$C$4:$C$1048576,Manpower!$H$4:$H$1048576,"")</f>
        <v>Manpower</v>
      </c>
      <c r="J2610" s="43" t="s">
        <v>21</v>
      </c>
      <c r="K2610" s="43" t="s">
        <v>144</v>
      </c>
      <c r="L2610" s="43" t="s">
        <v>49</v>
      </c>
      <c r="M2610" s="43" t="s">
        <v>55</v>
      </c>
      <c r="N2610" s="44">
        <v>10</v>
      </c>
      <c r="O2610" s="43"/>
      <c r="P2610" s="43"/>
      <c r="Q2610" s="43"/>
      <c r="R2610" s="43" t="s">
        <v>395</v>
      </c>
      <c r="S2610" s="43"/>
      <c r="T2610" s="67" t="s">
        <v>396</v>
      </c>
    </row>
    <row r="2611" spans="1:20" s="45" customFormat="1" ht="14.4" hidden="1">
      <c r="A2611" s="25">
        <f>IF(C2611="","",MAX($A$1:A2606)+1)</f>
        <v>2426</v>
      </c>
      <c r="B2611" s="25" t="s">
        <v>19</v>
      </c>
      <c r="C2611" s="41">
        <v>46104</v>
      </c>
      <c r="D2611" s="48" t="str">
        <f>_xlfn.XLOOKUP(Table134526_79101120212223242526[[#This Row],[Name Surname]],Manpower!$C$4:$C$1048576,Manpower!$B$4:$B$1048576,"")</f>
        <v>Al Jaber Heavy Lift</v>
      </c>
      <c r="E2611" s="43" t="s">
        <v>311</v>
      </c>
      <c r="F2611" s="12" t="e">
        <f>_xlfn.XLOOKUP(Table134526_79101120212223242526[[#This Row],[Name Surname]],Manpower!C:C,Manpower!D:D,)</f>
        <v>#N/A</v>
      </c>
      <c r="G2611" s="48" t="str">
        <f>_xlfn.XLOOKUP(Table134526_79101120212223242526[[#This Row],[Name Surname]],Manpower!$C$4:$C$1048576,Manpower!$F$4:$F$1048576,"")</f>
        <v>Technician</v>
      </c>
      <c r="H2611" s="48" t="str">
        <f>_xlfn.XLOOKUP(Table134526_79101120212223242526[[#This Row],[Name Surname]],Manpower!$C$4:$C$1048576,Manpower!$H$4:$H$1048576,"")</f>
        <v>Manpower</v>
      </c>
      <c r="I2611" s="48" t="str">
        <f>_xlfn.XLOOKUP(Table134526_79101120212223242526[[#This Row],[Name Surname]],Manpower!$C$4:$C$1048576,Manpower!$H$4:$H$1048576,"")</f>
        <v>Manpower</v>
      </c>
      <c r="J2611" s="43" t="s">
        <v>21</v>
      </c>
      <c r="K2611" s="43" t="s">
        <v>144</v>
      </c>
      <c r="L2611" s="43" t="s">
        <v>49</v>
      </c>
      <c r="M2611" s="43" t="s">
        <v>55</v>
      </c>
      <c r="N2611" s="44">
        <v>10</v>
      </c>
      <c r="O2611" s="43"/>
      <c r="P2611" s="43"/>
      <c r="Q2611" s="43"/>
      <c r="R2611" s="43" t="s">
        <v>395</v>
      </c>
      <c r="S2611" s="43"/>
      <c r="T2611" s="67" t="s">
        <v>396</v>
      </c>
    </row>
    <row r="2612" spans="1:20" s="45" customFormat="1" ht="14.4" hidden="1">
      <c r="A2612" s="25">
        <f>IF(C2612="","",MAX($A$1:A2606)+1)</f>
        <v>2426</v>
      </c>
      <c r="B2612" s="25" t="s">
        <v>19</v>
      </c>
      <c r="C2612" s="41">
        <v>46104</v>
      </c>
      <c r="D2612" s="48" t="str">
        <f>_xlfn.XLOOKUP(Table134526_79101120212223242526[[#This Row],[Name Surname]],Manpower!$C$4:$C$1048576,Manpower!$B$4:$B$1048576,"")</f>
        <v>Bright Light</v>
      </c>
      <c r="E2612" s="43" t="s">
        <v>263</v>
      </c>
      <c r="F2612" s="12">
        <f>_xlfn.XLOOKUP(Table134526_79101120212223242526[[#This Row],[Name Surname]],Manpower!C:C,Manpower!D:D,)</f>
        <v>125287583</v>
      </c>
      <c r="G2612" s="48" t="str">
        <f>_xlfn.XLOOKUP(Table134526_79101120212223242526[[#This Row],[Name Surname]],Manpower!$C$4:$C$1048576,Manpower!$F$4:$F$1048576,"")</f>
        <v>Mechanic</v>
      </c>
      <c r="H2612" s="48" t="str">
        <f>_xlfn.XLOOKUP(Table134526_79101120212223242526[[#This Row],[Name Surname]],Manpower!$C$4:$C$1048576,Manpower!$H$4:$H$1048576,"")</f>
        <v>Sub Contactor</v>
      </c>
      <c r="I2612" s="48" t="str">
        <f>_xlfn.XLOOKUP(Table134526_79101120212223242526[[#This Row],[Name Surname]],Manpower!$C$4:$C$1048576,Manpower!$H$4:$H$1048576,"")</f>
        <v>Sub Contactor</v>
      </c>
      <c r="J2612" s="43" t="s">
        <v>21</v>
      </c>
      <c r="K2612" s="43" t="s">
        <v>144</v>
      </c>
      <c r="L2612" s="43" t="s">
        <v>49</v>
      </c>
      <c r="M2612" s="43" t="s">
        <v>55</v>
      </c>
      <c r="N2612" s="44">
        <v>10</v>
      </c>
      <c r="O2612" s="43"/>
      <c r="P2612" s="43"/>
      <c r="Q2612" s="43"/>
      <c r="R2612" s="43" t="s">
        <v>395</v>
      </c>
      <c r="S2612" s="43"/>
      <c r="T2612" s="67" t="s">
        <v>396</v>
      </c>
    </row>
    <row r="2613" spans="1:20" s="45" customFormat="1" ht="14.4" hidden="1">
      <c r="A2613" s="25">
        <f>IF(C2613="","",MAX($A$1:A2606)+1)</f>
        <v>2426</v>
      </c>
      <c r="B2613" s="25" t="s">
        <v>19</v>
      </c>
      <c r="C2613" s="41">
        <v>46104</v>
      </c>
      <c r="D2613" s="48" t="str">
        <f>_xlfn.XLOOKUP(Table134526_79101120212223242526[[#This Row],[Name Surname]],Manpower!$C$4:$C$1048576,Manpower!$B$4:$B$1048576,"")</f>
        <v>Al Jaber Heavy Lift</v>
      </c>
      <c r="E2613" s="43" t="s">
        <v>310</v>
      </c>
      <c r="F2613" s="12">
        <f>_xlfn.XLOOKUP(Table134526_79101120212223242526[[#This Row],[Name Surname]],Manpower!C:C,Manpower!D:D,)</f>
        <v>113787454</v>
      </c>
      <c r="G2613" s="48" t="str">
        <f>_xlfn.XLOOKUP(Table134526_79101120212223242526[[#This Row],[Name Surname]],Manpower!$C$4:$C$1048576,Manpower!$F$4:$F$1048576,"")</f>
        <v>Crane Operator- 70T Crawler Crane- 02</v>
      </c>
      <c r="H2613" s="48" t="str">
        <f>_xlfn.XLOOKUP(Table134526_79101120212223242526[[#This Row],[Name Surname]],Manpower!$C$4:$C$1048576,Manpower!$H$4:$H$1048576,"")</f>
        <v>Manpower</v>
      </c>
      <c r="I2613" s="48" t="str">
        <f>_xlfn.XLOOKUP(Table134526_79101120212223242526[[#This Row],[Name Surname]],Manpower!$C$4:$C$1048576,Manpower!$H$4:$H$1048576,"")</f>
        <v>Manpower</v>
      </c>
      <c r="J2613" s="43" t="s">
        <v>21</v>
      </c>
      <c r="K2613" s="43" t="s">
        <v>144</v>
      </c>
      <c r="L2613" s="43" t="s">
        <v>49</v>
      </c>
      <c r="M2613" s="43" t="s">
        <v>55</v>
      </c>
      <c r="N2613" s="44">
        <v>10</v>
      </c>
      <c r="O2613" s="43"/>
      <c r="P2613" s="43"/>
      <c r="Q2613" s="43"/>
      <c r="R2613" s="43" t="s">
        <v>395</v>
      </c>
      <c r="S2613" s="43"/>
      <c r="T2613" s="67" t="s">
        <v>396</v>
      </c>
    </row>
    <row r="2614" spans="1:20" s="45" customFormat="1" ht="14.4" hidden="1">
      <c r="A2614" s="25">
        <f>IF(C2614="","",MAX($A$1:A2606)+1)</f>
        <v>2426</v>
      </c>
      <c r="B2614" s="25" t="s">
        <v>19</v>
      </c>
      <c r="C2614" s="41">
        <v>46104</v>
      </c>
      <c r="D2614" s="48" t="str">
        <f>_xlfn.XLOOKUP(Table134526_79101120212223242526[[#This Row],[Name Surname]],Manpower!$C$4:$C$1048576,Manpower!$B$4:$B$1048576,"")</f>
        <v>Encogroup</v>
      </c>
      <c r="E2614" s="43" t="s">
        <v>29</v>
      </c>
      <c r="F2614" s="12">
        <f>_xlfn.XLOOKUP(Table134526_79101120212223242526[[#This Row],[Name Surname]],Manpower!C:C,Manpower!D:D,)</f>
        <v>127331574</v>
      </c>
      <c r="G2614" s="48" t="str">
        <f>_xlfn.XLOOKUP(Table134526_79101120212223242526[[#This Row],[Name Surname]],Manpower!$C$4:$C$1048576,Manpower!$F$4:$F$1048576,"")</f>
        <v>Permit Receiver</v>
      </c>
      <c r="H2614" s="48" t="str">
        <f>_xlfn.XLOOKUP(Table134526_79101120212223242526[[#This Row],[Name Surname]],Manpower!$C$4:$C$1048576,Manpower!$H$4:$H$1048576,"")</f>
        <v>Manpower</v>
      </c>
      <c r="I2614" s="48" t="str">
        <f>_xlfn.XLOOKUP(Table134526_79101120212223242526[[#This Row],[Name Surname]],Manpower!$C$4:$C$1048576,Manpower!$H$4:$H$1048576,"")</f>
        <v>Manpower</v>
      </c>
      <c r="J2614" s="43" t="s">
        <v>21</v>
      </c>
      <c r="K2614" s="43" t="s">
        <v>144</v>
      </c>
      <c r="L2614" s="43" t="s">
        <v>49</v>
      </c>
      <c r="M2614" s="43" t="s">
        <v>55</v>
      </c>
      <c r="N2614" s="44">
        <v>10</v>
      </c>
      <c r="O2614" s="43"/>
      <c r="P2614" s="43"/>
      <c r="Q2614" s="43"/>
      <c r="R2614" s="43" t="s">
        <v>395</v>
      </c>
      <c r="S2614" s="43"/>
      <c r="T2614" s="67" t="s">
        <v>396</v>
      </c>
    </row>
    <row r="2615" spans="1:20" ht="14.4" hidden="1">
      <c r="A2615" s="33">
        <f>IF(C2615="","",MAX($A$1:A2614)+1)</f>
        <v>2429</v>
      </c>
      <c r="B2615" s="22" t="s">
        <v>19</v>
      </c>
      <c r="C2615" s="23">
        <v>46104</v>
      </c>
      <c r="D2615" s="28" t="str">
        <f>_xlfn.XLOOKUP(Table134526_79101120212223242526[[#This Row],[Name Surname]],Manpower!$C$4:$C$1048576,Manpower!$B$4:$B$1048576,"")</f>
        <v>Encogroup</v>
      </c>
      <c r="E2615" s="21" t="s">
        <v>31</v>
      </c>
      <c r="F2615" s="12">
        <f>_xlfn.XLOOKUP(Table134526_79101120212223242526[[#This Row],[Name Surname]],Manpower!C:C,Manpower!D:D,)</f>
        <v>99596058</v>
      </c>
      <c r="G2615" s="28" t="str">
        <f>_xlfn.XLOOKUP(Table134526_79101120212223242526[[#This Row],[Name Surname]],Manpower!$C$4:$C$1048576,Manpower!$F$4:$F$1048576,"")</f>
        <v>HSE Officer</v>
      </c>
      <c r="H2615" s="28" t="str">
        <f>_xlfn.XLOOKUP(Table134526_79101120212223242526[[#This Row],[Name Surname]],Manpower!$C$4:$C$1048576,Manpower!$H$4:$H$1048576,"")</f>
        <v>Manpower</v>
      </c>
      <c r="I2615" s="28" t="str">
        <f>_xlfn.XLOOKUP(Table134526_79101120212223242526[[#This Row],[Name Surname]],Manpower!$C$4:$C$1048576,Manpower!$H$4:$H$1048576,"")</f>
        <v>Manpower</v>
      </c>
      <c r="J2615" s="21" t="s">
        <v>21</v>
      </c>
      <c r="K2615" s="21" t="s">
        <v>144</v>
      </c>
      <c r="L2615" s="21" t="s">
        <v>49</v>
      </c>
      <c r="M2615" s="21" t="s">
        <v>55</v>
      </c>
      <c r="N2615" s="29">
        <v>10</v>
      </c>
      <c r="R2615" s="21" t="s">
        <v>395</v>
      </c>
      <c r="T2615" s="56" t="s">
        <v>396</v>
      </c>
    </row>
    <row r="2616" spans="1:20" s="45" customFormat="1" ht="14.4" hidden="1">
      <c r="A2616" s="25">
        <f>IF(C2616="","",MAX($A$1:A2615)+1)</f>
        <v>2430</v>
      </c>
      <c r="B2616" s="25" t="s">
        <v>19</v>
      </c>
      <c r="C2616" s="41">
        <v>46104</v>
      </c>
      <c r="D2616" s="48" t="str">
        <f>_xlfn.XLOOKUP(Table134526_79101120212223242526[[#This Row],[Name Surname]],Manpower!$C$4:$C$1048576,Manpower!$B$4:$B$1048576,"")</f>
        <v>Encogroup</v>
      </c>
      <c r="E2616" s="43" t="s">
        <v>72</v>
      </c>
      <c r="F2616" s="12">
        <f>_xlfn.XLOOKUP(Table134526_79101120212223242526[[#This Row],[Name Surname]],Manpower!C:C,Manpower!D:D,)</f>
        <v>140764706</v>
      </c>
      <c r="G2616" s="48" t="str">
        <f>_xlfn.XLOOKUP(Table134526_79101120212223242526[[#This Row],[Name Surname]],Manpower!$C$4:$C$1048576,Manpower!$F$4:$F$1048576,"")</f>
        <v>Rigger</v>
      </c>
      <c r="H2616" s="48" t="str">
        <f>_xlfn.XLOOKUP(Table134526_79101120212223242526[[#This Row],[Name Surname]],Manpower!$C$4:$C$1048576,Manpower!$H$4:$H$1048576,"")</f>
        <v>Manpower</v>
      </c>
      <c r="I2616" s="48" t="str">
        <f>_xlfn.XLOOKUP(Table134526_79101120212223242526[[#This Row],[Name Surname]],Manpower!$C$4:$C$1048576,Manpower!$H$4:$H$1048576,"")</f>
        <v>Manpower</v>
      </c>
      <c r="J2616" s="43" t="s">
        <v>21</v>
      </c>
      <c r="K2616" s="43" t="s">
        <v>144</v>
      </c>
      <c r="L2616" s="43" t="s">
        <v>49</v>
      </c>
      <c r="M2616" s="43" t="s">
        <v>55</v>
      </c>
      <c r="N2616" s="44">
        <v>2</v>
      </c>
      <c r="O2616" s="43"/>
      <c r="P2616" s="43"/>
      <c r="Q2616" s="43"/>
      <c r="R2616" s="43" t="s">
        <v>395</v>
      </c>
      <c r="S2616" s="43"/>
      <c r="T2616" s="67" t="s">
        <v>396</v>
      </c>
    </row>
    <row r="2617" spans="1:20" s="45" customFormat="1" ht="14.4" hidden="1">
      <c r="A2617" s="25">
        <f>IF(C2617="","",MAX($A$1:A2616)+1)</f>
        <v>2431</v>
      </c>
      <c r="B2617" s="25" t="s">
        <v>19</v>
      </c>
      <c r="C2617" s="41">
        <v>46104</v>
      </c>
      <c r="D2617" s="48" t="str">
        <f>_xlfn.XLOOKUP(Table134526_79101120212223242526[[#This Row],[Name Surname]],Manpower!$C$4:$C$1048576,Manpower!$B$4:$B$1048576,"")</f>
        <v>Encogroup</v>
      </c>
      <c r="E2617" s="43" t="s">
        <v>32</v>
      </c>
      <c r="F2617" s="12">
        <f>_xlfn.XLOOKUP(Table134526_79101120212223242526[[#This Row],[Name Surname]],Manpower!C:C,Manpower!D:D,)</f>
        <v>140697039</v>
      </c>
      <c r="G2617" s="48" t="str">
        <f>_xlfn.XLOOKUP(Table134526_79101120212223242526[[#This Row],[Name Surname]],Manpower!$C$4:$C$1048576,Manpower!$F$4:$F$1048576,"")</f>
        <v>Fitter/Erector</v>
      </c>
      <c r="H2617" s="48" t="str">
        <f>_xlfn.XLOOKUP(Table134526_79101120212223242526[[#This Row],[Name Surname]],Manpower!$C$4:$C$1048576,Manpower!$H$4:$H$1048576,"")</f>
        <v>Manpower</v>
      </c>
      <c r="I2617" s="48" t="str">
        <f>_xlfn.XLOOKUP(Table134526_79101120212223242526[[#This Row],[Name Surname]],Manpower!$C$4:$C$1048576,Manpower!$H$4:$H$1048576,"")</f>
        <v>Manpower</v>
      </c>
      <c r="J2617" s="43" t="s">
        <v>21</v>
      </c>
      <c r="K2617" s="43" t="s">
        <v>144</v>
      </c>
      <c r="L2617" s="43" t="s">
        <v>49</v>
      </c>
      <c r="M2617" s="43" t="s">
        <v>55</v>
      </c>
      <c r="N2617" s="44">
        <v>5</v>
      </c>
      <c r="O2617" s="43"/>
      <c r="P2617" s="43"/>
      <c r="Q2617" s="43"/>
      <c r="R2617" s="43" t="s">
        <v>395</v>
      </c>
      <c r="S2617" s="43"/>
      <c r="T2617" s="67" t="s">
        <v>396</v>
      </c>
    </row>
    <row r="2618" spans="1:20" s="45" customFormat="1" ht="14.4" hidden="1">
      <c r="A2618" s="25">
        <f>IF(C2618="","",MAX($A$1:A2617)+1)</f>
        <v>2432</v>
      </c>
      <c r="B2618" s="25" t="s">
        <v>19</v>
      </c>
      <c r="C2618" s="41">
        <v>46104</v>
      </c>
      <c r="D2618" s="48" t="str">
        <f>_xlfn.XLOOKUP(Table134526_79101120212223242526[[#This Row],[Name Surname]],Manpower!$C$4:$C$1048576,Manpower!$B$4:$B$1048576,"")</f>
        <v>Encogroup</v>
      </c>
      <c r="E2618" s="43" t="s">
        <v>46</v>
      </c>
      <c r="F2618" s="12">
        <f>_xlfn.XLOOKUP(Table134526_79101120212223242526[[#This Row],[Name Surname]],Manpower!C:C,Manpower!D:D,)</f>
        <v>140844618</v>
      </c>
      <c r="G2618" s="48" t="str">
        <f>_xlfn.XLOOKUP(Table134526_79101120212223242526[[#This Row],[Name Surname]],Manpower!$C$4:$C$1048576,Manpower!$F$4:$F$1048576,"")</f>
        <v>Assistant/Helper</v>
      </c>
      <c r="H2618" s="48" t="str">
        <f>_xlfn.XLOOKUP(Table134526_79101120212223242526[[#This Row],[Name Surname]],Manpower!$C$4:$C$1048576,Manpower!$H$4:$H$1048576,"")</f>
        <v>Manpower</v>
      </c>
      <c r="I2618" s="48" t="str">
        <f>_xlfn.XLOOKUP(Table134526_79101120212223242526[[#This Row],[Name Surname]],Manpower!$C$4:$C$1048576,Manpower!$H$4:$H$1048576,"")</f>
        <v>Manpower</v>
      </c>
      <c r="J2618" s="43" t="s">
        <v>21</v>
      </c>
      <c r="K2618" s="43" t="s">
        <v>144</v>
      </c>
      <c r="L2618" s="43" t="s">
        <v>49</v>
      </c>
      <c r="M2618" s="43" t="s">
        <v>55</v>
      </c>
      <c r="N2618" s="44">
        <v>5</v>
      </c>
      <c r="O2618" s="43"/>
      <c r="P2618" s="43"/>
      <c r="Q2618" s="43"/>
      <c r="R2618" s="43" t="s">
        <v>395</v>
      </c>
      <c r="S2618" s="43"/>
      <c r="T2618" s="67" t="s">
        <v>396</v>
      </c>
    </row>
    <row r="2619" spans="1:20" s="45" customFormat="1" ht="14.4" hidden="1">
      <c r="A2619" s="25">
        <f>IF(C2619="","",MAX($A$1:A2618)+1)</f>
        <v>2433</v>
      </c>
      <c r="B2619" s="25" t="s">
        <v>19</v>
      </c>
      <c r="C2619" s="41">
        <v>46104</v>
      </c>
      <c r="D2619" s="48" t="str">
        <f>_xlfn.XLOOKUP(Table134526_79101120212223242526[[#This Row],[Name Surname]],Manpower!$C$4:$C$1048576,Manpower!$B$4:$B$1048576,"")</f>
        <v>Encogroup</v>
      </c>
      <c r="E2619" s="43" t="s">
        <v>37</v>
      </c>
      <c r="F2619" s="12">
        <f>_xlfn.XLOOKUP(Table134526_79101120212223242526[[#This Row],[Name Surname]],Manpower!C:C,Manpower!D:D,)</f>
        <v>140742088</v>
      </c>
      <c r="G2619" s="48" t="str">
        <f>_xlfn.XLOOKUP(Table134526_79101120212223242526[[#This Row],[Name Surname]],Manpower!$C$4:$C$1048576,Manpower!$F$4:$F$1048576,"")</f>
        <v>Fitter/Erector</v>
      </c>
      <c r="H2619" s="48" t="str">
        <f>_xlfn.XLOOKUP(Table134526_79101120212223242526[[#This Row],[Name Surname]],Manpower!$C$4:$C$1048576,Manpower!$H$4:$H$1048576,"")</f>
        <v>Manpower</v>
      </c>
      <c r="I2619" s="48" t="str">
        <f>_xlfn.XLOOKUP(Table134526_79101120212223242526[[#This Row],[Name Surname]],Manpower!$C$4:$C$1048576,Manpower!$H$4:$H$1048576,"")</f>
        <v>Manpower</v>
      </c>
      <c r="J2619" s="43" t="s">
        <v>21</v>
      </c>
      <c r="K2619" s="43" t="s">
        <v>144</v>
      </c>
      <c r="L2619" s="43" t="s">
        <v>49</v>
      </c>
      <c r="M2619" s="43" t="s">
        <v>55</v>
      </c>
      <c r="N2619" s="44">
        <v>5</v>
      </c>
      <c r="O2619" s="43"/>
      <c r="P2619" s="43"/>
      <c r="Q2619" s="43"/>
      <c r="R2619" s="43" t="s">
        <v>395</v>
      </c>
      <c r="S2619" s="43"/>
      <c r="T2619" s="67" t="s">
        <v>396</v>
      </c>
    </row>
    <row r="2620" spans="1:20" ht="14.4">
      <c r="A2620" s="33">
        <f>IF(C2620="","",MAX($A$1:A2619)+1)</f>
        <v>2434</v>
      </c>
      <c r="B2620" s="25" t="s">
        <v>19</v>
      </c>
      <c r="C2620" s="23">
        <v>46104</v>
      </c>
      <c r="D2620" s="28" t="str">
        <f>_xlfn.XLOOKUP(Table134526_79101120212223242526[[#This Row],[Name Surname]],Manpower!$C$4:$C$1048576,Manpower!$B$4:$B$1048576,"")</f>
        <v>Bright Light</v>
      </c>
      <c r="E2620" s="23" t="s">
        <v>47</v>
      </c>
      <c r="F2620" s="12" t="e">
        <f>_xlfn.XLOOKUP(Table134526_79101120212223242526[[#This Row],[Name Surname]],Manpower!C:C,Manpower!D:D,)</f>
        <v>#N/A</v>
      </c>
      <c r="G2620" s="28" t="str">
        <f>_xlfn.XLOOKUP(Table134526_79101120212223242526[[#This Row],[Name Surname]],Manpower!$C$4:$C$1048576,Manpower!$F$4:$F$1048576,"")</f>
        <v>100T Telescopic Crane</v>
      </c>
      <c r="H2620" s="28" t="str">
        <f>_xlfn.XLOOKUP(Table134526_79101120212223242526[[#This Row],[Name Surname]],Manpower!$C$4:$C$1048576,Manpower!$H$4:$H$1048576,"")</f>
        <v>Equipment</v>
      </c>
      <c r="I2620" s="28" t="str">
        <f>_xlfn.XLOOKUP(Table134526_79101120212223242526[[#This Row],[Name Surname]],Manpower!$C$4:$C$1048576,Manpower!$H$4:$H$1048576,"")</f>
        <v>Equipment</v>
      </c>
      <c r="J2620" s="21" t="s">
        <v>48</v>
      </c>
      <c r="K2620" s="21" t="s">
        <v>26</v>
      </c>
      <c r="L2620" s="21" t="s">
        <v>49</v>
      </c>
      <c r="M2620" s="21" t="s">
        <v>55</v>
      </c>
      <c r="N2620" s="29">
        <v>5</v>
      </c>
      <c r="O2620" s="21" t="s">
        <v>40</v>
      </c>
      <c r="P2620" s="21" t="s">
        <v>41</v>
      </c>
      <c r="Q2620" s="21" t="s">
        <v>42</v>
      </c>
      <c r="R2620" s="21" t="s">
        <v>397</v>
      </c>
    </row>
    <row r="2621" spans="1:20" ht="14.4">
      <c r="A2621" s="33">
        <f>IF(C2621="","",MAX($A$1:A2620)+1)</f>
        <v>2435</v>
      </c>
      <c r="B2621" s="25" t="s">
        <v>19</v>
      </c>
      <c r="C2621" s="23">
        <v>46104</v>
      </c>
      <c r="D2621" s="28" t="str">
        <f>_xlfn.XLOOKUP(Table134526_79101120212223242526[[#This Row],[Name Surname]],Manpower!$C$4:$C$1048576,Manpower!$B$4:$B$1048576,"")</f>
        <v>Bright Light</v>
      </c>
      <c r="E2621" s="21" t="s">
        <v>51</v>
      </c>
      <c r="F2621" s="12" t="e">
        <f>_xlfn.XLOOKUP(Table134526_79101120212223242526[[#This Row],[Name Surname]],Manpower!C:C,Manpower!D:D,)</f>
        <v>#N/A</v>
      </c>
      <c r="G2621" s="28" t="str">
        <f>_xlfn.XLOOKUP(Table134526_79101120212223242526[[#This Row],[Name Surname]],Manpower!$C$4:$C$1048576,Manpower!$F$4:$F$1048576,"")</f>
        <v>150T-Crawler Crane</v>
      </c>
      <c r="H2621" s="28" t="str">
        <f>_xlfn.XLOOKUP(Table134526_79101120212223242526[[#This Row],[Name Surname]],Manpower!$C$4:$C$1048576,Manpower!$H$4:$H$1048576,"")</f>
        <v>Equipment</v>
      </c>
      <c r="I2621" s="28" t="str">
        <f>_xlfn.XLOOKUP(Table134526_79101120212223242526[[#This Row],[Name Surname]],Manpower!$C$4:$C$1048576,Manpower!$H$4:$H$1048576,"")</f>
        <v>Equipment</v>
      </c>
      <c r="J2621" s="21" t="s">
        <v>48</v>
      </c>
      <c r="K2621" s="21" t="s">
        <v>26</v>
      </c>
      <c r="L2621" s="21" t="s">
        <v>49</v>
      </c>
      <c r="M2621" s="21" t="s">
        <v>55</v>
      </c>
      <c r="N2621" s="29">
        <v>5</v>
      </c>
      <c r="O2621" s="21" t="s">
        <v>40</v>
      </c>
      <c r="P2621" s="21" t="s">
        <v>41</v>
      </c>
      <c r="Q2621" s="21" t="s">
        <v>42</v>
      </c>
      <c r="R2621" s="21" t="s">
        <v>397</v>
      </c>
    </row>
    <row r="2622" spans="1:20" ht="14.4">
      <c r="A2622" s="33">
        <f>IF(C2622="","",MAX($A$1:A2621)+1)</f>
        <v>2436</v>
      </c>
      <c r="B2622" s="25" t="s">
        <v>19</v>
      </c>
      <c r="C2622" s="23">
        <v>46104</v>
      </c>
      <c r="D2622" s="28" t="str">
        <f>_xlfn.XLOOKUP(Table134526_79101120212223242526[[#This Row],[Name Surname]],Manpower!$C$4:$C$1048576,Manpower!$B$4:$B$1048576,"")</f>
        <v>Encogroup</v>
      </c>
      <c r="E2622" s="21" t="s">
        <v>54</v>
      </c>
      <c r="F2622" s="12" t="e">
        <f>_xlfn.XLOOKUP(Table134526_79101120212223242526[[#This Row],[Name Surname]],Manpower!C:C,Manpower!D:D,)</f>
        <v>#N/A</v>
      </c>
      <c r="G2622" s="28" t="str">
        <f>_xlfn.XLOOKUP(Table134526_79101120212223242526[[#This Row],[Name Surname]],Manpower!$C$4:$C$1048576,Manpower!$F$4:$F$1048576,"")</f>
        <v>28M-Manlift</v>
      </c>
      <c r="H2622" s="28" t="str">
        <f>_xlfn.XLOOKUP(Table134526_79101120212223242526[[#This Row],[Name Surname]],Manpower!$C$4:$C$1048576,Manpower!$H$4:$H$1048576,"")</f>
        <v>Equipment</v>
      </c>
      <c r="I2622" s="28" t="str">
        <f>_xlfn.XLOOKUP(Table134526_79101120212223242526[[#This Row],[Name Surname]],Manpower!$C$4:$C$1048576,Manpower!$H$4:$H$1048576,"")</f>
        <v>Equipment</v>
      </c>
      <c r="J2622" s="21" t="s">
        <v>48</v>
      </c>
      <c r="K2622" s="21" t="s">
        <v>26</v>
      </c>
      <c r="L2622" s="21" t="s">
        <v>49</v>
      </c>
      <c r="M2622" s="21" t="s">
        <v>55</v>
      </c>
      <c r="N2622" s="29">
        <v>5</v>
      </c>
      <c r="O2622" s="21" t="s">
        <v>25</v>
      </c>
      <c r="P2622" s="21" t="s">
        <v>41</v>
      </c>
      <c r="Q2622" s="21" t="s">
        <v>60</v>
      </c>
      <c r="R2622" s="21" t="s">
        <v>397</v>
      </c>
    </row>
    <row r="2623" spans="1:20" ht="14.4">
      <c r="A2623" s="33">
        <f>IF(C2623="","",MAX($A$1:A2622)+1)</f>
        <v>2437</v>
      </c>
      <c r="B2623" s="25" t="s">
        <v>19</v>
      </c>
      <c r="C2623" s="23">
        <v>46104</v>
      </c>
      <c r="D2623" s="28" t="str">
        <f>_xlfn.XLOOKUP(Table134526_79101120212223242526[[#This Row],[Name Surname]],Manpower!$C$4:$C$1048576,Manpower!$B$4:$B$1048576,"")</f>
        <v>Encogroup</v>
      </c>
      <c r="E2623" s="21" t="s">
        <v>53</v>
      </c>
      <c r="F2623" s="12" t="e">
        <f>_xlfn.XLOOKUP(Table134526_79101120212223242526[[#This Row],[Name Surname]],Manpower!C:C,Manpower!D:D,)</f>
        <v>#N/A</v>
      </c>
      <c r="G2623" s="28" t="str">
        <f>_xlfn.XLOOKUP(Table134526_79101120212223242526[[#This Row],[Name Surname]],Manpower!$C$4:$C$1048576,Manpower!$F$4:$F$1048576,"")</f>
        <v>22M-Manlift</v>
      </c>
      <c r="H2623" s="28" t="str">
        <f>_xlfn.XLOOKUP(Table134526_79101120212223242526[[#This Row],[Name Surname]],Manpower!$C$4:$C$1048576,Manpower!$H$4:$H$1048576,"")</f>
        <v>Equipment</v>
      </c>
      <c r="I2623" s="28" t="str">
        <f>_xlfn.XLOOKUP(Table134526_79101120212223242526[[#This Row],[Name Surname]],Manpower!$C$4:$C$1048576,Manpower!$H$4:$H$1048576,"")</f>
        <v>Equipment</v>
      </c>
      <c r="J2623" s="21" t="s">
        <v>48</v>
      </c>
      <c r="K2623" s="21" t="s">
        <v>26</v>
      </c>
      <c r="L2623" s="21" t="s">
        <v>49</v>
      </c>
      <c r="M2623" s="21" t="s">
        <v>55</v>
      </c>
      <c r="N2623" s="29">
        <v>5</v>
      </c>
      <c r="O2623" s="21" t="s">
        <v>25</v>
      </c>
      <c r="P2623" s="21" t="s">
        <v>41</v>
      </c>
      <c r="Q2623" s="21" t="s">
        <v>60</v>
      </c>
      <c r="R2623" s="21" t="s">
        <v>397</v>
      </c>
    </row>
    <row r="2624" spans="1:20" ht="14.4" hidden="1">
      <c r="A2624" s="33">
        <f>IF(C2624="","",MAX($A$1:A2623)+1)</f>
        <v>2438</v>
      </c>
      <c r="B2624" s="25" t="s">
        <v>19</v>
      </c>
      <c r="C2624" s="23">
        <v>46104</v>
      </c>
      <c r="D2624" s="28" t="str">
        <f>_xlfn.XLOOKUP(Table134526_79101120212223242526[[#This Row],[Name Surname]],Manpower!$C$4:$C$1048576,Manpower!$B$4:$B$1048576,"")</f>
        <v>Encogroup</v>
      </c>
      <c r="E2624" s="21" t="s">
        <v>57</v>
      </c>
      <c r="F2624" s="12">
        <f>_xlfn.XLOOKUP(Table134526_79101120212223242526[[#This Row],[Name Surname]],Manpower!C:C,Manpower!D:D,)</f>
        <v>140693697</v>
      </c>
      <c r="G2624" s="28" t="str">
        <f>_xlfn.XLOOKUP(Table134526_79101120212223242526[[#This Row],[Name Surname]],Manpower!$C$4:$C$1048576,Manpower!$F$4:$F$1048576,"")</f>
        <v>HSE Officer</v>
      </c>
      <c r="H2624" s="28" t="str">
        <f>_xlfn.XLOOKUP(Table134526_79101120212223242526[[#This Row],[Name Surname]],Manpower!$C$4:$C$1048576,Manpower!$H$4:$H$1048576,"")</f>
        <v>Manpower</v>
      </c>
      <c r="I2624" s="28" t="str">
        <f>_xlfn.XLOOKUP(Table134526_79101120212223242526[[#This Row],[Name Surname]],Manpower!$C$4:$C$1048576,Manpower!$H$4:$H$1048576,"")</f>
        <v>Manpower</v>
      </c>
      <c r="J2624" s="21" t="s">
        <v>48</v>
      </c>
      <c r="K2624" s="21" t="s">
        <v>26</v>
      </c>
      <c r="L2624" s="21" t="s">
        <v>49</v>
      </c>
      <c r="M2624" s="21" t="s">
        <v>55</v>
      </c>
      <c r="N2624" s="29">
        <v>5</v>
      </c>
      <c r="O2624" s="21" t="s">
        <v>25</v>
      </c>
      <c r="P2624" s="21" t="s">
        <v>41</v>
      </c>
      <c r="Q2624" s="21" t="s">
        <v>60</v>
      </c>
      <c r="R2624" s="21" t="s">
        <v>397</v>
      </c>
    </row>
    <row r="2625" spans="1:19" ht="14.4" hidden="1">
      <c r="A2625" s="33">
        <f>IF(C2625="","",MAX($A$1:A2624)+1)</f>
        <v>2439</v>
      </c>
      <c r="B2625" s="25" t="s">
        <v>19</v>
      </c>
      <c r="C2625" s="23">
        <v>46104</v>
      </c>
      <c r="D2625" s="28" t="str">
        <f>_xlfn.XLOOKUP(Table134526_79101120212223242526[[#This Row],[Name Surname]],Manpower!$C$4:$C$1048576,Manpower!$B$4:$B$1048576,"")</f>
        <v>Encogroup</v>
      </c>
      <c r="E2625" s="21" t="s">
        <v>33</v>
      </c>
      <c r="F2625" s="12">
        <f>_xlfn.XLOOKUP(Table134526_79101120212223242526[[#This Row],[Name Surname]],Manpower!C:C,Manpower!D:D,)</f>
        <v>124565057</v>
      </c>
      <c r="G2625" s="28" t="str">
        <f>_xlfn.XLOOKUP(Table134526_79101120212223242526[[#This Row],[Name Surname]],Manpower!$C$4:$C$1048576,Manpower!$F$4:$F$1048576,"")</f>
        <v>Fitter/Erector</v>
      </c>
      <c r="H2625" s="28" t="str">
        <f>_xlfn.XLOOKUP(Table134526_79101120212223242526[[#This Row],[Name Surname]],Manpower!$C$4:$C$1048576,Manpower!$H$4:$H$1048576,"")</f>
        <v>Manpower</v>
      </c>
      <c r="I2625" s="28" t="str">
        <f>_xlfn.XLOOKUP(Table134526_79101120212223242526[[#This Row],[Name Surname]],Manpower!$C$4:$C$1048576,Manpower!$H$4:$H$1048576,"")</f>
        <v>Manpower</v>
      </c>
      <c r="J2625" s="21" t="s">
        <v>48</v>
      </c>
      <c r="K2625" s="21" t="s">
        <v>26</v>
      </c>
      <c r="L2625" s="21" t="s">
        <v>49</v>
      </c>
      <c r="M2625" s="21" t="s">
        <v>55</v>
      </c>
      <c r="N2625" s="29">
        <v>5</v>
      </c>
      <c r="O2625" s="21" t="s">
        <v>25</v>
      </c>
      <c r="P2625" s="21" t="s">
        <v>41</v>
      </c>
      <c r="Q2625" s="21" t="s">
        <v>60</v>
      </c>
      <c r="R2625" s="21" t="s">
        <v>397</v>
      </c>
    </row>
    <row r="2626" spans="1:19" ht="14.4" hidden="1">
      <c r="A2626" s="33">
        <f>IF(C2626="","",MAX($A$1:A2625)+1)</f>
        <v>2440</v>
      </c>
      <c r="B2626" s="25" t="s">
        <v>19</v>
      </c>
      <c r="C2626" s="23">
        <v>46104</v>
      </c>
      <c r="D2626" s="28" t="str">
        <f>_xlfn.XLOOKUP(Table134526_79101120212223242526[[#This Row],[Name Surname]],Manpower!$C$4:$C$1048576,Manpower!$B$4:$B$1048576,"")</f>
        <v>Encogroup</v>
      </c>
      <c r="E2626" s="21" t="s">
        <v>62</v>
      </c>
      <c r="F2626" s="12">
        <f>_xlfn.XLOOKUP(Table134526_79101120212223242526[[#This Row],[Name Surname]],Manpower!C:C,Manpower!D:D,)</f>
        <v>140844797</v>
      </c>
      <c r="G2626" s="28" t="str">
        <f>_xlfn.XLOOKUP(Table134526_79101120212223242526[[#This Row],[Name Surname]],Manpower!$C$4:$C$1048576,Manpower!$F$4:$F$1048576,"")</f>
        <v>Fitter/Erector</v>
      </c>
      <c r="H2626" s="28" t="str">
        <f>_xlfn.XLOOKUP(Table134526_79101120212223242526[[#This Row],[Name Surname]],Manpower!$C$4:$C$1048576,Manpower!$H$4:$H$1048576,"")</f>
        <v>Manpower</v>
      </c>
      <c r="I2626" s="28" t="str">
        <f>_xlfn.XLOOKUP(Table134526_79101120212223242526[[#This Row],[Name Surname]],Manpower!$C$4:$C$1048576,Manpower!$H$4:$H$1048576,"")</f>
        <v>Manpower</v>
      </c>
      <c r="J2626" s="21" t="s">
        <v>48</v>
      </c>
      <c r="K2626" s="21" t="s">
        <v>26</v>
      </c>
      <c r="L2626" s="21" t="s">
        <v>49</v>
      </c>
      <c r="M2626" s="21" t="s">
        <v>55</v>
      </c>
      <c r="N2626" s="29">
        <v>5</v>
      </c>
      <c r="O2626" s="21" t="s">
        <v>25</v>
      </c>
      <c r="P2626" s="21" t="s">
        <v>41</v>
      </c>
      <c r="Q2626" s="21" t="s">
        <v>60</v>
      </c>
      <c r="R2626" s="21" t="s">
        <v>397</v>
      </c>
    </row>
    <row r="2627" spans="1:19" ht="14.4">
      <c r="A2627" s="33">
        <f>IF(C2627="","",MAX($A$1:A2626)+1)</f>
        <v>2441</v>
      </c>
      <c r="B2627" s="25" t="s">
        <v>19</v>
      </c>
      <c r="C2627" s="23">
        <v>46104</v>
      </c>
      <c r="D2627" s="24" t="str">
        <f>_xlfn.XLOOKUP(Table134526_79101120212223242526[[#This Row],[Name Surname]],Manpower!$C$4:$C$1048576,Manpower!$B$4:$B$1048576,"")</f>
        <v>Encogroup</v>
      </c>
      <c r="E2627" s="23" t="s">
        <v>63</v>
      </c>
      <c r="F2627" s="12" t="e">
        <f>_xlfn.XLOOKUP(Table134526_79101120212223242526[[#This Row],[Name Surname]],Manpower!C:C,Manpower!D:D,)</f>
        <v>#N/A</v>
      </c>
      <c r="G2627" s="24" t="str">
        <f>_xlfn.XLOOKUP(Table134526_79101120212223242526[[#This Row],[Name Surname]],Manpower!$C$4:$C$1048576,Manpower!$F$4:$F$1048576,"")</f>
        <v>22KVA-Generator</v>
      </c>
      <c r="H2627" s="24" t="str">
        <f>_xlfn.XLOOKUP(Table134526_79101120212223242526[[#This Row],[Name Surname]],Manpower!$C$4:$C$1048576,Manpower!$H$4:$H$1048576,"")</f>
        <v>Equipment</v>
      </c>
      <c r="I2627" s="24" t="str">
        <f>_xlfn.XLOOKUP(Table134526_79101120212223242526[[#This Row],[Name Surname]],Manpower!$C$4:$C$1048576,Manpower!$H$4:$H$1048576,"")</f>
        <v>Equipment</v>
      </c>
      <c r="J2627" s="21" t="s">
        <v>48</v>
      </c>
      <c r="K2627" s="21" t="s">
        <v>26</v>
      </c>
      <c r="L2627" s="21" t="s">
        <v>49</v>
      </c>
      <c r="M2627" s="21" t="s">
        <v>55</v>
      </c>
      <c r="N2627" s="29">
        <v>5</v>
      </c>
      <c r="O2627" s="21" t="s">
        <v>25</v>
      </c>
      <c r="P2627" s="21" t="s">
        <v>41</v>
      </c>
      <c r="Q2627" s="21" t="s">
        <v>41</v>
      </c>
      <c r="R2627" s="21" t="s">
        <v>397</v>
      </c>
    </row>
    <row r="2628" spans="1:19" ht="14.4" hidden="1">
      <c r="A2628" s="33">
        <f>IF(C2628="","",MAX($A$1:A2626)+1)</f>
        <v>2441</v>
      </c>
      <c r="B2628" s="25" t="s">
        <v>19</v>
      </c>
      <c r="C2628" s="23">
        <v>46104</v>
      </c>
      <c r="D2628" s="28" t="str">
        <f>_xlfn.XLOOKUP(Table134526_79101120212223242526[[#This Row],[Name Surname]],Manpower!$C$4:$C$1048576,Manpower!$B$4:$B$1048576,"")</f>
        <v>Bright Light</v>
      </c>
      <c r="E2628" s="21" t="s">
        <v>64</v>
      </c>
      <c r="F2628" s="12">
        <f>_xlfn.XLOOKUP(Table134526_79101120212223242526[[#This Row],[Name Surname]],Manpower!C:C,Manpower!D:D,)</f>
        <v>114531608</v>
      </c>
      <c r="G2628" s="28" t="str">
        <f>_xlfn.XLOOKUP(Table134526_79101120212223242526[[#This Row],[Name Surname]],Manpower!$C$4:$C$1048576,Manpower!$F$4:$F$1048576,"")</f>
        <v>Crane Operator-150T Sany Crawler</v>
      </c>
      <c r="H2628" s="28" t="str">
        <f>_xlfn.XLOOKUP(Table134526_79101120212223242526[[#This Row],[Name Surname]],Manpower!$C$4:$C$1048576,Manpower!$H$4:$H$1048576,"")</f>
        <v>Manpower</v>
      </c>
      <c r="I2628" s="28" t="str">
        <f>_xlfn.XLOOKUP(Table134526_79101120212223242526[[#This Row],[Name Surname]],Manpower!$C$4:$C$1048576,Manpower!$H$4:$H$1048576,"")</f>
        <v>Manpower</v>
      </c>
      <c r="J2628" s="21" t="s">
        <v>48</v>
      </c>
      <c r="K2628" s="21" t="s">
        <v>26</v>
      </c>
      <c r="L2628" s="21" t="s">
        <v>49</v>
      </c>
      <c r="M2628" s="21" t="s">
        <v>55</v>
      </c>
      <c r="N2628" s="29">
        <v>5</v>
      </c>
      <c r="O2628" s="21" t="s">
        <v>40</v>
      </c>
      <c r="P2628" s="21" t="s">
        <v>41</v>
      </c>
      <c r="Q2628" s="21" t="s">
        <v>42</v>
      </c>
      <c r="R2628" s="21" t="s">
        <v>397</v>
      </c>
    </row>
    <row r="2629" spans="1:19" ht="14.4" hidden="1">
      <c r="A2629" s="33">
        <f>IF(C2629="","",MAX($A$1:A2628)+1)</f>
        <v>2442</v>
      </c>
      <c r="B2629" s="25" t="s">
        <v>19</v>
      </c>
      <c r="C2629" s="23">
        <v>46104</v>
      </c>
      <c r="D2629" s="28" t="str">
        <f>_xlfn.XLOOKUP(Table134526_79101120212223242526[[#This Row],[Name Surname]],Manpower!$C$4:$C$1048576,Manpower!$B$4:$B$1048576,"")</f>
        <v>Encogroup</v>
      </c>
      <c r="E2629" s="21" t="s">
        <v>67</v>
      </c>
      <c r="F2629" s="12">
        <f>_xlfn.XLOOKUP(Table134526_79101120212223242526[[#This Row],[Name Surname]],Manpower!C:C,Manpower!D:D,)</f>
        <v>122082769</v>
      </c>
      <c r="G2629" s="28" t="str">
        <f>_xlfn.XLOOKUP(Table134526_79101120212223242526[[#This Row],[Name Surname]],Manpower!$C$4:$C$1048576,Manpower!$F$4:$F$1048576,"")</f>
        <v>Grinder</v>
      </c>
      <c r="H2629" s="28" t="str">
        <f>_xlfn.XLOOKUP(Table134526_79101120212223242526[[#This Row],[Name Surname]],Manpower!$C$4:$C$1048576,Manpower!$H$4:$H$1048576,"")</f>
        <v>Manpower</v>
      </c>
      <c r="I2629" s="28" t="str">
        <f>_xlfn.XLOOKUP(Table134526_79101120212223242526[[#This Row],[Name Surname]],Manpower!$C$4:$C$1048576,Manpower!$H$4:$H$1048576,"")</f>
        <v>Manpower</v>
      </c>
      <c r="J2629" s="21" t="s">
        <v>48</v>
      </c>
      <c r="K2629" s="21" t="s">
        <v>26</v>
      </c>
      <c r="L2629" s="21" t="s">
        <v>49</v>
      </c>
      <c r="M2629" s="21" t="s">
        <v>55</v>
      </c>
      <c r="N2629" s="29">
        <v>5</v>
      </c>
      <c r="O2629" s="21" t="s">
        <v>25</v>
      </c>
      <c r="P2629" s="21" t="s">
        <v>41</v>
      </c>
      <c r="Q2629" s="21" t="s">
        <v>60</v>
      </c>
      <c r="R2629" s="21" t="s">
        <v>397</v>
      </c>
    </row>
    <row r="2630" spans="1:19" ht="14.4" hidden="1">
      <c r="A2630" s="33">
        <f>IF(C2630="","",MAX($A$1:A2629)+1)</f>
        <v>2443</v>
      </c>
      <c r="B2630" s="25" t="s">
        <v>19</v>
      </c>
      <c r="C2630" s="23">
        <v>46104</v>
      </c>
      <c r="D2630" s="28" t="str">
        <f>_xlfn.XLOOKUP(Table134526_79101120212223242526[[#This Row],[Name Surname]],Manpower!$C$4:$C$1048576,Manpower!$B$4:$B$1048576,"")</f>
        <v>AL Omar International TRAD AND CONT</v>
      </c>
      <c r="E2630" s="21" t="s">
        <v>66</v>
      </c>
      <c r="F2630" s="12">
        <f>_xlfn.XLOOKUP(Table134526_79101120212223242526[[#This Row],[Name Surname]],Manpower!C:C,Manpower!D:D,)</f>
        <v>115018512</v>
      </c>
      <c r="G2630" s="28" t="str">
        <f>_xlfn.XLOOKUP(Table134526_79101120212223242526[[#This Row],[Name Surname]],Manpower!$C$4:$C$1048576,Manpower!$F$4:$F$1048576,"")</f>
        <v>RIgger</v>
      </c>
      <c r="H2630" s="28" t="str">
        <f>_xlfn.XLOOKUP(Table134526_79101120212223242526[[#This Row],[Name Surname]],Manpower!$C$4:$C$1048576,Manpower!$H$4:$H$1048576,"")</f>
        <v>Sub Contactor</v>
      </c>
      <c r="I2630" s="28" t="str">
        <f>_xlfn.XLOOKUP(Table134526_79101120212223242526[[#This Row],[Name Surname]],Manpower!$C$4:$C$1048576,Manpower!$H$4:$H$1048576,"")</f>
        <v>Sub Contactor</v>
      </c>
      <c r="J2630" s="21" t="s">
        <v>48</v>
      </c>
      <c r="K2630" s="21" t="s">
        <v>26</v>
      </c>
      <c r="L2630" s="21" t="s">
        <v>49</v>
      </c>
      <c r="M2630" s="21" t="s">
        <v>55</v>
      </c>
      <c r="N2630" s="29">
        <v>5</v>
      </c>
      <c r="O2630" s="21" t="s">
        <v>25</v>
      </c>
      <c r="P2630" s="21" t="s">
        <v>41</v>
      </c>
      <c r="Q2630" s="21" t="s">
        <v>60</v>
      </c>
      <c r="R2630" s="21" t="s">
        <v>397</v>
      </c>
    </row>
    <row r="2631" spans="1:19" ht="14.4" hidden="1">
      <c r="A2631" s="33">
        <f>IF(C2631="","",MAX($A$1:A2630)+1)</f>
        <v>2444</v>
      </c>
      <c r="B2631" s="25" t="s">
        <v>19</v>
      </c>
      <c r="C2631" s="23">
        <v>46104</v>
      </c>
      <c r="D2631" s="28" t="str">
        <f>_xlfn.XLOOKUP(Table134526_79101120212223242526[[#This Row],[Name Surname]],Manpower!$C$4:$C$1048576,Manpower!$B$4:$B$1048576,"")</f>
        <v>AL Omar International TRAD AND CONT</v>
      </c>
      <c r="E2631" s="21" t="s">
        <v>197</v>
      </c>
      <c r="F2631" s="12">
        <f>_xlfn.XLOOKUP(Table134526_79101120212223242526[[#This Row],[Name Surname]],Manpower!C:C,Manpower!D:D,)</f>
        <v>106093463</v>
      </c>
      <c r="G2631" s="28" t="str">
        <f>_xlfn.XLOOKUP(Table134526_79101120212223242526[[#This Row],[Name Surname]],Manpower!$C$4:$C$1048576,Manpower!$F$4:$F$1048576,"")</f>
        <v>RIgger</v>
      </c>
      <c r="H2631" s="28" t="str">
        <f>_xlfn.XLOOKUP(Table134526_79101120212223242526[[#This Row],[Name Surname]],Manpower!$C$4:$C$1048576,Manpower!$H$4:$H$1048576,"")</f>
        <v>Sub Contactor</v>
      </c>
      <c r="I2631" s="28" t="str">
        <f>_xlfn.XLOOKUP(Table134526_79101120212223242526[[#This Row],[Name Surname]],Manpower!$C$4:$C$1048576,Manpower!$H$4:$H$1048576,"")</f>
        <v>Sub Contactor</v>
      </c>
      <c r="J2631" s="21" t="s">
        <v>48</v>
      </c>
      <c r="K2631" s="21" t="s">
        <v>26</v>
      </c>
      <c r="L2631" s="21" t="s">
        <v>49</v>
      </c>
      <c r="M2631" s="21" t="s">
        <v>55</v>
      </c>
      <c r="N2631" s="29">
        <v>2</v>
      </c>
      <c r="O2631" s="21" t="s">
        <v>25</v>
      </c>
      <c r="P2631" s="21" t="s">
        <v>41</v>
      </c>
      <c r="Q2631" s="21" t="s">
        <v>60</v>
      </c>
      <c r="R2631" s="21" t="s">
        <v>397</v>
      </c>
    </row>
    <row r="2632" spans="1:19" s="45" customFormat="1" ht="14.4" hidden="1">
      <c r="A2632" s="25">
        <f>IF(C2632="","",MAX($A$1:A2631)+1)</f>
        <v>2445</v>
      </c>
      <c r="B2632" s="25" t="s">
        <v>19</v>
      </c>
      <c r="C2632" s="41">
        <v>46104</v>
      </c>
      <c r="D2632" s="48" t="str">
        <f>_xlfn.XLOOKUP(Table134526_79101120212223242526[[#This Row],[Name Surname]],Manpower!$C$4:$C$1048576,Manpower!$B$4:$B$1048576,"")</f>
        <v>Encogroup</v>
      </c>
      <c r="E2632" s="43" t="s">
        <v>37</v>
      </c>
      <c r="F2632" s="12">
        <f>_xlfn.XLOOKUP(Table134526_79101120212223242526[[#This Row],[Name Surname]],Manpower!C:C,Manpower!D:D,)</f>
        <v>140742088</v>
      </c>
      <c r="G2632" s="48" t="str">
        <f>_xlfn.XLOOKUP(Table134526_79101120212223242526[[#This Row],[Name Surname]],Manpower!$C$4:$C$1048576,Manpower!$F$4:$F$1048576,"")</f>
        <v>Fitter/Erector</v>
      </c>
      <c r="H2632" s="48" t="str">
        <f>_xlfn.XLOOKUP(Table134526_79101120212223242526[[#This Row],[Name Surname]],Manpower!$C$4:$C$1048576,Manpower!$H$4:$H$1048576,"")</f>
        <v>Manpower</v>
      </c>
      <c r="I2632" s="48" t="str">
        <f>_xlfn.XLOOKUP(Table134526_79101120212223242526[[#This Row],[Name Surname]],Manpower!$C$4:$C$1048576,Manpower!$H$4:$H$1048576,"")</f>
        <v>Manpower</v>
      </c>
      <c r="J2632" s="43" t="s">
        <v>48</v>
      </c>
      <c r="K2632" s="43" t="s">
        <v>26</v>
      </c>
      <c r="L2632" s="43" t="s">
        <v>49</v>
      </c>
      <c r="M2632" s="43" t="s">
        <v>55</v>
      </c>
      <c r="N2632" s="44">
        <v>5</v>
      </c>
      <c r="O2632" s="43" t="s">
        <v>25</v>
      </c>
      <c r="P2632" s="43" t="s">
        <v>41</v>
      </c>
      <c r="Q2632" s="43" t="s">
        <v>60</v>
      </c>
      <c r="R2632" s="43" t="s">
        <v>397</v>
      </c>
      <c r="S2632" s="43"/>
    </row>
    <row r="2633" spans="1:19" s="45" customFormat="1" ht="14.4" hidden="1">
      <c r="A2633" s="25">
        <f>IF(C2633="","",MAX($A$1:A2631)+1)</f>
        <v>2445</v>
      </c>
      <c r="B2633" s="25" t="s">
        <v>19</v>
      </c>
      <c r="C2633" s="41">
        <v>46104</v>
      </c>
      <c r="D2633" s="48" t="str">
        <f>_xlfn.XLOOKUP(Table134526_79101120212223242526[[#This Row],[Name Surname]],Manpower!$C$4:$C$1048576,Manpower!$B$4:$B$1048576,"")</f>
        <v>Encogroup</v>
      </c>
      <c r="E2633" s="43" t="s">
        <v>398</v>
      </c>
      <c r="F2633" s="12">
        <f>_xlfn.XLOOKUP(Table134526_79101120212223242526[[#This Row],[Name Surname]],Manpower!C:C,Manpower!D:D,)</f>
        <v>81612139</v>
      </c>
      <c r="G2633" s="48" t="str">
        <f>_xlfn.XLOOKUP(Table134526_79101120212223242526[[#This Row],[Name Surname]],Manpower!$C$4:$C$1048576,Manpower!$F$4:$F$1048576,"")</f>
        <v>Mechanic</v>
      </c>
      <c r="H2633" s="48" t="str">
        <f>_xlfn.XLOOKUP(Table134526_79101120212223242526[[#This Row],[Name Surname]],Manpower!$C$4:$C$1048576,Manpower!$H$4:$H$1048576,"")</f>
        <v>Manpower</v>
      </c>
      <c r="I2633" s="48" t="str">
        <f>_xlfn.XLOOKUP(Table134526_79101120212223242526[[#This Row],[Name Surname]],Manpower!$C$4:$C$1048576,Manpower!$H$4:$H$1048576,"")</f>
        <v>Manpower</v>
      </c>
      <c r="J2633" s="43" t="s">
        <v>48</v>
      </c>
      <c r="K2633" s="43" t="s">
        <v>26</v>
      </c>
      <c r="L2633" s="43" t="s">
        <v>49</v>
      </c>
      <c r="M2633" s="43" t="s">
        <v>55</v>
      </c>
      <c r="N2633" s="44">
        <v>5</v>
      </c>
      <c r="O2633" s="43" t="s">
        <v>236</v>
      </c>
      <c r="P2633" s="43" t="s">
        <v>236</v>
      </c>
      <c r="Q2633" s="43" t="s">
        <v>236</v>
      </c>
      <c r="R2633" s="43" t="s">
        <v>397</v>
      </c>
      <c r="S2633" s="43"/>
    </row>
    <row r="2634" spans="1:19" s="45" customFormat="1" ht="14.4" hidden="1">
      <c r="A2634" s="25">
        <f>IF(C2634="","",MAX($A$1:A2633)+1)</f>
        <v>2446</v>
      </c>
      <c r="B2634" s="25" t="s">
        <v>19</v>
      </c>
      <c r="C2634" s="41">
        <v>46104</v>
      </c>
      <c r="D2634" s="48" t="str">
        <f>_xlfn.XLOOKUP(Table134526_79101120212223242526[[#This Row],[Name Surname]],Manpower!$C$4:$C$1048576,Manpower!$B$4:$B$1048576,"")</f>
        <v>Encogroup</v>
      </c>
      <c r="E2634" s="43" t="s">
        <v>323</v>
      </c>
      <c r="F2634" s="12">
        <f>_xlfn.XLOOKUP(Table134526_79101120212223242526[[#This Row],[Name Surname]],Manpower!C:C,Manpower!D:D,)</f>
        <v>141322471</v>
      </c>
      <c r="G2634" s="48" t="str">
        <f>_xlfn.XLOOKUP(Table134526_79101120212223242526[[#This Row],[Name Surname]],Manpower!$C$4:$C$1048576,Manpower!$F$4:$F$1048576,"")</f>
        <v>Welding Inspector</v>
      </c>
      <c r="H2634" s="48" t="str">
        <f>_xlfn.XLOOKUP(Table134526_79101120212223242526[[#This Row],[Name Surname]],Manpower!$C$4:$C$1048576,Manpower!$H$4:$H$1048576,"")</f>
        <v>Manpower</v>
      </c>
      <c r="I2634" s="48" t="str">
        <f>_xlfn.XLOOKUP(Table134526_79101120212223242526[[#This Row],[Name Surname]],Manpower!$C$4:$C$1048576,Manpower!$H$4:$H$1048576,"")</f>
        <v>Manpower</v>
      </c>
      <c r="J2634" s="43" t="s">
        <v>48</v>
      </c>
      <c r="K2634" s="43" t="s">
        <v>26</v>
      </c>
      <c r="L2634" s="43" t="s">
        <v>49</v>
      </c>
      <c r="M2634" s="43" t="s">
        <v>55</v>
      </c>
      <c r="N2634" s="44">
        <v>5</v>
      </c>
      <c r="O2634" s="43" t="s">
        <v>236</v>
      </c>
      <c r="P2634" s="43" t="s">
        <v>236</v>
      </c>
      <c r="Q2634" s="43" t="s">
        <v>236</v>
      </c>
      <c r="R2634" s="43" t="s">
        <v>397</v>
      </c>
      <c r="S2634" s="43"/>
    </row>
    <row r="2635" spans="1:19" s="45" customFormat="1" ht="14.4" hidden="1">
      <c r="A2635" s="25">
        <f>IF(C2635="","",MAX($A$1:A2631)+1)</f>
        <v>2445</v>
      </c>
      <c r="B2635" s="25" t="s">
        <v>19</v>
      </c>
      <c r="C2635" s="41">
        <v>46104</v>
      </c>
      <c r="D2635" s="48" t="str">
        <f>_xlfn.XLOOKUP(Table134526_79101120212223242526[[#This Row],[Name Surname]],Manpower!$C$4:$C$1048576,Manpower!$B$4:$B$1048576,"")</f>
        <v>Encogroup</v>
      </c>
      <c r="E2635" s="43" t="s">
        <v>237</v>
      </c>
      <c r="F2635" s="12">
        <f>_xlfn.XLOOKUP(Table134526_79101120212223242526[[#This Row],[Name Surname]],Manpower!C:C,Manpower!D:D,)</f>
        <v>75199413</v>
      </c>
      <c r="G2635" s="48" t="str">
        <f>_xlfn.XLOOKUP(Table134526_79101120212223242526[[#This Row],[Name Surname]],Manpower!$C$4:$C$1048576,Manpower!$F$4:$F$1048576,"")</f>
        <v>Mechanic</v>
      </c>
      <c r="H2635" s="48" t="str">
        <f>_xlfn.XLOOKUP(Table134526_79101120212223242526[[#This Row],[Name Surname]],Manpower!$C$4:$C$1048576,Manpower!$H$4:$H$1048576,"")</f>
        <v>Manpower</v>
      </c>
      <c r="I2635" s="48" t="str">
        <f>_xlfn.XLOOKUP(Table134526_79101120212223242526[[#This Row],[Name Surname]],Manpower!$C$4:$C$1048576,Manpower!$H$4:$H$1048576,"")</f>
        <v>Manpower</v>
      </c>
      <c r="J2635" s="43" t="s">
        <v>48</v>
      </c>
      <c r="K2635" s="43" t="s">
        <v>26</v>
      </c>
      <c r="L2635" s="43" t="s">
        <v>49</v>
      </c>
      <c r="M2635" s="43" t="s">
        <v>55</v>
      </c>
      <c r="N2635" s="44">
        <v>5</v>
      </c>
      <c r="O2635" s="43" t="s">
        <v>236</v>
      </c>
      <c r="P2635" s="43" t="s">
        <v>236</v>
      </c>
      <c r="Q2635" s="43" t="s">
        <v>236</v>
      </c>
      <c r="R2635" s="43" t="s">
        <v>397</v>
      </c>
      <c r="S2635" s="43"/>
    </row>
    <row r="2636" spans="1:19" s="45" customFormat="1" ht="14.4" hidden="1">
      <c r="A2636" s="25">
        <f>IF(C2636="","",MAX($A$1:A2631)+1)</f>
        <v>2445</v>
      </c>
      <c r="B2636" s="25" t="s">
        <v>19</v>
      </c>
      <c r="C2636" s="41">
        <v>46104</v>
      </c>
      <c r="D2636" s="48" t="str">
        <f>_xlfn.XLOOKUP(Table134526_79101120212223242526[[#This Row],[Name Surname]],Manpower!$C$4:$C$1048576,Manpower!$B$4:$B$1048576,"")</f>
        <v>Encogroup</v>
      </c>
      <c r="E2636" s="43" t="s">
        <v>76</v>
      </c>
      <c r="F2636" s="12">
        <f>_xlfn.XLOOKUP(Table134526_79101120212223242526[[#This Row],[Name Surname]],Manpower!C:C,Manpower!D:D,)</f>
        <v>127859069</v>
      </c>
      <c r="G2636" s="48" t="str">
        <f>_xlfn.XLOOKUP(Table134526_79101120212223242526[[#This Row],[Name Surname]],Manpower!$C$4:$C$1048576,Manpower!$F$4:$F$1048576,"")</f>
        <v>QC Mechanical Engineer</v>
      </c>
      <c r="H2636" s="48" t="str">
        <f>_xlfn.XLOOKUP(Table134526_79101120212223242526[[#This Row],[Name Surname]],Manpower!$C$4:$C$1048576,Manpower!$H$4:$H$1048576,"")</f>
        <v>Manpower</v>
      </c>
      <c r="I2636" s="48" t="str">
        <f>_xlfn.XLOOKUP(Table134526_79101120212223242526[[#This Row],[Name Surname]],Manpower!$C$4:$C$1048576,Manpower!$H$4:$H$1048576,"")</f>
        <v>Manpower</v>
      </c>
      <c r="J2636" s="43" t="s">
        <v>48</v>
      </c>
      <c r="K2636" s="43" t="s">
        <v>26</v>
      </c>
      <c r="L2636" s="43" t="s">
        <v>49</v>
      </c>
      <c r="M2636" s="43" t="s">
        <v>55</v>
      </c>
      <c r="N2636" s="44">
        <v>5</v>
      </c>
      <c r="O2636" s="43" t="s">
        <v>25</v>
      </c>
      <c r="P2636" s="43" t="s">
        <v>41</v>
      </c>
      <c r="Q2636" s="43" t="s">
        <v>77</v>
      </c>
      <c r="R2636" s="43" t="s">
        <v>397</v>
      </c>
      <c r="S2636" s="43"/>
    </row>
    <row r="2637" spans="1:19" s="45" customFormat="1" ht="14.4" hidden="1">
      <c r="A2637" s="25">
        <f>IF(C2637="","",MAX($A$1:A2631)+1)</f>
        <v>2445</v>
      </c>
      <c r="B2637" s="25" t="s">
        <v>19</v>
      </c>
      <c r="C2637" s="41">
        <v>46104</v>
      </c>
      <c r="D2637" s="48" t="str">
        <f>_xlfn.XLOOKUP(Table134526_79101120212223242526[[#This Row],[Name Surname]],Manpower!$C$4:$C$1048576,Manpower!$B$4:$B$1048576,"")</f>
        <v>AL Omar International TRAD AND CONT</v>
      </c>
      <c r="E2637" s="43" t="s">
        <v>36</v>
      </c>
      <c r="F2637" s="12">
        <f>_xlfn.XLOOKUP(Table134526_79101120212223242526[[#This Row],[Name Surname]],Manpower!C:C,Manpower!D:D,)</f>
        <v>114929202</v>
      </c>
      <c r="G2637" s="48" t="str">
        <f>_xlfn.XLOOKUP(Table134526_79101120212223242526[[#This Row],[Name Surname]],Manpower!$C$4:$C$1048576,Manpower!$F$4:$F$1048576,"")</f>
        <v>RIgger</v>
      </c>
      <c r="H2637" s="48" t="str">
        <f>_xlfn.XLOOKUP(Table134526_79101120212223242526[[#This Row],[Name Surname]],Manpower!$C$4:$C$1048576,Manpower!$H$4:$H$1048576,"")</f>
        <v>Sub Contactor</v>
      </c>
      <c r="I2637" s="48" t="str">
        <f>_xlfn.XLOOKUP(Table134526_79101120212223242526[[#This Row],[Name Surname]],Manpower!$C$4:$C$1048576,Manpower!$H$4:$H$1048576,"")</f>
        <v>Sub Contactor</v>
      </c>
      <c r="J2637" s="43" t="s">
        <v>48</v>
      </c>
      <c r="K2637" s="43" t="s">
        <v>26</v>
      </c>
      <c r="L2637" s="43" t="s">
        <v>49</v>
      </c>
      <c r="M2637" s="43" t="s">
        <v>55</v>
      </c>
      <c r="N2637" s="44">
        <v>5</v>
      </c>
      <c r="O2637" s="43" t="s">
        <v>25</v>
      </c>
      <c r="P2637" s="43" t="s">
        <v>41</v>
      </c>
      <c r="Q2637" s="43" t="s">
        <v>60</v>
      </c>
      <c r="R2637" s="43" t="s">
        <v>397</v>
      </c>
      <c r="S2637" s="43"/>
    </row>
    <row r="2638" spans="1:19" s="45" customFormat="1" ht="14.4" hidden="1">
      <c r="A2638" s="25">
        <f>IF(C2638="","",MAX($A$1:A2637)+1)</f>
        <v>2447</v>
      </c>
      <c r="B2638" s="25" t="s">
        <v>19</v>
      </c>
      <c r="C2638" s="41">
        <v>46104</v>
      </c>
      <c r="D2638" s="48" t="str">
        <f>_xlfn.XLOOKUP(Table134526_79101120212223242526[[#This Row],[Name Surname]],Manpower!$C$4:$C$1048576,Manpower!$B$4:$B$1048576,"")</f>
        <v>Encogroup</v>
      </c>
      <c r="E2638" s="43" t="s">
        <v>72</v>
      </c>
      <c r="F2638" s="12">
        <f>_xlfn.XLOOKUP(Table134526_79101120212223242526[[#This Row],[Name Surname]],Manpower!C:C,Manpower!D:D,)</f>
        <v>140764706</v>
      </c>
      <c r="G2638" s="48" t="str">
        <f>_xlfn.XLOOKUP(Table134526_79101120212223242526[[#This Row],[Name Surname]],Manpower!$C$4:$C$1048576,Manpower!$F$4:$F$1048576,"")</f>
        <v>Rigger</v>
      </c>
      <c r="H2638" s="48" t="str">
        <f>_xlfn.XLOOKUP(Table134526_79101120212223242526[[#This Row],[Name Surname]],Manpower!$C$4:$C$1048576,Manpower!$H$4:$H$1048576,"")</f>
        <v>Manpower</v>
      </c>
      <c r="I2638" s="48" t="str">
        <f>_xlfn.XLOOKUP(Table134526_79101120212223242526[[#This Row],[Name Surname]],Manpower!$C$4:$C$1048576,Manpower!$H$4:$H$1048576,"")</f>
        <v>Manpower</v>
      </c>
      <c r="J2638" s="43" t="s">
        <v>48</v>
      </c>
      <c r="K2638" s="43" t="s">
        <v>26</v>
      </c>
      <c r="L2638" s="43" t="s">
        <v>49</v>
      </c>
      <c r="M2638" s="43" t="s">
        <v>55</v>
      </c>
      <c r="N2638" s="44">
        <v>5</v>
      </c>
      <c r="O2638" s="43" t="s">
        <v>25</v>
      </c>
      <c r="P2638" s="43" t="s">
        <v>41</v>
      </c>
      <c r="Q2638" s="43" t="s">
        <v>60</v>
      </c>
      <c r="R2638" s="43" t="s">
        <v>397</v>
      </c>
      <c r="S2638" s="43"/>
    </row>
    <row r="2639" spans="1:19" s="45" customFormat="1" ht="14.4" hidden="1">
      <c r="A2639" s="25">
        <f>IF(C2639="","",MAX($A$1:A2638)+1)</f>
        <v>2448</v>
      </c>
      <c r="B2639" s="25" t="s">
        <v>19</v>
      </c>
      <c r="C2639" s="41">
        <v>46104</v>
      </c>
      <c r="D2639" s="48" t="str">
        <f>_xlfn.XLOOKUP(Table134526_79101120212223242526[[#This Row],[Name Surname]],Manpower!$C$4:$C$1048576,Manpower!$B$4:$B$1048576,"")</f>
        <v>Encogroup</v>
      </c>
      <c r="E2639" s="43" t="s">
        <v>46</v>
      </c>
      <c r="F2639" s="12">
        <f>_xlfn.XLOOKUP(Table134526_79101120212223242526[[#This Row],[Name Surname]],Manpower!C:C,Manpower!D:D,)</f>
        <v>140844618</v>
      </c>
      <c r="G2639" s="48" t="str">
        <f>_xlfn.XLOOKUP(Table134526_79101120212223242526[[#This Row],[Name Surname]],Manpower!$C$4:$C$1048576,Manpower!$F$4:$F$1048576,"")</f>
        <v>Assistant/Helper</v>
      </c>
      <c r="H2639" s="48" t="str">
        <f>_xlfn.XLOOKUP(Table134526_79101120212223242526[[#This Row],[Name Surname]],Manpower!$C$4:$C$1048576,Manpower!$H$4:$H$1048576,"")</f>
        <v>Manpower</v>
      </c>
      <c r="I2639" s="48" t="str">
        <f>_xlfn.XLOOKUP(Table134526_79101120212223242526[[#This Row],[Name Surname]],Manpower!$C$4:$C$1048576,Manpower!$H$4:$H$1048576,"")</f>
        <v>Manpower</v>
      </c>
      <c r="J2639" s="43" t="s">
        <v>48</v>
      </c>
      <c r="K2639" s="43" t="s">
        <v>26</v>
      </c>
      <c r="L2639" s="43" t="s">
        <v>49</v>
      </c>
      <c r="M2639" s="43" t="s">
        <v>55</v>
      </c>
      <c r="N2639" s="44">
        <v>5</v>
      </c>
      <c r="O2639" s="43" t="s">
        <v>25</v>
      </c>
      <c r="P2639" s="43" t="s">
        <v>41</v>
      </c>
      <c r="Q2639" s="43" t="s">
        <v>60</v>
      </c>
      <c r="R2639" s="43" t="s">
        <v>397</v>
      </c>
      <c r="S2639" s="43"/>
    </row>
    <row r="2640" spans="1:19" s="45" customFormat="1" ht="14.4" hidden="1">
      <c r="A2640" s="25">
        <f>IF(C2640="","",MAX($A$1:A2638)+1)</f>
        <v>2448</v>
      </c>
      <c r="B2640" s="25" t="s">
        <v>19</v>
      </c>
      <c r="C2640" s="41">
        <v>46104</v>
      </c>
      <c r="D2640" s="48" t="str">
        <f>_xlfn.XLOOKUP(Table134526_79101120212223242526[[#This Row],[Name Surname]],Manpower!$C$4:$C$1048576,Manpower!$B$4:$B$1048576,"")</f>
        <v>Encogroup</v>
      </c>
      <c r="E2640" s="43" t="s">
        <v>32</v>
      </c>
      <c r="F2640" s="12">
        <f>_xlfn.XLOOKUP(Table134526_79101120212223242526[[#This Row],[Name Surname]],Manpower!C:C,Manpower!D:D,)</f>
        <v>140697039</v>
      </c>
      <c r="G2640" s="48" t="str">
        <f>_xlfn.XLOOKUP(Table134526_79101120212223242526[[#This Row],[Name Surname]],Manpower!$C$4:$C$1048576,Manpower!$F$4:$F$1048576,"")</f>
        <v>Fitter/Erector</v>
      </c>
      <c r="H2640" s="48" t="str">
        <f>_xlfn.XLOOKUP(Table134526_79101120212223242526[[#This Row],[Name Surname]],Manpower!$C$4:$C$1048576,Manpower!$H$4:$H$1048576,"")</f>
        <v>Manpower</v>
      </c>
      <c r="I2640" s="48" t="str">
        <f>_xlfn.XLOOKUP(Table134526_79101120212223242526[[#This Row],[Name Surname]],Manpower!$C$4:$C$1048576,Manpower!$H$4:$H$1048576,"")</f>
        <v>Manpower</v>
      </c>
      <c r="J2640" s="43" t="s">
        <v>48</v>
      </c>
      <c r="K2640" s="43" t="s">
        <v>26</v>
      </c>
      <c r="L2640" s="43" t="s">
        <v>49</v>
      </c>
      <c r="M2640" s="43" t="s">
        <v>55</v>
      </c>
      <c r="N2640" s="44">
        <v>5</v>
      </c>
      <c r="O2640" s="43" t="s">
        <v>25</v>
      </c>
      <c r="P2640" s="43" t="s">
        <v>41</v>
      </c>
      <c r="Q2640" s="43" t="s">
        <v>60</v>
      </c>
      <c r="R2640" s="43" t="s">
        <v>397</v>
      </c>
      <c r="S2640" s="43"/>
    </row>
    <row r="2641" spans="1:18" ht="14.4" hidden="1">
      <c r="A2641" s="33">
        <f>IF(C2641="","",MAX($A$1:A2631)+1)</f>
        <v>2445</v>
      </c>
      <c r="B2641" s="25" t="s">
        <v>19</v>
      </c>
      <c r="C2641" s="23">
        <v>46104</v>
      </c>
      <c r="D2641" s="28" t="str">
        <f>_xlfn.XLOOKUP(Table134526_79101120212223242526[[#This Row],[Name Surname]],Manpower!$C$4:$C$1048576,Manpower!$B$4:$B$1048576,"")</f>
        <v>Encogroup</v>
      </c>
      <c r="E2641" s="21" t="s">
        <v>44</v>
      </c>
      <c r="F2641" s="12">
        <f>_xlfn.XLOOKUP(Table134526_79101120212223242526[[#This Row],[Name Surname]],Manpower!C:C,Manpower!D:D,)</f>
        <v>140806218</v>
      </c>
      <c r="G2641" s="28" t="str">
        <f>_xlfn.XLOOKUP(Table134526_79101120212223242526[[#This Row],[Name Surname]],Manpower!$C$4:$C$1048576,Manpower!$F$4:$F$1048576,"")</f>
        <v>Fitter/Erector</v>
      </c>
      <c r="H2641" s="28" t="str">
        <f>_xlfn.XLOOKUP(Table134526_79101120212223242526[[#This Row],[Name Surname]],Manpower!$C$4:$C$1048576,Manpower!$H$4:$H$1048576,"")</f>
        <v>Manpower</v>
      </c>
      <c r="I2641" s="28" t="str">
        <f>_xlfn.XLOOKUP(Table134526_79101120212223242526[[#This Row],[Name Surname]],Manpower!$C$4:$C$1048576,Manpower!$H$4:$H$1048576,"")</f>
        <v>Manpower</v>
      </c>
      <c r="J2641" s="21" t="s">
        <v>48</v>
      </c>
      <c r="K2641" s="21" t="s">
        <v>26</v>
      </c>
      <c r="L2641" s="21" t="s">
        <v>49</v>
      </c>
      <c r="M2641" s="21" t="s">
        <v>55</v>
      </c>
      <c r="N2641" s="29">
        <v>5</v>
      </c>
      <c r="O2641" s="21" t="s">
        <v>25</v>
      </c>
      <c r="P2641" s="21" t="s">
        <v>41</v>
      </c>
      <c r="Q2641" s="21" t="s">
        <v>60</v>
      </c>
      <c r="R2641" s="21" t="s">
        <v>397</v>
      </c>
    </row>
    <row r="2642" spans="1:18" ht="14.4" hidden="1">
      <c r="A2642" s="33">
        <f>IF(C2642="","",MAX($A$1:A2641)+1)</f>
        <v>2449</v>
      </c>
      <c r="B2642" s="25" t="s">
        <v>19</v>
      </c>
      <c r="C2642" s="23">
        <v>46104</v>
      </c>
      <c r="D2642" s="28" t="str">
        <f>_xlfn.XLOOKUP(Table134526_79101120212223242526[[#This Row],[Name Surname]],Manpower!$C$4:$C$1048576,Manpower!$B$4:$B$1048576,"")</f>
        <v>Encogroup</v>
      </c>
      <c r="E2642" s="21" t="s">
        <v>68</v>
      </c>
      <c r="F2642" s="12">
        <f>_xlfn.XLOOKUP(Table134526_79101120212223242526[[#This Row],[Name Surname]],Manpower!C:C,Manpower!D:D,)</f>
        <v>116915582</v>
      </c>
      <c r="G2642" s="28" t="str">
        <f>_xlfn.XLOOKUP(Table134526_79101120212223242526[[#This Row],[Name Surname]],Manpower!$C$4:$C$1048576,Manpower!$F$4:$F$1048576,"")</f>
        <v>Mechanical Superintendent</v>
      </c>
      <c r="H2642" s="28" t="str">
        <f>_xlfn.XLOOKUP(Table134526_79101120212223242526[[#This Row],[Name Surname]],Manpower!$C$4:$C$1048576,Manpower!$H$4:$H$1048576,"")</f>
        <v>Manpower</v>
      </c>
      <c r="I2642" s="28" t="str">
        <f>_xlfn.XLOOKUP(Table134526_79101120212223242526[[#This Row],[Name Surname]],Manpower!$C$4:$C$1048576,Manpower!$H$4:$H$1048576,"")</f>
        <v>Manpower</v>
      </c>
      <c r="J2642" s="21" t="s">
        <v>48</v>
      </c>
      <c r="K2642" s="21" t="s">
        <v>26</v>
      </c>
      <c r="L2642" s="21" t="s">
        <v>49</v>
      </c>
      <c r="M2642" s="21" t="s">
        <v>55</v>
      </c>
      <c r="N2642" s="29">
        <v>5</v>
      </c>
      <c r="O2642" s="21" t="s">
        <v>25</v>
      </c>
      <c r="P2642" s="21" t="s">
        <v>41</v>
      </c>
      <c r="Q2642" s="21" t="s">
        <v>60</v>
      </c>
      <c r="R2642" s="21" t="s">
        <v>397</v>
      </c>
    </row>
    <row r="2643" spans="1:18" ht="14.4" hidden="1">
      <c r="A2643" s="33">
        <f>IF(C2643="","",MAX($A$1:A2642)+1)</f>
        <v>2450</v>
      </c>
      <c r="B2643" s="25" t="s">
        <v>19</v>
      </c>
      <c r="C2643" s="23">
        <v>46104</v>
      </c>
      <c r="D2643" s="28" t="str">
        <f>_xlfn.XLOOKUP(Table134526_79101120212223242526[[#This Row],[Name Surname]],Manpower!$C$4:$C$1048576,Manpower!$B$4:$B$1048576,"")</f>
        <v>Encogroup</v>
      </c>
      <c r="E2643" s="21" t="s">
        <v>69</v>
      </c>
      <c r="F2643" s="12">
        <f>_xlfn.XLOOKUP(Table134526_79101120212223242526[[#This Row],[Name Surname]],Manpower!C:C,Manpower!D:D,)</f>
        <v>141169071</v>
      </c>
      <c r="G2643" s="28" t="str">
        <f>_xlfn.XLOOKUP(Table134526_79101120212223242526[[#This Row],[Name Surname]],Manpower!$C$4:$C$1048576,Manpower!$F$4:$F$1048576,"")</f>
        <v>Welding Supervisor</v>
      </c>
      <c r="H2643" s="28" t="str">
        <f>_xlfn.XLOOKUP(Table134526_79101120212223242526[[#This Row],[Name Surname]],Manpower!$C$4:$C$1048576,Manpower!$H$4:$H$1048576,"")</f>
        <v>Manpower</v>
      </c>
      <c r="I2643" s="28" t="str">
        <f>_xlfn.XLOOKUP(Table134526_79101120212223242526[[#This Row],[Name Surname]],Manpower!$C$4:$C$1048576,Manpower!$H$4:$H$1048576,"")</f>
        <v>Manpower</v>
      </c>
      <c r="J2643" s="21" t="s">
        <v>48</v>
      </c>
      <c r="K2643" s="21" t="s">
        <v>26</v>
      </c>
      <c r="L2643" s="21" t="s">
        <v>49</v>
      </c>
      <c r="M2643" s="21" t="s">
        <v>55</v>
      </c>
      <c r="N2643" s="29">
        <v>5</v>
      </c>
      <c r="O2643" s="21" t="s">
        <v>25</v>
      </c>
      <c r="P2643" s="21" t="s">
        <v>41</v>
      </c>
      <c r="Q2643" s="21" t="s">
        <v>60</v>
      </c>
      <c r="R2643" s="21" t="s">
        <v>397</v>
      </c>
    </row>
    <row r="2644" spans="1:18" ht="14.4" hidden="1">
      <c r="A2644" s="33">
        <f>IF(C2644="","",MAX($A$1:A2643)+1)</f>
        <v>2451</v>
      </c>
      <c r="B2644" s="25" t="s">
        <v>19</v>
      </c>
      <c r="C2644" s="23">
        <v>46104</v>
      </c>
      <c r="D2644" s="28" t="str">
        <f>_xlfn.XLOOKUP(Table134526_79101120212223242526[[#This Row],[Name Surname]],Manpower!$C$4:$C$1048576,Manpower!$B$4:$B$1048576,"")</f>
        <v>Encogroup</v>
      </c>
      <c r="E2644" s="21" t="s">
        <v>61</v>
      </c>
      <c r="F2644" s="12">
        <f>_xlfn.XLOOKUP(Table134526_79101120212223242526[[#This Row],[Name Surname]],Manpower!C:C,Manpower!D:D,)</f>
        <v>141169047</v>
      </c>
      <c r="G2644" s="28" t="str">
        <f>_xlfn.XLOOKUP(Table134526_79101120212223242526[[#This Row],[Name Surname]],Manpower!$C$4:$C$1048576,Manpower!$F$4:$F$1048576,"")</f>
        <v>Welder</v>
      </c>
      <c r="H2644" s="28" t="str">
        <f>_xlfn.XLOOKUP(Table134526_79101120212223242526[[#This Row],[Name Surname]],Manpower!$C$4:$C$1048576,Manpower!$H$4:$H$1048576,"")</f>
        <v>Manpower</v>
      </c>
      <c r="I2644" s="28" t="str">
        <f>_xlfn.XLOOKUP(Table134526_79101120212223242526[[#This Row],[Name Surname]],Manpower!$C$4:$C$1048576,Manpower!$H$4:$H$1048576,"")</f>
        <v>Manpower</v>
      </c>
      <c r="J2644" s="21" t="s">
        <v>48</v>
      </c>
      <c r="K2644" s="21" t="s">
        <v>26</v>
      </c>
      <c r="L2644" s="21" t="s">
        <v>49</v>
      </c>
      <c r="M2644" s="21" t="s">
        <v>55</v>
      </c>
      <c r="N2644" s="29">
        <v>5</v>
      </c>
      <c r="O2644" s="21" t="s">
        <v>25</v>
      </c>
      <c r="P2644" s="21" t="s">
        <v>41</v>
      </c>
      <c r="Q2644" s="21" t="s">
        <v>60</v>
      </c>
      <c r="R2644" s="21" t="s">
        <v>397</v>
      </c>
    </row>
    <row r="2645" spans="1:18" ht="14.4" hidden="1">
      <c r="A2645" s="33">
        <f>IF(C2645="","",MAX($A$1:A2644)+1)</f>
        <v>2452</v>
      </c>
      <c r="B2645" s="25" t="s">
        <v>19</v>
      </c>
      <c r="C2645" s="23">
        <v>46104</v>
      </c>
      <c r="D2645" s="28" t="str">
        <f>_xlfn.XLOOKUP(Table134526_79101120212223242526[[#This Row],[Name Surname]],Manpower!$C$4:$C$1048576,Manpower!$B$4:$B$1048576,"")</f>
        <v>Encogroup</v>
      </c>
      <c r="E2645" s="21" t="s">
        <v>59</v>
      </c>
      <c r="F2645" s="12">
        <f>_xlfn.XLOOKUP(Table134526_79101120212223242526[[#This Row],[Name Surname]],Manpower!C:C,Manpower!D:D,)</f>
        <v>141169085</v>
      </c>
      <c r="G2645" s="28" t="str">
        <f>_xlfn.XLOOKUP(Table134526_79101120212223242526[[#This Row],[Name Surname]],Manpower!$C$4:$C$1048576,Manpower!$F$4:$F$1048576,"")</f>
        <v>Welder</v>
      </c>
      <c r="H2645" s="28" t="str">
        <f>_xlfn.XLOOKUP(Table134526_79101120212223242526[[#This Row],[Name Surname]],Manpower!$C$4:$C$1048576,Manpower!$H$4:$H$1048576,"")</f>
        <v>Manpower</v>
      </c>
      <c r="I2645" s="28" t="str">
        <f>_xlfn.XLOOKUP(Table134526_79101120212223242526[[#This Row],[Name Surname]],Manpower!$C$4:$C$1048576,Manpower!$H$4:$H$1048576,"")</f>
        <v>Manpower</v>
      </c>
      <c r="J2645" s="21" t="s">
        <v>48</v>
      </c>
      <c r="K2645" s="21" t="s">
        <v>26</v>
      </c>
      <c r="L2645" s="21" t="s">
        <v>49</v>
      </c>
      <c r="M2645" s="21" t="s">
        <v>55</v>
      </c>
      <c r="N2645" s="29">
        <v>5</v>
      </c>
      <c r="O2645" s="21" t="s">
        <v>25</v>
      </c>
      <c r="P2645" s="21" t="s">
        <v>41</v>
      </c>
      <c r="Q2645" s="21" t="s">
        <v>60</v>
      </c>
      <c r="R2645" s="21" t="s">
        <v>397</v>
      </c>
    </row>
    <row r="2646" spans="1:18" ht="14.4" hidden="1">
      <c r="A2646" s="33">
        <f>IF(C2646="","",MAX($A$1:A2645)+1)</f>
        <v>2453</v>
      </c>
      <c r="B2646" s="25" t="s">
        <v>19</v>
      </c>
      <c r="C2646" s="23">
        <v>46104</v>
      </c>
      <c r="D2646" s="28" t="str">
        <f>_xlfn.XLOOKUP(Table134526_79101120212223242526[[#This Row],[Name Surname]],Manpower!$C$4:$C$1048576,Manpower!$B$4:$B$1048576,"")</f>
        <v>AL Omar International TRAD AND CONT</v>
      </c>
      <c r="E2646" s="21" t="s">
        <v>36</v>
      </c>
      <c r="F2646" s="12">
        <f>_xlfn.XLOOKUP(Table134526_79101120212223242526[[#This Row],[Name Surname]],Manpower!C:C,Manpower!D:D,)</f>
        <v>114929202</v>
      </c>
      <c r="G2646" s="28" t="str">
        <f>_xlfn.XLOOKUP(Table134526_79101120212223242526[[#This Row],[Name Surname]],Manpower!$C$4:$C$1048576,Manpower!$F$4:$F$1048576,"")</f>
        <v>RIgger</v>
      </c>
      <c r="H2646" s="28" t="str">
        <f>_xlfn.XLOOKUP(Table134526_79101120212223242526[[#This Row],[Name Surname]],Manpower!$C$4:$C$1048576,Manpower!$H$4:$H$1048576,"")</f>
        <v>Sub Contactor</v>
      </c>
      <c r="I2646" s="28" t="str">
        <f>_xlfn.XLOOKUP(Table134526_79101120212223242526[[#This Row],[Name Surname]],Manpower!$C$4:$C$1048576,Manpower!$H$4:$H$1048576,"")</f>
        <v>Sub Contactor</v>
      </c>
      <c r="J2646" s="21" t="s">
        <v>48</v>
      </c>
      <c r="K2646" s="21" t="s">
        <v>26</v>
      </c>
      <c r="L2646" s="21" t="s">
        <v>49</v>
      </c>
      <c r="M2646" s="21" t="s">
        <v>55</v>
      </c>
      <c r="N2646" s="29">
        <v>5</v>
      </c>
      <c r="O2646" s="21" t="s">
        <v>25</v>
      </c>
      <c r="P2646" s="21" t="s">
        <v>41</v>
      </c>
      <c r="Q2646" s="21" t="s">
        <v>60</v>
      </c>
      <c r="R2646" s="21" t="s">
        <v>397</v>
      </c>
    </row>
    <row r="2647" spans="1:18" ht="14.4" hidden="1">
      <c r="A2647" s="33">
        <f>IF(C2647="","",MAX($A$1:A2646)+1)</f>
        <v>2454</v>
      </c>
      <c r="B2647" s="25" t="s">
        <v>19</v>
      </c>
      <c r="C2647" s="23">
        <v>46104</v>
      </c>
      <c r="D2647" s="28" t="str">
        <f>_xlfn.XLOOKUP(Table134526_79101120212223242526[[#This Row],[Name Surname]],Manpower!$C$4:$C$1048576,Manpower!$B$4:$B$1048576,"")</f>
        <v>Encogroup</v>
      </c>
      <c r="E2647" s="21" t="s">
        <v>27</v>
      </c>
      <c r="F2647" s="12">
        <f>_xlfn.XLOOKUP(Table134526_79101120212223242526[[#This Row],[Name Surname]],Manpower!C:C,Manpower!D:D,)</f>
        <v>127414586</v>
      </c>
      <c r="G2647" s="28" t="str">
        <f>_xlfn.XLOOKUP(Table134526_79101120212223242526[[#This Row],[Name Surname]],Manpower!$C$4:$C$1048576,Manpower!$F$4:$F$1048576,"")</f>
        <v>Electrician</v>
      </c>
      <c r="H2647" s="28" t="str">
        <f>_xlfn.XLOOKUP(Table134526_79101120212223242526[[#This Row],[Name Surname]],Manpower!$C$4:$C$1048576,Manpower!$H$4:$H$1048576,"")</f>
        <v>Manpower</v>
      </c>
      <c r="I2647" s="28" t="str">
        <f>_xlfn.XLOOKUP(Table134526_79101120212223242526[[#This Row],[Name Surname]],Manpower!$C$4:$C$1048576,Manpower!$H$4:$H$1048576,"")</f>
        <v>Manpower</v>
      </c>
      <c r="J2647" s="21" t="s">
        <v>48</v>
      </c>
      <c r="K2647" s="21" t="s">
        <v>26</v>
      </c>
      <c r="L2647" s="21" t="s">
        <v>49</v>
      </c>
      <c r="M2647" s="21" t="s">
        <v>55</v>
      </c>
      <c r="N2647" s="29">
        <v>5</v>
      </c>
      <c r="O2647" s="21" t="s">
        <v>28</v>
      </c>
      <c r="P2647" s="21" t="s">
        <v>41</v>
      </c>
      <c r="Q2647" s="21" t="s">
        <v>58</v>
      </c>
      <c r="R2647" s="21" t="s">
        <v>397</v>
      </c>
    </row>
    <row r="2648" spans="1:18" ht="14.4" hidden="1">
      <c r="A2648" s="33">
        <f>IF(C2648="","",MAX($A$1:A2647)+1)</f>
        <v>2455</v>
      </c>
      <c r="B2648" s="25" t="s">
        <v>19</v>
      </c>
      <c r="C2648" s="23">
        <v>46104</v>
      </c>
      <c r="D2648" s="28" t="str">
        <f>_xlfn.XLOOKUP(Table134526_79101120212223242526[[#This Row],[Name Surname]],Manpower!$C$4:$C$1048576,Manpower!$B$4:$B$1048576,"")</f>
        <v>Encogroup</v>
      </c>
      <c r="E2648" s="21" t="s">
        <v>207</v>
      </c>
      <c r="F2648" s="12">
        <f>_xlfn.XLOOKUP(Table134526_79101120212223242526[[#This Row],[Name Surname]],Manpower!C:C,Manpower!D:D,)</f>
        <v>141359216</v>
      </c>
      <c r="G2648" s="28" t="str">
        <f>_xlfn.XLOOKUP(Table134526_79101120212223242526[[#This Row],[Name Surname]],Manpower!$C$4:$C$1048576,Manpower!$F$4:$F$1048576,"")</f>
        <v>Electrician</v>
      </c>
      <c r="H2648" s="28" t="str">
        <f>_xlfn.XLOOKUP(Table134526_79101120212223242526[[#This Row],[Name Surname]],Manpower!$C$4:$C$1048576,Manpower!$H$4:$H$1048576,"")</f>
        <v>Manpower</v>
      </c>
      <c r="I2648" s="28" t="str">
        <f>_xlfn.XLOOKUP(Table134526_79101120212223242526[[#This Row],[Name Surname]],Manpower!$C$4:$C$1048576,Manpower!$H$4:$H$1048576,"")</f>
        <v>Manpower</v>
      </c>
      <c r="J2648" s="21" t="s">
        <v>48</v>
      </c>
      <c r="K2648" s="21" t="s">
        <v>26</v>
      </c>
      <c r="L2648" s="21" t="s">
        <v>49</v>
      </c>
      <c r="M2648" s="21" t="s">
        <v>55</v>
      </c>
      <c r="N2648" s="29">
        <v>5</v>
      </c>
      <c r="O2648" s="21" t="s">
        <v>28</v>
      </c>
      <c r="P2648" s="21" t="s">
        <v>41</v>
      </c>
      <c r="Q2648" s="21" t="s">
        <v>58</v>
      </c>
      <c r="R2648" s="21" t="s">
        <v>397</v>
      </c>
    </row>
    <row r="2649" spans="1:18" ht="14.4" hidden="1">
      <c r="A2649" s="33">
        <f>IF(C2649="","",MAX($A$1:A2648)+1)</f>
        <v>2456</v>
      </c>
      <c r="B2649" s="25" t="s">
        <v>19</v>
      </c>
      <c r="C2649" s="23">
        <v>46104</v>
      </c>
      <c r="D2649" s="28" t="str">
        <f>_xlfn.XLOOKUP(Table134526_79101120212223242526[[#This Row],[Name Surname]],Manpower!$C$4:$C$1048576,Manpower!$B$4:$B$1048576,"")</f>
        <v>Encogroup</v>
      </c>
      <c r="E2649" s="21" t="s">
        <v>70</v>
      </c>
      <c r="F2649" s="12">
        <f>_xlfn.XLOOKUP(Table134526_79101120212223242526[[#This Row],[Name Surname]],Manpower!C:C,Manpower!D:D,)</f>
        <v>141365126</v>
      </c>
      <c r="G2649" s="28" t="str">
        <f>_xlfn.XLOOKUP(Table134526_79101120212223242526[[#This Row],[Name Surname]],Manpower!$C$4:$C$1048576,Manpower!$F$4:$F$1048576,"")</f>
        <v>Helper</v>
      </c>
      <c r="H2649" s="28" t="str">
        <f>_xlfn.XLOOKUP(Table134526_79101120212223242526[[#This Row],[Name Surname]],Manpower!$C$4:$C$1048576,Manpower!$H$4:$H$1048576,"")</f>
        <v>Manpower</v>
      </c>
      <c r="I2649" s="28" t="str">
        <f>_xlfn.XLOOKUP(Table134526_79101120212223242526[[#This Row],[Name Surname]],Manpower!$C$4:$C$1048576,Manpower!$H$4:$H$1048576,"")</f>
        <v>Manpower</v>
      </c>
      <c r="J2649" s="21" t="s">
        <v>48</v>
      </c>
      <c r="K2649" s="21" t="s">
        <v>26</v>
      </c>
      <c r="L2649" s="21" t="s">
        <v>49</v>
      </c>
      <c r="M2649" s="21" t="s">
        <v>55</v>
      </c>
      <c r="N2649" s="29">
        <v>5</v>
      </c>
      <c r="O2649" s="21" t="s">
        <v>25</v>
      </c>
      <c r="P2649" s="21" t="s">
        <v>41</v>
      </c>
      <c r="Q2649" s="21" t="s">
        <v>60</v>
      </c>
      <c r="R2649" s="21" t="s">
        <v>397</v>
      </c>
    </row>
    <row r="2650" spans="1:18" ht="14.4" hidden="1">
      <c r="A2650" s="33">
        <f>IF(C2650="","",MAX($A$1:A2649)+1)</f>
        <v>2457</v>
      </c>
      <c r="B2650" s="25" t="s">
        <v>19</v>
      </c>
      <c r="C2650" s="23">
        <v>46104</v>
      </c>
      <c r="D2650" s="28" t="str">
        <f>_xlfn.XLOOKUP(Table134526_79101120212223242526[[#This Row],[Name Surname]],Manpower!$C$4:$C$1048576,Manpower!$B$4:$B$1048576,"")</f>
        <v>Bright Light</v>
      </c>
      <c r="E2650" s="21" t="s">
        <v>71</v>
      </c>
      <c r="F2650" s="12">
        <f>_xlfn.XLOOKUP(Table134526_79101120212223242526[[#This Row],[Name Surname]],Manpower!C:C,Manpower!D:D,)</f>
        <v>81379273</v>
      </c>
      <c r="G2650" s="28" t="str">
        <f>_xlfn.XLOOKUP(Table134526_79101120212223242526[[#This Row],[Name Surname]],Manpower!$C$4:$C$1048576,Manpower!$F$4:$F$1048576,"")</f>
        <v>Crane Operator-100T Sany Telescopic</v>
      </c>
      <c r="H2650" s="28" t="str">
        <f>_xlfn.XLOOKUP(Table134526_79101120212223242526[[#This Row],[Name Surname]],Manpower!$C$4:$C$1048576,Manpower!$H$4:$H$1048576,"")</f>
        <v>Manpower</v>
      </c>
      <c r="I2650" s="28" t="str">
        <f>_xlfn.XLOOKUP(Table134526_79101120212223242526[[#This Row],[Name Surname]],Manpower!$C$4:$C$1048576,Manpower!$H$4:$H$1048576,"")</f>
        <v>Manpower</v>
      </c>
      <c r="J2650" s="21" t="s">
        <v>48</v>
      </c>
      <c r="K2650" s="21" t="s">
        <v>26</v>
      </c>
      <c r="L2650" s="21" t="s">
        <v>49</v>
      </c>
      <c r="M2650" s="21" t="s">
        <v>55</v>
      </c>
      <c r="N2650" s="29">
        <v>5</v>
      </c>
      <c r="O2650" s="21" t="s">
        <v>40</v>
      </c>
      <c r="P2650" s="21" t="s">
        <v>41</v>
      </c>
      <c r="Q2650" s="21" t="s">
        <v>42</v>
      </c>
      <c r="R2650" s="21" t="s">
        <v>397</v>
      </c>
    </row>
    <row r="2651" spans="1:18" ht="14.4" hidden="1">
      <c r="A2651" s="33">
        <f>IF(C2651="","",MAX($A$1:A2650)+1)</f>
        <v>2458</v>
      </c>
      <c r="B2651" s="25" t="s">
        <v>19</v>
      </c>
      <c r="C2651" s="23">
        <v>46104</v>
      </c>
      <c r="D2651" s="28" t="str">
        <f>_xlfn.XLOOKUP(Table134526_79101120212223242526[[#This Row],[Name Surname]],Manpower!$C$4:$C$1048576,Manpower!$B$4:$B$1048576,"")</f>
        <v>Encogroup</v>
      </c>
      <c r="E2651" s="21" t="s">
        <v>73</v>
      </c>
      <c r="F2651" s="12">
        <f>_xlfn.XLOOKUP(Table134526_79101120212223242526[[#This Row],[Name Surname]],Manpower!C:C,Manpower!D:D,)</f>
        <v>135325259</v>
      </c>
      <c r="G2651" s="28" t="str">
        <f>_xlfn.XLOOKUP(Table134526_79101120212223242526[[#This Row],[Name Surname]],Manpower!$C$4:$C$1048576,Manpower!$F$4:$F$1048576,"")</f>
        <v>Permit Receiver</v>
      </c>
      <c r="H2651" s="28" t="str">
        <f>_xlfn.XLOOKUP(Table134526_79101120212223242526[[#This Row],[Name Surname]],Manpower!$C$4:$C$1048576,Manpower!$H$4:$H$1048576,"")</f>
        <v>Manpower</v>
      </c>
      <c r="I2651" s="28" t="str">
        <f>_xlfn.XLOOKUP(Table134526_79101120212223242526[[#This Row],[Name Surname]],Manpower!$C$4:$C$1048576,Manpower!$H$4:$H$1048576,"")</f>
        <v>Manpower</v>
      </c>
      <c r="J2651" s="21" t="s">
        <v>48</v>
      </c>
      <c r="K2651" s="21" t="s">
        <v>26</v>
      </c>
      <c r="L2651" s="21" t="s">
        <v>49</v>
      </c>
      <c r="M2651" s="21" t="s">
        <v>55</v>
      </c>
      <c r="N2651" s="29">
        <v>5</v>
      </c>
      <c r="O2651" s="21" t="s">
        <v>25</v>
      </c>
      <c r="P2651" s="21" t="s">
        <v>41</v>
      </c>
      <c r="Q2651" s="21" t="s">
        <v>60</v>
      </c>
      <c r="R2651" s="21" t="s">
        <v>397</v>
      </c>
    </row>
    <row r="2652" spans="1:18" ht="14.4" hidden="1">
      <c r="A2652" s="33">
        <f>IF(C2652="","",MAX($A$1:A2651)+1)</f>
        <v>2459</v>
      </c>
      <c r="B2652" s="25" t="s">
        <v>19</v>
      </c>
      <c r="C2652" s="23">
        <v>46104</v>
      </c>
      <c r="D2652" s="28" t="str">
        <f>_xlfn.XLOOKUP(Table134526_79101120212223242526[[#This Row],[Name Surname]],Manpower!$C$4:$C$1048576,Manpower!$B$4:$B$1048576,"")</f>
        <v>Encogroup</v>
      </c>
      <c r="E2652" s="21" t="s">
        <v>74</v>
      </c>
      <c r="F2652" s="12">
        <f>_xlfn.XLOOKUP(Table134526_79101120212223242526[[#This Row],[Name Surname]],Manpower!C:C,Manpower!D:D,)</f>
        <v>141365089</v>
      </c>
      <c r="G2652" s="28" t="str">
        <f>_xlfn.XLOOKUP(Table134526_79101120212223242526[[#This Row],[Name Surname]],Manpower!$C$4:$C$1048576,Manpower!$F$4:$F$1048576,"")</f>
        <v>Fitter</v>
      </c>
      <c r="H2652" s="28" t="str">
        <f>_xlfn.XLOOKUP(Table134526_79101120212223242526[[#This Row],[Name Surname]],Manpower!$C$4:$C$1048576,Manpower!$H$4:$H$1048576,"")</f>
        <v>Manpower</v>
      </c>
      <c r="I2652" s="28" t="str">
        <f>_xlfn.XLOOKUP(Table134526_79101120212223242526[[#This Row],[Name Surname]],Manpower!$C$4:$C$1048576,Manpower!$H$4:$H$1048576,"")</f>
        <v>Manpower</v>
      </c>
      <c r="J2652" s="21" t="s">
        <v>48</v>
      </c>
      <c r="K2652" s="21" t="s">
        <v>26</v>
      </c>
      <c r="L2652" s="21" t="s">
        <v>49</v>
      </c>
      <c r="M2652" s="21" t="s">
        <v>55</v>
      </c>
      <c r="N2652" s="29">
        <v>5</v>
      </c>
      <c r="O2652" s="21" t="s">
        <v>25</v>
      </c>
      <c r="P2652" s="21" t="s">
        <v>41</v>
      </c>
      <c r="Q2652" s="21" t="s">
        <v>60</v>
      </c>
      <c r="R2652" s="21" t="s">
        <v>397</v>
      </c>
    </row>
    <row r="2653" spans="1:18" ht="14.4" hidden="1">
      <c r="A2653" s="33">
        <f>IF(C2653="","",MAX($A$1:A2652)+1)</f>
        <v>2460</v>
      </c>
      <c r="B2653" s="25" t="s">
        <v>19</v>
      </c>
      <c r="C2653" s="23">
        <v>46104</v>
      </c>
      <c r="D2653" s="28" t="str">
        <f>_xlfn.XLOOKUP(Table134526_79101120212223242526[[#This Row],[Name Surname]],Manpower!$C$4:$C$1048576,Manpower!$B$4:$B$1048576,"")</f>
        <v>Encogroup</v>
      </c>
      <c r="E2653" s="21" t="s">
        <v>75</v>
      </c>
      <c r="F2653" s="12">
        <f>_xlfn.XLOOKUP(Table134526_79101120212223242526[[#This Row],[Name Surname]],Manpower!C:C,Manpower!D:D,)</f>
        <v>122179604</v>
      </c>
      <c r="G2653" s="28" t="str">
        <f>_xlfn.XLOOKUP(Table134526_79101120212223242526[[#This Row],[Name Surname]],Manpower!$C$4:$C$1048576,Manpower!$F$4:$F$1048576,"")</f>
        <v>Fitter/Erector</v>
      </c>
      <c r="H2653" s="28" t="str">
        <f>_xlfn.XLOOKUP(Table134526_79101120212223242526[[#This Row],[Name Surname]],Manpower!$C$4:$C$1048576,Manpower!$H$4:$H$1048576,"")</f>
        <v>Manpower</v>
      </c>
      <c r="I2653" s="28" t="str">
        <f>_xlfn.XLOOKUP(Table134526_79101120212223242526[[#This Row],[Name Surname]],Manpower!$C$4:$C$1048576,Manpower!$H$4:$H$1048576,"")</f>
        <v>Manpower</v>
      </c>
      <c r="J2653" s="21" t="s">
        <v>48</v>
      </c>
      <c r="K2653" s="21" t="s">
        <v>26</v>
      </c>
      <c r="L2653" s="21" t="s">
        <v>49</v>
      </c>
      <c r="M2653" s="21" t="s">
        <v>55</v>
      </c>
      <c r="N2653" s="29">
        <v>5</v>
      </c>
      <c r="O2653" s="21" t="s">
        <v>25</v>
      </c>
      <c r="P2653" s="21" t="s">
        <v>41</v>
      </c>
      <c r="Q2653" s="21" t="s">
        <v>60</v>
      </c>
      <c r="R2653" s="21" t="s">
        <v>397</v>
      </c>
    </row>
    <row r="2654" spans="1:18" ht="14.4" hidden="1">
      <c r="A2654" s="33">
        <f>IF(C2654="","",MAX($A$1:A2653)+1)</f>
        <v>2461</v>
      </c>
      <c r="B2654" s="25" t="s">
        <v>19</v>
      </c>
      <c r="C2654" s="23">
        <v>46104</v>
      </c>
      <c r="D2654" s="28" t="str">
        <f>_xlfn.XLOOKUP(Table134526_79101120212223242526[[#This Row],[Name Surname]],Manpower!$C$4:$C$1048576,Manpower!$B$4:$B$1048576,"")</f>
        <v>Encogroup</v>
      </c>
      <c r="E2654" s="21" t="s">
        <v>78</v>
      </c>
      <c r="F2654" s="12">
        <f>_xlfn.XLOOKUP(Table134526_79101120212223242526[[#This Row],[Name Surname]],Manpower!C:C,Manpower!D:D,)</f>
        <v>117255966</v>
      </c>
      <c r="G2654" s="28" t="str">
        <f>_xlfn.XLOOKUP(Table134526_79101120212223242526[[#This Row],[Name Surname]],Manpower!$C$4:$C$1048576,Manpower!$F$4:$F$1048576,"")</f>
        <v>Mechanical Supervisor</v>
      </c>
      <c r="H2654" s="28" t="str">
        <f>_xlfn.XLOOKUP(Table134526_79101120212223242526[[#This Row],[Name Surname]],Manpower!$C$4:$C$1048576,Manpower!$H$4:$H$1048576,"")</f>
        <v>Manpower</v>
      </c>
      <c r="I2654" s="28" t="str">
        <f>_xlfn.XLOOKUP(Table134526_79101120212223242526[[#This Row],[Name Surname]],Manpower!$C$4:$C$1048576,Manpower!$H$4:$H$1048576,"")</f>
        <v>Manpower</v>
      </c>
      <c r="J2654" s="21" t="s">
        <v>48</v>
      </c>
      <c r="K2654" s="21" t="s">
        <v>26</v>
      </c>
      <c r="L2654" s="21" t="s">
        <v>49</v>
      </c>
      <c r="M2654" s="21" t="s">
        <v>55</v>
      </c>
      <c r="N2654" s="29">
        <v>5</v>
      </c>
      <c r="O2654" s="21" t="s">
        <v>25</v>
      </c>
      <c r="P2654" s="21" t="s">
        <v>41</v>
      </c>
      <c r="Q2654" s="21" t="s">
        <v>60</v>
      </c>
      <c r="R2654" s="21" t="s">
        <v>397</v>
      </c>
    </row>
    <row r="2655" spans="1:18" ht="14.4" hidden="1">
      <c r="A2655" s="33">
        <f>IF(C2655="","",MAX($A$1:A2654)+1)</f>
        <v>2462</v>
      </c>
      <c r="B2655" s="37" t="s">
        <v>141</v>
      </c>
      <c r="C2655" s="23">
        <v>46104</v>
      </c>
      <c r="D2655" s="28" t="str">
        <f>_xlfn.XLOOKUP(Table134526_79101120212223242526[[#This Row],[Name Surname]],Manpower!$C$4:$C$1048576,Manpower!$B$4:$B$1048576,"")</f>
        <v>Encogroup</v>
      </c>
      <c r="E2655" s="21" t="s">
        <v>377</v>
      </c>
      <c r="F2655" s="12">
        <f>_xlfn.XLOOKUP(Table134526_79101120212223242526[[#This Row],[Name Surname]],Manpower!C:C,Manpower!D:D,)</f>
        <v>141322485</v>
      </c>
      <c r="G2655" s="28" t="str">
        <f>_xlfn.XLOOKUP(Table134526_79101120212223242526[[#This Row],[Name Surname]],Manpower!$C$4:$C$1048576,Manpower!$F$4:$F$1048576,"")</f>
        <v>Electrical Engineer</v>
      </c>
      <c r="H2655" s="28" t="str">
        <f>_xlfn.XLOOKUP(Table134526_79101120212223242526[[#This Row],[Name Surname]],Manpower!$C$4:$C$1048576,Manpower!$H$4:$H$1048576,"")</f>
        <v>Manpower</v>
      </c>
      <c r="I2655" s="28" t="str">
        <f>_xlfn.XLOOKUP(Table134526_79101120212223242526[[#This Row],[Name Surname]],Manpower!$C$4:$C$1048576,Manpower!$H$4:$H$1048576,"")</f>
        <v>Manpower</v>
      </c>
      <c r="J2655" s="21" t="s">
        <v>378</v>
      </c>
      <c r="K2655" s="21" t="s">
        <v>26</v>
      </c>
      <c r="L2655" s="21" t="s">
        <v>379</v>
      </c>
      <c r="M2655" s="21" t="s">
        <v>55</v>
      </c>
      <c r="N2655" s="29">
        <v>5</v>
      </c>
      <c r="O2655" s="21" t="s">
        <v>28</v>
      </c>
      <c r="P2655" s="21" t="s">
        <v>28</v>
      </c>
      <c r="Q2655" s="21" t="s">
        <v>380</v>
      </c>
      <c r="R2655" s="21" t="s">
        <v>381</v>
      </c>
    </row>
    <row r="2656" spans="1:18" ht="14.4" hidden="1">
      <c r="A2656" s="33">
        <f>IF(C2656="","",MAX($A$1:A2655)+1)</f>
        <v>2463</v>
      </c>
      <c r="B2656" s="37" t="s">
        <v>141</v>
      </c>
      <c r="C2656" s="23">
        <v>46104</v>
      </c>
      <c r="D2656" s="28" t="str">
        <f>_xlfn.XLOOKUP(Table134526_79101120212223242526[[#This Row],[Name Surname]],Manpower!$C$4:$C$1048576,Manpower!$B$4:$B$1048576,"")</f>
        <v>Encogroup</v>
      </c>
      <c r="E2656" s="21" t="s">
        <v>382</v>
      </c>
      <c r="F2656" s="12">
        <f>_xlfn.XLOOKUP(Table134526_79101120212223242526[[#This Row],[Name Surname]],Manpower!C:C,Manpower!D:D,)</f>
        <v>127414586</v>
      </c>
      <c r="G2656" s="28" t="str">
        <f>_xlfn.XLOOKUP(Table134526_79101120212223242526[[#This Row],[Name Surname]],Manpower!$C$4:$C$1048576,Manpower!$F$4:$F$1048576,"")</f>
        <v>HSE Officer</v>
      </c>
      <c r="H2656" s="28" t="str">
        <f>_xlfn.XLOOKUP(Table134526_79101120212223242526[[#This Row],[Name Surname]],Manpower!$C$4:$C$1048576,Manpower!$H$4:$H$1048576,"")</f>
        <v>Manpower</v>
      </c>
      <c r="I2656" s="28" t="str">
        <f>_xlfn.XLOOKUP(Table134526_79101120212223242526[[#This Row],[Name Surname]],Manpower!$C$4:$C$1048576,Manpower!$H$4:$H$1048576,"")</f>
        <v>Manpower</v>
      </c>
      <c r="J2656" s="21" t="s">
        <v>378</v>
      </c>
      <c r="K2656" s="21" t="s">
        <v>26</v>
      </c>
      <c r="L2656" s="21" t="s">
        <v>379</v>
      </c>
      <c r="M2656" s="21" t="s">
        <v>55</v>
      </c>
      <c r="N2656" s="29">
        <v>5</v>
      </c>
      <c r="O2656" s="21" t="s">
        <v>28</v>
      </c>
      <c r="P2656" s="21" t="s">
        <v>28</v>
      </c>
      <c r="Q2656" s="21" t="s">
        <v>380</v>
      </c>
      <c r="R2656" s="21" t="s">
        <v>381</v>
      </c>
    </row>
    <row r="2657" spans="1:20" ht="14.4" hidden="1">
      <c r="A2657" s="33">
        <f>IF(C2657="","",MAX($A$1:A2654)+1)</f>
        <v>2462</v>
      </c>
      <c r="B2657" s="37" t="s">
        <v>141</v>
      </c>
      <c r="C2657" s="23">
        <v>46104</v>
      </c>
      <c r="D2657" s="28" t="str">
        <f>_xlfn.XLOOKUP(Table134526_79101120212223242526[[#This Row],[Name Surname]],Manpower!$C$4:$C$1048576,Manpower!$B$4:$B$1048576,"")</f>
        <v>Encogroup</v>
      </c>
      <c r="E2657" s="21" t="s">
        <v>383</v>
      </c>
      <c r="F2657" s="12">
        <f>_xlfn.XLOOKUP(Table134526_79101120212223242526[[#This Row],[Name Surname]],Manpower!C:C,Manpower!D:D,)</f>
        <v>71437827</v>
      </c>
      <c r="G2657" s="28" t="str">
        <f>_xlfn.XLOOKUP(Table134526_79101120212223242526[[#This Row],[Name Surname]],Manpower!$C$4:$C$1048576,Manpower!$F$4:$F$1048576,"")</f>
        <v>Electrical  Supervisor</v>
      </c>
      <c r="H2657" s="28" t="str">
        <f>_xlfn.XLOOKUP(Table134526_79101120212223242526[[#This Row],[Name Surname]],Manpower!$C$4:$C$1048576,Manpower!$H$4:$H$1048576,"")</f>
        <v>Manpower</v>
      </c>
      <c r="I2657" s="28" t="str">
        <f>_xlfn.XLOOKUP(Table134526_79101120212223242526[[#This Row],[Name Surname]],Manpower!$C$4:$C$1048576,Manpower!$H$4:$H$1048576,"")</f>
        <v>Manpower</v>
      </c>
      <c r="J2657" s="21" t="s">
        <v>378</v>
      </c>
      <c r="K2657" s="21" t="s">
        <v>26</v>
      </c>
      <c r="L2657" s="21" t="s">
        <v>379</v>
      </c>
      <c r="M2657" s="21" t="s">
        <v>55</v>
      </c>
      <c r="N2657" s="29">
        <v>5</v>
      </c>
      <c r="O2657" s="21" t="s">
        <v>28</v>
      </c>
      <c r="P2657" s="21" t="s">
        <v>28</v>
      </c>
      <c r="Q2657" s="21" t="s">
        <v>380</v>
      </c>
      <c r="R2657" s="21" t="s">
        <v>381</v>
      </c>
    </row>
    <row r="2658" spans="1:20" ht="14.4" hidden="1">
      <c r="A2658" s="33">
        <f>IF(C2658="","",MAX($A$1:A2657)+1)</f>
        <v>2464</v>
      </c>
      <c r="B2658" s="37" t="s">
        <v>141</v>
      </c>
      <c r="C2658" s="23">
        <v>46104</v>
      </c>
      <c r="D2658" s="28" t="str">
        <f>_xlfn.XLOOKUP(Table134526_79101120212223242526[[#This Row],[Name Surname]],Manpower!$C$4:$C$1048576,Manpower!$B$4:$B$1048576,"")</f>
        <v>Encogroup</v>
      </c>
      <c r="E2658" s="21" t="s">
        <v>218</v>
      </c>
      <c r="F2658" s="12">
        <f>_xlfn.XLOOKUP(Table134526_79101120212223242526[[#This Row],[Name Surname]],Manpower!C:C,Manpower!D:D,)</f>
        <v>116853914</v>
      </c>
      <c r="G2658" s="28" t="str">
        <f>_xlfn.XLOOKUP(Table134526_79101120212223242526[[#This Row],[Name Surname]],Manpower!$C$4:$C$1048576,Manpower!$F$4:$F$1048576,"")</f>
        <v>Electrical Supervisor</v>
      </c>
      <c r="H2658" s="28" t="str">
        <f>_xlfn.XLOOKUP(Table134526_79101120212223242526[[#This Row],[Name Surname]],Manpower!$C$4:$C$1048576,Manpower!$H$4:$H$1048576,"")</f>
        <v>Manpower</v>
      </c>
      <c r="I2658" s="28" t="str">
        <f>_xlfn.XLOOKUP(Table134526_79101120212223242526[[#This Row],[Name Surname]],Manpower!$C$4:$C$1048576,Manpower!$H$4:$H$1048576,"")</f>
        <v>Manpower</v>
      </c>
      <c r="J2658" s="21" t="s">
        <v>378</v>
      </c>
      <c r="K2658" s="21" t="s">
        <v>26</v>
      </c>
      <c r="L2658" s="21" t="s">
        <v>379</v>
      </c>
      <c r="M2658" s="21" t="s">
        <v>55</v>
      </c>
      <c r="N2658" s="29">
        <v>5</v>
      </c>
      <c r="O2658" s="21" t="s">
        <v>28</v>
      </c>
      <c r="P2658" s="21" t="s">
        <v>28</v>
      </c>
      <c r="Q2658" s="21" t="s">
        <v>380</v>
      </c>
      <c r="R2658" s="21" t="s">
        <v>381</v>
      </c>
    </row>
    <row r="2659" spans="1:20" ht="14.4" hidden="1">
      <c r="A2659" s="33">
        <f>IF(C2659="","",MAX($A$1:A2654)+1)</f>
        <v>2462</v>
      </c>
      <c r="B2659" s="37" t="s">
        <v>141</v>
      </c>
      <c r="C2659" s="23">
        <v>46104</v>
      </c>
      <c r="D2659" s="28" t="str">
        <f>_xlfn.XLOOKUP(Table134526_79101120212223242526[[#This Row],[Name Surname]],Manpower!$C$4:$C$1048576,Manpower!$B$4:$B$1048576,"")</f>
        <v>Encogroup</v>
      </c>
      <c r="E2659" s="21" t="s">
        <v>384</v>
      </c>
      <c r="F2659" s="12">
        <f>_xlfn.XLOOKUP(Table134526_79101120212223242526[[#This Row],[Name Surname]],Manpower!C:C,Manpower!D:D,)</f>
        <v>141307968</v>
      </c>
      <c r="G2659" s="28" t="str">
        <f>_xlfn.XLOOKUP(Table134526_79101120212223242526[[#This Row],[Name Surname]],Manpower!$C$4:$C$1048576,Manpower!$F$4:$F$1048576,"")</f>
        <v>Mechanical Supervisor</v>
      </c>
      <c r="H2659" s="28" t="str">
        <f>_xlfn.XLOOKUP(Table134526_79101120212223242526[[#This Row],[Name Surname]],Manpower!$C$4:$C$1048576,Manpower!$H$4:$H$1048576,"")</f>
        <v>Manpower</v>
      </c>
      <c r="I2659" s="28" t="str">
        <f>_xlfn.XLOOKUP(Table134526_79101120212223242526[[#This Row],[Name Surname]],Manpower!$C$4:$C$1048576,Manpower!$H$4:$H$1048576,"")</f>
        <v>Manpower</v>
      </c>
      <c r="J2659" s="21" t="s">
        <v>378</v>
      </c>
      <c r="K2659" s="21" t="s">
        <v>26</v>
      </c>
      <c r="L2659" s="21" t="s">
        <v>379</v>
      </c>
      <c r="M2659" s="21" t="s">
        <v>55</v>
      </c>
      <c r="N2659" s="29">
        <v>5</v>
      </c>
      <c r="O2659" s="21" t="s">
        <v>28</v>
      </c>
      <c r="P2659" s="21" t="s">
        <v>28</v>
      </c>
      <c r="Q2659" s="21" t="s">
        <v>380</v>
      </c>
      <c r="R2659" s="21" t="s">
        <v>381</v>
      </c>
    </row>
    <row r="2660" spans="1:20" ht="14.4" hidden="1">
      <c r="A2660" s="33">
        <f>IF(C2660="","",MAX($A$1:A2654)+1)</f>
        <v>2462</v>
      </c>
      <c r="B2660" s="37" t="s">
        <v>141</v>
      </c>
      <c r="C2660" s="23">
        <v>46104</v>
      </c>
      <c r="D2660" s="28" t="str">
        <f>_xlfn.XLOOKUP(Table134526_79101120212223242526[[#This Row],[Name Surname]],Manpower!$C$4:$C$1048576,Manpower!$B$4:$B$1048576,"")</f>
        <v>Encogroup</v>
      </c>
      <c r="E2660" s="21" t="s">
        <v>385</v>
      </c>
      <c r="F2660" s="12">
        <f>_xlfn.XLOOKUP(Table134526_79101120212223242526[[#This Row],[Name Surname]],Manpower!C:C,Manpower!D:D,)</f>
        <v>141307921</v>
      </c>
      <c r="G2660" s="28" t="str">
        <f>_xlfn.XLOOKUP(Table134526_79101120212223242526[[#This Row],[Name Surname]],Manpower!$C$4:$C$1048576,Manpower!$F$4:$F$1048576,"")</f>
        <v>Mechanical Assistant</v>
      </c>
      <c r="H2660" s="28" t="str">
        <f>_xlfn.XLOOKUP(Table134526_79101120212223242526[[#This Row],[Name Surname]],Manpower!$C$4:$C$1048576,Manpower!$H$4:$H$1048576,"")</f>
        <v>Manpower</v>
      </c>
      <c r="I2660" s="28" t="str">
        <f>_xlfn.XLOOKUP(Table134526_79101120212223242526[[#This Row],[Name Surname]],Manpower!$C$4:$C$1048576,Manpower!$H$4:$H$1048576,"")</f>
        <v>Manpower</v>
      </c>
      <c r="J2660" s="21" t="s">
        <v>378</v>
      </c>
      <c r="K2660" s="21" t="s">
        <v>26</v>
      </c>
      <c r="L2660" s="21" t="s">
        <v>379</v>
      </c>
      <c r="M2660" s="21" t="s">
        <v>55</v>
      </c>
      <c r="N2660" s="29">
        <v>5</v>
      </c>
      <c r="O2660" s="21" t="s">
        <v>28</v>
      </c>
      <c r="P2660" s="21" t="s">
        <v>28</v>
      </c>
      <c r="Q2660" s="21" t="s">
        <v>380</v>
      </c>
      <c r="R2660" s="21" t="s">
        <v>381</v>
      </c>
    </row>
    <row r="2661" spans="1:20" ht="14.4">
      <c r="A2661" s="33">
        <f>IF(C2661="","",MAX($A$1:A2654)+1)</f>
        <v>2462</v>
      </c>
      <c r="B2661" s="26" t="s">
        <v>79</v>
      </c>
      <c r="C2661" s="23">
        <v>46104</v>
      </c>
      <c r="D2661" s="28" t="str">
        <f>_xlfn.XLOOKUP(Table134526_79101120212223242526[[#This Row],[Name Surname]],Manpower!$C$4:$C$1048576,Manpower!$B$4:$B$1048576,"")</f>
        <v>Encogroup</v>
      </c>
      <c r="E2661" s="21" t="s">
        <v>80</v>
      </c>
      <c r="F2661" s="12" t="e">
        <f>_xlfn.XLOOKUP(Table134526_79101120212223242526[[#This Row],[Name Surname]],Manpower!C:C,Manpower!D:D,)</f>
        <v>#N/A</v>
      </c>
      <c r="G2661" s="28" t="str">
        <f>_xlfn.XLOOKUP(Table134526_79101120212223242526[[#This Row],[Name Surname]],Manpower!$C$4:$C$1048576,Manpower!$F$4:$F$1048576,"")</f>
        <v>22M-Manlift</v>
      </c>
      <c r="H2661" s="28" t="str">
        <f>_xlfn.XLOOKUP(Table134526_79101120212223242526[[#This Row],[Name Surname]],Manpower!$C$4:$C$1048576,Manpower!$H$4:$H$1048576,"")</f>
        <v>Equipment</v>
      </c>
      <c r="I2661" s="28" t="str">
        <f>_xlfn.XLOOKUP(Table134526_79101120212223242526[[#This Row],[Name Surname]],Manpower!$C$4:$C$1048576,Manpower!$H$4:$H$1048576,"")</f>
        <v>Equipment</v>
      </c>
      <c r="J2661" s="21" t="s">
        <v>35</v>
      </c>
      <c r="K2661" s="21" t="s">
        <v>279</v>
      </c>
      <c r="L2661" s="21" t="s">
        <v>82</v>
      </c>
      <c r="M2661" s="21" t="s">
        <v>55</v>
      </c>
      <c r="N2661" s="29">
        <v>5</v>
      </c>
      <c r="O2661" s="21" t="s">
        <v>25</v>
      </c>
      <c r="P2661" s="21" t="s">
        <v>41</v>
      </c>
      <c r="Q2661" s="21" t="s">
        <v>77</v>
      </c>
      <c r="R2661" s="21" t="s">
        <v>386</v>
      </c>
      <c r="T2661" s="56" t="s">
        <v>396</v>
      </c>
    </row>
    <row r="2662" spans="1:20" ht="14.4">
      <c r="A2662" s="33">
        <f>IF(C2662="","",MAX($A$1:A2661)+1)</f>
        <v>2465</v>
      </c>
      <c r="B2662" s="26" t="s">
        <v>79</v>
      </c>
      <c r="C2662" s="23">
        <v>46104</v>
      </c>
      <c r="D2662" s="28" t="str">
        <f>_xlfn.XLOOKUP(Table134526_79101120212223242526[[#This Row],[Name Surname]],Manpower!$C$4:$C$1048576,Manpower!$B$4:$B$1048576,"")</f>
        <v>Encogroup</v>
      </c>
      <c r="E2662" s="21" t="s">
        <v>84</v>
      </c>
      <c r="F2662" s="12" t="e">
        <f>_xlfn.XLOOKUP(Table134526_79101120212223242526[[#This Row],[Name Surname]],Manpower!C:C,Manpower!D:D,)</f>
        <v>#N/A</v>
      </c>
      <c r="G2662" s="28" t="str">
        <f>_xlfn.XLOOKUP(Table134526_79101120212223242526[[#This Row],[Name Surname]],Manpower!$C$4:$C$1048576,Manpower!$F$4:$F$1048576,"")</f>
        <v>22M-Manlift</v>
      </c>
      <c r="H2662" s="28" t="str">
        <f>_xlfn.XLOOKUP(Table134526_79101120212223242526[[#This Row],[Name Surname]],Manpower!$C$4:$C$1048576,Manpower!$H$4:$H$1048576,"")</f>
        <v>Equipment</v>
      </c>
      <c r="I2662" s="28" t="str">
        <f>_xlfn.XLOOKUP(Table134526_79101120212223242526[[#This Row],[Name Surname]],Manpower!$C$4:$C$1048576,Manpower!$H$4:$H$1048576,"")</f>
        <v>Equipment</v>
      </c>
      <c r="J2662" s="21" t="s">
        <v>35</v>
      </c>
      <c r="K2662" s="21" t="s">
        <v>279</v>
      </c>
      <c r="L2662" s="21" t="s">
        <v>82</v>
      </c>
      <c r="M2662" s="21" t="s">
        <v>55</v>
      </c>
      <c r="N2662" s="29">
        <v>5</v>
      </c>
      <c r="O2662" s="21" t="s">
        <v>25</v>
      </c>
      <c r="P2662" s="21" t="s">
        <v>41</v>
      </c>
      <c r="Q2662" s="21" t="s">
        <v>77</v>
      </c>
      <c r="R2662" s="21" t="s">
        <v>387</v>
      </c>
      <c r="T2662" s="56" t="s">
        <v>396</v>
      </c>
    </row>
    <row r="2663" spans="1:20" ht="14.4">
      <c r="A2663" s="33">
        <f>IF(C2663="","",MAX($A$1:A2662)+1)</f>
        <v>2466</v>
      </c>
      <c r="B2663" s="26" t="s">
        <v>79</v>
      </c>
      <c r="C2663" s="23">
        <v>46104</v>
      </c>
      <c r="D2663" s="28" t="str">
        <f>_xlfn.XLOOKUP(Table134526_79101120212223242526[[#This Row],[Name Surname]],Manpower!$C$4:$C$1048576,Manpower!$B$4:$B$1048576,"")</f>
        <v>Encogroup</v>
      </c>
      <c r="E2663" s="21" t="s">
        <v>341</v>
      </c>
      <c r="F2663" s="12" t="e">
        <f>_xlfn.XLOOKUP(Table134526_79101120212223242526[[#This Row],[Name Surname]],Manpower!C:C,Manpower!D:D,)</f>
        <v>#N/A</v>
      </c>
      <c r="G2663" s="28" t="str">
        <f>_xlfn.XLOOKUP(Table134526_79101120212223242526[[#This Row],[Name Surname]],Manpower!$C$4:$C$1048576,Manpower!$F$4:$F$1048576,"")</f>
        <v>SCISSOR LIFT</v>
      </c>
      <c r="H2663" s="28" t="str">
        <f>_xlfn.XLOOKUP(Table134526_79101120212223242526[[#This Row],[Name Surname]],Manpower!$C$4:$C$1048576,Manpower!$H$4:$H$1048576,"")</f>
        <v>Equipment</v>
      </c>
      <c r="I2663" s="28" t="str">
        <f>_xlfn.XLOOKUP(Table134526_79101120212223242526[[#This Row],[Name Surname]],Manpower!$C$4:$C$1048576,Manpower!$H$4:$H$1048576,"")</f>
        <v>Equipment</v>
      </c>
      <c r="J2663" s="21" t="s">
        <v>35</v>
      </c>
      <c r="K2663" s="21" t="s">
        <v>279</v>
      </c>
      <c r="L2663" s="21" t="s">
        <v>82</v>
      </c>
      <c r="M2663" s="21" t="s">
        <v>55</v>
      </c>
      <c r="N2663" s="29">
        <v>5</v>
      </c>
      <c r="R2663" s="21" t="s">
        <v>56</v>
      </c>
      <c r="T2663" s="56" t="s">
        <v>396</v>
      </c>
    </row>
    <row r="2664" spans="1:20" ht="14.4">
      <c r="A2664" s="33">
        <f>IF(C2664="","",MAX($A$1:A2663)+1)</f>
        <v>2467</v>
      </c>
      <c r="B2664" s="26" t="s">
        <v>79</v>
      </c>
      <c r="C2664" s="23">
        <v>46104</v>
      </c>
      <c r="D2664" s="28" t="str">
        <f>_xlfn.XLOOKUP(Table134526_79101120212223242526[[#This Row],[Name Surname]],Manpower!$C$4:$C$1048576,Manpower!$B$4:$B$1048576,"")</f>
        <v>Nass Group</v>
      </c>
      <c r="E2664" s="21" t="s">
        <v>86</v>
      </c>
      <c r="F2664" s="12" t="e">
        <f>_xlfn.XLOOKUP(Table134526_79101120212223242526[[#This Row],[Name Surname]],Manpower!C:C,Manpower!D:D,)</f>
        <v>#N/A</v>
      </c>
      <c r="G2664" s="28" t="str">
        <f>_xlfn.XLOOKUP(Table134526_79101120212223242526[[#This Row],[Name Surname]],Manpower!$C$4:$C$1048576,Manpower!$F$4:$F$1048576,"")</f>
        <v>70T-Telescopic crane</v>
      </c>
      <c r="H2664" s="28" t="str">
        <f>_xlfn.XLOOKUP(Table134526_79101120212223242526[[#This Row],[Name Surname]],Manpower!$C$4:$C$1048576,Manpower!$H$4:$H$1048576,"")</f>
        <v>Equipment</v>
      </c>
      <c r="I2664" s="28" t="str">
        <f>_xlfn.XLOOKUP(Table134526_79101120212223242526[[#This Row],[Name Surname]],Manpower!$C$4:$C$1048576,Manpower!$H$4:$H$1048576,"")</f>
        <v>Equipment</v>
      </c>
      <c r="J2664" s="21" t="s">
        <v>35</v>
      </c>
      <c r="K2664" s="21" t="s">
        <v>279</v>
      </c>
      <c r="L2664" s="21" t="s">
        <v>82</v>
      </c>
      <c r="M2664" s="21" t="s">
        <v>55</v>
      </c>
      <c r="N2664" s="29">
        <v>5</v>
      </c>
      <c r="O2664" s="21" t="s">
        <v>40</v>
      </c>
      <c r="P2664" s="21" t="s">
        <v>41</v>
      </c>
      <c r="Q2664" s="21" t="s">
        <v>42</v>
      </c>
      <c r="R2664" s="21" t="s">
        <v>26</v>
      </c>
      <c r="T2664" s="56" t="s">
        <v>396</v>
      </c>
    </row>
    <row r="2665" spans="1:20" s="45" customFormat="1" ht="14.4" hidden="1">
      <c r="A2665" s="25">
        <f>IF(C2665="","",MAX($A$1:A2664)+1)</f>
        <v>2468</v>
      </c>
      <c r="B2665" s="25" t="s">
        <v>79</v>
      </c>
      <c r="C2665" s="41">
        <v>46104</v>
      </c>
      <c r="D2665" s="48" t="str">
        <f>_xlfn.XLOOKUP(Table134526_79101120212223242526[[#This Row],[Name Surname]],Manpower!$C$4:$C$1048576,Manpower!$B$4:$B$1048576,"")</f>
        <v>SARENS NASS</v>
      </c>
      <c r="E2665" s="43" t="s">
        <v>103</v>
      </c>
      <c r="F2665" s="12">
        <f>_xlfn.XLOOKUP(Table134526_79101120212223242526[[#This Row],[Name Surname]],Manpower!C:C,Manpower!D:D,)</f>
        <v>79502392</v>
      </c>
      <c r="G2665" s="48" t="str">
        <f>_xlfn.XLOOKUP(Table134526_79101120212223242526[[#This Row],[Name Surname]],Manpower!$C$4:$C$1048576,Manpower!$F$4:$F$1048576,"")</f>
        <v>Crane Operator- 70T Liebherr Telescopic Crane-01</v>
      </c>
      <c r="H2665" s="48" t="str">
        <f>_xlfn.XLOOKUP(Table134526_79101120212223242526[[#This Row],[Name Surname]],Manpower!$C$4:$C$1048576,Manpower!$H$4:$H$1048576,"")</f>
        <v>Manpower</v>
      </c>
      <c r="I2665" s="48" t="str">
        <f>_xlfn.XLOOKUP(Table134526_79101120212223242526[[#This Row],[Name Surname]],Manpower!$C$4:$C$1048576,Manpower!$H$4:$H$1048576,"")</f>
        <v>Manpower</v>
      </c>
      <c r="J2665" s="43" t="s">
        <v>35</v>
      </c>
      <c r="K2665" s="43" t="s">
        <v>279</v>
      </c>
      <c r="L2665" s="43" t="s">
        <v>82</v>
      </c>
      <c r="M2665" s="43" t="s">
        <v>55</v>
      </c>
      <c r="N2665" s="44">
        <v>5</v>
      </c>
      <c r="O2665" s="43" t="s">
        <v>40</v>
      </c>
      <c r="P2665" s="43" t="s">
        <v>41</v>
      </c>
      <c r="Q2665" s="43" t="s">
        <v>42</v>
      </c>
      <c r="R2665" s="43" t="s">
        <v>43</v>
      </c>
      <c r="S2665" s="43"/>
      <c r="T2665" s="67" t="s">
        <v>396</v>
      </c>
    </row>
    <row r="2666" spans="1:20" ht="14.4">
      <c r="A2666" s="33">
        <f>IF(C2666="","",MAX($A$1:A2665)+1)</f>
        <v>2469</v>
      </c>
      <c r="B2666" s="26" t="s">
        <v>79</v>
      </c>
      <c r="C2666" s="23">
        <v>46104</v>
      </c>
      <c r="D2666" s="28" t="str">
        <f>_xlfn.XLOOKUP(Table134526_79101120212223242526[[#This Row],[Name Surname]],Manpower!$C$4:$C$1048576,Manpower!$B$4:$B$1048576,"")</f>
        <v>Nass Group</v>
      </c>
      <c r="E2666" s="21" t="s">
        <v>146</v>
      </c>
      <c r="F2666" s="12" t="e">
        <f>_xlfn.XLOOKUP(Table134526_79101120212223242526[[#This Row],[Name Surname]],Manpower!C:C,Manpower!D:D,)</f>
        <v>#N/A</v>
      </c>
      <c r="G2666" s="28" t="str">
        <f>_xlfn.XLOOKUP(Table134526_79101120212223242526[[#This Row],[Name Surname]],Manpower!$C$4:$C$1048576,Manpower!$F$4:$F$1048576,"")</f>
        <v>130T Crawler Crane</v>
      </c>
      <c r="H2666" s="28" t="str">
        <f>_xlfn.XLOOKUP(Table134526_79101120212223242526[[#This Row],[Name Surname]],Manpower!$C$4:$C$1048576,Manpower!$H$4:$H$1048576,"")</f>
        <v>Equipment</v>
      </c>
      <c r="I2666" s="28" t="str">
        <f>_xlfn.XLOOKUP(Table134526_79101120212223242526[[#This Row],[Name Surname]],Manpower!$C$4:$C$1048576,Manpower!$H$4:$H$1048576,"")</f>
        <v>Equipment</v>
      </c>
      <c r="J2666" s="21" t="s">
        <v>35</v>
      </c>
      <c r="K2666" s="21" t="s">
        <v>399</v>
      </c>
      <c r="L2666" s="21" t="s">
        <v>82</v>
      </c>
      <c r="M2666" s="21" t="s">
        <v>55</v>
      </c>
      <c r="N2666" s="29">
        <v>5</v>
      </c>
      <c r="O2666" s="21" t="s">
        <v>40</v>
      </c>
      <c r="P2666" s="21" t="s">
        <v>41</v>
      </c>
      <c r="Q2666" s="21" t="s">
        <v>42</v>
      </c>
      <c r="R2666" s="21" t="s">
        <v>400</v>
      </c>
      <c r="T2666" s="56" t="s">
        <v>396</v>
      </c>
    </row>
    <row r="2667" spans="1:20" s="45" customFormat="1" ht="14.4" hidden="1">
      <c r="A2667" s="25">
        <f>IF(C2667="","",MAX($A$1:A2666)+1)</f>
        <v>2470</v>
      </c>
      <c r="B2667" s="25" t="s">
        <v>79</v>
      </c>
      <c r="C2667" s="41">
        <v>46104</v>
      </c>
      <c r="D2667" s="48" t="str">
        <f>_xlfn.XLOOKUP(Table134526_79101120212223242526[[#This Row],[Name Surname]],Manpower!$C$4:$C$1048576,Manpower!$B$4:$B$1048576,"")</f>
        <v>SARENS NASS</v>
      </c>
      <c r="E2667" s="43" t="s">
        <v>214</v>
      </c>
      <c r="F2667" s="12">
        <f>_xlfn.XLOOKUP(Table134526_79101120212223242526[[#This Row],[Name Surname]],Manpower!C:C,Manpower!D:D,)</f>
        <v>109957631</v>
      </c>
      <c r="G2667" s="48" t="str">
        <f>_xlfn.XLOOKUP(Table134526_79101120212223242526[[#This Row],[Name Surname]],Manpower!$C$4:$C$1048576,Manpower!$F$4:$F$1048576,"")</f>
        <v>Crane Operator-130T Liebherr Crawler</v>
      </c>
      <c r="H2667" s="48" t="str">
        <f>_xlfn.XLOOKUP(Table134526_79101120212223242526[[#This Row],[Name Surname]],Manpower!$C$4:$C$1048576,Manpower!$H$4:$H$1048576,"")</f>
        <v>Manpower</v>
      </c>
      <c r="I2667" s="48" t="str">
        <f>_xlfn.XLOOKUP(Table134526_79101120212223242526[[#This Row],[Name Surname]],Manpower!$C$4:$C$1048576,Manpower!$H$4:$H$1048576,"")</f>
        <v>Manpower</v>
      </c>
      <c r="J2667" s="43" t="s">
        <v>35</v>
      </c>
      <c r="K2667" s="43" t="s">
        <v>399</v>
      </c>
      <c r="L2667" s="43" t="s">
        <v>82</v>
      </c>
      <c r="M2667" s="43" t="s">
        <v>55</v>
      </c>
      <c r="N2667" s="44">
        <v>5</v>
      </c>
      <c r="O2667" s="43" t="s">
        <v>40</v>
      </c>
      <c r="P2667" s="43" t="s">
        <v>41</v>
      </c>
      <c r="Q2667" s="43" t="s">
        <v>42</v>
      </c>
      <c r="R2667" s="43" t="s">
        <v>400</v>
      </c>
      <c r="S2667" s="43"/>
      <c r="T2667" s="67" t="s">
        <v>396</v>
      </c>
    </row>
    <row r="2668" spans="1:20" s="45" customFormat="1" ht="14.4" hidden="1">
      <c r="A2668" s="25">
        <f>IF(C2668="","",MAX($A$1:A2667)+1)</f>
        <v>2471</v>
      </c>
      <c r="B2668" s="25" t="s">
        <v>79</v>
      </c>
      <c r="C2668" s="41">
        <v>46104</v>
      </c>
      <c r="D2668" s="48" t="str">
        <f>_xlfn.XLOOKUP(Table134526_79101120212223242526[[#This Row],[Name Surname]],Manpower!$C$4:$C$1048576,Manpower!$B$4:$B$1048576,"")</f>
        <v>Encogroup</v>
      </c>
      <c r="E2668" s="43" t="s">
        <v>286</v>
      </c>
      <c r="F2668" s="12">
        <f>_xlfn.XLOOKUP(Table134526_79101120212223242526[[#This Row],[Name Surname]],Manpower!C:C,Manpower!D:D,)</f>
        <v>1487544</v>
      </c>
      <c r="G2668" s="48" t="str">
        <f>_xlfn.XLOOKUP(Table134526_79101120212223242526[[#This Row],[Name Surname]],Manpower!$C$4:$C$1048576,Manpower!$F$4:$F$1048576,"")</f>
        <v>Driver</v>
      </c>
      <c r="H2668" s="48" t="str">
        <f>_xlfn.XLOOKUP(Table134526_79101120212223242526[[#This Row],[Name Surname]],Manpower!$C$4:$C$1048576,Manpower!$H$4:$H$1048576,"")</f>
        <v>Manpower</v>
      </c>
      <c r="I2668" s="48" t="str">
        <f>_xlfn.XLOOKUP(Table134526_79101120212223242526[[#This Row],[Name Surname]],Manpower!$C$4:$C$1048576,Manpower!$H$4:$H$1048576,"")</f>
        <v>Manpower</v>
      </c>
      <c r="J2668" s="43" t="s">
        <v>135</v>
      </c>
      <c r="K2668" s="43" t="s">
        <v>26</v>
      </c>
      <c r="L2668" s="43" t="s">
        <v>82</v>
      </c>
      <c r="M2668" s="43" t="s">
        <v>55</v>
      </c>
      <c r="N2668" s="44"/>
      <c r="O2668" s="43" t="s">
        <v>138</v>
      </c>
      <c r="P2668" s="43" t="s">
        <v>138</v>
      </c>
      <c r="Q2668" s="43" t="s">
        <v>138</v>
      </c>
      <c r="R2668" s="43" t="s">
        <v>26</v>
      </c>
      <c r="S2668" s="43"/>
      <c r="T2668" s="67" t="s">
        <v>396</v>
      </c>
    </row>
    <row r="2669" spans="1:20" s="45" customFormat="1" ht="14.4" hidden="1">
      <c r="A2669" s="25">
        <f>IF(C2669="","",MAX($A$1:A2668)+1)</f>
        <v>2472</v>
      </c>
      <c r="B2669" s="25" t="s">
        <v>79</v>
      </c>
      <c r="C2669" s="41">
        <v>46104</v>
      </c>
      <c r="D2669" s="48" t="str">
        <f>_xlfn.XLOOKUP(Table134526_79101120212223242526[[#This Row],[Name Surname]],Manpower!$C$4:$C$1048576,Manpower!$B$4:$B$1048576,"")</f>
        <v>Encogroup</v>
      </c>
      <c r="E2669" s="43" t="s">
        <v>228</v>
      </c>
      <c r="F2669" s="12">
        <f>_xlfn.XLOOKUP(Table134526_79101120212223242526[[#This Row],[Name Surname]],Manpower!C:C,Manpower!D:D,)</f>
        <v>125199963</v>
      </c>
      <c r="G2669" s="48" t="str">
        <f>_xlfn.XLOOKUP(Table134526_79101120212223242526[[#This Row],[Name Surname]],Manpower!$C$4:$C$1048576,Manpower!$F$4:$F$1048576,"")</f>
        <v>Electrician</v>
      </c>
      <c r="H2669" s="48" t="str">
        <f>_xlfn.XLOOKUP(Table134526_79101120212223242526[[#This Row],[Name Surname]],Manpower!$C$4:$C$1048576,Manpower!$H$4:$H$1048576,"")</f>
        <v>Manpower</v>
      </c>
      <c r="I2669" s="48" t="str">
        <f>_xlfn.XLOOKUP(Table134526_79101120212223242526[[#This Row],[Name Surname]],Manpower!$C$4:$C$1048576,Manpower!$H$4:$H$1048576,"")</f>
        <v>Manpower</v>
      </c>
      <c r="J2669" s="43" t="s">
        <v>135</v>
      </c>
      <c r="K2669" s="43"/>
      <c r="L2669" s="43"/>
      <c r="M2669" s="43"/>
      <c r="N2669" s="44"/>
      <c r="O2669" s="43"/>
      <c r="P2669" s="43"/>
      <c r="Q2669" s="43"/>
      <c r="R2669" s="43"/>
      <c r="S2669" s="43"/>
      <c r="T2669" s="67" t="s">
        <v>396</v>
      </c>
    </row>
    <row r="2670" spans="1:20" s="45" customFormat="1" ht="14.4" hidden="1">
      <c r="A2670" s="25">
        <f>IF(C2670="","",MAX($A$1:A2669)+1)</f>
        <v>2473</v>
      </c>
      <c r="B2670" s="25" t="s">
        <v>79</v>
      </c>
      <c r="C2670" s="41">
        <v>46104</v>
      </c>
      <c r="D2670" s="48" t="str">
        <f>_xlfn.XLOOKUP(Table134526_79101120212223242526[[#This Row],[Name Surname]],Manpower!$C$4:$C$1048576,Manpower!$B$4:$B$1048576,"")</f>
        <v>Encogroup</v>
      </c>
      <c r="E2670" s="43" t="s">
        <v>115</v>
      </c>
      <c r="F2670" s="12">
        <f>_xlfn.XLOOKUP(Table134526_79101120212223242526[[#This Row],[Name Surname]],Manpower!C:C,Manpower!D:D,)</f>
        <v>140796986</v>
      </c>
      <c r="G2670" s="48" t="str">
        <f>_xlfn.XLOOKUP(Table134526_79101120212223242526[[#This Row],[Name Surname]],Manpower!$C$4:$C$1048576,Manpower!$F$4:$F$1048576,"")</f>
        <v>Mechanical QC</v>
      </c>
      <c r="H2670" s="48" t="str">
        <f>_xlfn.XLOOKUP(Table134526_79101120212223242526[[#This Row],[Name Surname]],Manpower!$C$4:$C$1048576,Manpower!$H$4:$H$1048576,"")</f>
        <v>Manpower</v>
      </c>
      <c r="I2670" s="48" t="str">
        <f>_xlfn.XLOOKUP(Table134526_79101120212223242526[[#This Row],[Name Surname]],Manpower!$C$4:$C$1048576,Manpower!$H$4:$H$1048576,"")</f>
        <v>Manpower</v>
      </c>
      <c r="J2670" s="43" t="s">
        <v>35</v>
      </c>
      <c r="K2670" s="43" t="s">
        <v>279</v>
      </c>
      <c r="L2670" s="43" t="s">
        <v>82</v>
      </c>
      <c r="M2670" s="43" t="s">
        <v>55</v>
      </c>
      <c r="N2670" s="44">
        <v>5</v>
      </c>
      <c r="O2670" s="43" t="s">
        <v>25</v>
      </c>
      <c r="P2670" s="43" t="s">
        <v>41</v>
      </c>
      <c r="Q2670" s="43" t="s">
        <v>77</v>
      </c>
      <c r="R2670" s="43" t="s">
        <v>386</v>
      </c>
      <c r="S2670" s="43"/>
      <c r="T2670" s="67" t="s">
        <v>396</v>
      </c>
    </row>
    <row r="2671" spans="1:20" s="45" customFormat="1" ht="14.4" hidden="1">
      <c r="A2671" s="25">
        <f>IF(C2671="","",MAX($A$1:A2670)+1)</f>
        <v>2474</v>
      </c>
      <c r="B2671" s="25" t="s">
        <v>79</v>
      </c>
      <c r="C2671" s="41">
        <v>46104</v>
      </c>
      <c r="D2671" s="48" t="str">
        <f>_xlfn.XLOOKUP(Table134526_79101120212223242526[[#This Row],[Name Surname]],Manpower!$C$4:$C$1048576,Manpower!$B$4:$B$1048576,"")</f>
        <v>Sarens Nass</v>
      </c>
      <c r="E2671" s="43" t="s">
        <v>215</v>
      </c>
      <c r="F2671" s="12" t="str">
        <f>_xlfn.XLOOKUP(Table134526_79101120212223242526[[#This Row],[Name Surname]],Manpower!C:C,Manpower!D:D,)</f>
        <v>112346941</v>
      </c>
      <c r="G2671" s="48" t="str">
        <f>_xlfn.XLOOKUP(Table134526_79101120212223242526[[#This Row],[Name Surname]],Manpower!$C$4:$C$1048576,Manpower!$F$4:$F$1048576,"")</f>
        <v>Rigger</v>
      </c>
      <c r="H2671" s="48" t="str">
        <f>_xlfn.XLOOKUP(Table134526_79101120212223242526[[#This Row],[Name Surname]],Manpower!$C$4:$C$1048576,Manpower!$H$4:$H$1048576,"")</f>
        <v>Sub Contactor</v>
      </c>
      <c r="I2671" s="48" t="str">
        <f>_xlfn.XLOOKUP(Table134526_79101120212223242526[[#This Row],[Name Surname]],Manpower!$C$4:$C$1048576,Manpower!$H$4:$H$1048576,"")</f>
        <v>Sub Contactor</v>
      </c>
      <c r="J2671" s="43" t="s">
        <v>35</v>
      </c>
      <c r="K2671" s="51" t="s">
        <v>335</v>
      </c>
      <c r="L2671" s="43" t="s">
        <v>82</v>
      </c>
      <c r="M2671" s="43" t="s">
        <v>55</v>
      </c>
      <c r="N2671" s="44">
        <v>5</v>
      </c>
      <c r="O2671" s="43" t="s">
        <v>40</v>
      </c>
      <c r="P2671" s="43" t="s">
        <v>41</v>
      </c>
      <c r="Q2671" s="43" t="s">
        <v>42</v>
      </c>
      <c r="R2671" s="43" t="s">
        <v>26</v>
      </c>
      <c r="S2671" s="43"/>
      <c r="T2671" s="67" t="s">
        <v>396</v>
      </c>
    </row>
    <row r="2672" spans="1:20" s="45" customFormat="1" ht="14.4" hidden="1">
      <c r="A2672" s="25">
        <f>IF(C2672="","",MAX($A$1:A2671)+1)</f>
        <v>2475</v>
      </c>
      <c r="B2672" s="25" t="s">
        <v>79</v>
      </c>
      <c r="C2672" s="41">
        <v>46104</v>
      </c>
      <c r="D2672" s="48" t="str">
        <f>_xlfn.XLOOKUP(Table134526_79101120212223242526[[#This Row],[Name Surname]],Manpower!$C$4:$C$1048576,Manpower!$B$4:$B$1048576,"")</f>
        <v>Encogroup</v>
      </c>
      <c r="E2672" s="43" t="s">
        <v>87</v>
      </c>
      <c r="F2672" s="12">
        <f>_xlfn.XLOOKUP(Table134526_79101120212223242526[[#This Row],[Name Surname]],Manpower!C:C,Manpower!D:D,)</f>
        <v>126724428</v>
      </c>
      <c r="G2672" s="48" t="str">
        <f>_xlfn.XLOOKUP(Table134526_79101120212223242526[[#This Row],[Name Surname]],Manpower!$C$4:$C$1048576,Manpower!$F$4:$F$1048576,"")</f>
        <v>Surveyor</v>
      </c>
      <c r="H2672" s="48" t="str">
        <f>_xlfn.XLOOKUP(Table134526_79101120212223242526[[#This Row],[Name Surname]],Manpower!$C$4:$C$1048576,Manpower!$H$4:$H$1048576,"")</f>
        <v>Manpower</v>
      </c>
      <c r="I2672" s="48" t="str">
        <f>_xlfn.XLOOKUP(Table134526_79101120212223242526[[#This Row],[Name Surname]],Manpower!$C$4:$C$1048576,Manpower!$H$4:$H$1048576,"")</f>
        <v>Manpower</v>
      </c>
      <c r="J2672" s="43" t="s">
        <v>35</v>
      </c>
      <c r="K2672" s="43" t="s">
        <v>26</v>
      </c>
      <c r="L2672" s="43"/>
      <c r="M2672" s="43" t="s">
        <v>55</v>
      </c>
      <c r="N2672" s="44">
        <v>5</v>
      </c>
      <c r="O2672" s="43" t="s">
        <v>89</v>
      </c>
      <c r="P2672" s="43" t="s">
        <v>89</v>
      </c>
      <c r="Q2672" s="43" t="s">
        <v>89</v>
      </c>
      <c r="R2672" s="43" t="s">
        <v>26</v>
      </c>
      <c r="S2672" s="43"/>
      <c r="T2672" s="67" t="s">
        <v>396</v>
      </c>
    </row>
    <row r="2673" spans="1:20" s="45" customFormat="1" ht="14.4" hidden="1">
      <c r="A2673" s="25">
        <f>IF(C2673="","",MAX($A$1:A2672)+1)</f>
        <v>2476</v>
      </c>
      <c r="B2673" s="25" t="s">
        <v>79</v>
      </c>
      <c r="C2673" s="41">
        <v>46104</v>
      </c>
      <c r="D2673" s="48" t="str">
        <f>_xlfn.XLOOKUP(Table134526_79101120212223242526[[#This Row],[Name Surname]],Manpower!$C$4:$C$1048576,Manpower!$B$4:$B$1048576,"")</f>
        <v>Encogroup</v>
      </c>
      <c r="E2673" s="43" t="s">
        <v>237</v>
      </c>
      <c r="F2673" s="12">
        <f>_xlfn.XLOOKUP(Table134526_79101120212223242526[[#This Row],[Name Surname]],Manpower!C:C,Manpower!D:D,)</f>
        <v>75199413</v>
      </c>
      <c r="G2673" s="48" t="str">
        <f>_xlfn.XLOOKUP(Table134526_79101120212223242526[[#This Row],[Name Surname]],Manpower!$C$4:$C$1048576,Manpower!$F$4:$F$1048576,"")</f>
        <v>Mechanic</v>
      </c>
      <c r="H2673" s="48" t="str">
        <f>_xlfn.XLOOKUP(Table134526_79101120212223242526[[#This Row],[Name Surname]],Manpower!$C$4:$C$1048576,Manpower!$H$4:$H$1048576,"")</f>
        <v>Manpower</v>
      </c>
      <c r="I2673" s="48" t="str">
        <f>_xlfn.XLOOKUP(Table134526_79101120212223242526[[#This Row],[Name Surname]],Manpower!$C$4:$C$1048576,Manpower!$H$4:$H$1048576,"")</f>
        <v>Manpower</v>
      </c>
      <c r="J2673" s="43" t="s">
        <v>135</v>
      </c>
      <c r="K2673" s="43"/>
      <c r="L2673" s="43"/>
      <c r="M2673" s="43" t="s">
        <v>55</v>
      </c>
      <c r="N2673" s="44">
        <v>5</v>
      </c>
      <c r="O2673" s="43" t="s">
        <v>236</v>
      </c>
      <c r="P2673" s="43" t="s">
        <v>236</v>
      </c>
      <c r="Q2673" s="43" t="s">
        <v>236</v>
      </c>
      <c r="R2673" s="43" t="s">
        <v>26</v>
      </c>
      <c r="S2673" s="43"/>
      <c r="T2673" s="67" t="s">
        <v>396</v>
      </c>
    </row>
    <row r="2674" spans="1:20" s="45" customFormat="1" ht="14.4" hidden="1">
      <c r="A2674" s="25">
        <f>IF(C2674="","",MAX($A$1:A2673)+1)</f>
        <v>2477</v>
      </c>
      <c r="B2674" s="25" t="s">
        <v>79</v>
      </c>
      <c r="C2674" s="41">
        <v>46104</v>
      </c>
      <c r="D2674" s="48" t="str">
        <f>_xlfn.XLOOKUP(Table134526_79101120212223242526[[#This Row],[Name Surname]],Manpower!$C$4:$C$1048576,Manpower!$B$4:$B$1048576,"")</f>
        <v>Encogroup</v>
      </c>
      <c r="E2674" s="43" t="s">
        <v>34</v>
      </c>
      <c r="F2674" s="12">
        <f>_xlfn.XLOOKUP(Table134526_79101120212223242526[[#This Row],[Name Surname]],Manpower!C:C,Manpower!D:D,)</f>
        <v>141365023</v>
      </c>
      <c r="G2674" s="48" t="str">
        <f>_xlfn.XLOOKUP(Table134526_79101120212223242526[[#This Row],[Name Surname]],Manpower!$C$4:$C$1048576,Manpower!$F$4:$F$1048576,"")</f>
        <v>Grinder</v>
      </c>
      <c r="H2674" s="48" t="str">
        <f>_xlfn.XLOOKUP(Table134526_79101120212223242526[[#This Row],[Name Surname]],Manpower!$C$4:$C$1048576,Manpower!$H$4:$H$1048576,"")</f>
        <v>Manpower</v>
      </c>
      <c r="I2674" s="48" t="str">
        <f>_xlfn.XLOOKUP(Table134526_79101120212223242526[[#This Row],[Name Surname]],Manpower!$C$4:$C$1048576,Manpower!$H$4:$H$1048576,"")</f>
        <v>Manpower</v>
      </c>
      <c r="J2674" s="43" t="s">
        <v>35</v>
      </c>
      <c r="K2674" s="43" t="s">
        <v>26</v>
      </c>
      <c r="L2674" s="43"/>
      <c r="M2674" s="43" t="s">
        <v>55</v>
      </c>
      <c r="N2674" s="44">
        <v>5</v>
      </c>
      <c r="O2674" s="43" t="s">
        <v>89</v>
      </c>
      <c r="P2674" s="43" t="s">
        <v>89</v>
      </c>
      <c r="Q2674" s="43" t="s">
        <v>89</v>
      </c>
      <c r="R2674" s="43" t="s">
        <v>26</v>
      </c>
      <c r="S2674" s="43"/>
      <c r="T2674" s="67" t="s">
        <v>396</v>
      </c>
    </row>
    <row r="2675" spans="1:20" s="45" customFormat="1" ht="14.4" hidden="1">
      <c r="A2675" s="25">
        <f>IF(C2675="","",MAX($A$1:A2670)+1)</f>
        <v>2474</v>
      </c>
      <c r="B2675" s="25" t="s">
        <v>79</v>
      </c>
      <c r="C2675" s="41">
        <v>46104</v>
      </c>
      <c r="D2675" s="48" t="str">
        <f>_xlfn.XLOOKUP(Table134526_79101120212223242526[[#This Row],[Name Surname]],Manpower!$C$4:$C$1048576,Manpower!$B$4:$B$1048576,"")</f>
        <v>Encogroup</v>
      </c>
      <c r="E2675" s="43" t="s">
        <v>209</v>
      </c>
      <c r="F2675" s="12">
        <f>_xlfn.XLOOKUP(Table134526_79101120212223242526[[#This Row],[Name Surname]],Manpower!C:C,Manpower!D:D,)</f>
        <v>141365164</v>
      </c>
      <c r="G2675" s="48" t="str">
        <f>_xlfn.XLOOKUP(Table134526_79101120212223242526[[#This Row],[Name Surname]],Manpower!$C$4:$C$1048576,Manpower!$F$4:$F$1048576,"")</f>
        <v>Helper</v>
      </c>
      <c r="H2675" s="48" t="str">
        <f>_xlfn.XLOOKUP(Table134526_79101120212223242526[[#This Row],[Name Surname]],Manpower!$C$4:$C$1048576,Manpower!$H$4:$H$1048576,"")</f>
        <v>Manpower</v>
      </c>
      <c r="I2675" s="48" t="str">
        <f>_xlfn.XLOOKUP(Table134526_79101120212223242526[[#This Row],[Name Surname]],Manpower!$C$4:$C$1048576,Manpower!$H$4:$H$1048576,"")</f>
        <v>Manpower</v>
      </c>
      <c r="J2675" s="43" t="s">
        <v>35</v>
      </c>
      <c r="K2675" s="43" t="s">
        <v>26</v>
      </c>
      <c r="L2675" s="43"/>
      <c r="M2675" s="43" t="s">
        <v>55</v>
      </c>
      <c r="N2675" s="44">
        <v>5</v>
      </c>
      <c r="O2675" s="43" t="s">
        <v>89</v>
      </c>
      <c r="P2675" s="43" t="s">
        <v>89</v>
      </c>
      <c r="Q2675" s="43" t="s">
        <v>89</v>
      </c>
      <c r="R2675" s="43" t="s">
        <v>26</v>
      </c>
      <c r="S2675" s="43"/>
      <c r="T2675" s="67" t="s">
        <v>396</v>
      </c>
    </row>
    <row r="2676" spans="1:20" s="45" customFormat="1" ht="14.4" hidden="1">
      <c r="A2676" s="25">
        <f>IF(C2676="","",MAX($A$1:A2667)+1)</f>
        <v>2471</v>
      </c>
      <c r="B2676" s="25" t="s">
        <v>79</v>
      </c>
      <c r="C2676" s="41">
        <v>46104</v>
      </c>
      <c r="D2676" s="48" t="str">
        <f>_xlfn.XLOOKUP(Table134526_79101120212223242526[[#This Row],[Name Surname]],Manpower!$C$4:$C$1048576,Manpower!$B$4:$B$1048576,"")</f>
        <v>Encogroup</v>
      </c>
      <c r="E2676" s="43" t="s">
        <v>91</v>
      </c>
      <c r="F2676" s="12">
        <f>_xlfn.XLOOKUP(Table134526_79101120212223242526[[#This Row],[Name Surname]],Manpower!C:C,Manpower!D:D,)</f>
        <v>132915855</v>
      </c>
      <c r="G2676" s="48" t="str">
        <f>_xlfn.XLOOKUP(Table134526_79101120212223242526[[#This Row],[Name Surname]],Manpower!$C$4:$C$1048576,Manpower!$F$4:$F$1048576,"")</f>
        <v>Mechanical Supervisor</v>
      </c>
      <c r="H2676" s="48" t="str">
        <f>_xlfn.XLOOKUP(Table134526_79101120212223242526[[#This Row],[Name Surname]],Manpower!$C$4:$C$1048576,Manpower!$H$4:$H$1048576,"")</f>
        <v>Manpower</v>
      </c>
      <c r="I2676" s="48" t="str">
        <f>_xlfn.XLOOKUP(Table134526_79101120212223242526[[#This Row],[Name Surname]],Manpower!$C$4:$C$1048576,Manpower!$H$4:$H$1048576,"")</f>
        <v>Manpower</v>
      </c>
      <c r="J2676" s="43" t="s">
        <v>35</v>
      </c>
      <c r="K2676" s="43" t="s">
        <v>279</v>
      </c>
      <c r="L2676" s="43" t="s">
        <v>82</v>
      </c>
      <c r="M2676" s="43" t="s">
        <v>55</v>
      </c>
      <c r="N2676" s="44">
        <v>5</v>
      </c>
      <c r="O2676" s="43" t="s">
        <v>25</v>
      </c>
      <c r="P2676" s="43" t="s">
        <v>60</v>
      </c>
      <c r="Q2676" s="43" t="s">
        <v>60</v>
      </c>
      <c r="R2676" s="43" t="s">
        <v>388</v>
      </c>
      <c r="S2676" s="43"/>
      <c r="T2676" s="67" t="s">
        <v>396</v>
      </c>
    </row>
    <row r="2677" spans="1:20" s="45" customFormat="1" ht="14.4" hidden="1">
      <c r="A2677" s="25">
        <f>IF(C2677="","",MAX($A$1:A2676)+1)</f>
        <v>2478</v>
      </c>
      <c r="B2677" s="25" t="s">
        <v>79</v>
      </c>
      <c r="C2677" s="41">
        <v>46104</v>
      </c>
      <c r="D2677" s="48" t="str">
        <f>_xlfn.XLOOKUP(Table134526_79101120212223242526[[#This Row],[Name Surname]],Manpower!$C$4:$C$1048576,Manpower!$B$4:$B$1048576,"")</f>
        <v>Encogroup</v>
      </c>
      <c r="E2677" s="43" t="s">
        <v>97</v>
      </c>
      <c r="F2677" s="12">
        <f>_xlfn.XLOOKUP(Table134526_79101120212223242526[[#This Row],[Name Surname]],Manpower!C:C,Manpower!D:D,)</f>
        <v>141359235</v>
      </c>
      <c r="G2677" s="48" t="str">
        <f>_xlfn.XLOOKUP(Table134526_79101120212223242526[[#This Row],[Name Surname]],Manpower!$C$4:$C$1048576,Manpower!$F$4:$F$1048576,"")</f>
        <v>Fitter</v>
      </c>
      <c r="H2677" s="48" t="str">
        <f>_xlfn.XLOOKUP(Table134526_79101120212223242526[[#This Row],[Name Surname]],Manpower!$C$4:$C$1048576,Manpower!$H$4:$H$1048576,"")</f>
        <v>Manpower</v>
      </c>
      <c r="I2677" s="48" t="str">
        <f>_xlfn.XLOOKUP(Table134526_79101120212223242526[[#This Row],[Name Surname]],Manpower!$C$4:$C$1048576,Manpower!$H$4:$H$1048576,"")</f>
        <v>Manpower</v>
      </c>
      <c r="J2677" s="43" t="s">
        <v>35</v>
      </c>
      <c r="K2677" s="43" t="s">
        <v>279</v>
      </c>
      <c r="L2677" s="43" t="s">
        <v>82</v>
      </c>
      <c r="M2677" s="43" t="s">
        <v>55</v>
      </c>
      <c r="N2677" s="44">
        <v>5</v>
      </c>
      <c r="O2677" s="43" t="s">
        <v>25</v>
      </c>
      <c r="P2677" s="43" t="s">
        <v>41</v>
      </c>
      <c r="Q2677" s="43" t="s">
        <v>77</v>
      </c>
      <c r="R2677" s="43" t="s">
        <v>386</v>
      </c>
      <c r="S2677" s="43"/>
      <c r="T2677" s="67" t="s">
        <v>396</v>
      </c>
    </row>
    <row r="2678" spans="1:20" s="45" customFormat="1" ht="14.4" hidden="1">
      <c r="A2678" s="25">
        <f>IF(C2678="","",MAX($A$1:A2677)+1)</f>
        <v>2479</v>
      </c>
      <c r="B2678" s="25" t="s">
        <v>79</v>
      </c>
      <c r="C2678" s="41">
        <v>46104</v>
      </c>
      <c r="D2678" s="48" t="str">
        <f>_xlfn.XLOOKUP(Table134526_79101120212223242526[[#This Row],[Name Surname]],Manpower!$C$4:$C$1048576,Manpower!$B$4:$B$1048576,"")</f>
        <v>Encogroup</v>
      </c>
      <c r="E2678" s="43" t="s">
        <v>99</v>
      </c>
      <c r="F2678" s="12">
        <f>_xlfn.XLOOKUP(Table134526_79101120212223242526[[#This Row],[Name Surname]],Manpower!C:C,Manpower!D:D,)</f>
        <v>140697025</v>
      </c>
      <c r="G2678" s="48" t="str">
        <f>_xlfn.XLOOKUP(Table134526_79101120212223242526[[#This Row],[Name Surname]],Manpower!$C$4:$C$1048576,Manpower!$F$4:$F$1048576,"")</f>
        <v>Assistant/Helper</v>
      </c>
      <c r="H2678" s="48" t="str">
        <f>_xlfn.XLOOKUP(Table134526_79101120212223242526[[#This Row],[Name Surname]],Manpower!$C$4:$C$1048576,Manpower!$H$4:$H$1048576,"")</f>
        <v>Manpower</v>
      </c>
      <c r="I2678" s="48" t="str">
        <f>_xlfn.XLOOKUP(Table134526_79101120212223242526[[#This Row],[Name Surname]],Manpower!$C$4:$C$1048576,Manpower!$H$4:$H$1048576,"")</f>
        <v>Manpower</v>
      </c>
      <c r="J2678" s="43" t="s">
        <v>35</v>
      </c>
      <c r="K2678" s="43" t="s">
        <v>279</v>
      </c>
      <c r="L2678" s="43" t="s">
        <v>82</v>
      </c>
      <c r="M2678" s="43" t="s">
        <v>55</v>
      </c>
      <c r="N2678" s="44">
        <v>5</v>
      </c>
      <c r="O2678" s="43" t="s">
        <v>25</v>
      </c>
      <c r="P2678" s="43" t="s">
        <v>41</v>
      </c>
      <c r="Q2678" s="43" t="s">
        <v>60</v>
      </c>
      <c r="R2678" s="43" t="s">
        <v>100</v>
      </c>
      <c r="S2678" s="43"/>
      <c r="T2678" s="67" t="s">
        <v>396</v>
      </c>
    </row>
    <row r="2679" spans="1:20" s="45" customFormat="1" ht="14.4" hidden="1">
      <c r="A2679" s="25">
        <f>IF(C2679="","",MAX($A$1:A2678)+1)</f>
        <v>2480</v>
      </c>
      <c r="B2679" s="25" t="s">
        <v>79</v>
      </c>
      <c r="C2679" s="41">
        <v>46104</v>
      </c>
      <c r="D2679" s="48" t="str">
        <f>_xlfn.XLOOKUP(Table134526_79101120212223242526[[#This Row],[Name Surname]],Manpower!$C$4:$C$1048576,Manpower!$B$4:$B$1048576,"")</f>
        <v>Encogroup</v>
      </c>
      <c r="E2679" s="43" t="s">
        <v>125</v>
      </c>
      <c r="F2679" s="12">
        <f>_xlfn.XLOOKUP(Table134526_79101120212223242526[[#This Row],[Name Surname]],Manpower!C:C,Manpower!D:D,)</f>
        <v>141169028</v>
      </c>
      <c r="G2679" s="48" t="str">
        <f>_xlfn.XLOOKUP(Table134526_79101120212223242526[[#This Row],[Name Surname]],Manpower!$C$4:$C$1048576,Manpower!$F$4:$F$1048576,"")</f>
        <v>Welder</v>
      </c>
      <c r="H2679" s="48" t="str">
        <f>_xlfn.XLOOKUP(Table134526_79101120212223242526[[#This Row],[Name Surname]],Manpower!$C$4:$C$1048576,Manpower!$H$4:$H$1048576,"")</f>
        <v>Manpower</v>
      </c>
      <c r="I2679" s="48" t="str">
        <f>_xlfn.XLOOKUP(Table134526_79101120212223242526[[#This Row],[Name Surname]],Manpower!$C$4:$C$1048576,Manpower!$H$4:$H$1048576,"")</f>
        <v>Manpower</v>
      </c>
      <c r="J2679" s="43" t="s">
        <v>35</v>
      </c>
      <c r="K2679" s="43" t="s">
        <v>279</v>
      </c>
      <c r="L2679" s="43" t="s">
        <v>82</v>
      </c>
      <c r="M2679" s="43" t="s">
        <v>55</v>
      </c>
      <c r="N2679" s="44">
        <v>5</v>
      </c>
      <c r="O2679" s="43" t="s">
        <v>25</v>
      </c>
      <c r="P2679" s="43" t="s">
        <v>41</v>
      </c>
      <c r="Q2679" s="43" t="s">
        <v>60</v>
      </c>
      <c r="R2679" s="43" t="s">
        <v>390</v>
      </c>
      <c r="S2679" s="43"/>
      <c r="T2679" s="67" t="s">
        <v>396</v>
      </c>
    </row>
    <row r="2680" spans="1:20" s="45" customFormat="1" ht="14.4" hidden="1">
      <c r="A2680" s="25">
        <f>IF(C2680="","",MAX($A$1:A2678)+1)</f>
        <v>2480</v>
      </c>
      <c r="B2680" s="25" t="s">
        <v>79</v>
      </c>
      <c r="C2680" s="41">
        <v>46104</v>
      </c>
      <c r="D2680" s="48" t="str">
        <f>_xlfn.XLOOKUP(Table134526_79101120212223242526[[#This Row],[Name Surname]],Manpower!$C$4:$C$1048576,Manpower!$B$4:$B$1048576,"")</f>
        <v>Encogroup</v>
      </c>
      <c r="E2680" s="43" t="s">
        <v>101</v>
      </c>
      <c r="F2680" s="12">
        <f>_xlfn.XLOOKUP(Table134526_79101120212223242526[[#This Row],[Name Surname]],Manpower!C:C,Manpower!D:D,)</f>
        <v>141169052</v>
      </c>
      <c r="G2680" s="48" t="str">
        <f>_xlfn.XLOOKUP(Table134526_79101120212223242526[[#This Row],[Name Surname]],Manpower!$C$4:$C$1048576,Manpower!$F$4:$F$1048576,"")</f>
        <v>Welder</v>
      </c>
      <c r="H2680" s="48" t="str">
        <f>_xlfn.XLOOKUP(Table134526_79101120212223242526[[#This Row],[Name Surname]],Manpower!$C$4:$C$1048576,Manpower!$H$4:$H$1048576,"")</f>
        <v>Manpower</v>
      </c>
      <c r="I2680" s="48" t="str">
        <f>_xlfn.XLOOKUP(Table134526_79101120212223242526[[#This Row],[Name Surname]],Manpower!$C$4:$C$1048576,Manpower!$H$4:$H$1048576,"")</f>
        <v>Manpower</v>
      </c>
      <c r="J2680" s="43" t="s">
        <v>35</v>
      </c>
      <c r="K2680" s="43" t="s">
        <v>279</v>
      </c>
      <c r="L2680" s="43" t="s">
        <v>82</v>
      </c>
      <c r="M2680" s="43" t="s">
        <v>55</v>
      </c>
      <c r="N2680" s="44">
        <v>5</v>
      </c>
      <c r="O2680" s="43" t="s">
        <v>25</v>
      </c>
      <c r="P2680" s="43" t="s">
        <v>41</v>
      </c>
      <c r="Q2680" s="43" t="s">
        <v>77</v>
      </c>
      <c r="R2680" s="43" t="s">
        <v>386</v>
      </c>
      <c r="S2680" s="43"/>
      <c r="T2680" s="67" t="s">
        <v>396</v>
      </c>
    </row>
    <row r="2681" spans="1:20" s="45" customFormat="1" ht="14.4" hidden="1">
      <c r="A2681" s="25">
        <f>IF(C2681="","",MAX($A$1:A2680)+1)</f>
        <v>2481</v>
      </c>
      <c r="B2681" s="25" t="s">
        <v>79</v>
      </c>
      <c r="C2681" s="41">
        <v>46104</v>
      </c>
      <c r="D2681" s="48" t="str">
        <f>_xlfn.XLOOKUP(Table134526_79101120212223242526[[#This Row],[Name Surname]],Manpower!$C$4:$C$1048576,Manpower!$B$4:$B$1048576,"")</f>
        <v>Encogroup</v>
      </c>
      <c r="E2681" s="43" t="s">
        <v>105</v>
      </c>
      <c r="F2681" s="12">
        <f>_xlfn.XLOOKUP(Table134526_79101120212223242526[[#This Row],[Name Surname]],Manpower!C:C,Manpower!D:D,)</f>
        <v>141358993</v>
      </c>
      <c r="G2681" s="48" t="str">
        <f>_xlfn.XLOOKUP(Table134526_79101120212223242526[[#This Row],[Name Surname]],Manpower!$C$4:$C$1048576,Manpower!$F$4:$F$1048576,"")</f>
        <v>Fitter</v>
      </c>
      <c r="H2681" s="48" t="str">
        <f>_xlfn.XLOOKUP(Table134526_79101120212223242526[[#This Row],[Name Surname]],Manpower!$C$4:$C$1048576,Manpower!$H$4:$H$1048576,"")</f>
        <v>Manpower</v>
      </c>
      <c r="I2681" s="48" t="str">
        <f>_xlfn.XLOOKUP(Table134526_79101120212223242526[[#This Row],[Name Surname]],Manpower!$C$4:$C$1048576,Manpower!$H$4:$H$1048576,"")</f>
        <v>Manpower</v>
      </c>
      <c r="J2681" s="43" t="s">
        <v>35</v>
      </c>
      <c r="K2681" s="43" t="s">
        <v>279</v>
      </c>
      <c r="L2681" s="43" t="s">
        <v>82</v>
      </c>
      <c r="M2681" s="43" t="s">
        <v>55</v>
      </c>
      <c r="N2681" s="44">
        <v>5</v>
      </c>
      <c r="O2681" s="43" t="s">
        <v>25</v>
      </c>
      <c r="P2681" s="43" t="s">
        <v>41</v>
      </c>
      <c r="Q2681" s="43" t="s">
        <v>77</v>
      </c>
      <c r="R2681" s="43" t="s">
        <v>386</v>
      </c>
      <c r="S2681" s="43"/>
      <c r="T2681" s="67" t="s">
        <v>396</v>
      </c>
    </row>
    <row r="2682" spans="1:20" s="45" customFormat="1" ht="14.4" hidden="1">
      <c r="A2682" s="25">
        <f>IF(C2682="","",MAX($A$1:A2681)+1)</f>
        <v>2482</v>
      </c>
      <c r="B2682" s="25" t="s">
        <v>79</v>
      </c>
      <c r="C2682" s="41">
        <v>46104</v>
      </c>
      <c r="D2682" s="48" t="str">
        <f>_xlfn.XLOOKUP(Table134526_79101120212223242526[[#This Row],[Name Surname]],Manpower!$C$4:$C$1048576,Manpower!$B$4:$B$1048576,"")</f>
        <v>Encogroup</v>
      </c>
      <c r="E2682" s="43" t="s">
        <v>106</v>
      </c>
      <c r="F2682" s="12" t="str">
        <f>_xlfn.XLOOKUP(Table134526_79101120212223242526[[#This Row],[Name Surname]],Manpower!C:C,Manpower!D:D,)</f>
        <v>R3971143</v>
      </c>
      <c r="G2682" s="48" t="str">
        <f>_xlfn.XLOOKUP(Table134526_79101120212223242526[[#This Row],[Name Surname]],Manpower!$C$4:$C$1048576,Manpower!$F$4:$F$1048576,"")</f>
        <v>Mechanical Foreman</v>
      </c>
      <c r="H2682" s="48" t="str">
        <f>_xlfn.XLOOKUP(Table134526_79101120212223242526[[#This Row],[Name Surname]],Manpower!$C$4:$C$1048576,Manpower!$H$4:$H$1048576,"")</f>
        <v>Manpower</v>
      </c>
      <c r="I2682" s="48" t="str">
        <f>_xlfn.XLOOKUP(Table134526_79101120212223242526[[#This Row],[Name Surname]],Manpower!$C$4:$C$1048576,Manpower!$H$4:$H$1048576,"")</f>
        <v>Manpower</v>
      </c>
      <c r="J2682" s="43" t="s">
        <v>35</v>
      </c>
      <c r="K2682" s="43" t="s">
        <v>389</v>
      </c>
      <c r="L2682" s="43" t="s">
        <v>82</v>
      </c>
      <c r="M2682" s="43" t="s">
        <v>55</v>
      </c>
      <c r="N2682" s="44">
        <v>5</v>
      </c>
      <c r="O2682" s="43" t="s">
        <v>25</v>
      </c>
      <c r="P2682" s="43" t="s">
        <v>41</v>
      </c>
      <c r="Q2682" s="43" t="s">
        <v>60</v>
      </c>
      <c r="R2682" s="43" t="s">
        <v>388</v>
      </c>
      <c r="S2682" s="43"/>
      <c r="T2682" s="67" t="s">
        <v>396</v>
      </c>
    </row>
    <row r="2683" spans="1:20" s="45" customFormat="1" ht="14.4" hidden="1">
      <c r="A2683" s="25">
        <f>IF(C2683="","",MAX($A$1:A2682)+1)</f>
        <v>2483</v>
      </c>
      <c r="B2683" s="25" t="s">
        <v>79</v>
      </c>
      <c r="C2683" s="41">
        <v>46104</v>
      </c>
      <c r="D2683" s="48" t="str">
        <f>_xlfn.XLOOKUP(Table134526_79101120212223242526[[#This Row],[Name Surname]],Manpower!$C$4:$C$1048576,Manpower!$B$4:$B$1048576,"")</f>
        <v>Encogroup</v>
      </c>
      <c r="E2683" s="43" t="s">
        <v>107</v>
      </c>
      <c r="F2683" s="12">
        <f>_xlfn.XLOOKUP(Table134526_79101120212223242526[[#This Row],[Name Surname]],Manpower!C:C,Manpower!D:D,)</f>
        <v>116858297</v>
      </c>
      <c r="G2683" s="48" t="str">
        <f>_xlfn.XLOOKUP(Table134526_79101120212223242526[[#This Row],[Name Surname]],Manpower!$C$4:$C$1048576,Manpower!$F$4:$F$1048576,"")</f>
        <v>Mechanical Superintendent</v>
      </c>
      <c r="H2683" s="48" t="str">
        <f>_xlfn.XLOOKUP(Table134526_79101120212223242526[[#This Row],[Name Surname]],Manpower!$C$4:$C$1048576,Manpower!$H$4:$H$1048576,"")</f>
        <v>Manpower</v>
      </c>
      <c r="I2683" s="48" t="str">
        <f>_xlfn.XLOOKUP(Table134526_79101120212223242526[[#This Row],[Name Surname]],Manpower!$C$4:$C$1048576,Manpower!$H$4:$H$1048576,"")</f>
        <v>Manpower</v>
      </c>
      <c r="J2683" s="43" t="s">
        <v>35</v>
      </c>
      <c r="K2683" s="43" t="s">
        <v>389</v>
      </c>
      <c r="L2683" s="43" t="s">
        <v>82</v>
      </c>
      <c r="M2683" s="43" t="s">
        <v>55</v>
      </c>
      <c r="N2683" s="44">
        <v>5</v>
      </c>
      <c r="O2683" s="43" t="s">
        <v>25</v>
      </c>
      <c r="P2683" s="43" t="s">
        <v>41</v>
      </c>
      <c r="Q2683" s="43" t="s">
        <v>60</v>
      </c>
      <c r="R2683" s="43" t="s">
        <v>388</v>
      </c>
      <c r="S2683" s="43"/>
      <c r="T2683" s="67" t="s">
        <v>396</v>
      </c>
    </row>
    <row r="2684" spans="1:20" s="45" customFormat="1" ht="14.4" hidden="1">
      <c r="A2684" s="25">
        <f>IF(C2684="","",MAX($A$1:A2683)+1)</f>
        <v>2484</v>
      </c>
      <c r="B2684" s="25" t="s">
        <v>79</v>
      </c>
      <c r="C2684" s="41">
        <v>46104</v>
      </c>
      <c r="D2684" s="48" t="str">
        <f>_xlfn.XLOOKUP(Table134526_79101120212223242526[[#This Row],[Name Surname]],Manpower!$C$4:$C$1048576,Manpower!$B$4:$B$1048576,"")</f>
        <v>Encogroup</v>
      </c>
      <c r="E2684" s="43" t="s">
        <v>126</v>
      </c>
      <c r="F2684" s="12">
        <f>_xlfn.XLOOKUP(Table134526_79101120212223242526[[#This Row],[Name Surname]],Manpower!C:C,Manpower!D:D,)</f>
        <v>140805568</v>
      </c>
      <c r="G2684" s="48" t="str">
        <f>_xlfn.XLOOKUP(Table134526_79101120212223242526[[#This Row],[Name Surname]],Manpower!$C$4:$C$1048576,Manpower!$F$4:$F$1048576,"")</f>
        <v>Assistant/Helper</v>
      </c>
      <c r="H2684" s="48" t="str">
        <f>_xlfn.XLOOKUP(Table134526_79101120212223242526[[#This Row],[Name Surname]],Manpower!$C$4:$C$1048576,Manpower!$H$4:$H$1048576,"")</f>
        <v>Manpower</v>
      </c>
      <c r="I2684" s="48" t="str">
        <f>_xlfn.XLOOKUP(Table134526_79101120212223242526[[#This Row],[Name Surname]],Manpower!$C$4:$C$1048576,Manpower!$H$4:$H$1048576,"")</f>
        <v>Manpower</v>
      </c>
      <c r="J2684" s="43" t="s">
        <v>35</v>
      </c>
      <c r="K2684" s="43" t="s">
        <v>279</v>
      </c>
      <c r="L2684" s="43" t="s">
        <v>82</v>
      </c>
      <c r="M2684" s="43" t="s">
        <v>55</v>
      </c>
      <c r="N2684" s="44">
        <v>5</v>
      </c>
      <c r="O2684" s="43" t="s">
        <v>40</v>
      </c>
      <c r="P2684" s="43" t="s">
        <v>41</v>
      </c>
      <c r="Q2684" s="43" t="s">
        <v>128</v>
      </c>
      <c r="R2684" s="43" t="s">
        <v>270</v>
      </c>
      <c r="S2684" s="43"/>
      <c r="T2684" s="67" t="s">
        <v>396</v>
      </c>
    </row>
    <row r="2685" spans="1:20" s="45" customFormat="1" ht="14.4" hidden="1">
      <c r="A2685" s="25">
        <f>IF(C2685="","",MAX($A$1:A2684)+1)</f>
        <v>2485</v>
      </c>
      <c r="B2685" s="25" t="s">
        <v>79</v>
      </c>
      <c r="C2685" s="41">
        <v>46104</v>
      </c>
      <c r="D2685" s="48" t="str">
        <f>_xlfn.XLOOKUP(Table134526_79101120212223242526[[#This Row],[Name Surname]],Manpower!$C$4:$C$1048576,Manpower!$B$4:$B$1048576,"")</f>
        <v>Rabwu Ahamal AL Khaleej Trad</v>
      </c>
      <c r="E2685" s="43" t="s">
        <v>131</v>
      </c>
      <c r="F2685" s="12">
        <f>_xlfn.XLOOKUP(Table134526_79101120212223242526[[#This Row],[Name Surname]],Manpower!C:C,Manpower!D:D,)</f>
        <v>131431131</v>
      </c>
      <c r="G2685" s="48" t="str">
        <f>_xlfn.XLOOKUP(Table134526_79101120212223242526[[#This Row],[Name Surname]],Manpower!$C$4:$C$1048576,Manpower!$F$4:$F$1048576,"")</f>
        <v>RIgger</v>
      </c>
      <c r="H2685" s="48" t="str">
        <f>_xlfn.XLOOKUP(Table134526_79101120212223242526[[#This Row],[Name Surname]],Manpower!$C$4:$C$1048576,Manpower!$H$4:$H$1048576,"")</f>
        <v>Sub Contactor</v>
      </c>
      <c r="I2685" s="48" t="str">
        <f>_xlfn.XLOOKUP(Table134526_79101120212223242526[[#This Row],[Name Surname]],Manpower!$C$4:$C$1048576,Manpower!$H$4:$H$1048576,"")</f>
        <v>Sub Contactor</v>
      </c>
      <c r="J2685" s="43" t="s">
        <v>35</v>
      </c>
      <c r="K2685" s="43" t="s">
        <v>279</v>
      </c>
      <c r="L2685" s="43" t="s">
        <v>82</v>
      </c>
      <c r="M2685" s="43" t="s">
        <v>55</v>
      </c>
      <c r="N2685" s="44">
        <v>5</v>
      </c>
      <c r="O2685" s="43" t="s">
        <v>40</v>
      </c>
      <c r="P2685" s="43" t="s">
        <v>41</v>
      </c>
      <c r="Q2685" s="43" t="s">
        <v>42</v>
      </c>
      <c r="R2685" s="43" t="s">
        <v>401</v>
      </c>
      <c r="S2685" s="43"/>
      <c r="T2685" s="67" t="s">
        <v>396</v>
      </c>
    </row>
    <row r="2686" spans="1:20" s="45" customFormat="1" ht="14.4" hidden="1">
      <c r="A2686" s="25">
        <f>IF(C2686="","",MAX($A$1:A2685)+1)</f>
        <v>2486</v>
      </c>
      <c r="B2686" s="25" t="s">
        <v>79</v>
      </c>
      <c r="C2686" s="41">
        <v>46104</v>
      </c>
      <c r="D2686" s="48" t="str">
        <f>_xlfn.XLOOKUP(Table134526_79101120212223242526[[#This Row],[Name Surname]],Manpower!$C$4:$C$1048576,Manpower!$B$4:$B$1048576,"")</f>
        <v>AL Saif &amp; Al QALLM ENT LLC</v>
      </c>
      <c r="E2686" s="43" t="s">
        <v>130</v>
      </c>
      <c r="F2686" s="12">
        <f>_xlfn.XLOOKUP(Table134526_79101120212223242526[[#This Row],[Name Surname]],Manpower!C:C,Manpower!D:D,)</f>
        <v>76647648</v>
      </c>
      <c r="G2686" s="48" t="str">
        <f>_xlfn.XLOOKUP(Table134526_79101120212223242526[[#This Row],[Name Surname]],Manpower!$C$4:$C$1048576,Manpower!$F$4:$F$1048576,"")</f>
        <v>RIgger</v>
      </c>
      <c r="H2686" s="48" t="str">
        <f>_xlfn.XLOOKUP(Table134526_79101120212223242526[[#This Row],[Name Surname]],Manpower!$C$4:$C$1048576,Manpower!$H$4:$H$1048576,"")</f>
        <v>Sub Contactor</v>
      </c>
      <c r="I2686" s="48" t="str">
        <f>_xlfn.XLOOKUP(Table134526_79101120212223242526[[#This Row],[Name Surname]],Manpower!$C$4:$C$1048576,Manpower!$H$4:$H$1048576,"")</f>
        <v>Sub Contactor</v>
      </c>
      <c r="J2686" s="43" t="s">
        <v>35</v>
      </c>
      <c r="K2686" s="43" t="s">
        <v>279</v>
      </c>
      <c r="L2686" s="43" t="s">
        <v>82</v>
      </c>
      <c r="M2686" s="43" t="s">
        <v>55</v>
      </c>
      <c r="N2686" s="44">
        <v>5</v>
      </c>
      <c r="O2686" s="43" t="s">
        <v>40</v>
      </c>
      <c r="P2686" s="43" t="s">
        <v>41</v>
      </c>
      <c r="Q2686" s="43" t="s">
        <v>42</v>
      </c>
      <c r="R2686" s="43" t="s">
        <v>401</v>
      </c>
      <c r="S2686" s="43"/>
      <c r="T2686" s="67" t="s">
        <v>396</v>
      </c>
    </row>
    <row r="2687" spans="1:20" s="45" customFormat="1" ht="14.4" hidden="1">
      <c r="A2687" s="25">
        <f>IF(C2687="","",MAX($A$1:A2684)+1)</f>
        <v>2485</v>
      </c>
      <c r="B2687" s="25" t="s">
        <v>79</v>
      </c>
      <c r="C2687" s="41">
        <v>46104</v>
      </c>
      <c r="D2687" s="48" t="str">
        <f>_xlfn.XLOOKUP(Table134526_79101120212223242526[[#This Row],[Name Surname]],Manpower!$C$4:$C$1048576,Manpower!$B$4:$B$1048576,"")</f>
        <v>Encogroup</v>
      </c>
      <c r="E2687" s="43" t="s">
        <v>109</v>
      </c>
      <c r="F2687" s="12">
        <f>_xlfn.XLOOKUP(Table134526_79101120212223242526[[#This Row],[Name Surname]],Manpower!C:C,Manpower!D:D,)</f>
        <v>123805496</v>
      </c>
      <c r="G2687" s="48" t="str">
        <f>_xlfn.XLOOKUP(Table134526_79101120212223242526[[#This Row],[Name Surname]],Manpower!$C$4:$C$1048576,Manpower!$F$4:$F$1048576,"")</f>
        <v>Fitter/Erector</v>
      </c>
      <c r="H2687" s="48" t="str">
        <f>_xlfn.XLOOKUP(Table134526_79101120212223242526[[#This Row],[Name Surname]],Manpower!$C$4:$C$1048576,Manpower!$H$4:$H$1048576,"")</f>
        <v>Manpower</v>
      </c>
      <c r="I2687" s="48" t="str">
        <f>_xlfn.XLOOKUP(Table134526_79101120212223242526[[#This Row],[Name Surname]],Manpower!$C$4:$C$1048576,Manpower!$H$4:$H$1048576,"")</f>
        <v>Manpower</v>
      </c>
      <c r="J2687" s="43" t="s">
        <v>35</v>
      </c>
      <c r="K2687" s="43" t="s">
        <v>279</v>
      </c>
      <c r="L2687" s="43" t="s">
        <v>82</v>
      </c>
      <c r="M2687" s="43" t="s">
        <v>55</v>
      </c>
      <c r="N2687" s="44">
        <v>5</v>
      </c>
      <c r="O2687" s="43" t="s">
        <v>25</v>
      </c>
      <c r="P2687" s="43" t="s">
        <v>41</v>
      </c>
      <c r="Q2687" s="43" t="s">
        <v>60</v>
      </c>
      <c r="R2687" s="43" t="s">
        <v>390</v>
      </c>
      <c r="S2687" s="43"/>
      <c r="T2687" s="67" t="s">
        <v>396</v>
      </c>
    </row>
    <row r="2688" spans="1:20" ht="14.4" hidden="1">
      <c r="A2688" s="33">
        <f>IF(C2688="","",MAX($A$1:A2687)+1)</f>
        <v>2487</v>
      </c>
      <c r="B2688" s="26" t="s">
        <v>79</v>
      </c>
      <c r="C2688" s="23">
        <v>46104</v>
      </c>
      <c r="D2688" s="28" t="str">
        <f>_xlfn.XLOOKUP(Table134526_79101120212223242526[[#This Row],[Name Surname]],Manpower!$C$4:$C$1048576,Manpower!$B$4:$B$1048576,"")</f>
        <v>Encogroup</v>
      </c>
      <c r="E2688" s="21" t="s">
        <v>110</v>
      </c>
      <c r="F2688" s="12">
        <f>_xlfn.XLOOKUP(Table134526_79101120212223242526[[#This Row],[Name Surname]],Manpower!C:C,Manpower!D:D,)</f>
        <v>136277866</v>
      </c>
      <c r="G2688" s="28" t="str">
        <f>_xlfn.XLOOKUP(Table134526_79101120212223242526[[#This Row],[Name Surname]],Manpower!$C$4:$C$1048576,Manpower!$F$4:$F$1048576,"")</f>
        <v>Permit Receiver</v>
      </c>
      <c r="H2688" s="28" t="str">
        <f>_xlfn.XLOOKUP(Table134526_79101120212223242526[[#This Row],[Name Surname]],Manpower!$C$4:$C$1048576,Manpower!$H$4:$H$1048576,"")</f>
        <v>Manpower</v>
      </c>
      <c r="I2688" s="28" t="str">
        <f>_xlfn.XLOOKUP(Table134526_79101120212223242526[[#This Row],[Name Surname]],Manpower!$C$4:$C$1048576,Manpower!$H$4:$H$1048576,"")</f>
        <v>Manpower</v>
      </c>
      <c r="J2688" s="21" t="s">
        <v>35</v>
      </c>
      <c r="K2688" s="21" t="s">
        <v>389</v>
      </c>
      <c r="L2688" s="21" t="s">
        <v>82</v>
      </c>
      <c r="M2688" s="21" t="s">
        <v>55</v>
      </c>
      <c r="N2688" s="29">
        <v>5</v>
      </c>
      <c r="O2688" s="21" t="s">
        <v>25</v>
      </c>
      <c r="P2688" s="21" t="s">
        <v>41</v>
      </c>
      <c r="Q2688" s="21" t="s">
        <v>60</v>
      </c>
      <c r="R2688" s="21" t="s">
        <v>388</v>
      </c>
      <c r="T2688" s="56" t="s">
        <v>396</v>
      </c>
    </row>
    <row r="2689" spans="1:20" s="45" customFormat="1" ht="14.4" hidden="1">
      <c r="A2689" s="25">
        <f>IF(C2689="","",MAX($A$1:A2688)+1)</f>
        <v>2488</v>
      </c>
      <c r="B2689" s="25" t="s">
        <v>79</v>
      </c>
      <c r="C2689" s="41">
        <v>46104</v>
      </c>
      <c r="D2689" s="48" t="str">
        <f>_xlfn.XLOOKUP(Table134526_79101120212223242526[[#This Row],[Name Surname]],Manpower!$C$4:$C$1048576,Manpower!$B$4:$B$1048576,"")</f>
        <v>Encogroup</v>
      </c>
      <c r="E2689" s="43" t="s">
        <v>112</v>
      </c>
      <c r="F2689" s="12">
        <f>_xlfn.XLOOKUP(Table134526_79101120212223242526[[#This Row],[Name Surname]],Manpower!C:C,Manpower!D:D,)</f>
        <v>140663253</v>
      </c>
      <c r="G2689" s="48" t="str">
        <f>_xlfn.XLOOKUP(Table134526_79101120212223242526[[#This Row],[Name Surname]],Manpower!$C$4:$C$1048576,Manpower!$F$4:$F$1048576,"")</f>
        <v>Painting Inspector</v>
      </c>
      <c r="H2689" s="48" t="str">
        <f>_xlfn.XLOOKUP(Table134526_79101120212223242526[[#This Row],[Name Surname]],Manpower!$C$4:$C$1048576,Manpower!$H$4:$H$1048576,"")</f>
        <v>Manpower</v>
      </c>
      <c r="I2689" s="48" t="str">
        <f>_xlfn.XLOOKUP(Table134526_79101120212223242526[[#This Row],[Name Surname]],Manpower!$C$4:$C$1048576,Manpower!$H$4:$H$1048576,"")</f>
        <v>Manpower</v>
      </c>
      <c r="J2689" s="43" t="s">
        <v>35</v>
      </c>
      <c r="K2689" s="43" t="s">
        <v>88</v>
      </c>
      <c r="L2689" s="43" t="s">
        <v>82</v>
      </c>
      <c r="M2689" s="43" t="s">
        <v>55</v>
      </c>
      <c r="N2689" s="44">
        <v>5</v>
      </c>
      <c r="O2689" s="43" t="s">
        <v>94</v>
      </c>
      <c r="P2689" s="43" t="s">
        <v>114</v>
      </c>
      <c r="Q2689" s="43" t="s">
        <v>114</v>
      </c>
      <c r="R2689" s="43" t="s">
        <v>391</v>
      </c>
      <c r="S2689" s="43"/>
      <c r="T2689" s="67" t="s">
        <v>396</v>
      </c>
    </row>
    <row r="2690" spans="1:20" s="45" customFormat="1" ht="14.4" hidden="1">
      <c r="A2690" s="25">
        <f>IF(C2690="","",MAX($A$1:A2689)+1)</f>
        <v>2489</v>
      </c>
      <c r="B2690" s="25" t="s">
        <v>79</v>
      </c>
      <c r="C2690" s="41">
        <v>46104</v>
      </c>
      <c r="D2690" s="48" t="str">
        <f>_xlfn.XLOOKUP(Table134526_79101120212223242526[[#This Row],[Name Surname]],Manpower!$C$4:$C$1048576,Manpower!$B$4:$B$1048576,"")</f>
        <v>Encogroup</v>
      </c>
      <c r="E2690" s="43" t="s">
        <v>118</v>
      </c>
      <c r="F2690" s="12" t="str">
        <f>_xlfn.XLOOKUP(Table134526_79101120212223242526[[#This Row],[Name Surname]],Manpower!C:C,Manpower!D:D,)</f>
        <v>AG111207</v>
      </c>
      <c r="G2690" s="48" t="str">
        <f>_xlfn.XLOOKUP(Table134526_79101120212223242526[[#This Row],[Name Surname]],Manpower!$C$4:$C$1048576,Manpower!$F$4:$F$1048576,"")</f>
        <v>Assistant/Helper</v>
      </c>
      <c r="H2690" s="48" t="str">
        <f>_xlfn.XLOOKUP(Table134526_79101120212223242526[[#This Row],[Name Surname]],Manpower!$C$4:$C$1048576,Manpower!$H$4:$H$1048576,"")</f>
        <v>Manpower</v>
      </c>
      <c r="I2690" s="48" t="str">
        <f>_xlfn.XLOOKUP(Table134526_79101120212223242526[[#This Row],[Name Surname]],Manpower!$C$4:$C$1048576,Manpower!$H$4:$H$1048576,"")</f>
        <v>Manpower</v>
      </c>
      <c r="J2690" s="43" t="s">
        <v>35</v>
      </c>
      <c r="K2690" s="43" t="s">
        <v>88</v>
      </c>
      <c r="L2690" s="43" t="s">
        <v>82</v>
      </c>
      <c r="M2690" s="43" t="s">
        <v>55</v>
      </c>
      <c r="N2690" s="44">
        <v>5</v>
      </c>
      <c r="O2690" s="43" t="s">
        <v>94</v>
      </c>
      <c r="P2690" s="43" t="s">
        <v>114</v>
      </c>
      <c r="Q2690" s="43" t="s">
        <v>114</v>
      </c>
      <c r="R2690" s="43" t="s">
        <v>391</v>
      </c>
      <c r="S2690" s="43"/>
      <c r="T2690" s="67" t="s">
        <v>396</v>
      </c>
    </row>
    <row r="2691" spans="1:20" s="45" customFormat="1" ht="14.4" hidden="1">
      <c r="A2691" s="25">
        <f>IF(C2691="","",MAX($A$1:A2690)+1)</f>
        <v>2490</v>
      </c>
      <c r="B2691" s="25" t="s">
        <v>79</v>
      </c>
      <c r="C2691" s="41">
        <v>46104</v>
      </c>
      <c r="D2691" s="48" t="str">
        <f>_xlfn.XLOOKUP(Table134526_79101120212223242526[[#This Row],[Name Surname]],Manpower!$C$4:$C$1048576,Manpower!$B$4:$B$1048576,"")</f>
        <v>Encogroup</v>
      </c>
      <c r="E2691" s="43" t="s">
        <v>92</v>
      </c>
      <c r="F2691" s="12">
        <f>_xlfn.XLOOKUP(Table134526_79101120212223242526[[#This Row],[Name Surname]],Manpower!C:C,Manpower!D:D,)</f>
        <v>141377747</v>
      </c>
      <c r="G2691" s="48" t="str">
        <f>_xlfn.XLOOKUP(Table134526_79101120212223242526[[#This Row],[Name Surname]],Manpower!$C$4:$C$1048576,Manpower!$F$4:$F$1048576,"")</f>
        <v>Painter</v>
      </c>
      <c r="H2691" s="48" t="str">
        <f>_xlfn.XLOOKUP(Table134526_79101120212223242526[[#This Row],[Name Surname]],Manpower!$C$4:$C$1048576,Manpower!$H$4:$H$1048576,"")</f>
        <v>Manpower</v>
      </c>
      <c r="I2691" s="48" t="str">
        <f>_xlfn.XLOOKUP(Table134526_79101120212223242526[[#This Row],[Name Surname]],Manpower!$C$4:$C$1048576,Manpower!$H$4:$H$1048576,"")</f>
        <v>Manpower</v>
      </c>
      <c r="J2691" s="43" t="s">
        <v>35</v>
      </c>
      <c r="K2691" s="43" t="s">
        <v>252</v>
      </c>
      <c r="L2691" s="43" t="s">
        <v>82</v>
      </c>
      <c r="M2691" s="43" t="s">
        <v>55</v>
      </c>
      <c r="N2691" s="44">
        <v>5</v>
      </c>
      <c r="O2691" s="43" t="s">
        <v>25</v>
      </c>
      <c r="P2691" s="43" t="s">
        <v>60</v>
      </c>
      <c r="Q2691" s="43" t="s">
        <v>60</v>
      </c>
      <c r="R2691" s="43" t="s">
        <v>390</v>
      </c>
      <c r="S2691" s="43"/>
      <c r="T2691" s="67" t="s">
        <v>396</v>
      </c>
    </row>
    <row r="2692" spans="1:20" s="45" customFormat="1" ht="14.4" hidden="1">
      <c r="A2692" s="25">
        <f>IF(C2692="","",MAX($A$1:A2691)+1)</f>
        <v>2491</v>
      </c>
      <c r="B2692" s="25" t="s">
        <v>79</v>
      </c>
      <c r="C2692" s="41">
        <v>46104</v>
      </c>
      <c r="D2692" s="48" t="str">
        <f>_xlfn.XLOOKUP(Table134526_79101120212223242526[[#This Row],[Name Surname]],Manpower!$C$4:$C$1048576,Manpower!$B$4:$B$1048576,"")</f>
        <v>Encogroup</v>
      </c>
      <c r="E2692" s="43" t="s">
        <v>173</v>
      </c>
      <c r="F2692" s="12" t="str">
        <f>_xlfn.XLOOKUP(Table134526_79101120212223242526[[#This Row],[Name Surname]],Manpower!C:C,Manpower!D:D,)</f>
        <v>S3549132</v>
      </c>
      <c r="G2692" s="48" t="str">
        <f>_xlfn.XLOOKUP(Table134526_79101120212223242526[[#This Row],[Name Surname]],Manpower!$C$4:$C$1048576,Manpower!$F$4:$F$1048576,"")</f>
        <v>Grinder</v>
      </c>
      <c r="H2692" s="48" t="str">
        <f>_xlfn.XLOOKUP(Table134526_79101120212223242526[[#This Row],[Name Surname]],Manpower!$C$4:$C$1048576,Manpower!$H$4:$H$1048576,"")</f>
        <v>Manpower</v>
      </c>
      <c r="I2692" s="48" t="str">
        <f>_xlfn.XLOOKUP(Table134526_79101120212223242526[[#This Row],[Name Surname]],Manpower!$C$4:$C$1048576,Manpower!$H$4:$H$1048576,"")</f>
        <v>Manpower</v>
      </c>
      <c r="J2692" s="43" t="s">
        <v>35</v>
      </c>
      <c r="K2692" s="43" t="s">
        <v>88</v>
      </c>
      <c r="L2692" s="43" t="s">
        <v>82</v>
      </c>
      <c r="M2692" s="43" t="s">
        <v>55</v>
      </c>
      <c r="N2692" s="44">
        <v>5</v>
      </c>
      <c r="O2692" s="43" t="s">
        <v>94</v>
      </c>
      <c r="P2692" s="43" t="s">
        <v>114</v>
      </c>
      <c r="Q2692" s="43" t="s">
        <v>114</v>
      </c>
      <c r="R2692" s="43" t="s">
        <v>391</v>
      </c>
      <c r="S2692" s="43"/>
      <c r="T2692" s="67" t="s">
        <v>396</v>
      </c>
    </row>
    <row r="2693" spans="1:20" s="45" customFormat="1" ht="14.4" hidden="1">
      <c r="A2693" s="25">
        <f>IF(C2693="","",MAX($A$1:A2692)+1)</f>
        <v>2492</v>
      </c>
      <c r="B2693" s="25" t="s">
        <v>79</v>
      </c>
      <c r="C2693" s="41">
        <v>46104</v>
      </c>
      <c r="D2693" s="48" t="str">
        <f>_xlfn.XLOOKUP(Table134526_79101120212223242526[[#This Row],[Name Surname]],Manpower!$C$4:$C$1048576,Manpower!$B$4:$B$1048576,"")</f>
        <v>Encogroup</v>
      </c>
      <c r="E2693" s="43" t="s">
        <v>119</v>
      </c>
      <c r="F2693" s="12">
        <f>_xlfn.XLOOKUP(Table134526_79101120212223242526[[#This Row],[Name Surname]],Manpower!C:C,Manpower!D:D,)</f>
        <v>140844778</v>
      </c>
      <c r="G2693" s="48" t="str">
        <f>_xlfn.XLOOKUP(Table134526_79101120212223242526[[#This Row],[Name Surname]],Manpower!$C$4:$C$1048576,Manpower!$F$4:$F$1048576,"")</f>
        <v>Painter</v>
      </c>
      <c r="H2693" s="48" t="str">
        <f>_xlfn.XLOOKUP(Table134526_79101120212223242526[[#This Row],[Name Surname]],Manpower!$C$4:$C$1048576,Manpower!$H$4:$H$1048576,"")</f>
        <v>Manpower</v>
      </c>
      <c r="I2693" s="48" t="str">
        <f>_xlfn.XLOOKUP(Table134526_79101120212223242526[[#This Row],[Name Surname]],Manpower!$C$4:$C$1048576,Manpower!$H$4:$H$1048576,"")</f>
        <v>Manpower</v>
      </c>
      <c r="J2693" s="43" t="s">
        <v>35</v>
      </c>
      <c r="K2693" s="43" t="s">
        <v>88</v>
      </c>
      <c r="L2693" s="43" t="s">
        <v>82</v>
      </c>
      <c r="M2693" s="43" t="s">
        <v>55</v>
      </c>
      <c r="N2693" s="44">
        <v>5</v>
      </c>
      <c r="O2693" s="43" t="s">
        <v>94</v>
      </c>
      <c r="P2693" s="43" t="s">
        <v>114</v>
      </c>
      <c r="Q2693" s="43" t="s">
        <v>114</v>
      </c>
      <c r="R2693" s="43" t="s">
        <v>391</v>
      </c>
      <c r="S2693" s="43"/>
      <c r="T2693" s="67" t="s">
        <v>396</v>
      </c>
    </row>
    <row r="2694" spans="1:20" s="45" customFormat="1" ht="14.4" hidden="1">
      <c r="A2694" s="25">
        <f>IF(C2694="","",MAX($A$1:A2693)+1)</f>
        <v>2493</v>
      </c>
      <c r="B2694" s="25" t="s">
        <v>79</v>
      </c>
      <c r="C2694" s="41">
        <v>46104</v>
      </c>
      <c r="D2694" s="48" t="str">
        <f>_xlfn.XLOOKUP(Table134526_79101120212223242526[[#This Row],[Name Surname]],Manpower!$C$4:$C$1048576,Manpower!$B$4:$B$1048576,"")</f>
        <v>Encogroup</v>
      </c>
      <c r="E2694" s="43" t="s">
        <v>117</v>
      </c>
      <c r="F2694" s="12">
        <f>_xlfn.XLOOKUP(Table134526_79101120212223242526[[#This Row],[Name Surname]],Manpower!C:C,Manpower!D:D,)</f>
        <v>140844783</v>
      </c>
      <c r="G2694" s="48" t="str">
        <f>_xlfn.XLOOKUP(Table134526_79101120212223242526[[#This Row],[Name Surname]],Manpower!$C$4:$C$1048576,Manpower!$F$4:$F$1048576,"")</f>
        <v>Painter</v>
      </c>
      <c r="H2694" s="48" t="str">
        <f>_xlfn.XLOOKUP(Table134526_79101120212223242526[[#This Row],[Name Surname]],Manpower!$C$4:$C$1048576,Manpower!$H$4:$H$1048576,"")</f>
        <v>Manpower</v>
      </c>
      <c r="I2694" s="48" t="str">
        <f>_xlfn.XLOOKUP(Table134526_79101120212223242526[[#This Row],[Name Surname]],Manpower!$C$4:$C$1048576,Manpower!$H$4:$H$1048576,"")</f>
        <v>Manpower</v>
      </c>
      <c r="J2694" s="43" t="s">
        <v>35</v>
      </c>
      <c r="K2694" s="43" t="s">
        <v>88</v>
      </c>
      <c r="L2694" s="43" t="s">
        <v>82</v>
      </c>
      <c r="M2694" s="43" t="s">
        <v>55</v>
      </c>
      <c r="N2694" s="44">
        <v>5</v>
      </c>
      <c r="O2694" s="43" t="s">
        <v>94</v>
      </c>
      <c r="P2694" s="43" t="s">
        <v>114</v>
      </c>
      <c r="Q2694" s="43" t="s">
        <v>114</v>
      </c>
      <c r="R2694" s="43" t="s">
        <v>391</v>
      </c>
      <c r="S2694" s="43"/>
      <c r="T2694" s="67" t="s">
        <v>396</v>
      </c>
    </row>
    <row r="2695" spans="1:20" s="45" customFormat="1" ht="14.4" hidden="1">
      <c r="A2695" s="25">
        <f>IF(C2695="","",MAX($A$1:A2694)+1)</f>
        <v>2494</v>
      </c>
      <c r="B2695" s="25" t="s">
        <v>79</v>
      </c>
      <c r="C2695" s="41">
        <v>46104</v>
      </c>
      <c r="D2695" s="48" t="str">
        <f>_xlfn.XLOOKUP(Table134526_79101120212223242526[[#This Row],[Name Surname]],Manpower!$C$4:$C$1048576,Manpower!$B$4:$B$1048576,"")</f>
        <v>Encogroup</v>
      </c>
      <c r="E2695" s="43" t="s">
        <v>122</v>
      </c>
      <c r="F2695" s="12">
        <f>_xlfn.XLOOKUP(Table134526_79101120212223242526[[#This Row],[Name Surname]],Manpower!C:C,Manpower!D:D,)</f>
        <v>140805554</v>
      </c>
      <c r="G2695" s="48" t="str">
        <f>_xlfn.XLOOKUP(Table134526_79101120212223242526[[#This Row],[Name Surname]],Manpower!$C$4:$C$1048576,Manpower!$F$4:$F$1048576,"")</f>
        <v>Assistant/Helper</v>
      </c>
      <c r="H2695" s="48" t="str">
        <f>_xlfn.XLOOKUP(Table134526_79101120212223242526[[#This Row],[Name Surname]],Manpower!$C$4:$C$1048576,Manpower!$H$4:$H$1048576,"")</f>
        <v>Manpower</v>
      </c>
      <c r="I2695" s="48" t="str">
        <f>_xlfn.XLOOKUP(Table134526_79101120212223242526[[#This Row],[Name Surname]],Manpower!$C$4:$C$1048576,Manpower!$H$4:$H$1048576,"")</f>
        <v>Manpower</v>
      </c>
      <c r="J2695" s="43" t="s">
        <v>35</v>
      </c>
      <c r="K2695" s="43" t="s">
        <v>279</v>
      </c>
      <c r="L2695" s="43" t="s">
        <v>82</v>
      </c>
      <c r="M2695" s="43" t="s">
        <v>55</v>
      </c>
      <c r="N2695" s="44">
        <v>5</v>
      </c>
      <c r="O2695" s="43" t="s">
        <v>25</v>
      </c>
      <c r="P2695" s="43" t="s">
        <v>41</v>
      </c>
      <c r="Q2695" s="43" t="s">
        <v>77</v>
      </c>
      <c r="R2695" s="43" t="s">
        <v>386</v>
      </c>
      <c r="S2695" s="43"/>
      <c r="T2695" s="67" t="s">
        <v>396</v>
      </c>
    </row>
    <row r="2696" spans="1:20" ht="14.4" hidden="1">
      <c r="A2696" s="33">
        <f>IF(C2696="","",MAX($A$1:A2695)+1)</f>
        <v>2495</v>
      </c>
      <c r="B2696" s="26" t="s">
        <v>79</v>
      </c>
      <c r="C2696" s="23">
        <v>46104</v>
      </c>
      <c r="D2696" s="28" t="str">
        <f>_xlfn.XLOOKUP(Table134526_79101120212223242526[[#This Row],[Name Surname]],Manpower!$C$4:$C$1048576,Manpower!$B$4:$B$1048576,"")</f>
        <v>AL Saif &amp; Al QALLM ENT LLC</v>
      </c>
      <c r="E2696" s="21" t="s">
        <v>132</v>
      </c>
      <c r="F2696" s="12">
        <f>_xlfn.XLOOKUP(Table134526_79101120212223242526[[#This Row],[Name Surname]],Manpower!C:C,Manpower!D:D,)</f>
        <v>135762195</v>
      </c>
      <c r="G2696" s="28" t="str">
        <f>_xlfn.XLOOKUP(Table134526_79101120212223242526[[#This Row],[Name Surname]],Manpower!$C$4:$C$1048576,Manpower!$F$4:$F$1048576,"")</f>
        <v>HSE Officer</v>
      </c>
      <c r="H2696" s="28" t="str">
        <f>_xlfn.XLOOKUP(Table134526_79101120212223242526[[#This Row],[Name Surname]],Manpower!$C$4:$C$1048576,Manpower!$H$4:$H$1048576,"")</f>
        <v>Sub Contactor</v>
      </c>
      <c r="I2696" s="28" t="str">
        <f>_xlfn.XLOOKUP(Table134526_79101120212223242526[[#This Row],[Name Surname]],Manpower!$C$4:$C$1048576,Manpower!$H$4:$H$1048576,"")</f>
        <v>Sub Contactor</v>
      </c>
      <c r="J2696" s="21" t="s">
        <v>35</v>
      </c>
      <c r="K2696" s="21" t="s">
        <v>279</v>
      </c>
      <c r="L2696" s="21" t="s">
        <v>82</v>
      </c>
      <c r="M2696" s="21" t="s">
        <v>55</v>
      </c>
      <c r="N2696" s="29">
        <v>5</v>
      </c>
      <c r="O2696" s="21" t="s">
        <v>25</v>
      </c>
      <c r="P2696" s="21" t="s">
        <v>41</v>
      </c>
      <c r="Q2696" s="21" t="s">
        <v>60</v>
      </c>
      <c r="R2696" s="21" t="s">
        <v>388</v>
      </c>
      <c r="T2696" s="56" t="s">
        <v>396</v>
      </c>
    </row>
    <row r="2697" spans="1:20" s="45" customFormat="1" ht="14.4" hidden="1">
      <c r="A2697" s="25">
        <f>IF(C2697="","",MAX($A$1:A2696)+1)</f>
        <v>2496</v>
      </c>
      <c r="B2697" s="25" t="s">
        <v>79</v>
      </c>
      <c r="C2697" s="41">
        <v>46104</v>
      </c>
      <c r="D2697" s="48" t="str">
        <f>_xlfn.XLOOKUP(Table134526_79101120212223242526[[#This Row],[Name Surname]],Manpower!$C$4:$C$1048576,Manpower!$B$4:$B$1048576,"")</f>
        <v>Encogroup</v>
      </c>
      <c r="E2697" s="43" t="s">
        <v>133</v>
      </c>
      <c r="F2697" s="12">
        <f>_xlfn.XLOOKUP(Table134526_79101120212223242526[[#This Row],[Name Surname]],Manpower!C:C,Manpower!D:D,)</f>
        <v>140846684</v>
      </c>
      <c r="G2697" s="48" t="str">
        <f>_xlfn.XLOOKUP(Table134526_79101120212223242526[[#This Row],[Name Surname]],Manpower!$C$4:$C$1048576,Manpower!$F$4:$F$1048576,"")</f>
        <v>Assistant/Helper</v>
      </c>
      <c r="H2697" s="48" t="str">
        <f>_xlfn.XLOOKUP(Table134526_79101120212223242526[[#This Row],[Name Surname]],Manpower!$C$4:$C$1048576,Manpower!$H$4:$H$1048576,"")</f>
        <v>Manpower</v>
      </c>
      <c r="I2697" s="48" t="str">
        <f>_xlfn.XLOOKUP(Table134526_79101120212223242526[[#This Row],[Name Surname]],Manpower!$C$4:$C$1048576,Manpower!$H$4:$H$1048576,"")</f>
        <v>Manpower</v>
      </c>
      <c r="J2697" s="43" t="s">
        <v>35</v>
      </c>
      <c r="K2697" s="43" t="s">
        <v>279</v>
      </c>
      <c r="L2697" s="43" t="s">
        <v>82</v>
      </c>
      <c r="M2697" s="43" t="s">
        <v>55</v>
      </c>
      <c r="N2697" s="44">
        <v>5</v>
      </c>
      <c r="O2697" s="43" t="s">
        <v>25</v>
      </c>
      <c r="P2697" s="43" t="s">
        <v>41</v>
      </c>
      <c r="Q2697" s="43" t="s">
        <v>60</v>
      </c>
      <c r="R2697" s="43" t="s">
        <v>100</v>
      </c>
      <c r="S2697" s="43"/>
      <c r="T2697" s="67" t="s">
        <v>396</v>
      </c>
    </row>
    <row r="2698" spans="1:20" ht="14.4" hidden="1">
      <c r="A2698" s="33">
        <f>IF(C2698="","",MAX($A$1:A2697)+1)</f>
        <v>2497</v>
      </c>
      <c r="B2698" s="26" t="s">
        <v>79</v>
      </c>
      <c r="C2698" s="23">
        <v>46104</v>
      </c>
      <c r="D2698" s="28" t="str">
        <f>_xlfn.XLOOKUP(Table134526_79101120212223242526[[#This Row],[Name Surname]],Manpower!$C$4:$C$1048576,Manpower!$B$4:$B$1048576,"")</f>
        <v>Encogroup</v>
      </c>
      <c r="E2698" s="21" t="s">
        <v>136</v>
      </c>
      <c r="F2698" s="12">
        <f>_xlfn.XLOOKUP(Table134526_79101120212223242526[[#This Row],[Name Surname]],Manpower!C:C,Manpower!D:D,)</f>
        <v>141250908</v>
      </c>
      <c r="G2698" s="28" t="str">
        <f>_xlfn.XLOOKUP(Table134526_79101120212223242526[[#This Row],[Name Surname]],Manpower!$C$4:$C$1048576,Manpower!$F$4:$F$1048576,"")</f>
        <v>Mechanical Engineer</v>
      </c>
      <c r="H2698" s="28" t="str">
        <f>_xlfn.XLOOKUP(Table134526_79101120212223242526[[#This Row],[Name Surname]],Manpower!$C$4:$C$1048576,Manpower!$H$4:$H$1048576,"")</f>
        <v>Manpower</v>
      </c>
      <c r="I2698" s="28" t="str">
        <f>_xlfn.XLOOKUP(Table134526_79101120212223242526[[#This Row],[Name Surname]],Manpower!$C$4:$C$1048576,Manpower!$H$4:$H$1048576,"")</f>
        <v>Manpower</v>
      </c>
      <c r="J2698" s="21" t="s">
        <v>35</v>
      </c>
      <c r="K2698" s="21" t="s">
        <v>279</v>
      </c>
      <c r="L2698" s="21" t="s">
        <v>82</v>
      </c>
      <c r="M2698" s="21" t="s">
        <v>55</v>
      </c>
      <c r="N2698" s="29">
        <v>5</v>
      </c>
      <c r="O2698" s="21" t="s">
        <v>25</v>
      </c>
      <c r="P2698" s="21" t="s">
        <v>41</v>
      </c>
      <c r="Q2698" s="21" t="s">
        <v>60</v>
      </c>
      <c r="R2698" s="21" t="s">
        <v>388</v>
      </c>
      <c r="T2698" s="56" t="s">
        <v>396</v>
      </c>
    </row>
    <row r="2699" spans="1:20" ht="14.4">
      <c r="A2699" s="33">
        <f>IF(C2699="","",MAX($A$1:A2698)+1)</f>
        <v>2498</v>
      </c>
      <c r="B2699" s="26" t="s">
        <v>79</v>
      </c>
      <c r="C2699" s="23">
        <v>46104</v>
      </c>
      <c r="D2699" s="28" t="str">
        <f>_xlfn.XLOOKUP(Table134526_79101120212223242526[[#This Row],[Name Surname]],Manpower!$C$4:$C$1048576,Manpower!$B$4:$B$1048576,"")</f>
        <v>Encogroup</v>
      </c>
      <c r="E2699" s="21" t="s">
        <v>137</v>
      </c>
      <c r="F2699" s="12" t="e">
        <f>_xlfn.XLOOKUP(Table134526_79101120212223242526[[#This Row],[Name Surname]],Manpower!C:C,Manpower!D:D,)</f>
        <v>#N/A</v>
      </c>
      <c r="G2699" s="28" t="str">
        <f>_xlfn.XLOOKUP(Table134526_79101120212223242526[[#This Row],[Name Surname]],Manpower!$C$4:$C$1048576,Manpower!$F$4:$F$1048576,"")</f>
        <v>55 Seat Bus</v>
      </c>
      <c r="H2699" s="28" t="str">
        <f>_xlfn.XLOOKUP(Table134526_79101120212223242526[[#This Row],[Name Surname]],Manpower!$C$4:$C$1048576,Manpower!$H$4:$H$1048576,"")</f>
        <v>Equipment</v>
      </c>
      <c r="I2699" s="28" t="str">
        <f>_xlfn.XLOOKUP(Table134526_79101120212223242526[[#This Row],[Name Surname]],Manpower!$C$4:$C$1048576,Manpower!$H$4:$H$1048576,"")</f>
        <v>Equipment</v>
      </c>
      <c r="J2699" s="21" t="s">
        <v>35</v>
      </c>
      <c r="K2699" s="21" t="s">
        <v>279</v>
      </c>
      <c r="L2699" s="21" t="s">
        <v>82</v>
      </c>
      <c r="M2699" s="21" t="s">
        <v>55</v>
      </c>
      <c r="N2699" s="29">
        <v>10</v>
      </c>
      <c r="O2699" s="21" t="s">
        <v>138</v>
      </c>
      <c r="P2699" s="21" t="s">
        <v>138</v>
      </c>
      <c r="Q2699" s="21" t="s">
        <v>138</v>
      </c>
      <c r="R2699" s="21" t="s">
        <v>26</v>
      </c>
      <c r="T2699" s="56" t="s">
        <v>396</v>
      </c>
    </row>
    <row r="2700" spans="1:20" ht="14.4">
      <c r="A2700" s="33">
        <f>IF(C2700="","",MAX($A$1:A2698)+1)</f>
        <v>2498</v>
      </c>
      <c r="B2700" s="26" t="s">
        <v>79</v>
      </c>
      <c r="C2700" s="23">
        <v>46104</v>
      </c>
      <c r="D2700" s="28" t="str">
        <f>_xlfn.XLOOKUP(Table134526_79101120212223242526[[#This Row],[Name Surname]],Manpower!$C$4:$C$1048576,Manpower!$B$4:$B$1048576,"")</f>
        <v>Encogroup</v>
      </c>
      <c r="E2700" s="21" t="s">
        <v>139</v>
      </c>
      <c r="F2700" s="12" t="e">
        <f>_xlfn.XLOOKUP(Table134526_79101120212223242526[[#This Row],[Name Surname]],Manpower!C:C,Manpower!D:D,)</f>
        <v>#N/A</v>
      </c>
      <c r="G2700" s="28" t="str">
        <f>_xlfn.XLOOKUP(Table134526_79101120212223242526[[#This Row],[Name Surname]],Manpower!$C$4:$C$1048576,Manpower!$F$4:$F$1048576,"")</f>
        <v>TOWER LIGHT</v>
      </c>
      <c r="H2700" s="28" t="str">
        <f>_xlfn.XLOOKUP(Table134526_79101120212223242526[[#This Row],[Name Surname]],Manpower!$C$4:$C$1048576,Manpower!$H$4:$H$1048576,"")</f>
        <v>Equipment</v>
      </c>
      <c r="I2700" s="28" t="str">
        <f>_xlfn.XLOOKUP(Table134526_79101120212223242526[[#This Row],[Name Surname]],Manpower!$C$4:$C$1048576,Manpower!$H$4:$H$1048576,"")</f>
        <v>Equipment</v>
      </c>
      <c r="J2700" s="21" t="s">
        <v>35</v>
      </c>
      <c r="K2700" s="21" t="s">
        <v>279</v>
      </c>
      <c r="L2700" s="21" t="s">
        <v>82</v>
      </c>
      <c r="M2700" s="21" t="s">
        <v>55</v>
      </c>
      <c r="N2700" s="29">
        <v>5</v>
      </c>
      <c r="O2700" s="21" t="s">
        <v>140</v>
      </c>
      <c r="P2700" s="21" t="s">
        <v>140</v>
      </c>
      <c r="Q2700" s="21" t="s">
        <v>140</v>
      </c>
      <c r="R2700" s="21" t="s">
        <v>26</v>
      </c>
      <c r="T2700" s="56" t="s">
        <v>396</v>
      </c>
    </row>
    <row r="2701" spans="1:20" ht="14.4">
      <c r="A2701" s="33">
        <f>IF(C2701="","",MAX($A$1:A2700)+1)</f>
        <v>2499</v>
      </c>
      <c r="B2701" s="26" t="s">
        <v>79</v>
      </c>
      <c r="C2701" s="23">
        <v>46104</v>
      </c>
      <c r="D2701" s="28" t="str">
        <f>_xlfn.XLOOKUP(Table134526_79101120212223242526[[#This Row],[Name Surname]],Manpower!$C$4:$C$1048576,Manpower!$B$4:$B$1048576,"")</f>
        <v>Encogroup</v>
      </c>
      <c r="E2701" s="21" t="s">
        <v>355</v>
      </c>
      <c r="F2701" s="12" t="e">
        <f>_xlfn.XLOOKUP(Table134526_79101120212223242526[[#This Row],[Name Surname]],Manpower!C:C,Manpower!D:D,)</f>
        <v>#N/A</v>
      </c>
      <c r="G2701" s="28" t="str">
        <f>_xlfn.XLOOKUP(Table134526_79101120212223242526[[#This Row],[Name Surname]],Manpower!$C$4:$C$1048576,Manpower!$F$4:$F$1048576,"")</f>
        <v>TOWER LIGHT</v>
      </c>
      <c r="H2701" s="28" t="str">
        <f>_xlfn.XLOOKUP(Table134526_79101120212223242526[[#This Row],[Name Surname]],Manpower!$C$4:$C$1048576,Manpower!$H$4:$H$1048576,"")</f>
        <v>Equipment</v>
      </c>
      <c r="I2701" s="28" t="str">
        <f>_xlfn.XLOOKUP(Table134526_79101120212223242526[[#This Row],[Name Surname]],Manpower!$C$4:$C$1048576,Manpower!$H$4:$H$1048576,"")</f>
        <v>Equipment</v>
      </c>
      <c r="J2701" s="21" t="s">
        <v>35</v>
      </c>
      <c r="K2701" s="21" t="s">
        <v>279</v>
      </c>
      <c r="L2701" s="21" t="s">
        <v>82</v>
      </c>
      <c r="M2701" s="21" t="s">
        <v>55</v>
      </c>
      <c r="N2701" s="29">
        <v>5</v>
      </c>
      <c r="O2701" s="21" t="s">
        <v>140</v>
      </c>
      <c r="P2701" s="21" t="s">
        <v>140</v>
      </c>
      <c r="Q2701" s="21" t="s">
        <v>140</v>
      </c>
      <c r="R2701" s="21" t="s">
        <v>26</v>
      </c>
      <c r="T2701" s="56" t="s">
        <v>396</v>
      </c>
    </row>
    <row r="2702" spans="1:20" ht="14.4">
      <c r="A2702" s="33">
        <f>IF(C2702="","",MAX($A$1:A2701)+1)</f>
        <v>2500</v>
      </c>
      <c r="B2702" s="27" t="s">
        <v>141</v>
      </c>
      <c r="C2702" s="23">
        <v>46104</v>
      </c>
      <c r="D2702" s="28" t="str">
        <f>_xlfn.XLOOKUP(Table134526_79101120212223242526[[#This Row],[Name Surname]],Manpower!$C$4:$C$1048576,Manpower!$B$4:$B$1048576,"")</f>
        <v>Nass Group</v>
      </c>
      <c r="E2702" s="21" t="s">
        <v>148</v>
      </c>
      <c r="F2702" s="12" t="e">
        <f>_xlfn.XLOOKUP(Table134526_79101120212223242526[[#This Row],[Name Surname]],Manpower!C:C,Manpower!D:D,)</f>
        <v>#N/A</v>
      </c>
      <c r="G2702" s="28" t="str">
        <f>_xlfn.XLOOKUP(Table134526_79101120212223242526[[#This Row],[Name Surname]],Manpower!$C$4:$C$1048576,Manpower!$F$4:$F$1048576,"")</f>
        <v>70T-Telescopic crane</v>
      </c>
      <c r="H2702" s="28" t="str">
        <f>_xlfn.XLOOKUP(Table134526_79101120212223242526[[#This Row],[Name Surname]],Manpower!$C$4:$C$1048576,Manpower!$H$4:$H$1048576,"")</f>
        <v>Equipment</v>
      </c>
      <c r="I2702" s="28" t="str">
        <f>_xlfn.XLOOKUP(Table134526_79101120212223242526[[#This Row],[Name Surname]],Manpower!$C$4:$C$1048576,Manpower!$H$4:$H$1048576,"")</f>
        <v>Equipment</v>
      </c>
      <c r="J2702" s="21" t="s">
        <v>143</v>
      </c>
      <c r="K2702" s="21" t="s">
        <v>26</v>
      </c>
      <c r="L2702" s="21" t="s">
        <v>144</v>
      </c>
      <c r="M2702" s="21" t="s">
        <v>55</v>
      </c>
      <c r="N2702" s="29">
        <v>5</v>
      </c>
      <c r="O2702" s="21" t="s">
        <v>40</v>
      </c>
      <c r="P2702" s="21" t="s">
        <v>42</v>
      </c>
      <c r="Q2702" s="21" t="s">
        <v>42</v>
      </c>
      <c r="R2702" s="21" t="s">
        <v>402</v>
      </c>
      <c r="T2702" s="56" t="s">
        <v>396</v>
      </c>
    </row>
    <row r="2703" spans="1:20" s="45" customFormat="1" ht="14.4" hidden="1">
      <c r="A2703" s="25">
        <f>IF(C2703="","",MAX($A$1:A2702)+1)</f>
        <v>2501</v>
      </c>
      <c r="B2703" s="25" t="s">
        <v>141</v>
      </c>
      <c r="C2703" s="41">
        <v>46104</v>
      </c>
      <c r="D2703" s="48" t="str">
        <f>_xlfn.XLOOKUP(Table134526_79101120212223242526[[#This Row],[Name Surname]],Manpower!$C$4:$C$1048576,Manpower!$B$4:$B$1048576,"")</f>
        <v>Rial Al Khaleej</v>
      </c>
      <c r="E2703" s="43" t="s">
        <v>38</v>
      </c>
      <c r="F2703" s="12">
        <f>_xlfn.XLOOKUP(Table134526_79101120212223242526[[#This Row],[Name Surname]],Manpower!C:C,Manpower!D:D,)</f>
        <v>98845403</v>
      </c>
      <c r="G2703" s="48" t="str">
        <f>_xlfn.XLOOKUP(Table134526_79101120212223242526[[#This Row],[Name Surname]],Manpower!$C$4:$C$1048576,Manpower!$F$4:$F$1048576,"")</f>
        <v>Crane Operator-100T Zoomlion Telescopic</v>
      </c>
      <c r="H2703" s="48" t="str">
        <f>_xlfn.XLOOKUP(Table134526_79101120212223242526[[#This Row],[Name Surname]],Manpower!$C$4:$C$1048576,Manpower!$H$4:$H$1048576,"")</f>
        <v>Manpower</v>
      </c>
      <c r="I2703" s="48" t="str">
        <f>_xlfn.XLOOKUP(Table134526_79101120212223242526[[#This Row],[Name Surname]],Manpower!$C$4:$C$1048576,Manpower!$H$4:$H$1048576,"")</f>
        <v>Manpower</v>
      </c>
      <c r="J2703" s="43" t="s">
        <v>143</v>
      </c>
      <c r="K2703" s="43" t="s">
        <v>26</v>
      </c>
      <c r="L2703" s="43" t="s">
        <v>144</v>
      </c>
      <c r="M2703" s="43" t="s">
        <v>55</v>
      </c>
      <c r="N2703" s="44">
        <v>5</v>
      </c>
      <c r="O2703" s="43" t="s">
        <v>40</v>
      </c>
      <c r="P2703" s="43" t="s">
        <v>42</v>
      </c>
      <c r="Q2703" s="43" t="s">
        <v>42</v>
      </c>
      <c r="R2703" s="43" t="s">
        <v>392</v>
      </c>
      <c r="S2703" s="43"/>
      <c r="T2703" s="67" t="s">
        <v>396</v>
      </c>
    </row>
    <row r="2704" spans="1:20" ht="14.4">
      <c r="A2704" s="33">
        <f>IF(C2704="","",MAX($A$1:A2703)+1)</f>
        <v>2502</v>
      </c>
      <c r="B2704" s="27" t="s">
        <v>141</v>
      </c>
      <c r="C2704" s="23">
        <v>46104</v>
      </c>
      <c r="D2704" s="28" t="str">
        <f>_xlfn.XLOOKUP(Table134526_79101120212223242526[[#This Row],[Name Surname]],Manpower!$C$4:$C$1048576,Manpower!$B$4:$B$1048576,"")</f>
        <v>Riyan Al Khaleej</v>
      </c>
      <c r="E2704" s="21" t="s">
        <v>20</v>
      </c>
      <c r="F2704" s="12" t="e">
        <f>_xlfn.XLOOKUP(Table134526_79101120212223242526[[#This Row],[Name Surname]],Manpower!C:C,Manpower!D:D,)</f>
        <v>#N/A</v>
      </c>
      <c r="G2704" s="28" t="str">
        <f>_xlfn.XLOOKUP(Table134526_79101120212223242526[[#This Row],[Name Surname]],Manpower!$C$4:$C$1048576,Manpower!$F$4:$F$1048576,"")</f>
        <v>100T Telescopic Crane</v>
      </c>
      <c r="H2704" s="28" t="str">
        <f>_xlfn.XLOOKUP(Table134526_79101120212223242526[[#This Row],[Name Surname]],Manpower!$C$4:$C$1048576,Manpower!$H$4:$H$1048576,"")</f>
        <v>Equipment</v>
      </c>
      <c r="I2704" s="28" t="str">
        <f>_xlfn.XLOOKUP(Table134526_79101120212223242526[[#This Row],[Name Surname]],Manpower!$C$4:$C$1048576,Manpower!$H$4:$H$1048576,"")</f>
        <v>Equipment</v>
      </c>
      <c r="J2704" s="21" t="s">
        <v>143</v>
      </c>
      <c r="K2704" s="21" t="s">
        <v>26</v>
      </c>
      <c r="L2704" s="21" t="s">
        <v>144</v>
      </c>
      <c r="M2704" s="21" t="s">
        <v>55</v>
      </c>
      <c r="N2704" s="29">
        <v>5</v>
      </c>
      <c r="O2704" s="21" t="s">
        <v>40</v>
      </c>
      <c r="P2704" s="21" t="s">
        <v>42</v>
      </c>
      <c r="Q2704" s="21" t="s">
        <v>42</v>
      </c>
      <c r="R2704" s="21" t="s">
        <v>392</v>
      </c>
      <c r="T2704" s="56" t="s">
        <v>396</v>
      </c>
    </row>
    <row r="2705" spans="1:20" s="45" customFormat="1" ht="14.4" hidden="1">
      <c r="A2705" s="25">
        <f>IF(C2705="","",MAX($A$1:A2704)+1)</f>
        <v>2503</v>
      </c>
      <c r="B2705" s="25" t="s">
        <v>141</v>
      </c>
      <c r="C2705" s="41">
        <v>46104</v>
      </c>
      <c r="D2705" s="48" t="str">
        <f>_xlfn.XLOOKUP(Table134526_79101120212223242526[[#This Row],[Name Surname]],Manpower!$C$4:$C$1048576,Manpower!$B$4:$B$1048576,"")</f>
        <v>SARENS NASS</v>
      </c>
      <c r="E2705" s="43" t="s">
        <v>162</v>
      </c>
      <c r="F2705" s="12">
        <f>_xlfn.XLOOKUP(Table134526_79101120212223242526[[#This Row],[Name Surname]],Manpower!C:C,Manpower!D:D,)</f>
        <v>78753612</v>
      </c>
      <c r="G2705" s="48" t="str">
        <f>_xlfn.XLOOKUP(Table134526_79101120212223242526[[#This Row],[Name Surname]],Manpower!$C$4:$C$1048576,Manpower!$F$4:$F$1048576,"")</f>
        <v>Crane Operator- 70T Liebherr Telescopic Crane-02</v>
      </c>
      <c r="H2705" s="48" t="str">
        <f>_xlfn.XLOOKUP(Table134526_79101120212223242526[[#This Row],[Name Surname]],Manpower!$C$4:$C$1048576,Manpower!$H$4:$H$1048576,"")</f>
        <v>Manpower</v>
      </c>
      <c r="I2705" s="48" t="str">
        <f>_xlfn.XLOOKUP(Table134526_79101120212223242526[[#This Row],[Name Surname]],Manpower!$C$4:$C$1048576,Manpower!$H$4:$H$1048576,"")</f>
        <v>Manpower</v>
      </c>
      <c r="J2705" s="43" t="s">
        <v>143</v>
      </c>
      <c r="K2705" s="43" t="s">
        <v>26</v>
      </c>
      <c r="L2705" s="43" t="s">
        <v>144</v>
      </c>
      <c r="M2705" s="43" t="s">
        <v>55</v>
      </c>
      <c r="N2705" s="44">
        <v>5</v>
      </c>
      <c r="O2705" s="43" t="s">
        <v>40</v>
      </c>
      <c r="P2705" s="43" t="s">
        <v>42</v>
      </c>
      <c r="Q2705" s="43" t="s">
        <v>42</v>
      </c>
      <c r="R2705" s="43" t="s">
        <v>402</v>
      </c>
      <c r="S2705" s="43"/>
      <c r="T2705" s="67" t="s">
        <v>396</v>
      </c>
    </row>
    <row r="2706" spans="1:20" ht="14.4">
      <c r="A2706" s="33">
        <f>IF(C2706="","",MAX($A$1:A2705)+1)</f>
        <v>2504</v>
      </c>
      <c r="B2706" s="27" t="s">
        <v>141</v>
      </c>
      <c r="C2706" s="23">
        <v>46104</v>
      </c>
      <c r="D2706" s="28" t="str">
        <f>_xlfn.XLOOKUP(Table134526_79101120212223242526[[#This Row],[Name Surname]],Manpower!$C$4:$C$1048576,Manpower!$B$4:$B$1048576,"")</f>
        <v>Encogroup</v>
      </c>
      <c r="E2706" s="21" t="s">
        <v>142</v>
      </c>
      <c r="F2706" s="12" t="e">
        <f>_xlfn.XLOOKUP(Table134526_79101120212223242526[[#This Row],[Name Surname]],Manpower!C:C,Manpower!D:D,)</f>
        <v>#N/A</v>
      </c>
      <c r="G2706" s="28" t="str">
        <f>_xlfn.XLOOKUP(Table134526_79101120212223242526[[#This Row],[Name Surname]],Manpower!$C$4:$C$1048576,Manpower!$F$4:$F$1048576,"")</f>
        <v>13 Seat Bus</v>
      </c>
      <c r="H2706" s="28" t="str">
        <f>_xlfn.XLOOKUP(Table134526_79101120212223242526[[#This Row],[Name Surname]],Manpower!$C$4:$C$1048576,Manpower!$H$4:$H$1048576,"")</f>
        <v>Equipment</v>
      </c>
      <c r="I2706" s="28" t="str">
        <f>_xlfn.XLOOKUP(Table134526_79101120212223242526[[#This Row],[Name Surname]],Manpower!$C$4:$C$1048576,Manpower!$H$4:$H$1048576,"")</f>
        <v>Equipment</v>
      </c>
      <c r="J2706" s="21" t="s">
        <v>143</v>
      </c>
      <c r="K2706" s="21" t="s">
        <v>26</v>
      </c>
      <c r="L2706" s="21" t="s">
        <v>144</v>
      </c>
      <c r="M2706" s="21" t="s">
        <v>55</v>
      </c>
      <c r="N2706" s="29">
        <v>5</v>
      </c>
      <c r="O2706" s="21" t="s">
        <v>138</v>
      </c>
      <c r="P2706" s="21" t="s">
        <v>138</v>
      </c>
      <c r="Q2706" s="21" t="s">
        <v>138</v>
      </c>
      <c r="R2706" s="21" t="s">
        <v>26</v>
      </c>
      <c r="T2706" s="56" t="s">
        <v>396</v>
      </c>
    </row>
    <row r="2707" spans="1:20" ht="14.4">
      <c r="A2707" s="33">
        <f>IF(C2707="","",MAX($A$1:A2706)+1)</f>
        <v>2505</v>
      </c>
      <c r="B2707" s="27" t="s">
        <v>141</v>
      </c>
      <c r="C2707" s="23">
        <v>46104</v>
      </c>
      <c r="D2707" s="28" t="str">
        <f>_xlfn.XLOOKUP(Table134526_79101120212223242526[[#This Row],[Name Surname]],Manpower!$C$4:$C$1048576,Manpower!$B$4:$B$1048576,"")</f>
        <v>Encogroup</v>
      </c>
      <c r="E2707" s="21" t="s">
        <v>145</v>
      </c>
      <c r="F2707" s="12" t="e">
        <f>_xlfn.XLOOKUP(Table134526_79101120212223242526[[#This Row],[Name Surname]],Manpower!C:C,Manpower!D:D,)</f>
        <v>#N/A</v>
      </c>
      <c r="G2707" s="28" t="str">
        <f>_xlfn.XLOOKUP(Table134526_79101120212223242526[[#This Row],[Name Surname]],Manpower!$C$4:$C$1048576,Manpower!$F$4:$F$1048576,"")</f>
        <v>15 Seat Bus</v>
      </c>
      <c r="H2707" s="28" t="str">
        <f>_xlfn.XLOOKUP(Table134526_79101120212223242526[[#This Row],[Name Surname]],Manpower!$C$4:$C$1048576,Manpower!$H$4:$H$1048576,"")</f>
        <v>Equipment</v>
      </c>
      <c r="I2707" s="28" t="str">
        <f>_xlfn.XLOOKUP(Table134526_79101120212223242526[[#This Row],[Name Surname]],Manpower!$C$4:$C$1048576,Manpower!$H$4:$H$1048576,"")</f>
        <v>Equipment</v>
      </c>
      <c r="J2707" s="21" t="s">
        <v>143</v>
      </c>
      <c r="K2707" s="21" t="s">
        <v>26</v>
      </c>
      <c r="L2707" s="21" t="s">
        <v>144</v>
      </c>
      <c r="M2707" s="21" t="s">
        <v>55</v>
      </c>
      <c r="N2707" s="29">
        <v>5</v>
      </c>
      <c r="O2707" s="21" t="s">
        <v>138</v>
      </c>
      <c r="P2707" s="21" t="s">
        <v>138</v>
      </c>
      <c r="Q2707" s="21" t="s">
        <v>138</v>
      </c>
      <c r="R2707" s="21" t="s">
        <v>26</v>
      </c>
      <c r="T2707" s="56" t="s">
        <v>396</v>
      </c>
    </row>
    <row r="2708" spans="1:20" ht="14.4">
      <c r="A2708" s="33">
        <f>IF(C2708="","",MAX($A$1:A2706)+1)</f>
        <v>2505</v>
      </c>
      <c r="B2708" s="27" t="s">
        <v>141</v>
      </c>
      <c r="C2708" s="23">
        <v>46104</v>
      </c>
      <c r="D2708" s="28" t="str">
        <f>_xlfn.XLOOKUP(Table134526_79101120212223242526[[#This Row],[Name Surname]],Manpower!$C$4:$C$1048576,Manpower!$B$4:$B$1048576,"")</f>
        <v>Encogroup</v>
      </c>
      <c r="E2708" s="21" t="s">
        <v>150</v>
      </c>
      <c r="F2708" s="12" t="e">
        <f>_xlfn.XLOOKUP(Table134526_79101120212223242526[[#This Row],[Name Surname]],Manpower!C:C,Manpower!D:D,)</f>
        <v>#N/A</v>
      </c>
      <c r="G2708" s="28" t="str">
        <f>_xlfn.XLOOKUP(Table134526_79101120212223242526[[#This Row],[Name Surname]],Manpower!$C$4:$C$1048576,Manpower!$F$4:$F$1048576,"")</f>
        <v>14T Fork lift</v>
      </c>
      <c r="H2708" s="28" t="str">
        <f>_xlfn.XLOOKUP(Table134526_79101120212223242526[[#This Row],[Name Surname]],Manpower!$C$4:$C$1048576,Manpower!$H$4:$H$1048576,"")</f>
        <v>Equipment</v>
      </c>
      <c r="I2708" s="28" t="str">
        <f>_xlfn.XLOOKUP(Table134526_79101120212223242526[[#This Row],[Name Surname]],Manpower!$C$4:$C$1048576,Manpower!$H$4:$H$1048576,"")</f>
        <v>Equipment</v>
      </c>
      <c r="J2708" s="21" t="s">
        <v>143</v>
      </c>
      <c r="K2708" s="21" t="s">
        <v>26</v>
      </c>
      <c r="L2708" s="21" t="s">
        <v>144</v>
      </c>
      <c r="M2708" s="21" t="s">
        <v>55</v>
      </c>
      <c r="N2708" s="29">
        <v>5</v>
      </c>
      <c r="O2708" s="21" t="s">
        <v>40</v>
      </c>
      <c r="P2708" s="21" t="s">
        <v>42</v>
      </c>
      <c r="Q2708" s="21" t="s">
        <v>41</v>
      </c>
      <c r="R2708" s="21" t="s">
        <v>272</v>
      </c>
      <c r="T2708" s="56" t="s">
        <v>396</v>
      </c>
    </row>
    <row r="2709" spans="1:20" ht="14.4">
      <c r="A2709" s="33">
        <f>IF(C2709="","",MAX($A$1:A2708)+1)</f>
        <v>2506</v>
      </c>
      <c r="B2709" s="27" t="s">
        <v>141</v>
      </c>
      <c r="C2709" s="23">
        <v>46104</v>
      </c>
      <c r="D2709" s="28" t="str">
        <f>_xlfn.XLOOKUP(Table134526_79101120212223242526[[#This Row],[Name Surname]],Manpower!$C$4:$C$1048576,Manpower!$B$4:$B$1048576,"")</f>
        <v>Encogroup</v>
      </c>
      <c r="E2709" s="21" t="s">
        <v>153</v>
      </c>
      <c r="F2709" s="12" t="e">
        <f>_xlfn.XLOOKUP(Table134526_79101120212223242526[[#This Row],[Name Surname]],Manpower!C:C,Manpower!D:D,)</f>
        <v>#N/A</v>
      </c>
      <c r="G2709" s="28" t="str">
        <f>_xlfn.XLOOKUP(Table134526_79101120212223242526[[#This Row],[Name Surname]],Manpower!$C$4:$C$1048576,Manpower!$F$4:$F$1048576,"")</f>
        <v>22 Seat Bus</v>
      </c>
      <c r="H2709" s="28" t="str">
        <f>_xlfn.XLOOKUP(Table134526_79101120212223242526[[#This Row],[Name Surname]],Manpower!$C$4:$C$1048576,Manpower!$H$4:$H$1048576,"")</f>
        <v>Equipment</v>
      </c>
      <c r="I2709" s="28" t="str">
        <f>_xlfn.XLOOKUP(Table134526_79101120212223242526[[#This Row],[Name Surname]],Manpower!$C$4:$C$1048576,Manpower!$H$4:$H$1048576,"")</f>
        <v>Equipment</v>
      </c>
      <c r="J2709" s="21" t="s">
        <v>143</v>
      </c>
      <c r="K2709" s="21" t="s">
        <v>26</v>
      </c>
      <c r="L2709" s="21" t="s">
        <v>144</v>
      </c>
      <c r="M2709" s="21" t="s">
        <v>55</v>
      </c>
      <c r="N2709" s="29">
        <v>5</v>
      </c>
      <c r="O2709" s="21" t="s">
        <v>138</v>
      </c>
      <c r="P2709" s="21" t="s">
        <v>138</v>
      </c>
      <c r="Q2709" s="21" t="s">
        <v>138</v>
      </c>
      <c r="R2709" s="21" t="s">
        <v>26</v>
      </c>
      <c r="T2709" s="56" t="s">
        <v>396</v>
      </c>
    </row>
    <row r="2710" spans="1:20" ht="14.4">
      <c r="A2710" s="33">
        <f>IF(C2710="","",MAX($A$1:A2709)+1)</f>
        <v>2507</v>
      </c>
      <c r="B2710" s="27" t="s">
        <v>141</v>
      </c>
      <c r="C2710" s="23">
        <v>46104</v>
      </c>
      <c r="D2710" s="28" t="str">
        <f>_xlfn.XLOOKUP(Table134526_79101120212223242526[[#This Row],[Name Surname]],Manpower!$C$4:$C$1048576,Manpower!$B$4:$B$1048576,"")</f>
        <v>Encogroup</v>
      </c>
      <c r="E2710" s="21" t="s">
        <v>154</v>
      </c>
      <c r="F2710" s="12" t="e">
        <f>_xlfn.XLOOKUP(Table134526_79101120212223242526[[#This Row],[Name Surname]],Manpower!C:C,Manpower!D:D,)</f>
        <v>#N/A</v>
      </c>
      <c r="G2710" s="28" t="str">
        <f>_xlfn.XLOOKUP(Table134526_79101120212223242526[[#This Row],[Name Surname]],Manpower!$C$4:$C$1048576,Manpower!$F$4:$F$1048576,"")</f>
        <v>22 Seat Bus</v>
      </c>
      <c r="H2710" s="28" t="str">
        <f>_xlfn.XLOOKUP(Table134526_79101120212223242526[[#This Row],[Name Surname]],Manpower!$C$4:$C$1048576,Manpower!$H$4:$H$1048576,"")</f>
        <v>Equipment</v>
      </c>
      <c r="I2710" s="28" t="str">
        <f>_xlfn.XLOOKUP(Table134526_79101120212223242526[[#This Row],[Name Surname]],Manpower!$C$4:$C$1048576,Manpower!$H$4:$H$1048576,"")</f>
        <v>Equipment</v>
      </c>
      <c r="J2710" s="21" t="s">
        <v>143</v>
      </c>
      <c r="K2710" s="21" t="s">
        <v>26</v>
      </c>
      <c r="L2710" s="21" t="s">
        <v>144</v>
      </c>
      <c r="M2710" s="21" t="s">
        <v>55</v>
      </c>
      <c r="N2710" s="29">
        <v>5</v>
      </c>
      <c r="O2710" s="21" t="s">
        <v>138</v>
      </c>
      <c r="P2710" s="21" t="s">
        <v>138</v>
      </c>
      <c r="Q2710" s="21" t="s">
        <v>138</v>
      </c>
      <c r="R2710" s="21" t="s">
        <v>26</v>
      </c>
      <c r="T2710" s="56" t="s">
        <v>396</v>
      </c>
    </row>
    <row r="2711" spans="1:20" ht="14.4">
      <c r="A2711" s="33">
        <f>IF(C2711="","",MAX($A$1:A2710)+1)</f>
        <v>2508</v>
      </c>
      <c r="B2711" s="27" t="s">
        <v>141</v>
      </c>
      <c r="C2711" s="23">
        <v>46104</v>
      </c>
      <c r="D2711" s="28" t="str">
        <f>_xlfn.XLOOKUP(Table134526_79101120212223242526[[#This Row],[Name Surname]],Manpower!$C$4:$C$1048576,Manpower!$B$4:$B$1048576,"")</f>
        <v>Encogroup</v>
      </c>
      <c r="E2711" s="21" t="s">
        <v>155</v>
      </c>
      <c r="F2711" s="12" t="e">
        <f>_xlfn.XLOOKUP(Table134526_79101120212223242526[[#This Row],[Name Surname]],Manpower!C:C,Manpower!D:D,)</f>
        <v>#N/A</v>
      </c>
      <c r="G2711" s="28" t="str">
        <f>_xlfn.XLOOKUP(Table134526_79101120212223242526[[#This Row],[Name Surname]],Manpower!$C$4:$C$1048576,Manpower!$F$4:$F$1048576,"")</f>
        <v>300 KVA Generator</v>
      </c>
      <c r="H2711" s="28" t="str">
        <f>_xlfn.XLOOKUP(Table134526_79101120212223242526[[#This Row],[Name Surname]],Manpower!$C$4:$C$1048576,Manpower!$H$4:$H$1048576,"")</f>
        <v>Equipment</v>
      </c>
      <c r="I2711" s="28" t="str">
        <f>_xlfn.XLOOKUP(Table134526_79101120212223242526[[#This Row],[Name Surname]],Manpower!$C$4:$C$1048576,Manpower!$H$4:$H$1048576,"")</f>
        <v>Equipment</v>
      </c>
      <c r="J2711" s="21" t="s">
        <v>143</v>
      </c>
      <c r="K2711" s="21" t="s">
        <v>26</v>
      </c>
      <c r="L2711" s="21" t="s">
        <v>144</v>
      </c>
      <c r="M2711" s="21" t="s">
        <v>55</v>
      </c>
      <c r="N2711" s="29">
        <v>5</v>
      </c>
      <c r="O2711" s="21" t="s">
        <v>140</v>
      </c>
      <c r="P2711" s="21" t="s">
        <v>140</v>
      </c>
      <c r="Q2711" s="21" t="s">
        <v>140</v>
      </c>
      <c r="R2711" s="21" t="s">
        <v>26</v>
      </c>
      <c r="T2711" s="56" t="s">
        <v>396</v>
      </c>
    </row>
    <row r="2712" spans="1:20" ht="14.4">
      <c r="A2712" s="33">
        <f>IF(C2712="","",MAX($A$1:A2711)+1)</f>
        <v>2509</v>
      </c>
      <c r="B2712" s="27" t="s">
        <v>141</v>
      </c>
      <c r="C2712" s="23">
        <v>46104</v>
      </c>
      <c r="D2712" s="28" t="str">
        <f>_xlfn.XLOOKUP(Table134526_79101120212223242526[[#This Row],[Name Surname]],Manpower!$C$4:$C$1048576,Manpower!$B$4:$B$1048576,"")</f>
        <v>Encogroup</v>
      </c>
      <c r="E2712" s="23" t="s">
        <v>156</v>
      </c>
      <c r="F2712" s="12" t="e">
        <f>_xlfn.XLOOKUP(Table134526_79101120212223242526[[#This Row],[Name Surname]],Manpower!C:C,Manpower!D:D,)</f>
        <v>#N/A</v>
      </c>
      <c r="G2712" s="28" t="str">
        <f>_xlfn.XLOOKUP(Table134526_79101120212223242526[[#This Row],[Name Surname]],Manpower!$C$4:$C$1048576,Manpower!$F$4:$F$1048576,"")</f>
        <v>35 KVA Generator</v>
      </c>
      <c r="H2712" s="28" t="str">
        <f>_xlfn.XLOOKUP(Table134526_79101120212223242526[[#This Row],[Name Surname]],Manpower!$C$4:$C$1048576,Manpower!$H$4:$H$1048576,"")</f>
        <v>Equipment</v>
      </c>
      <c r="I2712" s="28" t="str">
        <f>_xlfn.XLOOKUP(Table134526_79101120212223242526[[#This Row],[Name Surname]],Manpower!$C$4:$C$1048576,Manpower!$H$4:$H$1048576,"")</f>
        <v>Equipment</v>
      </c>
      <c r="J2712" s="21" t="s">
        <v>143</v>
      </c>
      <c r="K2712" s="21" t="s">
        <v>26</v>
      </c>
      <c r="L2712" s="21" t="s">
        <v>144</v>
      </c>
      <c r="M2712" s="21" t="s">
        <v>55</v>
      </c>
      <c r="N2712" s="29">
        <v>5</v>
      </c>
      <c r="R2712" s="21" t="s">
        <v>56</v>
      </c>
      <c r="T2712" s="56" t="s">
        <v>396</v>
      </c>
    </row>
    <row r="2713" spans="1:20" ht="14.4">
      <c r="A2713" s="33">
        <f>IF(C2713="","",MAX($A$1:A2712)+1)</f>
        <v>2510</v>
      </c>
      <c r="B2713" s="27" t="s">
        <v>141</v>
      </c>
      <c r="C2713" s="23">
        <v>46104</v>
      </c>
      <c r="D2713" s="28" t="str">
        <f>_xlfn.XLOOKUP(Table134526_79101120212223242526[[#This Row],[Name Surname]],Manpower!$C$4:$C$1048576,Manpower!$B$4:$B$1048576,"")</f>
        <v>Encogroup</v>
      </c>
      <c r="E2713" s="21" t="s">
        <v>342</v>
      </c>
      <c r="F2713" s="12" t="e">
        <f>_xlfn.XLOOKUP(Table134526_79101120212223242526[[#This Row],[Name Surname]],Manpower!C:C,Manpower!D:D,)</f>
        <v>#N/A</v>
      </c>
      <c r="G2713" s="28" t="str">
        <f>_xlfn.XLOOKUP(Table134526_79101120212223242526[[#This Row],[Name Surname]],Manpower!$C$4:$C$1048576,Manpower!$F$4:$F$1048576,"")</f>
        <v>SCISSOR LIFT</v>
      </c>
      <c r="H2713" s="28" t="str">
        <f>_xlfn.XLOOKUP(Table134526_79101120212223242526[[#This Row],[Name Surname]],Manpower!$C$4:$C$1048576,Manpower!$H$4:$H$1048576,"")</f>
        <v>Equipment</v>
      </c>
      <c r="I2713" s="28" t="str">
        <f>_xlfn.XLOOKUP(Table134526_79101120212223242526[[#This Row],[Name Surname]],Manpower!$C$4:$C$1048576,Manpower!$H$4:$H$1048576,"")</f>
        <v>Equipment</v>
      </c>
      <c r="J2713" s="21" t="s">
        <v>143</v>
      </c>
      <c r="K2713" s="21" t="s">
        <v>26</v>
      </c>
      <c r="L2713" s="21" t="s">
        <v>144</v>
      </c>
      <c r="M2713" s="21" t="s">
        <v>55</v>
      </c>
      <c r="N2713" s="29">
        <v>5</v>
      </c>
      <c r="R2713" s="21" t="s">
        <v>56</v>
      </c>
      <c r="T2713" s="56" t="s">
        <v>396</v>
      </c>
    </row>
    <row r="2714" spans="1:20" ht="14.4" hidden="1">
      <c r="A2714" s="33">
        <f>IF(C2714="","",MAX($A$1:A2713)+1)</f>
        <v>2511</v>
      </c>
      <c r="B2714" s="27" t="s">
        <v>141</v>
      </c>
      <c r="C2714" s="23">
        <v>46104</v>
      </c>
      <c r="D2714" s="28" t="str">
        <f>_xlfn.XLOOKUP(Table134526_79101120212223242526[[#This Row],[Name Surname]],Manpower!$C$4:$C$1048576,Manpower!$B$4:$B$1048576,"")</f>
        <v>Encogroup</v>
      </c>
      <c r="E2714" s="21" t="s">
        <v>157</v>
      </c>
      <c r="F2714" s="12">
        <f>_xlfn.XLOOKUP(Table134526_79101120212223242526[[#This Row],[Name Surname]],Manpower!C:C,Manpower!D:D,)</f>
        <v>140742144</v>
      </c>
      <c r="G2714" s="28" t="str">
        <f>_xlfn.XLOOKUP(Table134526_79101120212223242526[[#This Row],[Name Surname]],Manpower!$C$4:$C$1048576,Manpower!$F$4:$F$1048576,"")</f>
        <v>Assistant/Helper</v>
      </c>
      <c r="H2714" s="28" t="str">
        <f>_xlfn.XLOOKUP(Table134526_79101120212223242526[[#This Row],[Name Surname]],Manpower!$C$4:$C$1048576,Manpower!$H$4:$H$1048576,"")</f>
        <v>Manpower</v>
      </c>
      <c r="I2714" s="28" t="str">
        <f>_xlfn.XLOOKUP(Table134526_79101120212223242526[[#This Row],[Name Surname]],Manpower!$C$4:$C$1048576,Manpower!$H$4:$H$1048576,"")</f>
        <v>Manpower</v>
      </c>
      <c r="J2714" s="21" t="s">
        <v>158</v>
      </c>
      <c r="K2714" s="21" t="s">
        <v>26</v>
      </c>
      <c r="L2714" s="21" t="s">
        <v>26</v>
      </c>
      <c r="M2714" s="21" t="s">
        <v>55</v>
      </c>
      <c r="N2714" s="29">
        <v>5</v>
      </c>
      <c r="O2714" s="21" t="s">
        <v>159</v>
      </c>
      <c r="P2714" s="21" t="s">
        <v>160</v>
      </c>
      <c r="Q2714" s="21" t="s">
        <v>160</v>
      </c>
      <c r="R2714" s="21" t="s">
        <v>161</v>
      </c>
      <c r="T2714" s="56" t="s">
        <v>396</v>
      </c>
    </row>
    <row r="2715" spans="1:20" s="45" customFormat="1" ht="14.4" hidden="1">
      <c r="A2715" s="25">
        <f>IF(C2715="","",MAX($A$1:A2714)+1)</f>
        <v>2512</v>
      </c>
      <c r="B2715" s="25" t="s">
        <v>141</v>
      </c>
      <c r="C2715" s="41">
        <v>46104</v>
      </c>
      <c r="D2715" s="48" t="str">
        <f>_xlfn.XLOOKUP(Table134526_79101120212223242526[[#This Row],[Name Surname]],Manpower!$C$4:$C$1048576,Manpower!$B$4:$B$1048576,"")</f>
        <v>Encogroup</v>
      </c>
      <c r="E2715" s="43" t="s">
        <v>166</v>
      </c>
      <c r="F2715" s="12" t="str">
        <f>_xlfn.XLOOKUP(Table134526_79101120212223242526[[#This Row],[Name Surname]],Manpower!C:C,Manpower!D:D,)</f>
        <v>U4181508</v>
      </c>
      <c r="G2715" s="48" t="str">
        <f>_xlfn.XLOOKUP(Table134526_79101120212223242526[[#This Row],[Name Surname]],Manpower!$C$4:$C$1048576,Manpower!$F$4:$F$1048576,"")</f>
        <v>Welder</v>
      </c>
      <c r="H2715" s="48" t="str">
        <f>_xlfn.XLOOKUP(Table134526_79101120212223242526[[#This Row],[Name Surname]],Manpower!$C$4:$C$1048576,Manpower!$H$4:$H$1048576,"")</f>
        <v>Manpower</v>
      </c>
      <c r="I2715" s="48" t="str">
        <f>_xlfn.XLOOKUP(Table134526_79101120212223242526[[#This Row],[Name Surname]],Manpower!$C$4:$C$1048576,Manpower!$H$4:$H$1048576,"")</f>
        <v>Manpower</v>
      </c>
      <c r="J2715" s="43" t="s">
        <v>143</v>
      </c>
      <c r="K2715" s="43" t="s">
        <v>26</v>
      </c>
      <c r="L2715" s="43" t="s">
        <v>144</v>
      </c>
      <c r="M2715" s="43" t="s">
        <v>55</v>
      </c>
      <c r="N2715" s="44">
        <v>5</v>
      </c>
      <c r="O2715" s="43" t="s">
        <v>40</v>
      </c>
      <c r="P2715" s="43" t="s">
        <v>42</v>
      </c>
      <c r="Q2715" s="43" t="s">
        <v>42</v>
      </c>
      <c r="R2715" s="43" t="s">
        <v>402</v>
      </c>
      <c r="S2715" s="43"/>
      <c r="T2715" s="67" t="s">
        <v>396</v>
      </c>
    </row>
    <row r="2716" spans="1:20" s="45" customFormat="1" ht="14.4" hidden="1">
      <c r="A2716" s="25">
        <f>IF(C2716="","",MAX($A$1:A2715)+1)</f>
        <v>2513</v>
      </c>
      <c r="B2716" s="25" t="s">
        <v>141</v>
      </c>
      <c r="C2716" s="41">
        <v>46104</v>
      </c>
      <c r="D2716" s="48" t="str">
        <f>_xlfn.XLOOKUP(Table134526_79101120212223242526[[#This Row],[Name Surname]],Manpower!$C$4:$C$1048576,Manpower!$B$4:$B$1048576,"")</f>
        <v>Encogroup</v>
      </c>
      <c r="E2716" s="43" t="s">
        <v>167</v>
      </c>
      <c r="F2716" s="12">
        <f>_xlfn.XLOOKUP(Table134526_79101120212223242526[[#This Row],[Name Surname]],Manpower!C:C,Manpower!D:D,)</f>
        <v>125440631</v>
      </c>
      <c r="G2716" s="48" t="str">
        <f>_xlfn.XLOOKUP(Table134526_79101120212223242526[[#This Row],[Name Surname]],Manpower!$C$4:$C$1048576,Manpower!$F$4:$F$1048576,"")</f>
        <v>Rigger</v>
      </c>
      <c r="H2716" s="48" t="str">
        <f>_xlfn.XLOOKUP(Table134526_79101120212223242526[[#This Row],[Name Surname]],Manpower!$C$4:$C$1048576,Manpower!$H$4:$H$1048576,"")</f>
        <v>Manpower</v>
      </c>
      <c r="I2716" s="48" t="str">
        <f>_xlfn.XLOOKUP(Table134526_79101120212223242526[[#This Row],[Name Surname]],Manpower!$C$4:$C$1048576,Manpower!$H$4:$H$1048576,"")</f>
        <v>Manpower</v>
      </c>
      <c r="J2716" s="43" t="s">
        <v>143</v>
      </c>
      <c r="K2716" s="43" t="s">
        <v>26</v>
      </c>
      <c r="L2716" s="43" t="s">
        <v>144</v>
      </c>
      <c r="M2716" s="43" t="s">
        <v>55</v>
      </c>
      <c r="N2716" s="44">
        <v>5</v>
      </c>
      <c r="O2716" s="43" t="s">
        <v>40</v>
      </c>
      <c r="P2716" s="43" t="s">
        <v>42</v>
      </c>
      <c r="Q2716" s="43" t="s">
        <v>42</v>
      </c>
      <c r="R2716" s="43" t="s">
        <v>402</v>
      </c>
      <c r="S2716" s="43"/>
      <c r="T2716" s="67" t="s">
        <v>396</v>
      </c>
    </row>
    <row r="2717" spans="1:20" ht="14.4" hidden="1">
      <c r="A2717" s="33">
        <f>IF(C2717="","",MAX($A$1:A2716)+1)</f>
        <v>2514</v>
      </c>
      <c r="B2717" s="27" t="s">
        <v>141</v>
      </c>
      <c r="C2717" s="23">
        <v>46104</v>
      </c>
      <c r="D2717" s="28" t="str">
        <f>_xlfn.XLOOKUP(Table134526_79101120212223242526[[#This Row],[Name Surname]],Manpower!$C$4:$C$1048576,Manpower!$B$4:$B$1048576,"")</f>
        <v>AL Omar International TRAD AND CONT</v>
      </c>
      <c r="E2717" s="21" t="s">
        <v>169</v>
      </c>
      <c r="F2717" s="12">
        <f>_xlfn.XLOOKUP(Table134526_79101120212223242526[[#This Row],[Name Surname]],Manpower!C:C,Manpower!D:D,)</f>
        <v>115731078</v>
      </c>
      <c r="G2717" s="28" t="str">
        <f>_xlfn.XLOOKUP(Table134526_79101120212223242526[[#This Row],[Name Surname]],Manpower!$C$4:$C$1048576,Manpower!$F$4:$F$1048576,"")</f>
        <v>Scaffolder</v>
      </c>
      <c r="H2717" s="28" t="str">
        <f>_xlfn.XLOOKUP(Table134526_79101120212223242526[[#This Row],[Name Surname]],Manpower!$C$4:$C$1048576,Manpower!$H$4:$H$1048576,"")</f>
        <v>Sub Contactor</v>
      </c>
      <c r="I2717" s="28" t="str">
        <f>_xlfn.XLOOKUP(Table134526_79101120212223242526[[#This Row],[Name Surname]],Manpower!$C$4:$C$1048576,Manpower!$H$4:$H$1048576,"")</f>
        <v>Sub Contactor</v>
      </c>
      <c r="J2717" s="21" t="s">
        <v>143</v>
      </c>
      <c r="K2717" s="21" t="s">
        <v>26</v>
      </c>
      <c r="L2717" s="21" t="s">
        <v>170</v>
      </c>
      <c r="M2717" s="21" t="s">
        <v>55</v>
      </c>
      <c r="N2717" s="29">
        <v>5</v>
      </c>
      <c r="O2717" s="21" t="s">
        <v>40</v>
      </c>
      <c r="P2717" s="21" t="s">
        <v>128</v>
      </c>
      <c r="Q2717" s="21" t="s">
        <v>128</v>
      </c>
      <c r="R2717" s="21" t="s">
        <v>171</v>
      </c>
      <c r="T2717" s="56" t="s">
        <v>396</v>
      </c>
    </row>
    <row r="2718" spans="1:20" s="45" customFormat="1" ht="14.4" hidden="1">
      <c r="A2718" s="25">
        <f>IF(C2718="","",MAX($A$1:A2717)+1)</f>
        <v>2515</v>
      </c>
      <c r="B2718" s="25" t="s">
        <v>141</v>
      </c>
      <c r="C2718" s="41">
        <v>46104</v>
      </c>
      <c r="D2718" s="48" t="str">
        <f>_xlfn.XLOOKUP(Table134526_79101120212223242526[[#This Row],[Name Surname]],Manpower!$C$4:$C$1048576,Manpower!$B$4:$B$1048576,"")</f>
        <v>Encogroup</v>
      </c>
      <c r="E2718" s="43" t="s">
        <v>172</v>
      </c>
      <c r="F2718" s="12">
        <f>_xlfn.XLOOKUP(Table134526_79101120212223242526[[#This Row],[Name Surname]],Manpower!C:C,Manpower!D:D,)</f>
        <v>140764355</v>
      </c>
      <c r="G2718" s="48" t="str">
        <f>_xlfn.XLOOKUP(Table134526_79101120212223242526[[#This Row],[Name Surname]],Manpower!$C$4:$C$1048576,Manpower!$F$4:$F$1048576,"")</f>
        <v>Fitter/Erector</v>
      </c>
      <c r="H2718" s="48" t="str">
        <f>_xlfn.XLOOKUP(Table134526_79101120212223242526[[#This Row],[Name Surname]],Manpower!$C$4:$C$1048576,Manpower!$H$4:$H$1048576,"")</f>
        <v>Manpower</v>
      </c>
      <c r="I2718" s="48" t="str">
        <f>_xlfn.XLOOKUP(Table134526_79101120212223242526[[#This Row],[Name Surname]],Manpower!$C$4:$C$1048576,Manpower!$H$4:$H$1048576,"")</f>
        <v>Manpower</v>
      </c>
      <c r="J2718" s="43" t="s">
        <v>143</v>
      </c>
      <c r="K2718" s="43" t="s">
        <v>26</v>
      </c>
      <c r="L2718" s="43" t="s">
        <v>144</v>
      </c>
      <c r="M2718" s="43" t="s">
        <v>55</v>
      </c>
      <c r="N2718" s="44">
        <v>5</v>
      </c>
      <c r="O2718" s="43" t="s">
        <v>40</v>
      </c>
      <c r="P2718" s="43" t="s">
        <v>42</v>
      </c>
      <c r="Q2718" s="43" t="s">
        <v>42</v>
      </c>
      <c r="R2718" s="43" t="s">
        <v>402</v>
      </c>
      <c r="S2718" s="43"/>
      <c r="T2718" s="67" t="s">
        <v>396</v>
      </c>
    </row>
    <row r="2719" spans="1:20" ht="14.4" hidden="1">
      <c r="A2719" s="33">
        <f>IF(C2719="","",MAX($A$1:A2718)+1)</f>
        <v>2516</v>
      </c>
      <c r="B2719" s="27" t="s">
        <v>141</v>
      </c>
      <c r="C2719" s="23">
        <v>46104</v>
      </c>
      <c r="D2719" s="28" t="str">
        <f>_xlfn.XLOOKUP(Table134526_79101120212223242526[[#This Row],[Name Surname]],Manpower!$C$4:$C$1048576,Manpower!$B$4:$B$1048576,"")</f>
        <v>Encogroup</v>
      </c>
      <c r="E2719" s="21" t="s">
        <v>175</v>
      </c>
      <c r="F2719" s="12">
        <f>_xlfn.XLOOKUP(Table134526_79101120212223242526[[#This Row],[Name Surname]],Manpower!C:C,Manpower!D:D,)</f>
        <v>140742125</v>
      </c>
      <c r="G2719" s="28" t="str">
        <f>_xlfn.XLOOKUP(Table134526_79101120212223242526[[#This Row],[Name Surname]],Manpower!$C$4:$C$1048576,Manpower!$F$4:$F$1048576,"")</f>
        <v>Assistant/Helper</v>
      </c>
      <c r="H2719" s="28" t="str">
        <f>_xlfn.XLOOKUP(Table134526_79101120212223242526[[#This Row],[Name Surname]],Manpower!$C$4:$C$1048576,Manpower!$H$4:$H$1048576,"")</f>
        <v>Manpower</v>
      </c>
      <c r="I2719" s="28" t="str">
        <f>_xlfn.XLOOKUP(Table134526_79101120212223242526[[#This Row],[Name Surname]],Manpower!$C$4:$C$1048576,Manpower!$H$4:$H$1048576,"")</f>
        <v>Manpower</v>
      </c>
      <c r="J2719" s="21" t="s">
        <v>158</v>
      </c>
      <c r="K2719" s="21" t="s">
        <v>26</v>
      </c>
      <c r="L2719" s="21" t="s">
        <v>26</v>
      </c>
      <c r="M2719" s="21" t="s">
        <v>55</v>
      </c>
      <c r="N2719" s="29">
        <v>5</v>
      </c>
      <c r="O2719" s="21" t="s">
        <v>159</v>
      </c>
      <c r="P2719" s="21" t="s">
        <v>160</v>
      </c>
      <c r="Q2719" s="21" t="s">
        <v>160</v>
      </c>
      <c r="R2719" s="21" t="s">
        <v>161</v>
      </c>
      <c r="T2719" s="56" t="s">
        <v>396</v>
      </c>
    </row>
    <row r="2720" spans="1:20" ht="14.4" hidden="1">
      <c r="A2720" s="33">
        <f>IF(C2720="","",MAX($A$1:A2719)+1)</f>
        <v>2517</v>
      </c>
      <c r="B2720" s="27" t="s">
        <v>141</v>
      </c>
      <c r="C2720" s="23">
        <v>46104</v>
      </c>
      <c r="D2720" s="28" t="str">
        <f>_xlfn.XLOOKUP(Table134526_79101120212223242526[[#This Row],[Name Surname]],Manpower!$C$4:$C$1048576,Manpower!$B$4:$B$1048576,"")</f>
        <v>Encogroup</v>
      </c>
      <c r="E2720" s="21" t="s">
        <v>228</v>
      </c>
      <c r="F2720" s="12">
        <f>_xlfn.XLOOKUP(Table134526_79101120212223242526[[#This Row],[Name Surname]],Manpower!C:C,Manpower!D:D,)</f>
        <v>125199963</v>
      </c>
      <c r="G2720" s="28" t="str">
        <f>_xlfn.XLOOKUP(Table134526_79101120212223242526[[#This Row],[Name Surname]],Manpower!$C$4:$C$1048576,Manpower!$F$4:$F$1048576,"")</f>
        <v>Electrician</v>
      </c>
      <c r="H2720" s="28" t="str">
        <f>_xlfn.XLOOKUP(Table134526_79101120212223242526[[#This Row],[Name Surname]],Manpower!$C$4:$C$1048576,Manpower!$H$4:$H$1048576,"")</f>
        <v>Manpower</v>
      </c>
      <c r="I2720" s="28" t="str">
        <f>_xlfn.XLOOKUP(Table134526_79101120212223242526[[#This Row],[Name Surname]],Manpower!$C$4:$C$1048576,Manpower!$H$4:$H$1048576,"")</f>
        <v>Manpower</v>
      </c>
      <c r="J2720" s="21" t="s">
        <v>158</v>
      </c>
      <c r="K2720" s="21" t="s">
        <v>26</v>
      </c>
      <c r="L2720" s="21" t="s">
        <v>26</v>
      </c>
      <c r="M2720" s="21" t="s">
        <v>55</v>
      </c>
      <c r="N2720" s="29">
        <v>5</v>
      </c>
      <c r="O2720" s="21" t="s">
        <v>159</v>
      </c>
      <c r="P2720" s="21" t="s">
        <v>160</v>
      </c>
      <c r="Q2720" s="21" t="s">
        <v>160</v>
      </c>
      <c r="R2720" s="21" t="s">
        <v>161</v>
      </c>
      <c r="T2720" s="56" t="s">
        <v>396</v>
      </c>
    </row>
    <row r="2721" spans="1:20" ht="14.4" hidden="1">
      <c r="A2721" s="33">
        <f>IF(C2721="","",MAX($A$1:A2720)+1)</f>
        <v>2518</v>
      </c>
      <c r="B2721" s="27" t="s">
        <v>141</v>
      </c>
      <c r="C2721" s="23">
        <v>46104</v>
      </c>
      <c r="D2721" s="28" t="str">
        <f>_xlfn.XLOOKUP(Table134526_79101120212223242526[[#This Row],[Name Surname]],Manpower!$C$4:$C$1048576,Manpower!$B$4:$B$1048576,"")</f>
        <v>Encogroup</v>
      </c>
      <c r="E2721" s="21" t="s">
        <v>119</v>
      </c>
      <c r="F2721" s="12">
        <f>_xlfn.XLOOKUP(Table134526_79101120212223242526[[#This Row],[Name Surname]],Manpower!C:C,Manpower!D:D,)</f>
        <v>140844778</v>
      </c>
      <c r="G2721" s="28" t="str">
        <f>_xlfn.XLOOKUP(Table134526_79101120212223242526[[#This Row],[Name Surname]],Manpower!$C$4:$C$1048576,Manpower!$F$4:$F$1048576,"")</f>
        <v>Painter</v>
      </c>
      <c r="H2721" s="28" t="str">
        <f>_xlfn.XLOOKUP(Table134526_79101120212223242526[[#This Row],[Name Surname]],Manpower!$C$4:$C$1048576,Manpower!$H$4:$H$1048576,"")</f>
        <v>Manpower</v>
      </c>
      <c r="I2721" s="28" t="str">
        <f>_xlfn.XLOOKUP(Table134526_79101120212223242526[[#This Row],[Name Surname]],Manpower!$C$4:$C$1048576,Manpower!$H$4:$H$1048576,"")</f>
        <v>Manpower</v>
      </c>
      <c r="J2721" s="21" t="s">
        <v>143</v>
      </c>
      <c r="K2721" s="21" t="s">
        <v>26</v>
      </c>
      <c r="L2721" s="21" t="s">
        <v>144</v>
      </c>
      <c r="M2721" s="21" t="s">
        <v>55</v>
      </c>
      <c r="N2721" s="29">
        <v>5</v>
      </c>
      <c r="O2721" s="21" t="s">
        <v>40</v>
      </c>
      <c r="P2721" s="21" t="s">
        <v>42</v>
      </c>
      <c r="Q2721" s="21" t="s">
        <v>42</v>
      </c>
      <c r="R2721" s="21" t="s">
        <v>402</v>
      </c>
      <c r="T2721" s="56" t="s">
        <v>396</v>
      </c>
    </row>
    <row r="2722" spans="1:20" ht="14.4" hidden="1">
      <c r="A2722" s="33">
        <f>IF(C2722="","",MAX($A$1:A2721)+1)</f>
        <v>2519</v>
      </c>
      <c r="B2722" s="27" t="s">
        <v>141</v>
      </c>
      <c r="C2722" s="23">
        <v>46104</v>
      </c>
      <c r="D2722" s="28" t="str">
        <f>_xlfn.XLOOKUP(Table134526_79101120212223242526[[#This Row],[Name Surname]],Manpower!$C$4:$C$1048576,Manpower!$B$4:$B$1048576,"")</f>
        <v>Encogroup</v>
      </c>
      <c r="E2722" s="21" t="s">
        <v>117</v>
      </c>
      <c r="F2722" s="12">
        <f>_xlfn.XLOOKUP(Table134526_79101120212223242526[[#This Row],[Name Surname]],Manpower!C:C,Manpower!D:D,)</f>
        <v>140844783</v>
      </c>
      <c r="G2722" s="28" t="str">
        <f>_xlfn.XLOOKUP(Table134526_79101120212223242526[[#This Row],[Name Surname]],Manpower!$C$4:$C$1048576,Manpower!$F$4:$F$1048576,"")</f>
        <v>Painter</v>
      </c>
      <c r="H2722" s="28" t="str">
        <f>_xlfn.XLOOKUP(Table134526_79101120212223242526[[#This Row],[Name Surname]],Manpower!$C$4:$C$1048576,Manpower!$H$4:$H$1048576,"")</f>
        <v>Manpower</v>
      </c>
      <c r="I2722" s="28" t="str">
        <f>_xlfn.XLOOKUP(Table134526_79101120212223242526[[#This Row],[Name Surname]],Manpower!$C$4:$C$1048576,Manpower!$H$4:$H$1048576,"")</f>
        <v>Manpower</v>
      </c>
      <c r="J2722" s="21" t="s">
        <v>143</v>
      </c>
      <c r="K2722" s="21" t="s">
        <v>26</v>
      </c>
      <c r="L2722" s="21" t="s">
        <v>144</v>
      </c>
      <c r="M2722" s="21" t="s">
        <v>55</v>
      </c>
      <c r="N2722" s="29">
        <v>5</v>
      </c>
      <c r="O2722" s="21" t="s">
        <v>40</v>
      </c>
      <c r="P2722" s="21" t="s">
        <v>42</v>
      </c>
      <c r="Q2722" s="21" t="s">
        <v>42</v>
      </c>
      <c r="R2722" s="21" t="s">
        <v>402</v>
      </c>
      <c r="T2722" s="56" t="s">
        <v>396</v>
      </c>
    </row>
    <row r="2723" spans="1:20" s="45" customFormat="1" ht="14.4" hidden="1">
      <c r="A2723" s="25">
        <f>IF(C2723="","",MAX($A$1:A2722)+1)</f>
        <v>2520</v>
      </c>
      <c r="B2723" s="25" t="s">
        <v>141</v>
      </c>
      <c r="C2723" s="41">
        <v>46104</v>
      </c>
      <c r="D2723" s="48" t="str">
        <f>_xlfn.XLOOKUP(Table134526_79101120212223242526[[#This Row],[Name Surname]],Manpower!$C$4:$C$1048576,Manpower!$B$4:$B$1048576,"")</f>
        <v>Encogroup</v>
      </c>
      <c r="E2723" s="43" t="s">
        <v>176</v>
      </c>
      <c r="F2723" s="12">
        <f>_xlfn.XLOOKUP(Table134526_79101120212223242526[[#This Row],[Name Surname]],Manpower!C:C,Manpower!D:D,)</f>
        <v>124398279</v>
      </c>
      <c r="G2723" s="48" t="str">
        <f>_xlfn.XLOOKUP(Table134526_79101120212223242526[[#This Row],[Name Surname]],Manpower!$C$4:$C$1048576,Manpower!$F$4:$F$1048576,"")</f>
        <v>Permit Receiver</v>
      </c>
      <c r="H2723" s="48" t="str">
        <f>_xlfn.XLOOKUP(Table134526_79101120212223242526[[#This Row],[Name Surname]],Manpower!$C$4:$C$1048576,Manpower!$H$4:$H$1048576,"")</f>
        <v>Manpower</v>
      </c>
      <c r="I2723" s="48" t="str">
        <f>_xlfn.XLOOKUP(Table134526_79101120212223242526[[#This Row],[Name Surname]],Manpower!$C$4:$C$1048576,Manpower!$H$4:$H$1048576,"")</f>
        <v>Manpower</v>
      </c>
      <c r="J2723" s="43" t="s">
        <v>143</v>
      </c>
      <c r="K2723" s="43" t="s">
        <v>26</v>
      </c>
      <c r="L2723" s="43" t="s">
        <v>144</v>
      </c>
      <c r="M2723" s="43" t="s">
        <v>55</v>
      </c>
      <c r="N2723" s="44">
        <v>5</v>
      </c>
      <c r="O2723" s="43" t="s">
        <v>40</v>
      </c>
      <c r="P2723" s="43" t="s">
        <v>42</v>
      </c>
      <c r="Q2723" s="43" t="s">
        <v>42</v>
      </c>
      <c r="R2723" s="43" t="s">
        <v>402</v>
      </c>
      <c r="S2723" s="43"/>
      <c r="T2723" s="67" t="s">
        <v>396</v>
      </c>
    </row>
    <row r="2724" spans="1:20" ht="14.4" hidden="1">
      <c r="A2724" s="33">
        <f>IF(C2724="","",MAX($A$1:A2723)+1)</f>
        <v>2521</v>
      </c>
      <c r="B2724" s="27" t="s">
        <v>141</v>
      </c>
      <c r="C2724" s="23">
        <v>46104</v>
      </c>
      <c r="D2724" s="28" t="str">
        <f>_xlfn.XLOOKUP(Table134526_79101120212223242526[[#This Row],[Name Surname]],Manpower!$C$4:$C$1048576,Manpower!$B$4:$B$1048576,"")</f>
        <v>Encogroup</v>
      </c>
      <c r="E2724" s="21" t="s">
        <v>177</v>
      </c>
      <c r="F2724" s="12">
        <f>_xlfn.XLOOKUP(Table134526_79101120212223242526[[#This Row],[Name Surname]],Manpower!C:C,Manpower!D:D,)</f>
        <v>140809004</v>
      </c>
      <c r="G2724" s="28" t="str">
        <f>_xlfn.XLOOKUP(Table134526_79101120212223242526[[#This Row],[Name Surname]],Manpower!$C$4:$C$1048576,Manpower!$F$4:$F$1048576,"")</f>
        <v>Fitter/Erector</v>
      </c>
      <c r="H2724" s="28" t="str">
        <f>_xlfn.XLOOKUP(Table134526_79101120212223242526[[#This Row],[Name Surname]],Manpower!$C$4:$C$1048576,Manpower!$H$4:$H$1048576,"")</f>
        <v>Manpower</v>
      </c>
      <c r="I2724" s="28" t="str">
        <f>_xlfn.XLOOKUP(Table134526_79101120212223242526[[#This Row],[Name Surname]],Manpower!$C$4:$C$1048576,Manpower!$H$4:$H$1048576,"")</f>
        <v>Manpower</v>
      </c>
      <c r="J2724" s="21" t="s">
        <v>143</v>
      </c>
      <c r="K2724" s="21" t="s">
        <v>26</v>
      </c>
      <c r="L2724" s="21" t="s">
        <v>144</v>
      </c>
      <c r="M2724" s="21" t="s">
        <v>55</v>
      </c>
      <c r="N2724" s="29">
        <v>5</v>
      </c>
      <c r="O2724" s="21" t="s">
        <v>40</v>
      </c>
      <c r="P2724" s="21" t="s">
        <v>42</v>
      </c>
      <c r="Q2724" s="21" t="s">
        <v>42</v>
      </c>
      <c r="R2724" s="21" t="s">
        <v>402</v>
      </c>
      <c r="T2724" s="56" t="s">
        <v>396</v>
      </c>
    </row>
    <row r="2725" spans="1:20" ht="14.4" hidden="1">
      <c r="A2725" s="33">
        <f>IF(C2725="","",MAX($A$1:A2724)+1)</f>
        <v>2522</v>
      </c>
      <c r="B2725" s="27" t="s">
        <v>141</v>
      </c>
      <c r="C2725" s="23">
        <v>46104</v>
      </c>
      <c r="D2725" s="28" t="str">
        <f>_xlfn.XLOOKUP(Table134526_79101120212223242526[[#This Row],[Name Surname]],Manpower!$C$4:$C$1048576,Manpower!$B$4:$B$1048576,"")</f>
        <v>Encogroup</v>
      </c>
      <c r="E2725" s="21" t="s">
        <v>178</v>
      </c>
      <c r="F2725" s="12">
        <f>_xlfn.XLOOKUP(Table134526_79101120212223242526[[#This Row],[Name Surname]],Manpower!C:C,Manpower!D:D,)</f>
        <v>140683436</v>
      </c>
      <c r="G2725" s="28" t="str">
        <f>_xlfn.XLOOKUP(Table134526_79101120212223242526[[#This Row],[Name Surname]],Manpower!$C$4:$C$1048576,Manpower!$F$4:$F$1048576,"")</f>
        <v>Scaffolder</v>
      </c>
      <c r="H2725" s="28" t="str">
        <f>_xlfn.XLOOKUP(Table134526_79101120212223242526[[#This Row],[Name Surname]],Manpower!$C$4:$C$1048576,Manpower!$H$4:$H$1048576,"")</f>
        <v>Manpower</v>
      </c>
      <c r="I2725" s="28" t="str">
        <f>_xlfn.XLOOKUP(Table134526_79101120212223242526[[#This Row],[Name Surname]],Manpower!$C$4:$C$1048576,Manpower!$H$4:$H$1048576,"")</f>
        <v>Manpower</v>
      </c>
      <c r="J2725" s="21" t="s">
        <v>158</v>
      </c>
      <c r="K2725" s="21" t="s">
        <v>26</v>
      </c>
      <c r="L2725" s="21" t="s">
        <v>26</v>
      </c>
      <c r="M2725" s="21" t="s">
        <v>55</v>
      </c>
      <c r="N2725" s="29">
        <v>5</v>
      </c>
      <c r="O2725" s="21" t="s">
        <v>159</v>
      </c>
      <c r="P2725" s="21" t="s">
        <v>160</v>
      </c>
      <c r="Q2725" s="21" t="s">
        <v>160</v>
      </c>
      <c r="R2725" s="21" t="s">
        <v>161</v>
      </c>
      <c r="T2725" s="56" t="s">
        <v>396</v>
      </c>
    </row>
    <row r="2726" spans="1:20" ht="14.4">
      <c r="A2726" s="33">
        <f>IF(C2726="","",MAX($A$1:A2725)+1)</f>
        <v>2523</v>
      </c>
      <c r="B2726" s="27" t="s">
        <v>141</v>
      </c>
      <c r="C2726" s="23">
        <v>46104</v>
      </c>
      <c r="D2726" s="28" t="str">
        <f>_xlfn.XLOOKUP(Table134526_79101120212223242526[[#This Row],[Name Surname]],Manpower!$C$4:$C$1048576,Manpower!$B$4:$B$1048576,"")</f>
        <v>Encogroup</v>
      </c>
      <c r="E2726" s="23" t="s">
        <v>179</v>
      </c>
      <c r="F2726" s="12" t="e">
        <f>_xlfn.XLOOKUP(Table134526_79101120212223242526[[#This Row],[Name Surname]],Manpower!C:C,Manpower!D:D,)</f>
        <v>#N/A</v>
      </c>
      <c r="G2726" s="28" t="str">
        <f>_xlfn.XLOOKUP(Table134526_79101120212223242526[[#This Row],[Name Surname]],Manpower!$C$4:$C$1048576,Manpower!$F$4:$F$1048576,"")</f>
        <v>7T-HIAB</v>
      </c>
      <c r="H2726" s="28" t="str">
        <f>_xlfn.XLOOKUP(Table134526_79101120212223242526[[#This Row],[Name Surname]],Manpower!$C$4:$C$1048576,Manpower!$H$4:$H$1048576,"")</f>
        <v>Equipment</v>
      </c>
      <c r="I2726" s="28" t="str">
        <f>_xlfn.XLOOKUP(Table134526_79101120212223242526[[#This Row],[Name Surname]],Manpower!$C$4:$C$1048576,Manpower!$H$4:$H$1048576,"")</f>
        <v>Equipment</v>
      </c>
      <c r="J2726" s="21" t="s">
        <v>143</v>
      </c>
      <c r="K2726" s="21" t="s">
        <v>26</v>
      </c>
      <c r="L2726" s="21" t="s">
        <v>144</v>
      </c>
      <c r="M2726" s="21" t="s">
        <v>55</v>
      </c>
      <c r="N2726" s="29">
        <v>5</v>
      </c>
      <c r="O2726" s="21" t="s">
        <v>40</v>
      </c>
      <c r="P2726" s="21" t="s">
        <v>42</v>
      </c>
      <c r="Q2726" s="21" t="s">
        <v>42</v>
      </c>
      <c r="R2726" s="21" t="s">
        <v>26</v>
      </c>
      <c r="T2726" s="56" t="s">
        <v>396</v>
      </c>
    </row>
    <row r="2727" spans="1:20" ht="14.4" hidden="1">
      <c r="A2727" s="33">
        <f>IF(C2727="","",MAX($A$1:A2726)+1)</f>
        <v>2524</v>
      </c>
      <c r="B2727" s="27" t="s">
        <v>141</v>
      </c>
      <c r="C2727" s="23">
        <v>46104</v>
      </c>
      <c r="D2727" s="28" t="str">
        <f>_xlfn.XLOOKUP(Table134526_79101120212223242526[[#This Row],[Name Surname]],Manpower!$C$4:$C$1048576,Manpower!$B$4:$B$1048576,"")</f>
        <v>Encogroup</v>
      </c>
      <c r="E2727" s="21" t="s">
        <v>180</v>
      </c>
      <c r="F2727" s="12">
        <f>_xlfn.XLOOKUP(Table134526_79101120212223242526[[#This Row],[Name Surname]],Manpower!C:C,Manpower!D:D,)</f>
        <v>9138415</v>
      </c>
      <c r="G2727" s="28" t="str">
        <f>_xlfn.XLOOKUP(Table134526_79101120212223242526[[#This Row],[Name Surname]],Manpower!$C$4:$C$1048576,Manpower!$F$4:$F$1048576,"")</f>
        <v>HIAB Driver</v>
      </c>
      <c r="H2727" s="28" t="str">
        <f>_xlfn.XLOOKUP(Table134526_79101120212223242526[[#This Row],[Name Surname]],Manpower!$C$4:$C$1048576,Manpower!$H$4:$H$1048576,"")</f>
        <v>Manpower</v>
      </c>
      <c r="I2727" s="28" t="str">
        <f>_xlfn.XLOOKUP(Table134526_79101120212223242526[[#This Row],[Name Surname]],Manpower!$C$4:$C$1048576,Manpower!$H$4:$H$1048576,"")</f>
        <v>Manpower</v>
      </c>
      <c r="J2727" s="21" t="s">
        <v>143</v>
      </c>
      <c r="K2727" s="21" t="s">
        <v>26</v>
      </c>
      <c r="L2727" s="21" t="s">
        <v>144</v>
      </c>
      <c r="M2727" s="21" t="s">
        <v>55</v>
      </c>
      <c r="N2727" s="29">
        <v>5</v>
      </c>
      <c r="O2727" s="21" t="s">
        <v>40</v>
      </c>
      <c r="P2727" s="21" t="s">
        <v>42</v>
      </c>
      <c r="Q2727" s="21" t="s">
        <v>42</v>
      </c>
      <c r="R2727" s="21" t="s">
        <v>403</v>
      </c>
      <c r="T2727" s="56" t="s">
        <v>396</v>
      </c>
    </row>
    <row r="2728" spans="1:20" s="45" customFormat="1" ht="14.4" hidden="1">
      <c r="A2728" s="25">
        <f>IF(C2728="","",MAX($A$1:A2727)+1)</f>
        <v>2525</v>
      </c>
      <c r="B2728" s="25" t="s">
        <v>141</v>
      </c>
      <c r="C2728" s="41">
        <v>46104</v>
      </c>
      <c r="D2728" s="48" t="str">
        <f>_xlfn.XLOOKUP(Table134526_79101120212223242526[[#This Row],[Name Surname]],Manpower!$C$4:$C$1048576,Manpower!$B$4:$B$1048576,"")</f>
        <v>Encogroup</v>
      </c>
      <c r="E2728" s="43" t="s">
        <v>184</v>
      </c>
      <c r="F2728" s="12">
        <f>_xlfn.XLOOKUP(Table134526_79101120212223242526[[#This Row],[Name Surname]],Manpower!C:C,Manpower!D:D,)</f>
        <v>140844759</v>
      </c>
      <c r="G2728" s="48" t="str">
        <f>_xlfn.XLOOKUP(Table134526_79101120212223242526[[#This Row],[Name Surname]],Manpower!$C$4:$C$1048576,Manpower!$F$4:$F$1048576,"")</f>
        <v>Welder</v>
      </c>
      <c r="H2728" s="48" t="str">
        <f>_xlfn.XLOOKUP(Table134526_79101120212223242526[[#This Row],[Name Surname]],Manpower!$C$4:$C$1048576,Manpower!$H$4:$H$1048576,"")</f>
        <v>Manpower</v>
      </c>
      <c r="I2728" s="48" t="str">
        <f>_xlfn.XLOOKUP(Table134526_79101120212223242526[[#This Row],[Name Surname]],Manpower!$C$4:$C$1048576,Manpower!$H$4:$H$1048576,"")</f>
        <v>Manpower</v>
      </c>
      <c r="J2728" s="43" t="s">
        <v>143</v>
      </c>
      <c r="K2728" s="43" t="s">
        <v>26</v>
      </c>
      <c r="L2728" s="43" t="s">
        <v>144</v>
      </c>
      <c r="M2728" s="43" t="s">
        <v>55</v>
      </c>
      <c r="N2728" s="44">
        <v>5</v>
      </c>
      <c r="O2728" s="43" t="s">
        <v>40</v>
      </c>
      <c r="P2728" s="43" t="s">
        <v>42</v>
      </c>
      <c r="Q2728" s="43" t="s">
        <v>42</v>
      </c>
      <c r="R2728" s="43" t="s">
        <v>402</v>
      </c>
      <c r="S2728" s="43"/>
      <c r="T2728" s="67" t="s">
        <v>396</v>
      </c>
    </row>
    <row r="2729" spans="1:20" s="45" customFormat="1" ht="14.4" hidden="1">
      <c r="A2729" s="25">
        <f>IF(C2729="","",MAX($A$1:A2728)+1)</f>
        <v>2526</v>
      </c>
      <c r="B2729" s="25" t="s">
        <v>141</v>
      </c>
      <c r="C2729" s="41">
        <v>46104</v>
      </c>
      <c r="D2729" s="48" t="str">
        <f>_xlfn.XLOOKUP(Table134526_79101120212223242526[[#This Row],[Name Surname]],Manpower!$C$4:$C$1048576,Manpower!$B$4:$B$1048576,"")</f>
        <v>Encogroup</v>
      </c>
      <c r="E2729" s="43" t="s">
        <v>185</v>
      </c>
      <c r="F2729" s="12">
        <f>_xlfn.XLOOKUP(Table134526_79101120212223242526[[#This Row],[Name Surname]],Manpower!C:C,Manpower!D:D,)</f>
        <v>140848828</v>
      </c>
      <c r="G2729" s="48" t="str">
        <f>_xlfn.XLOOKUP(Table134526_79101120212223242526[[#This Row],[Name Surname]],Manpower!$C$4:$C$1048576,Manpower!$F$4:$F$1048576,"")</f>
        <v>Pipe Fitter</v>
      </c>
      <c r="H2729" s="48" t="str">
        <f>_xlfn.XLOOKUP(Table134526_79101120212223242526[[#This Row],[Name Surname]],Manpower!$C$4:$C$1048576,Manpower!$H$4:$H$1048576,"")</f>
        <v>Manpower</v>
      </c>
      <c r="I2729" s="48" t="str">
        <f>_xlfn.XLOOKUP(Table134526_79101120212223242526[[#This Row],[Name Surname]],Manpower!$C$4:$C$1048576,Manpower!$H$4:$H$1048576,"")</f>
        <v>Manpower</v>
      </c>
      <c r="J2729" s="43" t="s">
        <v>143</v>
      </c>
      <c r="K2729" s="43" t="s">
        <v>26</v>
      </c>
      <c r="L2729" s="43" t="s">
        <v>144</v>
      </c>
      <c r="M2729" s="43" t="s">
        <v>55</v>
      </c>
      <c r="N2729" s="44">
        <v>5</v>
      </c>
      <c r="O2729" s="43" t="s">
        <v>40</v>
      </c>
      <c r="P2729" s="43" t="s">
        <v>42</v>
      </c>
      <c r="Q2729" s="43" t="s">
        <v>42</v>
      </c>
      <c r="R2729" s="43" t="s">
        <v>402</v>
      </c>
      <c r="S2729" s="43"/>
      <c r="T2729" s="67" t="s">
        <v>396</v>
      </c>
    </row>
    <row r="2730" spans="1:20" ht="14.4" hidden="1">
      <c r="A2730" s="33">
        <f>IF(C2730="","",MAX($A$1:A2729)+1)</f>
        <v>2527</v>
      </c>
      <c r="B2730" s="27" t="s">
        <v>141</v>
      </c>
      <c r="C2730" s="23">
        <v>46104</v>
      </c>
      <c r="D2730" s="28" t="str">
        <f>_xlfn.XLOOKUP(Table134526_79101120212223242526[[#This Row],[Name Surname]],Manpower!$C$4:$C$1048576,Manpower!$B$4:$B$1048576,"")</f>
        <v>AL Omar International TRAD AND CONT</v>
      </c>
      <c r="E2730" s="21" t="s">
        <v>212</v>
      </c>
      <c r="F2730" s="12">
        <f>_xlfn.XLOOKUP(Table134526_79101120212223242526[[#This Row],[Name Surname]],Manpower!C:C,Manpower!D:D,)</f>
        <v>116676257</v>
      </c>
      <c r="G2730" s="28" t="str">
        <f>_xlfn.XLOOKUP(Table134526_79101120212223242526[[#This Row],[Name Surname]],Manpower!$C$4:$C$1048576,Manpower!$F$4:$F$1048576,"")</f>
        <v>Scaffolder</v>
      </c>
      <c r="H2730" s="28" t="str">
        <f>_xlfn.XLOOKUP(Table134526_79101120212223242526[[#This Row],[Name Surname]],Manpower!$C$4:$C$1048576,Manpower!$H$4:$H$1048576,"")</f>
        <v>Sub Contactor</v>
      </c>
      <c r="I2730" s="28" t="str">
        <f>_xlfn.XLOOKUP(Table134526_79101120212223242526[[#This Row],[Name Surname]],Manpower!$C$4:$C$1048576,Manpower!$H$4:$H$1048576,"")</f>
        <v>Sub Contactor</v>
      </c>
      <c r="J2730" s="21" t="s">
        <v>143</v>
      </c>
      <c r="K2730" s="21" t="s">
        <v>26</v>
      </c>
      <c r="L2730" s="21" t="s">
        <v>170</v>
      </c>
      <c r="M2730" s="21" t="s">
        <v>55</v>
      </c>
      <c r="N2730" s="29">
        <v>5</v>
      </c>
      <c r="O2730" s="21" t="s">
        <v>40</v>
      </c>
      <c r="P2730" s="21" t="s">
        <v>128</v>
      </c>
      <c r="Q2730" s="21" t="s">
        <v>128</v>
      </c>
      <c r="R2730" s="21" t="s">
        <v>171</v>
      </c>
      <c r="T2730" s="56" t="s">
        <v>396</v>
      </c>
    </row>
    <row r="2731" spans="1:20" ht="14.4" hidden="1">
      <c r="A2731" s="33">
        <f>IF(C2731="","",MAX($A$1:A2730)+1)</f>
        <v>2528</v>
      </c>
      <c r="B2731" s="27" t="s">
        <v>141</v>
      </c>
      <c r="C2731" s="23">
        <v>46104</v>
      </c>
      <c r="D2731" s="28" t="str">
        <f>_xlfn.XLOOKUP(Table134526_79101120212223242526[[#This Row],[Name Surname]],Manpower!$C$4:$C$1048576,Manpower!$B$4:$B$1048576,"")</f>
        <v>Encogroup</v>
      </c>
      <c r="E2731" s="21" t="s">
        <v>186</v>
      </c>
      <c r="F2731" s="12">
        <f>_xlfn.XLOOKUP(Table134526_79101120212223242526[[#This Row],[Name Surname]],Manpower!C:C,Manpower!D:D,)</f>
        <v>140696961</v>
      </c>
      <c r="G2731" s="28" t="str">
        <f>_xlfn.XLOOKUP(Table134526_79101120212223242526[[#This Row],[Name Surname]],Manpower!$C$4:$C$1048576,Manpower!$F$4:$F$1048576,"")</f>
        <v>Assistant/Helper</v>
      </c>
      <c r="H2731" s="28" t="str">
        <f>_xlfn.XLOOKUP(Table134526_79101120212223242526[[#This Row],[Name Surname]],Manpower!$C$4:$C$1048576,Manpower!$H$4:$H$1048576,"")</f>
        <v>Manpower</v>
      </c>
      <c r="I2731" s="28" t="str">
        <f>_xlfn.XLOOKUP(Table134526_79101120212223242526[[#This Row],[Name Surname]],Manpower!$C$4:$C$1048576,Manpower!$H$4:$H$1048576,"")</f>
        <v>Manpower</v>
      </c>
      <c r="J2731" s="21" t="s">
        <v>143</v>
      </c>
      <c r="K2731" s="21" t="s">
        <v>26</v>
      </c>
      <c r="L2731" s="21" t="s">
        <v>170</v>
      </c>
      <c r="M2731" s="21" t="s">
        <v>55</v>
      </c>
      <c r="N2731" s="29">
        <v>5</v>
      </c>
      <c r="O2731" s="21" t="s">
        <v>40</v>
      </c>
      <c r="P2731" s="21" t="s">
        <v>128</v>
      </c>
      <c r="Q2731" s="21" t="s">
        <v>128</v>
      </c>
      <c r="R2731" s="21" t="s">
        <v>171</v>
      </c>
      <c r="T2731" s="56" t="s">
        <v>396</v>
      </c>
    </row>
    <row r="2732" spans="1:20" ht="14.4" hidden="1">
      <c r="A2732" s="33">
        <f>IF(C2732="","",MAX($A$1:A2731)+1)</f>
        <v>2529</v>
      </c>
      <c r="B2732" s="27" t="s">
        <v>141</v>
      </c>
      <c r="C2732" s="23">
        <v>46104</v>
      </c>
      <c r="D2732" s="28" t="str">
        <f>_xlfn.XLOOKUP(Table134526_79101120212223242526[[#This Row],[Name Surname]],Manpower!$C$4:$C$1048576,Manpower!$B$4:$B$1048576,"")</f>
        <v>Encogroup</v>
      </c>
      <c r="E2732" s="21" t="s">
        <v>187</v>
      </c>
      <c r="F2732" s="12">
        <f>_xlfn.XLOOKUP(Table134526_79101120212223242526[[#This Row],[Name Surname]],Manpower!C:C,Manpower!D:D,)</f>
        <v>140623599</v>
      </c>
      <c r="G2732" s="28" t="str">
        <f>_xlfn.XLOOKUP(Table134526_79101120212223242526[[#This Row],[Name Surname]],Manpower!$C$4:$C$1048576,Manpower!$F$4:$F$1048576,"")</f>
        <v>Mechanical Supervisor</v>
      </c>
      <c r="H2732" s="28" t="str">
        <f>_xlfn.XLOOKUP(Table134526_79101120212223242526[[#This Row],[Name Surname]],Manpower!$C$4:$C$1048576,Manpower!$H$4:$H$1048576,"")</f>
        <v>Manpower</v>
      </c>
      <c r="I2732" s="28" t="str">
        <f>_xlfn.XLOOKUP(Table134526_79101120212223242526[[#This Row],[Name Surname]],Manpower!$C$4:$C$1048576,Manpower!$H$4:$H$1048576,"")</f>
        <v>Manpower</v>
      </c>
      <c r="J2732" s="21" t="s">
        <v>143</v>
      </c>
      <c r="K2732" s="21" t="s">
        <v>26</v>
      </c>
      <c r="L2732" s="21" t="s">
        <v>144</v>
      </c>
      <c r="M2732" s="21" t="s">
        <v>55</v>
      </c>
      <c r="N2732" s="29">
        <v>5</v>
      </c>
      <c r="O2732" s="21" t="s">
        <v>40</v>
      </c>
      <c r="P2732" s="21" t="s">
        <v>42</v>
      </c>
      <c r="Q2732" s="21" t="s">
        <v>42</v>
      </c>
      <c r="R2732" s="21" t="s">
        <v>402</v>
      </c>
      <c r="T2732" s="56" t="s">
        <v>396</v>
      </c>
    </row>
    <row r="2733" spans="1:20" ht="14.4" hidden="1">
      <c r="A2733" s="33">
        <f>IF(C2733="","",MAX($A$1:A2732)+1)</f>
        <v>2530</v>
      </c>
      <c r="B2733" s="27" t="s">
        <v>141</v>
      </c>
      <c r="C2733" s="23">
        <v>46104</v>
      </c>
      <c r="D2733" s="28" t="str">
        <f>_xlfn.XLOOKUP(Table134526_79101120212223242526[[#This Row],[Name Surname]],Manpower!$C$4:$C$1048576,Manpower!$B$4:$B$1048576,"")</f>
        <v>Encogroup</v>
      </c>
      <c r="E2733" s="21" t="s">
        <v>189</v>
      </c>
      <c r="F2733" s="12">
        <f>_xlfn.XLOOKUP(Table134526_79101120212223242526[[#This Row],[Name Surname]],Manpower!C:C,Manpower!D:D,)</f>
        <v>121937785</v>
      </c>
      <c r="G2733" s="28" t="str">
        <f>_xlfn.XLOOKUP(Table134526_79101120212223242526[[#This Row],[Name Surname]],Manpower!$C$4:$C$1048576,Manpower!$F$4:$F$1048576,"")</f>
        <v>Scaffolding Inspector</v>
      </c>
      <c r="H2733" s="28" t="str">
        <f>_xlfn.XLOOKUP(Table134526_79101120212223242526[[#This Row],[Name Surname]],Manpower!$C$4:$C$1048576,Manpower!$H$4:$H$1048576,"")</f>
        <v>Manpower</v>
      </c>
      <c r="I2733" s="28" t="str">
        <f>_xlfn.XLOOKUP(Table134526_79101120212223242526[[#This Row],[Name Surname]],Manpower!$C$4:$C$1048576,Manpower!$H$4:$H$1048576,"")</f>
        <v>Manpower</v>
      </c>
      <c r="J2733" s="21" t="s">
        <v>143</v>
      </c>
      <c r="K2733" s="21" t="s">
        <v>26</v>
      </c>
      <c r="L2733" s="21" t="s">
        <v>144</v>
      </c>
      <c r="M2733" s="21" t="s">
        <v>55</v>
      </c>
      <c r="N2733" s="29">
        <v>5</v>
      </c>
      <c r="O2733" s="21" t="s">
        <v>40</v>
      </c>
      <c r="P2733" s="21" t="s">
        <v>128</v>
      </c>
      <c r="Q2733" s="21" t="s">
        <v>128</v>
      </c>
      <c r="R2733" s="21" t="s">
        <v>26</v>
      </c>
      <c r="T2733" s="56" t="s">
        <v>396</v>
      </c>
    </row>
    <row r="2734" spans="1:20" ht="14.4" hidden="1">
      <c r="A2734" s="33">
        <f>IF(C2734="","",MAX($A$1:A2733)+1)</f>
        <v>2531</v>
      </c>
      <c r="B2734" s="27" t="s">
        <v>141</v>
      </c>
      <c r="C2734" s="23">
        <v>46104</v>
      </c>
      <c r="D2734" s="28" t="str">
        <f>_xlfn.XLOOKUP(Table134526_79101120212223242526[[#This Row],[Name Surname]],Manpower!$C$4:$C$1048576,Manpower!$B$4:$B$1048576,"")</f>
        <v>AL Omar International TRAD AND CONT</v>
      </c>
      <c r="E2734" s="21" t="s">
        <v>193</v>
      </c>
      <c r="F2734" s="12">
        <f>_xlfn.XLOOKUP(Table134526_79101120212223242526[[#This Row],[Name Surname]],Manpower!C:C,Manpower!D:D,)</f>
        <v>105813698</v>
      </c>
      <c r="G2734" s="28" t="str">
        <f>_xlfn.XLOOKUP(Table134526_79101120212223242526[[#This Row],[Name Surname]],Manpower!$C$4:$C$1048576,Manpower!$F$4:$F$1048576,"")</f>
        <v>Scaffolding Inspector</v>
      </c>
      <c r="H2734" s="28" t="str">
        <f>_xlfn.XLOOKUP(Table134526_79101120212223242526[[#This Row],[Name Surname]],Manpower!$C$4:$C$1048576,Manpower!$H$4:$H$1048576,"")</f>
        <v>Sub Contactor</v>
      </c>
      <c r="I2734" s="28" t="str">
        <f>_xlfn.XLOOKUP(Table134526_79101120212223242526[[#This Row],[Name Surname]],Manpower!$C$4:$C$1048576,Manpower!$H$4:$H$1048576,"")</f>
        <v>Sub Contactor</v>
      </c>
      <c r="J2734" s="21" t="s">
        <v>143</v>
      </c>
      <c r="K2734" s="21" t="s">
        <v>26</v>
      </c>
      <c r="L2734" s="21" t="s">
        <v>170</v>
      </c>
      <c r="M2734" s="21" t="s">
        <v>55</v>
      </c>
      <c r="N2734" s="29">
        <v>5</v>
      </c>
      <c r="O2734" s="21" t="s">
        <v>40</v>
      </c>
      <c r="P2734" s="21" t="s">
        <v>128</v>
      </c>
      <c r="Q2734" s="21" t="s">
        <v>128</v>
      </c>
      <c r="R2734" s="21" t="s">
        <v>171</v>
      </c>
      <c r="T2734" s="56" t="s">
        <v>396</v>
      </c>
    </row>
    <row r="2735" spans="1:20" s="45" customFormat="1" ht="14.4" hidden="1">
      <c r="A2735" s="25">
        <f>IF(C2735="","",MAX($A$1:A2734)+1)</f>
        <v>2532</v>
      </c>
      <c r="B2735" s="25" t="s">
        <v>141</v>
      </c>
      <c r="C2735" s="41">
        <v>46104</v>
      </c>
      <c r="D2735" s="48" t="str">
        <f>_xlfn.XLOOKUP(Table134526_79101120212223242526[[#This Row],[Name Surname]],Manpower!$C$4:$C$1048576,Manpower!$B$4:$B$1048576,"")</f>
        <v>AL Saif &amp; Al QALLM ENT LLC</v>
      </c>
      <c r="E2735" s="43" t="s">
        <v>194</v>
      </c>
      <c r="F2735" s="12">
        <f>_xlfn.XLOOKUP(Table134526_79101120212223242526[[#This Row],[Name Surname]],Manpower!C:C,Manpower!D:D,)</f>
        <v>135340657</v>
      </c>
      <c r="G2735" s="48" t="str">
        <f>_xlfn.XLOOKUP(Table134526_79101120212223242526[[#This Row],[Name Surname]],Manpower!$C$4:$C$1048576,Manpower!$F$4:$F$1048576,"")</f>
        <v>Forklift Operator</v>
      </c>
      <c r="H2735" s="48" t="str">
        <f>_xlfn.XLOOKUP(Table134526_79101120212223242526[[#This Row],[Name Surname]],Manpower!$C$4:$C$1048576,Manpower!$H$4:$H$1048576,"")</f>
        <v>Sub Contactor</v>
      </c>
      <c r="I2735" s="48" t="str">
        <f>_xlfn.XLOOKUP(Table134526_79101120212223242526[[#This Row],[Name Surname]],Manpower!$C$4:$C$1048576,Manpower!$H$4:$H$1048576,"")</f>
        <v>Sub Contactor</v>
      </c>
      <c r="J2735" s="43" t="s">
        <v>143</v>
      </c>
      <c r="K2735" s="43" t="s">
        <v>26</v>
      </c>
      <c r="L2735" s="43" t="s">
        <v>144</v>
      </c>
      <c r="M2735" s="43" t="s">
        <v>55</v>
      </c>
      <c r="N2735" s="44">
        <v>5</v>
      </c>
      <c r="O2735" s="43" t="s">
        <v>40</v>
      </c>
      <c r="P2735" s="43" t="s">
        <v>42</v>
      </c>
      <c r="Q2735" s="43" t="s">
        <v>42</v>
      </c>
      <c r="R2735" s="43" t="s">
        <v>195</v>
      </c>
      <c r="S2735" s="43" t="s">
        <v>245</v>
      </c>
      <c r="T2735" s="67" t="s">
        <v>396</v>
      </c>
    </row>
    <row r="2736" spans="1:20" ht="14.4" hidden="1">
      <c r="A2736" s="33">
        <f>IF(C2736="","",MAX($A$1:A2735)+1)</f>
        <v>2533</v>
      </c>
      <c r="B2736" s="27" t="s">
        <v>141</v>
      </c>
      <c r="C2736" s="23">
        <v>46104</v>
      </c>
      <c r="D2736" s="28" t="str">
        <f>_xlfn.XLOOKUP(Table134526_79101120212223242526[[#This Row],[Name Surname]],Manpower!$C$4:$C$1048576,Manpower!$B$4:$B$1048576,"")</f>
        <v>Encogroup</v>
      </c>
      <c r="E2736" s="21" t="s">
        <v>196</v>
      </c>
      <c r="F2736" s="12">
        <f>_xlfn.XLOOKUP(Table134526_79101120212223242526[[#This Row],[Name Surname]],Manpower!C:C,Manpower!D:D,)</f>
        <v>140844586</v>
      </c>
      <c r="G2736" s="28" t="str">
        <f>_xlfn.XLOOKUP(Table134526_79101120212223242526[[#This Row],[Name Surname]],Manpower!$C$4:$C$1048576,Manpower!$F$4:$F$1048576,"")</f>
        <v>Assistant/Helper</v>
      </c>
      <c r="H2736" s="28" t="str">
        <f>_xlfn.XLOOKUP(Table134526_79101120212223242526[[#This Row],[Name Surname]],Manpower!$C$4:$C$1048576,Manpower!$H$4:$H$1048576,"")</f>
        <v>Manpower</v>
      </c>
      <c r="I2736" s="28" t="str">
        <f>_xlfn.XLOOKUP(Table134526_79101120212223242526[[#This Row],[Name Surname]],Manpower!$C$4:$C$1048576,Manpower!$H$4:$H$1048576,"")</f>
        <v>Manpower</v>
      </c>
      <c r="J2736" s="21" t="s">
        <v>143</v>
      </c>
      <c r="K2736" s="21" t="s">
        <v>26</v>
      </c>
      <c r="L2736" s="21" t="s">
        <v>170</v>
      </c>
      <c r="M2736" s="21" t="s">
        <v>55</v>
      </c>
      <c r="N2736" s="29">
        <v>5</v>
      </c>
      <c r="O2736" s="21" t="s">
        <v>40</v>
      </c>
      <c r="P2736" s="21" t="s">
        <v>128</v>
      </c>
      <c r="Q2736" s="21" t="s">
        <v>128</v>
      </c>
      <c r="R2736" s="21" t="s">
        <v>171</v>
      </c>
      <c r="T2736" s="56" t="s">
        <v>396</v>
      </c>
    </row>
    <row r="2737" spans="1:20" ht="14.4" hidden="1">
      <c r="A2737" s="33">
        <f>IF(C2737="","",MAX($A$1:A2736)+1)</f>
        <v>2534</v>
      </c>
      <c r="B2737" s="27" t="s">
        <v>141</v>
      </c>
      <c r="C2737" s="23">
        <v>46104</v>
      </c>
      <c r="D2737" s="28" t="str">
        <f>_xlfn.XLOOKUP(Table134526_79101120212223242526[[#This Row],[Name Surname]],Manpower!$C$4:$C$1048576,Manpower!$B$4:$B$1048576,"")</f>
        <v>AL Omar International Tarde&amp;Contracting SPC</v>
      </c>
      <c r="E2737" s="21" t="s">
        <v>221</v>
      </c>
      <c r="F2737" s="12">
        <f>_xlfn.XLOOKUP(Table134526_79101120212223242526[[#This Row],[Name Surname]],Manpower!C:C,Manpower!D:D,)</f>
        <v>115122635</v>
      </c>
      <c r="G2737" s="28" t="str">
        <f>_xlfn.XLOOKUP(Table134526_79101120212223242526[[#This Row],[Name Surname]],Manpower!$C$4:$C$1048576,Manpower!$F$4:$F$1048576,"")</f>
        <v>Scaffolder</v>
      </c>
      <c r="H2737" s="28" t="str">
        <f>_xlfn.XLOOKUP(Table134526_79101120212223242526[[#This Row],[Name Surname]],Manpower!$C$4:$C$1048576,Manpower!$H$4:$H$1048576,"")</f>
        <v>Sub Contactor</v>
      </c>
      <c r="I2737" s="28" t="str">
        <f>_xlfn.XLOOKUP(Table134526_79101120212223242526[[#This Row],[Name Surname]],Manpower!$C$4:$C$1048576,Manpower!$H$4:$H$1048576,"")</f>
        <v>Sub Contactor</v>
      </c>
      <c r="J2737" s="21" t="s">
        <v>143</v>
      </c>
      <c r="K2737" s="21" t="s">
        <v>26</v>
      </c>
      <c r="L2737" s="21" t="s">
        <v>170</v>
      </c>
      <c r="M2737" s="21" t="s">
        <v>55</v>
      </c>
      <c r="N2737" s="29">
        <v>5</v>
      </c>
      <c r="O2737" s="21" t="s">
        <v>40</v>
      </c>
      <c r="P2737" s="21" t="s">
        <v>128</v>
      </c>
      <c r="Q2737" s="21" t="s">
        <v>128</v>
      </c>
      <c r="R2737" s="21" t="s">
        <v>171</v>
      </c>
      <c r="T2737" s="56" t="s">
        <v>396</v>
      </c>
    </row>
    <row r="2738" spans="1:20" ht="14.4" hidden="1">
      <c r="A2738" s="33">
        <f>IF(C2738="","",MAX($A$1:A2737)+1)</f>
        <v>2535</v>
      </c>
      <c r="B2738" s="27" t="s">
        <v>141</v>
      </c>
      <c r="C2738" s="23">
        <v>46104</v>
      </c>
      <c r="D2738" s="28" t="str">
        <f>_xlfn.XLOOKUP(Table134526_79101120212223242526[[#This Row],[Name Surname]],Manpower!$C$4:$C$1048576,Manpower!$B$4:$B$1048576,"")</f>
        <v>Encogroup</v>
      </c>
      <c r="E2738" s="21" t="s">
        <v>183</v>
      </c>
      <c r="F2738" s="12">
        <f>_xlfn.XLOOKUP(Table134526_79101120212223242526[[#This Row],[Name Surname]],Manpower!C:C,Manpower!D:D,)</f>
        <v>141359024</v>
      </c>
      <c r="G2738" s="28" t="str">
        <f>_xlfn.XLOOKUP(Table134526_79101120212223242526[[#This Row],[Name Surname]],Manpower!$C$4:$C$1048576,Manpower!$F$4:$F$1048576,"")</f>
        <v>Hydraulic Mechanic</v>
      </c>
      <c r="H2738" s="28" t="str">
        <f>_xlfn.XLOOKUP(Table134526_79101120212223242526[[#This Row],[Name Surname]],Manpower!$C$4:$C$1048576,Manpower!$H$4:$H$1048576,"")</f>
        <v>Manpower</v>
      </c>
      <c r="I2738" s="28" t="str">
        <f>_xlfn.XLOOKUP(Table134526_79101120212223242526[[#This Row],[Name Surname]],Manpower!$C$4:$C$1048576,Manpower!$H$4:$H$1048576,"")</f>
        <v>Manpower</v>
      </c>
      <c r="J2738" s="21" t="s">
        <v>143</v>
      </c>
      <c r="K2738" s="21" t="s">
        <v>26</v>
      </c>
      <c r="L2738" s="21" t="s">
        <v>170</v>
      </c>
      <c r="M2738" s="21" t="s">
        <v>55</v>
      </c>
      <c r="N2738" s="29">
        <v>5</v>
      </c>
      <c r="O2738" s="21" t="s">
        <v>40</v>
      </c>
      <c r="P2738" s="21" t="s">
        <v>128</v>
      </c>
      <c r="Q2738" s="21" t="s">
        <v>128</v>
      </c>
      <c r="R2738" s="21" t="s">
        <v>171</v>
      </c>
      <c r="T2738" s="56" t="s">
        <v>396</v>
      </c>
    </row>
    <row r="2739" spans="1:20" ht="14.4">
      <c r="A2739" s="33">
        <f>IF(C2739="","",MAX($A$1:A2738)+1)</f>
        <v>2536</v>
      </c>
      <c r="B2739" s="27" t="s">
        <v>141</v>
      </c>
      <c r="C2739" s="23">
        <v>46104</v>
      </c>
      <c r="D2739" s="28" t="str">
        <f>_xlfn.XLOOKUP(Table134526_79101120212223242526[[#This Row],[Name Surname]],Manpower!$C$4:$C$1048576,Manpower!$B$4:$B$1048576,"")</f>
        <v>Al Asrah Al Mumayaza Trad</v>
      </c>
      <c r="E2739" s="21" t="s">
        <v>198</v>
      </c>
      <c r="F2739" s="12" t="e">
        <f>_xlfn.XLOOKUP(Table134526_79101120212223242526[[#This Row],[Name Surname]],Manpower!C:C,Manpower!D:D,)</f>
        <v>#N/A</v>
      </c>
      <c r="G2739" s="28" t="str">
        <f>_xlfn.XLOOKUP(Table134526_79101120212223242526[[#This Row],[Name Surname]],Manpower!$C$4:$C$1048576,Manpower!$F$4:$F$1048576,"")</f>
        <v>PICK-UP</v>
      </c>
      <c r="H2739" s="28" t="str">
        <f>_xlfn.XLOOKUP(Table134526_79101120212223242526[[#This Row],[Name Surname]],Manpower!$C$4:$C$1048576,Manpower!$H$4:$H$1048576,"")</f>
        <v>Equipment</v>
      </c>
      <c r="I2739" s="28" t="str">
        <f>_xlfn.XLOOKUP(Table134526_79101120212223242526[[#This Row],[Name Surname]],Manpower!$C$4:$C$1048576,Manpower!$H$4:$H$1048576,"")</f>
        <v>Equipment</v>
      </c>
      <c r="J2739" s="21" t="s">
        <v>143</v>
      </c>
      <c r="K2739" s="21" t="s">
        <v>26</v>
      </c>
      <c r="L2739" s="21" t="s">
        <v>144</v>
      </c>
      <c r="M2739" s="21" t="s">
        <v>55</v>
      </c>
      <c r="N2739" s="29">
        <v>5</v>
      </c>
      <c r="O2739" s="21" t="s">
        <v>138</v>
      </c>
      <c r="P2739" s="21" t="s">
        <v>138</v>
      </c>
      <c r="Q2739" s="21" t="s">
        <v>138</v>
      </c>
      <c r="R2739" s="21" t="s">
        <v>26</v>
      </c>
      <c r="T2739" s="56" t="s">
        <v>396</v>
      </c>
    </row>
    <row r="2740" spans="1:20" ht="14.4">
      <c r="A2740" s="33">
        <f>IF(C2740="","",MAX($A$1:A2739)+1)</f>
        <v>2537</v>
      </c>
      <c r="B2740" s="27" t="s">
        <v>141</v>
      </c>
      <c r="C2740" s="23">
        <v>46104</v>
      </c>
      <c r="D2740" s="28" t="str">
        <f>_xlfn.XLOOKUP(Table134526_79101120212223242526[[#This Row],[Name Surname]],Manpower!$C$4:$C$1048576,Manpower!$B$4:$B$1048576,"")</f>
        <v>Al Asrah Al Mumayaza Trad</v>
      </c>
      <c r="E2740" s="21" t="s">
        <v>199</v>
      </c>
      <c r="F2740" s="12" t="e">
        <f>_xlfn.XLOOKUP(Table134526_79101120212223242526[[#This Row],[Name Surname]],Manpower!C:C,Manpower!D:D,)</f>
        <v>#N/A</v>
      </c>
      <c r="G2740" s="28" t="str">
        <f>_xlfn.XLOOKUP(Table134526_79101120212223242526[[#This Row],[Name Surname]],Manpower!$C$4:$C$1048576,Manpower!$F$4:$F$1048576,"")</f>
        <v>PICK-UP</v>
      </c>
      <c r="H2740" s="28" t="str">
        <f>_xlfn.XLOOKUP(Table134526_79101120212223242526[[#This Row],[Name Surname]],Manpower!$C$4:$C$1048576,Manpower!$H$4:$H$1048576,"")</f>
        <v>Equipment</v>
      </c>
      <c r="I2740" s="28" t="str">
        <f>_xlfn.XLOOKUP(Table134526_79101120212223242526[[#This Row],[Name Surname]],Manpower!$C$4:$C$1048576,Manpower!$H$4:$H$1048576,"")</f>
        <v>Equipment</v>
      </c>
      <c r="J2740" s="21" t="s">
        <v>143</v>
      </c>
      <c r="K2740" s="21" t="s">
        <v>26</v>
      </c>
      <c r="L2740" s="21" t="s">
        <v>144</v>
      </c>
      <c r="M2740" s="21" t="s">
        <v>55</v>
      </c>
      <c r="N2740" s="29">
        <v>5</v>
      </c>
      <c r="O2740" s="21" t="s">
        <v>138</v>
      </c>
      <c r="P2740" s="21" t="s">
        <v>138</v>
      </c>
      <c r="Q2740" s="21" t="s">
        <v>138</v>
      </c>
      <c r="R2740" s="21" t="s">
        <v>26</v>
      </c>
      <c r="T2740" s="56" t="s">
        <v>396</v>
      </c>
    </row>
    <row r="2741" spans="1:20" ht="14.4">
      <c r="A2741" s="33">
        <f>IF(C2741="","",MAX($A$1:A2740)+1)</f>
        <v>2538</v>
      </c>
      <c r="B2741" s="27" t="s">
        <v>141</v>
      </c>
      <c r="C2741" s="23">
        <v>46104</v>
      </c>
      <c r="D2741" s="28" t="str">
        <f>_xlfn.XLOOKUP(Table134526_79101120212223242526[[#This Row],[Name Surname]],Manpower!$C$4:$C$1048576,Manpower!$B$4:$B$1048576,"")</f>
        <v>Al Asrah Al Mumayaza Trad</v>
      </c>
      <c r="E2741" s="21" t="s">
        <v>200</v>
      </c>
      <c r="F2741" s="12" t="e">
        <f>_xlfn.XLOOKUP(Table134526_79101120212223242526[[#This Row],[Name Surname]],Manpower!C:C,Manpower!D:D,)</f>
        <v>#N/A</v>
      </c>
      <c r="G2741" s="28" t="str">
        <f>_xlfn.XLOOKUP(Table134526_79101120212223242526[[#This Row],[Name Surname]],Manpower!$C$4:$C$1048576,Manpower!$F$4:$F$1048576,"")</f>
        <v>PICK-UP</v>
      </c>
      <c r="H2741" s="28" t="str">
        <f>_xlfn.XLOOKUP(Table134526_79101120212223242526[[#This Row],[Name Surname]],Manpower!$C$4:$C$1048576,Manpower!$H$4:$H$1048576,"")</f>
        <v>Equipment</v>
      </c>
      <c r="I2741" s="28" t="str">
        <f>_xlfn.XLOOKUP(Table134526_79101120212223242526[[#This Row],[Name Surname]],Manpower!$C$4:$C$1048576,Manpower!$H$4:$H$1048576,"")</f>
        <v>Equipment</v>
      </c>
      <c r="J2741" s="21" t="s">
        <v>143</v>
      </c>
      <c r="K2741" s="21" t="s">
        <v>26</v>
      </c>
      <c r="L2741" s="21" t="s">
        <v>144</v>
      </c>
      <c r="M2741" s="21" t="s">
        <v>55</v>
      </c>
      <c r="N2741" s="29">
        <v>5</v>
      </c>
      <c r="O2741" s="21" t="s">
        <v>138</v>
      </c>
      <c r="P2741" s="21" t="s">
        <v>138</v>
      </c>
      <c r="Q2741" s="21" t="s">
        <v>138</v>
      </c>
      <c r="R2741" s="21" t="s">
        <v>26</v>
      </c>
      <c r="T2741" s="56" t="s">
        <v>396</v>
      </c>
    </row>
    <row r="2742" spans="1:20" ht="14.4">
      <c r="A2742" s="33">
        <f>IF(C2742="","",MAX($A$1:A2741)+1)</f>
        <v>2539</v>
      </c>
      <c r="B2742" s="27" t="s">
        <v>141</v>
      </c>
      <c r="C2742" s="23">
        <v>46104</v>
      </c>
      <c r="D2742" s="28" t="str">
        <f>_xlfn.XLOOKUP(Table134526_79101120212223242526[[#This Row],[Name Surname]],Manpower!$C$4:$C$1048576,Manpower!$B$4:$B$1048576,"")</f>
        <v>Al Asrah Al Mumayaza Trad</v>
      </c>
      <c r="E2742" s="21" t="s">
        <v>201</v>
      </c>
      <c r="F2742" s="12" t="e">
        <f>_xlfn.XLOOKUP(Table134526_79101120212223242526[[#This Row],[Name Surname]],Manpower!C:C,Manpower!D:D,)</f>
        <v>#N/A</v>
      </c>
      <c r="G2742" s="28" t="str">
        <f>_xlfn.XLOOKUP(Table134526_79101120212223242526[[#This Row],[Name Surname]],Manpower!$C$4:$C$1048576,Manpower!$F$4:$F$1048576,"")</f>
        <v>PICK-UP</v>
      </c>
      <c r="H2742" s="28" t="str">
        <f>_xlfn.XLOOKUP(Table134526_79101120212223242526[[#This Row],[Name Surname]],Manpower!$C$4:$C$1048576,Manpower!$H$4:$H$1048576,"")</f>
        <v>Equipment</v>
      </c>
      <c r="I2742" s="28" t="str">
        <f>_xlfn.XLOOKUP(Table134526_79101120212223242526[[#This Row],[Name Surname]],Manpower!$C$4:$C$1048576,Manpower!$H$4:$H$1048576,"")</f>
        <v>Equipment</v>
      </c>
      <c r="J2742" s="21" t="s">
        <v>143</v>
      </c>
      <c r="K2742" s="21" t="s">
        <v>26</v>
      </c>
      <c r="L2742" s="21" t="s">
        <v>144</v>
      </c>
      <c r="M2742" s="21" t="s">
        <v>55</v>
      </c>
      <c r="N2742" s="29">
        <v>5</v>
      </c>
      <c r="O2742" s="21" t="s">
        <v>138</v>
      </c>
      <c r="P2742" s="21" t="s">
        <v>138</v>
      </c>
      <c r="Q2742" s="21" t="s">
        <v>138</v>
      </c>
      <c r="R2742" s="21" t="s">
        <v>26</v>
      </c>
      <c r="T2742" s="56" t="s">
        <v>396</v>
      </c>
    </row>
    <row r="2743" spans="1:20" s="45" customFormat="1" ht="14.4" hidden="1">
      <c r="A2743" s="25">
        <f>IF(C2743="","",MAX($A$1:A2742)+1)</f>
        <v>2540</v>
      </c>
      <c r="B2743" s="25" t="s">
        <v>141</v>
      </c>
      <c r="C2743" s="41">
        <v>46104</v>
      </c>
      <c r="D2743" s="48" t="str">
        <f>_xlfn.XLOOKUP(Table134526_79101120212223242526[[#This Row],[Name Surname]],Manpower!$C$4:$C$1048576,Manpower!$B$4:$B$1048576,"")</f>
        <v>Encogroup</v>
      </c>
      <c r="E2743" s="43" t="s">
        <v>202</v>
      </c>
      <c r="F2743" s="12">
        <f>_xlfn.XLOOKUP(Table134526_79101120212223242526[[#This Row],[Name Surname]],Manpower!C:C,Manpower!D:D,)</f>
        <v>140805592</v>
      </c>
      <c r="G2743" s="48" t="str">
        <f>_xlfn.XLOOKUP(Table134526_79101120212223242526[[#This Row],[Name Surname]],Manpower!$C$4:$C$1048576,Manpower!$F$4:$F$1048576,"")</f>
        <v>Assistant/Helper</v>
      </c>
      <c r="H2743" s="48" t="str">
        <f>_xlfn.XLOOKUP(Table134526_79101120212223242526[[#This Row],[Name Surname]],Manpower!$C$4:$C$1048576,Manpower!$H$4:$H$1048576,"")</f>
        <v>Manpower</v>
      </c>
      <c r="I2743" s="48" t="str">
        <f>_xlfn.XLOOKUP(Table134526_79101120212223242526[[#This Row],[Name Surname]],Manpower!$C$4:$C$1048576,Manpower!$H$4:$H$1048576,"")</f>
        <v>Manpower</v>
      </c>
      <c r="J2743" s="43" t="s">
        <v>143</v>
      </c>
      <c r="K2743" s="43" t="s">
        <v>26</v>
      </c>
      <c r="L2743" s="43" t="s">
        <v>144</v>
      </c>
      <c r="M2743" s="43" t="s">
        <v>55</v>
      </c>
      <c r="N2743" s="44">
        <v>5</v>
      </c>
      <c r="O2743" s="43" t="s">
        <v>40</v>
      </c>
      <c r="P2743" s="43" t="s">
        <v>42</v>
      </c>
      <c r="Q2743" s="43" t="s">
        <v>42</v>
      </c>
      <c r="R2743" s="43" t="s">
        <v>402</v>
      </c>
      <c r="S2743" s="43"/>
      <c r="T2743" s="67" t="s">
        <v>396</v>
      </c>
    </row>
    <row r="2744" spans="1:20" s="45" customFormat="1" ht="14.4" hidden="1">
      <c r="A2744" s="25">
        <f>IF(C2744="","",MAX($A$1:A2743)+1)</f>
        <v>2541</v>
      </c>
      <c r="B2744" s="25" t="s">
        <v>141</v>
      </c>
      <c r="C2744" s="41">
        <v>46104</v>
      </c>
      <c r="D2744" s="48" t="str">
        <f>_xlfn.XLOOKUP(Table134526_79101120212223242526[[#This Row],[Name Surname]],Manpower!$C$4:$C$1048576,Manpower!$B$4:$B$1048576,"")</f>
        <v>Encogroup</v>
      </c>
      <c r="E2744" s="43" t="s">
        <v>203</v>
      </c>
      <c r="F2744" s="12">
        <f>_xlfn.XLOOKUP(Table134526_79101120212223242526[[#This Row],[Name Surname]],Manpower!C:C,Manpower!D:D,)</f>
        <v>140683371</v>
      </c>
      <c r="G2744" s="48" t="str">
        <f>_xlfn.XLOOKUP(Table134526_79101120212223242526[[#This Row],[Name Surname]],Manpower!$C$4:$C$1048576,Manpower!$F$4:$F$1048576,"")</f>
        <v>Rigger</v>
      </c>
      <c r="H2744" s="48" t="str">
        <f>_xlfn.XLOOKUP(Table134526_79101120212223242526[[#This Row],[Name Surname]],Manpower!$C$4:$C$1048576,Manpower!$H$4:$H$1048576,"")</f>
        <v>Manpower</v>
      </c>
      <c r="I2744" s="48" t="str">
        <f>_xlfn.XLOOKUP(Table134526_79101120212223242526[[#This Row],[Name Surname]],Manpower!$C$4:$C$1048576,Manpower!$H$4:$H$1048576,"")</f>
        <v>Manpower</v>
      </c>
      <c r="J2744" s="43" t="s">
        <v>143</v>
      </c>
      <c r="K2744" s="43" t="s">
        <v>26</v>
      </c>
      <c r="L2744" s="43" t="s">
        <v>144</v>
      </c>
      <c r="M2744" s="43" t="s">
        <v>55</v>
      </c>
      <c r="N2744" s="44">
        <v>5</v>
      </c>
      <c r="O2744" s="43" t="s">
        <v>40</v>
      </c>
      <c r="P2744" s="43" t="s">
        <v>42</v>
      </c>
      <c r="Q2744" s="43" t="s">
        <v>42</v>
      </c>
      <c r="R2744" s="43" t="s">
        <v>402</v>
      </c>
      <c r="S2744" s="43"/>
      <c r="T2744" s="67" t="s">
        <v>396</v>
      </c>
    </row>
    <row r="2745" spans="1:20" s="45" customFormat="1" ht="14.4" hidden="1">
      <c r="A2745" s="25">
        <f>IF(C2745="","",MAX($A$1:A2744)+1)</f>
        <v>2542</v>
      </c>
      <c r="B2745" s="25" t="s">
        <v>141</v>
      </c>
      <c r="C2745" s="41">
        <v>46104</v>
      </c>
      <c r="D2745" s="48" t="str">
        <f>_xlfn.XLOOKUP(Table134526_79101120212223242526[[#This Row],[Name Surname]],Manpower!$C$4:$C$1048576,Manpower!$B$4:$B$1048576,"")</f>
        <v>Encogroup</v>
      </c>
      <c r="E2745" s="43" t="s">
        <v>206</v>
      </c>
      <c r="F2745" s="12">
        <f>_xlfn.XLOOKUP(Table134526_79101120212223242526[[#This Row],[Name Surname]],Manpower!C:C,Manpower!D:D,)</f>
        <v>140844848</v>
      </c>
      <c r="G2745" s="48" t="str">
        <f>_xlfn.XLOOKUP(Table134526_79101120212223242526[[#This Row],[Name Surname]],Manpower!$C$4:$C$1048576,Manpower!$F$4:$F$1048576,"")</f>
        <v>Assistant/Helper</v>
      </c>
      <c r="H2745" s="48" t="str">
        <f>_xlfn.XLOOKUP(Table134526_79101120212223242526[[#This Row],[Name Surname]],Manpower!$C$4:$C$1048576,Manpower!$H$4:$H$1048576,"")</f>
        <v>Manpower</v>
      </c>
      <c r="I2745" s="48" t="str">
        <f>_xlfn.XLOOKUP(Table134526_79101120212223242526[[#This Row],[Name Surname]],Manpower!$C$4:$C$1048576,Manpower!$H$4:$H$1048576,"")</f>
        <v>Manpower</v>
      </c>
      <c r="J2745" s="43" t="s">
        <v>143</v>
      </c>
      <c r="K2745" s="43" t="s">
        <v>26</v>
      </c>
      <c r="L2745" s="43" t="s">
        <v>144</v>
      </c>
      <c r="M2745" s="43" t="s">
        <v>55</v>
      </c>
      <c r="N2745" s="44">
        <v>5</v>
      </c>
      <c r="O2745" s="43" t="s">
        <v>40</v>
      </c>
      <c r="P2745" s="43" t="s">
        <v>42</v>
      </c>
      <c r="Q2745" s="43" t="s">
        <v>42</v>
      </c>
      <c r="R2745" s="43" t="s">
        <v>402</v>
      </c>
      <c r="S2745" s="43"/>
      <c r="T2745" s="67" t="s">
        <v>396</v>
      </c>
    </row>
    <row r="2746" spans="1:20" s="45" customFormat="1" ht="14.4" hidden="1">
      <c r="A2746" s="25">
        <f>IF(C2746="","",MAX($A$1:A2745)+1)</f>
        <v>2543</v>
      </c>
      <c r="B2746" s="25" t="s">
        <v>141</v>
      </c>
      <c r="C2746" s="41">
        <v>46104</v>
      </c>
      <c r="D2746" s="48" t="str">
        <f>_xlfn.XLOOKUP(Table134526_79101120212223242526[[#This Row],[Name Surname]],Manpower!$C$4:$C$1048576,Manpower!$B$4:$B$1048576,"")</f>
        <v>Encogroup</v>
      </c>
      <c r="E2746" s="43" t="s">
        <v>168</v>
      </c>
      <c r="F2746" s="12">
        <f>_xlfn.XLOOKUP(Table134526_79101120212223242526[[#This Row],[Name Surname]],Manpower!C:C,Manpower!D:D,)</f>
        <v>137114773</v>
      </c>
      <c r="G2746" s="48" t="str">
        <f>_xlfn.XLOOKUP(Table134526_79101120212223242526[[#This Row],[Name Surname]],Manpower!$C$4:$C$1048576,Manpower!$F$4:$F$1048576,"")</f>
        <v>Rigger</v>
      </c>
      <c r="H2746" s="48" t="str">
        <f>_xlfn.XLOOKUP(Table134526_79101120212223242526[[#This Row],[Name Surname]],Manpower!$C$4:$C$1048576,Manpower!$H$4:$H$1048576,"")</f>
        <v>Manpower</v>
      </c>
      <c r="I2746" s="48" t="str">
        <f>_xlfn.XLOOKUP(Table134526_79101120212223242526[[#This Row],[Name Surname]],Manpower!$C$4:$C$1048576,Manpower!$H$4:$H$1048576,"")</f>
        <v>Manpower</v>
      </c>
      <c r="J2746" s="43" t="s">
        <v>143</v>
      </c>
      <c r="K2746" s="43" t="s">
        <v>26</v>
      </c>
      <c r="L2746" s="43" t="s">
        <v>144</v>
      </c>
      <c r="M2746" s="43" t="s">
        <v>55</v>
      </c>
      <c r="N2746" s="44">
        <v>5</v>
      </c>
      <c r="O2746" s="43" t="s">
        <v>40</v>
      </c>
      <c r="P2746" s="43" t="s">
        <v>42</v>
      </c>
      <c r="Q2746" s="43" t="s">
        <v>42</v>
      </c>
      <c r="R2746" s="43" t="s">
        <v>402</v>
      </c>
      <c r="S2746" s="43"/>
      <c r="T2746" s="67" t="s">
        <v>396</v>
      </c>
    </row>
    <row r="2747" spans="1:20" s="45" customFormat="1" ht="14.4" hidden="1">
      <c r="A2747" s="25">
        <f>IF(C2747="","",MAX($A$1:A2746)+1)</f>
        <v>2544</v>
      </c>
      <c r="B2747" s="25" t="s">
        <v>141</v>
      </c>
      <c r="C2747" s="41">
        <v>46104</v>
      </c>
      <c r="D2747" s="48" t="str">
        <f>_xlfn.XLOOKUP(Table134526_79101120212223242526[[#This Row],[Name Surname]],Manpower!$C$4:$C$1048576,Manpower!$B$4:$B$1048576,"")</f>
        <v>Encogroup</v>
      </c>
      <c r="E2747" s="43" t="s">
        <v>404</v>
      </c>
      <c r="F2747" s="12">
        <f>_xlfn.XLOOKUP(Table134526_79101120212223242526[[#This Row],[Name Surname]],Manpower!C:C,Manpower!D:D,)</f>
        <v>118882687</v>
      </c>
      <c r="G2747" s="48" t="str">
        <f>_xlfn.XLOOKUP(Table134526_79101120212223242526[[#This Row],[Name Surname]],Manpower!$C$4:$C$1048576,Manpower!$F$4:$F$1048576,"")</f>
        <v>Permit Reciver</v>
      </c>
      <c r="H2747" s="48" t="str">
        <f>_xlfn.XLOOKUP(Table134526_79101120212223242526[[#This Row],[Name Surname]],Manpower!$C$4:$C$1048576,Manpower!$H$4:$H$1048576,"")</f>
        <v>Manpower</v>
      </c>
      <c r="I2747" s="48" t="str">
        <f>_xlfn.XLOOKUP(Table134526_79101120212223242526[[#This Row],[Name Surname]],Manpower!$C$4:$C$1048576,Manpower!$H$4:$H$1048576,"")</f>
        <v>Manpower</v>
      </c>
      <c r="J2747" s="43" t="s">
        <v>143</v>
      </c>
      <c r="K2747" s="43" t="s">
        <v>26</v>
      </c>
      <c r="L2747" s="43" t="s">
        <v>144</v>
      </c>
      <c r="M2747" s="43" t="s">
        <v>55</v>
      </c>
      <c r="N2747" s="44">
        <v>5</v>
      </c>
      <c r="O2747" s="43" t="s">
        <v>40</v>
      </c>
      <c r="P2747" s="43" t="s">
        <v>42</v>
      </c>
      <c r="Q2747" s="43" t="s">
        <v>42</v>
      </c>
      <c r="R2747" s="43" t="s">
        <v>402</v>
      </c>
      <c r="S2747" s="43"/>
      <c r="T2747" s="67"/>
    </row>
    <row r="2748" spans="1:20" s="45" customFormat="1" ht="14.4" hidden="1">
      <c r="A2748" s="25">
        <f>IF(C2748="","",MAX($A$1:A2747)+1)</f>
        <v>2545</v>
      </c>
      <c r="B2748" s="25" t="s">
        <v>141</v>
      </c>
      <c r="C2748" s="41">
        <v>46104</v>
      </c>
      <c r="D2748" s="48" t="str">
        <f>_xlfn.XLOOKUP(Table134526_79101120212223242526[[#This Row],[Name Surname]],Manpower!$C$4:$C$1048576,Manpower!$B$4:$B$1048576,"")</f>
        <v>Encogroup</v>
      </c>
      <c r="E2748" s="43" t="s">
        <v>72</v>
      </c>
      <c r="F2748" s="12">
        <f>_xlfn.XLOOKUP(Table134526_79101120212223242526[[#This Row],[Name Surname]],Manpower!C:C,Manpower!D:D,)</f>
        <v>140764706</v>
      </c>
      <c r="G2748" s="48" t="str">
        <f>_xlfn.XLOOKUP(Table134526_79101120212223242526[[#This Row],[Name Surname]],Manpower!$C$4:$C$1048576,Manpower!$F$4:$F$1048576,"")</f>
        <v>Rigger</v>
      </c>
      <c r="H2748" s="48" t="str">
        <f>_xlfn.XLOOKUP(Table134526_79101120212223242526[[#This Row],[Name Surname]],Manpower!$C$4:$C$1048576,Manpower!$H$4:$H$1048576,"")</f>
        <v>Manpower</v>
      </c>
      <c r="I2748" s="48" t="str">
        <f>_xlfn.XLOOKUP(Table134526_79101120212223242526[[#This Row],[Name Surname]],Manpower!$C$4:$C$1048576,Manpower!$H$4:$H$1048576,"")</f>
        <v>Manpower</v>
      </c>
      <c r="J2748" s="43" t="s">
        <v>143</v>
      </c>
      <c r="K2748" s="43" t="s">
        <v>26</v>
      </c>
      <c r="L2748" s="43" t="s">
        <v>144</v>
      </c>
      <c r="M2748" s="43" t="s">
        <v>55</v>
      </c>
      <c r="N2748" s="44">
        <v>3</v>
      </c>
      <c r="O2748" s="43" t="s">
        <v>40</v>
      </c>
      <c r="P2748" s="43" t="s">
        <v>42</v>
      </c>
      <c r="Q2748" s="43" t="s">
        <v>42</v>
      </c>
      <c r="R2748" s="43" t="s">
        <v>402</v>
      </c>
      <c r="S2748" s="43"/>
      <c r="T2748" s="67"/>
    </row>
    <row r="2749" spans="1:20" s="45" customFormat="1" ht="14.4" hidden="1">
      <c r="A2749" s="25">
        <f>IF(C2749="","",MAX($A$1:A2748)+1)</f>
        <v>2546</v>
      </c>
      <c r="B2749" s="25" t="s">
        <v>141</v>
      </c>
      <c r="C2749" s="41">
        <v>46104</v>
      </c>
      <c r="D2749" s="48" t="str">
        <f>_xlfn.XLOOKUP(Table134526_79101120212223242526[[#This Row],[Name Surname]],Manpower!$C$4:$C$1048576,Manpower!$B$4:$B$1048576,"")</f>
        <v>AL Omar International TRAD AND CONT</v>
      </c>
      <c r="E2749" s="43" t="s">
        <v>197</v>
      </c>
      <c r="F2749" s="12">
        <f>_xlfn.XLOOKUP(Table134526_79101120212223242526[[#This Row],[Name Surname]],Manpower!C:C,Manpower!D:D,)</f>
        <v>106093463</v>
      </c>
      <c r="G2749" s="48" t="str">
        <f>_xlfn.XLOOKUP(Table134526_79101120212223242526[[#This Row],[Name Surname]],Manpower!$C$4:$C$1048576,Manpower!$F$4:$F$1048576,"")</f>
        <v>RIgger</v>
      </c>
      <c r="H2749" s="48" t="str">
        <f>_xlfn.XLOOKUP(Table134526_79101120212223242526[[#This Row],[Name Surname]],Manpower!$C$4:$C$1048576,Manpower!$H$4:$H$1048576,"")</f>
        <v>Sub Contactor</v>
      </c>
      <c r="I2749" s="48" t="str">
        <f>_xlfn.XLOOKUP(Table134526_79101120212223242526[[#This Row],[Name Surname]],Manpower!$C$4:$C$1048576,Manpower!$H$4:$H$1048576,"")</f>
        <v>Sub Contactor</v>
      </c>
      <c r="J2749" s="43" t="s">
        <v>143</v>
      </c>
      <c r="K2749" s="43" t="s">
        <v>26</v>
      </c>
      <c r="L2749" s="43" t="s">
        <v>144</v>
      </c>
      <c r="M2749" s="43" t="s">
        <v>55</v>
      </c>
      <c r="N2749" s="44">
        <v>3</v>
      </c>
      <c r="O2749" s="43" t="s">
        <v>40</v>
      </c>
      <c r="P2749" s="43" t="s">
        <v>42</v>
      </c>
      <c r="Q2749" s="43" t="s">
        <v>42</v>
      </c>
      <c r="R2749" s="43" t="s">
        <v>402</v>
      </c>
      <c r="S2749" s="43"/>
      <c r="T2749" s="67"/>
    </row>
    <row r="2750" spans="1:20" s="45" customFormat="1" ht="14.4" hidden="1">
      <c r="A2750" s="25"/>
      <c r="B2750" s="25" t="s">
        <v>141</v>
      </c>
      <c r="C2750" s="41">
        <v>46104</v>
      </c>
      <c r="D2750" s="48" t="str">
        <f>_xlfn.XLOOKUP(Table134526_79101120212223242526[[#This Row],[Name Surname]],Manpower!$C$4:$C$1048576,Manpower!$B$4:$B$1048576,"")</f>
        <v>Encogroup</v>
      </c>
      <c r="E2750" s="43" t="s">
        <v>306</v>
      </c>
      <c r="F2750" s="12" t="str">
        <f>_xlfn.XLOOKUP(Table134526_79101120212223242526[[#This Row],[Name Surname]],Manpower!C:C,Manpower!D:D,)</f>
        <v>100398391</v>
      </c>
      <c r="G2750" s="48" t="str">
        <f>_xlfn.XLOOKUP(Table134526_79101120212223242526[[#This Row],[Name Surname]],Manpower!$C$4:$C$1048576,Manpower!$F$4:$F$1048576,"")</f>
        <v>DuqmTrailer Driver</v>
      </c>
      <c r="H2750" s="48" t="str">
        <f>_xlfn.XLOOKUP(Table134526_79101120212223242526[[#This Row],[Name Surname]],Manpower!$C$4:$C$1048576,Manpower!$H$4:$H$1048576,"")</f>
        <v>Manpower</v>
      </c>
      <c r="I2750" s="48" t="str">
        <f>_xlfn.XLOOKUP(Table134526_79101120212223242526[[#This Row],[Name Surname]],Manpower!$C$4:$C$1048576,Manpower!$H$4:$H$1048576,"")</f>
        <v>Manpower</v>
      </c>
      <c r="J2750" s="43" t="s">
        <v>143</v>
      </c>
      <c r="K2750" s="43" t="s">
        <v>26</v>
      </c>
      <c r="L2750" s="43" t="s">
        <v>144</v>
      </c>
      <c r="M2750" s="43" t="s">
        <v>55</v>
      </c>
      <c r="N2750" s="44">
        <v>5</v>
      </c>
      <c r="O2750" s="43" t="s">
        <v>40</v>
      </c>
      <c r="P2750" s="43" t="s">
        <v>42</v>
      </c>
      <c r="Q2750" s="43" t="s">
        <v>42</v>
      </c>
      <c r="R2750" s="43" t="s">
        <v>405</v>
      </c>
      <c r="S2750" s="43"/>
      <c r="T2750" s="67"/>
    </row>
    <row r="2751" spans="1:20" s="45" customFormat="1" ht="14.4" hidden="1">
      <c r="A2751" s="25">
        <f>IF(C2751="","",MAX($A$1:A2745)+1)</f>
        <v>2543</v>
      </c>
      <c r="B2751" s="25" t="s">
        <v>141</v>
      </c>
      <c r="C2751" s="41">
        <v>46104</v>
      </c>
      <c r="D2751" s="48" t="str">
        <f>_xlfn.XLOOKUP(Table134526_79101120212223242526[[#This Row],[Name Surname]],Manpower!$C$4:$C$1048576,Manpower!$B$4:$B$1048576,"")</f>
        <v>Encogroup</v>
      </c>
      <c r="E2751" s="43" t="s">
        <v>208</v>
      </c>
      <c r="F2751" s="12">
        <f>_xlfn.XLOOKUP(Table134526_79101120212223242526[[#This Row],[Name Surname]],Manpower!C:C,Manpower!D:D,)</f>
        <v>140683399</v>
      </c>
      <c r="G2751" s="48" t="str">
        <f>_xlfn.XLOOKUP(Table134526_79101120212223242526[[#This Row],[Name Surname]],Manpower!$C$4:$C$1048576,Manpower!$F$4:$F$1048576,"")</f>
        <v>Rigger</v>
      </c>
      <c r="H2751" s="48" t="str">
        <f>_xlfn.XLOOKUP(Table134526_79101120212223242526[[#This Row],[Name Surname]],Manpower!$C$4:$C$1048576,Manpower!$H$4:$H$1048576,"")</f>
        <v>Manpower</v>
      </c>
      <c r="I2751" s="48" t="str">
        <f>_xlfn.XLOOKUP(Table134526_79101120212223242526[[#This Row],[Name Surname]],Manpower!$C$4:$C$1048576,Manpower!$H$4:$H$1048576,"")</f>
        <v>Manpower</v>
      </c>
      <c r="J2751" s="43" t="s">
        <v>143</v>
      </c>
      <c r="K2751" s="43" t="s">
        <v>26</v>
      </c>
      <c r="L2751" s="43" t="s">
        <v>144</v>
      </c>
      <c r="M2751" s="43" t="s">
        <v>55</v>
      </c>
      <c r="N2751" s="44">
        <v>5</v>
      </c>
      <c r="O2751" s="43" t="s">
        <v>40</v>
      </c>
      <c r="P2751" s="43" t="s">
        <v>42</v>
      </c>
      <c r="Q2751" s="43" t="s">
        <v>42</v>
      </c>
      <c r="R2751" s="43" t="s">
        <v>402</v>
      </c>
      <c r="S2751" s="43"/>
      <c r="T2751" s="67" t="s">
        <v>396</v>
      </c>
    </row>
    <row r="2752" spans="1:20" ht="14.4">
      <c r="A2752" s="33">
        <f>IF(C2752="","",MAX($A$1:A2751)+1)</f>
        <v>2547</v>
      </c>
      <c r="B2752" s="27" t="s">
        <v>141</v>
      </c>
      <c r="C2752" s="23">
        <v>46104</v>
      </c>
      <c r="D2752" s="28" t="str">
        <f>_xlfn.XLOOKUP(Table134526_79101120212223242526[[#This Row],[Name Surname]],Manpower!$C$4:$C$1048576,Manpower!$B$4:$B$1048576,"")</f>
        <v>Encogroup</v>
      </c>
      <c r="E2752" s="21" t="s">
        <v>341</v>
      </c>
      <c r="F2752" s="12" t="e">
        <f>_xlfn.XLOOKUP(Table134526_79101120212223242526[[#This Row],[Name Surname]],Manpower!C:C,Manpower!D:D,)</f>
        <v>#N/A</v>
      </c>
      <c r="G2752" s="28" t="str">
        <f>_xlfn.XLOOKUP(Table134526_79101120212223242526[[#This Row],[Name Surname]],Manpower!$C$4:$C$1048576,Manpower!$F$4:$F$1048576,"")</f>
        <v>SCISSOR LIFT</v>
      </c>
      <c r="H2752" s="28" t="str">
        <f>_xlfn.XLOOKUP(Table134526_79101120212223242526[[#This Row],[Name Surname]],Manpower!$C$4:$C$1048576,Manpower!$H$4:$H$1048576,"")</f>
        <v>Equipment</v>
      </c>
      <c r="I2752" s="28" t="str">
        <f>_xlfn.XLOOKUP(Table134526_79101120212223242526[[#This Row],[Name Surname]],Manpower!$C$4:$C$1048576,Manpower!$H$4:$H$1048576,"")</f>
        <v>Equipment</v>
      </c>
      <c r="J2752" s="21" t="s">
        <v>143</v>
      </c>
      <c r="K2752" s="21" t="s">
        <v>26</v>
      </c>
      <c r="L2752" s="21" t="s">
        <v>144</v>
      </c>
      <c r="M2752" s="21" t="s">
        <v>55</v>
      </c>
      <c r="N2752" s="29">
        <v>10</v>
      </c>
      <c r="R2752" s="21" t="s">
        <v>56</v>
      </c>
      <c r="T2752" s="56"/>
    </row>
    <row r="2753" spans="1:20" ht="14.4">
      <c r="A2753" s="33">
        <f>IF(C2753="","",MAX($A$1:A2751)+1)</f>
        <v>2547</v>
      </c>
      <c r="B2753" s="27" t="s">
        <v>141</v>
      </c>
      <c r="C2753" s="23">
        <v>46104</v>
      </c>
      <c r="D2753" s="28" t="str">
        <f>_xlfn.XLOOKUP(Table134526_79101120212223242526[[#This Row],[Name Surname]],Manpower!$C$4:$C$1048576,Manpower!$B$4:$B$1048576,"")</f>
        <v>Encogroup</v>
      </c>
      <c r="E2753" s="21" t="s">
        <v>342</v>
      </c>
      <c r="F2753" s="12" t="e">
        <f>_xlfn.XLOOKUP(Table134526_79101120212223242526[[#This Row],[Name Surname]],Manpower!C:C,Manpower!D:D,)</f>
        <v>#N/A</v>
      </c>
      <c r="G2753" s="28" t="str">
        <f>_xlfn.XLOOKUP(Table134526_79101120212223242526[[#This Row],[Name Surname]],Manpower!$C$4:$C$1048576,Manpower!$F$4:$F$1048576,"")</f>
        <v>SCISSOR LIFT</v>
      </c>
      <c r="H2753" s="28" t="str">
        <f>_xlfn.XLOOKUP(Table134526_79101120212223242526[[#This Row],[Name Surname]],Manpower!$C$4:$C$1048576,Manpower!$H$4:$H$1048576,"")</f>
        <v>Equipment</v>
      </c>
      <c r="I2753" s="28" t="str">
        <f>_xlfn.XLOOKUP(Table134526_79101120212223242526[[#This Row],[Name Surname]],Manpower!$C$4:$C$1048576,Manpower!$H$4:$H$1048576,"")</f>
        <v>Equipment</v>
      </c>
      <c r="J2753" s="21" t="s">
        <v>143</v>
      </c>
      <c r="K2753" s="21" t="s">
        <v>26</v>
      </c>
      <c r="L2753" s="21" t="s">
        <v>144</v>
      </c>
      <c r="M2753" s="21" t="s">
        <v>55</v>
      </c>
      <c r="N2753" s="29">
        <v>10</v>
      </c>
      <c r="R2753" s="21" t="s">
        <v>56</v>
      </c>
      <c r="T2753" s="56"/>
    </row>
    <row r="2754" spans="1:20" ht="14.4">
      <c r="A2754" s="33">
        <f>IF(C2754="","",MAX($A$1:A2751)+1)</f>
        <v>2547</v>
      </c>
      <c r="B2754" s="27" t="s">
        <v>141</v>
      </c>
      <c r="C2754" s="23">
        <v>46104</v>
      </c>
      <c r="D2754" s="28" t="str">
        <f>_xlfn.XLOOKUP(Table134526_79101120212223242526[[#This Row],[Name Surname]],Manpower!$C$4:$C$1048576,Manpower!$B$4:$B$1048576,"")</f>
        <v>Encogroup</v>
      </c>
      <c r="E2754" s="21" t="s">
        <v>362</v>
      </c>
      <c r="F2754" s="12" t="e">
        <f>_xlfn.XLOOKUP(Table134526_79101120212223242526[[#This Row],[Name Surname]],Manpower!C:C,Manpower!D:D,)</f>
        <v>#N/A</v>
      </c>
      <c r="G2754" s="28" t="str">
        <f>_xlfn.XLOOKUP(Table134526_79101120212223242526[[#This Row],[Name Surname]],Manpower!$C$4:$C$1048576,Manpower!$F$4:$F$1048576,"")</f>
        <v>Trailer</v>
      </c>
      <c r="H2754" s="28" t="str">
        <f>_xlfn.XLOOKUP(Table134526_79101120212223242526[[#This Row],[Name Surname]],Manpower!$C$4:$C$1048576,Manpower!$H$4:$H$1048576,"")</f>
        <v>Equipment</v>
      </c>
      <c r="I2754" s="28" t="str">
        <f>_xlfn.XLOOKUP(Table134526_79101120212223242526[[#This Row],[Name Surname]],Manpower!$C$4:$C$1048576,Manpower!$H$4:$H$1048576,"")</f>
        <v>Equipment</v>
      </c>
      <c r="J2754" s="21" t="s">
        <v>143</v>
      </c>
      <c r="K2754" s="21" t="s">
        <v>26</v>
      </c>
      <c r="L2754" s="21" t="s">
        <v>144</v>
      </c>
      <c r="M2754" s="21" t="s">
        <v>24</v>
      </c>
      <c r="N2754" s="29">
        <v>10</v>
      </c>
      <c r="O2754" s="21" t="s">
        <v>40</v>
      </c>
      <c r="P2754" s="21" t="s">
        <v>42</v>
      </c>
      <c r="Q2754" s="21" t="s">
        <v>42</v>
      </c>
      <c r="R2754" s="21" t="s">
        <v>26</v>
      </c>
      <c r="T2754" s="56"/>
    </row>
    <row r="2755" spans="1:20" ht="14.4" hidden="1">
      <c r="A2755" s="33">
        <f>IF(C2755="","",MAX($A$1:A2754)+1)</f>
        <v>2548</v>
      </c>
      <c r="B2755" s="27" t="s">
        <v>141</v>
      </c>
      <c r="C2755" s="23">
        <v>46104</v>
      </c>
      <c r="D2755" s="28" t="str">
        <f>_xlfn.XLOOKUP(Table134526_79101120212223242526[[#This Row],[Name Surname]],Manpower!$C$4:$C$1048576,Manpower!$B$4:$B$1048576,"")</f>
        <v>Encogroup</v>
      </c>
      <c r="E2755" s="21" t="s">
        <v>363</v>
      </c>
      <c r="F2755" s="12">
        <f>_xlfn.XLOOKUP(Table134526_79101120212223242526[[#This Row],[Name Surname]],Manpower!C:C,Manpower!D:D,)</f>
        <v>7065269</v>
      </c>
      <c r="G2755" s="28" t="str">
        <f>_xlfn.XLOOKUP(Table134526_79101120212223242526[[#This Row],[Name Surname]],Manpower!$C$4:$C$1048576,Manpower!$F$4:$F$1048576,"")</f>
        <v>Lowbed Trailer Driver</v>
      </c>
      <c r="H2755" s="28" t="str">
        <f>_xlfn.XLOOKUP(Table134526_79101120212223242526[[#This Row],[Name Surname]],Manpower!$C$4:$C$1048576,Manpower!$H$4:$H$1048576,"")</f>
        <v>Manpower</v>
      </c>
      <c r="I2755" s="28" t="str">
        <f>_xlfn.XLOOKUP(Table134526_79101120212223242526[[#This Row],[Name Surname]],Manpower!$C$4:$C$1048576,Manpower!$H$4:$H$1048576,"")</f>
        <v>Manpower</v>
      </c>
      <c r="J2755" s="21" t="s">
        <v>143</v>
      </c>
      <c r="K2755" s="21" t="s">
        <v>26</v>
      </c>
      <c r="L2755" s="21" t="s">
        <v>144</v>
      </c>
      <c r="M2755" s="21" t="s">
        <v>24</v>
      </c>
      <c r="N2755" s="29">
        <v>8</v>
      </c>
      <c r="O2755" s="21" t="s">
        <v>40</v>
      </c>
      <c r="P2755" s="21" t="s">
        <v>42</v>
      </c>
      <c r="Q2755" s="21" t="s">
        <v>42</v>
      </c>
      <c r="R2755" s="21" t="s">
        <v>26</v>
      </c>
      <c r="T2755" s="56"/>
    </row>
    <row r="2756" spans="1:20" ht="14.4">
      <c r="A2756" s="33">
        <f>IF(C2756="","",MAX($A$1:A2751)+1)</f>
        <v>2547</v>
      </c>
      <c r="B2756" s="27" t="s">
        <v>141</v>
      </c>
      <c r="C2756" s="23">
        <v>46104</v>
      </c>
      <c r="D2756" s="28" t="str">
        <f>_xlfn.XLOOKUP(Table134526_79101120212223242526[[#This Row],[Name Surname]],Manpower!$C$4:$C$1048576,Manpower!$B$4:$B$1048576,"")</f>
        <v>Bright Light</v>
      </c>
      <c r="E2756" s="21" t="s">
        <v>210</v>
      </c>
      <c r="F2756" s="12" t="e">
        <f>_xlfn.XLOOKUP(Table134526_79101120212223242526[[#This Row],[Name Surname]],Manpower!C:C,Manpower!D:D,)</f>
        <v>#N/A</v>
      </c>
      <c r="G2756" s="28" t="str">
        <f>_xlfn.XLOOKUP(Table134526_79101120212223242526[[#This Row],[Name Surname]],Manpower!$C$4:$C$1048576,Manpower!$F$4:$F$1048576,"")</f>
        <v>Trailer</v>
      </c>
      <c r="H2756" s="28" t="str">
        <f>_xlfn.XLOOKUP(Table134526_79101120212223242526[[#This Row],[Name Surname]],Manpower!$C$4:$C$1048576,Manpower!$H$4:$H$1048576,"")</f>
        <v>Equipment</v>
      </c>
      <c r="I2756" s="28" t="str">
        <f>_xlfn.XLOOKUP(Table134526_79101120212223242526[[#This Row],[Name Surname]],Manpower!$C$4:$C$1048576,Manpower!$H$4:$H$1048576,"")</f>
        <v>Equipment</v>
      </c>
      <c r="J2756" s="21" t="s">
        <v>143</v>
      </c>
      <c r="K2756" s="21" t="s">
        <v>26</v>
      </c>
      <c r="L2756" s="21" t="s">
        <v>144</v>
      </c>
      <c r="M2756" s="21" t="s">
        <v>55</v>
      </c>
      <c r="N2756" s="29">
        <v>5</v>
      </c>
      <c r="R2756" s="21" t="s">
        <v>26</v>
      </c>
      <c r="T2756" s="56" t="s">
        <v>396</v>
      </c>
    </row>
    <row r="2757" spans="1:20" s="45" customFormat="1" ht="14.4" hidden="1">
      <c r="A2757" s="25">
        <f>IF(C2757="","",MAX($A$1:A2756)+1)</f>
        <v>2549</v>
      </c>
      <c r="B2757" s="25" t="s">
        <v>141</v>
      </c>
      <c r="C2757" s="41">
        <v>46104</v>
      </c>
      <c r="D2757" s="48" t="str">
        <f>_xlfn.XLOOKUP(Table134526_79101120212223242526[[#This Row],[Name Surname]],Manpower!$C$4:$C$1048576,Manpower!$B$4:$B$1048576,"")</f>
        <v xml:space="preserve">FAL Transport </v>
      </c>
      <c r="E2757" s="43" t="s">
        <v>225</v>
      </c>
      <c r="F2757" s="12">
        <f>_xlfn.XLOOKUP(Table134526_79101120212223242526[[#This Row],[Name Surname]],Manpower!C:C,Manpower!D:D,)</f>
        <v>124233837</v>
      </c>
      <c r="G2757" s="48" t="str">
        <f>_xlfn.XLOOKUP(Table134526_79101120212223242526[[#This Row],[Name Surname]],Manpower!$C$4:$C$1048576,Manpower!$F$4:$F$1048576,"")</f>
        <v>Trailer Driver</v>
      </c>
      <c r="H2757" s="48" t="str">
        <f>_xlfn.XLOOKUP(Table134526_79101120212223242526[[#This Row],[Name Surname]],Manpower!$C$4:$C$1048576,Manpower!$H$4:$H$1048576,"")</f>
        <v>Sub Contactor</v>
      </c>
      <c r="I2757" s="48" t="str">
        <f>_xlfn.XLOOKUP(Table134526_79101120212223242526[[#This Row],[Name Surname]],Manpower!$C$4:$C$1048576,Manpower!$H$4:$H$1048576,"")</f>
        <v>Sub Contactor</v>
      </c>
      <c r="J2757" s="43" t="s">
        <v>143</v>
      </c>
      <c r="K2757" s="43" t="s">
        <v>26</v>
      </c>
      <c r="L2757" s="43" t="s">
        <v>144</v>
      </c>
      <c r="M2757" s="43" t="s">
        <v>55</v>
      </c>
      <c r="N2757" s="44">
        <v>5</v>
      </c>
      <c r="O2757" s="43" t="s">
        <v>40</v>
      </c>
      <c r="P2757" s="43" t="s">
        <v>42</v>
      </c>
      <c r="Q2757" s="43" t="s">
        <v>42</v>
      </c>
      <c r="R2757" s="43" t="s">
        <v>226</v>
      </c>
      <c r="S2757" s="43" t="s">
        <v>245</v>
      </c>
      <c r="T2757" s="67" t="s">
        <v>396</v>
      </c>
    </row>
    <row r="2758" spans="1:20" ht="14.4" hidden="1">
      <c r="A2758" s="33">
        <f>IF(C2758="","",MAX($A$1:A2757)+1)</f>
        <v>2550</v>
      </c>
      <c r="B2758" s="27" t="s">
        <v>141</v>
      </c>
      <c r="C2758" s="23">
        <v>46104</v>
      </c>
      <c r="D2758" s="28" t="str">
        <f>_xlfn.XLOOKUP(Table134526_79101120212223242526[[#This Row],[Name Surname]],Manpower!$C$4:$C$1048576,Manpower!$B$4:$B$1048576,"")</f>
        <v>Encogroup</v>
      </c>
      <c r="E2758" s="21" t="s">
        <v>211</v>
      </c>
      <c r="F2758" s="12">
        <f>_xlfn.XLOOKUP(Table134526_79101120212223242526[[#This Row],[Name Surname]],Manpower!C:C,Manpower!D:D,)</f>
        <v>140477664</v>
      </c>
      <c r="G2758" s="28" t="str">
        <f>_xlfn.XLOOKUP(Table134526_79101120212223242526[[#This Row],[Name Surname]],Manpower!$C$4:$C$1048576,Manpower!$F$4:$F$1048576,"")</f>
        <v>Junior HSE Officer</v>
      </c>
      <c r="H2758" s="28" t="str">
        <f>_xlfn.XLOOKUP(Table134526_79101120212223242526[[#This Row],[Name Surname]],Manpower!$C$4:$C$1048576,Manpower!$H$4:$H$1048576,"")</f>
        <v>Manpower</v>
      </c>
      <c r="I2758" s="28" t="str">
        <f>_xlfn.XLOOKUP(Table134526_79101120212223242526[[#This Row],[Name Surname]],Manpower!$C$4:$C$1048576,Manpower!$H$4:$H$1048576,"")</f>
        <v>Manpower</v>
      </c>
      <c r="J2758" s="21" t="s">
        <v>143</v>
      </c>
      <c r="K2758" s="21" t="s">
        <v>26</v>
      </c>
      <c r="L2758" s="21" t="s">
        <v>144</v>
      </c>
      <c r="M2758" s="21" t="s">
        <v>55</v>
      </c>
      <c r="N2758" s="29">
        <v>5</v>
      </c>
      <c r="O2758" s="21" t="s">
        <v>40</v>
      </c>
      <c r="P2758" s="21" t="s">
        <v>42</v>
      </c>
      <c r="Q2758" s="21" t="s">
        <v>42</v>
      </c>
      <c r="R2758" s="21" t="s">
        <v>402</v>
      </c>
      <c r="T2758" s="56" t="s">
        <v>396</v>
      </c>
    </row>
    <row r="2759" spans="1:20" s="45" customFormat="1" ht="14.4" hidden="1">
      <c r="A2759" s="25">
        <f>IF(C2759="","",MAX($A$1:A2758)+1)</f>
        <v>2551</v>
      </c>
      <c r="B2759" s="25" t="s">
        <v>141</v>
      </c>
      <c r="C2759" s="41">
        <v>46104</v>
      </c>
      <c r="D2759" s="48" t="str">
        <f>_xlfn.XLOOKUP(Table134526_79101120212223242526[[#This Row],[Name Surname]],Manpower!$C$4:$C$1048576,Manpower!$B$4:$B$1048576,"")</f>
        <v>Encogroup</v>
      </c>
      <c r="E2759" s="43" t="s">
        <v>213</v>
      </c>
      <c r="F2759" s="12">
        <f>_xlfn.XLOOKUP(Table134526_79101120212223242526[[#This Row],[Name Surname]],Manpower!C:C,Manpower!D:D,)</f>
        <v>140846698</v>
      </c>
      <c r="G2759" s="48" t="str">
        <f>_xlfn.XLOOKUP(Table134526_79101120212223242526[[#This Row],[Name Surname]],Manpower!$C$4:$C$1048576,Manpower!$F$4:$F$1048576,"")</f>
        <v>Assistant/Helper</v>
      </c>
      <c r="H2759" s="48" t="str">
        <f>_xlfn.XLOOKUP(Table134526_79101120212223242526[[#This Row],[Name Surname]],Manpower!$C$4:$C$1048576,Manpower!$H$4:$H$1048576,"")</f>
        <v>Manpower</v>
      </c>
      <c r="I2759" s="48" t="str">
        <f>_xlfn.XLOOKUP(Table134526_79101120212223242526[[#This Row],[Name Surname]],Manpower!$C$4:$C$1048576,Manpower!$H$4:$H$1048576,"")</f>
        <v>Manpower</v>
      </c>
      <c r="J2759" s="43" t="s">
        <v>143</v>
      </c>
      <c r="K2759" s="43" t="s">
        <v>26</v>
      </c>
      <c r="L2759" s="43" t="s">
        <v>144</v>
      </c>
      <c r="M2759" s="43" t="s">
        <v>55</v>
      </c>
      <c r="N2759" s="44">
        <v>5</v>
      </c>
      <c r="O2759" s="43" t="s">
        <v>40</v>
      </c>
      <c r="P2759" s="43" t="s">
        <v>42</v>
      </c>
      <c r="Q2759" s="43" t="s">
        <v>42</v>
      </c>
      <c r="R2759" s="43" t="s">
        <v>402</v>
      </c>
      <c r="S2759" s="43"/>
      <c r="T2759" s="67" t="s">
        <v>396</v>
      </c>
    </row>
    <row r="2760" spans="1:20" s="45" customFormat="1" ht="14.4" hidden="1">
      <c r="A2760" s="25">
        <f>IF(C2760="","",MAX($A$1:A2759)+1)</f>
        <v>2552</v>
      </c>
      <c r="B2760" s="25" t="s">
        <v>141</v>
      </c>
      <c r="C2760" s="41">
        <v>46104</v>
      </c>
      <c r="D2760" s="48" t="str">
        <f>_xlfn.XLOOKUP(Table134526_79101120212223242526[[#This Row],[Name Surname]],Manpower!$C$4:$C$1048576,Manpower!$B$4:$B$1048576,"")</f>
        <v>Encogroup</v>
      </c>
      <c r="E2760" s="43" t="s">
        <v>204</v>
      </c>
      <c r="F2760" s="12">
        <f>_xlfn.XLOOKUP(Table134526_79101120212223242526[[#This Row],[Name Surname]],Manpower!C:C,Manpower!D:D,)</f>
        <v>140844572</v>
      </c>
      <c r="G2760" s="48" t="str">
        <f>_xlfn.XLOOKUP(Table134526_79101120212223242526[[#This Row],[Name Surname]],Manpower!$C$4:$C$1048576,Manpower!$F$4:$F$1048576,"")</f>
        <v>Assistant/Helper</v>
      </c>
      <c r="H2760" s="48" t="str">
        <f>_xlfn.XLOOKUP(Table134526_79101120212223242526[[#This Row],[Name Surname]],Manpower!$C$4:$C$1048576,Manpower!$H$4:$H$1048576,"")</f>
        <v>Manpower</v>
      </c>
      <c r="I2760" s="48" t="str">
        <f>_xlfn.XLOOKUP(Table134526_79101120212223242526[[#This Row],[Name Surname]],Manpower!$C$4:$C$1048576,Manpower!$H$4:$H$1048576,"")</f>
        <v>Manpower</v>
      </c>
      <c r="J2760" s="43" t="s">
        <v>143</v>
      </c>
      <c r="K2760" s="43" t="s">
        <v>26</v>
      </c>
      <c r="L2760" s="43" t="s">
        <v>144</v>
      </c>
      <c r="M2760" s="43" t="s">
        <v>55</v>
      </c>
      <c r="N2760" s="44">
        <v>5</v>
      </c>
      <c r="O2760" s="43" t="s">
        <v>40</v>
      </c>
      <c r="P2760" s="43" t="s">
        <v>42</v>
      </c>
      <c r="Q2760" s="43" t="s">
        <v>42</v>
      </c>
      <c r="R2760" s="43" t="s">
        <v>402</v>
      </c>
      <c r="S2760" s="43"/>
      <c r="T2760" s="67" t="s">
        <v>396</v>
      </c>
    </row>
    <row r="2761" spans="1:20" s="45" customFormat="1" ht="14.4" hidden="1">
      <c r="A2761" s="25">
        <f>IF(C2761="","",MAX($A$1:A2759)+1)</f>
        <v>2552</v>
      </c>
      <c r="B2761" s="25" t="s">
        <v>141</v>
      </c>
      <c r="C2761" s="41">
        <v>46104</v>
      </c>
      <c r="D2761" s="48" t="str">
        <f>_xlfn.XLOOKUP(Table134526_79101120212223242526[[#This Row],[Name Surname]],Manpower!$C$4:$C$1048576,Manpower!$B$4:$B$1048576,"")</f>
        <v>Encogroup</v>
      </c>
      <c r="E2761" s="43" t="s">
        <v>157</v>
      </c>
      <c r="F2761" s="12">
        <f>_xlfn.XLOOKUP(Table134526_79101120212223242526[[#This Row],[Name Surname]],Manpower!C:C,Manpower!D:D,)</f>
        <v>140742144</v>
      </c>
      <c r="G2761" s="48" t="str">
        <f>_xlfn.XLOOKUP(Table134526_79101120212223242526[[#This Row],[Name Surname]],Manpower!$C$4:$C$1048576,Manpower!$F$4:$F$1048576,"")</f>
        <v>Assistant/Helper</v>
      </c>
      <c r="H2761" s="48" t="str">
        <f>_xlfn.XLOOKUP(Table134526_79101120212223242526[[#This Row],[Name Surname]],Manpower!$C$4:$C$1048576,Manpower!$H$4:$H$1048576,"")</f>
        <v>Manpower</v>
      </c>
      <c r="I2761" s="48" t="str">
        <f>_xlfn.XLOOKUP(Table134526_79101120212223242526[[#This Row],[Name Surname]],Manpower!$C$4:$C$1048576,Manpower!$H$4:$H$1048576,"")</f>
        <v>Manpower</v>
      </c>
      <c r="J2761" s="43" t="s">
        <v>143</v>
      </c>
      <c r="K2761" s="43" t="s">
        <v>26</v>
      </c>
      <c r="L2761" s="43" t="s">
        <v>144</v>
      </c>
      <c r="M2761" s="43" t="s">
        <v>55</v>
      </c>
      <c r="N2761" s="44">
        <v>5</v>
      </c>
      <c r="O2761" s="43" t="s">
        <v>40</v>
      </c>
      <c r="P2761" s="43" t="s">
        <v>42</v>
      </c>
      <c r="Q2761" s="43" t="s">
        <v>42</v>
      </c>
      <c r="R2761" s="43" t="s">
        <v>402</v>
      </c>
      <c r="S2761" s="43"/>
      <c r="T2761" s="67" t="s">
        <v>396</v>
      </c>
    </row>
    <row r="2762" spans="1:20" s="45" customFormat="1" ht="14.4" hidden="1">
      <c r="A2762" s="25">
        <f>IF(C2762="","",MAX($A$1:A2759)+1)</f>
        <v>2552</v>
      </c>
      <c r="B2762" s="25" t="s">
        <v>141</v>
      </c>
      <c r="C2762" s="41">
        <v>46104</v>
      </c>
      <c r="D2762" s="48" t="str">
        <f>_xlfn.XLOOKUP(Table134526_79101120212223242526[[#This Row],[Name Surname]],Manpower!$C$4:$C$1048576,Manpower!$B$4:$B$1048576,"")</f>
        <v>Encogroup</v>
      </c>
      <c r="E2762" s="43" t="s">
        <v>188</v>
      </c>
      <c r="F2762" s="12">
        <f>_xlfn.XLOOKUP(Table134526_79101120212223242526[[#This Row],[Name Surname]],Manpower!C:C,Manpower!D:D,)</f>
        <v>140696975</v>
      </c>
      <c r="G2762" s="48" t="str">
        <f>_xlfn.XLOOKUP(Table134526_79101120212223242526[[#This Row],[Name Surname]],Manpower!$C$4:$C$1048576,Manpower!$F$4:$F$1048576,"")</f>
        <v>Assistant/Helper</v>
      </c>
      <c r="H2762" s="48" t="str">
        <f>_xlfn.XLOOKUP(Table134526_79101120212223242526[[#This Row],[Name Surname]],Manpower!$C$4:$C$1048576,Manpower!$H$4:$H$1048576,"")</f>
        <v>Manpower</v>
      </c>
      <c r="I2762" s="48" t="str">
        <f>_xlfn.XLOOKUP(Table134526_79101120212223242526[[#This Row],[Name Surname]],Manpower!$C$4:$C$1048576,Manpower!$H$4:$H$1048576,"")</f>
        <v>Manpower</v>
      </c>
      <c r="J2762" s="43" t="s">
        <v>143</v>
      </c>
      <c r="K2762" s="43" t="s">
        <v>26</v>
      </c>
      <c r="L2762" s="43" t="s">
        <v>144</v>
      </c>
      <c r="M2762" s="43" t="s">
        <v>55</v>
      </c>
      <c r="N2762" s="44">
        <v>5</v>
      </c>
      <c r="O2762" s="43" t="s">
        <v>40</v>
      </c>
      <c r="P2762" s="43" t="s">
        <v>42</v>
      </c>
      <c r="Q2762" s="43" t="s">
        <v>42</v>
      </c>
      <c r="R2762" s="43" t="s">
        <v>402</v>
      </c>
      <c r="S2762" s="43"/>
      <c r="T2762" s="67" t="s">
        <v>396</v>
      </c>
    </row>
    <row r="2763" spans="1:20" s="45" customFormat="1" ht="14.4" hidden="1">
      <c r="A2763" s="25">
        <f>IF(C2763="","",MAX($A$1:A2759)+1)</f>
        <v>2552</v>
      </c>
      <c r="B2763" s="25" t="s">
        <v>141</v>
      </c>
      <c r="C2763" s="41">
        <v>46104</v>
      </c>
      <c r="D2763" s="48" t="str">
        <f>_xlfn.XLOOKUP(Table134526_79101120212223242526[[#This Row],[Name Surname]],Manpower!$C$4:$C$1048576,Manpower!$B$4:$B$1048576,"")</f>
        <v>Encogroup</v>
      </c>
      <c r="E2763" s="43" t="s">
        <v>217</v>
      </c>
      <c r="F2763" s="12">
        <f>_xlfn.XLOOKUP(Table134526_79101120212223242526[[#This Row],[Name Surname]],Manpower!C:C,Manpower!D:D,)</f>
        <v>140742177</v>
      </c>
      <c r="G2763" s="48" t="str">
        <f>_xlfn.XLOOKUP(Table134526_79101120212223242526[[#This Row],[Name Surname]],Manpower!$C$4:$C$1048576,Manpower!$F$4:$F$1048576,"")</f>
        <v>Grinder</v>
      </c>
      <c r="H2763" s="48" t="str">
        <f>_xlfn.XLOOKUP(Table134526_79101120212223242526[[#This Row],[Name Surname]],Manpower!$C$4:$C$1048576,Manpower!$H$4:$H$1048576,"")</f>
        <v>Manpower</v>
      </c>
      <c r="I2763" s="48" t="str">
        <f>_xlfn.XLOOKUP(Table134526_79101120212223242526[[#This Row],[Name Surname]],Manpower!$C$4:$C$1048576,Manpower!$H$4:$H$1048576,"")</f>
        <v>Manpower</v>
      </c>
      <c r="J2763" s="43" t="s">
        <v>143</v>
      </c>
      <c r="K2763" s="43" t="s">
        <v>26</v>
      </c>
      <c r="L2763" s="43" t="s">
        <v>144</v>
      </c>
      <c r="M2763" s="43" t="s">
        <v>55</v>
      </c>
      <c r="N2763" s="44">
        <v>5</v>
      </c>
      <c r="O2763" s="43" t="s">
        <v>40</v>
      </c>
      <c r="P2763" s="43" t="s">
        <v>329</v>
      </c>
      <c r="Q2763" s="43" t="s">
        <v>128</v>
      </c>
      <c r="R2763" s="43" t="s">
        <v>402</v>
      </c>
      <c r="S2763" s="43"/>
      <c r="T2763" s="67" t="s">
        <v>396</v>
      </c>
    </row>
    <row r="2764" spans="1:20" ht="14.4" hidden="1">
      <c r="A2764" s="33">
        <f>IF(C2764="","",MAX($A$1:A2763)+1)</f>
        <v>2553</v>
      </c>
      <c r="B2764" s="27" t="s">
        <v>141</v>
      </c>
      <c r="C2764" s="23">
        <v>46104</v>
      </c>
      <c r="D2764" s="28" t="str">
        <f>_xlfn.XLOOKUP(Table134526_79101120212223242526[[#This Row],[Name Surname]],Manpower!$C$4:$C$1048576,Manpower!$B$4:$B$1048576,"")</f>
        <v>Encogroup</v>
      </c>
      <c r="E2764" s="21" t="s">
        <v>188</v>
      </c>
      <c r="F2764" s="12">
        <f>_xlfn.XLOOKUP(Table134526_79101120212223242526[[#This Row],[Name Surname]],Manpower!C:C,Manpower!D:D,)</f>
        <v>140696975</v>
      </c>
      <c r="G2764" s="28" t="str">
        <f>_xlfn.XLOOKUP(Table134526_79101120212223242526[[#This Row],[Name Surname]],Manpower!$C$4:$C$1048576,Manpower!$F$4:$F$1048576,"")</f>
        <v>Assistant/Helper</v>
      </c>
      <c r="H2764" s="28" t="str">
        <f>_xlfn.XLOOKUP(Table134526_79101120212223242526[[#This Row],[Name Surname]],Manpower!$C$4:$C$1048576,Manpower!$H$4:$H$1048576,"")</f>
        <v>Manpower</v>
      </c>
      <c r="I2764" s="28" t="str">
        <f>_xlfn.XLOOKUP(Table134526_79101120212223242526[[#This Row],[Name Surname]],Manpower!$C$4:$C$1048576,Manpower!$H$4:$H$1048576,"")</f>
        <v>Manpower</v>
      </c>
      <c r="J2764" s="21" t="s">
        <v>158</v>
      </c>
      <c r="K2764" s="21" t="s">
        <v>26</v>
      </c>
      <c r="L2764" s="21" t="s">
        <v>26</v>
      </c>
      <c r="M2764" s="21" t="s">
        <v>55</v>
      </c>
      <c r="N2764" s="29">
        <v>5</v>
      </c>
      <c r="O2764" s="21" t="s">
        <v>159</v>
      </c>
      <c r="P2764" s="21" t="s">
        <v>160</v>
      </c>
      <c r="Q2764" s="21" t="s">
        <v>160</v>
      </c>
      <c r="R2764" s="21" t="s">
        <v>161</v>
      </c>
      <c r="T2764" s="56" t="s">
        <v>396</v>
      </c>
    </row>
    <row r="2765" spans="1:20" ht="14.4" hidden="1">
      <c r="A2765" s="33">
        <f>IF(C2765="","",MAX($A$1:A2764)+1)</f>
        <v>2554</v>
      </c>
      <c r="B2765" s="27" t="s">
        <v>141</v>
      </c>
      <c r="C2765" s="23">
        <v>46104</v>
      </c>
      <c r="D2765" s="28" t="str">
        <f>_xlfn.XLOOKUP(Table134526_79101120212223242526[[#This Row],[Name Surname]],Manpower!$C$4:$C$1048576,Manpower!$B$4:$B$1048576,"")</f>
        <v>Encogroup</v>
      </c>
      <c r="E2765" s="21" t="s">
        <v>204</v>
      </c>
      <c r="F2765" s="12">
        <f>_xlfn.XLOOKUP(Table134526_79101120212223242526[[#This Row],[Name Surname]],Manpower!C:C,Manpower!D:D,)</f>
        <v>140844572</v>
      </c>
      <c r="G2765" s="28" t="str">
        <f>_xlfn.XLOOKUP(Table134526_79101120212223242526[[#This Row],[Name Surname]],Manpower!$C$4:$C$1048576,Manpower!$F$4:$F$1048576,"")</f>
        <v>Assistant/Helper</v>
      </c>
      <c r="H2765" s="28" t="str">
        <f>_xlfn.XLOOKUP(Table134526_79101120212223242526[[#This Row],[Name Surname]],Manpower!$C$4:$C$1048576,Manpower!$H$4:$H$1048576,"")</f>
        <v>Manpower</v>
      </c>
      <c r="I2765" s="28" t="str">
        <f>_xlfn.XLOOKUP(Table134526_79101120212223242526[[#This Row],[Name Surname]],Manpower!$C$4:$C$1048576,Manpower!$H$4:$H$1048576,"")</f>
        <v>Manpower</v>
      </c>
      <c r="J2765" s="21" t="s">
        <v>158</v>
      </c>
      <c r="K2765" s="21" t="s">
        <v>26</v>
      </c>
      <c r="L2765" s="21" t="s">
        <v>26</v>
      </c>
      <c r="M2765" s="21" t="s">
        <v>55</v>
      </c>
      <c r="N2765" s="29">
        <v>5</v>
      </c>
      <c r="O2765" s="21" t="s">
        <v>159</v>
      </c>
      <c r="P2765" s="21" t="s">
        <v>160</v>
      </c>
      <c r="Q2765" s="21" t="s">
        <v>160</v>
      </c>
      <c r="R2765" s="21" t="s">
        <v>161</v>
      </c>
      <c r="T2765" s="56" t="s">
        <v>396</v>
      </c>
    </row>
    <row r="2766" spans="1:20" ht="14.4">
      <c r="A2766" s="33">
        <f>IF(C2766="","",MAX($A$1:A2765)+1)</f>
        <v>2555</v>
      </c>
      <c r="B2766" s="27" t="s">
        <v>141</v>
      </c>
      <c r="C2766" s="23">
        <v>46104</v>
      </c>
      <c r="D2766" s="28" t="str">
        <f>_xlfn.XLOOKUP(Table134526_79101120212223242526[[#This Row],[Name Surname]],Manpower!$C$4:$C$1048576,Manpower!$B$4:$B$1048576,"")</f>
        <v>Encogroup</v>
      </c>
      <c r="E2766" s="23" t="s">
        <v>219</v>
      </c>
      <c r="F2766" s="12" t="e">
        <f>_xlfn.XLOOKUP(Table134526_79101120212223242526[[#This Row],[Name Surname]],Manpower!C:C,Manpower!D:D,)</f>
        <v>#N/A</v>
      </c>
      <c r="G2766" s="28" t="str">
        <f>_xlfn.XLOOKUP(Table134526_79101120212223242526[[#This Row],[Name Surname]],Manpower!$C$4:$C$1048576,Manpower!$F$4:$F$1048576,"")</f>
        <v>TOWER LIGHT</v>
      </c>
      <c r="H2766" s="28" t="str">
        <f>_xlfn.XLOOKUP(Table134526_79101120212223242526[[#This Row],[Name Surname]],Manpower!$C$4:$C$1048576,Manpower!$H$4:$H$1048576,"")</f>
        <v>Equipment</v>
      </c>
      <c r="I2766" s="28" t="str">
        <f>_xlfn.XLOOKUP(Table134526_79101120212223242526[[#This Row],[Name Surname]],Manpower!$C$4:$C$1048576,Manpower!$H$4:$H$1048576,"")</f>
        <v>Equipment</v>
      </c>
      <c r="J2766" s="21" t="s">
        <v>143</v>
      </c>
      <c r="K2766" s="21" t="s">
        <v>26</v>
      </c>
      <c r="L2766" s="21" t="s">
        <v>144</v>
      </c>
      <c r="M2766" s="21" t="s">
        <v>55</v>
      </c>
      <c r="N2766" s="29">
        <v>5</v>
      </c>
      <c r="R2766" s="21" t="s">
        <v>56</v>
      </c>
      <c r="T2766" s="56" t="s">
        <v>396</v>
      </c>
    </row>
    <row r="2767" spans="1:20" ht="14.4">
      <c r="A2767" s="33">
        <f>IF(C2767="","",MAX($A$1:A2766)+1)</f>
        <v>2556</v>
      </c>
      <c r="B2767" s="27" t="s">
        <v>141</v>
      </c>
      <c r="C2767" s="23">
        <v>46104</v>
      </c>
      <c r="D2767" s="28" t="str">
        <f>_xlfn.XLOOKUP(Table134526_79101120212223242526[[#This Row],[Name Surname]],Manpower!$C$4:$C$1048576,Manpower!$B$4:$B$1048576,"")</f>
        <v>Encogroup</v>
      </c>
      <c r="E2767" s="23" t="s">
        <v>220</v>
      </c>
      <c r="F2767" s="12" t="e">
        <f>_xlfn.XLOOKUP(Table134526_79101120212223242526[[#This Row],[Name Surname]],Manpower!C:C,Manpower!D:D,)</f>
        <v>#N/A</v>
      </c>
      <c r="G2767" s="28" t="str">
        <f>_xlfn.XLOOKUP(Table134526_79101120212223242526[[#This Row],[Name Surname]],Manpower!$C$4:$C$1048576,Manpower!$F$4:$F$1048576,"")</f>
        <v>TOWER LIGHT</v>
      </c>
      <c r="H2767" s="28" t="str">
        <f>_xlfn.XLOOKUP(Table134526_79101120212223242526[[#This Row],[Name Surname]],Manpower!$C$4:$C$1048576,Manpower!$H$4:$H$1048576,"")</f>
        <v>Equipment</v>
      </c>
      <c r="I2767" s="28" t="str">
        <f>_xlfn.XLOOKUP(Table134526_79101120212223242526[[#This Row],[Name Surname]],Manpower!$C$4:$C$1048576,Manpower!$H$4:$H$1048576,"")</f>
        <v>Equipment</v>
      </c>
      <c r="J2767" s="21" t="s">
        <v>143</v>
      </c>
      <c r="K2767" s="21" t="s">
        <v>26</v>
      </c>
      <c r="L2767" s="21" t="s">
        <v>144</v>
      </c>
      <c r="M2767" s="21" t="s">
        <v>55</v>
      </c>
      <c r="N2767" s="29">
        <v>5</v>
      </c>
      <c r="R2767" s="21" t="s">
        <v>56</v>
      </c>
      <c r="T2767" s="56" t="s">
        <v>396</v>
      </c>
    </row>
    <row r="2768" spans="1:20" s="45" customFormat="1" ht="14.4" hidden="1">
      <c r="A2768" s="25">
        <f>IF(C2768="","",MAX($A$1:A2767)+1)</f>
        <v>2557</v>
      </c>
      <c r="B2768" s="25" t="s">
        <v>141</v>
      </c>
      <c r="C2768" s="41">
        <v>46104</v>
      </c>
      <c r="D2768" s="48" t="str">
        <f>_xlfn.XLOOKUP(Table134526_79101120212223242526[[#This Row],[Name Surname]],Manpower!$C$4:$C$1048576,Manpower!$B$4:$B$1048576,"")</f>
        <v>Encogroup</v>
      </c>
      <c r="E2768" s="43" t="s">
        <v>222</v>
      </c>
      <c r="F2768" s="12">
        <f>_xlfn.XLOOKUP(Table134526_79101120212223242526[[#This Row],[Name Surname]],Manpower!C:C,Manpower!D:D,)</f>
        <v>122082863</v>
      </c>
      <c r="G2768" s="48" t="str">
        <f>_xlfn.XLOOKUP(Table134526_79101120212223242526[[#This Row],[Name Surname]],Manpower!$C$4:$C$1048576,Manpower!$F$4:$F$1048576,"")</f>
        <v>Grinder</v>
      </c>
      <c r="H2768" s="48" t="str">
        <f>_xlfn.XLOOKUP(Table134526_79101120212223242526[[#This Row],[Name Surname]],Manpower!$C$4:$C$1048576,Manpower!$H$4:$H$1048576,"")</f>
        <v>Manpower</v>
      </c>
      <c r="I2768" s="48" t="str">
        <f>_xlfn.XLOOKUP(Table134526_79101120212223242526[[#This Row],[Name Surname]],Manpower!$C$4:$C$1048576,Manpower!$H$4:$H$1048576,"")</f>
        <v>Manpower</v>
      </c>
      <c r="J2768" s="43" t="s">
        <v>143</v>
      </c>
      <c r="K2768" s="43" t="s">
        <v>26</v>
      </c>
      <c r="L2768" s="43" t="s">
        <v>144</v>
      </c>
      <c r="M2768" s="43" t="s">
        <v>55</v>
      </c>
      <c r="N2768" s="44">
        <v>5</v>
      </c>
      <c r="O2768" s="43" t="s">
        <v>40</v>
      </c>
      <c r="P2768" s="43" t="s">
        <v>42</v>
      </c>
      <c r="Q2768" s="43" t="s">
        <v>42</v>
      </c>
      <c r="R2768" s="43" t="s">
        <v>402</v>
      </c>
      <c r="S2768" s="43"/>
      <c r="T2768" s="67" t="s">
        <v>396</v>
      </c>
    </row>
    <row r="2769" spans="1:20" ht="14.4" hidden="1">
      <c r="A2769" s="33">
        <f>IF(C2769="","",MAX($A$1:A2768)+1)</f>
        <v>2558</v>
      </c>
      <c r="B2769" s="27" t="s">
        <v>141</v>
      </c>
      <c r="C2769" s="23">
        <v>46104</v>
      </c>
      <c r="D2769" s="28" t="str">
        <f>_xlfn.XLOOKUP(Table134526_79101120212223242526[[#This Row],[Name Surname]],Manpower!$C$4:$C$1048576,Manpower!$B$4:$B$1048576,"")</f>
        <v>Encogroup</v>
      </c>
      <c r="E2769" s="21" t="s">
        <v>223</v>
      </c>
      <c r="F2769" s="12">
        <f>_xlfn.XLOOKUP(Table134526_79101120212223242526[[#This Row],[Name Surname]],Manpower!C:C,Manpower!D:D,)</f>
        <v>140696989</v>
      </c>
      <c r="G2769" s="28" t="str">
        <f>_xlfn.XLOOKUP(Table134526_79101120212223242526[[#This Row],[Name Surname]],Manpower!$C$4:$C$1048576,Manpower!$F$4:$F$1048576,"")</f>
        <v>Assistant/Helper</v>
      </c>
      <c r="H2769" s="28" t="str">
        <f>_xlfn.XLOOKUP(Table134526_79101120212223242526[[#This Row],[Name Surname]],Manpower!$C$4:$C$1048576,Manpower!$H$4:$H$1048576,"")</f>
        <v>Manpower</v>
      </c>
      <c r="I2769" s="28" t="str">
        <f>_xlfn.XLOOKUP(Table134526_79101120212223242526[[#This Row],[Name Surname]],Manpower!$C$4:$C$1048576,Manpower!$H$4:$H$1048576,"")</f>
        <v>Manpower</v>
      </c>
      <c r="J2769" s="21" t="s">
        <v>158</v>
      </c>
      <c r="K2769" s="21" t="s">
        <v>26</v>
      </c>
      <c r="L2769" s="21" t="s">
        <v>26</v>
      </c>
      <c r="M2769" s="21" t="s">
        <v>55</v>
      </c>
      <c r="N2769" s="29">
        <v>5</v>
      </c>
      <c r="O2769" s="21" t="s">
        <v>159</v>
      </c>
      <c r="P2769" s="21" t="s">
        <v>160</v>
      </c>
      <c r="Q2769" s="21" t="s">
        <v>160</v>
      </c>
      <c r="R2769" s="21" t="s">
        <v>161</v>
      </c>
      <c r="T2769" s="56" t="s">
        <v>396</v>
      </c>
    </row>
    <row r="2770" spans="1:20" ht="14.4" hidden="1">
      <c r="A2770" s="33">
        <f>IF(C2770="","",MAX($A$1:A2769)+1)</f>
        <v>2559</v>
      </c>
      <c r="B2770" s="27" t="s">
        <v>141</v>
      </c>
      <c r="C2770" s="23">
        <v>46104</v>
      </c>
      <c r="D2770" s="28" t="str">
        <f>_xlfn.XLOOKUP(Table134526_79101120212223242526[[#This Row],[Name Surname]],Manpower!$C$4:$C$1048576,Manpower!$B$4:$B$1048576,"")</f>
        <v>Encogroup</v>
      </c>
      <c r="E2770" s="21" t="s">
        <v>218</v>
      </c>
      <c r="F2770" s="12">
        <f>_xlfn.XLOOKUP(Table134526_79101120212223242526[[#This Row],[Name Surname]],Manpower!C:C,Manpower!D:D,)</f>
        <v>116853914</v>
      </c>
      <c r="G2770" s="28" t="str">
        <f>_xlfn.XLOOKUP(Table134526_79101120212223242526[[#This Row],[Name Surname]],Manpower!$C$4:$C$1048576,Manpower!$F$4:$F$1048576,"")</f>
        <v>Electrical Supervisor</v>
      </c>
      <c r="H2770" s="28" t="str">
        <f>_xlfn.XLOOKUP(Table134526_79101120212223242526[[#This Row],[Name Surname]],Manpower!$C$4:$C$1048576,Manpower!$H$4:$H$1048576,"")</f>
        <v>Manpower</v>
      </c>
      <c r="I2770" s="28" t="str">
        <f>_xlfn.XLOOKUP(Table134526_79101120212223242526[[#This Row],[Name Surname]],Manpower!$C$4:$C$1048576,Manpower!$H$4:$H$1048576,"")</f>
        <v>Manpower</v>
      </c>
      <c r="J2770" s="21" t="s">
        <v>158</v>
      </c>
      <c r="K2770" s="21" t="s">
        <v>26</v>
      </c>
      <c r="L2770" s="21" t="s">
        <v>26</v>
      </c>
      <c r="M2770" s="21" t="s">
        <v>55</v>
      </c>
      <c r="N2770" s="29">
        <v>5</v>
      </c>
      <c r="O2770" s="21" t="s">
        <v>159</v>
      </c>
      <c r="P2770" s="21" t="s">
        <v>160</v>
      </c>
      <c r="Q2770" s="21" t="s">
        <v>160</v>
      </c>
      <c r="R2770" s="21" t="s">
        <v>161</v>
      </c>
      <c r="T2770" s="56" t="s">
        <v>396</v>
      </c>
    </row>
    <row r="2771" spans="1:20" ht="14.4" hidden="1">
      <c r="A2771" s="33">
        <f>IF(C2771="","",MAX($A$1:A2770)+1)</f>
        <v>2560</v>
      </c>
      <c r="B2771" s="27" t="s">
        <v>141</v>
      </c>
      <c r="C2771" s="23">
        <v>46104</v>
      </c>
      <c r="D2771" s="28" t="str">
        <f>_xlfn.XLOOKUP(Table134526_79101120212223242526[[#This Row],[Name Surname]],Manpower!$C$4:$C$1048576,Manpower!$B$4:$B$1048576,"")</f>
        <v>Encogroup</v>
      </c>
      <c r="E2771" s="21" t="s">
        <v>209</v>
      </c>
      <c r="F2771" s="12">
        <f>_xlfn.XLOOKUP(Table134526_79101120212223242526[[#This Row],[Name Surname]],Manpower!C:C,Manpower!D:D,)</f>
        <v>141365164</v>
      </c>
      <c r="G2771" s="28" t="str">
        <f>_xlfn.XLOOKUP(Table134526_79101120212223242526[[#This Row],[Name Surname]],Manpower!$C$4:$C$1048576,Manpower!$F$4:$F$1048576,"")</f>
        <v>Helper</v>
      </c>
      <c r="H2771" s="28" t="str">
        <f>_xlfn.XLOOKUP(Table134526_79101120212223242526[[#This Row],[Name Surname]],Manpower!$C$4:$C$1048576,Manpower!$H$4:$H$1048576,"")</f>
        <v>Manpower</v>
      </c>
      <c r="I2771" s="28" t="str">
        <f>_xlfn.XLOOKUP(Table134526_79101120212223242526[[#This Row],[Name Surname]],Manpower!$C$4:$C$1048576,Manpower!$H$4:$H$1048576,"")</f>
        <v>Manpower</v>
      </c>
      <c r="J2771" s="21" t="s">
        <v>158</v>
      </c>
      <c r="K2771" s="21" t="s">
        <v>26</v>
      </c>
      <c r="L2771" s="21" t="s">
        <v>26</v>
      </c>
      <c r="M2771" s="21" t="s">
        <v>55</v>
      </c>
      <c r="N2771" s="29">
        <v>5</v>
      </c>
      <c r="O2771" s="21" t="s">
        <v>159</v>
      </c>
      <c r="P2771" s="21" t="s">
        <v>160</v>
      </c>
      <c r="Q2771" s="21" t="s">
        <v>160</v>
      </c>
      <c r="R2771" s="21" t="s">
        <v>161</v>
      </c>
      <c r="T2771" s="56" t="s">
        <v>396</v>
      </c>
    </row>
    <row r="2772" spans="1:20" ht="14.4" hidden="1">
      <c r="A2772" s="33">
        <f>IF(C2772="","",MAX($A$1:A2771)+1)</f>
        <v>2561</v>
      </c>
      <c r="B2772" s="27" t="s">
        <v>141</v>
      </c>
      <c r="C2772" s="23">
        <v>46104</v>
      </c>
      <c r="D2772" s="28" t="str">
        <f>_xlfn.XLOOKUP(Table134526_79101120212223242526[[#This Row],[Name Surname]],Manpower!$C$4:$C$1048576,Manpower!$B$4:$B$1048576,"")</f>
        <v>Encogroup</v>
      </c>
      <c r="E2772" s="21" t="s">
        <v>346</v>
      </c>
      <c r="F2772" s="12">
        <f>_xlfn.XLOOKUP(Table134526_79101120212223242526[[#This Row],[Name Surname]],Manpower!C:C,Manpower!D:D,)</f>
        <v>117974933</v>
      </c>
      <c r="G2772" s="28" t="str">
        <f>_xlfn.XLOOKUP(Table134526_79101120212223242526[[#This Row],[Name Surname]],Manpower!$C$4:$C$1048576,Manpower!$F$4:$F$1048576,"")</f>
        <v>Scaffolder</v>
      </c>
      <c r="H2772" s="28" t="str">
        <f>_xlfn.XLOOKUP(Table134526_79101120212223242526[[#This Row],[Name Surname]],Manpower!$C$4:$C$1048576,Manpower!$H$4:$H$1048576,"")</f>
        <v>Manpower</v>
      </c>
      <c r="I2772" s="28" t="str">
        <f>_xlfn.XLOOKUP(Table134526_79101120212223242526[[#This Row],[Name Surname]],Manpower!$C$4:$C$1048576,Manpower!$H$4:$H$1048576,"")</f>
        <v>Manpower</v>
      </c>
      <c r="J2772" s="21" t="s">
        <v>158</v>
      </c>
      <c r="K2772" s="21" t="s">
        <v>26</v>
      </c>
      <c r="L2772" s="21" t="s">
        <v>26</v>
      </c>
      <c r="M2772" s="21" t="s">
        <v>55</v>
      </c>
      <c r="N2772" s="29">
        <v>5</v>
      </c>
      <c r="O2772" s="21" t="s">
        <v>159</v>
      </c>
      <c r="P2772" s="21" t="s">
        <v>160</v>
      </c>
      <c r="Q2772" s="21" t="s">
        <v>160</v>
      </c>
      <c r="R2772" s="21" t="s">
        <v>161</v>
      </c>
      <c r="T2772" s="56" t="s">
        <v>396</v>
      </c>
    </row>
    <row r="2773" spans="1:20" ht="14.4" hidden="1">
      <c r="A2773" s="33">
        <f>IF(C2773="","",MAX($A$1:A2772)+1)</f>
        <v>2562</v>
      </c>
      <c r="B2773" s="27" t="s">
        <v>141</v>
      </c>
      <c r="C2773" s="23">
        <v>46104</v>
      </c>
      <c r="D2773" s="28" t="str">
        <f>_xlfn.XLOOKUP(Table134526_79101120212223242526[[#This Row],[Name Surname]],Manpower!$C$4:$C$1048576,Manpower!$B$4:$B$1048576,"")</f>
        <v>Encogroup</v>
      </c>
      <c r="E2773" s="21" t="s">
        <v>347</v>
      </c>
      <c r="F2773" s="12">
        <f>_xlfn.XLOOKUP(Table134526_79101120212223242526[[#This Row],[Name Surname]],Manpower!C:C,Manpower!D:D,)</f>
        <v>141502853</v>
      </c>
      <c r="G2773" s="28" t="str">
        <f>_xlfn.XLOOKUP(Table134526_79101120212223242526[[#This Row],[Name Surname]],Manpower!$C$4:$C$1048576,Manpower!$F$4:$F$1048576,"")</f>
        <v>Scaffolder</v>
      </c>
      <c r="H2773" s="28" t="str">
        <f>_xlfn.XLOOKUP(Table134526_79101120212223242526[[#This Row],[Name Surname]],Manpower!$C$4:$C$1048576,Manpower!$H$4:$H$1048576,"")</f>
        <v>Manpower</v>
      </c>
      <c r="I2773" s="28" t="str">
        <f>_xlfn.XLOOKUP(Table134526_79101120212223242526[[#This Row],[Name Surname]],Manpower!$C$4:$C$1048576,Manpower!$H$4:$H$1048576,"")</f>
        <v>Manpower</v>
      </c>
      <c r="J2773" s="21" t="s">
        <v>158</v>
      </c>
      <c r="K2773" s="21" t="s">
        <v>26</v>
      </c>
      <c r="L2773" s="21" t="s">
        <v>26</v>
      </c>
      <c r="M2773" s="21" t="s">
        <v>55</v>
      </c>
      <c r="N2773" s="29">
        <v>5</v>
      </c>
      <c r="O2773" s="21" t="s">
        <v>159</v>
      </c>
      <c r="P2773" s="21" t="s">
        <v>160</v>
      </c>
      <c r="Q2773" s="21" t="s">
        <v>160</v>
      </c>
      <c r="R2773" s="21" t="s">
        <v>161</v>
      </c>
      <c r="T2773" s="56" t="s">
        <v>396</v>
      </c>
    </row>
    <row r="2774" spans="1:20" ht="14.4" hidden="1">
      <c r="A2774" s="33">
        <f>IF(C2774="","",MAX($A$1:A2773)+1)</f>
        <v>2563</v>
      </c>
      <c r="B2774" s="27" t="s">
        <v>141</v>
      </c>
      <c r="C2774" s="23">
        <v>46104</v>
      </c>
      <c r="D2774" s="28" t="str">
        <f>_xlfn.XLOOKUP(Table134526_79101120212223242526[[#This Row],[Name Surname]],Manpower!$C$4:$C$1048576,Manpower!$B$4:$B$1048576,"")</f>
        <v>Encogroup</v>
      </c>
      <c r="E2774" s="21" t="s">
        <v>264</v>
      </c>
      <c r="F2774" s="12">
        <f>_xlfn.XLOOKUP(Table134526_79101120212223242526[[#This Row],[Name Surname]],Manpower!C:C,Manpower!D:D,)</f>
        <v>141365061</v>
      </c>
      <c r="G2774" s="28" t="str">
        <f>_xlfn.XLOOKUP(Table134526_79101120212223242526[[#This Row],[Name Surname]],Manpower!$C$4:$C$1048576,Manpower!$F$4:$F$1048576,"")</f>
        <v>Helper</v>
      </c>
      <c r="H2774" s="28" t="str">
        <f>_xlfn.XLOOKUP(Table134526_79101120212223242526[[#This Row],[Name Surname]],Manpower!$C$4:$C$1048576,Manpower!$H$4:$H$1048576,"")</f>
        <v>Manpower</v>
      </c>
      <c r="I2774" s="28" t="str">
        <f>_xlfn.XLOOKUP(Table134526_79101120212223242526[[#This Row],[Name Surname]],Manpower!$C$4:$C$1048576,Manpower!$H$4:$H$1048576,"")</f>
        <v>Manpower</v>
      </c>
      <c r="J2774" s="21" t="s">
        <v>143</v>
      </c>
      <c r="K2774" s="21" t="s">
        <v>26</v>
      </c>
      <c r="L2774" s="21" t="s">
        <v>144</v>
      </c>
      <c r="M2774" s="21" t="s">
        <v>55</v>
      </c>
      <c r="N2774" s="29">
        <v>5</v>
      </c>
      <c r="O2774" s="21" t="s">
        <v>40</v>
      </c>
      <c r="P2774" s="21" t="s">
        <v>42</v>
      </c>
      <c r="Q2774" s="21" t="s">
        <v>42</v>
      </c>
      <c r="R2774" s="21" t="s">
        <v>402</v>
      </c>
      <c r="T2774" s="56" t="s">
        <v>396</v>
      </c>
    </row>
    <row r="2775" spans="1:20" s="45" customFormat="1" ht="14.4" hidden="1">
      <c r="A2775" s="25">
        <f>IF(C2775="","",MAX($A$1:A2774)+1)</f>
        <v>2564</v>
      </c>
      <c r="B2775" s="25" t="s">
        <v>141</v>
      </c>
      <c r="C2775" s="41">
        <v>46104</v>
      </c>
      <c r="D2775" s="48" t="str">
        <f>_xlfn.XLOOKUP(Table134526_79101120212223242526[[#This Row],[Name Surname]],Manpower!$C$4:$C$1048576,Manpower!$B$4:$B$1048576,"")</f>
        <v>Encogroup</v>
      </c>
      <c r="E2775" s="43" t="s">
        <v>224</v>
      </c>
      <c r="F2775" s="12">
        <f>_xlfn.XLOOKUP(Table134526_79101120212223242526[[#This Row],[Name Surname]],Manpower!C:C,Manpower!D:D,)</f>
        <v>141365094</v>
      </c>
      <c r="G2775" s="48" t="str">
        <f>_xlfn.XLOOKUP(Table134526_79101120212223242526[[#This Row],[Name Surname]],Manpower!$C$4:$C$1048576,Manpower!$F$4:$F$1048576,"")</f>
        <v>Helper</v>
      </c>
      <c r="H2775" s="48" t="str">
        <f>_xlfn.XLOOKUP(Table134526_79101120212223242526[[#This Row],[Name Surname]],Manpower!$C$4:$C$1048576,Manpower!$H$4:$H$1048576,"")</f>
        <v>Manpower</v>
      </c>
      <c r="I2775" s="48" t="str">
        <f>_xlfn.XLOOKUP(Table134526_79101120212223242526[[#This Row],[Name Surname]],Manpower!$C$4:$C$1048576,Manpower!$H$4:$H$1048576,"")</f>
        <v>Manpower</v>
      </c>
      <c r="J2775" s="43" t="s">
        <v>143</v>
      </c>
      <c r="K2775" s="43" t="s">
        <v>26</v>
      </c>
      <c r="L2775" s="43" t="s">
        <v>144</v>
      </c>
      <c r="M2775" s="43" t="s">
        <v>55</v>
      </c>
      <c r="N2775" s="44">
        <v>5</v>
      </c>
      <c r="O2775" s="43" t="s">
        <v>40</v>
      </c>
      <c r="P2775" s="43" t="s">
        <v>42</v>
      </c>
      <c r="Q2775" s="43" t="s">
        <v>42</v>
      </c>
      <c r="R2775" s="43" t="s">
        <v>402</v>
      </c>
      <c r="S2775" s="43"/>
      <c r="T2775" s="67" t="s">
        <v>396</v>
      </c>
    </row>
    <row r="2776" spans="1:20" ht="14.4" hidden="1">
      <c r="A2776" s="38">
        <f>IF(C2776="","",MAX($A$1:A2775)+1)</f>
        <v>2565</v>
      </c>
      <c r="B2776" s="22" t="s">
        <v>19</v>
      </c>
      <c r="C2776" s="23">
        <v>46105</v>
      </c>
      <c r="D2776" s="28" t="str">
        <f>_xlfn.XLOOKUP(Table134526_79101120212223242526[[#This Row],[Name Surname]],Manpower!$C$4:$C$1048576,Manpower!$B$4:$B$1048576,"")</f>
        <v>Encogroup</v>
      </c>
      <c r="E2776" s="21" t="s">
        <v>30</v>
      </c>
      <c r="F2776" s="12">
        <f>_xlfn.XLOOKUP(Table134526_79101120212223242526[[#This Row],[Name Surname]],Manpower!C:C,Manpower!D:D,)</f>
        <v>116589569</v>
      </c>
      <c r="G2776" s="28" t="str">
        <f>_xlfn.XLOOKUP(Table134526_79101120212223242526[[#This Row],[Name Surname]],Manpower!$C$4:$C$1048576,Manpower!$F$4:$F$1048576,"")</f>
        <v>Mechanical Engineer</v>
      </c>
      <c r="H2776" s="28" t="str">
        <f>_xlfn.XLOOKUP(Table134526_79101120212223242526[[#This Row],[Name Surname]],Manpower!$C$4:$C$1048576,Manpower!$H$4:$H$1048576,"")</f>
        <v>Manpower</v>
      </c>
      <c r="I2776" s="28" t="str">
        <f>_xlfn.XLOOKUP(Table134526_79101120212223242526[[#This Row],[Name Surname]],Manpower!$C$4:$C$1048576,Manpower!$H$4:$H$1048576,"")</f>
        <v>Manpower</v>
      </c>
      <c r="J2776" s="21" t="s">
        <v>21</v>
      </c>
      <c r="K2776" s="21" t="s">
        <v>144</v>
      </c>
      <c r="L2776" s="21" t="s">
        <v>49</v>
      </c>
      <c r="M2776" s="21" t="s">
        <v>24</v>
      </c>
      <c r="N2776" s="29">
        <v>10</v>
      </c>
      <c r="O2776" s="21" t="s">
        <v>25</v>
      </c>
      <c r="P2776" s="21" t="s">
        <v>41</v>
      </c>
      <c r="Q2776" s="21" t="s">
        <v>60</v>
      </c>
      <c r="R2776" s="21" t="s">
        <v>406</v>
      </c>
    </row>
    <row r="2777" spans="1:20" ht="14.4">
      <c r="A2777" s="38">
        <f>IF(C2777="","",MAX($A$1:A2776)+1)</f>
        <v>2566</v>
      </c>
      <c r="B2777" s="22" t="s">
        <v>19</v>
      </c>
      <c r="C2777" s="23">
        <v>46105</v>
      </c>
      <c r="D2777" s="28" t="str">
        <f>_xlfn.XLOOKUP(Table134526_79101120212223242526[[#This Row],[Name Surname]],Manpower!$C$4:$C$1048576,Manpower!$B$4:$B$1048576,"")</f>
        <v>Al Jaber Heavy Lift</v>
      </c>
      <c r="E2777" s="21" t="s">
        <v>371</v>
      </c>
      <c r="F2777" s="12" t="e">
        <f>_xlfn.XLOOKUP(Table134526_79101120212223242526[[#This Row],[Name Surname]],Manpower!C:C,Manpower!D:D,)</f>
        <v>#N/A</v>
      </c>
      <c r="G2777" s="28" t="str">
        <f>_xlfn.XLOOKUP(Table134526_79101120212223242526[[#This Row],[Name Surname]],Manpower!$C$4:$C$1048576,Manpower!$F$4:$F$1048576,"")</f>
        <v>70T Crawler Crane</v>
      </c>
      <c r="H2777" s="28" t="str">
        <f>_xlfn.XLOOKUP(Table134526_79101120212223242526[[#This Row],[Name Surname]],Manpower!$C$4:$C$1048576,Manpower!$H$4:$H$1048576,"")</f>
        <v>Equipment</v>
      </c>
      <c r="I2777" s="28" t="str">
        <f>_xlfn.XLOOKUP(Table134526_79101120212223242526[[#This Row],[Name Surname]],Manpower!$C$4:$C$1048576,Manpower!$H$4:$H$1048576,"")</f>
        <v>Equipment</v>
      </c>
      <c r="J2777" s="21" t="s">
        <v>21</v>
      </c>
      <c r="K2777" s="21" t="s">
        <v>144</v>
      </c>
      <c r="L2777" s="21" t="s">
        <v>49</v>
      </c>
      <c r="M2777" s="21" t="s">
        <v>24</v>
      </c>
      <c r="N2777" s="29">
        <v>10</v>
      </c>
      <c r="O2777" s="21" t="s">
        <v>40</v>
      </c>
      <c r="P2777" s="21" t="s">
        <v>41</v>
      </c>
      <c r="Q2777" s="21" t="s">
        <v>42</v>
      </c>
      <c r="R2777" s="21" t="s">
        <v>406</v>
      </c>
    </row>
    <row r="2778" spans="1:20" ht="14.4">
      <c r="A2778" s="38">
        <f>IF(C2778="","",MAX($A$1:A2777)+1)</f>
        <v>2567</v>
      </c>
      <c r="B2778" s="22" t="s">
        <v>19</v>
      </c>
      <c r="C2778" s="23">
        <v>46105</v>
      </c>
      <c r="D2778" s="28" t="str">
        <f>_xlfn.XLOOKUP(Table134526_79101120212223242526[[#This Row],[Name Surname]],Manpower!$C$4:$C$1048576,Manpower!$B$4:$B$1048576,"")</f>
        <v>Riyan Al Khaleej</v>
      </c>
      <c r="E2778" s="21" t="s">
        <v>20</v>
      </c>
      <c r="F2778" s="12" t="e">
        <f>_xlfn.XLOOKUP(Table134526_79101120212223242526[[#This Row],[Name Surname]],Manpower!C:C,Manpower!D:D,)</f>
        <v>#N/A</v>
      </c>
      <c r="G2778" s="28" t="str">
        <f>_xlfn.XLOOKUP(Table134526_79101120212223242526[[#This Row],[Name Surname]],Manpower!$C$4:$C$1048576,Manpower!$F$4:$F$1048576,"")</f>
        <v>100T Telescopic Crane</v>
      </c>
      <c r="H2778" s="28" t="str">
        <f>_xlfn.XLOOKUP(Table134526_79101120212223242526[[#This Row],[Name Surname]],Manpower!$C$4:$C$1048576,Manpower!$H$4:$H$1048576,"")</f>
        <v>Equipment</v>
      </c>
      <c r="I2778" s="28" t="str">
        <f>_xlfn.XLOOKUP(Table134526_79101120212223242526[[#This Row],[Name Surname]],Manpower!$C$4:$C$1048576,Manpower!$H$4:$H$1048576,"")</f>
        <v>Equipment</v>
      </c>
      <c r="J2778" s="21" t="s">
        <v>21</v>
      </c>
      <c r="K2778" s="21" t="s">
        <v>144</v>
      </c>
      <c r="L2778" s="21" t="s">
        <v>49</v>
      </c>
      <c r="M2778" s="21" t="s">
        <v>24</v>
      </c>
      <c r="N2778" s="29">
        <v>5</v>
      </c>
      <c r="O2778" s="21" t="s">
        <v>40</v>
      </c>
      <c r="P2778" s="21" t="s">
        <v>41</v>
      </c>
      <c r="Q2778" s="21" t="s">
        <v>42</v>
      </c>
      <c r="R2778" s="21" t="s">
        <v>406</v>
      </c>
    </row>
    <row r="2779" spans="1:20" ht="14.4">
      <c r="A2779" s="38">
        <f>IF(C2779="","",MAX($A$1:A2778)+1)</f>
        <v>2568</v>
      </c>
      <c r="B2779" s="22" t="s">
        <v>19</v>
      </c>
      <c r="C2779" s="23">
        <v>46105</v>
      </c>
      <c r="D2779" s="28" t="str">
        <f>_xlfn.XLOOKUP(Table134526_79101120212223242526[[#This Row],[Name Surname]],Manpower!$C$4:$C$1048576,Manpower!$B$4:$B$1048576,"")</f>
        <v>Al Jaber Heavy Lift</v>
      </c>
      <c r="E2779" s="21" t="s">
        <v>151</v>
      </c>
      <c r="F2779" s="12" t="e">
        <f>_xlfn.XLOOKUP(Table134526_79101120212223242526[[#This Row],[Name Surname]],Manpower!C:C,Manpower!D:D,)</f>
        <v>#N/A</v>
      </c>
      <c r="G2779" s="28" t="str">
        <f>_xlfn.XLOOKUP(Table134526_79101120212223242526[[#This Row],[Name Surname]],Manpower!$C$4:$C$1048576,Manpower!$F$4:$F$1048576,"")</f>
        <v>150T-Crawler Crane</v>
      </c>
      <c r="H2779" s="28" t="str">
        <f>_xlfn.XLOOKUP(Table134526_79101120212223242526[[#This Row],[Name Surname]],Manpower!$C$4:$C$1048576,Manpower!$H$4:$H$1048576,"")</f>
        <v>Equipment</v>
      </c>
      <c r="I2779" s="28" t="str">
        <f>_xlfn.XLOOKUP(Table134526_79101120212223242526[[#This Row],[Name Surname]],Manpower!$C$4:$C$1048576,Manpower!$H$4:$H$1048576,"")</f>
        <v>Equipment</v>
      </c>
      <c r="J2779" s="21" t="s">
        <v>21</v>
      </c>
      <c r="K2779" s="21" t="s">
        <v>144</v>
      </c>
      <c r="L2779" s="21" t="s">
        <v>49</v>
      </c>
      <c r="M2779" s="21" t="s">
        <v>24</v>
      </c>
      <c r="N2779" s="29">
        <v>10</v>
      </c>
      <c r="O2779" s="21" t="s">
        <v>40</v>
      </c>
      <c r="P2779" s="21" t="s">
        <v>41</v>
      </c>
      <c r="Q2779" s="21" t="s">
        <v>42</v>
      </c>
      <c r="R2779" s="21" t="s">
        <v>406</v>
      </c>
    </row>
    <row r="2780" spans="1:20" s="45" customFormat="1" ht="14.4" hidden="1">
      <c r="A2780" s="53">
        <f>IF(C2780="","",MAX($A$1:A2779)+1)</f>
        <v>2569</v>
      </c>
      <c r="B2780" s="25" t="s">
        <v>19</v>
      </c>
      <c r="C2780" s="41">
        <v>46105</v>
      </c>
      <c r="D2780" s="48" t="str">
        <f>_xlfn.XLOOKUP(Table134526_79101120212223242526[[#This Row],[Name Surname]],Manpower!$C$4:$C$1048576,Manpower!$B$4:$B$1048576,"")</f>
        <v>Al Jaber Heavy Lift</v>
      </c>
      <c r="E2780" s="43" t="s">
        <v>164</v>
      </c>
      <c r="F2780" s="12">
        <f>_xlfn.XLOOKUP(Table134526_79101120212223242526[[#This Row],[Name Surname]],Manpower!C:C,Manpower!D:D,)</f>
        <v>112778626</v>
      </c>
      <c r="G2780" s="48" t="str">
        <f>_xlfn.XLOOKUP(Table134526_79101120212223242526[[#This Row],[Name Surname]],Manpower!$C$4:$C$1048576,Manpower!$F$4:$F$1048576,"")</f>
        <v>Crane Operator-150T Hitachi Crawler</v>
      </c>
      <c r="H2780" s="48" t="str">
        <f>_xlfn.XLOOKUP(Table134526_79101120212223242526[[#This Row],[Name Surname]],Manpower!$C$4:$C$1048576,Manpower!$H$4:$H$1048576,"")</f>
        <v>Manpower</v>
      </c>
      <c r="I2780" s="48" t="str">
        <f>_xlfn.XLOOKUP(Table134526_79101120212223242526[[#This Row],[Name Surname]],Manpower!$C$4:$C$1048576,Manpower!$H$4:$H$1048576,"")</f>
        <v>Manpower</v>
      </c>
      <c r="J2780" s="43" t="s">
        <v>21</v>
      </c>
      <c r="K2780" s="43" t="s">
        <v>144</v>
      </c>
      <c r="L2780" s="43" t="s">
        <v>49</v>
      </c>
      <c r="M2780" s="43" t="s">
        <v>24</v>
      </c>
      <c r="N2780" s="44">
        <v>10</v>
      </c>
      <c r="O2780" s="43" t="s">
        <v>40</v>
      </c>
      <c r="P2780" s="43" t="s">
        <v>41</v>
      </c>
      <c r="Q2780" s="43" t="s">
        <v>42</v>
      </c>
      <c r="R2780" s="43" t="s">
        <v>406</v>
      </c>
      <c r="S2780" s="43"/>
    </row>
    <row r="2781" spans="1:20" ht="14.4" hidden="1">
      <c r="A2781" s="38">
        <f>IF(C2781="","",MAX($A$1:A2780)+1)</f>
        <v>2570</v>
      </c>
      <c r="B2781" s="22" t="s">
        <v>19</v>
      </c>
      <c r="C2781" s="23">
        <v>46105</v>
      </c>
      <c r="D2781" s="28" t="str">
        <f>_xlfn.XLOOKUP(Table134526_79101120212223242526[[#This Row],[Name Surname]],Manpower!$C$4:$C$1048576,Manpower!$B$4:$B$1048576,"")</f>
        <v>Al Jaber Heavy Lift</v>
      </c>
      <c r="E2781" s="21" t="s">
        <v>275</v>
      </c>
      <c r="F2781" s="12">
        <f>_xlfn.XLOOKUP(Table134526_79101120212223242526[[#This Row],[Name Surname]],Manpower!C:C,Manpower!D:D,)</f>
        <v>116448869</v>
      </c>
      <c r="G2781" s="28" t="str">
        <f>_xlfn.XLOOKUP(Table134526_79101120212223242526[[#This Row],[Name Surname]],Manpower!$C$4:$C$1048576,Manpower!$F$4:$F$1048576,"")</f>
        <v xml:space="preserve">Crane Operator </v>
      </c>
      <c r="H2781" s="28" t="str">
        <f>_xlfn.XLOOKUP(Table134526_79101120212223242526[[#This Row],[Name Surname]],Manpower!$C$4:$C$1048576,Manpower!$H$4:$H$1048576,"")</f>
        <v>Manpower</v>
      </c>
      <c r="I2781" s="28" t="str">
        <f>_xlfn.XLOOKUP(Table134526_79101120212223242526[[#This Row],[Name Surname]],Manpower!$C$4:$C$1048576,Manpower!$H$4:$H$1048576,"")</f>
        <v>Manpower</v>
      </c>
      <c r="J2781" s="21" t="s">
        <v>21</v>
      </c>
      <c r="K2781" s="21" t="s">
        <v>144</v>
      </c>
      <c r="L2781" s="21" t="s">
        <v>49</v>
      </c>
      <c r="M2781" s="21" t="s">
        <v>24</v>
      </c>
      <c r="N2781" s="29">
        <v>10</v>
      </c>
      <c r="O2781" s="21" t="s">
        <v>40</v>
      </c>
      <c r="P2781" s="21" t="s">
        <v>41</v>
      </c>
      <c r="Q2781" s="21" t="s">
        <v>42</v>
      </c>
      <c r="R2781" s="21" t="s">
        <v>406</v>
      </c>
    </row>
    <row r="2782" spans="1:20" s="45" customFormat="1" ht="14.4" hidden="1">
      <c r="A2782" s="53">
        <f>IF(C2782="","",MAX($A$1:A2781)+1)</f>
        <v>2571</v>
      </c>
      <c r="B2782" s="25" t="s">
        <v>19</v>
      </c>
      <c r="C2782" s="41">
        <v>46105</v>
      </c>
      <c r="D2782" s="48" t="str">
        <f>_xlfn.XLOOKUP(Table134526_79101120212223242526[[#This Row],[Name Surname]],Manpower!$C$4:$C$1048576,Manpower!$B$4:$B$1048576,"")</f>
        <v>Rial Al Khaleej</v>
      </c>
      <c r="E2782" s="43" t="s">
        <v>38</v>
      </c>
      <c r="F2782" s="12">
        <f>_xlfn.XLOOKUP(Table134526_79101120212223242526[[#This Row],[Name Surname]],Manpower!C:C,Manpower!D:D,)</f>
        <v>98845403</v>
      </c>
      <c r="G2782" s="48" t="str">
        <f>_xlfn.XLOOKUP(Table134526_79101120212223242526[[#This Row],[Name Surname]],Manpower!$C$4:$C$1048576,Manpower!$F$4:$F$1048576,"")</f>
        <v>Crane Operator-100T Zoomlion Telescopic</v>
      </c>
      <c r="H2782" s="48" t="str">
        <f>_xlfn.XLOOKUP(Table134526_79101120212223242526[[#This Row],[Name Surname]],Manpower!$C$4:$C$1048576,Manpower!$H$4:$H$1048576,"")</f>
        <v>Manpower</v>
      </c>
      <c r="I2782" s="48" t="str">
        <f>_xlfn.XLOOKUP(Table134526_79101120212223242526[[#This Row],[Name Surname]],Manpower!$C$4:$C$1048576,Manpower!$H$4:$H$1048576,"")</f>
        <v>Manpower</v>
      </c>
      <c r="J2782" s="43" t="s">
        <v>21</v>
      </c>
      <c r="K2782" s="43" t="s">
        <v>144</v>
      </c>
      <c r="L2782" s="43" t="s">
        <v>49</v>
      </c>
      <c r="M2782" s="43" t="s">
        <v>24</v>
      </c>
      <c r="N2782" s="44">
        <v>5</v>
      </c>
      <c r="O2782" s="43" t="s">
        <v>40</v>
      </c>
      <c r="P2782" s="43" t="s">
        <v>41</v>
      </c>
      <c r="Q2782" s="43" t="s">
        <v>42</v>
      </c>
      <c r="R2782" s="43" t="s">
        <v>406</v>
      </c>
      <c r="S2782" s="43"/>
    </row>
    <row r="2783" spans="1:20" s="45" customFormat="1" ht="14.4" hidden="1">
      <c r="A2783" s="53">
        <f>IF(C2783="","",MAX($A$1:A2782)+1)</f>
        <v>2572</v>
      </c>
      <c r="B2783" s="25" t="s">
        <v>19</v>
      </c>
      <c r="C2783" s="41">
        <v>46105</v>
      </c>
      <c r="D2783" s="48" t="str">
        <f>_xlfn.XLOOKUP(Table134526_79101120212223242526[[#This Row],[Name Surname]],Manpower!$C$4:$C$1048576,Manpower!$B$4:$B$1048576,"")</f>
        <v>Encogroup</v>
      </c>
      <c r="E2783" s="43" t="s">
        <v>29</v>
      </c>
      <c r="F2783" s="12">
        <f>_xlfn.XLOOKUP(Table134526_79101120212223242526[[#This Row],[Name Surname]],Manpower!C:C,Manpower!D:D,)</f>
        <v>127331574</v>
      </c>
      <c r="G2783" s="48" t="str">
        <f>_xlfn.XLOOKUP(Table134526_79101120212223242526[[#This Row],[Name Surname]],Manpower!$C$4:$C$1048576,Manpower!$F$4:$F$1048576,"")</f>
        <v>Permit Receiver</v>
      </c>
      <c r="H2783" s="48" t="str">
        <f>_xlfn.XLOOKUP(Table134526_79101120212223242526[[#This Row],[Name Surname]],Manpower!$C$4:$C$1048576,Manpower!$H$4:$H$1048576,"")</f>
        <v>Manpower</v>
      </c>
      <c r="I2783" s="48" t="str">
        <f>_xlfn.XLOOKUP(Table134526_79101120212223242526[[#This Row],[Name Surname]],Manpower!$C$4:$C$1048576,Manpower!$H$4:$H$1048576,"")</f>
        <v>Manpower</v>
      </c>
      <c r="J2783" s="43" t="s">
        <v>21</v>
      </c>
      <c r="K2783" s="43" t="s">
        <v>144</v>
      </c>
      <c r="L2783" s="43" t="s">
        <v>49</v>
      </c>
      <c r="M2783" s="43" t="s">
        <v>24</v>
      </c>
      <c r="N2783" s="44">
        <v>10</v>
      </c>
      <c r="O2783" s="43" t="s">
        <v>25</v>
      </c>
      <c r="P2783" s="43" t="s">
        <v>41</v>
      </c>
      <c r="Q2783" s="43" t="s">
        <v>60</v>
      </c>
      <c r="R2783" s="43" t="s">
        <v>406</v>
      </c>
      <c r="S2783" s="43"/>
    </row>
    <row r="2784" spans="1:20" s="45" customFormat="1" ht="14.4" hidden="1">
      <c r="A2784" s="53">
        <f>IF(C2784="","",MAX($A$1:A2783)+1)</f>
        <v>2573</v>
      </c>
      <c r="B2784" s="25" t="s">
        <v>19</v>
      </c>
      <c r="C2784" s="41">
        <v>46105</v>
      </c>
      <c r="D2784" s="48" t="str">
        <f>_xlfn.XLOOKUP(Table134526_79101120212223242526[[#This Row],[Name Surname]],Manpower!$C$4:$C$1048576,Manpower!$B$4:$B$1048576,"")</f>
        <v>Al Jaber Heavy Lift</v>
      </c>
      <c r="E2784" s="43" t="s">
        <v>276</v>
      </c>
      <c r="F2784" s="12" t="str">
        <f>_xlfn.XLOOKUP(Table134526_79101120212223242526[[#This Row],[Name Surname]],Manpower!C:C,Manpower!D:D,)</f>
        <v>102607563</v>
      </c>
      <c r="G2784" s="48" t="str">
        <f>_xlfn.XLOOKUP(Table134526_79101120212223242526[[#This Row],[Name Surname]],Manpower!$C$4:$C$1048576,Manpower!$F$4:$F$1048576,"")</f>
        <v>Technician</v>
      </c>
      <c r="H2784" s="48" t="str">
        <f>_xlfn.XLOOKUP(Table134526_79101120212223242526[[#This Row],[Name Surname]],Manpower!$C$4:$C$1048576,Manpower!$H$4:$H$1048576,"")</f>
        <v>Manpower</v>
      </c>
      <c r="I2784" s="48" t="str">
        <f>_xlfn.XLOOKUP(Table134526_79101120212223242526[[#This Row],[Name Surname]],Manpower!$C$4:$C$1048576,Manpower!$H$4:$H$1048576,"")</f>
        <v>Manpower</v>
      </c>
      <c r="J2784" s="43" t="s">
        <v>21</v>
      </c>
      <c r="K2784" s="43" t="s">
        <v>144</v>
      </c>
      <c r="L2784" s="43" t="s">
        <v>49</v>
      </c>
      <c r="M2784" s="43" t="s">
        <v>24</v>
      </c>
      <c r="N2784" s="44">
        <v>10</v>
      </c>
      <c r="O2784" s="43" t="s">
        <v>40</v>
      </c>
      <c r="P2784" s="43" t="s">
        <v>41</v>
      </c>
      <c r="Q2784" s="43" t="s">
        <v>42</v>
      </c>
      <c r="R2784" s="43" t="s">
        <v>406</v>
      </c>
      <c r="S2784" s="43"/>
    </row>
    <row r="2785" spans="1:19" s="45" customFormat="1" ht="14.4" hidden="1">
      <c r="A2785" s="53">
        <f>IF(C2785="","",MAX($A$1:A2784)+1)</f>
        <v>2574</v>
      </c>
      <c r="B2785" s="25" t="s">
        <v>19</v>
      </c>
      <c r="C2785" s="41">
        <v>46105</v>
      </c>
      <c r="D2785" s="48" t="str">
        <f>_xlfn.XLOOKUP(Table134526_79101120212223242526[[#This Row],[Name Surname]],Manpower!$C$4:$C$1048576,Manpower!$B$4:$B$1048576,"")</f>
        <v>Al Jaber Heavy Lift</v>
      </c>
      <c r="E2785" s="43" t="s">
        <v>311</v>
      </c>
      <c r="F2785" s="12" t="e">
        <f>_xlfn.XLOOKUP(Table134526_79101120212223242526[[#This Row],[Name Surname]],Manpower!C:C,Manpower!D:D,)</f>
        <v>#N/A</v>
      </c>
      <c r="G2785" s="48" t="str">
        <f>_xlfn.XLOOKUP(Table134526_79101120212223242526[[#This Row],[Name Surname]],Manpower!$C$4:$C$1048576,Manpower!$F$4:$F$1048576,"")</f>
        <v>Technician</v>
      </c>
      <c r="H2785" s="48" t="str">
        <f>_xlfn.XLOOKUP(Table134526_79101120212223242526[[#This Row],[Name Surname]],Manpower!$C$4:$C$1048576,Manpower!$H$4:$H$1048576,"")</f>
        <v>Manpower</v>
      </c>
      <c r="I2785" s="48" t="str">
        <f>_xlfn.XLOOKUP(Table134526_79101120212223242526[[#This Row],[Name Surname]],Manpower!$C$4:$C$1048576,Manpower!$H$4:$H$1048576,"")</f>
        <v>Manpower</v>
      </c>
      <c r="J2785" s="43" t="s">
        <v>21</v>
      </c>
      <c r="K2785" s="43" t="s">
        <v>144</v>
      </c>
      <c r="L2785" s="43" t="s">
        <v>49</v>
      </c>
      <c r="M2785" s="43" t="s">
        <v>24</v>
      </c>
      <c r="N2785" s="44">
        <v>10</v>
      </c>
      <c r="O2785" s="43" t="s">
        <v>40</v>
      </c>
      <c r="P2785" s="43" t="s">
        <v>41</v>
      </c>
      <c r="Q2785" s="43" t="s">
        <v>42</v>
      </c>
      <c r="R2785" s="43" t="s">
        <v>406</v>
      </c>
      <c r="S2785" s="43"/>
    </row>
    <row r="2786" spans="1:19" s="45" customFormat="1" ht="14.4" hidden="1">
      <c r="A2786" s="53">
        <f>IF(C2786="","",MAX($A$1:A2783)+1)</f>
        <v>2573</v>
      </c>
      <c r="B2786" s="25" t="s">
        <v>19</v>
      </c>
      <c r="C2786" s="41">
        <v>46105</v>
      </c>
      <c r="D2786" s="48" t="str">
        <f>_xlfn.XLOOKUP(Table134526_79101120212223242526[[#This Row],[Name Surname]],Manpower!$C$4:$C$1048576,Manpower!$B$4:$B$1048576,"")</f>
        <v>Bright Light</v>
      </c>
      <c r="E2786" s="43" t="s">
        <v>263</v>
      </c>
      <c r="F2786" s="12">
        <f>_xlfn.XLOOKUP(Table134526_79101120212223242526[[#This Row],[Name Surname]],Manpower!C:C,Manpower!D:D,)</f>
        <v>125287583</v>
      </c>
      <c r="G2786" s="48" t="str">
        <f>_xlfn.XLOOKUP(Table134526_79101120212223242526[[#This Row],[Name Surname]],Manpower!$C$4:$C$1048576,Manpower!$F$4:$F$1048576,"")</f>
        <v>Mechanic</v>
      </c>
      <c r="H2786" s="48" t="str">
        <f>_xlfn.XLOOKUP(Table134526_79101120212223242526[[#This Row],[Name Surname]],Manpower!$C$4:$C$1048576,Manpower!$H$4:$H$1048576,"")</f>
        <v>Sub Contactor</v>
      </c>
      <c r="I2786" s="48" t="str">
        <f>_xlfn.XLOOKUP(Table134526_79101120212223242526[[#This Row],[Name Surname]],Manpower!$C$4:$C$1048576,Manpower!$H$4:$H$1048576,"")</f>
        <v>Sub Contactor</v>
      </c>
      <c r="J2786" s="43" t="s">
        <v>21</v>
      </c>
      <c r="K2786" s="43" t="s">
        <v>144</v>
      </c>
      <c r="L2786" s="43" t="s">
        <v>49</v>
      </c>
      <c r="M2786" s="43" t="s">
        <v>24</v>
      </c>
      <c r="N2786" s="44">
        <v>10</v>
      </c>
      <c r="O2786" s="43" t="s">
        <v>40</v>
      </c>
      <c r="P2786" s="43" t="s">
        <v>41</v>
      </c>
      <c r="Q2786" s="43" t="s">
        <v>42</v>
      </c>
      <c r="R2786" s="43" t="s">
        <v>406</v>
      </c>
      <c r="S2786" s="43"/>
    </row>
    <row r="2787" spans="1:19" s="45" customFormat="1" ht="14.4" hidden="1">
      <c r="A2787" s="53">
        <f>IF(C2787="","",MAX($A$1:A2786)+1)</f>
        <v>2575</v>
      </c>
      <c r="B2787" s="25" t="s">
        <v>19</v>
      </c>
      <c r="C2787" s="41">
        <v>46105</v>
      </c>
      <c r="D2787" s="48" t="str">
        <f>_xlfn.XLOOKUP(Table134526_79101120212223242526[[#This Row],[Name Surname]],Manpower!$C$4:$C$1048576,Manpower!$B$4:$B$1048576,"")</f>
        <v>Al Jaber Heavy Lift</v>
      </c>
      <c r="E2787" s="43" t="s">
        <v>310</v>
      </c>
      <c r="F2787" s="12">
        <f>_xlfn.XLOOKUP(Table134526_79101120212223242526[[#This Row],[Name Surname]],Manpower!C:C,Manpower!D:D,)</f>
        <v>113787454</v>
      </c>
      <c r="G2787" s="48" t="str">
        <f>_xlfn.XLOOKUP(Table134526_79101120212223242526[[#This Row],[Name Surname]],Manpower!$C$4:$C$1048576,Manpower!$F$4:$F$1048576,"")</f>
        <v>Crane Operator- 70T Crawler Crane- 02</v>
      </c>
      <c r="H2787" s="48" t="str">
        <f>_xlfn.XLOOKUP(Table134526_79101120212223242526[[#This Row],[Name Surname]],Manpower!$C$4:$C$1048576,Manpower!$H$4:$H$1048576,"")</f>
        <v>Manpower</v>
      </c>
      <c r="I2787" s="48" t="str">
        <f>_xlfn.XLOOKUP(Table134526_79101120212223242526[[#This Row],[Name Surname]],Manpower!$C$4:$C$1048576,Manpower!$H$4:$H$1048576,"")</f>
        <v>Manpower</v>
      </c>
      <c r="J2787" s="43" t="s">
        <v>21</v>
      </c>
      <c r="K2787" s="43" t="s">
        <v>144</v>
      </c>
      <c r="L2787" s="43" t="s">
        <v>49</v>
      </c>
      <c r="M2787" s="43" t="s">
        <v>24</v>
      </c>
      <c r="N2787" s="44">
        <v>10</v>
      </c>
      <c r="O2787" s="43" t="s">
        <v>40</v>
      </c>
      <c r="P2787" s="43" t="s">
        <v>41</v>
      </c>
      <c r="Q2787" s="43" t="s">
        <v>42</v>
      </c>
      <c r="R2787" s="43" t="s">
        <v>406</v>
      </c>
      <c r="S2787" s="43"/>
    </row>
    <row r="2788" spans="1:19" s="45" customFormat="1" ht="14.4" hidden="1">
      <c r="A2788" s="53">
        <f>IF(C2788="","",MAX($A$1:A2783)+1)</f>
        <v>2573</v>
      </c>
      <c r="B2788" s="25" t="s">
        <v>19</v>
      </c>
      <c r="C2788" s="41">
        <v>46105</v>
      </c>
      <c r="D2788" s="48" t="str">
        <f>_xlfn.XLOOKUP(Table134526_79101120212223242526[[#This Row],[Name Surname]],Manpower!$C$4:$C$1048576,Manpower!$B$4:$B$1048576,"")</f>
        <v>Al Jaber Heavy Lift</v>
      </c>
      <c r="E2788" s="43" t="s">
        <v>275</v>
      </c>
      <c r="F2788" s="12">
        <f>_xlfn.XLOOKUP(Table134526_79101120212223242526[[#This Row],[Name Surname]],Manpower!C:C,Manpower!D:D,)</f>
        <v>116448869</v>
      </c>
      <c r="G2788" s="48" t="str">
        <f>_xlfn.XLOOKUP(Table134526_79101120212223242526[[#This Row],[Name Surname]],Manpower!$C$4:$C$1048576,Manpower!$F$4:$F$1048576,"")</f>
        <v xml:space="preserve">Crane Operator </v>
      </c>
      <c r="H2788" s="48" t="str">
        <f>_xlfn.XLOOKUP(Table134526_79101120212223242526[[#This Row],[Name Surname]],Manpower!$C$4:$C$1048576,Manpower!$H$4:$H$1048576,"")</f>
        <v>Manpower</v>
      </c>
      <c r="I2788" s="48" t="str">
        <f>_xlfn.XLOOKUP(Table134526_79101120212223242526[[#This Row],[Name Surname]],Manpower!$C$4:$C$1048576,Manpower!$H$4:$H$1048576,"")</f>
        <v>Manpower</v>
      </c>
      <c r="J2788" s="43" t="s">
        <v>21</v>
      </c>
      <c r="K2788" s="43" t="s">
        <v>144</v>
      </c>
      <c r="L2788" s="43" t="s">
        <v>49</v>
      </c>
      <c r="M2788" s="43" t="s">
        <v>24</v>
      </c>
      <c r="N2788" s="44">
        <v>10</v>
      </c>
      <c r="O2788" s="43" t="s">
        <v>40</v>
      </c>
      <c r="P2788" s="43" t="s">
        <v>41</v>
      </c>
      <c r="Q2788" s="43" t="s">
        <v>42</v>
      </c>
      <c r="R2788" s="43" t="s">
        <v>406</v>
      </c>
      <c r="S2788" s="43"/>
    </row>
    <row r="2789" spans="1:19" s="45" customFormat="1" ht="14.4" hidden="1">
      <c r="A2789" s="53">
        <f>IF(C2789="","",MAX($A$1:A2783)+1)</f>
        <v>2573</v>
      </c>
      <c r="B2789" s="25" t="s">
        <v>19</v>
      </c>
      <c r="C2789" s="41">
        <v>46105</v>
      </c>
      <c r="D2789" s="48" t="str">
        <f>_xlfn.XLOOKUP(Table134526_79101120212223242526[[#This Row],[Name Surname]],Manpower!$C$4:$C$1048576,Manpower!$B$4:$B$1048576,"")</f>
        <v>BUSHRA</v>
      </c>
      <c r="E2789" s="43" t="s">
        <v>248</v>
      </c>
      <c r="F2789" s="12" t="e">
        <f>_xlfn.XLOOKUP(Table134526_79101120212223242526[[#This Row],[Name Surname]],Manpower!C:C,Manpower!D:D,)</f>
        <v>#N/A</v>
      </c>
      <c r="G2789" s="48" t="str">
        <f>_xlfn.XLOOKUP(Table134526_79101120212223242526[[#This Row],[Name Surname]],Manpower!$C$4:$C$1048576,Manpower!$F$4:$F$1048576,"")</f>
        <v>Diesel Re-fueling team</v>
      </c>
      <c r="H2789" s="48" t="str">
        <f>_xlfn.XLOOKUP(Table134526_79101120212223242526[[#This Row],[Name Surname]],Manpower!$C$4:$C$1048576,Manpower!$H$4:$H$1048576,"")</f>
        <v>Manpower</v>
      </c>
      <c r="I2789" s="48" t="str">
        <f>_xlfn.XLOOKUP(Table134526_79101120212223242526[[#This Row],[Name Surname]],Manpower!$C$4:$C$1048576,Manpower!$H$4:$H$1048576,"")</f>
        <v>Manpower</v>
      </c>
      <c r="J2789" s="43" t="s">
        <v>21</v>
      </c>
      <c r="K2789" s="43" t="s">
        <v>144</v>
      </c>
      <c r="L2789" s="43" t="s">
        <v>49</v>
      </c>
      <c r="M2789" s="43" t="s">
        <v>24</v>
      </c>
      <c r="N2789" s="44">
        <v>10</v>
      </c>
      <c r="O2789" s="43" t="s">
        <v>249</v>
      </c>
      <c r="P2789" s="43" t="s">
        <v>249</v>
      </c>
      <c r="Q2789" s="43" t="s">
        <v>249</v>
      </c>
      <c r="R2789" s="43" t="s">
        <v>406</v>
      </c>
      <c r="S2789" s="43"/>
    </row>
    <row r="2790" spans="1:19" s="45" customFormat="1" ht="14.4" hidden="1">
      <c r="A2790" s="53">
        <f>IF(C2790="","",MAX($A$1:A2789)+1)</f>
        <v>2576</v>
      </c>
      <c r="B2790" s="25" t="s">
        <v>19</v>
      </c>
      <c r="C2790" s="41">
        <v>46105</v>
      </c>
      <c r="D2790" s="48" t="str">
        <f>_xlfn.XLOOKUP(Table134526_79101120212223242526[[#This Row],[Name Surname]],Manpower!$C$4:$C$1048576,Manpower!$B$4:$B$1048576,"")</f>
        <v>BUSHRA</v>
      </c>
      <c r="E2790" s="43" t="s">
        <v>250</v>
      </c>
      <c r="F2790" s="12" t="str">
        <f>_xlfn.XLOOKUP(Table134526_79101120212223242526[[#This Row],[Name Surname]],Manpower!C:C,Manpower!D:D,)</f>
        <v>Not Required</v>
      </c>
      <c r="G2790" s="48" t="str">
        <f>_xlfn.XLOOKUP(Table134526_79101120212223242526[[#This Row],[Name Surname]],Manpower!$C$4:$C$1048576,Manpower!$F$4:$F$1048576,"")</f>
        <v>Diesel Re-fueling team</v>
      </c>
      <c r="H2790" s="48" t="str">
        <f>_xlfn.XLOOKUP(Table134526_79101120212223242526[[#This Row],[Name Surname]],Manpower!$C$4:$C$1048576,Manpower!$H$4:$H$1048576,"")</f>
        <v>Manpower</v>
      </c>
      <c r="I2790" s="48" t="str">
        <f>_xlfn.XLOOKUP(Table134526_79101120212223242526[[#This Row],[Name Surname]],Manpower!$C$4:$C$1048576,Manpower!$H$4:$H$1048576,"")</f>
        <v>Manpower</v>
      </c>
      <c r="J2790" s="43" t="s">
        <v>21</v>
      </c>
      <c r="K2790" s="43" t="s">
        <v>144</v>
      </c>
      <c r="L2790" s="43" t="s">
        <v>49</v>
      </c>
      <c r="M2790" s="43" t="s">
        <v>24</v>
      </c>
      <c r="N2790" s="44">
        <v>10</v>
      </c>
      <c r="O2790" s="43" t="s">
        <v>249</v>
      </c>
      <c r="P2790" s="43" t="s">
        <v>249</v>
      </c>
      <c r="Q2790" s="43" t="s">
        <v>249</v>
      </c>
      <c r="R2790" s="43" t="s">
        <v>406</v>
      </c>
      <c r="S2790" s="43"/>
    </row>
    <row r="2791" spans="1:19" ht="14.4" hidden="1">
      <c r="A2791" s="38">
        <f>IF(C2791="","",MAX($A$1:A2783)+1)</f>
        <v>2573</v>
      </c>
      <c r="B2791" s="22" t="s">
        <v>19</v>
      </c>
      <c r="C2791" s="23">
        <v>46105</v>
      </c>
      <c r="D2791" s="28" t="str">
        <f>_xlfn.XLOOKUP(Table134526_79101120212223242526[[#This Row],[Name Surname]],Manpower!$C$4:$C$1048576,Manpower!$B$4:$B$1048576,"")</f>
        <v>Encogroup</v>
      </c>
      <c r="E2791" s="21" t="s">
        <v>31</v>
      </c>
      <c r="F2791" s="12">
        <f>_xlfn.XLOOKUP(Table134526_79101120212223242526[[#This Row],[Name Surname]],Manpower!C:C,Manpower!D:D,)</f>
        <v>99596058</v>
      </c>
      <c r="G2791" s="28" t="str">
        <f>_xlfn.XLOOKUP(Table134526_79101120212223242526[[#This Row],[Name Surname]],Manpower!$C$4:$C$1048576,Manpower!$F$4:$F$1048576,"")</f>
        <v>HSE Officer</v>
      </c>
      <c r="H2791" s="28" t="str">
        <f>_xlfn.XLOOKUP(Table134526_79101120212223242526[[#This Row],[Name Surname]],Manpower!$C$4:$C$1048576,Manpower!$H$4:$H$1048576,"")</f>
        <v>Manpower</v>
      </c>
      <c r="I2791" s="28" t="str">
        <f>_xlfn.XLOOKUP(Table134526_79101120212223242526[[#This Row],[Name Surname]],Manpower!$C$4:$C$1048576,Manpower!$H$4:$H$1048576,"")</f>
        <v>Manpower</v>
      </c>
      <c r="J2791" s="21" t="s">
        <v>21</v>
      </c>
      <c r="K2791" s="21" t="s">
        <v>144</v>
      </c>
      <c r="L2791" s="21" t="s">
        <v>49</v>
      </c>
      <c r="M2791" s="21" t="s">
        <v>24</v>
      </c>
      <c r="N2791" s="29">
        <v>10</v>
      </c>
      <c r="O2791" s="21" t="s">
        <v>25</v>
      </c>
      <c r="P2791" s="21" t="s">
        <v>41</v>
      </c>
      <c r="Q2791" s="21" t="s">
        <v>60</v>
      </c>
      <c r="R2791" s="21" t="s">
        <v>406</v>
      </c>
    </row>
    <row r="2792" spans="1:19" s="45" customFormat="1" ht="14.4" hidden="1">
      <c r="A2792" s="53">
        <f>IF(C2792="","",MAX($A$1:A2791)+1)</f>
        <v>2577</v>
      </c>
      <c r="B2792" s="25" t="s">
        <v>19</v>
      </c>
      <c r="C2792" s="41">
        <v>46105</v>
      </c>
      <c r="D2792" s="48" t="str">
        <f>_xlfn.XLOOKUP(Table134526_79101120212223242526[[#This Row],[Name Surname]],Manpower!$C$4:$C$1048576,Manpower!$B$4:$B$1048576,"")</f>
        <v>AL Omar International TRAD AND CONT</v>
      </c>
      <c r="E2792" s="43" t="s">
        <v>197</v>
      </c>
      <c r="F2792" s="12">
        <f>_xlfn.XLOOKUP(Table134526_79101120212223242526[[#This Row],[Name Surname]],Manpower!C:C,Manpower!D:D,)</f>
        <v>106093463</v>
      </c>
      <c r="G2792" s="48" t="str">
        <f>_xlfn.XLOOKUP(Table134526_79101120212223242526[[#This Row],[Name Surname]],Manpower!$C$4:$C$1048576,Manpower!$F$4:$F$1048576,"")</f>
        <v>RIgger</v>
      </c>
      <c r="H2792" s="48" t="str">
        <f>_xlfn.XLOOKUP(Table134526_79101120212223242526[[#This Row],[Name Surname]],Manpower!$C$4:$C$1048576,Manpower!$H$4:$H$1048576,"")</f>
        <v>Sub Contactor</v>
      </c>
      <c r="I2792" s="48" t="str">
        <f>_xlfn.XLOOKUP(Table134526_79101120212223242526[[#This Row],[Name Surname]],Manpower!$C$4:$C$1048576,Manpower!$H$4:$H$1048576,"")</f>
        <v>Sub Contactor</v>
      </c>
      <c r="J2792" s="43" t="s">
        <v>21</v>
      </c>
      <c r="K2792" s="43" t="s">
        <v>144</v>
      </c>
      <c r="L2792" s="43" t="s">
        <v>49</v>
      </c>
      <c r="M2792" s="43" t="s">
        <v>24</v>
      </c>
      <c r="N2792" s="44">
        <v>5</v>
      </c>
      <c r="O2792" s="43" t="s">
        <v>25</v>
      </c>
      <c r="P2792" s="43" t="s">
        <v>41</v>
      </c>
      <c r="Q2792" s="43" t="s">
        <v>60</v>
      </c>
      <c r="R2792" s="43" t="s">
        <v>406</v>
      </c>
      <c r="S2792" s="43"/>
    </row>
    <row r="2793" spans="1:19" s="45" customFormat="1" ht="14.4" hidden="1">
      <c r="A2793" s="53">
        <f>IF(C2793="","",MAX($A$1:A2791)+1)</f>
        <v>2577</v>
      </c>
      <c r="B2793" s="25" t="s">
        <v>19</v>
      </c>
      <c r="C2793" s="41">
        <v>46105</v>
      </c>
      <c r="D2793" s="48" t="str">
        <f>_xlfn.XLOOKUP(Table134526_79101120212223242526[[#This Row],[Name Surname]],Manpower!$C$4:$C$1048576,Manpower!$B$4:$B$1048576,"")</f>
        <v>Encogroup</v>
      </c>
      <c r="E2793" s="43" t="s">
        <v>72</v>
      </c>
      <c r="F2793" s="12">
        <f>_xlfn.XLOOKUP(Table134526_79101120212223242526[[#This Row],[Name Surname]],Manpower!C:C,Manpower!D:D,)</f>
        <v>140764706</v>
      </c>
      <c r="G2793" s="48" t="str">
        <f>_xlfn.XLOOKUP(Table134526_79101120212223242526[[#This Row],[Name Surname]],Manpower!$C$4:$C$1048576,Manpower!$F$4:$F$1048576,"")</f>
        <v>Rigger</v>
      </c>
      <c r="H2793" s="48" t="str">
        <f>_xlfn.XLOOKUP(Table134526_79101120212223242526[[#This Row],[Name Surname]],Manpower!$C$4:$C$1048576,Manpower!$H$4:$H$1048576,"")</f>
        <v>Manpower</v>
      </c>
      <c r="I2793" s="48" t="str">
        <f>_xlfn.XLOOKUP(Table134526_79101120212223242526[[#This Row],[Name Surname]],Manpower!$C$4:$C$1048576,Manpower!$H$4:$H$1048576,"")</f>
        <v>Manpower</v>
      </c>
      <c r="J2793" s="43" t="s">
        <v>21</v>
      </c>
      <c r="K2793" s="43" t="s">
        <v>144</v>
      </c>
      <c r="L2793" s="43" t="s">
        <v>49</v>
      </c>
      <c r="M2793" s="43" t="s">
        <v>24</v>
      </c>
      <c r="N2793" s="44">
        <v>10</v>
      </c>
      <c r="O2793" s="43" t="s">
        <v>25</v>
      </c>
      <c r="P2793" s="43" t="s">
        <v>41</v>
      </c>
      <c r="Q2793" s="43" t="s">
        <v>60</v>
      </c>
      <c r="R2793" s="43" t="s">
        <v>406</v>
      </c>
      <c r="S2793" s="43"/>
    </row>
    <row r="2794" spans="1:19" s="45" customFormat="1" ht="14.4" hidden="1">
      <c r="A2794" s="53">
        <f>IF(C2794="","",MAX($A$1:A2793)+1)</f>
        <v>2578</v>
      </c>
      <c r="B2794" s="25" t="s">
        <v>19</v>
      </c>
      <c r="C2794" s="41">
        <v>46105</v>
      </c>
      <c r="D2794" s="48" t="str">
        <f>_xlfn.XLOOKUP(Table134526_79101120212223242526[[#This Row],[Name Surname]],Manpower!$C$4:$C$1048576,Manpower!$B$4:$B$1048576,"")</f>
        <v>Encogroup</v>
      </c>
      <c r="E2794" s="43" t="s">
        <v>46</v>
      </c>
      <c r="F2794" s="12">
        <f>_xlfn.XLOOKUP(Table134526_79101120212223242526[[#This Row],[Name Surname]],Manpower!C:C,Manpower!D:D,)</f>
        <v>140844618</v>
      </c>
      <c r="G2794" s="48" t="str">
        <f>_xlfn.XLOOKUP(Table134526_79101120212223242526[[#This Row],[Name Surname]],Manpower!$C$4:$C$1048576,Manpower!$F$4:$F$1048576,"")</f>
        <v>Assistant/Helper</v>
      </c>
      <c r="H2794" s="48" t="str">
        <f>_xlfn.XLOOKUP(Table134526_79101120212223242526[[#This Row],[Name Surname]],Manpower!$C$4:$C$1048576,Manpower!$H$4:$H$1048576,"")</f>
        <v>Manpower</v>
      </c>
      <c r="I2794" s="48" t="str">
        <f>_xlfn.XLOOKUP(Table134526_79101120212223242526[[#This Row],[Name Surname]],Manpower!$C$4:$C$1048576,Manpower!$H$4:$H$1048576,"")</f>
        <v>Manpower</v>
      </c>
      <c r="J2794" s="43" t="s">
        <v>21</v>
      </c>
      <c r="K2794" s="43" t="s">
        <v>144</v>
      </c>
      <c r="L2794" s="43" t="s">
        <v>49</v>
      </c>
      <c r="M2794" s="43" t="s">
        <v>24</v>
      </c>
      <c r="N2794" s="44">
        <v>10</v>
      </c>
      <c r="O2794" s="43" t="s">
        <v>25</v>
      </c>
      <c r="P2794" s="43" t="s">
        <v>41</v>
      </c>
      <c r="Q2794" s="43" t="s">
        <v>60</v>
      </c>
      <c r="R2794" s="43" t="s">
        <v>406</v>
      </c>
      <c r="S2794" s="43"/>
    </row>
    <row r="2795" spans="1:19" s="45" customFormat="1" ht="14.4" hidden="1">
      <c r="A2795" s="53">
        <f>IF(C2795="","",MAX($A$1:A2794)+1)</f>
        <v>2579</v>
      </c>
      <c r="B2795" s="25" t="s">
        <v>19</v>
      </c>
      <c r="C2795" s="41">
        <v>46105</v>
      </c>
      <c r="D2795" s="48" t="str">
        <f>_xlfn.XLOOKUP(Table134526_79101120212223242526[[#This Row],[Name Surname]],Manpower!$C$4:$C$1048576,Manpower!$B$4:$B$1048576,"")</f>
        <v>Encogroup</v>
      </c>
      <c r="E2795" s="43" t="s">
        <v>27</v>
      </c>
      <c r="F2795" s="12">
        <f>_xlfn.XLOOKUP(Table134526_79101120212223242526[[#This Row],[Name Surname]],Manpower!C:C,Manpower!D:D,)</f>
        <v>127414586</v>
      </c>
      <c r="G2795" s="48" t="str">
        <f>_xlfn.XLOOKUP(Table134526_79101120212223242526[[#This Row],[Name Surname]],Manpower!$C$4:$C$1048576,Manpower!$F$4:$F$1048576,"")</f>
        <v>Electrician</v>
      </c>
      <c r="H2795" s="48" t="str">
        <f>_xlfn.XLOOKUP(Table134526_79101120212223242526[[#This Row],[Name Surname]],Manpower!$C$4:$C$1048576,Manpower!$H$4:$H$1048576,"")</f>
        <v>Manpower</v>
      </c>
      <c r="I2795" s="48" t="str">
        <f>_xlfn.XLOOKUP(Table134526_79101120212223242526[[#This Row],[Name Surname]],Manpower!$C$4:$C$1048576,Manpower!$H$4:$H$1048576,"")</f>
        <v>Manpower</v>
      </c>
      <c r="J2795" s="43" t="s">
        <v>21</v>
      </c>
      <c r="K2795" s="43" t="s">
        <v>144</v>
      </c>
      <c r="L2795" s="43" t="s">
        <v>49</v>
      </c>
      <c r="M2795" s="43" t="s">
        <v>24</v>
      </c>
      <c r="N2795" s="44">
        <v>5</v>
      </c>
      <c r="O2795" s="43" t="s">
        <v>25</v>
      </c>
      <c r="P2795" s="43" t="s">
        <v>41</v>
      </c>
      <c r="Q2795" s="43" t="s">
        <v>60</v>
      </c>
      <c r="R2795" s="43" t="s">
        <v>406</v>
      </c>
      <c r="S2795" s="43"/>
    </row>
    <row r="2796" spans="1:19" ht="14.4">
      <c r="A2796" s="38">
        <f>IF(C2796="","",MAX($A$1:A2795)+1)</f>
        <v>2580</v>
      </c>
      <c r="B2796" s="25" t="s">
        <v>19</v>
      </c>
      <c r="C2796" s="23">
        <v>46105</v>
      </c>
      <c r="D2796" s="28" t="str">
        <f>_xlfn.XLOOKUP(Table134526_79101120212223242526[[#This Row],[Name Surname]],Manpower!$C$4:$C$1048576,Manpower!$B$4:$B$1048576,"")</f>
        <v>Bright Light</v>
      </c>
      <c r="E2796" s="23" t="s">
        <v>47</v>
      </c>
      <c r="F2796" s="12" t="e">
        <f>_xlfn.XLOOKUP(Table134526_79101120212223242526[[#This Row],[Name Surname]],Manpower!C:C,Manpower!D:D,)</f>
        <v>#N/A</v>
      </c>
      <c r="G2796" s="28" t="str">
        <f>_xlfn.XLOOKUP(Table134526_79101120212223242526[[#This Row],[Name Surname]],Manpower!$C$4:$C$1048576,Manpower!$F$4:$F$1048576,"")</f>
        <v>100T Telescopic Crane</v>
      </c>
      <c r="H2796" s="28" t="str">
        <f>_xlfn.XLOOKUP(Table134526_79101120212223242526[[#This Row],[Name Surname]],Manpower!$C$4:$C$1048576,Manpower!$H$4:$H$1048576,"")</f>
        <v>Equipment</v>
      </c>
      <c r="I2796" s="28" t="str">
        <f>_xlfn.XLOOKUP(Table134526_79101120212223242526[[#This Row],[Name Surname]],Manpower!$C$4:$C$1048576,Manpower!$H$4:$H$1048576,"")</f>
        <v>Equipment</v>
      </c>
      <c r="J2796" s="21" t="s">
        <v>48</v>
      </c>
      <c r="K2796" s="21" t="s">
        <v>26</v>
      </c>
      <c r="L2796" s="21" t="s">
        <v>49</v>
      </c>
      <c r="M2796" s="21" t="s">
        <v>24</v>
      </c>
      <c r="N2796" s="29">
        <v>10</v>
      </c>
      <c r="O2796" s="21" t="s">
        <v>40</v>
      </c>
      <c r="P2796" s="21" t="s">
        <v>41</v>
      </c>
      <c r="Q2796" s="21" t="s">
        <v>42</v>
      </c>
      <c r="R2796" s="21" t="s">
        <v>407</v>
      </c>
    </row>
    <row r="2797" spans="1:19" ht="14.4">
      <c r="A2797" s="38">
        <f>IF(C2797="","",MAX($A$1:A2796)+1)</f>
        <v>2581</v>
      </c>
      <c r="B2797" s="25" t="s">
        <v>19</v>
      </c>
      <c r="C2797" s="23">
        <v>46105</v>
      </c>
      <c r="D2797" s="28" t="str">
        <f>_xlfn.XLOOKUP(Table134526_79101120212223242526[[#This Row],[Name Surname]],Manpower!$C$4:$C$1048576,Manpower!$B$4:$B$1048576,"")</f>
        <v>Bright Light</v>
      </c>
      <c r="E2797" s="21" t="s">
        <v>51</v>
      </c>
      <c r="F2797" s="12" t="e">
        <f>_xlfn.XLOOKUP(Table134526_79101120212223242526[[#This Row],[Name Surname]],Manpower!C:C,Manpower!D:D,)</f>
        <v>#N/A</v>
      </c>
      <c r="G2797" s="28" t="str">
        <f>_xlfn.XLOOKUP(Table134526_79101120212223242526[[#This Row],[Name Surname]],Manpower!$C$4:$C$1048576,Manpower!$F$4:$F$1048576,"")</f>
        <v>150T-Crawler Crane</v>
      </c>
      <c r="H2797" s="28" t="str">
        <f>_xlfn.XLOOKUP(Table134526_79101120212223242526[[#This Row],[Name Surname]],Manpower!$C$4:$C$1048576,Manpower!$H$4:$H$1048576,"")</f>
        <v>Equipment</v>
      </c>
      <c r="I2797" s="28" t="str">
        <f>_xlfn.XLOOKUP(Table134526_79101120212223242526[[#This Row],[Name Surname]],Manpower!$C$4:$C$1048576,Manpower!$H$4:$H$1048576,"")</f>
        <v>Equipment</v>
      </c>
      <c r="J2797" s="21" t="s">
        <v>48</v>
      </c>
      <c r="K2797" s="21" t="s">
        <v>26</v>
      </c>
      <c r="L2797" s="21" t="s">
        <v>49</v>
      </c>
      <c r="M2797" s="21" t="s">
        <v>24</v>
      </c>
      <c r="N2797" s="29">
        <v>10</v>
      </c>
      <c r="O2797" s="21" t="s">
        <v>40</v>
      </c>
      <c r="P2797" s="21" t="s">
        <v>41</v>
      </c>
      <c r="Q2797" s="21" t="s">
        <v>42</v>
      </c>
      <c r="R2797" s="21" t="s">
        <v>407</v>
      </c>
    </row>
    <row r="2798" spans="1:19" ht="14.4">
      <c r="A2798" s="38">
        <f>IF(C2798="","",MAX($A$1:A2797)+1)</f>
        <v>2582</v>
      </c>
      <c r="B2798" s="25" t="s">
        <v>19</v>
      </c>
      <c r="C2798" s="23">
        <v>46105</v>
      </c>
      <c r="D2798" s="28" t="str">
        <f>_xlfn.XLOOKUP(Table134526_79101120212223242526[[#This Row],[Name Surname]],Manpower!$C$4:$C$1048576,Manpower!$B$4:$B$1048576,"")</f>
        <v>Encogroup</v>
      </c>
      <c r="E2798" s="21" t="s">
        <v>54</v>
      </c>
      <c r="F2798" s="12" t="e">
        <f>_xlfn.XLOOKUP(Table134526_79101120212223242526[[#This Row],[Name Surname]],Manpower!C:C,Manpower!D:D,)</f>
        <v>#N/A</v>
      </c>
      <c r="G2798" s="28" t="str">
        <f>_xlfn.XLOOKUP(Table134526_79101120212223242526[[#This Row],[Name Surname]],Manpower!$C$4:$C$1048576,Manpower!$F$4:$F$1048576,"")</f>
        <v>28M-Manlift</v>
      </c>
      <c r="H2798" s="28" t="str">
        <f>_xlfn.XLOOKUP(Table134526_79101120212223242526[[#This Row],[Name Surname]],Manpower!$C$4:$C$1048576,Manpower!$H$4:$H$1048576,"")</f>
        <v>Equipment</v>
      </c>
      <c r="I2798" s="28" t="str">
        <f>_xlfn.XLOOKUP(Table134526_79101120212223242526[[#This Row],[Name Surname]],Manpower!$C$4:$C$1048576,Manpower!$H$4:$H$1048576,"")</f>
        <v>Equipment</v>
      </c>
      <c r="J2798" s="21" t="s">
        <v>48</v>
      </c>
      <c r="K2798" s="21" t="s">
        <v>26</v>
      </c>
      <c r="L2798" s="21" t="s">
        <v>49</v>
      </c>
      <c r="M2798" s="21" t="s">
        <v>24</v>
      </c>
      <c r="N2798" s="29">
        <v>10</v>
      </c>
      <c r="O2798" s="21" t="s">
        <v>25</v>
      </c>
      <c r="P2798" s="21" t="s">
        <v>41</v>
      </c>
      <c r="Q2798" s="21" t="s">
        <v>60</v>
      </c>
      <c r="R2798" s="21" t="s">
        <v>407</v>
      </c>
    </row>
    <row r="2799" spans="1:19" ht="14.4">
      <c r="A2799" s="38">
        <f>IF(C2799="","",MAX($A$1:A2798)+1)</f>
        <v>2583</v>
      </c>
      <c r="B2799" s="25" t="s">
        <v>19</v>
      </c>
      <c r="C2799" s="23">
        <v>46105</v>
      </c>
      <c r="D2799" s="28" t="str">
        <f>_xlfn.XLOOKUP(Table134526_79101120212223242526[[#This Row],[Name Surname]],Manpower!$C$4:$C$1048576,Manpower!$B$4:$B$1048576,"")</f>
        <v>Encogroup</v>
      </c>
      <c r="E2799" s="21" t="s">
        <v>53</v>
      </c>
      <c r="F2799" s="12" t="e">
        <f>_xlfn.XLOOKUP(Table134526_79101120212223242526[[#This Row],[Name Surname]],Manpower!C:C,Manpower!D:D,)</f>
        <v>#N/A</v>
      </c>
      <c r="G2799" s="28" t="str">
        <f>_xlfn.XLOOKUP(Table134526_79101120212223242526[[#This Row],[Name Surname]],Manpower!$C$4:$C$1048576,Manpower!$F$4:$F$1048576,"")</f>
        <v>22M-Manlift</v>
      </c>
      <c r="H2799" s="28" t="str">
        <f>_xlfn.XLOOKUP(Table134526_79101120212223242526[[#This Row],[Name Surname]],Manpower!$C$4:$C$1048576,Manpower!$H$4:$H$1048576,"")</f>
        <v>Equipment</v>
      </c>
      <c r="I2799" s="28" t="str">
        <f>_xlfn.XLOOKUP(Table134526_79101120212223242526[[#This Row],[Name Surname]],Manpower!$C$4:$C$1048576,Manpower!$H$4:$H$1048576,"")</f>
        <v>Equipment</v>
      </c>
      <c r="J2799" s="21" t="s">
        <v>48</v>
      </c>
      <c r="K2799" s="21" t="s">
        <v>26</v>
      </c>
      <c r="L2799" s="21" t="s">
        <v>49</v>
      </c>
      <c r="M2799" s="21" t="s">
        <v>24</v>
      </c>
      <c r="N2799" s="29">
        <v>10</v>
      </c>
      <c r="O2799" s="21" t="s">
        <v>25</v>
      </c>
      <c r="P2799" s="21" t="s">
        <v>41</v>
      </c>
      <c r="Q2799" s="21" t="s">
        <v>60</v>
      </c>
      <c r="R2799" s="21" t="s">
        <v>407</v>
      </c>
    </row>
    <row r="2800" spans="1:19" ht="14.4" hidden="1">
      <c r="A2800" s="38">
        <f>IF(C2800="","",MAX($A$1:A2799)+1)</f>
        <v>2584</v>
      </c>
      <c r="B2800" s="33" t="s">
        <v>19</v>
      </c>
      <c r="C2800" s="23">
        <v>46105</v>
      </c>
      <c r="D2800" s="28" t="str">
        <f>_xlfn.XLOOKUP(Table134526_79101120212223242526[[#This Row],[Name Surname]],Manpower!$C$4:$C$1048576,Manpower!$B$4:$B$1048576,"")</f>
        <v>Encogroup</v>
      </c>
      <c r="E2800" s="21" t="s">
        <v>57</v>
      </c>
      <c r="F2800" s="12">
        <f>_xlfn.XLOOKUP(Table134526_79101120212223242526[[#This Row],[Name Surname]],Manpower!C:C,Manpower!D:D,)</f>
        <v>140693697</v>
      </c>
      <c r="G2800" s="28" t="str">
        <f>_xlfn.XLOOKUP(Table134526_79101120212223242526[[#This Row],[Name Surname]],Manpower!$C$4:$C$1048576,Manpower!$F$4:$F$1048576,"")</f>
        <v>HSE Officer</v>
      </c>
      <c r="H2800" s="28" t="str">
        <f>_xlfn.XLOOKUP(Table134526_79101120212223242526[[#This Row],[Name Surname]],Manpower!$C$4:$C$1048576,Manpower!$H$4:$H$1048576,"")</f>
        <v>Manpower</v>
      </c>
      <c r="I2800" s="28" t="str">
        <f>_xlfn.XLOOKUP(Table134526_79101120212223242526[[#This Row],[Name Surname]],Manpower!$C$4:$C$1048576,Manpower!$H$4:$H$1048576,"")</f>
        <v>Manpower</v>
      </c>
      <c r="J2800" s="21" t="s">
        <v>48</v>
      </c>
      <c r="K2800" s="21" t="s">
        <v>26</v>
      </c>
      <c r="L2800" s="21" t="s">
        <v>49</v>
      </c>
      <c r="M2800" s="21" t="s">
        <v>24</v>
      </c>
      <c r="N2800" s="29">
        <v>10</v>
      </c>
      <c r="O2800" s="21" t="s">
        <v>25</v>
      </c>
      <c r="P2800" s="21" t="s">
        <v>41</v>
      </c>
      <c r="Q2800" s="21" t="s">
        <v>60</v>
      </c>
      <c r="R2800" s="21" t="s">
        <v>407</v>
      </c>
    </row>
    <row r="2801" spans="1:19" s="45" customFormat="1" ht="14.4" hidden="1">
      <c r="A2801" s="53">
        <f>IF(C2801="","",MAX($A$1:A2800)+1)</f>
        <v>2585</v>
      </c>
      <c r="B2801" s="25" t="s">
        <v>19</v>
      </c>
      <c r="C2801" s="41">
        <v>46105</v>
      </c>
      <c r="D2801" s="48" t="str">
        <f>_xlfn.XLOOKUP(Table134526_79101120212223242526[[#This Row],[Name Surname]],Manpower!$C$4:$C$1048576,Manpower!$B$4:$B$1048576,"")</f>
        <v>Encogroup</v>
      </c>
      <c r="E2801" s="43" t="s">
        <v>30</v>
      </c>
      <c r="F2801" s="12">
        <f>_xlfn.XLOOKUP(Table134526_79101120212223242526[[#This Row],[Name Surname]],Manpower!C:C,Manpower!D:D,)</f>
        <v>116589569</v>
      </c>
      <c r="G2801" s="48" t="str">
        <f>_xlfn.XLOOKUP(Table134526_79101120212223242526[[#This Row],[Name Surname]],Manpower!$C$4:$C$1048576,Manpower!$F$4:$F$1048576,"")</f>
        <v>Mechanical Engineer</v>
      </c>
      <c r="H2801" s="48" t="str">
        <f>_xlfn.XLOOKUP(Table134526_79101120212223242526[[#This Row],[Name Surname]],Manpower!$C$4:$C$1048576,Manpower!$H$4:$H$1048576,"")</f>
        <v>Manpower</v>
      </c>
      <c r="I2801" s="48" t="str">
        <f>_xlfn.XLOOKUP(Table134526_79101120212223242526[[#This Row],[Name Surname]],Manpower!$C$4:$C$1048576,Manpower!$H$4:$H$1048576,"")</f>
        <v>Manpower</v>
      </c>
      <c r="J2801" s="43" t="s">
        <v>48</v>
      </c>
      <c r="K2801" s="43" t="s">
        <v>26</v>
      </c>
      <c r="L2801" s="43" t="s">
        <v>49</v>
      </c>
      <c r="M2801" s="43" t="s">
        <v>24</v>
      </c>
      <c r="N2801" s="44">
        <v>10</v>
      </c>
      <c r="O2801" s="43" t="s">
        <v>25</v>
      </c>
      <c r="P2801" s="43" t="s">
        <v>41</v>
      </c>
      <c r="Q2801" s="43" t="s">
        <v>60</v>
      </c>
      <c r="R2801" s="43" t="s">
        <v>407</v>
      </c>
      <c r="S2801" s="43"/>
    </row>
    <row r="2802" spans="1:19" ht="14.4" hidden="1">
      <c r="A2802" s="38">
        <f>IF(C2802="","",MAX($A$1:A2800)+1)</f>
        <v>2585</v>
      </c>
      <c r="B2802" s="25" t="s">
        <v>19</v>
      </c>
      <c r="C2802" s="23">
        <v>46105</v>
      </c>
      <c r="D2802" s="28" t="str">
        <f>_xlfn.XLOOKUP(Table134526_79101120212223242526[[#This Row],[Name Surname]],Manpower!$C$4:$C$1048576,Manpower!$B$4:$B$1048576,"")</f>
        <v>Encogroup</v>
      </c>
      <c r="E2802" s="21" t="s">
        <v>33</v>
      </c>
      <c r="F2802" s="12">
        <f>_xlfn.XLOOKUP(Table134526_79101120212223242526[[#This Row],[Name Surname]],Manpower!C:C,Manpower!D:D,)</f>
        <v>124565057</v>
      </c>
      <c r="G2802" s="28" t="str">
        <f>_xlfn.XLOOKUP(Table134526_79101120212223242526[[#This Row],[Name Surname]],Manpower!$C$4:$C$1048576,Manpower!$F$4:$F$1048576,"")</f>
        <v>Fitter/Erector</v>
      </c>
      <c r="H2802" s="28" t="str">
        <f>_xlfn.XLOOKUP(Table134526_79101120212223242526[[#This Row],[Name Surname]],Manpower!$C$4:$C$1048576,Manpower!$H$4:$H$1048576,"")</f>
        <v>Manpower</v>
      </c>
      <c r="I2802" s="28" t="str">
        <f>_xlfn.XLOOKUP(Table134526_79101120212223242526[[#This Row],[Name Surname]],Manpower!$C$4:$C$1048576,Manpower!$H$4:$H$1048576,"")</f>
        <v>Manpower</v>
      </c>
      <c r="J2802" s="21" t="s">
        <v>48</v>
      </c>
      <c r="K2802" s="21" t="s">
        <v>26</v>
      </c>
      <c r="L2802" s="21" t="s">
        <v>49</v>
      </c>
      <c r="M2802" s="21" t="s">
        <v>24</v>
      </c>
      <c r="N2802" s="29">
        <v>10</v>
      </c>
      <c r="O2802" s="21" t="s">
        <v>25</v>
      </c>
      <c r="P2802" s="21" t="s">
        <v>41</v>
      </c>
      <c r="Q2802" s="21" t="s">
        <v>60</v>
      </c>
      <c r="R2802" s="21" t="s">
        <v>407</v>
      </c>
    </row>
    <row r="2803" spans="1:19" ht="14.4" hidden="1">
      <c r="A2803" s="38">
        <f>IF(C2803="","",MAX($A$1:A2802)+1)</f>
        <v>2586</v>
      </c>
      <c r="B2803" s="25" t="s">
        <v>19</v>
      </c>
      <c r="C2803" s="23">
        <v>46105</v>
      </c>
      <c r="D2803" s="28" t="str">
        <f>_xlfn.XLOOKUP(Table134526_79101120212223242526[[#This Row],[Name Surname]],Manpower!$C$4:$C$1048576,Manpower!$B$4:$B$1048576,"")</f>
        <v>Encogroup</v>
      </c>
      <c r="E2803" s="21" t="s">
        <v>62</v>
      </c>
      <c r="F2803" s="12">
        <f>_xlfn.XLOOKUP(Table134526_79101120212223242526[[#This Row],[Name Surname]],Manpower!C:C,Manpower!D:D,)</f>
        <v>140844797</v>
      </c>
      <c r="G2803" s="28" t="str">
        <f>_xlfn.XLOOKUP(Table134526_79101120212223242526[[#This Row],[Name Surname]],Manpower!$C$4:$C$1048576,Manpower!$F$4:$F$1048576,"")</f>
        <v>Fitter/Erector</v>
      </c>
      <c r="H2803" s="28" t="str">
        <f>_xlfn.XLOOKUP(Table134526_79101120212223242526[[#This Row],[Name Surname]],Manpower!$C$4:$C$1048576,Manpower!$H$4:$H$1048576,"")</f>
        <v>Manpower</v>
      </c>
      <c r="I2803" s="28" t="str">
        <f>_xlfn.XLOOKUP(Table134526_79101120212223242526[[#This Row],[Name Surname]],Manpower!$C$4:$C$1048576,Manpower!$H$4:$H$1048576,"")</f>
        <v>Manpower</v>
      </c>
      <c r="J2803" s="21" t="s">
        <v>48</v>
      </c>
      <c r="K2803" s="21" t="s">
        <v>26</v>
      </c>
      <c r="L2803" s="21" t="s">
        <v>49</v>
      </c>
      <c r="M2803" s="21" t="s">
        <v>24</v>
      </c>
      <c r="N2803" s="29">
        <v>10</v>
      </c>
      <c r="O2803" s="21" t="s">
        <v>25</v>
      </c>
      <c r="P2803" s="21" t="s">
        <v>41</v>
      </c>
      <c r="Q2803" s="21" t="s">
        <v>60</v>
      </c>
      <c r="R2803" s="21" t="s">
        <v>407</v>
      </c>
    </row>
    <row r="2804" spans="1:19" ht="14.4">
      <c r="A2804" s="38">
        <f>IF(C2804="","",MAX($A$1:A2803)+1)</f>
        <v>2587</v>
      </c>
      <c r="B2804" s="25" t="s">
        <v>19</v>
      </c>
      <c r="C2804" s="23">
        <v>46105</v>
      </c>
      <c r="D2804" s="24" t="str">
        <f>_xlfn.XLOOKUP(Table134526_79101120212223242526[[#This Row],[Name Surname]],Manpower!$C$4:$C$1048576,Manpower!$B$4:$B$1048576,"")</f>
        <v>Encogroup</v>
      </c>
      <c r="E2804" s="23" t="s">
        <v>63</v>
      </c>
      <c r="F2804" s="12" t="e">
        <f>_xlfn.XLOOKUP(Table134526_79101120212223242526[[#This Row],[Name Surname]],Manpower!C:C,Manpower!D:D,)</f>
        <v>#N/A</v>
      </c>
      <c r="G2804" s="24" t="str">
        <f>_xlfn.XLOOKUP(Table134526_79101120212223242526[[#This Row],[Name Surname]],Manpower!$C$4:$C$1048576,Manpower!$F$4:$F$1048576,"")</f>
        <v>22KVA-Generator</v>
      </c>
      <c r="H2804" s="24" t="str">
        <f>_xlfn.XLOOKUP(Table134526_79101120212223242526[[#This Row],[Name Surname]],Manpower!$C$4:$C$1048576,Manpower!$H$4:$H$1048576,"")</f>
        <v>Equipment</v>
      </c>
      <c r="I2804" s="24" t="str">
        <f>_xlfn.XLOOKUP(Table134526_79101120212223242526[[#This Row],[Name Surname]],Manpower!$C$4:$C$1048576,Manpower!$H$4:$H$1048576,"")</f>
        <v>Equipment</v>
      </c>
      <c r="J2804" s="21" t="s">
        <v>48</v>
      </c>
      <c r="K2804" s="21" t="s">
        <v>26</v>
      </c>
      <c r="L2804" s="21" t="s">
        <v>49</v>
      </c>
      <c r="M2804" s="21" t="s">
        <v>24</v>
      </c>
      <c r="N2804" s="29">
        <v>10</v>
      </c>
      <c r="O2804" s="21" t="s">
        <v>25</v>
      </c>
      <c r="P2804" s="21" t="s">
        <v>41</v>
      </c>
      <c r="Q2804" s="21" t="s">
        <v>41</v>
      </c>
      <c r="R2804" s="21" t="s">
        <v>407</v>
      </c>
    </row>
    <row r="2805" spans="1:19" ht="14.4" hidden="1">
      <c r="A2805" s="38">
        <f>IF(C2805="","",MAX($A$1:A2803)+1)</f>
        <v>2587</v>
      </c>
      <c r="B2805" s="25" t="s">
        <v>19</v>
      </c>
      <c r="C2805" s="23">
        <v>46105</v>
      </c>
      <c r="D2805" s="28" t="str">
        <f>_xlfn.XLOOKUP(Table134526_79101120212223242526[[#This Row],[Name Surname]],Manpower!$C$4:$C$1048576,Manpower!$B$4:$B$1048576,"")</f>
        <v>Bright Light</v>
      </c>
      <c r="E2805" s="21" t="s">
        <v>64</v>
      </c>
      <c r="F2805" s="12">
        <f>_xlfn.XLOOKUP(Table134526_79101120212223242526[[#This Row],[Name Surname]],Manpower!C:C,Manpower!D:D,)</f>
        <v>114531608</v>
      </c>
      <c r="G2805" s="28" t="str">
        <f>_xlfn.XLOOKUP(Table134526_79101120212223242526[[#This Row],[Name Surname]],Manpower!$C$4:$C$1048576,Manpower!$F$4:$F$1048576,"")</f>
        <v>Crane Operator-150T Sany Crawler</v>
      </c>
      <c r="H2805" s="28" t="str">
        <f>_xlfn.XLOOKUP(Table134526_79101120212223242526[[#This Row],[Name Surname]],Manpower!$C$4:$C$1048576,Manpower!$H$4:$H$1048576,"")</f>
        <v>Manpower</v>
      </c>
      <c r="I2805" s="28" t="str">
        <f>_xlfn.XLOOKUP(Table134526_79101120212223242526[[#This Row],[Name Surname]],Manpower!$C$4:$C$1048576,Manpower!$H$4:$H$1048576,"")</f>
        <v>Manpower</v>
      </c>
      <c r="J2805" s="21" t="s">
        <v>48</v>
      </c>
      <c r="K2805" s="21" t="s">
        <v>26</v>
      </c>
      <c r="L2805" s="21" t="s">
        <v>49</v>
      </c>
      <c r="M2805" s="21" t="s">
        <v>24</v>
      </c>
      <c r="N2805" s="29">
        <v>10</v>
      </c>
      <c r="O2805" s="21" t="s">
        <v>40</v>
      </c>
      <c r="P2805" s="21" t="s">
        <v>41</v>
      </c>
      <c r="Q2805" s="21" t="s">
        <v>42</v>
      </c>
      <c r="R2805" s="21" t="s">
        <v>407</v>
      </c>
    </row>
    <row r="2806" spans="1:19" ht="14.4" hidden="1">
      <c r="A2806" s="38">
        <f>IF(C2806="","",MAX($A$1:A2805)+1)</f>
        <v>2588</v>
      </c>
      <c r="B2806" s="25" t="s">
        <v>19</v>
      </c>
      <c r="C2806" s="23">
        <v>46105</v>
      </c>
      <c r="D2806" s="28" t="str">
        <f>_xlfn.XLOOKUP(Table134526_79101120212223242526[[#This Row],[Name Surname]],Manpower!$C$4:$C$1048576,Manpower!$B$4:$B$1048576,"")</f>
        <v>Encogroup</v>
      </c>
      <c r="E2806" s="21" t="s">
        <v>67</v>
      </c>
      <c r="F2806" s="12">
        <f>_xlfn.XLOOKUP(Table134526_79101120212223242526[[#This Row],[Name Surname]],Manpower!C:C,Manpower!D:D,)</f>
        <v>122082769</v>
      </c>
      <c r="G2806" s="28" t="str">
        <f>_xlfn.XLOOKUP(Table134526_79101120212223242526[[#This Row],[Name Surname]],Manpower!$C$4:$C$1048576,Manpower!$F$4:$F$1048576,"")</f>
        <v>Grinder</v>
      </c>
      <c r="H2806" s="28" t="str">
        <f>_xlfn.XLOOKUP(Table134526_79101120212223242526[[#This Row],[Name Surname]],Manpower!$C$4:$C$1048576,Manpower!$H$4:$H$1048576,"")</f>
        <v>Manpower</v>
      </c>
      <c r="I2806" s="28" t="str">
        <f>_xlfn.XLOOKUP(Table134526_79101120212223242526[[#This Row],[Name Surname]],Manpower!$C$4:$C$1048576,Manpower!$H$4:$H$1048576,"")</f>
        <v>Manpower</v>
      </c>
      <c r="J2806" s="21" t="s">
        <v>48</v>
      </c>
      <c r="K2806" s="21" t="s">
        <v>26</v>
      </c>
      <c r="L2806" s="21" t="s">
        <v>49</v>
      </c>
      <c r="M2806" s="21" t="s">
        <v>24</v>
      </c>
      <c r="N2806" s="29">
        <v>10</v>
      </c>
      <c r="O2806" s="21" t="s">
        <v>25</v>
      </c>
      <c r="P2806" s="21" t="s">
        <v>41</v>
      </c>
      <c r="Q2806" s="21" t="s">
        <v>60</v>
      </c>
      <c r="R2806" s="21" t="s">
        <v>407</v>
      </c>
    </row>
    <row r="2807" spans="1:19" ht="14.4" hidden="1">
      <c r="A2807" s="38">
        <f>IF(C2807="","",MAX($A$1:A2806)+1)</f>
        <v>2589</v>
      </c>
      <c r="B2807" s="25" t="s">
        <v>19</v>
      </c>
      <c r="C2807" s="23">
        <v>46105</v>
      </c>
      <c r="D2807" s="28" t="str">
        <f>_xlfn.XLOOKUP(Table134526_79101120212223242526[[#This Row],[Name Surname]],Manpower!$C$4:$C$1048576,Manpower!$B$4:$B$1048576,"")</f>
        <v>AL Omar International TRAD AND CONT</v>
      </c>
      <c r="E2807" s="21" t="s">
        <v>66</v>
      </c>
      <c r="F2807" s="12">
        <f>_xlfn.XLOOKUP(Table134526_79101120212223242526[[#This Row],[Name Surname]],Manpower!C:C,Manpower!D:D,)</f>
        <v>115018512</v>
      </c>
      <c r="G2807" s="28" t="str">
        <f>_xlfn.XLOOKUP(Table134526_79101120212223242526[[#This Row],[Name Surname]],Manpower!$C$4:$C$1048576,Manpower!$F$4:$F$1048576,"")</f>
        <v>RIgger</v>
      </c>
      <c r="H2807" s="28" t="str">
        <f>_xlfn.XLOOKUP(Table134526_79101120212223242526[[#This Row],[Name Surname]],Manpower!$C$4:$C$1048576,Manpower!$H$4:$H$1048576,"")</f>
        <v>Sub Contactor</v>
      </c>
      <c r="I2807" s="28" t="str">
        <f>_xlfn.XLOOKUP(Table134526_79101120212223242526[[#This Row],[Name Surname]],Manpower!$C$4:$C$1048576,Manpower!$H$4:$H$1048576,"")</f>
        <v>Sub Contactor</v>
      </c>
      <c r="J2807" s="21" t="s">
        <v>48</v>
      </c>
      <c r="K2807" s="21" t="s">
        <v>26</v>
      </c>
      <c r="L2807" s="21" t="s">
        <v>49</v>
      </c>
      <c r="M2807" s="21" t="s">
        <v>24</v>
      </c>
      <c r="N2807" s="29">
        <v>10</v>
      </c>
      <c r="O2807" s="21" t="s">
        <v>25</v>
      </c>
      <c r="P2807" s="21" t="s">
        <v>41</v>
      </c>
      <c r="Q2807" s="21" t="s">
        <v>60</v>
      </c>
      <c r="R2807" s="21" t="s">
        <v>407</v>
      </c>
    </row>
    <row r="2808" spans="1:19" ht="14.4" hidden="1">
      <c r="A2808" s="38">
        <f>IF(C2808="","",MAX($A$1:A2807)+1)</f>
        <v>2590</v>
      </c>
      <c r="B2808" s="25" t="s">
        <v>19</v>
      </c>
      <c r="C2808" s="23">
        <v>46105</v>
      </c>
      <c r="D2808" s="28" t="str">
        <f>_xlfn.XLOOKUP(Table134526_79101120212223242526[[#This Row],[Name Surname]],Manpower!$C$4:$C$1048576,Manpower!$B$4:$B$1048576,"")</f>
        <v>AL Omar International TRAD AND CONT</v>
      </c>
      <c r="E2808" s="21" t="s">
        <v>197</v>
      </c>
      <c r="F2808" s="12">
        <f>_xlfn.XLOOKUP(Table134526_79101120212223242526[[#This Row],[Name Surname]],Manpower!C:C,Manpower!D:D,)</f>
        <v>106093463</v>
      </c>
      <c r="G2808" s="28" t="str">
        <f>_xlfn.XLOOKUP(Table134526_79101120212223242526[[#This Row],[Name Surname]],Manpower!$C$4:$C$1048576,Manpower!$F$4:$F$1048576,"")</f>
        <v>RIgger</v>
      </c>
      <c r="H2808" s="28" t="str">
        <f>_xlfn.XLOOKUP(Table134526_79101120212223242526[[#This Row],[Name Surname]],Manpower!$C$4:$C$1048576,Manpower!$H$4:$H$1048576,"")</f>
        <v>Sub Contactor</v>
      </c>
      <c r="I2808" s="28" t="str">
        <f>_xlfn.XLOOKUP(Table134526_79101120212223242526[[#This Row],[Name Surname]],Manpower!$C$4:$C$1048576,Manpower!$H$4:$H$1048576,"")</f>
        <v>Sub Contactor</v>
      </c>
      <c r="J2808" s="21" t="s">
        <v>48</v>
      </c>
      <c r="K2808" s="21" t="s">
        <v>26</v>
      </c>
      <c r="L2808" s="21" t="s">
        <v>49</v>
      </c>
      <c r="M2808" s="21" t="s">
        <v>24</v>
      </c>
      <c r="N2808" s="29">
        <v>5</v>
      </c>
      <c r="O2808" s="21" t="s">
        <v>25</v>
      </c>
      <c r="P2808" s="21" t="s">
        <v>41</v>
      </c>
      <c r="Q2808" s="21" t="s">
        <v>60</v>
      </c>
      <c r="R2808" s="21" t="s">
        <v>407</v>
      </c>
    </row>
    <row r="2809" spans="1:19" ht="14.4" hidden="1">
      <c r="A2809" s="38">
        <f>IF(C2809="","",MAX($A$1:A2808)+1)</f>
        <v>2591</v>
      </c>
      <c r="B2809" s="25" t="s">
        <v>19</v>
      </c>
      <c r="C2809" s="23">
        <v>46105</v>
      </c>
      <c r="D2809" s="28" t="str">
        <f>_xlfn.XLOOKUP(Table134526_79101120212223242526[[#This Row],[Name Surname]],Manpower!$C$4:$C$1048576,Manpower!$B$4:$B$1048576,"")</f>
        <v>Encogroup</v>
      </c>
      <c r="E2809" s="21" t="s">
        <v>44</v>
      </c>
      <c r="F2809" s="12">
        <f>_xlfn.XLOOKUP(Table134526_79101120212223242526[[#This Row],[Name Surname]],Manpower!C:C,Manpower!D:D,)</f>
        <v>140806218</v>
      </c>
      <c r="G2809" s="28" t="str">
        <f>_xlfn.XLOOKUP(Table134526_79101120212223242526[[#This Row],[Name Surname]],Manpower!$C$4:$C$1048576,Manpower!$F$4:$F$1048576,"")</f>
        <v>Fitter/Erector</v>
      </c>
      <c r="H2809" s="28" t="str">
        <f>_xlfn.XLOOKUP(Table134526_79101120212223242526[[#This Row],[Name Surname]],Manpower!$C$4:$C$1048576,Manpower!$H$4:$H$1048576,"")</f>
        <v>Manpower</v>
      </c>
      <c r="I2809" s="28" t="str">
        <f>_xlfn.XLOOKUP(Table134526_79101120212223242526[[#This Row],[Name Surname]],Manpower!$C$4:$C$1048576,Manpower!$H$4:$H$1048576,"")</f>
        <v>Manpower</v>
      </c>
      <c r="J2809" s="21" t="s">
        <v>48</v>
      </c>
      <c r="K2809" s="21" t="s">
        <v>26</v>
      </c>
      <c r="L2809" s="21" t="s">
        <v>49</v>
      </c>
      <c r="M2809" s="21" t="s">
        <v>24</v>
      </c>
      <c r="N2809" s="29">
        <v>10</v>
      </c>
      <c r="O2809" s="21" t="s">
        <v>25</v>
      </c>
      <c r="P2809" s="21" t="s">
        <v>41</v>
      </c>
      <c r="Q2809" s="21" t="s">
        <v>60</v>
      </c>
      <c r="R2809" s="21" t="s">
        <v>407</v>
      </c>
    </row>
    <row r="2810" spans="1:19" ht="14.4" hidden="1">
      <c r="A2810" s="38">
        <f>IF(C2810="","",MAX($A$1:A2809)+1)</f>
        <v>2592</v>
      </c>
      <c r="B2810" s="25" t="s">
        <v>19</v>
      </c>
      <c r="C2810" s="23">
        <v>46105</v>
      </c>
      <c r="D2810" s="28" t="str">
        <f>_xlfn.XLOOKUP(Table134526_79101120212223242526[[#This Row],[Name Surname]],Manpower!$C$4:$C$1048576,Manpower!$B$4:$B$1048576,"")</f>
        <v>Encogroup</v>
      </c>
      <c r="E2810" s="21" t="s">
        <v>68</v>
      </c>
      <c r="F2810" s="12">
        <f>_xlfn.XLOOKUP(Table134526_79101120212223242526[[#This Row],[Name Surname]],Manpower!C:C,Manpower!D:D,)</f>
        <v>116915582</v>
      </c>
      <c r="G2810" s="28" t="str">
        <f>_xlfn.XLOOKUP(Table134526_79101120212223242526[[#This Row],[Name Surname]],Manpower!$C$4:$C$1048576,Manpower!$F$4:$F$1048576,"")</f>
        <v>Mechanical Superintendent</v>
      </c>
      <c r="H2810" s="28" t="str">
        <f>_xlfn.XLOOKUP(Table134526_79101120212223242526[[#This Row],[Name Surname]],Manpower!$C$4:$C$1048576,Manpower!$H$4:$H$1048576,"")</f>
        <v>Manpower</v>
      </c>
      <c r="I2810" s="28" t="str">
        <f>_xlfn.XLOOKUP(Table134526_79101120212223242526[[#This Row],[Name Surname]],Manpower!$C$4:$C$1048576,Manpower!$H$4:$H$1048576,"")</f>
        <v>Manpower</v>
      </c>
      <c r="J2810" s="21" t="s">
        <v>48</v>
      </c>
      <c r="K2810" s="21" t="s">
        <v>26</v>
      </c>
      <c r="L2810" s="21" t="s">
        <v>49</v>
      </c>
      <c r="M2810" s="21" t="s">
        <v>24</v>
      </c>
      <c r="N2810" s="29">
        <v>10</v>
      </c>
      <c r="O2810" s="21" t="s">
        <v>25</v>
      </c>
      <c r="P2810" s="21" t="s">
        <v>41</v>
      </c>
      <c r="Q2810" s="21" t="s">
        <v>60</v>
      </c>
      <c r="R2810" s="21" t="s">
        <v>407</v>
      </c>
    </row>
    <row r="2811" spans="1:19" ht="14.4" hidden="1">
      <c r="A2811" s="38">
        <f>IF(C2811="","",MAX($A$1:A2810)+1)</f>
        <v>2593</v>
      </c>
      <c r="B2811" s="25" t="s">
        <v>19</v>
      </c>
      <c r="C2811" s="23">
        <v>46105</v>
      </c>
      <c r="D2811" s="28" t="str">
        <f>_xlfn.XLOOKUP(Table134526_79101120212223242526[[#This Row],[Name Surname]],Manpower!$C$4:$C$1048576,Manpower!$B$4:$B$1048576,"")</f>
        <v>Encogroup</v>
      </c>
      <c r="E2811" s="21" t="s">
        <v>69</v>
      </c>
      <c r="F2811" s="12">
        <f>_xlfn.XLOOKUP(Table134526_79101120212223242526[[#This Row],[Name Surname]],Manpower!C:C,Manpower!D:D,)</f>
        <v>141169071</v>
      </c>
      <c r="G2811" s="28" t="str">
        <f>_xlfn.XLOOKUP(Table134526_79101120212223242526[[#This Row],[Name Surname]],Manpower!$C$4:$C$1048576,Manpower!$F$4:$F$1048576,"")</f>
        <v>Welding Supervisor</v>
      </c>
      <c r="H2811" s="28" t="str">
        <f>_xlfn.XLOOKUP(Table134526_79101120212223242526[[#This Row],[Name Surname]],Manpower!$C$4:$C$1048576,Manpower!$H$4:$H$1048576,"")</f>
        <v>Manpower</v>
      </c>
      <c r="I2811" s="28" t="str">
        <f>_xlfn.XLOOKUP(Table134526_79101120212223242526[[#This Row],[Name Surname]],Manpower!$C$4:$C$1048576,Manpower!$H$4:$H$1048576,"")</f>
        <v>Manpower</v>
      </c>
      <c r="J2811" s="21" t="s">
        <v>48</v>
      </c>
      <c r="K2811" s="21" t="s">
        <v>26</v>
      </c>
      <c r="L2811" s="21" t="s">
        <v>49</v>
      </c>
      <c r="M2811" s="21" t="s">
        <v>24</v>
      </c>
      <c r="N2811" s="29">
        <v>10</v>
      </c>
      <c r="O2811" s="21" t="s">
        <v>25</v>
      </c>
      <c r="P2811" s="21" t="s">
        <v>41</v>
      </c>
      <c r="Q2811" s="21" t="s">
        <v>60</v>
      </c>
      <c r="R2811" s="21" t="s">
        <v>407</v>
      </c>
    </row>
    <row r="2812" spans="1:19" ht="14.4" hidden="1">
      <c r="A2812" s="38">
        <f>IF(C2812="","",MAX($A$1:A2811)+1)</f>
        <v>2594</v>
      </c>
      <c r="B2812" s="25" t="s">
        <v>19</v>
      </c>
      <c r="C2812" s="23">
        <v>46105</v>
      </c>
      <c r="D2812" s="28" t="str">
        <f>_xlfn.XLOOKUP(Table134526_79101120212223242526[[#This Row],[Name Surname]],Manpower!$C$4:$C$1048576,Manpower!$B$4:$B$1048576,"")</f>
        <v>Encogroup</v>
      </c>
      <c r="E2812" s="21" t="s">
        <v>59</v>
      </c>
      <c r="F2812" s="12">
        <f>_xlfn.XLOOKUP(Table134526_79101120212223242526[[#This Row],[Name Surname]],Manpower!C:C,Manpower!D:D,)</f>
        <v>141169085</v>
      </c>
      <c r="G2812" s="28" t="str">
        <f>_xlfn.XLOOKUP(Table134526_79101120212223242526[[#This Row],[Name Surname]],Manpower!$C$4:$C$1048576,Manpower!$F$4:$F$1048576,"")</f>
        <v>Welder</v>
      </c>
      <c r="H2812" s="28" t="str">
        <f>_xlfn.XLOOKUP(Table134526_79101120212223242526[[#This Row],[Name Surname]],Manpower!$C$4:$C$1048576,Manpower!$H$4:$H$1048576,"")</f>
        <v>Manpower</v>
      </c>
      <c r="I2812" s="28" t="str">
        <f>_xlfn.XLOOKUP(Table134526_79101120212223242526[[#This Row],[Name Surname]],Manpower!$C$4:$C$1048576,Manpower!$H$4:$H$1048576,"")</f>
        <v>Manpower</v>
      </c>
      <c r="J2812" s="21" t="s">
        <v>48</v>
      </c>
      <c r="K2812" s="21" t="s">
        <v>26</v>
      </c>
      <c r="L2812" s="21" t="s">
        <v>49</v>
      </c>
      <c r="M2812" s="21" t="s">
        <v>24</v>
      </c>
      <c r="N2812" s="29">
        <v>10</v>
      </c>
      <c r="O2812" s="21" t="s">
        <v>25</v>
      </c>
      <c r="P2812" s="21" t="s">
        <v>41</v>
      </c>
      <c r="Q2812" s="21" t="s">
        <v>60</v>
      </c>
      <c r="R2812" s="21" t="s">
        <v>407</v>
      </c>
    </row>
    <row r="2813" spans="1:19" ht="14.4" hidden="1">
      <c r="A2813" s="38">
        <f>IF(C2813="","",MAX($A$1:A2812)+1)</f>
        <v>2595</v>
      </c>
      <c r="B2813" s="25" t="s">
        <v>19</v>
      </c>
      <c r="C2813" s="23">
        <v>46105</v>
      </c>
      <c r="D2813" s="28" t="str">
        <f>_xlfn.XLOOKUP(Table134526_79101120212223242526[[#This Row],[Name Surname]],Manpower!$C$4:$C$1048576,Manpower!$B$4:$B$1048576,"")</f>
        <v>AL Omar International TRAD AND CONT</v>
      </c>
      <c r="E2813" s="21" t="s">
        <v>36</v>
      </c>
      <c r="F2813" s="12">
        <f>_xlfn.XLOOKUP(Table134526_79101120212223242526[[#This Row],[Name Surname]],Manpower!C:C,Manpower!D:D,)</f>
        <v>114929202</v>
      </c>
      <c r="G2813" s="28" t="str">
        <f>_xlfn.XLOOKUP(Table134526_79101120212223242526[[#This Row],[Name Surname]],Manpower!$C$4:$C$1048576,Manpower!$F$4:$F$1048576,"")</f>
        <v>RIgger</v>
      </c>
      <c r="H2813" s="28" t="str">
        <f>_xlfn.XLOOKUP(Table134526_79101120212223242526[[#This Row],[Name Surname]],Manpower!$C$4:$C$1048576,Manpower!$H$4:$H$1048576,"")</f>
        <v>Sub Contactor</v>
      </c>
      <c r="I2813" s="28" t="str">
        <f>_xlfn.XLOOKUP(Table134526_79101120212223242526[[#This Row],[Name Surname]],Manpower!$C$4:$C$1048576,Manpower!$H$4:$H$1048576,"")</f>
        <v>Sub Contactor</v>
      </c>
      <c r="J2813" s="21" t="s">
        <v>48</v>
      </c>
      <c r="K2813" s="21" t="s">
        <v>26</v>
      </c>
      <c r="L2813" s="21" t="s">
        <v>49</v>
      </c>
      <c r="M2813" s="21" t="s">
        <v>24</v>
      </c>
      <c r="N2813" s="29">
        <v>10</v>
      </c>
      <c r="O2813" s="21" t="s">
        <v>25</v>
      </c>
      <c r="P2813" s="21" t="s">
        <v>41</v>
      </c>
      <c r="Q2813" s="21" t="s">
        <v>60</v>
      </c>
      <c r="R2813" s="21" t="s">
        <v>407</v>
      </c>
    </row>
    <row r="2814" spans="1:19" ht="14.4" hidden="1">
      <c r="A2814" s="38">
        <f>IF(C2814="","",MAX($A$1:A2813)+1)</f>
        <v>2596</v>
      </c>
      <c r="B2814" s="25" t="s">
        <v>19</v>
      </c>
      <c r="C2814" s="23">
        <v>46105</v>
      </c>
      <c r="D2814" s="28" t="str">
        <f>_xlfn.XLOOKUP(Table134526_79101120212223242526[[#This Row],[Name Surname]],Manpower!$C$4:$C$1048576,Manpower!$B$4:$B$1048576,"")</f>
        <v>Encogroup</v>
      </c>
      <c r="E2814" s="21" t="s">
        <v>37</v>
      </c>
      <c r="F2814" s="12">
        <f>_xlfn.XLOOKUP(Table134526_79101120212223242526[[#This Row],[Name Surname]],Manpower!C:C,Manpower!D:D,)</f>
        <v>140742088</v>
      </c>
      <c r="G2814" s="28" t="str">
        <f>_xlfn.XLOOKUP(Table134526_79101120212223242526[[#This Row],[Name Surname]],Manpower!$C$4:$C$1048576,Manpower!$F$4:$F$1048576,"")</f>
        <v>Fitter/Erector</v>
      </c>
      <c r="H2814" s="28" t="str">
        <f>_xlfn.XLOOKUP(Table134526_79101120212223242526[[#This Row],[Name Surname]],Manpower!$C$4:$C$1048576,Manpower!$H$4:$H$1048576,"")</f>
        <v>Manpower</v>
      </c>
      <c r="I2814" s="28" t="str">
        <f>_xlfn.XLOOKUP(Table134526_79101120212223242526[[#This Row],[Name Surname]],Manpower!$C$4:$C$1048576,Manpower!$H$4:$H$1048576,"")</f>
        <v>Manpower</v>
      </c>
      <c r="J2814" s="21" t="s">
        <v>48</v>
      </c>
      <c r="K2814" s="21" t="s">
        <v>26</v>
      </c>
      <c r="L2814" s="21" t="s">
        <v>49</v>
      </c>
      <c r="M2814" s="21" t="s">
        <v>24</v>
      </c>
      <c r="N2814" s="29">
        <v>10</v>
      </c>
      <c r="O2814" s="21" t="s">
        <v>25</v>
      </c>
      <c r="P2814" s="21" t="s">
        <v>41</v>
      </c>
      <c r="Q2814" s="21" t="s">
        <v>60</v>
      </c>
      <c r="R2814" s="21" t="s">
        <v>407</v>
      </c>
    </row>
    <row r="2815" spans="1:19" ht="14.4" hidden="1">
      <c r="A2815" s="38">
        <f>IF(C2815="","",MAX($A$1:A2814)+1)</f>
        <v>2597</v>
      </c>
      <c r="B2815" s="25" t="s">
        <v>19</v>
      </c>
      <c r="C2815" s="23">
        <v>46105</v>
      </c>
      <c r="D2815" s="28" t="str">
        <f>_xlfn.XLOOKUP(Table134526_79101120212223242526[[#This Row],[Name Surname]],Manpower!$C$4:$C$1048576,Manpower!$B$4:$B$1048576,"")</f>
        <v>Encogroup</v>
      </c>
      <c r="E2815" s="21" t="s">
        <v>237</v>
      </c>
      <c r="F2815" s="12">
        <f>_xlfn.XLOOKUP(Table134526_79101120212223242526[[#This Row],[Name Surname]],Manpower!C:C,Manpower!D:D,)</f>
        <v>75199413</v>
      </c>
      <c r="G2815" s="28" t="str">
        <f>_xlfn.XLOOKUP(Table134526_79101120212223242526[[#This Row],[Name Surname]],Manpower!$C$4:$C$1048576,Manpower!$F$4:$F$1048576,"")</f>
        <v>Mechanic</v>
      </c>
      <c r="H2815" s="28" t="str">
        <f>_xlfn.XLOOKUP(Table134526_79101120212223242526[[#This Row],[Name Surname]],Manpower!$C$4:$C$1048576,Manpower!$H$4:$H$1048576,"")</f>
        <v>Manpower</v>
      </c>
      <c r="I2815" s="28" t="str">
        <f>_xlfn.XLOOKUP(Table134526_79101120212223242526[[#This Row],[Name Surname]],Manpower!$C$4:$C$1048576,Manpower!$H$4:$H$1048576,"")</f>
        <v>Manpower</v>
      </c>
      <c r="J2815" s="21" t="s">
        <v>48</v>
      </c>
      <c r="K2815" s="21" t="s">
        <v>26</v>
      </c>
      <c r="L2815" s="21" t="s">
        <v>49</v>
      </c>
      <c r="M2815" s="21" t="s">
        <v>24</v>
      </c>
      <c r="N2815" s="29">
        <v>10</v>
      </c>
      <c r="O2815" s="21" t="s">
        <v>236</v>
      </c>
      <c r="P2815" s="21" t="s">
        <v>236</v>
      </c>
      <c r="Q2815" s="21" t="s">
        <v>236</v>
      </c>
      <c r="R2815" s="21" t="s">
        <v>407</v>
      </c>
    </row>
    <row r="2816" spans="1:19" s="45" customFormat="1" ht="14.4" hidden="1">
      <c r="A2816" s="53">
        <f>IF(C2816="","",MAX($A$1:A2814)+1)</f>
        <v>2597</v>
      </c>
      <c r="B2816" s="25" t="s">
        <v>19</v>
      </c>
      <c r="C2816" s="41">
        <v>46105</v>
      </c>
      <c r="D2816" s="48" t="str">
        <f>_xlfn.XLOOKUP(Table134526_79101120212223242526[[#This Row],[Name Surname]],Manpower!$C$4:$C$1048576,Manpower!$B$4:$B$1048576,"")</f>
        <v>Encogroup</v>
      </c>
      <c r="E2816" s="43" t="s">
        <v>27</v>
      </c>
      <c r="F2816" s="12">
        <f>_xlfn.XLOOKUP(Table134526_79101120212223242526[[#This Row],[Name Surname]],Manpower!C:C,Manpower!D:D,)</f>
        <v>127414586</v>
      </c>
      <c r="G2816" s="48" t="str">
        <f>_xlfn.XLOOKUP(Table134526_79101120212223242526[[#This Row],[Name Surname]],Manpower!$C$4:$C$1048576,Manpower!$F$4:$F$1048576,"")</f>
        <v>Electrician</v>
      </c>
      <c r="H2816" s="48" t="str">
        <f>_xlfn.XLOOKUP(Table134526_79101120212223242526[[#This Row],[Name Surname]],Manpower!$C$4:$C$1048576,Manpower!$H$4:$H$1048576,"")</f>
        <v>Manpower</v>
      </c>
      <c r="I2816" s="48" t="str">
        <f>_xlfn.XLOOKUP(Table134526_79101120212223242526[[#This Row],[Name Surname]],Manpower!$C$4:$C$1048576,Manpower!$H$4:$H$1048576,"")</f>
        <v>Manpower</v>
      </c>
      <c r="J2816" s="43" t="s">
        <v>48</v>
      </c>
      <c r="K2816" s="43" t="s">
        <v>26</v>
      </c>
      <c r="L2816" s="43" t="s">
        <v>49</v>
      </c>
      <c r="M2816" s="43" t="s">
        <v>24</v>
      </c>
      <c r="N2816" s="44">
        <v>5</v>
      </c>
      <c r="O2816" s="43" t="s">
        <v>28</v>
      </c>
      <c r="P2816" s="43" t="s">
        <v>41</v>
      </c>
      <c r="Q2816" s="43" t="s">
        <v>58</v>
      </c>
      <c r="R2816" s="43" t="s">
        <v>407</v>
      </c>
      <c r="S2816" s="43"/>
    </row>
    <row r="2817" spans="1:19" s="45" customFormat="1" ht="14.4" hidden="1">
      <c r="A2817" s="53">
        <f>IF(C2817="","",MAX($A$1:A2814)+1)</f>
        <v>2597</v>
      </c>
      <c r="B2817" s="25" t="s">
        <v>19</v>
      </c>
      <c r="C2817" s="41">
        <v>46105</v>
      </c>
      <c r="D2817" s="48" t="str">
        <f>_xlfn.XLOOKUP(Table134526_79101120212223242526[[#This Row],[Name Surname]],Manpower!$C$4:$C$1048576,Manpower!$B$4:$B$1048576,"")</f>
        <v>Encogroup</v>
      </c>
      <c r="E2817" s="43" t="s">
        <v>76</v>
      </c>
      <c r="F2817" s="12">
        <f>_xlfn.XLOOKUP(Table134526_79101120212223242526[[#This Row],[Name Surname]],Manpower!C:C,Manpower!D:D,)</f>
        <v>127859069</v>
      </c>
      <c r="G2817" s="48" t="str">
        <f>_xlfn.XLOOKUP(Table134526_79101120212223242526[[#This Row],[Name Surname]],Manpower!$C$4:$C$1048576,Manpower!$F$4:$F$1048576,"")</f>
        <v>QC Mechanical Engineer</v>
      </c>
      <c r="H2817" s="48" t="str">
        <f>_xlfn.XLOOKUP(Table134526_79101120212223242526[[#This Row],[Name Surname]],Manpower!$C$4:$C$1048576,Manpower!$H$4:$H$1048576,"")</f>
        <v>Manpower</v>
      </c>
      <c r="I2817" s="48" t="str">
        <f>_xlfn.XLOOKUP(Table134526_79101120212223242526[[#This Row],[Name Surname]],Manpower!$C$4:$C$1048576,Manpower!$H$4:$H$1048576,"")</f>
        <v>Manpower</v>
      </c>
      <c r="J2817" s="43" t="s">
        <v>48</v>
      </c>
      <c r="K2817" s="43" t="s">
        <v>26</v>
      </c>
      <c r="L2817" s="43" t="s">
        <v>49</v>
      </c>
      <c r="M2817" s="43" t="s">
        <v>24</v>
      </c>
      <c r="N2817" s="44">
        <v>10</v>
      </c>
      <c r="O2817" s="43" t="s">
        <v>25</v>
      </c>
      <c r="P2817" s="43" t="s">
        <v>41</v>
      </c>
      <c r="Q2817" s="43" t="s">
        <v>77</v>
      </c>
      <c r="R2817" s="43" t="s">
        <v>407</v>
      </c>
      <c r="S2817" s="43"/>
    </row>
    <row r="2818" spans="1:19" ht="14.4" hidden="1">
      <c r="A2818" s="38">
        <f>IF(C2818="","",MAX($A$1:A2814)+1)</f>
        <v>2597</v>
      </c>
      <c r="B2818" s="25" t="s">
        <v>19</v>
      </c>
      <c r="C2818" s="23">
        <v>46105</v>
      </c>
      <c r="D2818" s="28" t="str">
        <f>_xlfn.XLOOKUP(Table134526_79101120212223242526[[#This Row],[Name Surname]],Manpower!$C$4:$C$1048576,Manpower!$B$4:$B$1048576,"")</f>
        <v>Encogroup</v>
      </c>
      <c r="E2818" s="21" t="s">
        <v>32</v>
      </c>
      <c r="F2818" s="12">
        <f>_xlfn.XLOOKUP(Table134526_79101120212223242526[[#This Row],[Name Surname]],Manpower!C:C,Manpower!D:D,)</f>
        <v>140697039</v>
      </c>
      <c r="G2818" s="28" t="str">
        <f>_xlfn.XLOOKUP(Table134526_79101120212223242526[[#This Row],[Name Surname]],Manpower!$C$4:$C$1048576,Manpower!$F$4:$F$1048576,"")</f>
        <v>Fitter/Erector</v>
      </c>
      <c r="H2818" s="28" t="str">
        <f>_xlfn.XLOOKUP(Table134526_79101120212223242526[[#This Row],[Name Surname]],Manpower!$C$4:$C$1048576,Manpower!$H$4:$H$1048576,"")</f>
        <v>Manpower</v>
      </c>
      <c r="I2818" s="28" t="str">
        <f>_xlfn.XLOOKUP(Table134526_79101120212223242526[[#This Row],[Name Surname]],Manpower!$C$4:$C$1048576,Manpower!$H$4:$H$1048576,"")</f>
        <v>Manpower</v>
      </c>
      <c r="J2818" s="21" t="s">
        <v>48</v>
      </c>
      <c r="K2818" s="21" t="s">
        <v>26</v>
      </c>
      <c r="L2818" s="21" t="s">
        <v>49</v>
      </c>
      <c r="M2818" s="21" t="s">
        <v>24</v>
      </c>
      <c r="N2818" s="29">
        <v>10</v>
      </c>
      <c r="O2818" s="21" t="s">
        <v>28</v>
      </c>
      <c r="P2818" s="21" t="s">
        <v>41</v>
      </c>
      <c r="Q2818" s="21" t="s">
        <v>58</v>
      </c>
      <c r="R2818" s="21" t="s">
        <v>407</v>
      </c>
    </row>
    <row r="2819" spans="1:19" ht="14.4" hidden="1">
      <c r="A2819" s="38">
        <f>IF(C2819="","",MAX($A$1:A2814)+1)</f>
        <v>2597</v>
      </c>
      <c r="B2819" s="25" t="s">
        <v>19</v>
      </c>
      <c r="C2819" s="23">
        <v>46105</v>
      </c>
      <c r="D2819" s="28" t="str">
        <f>_xlfn.XLOOKUP(Table134526_79101120212223242526[[#This Row],[Name Surname]],Manpower!$C$4:$C$1048576,Manpower!$B$4:$B$1048576,"")</f>
        <v>Encogroup</v>
      </c>
      <c r="E2819" s="21" t="s">
        <v>207</v>
      </c>
      <c r="F2819" s="12">
        <f>_xlfn.XLOOKUP(Table134526_79101120212223242526[[#This Row],[Name Surname]],Manpower!C:C,Manpower!D:D,)</f>
        <v>141359216</v>
      </c>
      <c r="G2819" s="28" t="str">
        <f>_xlfn.XLOOKUP(Table134526_79101120212223242526[[#This Row],[Name Surname]],Manpower!$C$4:$C$1048576,Manpower!$F$4:$F$1048576,"")</f>
        <v>Electrician</v>
      </c>
      <c r="H2819" s="28" t="str">
        <f>_xlfn.XLOOKUP(Table134526_79101120212223242526[[#This Row],[Name Surname]],Manpower!$C$4:$C$1048576,Manpower!$H$4:$H$1048576,"")</f>
        <v>Manpower</v>
      </c>
      <c r="I2819" s="28" t="str">
        <f>_xlfn.XLOOKUP(Table134526_79101120212223242526[[#This Row],[Name Surname]],Manpower!$C$4:$C$1048576,Manpower!$H$4:$H$1048576,"")</f>
        <v>Manpower</v>
      </c>
      <c r="J2819" s="21" t="s">
        <v>48</v>
      </c>
      <c r="K2819" s="21" t="s">
        <v>26</v>
      </c>
      <c r="L2819" s="21" t="s">
        <v>49</v>
      </c>
      <c r="M2819" s="21" t="s">
        <v>24</v>
      </c>
      <c r="N2819" s="29">
        <v>10</v>
      </c>
      <c r="O2819" s="21" t="s">
        <v>28</v>
      </c>
      <c r="P2819" s="21" t="s">
        <v>41</v>
      </c>
      <c r="Q2819" s="21" t="s">
        <v>58</v>
      </c>
      <c r="R2819" s="21" t="s">
        <v>407</v>
      </c>
    </row>
    <row r="2820" spans="1:19" ht="14.4" hidden="1">
      <c r="A2820" s="38">
        <f>IF(C2820="","",MAX($A$1:A2819)+1)</f>
        <v>2598</v>
      </c>
      <c r="B2820" s="25" t="s">
        <v>19</v>
      </c>
      <c r="C2820" s="23">
        <v>46105</v>
      </c>
      <c r="D2820" s="28" t="str">
        <f>_xlfn.XLOOKUP(Table134526_79101120212223242526[[#This Row],[Name Surname]],Manpower!$C$4:$C$1048576,Manpower!$B$4:$B$1048576,"")</f>
        <v>Encogroup</v>
      </c>
      <c r="E2820" s="21" t="s">
        <v>70</v>
      </c>
      <c r="F2820" s="12">
        <f>_xlfn.XLOOKUP(Table134526_79101120212223242526[[#This Row],[Name Surname]],Manpower!C:C,Manpower!D:D,)</f>
        <v>141365126</v>
      </c>
      <c r="G2820" s="28" t="str">
        <f>_xlfn.XLOOKUP(Table134526_79101120212223242526[[#This Row],[Name Surname]],Manpower!$C$4:$C$1048576,Manpower!$F$4:$F$1048576,"")</f>
        <v>Helper</v>
      </c>
      <c r="H2820" s="28" t="str">
        <f>_xlfn.XLOOKUP(Table134526_79101120212223242526[[#This Row],[Name Surname]],Manpower!$C$4:$C$1048576,Manpower!$H$4:$H$1048576,"")</f>
        <v>Manpower</v>
      </c>
      <c r="I2820" s="28" t="str">
        <f>_xlfn.XLOOKUP(Table134526_79101120212223242526[[#This Row],[Name Surname]],Manpower!$C$4:$C$1048576,Manpower!$H$4:$H$1048576,"")</f>
        <v>Manpower</v>
      </c>
      <c r="J2820" s="21" t="s">
        <v>48</v>
      </c>
      <c r="K2820" s="21" t="s">
        <v>26</v>
      </c>
      <c r="L2820" s="21" t="s">
        <v>49</v>
      </c>
      <c r="M2820" s="21" t="s">
        <v>24</v>
      </c>
      <c r="N2820" s="29">
        <v>10</v>
      </c>
      <c r="O2820" s="21" t="s">
        <v>25</v>
      </c>
      <c r="P2820" s="21" t="s">
        <v>41</v>
      </c>
      <c r="Q2820" s="21" t="s">
        <v>60</v>
      </c>
      <c r="R2820" s="21" t="s">
        <v>407</v>
      </c>
    </row>
    <row r="2821" spans="1:19" ht="14.4" hidden="1">
      <c r="A2821" s="38">
        <f>IF(C2821="","",MAX($A$1:A2820)+1)</f>
        <v>2599</v>
      </c>
      <c r="B2821" s="25" t="s">
        <v>19</v>
      </c>
      <c r="C2821" s="23">
        <v>46105</v>
      </c>
      <c r="D2821" s="28" t="str">
        <f>_xlfn.XLOOKUP(Table134526_79101120212223242526[[#This Row],[Name Surname]],Manpower!$C$4:$C$1048576,Manpower!$B$4:$B$1048576,"")</f>
        <v>Bright Light</v>
      </c>
      <c r="E2821" s="21" t="s">
        <v>71</v>
      </c>
      <c r="F2821" s="12">
        <f>_xlfn.XLOOKUP(Table134526_79101120212223242526[[#This Row],[Name Surname]],Manpower!C:C,Manpower!D:D,)</f>
        <v>81379273</v>
      </c>
      <c r="G2821" s="28" t="str">
        <f>_xlfn.XLOOKUP(Table134526_79101120212223242526[[#This Row],[Name Surname]],Manpower!$C$4:$C$1048576,Manpower!$F$4:$F$1048576,"")</f>
        <v>Crane Operator-100T Sany Telescopic</v>
      </c>
      <c r="H2821" s="28" t="str">
        <f>_xlfn.XLOOKUP(Table134526_79101120212223242526[[#This Row],[Name Surname]],Manpower!$C$4:$C$1048576,Manpower!$H$4:$H$1048576,"")</f>
        <v>Manpower</v>
      </c>
      <c r="I2821" s="28" t="str">
        <f>_xlfn.XLOOKUP(Table134526_79101120212223242526[[#This Row],[Name Surname]],Manpower!$C$4:$C$1048576,Manpower!$H$4:$H$1048576,"")</f>
        <v>Manpower</v>
      </c>
      <c r="J2821" s="21" t="s">
        <v>48</v>
      </c>
      <c r="K2821" s="21" t="s">
        <v>26</v>
      </c>
      <c r="L2821" s="21" t="s">
        <v>49</v>
      </c>
      <c r="M2821" s="21" t="s">
        <v>24</v>
      </c>
      <c r="N2821" s="29">
        <v>10</v>
      </c>
      <c r="O2821" s="21" t="s">
        <v>40</v>
      </c>
      <c r="P2821" s="21" t="s">
        <v>41</v>
      </c>
      <c r="Q2821" s="21" t="s">
        <v>42</v>
      </c>
      <c r="R2821" s="21" t="s">
        <v>407</v>
      </c>
    </row>
    <row r="2822" spans="1:19" ht="14.4" hidden="1">
      <c r="A2822" s="38">
        <f>IF(C2822="","",MAX($A$1:A2821)+1)</f>
        <v>2600</v>
      </c>
      <c r="B2822" s="25" t="s">
        <v>19</v>
      </c>
      <c r="C2822" s="23">
        <v>46105</v>
      </c>
      <c r="D2822" s="28" t="str">
        <f>_xlfn.XLOOKUP(Table134526_79101120212223242526[[#This Row],[Name Surname]],Manpower!$C$4:$C$1048576,Manpower!$B$4:$B$1048576,"")</f>
        <v>Encogroup</v>
      </c>
      <c r="E2822" s="21" t="s">
        <v>73</v>
      </c>
      <c r="F2822" s="12">
        <f>_xlfn.XLOOKUP(Table134526_79101120212223242526[[#This Row],[Name Surname]],Manpower!C:C,Manpower!D:D,)</f>
        <v>135325259</v>
      </c>
      <c r="G2822" s="28" t="str">
        <f>_xlfn.XLOOKUP(Table134526_79101120212223242526[[#This Row],[Name Surname]],Manpower!$C$4:$C$1048576,Manpower!$F$4:$F$1048576,"")</f>
        <v>Permit Receiver</v>
      </c>
      <c r="H2822" s="28" t="str">
        <f>_xlfn.XLOOKUP(Table134526_79101120212223242526[[#This Row],[Name Surname]],Manpower!$C$4:$C$1048576,Manpower!$H$4:$H$1048576,"")</f>
        <v>Manpower</v>
      </c>
      <c r="I2822" s="28" t="str">
        <f>_xlfn.XLOOKUP(Table134526_79101120212223242526[[#This Row],[Name Surname]],Manpower!$C$4:$C$1048576,Manpower!$H$4:$H$1048576,"")</f>
        <v>Manpower</v>
      </c>
      <c r="J2822" s="21" t="s">
        <v>48</v>
      </c>
      <c r="K2822" s="21" t="s">
        <v>26</v>
      </c>
      <c r="L2822" s="21" t="s">
        <v>49</v>
      </c>
      <c r="M2822" s="21" t="s">
        <v>24</v>
      </c>
      <c r="N2822" s="29">
        <v>10</v>
      </c>
      <c r="O2822" s="21" t="s">
        <v>25</v>
      </c>
      <c r="P2822" s="21" t="s">
        <v>41</v>
      </c>
      <c r="Q2822" s="21" t="s">
        <v>60</v>
      </c>
      <c r="R2822" s="21" t="s">
        <v>407</v>
      </c>
    </row>
    <row r="2823" spans="1:19" ht="14.4" hidden="1">
      <c r="A2823" s="38">
        <f>IF(C2823="","",MAX($A$1:A2822)+1)</f>
        <v>2601</v>
      </c>
      <c r="B2823" s="25" t="s">
        <v>19</v>
      </c>
      <c r="C2823" s="23">
        <v>46105</v>
      </c>
      <c r="D2823" s="28" t="str">
        <f>_xlfn.XLOOKUP(Table134526_79101120212223242526[[#This Row],[Name Surname]],Manpower!$C$4:$C$1048576,Manpower!$B$4:$B$1048576,"")</f>
        <v>Encogroup</v>
      </c>
      <c r="E2823" s="21" t="s">
        <v>74</v>
      </c>
      <c r="F2823" s="12">
        <f>_xlfn.XLOOKUP(Table134526_79101120212223242526[[#This Row],[Name Surname]],Manpower!C:C,Manpower!D:D,)</f>
        <v>141365089</v>
      </c>
      <c r="G2823" s="28" t="str">
        <f>_xlfn.XLOOKUP(Table134526_79101120212223242526[[#This Row],[Name Surname]],Manpower!$C$4:$C$1048576,Manpower!$F$4:$F$1048576,"")</f>
        <v>Fitter</v>
      </c>
      <c r="H2823" s="28" t="str">
        <f>_xlfn.XLOOKUP(Table134526_79101120212223242526[[#This Row],[Name Surname]],Manpower!$C$4:$C$1048576,Manpower!$H$4:$H$1048576,"")</f>
        <v>Manpower</v>
      </c>
      <c r="I2823" s="28" t="str">
        <f>_xlfn.XLOOKUP(Table134526_79101120212223242526[[#This Row],[Name Surname]],Manpower!$C$4:$C$1048576,Manpower!$H$4:$H$1048576,"")</f>
        <v>Manpower</v>
      </c>
      <c r="J2823" s="21" t="s">
        <v>48</v>
      </c>
      <c r="K2823" s="21" t="s">
        <v>26</v>
      </c>
      <c r="L2823" s="21" t="s">
        <v>49</v>
      </c>
      <c r="M2823" s="21" t="s">
        <v>24</v>
      </c>
      <c r="N2823" s="29">
        <v>10</v>
      </c>
      <c r="O2823" s="21" t="s">
        <v>25</v>
      </c>
      <c r="P2823" s="21" t="s">
        <v>41</v>
      </c>
      <c r="Q2823" s="21" t="s">
        <v>60</v>
      </c>
      <c r="R2823" s="21" t="s">
        <v>407</v>
      </c>
    </row>
    <row r="2824" spans="1:19" ht="14.4" hidden="1">
      <c r="A2824" s="38">
        <f>IF(C2824="","",MAX($A$1:A2823)+1)</f>
        <v>2602</v>
      </c>
      <c r="B2824" s="25" t="s">
        <v>19</v>
      </c>
      <c r="C2824" s="23">
        <v>46105</v>
      </c>
      <c r="D2824" s="28" t="str">
        <f>_xlfn.XLOOKUP(Table134526_79101120212223242526[[#This Row],[Name Surname]],Manpower!$C$4:$C$1048576,Manpower!$B$4:$B$1048576,"")</f>
        <v>Encogroup</v>
      </c>
      <c r="E2824" s="21" t="s">
        <v>75</v>
      </c>
      <c r="F2824" s="12">
        <f>_xlfn.XLOOKUP(Table134526_79101120212223242526[[#This Row],[Name Surname]],Manpower!C:C,Manpower!D:D,)</f>
        <v>122179604</v>
      </c>
      <c r="G2824" s="28" t="str">
        <f>_xlfn.XLOOKUP(Table134526_79101120212223242526[[#This Row],[Name Surname]],Manpower!$C$4:$C$1048576,Manpower!$F$4:$F$1048576,"")</f>
        <v>Fitter/Erector</v>
      </c>
      <c r="H2824" s="28" t="str">
        <f>_xlfn.XLOOKUP(Table134526_79101120212223242526[[#This Row],[Name Surname]],Manpower!$C$4:$C$1048576,Manpower!$H$4:$H$1048576,"")</f>
        <v>Manpower</v>
      </c>
      <c r="I2824" s="28" t="str">
        <f>_xlfn.XLOOKUP(Table134526_79101120212223242526[[#This Row],[Name Surname]],Manpower!$C$4:$C$1048576,Manpower!$H$4:$H$1048576,"")</f>
        <v>Manpower</v>
      </c>
      <c r="J2824" s="21" t="s">
        <v>48</v>
      </c>
      <c r="K2824" s="21" t="s">
        <v>26</v>
      </c>
      <c r="L2824" s="21" t="s">
        <v>49</v>
      </c>
      <c r="M2824" s="21" t="s">
        <v>24</v>
      </c>
      <c r="N2824" s="29">
        <v>10</v>
      </c>
      <c r="O2824" s="21" t="s">
        <v>25</v>
      </c>
      <c r="P2824" s="21" t="s">
        <v>41</v>
      </c>
      <c r="Q2824" s="21" t="s">
        <v>60</v>
      </c>
      <c r="R2824" s="21" t="s">
        <v>407</v>
      </c>
    </row>
    <row r="2825" spans="1:19" ht="14.4" hidden="1">
      <c r="A2825" s="38">
        <f>IF(C2825="","",MAX($A$1:A2824)+1)</f>
        <v>2603</v>
      </c>
      <c r="B2825" s="25" t="s">
        <v>19</v>
      </c>
      <c r="C2825" s="23">
        <v>46105</v>
      </c>
      <c r="D2825" s="28" t="str">
        <f>_xlfn.XLOOKUP(Table134526_79101120212223242526[[#This Row],[Name Surname]],Manpower!$C$4:$C$1048576,Manpower!$B$4:$B$1048576,"")</f>
        <v>Encogroup</v>
      </c>
      <c r="E2825" s="21" t="s">
        <v>78</v>
      </c>
      <c r="F2825" s="12">
        <f>_xlfn.XLOOKUP(Table134526_79101120212223242526[[#This Row],[Name Surname]],Manpower!C:C,Manpower!D:D,)</f>
        <v>117255966</v>
      </c>
      <c r="G2825" s="28" t="str">
        <f>_xlfn.XLOOKUP(Table134526_79101120212223242526[[#This Row],[Name Surname]],Manpower!$C$4:$C$1048576,Manpower!$F$4:$F$1048576,"")</f>
        <v>Mechanical Supervisor</v>
      </c>
      <c r="H2825" s="28" t="str">
        <f>_xlfn.XLOOKUP(Table134526_79101120212223242526[[#This Row],[Name Surname]],Manpower!$C$4:$C$1048576,Manpower!$H$4:$H$1048576,"")</f>
        <v>Manpower</v>
      </c>
      <c r="I2825" s="28" t="str">
        <f>_xlfn.XLOOKUP(Table134526_79101120212223242526[[#This Row],[Name Surname]],Manpower!$C$4:$C$1048576,Manpower!$H$4:$H$1048576,"")</f>
        <v>Manpower</v>
      </c>
      <c r="J2825" s="21" t="s">
        <v>48</v>
      </c>
      <c r="K2825" s="21" t="s">
        <v>26</v>
      </c>
      <c r="L2825" s="21" t="s">
        <v>49</v>
      </c>
      <c r="M2825" s="21" t="s">
        <v>24</v>
      </c>
      <c r="N2825" s="29">
        <v>10</v>
      </c>
      <c r="O2825" s="21" t="s">
        <v>25</v>
      </c>
      <c r="P2825" s="21" t="s">
        <v>41</v>
      </c>
      <c r="Q2825" s="21" t="s">
        <v>60</v>
      </c>
      <c r="R2825" s="21" t="s">
        <v>407</v>
      </c>
    </row>
    <row r="2826" spans="1:19" s="45" customFormat="1" ht="14.4" hidden="1">
      <c r="A2826" s="53">
        <f>IF(C2826="","",MAX($A$1:A2825)+1)</f>
        <v>2604</v>
      </c>
      <c r="B2826" s="25" t="s">
        <v>141</v>
      </c>
      <c r="C2826" s="41">
        <v>46105</v>
      </c>
      <c r="D2826" s="48" t="str">
        <f>_xlfn.XLOOKUP(Table134526_79101120212223242526[[#This Row],[Name Surname]],Manpower!$C$4:$C$1048576,Manpower!$B$4:$B$1048576,"")</f>
        <v>Encogroup</v>
      </c>
      <c r="E2826" s="43" t="s">
        <v>377</v>
      </c>
      <c r="F2826" s="12">
        <f>_xlfn.XLOOKUP(Table134526_79101120212223242526[[#This Row],[Name Surname]],Manpower!C:C,Manpower!D:D,)</f>
        <v>141322485</v>
      </c>
      <c r="G2826" s="48" t="str">
        <f>_xlfn.XLOOKUP(Table134526_79101120212223242526[[#This Row],[Name Surname]],Manpower!$C$4:$C$1048576,Manpower!$F$4:$F$1048576,"")</f>
        <v>Electrical Engineer</v>
      </c>
      <c r="H2826" s="48" t="str">
        <f>_xlfn.XLOOKUP(Table134526_79101120212223242526[[#This Row],[Name Surname]],Manpower!$C$4:$C$1048576,Manpower!$H$4:$H$1048576,"")</f>
        <v>Manpower</v>
      </c>
      <c r="I2826" s="48" t="str">
        <f>_xlfn.XLOOKUP(Table134526_79101120212223242526[[#This Row],[Name Surname]],Manpower!$C$4:$C$1048576,Manpower!$H$4:$H$1048576,"")</f>
        <v>Manpower</v>
      </c>
      <c r="J2826" s="43" t="s">
        <v>378</v>
      </c>
      <c r="K2826" s="43" t="s">
        <v>26</v>
      </c>
      <c r="L2826" s="43" t="s">
        <v>379</v>
      </c>
      <c r="M2826" s="43" t="s">
        <v>24</v>
      </c>
      <c r="N2826" s="44">
        <v>10</v>
      </c>
      <c r="O2826" s="43" t="s">
        <v>28</v>
      </c>
      <c r="P2826" s="43" t="s">
        <v>28</v>
      </c>
      <c r="Q2826" s="43" t="s">
        <v>380</v>
      </c>
      <c r="R2826" s="43" t="s">
        <v>408</v>
      </c>
      <c r="S2826" s="43"/>
    </row>
    <row r="2827" spans="1:19" ht="14.4" hidden="1">
      <c r="A2827" s="38">
        <f>IF(C2827="","",MAX($A$1:A2825)+1)</f>
        <v>2604</v>
      </c>
      <c r="B2827" s="37" t="s">
        <v>141</v>
      </c>
      <c r="C2827" s="23">
        <v>46105</v>
      </c>
      <c r="D2827" s="28" t="str">
        <f>_xlfn.XLOOKUP(Table134526_79101120212223242526[[#This Row],[Name Surname]],Manpower!$C$4:$C$1048576,Manpower!$B$4:$B$1048576,"")</f>
        <v>Encogroup</v>
      </c>
      <c r="E2827" s="21" t="s">
        <v>382</v>
      </c>
      <c r="F2827" s="12">
        <f>_xlfn.XLOOKUP(Table134526_79101120212223242526[[#This Row],[Name Surname]],Manpower!C:C,Manpower!D:D,)</f>
        <v>127414586</v>
      </c>
      <c r="G2827" s="28" t="str">
        <f>_xlfn.XLOOKUP(Table134526_79101120212223242526[[#This Row],[Name Surname]],Manpower!$C$4:$C$1048576,Manpower!$F$4:$F$1048576,"")</f>
        <v>HSE Officer</v>
      </c>
      <c r="H2827" s="28" t="str">
        <f>_xlfn.XLOOKUP(Table134526_79101120212223242526[[#This Row],[Name Surname]],Manpower!$C$4:$C$1048576,Manpower!$H$4:$H$1048576,"")</f>
        <v>Manpower</v>
      </c>
      <c r="I2827" s="28" t="str">
        <f>_xlfn.XLOOKUP(Table134526_79101120212223242526[[#This Row],[Name Surname]],Manpower!$C$4:$C$1048576,Manpower!$H$4:$H$1048576,"")</f>
        <v>Manpower</v>
      </c>
      <c r="J2827" s="21" t="s">
        <v>378</v>
      </c>
      <c r="K2827" s="21" t="s">
        <v>26</v>
      </c>
      <c r="L2827" s="21" t="s">
        <v>379</v>
      </c>
      <c r="M2827" s="21" t="s">
        <v>24</v>
      </c>
      <c r="N2827" s="29">
        <v>10</v>
      </c>
      <c r="O2827" s="21" t="s">
        <v>28</v>
      </c>
      <c r="P2827" s="21" t="s">
        <v>28</v>
      </c>
      <c r="Q2827" s="21" t="s">
        <v>380</v>
      </c>
      <c r="R2827" s="21" t="s">
        <v>408</v>
      </c>
    </row>
    <row r="2828" spans="1:19" s="45" customFormat="1" ht="14.4" hidden="1">
      <c r="A2828" s="53">
        <f>IF(C2828="","",MAX($A$1:A2825)+1)</f>
        <v>2604</v>
      </c>
      <c r="B2828" s="25" t="s">
        <v>141</v>
      </c>
      <c r="C2828" s="41">
        <v>46105</v>
      </c>
      <c r="D2828" s="48" t="str">
        <f>_xlfn.XLOOKUP(Table134526_79101120212223242526[[#This Row],[Name Surname]],Manpower!$C$4:$C$1048576,Manpower!$B$4:$B$1048576,"")</f>
        <v>Encogroup</v>
      </c>
      <c r="E2828" s="43" t="s">
        <v>383</v>
      </c>
      <c r="F2828" s="12">
        <f>_xlfn.XLOOKUP(Table134526_79101120212223242526[[#This Row],[Name Surname]],Manpower!C:C,Manpower!D:D,)</f>
        <v>71437827</v>
      </c>
      <c r="G2828" s="48" t="str">
        <f>_xlfn.XLOOKUP(Table134526_79101120212223242526[[#This Row],[Name Surname]],Manpower!$C$4:$C$1048576,Manpower!$F$4:$F$1048576,"")</f>
        <v>Electrical  Supervisor</v>
      </c>
      <c r="H2828" s="48" t="str">
        <f>_xlfn.XLOOKUP(Table134526_79101120212223242526[[#This Row],[Name Surname]],Manpower!$C$4:$C$1048576,Manpower!$H$4:$H$1048576,"")</f>
        <v>Manpower</v>
      </c>
      <c r="I2828" s="48" t="str">
        <f>_xlfn.XLOOKUP(Table134526_79101120212223242526[[#This Row],[Name Surname]],Manpower!$C$4:$C$1048576,Manpower!$H$4:$H$1048576,"")</f>
        <v>Manpower</v>
      </c>
      <c r="J2828" s="43" t="s">
        <v>378</v>
      </c>
      <c r="K2828" s="43" t="s">
        <v>26</v>
      </c>
      <c r="L2828" s="43" t="s">
        <v>379</v>
      </c>
      <c r="M2828" s="43" t="s">
        <v>24</v>
      </c>
      <c r="N2828" s="44">
        <v>10</v>
      </c>
      <c r="O2828" s="43" t="s">
        <v>28</v>
      </c>
      <c r="P2828" s="43" t="s">
        <v>28</v>
      </c>
      <c r="Q2828" s="43" t="s">
        <v>380</v>
      </c>
      <c r="R2828" s="43" t="s">
        <v>408</v>
      </c>
      <c r="S2828" s="43" t="s">
        <v>230</v>
      </c>
    </row>
    <row r="2829" spans="1:19" s="45" customFormat="1" ht="14.4" hidden="1">
      <c r="A2829" s="53">
        <f>IF(C2829="","",MAX($A$1:A2828)+1)</f>
        <v>2605</v>
      </c>
      <c r="B2829" s="25" t="s">
        <v>141</v>
      </c>
      <c r="C2829" s="41">
        <v>46105</v>
      </c>
      <c r="D2829" s="48" t="str">
        <f>_xlfn.XLOOKUP(Table134526_79101120212223242526[[#This Row],[Name Surname]],Manpower!$C$4:$C$1048576,Manpower!$B$4:$B$1048576,"")</f>
        <v>Encogroup</v>
      </c>
      <c r="E2829" s="43" t="s">
        <v>218</v>
      </c>
      <c r="F2829" s="12">
        <f>_xlfn.XLOOKUP(Table134526_79101120212223242526[[#This Row],[Name Surname]],Manpower!C:C,Manpower!D:D,)</f>
        <v>116853914</v>
      </c>
      <c r="G2829" s="48" t="str">
        <f>_xlfn.XLOOKUP(Table134526_79101120212223242526[[#This Row],[Name Surname]],Manpower!$C$4:$C$1048576,Manpower!$F$4:$F$1048576,"")</f>
        <v>Electrical Supervisor</v>
      </c>
      <c r="H2829" s="48" t="str">
        <f>_xlfn.XLOOKUP(Table134526_79101120212223242526[[#This Row],[Name Surname]],Manpower!$C$4:$C$1048576,Manpower!$H$4:$H$1048576,"")</f>
        <v>Manpower</v>
      </c>
      <c r="I2829" s="48" t="str">
        <f>_xlfn.XLOOKUP(Table134526_79101120212223242526[[#This Row],[Name Surname]],Manpower!$C$4:$C$1048576,Manpower!$H$4:$H$1048576,"")</f>
        <v>Manpower</v>
      </c>
      <c r="J2829" s="43" t="s">
        <v>378</v>
      </c>
      <c r="K2829" s="43" t="s">
        <v>26</v>
      </c>
      <c r="L2829" s="43" t="s">
        <v>379</v>
      </c>
      <c r="M2829" s="43" t="s">
        <v>24</v>
      </c>
      <c r="N2829" s="44">
        <v>10</v>
      </c>
      <c r="O2829" s="43" t="s">
        <v>28</v>
      </c>
      <c r="P2829" s="43" t="s">
        <v>28</v>
      </c>
      <c r="Q2829" s="43" t="s">
        <v>380</v>
      </c>
      <c r="R2829" s="43" t="s">
        <v>408</v>
      </c>
      <c r="S2829" s="43"/>
    </row>
    <row r="2830" spans="1:19" s="45" customFormat="1" ht="14.4" hidden="1">
      <c r="A2830" s="53">
        <f>IF(C2830="","",MAX($A$1:A2825)+1)</f>
        <v>2604</v>
      </c>
      <c r="B2830" s="25" t="s">
        <v>141</v>
      </c>
      <c r="C2830" s="41">
        <v>46105</v>
      </c>
      <c r="D2830" s="48" t="str">
        <f>_xlfn.XLOOKUP(Table134526_79101120212223242526[[#This Row],[Name Surname]],Manpower!$C$4:$C$1048576,Manpower!$B$4:$B$1048576,"")</f>
        <v>Encogroup</v>
      </c>
      <c r="E2830" s="43" t="s">
        <v>384</v>
      </c>
      <c r="F2830" s="12">
        <f>_xlfn.XLOOKUP(Table134526_79101120212223242526[[#This Row],[Name Surname]],Manpower!C:C,Manpower!D:D,)</f>
        <v>141307968</v>
      </c>
      <c r="G2830" s="48" t="str">
        <f>_xlfn.XLOOKUP(Table134526_79101120212223242526[[#This Row],[Name Surname]],Manpower!$C$4:$C$1048576,Manpower!$F$4:$F$1048576,"")</f>
        <v>Mechanical Supervisor</v>
      </c>
      <c r="H2830" s="48" t="str">
        <f>_xlfn.XLOOKUP(Table134526_79101120212223242526[[#This Row],[Name Surname]],Manpower!$C$4:$C$1048576,Manpower!$H$4:$H$1048576,"")</f>
        <v>Manpower</v>
      </c>
      <c r="I2830" s="48" t="str">
        <f>_xlfn.XLOOKUP(Table134526_79101120212223242526[[#This Row],[Name Surname]],Manpower!$C$4:$C$1048576,Manpower!$H$4:$H$1048576,"")</f>
        <v>Manpower</v>
      </c>
      <c r="J2830" s="43" t="s">
        <v>378</v>
      </c>
      <c r="K2830" s="43" t="s">
        <v>26</v>
      </c>
      <c r="L2830" s="43" t="s">
        <v>379</v>
      </c>
      <c r="M2830" s="43" t="s">
        <v>24</v>
      </c>
      <c r="N2830" s="44">
        <v>10</v>
      </c>
      <c r="O2830" s="43" t="s">
        <v>28</v>
      </c>
      <c r="P2830" s="43" t="s">
        <v>28</v>
      </c>
      <c r="Q2830" s="43" t="s">
        <v>380</v>
      </c>
      <c r="R2830" s="43" t="s">
        <v>408</v>
      </c>
      <c r="S2830" s="43"/>
    </row>
    <row r="2831" spans="1:19" s="45" customFormat="1" ht="14.4" hidden="1">
      <c r="A2831" s="53">
        <f>IF(C2831="","",MAX($A$1:A2825)+1)</f>
        <v>2604</v>
      </c>
      <c r="B2831" s="25" t="s">
        <v>141</v>
      </c>
      <c r="C2831" s="41">
        <v>46105</v>
      </c>
      <c r="D2831" s="48" t="str">
        <f>_xlfn.XLOOKUP(Table134526_79101120212223242526[[#This Row],[Name Surname]],Manpower!$C$4:$C$1048576,Manpower!$B$4:$B$1048576,"")</f>
        <v>Encogroup</v>
      </c>
      <c r="E2831" s="43" t="s">
        <v>385</v>
      </c>
      <c r="F2831" s="12">
        <f>_xlfn.XLOOKUP(Table134526_79101120212223242526[[#This Row],[Name Surname]],Manpower!C:C,Manpower!D:D,)</f>
        <v>141307921</v>
      </c>
      <c r="G2831" s="48" t="str">
        <f>_xlfn.XLOOKUP(Table134526_79101120212223242526[[#This Row],[Name Surname]],Manpower!$C$4:$C$1048576,Manpower!$F$4:$F$1048576,"")</f>
        <v>Mechanical Assistant</v>
      </c>
      <c r="H2831" s="48" t="str">
        <f>_xlfn.XLOOKUP(Table134526_79101120212223242526[[#This Row],[Name Surname]],Manpower!$C$4:$C$1048576,Manpower!$H$4:$H$1048576,"")</f>
        <v>Manpower</v>
      </c>
      <c r="I2831" s="48" t="str">
        <f>_xlfn.XLOOKUP(Table134526_79101120212223242526[[#This Row],[Name Surname]],Manpower!$C$4:$C$1048576,Manpower!$H$4:$H$1048576,"")</f>
        <v>Manpower</v>
      </c>
      <c r="J2831" s="43" t="s">
        <v>378</v>
      </c>
      <c r="K2831" s="43" t="s">
        <v>26</v>
      </c>
      <c r="L2831" s="43" t="s">
        <v>379</v>
      </c>
      <c r="M2831" s="43" t="s">
        <v>24</v>
      </c>
      <c r="N2831" s="44">
        <v>10</v>
      </c>
      <c r="O2831" s="43" t="s">
        <v>28</v>
      </c>
      <c r="P2831" s="43" t="s">
        <v>28</v>
      </c>
      <c r="Q2831" s="43" t="s">
        <v>380</v>
      </c>
      <c r="R2831" s="43" t="s">
        <v>408</v>
      </c>
      <c r="S2831" s="43"/>
    </row>
    <row r="2832" spans="1:19" s="45" customFormat="1" ht="14.4" hidden="1">
      <c r="A2832" s="53">
        <f>IF(C2832="","",MAX($A$1:A2831)+1)</f>
        <v>2606</v>
      </c>
      <c r="B2832" s="25" t="s">
        <v>141</v>
      </c>
      <c r="C2832" s="41">
        <v>46105</v>
      </c>
      <c r="D2832" s="48" t="str">
        <f>_xlfn.XLOOKUP(Table134526_79101120212223242526[[#This Row],[Name Surname]],Manpower!$C$4:$C$1048576,Manpower!$B$4:$B$1048576,"")</f>
        <v>Encogroup</v>
      </c>
      <c r="E2832" s="43" t="s">
        <v>61</v>
      </c>
      <c r="F2832" s="12">
        <f>_xlfn.XLOOKUP(Table134526_79101120212223242526[[#This Row],[Name Surname]],Manpower!C:C,Manpower!D:D,)</f>
        <v>141169047</v>
      </c>
      <c r="G2832" s="48" t="str">
        <f>_xlfn.XLOOKUP(Table134526_79101120212223242526[[#This Row],[Name Surname]],Manpower!$C$4:$C$1048576,Manpower!$F$4:$F$1048576,"")</f>
        <v>Welder</v>
      </c>
      <c r="H2832" s="48" t="str">
        <f>_xlfn.XLOOKUP(Table134526_79101120212223242526[[#This Row],[Name Surname]],Manpower!$C$4:$C$1048576,Manpower!$H$4:$H$1048576,"")</f>
        <v>Manpower</v>
      </c>
      <c r="I2832" s="48" t="str">
        <f>_xlfn.XLOOKUP(Table134526_79101120212223242526[[#This Row],[Name Surname]],Manpower!$C$4:$C$1048576,Manpower!$H$4:$H$1048576,"")</f>
        <v>Manpower</v>
      </c>
      <c r="J2832" s="43" t="s">
        <v>378</v>
      </c>
      <c r="K2832" s="43" t="s">
        <v>26</v>
      </c>
      <c r="L2832" s="43" t="s">
        <v>379</v>
      </c>
      <c r="M2832" s="43" t="s">
        <v>24</v>
      </c>
      <c r="N2832" s="44">
        <v>10</v>
      </c>
      <c r="O2832" s="43" t="s">
        <v>28</v>
      </c>
      <c r="P2832" s="43" t="s">
        <v>28</v>
      </c>
      <c r="Q2832" s="43" t="s">
        <v>380</v>
      </c>
      <c r="R2832" s="43" t="s">
        <v>408</v>
      </c>
      <c r="S2832" s="43"/>
    </row>
    <row r="2833" spans="1:19" ht="14.4">
      <c r="A2833" s="38">
        <f>IF(C2833="","",MAX($A$1:A2825)+1)</f>
        <v>2604</v>
      </c>
      <c r="B2833" s="36" t="s">
        <v>141</v>
      </c>
      <c r="C2833" s="23">
        <v>46105</v>
      </c>
      <c r="D2833" s="28" t="str">
        <f>_xlfn.XLOOKUP(Table134526_79101120212223242526[[#This Row],[Name Surname]],Manpower!$C$4:$C$1048576,Manpower!$B$4:$B$1048576,"")</f>
        <v>Encogroup</v>
      </c>
      <c r="E2833" s="21" t="s">
        <v>80</v>
      </c>
      <c r="F2833" s="12" t="e">
        <f>_xlfn.XLOOKUP(Table134526_79101120212223242526[[#This Row],[Name Surname]],Manpower!C:C,Manpower!D:D,)</f>
        <v>#N/A</v>
      </c>
      <c r="G2833" s="28" t="str">
        <f>_xlfn.XLOOKUP(Table134526_79101120212223242526[[#This Row],[Name Surname]],Manpower!$C$4:$C$1048576,Manpower!$F$4:$F$1048576,"")</f>
        <v>22M-Manlift</v>
      </c>
      <c r="H2833" s="28" t="str">
        <f>_xlfn.XLOOKUP(Table134526_79101120212223242526[[#This Row],[Name Surname]],Manpower!$C$4:$C$1048576,Manpower!$H$4:$H$1048576,"")</f>
        <v>Equipment</v>
      </c>
      <c r="I2833" s="28" t="str">
        <f>_xlfn.XLOOKUP(Table134526_79101120212223242526[[#This Row],[Name Surname]],Manpower!$C$4:$C$1048576,Manpower!$H$4:$H$1048576,"")</f>
        <v>Equipment</v>
      </c>
      <c r="J2833" s="21" t="s">
        <v>35</v>
      </c>
      <c r="K2833" s="21" t="s">
        <v>279</v>
      </c>
      <c r="L2833" s="21" t="s">
        <v>82</v>
      </c>
      <c r="M2833" s="21" t="s">
        <v>24</v>
      </c>
      <c r="N2833" s="29">
        <v>10</v>
      </c>
      <c r="O2833" s="21" t="s">
        <v>25</v>
      </c>
      <c r="P2833" s="21" t="s">
        <v>41</v>
      </c>
      <c r="Q2833" s="21" t="s">
        <v>77</v>
      </c>
      <c r="R2833" s="21" t="s">
        <v>386</v>
      </c>
    </row>
    <row r="2834" spans="1:19" ht="14.4">
      <c r="A2834" s="38">
        <f>IF(C2834="","",MAX($A$1:A2833)+1)</f>
        <v>2607</v>
      </c>
      <c r="B2834" s="36" t="s">
        <v>141</v>
      </c>
      <c r="C2834" s="23">
        <v>46105</v>
      </c>
      <c r="D2834" s="28" t="str">
        <f>_xlfn.XLOOKUP(Table134526_79101120212223242526[[#This Row],[Name Surname]],Manpower!$C$4:$C$1048576,Manpower!$B$4:$B$1048576,"")</f>
        <v>Encogroup</v>
      </c>
      <c r="E2834" s="21" t="s">
        <v>84</v>
      </c>
      <c r="F2834" s="12" t="e">
        <f>_xlfn.XLOOKUP(Table134526_79101120212223242526[[#This Row],[Name Surname]],Manpower!C:C,Manpower!D:D,)</f>
        <v>#N/A</v>
      </c>
      <c r="G2834" s="28" t="str">
        <f>_xlfn.XLOOKUP(Table134526_79101120212223242526[[#This Row],[Name Surname]],Manpower!$C$4:$C$1048576,Manpower!$F$4:$F$1048576,"")</f>
        <v>22M-Manlift</v>
      </c>
      <c r="H2834" s="28" t="str">
        <f>_xlfn.XLOOKUP(Table134526_79101120212223242526[[#This Row],[Name Surname]],Manpower!$C$4:$C$1048576,Manpower!$H$4:$H$1048576,"")</f>
        <v>Equipment</v>
      </c>
      <c r="I2834" s="28" t="str">
        <f>_xlfn.XLOOKUP(Table134526_79101120212223242526[[#This Row],[Name Surname]],Manpower!$C$4:$C$1048576,Manpower!$H$4:$H$1048576,"")</f>
        <v>Equipment</v>
      </c>
      <c r="J2834" s="21" t="s">
        <v>35</v>
      </c>
      <c r="K2834" s="21" t="s">
        <v>279</v>
      </c>
      <c r="L2834" s="21" t="s">
        <v>82</v>
      </c>
      <c r="M2834" s="21" t="s">
        <v>24</v>
      </c>
      <c r="N2834" s="29">
        <v>10</v>
      </c>
      <c r="O2834" s="21" t="s">
        <v>25</v>
      </c>
      <c r="P2834" s="21" t="s">
        <v>41</v>
      </c>
      <c r="Q2834" s="21" t="s">
        <v>77</v>
      </c>
      <c r="R2834" s="21" t="s">
        <v>387</v>
      </c>
    </row>
    <row r="2835" spans="1:19" ht="14.4">
      <c r="A2835" s="38">
        <f>IF(C2835="","",MAX($A$1:A2834)+1)</f>
        <v>2608</v>
      </c>
      <c r="B2835" s="36" t="s">
        <v>141</v>
      </c>
      <c r="C2835" s="23">
        <v>46105</v>
      </c>
      <c r="D2835" s="28" t="str">
        <f>_xlfn.XLOOKUP(Table134526_79101120212223242526[[#This Row],[Name Surname]],Manpower!$C$4:$C$1048576,Manpower!$B$4:$B$1048576,"")</f>
        <v>Encogroup</v>
      </c>
      <c r="E2835" s="21" t="s">
        <v>341</v>
      </c>
      <c r="F2835" s="12" t="e">
        <f>_xlfn.XLOOKUP(Table134526_79101120212223242526[[#This Row],[Name Surname]],Manpower!C:C,Manpower!D:D,)</f>
        <v>#N/A</v>
      </c>
      <c r="G2835" s="28" t="str">
        <f>_xlfn.XLOOKUP(Table134526_79101120212223242526[[#This Row],[Name Surname]],Manpower!$C$4:$C$1048576,Manpower!$F$4:$F$1048576,"")</f>
        <v>SCISSOR LIFT</v>
      </c>
      <c r="H2835" s="28" t="str">
        <f>_xlfn.XLOOKUP(Table134526_79101120212223242526[[#This Row],[Name Surname]],Manpower!$C$4:$C$1048576,Manpower!$H$4:$H$1048576,"")</f>
        <v>Equipment</v>
      </c>
      <c r="I2835" s="28" t="str">
        <f>_xlfn.XLOOKUP(Table134526_79101120212223242526[[#This Row],[Name Surname]],Manpower!$C$4:$C$1048576,Manpower!$H$4:$H$1048576,"")</f>
        <v>Equipment</v>
      </c>
      <c r="J2835" s="21" t="s">
        <v>35</v>
      </c>
      <c r="K2835" s="21" t="s">
        <v>279</v>
      </c>
      <c r="L2835" s="21" t="s">
        <v>82</v>
      </c>
      <c r="M2835" s="21" t="s">
        <v>55</v>
      </c>
      <c r="N2835" s="29">
        <v>10</v>
      </c>
      <c r="R2835" s="21" t="s">
        <v>56</v>
      </c>
    </row>
    <row r="2836" spans="1:19" ht="14.4">
      <c r="A2836" s="38">
        <f>IF(C2836="","",MAX($A$1:A2835)+1)</f>
        <v>2609</v>
      </c>
      <c r="B2836" s="36" t="s">
        <v>141</v>
      </c>
      <c r="C2836" s="23">
        <v>46105</v>
      </c>
      <c r="D2836" s="28" t="str">
        <f>_xlfn.XLOOKUP(Table134526_79101120212223242526[[#This Row],[Name Surname]],Manpower!$C$4:$C$1048576,Manpower!$B$4:$B$1048576,"")</f>
        <v>Nass Group</v>
      </c>
      <c r="E2836" s="21" t="s">
        <v>86</v>
      </c>
      <c r="F2836" s="12" t="e">
        <f>_xlfn.XLOOKUP(Table134526_79101120212223242526[[#This Row],[Name Surname]],Manpower!C:C,Manpower!D:D,)</f>
        <v>#N/A</v>
      </c>
      <c r="G2836" s="28" t="str">
        <f>_xlfn.XLOOKUP(Table134526_79101120212223242526[[#This Row],[Name Surname]],Manpower!$C$4:$C$1048576,Manpower!$F$4:$F$1048576,"")</f>
        <v>70T-Telescopic crane</v>
      </c>
      <c r="H2836" s="28" t="str">
        <f>_xlfn.XLOOKUP(Table134526_79101120212223242526[[#This Row],[Name Surname]],Manpower!$C$4:$C$1048576,Manpower!$H$4:$H$1048576,"")</f>
        <v>Equipment</v>
      </c>
      <c r="I2836" s="28" t="str">
        <f>_xlfn.XLOOKUP(Table134526_79101120212223242526[[#This Row],[Name Surname]],Manpower!$C$4:$C$1048576,Manpower!$H$4:$H$1048576,"")</f>
        <v>Equipment</v>
      </c>
      <c r="J2836" s="21" t="s">
        <v>35</v>
      </c>
      <c r="K2836" s="21" t="s">
        <v>409</v>
      </c>
      <c r="L2836" s="21" t="s">
        <v>82</v>
      </c>
      <c r="M2836" s="21" t="s">
        <v>24</v>
      </c>
      <c r="N2836" s="29">
        <v>10</v>
      </c>
      <c r="O2836" s="21" t="s">
        <v>40</v>
      </c>
      <c r="P2836" s="21" t="s">
        <v>41</v>
      </c>
      <c r="Q2836" s="21" t="s">
        <v>42</v>
      </c>
      <c r="R2836" s="21" t="s">
        <v>26</v>
      </c>
    </row>
    <row r="2837" spans="1:19" s="45" customFormat="1" ht="14.4" hidden="1">
      <c r="A2837" s="53">
        <f>IF(C2837="","",MAX($A$1:A2836)+1)</f>
        <v>2610</v>
      </c>
      <c r="B2837" s="25" t="s">
        <v>141</v>
      </c>
      <c r="C2837" s="41">
        <v>46105</v>
      </c>
      <c r="D2837" s="48" t="str">
        <f>_xlfn.XLOOKUP(Table134526_79101120212223242526[[#This Row],[Name Surname]],Manpower!$C$4:$C$1048576,Manpower!$B$4:$B$1048576,"")</f>
        <v>SARENS NASS</v>
      </c>
      <c r="E2837" s="43" t="s">
        <v>103</v>
      </c>
      <c r="F2837" s="12">
        <f>_xlfn.XLOOKUP(Table134526_79101120212223242526[[#This Row],[Name Surname]],Manpower!C:C,Manpower!D:D,)</f>
        <v>79502392</v>
      </c>
      <c r="G2837" s="48" t="str">
        <f>_xlfn.XLOOKUP(Table134526_79101120212223242526[[#This Row],[Name Surname]],Manpower!$C$4:$C$1048576,Manpower!$F$4:$F$1048576,"")</f>
        <v>Crane Operator- 70T Liebherr Telescopic Crane-01</v>
      </c>
      <c r="H2837" s="48" t="str">
        <f>_xlfn.XLOOKUP(Table134526_79101120212223242526[[#This Row],[Name Surname]],Manpower!$C$4:$C$1048576,Manpower!$H$4:$H$1048576,"")</f>
        <v>Manpower</v>
      </c>
      <c r="I2837" s="48" t="str">
        <f>_xlfn.XLOOKUP(Table134526_79101120212223242526[[#This Row],[Name Surname]],Manpower!$C$4:$C$1048576,Manpower!$H$4:$H$1048576,"")</f>
        <v>Manpower</v>
      </c>
      <c r="J2837" s="43" t="s">
        <v>35</v>
      </c>
      <c r="K2837" s="43" t="s">
        <v>409</v>
      </c>
      <c r="L2837" s="43" t="s">
        <v>82</v>
      </c>
      <c r="M2837" s="43" t="s">
        <v>24</v>
      </c>
      <c r="N2837" s="44">
        <v>10</v>
      </c>
      <c r="O2837" s="43" t="s">
        <v>40</v>
      </c>
      <c r="P2837" s="43" t="s">
        <v>41</v>
      </c>
      <c r="Q2837" s="43" t="s">
        <v>42</v>
      </c>
      <c r="R2837" s="43" t="s">
        <v>410</v>
      </c>
      <c r="S2837" s="43"/>
    </row>
    <row r="2838" spans="1:19" ht="14.4">
      <c r="A2838" s="38">
        <f>IF(C2838="","",MAX($A$1:A2837)+1)</f>
        <v>2611</v>
      </c>
      <c r="B2838" s="36" t="s">
        <v>141</v>
      </c>
      <c r="C2838" s="23">
        <v>46105</v>
      </c>
      <c r="D2838" s="28" t="str">
        <f>_xlfn.XLOOKUP(Table134526_79101120212223242526[[#This Row],[Name Surname]],Manpower!$C$4:$C$1048576,Manpower!$B$4:$B$1048576,"")</f>
        <v>Nass Group</v>
      </c>
      <c r="E2838" s="21" t="s">
        <v>146</v>
      </c>
      <c r="F2838" s="12" t="e">
        <f>_xlfn.XLOOKUP(Table134526_79101120212223242526[[#This Row],[Name Surname]],Manpower!C:C,Manpower!D:D,)</f>
        <v>#N/A</v>
      </c>
      <c r="G2838" s="28" t="str">
        <f>_xlfn.XLOOKUP(Table134526_79101120212223242526[[#This Row],[Name Surname]],Manpower!$C$4:$C$1048576,Manpower!$F$4:$F$1048576,"")</f>
        <v>130T Crawler Crane</v>
      </c>
      <c r="H2838" s="28" t="str">
        <f>_xlfn.XLOOKUP(Table134526_79101120212223242526[[#This Row],[Name Surname]],Manpower!$C$4:$C$1048576,Manpower!$H$4:$H$1048576,"")</f>
        <v>Equipment</v>
      </c>
      <c r="I2838" s="28" t="str">
        <f>_xlfn.XLOOKUP(Table134526_79101120212223242526[[#This Row],[Name Surname]],Manpower!$C$4:$C$1048576,Manpower!$H$4:$H$1048576,"")</f>
        <v>Equipment</v>
      </c>
      <c r="J2838" s="21" t="s">
        <v>35</v>
      </c>
      <c r="K2838" s="21" t="s">
        <v>409</v>
      </c>
      <c r="L2838" s="21" t="s">
        <v>82</v>
      </c>
      <c r="M2838" s="21" t="s">
        <v>24</v>
      </c>
      <c r="N2838" s="29">
        <v>10</v>
      </c>
      <c r="O2838" s="21" t="s">
        <v>40</v>
      </c>
      <c r="P2838" s="21" t="s">
        <v>41</v>
      </c>
      <c r="Q2838" s="21" t="s">
        <v>42</v>
      </c>
      <c r="R2838" s="21" t="s">
        <v>400</v>
      </c>
    </row>
    <row r="2839" spans="1:19" s="45" customFormat="1" ht="14.4" hidden="1">
      <c r="A2839" s="53">
        <f>IF(C2839="","",MAX($A$1:A2838)+1)</f>
        <v>2612</v>
      </c>
      <c r="B2839" s="25" t="s">
        <v>141</v>
      </c>
      <c r="C2839" s="41">
        <v>46105</v>
      </c>
      <c r="D2839" s="48" t="str">
        <f>_xlfn.XLOOKUP(Table134526_79101120212223242526[[#This Row],[Name Surname]],Manpower!$C$4:$C$1048576,Manpower!$B$4:$B$1048576,"")</f>
        <v>SARENS NASS</v>
      </c>
      <c r="E2839" s="43" t="s">
        <v>214</v>
      </c>
      <c r="F2839" s="12">
        <f>_xlfn.XLOOKUP(Table134526_79101120212223242526[[#This Row],[Name Surname]],Manpower!C:C,Manpower!D:D,)</f>
        <v>109957631</v>
      </c>
      <c r="G2839" s="48" t="str">
        <f>_xlfn.XLOOKUP(Table134526_79101120212223242526[[#This Row],[Name Surname]],Manpower!$C$4:$C$1048576,Manpower!$F$4:$F$1048576,"")</f>
        <v>Crane Operator-130T Liebherr Crawler</v>
      </c>
      <c r="H2839" s="48" t="str">
        <f>_xlfn.XLOOKUP(Table134526_79101120212223242526[[#This Row],[Name Surname]],Manpower!$C$4:$C$1048576,Manpower!$H$4:$H$1048576,"")</f>
        <v>Manpower</v>
      </c>
      <c r="I2839" s="48" t="str">
        <f>_xlfn.XLOOKUP(Table134526_79101120212223242526[[#This Row],[Name Surname]],Manpower!$C$4:$C$1048576,Manpower!$H$4:$H$1048576,"")</f>
        <v>Manpower</v>
      </c>
      <c r="J2839" s="43" t="s">
        <v>35</v>
      </c>
      <c r="K2839" s="43" t="s">
        <v>409</v>
      </c>
      <c r="L2839" s="43" t="s">
        <v>82</v>
      </c>
      <c r="M2839" s="43" t="s">
        <v>24</v>
      </c>
      <c r="N2839" s="44">
        <v>10</v>
      </c>
      <c r="O2839" s="43" t="s">
        <v>40</v>
      </c>
      <c r="P2839" s="43" t="s">
        <v>41</v>
      </c>
      <c r="Q2839" s="43" t="s">
        <v>42</v>
      </c>
      <c r="R2839" s="43" t="s">
        <v>400</v>
      </c>
      <c r="S2839" s="43"/>
    </row>
    <row r="2840" spans="1:19" s="45" customFormat="1" ht="14.4" hidden="1">
      <c r="A2840" s="53">
        <f>IF(C2840="","",MAX($A$1:A2839)+1)</f>
        <v>2613</v>
      </c>
      <c r="B2840" s="25" t="s">
        <v>141</v>
      </c>
      <c r="C2840" s="41">
        <v>46105</v>
      </c>
      <c r="D2840" s="48" t="str">
        <f>_xlfn.XLOOKUP(Table134526_79101120212223242526[[#This Row],[Name Surname]],Manpower!$C$4:$C$1048576,Manpower!$B$4:$B$1048576,"")</f>
        <v>Encogroup</v>
      </c>
      <c r="E2840" s="43" t="s">
        <v>87</v>
      </c>
      <c r="F2840" s="12">
        <f>_xlfn.XLOOKUP(Table134526_79101120212223242526[[#This Row],[Name Surname]],Manpower!C:C,Manpower!D:D,)</f>
        <v>126724428</v>
      </c>
      <c r="G2840" s="48" t="str">
        <f>_xlfn.XLOOKUP(Table134526_79101120212223242526[[#This Row],[Name Surname]],Manpower!$C$4:$C$1048576,Manpower!$F$4:$F$1048576,"")</f>
        <v>Surveyor</v>
      </c>
      <c r="H2840" s="48" t="str">
        <f>_xlfn.XLOOKUP(Table134526_79101120212223242526[[#This Row],[Name Surname]],Manpower!$C$4:$C$1048576,Manpower!$H$4:$H$1048576,"")</f>
        <v>Manpower</v>
      </c>
      <c r="I2840" s="48" t="str">
        <f>_xlfn.XLOOKUP(Table134526_79101120212223242526[[#This Row],[Name Surname]],Manpower!$C$4:$C$1048576,Manpower!$H$4:$H$1048576,"")</f>
        <v>Manpower</v>
      </c>
      <c r="J2840" s="43" t="s">
        <v>35</v>
      </c>
      <c r="K2840" s="43" t="s">
        <v>26</v>
      </c>
      <c r="L2840" s="43" t="s">
        <v>82</v>
      </c>
      <c r="M2840" s="43" t="s">
        <v>24</v>
      </c>
      <c r="N2840" s="44">
        <v>10</v>
      </c>
      <c r="O2840" s="43" t="s">
        <v>89</v>
      </c>
      <c r="P2840" s="43" t="s">
        <v>89</v>
      </c>
      <c r="Q2840" s="43" t="s">
        <v>89</v>
      </c>
      <c r="R2840" s="43" t="s">
        <v>26</v>
      </c>
      <c r="S2840" s="43"/>
    </row>
    <row r="2841" spans="1:19" s="45" customFormat="1" ht="14.4" hidden="1">
      <c r="A2841" s="53">
        <f>IF(C2841="","",MAX($A$1:A2840)+1)</f>
        <v>2614</v>
      </c>
      <c r="B2841" s="25" t="s">
        <v>141</v>
      </c>
      <c r="C2841" s="41">
        <v>46105</v>
      </c>
      <c r="D2841" s="48" t="str">
        <f>_xlfn.XLOOKUP(Table134526_79101120212223242526[[#This Row],[Name Surname]],Manpower!$C$4:$C$1048576,Manpower!$B$4:$B$1048576,"")</f>
        <v>Encogroup</v>
      </c>
      <c r="E2841" s="43" t="s">
        <v>34</v>
      </c>
      <c r="F2841" s="12">
        <f>_xlfn.XLOOKUP(Table134526_79101120212223242526[[#This Row],[Name Surname]],Manpower!C:C,Manpower!D:D,)</f>
        <v>141365023</v>
      </c>
      <c r="G2841" s="48" t="str">
        <f>_xlfn.XLOOKUP(Table134526_79101120212223242526[[#This Row],[Name Surname]],Manpower!$C$4:$C$1048576,Manpower!$F$4:$F$1048576,"")</f>
        <v>Grinder</v>
      </c>
      <c r="H2841" s="48" t="str">
        <f>_xlfn.XLOOKUP(Table134526_79101120212223242526[[#This Row],[Name Surname]],Manpower!$C$4:$C$1048576,Manpower!$H$4:$H$1048576,"")</f>
        <v>Manpower</v>
      </c>
      <c r="I2841" s="48" t="str">
        <f>_xlfn.XLOOKUP(Table134526_79101120212223242526[[#This Row],[Name Surname]],Manpower!$C$4:$C$1048576,Manpower!$H$4:$H$1048576,"")</f>
        <v>Manpower</v>
      </c>
      <c r="J2841" s="43" t="s">
        <v>35</v>
      </c>
      <c r="K2841" s="43" t="s">
        <v>26</v>
      </c>
      <c r="L2841" s="43" t="s">
        <v>82</v>
      </c>
      <c r="M2841" s="43" t="s">
        <v>24</v>
      </c>
      <c r="N2841" s="44">
        <v>10</v>
      </c>
      <c r="O2841" s="43" t="s">
        <v>89</v>
      </c>
      <c r="P2841" s="43" t="s">
        <v>89</v>
      </c>
      <c r="Q2841" s="43" t="s">
        <v>89</v>
      </c>
      <c r="R2841" s="43" t="s">
        <v>26</v>
      </c>
      <c r="S2841" s="43"/>
    </row>
    <row r="2842" spans="1:19" s="45" customFormat="1" ht="14.4" hidden="1">
      <c r="A2842" s="53">
        <f>IF(C2842="","",MAX($A$1:A2841)+1)</f>
        <v>2615</v>
      </c>
      <c r="B2842" s="25" t="s">
        <v>141</v>
      </c>
      <c r="C2842" s="41">
        <v>46105</v>
      </c>
      <c r="D2842" s="48" t="str">
        <f>_xlfn.XLOOKUP(Table134526_79101120212223242526[[#This Row],[Name Surname]],Manpower!$C$4:$C$1048576,Manpower!$B$4:$B$1048576,"")</f>
        <v>Encogroup</v>
      </c>
      <c r="E2842" s="43" t="s">
        <v>124</v>
      </c>
      <c r="F2842" s="12">
        <f>_xlfn.XLOOKUP(Table134526_79101120212223242526[[#This Row],[Name Surname]],Manpower!C:C,Manpower!D:D,)</f>
        <v>141169033</v>
      </c>
      <c r="G2842" s="48" t="str">
        <f>_xlfn.XLOOKUP(Table134526_79101120212223242526[[#This Row],[Name Surname]],Manpower!$C$4:$C$1048576,Manpower!$F$4:$F$1048576,"")</f>
        <v>Welder</v>
      </c>
      <c r="H2842" s="48" t="str">
        <f>_xlfn.XLOOKUP(Table134526_79101120212223242526[[#This Row],[Name Surname]],Manpower!$C$4:$C$1048576,Manpower!$H$4:$H$1048576,"")</f>
        <v>Manpower</v>
      </c>
      <c r="I2842" s="48" t="str">
        <f>_xlfn.XLOOKUP(Table134526_79101120212223242526[[#This Row],[Name Surname]],Manpower!$C$4:$C$1048576,Manpower!$H$4:$H$1048576,"")</f>
        <v>Manpower</v>
      </c>
      <c r="J2842" s="43" t="s">
        <v>35</v>
      </c>
      <c r="K2842" s="43" t="s">
        <v>411</v>
      </c>
      <c r="L2842" s="43" t="s">
        <v>82</v>
      </c>
      <c r="M2842" s="43" t="s">
        <v>24</v>
      </c>
      <c r="N2842" s="44">
        <v>10</v>
      </c>
      <c r="O2842" s="43" t="s">
        <v>25</v>
      </c>
      <c r="P2842" s="43" t="s">
        <v>41</v>
      </c>
      <c r="Q2842" s="43" t="s">
        <v>77</v>
      </c>
      <c r="R2842" s="43" t="s">
        <v>386</v>
      </c>
      <c r="S2842" s="43"/>
    </row>
    <row r="2843" spans="1:19" s="45" customFormat="1" ht="14.4" hidden="1">
      <c r="A2843" s="53">
        <f>IF(C2843="","",MAX($A$1:A2842)+1)</f>
        <v>2616</v>
      </c>
      <c r="B2843" s="25" t="s">
        <v>141</v>
      </c>
      <c r="C2843" s="41">
        <v>46105</v>
      </c>
      <c r="D2843" s="48" t="str">
        <f>_xlfn.XLOOKUP(Table134526_79101120212223242526[[#This Row],[Name Surname]],Manpower!$C$4:$C$1048576,Manpower!$B$4:$B$1048576,"")</f>
        <v>Encogroup</v>
      </c>
      <c r="E2843" s="43" t="s">
        <v>115</v>
      </c>
      <c r="F2843" s="12">
        <f>_xlfn.XLOOKUP(Table134526_79101120212223242526[[#This Row],[Name Surname]],Manpower!C:C,Manpower!D:D,)</f>
        <v>140796986</v>
      </c>
      <c r="G2843" s="48" t="str">
        <f>_xlfn.XLOOKUP(Table134526_79101120212223242526[[#This Row],[Name Surname]],Manpower!$C$4:$C$1048576,Manpower!$F$4:$F$1048576,"")</f>
        <v>Mechanical QC</v>
      </c>
      <c r="H2843" s="48" t="str">
        <f>_xlfn.XLOOKUP(Table134526_79101120212223242526[[#This Row],[Name Surname]],Manpower!$C$4:$C$1048576,Manpower!$H$4:$H$1048576,"")</f>
        <v>Manpower</v>
      </c>
      <c r="I2843" s="48" t="str">
        <f>_xlfn.XLOOKUP(Table134526_79101120212223242526[[#This Row],[Name Surname]],Manpower!$C$4:$C$1048576,Manpower!$H$4:$H$1048576,"")</f>
        <v>Manpower</v>
      </c>
      <c r="J2843" s="43" t="s">
        <v>35</v>
      </c>
      <c r="K2843" s="43" t="s">
        <v>411</v>
      </c>
      <c r="L2843" s="43" t="s">
        <v>82</v>
      </c>
      <c r="M2843" s="43" t="s">
        <v>24</v>
      </c>
      <c r="N2843" s="44">
        <v>10</v>
      </c>
      <c r="O2843" s="43" t="s">
        <v>25</v>
      </c>
      <c r="P2843" s="43" t="s">
        <v>41</v>
      </c>
      <c r="Q2843" s="43" t="s">
        <v>77</v>
      </c>
      <c r="R2843" s="43" t="s">
        <v>386</v>
      </c>
      <c r="S2843" s="43"/>
    </row>
    <row r="2844" spans="1:19" s="45" customFormat="1" ht="14.4" hidden="1">
      <c r="A2844" s="53">
        <f>IF(C2844="","",MAX($A$1:A2843)+1)</f>
        <v>2617</v>
      </c>
      <c r="B2844" s="25" t="s">
        <v>141</v>
      </c>
      <c r="C2844" s="41">
        <v>46105</v>
      </c>
      <c r="D2844" s="48" t="str">
        <f>_xlfn.XLOOKUP(Table134526_79101120212223242526[[#This Row],[Name Surname]],Manpower!$C$4:$C$1048576,Manpower!$B$4:$B$1048576,"")</f>
        <v>Encogroup</v>
      </c>
      <c r="E2844" s="43" t="s">
        <v>286</v>
      </c>
      <c r="F2844" s="12">
        <f>_xlfn.XLOOKUP(Table134526_79101120212223242526[[#This Row],[Name Surname]],Manpower!C:C,Manpower!D:D,)</f>
        <v>1487544</v>
      </c>
      <c r="G2844" s="48" t="str">
        <f>_xlfn.XLOOKUP(Table134526_79101120212223242526[[#This Row],[Name Surname]],Manpower!$C$4:$C$1048576,Manpower!$F$4:$F$1048576,"")</f>
        <v>Driver</v>
      </c>
      <c r="H2844" s="48" t="str">
        <f>_xlfn.XLOOKUP(Table134526_79101120212223242526[[#This Row],[Name Surname]],Manpower!$C$4:$C$1048576,Manpower!$H$4:$H$1048576,"")</f>
        <v>Manpower</v>
      </c>
      <c r="I2844" s="48" t="str">
        <f>_xlfn.XLOOKUP(Table134526_79101120212223242526[[#This Row],[Name Surname]],Manpower!$C$4:$C$1048576,Manpower!$H$4:$H$1048576,"")</f>
        <v>Manpower</v>
      </c>
      <c r="J2844" s="43" t="s">
        <v>135</v>
      </c>
      <c r="K2844" s="43" t="s">
        <v>26</v>
      </c>
      <c r="L2844" s="43" t="s">
        <v>82</v>
      </c>
      <c r="M2844" s="43" t="s">
        <v>24</v>
      </c>
      <c r="N2844" s="44">
        <v>10</v>
      </c>
      <c r="O2844" s="43" t="s">
        <v>138</v>
      </c>
      <c r="P2844" s="43" t="s">
        <v>138</v>
      </c>
      <c r="Q2844" s="43" t="s">
        <v>138</v>
      </c>
      <c r="R2844" s="43" t="s">
        <v>26</v>
      </c>
      <c r="S2844" s="43"/>
    </row>
    <row r="2845" spans="1:19" s="45" customFormat="1" ht="13.95" hidden="1" customHeight="1">
      <c r="A2845" s="53">
        <f>IF(C2845="","",MAX($A$1:A2844)+1)</f>
        <v>2618</v>
      </c>
      <c r="B2845" s="25" t="s">
        <v>141</v>
      </c>
      <c r="C2845" s="41">
        <v>46105</v>
      </c>
      <c r="D2845" s="48" t="str">
        <f>_xlfn.XLOOKUP(Table134526_79101120212223242526[[#This Row],[Name Surname]],Manpower!$C$4:$C$1048576,Manpower!$B$4:$B$1048576,"")</f>
        <v>Encogroup</v>
      </c>
      <c r="E2845" s="43" t="s">
        <v>228</v>
      </c>
      <c r="F2845" s="12">
        <f>_xlfn.XLOOKUP(Table134526_79101120212223242526[[#This Row],[Name Surname]],Manpower!C:C,Manpower!D:D,)</f>
        <v>125199963</v>
      </c>
      <c r="G2845" s="48" t="str">
        <f>_xlfn.XLOOKUP(Table134526_79101120212223242526[[#This Row],[Name Surname]],Manpower!$C$4:$C$1048576,Manpower!$F$4:$F$1048576,"")</f>
        <v>Electrician</v>
      </c>
      <c r="H2845" s="48" t="str">
        <f>_xlfn.XLOOKUP(Table134526_79101120212223242526[[#This Row],[Name Surname]],Manpower!$C$4:$C$1048576,Manpower!$H$4:$H$1048576,"")</f>
        <v>Manpower</v>
      </c>
      <c r="I2845" s="48" t="str">
        <f>_xlfn.XLOOKUP(Table134526_79101120212223242526[[#This Row],[Name Surname]],Manpower!$C$4:$C$1048576,Manpower!$H$4:$H$1048576,"")</f>
        <v>Manpower</v>
      </c>
      <c r="J2845" s="43" t="s">
        <v>135</v>
      </c>
      <c r="K2845" s="43" t="s">
        <v>26</v>
      </c>
      <c r="L2845" s="43" t="s">
        <v>82</v>
      </c>
      <c r="M2845" s="43" t="s">
        <v>24</v>
      </c>
      <c r="N2845" s="44">
        <v>10</v>
      </c>
      <c r="O2845" s="43" t="s">
        <v>28</v>
      </c>
      <c r="P2845" s="43" t="s">
        <v>41</v>
      </c>
      <c r="Q2845" s="43" t="s">
        <v>58</v>
      </c>
      <c r="R2845" s="43" t="s">
        <v>26</v>
      </c>
      <c r="S2845" s="43"/>
    </row>
    <row r="2846" spans="1:19" s="45" customFormat="1" ht="13.95" hidden="1" customHeight="1">
      <c r="A2846" s="53">
        <f>IF(C2846="","",MAX($A$1:A2845)+1)</f>
        <v>2619</v>
      </c>
      <c r="B2846" s="25" t="s">
        <v>141</v>
      </c>
      <c r="C2846" s="41">
        <v>46105</v>
      </c>
      <c r="D2846" s="48" t="str">
        <f>_xlfn.XLOOKUP(Table134526_79101120212223242526[[#This Row],[Name Surname]],Manpower!$C$4:$C$1048576,Manpower!$B$4:$B$1048576,"")</f>
        <v>Encogroup</v>
      </c>
      <c r="E2846" s="43" t="s">
        <v>398</v>
      </c>
      <c r="F2846" s="12">
        <f>_xlfn.XLOOKUP(Table134526_79101120212223242526[[#This Row],[Name Surname]],Manpower!C:C,Manpower!D:D,)</f>
        <v>81612139</v>
      </c>
      <c r="G2846" s="48" t="str">
        <f>_xlfn.XLOOKUP(Table134526_79101120212223242526[[#This Row],[Name Surname]],Manpower!$C$4:$C$1048576,Manpower!$F$4:$F$1048576,"")</f>
        <v>Mechanic</v>
      </c>
      <c r="H2846" s="48" t="str">
        <f>_xlfn.XLOOKUP(Table134526_79101120212223242526[[#This Row],[Name Surname]],Manpower!$C$4:$C$1048576,Manpower!$H$4:$H$1048576,"")</f>
        <v>Manpower</v>
      </c>
      <c r="I2846" s="48" t="str">
        <f>_xlfn.XLOOKUP(Table134526_79101120212223242526[[#This Row],[Name Surname]],Manpower!$C$4:$C$1048576,Manpower!$H$4:$H$1048576,"")</f>
        <v>Manpower</v>
      </c>
      <c r="J2846" s="43" t="s">
        <v>135</v>
      </c>
      <c r="K2846" s="43" t="s">
        <v>26</v>
      </c>
      <c r="L2846" s="43" t="s">
        <v>82</v>
      </c>
      <c r="M2846" s="43" t="s">
        <v>24</v>
      </c>
      <c r="N2846" s="44">
        <v>10</v>
      </c>
      <c r="O2846" s="43" t="s">
        <v>236</v>
      </c>
      <c r="P2846" s="43" t="s">
        <v>236</v>
      </c>
      <c r="Q2846" s="43" t="s">
        <v>236</v>
      </c>
      <c r="R2846" s="43" t="s">
        <v>26</v>
      </c>
      <c r="S2846" s="43"/>
    </row>
    <row r="2847" spans="1:19" s="45" customFormat="1" ht="14.4" hidden="1">
      <c r="A2847" s="53">
        <f>IF(C2847="","",MAX($A$1:A2839)+1)</f>
        <v>2613</v>
      </c>
      <c r="B2847" s="25" t="s">
        <v>141</v>
      </c>
      <c r="C2847" s="41">
        <v>46105</v>
      </c>
      <c r="D2847" s="48" t="str">
        <f>_xlfn.XLOOKUP(Table134526_79101120212223242526[[#This Row],[Name Surname]],Manpower!$C$4:$C$1048576,Manpower!$B$4:$B$1048576,"")</f>
        <v>Encogroup</v>
      </c>
      <c r="E2847" s="43" t="s">
        <v>91</v>
      </c>
      <c r="F2847" s="12">
        <f>_xlfn.XLOOKUP(Table134526_79101120212223242526[[#This Row],[Name Surname]],Manpower!C:C,Manpower!D:D,)</f>
        <v>132915855</v>
      </c>
      <c r="G2847" s="48" t="str">
        <f>_xlfn.XLOOKUP(Table134526_79101120212223242526[[#This Row],[Name Surname]],Manpower!$C$4:$C$1048576,Manpower!$F$4:$F$1048576,"")</f>
        <v>Mechanical Supervisor</v>
      </c>
      <c r="H2847" s="48" t="str">
        <f>_xlfn.XLOOKUP(Table134526_79101120212223242526[[#This Row],[Name Surname]],Manpower!$C$4:$C$1048576,Manpower!$H$4:$H$1048576,"")</f>
        <v>Manpower</v>
      </c>
      <c r="I2847" s="48" t="str">
        <f>_xlfn.XLOOKUP(Table134526_79101120212223242526[[#This Row],[Name Surname]],Manpower!$C$4:$C$1048576,Manpower!$H$4:$H$1048576,"")</f>
        <v>Manpower</v>
      </c>
      <c r="J2847" s="43" t="s">
        <v>35</v>
      </c>
      <c r="K2847" s="43" t="s">
        <v>412</v>
      </c>
      <c r="L2847" s="43" t="s">
        <v>82</v>
      </c>
      <c r="M2847" s="43" t="s">
        <v>24</v>
      </c>
      <c r="N2847" s="44">
        <v>10</v>
      </c>
      <c r="O2847" s="43" t="s">
        <v>25</v>
      </c>
      <c r="P2847" s="43" t="s">
        <v>60</v>
      </c>
      <c r="Q2847" s="43" t="s">
        <v>60</v>
      </c>
      <c r="R2847" s="43" t="s">
        <v>413</v>
      </c>
      <c r="S2847" s="43"/>
    </row>
    <row r="2848" spans="1:19" s="45" customFormat="1" ht="14.4" hidden="1">
      <c r="A2848" s="53">
        <f>IF(C2848="","",MAX($A$1:A2847)+1)</f>
        <v>2620</v>
      </c>
      <c r="B2848" s="25" t="s">
        <v>141</v>
      </c>
      <c r="C2848" s="41">
        <v>46105</v>
      </c>
      <c r="D2848" s="48" t="str">
        <f>_xlfn.XLOOKUP(Table134526_79101120212223242526[[#This Row],[Name Surname]],Manpower!$C$4:$C$1048576,Manpower!$B$4:$B$1048576,"")</f>
        <v>Encogroup</v>
      </c>
      <c r="E2848" s="43" t="s">
        <v>97</v>
      </c>
      <c r="F2848" s="12">
        <f>_xlfn.XLOOKUP(Table134526_79101120212223242526[[#This Row],[Name Surname]],Manpower!C:C,Manpower!D:D,)</f>
        <v>141359235</v>
      </c>
      <c r="G2848" s="48" t="str">
        <f>_xlfn.XLOOKUP(Table134526_79101120212223242526[[#This Row],[Name Surname]],Manpower!$C$4:$C$1048576,Manpower!$F$4:$F$1048576,"")</f>
        <v>Fitter</v>
      </c>
      <c r="H2848" s="48" t="str">
        <f>_xlfn.XLOOKUP(Table134526_79101120212223242526[[#This Row],[Name Surname]],Manpower!$C$4:$C$1048576,Manpower!$H$4:$H$1048576,"")</f>
        <v>Manpower</v>
      </c>
      <c r="I2848" s="48" t="str">
        <f>_xlfn.XLOOKUP(Table134526_79101120212223242526[[#This Row],[Name Surname]],Manpower!$C$4:$C$1048576,Manpower!$H$4:$H$1048576,"")</f>
        <v>Manpower</v>
      </c>
      <c r="J2848" s="43" t="s">
        <v>35</v>
      </c>
      <c r="K2848" s="43" t="s">
        <v>411</v>
      </c>
      <c r="L2848" s="43" t="s">
        <v>82</v>
      </c>
      <c r="M2848" s="43" t="s">
        <v>24</v>
      </c>
      <c r="N2848" s="44">
        <v>10</v>
      </c>
      <c r="O2848" s="43" t="s">
        <v>25</v>
      </c>
      <c r="P2848" s="43" t="s">
        <v>41</v>
      </c>
      <c r="Q2848" s="43" t="s">
        <v>77</v>
      </c>
      <c r="R2848" s="43" t="s">
        <v>386</v>
      </c>
      <c r="S2848" s="43"/>
    </row>
    <row r="2849" spans="1:19" s="45" customFormat="1" ht="14.4" hidden="1">
      <c r="A2849" s="53">
        <f>IF(C2849="","",MAX($A$1:A2848)+1)</f>
        <v>2621</v>
      </c>
      <c r="B2849" s="25" t="s">
        <v>141</v>
      </c>
      <c r="C2849" s="41">
        <v>46105</v>
      </c>
      <c r="D2849" s="48" t="str">
        <f>_xlfn.XLOOKUP(Table134526_79101120212223242526[[#This Row],[Name Surname]],Manpower!$C$4:$C$1048576,Manpower!$B$4:$B$1048576,"")</f>
        <v>Encogroup</v>
      </c>
      <c r="E2849" s="43" t="s">
        <v>99</v>
      </c>
      <c r="F2849" s="12">
        <f>_xlfn.XLOOKUP(Table134526_79101120212223242526[[#This Row],[Name Surname]],Manpower!C:C,Manpower!D:D,)</f>
        <v>140697025</v>
      </c>
      <c r="G2849" s="48" t="str">
        <f>_xlfn.XLOOKUP(Table134526_79101120212223242526[[#This Row],[Name Surname]],Manpower!$C$4:$C$1048576,Manpower!$F$4:$F$1048576,"")</f>
        <v>Assistant/Helper</v>
      </c>
      <c r="H2849" s="48" t="str">
        <f>_xlfn.XLOOKUP(Table134526_79101120212223242526[[#This Row],[Name Surname]],Manpower!$C$4:$C$1048576,Manpower!$H$4:$H$1048576,"")</f>
        <v>Manpower</v>
      </c>
      <c r="I2849" s="48" t="str">
        <f>_xlfn.XLOOKUP(Table134526_79101120212223242526[[#This Row],[Name Surname]],Manpower!$C$4:$C$1048576,Manpower!$H$4:$H$1048576,"")</f>
        <v>Manpower</v>
      </c>
      <c r="J2849" s="43" t="s">
        <v>35</v>
      </c>
      <c r="K2849" s="43" t="s">
        <v>409</v>
      </c>
      <c r="L2849" s="43" t="s">
        <v>82</v>
      </c>
      <c r="M2849" s="43" t="s">
        <v>24</v>
      </c>
      <c r="N2849" s="44">
        <v>10</v>
      </c>
      <c r="O2849" s="43" t="s">
        <v>25</v>
      </c>
      <c r="P2849" s="43" t="s">
        <v>41</v>
      </c>
      <c r="Q2849" s="43" t="s">
        <v>60</v>
      </c>
      <c r="R2849" s="43" t="s">
        <v>100</v>
      </c>
      <c r="S2849" s="43"/>
    </row>
    <row r="2850" spans="1:19" s="45" customFormat="1" ht="14.4" hidden="1">
      <c r="A2850" s="53">
        <f>IF(C2850="","",MAX($A$1:A2849)+1)</f>
        <v>2622</v>
      </c>
      <c r="B2850" s="25" t="s">
        <v>141</v>
      </c>
      <c r="C2850" s="41">
        <v>46105</v>
      </c>
      <c r="D2850" s="48" t="str">
        <f>_xlfn.XLOOKUP(Table134526_79101120212223242526[[#This Row],[Name Surname]],Manpower!$C$4:$C$1048576,Manpower!$B$4:$B$1048576,"")</f>
        <v>Encogroup</v>
      </c>
      <c r="E2850" s="43" t="s">
        <v>125</v>
      </c>
      <c r="F2850" s="12">
        <f>_xlfn.XLOOKUP(Table134526_79101120212223242526[[#This Row],[Name Surname]],Manpower!C:C,Manpower!D:D,)</f>
        <v>141169028</v>
      </c>
      <c r="G2850" s="48" t="str">
        <f>_xlfn.XLOOKUP(Table134526_79101120212223242526[[#This Row],[Name Surname]],Manpower!$C$4:$C$1048576,Manpower!$F$4:$F$1048576,"")</f>
        <v>Welder</v>
      </c>
      <c r="H2850" s="48" t="str">
        <f>_xlfn.XLOOKUP(Table134526_79101120212223242526[[#This Row],[Name Surname]],Manpower!$C$4:$C$1048576,Manpower!$H$4:$H$1048576,"")</f>
        <v>Manpower</v>
      </c>
      <c r="I2850" s="48" t="str">
        <f>_xlfn.XLOOKUP(Table134526_79101120212223242526[[#This Row],[Name Surname]],Manpower!$C$4:$C$1048576,Manpower!$H$4:$H$1048576,"")</f>
        <v>Manpower</v>
      </c>
      <c r="J2850" s="43" t="s">
        <v>35</v>
      </c>
      <c r="K2850" s="43" t="s">
        <v>279</v>
      </c>
      <c r="L2850" s="43" t="s">
        <v>82</v>
      </c>
      <c r="M2850" s="43" t="s">
        <v>24</v>
      </c>
      <c r="N2850" s="44">
        <v>10</v>
      </c>
      <c r="O2850" s="43" t="s">
        <v>25</v>
      </c>
      <c r="P2850" s="43" t="s">
        <v>41</v>
      </c>
      <c r="Q2850" s="43" t="s">
        <v>60</v>
      </c>
      <c r="R2850" s="43" t="s">
        <v>390</v>
      </c>
      <c r="S2850" s="43"/>
    </row>
    <row r="2851" spans="1:19" s="45" customFormat="1" ht="14.4" hidden="1">
      <c r="A2851" s="53">
        <f>IF(C2851="","",MAX($A$1:A2850)+1)</f>
        <v>2623</v>
      </c>
      <c r="B2851" s="25" t="s">
        <v>141</v>
      </c>
      <c r="C2851" s="41">
        <v>46105</v>
      </c>
      <c r="D2851" s="48" t="str">
        <f>_xlfn.XLOOKUP(Table134526_79101120212223242526[[#This Row],[Name Surname]],Manpower!$C$4:$C$1048576,Manpower!$B$4:$B$1048576,"")</f>
        <v>Encogroup</v>
      </c>
      <c r="E2851" s="43" t="s">
        <v>101</v>
      </c>
      <c r="F2851" s="12">
        <f>_xlfn.XLOOKUP(Table134526_79101120212223242526[[#This Row],[Name Surname]],Manpower!C:C,Manpower!D:D,)</f>
        <v>141169052</v>
      </c>
      <c r="G2851" s="48" t="str">
        <f>_xlfn.XLOOKUP(Table134526_79101120212223242526[[#This Row],[Name Surname]],Manpower!$C$4:$C$1048576,Manpower!$F$4:$F$1048576,"")</f>
        <v>Welder</v>
      </c>
      <c r="H2851" s="48" t="str">
        <f>_xlfn.XLOOKUP(Table134526_79101120212223242526[[#This Row],[Name Surname]],Manpower!$C$4:$C$1048576,Manpower!$H$4:$H$1048576,"")</f>
        <v>Manpower</v>
      </c>
      <c r="I2851" s="48" t="str">
        <f>_xlfn.XLOOKUP(Table134526_79101120212223242526[[#This Row],[Name Surname]],Manpower!$C$4:$C$1048576,Manpower!$H$4:$H$1048576,"")</f>
        <v>Manpower</v>
      </c>
      <c r="J2851" s="43" t="s">
        <v>35</v>
      </c>
      <c r="K2851" s="43" t="s">
        <v>411</v>
      </c>
      <c r="L2851" s="43" t="s">
        <v>82</v>
      </c>
      <c r="M2851" s="43" t="s">
        <v>24</v>
      </c>
      <c r="N2851" s="44">
        <v>10</v>
      </c>
      <c r="O2851" s="43" t="s">
        <v>25</v>
      </c>
      <c r="P2851" s="43" t="s">
        <v>41</v>
      </c>
      <c r="Q2851" s="43" t="s">
        <v>77</v>
      </c>
      <c r="R2851" s="43" t="s">
        <v>386</v>
      </c>
      <c r="S2851" s="43"/>
    </row>
    <row r="2852" spans="1:19" s="45" customFormat="1" ht="14.4" hidden="1">
      <c r="A2852" s="53">
        <f>IF(C2852="","",MAX($A$1:A2851)+1)</f>
        <v>2624</v>
      </c>
      <c r="B2852" s="25" t="s">
        <v>141</v>
      </c>
      <c r="C2852" s="41">
        <v>46105</v>
      </c>
      <c r="D2852" s="48" t="str">
        <f>_xlfn.XLOOKUP(Table134526_79101120212223242526[[#This Row],[Name Surname]],Manpower!$C$4:$C$1048576,Manpower!$B$4:$B$1048576,"")</f>
        <v>Encogroup</v>
      </c>
      <c r="E2852" s="43" t="s">
        <v>105</v>
      </c>
      <c r="F2852" s="12">
        <f>_xlfn.XLOOKUP(Table134526_79101120212223242526[[#This Row],[Name Surname]],Manpower!C:C,Manpower!D:D,)</f>
        <v>141358993</v>
      </c>
      <c r="G2852" s="48" t="str">
        <f>_xlfn.XLOOKUP(Table134526_79101120212223242526[[#This Row],[Name Surname]],Manpower!$C$4:$C$1048576,Manpower!$F$4:$F$1048576,"")</f>
        <v>Fitter</v>
      </c>
      <c r="H2852" s="48" t="str">
        <f>_xlfn.XLOOKUP(Table134526_79101120212223242526[[#This Row],[Name Surname]],Manpower!$C$4:$C$1048576,Manpower!$H$4:$H$1048576,"")</f>
        <v>Manpower</v>
      </c>
      <c r="I2852" s="48" t="str">
        <f>_xlfn.XLOOKUP(Table134526_79101120212223242526[[#This Row],[Name Surname]],Manpower!$C$4:$C$1048576,Manpower!$H$4:$H$1048576,"")</f>
        <v>Manpower</v>
      </c>
      <c r="J2852" s="43" t="s">
        <v>35</v>
      </c>
      <c r="K2852" s="43" t="s">
        <v>411</v>
      </c>
      <c r="L2852" s="43" t="s">
        <v>82</v>
      </c>
      <c r="M2852" s="43" t="s">
        <v>24</v>
      </c>
      <c r="N2852" s="44">
        <v>10</v>
      </c>
      <c r="O2852" s="43" t="s">
        <v>25</v>
      </c>
      <c r="P2852" s="43" t="s">
        <v>41</v>
      </c>
      <c r="Q2852" s="43" t="s">
        <v>77</v>
      </c>
      <c r="R2852" s="43" t="s">
        <v>386</v>
      </c>
      <c r="S2852" s="43"/>
    </row>
    <row r="2853" spans="1:19" s="45" customFormat="1" ht="14.4" hidden="1">
      <c r="A2853" s="53">
        <f>IF(C2853="","",MAX($A$1:A2852)+1)</f>
        <v>2625</v>
      </c>
      <c r="B2853" s="25" t="s">
        <v>141</v>
      </c>
      <c r="C2853" s="41">
        <v>46105</v>
      </c>
      <c r="D2853" s="48" t="str">
        <f>_xlfn.XLOOKUP(Table134526_79101120212223242526[[#This Row],[Name Surname]],Manpower!$C$4:$C$1048576,Manpower!$B$4:$B$1048576,"")</f>
        <v>Encogroup</v>
      </c>
      <c r="E2853" s="43" t="s">
        <v>106</v>
      </c>
      <c r="F2853" s="12" t="str">
        <f>_xlfn.XLOOKUP(Table134526_79101120212223242526[[#This Row],[Name Surname]],Manpower!C:C,Manpower!D:D,)</f>
        <v>R3971143</v>
      </c>
      <c r="G2853" s="48" t="str">
        <f>_xlfn.XLOOKUP(Table134526_79101120212223242526[[#This Row],[Name Surname]],Manpower!$C$4:$C$1048576,Manpower!$F$4:$F$1048576,"")</f>
        <v>Mechanical Foreman</v>
      </c>
      <c r="H2853" s="48" t="str">
        <f>_xlfn.XLOOKUP(Table134526_79101120212223242526[[#This Row],[Name Surname]],Manpower!$C$4:$C$1048576,Manpower!$H$4:$H$1048576,"")</f>
        <v>Manpower</v>
      </c>
      <c r="I2853" s="48" t="str">
        <f>_xlfn.XLOOKUP(Table134526_79101120212223242526[[#This Row],[Name Surname]],Manpower!$C$4:$C$1048576,Manpower!$H$4:$H$1048576,"")</f>
        <v>Manpower</v>
      </c>
      <c r="J2853" s="43" t="s">
        <v>35</v>
      </c>
      <c r="K2853" s="43" t="s">
        <v>409</v>
      </c>
      <c r="L2853" s="43" t="s">
        <v>82</v>
      </c>
      <c r="M2853" s="43" t="s">
        <v>24</v>
      </c>
      <c r="N2853" s="44">
        <v>10</v>
      </c>
      <c r="O2853" s="43" t="s">
        <v>25</v>
      </c>
      <c r="P2853" s="43" t="s">
        <v>41</v>
      </c>
      <c r="Q2853" s="43" t="s">
        <v>60</v>
      </c>
      <c r="R2853" s="43" t="s">
        <v>413</v>
      </c>
      <c r="S2853" s="43"/>
    </row>
    <row r="2854" spans="1:19" s="45" customFormat="1" ht="14.4" hidden="1">
      <c r="A2854" s="53">
        <f>IF(C2854="","",MAX($A$1:A2853)+1)</f>
        <v>2626</v>
      </c>
      <c r="B2854" s="25" t="s">
        <v>141</v>
      </c>
      <c r="C2854" s="41">
        <v>46105</v>
      </c>
      <c r="D2854" s="48" t="str">
        <f>_xlfn.XLOOKUP(Table134526_79101120212223242526[[#This Row],[Name Surname]],Manpower!$C$4:$C$1048576,Manpower!$B$4:$B$1048576,"")</f>
        <v>Encogroup</v>
      </c>
      <c r="E2854" s="43" t="s">
        <v>107</v>
      </c>
      <c r="F2854" s="12">
        <f>_xlfn.XLOOKUP(Table134526_79101120212223242526[[#This Row],[Name Surname]],Manpower!C:C,Manpower!D:D,)</f>
        <v>116858297</v>
      </c>
      <c r="G2854" s="48" t="str">
        <f>_xlfn.XLOOKUP(Table134526_79101120212223242526[[#This Row],[Name Surname]],Manpower!$C$4:$C$1048576,Manpower!$F$4:$F$1048576,"")</f>
        <v>Mechanical Superintendent</v>
      </c>
      <c r="H2854" s="48" t="str">
        <f>_xlfn.XLOOKUP(Table134526_79101120212223242526[[#This Row],[Name Surname]],Manpower!$C$4:$C$1048576,Manpower!$H$4:$H$1048576,"")</f>
        <v>Manpower</v>
      </c>
      <c r="I2854" s="48" t="str">
        <f>_xlfn.XLOOKUP(Table134526_79101120212223242526[[#This Row],[Name Surname]],Manpower!$C$4:$C$1048576,Manpower!$H$4:$H$1048576,"")</f>
        <v>Manpower</v>
      </c>
      <c r="J2854" s="43" t="s">
        <v>35</v>
      </c>
      <c r="K2854" s="43" t="s">
        <v>412</v>
      </c>
      <c r="L2854" s="43" t="s">
        <v>82</v>
      </c>
      <c r="M2854" s="43" t="s">
        <v>24</v>
      </c>
      <c r="N2854" s="44">
        <v>10</v>
      </c>
      <c r="O2854" s="43" t="s">
        <v>25</v>
      </c>
      <c r="P2854" s="43" t="s">
        <v>41</v>
      </c>
      <c r="Q2854" s="43" t="s">
        <v>60</v>
      </c>
      <c r="R2854" s="43" t="s">
        <v>413</v>
      </c>
      <c r="S2854" s="43"/>
    </row>
    <row r="2855" spans="1:19" s="45" customFormat="1" ht="14.4" hidden="1">
      <c r="A2855" s="53">
        <f>IF(C2855="","",MAX($A$1:A2854)+1)</f>
        <v>2627</v>
      </c>
      <c r="B2855" s="25" t="s">
        <v>141</v>
      </c>
      <c r="C2855" s="41">
        <v>46105</v>
      </c>
      <c r="D2855" s="48" t="str">
        <f>_xlfn.XLOOKUP(Table134526_79101120212223242526[[#This Row],[Name Surname]],Manpower!$C$4:$C$1048576,Manpower!$B$4:$B$1048576,"")</f>
        <v>Encogroup</v>
      </c>
      <c r="E2855" s="43" t="s">
        <v>126</v>
      </c>
      <c r="F2855" s="12">
        <f>_xlfn.XLOOKUP(Table134526_79101120212223242526[[#This Row],[Name Surname]],Manpower!C:C,Manpower!D:D,)</f>
        <v>140805568</v>
      </c>
      <c r="G2855" s="48" t="str">
        <f>_xlfn.XLOOKUP(Table134526_79101120212223242526[[#This Row],[Name Surname]],Manpower!$C$4:$C$1048576,Manpower!$F$4:$F$1048576,"")</f>
        <v>Assistant/Helper</v>
      </c>
      <c r="H2855" s="48" t="str">
        <f>_xlfn.XLOOKUP(Table134526_79101120212223242526[[#This Row],[Name Surname]],Manpower!$C$4:$C$1048576,Manpower!$H$4:$H$1048576,"")</f>
        <v>Manpower</v>
      </c>
      <c r="I2855" s="48" t="str">
        <f>_xlfn.XLOOKUP(Table134526_79101120212223242526[[#This Row],[Name Surname]],Manpower!$C$4:$C$1048576,Manpower!$H$4:$H$1048576,"")</f>
        <v>Manpower</v>
      </c>
      <c r="J2855" s="43" t="s">
        <v>35</v>
      </c>
      <c r="K2855" s="43" t="s">
        <v>409</v>
      </c>
      <c r="L2855" s="43" t="s">
        <v>82</v>
      </c>
      <c r="M2855" s="43" t="s">
        <v>24</v>
      </c>
      <c r="N2855" s="44">
        <v>10</v>
      </c>
      <c r="O2855" s="43" t="s">
        <v>40</v>
      </c>
      <c r="P2855" s="43" t="s">
        <v>41</v>
      </c>
      <c r="Q2855" s="43" t="s">
        <v>128</v>
      </c>
      <c r="R2855" s="43" t="s">
        <v>270</v>
      </c>
      <c r="S2855" s="43"/>
    </row>
    <row r="2856" spans="1:19" s="45" customFormat="1" ht="14.4" hidden="1">
      <c r="A2856" s="53">
        <f>IF(C2856="","",MAX($A$1:A2855)+1)</f>
        <v>2628</v>
      </c>
      <c r="B2856" s="25" t="s">
        <v>141</v>
      </c>
      <c r="C2856" s="41">
        <v>46105</v>
      </c>
      <c r="D2856" s="48" t="str">
        <f>_xlfn.XLOOKUP(Table134526_79101120212223242526[[#This Row],[Name Surname]],Manpower!$C$4:$C$1048576,Manpower!$B$4:$B$1048576,"")</f>
        <v>Rabwu Ahamal AL Khaleej Trad</v>
      </c>
      <c r="E2856" s="43" t="s">
        <v>131</v>
      </c>
      <c r="F2856" s="12">
        <f>_xlfn.XLOOKUP(Table134526_79101120212223242526[[#This Row],[Name Surname]],Manpower!C:C,Manpower!D:D,)</f>
        <v>131431131</v>
      </c>
      <c r="G2856" s="48" t="str">
        <f>_xlfn.XLOOKUP(Table134526_79101120212223242526[[#This Row],[Name Surname]],Manpower!$C$4:$C$1048576,Manpower!$F$4:$F$1048576,"")</f>
        <v>RIgger</v>
      </c>
      <c r="H2856" s="48" t="str">
        <f>_xlfn.XLOOKUP(Table134526_79101120212223242526[[#This Row],[Name Surname]],Manpower!$C$4:$C$1048576,Manpower!$H$4:$H$1048576,"")</f>
        <v>Sub Contactor</v>
      </c>
      <c r="I2856" s="48" t="str">
        <f>_xlfn.XLOOKUP(Table134526_79101120212223242526[[#This Row],[Name Surname]],Manpower!$C$4:$C$1048576,Manpower!$H$4:$H$1048576,"")</f>
        <v>Sub Contactor</v>
      </c>
      <c r="J2856" s="43" t="s">
        <v>35</v>
      </c>
      <c r="K2856" s="43" t="s">
        <v>409</v>
      </c>
      <c r="L2856" s="43" t="s">
        <v>82</v>
      </c>
      <c r="M2856" s="43" t="s">
        <v>24</v>
      </c>
      <c r="N2856" s="44">
        <v>10</v>
      </c>
      <c r="O2856" s="43" t="s">
        <v>40</v>
      </c>
      <c r="P2856" s="43" t="s">
        <v>41</v>
      </c>
      <c r="Q2856" s="43" t="s">
        <v>42</v>
      </c>
      <c r="R2856" s="43" t="s">
        <v>401</v>
      </c>
      <c r="S2856" s="43"/>
    </row>
    <row r="2857" spans="1:19" s="45" customFormat="1" ht="14.4" hidden="1">
      <c r="A2857" s="53">
        <f>IF(C2857="","",MAX($A$1:A2856)+1)</f>
        <v>2629</v>
      </c>
      <c r="B2857" s="25" t="s">
        <v>141</v>
      </c>
      <c r="C2857" s="41">
        <v>46105</v>
      </c>
      <c r="D2857" s="48" t="str">
        <f>_xlfn.XLOOKUP(Table134526_79101120212223242526[[#This Row],[Name Surname]],Manpower!$C$4:$C$1048576,Manpower!$B$4:$B$1048576,"")</f>
        <v>AL Saif &amp; Al QALLM ENT LLC</v>
      </c>
      <c r="E2857" s="43" t="s">
        <v>130</v>
      </c>
      <c r="F2857" s="12">
        <f>_xlfn.XLOOKUP(Table134526_79101120212223242526[[#This Row],[Name Surname]],Manpower!C:C,Manpower!D:D,)</f>
        <v>76647648</v>
      </c>
      <c r="G2857" s="48" t="str">
        <f>_xlfn.XLOOKUP(Table134526_79101120212223242526[[#This Row],[Name Surname]],Manpower!$C$4:$C$1048576,Manpower!$F$4:$F$1048576,"")</f>
        <v>RIgger</v>
      </c>
      <c r="H2857" s="48" t="str">
        <f>_xlfn.XLOOKUP(Table134526_79101120212223242526[[#This Row],[Name Surname]],Manpower!$C$4:$C$1048576,Manpower!$H$4:$H$1048576,"")</f>
        <v>Sub Contactor</v>
      </c>
      <c r="I2857" s="48" t="str">
        <f>_xlfn.XLOOKUP(Table134526_79101120212223242526[[#This Row],[Name Surname]],Manpower!$C$4:$C$1048576,Manpower!$H$4:$H$1048576,"")</f>
        <v>Sub Contactor</v>
      </c>
      <c r="J2857" s="43" t="s">
        <v>35</v>
      </c>
      <c r="K2857" s="43" t="s">
        <v>409</v>
      </c>
      <c r="L2857" s="43" t="s">
        <v>82</v>
      </c>
      <c r="M2857" s="43" t="s">
        <v>24</v>
      </c>
      <c r="N2857" s="44">
        <v>10</v>
      </c>
      <c r="O2857" s="43" t="s">
        <v>40</v>
      </c>
      <c r="P2857" s="43" t="s">
        <v>41</v>
      </c>
      <c r="Q2857" s="43" t="s">
        <v>42</v>
      </c>
      <c r="R2857" s="43" t="s">
        <v>401</v>
      </c>
      <c r="S2857" s="43"/>
    </row>
    <row r="2858" spans="1:19" s="45" customFormat="1" ht="14.4" hidden="1">
      <c r="A2858" s="53">
        <f>IF(C2858="","",MAX($A$1:A2857)+1)</f>
        <v>2630</v>
      </c>
      <c r="B2858" s="25" t="s">
        <v>141</v>
      </c>
      <c r="C2858" s="41">
        <v>46105</v>
      </c>
      <c r="D2858" s="48" t="str">
        <f>_xlfn.XLOOKUP(Table134526_79101120212223242526[[#This Row],[Name Surname]],Manpower!$C$4:$C$1048576,Manpower!$B$4:$B$1048576,"")</f>
        <v>Encogroup</v>
      </c>
      <c r="E2858" s="43" t="s">
        <v>109</v>
      </c>
      <c r="F2858" s="12">
        <f>_xlfn.XLOOKUP(Table134526_79101120212223242526[[#This Row],[Name Surname]],Manpower!C:C,Manpower!D:D,)</f>
        <v>123805496</v>
      </c>
      <c r="G2858" s="48" t="str">
        <f>_xlfn.XLOOKUP(Table134526_79101120212223242526[[#This Row],[Name Surname]],Manpower!$C$4:$C$1048576,Manpower!$F$4:$F$1048576,"")</f>
        <v>Fitter/Erector</v>
      </c>
      <c r="H2858" s="48" t="str">
        <f>_xlfn.XLOOKUP(Table134526_79101120212223242526[[#This Row],[Name Surname]],Manpower!$C$4:$C$1048576,Manpower!$H$4:$H$1048576,"")</f>
        <v>Manpower</v>
      </c>
      <c r="I2858" s="48" t="str">
        <f>_xlfn.XLOOKUP(Table134526_79101120212223242526[[#This Row],[Name Surname]],Manpower!$C$4:$C$1048576,Manpower!$H$4:$H$1048576,"")</f>
        <v>Manpower</v>
      </c>
      <c r="J2858" s="43" t="s">
        <v>35</v>
      </c>
      <c r="K2858" s="43" t="s">
        <v>409</v>
      </c>
      <c r="L2858" s="43" t="s">
        <v>82</v>
      </c>
      <c r="M2858" s="43" t="s">
        <v>24</v>
      </c>
      <c r="N2858" s="44">
        <v>10</v>
      </c>
      <c r="O2858" s="43" t="s">
        <v>25</v>
      </c>
      <c r="P2858" s="43" t="s">
        <v>41</v>
      </c>
      <c r="Q2858" s="43" t="s">
        <v>60</v>
      </c>
      <c r="R2858" s="43" t="s">
        <v>390</v>
      </c>
      <c r="S2858" s="43"/>
    </row>
    <row r="2859" spans="1:19" ht="14.4" hidden="1">
      <c r="A2859" s="38">
        <f>IF(C2859="","",MAX($A$1:A2858)+1)</f>
        <v>2631</v>
      </c>
      <c r="B2859" s="36" t="s">
        <v>141</v>
      </c>
      <c r="C2859" s="23">
        <v>46105</v>
      </c>
      <c r="D2859" s="28" t="str">
        <f>_xlfn.XLOOKUP(Table134526_79101120212223242526[[#This Row],[Name Surname]],Manpower!$C$4:$C$1048576,Manpower!$B$4:$B$1048576,"")</f>
        <v>Encogroup</v>
      </c>
      <c r="E2859" s="21" t="s">
        <v>110</v>
      </c>
      <c r="F2859" s="12">
        <f>_xlfn.XLOOKUP(Table134526_79101120212223242526[[#This Row],[Name Surname]],Manpower!C:C,Manpower!D:D,)</f>
        <v>136277866</v>
      </c>
      <c r="G2859" s="28" t="str">
        <f>_xlfn.XLOOKUP(Table134526_79101120212223242526[[#This Row],[Name Surname]],Manpower!$C$4:$C$1048576,Manpower!$F$4:$F$1048576,"")</f>
        <v>Permit Receiver</v>
      </c>
      <c r="H2859" s="28" t="str">
        <f>_xlfn.XLOOKUP(Table134526_79101120212223242526[[#This Row],[Name Surname]],Manpower!$C$4:$C$1048576,Manpower!$H$4:$H$1048576,"")</f>
        <v>Manpower</v>
      </c>
      <c r="I2859" s="28" t="str">
        <f>_xlfn.XLOOKUP(Table134526_79101120212223242526[[#This Row],[Name Surname]],Manpower!$C$4:$C$1048576,Manpower!$H$4:$H$1048576,"")</f>
        <v>Manpower</v>
      </c>
      <c r="J2859" s="21" t="s">
        <v>35</v>
      </c>
      <c r="K2859" s="21" t="s">
        <v>389</v>
      </c>
      <c r="L2859" s="21" t="s">
        <v>82</v>
      </c>
      <c r="M2859" s="21" t="s">
        <v>24</v>
      </c>
      <c r="N2859" s="29">
        <v>10</v>
      </c>
      <c r="O2859" s="21" t="s">
        <v>25</v>
      </c>
      <c r="P2859" s="21" t="s">
        <v>41</v>
      </c>
      <c r="Q2859" s="21" t="s">
        <v>60</v>
      </c>
      <c r="R2859" s="21" t="s">
        <v>413</v>
      </c>
    </row>
    <row r="2860" spans="1:19" s="45" customFormat="1" ht="14.4" hidden="1">
      <c r="A2860" s="53">
        <f>IF(C2860="","",MAX($A$1:A2859)+1)</f>
        <v>2632</v>
      </c>
      <c r="B2860" s="25" t="s">
        <v>141</v>
      </c>
      <c r="C2860" s="41">
        <v>46105</v>
      </c>
      <c r="D2860" s="48" t="str">
        <f>_xlfn.XLOOKUP(Table134526_79101120212223242526[[#This Row],[Name Surname]],Manpower!$C$4:$C$1048576,Manpower!$B$4:$B$1048576,"")</f>
        <v>Encogroup</v>
      </c>
      <c r="E2860" s="43" t="s">
        <v>112</v>
      </c>
      <c r="F2860" s="12">
        <f>_xlfn.XLOOKUP(Table134526_79101120212223242526[[#This Row],[Name Surname]],Manpower!C:C,Manpower!D:D,)</f>
        <v>140663253</v>
      </c>
      <c r="G2860" s="48" t="str">
        <f>_xlfn.XLOOKUP(Table134526_79101120212223242526[[#This Row],[Name Surname]],Manpower!$C$4:$C$1048576,Manpower!$F$4:$F$1048576,"")</f>
        <v>Painting Inspector</v>
      </c>
      <c r="H2860" s="48" t="str">
        <f>_xlfn.XLOOKUP(Table134526_79101120212223242526[[#This Row],[Name Surname]],Manpower!$C$4:$C$1048576,Manpower!$H$4:$H$1048576,"")</f>
        <v>Manpower</v>
      </c>
      <c r="I2860" s="48" t="str">
        <f>_xlfn.XLOOKUP(Table134526_79101120212223242526[[#This Row],[Name Surname]],Manpower!$C$4:$C$1048576,Manpower!$H$4:$H$1048576,"")</f>
        <v>Manpower</v>
      </c>
      <c r="J2860" s="43" t="s">
        <v>35</v>
      </c>
      <c r="K2860" s="43" t="s">
        <v>88</v>
      </c>
      <c r="L2860" s="43" t="s">
        <v>82</v>
      </c>
      <c r="M2860" s="43" t="s">
        <v>24</v>
      </c>
      <c r="N2860" s="44">
        <v>10</v>
      </c>
      <c r="O2860" s="43" t="s">
        <v>94</v>
      </c>
      <c r="P2860" s="43" t="s">
        <v>114</v>
      </c>
      <c r="Q2860" s="43" t="s">
        <v>114</v>
      </c>
      <c r="R2860" s="43" t="s">
        <v>391</v>
      </c>
      <c r="S2860" s="43"/>
    </row>
    <row r="2861" spans="1:19" s="45" customFormat="1" ht="14.4" hidden="1">
      <c r="A2861" s="53">
        <f>IF(C2861="","",MAX($A$1:A2860)+1)</f>
        <v>2633</v>
      </c>
      <c r="B2861" s="25" t="s">
        <v>141</v>
      </c>
      <c r="C2861" s="41">
        <v>46105</v>
      </c>
      <c r="D2861" s="48" t="str">
        <f>_xlfn.XLOOKUP(Table134526_79101120212223242526[[#This Row],[Name Surname]],Manpower!$C$4:$C$1048576,Manpower!$B$4:$B$1048576,"")</f>
        <v>Encogroup</v>
      </c>
      <c r="E2861" s="43" t="s">
        <v>118</v>
      </c>
      <c r="F2861" s="12" t="str">
        <f>_xlfn.XLOOKUP(Table134526_79101120212223242526[[#This Row],[Name Surname]],Manpower!C:C,Manpower!D:D,)</f>
        <v>AG111207</v>
      </c>
      <c r="G2861" s="48" t="str">
        <f>_xlfn.XLOOKUP(Table134526_79101120212223242526[[#This Row],[Name Surname]],Manpower!$C$4:$C$1048576,Manpower!$F$4:$F$1048576,"")</f>
        <v>Assistant/Helper</v>
      </c>
      <c r="H2861" s="48" t="str">
        <f>_xlfn.XLOOKUP(Table134526_79101120212223242526[[#This Row],[Name Surname]],Manpower!$C$4:$C$1048576,Manpower!$H$4:$H$1048576,"")</f>
        <v>Manpower</v>
      </c>
      <c r="I2861" s="48" t="str">
        <f>_xlfn.XLOOKUP(Table134526_79101120212223242526[[#This Row],[Name Surname]],Manpower!$C$4:$C$1048576,Manpower!$H$4:$H$1048576,"")</f>
        <v>Manpower</v>
      </c>
      <c r="J2861" s="43" t="s">
        <v>35</v>
      </c>
      <c r="K2861" s="43" t="s">
        <v>88</v>
      </c>
      <c r="L2861" s="43" t="s">
        <v>82</v>
      </c>
      <c r="M2861" s="43" t="s">
        <v>24</v>
      </c>
      <c r="N2861" s="44">
        <v>10</v>
      </c>
      <c r="O2861" s="43" t="s">
        <v>94</v>
      </c>
      <c r="P2861" s="43" t="s">
        <v>114</v>
      </c>
      <c r="Q2861" s="43" t="s">
        <v>114</v>
      </c>
      <c r="R2861" s="43" t="s">
        <v>391</v>
      </c>
      <c r="S2861" s="43"/>
    </row>
    <row r="2862" spans="1:19" s="45" customFormat="1" ht="14.4" hidden="1">
      <c r="A2862" s="53">
        <f>IF(C2862="","",MAX($A$1:A2861)+1)</f>
        <v>2634</v>
      </c>
      <c r="B2862" s="25" t="s">
        <v>141</v>
      </c>
      <c r="C2862" s="41">
        <v>46105</v>
      </c>
      <c r="D2862" s="48" t="str">
        <f>_xlfn.XLOOKUP(Table134526_79101120212223242526[[#This Row],[Name Surname]],Manpower!$C$4:$C$1048576,Manpower!$B$4:$B$1048576,"")</f>
        <v>Encogroup</v>
      </c>
      <c r="E2862" s="43" t="s">
        <v>92</v>
      </c>
      <c r="F2862" s="12">
        <f>_xlfn.XLOOKUP(Table134526_79101120212223242526[[#This Row],[Name Surname]],Manpower!C:C,Manpower!D:D,)</f>
        <v>141377747</v>
      </c>
      <c r="G2862" s="48" t="str">
        <f>_xlfn.XLOOKUP(Table134526_79101120212223242526[[#This Row],[Name Surname]],Manpower!$C$4:$C$1048576,Manpower!$F$4:$F$1048576,"")</f>
        <v>Painter</v>
      </c>
      <c r="H2862" s="48" t="str">
        <f>_xlfn.XLOOKUP(Table134526_79101120212223242526[[#This Row],[Name Surname]],Manpower!$C$4:$C$1048576,Manpower!$H$4:$H$1048576,"")</f>
        <v>Manpower</v>
      </c>
      <c r="I2862" s="48" t="str">
        <f>_xlfn.XLOOKUP(Table134526_79101120212223242526[[#This Row],[Name Surname]],Manpower!$C$4:$C$1048576,Manpower!$H$4:$H$1048576,"")</f>
        <v>Manpower</v>
      </c>
      <c r="J2862" s="43" t="s">
        <v>35</v>
      </c>
      <c r="K2862" s="43" t="s">
        <v>409</v>
      </c>
      <c r="L2862" s="43" t="s">
        <v>82</v>
      </c>
      <c r="M2862" s="43" t="s">
        <v>24</v>
      </c>
      <c r="N2862" s="44">
        <v>10</v>
      </c>
      <c r="O2862" s="43" t="s">
        <v>25</v>
      </c>
      <c r="P2862" s="43" t="s">
        <v>60</v>
      </c>
      <c r="Q2862" s="43" t="s">
        <v>60</v>
      </c>
      <c r="R2862" s="43" t="s">
        <v>390</v>
      </c>
      <c r="S2862" s="43"/>
    </row>
    <row r="2863" spans="1:19" s="45" customFormat="1" ht="14.4" hidden="1">
      <c r="A2863" s="53">
        <f>IF(C2863="","",MAX($A$1:A2862)+1)</f>
        <v>2635</v>
      </c>
      <c r="B2863" s="25" t="s">
        <v>141</v>
      </c>
      <c r="C2863" s="41">
        <v>46105</v>
      </c>
      <c r="D2863" s="48" t="str">
        <f>_xlfn.XLOOKUP(Table134526_79101120212223242526[[#This Row],[Name Surname]],Manpower!$C$4:$C$1048576,Manpower!$B$4:$B$1048576,"")</f>
        <v>Encogroup</v>
      </c>
      <c r="E2863" s="43" t="s">
        <v>173</v>
      </c>
      <c r="F2863" s="12" t="str">
        <f>_xlfn.XLOOKUP(Table134526_79101120212223242526[[#This Row],[Name Surname]],Manpower!C:C,Manpower!D:D,)</f>
        <v>S3549132</v>
      </c>
      <c r="G2863" s="48" t="str">
        <f>_xlfn.XLOOKUP(Table134526_79101120212223242526[[#This Row],[Name Surname]],Manpower!$C$4:$C$1048576,Manpower!$F$4:$F$1048576,"")</f>
        <v>Grinder</v>
      </c>
      <c r="H2863" s="48" t="str">
        <f>_xlfn.XLOOKUP(Table134526_79101120212223242526[[#This Row],[Name Surname]],Manpower!$C$4:$C$1048576,Manpower!$H$4:$H$1048576,"")</f>
        <v>Manpower</v>
      </c>
      <c r="I2863" s="48" t="str">
        <f>_xlfn.XLOOKUP(Table134526_79101120212223242526[[#This Row],[Name Surname]],Manpower!$C$4:$C$1048576,Manpower!$H$4:$H$1048576,"")</f>
        <v>Manpower</v>
      </c>
      <c r="J2863" s="43" t="s">
        <v>35</v>
      </c>
      <c r="K2863" s="43" t="s">
        <v>88</v>
      </c>
      <c r="L2863" s="43" t="s">
        <v>82</v>
      </c>
      <c r="M2863" s="43" t="s">
        <v>24</v>
      </c>
      <c r="N2863" s="44">
        <v>10</v>
      </c>
      <c r="O2863" s="43" t="s">
        <v>94</v>
      </c>
      <c r="P2863" s="43" t="s">
        <v>114</v>
      </c>
      <c r="Q2863" s="43" t="s">
        <v>114</v>
      </c>
      <c r="R2863" s="43" t="s">
        <v>391</v>
      </c>
      <c r="S2863" s="43"/>
    </row>
    <row r="2864" spans="1:19" s="45" customFormat="1" ht="14.4" hidden="1">
      <c r="A2864" s="53">
        <f>IF(C2864="","",MAX($A$1:A2863)+1)</f>
        <v>2636</v>
      </c>
      <c r="B2864" s="25" t="s">
        <v>141</v>
      </c>
      <c r="C2864" s="41">
        <v>46105</v>
      </c>
      <c r="D2864" s="48" t="str">
        <f>_xlfn.XLOOKUP(Table134526_79101120212223242526[[#This Row],[Name Surname]],Manpower!$C$4:$C$1048576,Manpower!$B$4:$B$1048576,"")</f>
        <v>Encogroup</v>
      </c>
      <c r="E2864" s="43" t="s">
        <v>119</v>
      </c>
      <c r="F2864" s="12">
        <f>_xlfn.XLOOKUP(Table134526_79101120212223242526[[#This Row],[Name Surname]],Manpower!C:C,Manpower!D:D,)</f>
        <v>140844778</v>
      </c>
      <c r="G2864" s="48" t="str">
        <f>_xlfn.XLOOKUP(Table134526_79101120212223242526[[#This Row],[Name Surname]],Manpower!$C$4:$C$1048576,Manpower!$F$4:$F$1048576,"")</f>
        <v>Painter</v>
      </c>
      <c r="H2864" s="48" t="str">
        <f>_xlfn.XLOOKUP(Table134526_79101120212223242526[[#This Row],[Name Surname]],Manpower!$C$4:$C$1048576,Manpower!$H$4:$H$1048576,"")</f>
        <v>Manpower</v>
      </c>
      <c r="I2864" s="48" t="str">
        <f>_xlfn.XLOOKUP(Table134526_79101120212223242526[[#This Row],[Name Surname]],Manpower!$C$4:$C$1048576,Manpower!$H$4:$H$1048576,"")</f>
        <v>Manpower</v>
      </c>
      <c r="J2864" s="43" t="s">
        <v>35</v>
      </c>
      <c r="K2864" s="43" t="s">
        <v>88</v>
      </c>
      <c r="L2864" s="43" t="s">
        <v>82</v>
      </c>
      <c r="M2864" s="43" t="s">
        <v>24</v>
      </c>
      <c r="N2864" s="44">
        <v>10</v>
      </c>
      <c r="O2864" s="43" t="s">
        <v>94</v>
      </c>
      <c r="P2864" s="43" t="s">
        <v>114</v>
      </c>
      <c r="Q2864" s="43" t="s">
        <v>114</v>
      </c>
      <c r="R2864" s="43" t="s">
        <v>391</v>
      </c>
      <c r="S2864" s="43"/>
    </row>
    <row r="2865" spans="1:21" s="45" customFormat="1" ht="14.4" hidden="1">
      <c r="A2865" s="53">
        <f>IF(C2865="","",MAX($A$1:A2864)+1)</f>
        <v>2637</v>
      </c>
      <c r="B2865" s="25" t="s">
        <v>141</v>
      </c>
      <c r="C2865" s="41">
        <v>46105</v>
      </c>
      <c r="D2865" s="48" t="str">
        <f>_xlfn.XLOOKUP(Table134526_79101120212223242526[[#This Row],[Name Surname]],Manpower!$C$4:$C$1048576,Manpower!$B$4:$B$1048576,"")</f>
        <v>Encogroup</v>
      </c>
      <c r="E2865" s="43" t="s">
        <v>117</v>
      </c>
      <c r="F2865" s="12">
        <f>_xlfn.XLOOKUP(Table134526_79101120212223242526[[#This Row],[Name Surname]],Manpower!C:C,Manpower!D:D,)</f>
        <v>140844783</v>
      </c>
      <c r="G2865" s="48" t="str">
        <f>_xlfn.XLOOKUP(Table134526_79101120212223242526[[#This Row],[Name Surname]],Manpower!$C$4:$C$1048576,Manpower!$F$4:$F$1048576,"")</f>
        <v>Painter</v>
      </c>
      <c r="H2865" s="48" t="str">
        <f>_xlfn.XLOOKUP(Table134526_79101120212223242526[[#This Row],[Name Surname]],Manpower!$C$4:$C$1048576,Manpower!$H$4:$H$1048576,"")</f>
        <v>Manpower</v>
      </c>
      <c r="I2865" s="48" t="str">
        <f>_xlfn.XLOOKUP(Table134526_79101120212223242526[[#This Row],[Name Surname]],Manpower!$C$4:$C$1048576,Manpower!$H$4:$H$1048576,"")</f>
        <v>Manpower</v>
      </c>
      <c r="J2865" s="43" t="s">
        <v>35</v>
      </c>
      <c r="K2865" s="43" t="s">
        <v>88</v>
      </c>
      <c r="L2865" s="43" t="s">
        <v>82</v>
      </c>
      <c r="M2865" s="43" t="s">
        <v>24</v>
      </c>
      <c r="N2865" s="44">
        <v>10</v>
      </c>
      <c r="O2865" s="43" t="s">
        <v>94</v>
      </c>
      <c r="P2865" s="43" t="s">
        <v>114</v>
      </c>
      <c r="Q2865" s="43" t="s">
        <v>114</v>
      </c>
      <c r="R2865" s="43" t="s">
        <v>391</v>
      </c>
      <c r="S2865" s="43"/>
    </row>
    <row r="2866" spans="1:21" s="45" customFormat="1" ht="14.4" hidden="1">
      <c r="A2866" s="53">
        <f>IF(C2866="","",MAX($A$1:A2865)+1)</f>
        <v>2638</v>
      </c>
      <c r="B2866" s="25" t="s">
        <v>141</v>
      </c>
      <c r="C2866" s="41">
        <v>46105</v>
      </c>
      <c r="D2866" s="48" t="str">
        <f>_xlfn.XLOOKUP(Table134526_79101120212223242526[[#This Row],[Name Surname]],Manpower!$C$4:$C$1048576,Manpower!$B$4:$B$1048576,"")</f>
        <v>Encogroup</v>
      </c>
      <c r="E2866" s="43" t="s">
        <v>209</v>
      </c>
      <c r="F2866" s="12">
        <f>_xlfn.XLOOKUP(Table134526_79101120212223242526[[#This Row],[Name Surname]],Manpower!C:C,Manpower!D:D,)</f>
        <v>141365164</v>
      </c>
      <c r="G2866" s="48" t="str">
        <f>_xlfn.XLOOKUP(Table134526_79101120212223242526[[#This Row],[Name Surname]],Manpower!$C$4:$C$1048576,Manpower!$F$4:$F$1048576,"")</f>
        <v>Helper</v>
      </c>
      <c r="H2866" s="48" t="str">
        <f>_xlfn.XLOOKUP(Table134526_79101120212223242526[[#This Row],[Name Surname]],Manpower!$C$4:$C$1048576,Manpower!$H$4:$H$1048576,"")</f>
        <v>Manpower</v>
      </c>
      <c r="I2866" s="48" t="str">
        <f>_xlfn.XLOOKUP(Table134526_79101120212223242526[[#This Row],[Name Surname]],Manpower!$C$4:$C$1048576,Manpower!$H$4:$H$1048576,"")</f>
        <v>Manpower</v>
      </c>
      <c r="J2866" s="43" t="s">
        <v>35</v>
      </c>
      <c r="K2866" s="43" t="s">
        <v>88</v>
      </c>
      <c r="L2866" s="43" t="s">
        <v>82</v>
      </c>
      <c r="M2866" s="43" t="s">
        <v>24</v>
      </c>
      <c r="N2866" s="44">
        <v>10</v>
      </c>
      <c r="O2866" s="43" t="s">
        <v>94</v>
      </c>
      <c r="P2866" s="43" t="s">
        <v>114</v>
      </c>
      <c r="Q2866" s="43" t="s">
        <v>114</v>
      </c>
      <c r="R2866" s="43" t="s">
        <v>391</v>
      </c>
      <c r="S2866" s="43"/>
    </row>
    <row r="2867" spans="1:21" s="45" customFormat="1" ht="14.4" hidden="1">
      <c r="A2867" s="53">
        <f>IF(C2867="","",MAX($A$1:A2865)+1)</f>
        <v>2638</v>
      </c>
      <c r="B2867" s="25" t="s">
        <v>141</v>
      </c>
      <c r="C2867" s="41">
        <v>46105</v>
      </c>
      <c r="D2867" s="48" t="str">
        <f>_xlfn.XLOOKUP(Table134526_79101120212223242526[[#This Row],[Name Surname]],Manpower!$C$4:$C$1048576,Manpower!$B$4:$B$1048576,"")</f>
        <v>Encogroup</v>
      </c>
      <c r="E2867" s="43" t="s">
        <v>122</v>
      </c>
      <c r="F2867" s="12">
        <f>_xlfn.XLOOKUP(Table134526_79101120212223242526[[#This Row],[Name Surname]],Manpower!C:C,Manpower!D:D,)</f>
        <v>140805554</v>
      </c>
      <c r="G2867" s="48" t="str">
        <f>_xlfn.XLOOKUP(Table134526_79101120212223242526[[#This Row],[Name Surname]],Manpower!$C$4:$C$1048576,Manpower!$F$4:$F$1048576,"")</f>
        <v>Assistant/Helper</v>
      </c>
      <c r="H2867" s="48" t="str">
        <f>_xlfn.XLOOKUP(Table134526_79101120212223242526[[#This Row],[Name Surname]],Manpower!$C$4:$C$1048576,Manpower!$H$4:$H$1048576,"")</f>
        <v>Manpower</v>
      </c>
      <c r="I2867" s="48" t="str">
        <f>_xlfn.XLOOKUP(Table134526_79101120212223242526[[#This Row],[Name Surname]],Manpower!$C$4:$C$1048576,Manpower!$H$4:$H$1048576,"")</f>
        <v>Manpower</v>
      </c>
      <c r="J2867" s="43" t="s">
        <v>35</v>
      </c>
      <c r="K2867" s="43" t="s">
        <v>411</v>
      </c>
      <c r="L2867" s="43" t="s">
        <v>82</v>
      </c>
      <c r="M2867" s="43" t="s">
        <v>24</v>
      </c>
      <c r="N2867" s="44">
        <v>10</v>
      </c>
      <c r="O2867" s="43" t="s">
        <v>25</v>
      </c>
      <c r="P2867" s="43" t="s">
        <v>41</v>
      </c>
      <c r="Q2867" s="43" t="s">
        <v>77</v>
      </c>
      <c r="R2867" s="43" t="s">
        <v>386</v>
      </c>
      <c r="S2867" s="43"/>
    </row>
    <row r="2868" spans="1:21" ht="14.4" hidden="1">
      <c r="A2868" s="38">
        <f>IF(C2868="","",MAX($A$1:A2867)+1)</f>
        <v>2639</v>
      </c>
      <c r="B2868" s="36" t="s">
        <v>141</v>
      </c>
      <c r="C2868" s="23">
        <v>46105</v>
      </c>
      <c r="D2868" s="28" t="str">
        <f>_xlfn.XLOOKUP(Table134526_79101120212223242526[[#This Row],[Name Surname]],Manpower!$C$4:$C$1048576,Manpower!$B$4:$B$1048576,"")</f>
        <v>AL Saif &amp; Al QALLM ENT LLC</v>
      </c>
      <c r="E2868" s="21" t="s">
        <v>132</v>
      </c>
      <c r="F2868" s="12">
        <f>_xlfn.XLOOKUP(Table134526_79101120212223242526[[#This Row],[Name Surname]],Manpower!C:C,Manpower!D:D,)</f>
        <v>135762195</v>
      </c>
      <c r="G2868" s="28" t="str">
        <f>_xlfn.XLOOKUP(Table134526_79101120212223242526[[#This Row],[Name Surname]],Manpower!$C$4:$C$1048576,Manpower!$F$4:$F$1048576,"")</f>
        <v>HSE Officer</v>
      </c>
      <c r="H2868" s="28" t="str">
        <f>_xlfn.XLOOKUP(Table134526_79101120212223242526[[#This Row],[Name Surname]],Manpower!$C$4:$C$1048576,Manpower!$H$4:$H$1048576,"")</f>
        <v>Sub Contactor</v>
      </c>
      <c r="I2868" s="28" t="str">
        <f>_xlfn.XLOOKUP(Table134526_79101120212223242526[[#This Row],[Name Surname]],Manpower!$C$4:$C$1048576,Manpower!$H$4:$H$1048576,"")</f>
        <v>Sub Contactor</v>
      </c>
      <c r="J2868" s="21" t="s">
        <v>35</v>
      </c>
      <c r="K2868" s="21" t="s">
        <v>412</v>
      </c>
      <c r="L2868" s="21" t="s">
        <v>82</v>
      </c>
      <c r="M2868" s="21" t="s">
        <v>24</v>
      </c>
      <c r="N2868" s="29">
        <v>10</v>
      </c>
      <c r="O2868" s="21" t="s">
        <v>25</v>
      </c>
      <c r="P2868" s="21" t="s">
        <v>41</v>
      </c>
      <c r="Q2868" s="21" t="s">
        <v>60</v>
      </c>
      <c r="R2868" s="21" t="s">
        <v>413</v>
      </c>
    </row>
    <row r="2869" spans="1:21" s="45" customFormat="1" ht="14.4" hidden="1">
      <c r="A2869" s="53">
        <f>IF(C2869="","",MAX($A$1:A2868)+1)</f>
        <v>2640</v>
      </c>
      <c r="B2869" s="25" t="s">
        <v>141</v>
      </c>
      <c r="C2869" s="41">
        <v>46105</v>
      </c>
      <c r="D2869" s="48" t="str">
        <f>_xlfn.XLOOKUP(Table134526_79101120212223242526[[#This Row],[Name Surname]],Manpower!$C$4:$C$1048576,Manpower!$B$4:$B$1048576,"")</f>
        <v>Encogroup</v>
      </c>
      <c r="E2869" s="43" t="s">
        <v>133</v>
      </c>
      <c r="F2869" s="12">
        <f>_xlfn.XLOOKUP(Table134526_79101120212223242526[[#This Row],[Name Surname]],Manpower!C:C,Manpower!D:D,)</f>
        <v>140846684</v>
      </c>
      <c r="G2869" s="48" t="str">
        <f>_xlfn.XLOOKUP(Table134526_79101120212223242526[[#This Row],[Name Surname]],Manpower!$C$4:$C$1048576,Manpower!$F$4:$F$1048576,"")</f>
        <v>Assistant/Helper</v>
      </c>
      <c r="H2869" s="48" t="str">
        <f>_xlfn.XLOOKUP(Table134526_79101120212223242526[[#This Row],[Name Surname]],Manpower!$C$4:$C$1048576,Manpower!$H$4:$H$1048576,"")</f>
        <v>Manpower</v>
      </c>
      <c r="I2869" s="48" t="str">
        <f>_xlfn.XLOOKUP(Table134526_79101120212223242526[[#This Row],[Name Surname]],Manpower!$C$4:$C$1048576,Manpower!$H$4:$H$1048576,"")</f>
        <v>Manpower</v>
      </c>
      <c r="J2869" s="43" t="s">
        <v>35</v>
      </c>
      <c r="K2869" s="43" t="s">
        <v>409</v>
      </c>
      <c r="L2869" s="43" t="s">
        <v>82</v>
      </c>
      <c r="M2869" s="43" t="s">
        <v>24</v>
      </c>
      <c r="N2869" s="44">
        <v>10</v>
      </c>
      <c r="O2869" s="43" t="s">
        <v>25</v>
      </c>
      <c r="P2869" s="43" t="s">
        <v>41</v>
      </c>
      <c r="Q2869" s="43" t="s">
        <v>60</v>
      </c>
      <c r="R2869" s="43" t="s">
        <v>100</v>
      </c>
      <c r="S2869" s="43"/>
    </row>
    <row r="2870" spans="1:21" ht="14.4">
      <c r="A2870" s="38">
        <f>IF(C2870="","",MAX($A$1:A2869)+1)</f>
        <v>2641</v>
      </c>
      <c r="B2870" s="36" t="s">
        <v>141</v>
      </c>
      <c r="C2870" s="23">
        <v>46105</v>
      </c>
      <c r="D2870" s="28" t="str">
        <f>_xlfn.XLOOKUP(Table134526_79101120212223242526[[#This Row],[Name Surname]],Manpower!$C$4:$C$1048576,Manpower!$B$4:$B$1048576,"")</f>
        <v>Encogroup</v>
      </c>
      <c r="E2870" s="21" t="s">
        <v>137</v>
      </c>
      <c r="F2870" s="12" t="e">
        <f>_xlfn.XLOOKUP(Table134526_79101120212223242526[[#This Row],[Name Surname]],Manpower!C:C,Manpower!D:D,)</f>
        <v>#N/A</v>
      </c>
      <c r="G2870" s="28" t="str">
        <f>_xlfn.XLOOKUP(Table134526_79101120212223242526[[#This Row],[Name Surname]],Manpower!$C$4:$C$1048576,Manpower!$F$4:$F$1048576,"")</f>
        <v>55 Seat Bus</v>
      </c>
      <c r="H2870" s="28" t="str">
        <f>_xlfn.XLOOKUP(Table134526_79101120212223242526[[#This Row],[Name Surname]],Manpower!$C$4:$C$1048576,Manpower!$H$4:$H$1048576,"")</f>
        <v>Equipment</v>
      </c>
      <c r="I2870" s="28" t="str">
        <f>_xlfn.XLOOKUP(Table134526_79101120212223242526[[#This Row],[Name Surname]],Manpower!$C$4:$C$1048576,Manpower!$H$4:$H$1048576,"")</f>
        <v>Equipment</v>
      </c>
      <c r="J2870" s="21" t="s">
        <v>35</v>
      </c>
      <c r="K2870" s="21" t="s">
        <v>409</v>
      </c>
      <c r="L2870" s="21" t="s">
        <v>82</v>
      </c>
      <c r="M2870" s="21" t="s">
        <v>24</v>
      </c>
      <c r="N2870" s="29">
        <v>10</v>
      </c>
      <c r="O2870" s="21" t="s">
        <v>138</v>
      </c>
      <c r="P2870" s="21" t="s">
        <v>138</v>
      </c>
      <c r="Q2870" s="21" t="s">
        <v>138</v>
      </c>
      <c r="R2870" s="21" t="s">
        <v>26</v>
      </c>
    </row>
    <row r="2871" spans="1:21" ht="14.4">
      <c r="A2871" s="38">
        <f>IF(C2871="","",MAX($A$1:A2869)+1)</f>
        <v>2641</v>
      </c>
      <c r="B2871" s="36" t="s">
        <v>141</v>
      </c>
      <c r="C2871" s="23">
        <v>46105</v>
      </c>
      <c r="D2871" s="28" t="str">
        <f>_xlfn.XLOOKUP(Table134526_79101120212223242526[[#This Row],[Name Surname]],Manpower!$C$4:$C$1048576,Manpower!$B$4:$B$1048576,"")</f>
        <v>Encogroup</v>
      </c>
      <c r="E2871" s="21" t="s">
        <v>139</v>
      </c>
      <c r="F2871" s="12" t="e">
        <f>_xlfn.XLOOKUP(Table134526_79101120212223242526[[#This Row],[Name Surname]],Manpower!C:C,Manpower!D:D,)</f>
        <v>#N/A</v>
      </c>
      <c r="G2871" s="28" t="str">
        <f>_xlfn.XLOOKUP(Table134526_79101120212223242526[[#This Row],[Name Surname]],Manpower!$C$4:$C$1048576,Manpower!$F$4:$F$1048576,"")</f>
        <v>TOWER LIGHT</v>
      </c>
      <c r="H2871" s="28" t="str">
        <f>_xlfn.XLOOKUP(Table134526_79101120212223242526[[#This Row],[Name Surname]],Manpower!$C$4:$C$1048576,Manpower!$H$4:$H$1048576,"")</f>
        <v>Equipment</v>
      </c>
      <c r="I2871" s="28" t="str">
        <f>_xlfn.XLOOKUP(Table134526_79101120212223242526[[#This Row],[Name Surname]],Manpower!$C$4:$C$1048576,Manpower!$H$4:$H$1048576,"")</f>
        <v>Equipment</v>
      </c>
      <c r="J2871" s="21" t="s">
        <v>35</v>
      </c>
      <c r="K2871" s="21" t="s">
        <v>409</v>
      </c>
      <c r="L2871" s="21" t="s">
        <v>82</v>
      </c>
      <c r="M2871" s="21" t="s">
        <v>24</v>
      </c>
      <c r="N2871" s="29">
        <v>10</v>
      </c>
      <c r="O2871" s="21" t="s">
        <v>140</v>
      </c>
      <c r="P2871" s="21" t="s">
        <v>140</v>
      </c>
      <c r="Q2871" s="21" t="s">
        <v>140</v>
      </c>
      <c r="R2871" s="21" t="s">
        <v>26</v>
      </c>
    </row>
    <row r="2872" spans="1:21" ht="14.4">
      <c r="A2872" s="38">
        <f>IF(C2872="","",MAX($A$1:A2871)+1)</f>
        <v>2642</v>
      </c>
      <c r="B2872" s="36" t="s">
        <v>141</v>
      </c>
      <c r="C2872" s="23">
        <v>46105</v>
      </c>
      <c r="D2872" s="28" t="str">
        <f>_xlfn.XLOOKUP(Table134526_79101120212223242526[[#This Row],[Name Surname]],Manpower!$C$4:$C$1048576,Manpower!$B$4:$B$1048576,"")</f>
        <v>Encogroup</v>
      </c>
      <c r="E2872" s="21" t="s">
        <v>355</v>
      </c>
      <c r="F2872" s="12" t="e">
        <f>_xlfn.XLOOKUP(Table134526_79101120212223242526[[#This Row],[Name Surname]],Manpower!C:C,Manpower!D:D,)</f>
        <v>#N/A</v>
      </c>
      <c r="G2872" s="28" t="str">
        <f>_xlfn.XLOOKUP(Table134526_79101120212223242526[[#This Row],[Name Surname]],Manpower!$C$4:$C$1048576,Manpower!$F$4:$F$1048576,"")</f>
        <v>TOWER LIGHT</v>
      </c>
      <c r="H2872" s="28" t="str">
        <f>_xlfn.XLOOKUP(Table134526_79101120212223242526[[#This Row],[Name Surname]],Manpower!$C$4:$C$1048576,Manpower!$H$4:$H$1048576,"")</f>
        <v>Equipment</v>
      </c>
      <c r="I2872" s="28" t="str">
        <f>_xlfn.XLOOKUP(Table134526_79101120212223242526[[#This Row],[Name Surname]],Manpower!$C$4:$C$1048576,Manpower!$H$4:$H$1048576,"")</f>
        <v>Equipment</v>
      </c>
      <c r="J2872" s="21" t="s">
        <v>35</v>
      </c>
      <c r="K2872" s="21" t="s">
        <v>409</v>
      </c>
      <c r="L2872" s="21" t="s">
        <v>82</v>
      </c>
      <c r="M2872" s="21" t="s">
        <v>24</v>
      </c>
      <c r="N2872" s="29">
        <v>10</v>
      </c>
      <c r="O2872" s="21" t="s">
        <v>140</v>
      </c>
      <c r="P2872" s="21" t="s">
        <v>140</v>
      </c>
      <c r="Q2872" s="21" t="s">
        <v>140</v>
      </c>
      <c r="R2872" s="21" t="s">
        <v>26</v>
      </c>
    </row>
    <row r="2873" spans="1:21" ht="14.4">
      <c r="A2873" s="38">
        <f>IF(C2873="","",MAX($A$1:A2872)+1)</f>
        <v>2643</v>
      </c>
      <c r="B2873" s="27" t="s">
        <v>141</v>
      </c>
      <c r="C2873" s="23">
        <v>46105</v>
      </c>
      <c r="D2873" s="28" t="str">
        <f>_xlfn.XLOOKUP(Table134526_79101120212223242526[[#This Row],[Name Surname]],Manpower!$C$4:$C$1048576,Manpower!$B$4:$B$1048576,"")</f>
        <v>Nass Group</v>
      </c>
      <c r="E2873" s="21" t="s">
        <v>148</v>
      </c>
      <c r="F2873" s="12" t="e">
        <f>_xlfn.XLOOKUP(Table134526_79101120212223242526[[#This Row],[Name Surname]],Manpower!C:C,Manpower!D:D,)</f>
        <v>#N/A</v>
      </c>
      <c r="G2873" s="28" t="str">
        <f>_xlfn.XLOOKUP(Table134526_79101120212223242526[[#This Row],[Name Surname]],Manpower!$C$4:$C$1048576,Manpower!$F$4:$F$1048576,"")</f>
        <v>70T-Telescopic crane</v>
      </c>
      <c r="H2873" s="28" t="str">
        <f>_xlfn.XLOOKUP(Table134526_79101120212223242526[[#This Row],[Name Surname]],Manpower!$C$4:$C$1048576,Manpower!$H$4:$H$1048576,"")</f>
        <v>Equipment</v>
      </c>
      <c r="I2873" s="28" t="str">
        <f>_xlfn.XLOOKUP(Table134526_79101120212223242526[[#This Row],[Name Surname]],Manpower!$C$4:$C$1048576,Manpower!$H$4:$H$1048576,"")</f>
        <v>Equipment</v>
      </c>
      <c r="J2873" s="21" t="s">
        <v>143</v>
      </c>
      <c r="K2873" s="21" t="s">
        <v>26</v>
      </c>
      <c r="L2873" s="21" t="s">
        <v>144</v>
      </c>
      <c r="M2873" s="21" t="s">
        <v>24</v>
      </c>
      <c r="N2873" s="29">
        <v>10</v>
      </c>
      <c r="O2873" s="21" t="s">
        <v>40</v>
      </c>
      <c r="P2873" s="21" t="s">
        <v>42</v>
      </c>
      <c r="Q2873" s="21" t="s">
        <v>42</v>
      </c>
      <c r="R2873" s="21" t="s">
        <v>402</v>
      </c>
    </row>
    <row r="2874" spans="1:21" s="45" customFormat="1" ht="14.4" hidden="1">
      <c r="A2874" s="53">
        <f>IF(C2874="","",MAX($A$1:A2873)+1)</f>
        <v>2644</v>
      </c>
      <c r="B2874" s="25" t="s">
        <v>141</v>
      </c>
      <c r="C2874" s="41">
        <v>46105</v>
      </c>
      <c r="D2874" s="48" t="str">
        <f>_xlfn.XLOOKUP(Table134526_79101120212223242526[[#This Row],[Name Surname]],Manpower!$C$4:$C$1048576,Manpower!$B$4:$B$1048576,"")</f>
        <v>SARENS NASS</v>
      </c>
      <c r="E2874" s="43" t="s">
        <v>162</v>
      </c>
      <c r="F2874" s="12">
        <f>_xlfn.XLOOKUP(Table134526_79101120212223242526[[#This Row],[Name Surname]],Manpower!C:C,Manpower!D:D,)</f>
        <v>78753612</v>
      </c>
      <c r="G2874" s="48" t="str">
        <f>_xlfn.XLOOKUP(Table134526_79101120212223242526[[#This Row],[Name Surname]],Manpower!$C$4:$C$1048576,Manpower!$F$4:$F$1048576,"")</f>
        <v>Crane Operator- 70T Liebherr Telescopic Crane-02</v>
      </c>
      <c r="H2874" s="48" t="str">
        <f>_xlfn.XLOOKUP(Table134526_79101120212223242526[[#This Row],[Name Surname]],Manpower!$C$4:$C$1048576,Manpower!$H$4:$H$1048576,"")</f>
        <v>Manpower</v>
      </c>
      <c r="I2874" s="48" t="str">
        <f>_xlfn.XLOOKUP(Table134526_79101120212223242526[[#This Row],[Name Surname]],Manpower!$C$4:$C$1048576,Manpower!$H$4:$H$1048576,"")</f>
        <v>Manpower</v>
      </c>
      <c r="J2874" s="43" t="s">
        <v>143</v>
      </c>
      <c r="K2874" s="43" t="s">
        <v>26</v>
      </c>
      <c r="L2874" s="43" t="s">
        <v>144</v>
      </c>
      <c r="M2874" s="43" t="s">
        <v>24</v>
      </c>
      <c r="N2874" s="44">
        <v>10</v>
      </c>
      <c r="O2874" s="43" t="s">
        <v>40</v>
      </c>
      <c r="P2874" s="43" t="s">
        <v>42</v>
      </c>
      <c r="Q2874" s="43" t="s">
        <v>42</v>
      </c>
      <c r="R2874" s="43" t="s">
        <v>402</v>
      </c>
      <c r="S2874" s="43"/>
    </row>
    <row r="2875" spans="1:21" s="45" customFormat="1" ht="14.4" hidden="1">
      <c r="A2875" s="53">
        <f>IF(C2875="","",MAX($A$1:A2874)+1)</f>
        <v>2645</v>
      </c>
      <c r="B2875" s="25" t="s">
        <v>141</v>
      </c>
      <c r="C2875" s="41">
        <v>46105</v>
      </c>
      <c r="D2875" s="48" t="str">
        <f>_xlfn.XLOOKUP(Table134526_79101120212223242526[[#This Row],[Name Surname]],Manpower!$C$4:$C$1048576,Manpower!$B$4:$B$1048576,"")</f>
        <v>Rial Al Khaleej</v>
      </c>
      <c r="E2875" s="43" t="s">
        <v>38</v>
      </c>
      <c r="F2875" s="12">
        <f>_xlfn.XLOOKUP(Table134526_79101120212223242526[[#This Row],[Name Surname]],Manpower!C:C,Manpower!D:D,)</f>
        <v>98845403</v>
      </c>
      <c r="G2875" s="48" t="str">
        <f>_xlfn.XLOOKUP(Table134526_79101120212223242526[[#This Row],[Name Surname]],Manpower!$C$4:$C$1048576,Manpower!$F$4:$F$1048576,"")</f>
        <v>Crane Operator-100T Zoomlion Telescopic</v>
      </c>
      <c r="H2875" s="48" t="str">
        <f>_xlfn.XLOOKUP(Table134526_79101120212223242526[[#This Row],[Name Surname]],Manpower!$C$4:$C$1048576,Manpower!$H$4:$H$1048576,"")</f>
        <v>Manpower</v>
      </c>
      <c r="I2875" s="48" t="str">
        <f>_xlfn.XLOOKUP(Table134526_79101120212223242526[[#This Row],[Name Surname]],Manpower!$C$4:$C$1048576,Manpower!$H$4:$H$1048576,"")</f>
        <v>Manpower</v>
      </c>
      <c r="J2875" s="43" t="s">
        <v>143</v>
      </c>
      <c r="K2875" s="43" t="s">
        <v>26</v>
      </c>
      <c r="L2875" s="43" t="s">
        <v>144</v>
      </c>
      <c r="M2875" s="43" t="s">
        <v>24</v>
      </c>
      <c r="N2875" s="44">
        <v>5</v>
      </c>
      <c r="O2875" s="43" t="s">
        <v>40</v>
      </c>
      <c r="P2875" s="43" t="s">
        <v>42</v>
      </c>
      <c r="Q2875" s="43" t="s">
        <v>42</v>
      </c>
      <c r="R2875" s="43" t="s">
        <v>402</v>
      </c>
      <c r="S2875" s="43"/>
    </row>
    <row r="2876" spans="1:21" s="45" customFormat="1" ht="14.4">
      <c r="A2876" s="53">
        <f>IF(C2876="","",MAX($A$1:A2875)+1)</f>
        <v>2646</v>
      </c>
      <c r="B2876" s="25" t="s">
        <v>141</v>
      </c>
      <c r="C2876" s="41">
        <v>46105</v>
      </c>
      <c r="D2876" s="48" t="str">
        <f>_xlfn.XLOOKUP(Table134526_79101120212223242526[[#This Row],[Name Surname]],Manpower!$C$4:$C$1048576,Manpower!$B$4:$B$1048576,"")</f>
        <v>Riyan Al Khaleej</v>
      </c>
      <c r="E2876" s="43" t="s">
        <v>20</v>
      </c>
      <c r="F2876" s="12" t="e">
        <f>_xlfn.XLOOKUP(Table134526_79101120212223242526[[#This Row],[Name Surname]],Manpower!C:C,Manpower!D:D,)</f>
        <v>#N/A</v>
      </c>
      <c r="G2876" s="48" t="str">
        <f>_xlfn.XLOOKUP(Table134526_79101120212223242526[[#This Row],[Name Surname]],Manpower!$C$4:$C$1048576,Manpower!$F$4:$F$1048576,"")</f>
        <v>100T Telescopic Crane</v>
      </c>
      <c r="H2876" s="48" t="str">
        <f>_xlfn.XLOOKUP(Table134526_79101120212223242526[[#This Row],[Name Surname]],Manpower!$C$4:$C$1048576,Manpower!$H$4:$H$1048576,"")</f>
        <v>Equipment</v>
      </c>
      <c r="I2876" s="48" t="str">
        <f>_xlfn.XLOOKUP(Table134526_79101120212223242526[[#This Row],[Name Surname]],Manpower!$C$4:$C$1048576,Manpower!$H$4:$H$1048576,"")</f>
        <v>Equipment</v>
      </c>
      <c r="J2876" s="43" t="s">
        <v>143</v>
      </c>
      <c r="K2876" s="43" t="s">
        <v>26</v>
      </c>
      <c r="L2876" s="43" t="s">
        <v>144</v>
      </c>
      <c r="M2876" s="43" t="s">
        <v>24</v>
      </c>
      <c r="N2876" s="44">
        <v>5</v>
      </c>
      <c r="O2876" s="43"/>
      <c r="P2876" s="43"/>
      <c r="Q2876" s="43"/>
      <c r="R2876" s="43" t="s">
        <v>402</v>
      </c>
      <c r="S2876" s="43" t="s">
        <v>42</v>
      </c>
      <c r="T2876" s="43" t="s">
        <v>42</v>
      </c>
      <c r="U2876" s="43" t="s">
        <v>402</v>
      </c>
    </row>
    <row r="2877" spans="1:21" ht="14.4">
      <c r="A2877" s="38">
        <f>IF(C2877="","",MAX($A$1:A2874)+1)</f>
        <v>2645</v>
      </c>
      <c r="B2877" s="27" t="s">
        <v>141</v>
      </c>
      <c r="C2877" s="23">
        <v>46105</v>
      </c>
      <c r="D2877" s="28" t="str">
        <f>_xlfn.XLOOKUP(Table134526_79101120212223242526[[#This Row],[Name Surname]],Manpower!$C$4:$C$1048576,Manpower!$B$4:$B$1048576,"")</f>
        <v>Encogroup</v>
      </c>
      <c r="E2877" s="21" t="s">
        <v>142</v>
      </c>
      <c r="F2877" s="12" t="e">
        <f>_xlfn.XLOOKUP(Table134526_79101120212223242526[[#This Row],[Name Surname]],Manpower!C:C,Manpower!D:D,)</f>
        <v>#N/A</v>
      </c>
      <c r="G2877" s="28" t="str">
        <f>_xlfn.XLOOKUP(Table134526_79101120212223242526[[#This Row],[Name Surname]],Manpower!$C$4:$C$1048576,Manpower!$F$4:$F$1048576,"")</f>
        <v>13 Seat Bus</v>
      </c>
      <c r="H2877" s="28" t="str">
        <f>_xlfn.XLOOKUP(Table134526_79101120212223242526[[#This Row],[Name Surname]],Manpower!$C$4:$C$1048576,Manpower!$H$4:$H$1048576,"")</f>
        <v>Equipment</v>
      </c>
      <c r="I2877" s="28" t="str">
        <f>_xlfn.XLOOKUP(Table134526_79101120212223242526[[#This Row],[Name Surname]],Manpower!$C$4:$C$1048576,Manpower!$H$4:$H$1048576,"")</f>
        <v>Equipment</v>
      </c>
      <c r="J2877" s="21" t="s">
        <v>143</v>
      </c>
      <c r="K2877" s="21" t="s">
        <v>26</v>
      </c>
      <c r="L2877" s="21" t="s">
        <v>144</v>
      </c>
      <c r="M2877" s="21" t="s">
        <v>24</v>
      </c>
      <c r="N2877" s="29">
        <v>10</v>
      </c>
      <c r="O2877" s="21" t="s">
        <v>138</v>
      </c>
      <c r="P2877" s="21" t="s">
        <v>138</v>
      </c>
      <c r="Q2877" s="21" t="s">
        <v>138</v>
      </c>
      <c r="R2877" s="21" t="s">
        <v>26</v>
      </c>
    </row>
    <row r="2878" spans="1:21" ht="14.4">
      <c r="A2878" s="38">
        <f>IF(C2878="","",MAX($A$1:A2877)+1)</f>
        <v>2647</v>
      </c>
      <c r="B2878" s="27" t="s">
        <v>141</v>
      </c>
      <c r="C2878" s="23">
        <v>46105</v>
      </c>
      <c r="D2878" s="28" t="str">
        <f>_xlfn.XLOOKUP(Table134526_79101120212223242526[[#This Row],[Name Surname]],Manpower!$C$4:$C$1048576,Manpower!$B$4:$B$1048576,"")</f>
        <v>Encogroup</v>
      </c>
      <c r="E2878" s="21" t="s">
        <v>145</v>
      </c>
      <c r="F2878" s="12" t="e">
        <f>_xlfn.XLOOKUP(Table134526_79101120212223242526[[#This Row],[Name Surname]],Manpower!C:C,Manpower!D:D,)</f>
        <v>#N/A</v>
      </c>
      <c r="G2878" s="28" t="str">
        <f>_xlfn.XLOOKUP(Table134526_79101120212223242526[[#This Row],[Name Surname]],Manpower!$C$4:$C$1048576,Manpower!$F$4:$F$1048576,"")</f>
        <v>15 Seat Bus</v>
      </c>
      <c r="H2878" s="28" t="str">
        <f>_xlfn.XLOOKUP(Table134526_79101120212223242526[[#This Row],[Name Surname]],Manpower!$C$4:$C$1048576,Manpower!$H$4:$H$1048576,"")</f>
        <v>Equipment</v>
      </c>
      <c r="I2878" s="28" t="str">
        <f>_xlfn.XLOOKUP(Table134526_79101120212223242526[[#This Row],[Name Surname]],Manpower!$C$4:$C$1048576,Manpower!$H$4:$H$1048576,"")</f>
        <v>Equipment</v>
      </c>
      <c r="J2878" s="21" t="s">
        <v>143</v>
      </c>
      <c r="K2878" s="21" t="s">
        <v>26</v>
      </c>
      <c r="L2878" s="21" t="s">
        <v>144</v>
      </c>
      <c r="M2878" s="21" t="s">
        <v>24</v>
      </c>
      <c r="N2878" s="29">
        <v>10</v>
      </c>
      <c r="O2878" s="21" t="s">
        <v>138</v>
      </c>
      <c r="P2878" s="21" t="s">
        <v>138</v>
      </c>
      <c r="Q2878" s="21" t="s">
        <v>138</v>
      </c>
      <c r="R2878" s="21" t="s">
        <v>26</v>
      </c>
    </row>
    <row r="2879" spans="1:21" ht="14.4">
      <c r="A2879" s="38">
        <f>IF(C2879="","",MAX($A$1:A2877)+1)</f>
        <v>2647</v>
      </c>
      <c r="B2879" s="27" t="s">
        <v>141</v>
      </c>
      <c r="C2879" s="23">
        <v>46105</v>
      </c>
      <c r="D2879" s="28" t="str">
        <f>_xlfn.XLOOKUP(Table134526_79101120212223242526[[#This Row],[Name Surname]],Manpower!$C$4:$C$1048576,Manpower!$B$4:$B$1048576,"")</f>
        <v>Encogroup</v>
      </c>
      <c r="E2879" s="21" t="s">
        <v>150</v>
      </c>
      <c r="F2879" s="12" t="e">
        <f>_xlfn.XLOOKUP(Table134526_79101120212223242526[[#This Row],[Name Surname]],Manpower!C:C,Manpower!D:D,)</f>
        <v>#N/A</v>
      </c>
      <c r="G2879" s="28" t="str">
        <f>_xlfn.XLOOKUP(Table134526_79101120212223242526[[#This Row],[Name Surname]],Manpower!$C$4:$C$1048576,Manpower!$F$4:$F$1048576,"")</f>
        <v>14T Fork lift</v>
      </c>
      <c r="H2879" s="28" t="str">
        <f>_xlfn.XLOOKUP(Table134526_79101120212223242526[[#This Row],[Name Surname]],Manpower!$C$4:$C$1048576,Manpower!$H$4:$H$1048576,"")</f>
        <v>Equipment</v>
      </c>
      <c r="I2879" s="28" t="str">
        <f>_xlfn.XLOOKUP(Table134526_79101120212223242526[[#This Row],[Name Surname]],Manpower!$C$4:$C$1048576,Manpower!$H$4:$H$1048576,"")</f>
        <v>Equipment</v>
      </c>
      <c r="J2879" s="21" t="s">
        <v>143</v>
      </c>
      <c r="K2879" s="21" t="s">
        <v>26</v>
      </c>
      <c r="L2879" s="21" t="s">
        <v>144</v>
      </c>
      <c r="M2879" s="21" t="s">
        <v>24</v>
      </c>
      <c r="N2879" s="29">
        <v>10</v>
      </c>
      <c r="O2879" s="21" t="s">
        <v>40</v>
      </c>
      <c r="P2879" s="21" t="s">
        <v>42</v>
      </c>
      <c r="Q2879" s="21" t="s">
        <v>41</v>
      </c>
      <c r="R2879" s="21" t="s">
        <v>272</v>
      </c>
    </row>
    <row r="2880" spans="1:21" ht="14.4">
      <c r="A2880" s="38">
        <f>IF(C2880="","",MAX($A$1:A2879)+1)</f>
        <v>2648</v>
      </c>
      <c r="B2880" s="27" t="s">
        <v>141</v>
      </c>
      <c r="C2880" s="23">
        <v>46105</v>
      </c>
      <c r="D2880" s="28" t="str">
        <f>_xlfn.XLOOKUP(Table134526_79101120212223242526[[#This Row],[Name Surname]],Manpower!$C$4:$C$1048576,Manpower!$B$4:$B$1048576,"")</f>
        <v>Encogroup</v>
      </c>
      <c r="E2880" s="21" t="s">
        <v>153</v>
      </c>
      <c r="F2880" s="12" t="e">
        <f>_xlfn.XLOOKUP(Table134526_79101120212223242526[[#This Row],[Name Surname]],Manpower!C:C,Manpower!D:D,)</f>
        <v>#N/A</v>
      </c>
      <c r="G2880" s="28" t="str">
        <f>_xlfn.XLOOKUP(Table134526_79101120212223242526[[#This Row],[Name Surname]],Manpower!$C$4:$C$1048576,Manpower!$F$4:$F$1048576,"")</f>
        <v>22 Seat Bus</v>
      </c>
      <c r="H2880" s="28" t="str">
        <f>_xlfn.XLOOKUP(Table134526_79101120212223242526[[#This Row],[Name Surname]],Manpower!$C$4:$C$1048576,Manpower!$H$4:$H$1048576,"")</f>
        <v>Equipment</v>
      </c>
      <c r="I2880" s="28" t="str">
        <f>_xlfn.XLOOKUP(Table134526_79101120212223242526[[#This Row],[Name Surname]],Manpower!$C$4:$C$1048576,Manpower!$H$4:$H$1048576,"")</f>
        <v>Equipment</v>
      </c>
      <c r="J2880" s="21" t="s">
        <v>143</v>
      </c>
      <c r="K2880" s="21" t="s">
        <v>26</v>
      </c>
      <c r="L2880" s="21" t="s">
        <v>144</v>
      </c>
      <c r="M2880" s="21" t="s">
        <v>24</v>
      </c>
      <c r="N2880" s="29">
        <v>10</v>
      </c>
      <c r="O2880" s="21" t="s">
        <v>138</v>
      </c>
      <c r="P2880" s="21" t="s">
        <v>138</v>
      </c>
      <c r="Q2880" s="21" t="s">
        <v>138</v>
      </c>
      <c r="R2880" s="21" t="s">
        <v>26</v>
      </c>
    </row>
    <row r="2881" spans="1:19" ht="14.4">
      <c r="A2881" s="38">
        <f>IF(C2881="","",MAX($A$1:A2880)+1)</f>
        <v>2649</v>
      </c>
      <c r="B2881" s="27" t="s">
        <v>141</v>
      </c>
      <c r="C2881" s="23">
        <v>46105</v>
      </c>
      <c r="D2881" s="28" t="str">
        <f>_xlfn.XLOOKUP(Table134526_79101120212223242526[[#This Row],[Name Surname]],Manpower!$C$4:$C$1048576,Manpower!$B$4:$B$1048576,"")</f>
        <v>Encogroup</v>
      </c>
      <c r="E2881" s="21" t="s">
        <v>154</v>
      </c>
      <c r="F2881" s="12" t="e">
        <f>_xlfn.XLOOKUP(Table134526_79101120212223242526[[#This Row],[Name Surname]],Manpower!C:C,Manpower!D:D,)</f>
        <v>#N/A</v>
      </c>
      <c r="G2881" s="28" t="str">
        <f>_xlfn.XLOOKUP(Table134526_79101120212223242526[[#This Row],[Name Surname]],Manpower!$C$4:$C$1048576,Manpower!$F$4:$F$1048576,"")</f>
        <v>22 Seat Bus</v>
      </c>
      <c r="H2881" s="28" t="str">
        <f>_xlfn.XLOOKUP(Table134526_79101120212223242526[[#This Row],[Name Surname]],Manpower!$C$4:$C$1048576,Manpower!$H$4:$H$1048576,"")</f>
        <v>Equipment</v>
      </c>
      <c r="I2881" s="28" t="str">
        <f>_xlfn.XLOOKUP(Table134526_79101120212223242526[[#This Row],[Name Surname]],Manpower!$C$4:$C$1048576,Manpower!$H$4:$H$1048576,"")</f>
        <v>Equipment</v>
      </c>
      <c r="J2881" s="21" t="s">
        <v>143</v>
      </c>
      <c r="K2881" s="21" t="s">
        <v>26</v>
      </c>
      <c r="L2881" s="21" t="s">
        <v>144</v>
      </c>
      <c r="M2881" s="21" t="s">
        <v>24</v>
      </c>
      <c r="N2881" s="29">
        <v>10</v>
      </c>
      <c r="O2881" s="21" t="s">
        <v>138</v>
      </c>
      <c r="P2881" s="21" t="s">
        <v>138</v>
      </c>
      <c r="Q2881" s="21" t="s">
        <v>138</v>
      </c>
      <c r="R2881" s="21" t="s">
        <v>26</v>
      </c>
    </row>
    <row r="2882" spans="1:19" ht="14.4">
      <c r="A2882" s="38">
        <f>IF(C2882="","",MAX($A$1:A2881)+1)</f>
        <v>2650</v>
      </c>
      <c r="B2882" s="27" t="s">
        <v>141</v>
      </c>
      <c r="C2882" s="23">
        <v>46105</v>
      </c>
      <c r="D2882" s="28" t="str">
        <f>_xlfn.XLOOKUP(Table134526_79101120212223242526[[#This Row],[Name Surname]],Manpower!$C$4:$C$1048576,Manpower!$B$4:$B$1048576,"")</f>
        <v>Encogroup</v>
      </c>
      <c r="E2882" s="21" t="s">
        <v>155</v>
      </c>
      <c r="F2882" s="12" t="e">
        <f>_xlfn.XLOOKUP(Table134526_79101120212223242526[[#This Row],[Name Surname]],Manpower!C:C,Manpower!D:D,)</f>
        <v>#N/A</v>
      </c>
      <c r="G2882" s="28" t="str">
        <f>_xlfn.XLOOKUP(Table134526_79101120212223242526[[#This Row],[Name Surname]],Manpower!$C$4:$C$1048576,Manpower!$F$4:$F$1048576,"")</f>
        <v>300 KVA Generator</v>
      </c>
      <c r="H2882" s="28" t="str">
        <f>_xlfn.XLOOKUP(Table134526_79101120212223242526[[#This Row],[Name Surname]],Manpower!$C$4:$C$1048576,Manpower!$H$4:$H$1048576,"")</f>
        <v>Equipment</v>
      </c>
      <c r="I2882" s="28" t="str">
        <f>_xlfn.XLOOKUP(Table134526_79101120212223242526[[#This Row],[Name Surname]],Manpower!$C$4:$C$1048576,Manpower!$H$4:$H$1048576,"")</f>
        <v>Equipment</v>
      </c>
      <c r="J2882" s="21" t="s">
        <v>143</v>
      </c>
      <c r="K2882" s="21" t="s">
        <v>26</v>
      </c>
      <c r="L2882" s="21" t="s">
        <v>144</v>
      </c>
      <c r="M2882" s="21" t="s">
        <v>24</v>
      </c>
      <c r="N2882" s="29">
        <v>10</v>
      </c>
      <c r="O2882" s="21" t="s">
        <v>140</v>
      </c>
      <c r="P2882" s="21" t="s">
        <v>140</v>
      </c>
      <c r="Q2882" s="21" t="s">
        <v>140</v>
      </c>
      <c r="R2882" s="21" t="s">
        <v>26</v>
      </c>
    </row>
    <row r="2883" spans="1:19" ht="14.4">
      <c r="A2883" s="38">
        <f>IF(C2883="","",MAX($A$1:A2882)+1)</f>
        <v>2651</v>
      </c>
      <c r="B2883" s="27" t="s">
        <v>141</v>
      </c>
      <c r="C2883" s="23">
        <v>46105</v>
      </c>
      <c r="D2883" s="28" t="str">
        <f>_xlfn.XLOOKUP(Table134526_79101120212223242526[[#This Row],[Name Surname]],Manpower!$C$4:$C$1048576,Manpower!$B$4:$B$1048576,"")</f>
        <v>Encogroup</v>
      </c>
      <c r="E2883" s="23" t="s">
        <v>156</v>
      </c>
      <c r="F2883" s="12" t="e">
        <f>_xlfn.XLOOKUP(Table134526_79101120212223242526[[#This Row],[Name Surname]],Manpower!C:C,Manpower!D:D,)</f>
        <v>#N/A</v>
      </c>
      <c r="G2883" s="28" t="str">
        <f>_xlfn.XLOOKUP(Table134526_79101120212223242526[[#This Row],[Name Surname]],Manpower!$C$4:$C$1048576,Manpower!$F$4:$F$1048576,"")</f>
        <v>35 KVA Generator</v>
      </c>
      <c r="H2883" s="28" t="str">
        <f>_xlfn.XLOOKUP(Table134526_79101120212223242526[[#This Row],[Name Surname]],Manpower!$C$4:$C$1048576,Manpower!$H$4:$H$1048576,"")</f>
        <v>Equipment</v>
      </c>
      <c r="I2883" s="28" t="str">
        <f>_xlfn.XLOOKUP(Table134526_79101120212223242526[[#This Row],[Name Surname]],Manpower!$C$4:$C$1048576,Manpower!$H$4:$H$1048576,"")</f>
        <v>Equipment</v>
      </c>
      <c r="J2883" s="21" t="s">
        <v>143</v>
      </c>
      <c r="K2883" s="21" t="s">
        <v>26</v>
      </c>
      <c r="L2883" s="21" t="s">
        <v>144</v>
      </c>
      <c r="M2883" s="21" t="s">
        <v>55</v>
      </c>
      <c r="N2883" s="29">
        <v>10</v>
      </c>
      <c r="R2883" s="21" t="s">
        <v>56</v>
      </c>
    </row>
    <row r="2884" spans="1:19" ht="14.4">
      <c r="A2884" s="38">
        <f>IF(C2884="","",MAX($A$1:A2883)+1)</f>
        <v>2652</v>
      </c>
      <c r="B2884" s="27" t="s">
        <v>141</v>
      </c>
      <c r="C2884" s="23">
        <v>46105</v>
      </c>
      <c r="D2884" s="28" t="str">
        <f>_xlfn.XLOOKUP(Table134526_79101120212223242526[[#This Row],[Name Surname]],Manpower!$C$4:$C$1048576,Manpower!$B$4:$B$1048576,"")</f>
        <v>Encogroup</v>
      </c>
      <c r="E2884" s="21" t="s">
        <v>342</v>
      </c>
      <c r="F2884" s="12" t="e">
        <f>_xlfn.XLOOKUP(Table134526_79101120212223242526[[#This Row],[Name Surname]],Manpower!C:C,Manpower!D:D,)</f>
        <v>#N/A</v>
      </c>
      <c r="G2884" s="28" t="str">
        <f>_xlfn.XLOOKUP(Table134526_79101120212223242526[[#This Row],[Name Surname]],Manpower!$C$4:$C$1048576,Manpower!$F$4:$F$1048576,"")</f>
        <v>SCISSOR LIFT</v>
      </c>
      <c r="H2884" s="28" t="str">
        <f>_xlfn.XLOOKUP(Table134526_79101120212223242526[[#This Row],[Name Surname]],Manpower!$C$4:$C$1048576,Manpower!$H$4:$H$1048576,"")</f>
        <v>Equipment</v>
      </c>
      <c r="I2884" s="28" t="str">
        <f>_xlfn.XLOOKUP(Table134526_79101120212223242526[[#This Row],[Name Surname]],Manpower!$C$4:$C$1048576,Manpower!$H$4:$H$1048576,"")</f>
        <v>Equipment</v>
      </c>
      <c r="J2884" s="21" t="s">
        <v>143</v>
      </c>
      <c r="K2884" s="21" t="s">
        <v>26</v>
      </c>
      <c r="L2884" s="21" t="s">
        <v>144</v>
      </c>
      <c r="M2884" s="21" t="s">
        <v>55</v>
      </c>
      <c r="N2884" s="29">
        <v>10</v>
      </c>
      <c r="R2884" s="21" t="s">
        <v>56</v>
      </c>
    </row>
    <row r="2885" spans="1:19" s="45" customFormat="1" ht="14.4" hidden="1">
      <c r="A2885" s="53">
        <f>IF(C2885="","",MAX($A$1:A2884)+1)</f>
        <v>2653</v>
      </c>
      <c r="B2885" s="25" t="s">
        <v>141</v>
      </c>
      <c r="C2885" s="41">
        <v>46105</v>
      </c>
      <c r="D2885" s="48" t="str">
        <f>_xlfn.XLOOKUP(Table134526_79101120212223242526[[#This Row],[Name Surname]],Manpower!$C$4:$C$1048576,Manpower!$B$4:$B$1048576,"")</f>
        <v>Encogroup</v>
      </c>
      <c r="E2885" s="43" t="s">
        <v>157</v>
      </c>
      <c r="F2885" s="12">
        <f>_xlfn.XLOOKUP(Table134526_79101120212223242526[[#This Row],[Name Surname]],Manpower!C:C,Manpower!D:D,)</f>
        <v>140742144</v>
      </c>
      <c r="G2885" s="48" t="str">
        <f>_xlfn.XLOOKUP(Table134526_79101120212223242526[[#This Row],[Name Surname]],Manpower!$C$4:$C$1048576,Manpower!$F$4:$F$1048576,"")</f>
        <v>Assistant/Helper</v>
      </c>
      <c r="H2885" s="48" t="str">
        <f>_xlfn.XLOOKUP(Table134526_79101120212223242526[[#This Row],[Name Surname]],Manpower!$C$4:$C$1048576,Manpower!$H$4:$H$1048576,"")</f>
        <v>Manpower</v>
      </c>
      <c r="I2885" s="48" t="str">
        <f>_xlfn.XLOOKUP(Table134526_79101120212223242526[[#This Row],[Name Surname]],Manpower!$C$4:$C$1048576,Manpower!$H$4:$H$1048576,"")</f>
        <v>Manpower</v>
      </c>
      <c r="J2885" s="43" t="s">
        <v>158</v>
      </c>
      <c r="K2885" s="43" t="s">
        <v>26</v>
      </c>
      <c r="L2885" s="43" t="s">
        <v>26</v>
      </c>
      <c r="M2885" s="43" t="s">
        <v>24</v>
      </c>
      <c r="N2885" s="44">
        <v>5</v>
      </c>
      <c r="O2885" s="43" t="s">
        <v>159</v>
      </c>
      <c r="P2885" s="43" t="s">
        <v>160</v>
      </c>
      <c r="Q2885" s="43" t="s">
        <v>160</v>
      </c>
      <c r="R2885" s="43" t="s">
        <v>161</v>
      </c>
      <c r="S2885" s="43" t="s">
        <v>230</v>
      </c>
    </row>
    <row r="2886" spans="1:19" s="45" customFormat="1" ht="14.4" hidden="1">
      <c r="A2886" s="53">
        <f>IF(C2886="","",MAX($A$1:A2885)+1)</f>
        <v>2654</v>
      </c>
      <c r="B2886" s="25" t="s">
        <v>141</v>
      </c>
      <c r="C2886" s="41">
        <v>46105</v>
      </c>
      <c r="D2886" s="48" t="str">
        <f>_xlfn.XLOOKUP(Table134526_79101120212223242526[[#This Row],[Name Surname]],Manpower!$C$4:$C$1048576,Manpower!$B$4:$B$1048576,"")</f>
        <v>Encogroup</v>
      </c>
      <c r="E2886" s="43" t="s">
        <v>166</v>
      </c>
      <c r="F2886" s="12" t="str">
        <f>_xlfn.XLOOKUP(Table134526_79101120212223242526[[#This Row],[Name Surname]],Manpower!C:C,Manpower!D:D,)</f>
        <v>U4181508</v>
      </c>
      <c r="G2886" s="48" t="str">
        <f>_xlfn.XLOOKUP(Table134526_79101120212223242526[[#This Row],[Name Surname]],Manpower!$C$4:$C$1048576,Manpower!$F$4:$F$1048576,"")</f>
        <v>Welder</v>
      </c>
      <c r="H2886" s="48" t="str">
        <f>_xlfn.XLOOKUP(Table134526_79101120212223242526[[#This Row],[Name Surname]],Manpower!$C$4:$C$1048576,Manpower!$H$4:$H$1048576,"")</f>
        <v>Manpower</v>
      </c>
      <c r="I2886" s="48" t="str">
        <f>_xlfn.XLOOKUP(Table134526_79101120212223242526[[#This Row],[Name Surname]],Manpower!$C$4:$C$1048576,Manpower!$H$4:$H$1048576,"")</f>
        <v>Manpower</v>
      </c>
      <c r="J2886" s="43" t="s">
        <v>143</v>
      </c>
      <c r="K2886" s="43" t="s">
        <v>26</v>
      </c>
      <c r="L2886" s="43" t="s">
        <v>144</v>
      </c>
      <c r="M2886" s="43" t="s">
        <v>24</v>
      </c>
      <c r="N2886" s="44">
        <v>10</v>
      </c>
      <c r="O2886" s="43" t="s">
        <v>40</v>
      </c>
      <c r="P2886" s="43" t="s">
        <v>42</v>
      </c>
      <c r="Q2886" s="43" t="s">
        <v>42</v>
      </c>
      <c r="R2886" s="43" t="s">
        <v>402</v>
      </c>
      <c r="S2886" s="43"/>
    </row>
    <row r="2887" spans="1:19" s="45" customFormat="1" ht="14.4" hidden="1">
      <c r="A2887" s="53">
        <f>IF(C2887="","",MAX($A$1:A2886)+1)</f>
        <v>2655</v>
      </c>
      <c r="B2887" s="25" t="s">
        <v>141</v>
      </c>
      <c r="C2887" s="41">
        <v>46105</v>
      </c>
      <c r="D2887" s="48" t="str">
        <f>_xlfn.XLOOKUP(Table134526_79101120212223242526[[#This Row],[Name Surname]],Manpower!$C$4:$C$1048576,Manpower!$B$4:$B$1048576,"")</f>
        <v>Encogroup</v>
      </c>
      <c r="E2887" s="43" t="s">
        <v>167</v>
      </c>
      <c r="F2887" s="12">
        <f>_xlfn.XLOOKUP(Table134526_79101120212223242526[[#This Row],[Name Surname]],Manpower!C:C,Manpower!D:D,)</f>
        <v>125440631</v>
      </c>
      <c r="G2887" s="48" t="str">
        <f>_xlfn.XLOOKUP(Table134526_79101120212223242526[[#This Row],[Name Surname]],Manpower!$C$4:$C$1048576,Manpower!$F$4:$F$1048576,"")</f>
        <v>Rigger</v>
      </c>
      <c r="H2887" s="48" t="str">
        <f>_xlfn.XLOOKUP(Table134526_79101120212223242526[[#This Row],[Name Surname]],Manpower!$C$4:$C$1048576,Manpower!$H$4:$H$1048576,"")</f>
        <v>Manpower</v>
      </c>
      <c r="I2887" s="48" t="str">
        <f>_xlfn.XLOOKUP(Table134526_79101120212223242526[[#This Row],[Name Surname]],Manpower!$C$4:$C$1048576,Manpower!$H$4:$H$1048576,"")</f>
        <v>Manpower</v>
      </c>
      <c r="J2887" s="43" t="s">
        <v>143</v>
      </c>
      <c r="K2887" s="43" t="s">
        <v>26</v>
      </c>
      <c r="L2887" s="43" t="s">
        <v>144</v>
      </c>
      <c r="M2887" s="43" t="s">
        <v>24</v>
      </c>
      <c r="N2887" s="44">
        <v>10</v>
      </c>
      <c r="O2887" s="43" t="s">
        <v>40</v>
      </c>
      <c r="P2887" s="43" t="s">
        <v>42</v>
      </c>
      <c r="Q2887" s="43" t="s">
        <v>42</v>
      </c>
      <c r="R2887" s="43" t="s">
        <v>402</v>
      </c>
      <c r="S2887" s="43"/>
    </row>
    <row r="2888" spans="1:19" ht="14.4" hidden="1">
      <c r="A2888" s="38">
        <f>IF(C2888="","",MAX($A$1:A2887)+1)</f>
        <v>2656</v>
      </c>
      <c r="B2888" s="27" t="s">
        <v>141</v>
      </c>
      <c r="C2888" s="23">
        <v>46105</v>
      </c>
      <c r="D2888" s="28" t="str">
        <f>_xlfn.XLOOKUP(Table134526_79101120212223242526[[#This Row],[Name Surname]],Manpower!$C$4:$C$1048576,Manpower!$B$4:$B$1048576,"")</f>
        <v>AL Omar International TRAD AND CONT</v>
      </c>
      <c r="E2888" s="21" t="s">
        <v>169</v>
      </c>
      <c r="F2888" s="12">
        <f>_xlfn.XLOOKUP(Table134526_79101120212223242526[[#This Row],[Name Surname]],Manpower!C:C,Manpower!D:D,)</f>
        <v>115731078</v>
      </c>
      <c r="G2888" s="28" t="str">
        <f>_xlfn.XLOOKUP(Table134526_79101120212223242526[[#This Row],[Name Surname]],Manpower!$C$4:$C$1048576,Manpower!$F$4:$F$1048576,"")</f>
        <v>Scaffolder</v>
      </c>
      <c r="H2888" s="28" t="str">
        <f>_xlfn.XLOOKUP(Table134526_79101120212223242526[[#This Row],[Name Surname]],Manpower!$C$4:$C$1048576,Manpower!$H$4:$H$1048576,"")</f>
        <v>Sub Contactor</v>
      </c>
      <c r="I2888" s="28" t="str">
        <f>_xlfn.XLOOKUP(Table134526_79101120212223242526[[#This Row],[Name Surname]],Manpower!$C$4:$C$1048576,Manpower!$H$4:$H$1048576,"")</f>
        <v>Sub Contactor</v>
      </c>
      <c r="J2888" s="21" t="s">
        <v>143</v>
      </c>
      <c r="K2888" s="21" t="s">
        <v>26</v>
      </c>
      <c r="L2888" s="21" t="s">
        <v>170</v>
      </c>
      <c r="M2888" s="21" t="s">
        <v>24</v>
      </c>
      <c r="N2888" s="29">
        <v>10</v>
      </c>
      <c r="O2888" s="21" t="s">
        <v>40</v>
      </c>
      <c r="P2888" s="21" t="s">
        <v>128</v>
      </c>
      <c r="Q2888" s="21" t="s">
        <v>128</v>
      </c>
      <c r="R2888" s="21" t="s">
        <v>171</v>
      </c>
    </row>
    <row r="2889" spans="1:19" s="45" customFormat="1" ht="14.4" hidden="1">
      <c r="A2889" s="53">
        <f>IF(C2889="","",MAX($A$1:A2888)+1)</f>
        <v>2657</v>
      </c>
      <c r="B2889" s="25" t="s">
        <v>141</v>
      </c>
      <c r="C2889" s="41">
        <v>46105</v>
      </c>
      <c r="D2889" s="48" t="str">
        <f>_xlfn.XLOOKUP(Table134526_79101120212223242526[[#This Row],[Name Surname]],Manpower!$C$4:$C$1048576,Manpower!$B$4:$B$1048576,"")</f>
        <v>Encogroup</v>
      </c>
      <c r="E2889" s="43" t="s">
        <v>172</v>
      </c>
      <c r="F2889" s="12">
        <f>_xlfn.XLOOKUP(Table134526_79101120212223242526[[#This Row],[Name Surname]],Manpower!C:C,Manpower!D:D,)</f>
        <v>140764355</v>
      </c>
      <c r="G2889" s="48" t="str">
        <f>_xlfn.XLOOKUP(Table134526_79101120212223242526[[#This Row],[Name Surname]],Manpower!$C$4:$C$1048576,Manpower!$F$4:$F$1048576,"")</f>
        <v>Fitter/Erector</v>
      </c>
      <c r="H2889" s="48" t="str">
        <f>_xlfn.XLOOKUP(Table134526_79101120212223242526[[#This Row],[Name Surname]],Manpower!$C$4:$C$1048576,Manpower!$H$4:$H$1048576,"")</f>
        <v>Manpower</v>
      </c>
      <c r="I2889" s="48" t="str">
        <f>_xlfn.XLOOKUP(Table134526_79101120212223242526[[#This Row],[Name Surname]],Manpower!$C$4:$C$1048576,Manpower!$H$4:$H$1048576,"")</f>
        <v>Manpower</v>
      </c>
      <c r="J2889" s="43" t="s">
        <v>143</v>
      </c>
      <c r="K2889" s="43" t="s">
        <v>26</v>
      </c>
      <c r="L2889" s="43" t="s">
        <v>144</v>
      </c>
      <c r="M2889" s="43" t="s">
        <v>24</v>
      </c>
      <c r="N2889" s="44">
        <v>10</v>
      </c>
      <c r="O2889" s="43" t="s">
        <v>40</v>
      </c>
      <c r="P2889" s="43" t="s">
        <v>42</v>
      </c>
      <c r="Q2889" s="43" t="s">
        <v>42</v>
      </c>
      <c r="R2889" s="43" t="s">
        <v>402</v>
      </c>
      <c r="S2889" s="43"/>
    </row>
    <row r="2890" spans="1:19" ht="14.4" hidden="1">
      <c r="A2890" s="38">
        <f>IF(C2890="","",MAX($A$1:A2889)+1)</f>
        <v>2658</v>
      </c>
      <c r="B2890" s="27" t="s">
        <v>141</v>
      </c>
      <c r="C2890" s="23">
        <v>46105</v>
      </c>
      <c r="D2890" s="28" t="str">
        <f>_xlfn.XLOOKUP(Table134526_79101120212223242526[[#This Row],[Name Surname]],Manpower!$C$4:$C$1048576,Manpower!$B$4:$B$1048576,"")</f>
        <v>Encogroup</v>
      </c>
      <c r="E2890" s="21" t="s">
        <v>175</v>
      </c>
      <c r="F2890" s="12">
        <f>_xlfn.XLOOKUP(Table134526_79101120212223242526[[#This Row],[Name Surname]],Manpower!C:C,Manpower!D:D,)</f>
        <v>140742125</v>
      </c>
      <c r="G2890" s="28" t="str">
        <f>_xlfn.XLOOKUP(Table134526_79101120212223242526[[#This Row],[Name Surname]],Manpower!$C$4:$C$1048576,Manpower!$F$4:$F$1048576,"")</f>
        <v>Assistant/Helper</v>
      </c>
      <c r="H2890" s="28" t="str">
        <f>_xlfn.XLOOKUP(Table134526_79101120212223242526[[#This Row],[Name Surname]],Manpower!$C$4:$C$1048576,Manpower!$H$4:$H$1048576,"")</f>
        <v>Manpower</v>
      </c>
      <c r="I2890" s="28" t="str">
        <f>_xlfn.XLOOKUP(Table134526_79101120212223242526[[#This Row],[Name Surname]],Manpower!$C$4:$C$1048576,Manpower!$H$4:$H$1048576,"")</f>
        <v>Manpower</v>
      </c>
      <c r="J2890" s="21" t="s">
        <v>158</v>
      </c>
      <c r="K2890" s="21" t="s">
        <v>26</v>
      </c>
      <c r="L2890" s="21" t="s">
        <v>26</v>
      </c>
      <c r="M2890" s="21" t="s">
        <v>24</v>
      </c>
      <c r="N2890" s="29">
        <v>5</v>
      </c>
      <c r="O2890" s="21" t="s">
        <v>159</v>
      </c>
      <c r="P2890" s="21" t="s">
        <v>160</v>
      </c>
      <c r="Q2890" s="21" t="s">
        <v>160</v>
      </c>
      <c r="R2890" s="21" t="s">
        <v>161</v>
      </c>
    </row>
    <row r="2891" spans="1:19" ht="14.4" hidden="1">
      <c r="A2891" s="38">
        <f>IF(C2891="","",MAX($A$1:A2890)+1)</f>
        <v>2659</v>
      </c>
      <c r="B2891" s="27" t="s">
        <v>141</v>
      </c>
      <c r="C2891" s="23">
        <v>46105</v>
      </c>
      <c r="D2891" s="28" t="str">
        <f>_xlfn.XLOOKUP(Table134526_79101120212223242526[[#This Row],[Name Surname]],Manpower!$C$4:$C$1048576,Manpower!$B$4:$B$1048576,"")</f>
        <v>Encogroup</v>
      </c>
      <c r="E2891" s="21" t="s">
        <v>228</v>
      </c>
      <c r="F2891" s="12">
        <f>_xlfn.XLOOKUP(Table134526_79101120212223242526[[#This Row],[Name Surname]],Manpower!C:C,Manpower!D:D,)</f>
        <v>125199963</v>
      </c>
      <c r="G2891" s="28" t="str">
        <f>_xlfn.XLOOKUP(Table134526_79101120212223242526[[#This Row],[Name Surname]],Manpower!$C$4:$C$1048576,Manpower!$F$4:$F$1048576,"")</f>
        <v>Electrician</v>
      </c>
      <c r="H2891" s="28" t="str">
        <f>_xlfn.XLOOKUP(Table134526_79101120212223242526[[#This Row],[Name Surname]],Manpower!$C$4:$C$1048576,Manpower!$H$4:$H$1048576,"")</f>
        <v>Manpower</v>
      </c>
      <c r="I2891" s="28" t="str">
        <f>_xlfn.XLOOKUP(Table134526_79101120212223242526[[#This Row],[Name Surname]],Manpower!$C$4:$C$1048576,Manpower!$H$4:$H$1048576,"")</f>
        <v>Manpower</v>
      </c>
      <c r="J2891" s="21" t="s">
        <v>158</v>
      </c>
      <c r="K2891" s="21" t="s">
        <v>26</v>
      </c>
      <c r="L2891" s="21" t="s">
        <v>26</v>
      </c>
      <c r="M2891" s="21" t="s">
        <v>24</v>
      </c>
      <c r="N2891" s="29">
        <v>5</v>
      </c>
      <c r="O2891" s="21" t="s">
        <v>159</v>
      </c>
      <c r="P2891" s="21" t="s">
        <v>160</v>
      </c>
      <c r="Q2891" s="21" t="s">
        <v>160</v>
      </c>
      <c r="R2891" s="21" t="s">
        <v>161</v>
      </c>
    </row>
    <row r="2892" spans="1:19" ht="14.4" hidden="1">
      <c r="A2892" s="38">
        <f>IF(C2892="","",MAX($A$1:A2891)+1)</f>
        <v>2660</v>
      </c>
      <c r="B2892" s="27" t="s">
        <v>141</v>
      </c>
      <c r="C2892" s="23">
        <v>46105</v>
      </c>
      <c r="D2892" s="28" t="str">
        <f>_xlfn.XLOOKUP(Table134526_79101120212223242526[[#This Row],[Name Surname]],Manpower!$C$4:$C$1048576,Manpower!$B$4:$B$1048576,"")</f>
        <v>Encogroup</v>
      </c>
      <c r="E2892" s="21" t="s">
        <v>119</v>
      </c>
      <c r="F2892" s="12">
        <f>_xlfn.XLOOKUP(Table134526_79101120212223242526[[#This Row],[Name Surname]],Manpower!C:C,Manpower!D:D,)</f>
        <v>140844778</v>
      </c>
      <c r="G2892" s="28" t="str">
        <f>_xlfn.XLOOKUP(Table134526_79101120212223242526[[#This Row],[Name Surname]],Manpower!$C$4:$C$1048576,Manpower!$F$4:$F$1048576,"")</f>
        <v>Painter</v>
      </c>
      <c r="H2892" s="28" t="str">
        <f>_xlfn.XLOOKUP(Table134526_79101120212223242526[[#This Row],[Name Surname]],Manpower!$C$4:$C$1048576,Manpower!$H$4:$H$1048576,"")</f>
        <v>Manpower</v>
      </c>
      <c r="I2892" s="28" t="str">
        <f>_xlfn.XLOOKUP(Table134526_79101120212223242526[[#This Row],[Name Surname]],Manpower!$C$4:$C$1048576,Manpower!$H$4:$H$1048576,"")</f>
        <v>Manpower</v>
      </c>
      <c r="J2892" s="21" t="s">
        <v>143</v>
      </c>
      <c r="K2892" s="21" t="s">
        <v>26</v>
      </c>
      <c r="L2892" s="21" t="s">
        <v>144</v>
      </c>
      <c r="M2892" s="21" t="s">
        <v>24</v>
      </c>
      <c r="N2892" s="29">
        <v>10</v>
      </c>
      <c r="O2892" s="21" t="s">
        <v>40</v>
      </c>
      <c r="P2892" s="21" t="s">
        <v>42</v>
      </c>
      <c r="Q2892" s="21" t="s">
        <v>42</v>
      </c>
      <c r="R2892" s="21" t="s">
        <v>402</v>
      </c>
    </row>
    <row r="2893" spans="1:19" ht="14.4" hidden="1">
      <c r="A2893" s="38">
        <f>IF(C2893="","",MAX($A$1:A2892)+1)</f>
        <v>2661</v>
      </c>
      <c r="B2893" s="27" t="s">
        <v>141</v>
      </c>
      <c r="C2893" s="23">
        <v>46105</v>
      </c>
      <c r="D2893" s="28" t="str">
        <f>_xlfn.XLOOKUP(Table134526_79101120212223242526[[#This Row],[Name Surname]],Manpower!$C$4:$C$1048576,Manpower!$B$4:$B$1048576,"")</f>
        <v>Encogroup</v>
      </c>
      <c r="E2893" s="21" t="s">
        <v>117</v>
      </c>
      <c r="F2893" s="12">
        <f>_xlfn.XLOOKUP(Table134526_79101120212223242526[[#This Row],[Name Surname]],Manpower!C:C,Manpower!D:D,)</f>
        <v>140844783</v>
      </c>
      <c r="G2893" s="28" t="str">
        <f>_xlfn.XLOOKUP(Table134526_79101120212223242526[[#This Row],[Name Surname]],Manpower!$C$4:$C$1048576,Manpower!$F$4:$F$1048576,"")</f>
        <v>Painter</v>
      </c>
      <c r="H2893" s="28" t="str">
        <f>_xlfn.XLOOKUP(Table134526_79101120212223242526[[#This Row],[Name Surname]],Manpower!$C$4:$C$1048576,Manpower!$H$4:$H$1048576,"")</f>
        <v>Manpower</v>
      </c>
      <c r="I2893" s="28" t="str">
        <f>_xlfn.XLOOKUP(Table134526_79101120212223242526[[#This Row],[Name Surname]],Manpower!$C$4:$C$1048576,Manpower!$H$4:$H$1048576,"")</f>
        <v>Manpower</v>
      </c>
      <c r="J2893" s="21" t="s">
        <v>143</v>
      </c>
      <c r="K2893" s="21" t="s">
        <v>26</v>
      </c>
      <c r="L2893" s="21" t="s">
        <v>144</v>
      </c>
      <c r="M2893" s="21" t="s">
        <v>24</v>
      </c>
      <c r="N2893" s="29">
        <v>10</v>
      </c>
      <c r="O2893" s="21" t="s">
        <v>40</v>
      </c>
      <c r="P2893" s="21" t="s">
        <v>42</v>
      </c>
      <c r="Q2893" s="21" t="s">
        <v>42</v>
      </c>
      <c r="R2893" s="21" t="s">
        <v>402</v>
      </c>
    </row>
    <row r="2894" spans="1:19" s="45" customFormat="1" ht="14.4" hidden="1">
      <c r="A2894" s="53">
        <f>IF(C2894="","",MAX($A$1:A2893)+1)</f>
        <v>2662</v>
      </c>
      <c r="B2894" s="25" t="s">
        <v>141</v>
      </c>
      <c r="C2894" s="41">
        <v>46105</v>
      </c>
      <c r="D2894" s="48" t="str">
        <f>_xlfn.XLOOKUP(Table134526_79101120212223242526[[#This Row],[Name Surname]],Manpower!$C$4:$C$1048576,Manpower!$B$4:$B$1048576,"")</f>
        <v>Encogroup</v>
      </c>
      <c r="E2894" s="43" t="s">
        <v>176</v>
      </c>
      <c r="F2894" s="12">
        <f>_xlfn.XLOOKUP(Table134526_79101120212223242526[[#This Row],[Name Surname]],Manpower!C:C,Manpower!D:D,)</f>
        <v>124398279</v>
      </c>
      <c r="G2894" s="48" t="str">
        <f>_xlfn.XLOOKUP(Table134526_79101120212223242526[[#This Row],[Name Surname]],Manpower!$C$4:$C$1048576,Manpower!$F$4:$F$1048576,"")</f>
        <v>Permit Receiver</v>
      </c>
      <c r="H2894" s="48" t="str">
        <f>_xlfn.XLOOKUP(Table134526_79101120212223242526[[#This Row],[Name Surname]],Manpower!$C$4:$C$1048576,Manpower!$H$4:$H$1048576,"")</f>
        <v>Manpower</v>
      </c>
      <c r="I2894" s="48" t="str">
        <f>_xlfn.XLOOKUP(Table134526_79101120212223242526[[#This Row],[Name Surname]],Manpower!$C$4:$C$1048576,Manpower!$H$4:$H$1048576,"")</f>
        <v>Manpower</v>
      </c>
      <c r="J2894" s="43" t="s">
        <v>143</v>
      </c>
      <c r="K2894" s="43" t="s">
        <v>26</v>
      </c>
      <c r="L2894" s="43" t="s">
        <v>144</v>
      </c>
      <c r="M2894" s="43" t="s">
        <v>24</v>
      </c>
      <c r="N2894" s="44">
        <v>10</v>
      </c>
      <c r="O2894" s="43" t="s">
        <v>40</v>
      </c>
      <c r="P2894" s="43" t="s">
        <v>42</v>
      </c>
      <c r="Q2894" s="43" t="s">
        <v>42</v>
      </c>
      <c r="R2894" s="43" t="s">
        <v>402</v>
      </c>
      <c r="S2894" s="43" t="s">
        <v>343</v>
      </c>
    </row>
    <row r="2895" spans="1:19" s="45" customFormat="1" ht="14.4" hidden="1">
      <c r="A2895" s="53">
        <f>IF(C2895="","",MAX($A$1:A2894)+1)</f>
        <v>2663</v>
      </c>
      <c r="B2895" s="25" t="s">
        <v>141</v>
      </c>
      <c r="C2895" s="41">
        <v>46105</v>
      </c>
      <c r="D2895" s="48" t="str">
        <f>_xlfn.XLOOKUP(Table134526_79101120212223242526[[#This Row],[Name Surname]],Manpower!$C$4:$C$1048576,Manpower!$B$4:$B$1048576,"")</f>
        <v>Encogroup</v>
      </c>
      <c r="E2895" s="43" t="s">
        <v>177</v>
      </c>
      <c r="F2895" s="12">
        <f>_xlfn.XLOOKUP(Table134526_79101120212223242526[[#This Row],[Name Surname]],Manpower!C:C,Manpower!D:D,)</f>
        <v>140809004</v>
      </c>
      <c r="G2895" s="48" t="str">
        <f>_xlfn.XLOOKUP(Table134526_79101120212223242526[[#This Row],[Name Surname]],Manpower!$C$4:$C$1048576,Manpower!$F$4:$F$1048576,"")</f>
        <v>Fitter/Erector</v>
      </c>
      <c r="H2895" s="48" t="str">
        <f>_xlfn.XLOOKUP(Table134526_79101120212223242526[[#This Row],[Name Surname]],Manpower!$C$4:$C$1048576,Manpower!$H$4:$H$1048576,"")</f>
        <v>Manpower</v>
      </c>
      <c r="I2895" s="48" t="str">
        <f>_xlfn.XLOOKUP(Table134526_79101120212223242526[[#This Row],[Name Surname]],Manpower!$C$4:$C$1048576,Manpower!$H$4:$H$1048576,"")</f>
        <v>Manpower</v>
      </c>
      <c r="J2895" s="43" t="s">
        <v>143</v>
      </c>
      <c r="K2895" s="43" t="s">
        <v>26</v>
      </c>
      <c r="L2895" s="43" t="s">
        <v>144</v>
      </c>
      <c r="M2895" s="43" t="s">
        <v>24</v>
      </c>
      <c r="N2895" s="44">
        <v>10</v>
      </c>
      <c r="O2895" s="43" t="s">
        <v>40</v>
      </c>
      <c r="P2895" s="43" t="s">
        <v>42</v>
      </c>
      <c r="Q2895" s="43" t="s">
        <v>42</v>
      </c>
      <c r="R2895" s="43" t="s">
        <v>402</v>
      </c>
      <c r="S2895" s="43" t="s">
        <v>343</v>
      </c>
    </row>
    <row r="2896" spans="1:19" ht="14.4" hidden="1">
      <c r="A2896" s="38">
        <f>IF(C2896="","",MAX($A$1:A2895)+1)</f>
        <v>2664</v>
      </c>
      <c r="B2896" s="27" t="s">
        <v>141</v>
      </c>
      <c r="C2896" s="23">
        <v>46105</v>
      </c>
      <c r="D2896" s="28" t="str">
        <f>_xlfn.XLOOKUP(Table134526_79101120212223242526[[#This Row],[Name Surname]],Manpower!$C$4:$C$1048576,Manpower!$B$4:$B$1048576,"")</f>
        <v>Encogroup</v>
      </c>
      <c r="E2896" s="21" t="s">
        <v>178</v>
      </c>
      <c r="F2896" s="12">
        <f>_xlfn.XLOOKUP(Table134526_79101120212223242526[[#This Row],[Name Surname]],Manpower!C:C,Manpower!D:D,)</f>
        <v>140683436</v>
      </c>
      <c r="G2896" s="28" t="str">
        <f>_xlfn.XLOOKUP(Table134526_79101120212223242526[[#This Row],[Name Surname]],Manpower!$C$4:$C$1048576,Manpower!$F$4:$F$1048576,"")</f>
        <v>Scaffolder</v>
      </c>
      <c r="H2896" s="28" t="str">
        <f>_xlfn.XLOOKUP(Table134526_79101120212223242526[[#This Row],[Name Surname]],Manpower!$C$4:$C$1048576,Manpower!$H$4:$H$1048576,"")</f>
        <v>Manpower</v>
      </c>
      <c r="I2896" s="28" t="str">
        <f>_xlfn.XLOOKUP(Table134526_79101120212223242526[[#This Row],[Name Surname]],Manpower!$C$4:$C$1048576,Manpower!$H$4:$H$1048576,"")</f>
        <v>Manpower</v>
      </c>
      <c r="J2896" s="21" t="s">
        <v>158</v>
      </c>
      <c r="K2896" s="21" t="s">
        <v>26</v>
      </c>
      <c r="L2896" s="21" t="s">
        <v>26</v>
      </c>
      <c r="M2896" s="21" t="s">
        <v>24</v>
      </c>
      <c r="N2896" s="29">
        <v>5</v>
      </c>
      <c r="O2896" s="21" t="s">
        <v>159</v>
      </c>
      <c r="P2896" s="21" t="s">
        <v>160</v>
      </c>
      <c r="Q2896" s="21" t="s">
        <v>160</v>
      </c>
      <c r="R2896" s="21" t="s">
        <v>161</v>
      </c>
    </row>
    <row r="2897" spans="1:19" ht="14.4">
      <c r="A2897" s="38">
        <f>IF(C2897="","",MAX($A$1:A2896)+1)</f>
        <v>2665</v>
      </c>
      <c r="B2897" s="27" t="s">
        <v>141</v>
      </c>
      <c r="C2897" s="23">
        <v>46105</v>
      </c>
      <c r="D2897" s="28" t="str">
        <f>_xlfn.XLOOKUP(Table134526_79101120212223242526[[#This Row],[Name Surname]],Manpower!$C$4:$C$1048576,Manpower!$B$4:$B$1048576,"")</f>
        <v>Encogroup</v>
      </c>
      <c r="E2897" s="23" t="s">
        <v>179</v>
      </c>
      <c r="F2897" s="12" t="e">
        <f>_xlfn.XLOOKUP(Table134526_79101120212223242526[[#This Row],[Name Surname]],Manpower!C:C,Manpower!D:D,)</f>
        <v>#N/A</v>
      </c>
      <c r="G2897" s="28" t="str">
        <f>_xlfn.XLOOKUP(Table134526_79101120212223242526[[#This Row],[Name Surname]],Manpower!$C$4:$C$1048576,Manpower!$F$4:$F$1048576,"")</f>
        <v>7T-HIAB</v>
      </c>
      <c r="H2897" s="28" t="str">
        <f>_xlfn.XLOOKUP(Table134526_79101120212223242526[[#This Row],[Name Surname]],Manpower!$C$4:$C$1048576,Manpower!$H$4:$H$1048576,"")</f>
        <v>Equipment</v>
      </c>
      <c r="I2897" s="28" t="str">
        <f>_xlfn.XLOOKUP(Table134526_79101120212223242526[[#This Row],[Name Surname]],Manpower!$C$4:$C$1048576,Manpower!$H$4:$H$1048576,"")</f>
        <v>Equipment</v>
      </c>
      <c r="J2897" s="21" t="s">
        <v>143</v>
      </c>
      <c r="K2897" s="21" t="s">
        <v>26</v>
      </c>
      <c r="L2897" s="21" t="s">
        <v>144</v>
      </c>
      <c r="M2897" s="21" t="s">
        <v>24</v>
      </c>
      <c r="N2897" s="29">
        <v>10</v>
      </c>
      <c r="O2897" s="21" t="s">
        <v>40</v>
      </c>
      <c r="P2897" s="21" t="s">
        <v>42</v>
      </c>
      <c r="Q2897" s="21" t="s">
        <v>42</v>
      </c>
      <c r="R2897" s="21" t="s">
        <v>26</v>
      </c>
    </row>
    <row r="2898" spans="1:19" ht="14.4" hidden="1">
      <c r="A2898" s="38">
        <f>IF(C2898="","",MAX($A$1:A2897)+1)</f>
        <v>2666</v>
      </c>
      <c r="B2898" s="27" t="s">
        <v>141</v>
      </c>
      <c r="C2898" s="23">
        <v>46105</v>
      </c>
      <c r="D2898" s="28" t="str">
        <f>_xlfn.XLOOKUP(Table134526_79101120212223242526[[#This Row],[Name Surname]],Manpower!$C$4:$C$1048576,Manpower!$B$4:$B$1048576,"")</f>
        <v>Encogroup</v>
      </c>
      <c r="E2898" s="21" t="s">
        <v>180</v>
      </c>
      <c r="F2898" s="12">
        <f>_xlfn.XLOOKUP(Table134526_79101120212223242526[[#This Row],[Name Surname]],Manpower!C:C,Manpower!D:D,)</f>
        <v>9138415</v>
      </c>
      <c r="G2898" s="28" t="str">
        <f>_xlfn.XLOOKUP(Table134526_79101120212223242526[[#This Row],[Name Surname]],Manpower!$C$4:$C$1048576,Manpower!$F$4:$F$1048576,"")</f>
        <v>HIAB Driver</v>
      </c>
      <c r="H2898" s="28" t="str">
        <f>_xlfn.XLOOKUP(Table134526_79101120212223242526[[#This Row],[Name Surname]],Manpower!$C$4:$C$1048576,Manpower!$H$4:$H$1048576,"")</f>
        <v>Manpower</v>
      </c>
      <c r="I2898" s="28" t="str">
        <f>_xlfn.XLOOKUP(Table134526_79101120212223242526[[#This Row],[Name Surname]],Manpower!$C$4:$C$1048576,Manpower!$H$4:$H$1048576,"")</f>
        <v>Manpower</v>
      </c>
      <c r="J2898" s="21" t="s">
        <v>143</v>
      </c>
      <c r="K2898" s="21" t="s">
        <v>26</v>
      </c>
      <c r="L2898" s="21" t="s">
        <v>144</v>
      </c>
      <c r="M2898" s="21" t="s">
        <v>24</v>
      </c>
      <c r="N2898" s="29">
        <v>10</v>
      </c>
      <c r="O2898" s="21" t="s">
        <v>40</v>
      </c>
      <c r="P2898" s="21" t="s">
        <v>42</v>
      </c>
      <c r="Q2898" s="21" t="s">
        <v>42</v>
      </c>
      <c r="R2898" s="21" t="s">
        <v>403</v>
      </c>
    </row>
    <row r="2899" spans="1:19" s="45" customFormat="1" ht="14.4" hidden="1">
      <c r="A2899" s="53">
        <f>IF(C2899="","",MAX($A$1:A2898)+1)</f>
        <v>2667</v>
      </c>
      <c r="B2899" s="25" t="s">
        <v>141</v>
      </c>
      <c r="C2899" s="41">
        <v>46105</v>
      </c>
      <c r="D2899" s="48" t="str">
        <f>_xlfn.XLOOKUP(Table134526_79101120212223242526[[#This Row],[Name Surname]],Manpower!$C$4:$C$1048576,Manpower!$B$4:$B$1048576,"")</f>
        <v>Encogroup</v>
      </c>
      <c r="E2899" s="43" t="s">
        <v>184</v>
      </c>
      <c r="F2899" s="12">
        <f>_xlfn.XLOOKUP(Table134526_79101120212223242526[[#This Row],[Name Surname]],Manpower!C:C,Manpower!D:D,)</f>
        <v>140844759</v>
      </c>
      <c r="G2899" s="48" t="str">
        <f>_xlfn.XLOOKUP(Table134526_79101120212223242526[[#This Row],[Name Surname]],Manpower!$C$4:$C$1048576,Manpower!$F$4:$F$1048576,"")</f>
        <v>Welder</v>
      </c>
      <c r="H2899" s="48" t="str">
        <f>_xlfn.XLOOKUP(Table134526_79101120212223242526[[#This Row],[Name Surname]],Manpower!$C$4:$C$1048576,Manpower!$H$4:$H$1048576,"")</f>
        <v>Manpower</v>
      </c>
      <c r="I2899" s="48" t="str">
        <f>_xlfn.XLOOKUP(Table134526_79101120212223242526[[#This Row],[Name Surname]],Manpower!$C$4:$C$1048576,Manpower!$H$4:$H$1048576,"")</f>
        <v>Manpower</v>
      </c>
      <c r="J2899" s="43" t="s">
        <v>143</v>
      </c>
      <c r="K2899" s="43" t="s">
        <v>26</v>
      </c>
      <c r="L2899" s="43" t="s">
        <v>144</v>
      </c>
      <c r="M2899" s="43" t="s">
        <v>24</v>
      </c>
      <c r="N2899" s="44">
        <v>10</v>
      </c>
      <c r="O2899" s="43" t="s">
        <v>40</v>
      </c>
      <c r="P2899" s="43" t="s">
        <v>42</v>
      </c>
      <c r="Q2899" s="43" t="s">
        <v>42</v>
      </c>
      <c r="R2899" s="43" t="s">
        <v>402</v>
      </c>
      <c r="S2899" s="43" t="s">
        <v>343</v>
      </c>
    </row>
    <row r="2900" spans="1:19" s="45" customFormat="1" ht="14.4" hidden="1">
      <c r="A2900" s="53">
        <f>IF(C2900="","",MAX($A$1:A2899)+1)</f>
        <v>2668</v>
      </c>
      <c r="B2900" s="25" t="s">
        <v>141</v>
      </c>
      <c r="C2900" s="41">
        <v>46105</v>
      </c>
      <c r="D2900" s="48" t="str">
        <f>_xlfn.XLOOKUP(Table134526_79101120212223242526[[#This Row],[Name Surname]],Manpower!$C$4:$C$1048576,Manpower!$B$4:$B$1048576,"")</f>
        <v>Encogroup</v>
      </c>
      <c r="E2900" s="43" t="s">
        <v>185</v>
      </c>
      <c r="F2900" s="12">
        <f>_xlfn.XLOOKUP(Table134526_79101120212223242526[[#This Row],[Name Surname]],Manpower!C:C,Manpower!D:D,)</f>
        <v>140848828</v>
      </c>
      <c r="G2900" s="48" t="str">
        <f>_xlfn.XLOOKUP(Table134526_79101120212223242526[[#This Row],[Name Surname]],Manpower!$C$4:$C$1048576,Manpower!$F$4:$F$1048576,"")</f>
        <v>Pipe Fitter</v>
      </c>
      <c r="H2900" s="48" t="str">
        <f>_xlfn.XLOOKUP(Table134526_79101120212223242526[[#This Row],[Name Surname]],Manpower!$C$4:$C$1048576,Manpower!$H$4:$H$1048576,"")</f>
        <v>Manpower</v>
      </c>
      <c r="I2900" s="48" t="str">
        <f>_xlfn.XLOOKUP(Table134526_79101120212223242526[[#This Row],[Name Surname]],Manpower!$C$4:$C$1048576,Manpower!$H$4:$H$1048576,"")</f>
        <v>Manpower</v>
      </c>
      <c r="J2900" s="43" t="s">
        <v>143</v>
      </c>
      <c r="K2900" s="43" t="s">
        <v>26</v>
      </c>
      <c r="L2900" s="43" t="s">
        <v>144</v>
      </c>
      <c r="M2900" s="43" t="s">
        <v>24</v>
      </c>
      <c r="N2900" s="44">
        <v>10</v>
      </c>
      <c r="O2900" s="43" t="s">
        <v>40</v>
      </c>
      <c r="P2900" s="43" t="s">
        <v>42</v>
      </c>
      <c r="Q2900" s="43" t="s">
        <v>42</v>
      </c>
      <c r="R2900" s="43" t="s">
        <v>402</v>
      </c>
      <c r="S2900" s="43"/>
    </row>
    <row r="2901" spans="1:19" ht="14.4" hidden="1">
      <c r="A2901" s="38">
        <f>IF(C2901="","",MAX($A$1:A2900)+1)</f>
        <v>2669</v>
      </c>
      <c r="B2901" s="27" t="s">
        <v>141</v>
      </c>
      <c r="C2901" s="23">
        <v>46105</v>
      </c>
      <c r="D2901" s="28" t="str">
        <f>_xlfn.XLOOKUP(Table134526_79101120212223242526[[#This Row],[Name Surname]],Manpower!$C$4:$C$1048576,Manpower!$B$4:$B$1048576,"")</f>
        <v>AL Omar International TRAD AND CONT</v>
      </c>
      <c r="E2901" s="21" t="s">
        <v>212</v>
      </c>
      <c r="F2901" s="12">
        <f>_xlfn.XLOOKUP(Table134526_79101120212223242526[[#This Row],[Name Surname]],Manpower!C:C,Manpower!D:D,)</f>
        <v>116676257</v>
      </c>
      <c r="G2901" s="28" t="str">
        <f>_xlfn.XLOOKUP(Table134526_79101120212223242526[[#This Row],[Name Surname]],Manpower!$C$4:$C$1048576,Manpower!$F$4:$F$1048576,"")</f>
        <v>Scaffolder</v>
      </c>
      <c r="H2901" s="28" t="str">
        <f>_xlfn.XLOOKUP(Table134526_79101120212223242526[[#This Row],[Name Surname]],Manpower!$C$4:$C$1048576,Manpower!$H$4:$H$1048576,"")</f>
        <v>Sub Contactor</v>
      </c>
      <c r="I2901" s="28" t="str">
        <f>_xlfn.XLOOKUP(Table134526_79101120212223242526[[#This Row],[Name Surname]],Manpower!$C$4:$C$1048576,Manpower!$H$4:$H$1048576,"")</f>
        <v>Sub Contactor</v>
      </c>
      <c r="J2901" s="21" t="s">
        <v>143</v>
      </c>
      <c r="K2901" s="21" t="s">
        <v>26</v>
      </c>
      <c r="L2901" s="21" t="s">
        <v>170</v>
      </c>
      <c r="M2901" s="21" t="s">
        <v>24</v>
      </c>
      <c r="N2901" s="29">
        <v>10</v>
      </c>
      <c r="O2901" s="21" t="s">
        <v>40</v>
      </c>
      <c r="P2901" s="21" t="s">
        <v>128</v>
      </c>
      <c r="Q2901" s="21" t="s">
        <v>128</v>
      </c>
      <c r="R2901" s="21" t="s">
        <v>171</v>
      </c>
    </row>
    <row r="2902" spans="1:19" s="45" customFormat="1" ht="14.4" hidden="1">
      <c r="A2902" s="53">
        <f>IF(C2902="","",MAX($A$1:A2901)+1)</f>
        <v>2670</v>
      </c>
      <c r="B2902" s="25" t="s">
        <v>141</v>
      </c>
      <c r="C2902" s="41">
        <v>46105</v>
      </c>
      <c r="D2902" s="48" t="str">
        <f>_xlfn.XLOOKUP(Table134526_79101120212223242526[[#This Row],[Name Surname]],Manpower!$C$4:$C$1048576,Manpower!$B$4:$B$1048576,"")</f>
        <v>Encogroup</v>
      </c>
      <c r="E2902" s="43" t="s">
        <v>186</v>
      </c>
      <c r="F2902" s="12">
        <f>_xlfn.XLOOKUP(Table134526_79101120212223242526[[#This Row],[Name Surname]],Manpower!C:C,Manpower!D:D,)</f>
        <v>140696961</v>
      </c>
      <c r="G2902" s="48" t="str">
        <f>_xlfn.XLOOKUP(Table134526_79101120212223242526[[#This Row],[Name Surname]],Manpower!$C$4:$C$1048576,Manpower!$F$4:$F$1048576,"")</f>
        <v>Assistant/Helper</v>
      </c>
      <c r="H2902" s="48" t="str">
        <f>_xlfn.XLOOKUP(Table134526_79101120212223242526[[#This Row],[Name Surname]],Manpower!$C$4:$C$1048576,Manpower!$H$4:$H$1048576,"")</f>
        <v>Manpower</v>
      </c>
      <c r="I2902" s="48" t="str">
        <f>_xlfn.XLOOKUP(Table134526_79101120212223242526[[#This Row],[Name Surname]],Manpower!$C$4:$C$1048576,Manpower!$H$4:$H$1048576,"")</f>
        <v>Manpower</v>
      </c>
      <c r="J2902" s="43" t="s">
        <v>143</v>
      </c>
      <c r="K2902" s="43" t="s">
        <v>26</v>
      </c>
      <c r="L2902" s="43" t="s">
        <v>170</v>
      </c>
      <c r="M2902" s="43" t="s">
        <v>24</v>
      </c>
      <c r="N2902" s="44">
        <v>10</v>
      </c>
      <c r="O2902" s="43" t="s">
        <v>40</v>
      </c>
      <c r="P2902" s="43" t="s">
        <v>128</v>
      </c>
      <c r="Q2902" s="43" t="s">
        <v>128</v>
      </c>
      <c r="R2902" s="43" t="s">
        <v>171</v>
      </c>
      <c r="S2902" s="43"/>
    </row>
    <row r="2903" spans="1:19" s="45" customFormat="1" ht="14.4" hidden="1">
      <c r="A2903" s="53">
        <f>IF(C2903="","",MAX($A$1:A2902)+1)</f>
        <v>2671</v>
      </c>
      <c r="B2903" s="25" t="s">
        <v>141</v>
      </c>
      <c r="C2903" s="41">
        <v>46103</v>
      </c>
      <c r="D2903" s="48" t="str">
        <f>_xlfn.XLOOKUP(Table134526_79101120212223242526[[#This Row],[Name Surname]],Manpower!$C$4:$C$1048576,Manpower!$B$4:$B$1048576,"")</f>
        <v xml:space="preserve">AL Omar International </v>
      </c>
      <c r="E2903" s="43" t="s">
        <v>190</v>
      </c>
      <c r="F2903" s="12">
        <f>_xlfn.XLOOKUP(Table134526_79101120212223242526[[#This Row],[Name Surname]],Manpower!C:C,Manpower!D:D,)</f>
        <v>85812175</v>
      </c>
      <c r="G2903" s="48" t="str">
        <f>_xlfn.XLOOKUP(Table134526_79101120212223242526[[#This Row],[Name Surname]],Manpower!$C$4:$C$1048576,Manpower!$F$4:$F$1048576,"")</f>
        <v>Scaffolding Supervisor</v>
      </c>
      <c r="H2903" s="48" t="str">
        <f>_xlfn.XLOOKUP(Table134526_79101120212223242526[[#This Row],[Name Surname]],Manpower!$C$4:$C$1048576,Manpower!$H$4:$H$1048576,"")</f>
        <v>Sub Contactor</v>
      </c>
      <c r="I2903" s="48" t="str">
        <f>_xlfn.XLOOKUP(Table134526_79101120212223242526[[#This Row],[Name Surname]],Manpower!$C$4:$C$1048576,Manpower!$H$4:$H$1048576,"")</f>
        <v>Sub Contactor</v>
      </c>
      <c r="J2903" s="43" t="s">
        <v>143</v>
      </c>
      <c r="K2903" s="43" t="s">
        <v>26</v>
      </c>
      <c r="L2903" s="43" t="s">
        <v>170</v>
      </c>
      <c r="M2903" s="43" t="s">
        <v>24</v>
      </c>
      <c r="N2903" s="44">
        <v>10</v>
      </c>
      <c r="O2903" s="43" t="s">
        <v>40</v>
      </c>
      <c r="P2903" s="43" t="s">
        <v>128</v>
      </c>
      <c r="Q2903" s="43" t="s">
        <v>128</v>
      </c>
      <c r="R2903" s="43" t="s">
        <v>171</v>
      </c>
      <c r="S2903" s="43"/>
    </row>
    <row r="2904" spans="1:19" s="45" customFormat="1" ht="14.4" hidden="1">
      <c r="A2904" s="53">
        <f>IF(C2904="","",MAX($A$1:A2902)+1)</f>
        <v>2671</v>
      </c>
      <c r="B2904" s="25" t="s">
        <v>141</v>
      </c>
      <c r="C2904" s="41">
        <v>46105</v>
      </c>
      <c r="D2904" s="48" t="str">
        <f>_xlfn.XLOOKUP(Table134526_79101120212223242526[[#This Row],[Name Surname]],Manpower!$C$4:$C$1048576,Manpower!$B$4:$B$1048576,"")</f>
        <v>Encogroup</v>
      </c>
      <c r="E2904" s="43" t="s">
        <v>187</v>
      </c>
      <c r="F2904" s="12">
        <f>_xlfn.XLOOKUP(Table134526_79101120212223242526[[#This Row],[Name Surname]],Manpower!C:C,Manpower!D:D,)</f>
        <v>140623599</v>
      </c>
      <c r="G2904" s="48" t="str">
        <f>_xlfn.XLOOKUP(Table134526_79101120212223242526[[#This Row],[Name Surname]],Manpower!$C$4:$C$1048576,Manpower!$F$4:$F$1048576,"")</f>
        <v>Mechanical Supervisor</v>
      </c>
      <c r="H2904" s="48" t="str">
        <f>_xlfn.XLOOKUP(Table134526_79101120212223242526[[#This Row],[Name Surname]],Manpower!$C$4:$C$1048576,Manpower!$H$4:$H$1048576,"")</f>
        <v>Manpower</v>
      </c>
      <c r="I2904" s="48" t="str">
        <f>_xlfn.XLOOKUP(Table134526_79101120212223242526[[#This Row],[Name Surname]],Manpower!$C$4:$C$1048576,Manpower!$H$4:$H$1048576,"")</f>
        <v>Manpower</v>
      </c>
      <c r="J2904" s="43" t="s">
        <v>143</v>
      </c>
      <c r="K2904" s="43" t="s">
        <v>26</v>
      </c>
      <c r="L2904" s="43" t="s">
        <v>144</v>
      </c>
      <c r="M2904" s="43" t="s">
        <v>24</v>
      </c>
      <c r="N2904" s="44">
        <v>10</v>
      </c>
      <c r="O2904" s="43" t="s">
        <v>40</v>
      </c>
      <c r="P2904" s="43" t="s">
        <v>42</v>
      </c>
      <c r="Q2904" s="43" t="s">
        <v>42</v>
      </c>
      <c r="R2904" s="43" t="s">
        <v>402</v>
      </c>
      <c r="S2904" s="43"/>
    </row>
    <row r="2905" spans="1:19" ht="14.4" hidden="1">
      <c r="A2905" s="38">
        <f>IF(C2905="","",MAX($A$1:A2904)+1)</f>
        <v>2672</v>
      </c>
      <c r="B2905" s="27" t="s">
        <v>141</v>
      </c>
      <c r="C2905" s="23">
        <v>46105</v>
      </c>
      <c r="D2905" s="28" t="str">
        <f>_xlfn.XLOOKUP(Table134526_79101120212223242526[[#This Row],[Name Surname]],Manpower!$C$4:$C$1048576,Manpower!$B$4:$B$1048576,"")</f>
        <v>Encogroup</v>
      </c>
      <c r="E2905" s="21" t="s">
        <v>189</v>
      </c>
      <c r="F2905" s="12">
        <f>_xlfn.XLOOKUP(Table134526_79101120212223242526[[#This Row],[Name Surname]],Manpower!C:C,Manpower!D:D,)</f>
        <v>121937785</v>
      </c>
      <c r="G2905" s="28" t="str">
        <f>_xlfn.XLOOKUP(Table134526_79101120212223242526[[#This Row],[Name Surname]],Manpower!$C$4:$C$1048576,Manpower!$F$4:$F$1048576,"")</f>
        <v>Scaffolding Inspector</v>
      </c>
      <c r="H2905" s="28" t="str">
        <f>_xlfn.XLOOKUP(Table134526_79101120212223242526[[#This Row],[Name Surname]],Manpower!$C$4:$C$1048576,Manpower!$H$4:$H$1048576,"")</f>
        <v>Manpower</v>
      </c>
      <c r="I2905" s="28" t="str">
        <f>_xlfn.XLOOKUP(Table134526_79101120212223242526[[#This Row],[Name Surname]],Manpower!$C$4:$C$1048576,Manpower!$H$4:$H$1048576,"")</f>
        <v>Manpower</v>
      </c>
      <c r="J2905" s="21" t="s">
        <v>143</v>
      </c>
      <c r="K2905" s="21" t="s">
        <v>26</v>
      </c>
      <c r="L2905" s="21" t="s">
        <v>144</v>
      </c>
      <c r="M2905" s="21" t="s">
        <v>24</v>
      </c>
      <c r="N2905" s="29">
        <v>10</v>
      </c>
      <c r="O2905" s="21" t="s">
        <v>40</v>
      </c>
      <c r="P2905" s="21" t="s">
        <v>128</v>
      </c>
      <c r="Q2905" s="21" t="s">
        <v>128</v>
      </c>
      <c r="R2905" s="21" t="s">
        <v>26</v>
      </c>
    </row>
    <row r="2906" spans="1:19" s="45" customFormat="1" ht="14.4" hidden="1">
      <c r="A2906" s="53">
        <f>IF(C2906="","",MAX($A$1:A2905)+1)</f>
        <v>2673</v>
      </c>
      <c r="B2906" s="25" t="s">
        <v>141</v>
      </c>
      <c r="C2906" s="41">
        <v>46105</v>
      </c>
      <c r="D2906" s="48" t="str">
        <f>_xlfn.XLOOKUP(Table134526_79101120212223242526[[#This Row],[Name Surname]],Manpower!$C$4:$C$1048576,Manpower!$B$4:$B$1048576,"")</f>
        <v xml:space="preserve">AL Omar International </v>
      </c>
      <c r="E2906" s="43" t="s">
        <v>190</v>
      </c>
      <c r="F2906" s="12">
        <f>_xlfn.XLOOKUP(Table134526_79101120212223242526[[#This Row],[Name Surname]],Manpower!C:C,Manpower!D:D,)</f>
        <v>85812175</v>
      </c>
      <c r="G2906" s="48" t="str">
        <f>_xlfn.XLOOKUP(Table134526_79101120212223242526[[#This Row],[Name Surname]],Manpower!$C$4:$C$1048576,Manpower!$F$4:$F$1048576,"")</f>
        <v>Scaffolding Supervisor</v>
      </c>
      <c r="H2906" s="48" t="str">
        <f>_xlfn.XLOOKUP(Table134526_79101120212223242526[[#This Row],[Name Surname]],Manpower!$C$4:$C$1048576,Manpower!$H$4:$H$1048576,"")</f>
        <v>Sub Contactor</v>
      </c>
      <c r="I2906" s="48" t="str">
        <f>_xlfn.XLOOKUP(Table134526_79101120212223242526[[#This Row],[Name Surname]],Manpower!$C$4:$C$1048576,Manpower!$H$4:$H$1048576,"")</f>
        <v>Sub Contactor</v>
      </c>
      <c r="J2906" s="43" t="s">
        <v>143</v>
      </c>
      <c r="K2906" s="43" t="s">
        <v>26</v>
      </c>
      <c r="L2906" s="43" t="s">
        <v>144</v>
      </c>
      <c r="M2906" s="43" t="s">
        <v>24</v>
      </c>
      <c r="N2906" s="44">
        <v>10</v>
      </c>
      <c r="O2906" s="43" t="s">
        <v>40</v>
      </c>
      <c r="P2906" s="43" t="s">
        <v>128</v>
      </c>
      <c r="Q2906" s="43" t="s">
        <v>128</v>
      </c>
      <c r="R2906" s="43" t="s">
        <v>171</v>
      </c>
      <c r="S2906" s="43"/>
    </row>
    <row r="2907" spans="1:19" ht="14.4" hidden="1">
      <c r="A2907" s="38">
        <f>IF(C2907="","",MAX($A$1:A2905)+1)</f>
        <v>2673</v>
      </c>
      <c r="B2907" s="27" t="s">
        <v>141</v>
      </c>
      <c r="C2907" s="23">
        <v>46105</v>
      </c>
      <c r="D2907" s="28" t="str">
        <f>_xlfn.XLOOKUP(Table134526_79101120212223242526[[#This Row],[Name Surname]],Manpower!$C$4:$C$1048576,Manpower!$B$4:$B$1048576,"")</f>
        <v>AL Omar International TRAD AND CONT</v>
      </c>
      <c r="E2907" s="21" t="s">
        <v>193</v>
      </c>
      <c r="F2907" s="12">
        <f>_xlfn.XLOOKUP(Table134526_79101120212223242526[[#This Row],[Name Surname]],Manpower!C:C,Manpower!D:D,)</f>
        <v>105813698</v>
      </c>
      <c r="G2907" s="28" t="str">
        <f>_xlfn.XLOOKUP(Table134526_79101120212223242526[[#This Row],[Name Surname]],Manpower!$C$4:$C$1048576,Manpower!$F$4:$F$1048576,"")</f>
        <v>Scaffolding Inspector</v>
      </c>
      <c r="H2907" s="28" t="str">
        <f>_xlfn.XLOOKUP(Table134526_79101120212223242526[[#This Row],[Name Surname]],Manpower!$C$4:$C$1048576,Manpower!$H$4:$H$1048576,"")</f>
        <v>Sub Contactor</v>
      </c>
      <c r="I2907" s="28" t="str">
        <f>_xlfn.XLOOKUP(Table134526_79101120212223242526[[#This Row],[Name Surname]],Manpower!$C$4:$C$1048576,Manpower!$H$4:$H$1048576,"")</f>
        <v>Sub Contactor</v>
      </c>
      <c r="J2907" s="21" t="s">
        <v>143</v>
      </c>
      <c r="K2907" s="21" t="s">
        <v>26</v>
      </c>
      <c r="L2907" s="21" t="s">
        <v>170</v>
      </c>
      <c r="M2907" s="21" t="s">
        <v>24</v>
      </c>
      <c r="N2907" s="29">
        <v>10</v>
      </c>
      <c r="O2907" s="21" t="s">
        <v>40</v>
      </c>
      <c r="P2907" s="21" t="s">
        <v>128</v>
      </c>
      <c r="Q2907" s="21" t="s">
        <v>128</v>
      </c>
      <c r="R2907" s="21" t="s">
        <v>171</v>
      </c>
    </row>
    <row r="2908" spans="1:19" s="45" customFormat="1" ht="14.4" hidden="1">
      <c r="A2908" s="53">
        <f>IF(C2908="","",MAX($A$1:A2907)+1)</f>
        <v>2674</v>
      </c>
      <c r="B2908" s="25" t="s">
        <v>141</v>
      </c>
      <c r="C2908" s="41">
        <v>46105</v>
      </c>
      <c r="D2908" s="48" t="str">
        <f>_xlfn.XLOOKUP(Table134526_79101120212223242526[[#This Row],[Name Surname]],Manpower!$C$4:$C$1048576,Manpower!$B$4:$B$1048576,"")</f>
        <v>AL Saif &amp; Al QALLM ENT LLC</v>
      </c>
      <c r="E2908" s="43" t="s">
        <v>194</v>
      </c>
      <c r="F2908" s="12">
        <f>_xlfn.XLOOKUP(Table134526_79101120212223242526[[#This Row],[Name Surname]],Manpower!C:C,Manpower!D:D,)</f>
        <v>135340657</v>
      </c>
      <c r="G2908" s="48" t="str">
        <f>_xlfn.XLOOKUP(Table134526_79101120212223242526[[#This Row],[Name Surname]],Manpower!$C$4:$C$1048576,Manpower!$F$4:$F$1048576,"")</f>
        <v>Forklift Operator</v>
      </c>
      <c r="H2908" s="48" t="str">
        <f>_xlfn.XLOOKUP(Table134526_79101120212223242526[[#This Row],[Name Surname]],Manpower!$C$4:$C$1048576,Manpower!$H$4:$H$1048576,"")</f>
        <v>Sub Contactor</v>
      </c>
      <c r="I2908" s="48" t="str">
        <f>_xlfn.XLOOKUP(Table134526_79101120212223242526[[#This Row],[Name Surname]],Manpower!$C$4:$C$1048576,Manpower!$H$4:$H$1048576,"")</f>
        <v>Sub Contactor</v>
      </c>
      <c r="J2908" s="43" t="s">
        <v>143</v>
      </c>
      <c r="K2908" s="43" t="s">
        <v>26</v>
      </c>
      <c r="L2908" s="43" t="s">
        <v>144</v>
      </c>
      <c r="M2908" s="43" t="s">
        <v>24</v>
      </c>
      <c r="N2908" s="44">
        <v>10</v>
      </c>
      <c r="O2908" s="43" t="s">
        <v>40</v>
      </c>
      <c r="P2908" s="43" t="s">
        <v>42</v>
      </c>
      <c r="Q2908" s="43" t="s">
        <v>42</v>
      </c>
      <c r="R2908" s="43" t="s">
        <v>195</v>
      </c>
      <c r="S2908" s="43" t="s">
        <v>245</v>
      </c>
    </row>
    <row r="2909" spans="1:19" s="45" customFormat="1" ht="14.4" hidden="1">
      <c r="A2909" s="53">
        <f>IF(C2909="","",MAX($A$1:A2908)+1)</f>
        <v>2675</v>
      </c>
      <c r="B2909" s="25" t="s">
        <v>141</v>
      </c>
      <c r="C2909" s="41">
        <v>46105</v>
      </c>
      <c r="D2909" s="48" t="str">
        <f>_xlfn.XLOOKUP(Table134526_79101120212223242526[[#This Row],[Name Surname]],Manpower!$C$4:$C$1048576,Manpower!$B$4:$B$1048576,"")</f>
        <v>Encogroup</v>
      </c>
      <c r="E2909" s="43" t="s">
        <v>196</v>
      </c>
      <c r="F2909" s="12">
        <f>_xlfn.XLOOKUP(Table134526_79101120212223242526[[#This Row],[Name Surname]],Manpower!C:C,Manpower!D:D,)</f>
        <v>140844586</v>
      </c>
      <c r="G2909" s="48" t="str">
        <f>_xlfn.XLOOKUP(Table134526_79101120212223242526[[#This Row],[Name Surname]],Manpower!$C$4:$C$1048576,Manpower!$F$4:$F$1048576,"")</f>
        <v>Assistant/Helper</v>
      </c>
      <c r="H2909" s="48" t="str">
        <f>_xlfn.XLOOKUP(Table134526_79101120212223242526[[#This Row],[Name Surname]],Manpower!$C$4:$C$1048576,Manpower!$H$4:$H$1048576,"")</f>
        <v>Manpower</v>
      </c>
      <c r="I2909" s="48" t="str">
        <f>_xlfn.XLOOKUP(Table134526_79101120212223242526[[#This Row],[Name Surname]],Manpower!$C$4:$C$1048576,Manpower!$H$4:$H$1048576,"")</f>
        <v>Manpower</v>
      </c>
      <c r="J2909" s="43" t="s">
        <v>143</v>
      </c>
      <c r="K2909" s="43" t="s">
        <v>26</v>
      </c>
      <c r="L2909" s="43" t="s">
        <v>170</v>
      </c>
      <c r="M2909" s="43" t="s">
        <v>24</v>
      </c>
      <c r="N2909" s="44">
        <v>10</v>
      </c>
      <c r="O2909" s="43" t="s">
        <v>40</v>
      </c>
      <c r="P2909" s="43" t="s">
        <v>128</v>
      </c>
      <c r="Q2909" s="43" t="s">
        <v>128</v>
      </c>
      <c r="R2909" s="43" t="s">
        <v>171</v>
      </c>
      <c r="S2909" s="43"/>
    </row>
    <row r="2910" spans="1:19" ht="14.4" hidden="1">
      <c r="A2910" s="38">
        <f>IF(C2910="","",MAX($A$1:A2909)+1)</f>
        <v>2676</v>
      </c>
      <c r="B2910" s="27" t="s">
        <v>141</v>
      </c>
      <c r="C2910" s="23">
        <v>46105</v>
      </c>
      <c r="D2910" s="28" t="str">
        <f>_xlfn.XLOOKUP(Table134526_79101120212223242526[[#This Row],[Name Surname]],Manpower!$C$4:$C$1048576,Manpower!$B$4:$B$1048576,"")</f>
        <v>AL Omar International Tarde&amp;Contracting SPC</v>
      </c>
      <c r="E2910" s="21" t="s">
        <v>221</v>
      </c>
      <c r="F2910" s="12">
        <f>_xlfn.XLOOKUP(Table134526_79101120212223242526[[#This Row],[Name Surname]],Manpower!C:C,Manpower!D:D,)</f>
        <v>115122635</v>
      </c>
      <c r="G2910" s="28" t="str">
        <f>_xlfn.XLOOKUP(Table134526_79101120212223242526[[#This Row],[Name Surname]],Manpower!$C$4:$C$1048576,Manpower!$F$4:$F$1048576,"")</f>
        <v>Scaffolder</v>
      </c>
      <c r="H2910" s="28" t="str">
        <f>_xlfn.XLOOKUP(Table134526_79101120212223242526[[#This Row],[Name Surname]],Manpower!$C$4:$C$1048576,Manpower!$H$4:$H$1048576,"")</f>
        <v>Sub Contactor</v>
      </c>
      <c r="I2910" s="28" t="str">
        <f>_xlfn.XLOOKUP(Table134526_79101120212223242526[[#This Row],[Name Surname]],Manpower!$C$4:$C$1048576,Manpower!$H$4:$H$1048576,"")</f>
        <v>Sub Contactor</v>
      </c>
      <c r="J2910" s="21" t="s">
        <v>143</v>
      </c>
      <c r="K2910" s="21" t="s">
        <v>26</v>
      </c>
      <c r="L2910" s="21" t="s">
        <v>170</v>
      </c>
      <c r="M2910" s="21" t="s">
        <v>24</v>
      </c>
      <c r="N2910" s="29">
        <v>10</v>
      </c>
      <c r="O2910" s="21" t="s">
        <v>40</v>
      </c>
      <c r="P2910" s="21" t="s">
        <v>128</v>
      </c>
      <c r="Q2910" s="21" t="s">
        <v>128</v>
      </c>
      <c r="R2910" s="21" t="s">
        <v>171</v>
      </c>
    </row>
    <row r="2911" spans="1:19" ht="14.4" hidden="1">
      <c r="A2911" s="38">
        <f>IF(C2911="","",MAX($A$1:A2910)+1)</f>
        <v>2677</v>
      </c>
      <c r="B2911" s="27" t="s">
        <v>141</v>
      </c>
      <c r="C2911" s="23">
        <v>46105</v>
      </c>
      <c r="D2911" s="28" t="str">
        <f>_xlfn.XLOOKUP(Table134526_79101120212223242526[[#This Row],[Name Surname]],Manpower!$C$4:$C$1048576,Manpower!$B$4:$B$1048576,"")</f>
        <v>Encogroup</v>
      </c>
      <c r="E2911" s="21" t="s">
        <v>183</v>
      </c>
      <c r="F2911" s="12">
        <f>_xlfn.XLOOKUP(Table134526_79101120212223242526[[#This Row],[Name Surname]],Manpower!C:C,Manpower!D:D,)</f>
        <v>141359024</v>
      </c>
      <c r="G2911" s="28" t="str">
        <f>_xlfn.XLOOKUP(Table134526_79101120212223242526[[#This Row],[Name Surname]],Manpower!$C$4:$C$1048576,Manpower!$F$4:$F$1048576,"")</f>
        <v>Hydraulic Mechanic</v>
      </c>
      <c r="H2911" s="28" t="str">
        <f>_xlfn.XLOOKUP(Table134526_79101120212223242526[[#This Row],[Name Surname]],Manpower!$C$4:$C$1048576,Manpower!$H$4:$H$1048576,"")</f>
        <v>Manpower</v>
      </c>
      <c r="I2911" s="28" t="str">
        <f>_xlfn.XLOOKUP(Table134526_79101120212223242526[[#This Row],[Name Surname]],Manpower!$C$4:$C$1048576,Manpower!$H$4:$H$1048576,"")</f>
        <v>Manpower</v>
      </c>
      <c r="J2911" s="21" t="s">
        <v>143</v>
      </c>
      <c r="K2911" s="21" t="s">
        <v>26</v>
      </c>
      <c r="L2911" s="21" t="s">
        <v>170</v>
      </c>
      <c r="M2911" s="21" t="s">
        <v>24</v>
      </c>
      <c r="N2911" s="29">
        <v>10</v>
      </c>
      <c r="O2911" s="21" t="s">
        <v>40</v>
      </c>
      <c r="P2911" s="21" t="s">
        <v>128</v>
      </c>
      <c r="Q2911" s="21" t="s">
        <v>128</v>
      </c>
      <c r="R2911" s="21" t="s">
        <v>171</v>
      </c>
    </row>
    <row r="2912" spans="1:19" ht="14.4">
      <c r="A2912" s="38">
        <f>IF(C2912="","",MAX($A$1:A2911)+1)</f>
        <v>2678</v>
      </c>
      <c r="B2912" s="27" t="s">
        <v>141</v>
      </c>
      <c r="C2912" s="23">
        <v>46105</v>
      </c>
      <c r="D2912" s="28" t="str">
        <f>_xlfn.XLOOKUP(Table134526_79101120212223242526[[#This Row],[Name Surname]],Manpower!$C$4:$C$1048576,Manpower!$B$4:$B$1048576,"")</f>
        <v>Al Asrah Al Mumayaza Trad</v>
      </c>
      <c r="E2912" s="21" t="s">
        <v>198</v>
      </c>
      <c r="F2912" s="12" t="e">
        <f>_xlfn.XLOOKUP(Table134526_79101120212223242526[[#This Row],[Name Surname]],Manpower!C:C,Manpower!D:D,)</f>
        <v>#N/A</v>
      </c>
      <c r="G2912" s="28" t="str">
        <f>_xlfn.XLOOKUP(Table134526_79101120212223242526[[#This Row],[Name Surname]],Manpower!$C$4:$C$1048576,Manpower!$F$4:$F$1048576,"")</f>
        <v>PICK-UP</v>
      </c>
      <c r="H2912" s="28" t="str">
        <f>_xlfn.XLOOKUP(Table134526_79101120212223242526[[#This Row],[Name Surname]],Manpower!$C$4:$C$1048576,Manpower!$H$4:$H$1048576,"")</f>
        <v>Equipment</v>
      </c>
      <c r="I2912" s="28" t="str">
        <f>_xlfn.XLOOKUP(Table134526_79101120212223242526[[#This Row],[Name Surname]],Manpower!$C$4:$C$1048576,Manpower!$H$4:$H$1048576,"")</f>
        <v>Equipment</v>
      </c>
      <c r="J2912" s="21" t="s">
        <v>143</v>
      </c>
      <c r="K2912" s="21" t="s">
        <v>26</v>
      </c>
      <c r="L2912" s="21" t="s">
        <v>144</v>
      </c>
      <c r="M2912" s="21" t="s">
        <v>24</v>
      </c>
      <c r="N2912" s="29">
        <v>10</v>
      </c>
      <c r="O2912" s="21" t="s">
        <v>138</v>
      </c>
      <c r="P2912" s="21" t="s">
        <v>138</v>
      </c>
      <c r="Q2912" s="21" t="s">
        <v>138</v>
      </c>
      <c r="R2912" s="21" t="s">
        <v>26</v>
      </c>
    </row>
    <row r="2913" spans="1:20" ht="14.4">
      <c r="A2913" s="38">
        <f>IF(C2913="","",MAX($A$1:A2912)+1)</f>
        <v>2679</v>
      </c>
      <c r="B2913" s="27" t="s">
        <v>141</v>
      </c>
      <c r="C2913" s="23">
        <v>46105</v>
      </c>
      <c r="D2913" s="28" t="str">
        <f>_xlfn.XLOOKUP(Table134526_79101120212223242526[[#This Row],[Name Surname]],Manpower!$C$4:$C$1048576,Manpower!$B$4:$B$1048576,"")</f>
        <v>Al Asrah Al Mumayaza Trad</v>
      </c>
      <c r="E2913" s="21" t="s">
        <v>199</v>
      </c>
      <c r="F2913" s="12" t="e">
        <f>_xlfn.XLOOKUP(Table134526_79101120212223242526[[#This Row],[Name Surname]],Manpower!C:C,Manpower!D:D,)</f>
        <v>#N/A</v>
      </c>
      <c r="G2913" s="28" t="str">
        <f>_xlfn.XLOOKUP(Table134526_79101120212223242526[[#This Row],[Name Surname]],Manpower!$C$4:$C$1048576,Manpower!$F$4:$F$1048576,"")</f>
        <v>PICK-UP</v>
      </c>
      <c r="H2913" s="28" t="str">
        <f>_xlfn.XLOOKUP(Table134526_79101120212223242526[[#This Row],[Name Surname]],Manpower!$C$4:$C$1048576,Manpower!$H$4:$H$1048576,"")</f>
        <v>Equipment</v>
      </c>
      <c r="I2913" s="28" t="str">
        <f>_xlfn.XLOOKUP(Table134526_79101120212223242526[[#This Row],[Name Surname]],Manpower!$C$4:$C$1048576,Manpower!$H$4:$H$1048576,"")</f>
        <v>Equipment</v>
      </c>
      <c r="J2913" s="21" t="s">
        <v>143</v>
      </c>
      <c r="K2913" s="21" t="s">
        <v>26</v>
      </c>
      <c r="L2913" s="21" t="s">
        <v>144</v>
      </c>
      <c r="M2913" s="21" t="s">
        <v>24</v>
      </c>
      <c r="N2913" s="29">
        <v>10</v>
      </c>
      <c r="O2913" s="21" t="s">
        <v>138</v>
      </c>
      <c r="P2913" s="21" t="s">
        <v>138</v>
      </c>
      <c r="Q2913" s="21" t="s">
        <v>138</v>
      </c>
      <c r="R2913" s="21" t="s">
        <v>26</v>
      </c>
    </row>
    <row r="2914" spans="1:20" ht="14.4">
      <c r="A2914" s="38">
        <f>IF(C2914="","",MAX($A$1:A2913)+1)</f>
        <v>2680</v>
      </c>
      <c r="B2914" s="27" t="s">
        <v>141</v>
      </c>
      <c r="C2914" s="23">
        <v>46105</v>
      </c>
      <c r="D2914" s="28" t="str">
        <f>_xlfn.XLOOKUP(Table134526_79101120212223242526[[#This Row],[Name Surname]],Manpower!$C$4:$C$1048576,Manpower!$B$4:$B$1048576,"")</f>
        <v>Al Asrah Al Mumayaza Trad</v>
      </c>
      <c r="E2914" s="21" t="s">
        <v>200</v>
      </c>
      <c r="F2914" s="12" t="e">
        <f>_xlfn.XLOOKUP(Table134526_79101120212223242526[[#This Row],[Name Surname]],Manpower!C:C,Manpower!D:D,)</f>
        <v>#N/A</v>
      </c>
      <c r="G2914" s="28" t="str">
        <f>_xlfn.XLOOKUP(Table134526_79101120212223242526[[#This Row],[Name Surname]],Manpower!$C$4:$C$1048576,Manpower!$F$4:$F$1048576,"")</f>
        <v>PICK-UP</v>
      </c>
      <c r="H2914" s="28" t="str">
        <f>_xlfn.XLOOKUP(Table134526_79101120212223242526[[#This Row],[Name Surname]],Manpower!$C$4:$C$1048576,Manpower!$H$4:$H$1048576,"")</f>
        <v>Equipment</v>
      </c>
      <c r="I2914" s="28" t="str">
        <f>_xlfn.XLOOKUP(Table134526_79101120212223242526[[#This Row],[Name Surname]],Manpower!$C$4:$C$1048576,Manpower!$H$4:$H$1048576,"")</f>
        <v>Equipment</v>
      </c>
      <c r="J2914" s="21" t="s">
        <v>143</v>
      </c>
      <c r="K2914" s="21" t="s">
        <v>26</v>
      </c>
      <c r="L2914" s="21" t="s">
        <v>144</v>
      </c>
      <c r="M2914" s="21" t="s">
        <v>24</v>
      </c>
      <c r="N2914" s="29">
        <v>10</v>
      </c>
      <c r="O2914" s="21" t="s">
        <v>138</v>
      </c>
      <c r="P2914" s="21" t="s">
        <v>138</v>
      </c>
      <c r="Q2914" s="21" t="s">
        <v>138</v>
      </c>
      <c r="R2914" s="21" t="s">
        <v>26</v>
      </c>
    </row>
    <row r="2915" spans="1:20" ht="14.4">
      <c r="A2915" s="38">
        <f>IF(C2915="","",MAX($A$1:A2914)+1)</f>
        <v>2681</v>
      </c>
      <c r="B2915" s="27" t="s">
        <v>141</v>
      </c>
      <c r="C2915" s="23">
        <v>46105</v>
      </c>
      <c r="D2915" s="28" t="str">
        <f>_xlfn.XLOOKUP(Table134526_79101120212223242526[[#This Row],[Name Surname]],Manpower!$C$4:$C$1048576,Manpower!$B$4:$B$1048576,"")</f>
        <v>Al Asrah Al Mumayaza Trad</v>
      </c>
      <c r="E2915" s="21" t="s">
        <v>201</v>
      </c>
      <c r="F2915" s="12" t="e">
        <f>_xlfn.XLOOKUP(Table134526_79101120212223242526[[#This Row],[Name Surname]],Manpower!C:C,Manpower!D:D,)</f>
        <v>#N/A</v>
      </c>
      <c r="G2915" s="28" t="str">
        <f>_xlfn.XLOOKUP(Table134526_79101120212223242526[[#This Row],[Name Surname]],Manpower!$C$4:$C$1048576,Manpower!$F$4:$F$1048576,"")</f>
        <v>PICK-UP</v>
      </c>
      <c r="H2915" s="28" t="str">
        <f>_xlfn.XLOOKUP(Table134526_79101120212223242526[[#This Row],[Name Surname]],Manpower!$C$4:$C$1048576,Manpower!$H$4:$H$1048576,"")</f>
        <v>Equipment</v>
      </c>
      <c r="I2915" s="28" t="str">
        <f>_xlfn.XLOOKUP(Table134526_79101120212223242526[[#This Row],[Name Surname]],Manpower!$C$4:$C$1048576,Manpower!$H$4:$H$1048576,"")</f>
        <v>Equipment</v>
      </c>
      <c r="J2915" s="21" t="s">
        <v>143</v>
      </c>
      <c r="K2915" s="21" t="s">
        <v>26</v>
      </c>
      <c r="L2915" s="21" t="s">
        <v>144</v>
      </c>
      <c r="M2915" s="21" t="s">
        <v>24</v>
      </c>
      <c r="N2915" s="29">
        <v>10</v>
      </c>
      <c r="O2915" s="21" t="s">
        <v>138</v>
      </c>
      <c r="P2915" s="21" t="s">
        <v>138</v>
      </c>
      <c r="Q2915" s="21" t="s">
        <v>138</v>
      </c>
      <c r="R2915" s="21" t="s">
        <v>26</v>
      </c>
    </row>
    <row r="2916" spans="1:20" s="45" customFormat="1" ht="14.4" hidden="1">
      <c r="A2916" s="53">
        <f>IF(C2916="","",MAX($A$1:A2915)+1)</f>
        <v>2682</v>
      </c>
      <c r="B2916" s="25" t="s">
        <v>141</v>
      </c>
      <c r="C2916" s="41">
        <v>46105</v>
      </c>
      <c r="D2916" s="48" t="str">
        <f>_xlfn.XLOOKUP(Table134526_79101120212223242526[[#This Row],[Name Surname]],Manpower!$C$4:$C$1048576,Manpower!$B$4:$B$1048576,"")</f>
        <v>Encogroup</v>
      </c>
      <c r="E2916" s="43" t="s">
        <v>202</v>
      </c>
      <c r="F2916" s="12">
        <f>_xlfn.XLOOKUP(Table134526_79101120212223242526[[#This Row],[Name Surname]],Manpower!C:C,Manpower!D:D,)</f>
        <v>140805592</v>
      </c>
      <c r="G2916" s="48" t="str">
        <f>_xlfn.XLOOKUP(Table134526_79101120212223242526[[#This Row],[Name Surname]],Manpower!$C$4:$C$1048576,Manpower!$F$4:$F$1048576,"")</f>
        <v>Assistant/Helper</v>
      </c>
      <c r="H2916" s="48" t="str">
        <f>_xlfn.XLOOKUP(Table134526_79101120212223242526[[#This Row],[Name Surname]],Manpower!$C$4:$C$1048576,Manpower!$H$4:$H$1048576,"")</f>
        <v>Manpower</v>
      </c>
      <c r="I2916" s="48" t="str">
        <f>_xlfn.XLOOKUP(Table134526_79101120212223242526[[#This Row],[Name Surname]],Manpower!$C$4:$C$1048576,Manpower!$H$4:$H$1048576,"")</f>
        <v>Manpower</v>
      </c>
      <c r="J2916" s="43" t="s">
        <v>143</v>
      </c>
      <c r="K2916" s="43" t="s">
        <v>26</v>
      </c>
      <c r="L2916" s="43" t="s">
        <v>144</v>
      </c>
      <c r="M2916" s="43" t="s">
        <v>24</v>
      </c>
      <c r="N2916" s="44">
        <v>10</v>
      </c>
      <c r="O2916" s="43" t="s">
        <v>40</v>
      </c>
      <c r="P2916" s="43" t="s">
        <v>42</v>
      </c>
      <c r="Q2916" s="43" t="s">
        <v>42</v>
      </c>
      <c r="R2916" s="43" t="s">
        <v>402</v>
      </c>
      <c r="S2916" s="43"/>
    </row>
    <row r="2917" spans="1:20" s="45" customFormat="1" ht="14.4" hidden="1">
      <c r="A2917" s="53">
        <f>IF(C2917="","",MAX($A$1:A2916)+1)</f>
        <v>2683</v>
      </c>
      <c r="B2917" s="25" t="s">
        <v>141</v>
      </c>
      <c r="C2917" s="41">
        <v>46105</v>
      </c>
      <c r="D2917" s="48" t="str">
        <f>_xlfn.XLOOKUP(Table134526_79101120212223242526[[#This Row],[Name Surname]],Manpower!$C$4:$C$1048576,Manpower!$B$4:$B$1048576,"")</f>
        <v>Encogroup</v>
      </c>
      <c r="E2917" s="43" t="s">
        <v>203</v>
      </c>
      <c r="F2917" s="12">
        <f>_xlfn.XLOOKUP(Table134526_79101120212223242526[[#This Row],[Name Surname]],Manpower!C:C,Manpower!D:D,)</f>
        <v>140683371</v>
      </c>
      <c r="G2917" s="48" t="str">
        <f>_xlfn.XLOOKUP(Table134526_79101120212223242526[[#This Row],[Name Surname]],Manpower!$C$4:$C$1048576,Manpower!$F$4:$F$1048576,"")</f>
        <v>Rigger</v>
      </c>
      <c r="H2917" s="48" t="str">
        <f>_xlfn.XLOOKUP(Table134526_79101120212223242526[[#This Row],[Name Surname]],Manpower!$C$4:$C$1048576,Manpower!$H$4:$H$1048576,"")</f>
        <v>Manpower</v>
      </c>
      <c r="I2917" s="48" t="str">
        <f>_xlfn.XLOOKUP(Table134526_79101120212223242526[[#This Row],[Name Surname]],Manpower!$C$4:$C$1048576,Manpower!$H$4:$H$1048576,"")</f>
        <v>Manpower</v>
      </c>
      <c r="J2917" s="43" t="s">
        <v>143</v>
      </c>
      <c r="K2917" s="43" t="s">
        <v>26</v>
      </c>
      <c r="L2917" s="43" t="s">
        <v>144</v>
      </c>
      <c r="M2917" s="43" t="s">
        <v>24</v>
      </c>
      <c r="N2917" s="44">
        <v>10</v>
      </c>
      <c r="O2917" s="43" t="s">
        <v>40</v>
      </c>
      <c r="P2917" s="43" t="s">
        <v>42</v>
      </c>
      <c r="Q2917" s="43" t="s">
        <v>42</v>
      </c>
      <c r="R2917" s="43" t="s">
        <v>402</v>
      </c>
      <c r="S2917" s="43"/>
    </row>
    <row r="2918" spans="1:20" s="45" customFormat="1" ht="14.4" hidden="1">
      <c r="A2918" s="53">
        <f>IF(C2918="","",MAX($A$1:A2917)+1)</f>
        <v>2684</v>
      </c>
      <c r="B2918" s="25" t="s">
        <v>141</v>
      </c>
      <c r="C2918" s="41">
        <v>46105</v>
      </c>
      <c r="D2918" s="48" t="str">
        <f>_xlfn.XLOOKUP(Table134526_79101120212223242526[[#This Row],[Name Surname]],Manpower!$C$4:$C$1048576,Manpower!$B$4:$B$1048576,"")</f>
        <v>Encogroup</v>
      </c>
      <c r="E2918" s="43" t="s">
        <v>206</v>
      </c>
      <c r="F2918" s="12">
        <f>_xlfn.XLOOKUP(Table134526_79101120212223242526[[#This Row],[Name Surname]],Manpower!C:C,Manpower!D:D,)</f>
        <v>140844848</v>
      </c>
      <c r="G2918" s="48" t="str">
        <f>_xlfn.XLOOKUP(Table134526_79101120212223242526[[#This Row],[Name Surname]],Manpower!$C$4:$C$1048576,Manpower!$F$4:$F$1048576,"")</f>
        <v>Assistant/Helper</v>
      </c>
      <c r="H2918" s="48" t="str">
        <f>_xlfn.XLOOKUP(Table134526_79101120212223242526[[#This Row],[Name Surname]],Manpower!$C$4:$C$1048576,Manpower!$H$4:$H$1048576,"")</f>
        <v>Manpower</v>
      </c>
      <c r="I2918" s="48" t="str">
        <f>_xlfn.XLOOKUP(Table134526_79101120212223242526[[#This Row],[Name Surname]],Manpower!$C$4:$C$1048576,Manpower!$H$4:$H$1048576,"")</f>
        <v>Manpower</v>
      </c>
      <c r="J2918" s="43" t="s">
        <v>143</v>
      </c>
      <c r="K2918" s="43" t="s">
        <v>26</v>
      </c>
      <c r="L2918" s="43" t="s">
        <v>144</v>
      </c>
      <c r="M2918" s="43" t="s">
        <v>24</v>
      </c>
      <c r="N2918" s="44">
        <v>10</v>
      </c>
      <c r="O2918" s="43" t="s">
        <v>40</v>
      </c>
      <c r="P2918" s="43" t="s">
        <v>42</v>
      </c>
      <c r="Q2918" s="43" t="s">
        <v>42</v>
      </c>
      <c r="R2918" s="43" t="s">
        <v>402</v>
      </c>
      <c r="S2918" s="43"/>
    </row>
    <row r="2919" spans="1:20" ht="14.4" hidden="1">
      <c r="A2919" s="38">
        <f>IF(C2919="","",MAX($A$1:A2918)+1)</f>
        <v>2685</v>
      </c>
      <c r="B2919" s="27" t="s">
        <v>141</v>
      </c>
      <c r="C2919" s="23">
        <v>46105</v>
      </c>
      <c r="D2919" s="28" t="str">
        <f>_xlfn.XLOOKUP(Table134526_79101120212223242526[[#This Row],[Name Surname]],Manpower!$C$4:$C$1048576,Manpower!$B$4:$B$1048576,"")</f>
        <v>Encogroup</v>
      </c>
      <c r="E2919" s="21" t="s">
        <v>208</v>
      </c>
      <c r="F2919" s="12">
        <f>_xlfn.XLOOKUP(Table134526_79101120212223242526[[#This Row],[Name Surname]],Manpower!C:C,Manpower!D:D,)</f>
        <v>140683399</v>
      </c>
      <c r="G2919" s="28" t="str">
        <f>_xlfn.XLOOKUP(Table134526_79101120212223242526[[#This Row],[Name Surname]],Manpower!$C$4:$C$1048576,Manpower!$F$4:$F$1048576,"")</f>
        <v>Rigger</v>
      </c>
      <c r="H2919" s="28" t="str">
        <f>_xlfn.XLOOKUP(Table134526_79101120212223242526[[#This Row],[Name Surname]],Manpower!$C$4:$C$1048576,Manpower!$H$4:$H$1048576,"")</f>
        <v>Manpower</v>
      </c>
      <c r="I2919" s="28" t="str">
        <f>_xlfn.XLOOKUP(Table134526_79101120212223242526[[#This Row],[Name Surname]],Manpower!$C$4:$C$1048576,Manpower!$H$4:$H$1048576,"")</f>
        <v>Manpower</v>
      </c>
      <c r="J2919" s="21" t="s">
        <v>143</v>
      </c>
      <c r="K2919" s="21" t="s">
        <v>26</v>
      </c>
      <c r="L2919" s="21" t="s">
        <v>144</v>
      </c>
      <c r="M2919" s="21" t="s">
        <v>24</v>
      </c>
      <c r="N2919" s="29">
        <v>10</v>
      </c>
      <c r="O2919" s="21" t="s">
        <v>40</v>
      </c>
      <c r="P2919" s="21" t="s">
        <v>42</v>
      </c>
      <c r="Q2919" s="21" t="s">
        <v>42</v>
      </c>
      <c r="R2919" s="21" t="s">
        <v>402</v>
      </c>
    </row>
    <row r="2920" spans="1:20" ht="14.4">
      <c r="A2920" s="38">
        <f>IF(C2920="","",MAX($A$1:A2919)+1)</f>
        <v>2686</v>
      </c>
      <c r="B2920" s="27" t="s">
        <v>141</v>
      </c>
      <c r="C2920" s="23">
        <v>46105</v>
      </c>
      <c r="D2920" s="28" t="str">
        <f>_xlfn.XLOOKUP(Table134526_79101120212223242526[[#This Row],[Name Surname]],Manpower!$C$4:$C$1048576,Manpower!$B$4:$B$1048576,"")</f>
        <v>Encogroup</v>
      </c>
      <c r="E2920" s="21" t="s">
        <v>341</v>
      </c>
      <c r="F2920" s="12" t="e">
        <f>_xlfn.XLOOKUP(Table134526_79101120212223242526[[#This Row],[Name Surname]],Manpower!C:C,Manpower!D:D,)</f>
        <v>#N/A</v>
      </c>
      <c r="G2920" s="28" t="str">
        <f>_xlfn.XLOOKUP(Table134526_79101120212223242526[[#This Row],[Name Surname]],Manpower!$C$4:$C$1048576,Manpower!$F$4:$F$1048576,"")</f>
        <v>SCISSOR LIFT</v>
      </c>
      <c r="H2920" s="28" t="str">
        <f>_xlfn.XLOOKUP(Table134526_79101120212223242526[[#This Row],[Name Surname]],Manpower!$C$4:$C$1048576,Manpower!$H$4:$H$1048576,"")</f>
        <v>Equipment</v>
      </c>
      <c r="I2920" s="28" t="str">
        <f>_xlfn.XLOOKUP(Table134526_79101120212223242526[[#This Row],[Name Surname]],Manpower!$C$4:$C$1048576,Manpower!$H$4:$H$1048576,"")</f>
        <v>Equipment</v>
      </c>
      <c r="J2920" s="21" t="s">
        <v>143</v>
      </c>
      <c r="K2920" s="21" t="s">
        <v>26</v>
      </c>
      <c r="L2920" s="21" t="s">
        <v>144</v>
      </c>
      <c r="M2920" s="21" t="s">
        <v>55</v>
      </c>
      <c r="N2920" s="29">
        <v>10</v>
      </c>
      <c r="R2920" s="21" t="s">
        <v>56</v>
      </c>
    </row>
    <row r="2921" spans="1:20" ht="14.4">
      <c r="A2921" s="38">
        <f>IF(C2921="","",MAX($A$1:A2919)+1)</f>
        <v>2686</v>
      </c>
      <c r="B2921" s="27" t="s">
        <v>141</v>
      </c>
      <c r="C2921" s="23">
        <v>46105</v>
      </c>
      <c r="D2921" s="28" t="str">
        <f>_xlfn.XLOOKUP(Table134526_79101120212223242526[[#This Row],[Name Surname]],Manpower!$C$4:$C$1048576,Manpower!$B$4:$B$1048576,"")</f>
        <v>Encogroup</v>
      </c>
      <c r="E2921" s="21" t="s">
        <v>342</v>
      </c>
      <c r="F2921" s="12" t="e">
        <f>_xlfn.XLOOKUP(Table134526_79101120212223242526[[#This Row],[Name Surname]],Manpower!C:C,Manpower!D:D,)</f>
        <v>#N/A</v>
      </c>
      <c r="G2921" s="28" t="str">
        <f>_xlfn.XLOOKUP(Table134526_79101120212223242526[[#This Row],[Name Surname]],Manpower!$C$4:$C$1048576,Manpower!$F$4:$F$1048576,"")</f>
        <v>SCISSOR LIFT</v>
      </c>
      <c r="H2921" s="28" t="str">
        <f>_xlfn.XLOOKUP(Table134526_79101120212223242526[[#This Row],[Name Surname]],Manpower!$C$4:$C$1048576,Manpower!$H$4:$H$1048576,"")</f>
        <v>Equipment</v>
      </c>
      <c r="I2921" s="28" t="str">
        <f>_xlfn.XLOOKUP(Table134526_79101120212223242526[[#This Row],[Name Surname]],Manpower!$C$4:$C$1048576,Manpower!$H$4:$H$1048576,"")</f>
        <v>Equipment</v>
      </c>
      <c r="J2921" s="21" t="s">
        <v>143</v>
      </c>
      <c r="K2921" s="21" t="s">
        <v>26</v>
      </c>
      <c r="L2921" s="21" t="s">
        <v>144</v>
      </c>
      <c r="M2921" s="21" t="s">
        <v>55</v>
      </c>
      <c r="N2921" s="29">
        <v>10</v>
      </c>
      <c r="R2921" s="21" t="s">
        <v>56</v>
      </c>
    </row>
    <row r="2922" spans="1:20" ht="14.4">
      <c r="A2922" s="38">
        <f>IF(C2922="","",MAX($A$1:A2919)+1)</f>
        <v>2686</v>
      </c>
      <c r="B2922" s="27" t="s">
        <v>141</v>
      </c>
      <c r="C2922" s="23">
        <v>46105</v>
      </c>
      <c r="D2922" s="28" t="str">
        <f>_xlfn.XLOOKUP(Table134526_79101120212223242526[[#This Row],[Name Surname]],Manpower!$C$4:$C$1048576,Manpower!$B$4:$B$1048576,"")</f>
        <v>Encogroup</v>
      </c>
      <c r="E2922" s="21" t="s">
        <v>362</v>
      </c>
      <c r="F2922" s="12" t="e">
        <f>_xlfn.XLOOKUP(Table134526_79101120212223242526[[#This Row],[Name Surname]],Manpower!C:C,Manpower!D:D,)</f>
        <v>#N/A</v>
      </c>
      <c r="G2922" s="28" t="str">
        <f>_xlfn.XLOOKUP(Table134526_79101120212223242526[[#This Row],[Name Surname]],Manpower!$C$4:$C$1048576,Manpower!$F$4:$F$1048576,"")</f>
        <v>Trailer</v>
      </c>
      <c r="H2922" s="28" t="str">
        <f>_xlfn.XLOOKUP(Table134526_79101120212223242526[[#This Row],[Name Surname]],Manpower!$C$4:$C$1048576,Manpower!$H$4:$H$1048576,"")</f>
        <v>Equipment</v>
      </c>
      <c r="I2922" s="28" t="str">
        <f>_xlfn.XLOOKUP(Table134526_79101120212223242526[[#This Row],[Name Surname]],Manpower!$C$4:$C$1048576,Manpower!$H$4:$H$1048576,"")</f>
        <v>Equipment</v>
      </c>
      <c r="J2922" s="21" t="s">
        <v>143</v>
      </c>
      <c r="K2922" s="21" t="s">
        <v>26</v>
      </c>
      <c r="L2922" s="21" t="s">
        <v>144</v>
      </c>
      <c r="M2922" s="21" t="s">
        <v>55</v>
      </c>
      <c r="N2922" s="29">
        <v>5</v>
      </c>
      <c r="R2922" s="21" t="s">
        <v>26</v>
      </c>
      <c r="T2922" s="56" t="s">
        <v>396</v>
      </c>
    </row>
    <row r="2923" spans="1:20" ht="14.4" hidden="1">
      <c r="A2923" s="38">
        <f>IF(C2923="","",MAX($A$1:A2922)+1)</f>
        <v>2687</v>
      </c>
      <c r="B2923" s="27" t="s">
        <v>141</v>
      </c>
      <c r="C2923" s="23">
        <v>46105</v>
      </c>
      <c r="D2923" s="28" t="str">
        <f>_xlfn.XLOOKUP(Table134526_79101120212223242526[[#This Row],[Name Surname]],Manpower!$C$4:$C$1048576,Manpower!$B$4:$B$1048576,"")</f>
        <v>Encogroup</v>
      </c>
      <c r="E2923" s="21" t="s">
        <v>363</v>
      </c>
      <c r="F2923" s="12">
        <f>_xlfn.XLOOKUP(Table134526_79101120212223242526[[#This Row],[Name Surname]],Manpower!C:C,Manpower!D:D,)</f>
        <v>7065269</v>
      </c>
      <c r="G2923" s="28" t="str">
        <f>_xlfn.XLOOKUP(Table134526_79101120212223242526[[#This Row],[Name Surname]],Manpower!$C$4:$C$1048576,Manpower!$F$4:$F$1048576,"")</f>
        <v>Lowbed Trailer Driver</v>
      </c>
      <c r="H2923" s="28" t="str">
        <f>_xlfn.XLOOKUP(Table134526_79101120212223242526[[#This Row],[Name Surname]],Manpower!$C$4:$C$1048576,Manpower!$H$4:$H$1048576,"")</f>
        <v>Manpower</v>
      </c>
      <c r="I2923" s="28" t="str">
        <f>_xlfn.XLOOKUP(Table134526_79101120212223242526[[#This Row],[Name Surname]],Manpower!$C$4:$C$1048576,Manpower!$H$4:$H$1048576,"")</f>
        <v>Manpower</v>
      </c>
      <c r="J2923" s="21" t="s">
        <v>143</v>
      </c>
      <c r="K2923" s="21" t="s">
        <v>26</v>
      </c>
      <c r="L2923" s="21" t="s">
        <v>144</v>
      </c>
      <c r="M2923" s="21" t="s">
        <v>414</v>
      </c>
      <c r="N2923" s="29">
        <v>5</v>
      </c>
      <c r="R2923" s="21" t="s">
        <v>26</v>
      </c>
      <c r="T2923" s="56" t="s">
        <v>396</v>
      </c>
    </row>
    <row r="2924" spans="1:20" ht="14.4">
      <c r="A2924" s="38">
        <f>IF(C2924="","",MAX($A$1:A2919)+1)</f>
        <v>2686</v>
      </c>
      <c r="B2924" s="27" t="s">
        <v>141</v>
      </c>
      <c r="C2924" s="23">
        <v>46105</v>
      </c>
      <c r="D2924" s="28" t="str">
        <f>_xlfn.XLOOKUP(Table134526_79101120212223242526[[#This Row],[Name Surname]],Manpower!$C$4:$C$1048576,Manpower!$B$4:$B$1048576,"")</f>
        <v>Bright Light</v>
      </c>
      <c r="E2924" s="21" t="s">
        <v>210</v>
      </c>
      <c r="F2924" s="12" t="e">
        <f>_xlfn.XLOOKUP(Table134526_79101120212223242526[[#This Row],[Name Surname]],Manpower!C:C,Manpower!D:D,)</f>
        <v>#N/A</v>
      </c>
      <c r="G2924" s="28" t="str">
        <f>_xlfn.XLOOKUP(Table134526_79101120212223242526[[#This Row],[Name Surname]],Manpower!$C$4:$C$1048576,Manpower!$F$4:$F$1048576,"")</f>
        <v>Trailer</v>
      </c>
      <c r="H2924" s="28" t="str">
        <f>_xlfn.XLOOKUP(Table134526_79101120212223242526[[#This Row],[Name Surname]],Manpower!$C$4:$C$1048576,Manpower!$H$4:$H$1048576,"")</f>
        <v>Equipment</v>
      </c>
      <c r="I2924" s="28" t="str">
        <f>_xlfn.XLOOKUP(Table134526_79101120212223242526[[#This Row],[Name Surname]],Manpower!$C$4:$C$1048576,Manpower!$H$4:$H$1048576,"")</f>
        <v>Equipment</v>
      </c>
      <c r="J2924" s="21" t="s">
        <v>143</v>
      </c>
      <c r="K2924" s="21" t="s">
        <v>26</v>
      </c>
      <c r="L2924" s="21" t="s">
        <v>144</v>
      </c>
      <c r="M2924" s="21" t="s">
        <v>24</v>
      </c>
      <c r="N2924" s="29">
        <v>10</v>
      </c>
      <c r="O2924" s="21" t="s">
        <v>40</v>
      </c>
      <c r="P2924" s="21" t="s">
        <v>42</v>
      </c>
      <c r="Q2924" s="21" t="s">
        <v>42</v>
      </c>
      <c r="R2924" s="21" t="s">
        <v>26</v>
      </c>
    </row>
    <row r="2925" spans="1:20" s="45" customFormat="1" ht="14.4" hidden="1">
      <c r="A2925" s="53">
        <f>IF(C2925="","",MAX($A$1:A2924)+1)</f>
        <v>2688</v>
      </c>
      <c r="B2925" s="25" t="s">
        <v>141</v>
      </c>
      <c r="C2925" s="41">
        <v>46105</v>
      </c>
      <c r="D2925" s="48" t="str">
        <f>_xlfn.XLOOKUP(Table134526_79101120212223242526[[#This Row],[Name Surname]],Manpower!$C$4:$C$1048576,Manpower!$B$4:$B$1048576,"")</f>
        <v xml:space="preserve">FAL Transport </v>
      </c>
      <c r="E2925" s="43" t="s">
        <v>225</v>
      </c>
      <c r="F2925" s="12">
        <f>_xlfn.XLOOKUP(Table134526_79101120212223242526[[#This Row],[Name Surname]],Manpower!C:C,Manpower!D:D,)</f>
        <v>124233837</v>
      </c>
      <c r="G2925" s="48" t="str">
        <f>_xlfn.XLOOKUP(Table134526_79101120212223242526[[#This Row],[Name Surname]],Manpower!$C$4:$C$1048576,Manpower!$F$4:$F$1048576,"")</f>
        <v>Trailer Driver</v>
      </c>
      <c r="H2925" s="48" t="str">
        <f>_xlfn.XLOOKUP(Table134526_79101120212223242526[[#This Row],[Name Surname]],Manpower!$C$4:$C$1048576,Manpower!$H$4:$H$1048576,"")</f>
        <v>Sub Contactor</v>
      </c>
      <c r="I2925" s="48" t="str">
        <f>_xlfn.XLOOKUP(Table134526_79101120212223242526[[#This Row],[Name Surname]],Manpower!$C$4:$C$1048576,Manpower!$H$4:$H$1048576,"")</f>
        <v>Sub Contactor</v>
      </c>
      <c r="J2925" s="43" t="s">
        <v>143</v>
      </c>
      <c r="K2925" s="43" t="s">
        <v>26</v>
      </c>
      <c r="L2925" s="43" t="s">
        <v>144</v>
      </c>
      <c r="M2925" s="43" t="s">
        <v>24</v>
      </c>
      <c r="N2925" s="44">
        <v>10</v>
      </c>
      <c r="O2925" s="43" t="s">
        <v>40</v>
      </c>
      <c r="P2925" s="43" t="s">
        <v>42</v>
      </c>
      <c r="Q2925" s="43" t="s">
        <v>42</v>
      </c>
      <c r="R2925" s="43" t="s">
        <v>226</v>
      </c>
      <c r="S2925" s="43" t="s">
        <v>245</v>
      </c>
    </row>
    <row r="2926" spans="1:20" ht="14.4" hidden="1">
      <c r="A2926" s="38">
        <f>IF(C2926="","",MAX($A$1:A2925)+1)</f>
        <v>2689</v>
      </c>
      <c r="B2926" s="27" t="s">
        <v>141</v>
      </c>
      <c r="C2926" s="23">
        <v>46105</v>
      </c>
      <c r="D2926" s="28" t="str">
        <f>_xlfn.XLOOKUP(Table134526_79101120212223242526[[#This Row],[Name Surname]],Manpower!$C$4:$C$1048576,Manpower!$B$4:$B$1048576,"")</f>
        <v>Encogroup</v>
      </c>
      <c r="E2926" s="21" t="s">
        <v>211</v>
      </c>
      <c r="F2926" s="12">
        <f>_xlfn.XLOOKUP(Table134526_79101120212223242526[[#This Row],[Name Surname]],Manpower!C:C,Manpower!D:D,)</f>
        <v>140477664</v>
      </c>
      <c r="G2926" s="28" t="str">
        <f>_xlfn.XLOOKUP(Table134526_79101120212223242526[[#This Row],[Name Surname]],Manpower!$C$4:$C$1048576,Manpower!$F$4:$F$1048576,"")</f>
        <v>Junior HSE Officer</v>
      </c>
      <c r="H2926" s="28" t="str">
        <f>_xlfn.XLOOKUP(Table134526_79101120212223242526[[#This Row],[Name Surname]],Manpower!$C$4:$C$1048576,Manpower!$H$4:$H$1048576,"")</f>
        <v>Manpower</v>
      </c>
      <c r="I2926" s="28" t="str">
        <f>_xlfn.XLOOKUP(Table134526_79101120212223242526[[#This Row],[Name Surname]],Manpower!$C$4:$C$1048576,Manpower!$H$4:$H$1048576,"")</f>
        <v>Manpower</v>
      </c>
      <c r="J2926" s="21" t="s">
        <v>143</v>
      </c>
      <c r="K2926" s="21" t="s">
        <v>26</v>
      </c>
      <c r="L2926" s="21" t="s">
        <v>144</v>
      </c>
      <c r="M2926" s="21" t="s">
        <v>24</v>
      </c>
      <c r="N2926" s="29">
        <v>10</v>
      </c>
      <c r="O2926" s="21" t="s">
        <v>40</v>
      </c>
      <c r="P2926" s="21" t="s">
        <v>42</v>
      </c>
      <c r="Q2926" s="21" t="s">
        <v>42</v>
      </c>
      <c r="R2926" s="21" t="s">
        <v>402</v>
      </c>
    </row>
    <row r="2927" spans="1:20" ht="14.4" hidden="1">
      <c r="A2927" s="38">
        <f>IF(C2927="","",MAX($A$1:A2926)+1)</f>
        <v>2690</v>
      </c>
      <c r="B2927" s="27" t="s">
        <v>141</v>
      </c>
      <c r="C2927" s="23">
        <v>46105</v>
      </c>
      <c r="D2927" s="28" t="str">
        <f>_xlfn.XLOOKUP(Table134526_79101120212223242526[[#This Row],[Name Surname]],Manpower!$C$4:$C$1048576,Manpower!$B$4:$B$1048576,"")</f>
        <v>Encogroup</v>
      </c>
      <c r="E2927" s="21" t="s">
        <v>213</v>
      </c>
      <c r="F2927" s="12">
        <f>_xlfn.XLOOKUP(Table134526_79101120212223242526[[#This Row],[Name Surname]],Manpower!C:C,Manpower!D:D,)</f>
        <v>140846698</v>
      </c>
      <c r="G2927" s="28" t="str">
        <f>_xlfn.XLOOKUP(Table134526_79101120212223242526[[#This Row],[Name Surname]],Manpower!$C$4:$C$1048576,Manpower!$F$4:$F$1048576,"")</f>
        <v>Assistant/Helper</v>
      </c>
      <c r="H2927" s="28" t="str">
        <f>_xlfn.XLOOKUP(Table134526_79101120212223242526[[#This Row],[Name Surname]],Manpower!$C$4:$C$1048576,Manpower!$H$4:$H$1048576,"")</f>
        <v>Manpower</v>
      </c>
      <c r="I2927" s="28" t="str">
        <f>_xlfn.XLOOKUP(Table134526_79101120212223242526[[#This Row],[Name Surname]],Manpower!$C$4:$C$1048576,Manpower!$H$4:$H$1048576,"")</f>
        <v>Manpower</v>
      </c>
      <c r="J2927" s="21" t="s">
        <v>143</v>
      </c>
      <c r="K2927" s="21" t="s">
        <v>26</v>
      </c>
      <c r="L2927" s="21" t="s">
        <v>144</v>
      </c>
      <c r="M2927" s="21" t="s">
        <v>24</v>
      </c>
      <c r="N2927" s="29">
        <v>10</v>
      </c>
      <c r="O2927" s="21" t="s">
        <v>40</v>
      </c>
      <c r="P2927" s="21" t="s">
        <v>42</v>
      </c>
      <c r="Q2927" s="21" t="s">
        <v>42</v>
      </c>
      <c r="R2927" s="21" t="s">
        <v>402</v>
      </c>
    </row>
    <row r="2928" spans="1:20" s="45" customFormat="1" ht="14.4" hidden="1">
      <c r="A2928" s="53">
        <f>IF(C2928="","",MAX($A$1:A2927)+1)</f>
        <v>2691</v>
      </c>
      <c r="B2928" s="25" t="s">
        <v>141</v>
      </c>
      <c r="C2928" s="41">
        <v>46105</v>
      </c>
      <c r="D2928" s="48" t="str">
        <f>_xlfn.XLOOKUP(Table134526_79101120212223242526[[#This Row],[Name Surname]],Manpower!$C$4:$C$1048576,Manpower!$B$4:$B$1048576,"")</f>
        <v>Encogroup</v>
      </c>
      <c r="E2928" s="43" t="s">
        <v>217</v>
      </c>
      <c r="F2928" s="12">
        <f>_xlfn.XLOOKUP(Table134526_79101120212223242526[[#This Row],[Name Surname]],Manpower!C:C,Manpower!D:D,)</f>
        <v>140742177</v>
      </c>
      <c r="G2928" s="48" t="str">
        <f>_xlfn.XLOOKUP(Table134526_79101120212223242526[[#This Row],[Name Surname]],Manpower!$C$4:$C$1048576,Manpower!$F$4:$F$1048576,"")</f>
        <v>Grinder</v>
      </c>
      <c r="H2928" s="48" t="str">
        <f>_xlfn.XLOOKUP(Table134526_79101120212223242526[[#This Row],[Name Surname]],Manpower!$C$4:$C$1048576,Manpower!$H$4:$H$1048576,"")</f>
        <v>Manpower</v>
      </c>
      <c r="I2928" s="48" t="str">
        <f>_xlfn.XLOOKUP(Table134526_79101120212223242526[[#This Row],[Name Surname]],Manpower!$C$4:$C$1048576,Manpower!$H$4:$H$1048576,"")</f>
        <v>Manpower</v>
      </c>
      <c r="J2928" s="43" t="s">
        <v>143</v>
      </c>
      <c r="K2928" s="43" t="s">
        <v>26</v>
      </c>
      <c r="L2928" s="43" t="s">
        <v>144</v>
      </c>
      <c r="M2928" s="43" t="s">
        <v>24</v>
      </c>
      <c r="N2928" s="44">
        <v>10</v>
      </c>
      <c r="O2928" s="43" t="s">
        <v>40</v>
      </c>
      <c r="P2928" s="43" t="s">
        <v>329</v>
      </c>
      <c r="Q2928" s="43" t="s">
        <v>128</v>
      </c>
      <c r="R2928" s="43" t="s">
        <v>402</v>
      </c>
      <c r="S2928" s="43"/>
    </row>
    <row r="2929" spans="1:20" s="45" customFormat="1" ht="14.4" hidden="1">
      <c r="A2929" s="53">
        <f>IF(C2929="","",MAX($A$1:A2928)+1)</f>
        <v>2692</v>
      </c>
      <c r="B2929" s="25" t="s">
        <v>141</v>
      </c>
      <c r="C2929" s="41">
        <v>46105</v>
      </c>
      <c r="D2929" s="48" t="str">
        <f>_xlfn.XLOOKUP(Table134526_79101120212223242526[[#This Row],[Name Surname]],Manpower!$C$4:$C$1048576,Manpower!$B$4:$B$1048576,"")</f>
        <v>Encogroup</v>
      </c>
      <c r="E2929" s="43" t="s">
        <v>188</v>
      </c>
      <c r="F2929" s="12">
        <f>_xlfn.XLOOKUP(Table134526_79101120212223242526[[#This Row],[Name Surname]],Manpower!C:C,Manpower!D:D,)</f>
        <v>140696975</v>
      </c>
      <c r="G2929" s="48" t="str">
        <f>_xlfn.XLOOKUP(Table134526_79101120212223242526[[#This Row],[Name Surname]],Manpower!$C$4:$C$1048576,Manpower!$F$4:$F$1048576,"")</f>
        <v>Assistant/Helper</v>
      </c>
      <c r="H2929" s="48" t="str">
        <f>_xlfn.XLOOKUP(Table134526_79101120212223242526[[#This Row],[Name Surname]],Manpower!$C$4:$C$1048576,Manpower!$H$4:$H$1048576,"")</f>
        <v>Manpower</v>
      </c>
      <c r="I2929" s="48" t="str">
        <f>_xlfn.XLOOKUP(Table134526_79101120212223242526[[#This Row],[Name Surname]],Manpower!$C$4:$C$1048576,Manpower!$H$4:$H$1048576,"")</f>
        <v>Manpower</v>
      </c>
      <c r="J2929" s="43" t="s">
        <v>158</v>
      </c>
      <c r="K2929" s="43" t="s">
        <v>26</v>
      </c>
      <c r="L2929" s="43" t="s">
        <v>26</v>
      </c>
      <c r="M2929" s="43" t="s">
        <v>24</v>
      </c>
      <c r="N2929" s="44">
        <v>5</v>
      </c>
      <c r="O2929" s="43" t="s">
        <v>159</v>
      </c>
      <c r="P2929" s="43" t="s">
        <v>160</v>
      </c>
      <c r="Q2929" s="43" t="s">
        <v>160</v>
      </c>
      <c r="R2929" s="43" t="s">
        <v>161</v>
      </c>
      <c r="S2929" s="43" t="s">
        <v>230</v>
      </c>
    </row>
    <row r="2930" spans="1:20" s="45" customFormat="1" ht="14.4" hidden="1">
      <c r="A2930" s="53">
        <f>IF(C2930="","",MAX($A$1:A2929)+1)</f>
        <v>2693</v>
      </c>
      <c r="B2930" s="25" t="s">
        <v>141</v>
      </c>
      <c r="C2930" s="41">
        <v>46105</v>
      </c>
      <c r="D2930" s="48" t="str">
        <f>_xlfn.XLOOKUP(Table134526_79101120212223242526[[#This Row],[Name Surname]],Manpower!$C$4:$C$1048576,Manpower!$B$4:$B$1048576,"")</f>
        <v>Encogroup</v>
      </c>
      <c r="E2930" s="43" t="s">
        <v>168</v>
      </c>
      <c r="F2930" s="12">
        <f>_xlfn.XLOOKUP(Table134526_79101120212223242526[[#This Row],[Name Surname]],Manpower!C:C,Manpower!D:D,)</f>
        <v>137114773</v>
      </c>
      <c r="G2930" s="48" t="str">
        <f>_xlfn.XLOOKUP(Table134526_79101120212223242526[[#This Row],[Name Surname]],Manpower!$C$4:$C$1048576,Manpower!$F$4:$F$1048576,"")</f>
        <v>Rigger</v>
      </c>
      <c r="H2930" s="48" t="str">
        <f>_xlfn.XLOOKUP(Table134526_79101120212223242526[[#This Row],[Name Surname]],Manpower!$C$4:$C$1048576,Manpower!$H$4:$H$1048576,"")</f>
        <v>Manpower</v>
      </c>
      <c r="I2930" s="48" t="str">
        <f>_xlfn.XLOOKUP(Table134526_79101120212223242526[[#This Row],[Name Surname]],Manpower!$C$4:$C$1048576,Manpower!$H$4:$H$1048576,"")</f>
        <v>Manpower</v>
      </c>
      <c r="J2930" s="43" t="s">
        <v>143</v>
      </c>
      <c r="K2930" s="43" t="s">
        <v>26</v>
      </c>
      <c r="L2930" s="43" t="s">
        <v>144</v>
      </c>
      <c r="M2930" s="43" t="s">
        <v>24</v>
      </c>
      <c r="N2930" s="44">
        <v>10</v>
      </c>
      <c r="O2930" s="43" t="s">
        <v>40</v>
      </c>
      <c r="P2930" s="43" t="s">
        <v>329</v>
      </c>
      <c r="Q2930" s="43" t="s">
        <v>128</v>
      </c>
      <c r="R2930" s="43" t="s">
        <v>402</v>
      </c>
      <c r="S2930" s="43"/>
    </row>
    <row r="2931" spans="1:20" s="45" customFormat="1" ht="14.4" hidden="1">
      <c r="A2931" s="53">
        <f>IF(C2931="","",MAX($A$1:A2929)+1)</f>
        <v>2693</v>
      </c>
      <c r="B2931" s="25" t="s">
        <v>141</v>
      </c>
      <c r="C2931" s="41">
        <v>46105</v>
      </c>
      <c r="D2931" s="48" t="str">
        <f>_xlfn.XLOOKUP(Table134526_79101120212223242526[[#This Row],[Name Surname]],Manpower!$C$4:$C$1048576,Manpower!$B$4:$B$1048576,"")</f>
        <v>Encogroup</v>
      </c>
      <c r="E2931" s="43" t="s">
        <v>204</v>
      </c>
      <c r="F2931" s="12">
        <f>_xlfn.XLOOKUP(Table134526_79101120212223242526[[#This Row],[Name Surname]],Manpower!C:C,Manpower!D:D,)</f>
        <v>140844572</v>
      </c>
      <c r="G2931" s="48" t="str">
        <f>_xlfn.XLOOKUP(Table134526_79101120212223242526[[#This Row],[Name Surname]],Manpower!$C$4:$C$1048576,Manpower!$F$4:$F$1048576,"")</f>
        <v>Assistant/Helper</v>
      </c>
      <c r="H2931" s="48" t="str">
        <f>_xlfn.XLOOKUP(Table134526_79101120212223242526[[#This Row],[Name Surname]],Manpower!$C$4:$C$1048576,Manpower!$H$4:$H$1048576,"")</f>
        <v>Manpower</v>
      </c>
      <c r="I2931" s="48" t="str">
        <f>_xlfn.XLOOKUP(Table134526_79101120212223242526[[#This Row],[Name Surname]],Manpower!$C$4:$C$1048576,Manpower!$H$4:$H$1048576,"")</f>
        <v>Manpower</v>
      </c>
      <c r="J2931" s="43" t="s">
        <v>158</v>
      </c>
      <c r="K2931" s="43" t="s">
        <v>26</v>
      </c>
      <c r="L2931" s="43" t="s">
        <v>26</v>
      </c>
      <c r="M2931" s="43" t="s">
        <v>24</v>
      </c>
      <c r="N2931" s="44">
        <v>5</v>
      </c>
      <c r="O2931" s="43" t="s">
        <v>159</v>
      </c>
      <c r="P2931" s="43" t="s">
        <v>160</v>
      </c>
      <c r="Q2931" s="43" t="s">
        <v>160</v>
      </c>
      <c r="R2931" s="43" t="s">
        <v>161</v>
      </c>
      <c r="S2931" s="43" t="s">
        <v>230</v>
      </c>
    </row>
    <row r="2932" spans="1:20" ht="14.4">
      <c r="A2932" s="38">
        <f>IF(C2932="","",MAX($A$1:A2931)+1)</f>
        <v>2694</v>
      </c>
      <c r="B2932" s="27" t="s">
        <v>141</v>
      </c>
      <c r="C2932" s="23">
        <v>46105</v>
      </c>
      <c r="D2932" s="28" t="str">
        <f>_xlfn.XLOOKUP(Table134526_79101120212223242526[[#This Row],[Name Surname]],Manpower!$C$4:$C$1048576,Manpower!$B$4:$B$1048576,"")</f>
        <v>Encogroup</v>
      </c>
      <c r="E2932" s="23" t="s">
        <v>219</v>
      </c>
      <c r="F2932" s="12" t="e">
        <f>_xlfn.XLOOKUP(Table134526_79101120212223242526[[#This Row],[Name Surname]],Manpower!C:C,Manpower!D:D,)</f>
        <v>#N/A</v>
      </c>
      <c r="G2932" s="28" t="str">
        <f>_xlfn.XLOOKUP(Table134526_79101120212223242526[[#This Row],[Name Surname]],Manpower!$C$4:$C$1048576,Manpower!$F$4:$F$1048576,"")</f>
        <v>TOWER LIGHT</v>
      </c>
      <c r="H2932" s="28" t="str">
        <f>_xlfn.XLOOKUP(Table134526_79101120212223242526[[#This Row],[Name Surname]],Manpower!$C$4:$C$1048576,Manpower!$H$4:$H$1048576,"")</f>
        <v>Equipment</v>
      </c>
      <c r="I2932" s="28" t="str">
        <f>_xlfn.XLOOKUP(Table134526_79101120212223242526[[#This Row],[Name Surname]],Manpower!$C$4:$C$1048576,Manpower!$H$4:$H$1048576,"")</f>
        <v>Equipment</v>
      </c>
      <c r="J2932" s="21" t="s">
        <v>143</v>
      </c>
      <c r="K2932" s="21" t="s">
        <v>26</v>
      </c>
      <c r="L2932" s="21" t="s">
        <v>144</v>
      </c>
      <c r="M2932" s="21" t="s">
        <v>55</v>
      </c>
      <c r="N2932" s="29">
        <v>10</v>
      </c>
      <c r="R2932" s="21" t="s">
        <v>56</v>
      </c>
    </row>
    <row r="2933" spans="1:20" ht="14.4">
      <c r="A2933" s="38">
        <f>IF(C2933="","",MAX($A$1:A2932)+1)</f>
        <v>2695</v>
      </c>
      <c r="B2933" s="27" t="s">
        <v>141</v>
      </c>
      <c r="C2933" s="23">
        <v>46105</v>
      </c>
      <c r="D2933" s="28" t="str">
        <f>_xlfn.XLOOKUP(Table134526_79101120212223242526[[#This Row],[Name Surname]],Manpower!$C$4:$C$1048576,Manpower!$B$4:$B$1048576,"")</f>
        <v>Encogroup</v>
      </c>
      <c r="E2933" s="23" t="s">
        <v>220</v>
      </c>
      <c r="F2933" s="12" t="e">
        <f>_xlfn.XLOOKUP(Table134526_79101120212223242526[[#This Row],[Name Surname]],Manpower!C:C,Manpower!D:D,)</f>
        <v>#N/A</v>
      </c>
      <c r="G2933" s="28" t="str">
        <f>_xlfn.XLOOKUP(Table134526_79101120212223242526[[#This Row],[Name Surname]],Manpower!$C$4:$C$1048576,Manpower!$F$4:$F$1048576,"")</f>
        <v>TOWER LIGHT</v>
      </c>
      <c r="H2933" s="28" t="str">
        <f>_xlfn.XLOOKUP(Table134526_79101120212223242526[[#This Row],[Name Surname]],Manpower!$C$4:$C$1048576,Manpower!$H$4:$H$1048576,"")</f>
        <v>Equipment</v>
      </c>
      <c r="I2933" s="28" t="str">
        <f>_xlfn.XLOOKUP(Table134526_79101120212223242526[[#This Row],[Name Surname]],Manpower!$C$4:$C$1048576,Manpower!$H$4:$H$1048576,"")</f>
        <v>Equipment</v>
      </c>
      <c r="J2933" s="21" t="s">
        <v>143</v>
      </c>
      <c r="K2933" s="21" t="s">
        <v>26</v>
      </c>
      <c r="L2933" s="21" t="s">
        <v>144</v>
      </c>
      <c r="M2933" s="21" t="s">
        <v>55</v>
      </c>
      <c r="N2933" s="29">
        <v>10</v>
      </c>
      <c r="R2933" s="21" t="s">
        <v>56</v>
      </c>
    </row>
    <row r="2934" spans="1:20" s="45" customFormat="1" ht="14.4" hidden="1">
      <c r="A2934" s="53">
        <f>IF(C2934="","",MAX($A$1:A2933)+1)</f>
        <v>2696</v>
      </c>
      <c r="B2934" s="25" t="s">
        <v>141</v>
      </c>
      <c r="C2934" s="41">
        <v>46105</v>
      </c>
      <c r="D2934" s="48" t="str">
        <f>_xlfn.XLOOKUP(Table134526_79101120212223242526[[#This Row],[Name Surname]],Manpower!$C$4:$C$1048576,Manpower!$B$4:$B$1048576,"")</f>
        <v>Encogroup</v>
      </c>
      <c r="E2934" s="43" t="s">
        <v>222</v>
      </c>
      <c r="F2934" s="12">
        <f>_xlfn.XLOOKUP(Table134526_79101120212223242526[[#This Row],[Name Surname]],Manpower!C:C,Manpower!D:D,)</f>
        <v>122082863</v>
      </c>
      <c r="G2934" s="48" t="str">
        <f>_xlfn.XLOOKUP(Table134526_79101120212223242526[[#This Row],[Name Surname]],Manpower!$C$4:$C$1048576,Manpower!$F$4:$F$1048576,"")</f>
        <v>Grinder</v>
      </c>
      <c r="H2934" s="48" t="str">
        <f>_xlfn.XLOOKUP(Table134526_79101120212223242526[[#This Row],[Name Surname]],Manpower!$C$4:$C$1048576,Manpower!$H$4:$H$1048576,"")</f>
        <v>Manpower</v>
      </c>
      <c r="I2934" s="48" t="str">
        <f>_xlfn.XLOOKUP(Table134526_79101120212223242526[[#This Row],[Name Surname]],Manpower!$C$4:$C$1048576,Manpower!$H$4:$H$1048576,"")</f>
        <v>Manpower</v>
      </c>
      <c r="J2934" s="43" t="s">
        <v>143</v>
      </c>
      <c r="K2934" s="43" t="s">
        <v>26</v>
      </c>
      <c r="L2934" s="43" t="s">
        <v>144</v>
      </c>
      <c r="M2934" s="43" t="s">
        <v>24</v>
      </c>
      <c r="N2934" s="44">
        <v>10</v>
      </c>
      <c r="O2934" s="43" t="s">
        <v>40</v>
      </c>
      <c r="P2934" s="43" t="s">
        <v>42</v>
      </c>
      <c r="Q2934" s="43" t="s">
        <v>42</v>
      </c>
      <c r="R2934" s="43" t="s">
        <v>402</v>
      </c>
      <c r="S2934" s="43"/>
    </row>
    <row r="2935" spans="1:20" ht="14.4" hidden="1">
      <c r="A2935" s="38">
        <f>IF(C2935="","",MAX($A$1:A2934)+1)</f>
        <v>2697</v>
      </c>
      <c r="B2935" s="27" t="s">
        <v>141</v>
      </c>
      <c r="C2935" s="23">
        <v>46105</v>
      </c>
      <c r="D2935" s="28" t="str">
        <f>_xlfn.XLOOKUP(Table134526_79101120212223242526[[#This Row],[Name Surname]],Manpower!$C$4:$C$1048576,Manpower!$B$4:$B$1048576,"")</f>
        <v>Encogroup</v>
      </c>
      <c r="E2935" s="21" t="s">
        <v>223</v>
      </c>
      <c r="F2935" s="12">
        <f>_xlfn.XLOOKUP(Table134526_79101120212223242526[[#This Row],[Name Surname]],Manpower!C:C,Manpower!D:D,)</f>
        <v>140696989</v>
      </c>
      <c r="G2935" s="28" t="str">
        <f>_xlfn.XLOOKUP(Table134526_79101120212223242526[[#This Row],[Name Surname]],Manpower!$C$4:$C$1048576,Manpower!$F$4:$F$1048576,"")</f>
        <v>Assistant/Helper</v>
      </c>
      <c r="H2935" s="28" t="str">
        <f>_xlfn.XLOOKUP(Table134526_79101120212223242526[[#This Row],[Name Surname]],Manpower!$C$4:$C$1048576,Manpower!$H$4:$H$1048576,"")</f>
        <v>Manpower</v>
      </c>
      <c r="I2935" s="28" t="str">
        <f>_xlfn.XLOOKUP(Table134526_79101120212223242526[[#This Row],[Name Surname]],Manpower!$C$4:$C$1048576,Manpower!$H$4:$H$1048576,"")</f>
        <v>Manpower</v>
      </c>
      <c r="J2935" s="21" t="s">
        <v>158</v>
      </c>
      <c r="K2935" s="21" t="s">
        <v>26</v>
      </c>
      <c r="L2935" s="21" t="s">
        <v>26</v>
      </c>
      <c r="M2935" s="21" t="s">
        <v>24</v>
      </c>
      <c r="N2935" s="29">
        <v>5</v>
      </c>
      <c r="O2935" s="21" t="s">
        <v>159</v>
      </c>
      <c r="P2935" s="21" t="s">
        <v>160</v>
      </c>
      <c r="Q2935" s="21" t="s">
        <v>160</v>
      </c>
      <c r="R2935" s="21" t="s">
        <v>161</v>
      </c>
    </row>
    <row r="2936" spans="1:20" ht="14.4" hidden="1">
      <c r="A2936" s="38">
        <f>IF(C2936="","",MAX($A$1:A2935)+1)</f>
        <v>2698</v>
      </c>
      <c r="B2936" s="27" t="s">
        <v>141</v>
      </c>
      <c r="C2936" s="23">
        <v>46105</v>
      </c>
      <c r="D2936" s="28" t="str">
        <f>_xlfn.XLOOKUP(Table134526_79101120212223242526[[#This Row],[Name Surname]],Manpower!$C$4:$C$1048576,Manpower!$B$4:$B$1048576,"")</f>
        <v>Encogroup</v>
      </c>
      <c r="E2936" s="21" t="s">
        <v>218</v>
      </c>
      <c r="F2936" s="12">
        <f>_xlfn.XLOOKUP(Table134526_79101120212223242526[[#This Row],[Name Surname]],Manpower!C:C,Manpower!D:D,)</f>
        <v>116853914</v>
      </c>
      <c r="G2936" s="28" t="str">
        <f>_xlfn.XLOOKUP(Table134526_79101120212223242526[[#This Row],[Name Surname]],Manpower!$C$4:$C$1048576,Manpower!$F$4:$F$1048576,"")</f>
        <v>Electrical Supervisor</v>
      </c>
      <c r="H2936" s="28" t="str">
        <f>_xlfn.XLOOKUP(Table134526_79101120212223242526[[#This Row],[Name Surname]],Manpower!$C$4:$C$1048576,Manpower!$H$4:$H$1048576,"")</f>
        <v>Manpower</v>
      </c>
      <c r="I2936" s="28" t="str">
        <f>_xlfn.XLOOKUP(Table134526_79101120212223242526[[#This Row],[Name Surname]],Manpower!$C$4:$C$1048576,Manpower!$H$4:$H$1048576,"")</f>
        <v>Manpower</v>
      </c>
      <c r="J2936" s="21" t="s">
        <v>158</v>
      </c>
      <c r="K2936" s="21" t="s">
        <v>26</v>
      </c>
      <c r="L2936" s="21" t="s">
        <v>26</v>
      </c>
      <c r="M2936" s="21" t="s">
        <v>24</v>
      </c>
      <c r="N2936" s="29">
        <v>5</v>
      </c>
      <c r="O2936" s="21" t="s">
        <v>159</v>
      </c>
      <c r="P2936" s="21" t="s">
        <v>160</v>
      </c>
      <c r="Q2936" s="21" t="s">
        <v>160</v>
      </c>
      <c r="R2936" s="21" t="s">
        <v>161</v>
      </c>
    </row>
    <row r="2937" spans="1:20" ht="14.4" hidden="1">
      <c r="A2937" s="38">
        <f>IF(C2937="","",MAX($A$1:A2936)+1)</f>
        <v>2699</v>
      </c>
      <c r="B2937" s="27" t="s">
        <v>141</v>
      </c>
      <c r="C2937" s="23">
        <v>46105</v>
      </c>
      <c r="D2937" s="28" t="str">
        <f>_xlfn.XLOOKUP(Table134526_79101120212223242526[[#This Row],[Name Surname]],Manpower!$C$4:$C$1048576,Manpower!$B$4:$B$1048576,"")</f>
        <v>Encogroup</v>
      </c>
      <c r="E2937" s="21" t="s">
        <v>346</v>
      </c>
      <c r="F2937" s="12">
        <f>_xlfn.XLOOKUP(Table134526_79101120212223242526[[#This Row],[Name Surname]],Manpower!C:C,Manpower!D:D,)</f>
        <v>117974933</v>
      </c>
      <c r="G2937" s="28" t="str">
        <f>_xlfn.XLOOKUP(Table134526_79101120212223242526[[#This Row],[Name Surname]],Manpower!$C$4:$C$1048576,Manpower!$F$4:$F$1048576,"")</f>
        <v>Scaffolder</v>
      </c>
      <c r="H2937" s="28" t="str">
        <f>_xlfn.XLOOKUP(Table134526_79101120212223242526[[#This Row],[Name Surname]],Manpower!$C$4:$C$1048576,Manpower!$H$4:$H$1048576,"")</f>
        <v>Manpower</v>
      </c>
      <c r="I2937" s="28" t="str">
        <f>_xlfn.XLOOKUP(Table134526_79101120212223242526[[#This Row],[Name Surname]],Manpower!$C$4:$C$1048576,Manpower!$H$4:$H$1048576,"")</f>
        <v>Manpower</v>
      </c>
      <c r="J2937" s="21" t="s">
        <v>158</v>
      </c>
      <c r="K2937" s="21" t="s">
        <v>26</v>
      </c>
      <c r="L2937" s="21" t="s">
        <v>26</v>
      </c>
      <c r="M2937" s="21" t="s">
        <v>24</v>
      </c>
      <c r="N2937" s="29">
        <v>5</v>
      </c>
      <c r="O2937" s="21" t="s">
        <v>159</v>
      </c>
      <c r="P2937" s="21" t="s">
        <v>160</v>
      </c>
      <c r="Q2937" s="21" t="s">
        <v>160</v>
      </c>
      <c r="R2937" s="21" t="s">
        <v>161</v>
      </c>
    </row>
    <row r="2938" spans="1:20" ht="14.4" hidden="1">
      <c r="A2938" s="38">
        <f>IF(C2938="","",MAX($A$1:A2937)+1)</f>
        <v>2700</v>
      </c>
      <c r="B2938" s="27" t="s">
        <v>141</v>
      </c>
      <c r="C2938" s="23">
        <v>46105</v>
      </c>
      <c r="D2938" s="28" t="str">
        <f>_xlfn.XLOOKUP(Table134526_79101120212223242526[[#This Row],[Name Surname]],Manpower!$C$4:$C$1048576,Manpower!$B$4:$B$1048576,"")</f>
        <v>Encogroup</v>
      </c>
      <c r="E2938" s="21" t="s">
        <v>347</v>
      </c>
      <c r="F2938" s="12">
        <f>_xlfn.XLOOKUP(Table134526_79101120212223242526[[#This Row],[Name Surname]],Manpower!C:C,Manpower!D:D,)</f>
        <v>141502853</v>
      </c>
      <c r="G2938" s="28" t="str">
        <f>_xlfn.XLOOKUP(Table134526_79101120212223242526[[#This Row],[Name Surname]],Manpower!$C$4:$C$1048576,Manpower!$F$4:$F$1048576,"")</f>
        <v>Scaffolder</v>
      </c>
      <c r="H2938" s="28" t="str">
        <f>_xlfn.XLOOKUP(Table134526_79101120212223242526[[#This Row],[Name Surname]],Manpower!$C$4:$C$1048576,Manpower!$H$4:$H$1048576,"")</f>
        <v>Manpower</v>
      </c>
      <c r="I2938" s="28" t="str">
        <f>_xlfn.XLOOKUP(Table134526_79101120212223242526[[#This Row],[Name Surname]],Manpower!$C$4:$C$1048576,Manpower!$H$4:$H$1048576,"")</f>
        <v>Manpower</v>
      </c>
      <c r="J2938" s="21" t="s">
        <v>158</v>
      </c>
      <c r="K2938" s="21" t="s">
        <v>26</v>
      </c>
      <c r="L2938" s="21" t="s">
        <v>26</v>
      </c>
      <c r="M2938" s="21" t="s">
        <v>24</v>
      </c>
      <c r="N2938" s="29">
        <v>5</v>
      </c>
      <c r="O2938" s="21" t="s">
        <v>159</v>
      </c>
      <c r="P2938" s="21" t="s">
        <v>160</v>
      </c>
      <c r="Q2938" s="21" t="s">
        <v>160</v>
      </c>
      <c r="R2938" s="21" t="s">
        <v>161</v>
      </c>
    </row>
    <row r="2939" spans="1:20" s="45" customFormat="1" ht="14.4" hidden="1">
      <c r="A2939" s="53">
        <f>IF(C2939="","",MAX($A$1:A2938)+1)</f>
        <v>2701</v>
      </c>
      <c r="B2939" s="25" t="s">
        <v>141</v>
      </c>
      <c r="C2939" s="41">
        <v>46105</v>
      </c>
      <c r="D2939" s="48" t="str">
        <f>_xlfn.XLOOKUP(Table134526_79101120212223242526[[#This Row],[Name Surname]],Manpower!$C$4:$C$1048576,Manpower!$B$4:$B$1048576,"")</f>
        <v>Encogroup</v>
      </c>
      <c r="E2939" s="43" t="s">
        <v>346</v>
      </c>
      <c r="F2939" s="12">
        <f>_xlfn.XLOOKUP(Table134526_79101120212223242526[[#This Row],[Name Surname]],Manpower!C:C,Manpower!D:D,)</f>
        <v>117974933</v>
      </c>
      <c r="G2939" s="48" t="str">
        <f>_xlfn.XLOOKUP(Table134526_79101120212223242526[[#This Row],[Name Surname]],Manpower!$C$4:$C$1048576,Manpower!$F$4:$F$1048576,"")</f>
        <v>Scaffolder</v>
      </c>
      <c r="H2939" s="48" t="str">
        <f>_xlfn.XLOOKUP(Table134526_79101120212223242526[[#This Row],[Name Surname]],Manpower!$C$4:$C$1048576,Manpower!$H$4:$H$1048576,"")</f>
        <v>Manpower</v>
      </c>
      <c r="I2939" s="48" t="str">
        <f>_xlfn.XLOOKUP(Table134526_79101120212223242526[[#This Row],[Name Surname]],Manpower!$C$4:$C$1048576,Manpower!$H$4:$H$1048576,"")</f>
        <v>Manpower</v>
      </c>
      <c r="J2939" s="43" t="s">
        <v>143</v>
      </c>
      <c r="K2939" s="43" t="s">
        <v>26</v>
      </c>
      <c r="L2939" s="43" t="s">
        <v>144</v>
      </c>
      <c r="M2939" s="43" t="s">
        <v>24</v>
      </c>
      <c r="N2939" s="44">
        <v>10</v>
      </c>
      <c r="O2939" s="43" t="s">
        <v>40</v>
      </c>
      <c r="P2939" s="43" t="s">
        <v>42</v>
      </c>
      <c r="Q2939" s="43" t="s">
        <v>42</v>
      </c>
      <c r="R2939" s="43" t="s">
        <v>402</v>
      </c>
      <c r="S2939" s="43"/>
    </row>
    <row r="2940" spans="1:20" ht="14.4" hidden="1">
      <c r="A2940" s="38">
        <f>IF(C2940="","",MAX($A$1:A2938)+1)</f>
        <v>2701</v>
      </c>
      <c r="B2940" s="27" t="s">
        <v>141</v>
      </c>
      <c r="C2940" s="23">
        <v>46105</v>
      </c>
      <c r="D2940" s="28" t="str">
        <f>_xlfn.XLOOKUP(Table134526_79101120212223242526[[#This Row],[Name Surname]],Manpower!$C$4:$C$1048576,Manpower!$B$4:$B$1048576,"")</f>
        <v>Encogroup</v>
      </c>
      <c r="E2940" s="21" t="s">
        <v>264</v>
      </c>
      <c r="F2940" s="12">
        <f>_xlfn.XLOOKUP(Table134526_79101120212223242526[[#This Row],[Name Surname]],Manpower!C:C,Manpower!D:D,)</f>
        <v>141365061</v>
      </c>
      <c r="G2940" s="28" t="str">
        <f>_xlfn.XLOOKUP(Table134526_79101120212223242526[[#This Row],[Name Surname]],Manpower!$C$4:$C$1048576,Manpower!$F$4:$F$1048576,"")</f>
        <v>Helper</v>
      </c>
      <c r="H2940" s="28" t="str">
        <f>_xlfn.XLOOKUP(Table134526_79101120212223242526[[#This Row],[Name Surname]],Manpower!$C$4:$C$1048576,Manpower!$H$4:$H$1048576,"")</f>
        <v>Manpower</v>
      </c>
      <c r="I2940" s="28" t="str">
        <f>_xlfn.XLOOKUP(Table134526_79101120212223242526[[#This Row],[Name Surname]],Manpower!$C$4:$C$1048576,Manpower!$H$4:$H$1048576,"")</f>
        <v>Manpower</v>
      </c>
      <c r="J2940" s="21" t="s">
        <v>143</v>
      </c>
      <c r="K2940" s="21" t="s">
        <v>26</v>
      </c>
      <c r="L2940" s="21" t="s">
        <v>144</v>
      </c>
      <c r="M2940" s="21" t="s">
        <v>24</v>
      </c>
      <c r="N2940" s="29">
        <v>10</v>
      </c>
      <c r="O2940" s="21" t="s">
        <v>40</v>
      </c>
      <c r="P2940" s="21" t="s">
        <v>42</v>
      </c>
      <c r="Q2940" s="21" t="s">
        <v>42</v>
      </c>
      <c r="R2940" s="21" t="s">
        <v>402</v>
      </c>
    </row>
    <row r="2941" spans="1:20" s="45" customFormat="1" ht="14.4" hidden="1">
      <c r="A2941" s="53">
        <f>IF(C2941="","",MAX($A$1:A2940)+1)</f>
        <v>2702</v>
      </c>
      <c r="B2941" s="25" t="s">
        <v>141</v>
      </c>
      <c r="C2941" s="41">
        <v>46105</v>
      </c>
      <c r="D2941" s="48" t="str">
        <f>_xlfn.XLOOKUP(Table134526_79101120212223242526[[#This Row],[Name Surname]],Manpower!$C$4:$C$1048576,Manpower!$B$4:$B$1048576,"")</f>
        <v>Encogroup</v>
      </c>
      <c r="E2941" s="43" t="s">
        <v>224</v>
      </c>
      <c r="F2941" s="12">
        <f>_xlfn.XLOOKUP(Table134526_79101120212223242526[[#This Row],[Name Surname]],Manpower!C:C,Manpower!D:D,)</f>
        <v>141365094</v>
      </c>
      <c r="G2941" s="48" t="str">
        <f>_xlfn.XLOOKUP(Table134526_79101120212223242526[[#This Row],[Name Surname]],Manpower!$C$4:$C$1048576,Manpower!$F$4:$F$1048576,"")</f>
        <v>Helper</v>
      </c>
      <c r="H2941" s="48" t="str">
        <f>_xlfn.XLOOKUP(Table134526_79101120212223242526[[#This Row],[Name Surname]],Manpower!$C$4:$C$1048576,Manpower!$H$4:$H$1048576,"")</f>
        <v>Manpower</v>
      </c>
      <c r="I2941" s="48" t="str">
        <f>_xlfn.XLOOKUP(Table134526_79101120212223242526[[#This Row],[Name Surname]],Manpower!$C$4:$C$1048576,Manpower!$H$4:$H$1048576,"")</f>
        <v>Manpower</v>
      </c>
      <c r="J2941" s="43" t="s">
        <v>143</v>
      </c>
      <c r="K2941" s="43" t="s">
        <v>26</v>
      </c>
      <c r="L2941" s="43" t="s">
        <v>144</v>
      </c>
      <c r="M2941" s="43" t="s">
        <v>24</v>
      </c>
      <c r="N2941" s="44">
        <v>10</v>
      </c>
      <c r="O2941" s="43" t="s">
        <v>40</v>
      </c>
      <c r="P2941" s="43" t="s">
        <v>42</v>
      </c>
      <c r="Q2941" s="43" t="s">
        <v>42</v>
      </c>
      <c r="R2941" s="43" t="s">
        <v>402</v>
      </c>
      <c r="S2941" s="43"/>
    </row>
    <row r="2942" spans="1:20" ht="14.4" hidden="1">
      <c r="A2942" s="38">
        <f>IF(C2942="","",MAX($A$1:A2941)+1)</f>
        <v>2703</v>
      </c>
      <c r="B2942" s="22" t="s">
        <v>19</v>
      </c>
      <c r="C2942" s="23">
        <v>46106</v>
      </c>
      <c r="D2942" s="28" t="str">
        <f>_xlfn.XLOOKUP(Table134526_79101120212223242526[[#This Row],[Name Surname]],Manpower!$C$4:$C$1048576,Manpower!$B$4:$B$1048576,"")</f>
        <v>Encogroup</v>
      </c>
      <c r="E2942" s="21" t="s">
        <v>30</v>
      </c>
      <c r="F2942" s="12">
        <f>_xlfn.XLOOKUP(Table134526_79101120212223242526[[#This Row],[Name Surname]],Manpower!C:C,Manpower!D:D,)</f>
        <v>116589569</v>
      </c>
      <c r="G2942" s="28" t="str">
        <f>_xlfn.XLOOKUP(Table134526_79101120212223242526[[#This Row],[Name Surname]],Manpower!$C$4:$C$1048576,Manpower!$F$4:$F$1048576,"")</f>
        <v>Mechanical Engineer</v>
      </c>
      <c r="H2942" s="28" t="str">
        <f>_xlfn.XLOOKUP(Table134526_79101120212223242526[[#This Row],[Name Surname]],Manpower!$C$4:$C$1048576,Manpower!$H$4:$H$1048576,"")</f>
        <v>Manpower</v>
      </c>
      <c r="I2942" s="28" t="str">
        <f>_xlfn.XLOOKUP(Table134526_79101120212223242526[[#This Row],[Name Surname]],Manpower!$C$4:$C$1048576,Manpower!$H$4:$H$1048576,"")</f>
        <v>Manpower</v>
      </c>
      <c r="J2942" s="21" t="s">
        <v>21</v>
      </c>
      <c r="K2942" s="21" t="s">
        <v>144</v>
      </c>
      <c r="L2942" s="21" t="s">
        <v>49</v>
      </c>
      <c r="M2942" s="21" t="s">
        <v>55</v>
      </c>
      <c r="N2942" s="29">
        <v>5</v>
      </c>
      <c r="O2942" s="21" t="s">
        <v>40</v>
      </c>
      <c r="P2942" s="21" t="s">
        <v>41</v>
      </c>
      <c r="Q2942" s="21" t="s">
        <v>42</v>
      </c>
      <c r="R2942" s="21" t="s">
        <v>406</v>
      </c>
      <c r="T2942" s="56" t="s">
        <v>396</v>
      </c>
    </row>
    <row r="2943" spans="1:20" ht="14.4">
      <c r="A2943" s="38">
        <f>IF(C2943="","",MAX($A$1:A2942)+1)</f>
        <v>2704</v>
      </c>
      <c r="B2943" s="22" t="s">
        <v>19</v>
      </c>
      <c r="C2943" s="23">
        <v>46106</v>
      </c>
      <c r="D2943" s="28" t="str">
        <f>_xlfn.XLOOKUP(Table134526_79101120212223242526[[#This Row],[Name Surname]],Manpower!$C$4:$C$1048576,Manpower!$B$4:$B$1048576,"")</f>
        <v>Al Jaber Heavy Lift</v>
      </c>
      <c r="E2943" s="21" t="s">
        <v>371</v>
      </c>
      <c r="F2943" s="12" t="e">
        <f>_xlfn.XLOOKUP(Table134526_79101120212223242526[[#This Row],[Name Surname]],Manpower!C:C,Manpower!D:D,)</f>
        <v>#N/A</v>
      </c>
      <c r="G2943" s="28" t="str">
        <f>_xlfn.XLOOKUP(Table134526_79101120212223242526[[#This Row],[Name Surname]],Manpower!$C$4:$C$1048576,Manpower!$F$4:$F$1048576,"")</f>
        <v>70T Crawler Crane</v>
      </c>
      <c r="H2943" s="28" t="str">
        <f>_xlfn.XLOOKUP(Table134526_79101120212223242526[[#This Row],[Name Surname]],Manpower!$C$4:$C$1048576,Manpower!$H$4:$H$1048576,"")</f>
        <v>Equipment</v>
      </c>
      <c r="I2943" s="28" t="str">
        <f>_xlfn.XLOOKUP(Table134526_79101120212223242526[[#This Row],[Name Surname]],Manpower!$C$4:$C$1048576,Manpower!$H$4:$H$1048576,"")</f>
        <v>Equipment</v>
      </c>
      <c r="J2943" s="21" t="s">
        <v>21</v>
      </c>
      <c r="K2943" s="21" t="s">
        <v>144</v>
      </c>
      <c r="L2943" s="21" t="s">
        <v>49</v>
      </c>
      <c r="M2943" s="21" t="s">
        <v>55</v>
      </c>
      <c r="N2943" s="29">
        <v>5</v>
      </c>
      <c r="O2943" s="21" t="s">
        <v>40</v>
      </c>
      <c r="P2943" s="21" t="s">
        <v>41</v>
      </c>
      <c r="Q2943" s="21" t="s">
        <v>42</v>
      </c>
      <c r="R2943" s="21" t="s">
        <v>406</v>
      </c>
      <c r="T2943" s="56" t="s">
        <v>396</v>
      </c>
    </row>
    <row r="2944" spans="1:20" ht="14.4">
      <c r="A2944" s="38">
        <f>IF(C2944="","",MAX($A$1:A2943)+1)</f>
        <v>2705</v>
      </c>
      <c r="B2944" s="22" t="s">
        <v>19</v>
      </c>
      <c r="C2944" s="23">
        <v>46106</v>
      </c>
      <c r="D2944" s="28" t="str">
        <f>_xlfn.XLOOKUP(Table134526_79101120212223242526[[#This Row],[Name Surname]],Manpower!$C$4:$C$1048576,Manpower!$B$4:$B$1048576,"")</f>
        <v>Riyan Al Khaleej</v>
      </c>
      <c r="E2944" s="21" t="s">
        <v>20</v>
      </c>
      <c r="F2944" s="12" t="e">
        <f>_xlfn.XLOOKUP(Table134526_79101120212223242526[[#This Row],[Name Surname]],Manpower!C:C,Manpower!D:D,)</f>
        <v>#N/A</v>
      </c>
      <c r="G2944" s="28" t="str">
        <f>_xlfn.XLOOKUP(Table134526_79101120212223242526[[#This Row],[Name Surname]],Manpower!$C$4:$C$1048576,Manpower!$F$4:$F$1048576,"")</f>
        <v>100T Telescopic Crane</v>
      </c>
      <c r="H2944" s="28" t="str">
        <f>_xlfn.XLOOKUP(Table134526_79101120212223242526[[#This Row],[Name Surname]],Manpower!$C$4:$C$1048576,Manpower!$H$4:$H$1048576,"")</f>
        <v>Equipment</v>
      </c>
      <c r="I2944" s="28" t="str">
        <f>_xlfn.XLOOKUP(Table134526_79101120212223242526[[#This Row],[Name Surname]],Manpower!$C$4:$C$1048576,Manpower!$H$4:$H$1048576,"")</f>
        <v>Equipment</v>
      </c>
      <c r="J2944" s="21" t="s">
        <v>21</v>
      </c>
      <c r="K2944" s="21" t="s">
        <v>144</v>
      </c>
      <c r="L2944" s="21" t="s">
        <v>49</v>
      </c>
      <c r="M2944" s="21" t="s">
        <v>55</v>
      </c>
      <c r="N2944" s="29">
        <v>2</v>
      </c>
      <c r="O2944" s="21" t="s">
        <v>40</v>
      </c>
      <c r="P2944" s="21" t="s">
        <v>41</v>
      </c>
      <c r="Q2944" s="21" t="s">
        <v>42</v>
      </c>
      <c r="R2944" s="21" t="s">
        <v>406</v>
      </c>
      <c r="T2944" s="56" t="s">
        <v>396</v>
      </c>
    </row>
    <row r="2945" spans="1:20" ht="14.4">
      <c r="A2945" s="38">
        <f>IF(C2945="","",MAX($A$1:A2944)+1)</f>
        <v>2706</v>
      </c>
      <c r="B2945" s="22" t="s">
        <v>19</v>
      </c>
      <c r="C2945" s="23">
        <v>46106</v>
      </c>
      <c r="D2945" s="28" t="str">
        <f>_xlfn.XLOOKUP(Table134526_79101120212223242526[[#This Row],[Name Surname]],Manpower!$C$4:$C$1048576,Manpower!$B$4:$B$1048576,"")</f>
        <v>Al Jaber Heavy Lift</v>
      </c>
      <c r="E2945" s="21" t="s">
        <v>151</v>
      </c>
      <c r="F2945" s="12" t="e">
        <f>_xlfn.XLOOKUP(Table134526_79101120212223242526[[#This Row],[Name Surname]],Manpower!C:C,Manpower!D:D,)</f>
        <v>#N/A</v>
      </c>
      <c r="G2945" s="28" t="str">
        <f>_xlfn.XLOOKUP(Table134526_79101120212223242526[[#This Row],[Name Surname]],Manpower!$C$4:$C$1048576,Manpower!$F$4:$F$1048576,"")</f>
        <v>150T-Crawler Crane</v>
      </c>
      <c r="H2945" s="28" t="str">
        <f>_xlfn.XLOOKUP(Table134526_79101120212223242526[[#This Row],[Name Surname]],Manpower!$C$4:$C$1048576,Manpower!$H$4:$H$1048576,"")</f>
        <v>Equipment</v>
      </c>
      <c r="I2945" s="28" t="str">
        <f>_xlfn.XLOOKUP(Table134526_79101120212223242526[[#This Row],[Name Surname]],Manpower!$C$4:$C$1048576,Manpower!$H$4:$H$1048576,"")</f>
        <v>Equipment</v>
      </c>
      <c r="J2945" s="21" t="s">
        <v>21</v>
      </c>
      <c r="K2945" s="21" t="s">
        <v>144</v>
      </c>
      <c r="L2945" s="21" t="s">
        <v>49</v>
      </c>
      <c r="M2945" s="21" t="s">
        <v>55</v>
      </c>
      <c r="N2945" s="29">
        <v>5</v>
      </c>
      <c r="O2945" s="21" t="s">
        <v>40</v>
      </c>
      <c r="P2945" s="21" t="s">
        <v>41</v>
      </c>
      <c r="Q2945" s="21" t="s">
        <v>42</v>
      </c>
      <c r="R2945" s="21" t="s">
        <v>406</v>
      </c>
      <c r="T2945" s="56" t="s">
        <v>396</v>
      </c>
    </row>
    <row r="2946" spans="1:20" s="45" customFormat="1" ht="14.4" hidden="1">
      <c r="A2946" s="53">
        <f>IF(C2946="","",MAX($A$1:A2945)+1)</f>
        <v>2707</v>
      </c>
      <c r="B2946" s="25" t="s">
        <v>19</v>
      </c>
      <c r="C2946" s="41">
        <v>46106</v>
      </c>
      <c r="D2946" s="48" t="str">
        <f>_xlfn.XLOOKUP(Table134526_79101120212223242526[[#This Row],[Name Surname]],Manpower!$C$4:$C$1048576,Manpower!$B$4:$B$1048576,"")</f>
        <v>Al Jaber Heavy Lift</v>
      </c>
      <c r="E2946" s="43" t="s">
        <v>164</v>
      </c>
      <c r="F2946" s="12">
        <f>_xlfn.XLOOKUP(Table134526_79101120212223242526[[#This Row],[Name Surname]],Manpower!C:C,Manpower!D:D,)</f>
        <v>112778626</v>
      </c>
      <c r="G2946" s="48" t="str">
        <f>_xlfn.XLOOKUP(Table134526_79101120212223242526[[#This Row],[Name Surname]],Manpower!$C$4:$C$1048576,Manpower!$F$4:$F$1048576,"")</f>
        <v>Crane Operator-150T Hitachi Crawler</v>
      </c>
      <c r="H2946" s="48" t="str">
        <f>_xlfn.XLOOKUP(Table134526_79101120212223242526[[#This Row],[Name Surname]],Manpower!$C$4:$C$1048576,Manpower!$H$4:$H$1048576,"")</f>
        <v>Manpower</v>
      </c>
      <c r="I2946" s="48" t="str">
        <f>_xlfn.XLOOKUP(Table134526_79101120212223242526[[#This Row],[Name Surname]],Manpower!$C$4:$C$1048576,Manpower!$H$4:$H$1048576,"")</f>
        <v>Manpower</v>
      </c>
      <c r="J2946" s="43" t="s">
        <v>21</v>
      </c>
      <c r="K2946" s="43" t="s">
        <v>144</v>
      </c>
      <c r="L2946" s="43" t="s">
        <v>49</v>
      </c>
      <c r="M2946" s="43" t="s">
        <v>55</v>
      </c>
      <c r="N2946" s="44">
        <v>5</v>
      </c>
      <c r="O2946" s="43" t="s">
        <v>40</v>
      </c>
      <c r="P2946" s="43" t="s">
        <v>41</v>
      </c>
      <c r="Q2946" s="43" t="s">
        <v>42</v>
      </c>
      <c r="R2946" s="43" t="s">
        <v>406</v>
      </c>
      <c r="S2946" s="43"/>
      <c r="T2946" s="67" t="s">
        <v>396</v>
      </c>
    </row>
    <row r="2947" spans="1:20" s="45" customFormat="1" ht="14.4" hidden="1">
      <c r="A2947" s="53">
        <f>IF(C2947="","",MAX($A$1:A2946)+1)</f>
        <v>2708</v>
      </c>
      <c r="B2947" s="25" t="s">
        <v>19</v>
      </c>
      <c r="C2947" s="41">
        <v>46106</v>
      </c>
      <c r="D2947" s="48" t="str">
        <f>_xlfn.XLOOKUP(Table134526_79101120212223242526[[#This Row],[Name Surname]],Manpower!$C$4:$C$1048576,Manpower!$B$4:$B$1048576,"")</f>
        <v>Rial Al Khaleej</v>
      </c>
      <c r="E2947" s="43" t="s">
        <v>38</v>
      </c>
      <c r="F2947" s="12">
        <f>_xlfn.XLOOKUP(Table134526_79101120212223242526[[#This Row],[Name Surname]],Manpower!C:C,Manpower!D:D,)</f>
        <v>98845403</v>
      </c>
      <c r="G2947" s="48" t="str">
        <f>_xlfn.XLOOKUP(Table134526_79101120212223242526[[#This Row],[Name Surname]],Manpower!$C$4:$C$1048576,Manpower!$F$4:$F$1048576,"")</f>
        <v>Crane Operator-100T Zoomlion Telescopic</v>
      </c>
      <c r="H2947" s="48" t="str">
        <f>_xlfn.XLOOKUP(Table134526_79101120212223242526[[#This Row],[Name Surname]],Manpower!$C$4:$C$1048576,Manpower!$H$4:$H$1048576,"")</f>
        <v>Manpower</v>
      </c>
      <c r="I2947" s="48" t="str">
        <f>_xlfn.XLOOKUP(Table134526_79101120212223242526[[#This Row],[Name Surname]],Manpower!$C$4:$C$1048576,Manpower!$H$4:$H$1048576,"")</f>
        <v>Manpower</v>
      </c>
      <c r="J2947" s="43" t="s">
        <v>21</v>
      </c>
      <c r="K2947" s="43" t="s">
        <v>144</v>
      </c>
      <c r="L2947" s="43" t="s">
        <v>49</v>
      </c>
      <c r="M2947" s="43" t="s">
        <v>55</v>
      </c>
      <c r="N2947" s="44">
        <v>2</v>
      </c>
      <c r="O2947" s="43" t="s">
        <v>40</v>
      </c>
      <c r="P2947" s="43" t="s">
        <v>41</v>
      </c>
      <c r="Q2947" s="43" t="s">
        <v>42</v>
      </c>
      <c r="R2947" s="43" t="s">
        <v>406</v>
      </c>
      <c r="S2947" s="43"/>
      <c r="T2947" s="67" t="s">
        <v>396</v>
      </c>
    </row>
    <row r="2948" spans="1:20" s="45" customFormat="1" ht="14.4" hidden="1">
      <c r="A2948" s="53">
        <f>IF(C2948="","",MAX($A$1:A2947)+1)</f>
        <v>2709</v>
      </c>
      <c r="B2948" s="25" t="s">
        <v>19</v>
      </c>
      <c r="C2948" s="41">
        <v>46106</v>
      </c>
      <c r="D2948" s="48" t="str">
        <f>_xlfn.XLOOKUP(Table134526_79101120212223242526[[#This Row],[Name Surname]],Manpower!$C$4:$C$1048576,Manpower!$B$4:$B$1048576,"")</f>
        <v>Al Jaber Heavy Lift</v>
      </c>
      <c r="E2948" s="43" t="s">
        <v>276</v>
      </c>
      <c r="F2948" s="12" t="str">
        <f>_xlfn.XLOOKUP(Table134526_79101120212223242526[[#This Row],[Name Surname]],Manpower!C:C,Manpower!D:D,)</f>
        <v>102607563</v>
      </c>
      <c r="G2948" s="48" t="str">
        <f>_xlfn.XLOOKUP(Table134526_79101120212223242526[[#This Row],[Name Surname]],Manpower!$C$4:$C$1048576,Manpower!$F$4:$F$1048576,"")</f>
        <v>Technician</v>
      </c>
      <c r="H2948" s="48" t="str">
        <f>_xlfn.XLOOKUP(Table134526_79101120212223242526[[#This Row],[Name Surname]],Manpower!$C$4:$C$1048576,Manpower!$H$4:$H$1048576,"")</f>
        <v>Manpower</v>
      </c>
      <c r="I2948" s="48" t="str">
        <f>_xlfn.XLOOKUP(Table134526_79101120212223242526[[#This Row],[Name Surname]],Manpower!$C$4:$C$1048576,Manpower!$H$4:$H$1048576,"")</f>
        <v>Manpower</v>
      </c>
      <c r="J2948" s="43" t="s">
        <v>21</v>
      </c>
      <c r="K2948" s="43" t="s">
        <v>144</v>
      </c>
      <c r="L2948" s="43" t="s">
        <v>49</v>
      </c>
      <c r="M2948" s="43" t="s">
        <v>55</v>
      </c>
      <c r="N2948" s="44">
        <v>5</v>
      </c>
      <c r="O2948" s="43" t="s">
        <v>40</v>
      </c>
      <c r="P2948" s="43" t="s">
        <v>41</v>
      </c>
      <c r="Q2948" s="43" t="s">
        <v>42</v>
      </c>
      <c r="R2948" s="43" t="s">
        <v>406</v>
      </c>
      <c r="S2948" s="43"/>
      <c r="T2948" s="67" t="s">
        <v>396</v>
      </c>
    </row>
    <row r="2949" spans="1:20" s="45" customFormat="1" ht="14.4" hidden="1">
      <c r="A2949" s="53">
        <f>IF(C2949="","",MAX($A$1:A2948)+1)</f>
        <v>2710</v>
      </c>
      <c r="B2949" s="25" t="s">
        <v>19</v>
      </c>
      <c r="C2949" s="41">
        <v>46106</v>
      </c>
      <c r="D2949" s="48" t="str">
        <f>_xlfn.XLOOKUP(Table134526_79101120212223242526[[#This Row],[Name Surname]],Manpower!$C$4:$C$1048576,Manpower!$B$4:$B$1048576,"")</f>
        <v>Al Jaber Heavy Lift</v>
      </c>
      <c r="E2949" s="43" t="s">
        <v>311</v>
      </c>
      <c r="F2949" s="12" t="e">
        <f>_xlfn.XLOOKUP(Table134526_79101120212223242526[[#This Row],[Name Surname]],Manpower!C:C,Manpower!D:D,)</f>
        <v>#N/A</v>
      </c>
      <c r="G2949" s="48" t="str">
        <f>_xlfn.XLOOKUP(Table134526_79101120212223242526[[#This Row],[Name Surname]],Manpower!$C$4:$C$1048576,Manpower!$F$4:$F$1048576,"")</f>
        <v>Technician</v>
      </c>
      <c r="H2949" s="48" t="str">
        <f>_xlfn.XLOOKUP(Table134526_79101120212223242526[[#This Row],[Name Surname]],Manpower!$C$4:$C$1048576,Manpower!$H$4:$H$1048576,"")</f>
        <v>Manpower</v>
      </c>
      <c r="I2949" s="48" t="str">
        <f>_xlfn.XLOOKUP(Table134526_79101120212223242526[[#This Row],[Name Surname]],Manpower!$C$4:$C$1048576,Manpower!$H$4:$H$1048576,"")</f>
        <v>Manpower</v>
      </c>
      <c r="J2949" s="43" t="s">
        <v>21</v>
      </c>
      <c r="K2949" s="43" t="s">
        <v>144</v>
      </c>
      <c r="L2949" s="43" t="s">
        <v>49</v>
      </c>
      <c r="M2949" s="43" t="s">
        <v>55</v>
      </c>
      <c r="N2949" s="44">
        <v>5</v>
      </c>
      <c r="O2949" s="43" t="s">
        <v>40</v>
      </c>
      <c r="P2949" s="43" t="s">
        <v>41</v>
      </c>
      <c r="Q2949" s="43" t="s">
        <v>42</v>
      </c>
      <c r="R2949" s="43" t="s">
        <v>406</v>
      </c>
      <c r="S2949" s="43"/>
      <c r="T2949" s="67" t="s">
        <v>396</v>
      </c>
    </row>
    <row r="2950" spans="1:20" s="45" customFormat="1" ht="14.4" hidden="1">
      <c r="A2950" s="53">
        <f>IF(C2950="","",MAX($A$1:A2947)+1)</f>
        <v>2709</v>
      </c>
      <c r="B2950" s="25" t="s">
        <v>19</v>
      </c>
      <c r="C2950" s="41">
        <v>46106</v>
      </c>
      <c r="D2950" s="48" t="str">
        <f>_xlfn.XLOOKUP(Table134526_79101120212223242526[[#This Row],[Name Surname]],Manpower!$C$4:$C$1048576,Manpower!$B$4:$B$1048576,"")</f>
        <v>Bright Light</v>
      </c>
      <c r="E2950" s="43" t="s">
        <v>263</v>
      </c>
      <c r="F2950" s="12">
        <f>_xlfn.XLOOKUP(Table134526_79101120212223242526[[#This Row],[Name Surname]],Manpower!C:C,Manpower!D:D,)</f>
        <v>125287583</v>
      </c>
      <c r="G2950" s="48" t="str">
        <f>_xlfn.XLOOKUP(Table134526_79101120212223242526[[#This Row],[Name Surname]],Manpower!$C$4:$C$1048576,Manpower!$F$4:$F$1048576,"")</f>
        <v>Mechanic</v>
      </c>
      <c r="H2950" s="48" t="str">
        <f>_xlfn.XLOOKUP(Table134526_79101120212223242526[[#This Row],[Name Surname]],Manpower!$C$4:$C$1048576,Manpower!$H$4:$H$1048576,"")</f>
        <v>Sub Contactor</v>
      </c>
      <c r="I2950" s="48" t="str">
        <f>_xlfn.XLOOKUP(Table134526_79101120212223242526[[#This Row],[Name Surname]],Manpower!$C$4:$C$1048576,Manpower!$H$4:$H$1048576,"")</f>
        <v>Sub Contactor</v>
      </c>
      <c r="J2950" s="43" t="s">
        <v>21</v>
      </c>
      <c r="K2950" s="43" t="s">
        <v>144</v>
      </c>
      <c r="L2950" s="43" t="s">
        <v>49</v>
      </c>
      <c r="M2950" s="43" t="s">
        <v>55</v>
      </c>
      <c r="N2950" s="44">
        <v>5</v>
      </c>
      <c r="O2950" s="43" t="s">
        <v>40</v>
      </c>
      <c r="P2950" s="43" t="s">
        <v>41</v>
      </c>
      <c r="Q2950" s="43" t="s">
        <v>42</v>
      </c>
      <c r="R2950" s="43" t="s">
        <v>406</v>
      </c>
      <c r="S2950" s="43"/>
      <c r="T2950" s="67" t="s">
        <v>396</v>
      </c>
    </row>
    <row r="2951" spans="1:20" s="45" customFormat="1" ht="14.4" hidden="1">
      <c r="A2951" s="53">
        <f>IF(C2951="","",MAX($A$1:A2950)+1)</f>
        <v>2711</v>
      </c>
      <c r="B2951" s="25" t="s">
        <v>19</v>
      </c>
      <c r="C2951" s="41">
        <v>46106</v>
      </c>
      <c r="D2951" s="48" t="str">
        <f>_xlfn.XLOOKUP(Table134526_79101120212223242526[[#This Row],[Name Surname]],Manpower!$C$4:$C$1048576,Manpower!$B$4:$B$1048576,"")</f>
        <v>Al Jaber Heavy Lift</v>
      </c>
      <c r="E2951" s="43" t="s">
        <v>310</v>
      </c>
      <c r="F2951" s="12">
        <f>_xlfn.XLOOKUP(Table134526_79101120212223242526[[#This Row],[Name Surname]],Manpower!C:C,Manpower!D:D,)</f>
        <v>113787454</v>
      </c>
      <c r="G2951" s="48" t="str">
        <f>_xlfn.XLOOKUP(Table134526_79101120212223242526[[#This Row],[Name Surname]],Manpower!$C$4:$C$1048576,Manpower!$F$4:$F$1048576,"")</f>
        <v>Crane Operator- 70T Crawler Crane- 02</v>
      </c>
      <c r="H2951" s="48" t="str">
        <f>_xlfn.XLOOKUP(Table134526_79101120212223242526[[#This Row],[Name Surname]],Manpower!$C$4:$C$1048576,Manpower!$H$4:$H$1048576,"")</f>
        <v>Manpower</v>
      </c>
      <c r="I2951" s="48" t="str">
        <f>_xlfn.XLOOKUP(Table134526_79101120212223242526[[#This Row],[Name Surname]],Manpower!$C$4:$C$1048576,Manpower!$H$4:$H$1048576,"")</f>
        <v>Manpower</v>
      </c>
      <c r="J2951" s="43" t="s">
        <v>21</v>
      </c>
      <c r="K2951" s="43" t="s">
        <v>144</v>
      </c>
      <c r="L2951" s="43" t="s">
        <v>49</v>
      </c>
      <c r="M2951" s="43" t="s">
        <v>55</v>
      </c>
      <c r="N2951" s="44">
        <v>5</v>
      </c>
      <c r="O2951" s="43" t="s">
        <v>40</v>
      </c>
      <c r="P2951" s="43" t="s">
        <v>41</v>
      </c>
      <c r="Q2951" s="43" t="s">
        <v>42</v>
      </c>
      <c r="R2951" s="43" t="s">
        <v>406</v>
      </c>
      <c r="S2951" s="43"/>
      <c r="T2951" s="67" t="s">
        <v>396</v>
      </c>
    </row>
    <row r="2952" spans="1:20" s="45" customFormat="1" ht="14.4" hidden="1">
      <c r="A2952" s="53">
        <f>IF(C2952="","",MAX($A$1:A2947)+1)</f>
        <v>2709</v>
      </c>
      <c r="B2952" s="25" t="s">
        <v>19</v>
      </c>
      <c r="C2952" s="41">
        <v>46106</v>
      </c>
      <c r="D2952" s="48" t="str">
        <f>_xlfn.XLOOKUP(Table134526_79101120212223242526[[#This Row],[Name Surname]],Manpower!$C$4:$C$1048576,Manpower!$B$4:$B$1048576,"")</f>
        <v>Al Jaber Heavy Lift</v>
      </c>
      <c r="E2952" s="43" t="s">
        <v>275</v>
      </c>
      <c r="F2952" s="12">
        <f>_xlfn.XLOOKUP(Table134526_79101120212223242526[[#This Row],[Name Surname]],Manpower!C:C,Manpower!D:D,)</f>
        <v>116448869</v>
      </c>
      <c r="G2952" s="48" t="str">
        <f>_xlfn.XLOOKUP(Table134526_79101120212223242526[[#This Row],[Name Surname]],Manpower!$C$4:$C$1048576,Manpower!$F$4:$F$1048576,"")</f>
        <v xml:space="preserve">Crane Operator </v>
      </c>
      <c r="H2952" s="48" t="str">
        <f>_xlfn.XLOOKUP(Table134526_79101120212223242526[[#This Row],[Name Surname]],Manpower!$C$4:$C$1048576,Manpower!$H$4:$H$1048576,"")</f>
        <v>Manpower</v>
      </c>
      <c r="I2952" s="48" t="str">
        <f>_xlfn.XLOOKUP(Table134526_79101120212223242526[[#This Row],[Name Surname]],Manpower!$C$4:$C$1048576,Manpower!$H$4:$H$1048576,"")</f>
        <v>Manpower</v>
      </c>
      <c r="J2952" s="43" t="s">
        <v>21</v>
      </c>
      <c r="K2952" s="43" t="s">
        <v>144</v>
      </c>
      <c r="L2952" s="43" t="s">
        <v>49</v>
      </c>
      <c r="M2952" s="43" t="s">
        <v>55</v>
      </c>
      <c r="N2952" s="44">
        <v>5</v>
      </c>
      <c r="O2952" s="43" t="s">
        <v>40</v>
      </c>
      <c r="P2952" s="43" t="s">
        <v>41</v>
      </c>
      <c r="Q2952" s="43" t="s">
        <v>42</v>
      </c>
      <c r="R2952" s="43" t="s">
        <v>406</v>
      </c>
      <c r="S2952" s="43"/>
      <c r="T2952" s="67" t="s">
        <v>396</v>
      </c>
    </row>
    <row r="2953" spans="1:20" s="45" customFormat="1" ht="14.4" hidden="1">
      <c r="A2953" s="53">
        <f>IF(C2953="","",MAX($A$1:A2947)+1)</f>
        <v>2709</v>
      </c>
      <c r="B2953" s="25" t="s">
        <v>19</v>
      </c>
      <c r="C2953" s="41">
        <v>46106</v>
      </c>
      <c r="D2953" s="48" t="str">
        <f>_xlfn.XLOOKUP(Table134526_79101120212223242526[[#This Row],[Name Surname]],Manpower!$C$4:$C$1048576,Manpower!$B$4:$B$1048576,"")</f>
        <v>Encogroup</v>
      </c>
      <c r="E2953" s="43" t="s">
        <v>102</v>
      </c>
      <c r="F2953" s="12">
        <f>_xlfn.XLOOKUP(Table134526_79101120212223242526[[#This Row],[Name Surname]],Manpower!C:C,Manpower!D:D,)</f>
        <v>141365075</v>
      </c>
      <c r="G2953" s="48" t="str">
        <f>_xlfn.XLOOKUP(Table134526_79101120212223242526[[#This Row],[Name Surname]],Manpower!$C$4:$C$1048576,Manpower!$F$4:$F$1048576,"")</f>
        <v>Helper</v>
      </c>
      <c r="H2953" s="48" t="str">
        <f>_xlfn.XLOOKUP(Table134526_79101120212223242526[[#This Row],[Name Surname]],Manpower!$C$4:$C$1048576,Manpower!$H$4:$H$1048576,"")</f>
        <v>Manpower</v>
      </c>
      <c r="I2953" s="48" t="str">
        <f>_xlfn.XLOOKUP(Table134526_79101120212223242526[[#This Row],[Name Surname]],Manpower!$C$4:$C$1048576,Manpower!$H$4:$H$1048576,"")</f>
        <v>Manpower</v>
      </c>
      <c r="J2953" s="43" t="s">
        <v>21</v>
      </c>
      <c r="K2953" s="43" t="s">
        <v>144</v>
      </c>
      <c r="L2953" s="43" t="s">
        <v>49</v>
      </c>
      <c r="M2953" s="43" t="s">
        <v>55</v>
      </c>
      <c r="N2953" s="44">
        <v>5</v>
      </c>
      <c r="O2953" s="43" t="s">
        <v>40</v>
      </c>
      <c r="P2953" s="43" t="s">
        <v>41</v>
      </c>
      <c r="Q2953" s="43" t="s">
        <v>42</v>
      </c>
      <c r="R2953" s="43" t="s">
        <v>406</v>
      </c>
      <c r="S2953" s="43"/>
      <c r="T2953" s="67" t="s">
        <v>396</v>
      </c>
    </row>
    <row r="2954" spans="1:20" s="45" customFormat="1" ht="14.4" hidden="1">
      <c r="A2954" s="53">
        <f>IF(C2954="","",MAX($A$1:A2953)+1)</f>
        <v>2712</v>
      </c>
      <c r="B2954" s="25" t="s">
        <v>19</v>
      </c>
      <c r="C2954" s="41">
        <v>46106</v>
      </c>
      <c r="D2954" s="48" t="str">
        <f>_xlfn.XLOOKUP(Table134526_79101120212223242526[[#This Row],[Name Surname]],Manpower!$C$4:$C$1048576,Manpower!$B$4:$B$1048576,"")</f>
        <v xml:space="preserve">FAL Transport </v>
      </c>
      <c r="E2954" s="43" t="s">
        <v>225</v>
      </c>
      <c r="F2954" s="12">
        <f>_xlfn.XLOOKUP(Table134526_79101120212223242526[[#This Row],[Name Surname]],Manpower!C:C,Manpower!D:D,)</f>
        <v>124233837</v>
      </c>
      <c r="G2954" s="48" t="str">
        <f>_xlfn.XLOOKUP(Table134526_79101120212223242526[[#This Row],[Name Surname]],Manpower!$C$4:$C$1048576,Manpower!$F$4:$F$1048576,"")</f>
        <v>Trailer Driver</v>
      </c>
      <c r="H2954" s="48" t="str">
        <f>_xlfn.XLOOKUP(Table134526_79101120212223242526[[#This Row],[Name Surname]],Manpower!$C$4:$C$1048576,Manpower!$H$4:$H$1048576,"")</f>
        <v>Sub Contactor</v>
      </c>
      <c r="I2954" s="48" t="str">
        <f>_xlfn.XLOOKUP(Table134526_79101120212223242526[[#This Row],[Name Surname]],Manpower!$C$4:$C$1048576,Manpower!$H$4:$H$1048576,"")</f>
        <v>Sub Contactor</v>
      </c>
      <c r="J2954" s="43" t="s">
        <v>135</v>
      </c>
      <c r="K2954" s="43" t="s">
        <v>144</v>
      </c>
      <c r="L2954" s="43" t="s">
        <v>49</v>
      </c>
      <c r="M2954" s="43" t="s">
        <v>55</v>
      </c>
      <c r="N2954" s="44">
        <v>5</v>
      </c>
      <c r="O2954" s="43" t="s">
        <v>40</v>
      </c>
      <c r="P2954" s="43" t="s">
        <v>41</v>
      </c>
      <c r="Q2954" s="43" t="s">
        <v>42</v>
      </c>
      <c r="R2954" s="43" t="s">
        <v>406</v>
      </c>
      <c r="S2954" s="43"/>
      <c r="T2954" s="67" t="s">
        <v>396</v>
      </c>
    </row>
    <row r="2955" spans="1:20" s="45" customFormat="1" ht="14.4" hidden="1">
      <c r="A2955" s="53">
        <f>IF(C2955="","",MAX($A$1:A2947)+1)</f>
        <v>2709</v>
      </c>
      <c r="B2955" s="25" t="s">
        <v>19</v>
      </c>
      <c r="C2955" s="41">
        <v>46106</v>
      </c>
      <c r="D2955" s="48" t="str">
        <f>_xlfn.XLOOKUP(Table134526_79101120212223242526[[#This Row],[Name Surname]],Manpower!$C$4:$C$1048576,Manpower!$B$4:$B$1048576,"")</f>
        <v>Encogroup</v>
      </c>
      <c r="E2955" s="43" t="s">
        <v>29</v>
      </c>
      <c r="F2955" s="12">
        <f>_xlfn.XLOOKUP(Table134526_79101120212223242526[[#This Row],[Name Surname]],Manpower!C:C,Manpower!D:D,)</f>
        <v>127331574</v>
      </c>
      <c r="G2955" s="48" t="str">
        <f>_xlfn.XLOOKUP(Table134526_79101120212223242526[[#This Row],[Name Surname]],Manpower!$C$4:$C$1048576,Manpower!$F$4:$F$1048576,"")</f>
        <v>Permit Receiver</v>
      </c>
      <c r="H2955" s="48" t="str">
        <f>_xlfn.XLOOKUP(Table134526_79101120212223242526[[#This Row],[Name Surname]],Manpower!$C$4:$C$1048576,Manpower!$H$4:$H$1048576,"")</f>
        <v>Manpower</v>
      </c>
      <c r="I2955" s="48" t="str">
        <f>_xlfn.XLOOKUP(Table134526_79101120212223242526[[#This Row],[Name Surname]],Manpower!$C$4:$C$1048576,Manpower!$H$4:$H$1048576,"")</f>
        <v>Manpower</v>
      </c>
      <c r="J2955" s="43" t="s">
        <v>21</v>
      </c>
      <c r="K2955" s="43" t="s">
        <v>144</v>
      </c>
      <c r="L2955" s="43" t="s">
        <v>49</v>
      </c>
      <c r="M2955" s="43" t="s">
        <v>55</v>
      </c>
      <c r="N2955" s="44">
        <v>5</v>
      </c>
      <c r="O2955" s="43" t="s">
        <v>40</v>
      </c>
      <c r="P2955" s="43" t="s">
        <v>41</v>
      </c>
      <c r="Q2955" s="43" t="s">
        <v>42</v>
      </c>
      <c r="R2955" s="43" t="s">
        <v>406</v>
      </c>
      <c r="S2955" s="43"/>
      <c r="T2955" s="67" t="s">
        <v>396</v>
      </c>
    </row>
    <row r="2956" spans="1:20" ht="14.4" hidden="1">
      <c r="A2956" s="38">
        <f>IF(C2956="","",MAX($A$1:A2955)+1)</f>
        <v>2713</v>
      </c>
      <c r="B2956" s="22" t="s">
        <v>19</v>
      </c>
      <c r="C2956" s="23">
        <v>46106</v>
      </c>
      <c r="D2956" s="28" t="str">
        <f>_xlfn.XLOOKUP(Table134526_79101120212223242526[[#This Row],[Name Surname]],Manpower!$C$4:$C$1048576,Manpower!$B$4:$B$1048576,"")</f>
        <v>Encogroup</v>
      </c>
      <c r="E2956" s="21" t="s">
        <v>31</v>
      </c>
      <c r="F2956" s="12">
        <f>_xlfn.XLOOKUP(Table134526_79101120212223242526[[#This Row],[Name Surname]],Manpower!C:C,Manpower!D:D,)</f>
        <v>99596058</v>
      </c>
      <c r="G2956" s="28" t="str">
        <f>_xlfn.XLOOKUP(Table134526_79101120212223242526[[#This Row],[Name Surname]],Manpower!$C$4:$C$1048576,Manpower!$F$4:$F$1048576,"")</f>
        <v>HSE Officer</v>
      </c>
      <c r="H2956" s="28" t="str">
        <f>_xlfn.XLOOKUP(Table134526_79101120212223242526[[#This Row],[Name Surname]],Manpower!$C$4:$C$1048576,Manpower!$H$4:$H$1048576,"")</f>
        <v>Manpower</v>
      </c>
      <c r="I2956" s="28" t="str">
        <f>_xlfn.XLOOKUP(Table134526_79101120212223242526[[#This Row],[Name Surname]],Manpower!$C$4:$C$1048576,Manpower!$H$4:$H$1048576,"")</f>
        <v>Manpower</v>
      </c>
      <c r="J2956" s="21" t="s">
        <v>21</v>
      </c>
      <c r="K2956" s="21" t="s">
        <v>144</v>
      </c>
      <c r="L2956" s="21" t="s">
        <v>49</v>
      </c>
      <c r="M2956" s="21" t="s">
        <v>55</v>
      </c>
      <c r="N2956" s="29">
        <v>5</v>
      </c>
      <c r="O2956" s="21" t="s">
        <v>40</v>
      </c>
      <c r="P2956" s="21" t="s">
        <v>41</v>
      </c>
      <c r="Q2956" s="21" t="s">
        <v>42</v>
      </c>
      <c r="R2956" s="21" t="s">
        <v>406</v>
      </c>
      <c r="T2956" s="56" t="s">
        <v>396</v>
      </c>
    </row>
    <row r="2957" spans="1:20" ht="14.4" hidden="1">
      <c r="A2957" s="38">
        <f>IF(C2957="","",MAX($A$1:A2956)+1)</f>
        <v>2714</v>
      </c>
      <c r="B2957" s="22" t="s">
        <v>19</v>
      </c>
      <c r="C2957" s="23">
        <v>46106</v>
      </c>
      <c r="D2957" s="28" t="str">
        <f>_xlfn.XLOOKUP(Table134526_79101120212223242526[[#This Row],[Name Surname]],Manpower!$C$4:$C$1048576,Manpower!$B$4:$B$1048576,"")</f>
        <v>AL Omar International TRAD AND CONT</v>
      </c>
      <c r="E2957" s="21" t="s">
        <v>197</v>
      </c>
      <c r="F2957" s="12">
        <f>_xlfn.XLOOKUP(Table134526_79101120212223242526[[#This Row],[Name Surname]],Manpower!C:C,Manpower!D:D,)</f>
        <v>106093463</v>
      </c>
      <c r="G2957" s="28" t="str">
        <f>_xlfn.XLOOKUP(Table134526_79101120212223242526[[#This Row],[Name Surname]],Manpower!$C$4:$C$1048576,Manpower!$F$4:$F$1048576,"")</f>
        <v>RIgger</v>
      </c>
      <c r="H2957" s="28" t="str">
        <f>_xlfn.XLOOKUP(Table134526_79101120212223242526[[#This Row],[Name Surname]],Manpower!$C$4:$C$1048576,Manpower!$H$4:$H$1048576,"")</f>
        <v>Sub Contactor</v>
      </c>
      <c r="I2957" s="28" t="str">
        <f>_xlfn.XLOOKUP(Table134526_79101120212223242526[[#This Row],[Name Surname]],Manpower!$C$4:$C$1048576,Manpower!$H$4:$H$1048576,"")</f>
        <v>Sub Contactor</v>
      </c>
      <c r="J2957" s="21" t="s">
        <v>21</v>
      </c>
      <c r="K2957" s="21" t="s">
        <v>144</v>
      </c>
      <c r="L2957" s="21" t="s">
        <v>49</v>
      </c>
      <c r="M2957" s="21" t="s">
        <v>55</v>
      </c>
      <c r="N2957" s="29">
        <v>5</v>
      </c>
      <c r="O2957" s="21" t="s">
        <v>40</v>
      </c>
      <c r="P2957" s="21" t="s">
        <v>41</v>
      </c>
      <c r="Q2957" s="21" t="s">
        <v>42</v>
      </c>
      <c r="R2957" s="21" t="s">
        <v>406</v>
      </c>
      <c r="T2957" s="56" t="s">
        <v>396</v>
      </c>
    </row>
    <row r="2958" spans="1:20" s="45" customFormat="1" ht="14.4" hidden="1">
      <c r="A2958" s="53">
        <f>IF(C2958="","",MAX($A$1:A2957)+1)</f>
        <v>2715</v>
      </c>
      <c r="B2958" s="25" t="s">
        <v>19</v>
      </c>
      <c r="C2958" s="41">
        <v>46106</v>
      </c>
      <c r="D2958" s="48" t="str">
        <f>_xlfn.XLOOKUP(Table134526_79101120212223242526[[#This Row],[Name Surname]],Manpower!$C$4:$C$1048576,Manpower!$B$4:$B$1048576,"")</f>
        <v>Encogroup</v>
      </c>
      <c r="E2958" s="43" t="s">
        <v>72</v>
      </c>
      <c r="F2958" s="12">
        <f>_xlfn.XLOOKUP(Table134526_79101120212223242526[[#This Row],[Name Surname]],Manpower!C:C,Manpower!D:D,)</f>
        <v>140764706</v>
      </c>
      <c r="G2958" s="48" t="str">
        <f>_xlfn.XLOOKUP(Table134526_79101120212223242526[[#This Row],[Name Surname]],Manpower!$C$4:$C$1048576,Manpower!$F$4:$F$1048576,"")</f>
        <v>Rigger</v>
      </c>
      <c r="H2958" s="48" t="str">
        <f>_xlfn.XLOOKUP(Table134526_79101120212223242526[[#This Row],[Name Surname]],Manpower!$C$4:$C$1048576,Manpower!$H$4:$H$1048576,"")</f>
        <v>Manpower</v>
      </c>
      <c r="I2958" s="48" t="str">
        <f>_xlfn.XLOOKUP(Table134526_79101120212223242526[[#This Row],[Name Surname]],Manpower!$C$4:$C$1048576,Manpower!$H$4:$H$1048576,"")</f>
        <v>Manpower</v>
      </c>
      <c r="J2958" s="43" t="s">
        <v>21</v>
      </c>
      <c r="K2958" s="43" t="s">
        <v>144</v>
      </c>
      <c r="L2958" s="43" t="s">
        <v>49</v>
      </c>
      <c r="M2958" s="43" t="s">
        <v>55</v>
      </c>
      <c r="N2958" s="44">
        <v>5</v>
      </c>
      <c r="O2958" s="43" t="s">
        <v>40</v>
      </c>
      <c r="P2958" s="43" t="s">
        <v>41</v>
      </c>
      <c r="Q2958" s="43" t="s">
        <v>42</v>
      </c>
      <c r="R2958" s="43" t="s">
        <v>406</v>
      </c>
      <c r="S2958" s="43"/>
      <c r="T2958" s="67" t="s">
        <v>396</v>
      </c>
    </row>
    <row r="2959" spans="1:20" s="45" customFormat="1" ht="14.4" hidden="1">
      <c r="A2959" s="53">
        <f>IF(C2959="","",MAX($A$1:A2958)+1)</f>
        <v>2716</v>
      </c>
      <c r="B2959" s="25" t="s">
        <v>19</v>
      </c>
      <c r="C2959" s="41">
        <v>46106</v>
      </c>
      <c r="D2959" s="48" t="str">
        <f>_xlfn.XLOOKUP(Table134526_79101120212223242526[[#This Row],[Name Surname]],Manpower!$C$4:$C$1048576,Manpower!$B$4:$B$1048576,"")</f>
        <v>Encogroup</v>
      </c>
      <c r="E2959" s="43" t="s">
        <v>46</v>
      </c>
      <c r="F2959" s="12">
        <f>_xlfn.XLOOKUP(Table134526_79101120212223242526[[#This Row],[Name Surname]],Manpower!C:C,Manpower!D:D,)</f>
        <v>140844618</v>
      </c>
      <c r="G2959" s="48" t="str">
        <f>_xlfn.XLOOKUP(Table134526_79101120212223242526[[#This Row],[Name Surname]],Manpower!$C$4:$C$1048576,Manpower!$F$4:$F$1048576,"")</f>
        <v>Assistant/Helper</v>
      </c>
      <c r="H2959" s="48" t="str">
        <f>_xlfn.XLOOKUP(Table134526_79101120212223242526[[#This Row],[Name Surname]],Manpower!$C$4:$C$1048576,Manpower!$H$4:$H$1048576,"")</f>
        <v>Manpower</v>
      </c>
      <c r="I2959" s="48" t="str">
        <f>_xlfn.XLOOKUP(Table134526_79101120212223242526[[#This Row],[Name Surname]],Manpower!$C$4:$C$1048576,Manpower!$H$4:$H$1048576,"")</f>
        <v>Manpower</v>
      </c>
      <c r="J2959" s="43" t="s">
        <v>21</v>
      </c>
      <c r="K2959" s="43" t="s">
        <v>144</v>
      </c>
      <c r="L2959" s="43" t="s">
        <v>49</v>
      </c>
      <c r="M2959" s="43" t="s">
        <v>55</v>
      </c>
      <c r="N2959" s="44">
        <v>5</v>
      </c>
      <c r="O2959" s="43" t="s">
        <v>40</v>
      </c>
      <c r="P2959" s="43" t="s">
        <v>41</v>
      </c>
      <c r="Q2959" s="43" t="s">
        <v>42</v>
      </c>
      <c r="R2959" s="43" t="s">
        <v>406</v>
      </c>
      <c r="S2959" s="43"/>
      <c r="T2959" s="67" t="s">
        <v>396</v>
      </c>
    </row>
    <row r="2960" spans="1:20" s="45" customFormat="1" ht="14.4" hidden="1">
      <c r="A2960" s="53">
        <f>IF(C2960="","",MAX($A$1:A2959)+1)</f>
        <v>2717</v>
      </c>
      <c r="B2960" s="25" t="s">
        <v>19</v>
      </c>
      <c r="C2960" s="41">
        <v>46106</v>
      </c>
      <c r="D2960" s="48" t="str">
        <f>_xlfn.XLOOKUP(Table134526_79101120212223242526[[#This Row],[Name Surname]],Manpower!$C$4:$C$1048576,Manpower!$B$4:$B$1048576,"")</f>
        <v>Encogroup</v>
      </c>
      <c r="E2960" s="43" t="s">
        <v>27</v>
      </c>
      <c r="F2960" s="12">
        <f>_xlfn.XLOOKUP(Table134526_79101120212223242526[[#This Row],[Name Surname]],Manpower!C:C,Manpower!D:D,)</f>
        <v>127414586</v>
      </c>
      <c r="G2960" s="48" t="str">
        <f>_xlfn.XLOOKUP(Table134526_79101120212223242526[[#This Row],[Name Surname]],Manpower!$C$4:$C$1048576,Manpower!$F$4:$F$1048576,"")</f>
        <v>Electrician</v>
      </c>
      <c r="H2960" s="48" t="str">
        <f>_xlfn.XLOOKUP(Table134526_79101120212223242526[[#This Row],[Name Surname]],Manpower!$C$4:$C$1048576,Manpower!$H$4:$H$1048576,"")</f>
        <v>Manpower</v>
      </c>
      <c r="I2960" s="48" t="str">
        <f>_xlfn.XLOOKUP(Table134526_79101120212223242526[[#This Row],[Name Surname]],Manpower!$C$4:$C$1048576,Manpower!$H$4:$H$1048576,"")</f>
        <v>Manpower</v>
      </c>
      <c r="J2960" s="43" t="s">
        <v>21</v>
      </c>
      <c r="K2960" s="43" t="s">
        <v>144</v>
      </c>
      <c r="L2960" s="43" t="s">
        <v>49</v>
      </c>
      <c r="M2960" s="43" t="s">
        <v>55</v>
      </c>
      <c r="N2960" s="44">
        <v>5</v>
      </c>
      <c r="O2960" s="43" t="s">
        <v>40</v>
      </c>
      <c r="P2960" s="43" t="s">
        <v>41</v>
      </c>
      <c r="Q2960" s="43" t="s">
        <v>42</v>
      </c>
      <c r="R2960" s="43" t="s">
        <v>406</v>
      </c>
      <c r="S2960" s="43"/>
      <c r="T2960" s="67" t="s">
        <v>396</v>
      </c>
    </row>
    <row r="2961" spans="1:20" ht="14.4">
      <c r="A2961" s="38">
        <f>IF(C2961="","",MAX($A$1:A2960)+1)</f>
        <v>2718</v>
      </c>
      <c r="B2961" s="25" t="s">
        <v>19</v>
      </c>
      <c r="C2961" s="23">
        <v>46106</v>
      </c>
      <c r="D2961" s="28" t="str">
        <f>_xlfn.XLOOKUP(Table134526_79101120212223242526[[#This Row],[Name Surname]],Manpower!$C$4:$C$1048576,Manpower!$B$4:$B$1048576,"")</f>
        <v>Bright Light</v>
      </c>
      <c r="E2961" s="23" t="s">
        <v>47</v>
      </c>
      <c r="F2961" s="12" t="e">
        <f>_xlfn.XLOOKUP(Table134526_79101120212223242526[[#This Row],[Name Surname]],Manpower!C:C,Manpower!D:D,)</f>
        <v>#N/A</v>
      </c>
      <c r="G2961" s="28" t="str">
        <f>_xlfn.XLOOKUP(Table134526_79101120212223242526[[#This Row],[Name Surname]],Manpower!$C$4:$C$1048576,Manpower!$F$4:$F$1048576,"")</f>
        <v>100T Telescopic Crane</v>
      </c>
      <c r="H2961" s="28" t="str">
        <f>_xlfn.XLOOKUP(Table134526_79101120212223242526[[#This Row],[Name Surname]],Manpower!$C$4:$C$1048576,Manpower!$H$4:$H$1048576,"")</f>
        <v>Equipment</v>
      </c>
      <c r="I2961" s="28" t="str">
        <f>_xlfn.XLOOKUP(Table134526_79101120212223242526[[#This Row],[Name Surname]],Manpower!$C$4:$C$1048576,Manpower!$H$4:$H$1048576,"")</f>
        <v>Equipment</v>
      </c>
      <c r="J2961" s="21" t="s">
        <v>48</v>
      </c>
      <c r="K2961" s="21" t="s">
        <v>26</v>
      </c>
      <c r="L2961" s="21" t="s">
        <v>49</v>
      </c>
      <c r="M2961" s="21" t="s">
        <v>55</v>
      </c>
      <c r="N2961" s="29">
        <v>5</v>
      </c>
      <c r="O2961" s="21" t="s">
        <v>40</v>
      </c>
      <c r="P2961" s="21" t="s">
        <v>41</v>
      </c>
      <c r="Q2961" s="21" t="s">
        <v>42</v>
      </c>
      <c r="R2961" s="21" t="s">
        <v>407</v>
      </c>
      <c r="T2961" s="56" t="s">
        <v>396</v>
      </c>
    </row>
    <row r="2962" spans="1:20" ht="14.4">
      <c r="A2962" s="38">
        <f>IF(C2962="","",MAX($A$1:A2961)+1)</f>
        <v>2719</v>
      </c>
      <c r="B2962" s="25" t="s">
        <v>19</v>
      </c>
      <c r="C2962" s="23">
        <v>46106</v>
      </c>
      <c r="D2962" s="28" t="str">
        <f>_xlfn.XLOOKUP(Table134526_79101120212223242526[[#This Row],[Name Surname]],Manpower!$C$4:$C$1048576,Manpower!$B$4:$B$1048576,"")</f>
        <v>Bright Light</v>
      </c>
      <c r="E2962" s="21" t="s">
        <v>51</v>
      </c>
      <c r="F2962" s="12" t="e">
        <f>_xlfn.XLOOKUP(Table134526_79101120212223242526[[#This Row],[Name Surname]],Manpower!C:C,Manpower!D:D,)</f>
        <v>#N/A</v>
      </c>
      <c r="G2962" s="28" t="str">
        <f>_xlfn.XLOOKUP(Table134526_79101120212223242526[[#This Row],[Name Surname]],Manpower!$C$4:$C$1048576,Manpower!$F$4:$F$1048576,"")</f>
        <v>150T-Crawler Crane</v>
      </c>
      <c r="H2962" s="28" t="str">
        <f>_xlfn.XLOOKUP(Table134526_79101120212223242526[[#This Row],[Name Surname]],Manpower!$C$4:$C$1048576,Manpower!$H$4:$H$1048576,"")</f>
        <v>Equipment</v>
      </c>
      <c r="I2962" s="28" t="str">
        <f>_xlfn.XLOOKUP(Table134526_79101120212223242526[[#This Row],[Name Surname]],Manpower!$C$4:$C$1048576,Manpower!$H$4:$H$1048576,"")</f>
        <v>Equipment</v>
      </c>
      <c r="J2962" s="21" t="s">
        <v>48</v>
      </c>
      <c r="K2962" s="21" t="s">
        <v>26</v>
      </c>
      <c r="L2962" s="21" t="s">
        <v>49</v>
      </c>
      <c r="M2962" s="21" t="s">
        <v>55</v>
      </c>
      <c r="N2962" s="29">
        <v>5</v>
      </c>
      <c r="O2962" s="21" t="s">
        <v>40</v>
      </c>
      <c r="P2962" s="21" t="s">
        <v>41</v>
      </c>
      <c r="Q2962" s="21" t="s">
        <v>42</v>
      </c>
      <c r="R2962" s="21" t="s">
        <v>407</v>
      </c>
      <c r="T2962" s="56" t="s">
        <v>396</v>
      </c>
    </row>
    <row r="2963" spans="1:20" ht="14.4">
      <c r="A2963" s="38">
        <f>IF(C2963="","",MAX($A$1:A2962)+1)</f>
        <v>2720</v>
      </c>
      <c r="B2963" s="25" t="s">
        <v>19</v>
      </c>
      <c r="C2963" s="23">
        <v>46106</v>
      </c>
      <c r="D2963" s="28" t="str">
        <f>_xlfn.XLOOKUP(Table134526_79101120212223242526[[#This Row],[Name Surname]],Manpower!$C$4:$C$1048576,Manpower!$B$4:$B$1048576,"")</f>
        <v>Encogroup</v>
      </c>
      <c r="E2963" s="21" t="s">
        <v>54</v>
      </c>
      <c r="F2963" s="12" t="e">
        <f>_xlfn.XLOOKUP(Table134526_79101120212223242526[[#This Row],[Name Surname]],Manpower!C:C,Manpower!D:D,)</f>
        <v>#N/A</v>
      </c>
      <c r="G2963" s="28" t="str">
        <f>_xlfn.XLOOKUP(Table134526_79101120212223242526[[#This Row],[Name Surname]],Manpower!$C$4:$C$1048576,Manpower!$F$4:$F$1048576,"")</f>
        <v>28M-Manlift</v>
      </c>
      <c r="H2963" s="28" t="str">
        <f>_xlfn.XLOOKUP(Table134526_79101120212223242526[[#This Row],[Name Surname]],Manpower!$C$4:$C$1048576,Manpower!$H$4:$H$1048576,"")</f>
        <v>Equipment</v>
      </c>
      <c r="I2963" s="28" t="str">
        <f>_xlfn.XLOOKUP(Table134526_79101120212223242526[[#This Row],[Name Surname]],Manpower!$C$4:$C$1048576,Manpower!$H$4:$H$1048576,"")</f>
        <v>Equipment</v>
      </c>
      <c r="J2963" s="21" t="s">
        <v>48</v>
      </c>
      <c r="K2963" s="21" t="s">
        <v>26</v>
      </c>
      <c r="L2963" s="21" t="s">
        <v>49</v>
      </c>
      <c r="M2963" s="21" t="s">
        <v>55</v>
      </c>
      <c r="N2963" s="29">
        <v>5</v>
      </c>
      <c r="O2963" s="21" t="s">
        <v>25</v>
      </c>
      <c r="P2963" s="21" t="s">
        <v>41</v>
      </c>
      <c r="Q2963" s="21" t="s">
        <v>60</v>
      </c>
      <c r="R2963" s="21" t="s">
        <v>407</v>
      </c>
      <c r="T2963" s="56" t="s">
        <v>396</v>
      </c>
    </row>
    <row r="2964" spans="1:20" ht="14.4">
      <c r="A2964" s="38">
        <f>IF(C2964="","",MAX($A$1:A2963)+1)</f>
        <v>2721</v>
      </c>
      <c r="B2964" s="25" t="s">
        <v>19</v>
      </c>
      <c r="C2964" s="23">
        <v>46106</v>
      </c>
      <c r="D2964" s="28" t="str">
        <f>_xlfn.XLOOKUP(Table134526_79101120212223242526[[#This Row],[Name Surname]],Manpower!$C$4:$C$1048576,Manpower!$B$4:$B$1048576,"")</f>
        <v>Encogroup</v>
      </c>
      <c r="E2964" s="21" t="s">
        <v>53</v>
      </c>
      <c r="F2964" s="12" t="e">
        <f>_xlfn.XLOOKUP(Table134526_79101120212223242526[[#This Row],[Name Surname]],Manpower!C:C,Manpower!D:D,)</f>
        <v>#N/A</v>
      </c>
      <c r="G2964" s="28" t="str">
        <f>_xlfn.XLOOKUP(Table134526_79101120212223242526[[#This Row],[Name Surname]],Manpower!$C$4:$C$1048576,Manpower!$F$4:$F$1048576,"")</f>
        <v>22M-Manlift</v>
      </c>
      <c r="H2964" s="28" t="str">
        <f>_xlfn.XLOOKUP(Table134526_79101120212223242526[[#This Row],[Name Surname]],Manpower!$C$4:$C$1048576,Manpower!$H$4:$H$1048576,"")</f>
        <v>Equipment</v>
      </c>
      <c r="I2964" s="28" t="str">
        <f>_xlfn.XLOOKUP(Table134526_79101120212223242526[[#This Row],[Name Surname]],Manpower!$C$4:$C$1048576,Manpower!$H$4:$H$1048576,"")</f>
        <v>Equipment</v>
      </c>
      <c r="J2964" s="21" t="s">
        <v>48</v>
      </c>
      <c r="K2964" s="21" t="s">
        <v>26</v>
      </c>
      <c r="L2964" s="21" t="s">
        <v>49</v>
      </c>
      <c r="M2964" s="21" t="s">
        <v>55</v>
      </c>
      <c r="N2964" s="29">
        <v>5</v>
      </c>
      <c r="O2964" s="21" t="s">
        <v>25</v>
      </c>
      <c r="P2964" s="21" t="s">
        <v>41</v>
      </c>
      <c r="Q2964" s="21" t="s">
        <v>60</v>
      </c>
      <c r="R2964" s="21" t="s">
        <v>407</v>
      </c>
      <c r="T2964" s="56" t="s">
        <v>396</v>
      </c>
    </row>
    <row r="2965" spans="1:20" ht="14.4" hidden="1">
      <c r="A2965" s="38">
        <f>IF(C2965="","",MAX($A$1:A2964)+1)</f>
        <v>2722</v>
      </c>
      <c r="B2965" s="25" t="s">
        <v>19</v>
      </c>
      <c r="C2965" s="23">
        <v>46106</v>
      </c>
      <c r="D2965" s="28" t="str">
        <f>_xlfn.XLOOKUP(Table134526_79101120212223242526[[#This Row],[Name Surname]],Manpower!$C$4:$C$1048576,Manpower!$B$4:$B$1048576,"")</f>
        <v>Encogroup</v>
      </c>
      <c r="E2965" s="21" t="s">
        <v>57</v>
      </c>
      <c r="F2965" s="12">
        <f>_xlfn.XLOOKUP(Table134526_79101120212223242526[[#This Row],[Name Surname]],Manpower!C:C,Manpower!D:D,)</f>
        <v>140693697</v>
      </c>
      <c r="G2965" s="28" t="str">
        <f>_xlfn.XLOOKUP(Table134526_79101120212223242526[[#This Row],[Name Surname]],Manpower!$C$4:$C$1048576,Manpower!$F$4:$F$1048576,"")</f>
        <v>HSE Officer</v>
      </c>
      <c r="H2965" s="28" t="str">
        <f>_xlfn.XLOOKUP(Table134526_79101120212223242526[[#This Row],[Name Surname]],Manpower!$C$4:$C$1048576,Manpower!$H$4:$H$1048576,"")</f>
        <v>Manpower</v>
      </c>
      <c r="I2965" s="28" t="str">
        <f>_xlfn.XLOOKUP(Table134526_79101120212223242526[[#This Row],[Name Surname]],Manpower!$C$4:$C$1048576,Manpower!$H$4:$H$1048576,"")</f>
        <v>Manpower</v>
      </c>
      <c r="J2965" s="21" t="s">
        <v>48</v>
      </c>
      <c r="K2965" s="21" t="s">
        <v>26</v>
      </c>
      <c r="L2965" s="21" t="s">
        <v>49</v>
      </c>
      <c r="M2965" s="21" t="s">
        <v>55</v>
      </c>
      <c r="N2965" s="29">
        <v>5</v>
      </c>
      <c r="O2965" s="21" t="s">
        <v>25</v>
      </c>
      <c r="P2965" s="21" t="s">
        <v>41</v>
      </c>
      <c r="Q2965" s="21" t="s">
        <v>60</v>
      </c>
      <c r="R2965" s="21" t="s">
        <v>407</v>
      </c>
      <c r="T2965" s="56" t="s">
        <v>396</v>
      </c>
    </row>
    <row r="2966" spans="1:20" ht="13.2" hidden="1" customHeight="1">
      <c r="A2966" s="38">
        <f>IF(C2966="","",MAX($A$1:A2965)+1)</f>
        <v>2723</v>
      </c>
      <c r="B2966" s="25" t="s">
        <v>19</v>
      </c>
      <c r="C2966" s="23">
        <v>46106</v>
      </c>
      <c r="D2966" s="28" t="str">
        <f>_xlfn.XLOOKUP(Table134526_79101120212223242526[[#This Row],[Name Surname]],Manpower!$C$4:$C$1048576,Manpower!$B$4:$B$1048576,"")</f>
        <v>Encogroup</v>
      </c>
      <c r="E2966" s="21" t="s">
        <v>33</v>
      </c>
      <c r="F2966" s="12">
        <f>_xlfn.XLOOKUP(Table134526_79101120212223242526[[#This Row],[Name Surname]],Manpower!C:C,Manpower!D:D,)</f>
        <v>124565057</v>
      </c>
      <c r="G2966" s="28" t="str">
        <f>_xlfn.XLOOKUP(Table134526_79101120212223242526[[#This Row],[Name Surname]],Manpower!$C$4:$C$1048576,Manpower!$F$4:$F$1048576,"")</f>
        <v>Fitter/Erector</v>
      </c>
      <c r="H2966" s="28" t="str">
        <f>_xlfn.XLOOKUP(Table134526_79101120212223242526[[#This Row],[Name Surname]],Manpower!$C$4:$C$1048576,Manpower!$H$4:$H$1048576,"")</f>
        <v>Manpower</v>
      </c>
      <c r="I2966" s="28" t="str">
        <f>_xlfn.XLOOKUP(Table134526_79101120212223242526[[#This Row],[Name Surname]],Manpower!$C$4:$C$1048576,Manpower!$H$4:$H$1048576,"")</f>
        <v>Manpower</v>
      </c>
      <c r="J2966" s="21" t="s">
        <v>48</v>
      </c>
      <c r="K2966" s="21" t="s">
        <v>26</v>
      </c>
      <c r="L2966" s="21" t="s">
        <v>49</v>
      </c>
      <c r="M2966" s="21" t="s">
        <v>55</v>
      </c>
      <c r="N2966" s="29">
        <v>5</v>
      </c>
      <c r="O2966" s="21" t="s">
        <v>25</v>
      </c>
      <c r="P2966" s="21" t="s">
        <v>41</v>
      </c>
      <c r="Q2966" s="21" t="s">
        <v>60</v>
      </c>
      <c r="R2966" s="21" t="s">
        <v>407</v>
      </c>
      <c r="T2966" s="56" t="s">
        <v>396</v>
      </c>
    </row>
    <row r="2967" spans="1:20" s="45" customFormat="1" ht="14.4" hidden="1">
      <c r="A2967" s="53">
        <f>IF(C2967="","",MAX($A$1:A2966)+1)</f>
        <v>2724</v>
      </c>
      <c r="B2967" s="25" t="s">
        <v>19</v>
      </c>
      <c r="C2967" s="41">
        <v>46106</v>
      </c>
      <c r="D2967" s="48" t="str">
        <f>_xlfn.XLOOKUP(Table134526_79101120212223242526[[#This Row],[Name Surname]],Manpower!$C$4:$C$1048576,Manpower!$B$4:$B$1048576,"")</f>
        <v>Encogroup</v>
      </c>
      <c r="E2967" s="43" t="s">
        <v>62</v>
      </c>
      <c r="F2967" s="12">
        <f>_xlfn.XLOOKUP(Table134526_79101120212223242526[[#This Row],[Name Surname]],Manpower!C:C,Manpower!D:D,)</f>
        <v>140844797</v>
      </c>
      <c r="G2967" s="48" t="str">
        <f>_xlfn.XLOOKUP(Table134526_79101120212223242526[[#This Row],[Name Surname]],Manpower!$C$4:$C$1048576,Manpower!$F$4:$F$1048576,"")</f>
        <v>Fitter/Erector</v>
      </c>
      <c r="H2967" s="48" t="str">
        <f>_xlfn.XLOOKUP(Table134526_79101120212223242526[[#This Row],[Name Surname]],Manpower!$C$4:$C$1048576,Manpower!$H$4:$H$1048576,"")</f>
        <v>Manpower</v>
      </c>
      <c r="I2967" s="48" t="str">
        <f>_xlfn.XLOOKUP(Table134526_79101120212223242526[[#This Row],[Name Surname]],Manpower!$C$4:$C$1048576,Manpower!$H$4:$H$1048576,"")</f>
        <v>Manpower</v>
      </c>
      <c r="J2967" s="43" t="s">
        <v>48</v>
      </c>
      <c r="K2967" s="43" t="s">
        <v>26</v>
      </c>
      <c r="L2967" s="43" t="s">
        <v>49</v>
      </c>
      <c r="M2967" s="43" t="s">
        <v>55</v>
      </c>
      <c r="N2967" s="44">
        <v>5</v>
      </c>
      <c r="O2967" s="43" t="s">
        <v>25</v>
      </c>
      <c r="P2967" s="43" t="s">
        <v>41</v>
      </c>
      <c r="Q2967" s="43" t="s">
        <v>60</v>
      </c>
      <c r="R2967" s="43" t="s">
        <v>407</v>
      </c>
      <c r="S2967" s="43"/>
      <c r="T2967" s="67" t="s">
        <v>396</v>
      </c>
    </row>
    <row r="2968" spans="1:20" ht="14.4">
      <c r="A2968" s="38">
        <f>IF(C2968="","",MAX($A$1:A2967)+1)</f>
        <v>2725</v>
      </c>
      <c r="B2968" s="25" t="s">
        <v>19</v>
      </c>
      <c r="C2968" s="23">
        <v>46106</v>
      </c>
      <c r="D2968" s="24" t="str">
        <f>_xlfn.XLOOKUP(Table134526_79101120212223242526[[#This Row],[Name Surname]],Manpower!$C$4:$C$1048576,Manpower!$B$4:$B$1048576,"")</f>
        <v>Encogroup</v>
      </c>
      <c r="E2968" s="23" t="s">
        <v>63</v>
      </c>
      <c r="F2968" s="12" t="e">
        <f>_xlfn.XLOOKUP(Table134526_79101120212223242526[[#This Row],[Name Surname]],Manpower!C:C,Manpower!D:D,)</f>
        <v>#N/A</v>
      </c>
      <c r="G2968" s="24" t="str">
        <f>_xlfn.XLOOKUP(Table134526_79101120212223242526[[#This Row],[Name Surname]],Manpower!$C$4:$C$1048576,Manpower!$F$4:$F$1048576,"")</f>
        <v>22KVA-Generator</v>
      </c>
      <c r="H2968" s="24" t="str">
        <f>_xlfn.XLOOKUP(Table134526_79101120212223242526[[#This Row],[Name Surname]],Manpower!$C$4:$C$1048576,Manpower!$H$4:$H$1048576,"")</f>
        <v>Equipment</v>
      </c>
      <c r="I2968" s="24" t="str">
        <f>_xlfn.XLOOKUP(Table134526_79101120212223242526[[#This Row],[Name Surname]],Manpower!$C$4:$C$1048576,Manpower!$H$4:$H$1048576,"")</f>
        <v>Equipment</v>
      </c>
      <c r="J2968" s="21" t="s">
        <v>48</v>
      </c>
      <c r="K2968" s="21" t="s">
        <v>26</v>
      </c>
      <c r="L2968" s="21" t="s">
        <v>49</v>
      </c>
      <c r="M2968" s="21" t="s">
        <v>55</v>
      </c>
      <c r="N2968" s="29">
        <v>5</v>
      </c>
      <c r="O2968" s="21" t="s">
        <v>25</v>
      </c>
      <c r="P2968" s="21" t="s">
        <v>41</v>
      </c>
      <c r="Q2968" s="21" t="s">
        <v>41</v>
      </c>
      <c r="R2968" s="21" t="s">
        <v>407</v>
      </c>
      <c r="T2968" s="56" t="s">
        <v>396</v>
      </c>
    </row>
    <row r="2969" spans="1:20" ht="14.4" hidden="1">
      <c r="A2969" s="38">
        <f>IF(C2969="","",MAX($A$1:A2967)+1)</f>
        <v>2725</v>
      </c>
      <c r="B2969" s="25" t="s">
        <v>19</v>
      </c>
      <c r="C2969" s="23">
        <v>46106</v>
      </c>
      <c r="D2969" s="28" t="str">
        <f>_xlfn.XLOOKUP(Table134526_79101120212223242526[[#This Row],[Name Surname]],Manpower!$C$4:$C$1048576,Manpower!$B$4:$B$1048576,"")</f>
        <v>Bright Light</v>
      </c>
      <c r="E2969" s="21" t="s">
        <v>64</v>
      </c>
      <c r="F2969" s="12">
        <f>_xlfn.XLOOKUP(Table134526_79101120212223242526[[#This Row],[Name Surname]],Manpower!C:C,Manpower!D:D,)</f>
        <v>114531608</v>
      </c>
      <c r="G2969" s="28" t="str">
        <f>_xlfn.XLOOKUP(Table134526_79101120212223242526[[#This Row],[Name Surname]],Manpower!$C$4:$C$1048576,Manpower!$F$4:$F$1048576,"")</f>
        <v>Crane Operator-150T Sany Crawler</v>
      </c>
      <c r="H2969" s="28" t="str">
        <f>_xlfn.XLOOKUP(Table134526_79101120212223242526[[#This Row],[Name Surname]],Manpower!$C$4:$C$1048576,Manpower!$H$4:$H$1048576,"")</f>
        <v>Manpower</v>
      </c>
      <c r="I2969" s="28" t="str">
        <f>_xlfn.XLOOKUP(Table134526_79101120212223242526[[#This Row],[Name Surname]],Manpower!$C$4:$C$1048576,Manpower!$H$4:$H$1048576,"")</f>
        <v>Manpower</v>
      </c>
      <c r="J2969" s="21" t="s">
        <v>48</v>
      </c>
      <c r="K2969" s="21" t="s">
        <v>26</v>
      </c>
      <c r="L2969" s="21" t="s">
        <v>49</v>
      </c>
      <c r="M2969" s="21" t="s">
        <v>55</v>
      </c>
      <c r="N2969" s="29">
        <v>5</v>
      </c>
      <c r="O2969" s="21" t="s">
        <v>40</v>
      </c>
      <c r="P2969" s="21" t="s">
        <v>41</v>
      </c>
      <c r="Q2969" s="21" t="s">
        <v>42</v>
      </c>
      <c r="R2969" s="21" t="s">
        <v>407</v>
      </c>
      <c r="T2969" s="56" t="s">
        <v>396</v>
      </c>
    </row>
    <row r="2970" spans="1:20" ht="14.4" hidden="1">
      <c r="A2970" s="38">
        <f>IF(C2970="","",MAX($A$1:A2969)+1)</f>
        <v>2726</v>
      </c>
      <c r="B2970" s="25" t="s">
        <v>19</v>
      </c>
      <c r="C2970" s="23">
        <v>46106</v>
      </c>
      <c r="D2970" s="28" t="str">
        <f>_xlfn.XLOOKUP(Table134526_79101120212223242526[[#This Row],[Name Surname]],Manpower!$C$4:$C$1048576,Manpower!$B$4:$B$1048576,"")</f>
        <v>Encogroup</v>
      </c>
      <c r="E2970" s="21" t="s">
        <v>67</v>
      </c>
      <c r="F2970" s="12">
        <f>_xlfn.XLOOKUP(Table134526_79101120212223242526[[#This Row],[Name Surname]],Manpower!C:C,Manpower!D:D,)</f>
        <v>122082769</v>
      </c>
      <c r="G2970" s="28" t="str">
        <f>_xlfn.XLOOKUP(Table134526_79101120212223242526[[#This Row],[Name Surname]],Manpower!$C$4:$C$1048576,Manpower!$F$4:$F$1048576,"")</f>
        <v>Grinder</v>
      </c>
      <c r="H2970" s="28" t="str">
        <f>_xlfn.XLOOKUP(Table134526_79101120212223242526[[#This Row],[Name Surname]],Manpower!$C$4:$C$1048576,Manpower!$H$4:$H$1048576,"")</f>
        <v>Manpower</v>
      </c>
      <c r="I2970" s="28" t="str">
        <f>_xlfn.XLOOKUP(Table134526_79101120212223242526[[#This Row],[Name Surname]],Manpower!$C$4:$C$1048576,Manpower!$H$4:$H$1048576,"")</f>
        <v>Manpower</v>
      </c>
      <c r="J2970" s="21" t="s">
        <v>48</v>
      </c>
      <c r="K2970" s="21" t="s">
        <v>26</v>
      </c>
      <c r="L2970" s="21" t="s">
        <v>49</v>
      </c>
      <c r="M2970" s="21" t="s">
        <v>55</v>
      </c>
      <c r="N2970" s="29">
        <v>5</v>
      </c>
      <c r="O2970" s="21" t="s">
        <v>25</v>
      </c>
      <c r="P2970" s="21" t="s">
        <v>41</v>
      </c>
      <c r="Q2970" s="21" t="s">
        <v>60</v>
      </c>
      <c r="R2970" s="21" t="s">
        <v>407</v>
      </c>
      <c r="T2970" s="56" t="s">
        <v>396</v>
      </c>
    </row>
    <row r="2971" spans="1:20" ht="14.4" hidden="1">
      <c r="A2971" s="38">
        <f>IF(C2971="","",MAX($A$1:A2970)+1)</f>
        <v>2727</v>
      </c>
      <c r="B2971" s="25" t="s">
        <v>19</v>
      </c>
      <c r="C2971" s="23">
        <v>46106</v>
      </c>
      <c r="D2971" s="28" t="str">
        <f>_xlfn.XLOOKUP(Table134526_79101120212223242526[[#This Row],[Name Surname]],Manpower!$C$4:$C$1048576,Manpower!$B$4:$B$1048576,"")</f>
        <v>AL Omar International TRAD AND CONT</v>
      </c>
      <c r="E2971" s="21" t="s">
        <v>66</v>
      </c>
      <c r="F2971" s="12">
        <f>_xlfn.XLOOKUP(Table134526_79101120212223242526[[#This Row],[Name Surname]],Manpower!C:C,Manpower!D:D,)</f>
        <v>115018512</v>
      </c>
      <c r="G2971" s="28" t="str">
        <f>_xlfn.XLOOKUP(Table134526_79101120212223242526[[#This Row],[Name Surname]],Manpower!$C$4:$C$1048576,Manpower!$F$4:$F$1048576,"")</f>
        <v>RIgger</v>
      </c>
      <c r="H2971" s="28" t="str">
        <f>_xlfn.XLOOKUP(Table134526_79101120212223242526[[#This Row],[Name Surname]],Manpower!$C$4:$C$1048576,Manpower!$H$4:$H$1048576,"")</f>
        <v>Sub Contactor</v>
      </c>
      <c r="I2971" s="28" t="str">
        <f>_xlfn.XLOOKUP(Table134526_79101120212223242526[[#This Row],[Name Surname]],Manpower!$C$4:$C$1048576,Manpower!$H$4:$H$1048576,"")</f>
        <v>Sub Contactor</v>
      </c>
      <c r="J2971" s="21" t="s">
        <v>48</v>
      </c>
      <c r="K2971" s="21" t="s">
        <v>26</v>
      </c>
      <c r="L2971" s="21" t="s">
        <v>49</v>
      </c>
      <c r="M2971" s="21" t="s">
        <v>55</v>
      </c>
      <c r="N2971" s="29">
        <v>5</v>
      </c>
      <c r="O2971" s="21" t="s">
        <v>25</v>
      </c>
      <c r="P2971" s="21" t="s">
        <v>41</v>
      </c>
      <c r="Q2971" s="21" t="s">
        <v>60</v>
      </c>
      <c r="R2971" s="21" t="s">
        <v>407</v>
      </c>
      <c r="T2971" s="56" t="s">
        <v>396</v>
      </c>
    </row>
    <row r="2972" spans="1:20" ht="14.4" hidden="1">
      <c r="A2972" s="38">
        <f>IF(C2972="","",MAX($A$1:A2971)+1)</f>
        <v>2728</v>
      </c>
      <c r="B2972" s="25" t="s">
        <v>19</v>
      </c>
      <c r="C2972" s="23">
        <v>46106</v>
      </c>
      <c r="D2972" s="28" t="str">
        <f>_xlfn.XLOOKUP(Table134526_79101120212223242526[[#This Row],[Name Surname]],Manpower!$C$4:$C$1048576,Manpower!$B$4:$B$1048576,"")</f>
        <v>Encogroup</v>
      </c>
      <c r="E2972" s="21" t="s">
        <v>44</v>
      </c>
      <c r="F2972" s="12">
        <f>_xlfn.XLOOKUP(Table134526_79101120212223242526[[#This Row],[Name Surname]],Manpower!C:C,Manpower!D:D,)</f>
        <v>140806218</v>
      </c>
      <c r="G2972" s="28" t="str">
        <f>_xlfn.XLOOKUP(Table134526_79101120212223242526[[#This Row],[Name Surname]],Manpower!$C$4:$C$1048576,Manpower!$F$4:$F$1048576,"")</f>
        <v>Fitter/Erector</v>
      </c>
      <c r="H2972" s="28" t="str">
        <f>_xlfn.XLOOKUP(Table134526_79101120212223242526[[#This Row],[Name Surname]],Manpower!$C$4:$C$1048576,Manpower!$H$4:$H$1048576,"")</f>
        <v>Manpower</v>
      </c>
      <c r="I2972" s="28" t="str">
        <f>_xlfn.XLOOKUP(Table134526_79101120212223242526[[#This Row],[Name Surname]],Manpower!$C$4:$C$1048576,Manpower!$H$4:$H$1048576,"")</f>
        <v>Manpower</v>
      </c>
      <c r="J2972" s="21" t="s">
        <v>48</v>
      </c>
      <c r="K2972" s="21" t="s">
        <v>26</v>
      </c>
      <c r="L2972" s="21" t="s">
        <v>49</v>
      </c>
      <c r="M2972" s="21" t="s">
        <v>55</v>
      </c>
      <c r="N2972" s="29">
        <v>5</v>
      </c>
      <c r="O2972" s="21" t="s">
        <v>25</v>
      </c>
      <c r="P2972" s="21" t="s">
        <v>41</v>
      </c>
      <c r="Q2972" s="21" t="s">
        <v>60</v>
      </c>
      <c r="R2972" s="21" t="s">
        <v>407</v>
      </c>
      <c r="T2972" s="56" t="s">
        <v>396</v>
      </c>
    </row>
    <row r="2973" spans="1:20" ht="14.4" hidden="1">
      <c r="A2973" s="38">
        <f>IF(C2973="","",MAX($A$1:A2972)+1)</f>
        <v>2729</v>
      </c>
      <c r="B2973" s="25" t="s">
        <v>19</v>
      </c>
      <c r="C2973" s="23">
        <v>46106</v>
      </c>
      <c r="D2973" s="28" t="str">
        <f>_xlfn.XLOOKUP(Table134526_79101120212223242526[[#This Row],[Name Surname]],Manpower!$C$4:$C$1048576,Manpower!$B$4:$B$1048576,"")</f>
        <v>Encogroup</v>
      </c>
      <c r="E2973" s="21" t="s">
        <v>68</v>
      </c>
      <c r="F2973" s="12">
        <f>_xlfn.XLOOKUP(Table134526_79101120212223242526[[#This Row],[Name Surname]],Manpower!C:C,Manpower!D:D,)</f>
        <v>116915582</v>
      </c>
      <c r="G2973" s="28" t="str">
        <f>_xlfn.XLOOKUP(Table134526_79101120212223242526[[#This Row],[Name Surname]],Manpower!$C$4:$C$1048576,Manpower!$F$4:$F$1048576,"")</f>
        <v>Mechanical Superintendent</v>
      </c>
      <c r="H2973" s="28" t="str">
        <f>_xlfn.XLOOKUP(Table134526_79101120212223242526[[#This Row],[Name Surname]],Manpower!$C$4:$C$1048576,Manpower!$H$4:$H$1048576,"")</f>
        <v>Manpower</v>
      </c>
      <c r="I2973" s="28" t="str">
        <f>_xlfn.XLOOKUP(Table134526_79101120212223242526[[#This Row],[Name Surname]],Manpower!$C$4:$C$1048576,Manpower!$H$4:$H$1048576,"")</f>
        <v>Manpower</v>
      </c>
      <c r="J2973" s="21" t="s">
        <v>48</v>
      </c>
      <c r="K2973" s="21" t="s">
        <v>26</v>
      </c>
      <c r="L2973" s="21" t="s">
        <v>49</v>
      </c>
      <c r="M2973" s="21" t="s">
        <v>55</v>
      </c>
      <c r="N2973" s="29">
        <v>5</v>
      </c>
      <c r="O2973" s="21" t="s">
        <v>25</v>
      </c>
      <c r="P2973" s="21" t="s">
        <v>41</v>
      </c>
      <c r="Q2973" s="21" t="s">
        <v>60</v>
      </c>
      <c r="R2973" s="21" t="s">
        <v>407</v>
      </c>
      <c r="T2973" s="56" t="s">
        <v>396</v>
      </c>
    </row>
    <row r="2974" spans="1:20" ht="14.4" hidden="1">
      <c r="A2974" s="38">
        <f>IF(C2974="","",MAX($A$1:A2973)+1)</f>
        <v>2730</v>
      </c>
      <c r="B2974" s="25" t="s">
        <v>19</v>
      </c>
      <c r="C2974" s="23">
        <v>46106</v>
      </c>
      <c r="D2974" s="28" t="str">
        <f>_xlfn.XLOOKUP(Table134526_79101120212223242526[[#This Row],[Name Surname]],Manpower!$C$4:$C$1048576,Manpower!$B$4:$B$1048576,"")</f>
        <v>Encogroup</v>
      </c>
      <c r="E2974" s="21" t="s">
        <v>69</v>
      </c>
      <c r="F2974" s="12">
        <f>_xlfn.XLOOKUP(Table134526_79101120212223242526[[#This Row],[Name Surname]],Manpower!C:C,Manpower!D:D,)</f>
        <v>141169071</v>
      </c>
      <c r="G2974" s="28" t="str">
        <f>_xlfn.XLOOKUP(Table134526_79101120212223242526[[#This Row],[Name Surname]],Manpower!$C$4:$C$1048576,Manpower!$F$4:$F$1048576,"")</f>
        <v>Welding Supervisor</v>
      </c>
      <c r="H2974" s="28" t="str">
        <f>_xlfn.XLOOKUP(Table134526_79101120212223242526[[#This Row],[Name Surname]],Manpower!$C$4:$C$1048576,Manpower!$H$4:$H$1048576,"")</f>
        <v>Manpower</v>
      </c>
      <c r="I2974" s="28" t="str">
        <f>_xlfn.XLOOKUP(Table134526_79101120212223242526[[#This Row],[Name Surname]],Manpower!$C$4:$C$1048576,Manpower!$H$4:$H$1048576,"")</f>
        <v>Manpower</v>
      </c>
      <c r="J2974" s="21" t="s">
        <v>48</v>
      </c>
      <c r="K2974" s="21" t="s">
        <v>26</v>
      </c>
      <c r="L2974" s="21" t="s">
        <v>49</v>
      </c>
      <c r="M2974" s="21" t="s">
        <v>55</v>
      </c>
      <c r="N2974" s="29">
        <v>5</v>
      </c>
      <c r="O2974" s="21" t="s">
        <v>25</v>
      </c>
      <c r="P2974" s="21" t="s">
        <v>41</v>
      </c>
      <c r="Q2974" s="21" t="s">
        <v>60</v>
      </c>
      <c r="R2974" s="21" t="s">
        <v>407</v>
      </c>
      <c r="T2974" s="56" t="s">
        <v>396</v>
      </c>
    </row>
    <row r="2975" spans="1:20" ht="14.4" hidden="1">
      <c r="A2975" s="38">
        <f>IF(C2975="","",MAX($A$1:A2974)+1)</f>
        <v>2731</v>
      </c>
      <c r="B2975" s="25" t="s">
        <v>19</v>
      </c>
      <c r="C2975" s="23">
        <v>46106</v>
      </c>
      <c r="D2975" s="28" t="str">
        <f>_xlfn.XLOOKUP(Table134526_79101120212223242526[[#This Row],[Name Surname]],Manpower!$C$4:$C$1048576,Manpower!$B$4:$B$1048576,"")</f>
        <v>Encogroup</v>
      </c>
      <c r="E2975" s="21" t="s">
        <v>59</v>
      </c>
      <c r="F2975" s="12">
        <f>_xlfn.XLOOKUP(Table134526_79101120212223242526[[#This Row],[Name Surname]],Manpower!C:C,Manpower!D:D,)</f>
        <v>141169085</v>
      </c>
      <c r="G2975" s="28" t="str">
        <f>_xlfn.XLOOKUP(Table134526_79101120212223242526[[#This Row],[Name Surname]],Manpower!$C$4:$C$1048576,Manpower!$F$4:$F$1048576,"")</f>
        <v>Welder</v>
      </c>
      <c r="H2975" s="28" t="str">
        <f>_xlfn.XLOOKUP(Table134526_79101120212223242526[[#This Row],[Name Surname]],Manpower!$C$4:$C$1048576,Manpower!$H$4:$H$1048576,"")</f>
        <v>Manpower</v>
      </c>
      <c r="I2975" s="28" t="str">
        <f>_xlfn.XLOOKUP(Table134526_79101120212223242526[[#This Row],[Name Surname]],Manpower!$C$4:$C$1048576,Manpower!$H$4:$H$1048576,"")</f>
        <v>Manpower</v>
      </c>
      <c r="J2975" s="21" t="s">
        <v>48</v>
      </c>
      <c r="K2975" s="21" t="s">
        <v>26</v>
      </c>
      <c r="L2975" s="21" t="s">
        <v>49</v>
      </c>
      <c r="M2975" s="21" t="s">
        <v>55</v>
      </c>
      <c r="N2975" s="29">
        <v>5</v>
      </c>
      <c r="O2975" s="21" t="s">
        <v>25</v>
      </c>
      <c r="P2975" s="21" t="s">
        <v>41</v>
      </c>
      <c r="Q2975" s="21" t="s">
        <v>60</v>
      </c>
      <c r="R2975" s="21" t="s">
        <v>407</v>
      </c>
      <c r="T2975" s="56" t="s">
        <v>396</v>
      </c>
    </row>
    <row r="2976" spans="1:20" ht="14.4" hidden="1">
      <c r="A2976" s="38">
        <f>IF(C2976="","",MAX($A$1:A2975)+1)</f>
        <v>2732</v>
      </c>
      <c r="B2976" s="25" t="s">
        <v>19</v>
      </c>
      <c r="C2976" s="23">
        <v>46106</v>
      </c>
      <c r="D2976" s="28" t="str">
        <f>_xlfn.XLOOKUP(Table134526_79101120212223242526[[#This Row],[Name Surname]],Manpower!$C$4:$C$1048576,Manpower!$B$4:$B$1048576,"")</f>
        <v>AL Omar International TRAD AND CONT</v>
      </c>
      <c r="E2976" s="21" t="s">
        <v>36</v>
      </c>
      <c r="F2976" s="12">
        <f>_xlfn.XLOOKUP(Table134526_79101120212223242526[[#This Row],[Name Surname]],Manpower!C:C,Manpower!D:D,)</f>
        <v>114929202</v>
      </c>
      <c r="G2976" s="28" t="str">
        <f>_xlfn.XLOOKUP(Table134526_79101120212223242526[[#This Row],[Name Surname]],Manpower!$C$4:$C$1048576,Manpower!$F$4:$F$1048576,"")</f>
        <v>RIgger</v>
      </c>
      <c r="H2976" s="28" t="str">
        <f>_xlfn.XLOOKUP(Table134526_79101120212223242526[[#This Row],[Name Surname]],Manpower!$C$4:$C$1048576,Manpower!$H$4:$H$1048576,"")</f>
        <v>Sub Contactor</v>
      </c>
      <c r="I2976" s="28" t="str">
        <f>_xlfn.XLOOKUP(Table134526_79101120212223242526[[#This Row],[Name Surname]],Manpower!$C$4:$C$1048576,Manpower!$H$4:$H$1048576,"")</f>
        <v>Sub Contactor</v>
      </c>
      <c r="J2976" s="21" t="s">
        <v>48</v>
      </c>
      <c r="K2976" s="21" t="s">
        <v>26</v>
      </c>
      <c r="L2976" s="21" t="s">
        <v>49</v>
      </c>
      <c r="M2976" s="21" t="s">
        <v>55</v>
      </c>
      <c r="N2976" s="29">
        <v>5</v>
      </c>
      <c r="O2976" s="21" t="s">
        <v>25</v>
      </c>
      <c r="P2976" s="21" t="s">
        <v>41</v>
      </c>
      <c r="Q2976" s="21" t="s">
        <v>60</v>
      </c>
      <c r="R2976" s="21" t="s">
        <v>407</v>
      </c>
      <c r="T2976" s="56" t="s">
        <v>396</v>
      </c>
    </row>
    <row r="2977" spans="1:20" ht="14.4" hidden="1">
      <c r="A2977" s="38">
        <f>IF(C2977="","",MAX($A$1:A2976)+1)</f>
        <v>2733</v>
      </c>
      <c r="B2977" s="25" t="s">
        <v>19</v>
      </c>
      <c r="C2977" s="23">
        <v>46106</v>
      </c>
      <c r="D2977" s="28" t="str">
        <f>_xlfn.XLOOKUP(Table134526_79101120212223242526[[#This Row],[Name Surname]],Manpower!$C$4:$C$1048576,Manpower!$B$4:$B$1048576,"")</f>
        <v>Encogroup</v>
      </c>
      <c r="E2977" s="21" t="s">
        <v>37</v>
      </c>
      <c r="F2977" s="12">
        <f>_xlfn.XLOOKUP(Table134526_79101120212223242526[[#This Row],[Name Surname]],Manpower!C:C,Manpower!D:D,)</f>
        <v>140742088</v>
      </c>
      <c r="G2977" s="28" t="str">
        <f>_xlfn.XLOOKUP(Table134526_79101120212223242526[[#This Row],[Name Surname]],Manpower!$C$4:$C$1048576,Manpower!$F$4:$F$1048576,"")</f>
        <v>Fitter/Erector</v>
      </c>
      <c r="H2977" s="28" t="str">
        <f>_xlfn.XLOOKUP(Table134526_79101120212223242526[[#This Row],[Name Surname]],Manpower!$C$4:$C$1048576,Manpower!$H$4:$H$1048576,"")</f>
        <v>Manpower</v>
      </c>
      <c r="I2977" s="28" t="str">
        <f>_xlfn.XLOOKUP(Table134526_79101120212223242526[[#This Row],[Name Surname]],Manpower!$C$4:$C$1048576,Manpower!$H$4:$H$1048576,"")</f>
        <v>Manpower</v>
      </c>
      <c r="J2977" s="21" t="s">
        <v>48</v>
      </c>
      <c r="K2977" s="21" t="s">
        <v>26</v>
      </c>
      <c r="L2977" s="21" t="s">
        <v>49</v>
      </c>
      <c r="M2977" s="21" t="s">
        <v>55</v>
      </c>
      <c r="N2977" s="29">
        <v>5</v>
      </c>
      <c r="O2977" s="21" t="s">
        <v>28</v>
      </c>
      <c r="P2977" s="21" t="s">
        <v>41</v>
      </c>
      <c r="Q2977" s="21" t="s">
        <v>58</v>
      </c>
      <c r="R2977" s="21" t="s">
        <v>407</v>
      </c>
      <c r="T2977" s="56" t="s">
        <v>396</v>
      </c>
    </row>
    <row r="2978" spans="1:20" s="45" customFormat="1" ht="14.4" hidden="1">
      <c r="A2978" s="53">
        <f>IF(C2978="","",MAX($A$1:A2977)+1)</f>
        <v>2734</v>
      </c>
      <c r="B2978" s="25" t="s">
        <v>19</v>
      </c>
      <c r="C2978" s="41">
        <v>46106</v>
      </c>
      <c r="D2978" s="48" t="str">
        <f>_xlfn.XLOOKUP(Table134526_79101120212223242526[[#This Row],[Name Surname]],Manpower!$C$4:$C$1048576,Manpower!$B$4:$B$1048576,"")</f>
        <v>Encogroup</v>
      </c>
      <c r="E2978" s="43" t="s">
        <v>32</v>
      </c>
      <c r="F2978" s="12">
        <f>_xlfn.XLOOKUP(Table134526_79101120212223242526[[#This Row],[Name Surname]],Manpower!C:C,Manpower!D:D,)</f>
        <v>140697039</v>
      </c>
      <c r="G2978" s="48" t="str">
        <f>_xlfn.XLOOKUP(Table134526_79101120212223242526[[#This Row],[Name Surname]],Manpower!$C$4:$C$1048576,Manpower!$F$4:$F$1048576,"")</f>
        <v>Fitter/Erector</v>
      </c>
      <c r="H2978" s="48" t="str">
        <f>_xlfn.XLOOKUP(Table134526_79101120212223242526[[#This Row],[Name Surname]],Manpower!$C$4:$C$1048576,Manpower!$H$4:$H$1048576,"")</f>
        <v>Manpower</v>
      </c>
      <c r="I2978" s="48" t="str">
        <f>_xlfn.XLOOKUP(Table134526_79101120212223242526[[#This Row],[Name Surname]],Manpower!$C$4:$C$1048576,Manpower!$H$4:$H$1048576,"")</f>
        <v>Manpower</v>
      </c>
      <c r="J2978" s="43" t="s">
        <v>48</v>
      </c>
      <c r="K2978" s="43" t="s">
        <v>26</v>
      </c>
      <c r="L2978" s="43" t="s">
        <v>49</v>
      </c>
      <c r="M2978" s="43" t="s">
        <v>55</v>
      </c>
      <c r="N2978" s="44">
        <v>5</v>
      </c>
      <c r="O2978" s="43" t="s">
        <v>28</v>
      </c>
      <c r="P2978" s="43" t="s">
        <v>41</v>
      </c>
      <c r="Q2978" s="43" t="s">
        <v>58</v>
      </c>
      <c r="R2978" s="43" t="s">
        <v>407</v>
      </c>
      <c r="S2978" s="43" t="s">
        <v>415</v>
      </c>
      <c r="T2978" s="67" t="s">
        <v>396</v>
      </c>
    </row>
    <row r="2979" spans="1:20" s="45" customFormat="1" ht="14.4" hidden="1">
      <c r="A2979" s="53">
        <f>IF(C2979="","",MAX($A$1:A2978)+1)</f>
        <v>2735</v>
      </c>
      <c r="B2979" s="25" t="s">
        <v>19</v>
      </c>
      <c r="C2979" s="41">
        <v>46106</v>
      </c>
      <c r="D2979" s="48" t="str">
        <f>_xlfn.XLOOKUP(Table134526_79101120212223242526[[#This Row],[Name Surname]],Manpower!$C$4:$C$1048576,Manpower!$B$4:$B$1048576,"")</f>
        <v>Encogroup</v>
      </c>
      <c r="E2979" s="43" t="s">
        <v>237</v>
      </c>
      <c r="F2979" s="12">
        <f>_xlfn.XLOOKUP(Table134526_79101120212223242526[[#This Row],[Name Surname]],Manpower!C:C,Manpower!D:D,)</f>
        <v>75199413</v>
      </c>
      <c r="G2979" s="48" t="str">
        <f>_xlfn.XLOOKUP(Table134526_79101120212223242526[[#This Row],[Name Surname]],Manpower!$C$4:$C$1048576,Manpower!$F$4:$F$1048576,"")</f>
        <v>Mechanic</v>
      </c>
      <c r="H2979" s="48" t="str">
        <f>_xlfn.XLOOKUP(Table134526_79101120212223242526[[#This Row],[Name Surname]],Manpower!$C$4:$C$1048576,Manpower!$H$4:$H$1048576,"")</f>
        <v>Manpower</v>
      </c>
      <c r="I2979" s="48" t="str">
        <f>_xlfn.XLOOKUP(Table134526_79101120212223242526[[#This Row],[Name Surname]],Manpower!$C$4:$C$1048576,Manpower!$H$4:$H$1048576,"")</f>
        <v>Manpower</v>
      </c>
      <c r="J2979" s="43" t="s">
        <v>48</v>
      </c>
      <c r="K2979" s="43" t="s">
        <v>26</v>
      </c>
      <c r="L2979" s="43" t="s">
        <v>49</v>
      </c>
      <c r="M2979" s="43" t="s">
        <v>55</v>
      </c>
      <c r="N2979" s="44">
        <v>5</v>
      </c>
      <c r="O2979" s="43" t="s">
        <v>236</v>
      </c>
      <c r="P2979" s="43" t="s">
        <v>236</v>
      </c>
      <c r="Q2979" s="43" t="s">
        <v>236</v>
      </c>
      <c r="R2979" s="43" t="s">
        <v>407</v>
      </c>
      <c r="S2979" s="43" t="s">
        <v>415</v>
      </c>
      <c r="T2979" s="67" t="s">
        <v>396</v>
      </c>
    </row>
    <row r="2980" spans="1:20" s="45" customFormat="1" ht="14.4" hidden="1">
      <c r="A2980" s="53">
        <f>IF(C2980="","",MAX($A$1:A2979)+1)</f>
        <v>2736</v>
      </c>
      <c r="B2980" s="25" t="s">
        <v>19</v>
      </c>
      <c r="C2980" s="41">
        <v>46106</v>
      </c>
      <c r="D2980" s="48" t="str">
        <f>_xlfn.XLOOKUP(Table134526_79101120212223242526[[#This Row],[Name Surname]],Manpower!$C$4:$C$1048576,Manpower!$B$4:$B$1048576,"")</f>
        <v>Encogroup</v>
      </c>
      <c r="E2980" s="43" t="s">
        <v>102</v>
      </c>
      <c r="F2980" s="12">
        <f>_xlfn.XLOOKUP(Table134526_79101120212223242526[[#This Row],[Name Surname]],Manpower!C:C,Manpower!D:D,)</f>
        <v>141365075</v>
      </c>
      <c r="G2980" s="48" t="str">
        <f>_xlfn.XLOOKUP(Table134526_79101120212223242526[[#This Row],[Name Surname]],Manpower!$C$4:$C$1048576,Manpower!$F$4:$F$1048576,"")</f>
        <v>Helper</v>
      </c>
      <c r="H2980" s="48" t="str">
        <f>_xlfn.XLOOKUP(Table134526_79101120212223242526[[#This Row],[Name Surname]],Manpower!$C$4:$C$1048576,Manpower!$H$4:$H$1048576,"")</f>
        <v>Manpower</v>
      </c>
      <c r="I2980" s="48" t="str">
        <f>_xlfn.XLOOKUP(Table134526_79101120212223242526[[#This Row],[Name Surname]],Manpower!$C$4:$C$1048576,Manpower!$H$4:$H$1048576,"")</f>
        <v>Manpower</v>
      </c>
      <c r="J2980" s="43" t="s">
        <v>48</v>
      </c>
      <c r="K2980" s="43" t="s">
        <v>26</v>
      </c>
      <c r="L2980" s="43" t="s">
        <v>49</v>
      </c>
      <c r="M2980" s="43" t="s">
        <v>55</v>
      </c>
      <c r="N2980" s="44">
        <v>5</v>
      </c>
      <c r="O2980" s="43" t="s">
        <v>236</v>
      </c>
      <c r="P2980" s="43" t="s">
        <v>236</v>
      </c>
      <c r="Q2980" s="43" t="s">
        <v>236</v>
      </c>
      <c r="R2980" s="43" t="s">
        <v>407</v>
      </c>
      <c r="S2980" s="43" t="s">
        <v>415</v>
      </c>
      <c r="T2980" s="67" t="s">
        <v>396</v>
      </c>
    </row>
    <row r="2981" spans="1:20" ht="14.4" hidden="1">
      <c r="A2981" s="38">
        <f>IF(C2981="","",MAX($A$1:A2978)+1)</f>
        <v>2735</v>
      </c>
      <c r="B2981" s="25" t="s">
        <v>19</v>
      </c>
      <c r="C2981" s="23">
        <v>46106</v>
      </c>
      <c r="D2981" s="28" t="str">
        <f>_xlfn.XLOOKUP(Table134526_79101120212223242526[[#This Row],[Name Surname]],Manpower!$C$4:$C$1048576,Manpower!$B$4:$B$1048576,"")</f>
        <v>Encogroup</v>
      </c>
      <c r="E2981" s="21" t="s">
        <v>207</v>
      </c>
      <c r="F2981" s="12">
        <f>_xlfn.XLOOKUP(Table134526_79101120212223242526[[#This Row],[Name Surname]],Manpower!C:C,Manpower!D:D,)</f>
        <v>141359216</v>
      </c>
      <c r="G2981" s="28" t="str">
        <f>_xlfn.XLOOKUP(Table134526_79101120212223242526[[#This Row],[Name Surname]],Manpower!$C$4:$C$1048576,Manpower!$F$4:$F$1048576,"")</f>
        <v>Electrician</v>
      </c>
      <c r="H2981" s="28" t="str">
        <f>_xlfn.XLOOKUP(Table134526_79101120212223242526[[#This Row],[Name Surname]],Manpower!$C$4:$C$1048576,Manpower!$H$4:$H$1048576,"")</f>
        <v>Manpower</v>
      </c>
      <c r="I2981" s="28" t="str">
        <f>_xlfn.XLOOKUP(Table134526_79101120212223242526[[#This Row],[Name Surname]],Manpower!$C$4:$C$1048576,Manpower!$H$4:$H$1048576,"")</f>
        <v>Manpower</v>
      </c>
      <c r="J2981" s="21" t="s">
        <v>48</v>
      </c>
      <c r="K2981" s="21" t="s">
        <v>26</v>
      </c>
      <c r="L2981" s="21" t="s">
        <v>49</v>
      </c>
      <c r="M2981" s="21" t="s">
        <v>55</v>
      </c>
      <c r="N2981" s="29">
        <v>5</v>
      </c>
      <c r="O2981" s="21" t="s">
        <v>28</v>
      </c>
      <c r="P2981" s="21" t="s">
        <v>41</v>
      </c>
      <c r="Q2981" s="21" t="s">
        <v>58</v>
      </c>
      <c r="R2981" s="21" t="s">
        <v>407</v>
      </c>
      <c r="T2981" s="56" t="s">
        <v>396</v>
      </c>
    </row>
    <row r="2982" spans="1:20" ht="14.4" hidden="1">
      <c r="A2982" s="38">
        <f>IF(C2982="","",MAX($A$1:A2981)+1)</f>
        <v>2737</v>
      </c>
      <c r="B2982" s="25" t="s">
        <v>19</v>
      </c>
      <c r="C2982" s="23">
        <v>46106</v>
      </c>
      <c r="D2982" s="28" t="str">
        <f>_xlfn.XLOOKUP(Table134526_79101120212223242526[[#This Row],[Name Surname]],Manpower!$C$4:$C$1048576,Manpower!$B$4:$B$1048576,"")</f>
        <v>Encogroup</v>
      </c>
      <c r="E2982" s="21" t="s">
        <v>70</v>
      </c>
      <c r="F2982" s="12">
        <f>_xlfn.XLOOKUP(Table134526_79101120212223242526[[#This Row],[Name Surname]],Manpower!C:C,Manpower!D:D,)</f>
        <v>141365126</v>
      </c>
      <c r="G2982" s="28" t="str">
        <f>_xlfn.XLOOKUP(Table134526_79101120212223242526[[#This Row],[Name Surname]],Manpower!$C$4:$C$1048576,Manpower!$F$4:$F$1048576,"")</f>
        <v>Helper</v>
      </c>
      <c r="H2982" s="28" t="str">
        <f>_xlfn.XLOOKUP(Table134526_79101120212223242526[[#This Row],[Name Surname]],Manpower!$C$4:$C$1048576,Manpower!$H$4:$H$1048576,"")</f>
        <v>Manpower</v>
      </c>
      <c r="I2982" s="28" t="str">
        <f>_xlfn.XLOOKUP(Table134526_79101120212223242526[[#This Row],[Name Surname]],Manpower!$C$4:$C$1048576,Manpower!$H$4:$H$1048576,"")</f>
        <v>Manpower</v>
      </c>
      <c r="J2982" s="21" t="s">
        <v>48</v>
      </c>
      <c r="K2982" s="21" t="s">
        <v>26</v>
      </c>
      <c r="L2982" s="21" t="s">
        <v>49</v>
      </c>
      <c r="M2982" s="21" t="s">
        <v>55</v>
      </c>
      <c r="N2982" s="29">
        <v>5</v>
      </c>
      <c r="O2982" s="21" t="s">
        <v>25</v>
      </c>
      <c r="P2982" s="21" t="s">
        <v>41</v>
      </c>
      <c r="Q2982" s="21" t="s">
        <v>60</v>
      </c>
      <c r="R2982" s="21" t="s">
        <v>407</v>
      </c>
      <c r="T2982" s="56" t="s">
        <v>396</v>
      </c>
    </row>
    <row r="2983" spans="1:20" ht="14.4" hidden="1">
      <c r="A2983" s="38">
        <f>IF(C2983="","",MAX($A$1:A2982)+1)</f>
        <v>2738</v>
      </c>
      <c r="B2983" s="25" t="s">
        <v>19</v>
      </c>
      <c r="C2983" s="23">
        <v>46106</v>
      </c>
      <c r="D2983" s="28" t="str">
        <f>_xlfn.XLOOKUP(Table134526_79101120212223242526[[#This Row],[Name Surname]],Manpower!$C$4:$C$1048576,Manpower!$B$4:$B$1048576,"")</f>
        <v>Bright Light</v>
      </c>
      <c r="E2983" s="21" t="s">
        <v>71</v>
      </c>
      <c r="F2983" s="12">
        <f>_xlfn.XLOOKUP(Table134526_79101120212223242526[[#This Row],[Name Surname]],Manpower!C:C,Manpower!D:D,)</f>
        <v>81379273</v>
      </c>
      <c r="G2983" s="28" t="str">
        <f>_xlfn.XLOOKUP(Table134526_79101120212223242526[[#This Row],[Name Surname]],Manpower!$C$4:$C$1048576,Manpower!$F$4:$F$1048576,"")</f>
        <v>Crane Operator-100T Sany Telescopic</v>
      </c>
      <c r="H2983" s="28" t="str">
        <f>_xlfn.XLOOKUP(Table134526_79101120212223242526[[#This Row],[Name Surname]],Manpower!$C$4:$C$1048576,Manpower!$H$4:$H$1048576,"")</f>
        <v>Manpower</v>
      </c>
      <c r="I2983" s="28" t="str">
        <f>_xlfn.XLOOKUP(Table134526_79101120212223242526[[#This Row],[Name Surname]],Manpower!$C$4:$C$1048576,Manpower!$H$4:$H$1048576,"")</f>
        <v>Manpower</v>
      </c>
      <c r="J2983" s="21" t="s">
        <v>48</v>
      </c>
      <c r="K2983" s="21" t="s">
        <v>26</v>
      </c>
      <c r="L2983" s="21" t="s">
        <v>49</v>
      </c>
      <c r="M2983" s="21" t="s">
        <v>55</v>
      </c>
      <c r="N2983" s="29">
        <v>5</v>
      </c>
      <c r="O2983" s="21" t="s">
        <v>40</v>
      </c>
      <c r="P2983" s="21" t="s">
        <v>41</v>
      </c>
      <c r="Q2983" s="21" t="s">
        <v>42</v>
      </c>
      <c r="R2983" s="21" t="s">
        <v>407</v>
      </c>
      <c r="T2983" s="56" t="s">
        <v>396</v>
      </c>
    </row>
    <row r="2984" spans="1:20" ht="14.4" hidden="1">
      <c r="A2984" s="38">
        <f>IF(C2984="","",MAX($A$1:A2983)+1)</f>
        <v>2739</v>
      </c>
      <c r="B2984" s="25" t="s">
        <v>19</v>
      </c>
      <c r="C2984" s="23">
        <v>46106</v>
      </c>
      <c r="D2984" s="28" t="str">
        <f>_xlfn.XLOOKUP(Table134526_79101120212223242526[[#This Row],[Name Surname]],Manpower!$C$4:$C$1048576,Manpower!$B$4:$B$1048576,"")</f>
        <v>Encogroup</v>
      </c>
      <c r="E2984" s="21" t="s">
        <v>73</v>
      </c>
      <c r="F2984" s="12">
        <f>_xlfn.XLOOKUP(Table134526_79101120212223242526[[#This Row],[Name Surname]],Manpower!C:C,Manpower!D:D,)</f>
        <v>135325259</v>
      </c>
      <c r="G2984" s="28" t="str">
        <f>_xlfn.XLOOKUP(Table134526_79101120212223242526[[#This Row],[Name Surname]],Manpower!$C$4:$C$1048576,Manpower!$F$4:$F$1048576,"")</f>
        <v>Permit Receiver</v>
      </c>
      <c r="H2984" s="28" t="str">
        <f>_xlfn.XLOOKUP(Table134526_79101120212223242526[[#This Row],[Name Surname]],Manpower!$C$4:$C$1048576,Manpower!$H$4:$H$1048576,"")</f>
        <v>Manpower</v>
      </c>
      <c r="I2984" s="28" t="str">
        <f>_xlfn.XLOOKUP(Table134526_79101120212223242526[[#This Row],[Name Surname]],Manpower!$C$4:$C$1048576,Manpower!$H$4:$H$1048576,"")</f>
        <v>Manpower</v>
      </c>
      <c r="J2984" s="21" t="s">
        <v>48</v>
      </c>
      <c r="K2984" s="21" t="s">
        <v>26</v>
      </c>
      <c r="L2984" s="21" t="s">
        <v>49</v>
      </c>
      <c r="M2984" s="21" t="s">
        <v>55</v>
      </c>
      <c r="N2984" s="29">
        <v>5</v>
      </c>
      <c r="O2984" s="21" t="s">
        <v>25</v>
      </c>
      <c r="P2984" s="21" t="s">
        <v>41</v>
      </c>
      <c r="Q2984" s="21" t="s">
        <v>60</v>
      </c>
      <c r="R2984" s="21" t="s">
        <v>407</v>
      </c>
      <c r="T2984" s="56" t="s">
        <v>396</v>
      </c>
    </row>
    <row r="2985" spans="1:20" ht="14.4" hidden="1">
      <c r="A2985" s="38">
        <f>IF(C2985="","",MAX($A$1:A2984)+1)</f>
        <v>2740</v>
      </c>
      <c r="B2985" s="25" t="s">
        <v>19</v>
      </c>
      <c r="C2985" s="23">
        <v>46106</v>
      </c>
      <c r="D2985" s="28" t="str">
        <f>_xlfn.XLOOKUP(Table134526_79101120212223242526[[#This Row],[Name Surname]],Manpower!$C$4:$C$1048576,Manpower!$B$4:$B$1048576,"")</f>
        <v>Encogroup</v>
      </c>
      <c r="E2985" s="21" t="s">
        <v>74</v>
      </c>
      <c r="F2985" s="12">
        <f>_xlfn.XLOOKUP(Table134526_79101120212223242526[[#This Row],[Name Surname]],Manpower!C:C,Manpower!D:D,)</f>
        <v>141365089</v>
      </c>
      <c r="G2985" s="28" t="str">
        <f>_xlfn.XLOOKUP(Table134526_79101120212223242526[[#This Row],[Name Surname]],Manpower!$C$4:$C$1048576,Manpower!$F$4:$F$1048576,"")</f>
        <v>Fitter</v>
      </c>
      <c r="H2985" s="28" t="str">
        <f>_xlfn.XLOOKUP(Table134526_79101120212223242526[[#This Row],[Name Surname]],Manpower!$C$4:$C$1048576,Manpower!$H$4:$H$1048576,"")</f>
        <v>Manpower</v>
      </c>
      <c r="I2985" s="28" t="str">
        <f>_xlfn.XLOOKUP(Table134526_79101120212223242526[[#This Row],[Name Surname]],Manpower!$C$4:$C$1048576,Manpower!$H$4:$H$1048576,"")</f>
        <v>Manpower</v>
      </c>
      <c r="J2985" s="21" t="s">
        <v>48</v>
      </c>
      <c r="K2985" s="21" t="s">
        <v>26</v>
      </c>
      <c r="L2985" s="21" t="s">
        <v>49</v>
      </c>
      <c r="M2985" s="21" t="s">
        <v>55</v>
      </c>
      <c r="N2985" s="29">
        <v>5</v>
      </c>
      <c r="O2985" s="21" t="s">
        <v>25</v>
      </c>
      <c r="P2985" s="21" t="s">
        <v>41</v>
      </c>
      <c r="Q2985" s="21" t="s">
        <v>60</v>
      </c>
      <c r="R2985" s="21" t="s">
        <v>407</v>
      </c>
      <c r="T2985" s="56" t="s">
        <v>396</v>
      </c>
    </row>
    <row r="2986" spans="1:20" ht="14.4" hidden="1">
      <c r="A2986" s="38">
        <f>IF(C2986="","",MAX($A$1:A2985)+1)</f>
        <v>2741</v>
      </c>
      <c r="B2986" s="25" t="s">
        <v>19</v>
      </c>
      <c r="C2986" s="23">
        <v>46106</v>
      </c>
      <c r="D2986" s="28" t="str">
        <f>_xlfn.XLOOKUP(Table134526_79101120212223242526[[#This Row],[Name Surname]],Manpower!$C$4:$C$1048576,Manpower!$B$4:$B$1048576,"")</f>
        <v>Encogroup</v>
      </c>
      <c r="E2986" s="21" t="s">
        <v>75</v>
      </c>
      <c r="F2986" s="12">
        <f>_xlfn.XLOOKUP(Table134526_79101120212223242526[[#This Row],[Name Surname]],Manpower!C:C,Manpower!D:D,)</f>
        <v>122179604</v>
      </c>
      <c r="G2986" s="28" t="str">
        <f>_xlfn.XLOOKUP(Table134526_79101120212223242526[[#This Row],[Name Surname]],Manpower!$C$4:$C$1048576,Manpower!$F$4:$F$1048576,"")</f>
        <v>Fitter/Erector</v>
      </c>
      <c r="H2986" s="28" t="str">
        <f>_xlfn.XLOOKUP(Table134526_79101120212223242526[[#This Row],[Name Surname]],Manpower!$C$4:$C$1048576,Manpower!$H$4:$H$1048576,"")</f>
        <v>Manpower</v>
      </c>
      <c r="I2986" s="28" t="str">
        <f>_xlfn.XLOOKUP(Table134526_79101120212223242526[[#This Row],[Name Surname]],Manpower!$C$4:$C$1048576,Manpower!$H$4:$H$1048576,"")</f>
        <v>Manpower</v>
      </c>
      <c r="J2986" s="21" t="s">
        <v>48</v>
      </c>
      <c r="K2986" s="21" t="s">
        <v>26</v>
      </c>
      <c r="L2986" s="21" t="s">
        <v>49</v>
      </c>
      <c r="M2986" s="21" t="s">
        <v>55</v>
      </c>
      <c r="N2986" s="29">
        <v>5</v>
      </c>
      <c r="O2986" s="21" t="s">
        <v>25</v>
      </c>
      <c r="P2986" s="21" t="s">
        <v>41</v>
      </c>
      <c r="Q2986" s="21" t="s">
        <v>60</v>
      </c>
      <c r="R2986" s="21" t="s">
        <v>407</v>
      </c>
      <c r="T2986" s="56" t="s">
        <v>396</v>
      </c>
    </row>
    <row r="2987" spans="1:20" ht="14.4" hidden="1">
      <c r="A2987" s="38">
        <f>IF(C2987="","",MAX($A$1:A2986)+1)</f>
        <v>2742</v>
      </c>
      <c r="B2987" s="25" t="s">
        <v>19</v>
      </c>
      <c r="C2987" s="23">
        <v>46106</v>
      </c>
      <c r="D2987" s="28" t="str">
        <f>_xlfn.XLOOKUP(Table134526_79101120212223242526[[#This Row],[Name Surname]],Manpower!$C$4:$C$1048576,Manpower!$B$4:$B$1048576,"")</f>
        <v>Encogroup</v>
      </c>
      <c r="E2987" s="21" t="s">
        <v>78</v>
      </c>
      <c r="F2987" s="12">
        <f>_xlfn.XLOOKUP(Table134526_79101120212223242526[[#This Row],[Name Surname]],Manpower!C:C,Manpower!D:D,)</f>
        <v>117255966</v>
      </c>
      <c r="G2987" s="28" t="str">
        <f>_xlfn.XLOOKUP(Table134526_79101120212223242526[[#This Row],[Name Surname]],Manpower!$C$4:$C$1048576,Manpower!$F$4:$F$1048576,"")</f>
        <v>Mechanical Supervisor</v>
      </c>
      <c r="H2987" s="28" t="str">
        <f>_xlfn.XLOOKUP(Table134526_79101120212223242526[[#This Row],[Name Surname]],Manpower!$C$4:$C$1048576,Manpower!$H$4:$H$1048576,"")</f>
        <v>Manpower</v>
      </c>
      <c r="I2987" s="28" t="str">
        <f>_xlfn.XLOOKUP(Table134526_79101120212223242526[[#This Row],[Name Surname]],Manpower!$C$4:$C$1048576,Manpower!$H$4:$H$1048576,"")</f>
        <v>Manpower</v>
      </c>
      <c r="J2987" s="21" t="s">
        <v>48</v>
      </c>
      <c r="K2987" s="21" t="s">
        <v>26</v>
      </c>
      <c r="L2987" s="21" t="s">
        <v>49</v>
      </c>
      <c r="M2987" s="21" t="s">
        <v>55</v>
      </c>
      <c r="N2987" s="29">
        <v>5</v>
      </c>
      <c r="O2987" s="21" t="s">
        <v>25</v>
      </c>
      <c r="P2987" s="21" t="s">
        <v>41</v>
      </c>
      <c r="Q2987" s="21" t="s">
        <v>60</v>
      </c>
      <c r="R2987" s="21" t="s">
        <v>407</v>
      </c>
      <c r="T2987" s="56" t="s">
        <v>396</v>
      </c>
    </row>
    <row r="2988" spans="1:20" ht="14.4" hidden="1">
      <c r="A2988" s="38">
        <f>IF(C2988="","",MAX($A$1:A2987)+1)</f>
        <v>2743</v>
      </c>
      <c r="B2988" s="37" t="s">
        <v>141</v>
      </c>
      <c r="C2988" s="23">
        <v>46106</v>
      </c>
      <c r="D2988" s="28" t="str">
        <f>_xlfn.XLOOKUP(Table134526_79101120212223242526[[#This Row],[Name Surname]],Manpower!$C$4:$C$1048576,Manpower!$B$4:$B$1048576,"")</f>
        <v>Encogroup</v>
      </c>
      <c r="E2988" s="21" t="s">
        <v>377</v>
      </c>
      <c r="F2988" s="12">
        <f>_xlfn.XLOOKUP(Table134526_79101120212223242526[[#This Row],[Name Surname]],Manpower!C:C,Manpower!D:D,)</f>
        <v>141322485</v>
      </c>
      <c r="G2988" s="28" t="str">
        <f>_xlfn.XLOOKUP(Table134526_79101120212223242526[[#This Row],[Name Surname]],Manpower!$C$4:$C$1048576,Manpower!$F$4:$F$1048576,"")</f>
        <v>Electrical Engineer</v>
      </c>
      <c r="H2988" s="28" t="str">
        <f>_xlfn.XLOOKUP(Table134526_79101120212223242526[[#This Row],[Name Surname]],Manpower!$C$4:$C$1048576,Manpower!$H$4:$H$1048576,"")</f>
        <v>Manpower</v>
      </c>
      <c r="I2988" s="28" t="str">
        <f>_xlfn.XLOOKUP(Table134526_79101120212223242526[[#This Row],[Name Surname]],Manpower!$C$4:$C$1048576,Manpower!$H$4:$H$1048576,"")</f>
        <v>Manpower</v>
      </c>
      <c r="J2988" s="21" t="s">
        <v>378</v>
      </c>
      <c r="K2988" s="21" t="s">
        <v>26</v>
      </c>
      <c r="L2988" s="21" t="s">
        <v>379</v>
      </c>
      <c r="M2988" s="21" t="s">
        <v>55</v>
      </c>
      <c r="N2988" s="29">
        <v>5</v>
      </c>
      <c r="O2988" s="21" t="s">
        <v>28</v>
      </c>
      <c r="P2988" s="21" t="s">
        <v>28</v>
      </c>
      <c r="Q2988" s="21" t="s">
        <v>380</v>
      </c>
      <c r="R2988" s="21" t="s">
        <v>416</v>
      </c>
      <c r="T2988" s="56" t="s">
        <v>396</v>
      </c>
    </row>
    <row r="2989" spans="1:20" ht="14.4" hidden="1">
      <c r="A2989" s="38">
        <f>IF(C2989="","",MAX($A$1:A2987)+1)</f>
        <v>2743</v>
      </c>
      <c r="B2989" s="37" t="s">
        <v>141</v>
      </c>
      <c r="C2989" s="23">
        <v>46106</v>
      </c>
      <c r="D2989" s="28" t="str">
        <f>_xlfn.XLOOKUP(Table134526_79101120212223242526[[#This Row],[Name Surname]],Manpower!$C$4:$C$1048576,Manpower!$B$4:$B$1048576,"")</f>
        <v>Encogroup</v>
      </c>
      <c r="E2989" s="21" t="s">
        <v>382</v>
      </c>
      <c r="F2989" s="12">
        <f>_xlfn.XLOOKUP(Table134526_79101120212223242526[[#This Row],[Name Surname]],Manpower!C:C,Manpower!D:D,)</f>
        <v>127414586</v>
      </c>
      <c r="G2989" s="28" t="str">
        <f>_xlfn.XLOOKUP(Table134526_79101120212223242526[[#This Row],[Name Surname]],Manpower!$C$4:$C$1048576,Manpower!$F$4:$F$1048576,"")</f>
        <v>HSE Officer</v>
      </c>
      <c r="H2989" s="28" t="str">
        <f>_xlfn.XLOOKUP(Table134526_79101120212223242526[[#This Row],[Name Surname]],Manpower!$C$4:$C$1048576,Manpower!$H$4:$H$1048576,"")</f>
        <v>Manpower</v>
      </c>
      <c r="I2989" s="28" t="str">
        <f>_xlfn.XLOOKUP(Table134526_79101120212223242526[[#This Row],[Name Surname]],Manpower!$C$4:$C$1048576,Manpower!$H$4:$H$1048576,"")</f>
        <v>Manpower</v>
      </c>
      <c r="J2989" s="21" t="s">
        <v>378</v>
      </c>
      <c r="K2989" s="21" t="s">
        <v>26</v>
      </c>
      <c r="L2989" s="21" t="s">
        <v>379</v>
      </c>
      <c r="M2989" s="21" t="s">
        <v>55</v>
      </c>
      <c r="N2989" s="29">
        <v>5</v>
      </c>
      <c r="O2989" s="21" t="s">
        <v>28</v>
      </c>
      <c r="P2989" s="21" t="s">
        <v>28</v>
      </c>
      <c r="Q2989" s="21" t="s">
        <v>380</v>
      </c>
      <c r="R2989" s="21" t="s">
        <v>416</v>
      </c>
      <c r="T2989" s="56" t="s">
        <v>396</v>
      </c>
    </row>
    <row r="2990" spans="1:20" s="45" customFormat="1" ht="14.4" hidden="1">
      <c r="A2990" s="53">
        <f>IF(C2990="","",MAX($A$1:A2989)+1)</f>
        <v>2744</v>
      </c>
      <c r="B2990" s="25" t="s">
        <v>141</v>
      </c>
      <c r="C2990" s="41">
        <v>46106</v>
      </c>
      <c r="D2990" s="48" t="str">
        <f>_xlfn.XLOOKUP(Table134526_79101120212223242526[[#This Row],[Name Surname]],Manpower!$C$4:$C$1048576,Manpower!$B$4:$B$1048576,"")</f>
        <v>Encogroup</v>
      </c>
      <c r="E2990" s="43" t="s">
        <v>383</v>
      </c>
      <c r="F2990" s="12">
        <f>_xlfn.XLOOKUP(Table134526_79101120212223242526[[#This Row],[Name Surname]],Manpower!C:C,Manpower!D:D,)</f>
        <v>71437827</v>
      </c>
      <c r="G2990" s="48" t="str">
        <f>_xlfn.XLOOKUP(Table134526_79101120212223242526[[#This Row],[Name Surname]],Manpower!$C$4:$C$1048576,Manpower!$F$4:$F$1048576,"")</f>
        <v>Electrical  Supervisor</v>
      </c>
      <c r="H2990" s="48" t="str">
        <f>_xlfn.XLOOKUP(Table134526_79101120212223242526[[#This Row],[Name Surname]],Manpower!$C$4:$C$1048576,Manpower!$H$4:$H$1048576,"")</f>
        <v>Manpower</v>
      </c>
      <c r="I2990" s="48" t="str">
        <f>_xlfn.XLOOKUP(Table134526_79101120212223242526[[#This Row],[Name Surname]],Manpower!$C$4:$C$1048576,Manpower!$H$4:$H$1048576,"")</f>
        <v>Manpower</v>
      </c>
      <c r="J2990" s="43" t="s">
        <v>378</v>
      </c>
      <c r="K2990" s="43" t="s">
        <v>26</v>
      </c>
      <c r="L2990" s="43" t="s">
        <v>379</v>
      </c>
      <c r="M2990" s="43" t="s">
        <v>55</v>
      </c>
      <c r="N2990" s="44">
        <v>5</v>
      </c>
      <c r="O2990" s="43" t="s">
        <v>28</v>
      </c>
      <c r="P2990" s="43" t="s">
        <v>28</v>
      </c>
      <c r="Q2990" s="43" t="s">
        <v>380</v>
      </c>
      <c r="R2990" s="43" t="s">
        <v>416</v>
      </c>
      <c r="S2990" s="43" t="s">
        <v>230</v>
      </c>
      <c r="T2990" s="67" t="s">
        <v>396</v>
      </c>
    </row>
    <row r="2991" spans="1:20" s="45" customFormat="1" ht="14.4" hidden="1">
      <c r="A2991" s="53">
        <f>IF(C2991="","",MAX($A$1:A2987)+1)</f>
        <v>2743</v>
      </c>
      <c r="B2991" s="25" t="s">
        <v>141</v>
      </c>
      <c r="C2991" s="41">
        <v>46106</v>
      </c>
      <c r="D2991" s="48" t="str">
        <f>_xlfn.XLOOKUP(Table134526_79101120212223242526[[#This Row],[Name Surname]],Manpower!$C$4:$C$1048576,Manpower!$B$4:$B$1048576,"")</f>
        <v>Encogroup</v>
      </c>
      <c r="E2991" s="43" t="s">
        <v>218</v>
      </c>
      <c r="F2991" s="12">
        <f>_xlfn.XLOOKUP(Table134526_79101120212223242526[[#This Row],[Name Surname]],Manpower!C:C,Manpower!D:D,)</f>
        <v>116853914</v>
      </c>
      <c r="G2991" s="48" t="str">
        <f>_xlfn.XLOOKUP(Table134526_79101120212223242526[[#This Row],[Name Surname]],Manpower!$C$4:$C$1048576,Manpower!$F$4:$F$1048576,"")</f>
        <v>Electrical Supervisor</v>
      </c>
      <c r="H2991" s="48" t="str">
        <f>_xlfn.XLOOKUP(Table134526_79101120212223242526[[#This Row],[Name Surname]],Manpower!$C$4:$C$1048576,Manpower!$H$4:$H$1048576,"")</f>
        <v>Manpower</v>
      </c>
      <c r="I2991" s="48" t="str">
        <f>_xlfn.XLOOKUP(Table134526_79101120212223242526[[#This Row],[Name Surname]],Manpower!$C$4:$C$1048576,Manpower!$H$4:$H$1048576,"")</f>
        <v>Manpower</v>
      </c>
      <c r="J2991" s="43" t="s">
        <v>378</v>
      </c>
      <c r="K2991" s="43" t="s">
        <v>26</v>
      </c>
      <c r="L2991" s="43" t="s">
        <v>379</v>
      </c>
      <c r="M2991" s="43" t="s">
        <v>55</v>
      </c>
      <c r="N2991" s="44">
        <v>5</v>
      </c>
      <c r="O2991" s="43" t="s">
        <v>28</v>
      </c>
      <c r="P2991" s="43" t="s">
        <v>28</v>
      </c>
      <c r="Q2991" s="43" t="s">
        <v>380</v>
      </c>
      <c r="R2991" s="43" t="s">
        <v>416</v>
      </c>
      <c r="S2991" s="43"/>
      <c r="T2991" s="67" t="s">
        <v>396</v>
      </c>
    </row>
    <row r="2992" spans="1:20" s="45" customFormat="1" ht="14.4" hidden="1">
      <c r="A2992" s="53">
        <f>IF(C2992="","",MAX($A$1:A2991)+1)</f>
        <v>2745</v>
      </c>
      <c r="B2992" s="25" t="s">
        <v>141</v>
      </c>
      <c r="C2992" s="41">
        <v>46106</v>
      </c>
      <c r="D2992" s="48" t="str">
        <f>_xlfn.XLOOKUP(Table134526_79101120212223242526[[#This Row],[Name Surname]],Manpower!$C$4:$C$1048576,Manpower!$B$4:$B$1048576,"")</f>
        <v>Encogroup</v>
      </c>
      <c r="E2992" s="43" t="s">
        <v>384</v>
      </c>
      <c r="F2992" s="12">
        <f>_xlfn.XLOOKUP(Table134526_79101120212223242526[[#This Row],[Name Surname]],Manpower!C:C,Manpower!D:D,)</f>
        <v>141307968</v>
      </c>
      <c r="G2992" s="48" t="str">
        <f>_xlfn.XLOOKUP(Table134526_79101120212223242526[[#This Row],[Name Surname]],Manpower!$C$4:$C$1048576,Manpower!$F$4:$F$1048576,"")</f>
        <v>Mechanical Supervisor</v>
      </c>
      <c r="H2992" s="48" t="str">
        <f>_xlfn.XLOOKUP(Table134526_79101120212223242526[[#This Row],[Name Surname]],Manpower!$C$4:$C$1048576,Manpower!$H$4:$H$1048576,"")</f>
        <v>Manpower</v>
      </c>
      <c r="I2992" s="48" t="str">
        <f>_xlfn.XLOOKUP(Table134526_79101120212223242526[[#This Row],[Name Surname]],Manpower!$C$4:$C$1048576,Manpower!$H$4:$H$1048576,"")</f>
        <v>Manpower</v>
      </c>
      <c r="J2992" s="43" t="s">
        <v>378</v>
      </c>
      <c r="K2992" s="43" t="s">
        <v>26</v>
      </c>
      <c r="L2992" s="43" t="s">
        <v>379</v>
      </c>
      <c r="M2992" s="43" t="s">
        <v>55</v>
      </c>
      <c r="N2992" s="44">
        <v>5</v>
      </c>
      <c r="O2992" s="43" t="s">
        <v>28</v>
      </c>
      <c r="P2992" s="43" t="s">
        <v>28</v>
      </c>
      <c r="Q2992" s="43" t="s">
        <v>380</v>
      </c>
      <c r="R2992" s="43" t="s">
        <v>416</v>
      </c>
      <c r="S2992" s="43"/>
      <c r="T2992" s="67" t="s">
        <v>396</v>
      </c>
    </row>
    <row r="2993" spans="1:20" s="45" customFormat="1" ht="14.4" hidden="1">
      <c r="A2993" s="53">
        <f>IF(C2993="","",MAX($A$1:A2987)+1)</f>
        <v>2743</v>
      </c>
      <c r="B2993" s="25" t="s">
        <v>141</v>
      </c>
      <c r="C2993" s="41">
        <v>46106</v>
      </c>
      <c r="D2993" s="48" t="str">
        <f>_xlfn.XLOOKUP(Table134526_79101120212223242526[[#This Row],[Name Surname]],Manpower!$C$4:$C$1048576,Manpower!$B$4:$B$1048576,"")</f>
        <v>Encogroup</v>
      </c>
      <c r="E2993" s="43" t="s">
        <v>385</v>
      </c>
      <c r="F2993" s="12">
        <f>_xlfn.XLOOKUP(Table134526_79101120212223242526[[#This Row],[Name Surname]],Manpower!C:C,Manpower!D:D,)</f>
        <v>141307921</v>
      </c>
      <c r="G2993" s="48" t="str">
        <f>_xlfn.XLOOKUP(Table134526_79101120212223242526[[#This Row],[Name Surname]],Manpower!$C$4:$C$1048576,Manpower!$F$4:$F$1048576,"")</f>
        <v>Mechanical Assistant</v>
      </c>
      <c r="H2993" s="48" t="str">
        <f>_xlfn.XLOOKUP(Table134526_79101120212223242526[[#This Row],[Name Surname]],Manpower!$C$4:$C$1048576,Manpower!$H$4:$H$1048576,"")</f>
        <v>Manpower</v>
      </c>
      <c r="I2993" s="48" t="str">
        <f>_xlfn.XLOOKUP(Table134526_79101120212223242526[[#This Row],[Name Surname]],Manpower!$C$4:$C$1048576,Manpower!$H$4:$H$1048576,"")</f>
        <v>Manpower</v>
      </c>
      <c r="J2993" s="43" t="s">
        <v>378</v>
      </c>
      <c r="K2993" s="43" t="s">
        <v>26</v>
      </c>
      <c r="L2993" s="43" t="s">
        <v>379</v>
      </c>
      <c r="M2993" s="43" t="s">
        <v>55</v>
      </c>
      <c r="N2993" s="44">
        <v>5</v>
      </c>
      <c r="O2993" s="43" t="s">
        <v>28</v>
      </c>
      <c r="P2993" s="43" t="s">
        <v>28</v>
      </c>
      <c r="Q2993" s="43" t="s">
        <v>380</v>
      </c>
      <c r="R2993" s="43" t="s">
        <v>416</v>
      </c>
      <c r="S2993" s="43"/>
      <c r="T2993" s="67" t="s">
        <v>396</v>
      </c>
    </row>
    <row r="2994" spans="1:20" s="45" customFormat="1" ht="14.4" hidden="1">
      <c r="A2994" s="53">
        <f>IF(C2994="","",MAX($A$1:A2987)+1)</f>
        <v>2743</v>
      </c>
      <c r="B2994" s="25" t="s">
        <v>141</v>
      </c>
      <c r="C2994" s="41">
        <v>46106</v>
      </c>
      <c r="D2994" s="48" t="str">
        <f>_xlfn.XLOOKUP(Table134526_79101120212223242526[[#This Row],[Name Surname]],Manpower!$C$4:$C$1048576,Manpower!$B$4:$B$1048576,"")</f>
        <v>Encogroup</v>
      </c>
      <c r="E2994" s="43" t="s">
        <v>61</v>
      </c>
      <c r="F2994" s="12">
        <f>_xlfn.XLOOKUP(Table134526_79101120212223242526[[#This Row],[Name Surname]],Manpower!C:C,Manpower!D:D,)</f>
        <v>141169047</v>
      </c>
      <c r="G2994" s="48" t="str">
        <f>_xlfn.XLOOKUP(Table134526_79101120212223242526[[#This Row],[Name Surname]],Manpower!$C$4:$C$1048576,Manpower!$F$4:$F$1048576,"")</f>
        <v>Welder</v>
      </c>
      <c r="H2994" s="48" t="str">
        <f>_xlfn.XLOOKUP(Table134526_79101120212223242526[[#This Row],[Name Surname]],Manpower!$C$4:$C$1048576,Manpower!$H$4:$H$1048576,"")</f>
        <v>Manpower</v>
      </c>
      <c r="I2994" s="48" t="str">
        <f>_xlfn.XLOOKUP(Table134526_79101120212223242526[[#This Row],[Name Surname]],Manpower!$C$4:$C$1048576,Manpower!$H$4:$H$1048576,"")</f>
        <v>Manpower</v>
      </c>
      <c r="J2994" s="43" t="s">
        <v>378</v>
      </c>
      <c r="K2994" s="43" t="s">
        <v>26</v>
      </c>
      <c r="L2994" s="43" t="s">
        <v>379</v>
      </c>
      <c r="M2994" s="43" t="s">
        <v>55</v>
      </c>
      <c r="N2994" s="44">
        <v>5</v>
      </c>
      <c r="O2994" s="43" t="s">
        <v>28</v>
      </c>
      <c r="P2994" s="43" t="s">
        <v>28</v>
      </c>
      <c r="Q2994" s="43" t="s">
        <v>380</v>
      </c>
      <c r="R2994" s="43" t="s">
        <v>416</v>
      </c>
      <c r="S2994" s="43"/>
      <c r="T2994" s="67" t="s">
        <v>396</v>
      </c>
    </row>
    <row r="2995" spans="1:20" ht="14.4">
      <c r="A2995" s="38">
        <f>IF(C2995="","",MAX($A$1:A2987)+1)</f>
        <v>2743</v>
      </c>
      <c r="B2995" s="36" t="s">
        <v>141</v>
      </c>
      <c r="C2995" s="23">
        <v>46106</v>
      </c>
      <c r="D2995" s="28" t="str">
        <f>_xlfn.XLOOKUP(Table134526_79101120212223242526[[#This Row],[Name Surname]],Manpower!$C$4:$C$1048576,Manpower!$B$4:$B$1048576,"")</f>
        <v>Encogroup</v>
      </c>
      <c r="E2995" s="21" t="s">
        <v>80</v>
      </c>
      <c r="F2995" s="12" t="e">
        <f>_xlfn.XLOOKUP(Table134526_79101120212223242526[[#This Row],[Name Surname]],Manpower!C:C,Manpower!D:D,)</f>
        <v>#N/A</v>
      </c>
      <c r="G2995" s="28" t="str">
        <f>_xlfn.XLOOKUP(Table134526_79101120212223242526[[#This Row],[Name Surname]],Manpower!$C$4:$C$1048576,Manpower!$F$4:$F$1048576,"")</f>
        <v>22M-Manlift</v>
      </c>
      <c r="H2995" s="28" t="str">
        <f>_xlfn.XLOOKUP(Table134526_79101120212223242526[[#This Row],[Name Surname]],Manpower!$C$4:$C$1048576,Manpower!$H$4:$H$1048576,"")</f>
        <v>Equipment</v>
      </c>
      <c r="I2995" s="28" t="str">
        <f>_xlfn.XLOOKUP(Table134526_79101120212223242526[[#This Row],[Name Surname]],Manpower!$C$4:$C$1048576,Manpower!$H$4:$H$1048576,"")</f>
        <v>Equipment</v>
      </c>
      <c r="J2995" s="21" t="s">
        <v>35</v>
      </c>
      <c r="K2995" s="21" t="s">
        <v>279</v>
      </c>
      <c r="L2995" s="21" t="s">
        <v>82</v>
      </c>
      <c r="M2995" s="21" t="s">
        <v>55</v>
      </c>
      <c r="N2995" s="29">
        <v>5</v>
      </c>
      <c r="O2995" s="21" t="s">
        <v>25</v>
      </c>
      <c r="P2995" s="21" t="s">
        <v>41</v>
      </c>
      <c r="Q2995" s="21" t="s">
        <v>77</v>
      </c>
      <c r="R2995" s="21" t="s">
        <v>386</v>
      </c>
      <c r="T2995" s="67" t="s">
        <v>396</v>
      </c>
    </row>
    <row r="2996" spans="1:20" ht="14.4">
      <c r="A2996" s="38">
        <f>IF(C2996="","",MAX($A$1:A2995)+1)</f>
        <v>2746</v>
      </c>
      <c r="B2996" s="36" t="s">
        <v>141</v>
      </c>
      <c r="C2996" s="23">
        <v>46106</v>
      </c>
      <c r="D2996" s="28" t="str">
        <f>_xlfn.XLOOKUP(Table134526_79101120212223242526[[#This Row],[Name Surname]],Manpower!$C$4:$C$1048576,Manpower!$B$4:$B$1048576,"")</f>
        <v>Encogroup</v>
      </c>
      <c r="E2996" s="21" t="s">
        <v>84</v>
      </c>
      <c r="F2996" s="12" t="e">
        <f>_xlfn.XLOOKUP(Table134526_79101120212223242526[[#This Row],[Name Surname]],Manpower!C:C,Manpower!D:D,)</f>
        <v>#N/A</v>
      </c>
      <c r="G2996" s="28" t="str">
        <f>_xlfn.XLOOKUP(Table134526_79101120212223242526[[#This Row],[Name Surname]],Manpower!$C$4:$C$1048576,Manpower!$F$4:$F$1048576,"")</f>
        <v>22M-Manlift</v>
      </c>
      <c r="H2996" s="28" t="str">
        <f>_xlfn.XLOOKUP(Table134526_79101120212223242526[[#This Row],[Name Surname]],Manpower!$C$4:$C$1048576,Manpower!$H$4:$H$1048576,"")</f>
        <v>Equipment</v>
      </c>
      <c r="I2996" s="28" t="str">
        <f>_xlfn.XLOOKUP(Table134526_79101120212223242526[[#This Row],[Name Surname]],Manpower!$C$4:$C$1048576,Manpower!$H$4:$H$1048576,"")</f>
        <v>Equipment</v>
      </c>
      <c r="J2996" s="21" t="s">
        <v>35</v>
      </c>
      <c r="K2996" s="21" t="s">
        <v>279</v>
      </c>
      <c r="L2996" s="21" t="s">
        <v>82</v>
      </c>
      <c r="M2996" s="21" t="s">
        <v>55</v>
      </c>
      <c r="N2996" s="29">
        <v>5</v>
      </c>
      <c r="O2996" s="21" t="s">
        <v>25</v>
      </c>
      <c r="P2996" s="21" t="s">
        <v>41</v>
      </c>
      <c r="Q2996" s="21" t="s">
        <v>77</v>
      </c>
      <c r="R2996" s="21" t="s">
        <v>387</v>
      </c>
      <c r="T2996" s="67" t="s">
        <v>396</v>
      </c>
    </row>
    <row r="2997" spans="1:20" ht="14.4">
      <c r="A2997" s="38">
        <f>IF(C2997="","",MAX($A$1:A2996)+1)</f>
        <v>2747</v>
      </c>
      <c r="B2997" s="36" t="s">
        <v>141</v>
      </c>
      <c r="C2997" s="23">
        <v>46106</v>
      </c>
      <c r="D2997" s="28" t="str">
        <f>_xlfn.XLOOKUP(Table134526_79101120212223242526[[#This Row],[Name Surname]],Manpower!$C$4:$C$1048576,Manpower!$B$4:$B$1048576,"")</f>
        <v>Encogroup</v>
      </c>
      <c r="E2997" s="21" t="s">
        <v>341</v>
      </c>
      <c r="F2997" s="12" t="e">
        <f>_xlfn.XLOOKUP(Table134526_79101120212223242526[[#This Row],[Name Surname]],Manpower!C:C,Manpower!D:D,)</f>
        <v>#N/A</v>
      </c>
      <c r="G2997" s="28" t="str">
        <f>_xlfn.XLOOKUP(Table134526_79101120212223242526[[#This Row],[Name Surname]],Manpower!$C$4:$C$1048576,Manpower!$F$4:$F$1048576,"")</f>
        <v>SCISSOR LIFT</v>
      </c>
      <c r="H2997" s="28" t="str">
        <f>_xlfn.XLOOKUP(Table134526_79101120212223242526[[#This Row],[Name Surname]],Manpower!$C$4:$C$1048576,Manpower!$H$4:$H$1048576,"")</f>
        <v>Equipment</v>
      </c>
      <c r="I2997" s="28" t="str">
        <f>_xlfn.XLOOKUP(Table134526_79101120212223242526[[#This Row],[Name Surname]],Manpower!$C$4:$C$1048576,Manpower!$H$4:$H$1048576,"")</f>
        <v>Equipment</v>
      </c>
      <c r="J2997" s="21" t="s">
        <v>35</v>
      </c>
      <c r="K2997" s="21" t="s">
        <v>279</v>
      </c>
      <c r="L2997" s="21" t="s">
        <v>82</v>
      </c>
      <c r="M2997" s="21" t="s">
        <v>55</v>
      </c>
      <c r="N2997" s="29">
        <v>5</v>
      </c>
      <c r="R2997" s="21" t="s">
        <v>56</v>
      </c>
      <c r="T2997" s="67" t="s">
        <v>396</v>
      </c>
    </row>
    <row r="2998" spans="1:20" ht="14.4">
      <c r="A2998" s="38">
        <f>IF(C2998="","",MAX($A$1:A2997)+1)</f>
        <v>2748</v>
      </c>
      <c r="B2998" s="36" t="s">
        <v>141</v>
      </c>
      <c r="C2998" s="23">
        <v>46106</v>
      </c>
      <c r="D2998" s="28" t="str">
        <f>_xlfn.XLOOKUP(Table134526_79101120212223242526[[#This Row],[Name Surname]],Manpower!$C$4:$C$1048576,Manpower!$B$4:$B$1048576,"")</f>
        <v>Nass Group</v>
      </c>
      <c r="E2998" s="21" t="s">
        <v>86</v>
      </c>
      <c r="F2998" s="12" t="e">
        <f>_xlfn.XLOOKUP(Table134526_79101120212223242526[[#This Row],[Name Surname]],Manpower!C:C,Manpower!D:D,)</f>
        <v>#N/A</v>
      </c>
      <c r="G2998" s="28" t="str">
        <f>_xlfn.XLOOKUP(Table134526_79101120212223242526[[#This Row],[Name Surname]],Manpower!$C$4:$C$1048576,Manpower!$F$4:$F$1048576,"")</f>
        <v>70T-Telescopic crane</v>
      </c>
      <c r="H2998" s="28" t="str">
        <f>_xlfn.XLOOKUP(Table134526_79101120212223242526[[#This Row],[Name Surname]],Manpower!$C$4:$C$1048576,Manpower!$H$4:$H$1048576,"")</f>
        <v>Equipment</v>
      </c>
      <c r="I2998" s="28" t="str">
        <f>_xlfn.XLOOKUP(Table134526_79101120212223242526[[#This Row],[Name Surname]],Manpower!$C$4:$C$1048576,Manpower!$H$4:$H$1048576,"")</f>
        <v>Equipment</v>
      </c>
      <c r="J2998" s="21" t="s">
        <v>35</v>
      </c>
      <c r="K2998" s="21" t="s">
        <v>409</v>
      </c>
      <c r="L2998" s="21" t="s">
        <v>82</v>
      </c>
      <c r="M2998" s="21" t="s">
        <v>55</v>
      </c>
      <c r="N2998" s="29">
        <v>5</v>
      </c>
      <c r="O2998" s="21" t="s">
        <v>40</v>
      </c>
      <c r="P2998" s="21" t="s">
        <v>41</v>
      </c>
      <c r="Q2998" s="21" t="s">
        <v>42</v>
      </c>
      <c r="R2998" s="21" t="s">
        <v>26</v>
      </c>
      <c r="T2998" s="67" t="s">
        <v>396</v>
      </c>
    </row>
    <row r="2999" spans="1:20" s="45" customFormat="1" ht="14.4" hidden="1">
      <c r="A2999" s="53">
        <f>IF(C2999="","",MAX($A$1:A2998)+1)</f>
        <v>2749</v>
      </c>
      <c r="B2999" s="25" t="s">
        <v>141</v>
      </c>
      <c r="C2999" s="41">
        <v>46106</v>
      </c>
      <c r="D2999" s="48" t="str">
        <f>_xlfn.XLOOKUP(Table134526_79101120212223242526[[#This Row],[Name Surname]],Manpower!$C$4:$C$1048576,Manpower!$B$4:$B$1048576,"")</f>
        <v>SARENS NASS</v>
      </c>
      <c r="E2999" s="43" t="s">
        <v>103</v>
      </c>
      <c r="F2999" s="12">
        <f>_xlfn.XLOOKUP(Table134526_79101120212223242526[[#This Row],[Name Surname]],Manpower!C:C,Manpower!D:D,)</f>
        <v>79502392</v>
      </c>
      <c r="G2999" s="48" t="str">
        <f>_xlfn.XLOOKUP(Table134526_79101120212223242526[[#This Row],[Name Surname]],Manpower!$C$4:$C$1048576,Manpower!$F$4:$F$1048576,"")</f>
        <v>Crane Operator- 70T Liebherr Telescopic Crane-01</v>
      </c>
      <c r="H2999" s="48" t="str">
        <f>_xlfn.XLOOKUP(Table134526_79101120212223242526[[#This Row],[Name Surname]],Manpower!$C$4:$C$1048576,Manpower!$H$4:$H$1048576,"")</f>
        <v>Manpower</v>
      </c>
      <c r="I2999" s="48" t="str">
        <f>_xlfn.XLOOKUP(Table134526_79101120212223242526[[#This Row],[Name Surname]],Manpower!$C$4:$C$1048576,Manpower!$H$4:$H$1048576,"")</f>
        <v>Manpower</v>
      </c>
      <c r="J2999" s="43" t="s">
        <v>35</v>
      </c>
      <c r="K2999" s="43" t="s">
        <v>409</v>
      </c>
      <c r="L2999" s="43" t="s">
        <v>82</v>
      </c>
      <c r="M2999" s="43" t="s">
        <v>55</v>
      </c>
      <c r="N2999" s="44">
        <v>5</v>
      </c>
      <c r="O2999" s="43" t="s">
        <v>40</v>
      </c>
      <c r="P2999" s="43" t="s">
        <v>41</v>
      </c>
      <c r="Q2999" s="43" t="s">
        <v>42</v>
      </c>
      <c r="R2999" s="43" t="s">
        <v>410</v>
      </c>
      <c r="S2999" s="43"/>
      <c r="T2999" s="67" t="s">
        <v>396</v>
      </c>
    </row>
    <row r="3000" spans="1:20" ht="14.4">
      <c r="A3000" s="38">
        <f>IF(C3000="","",MAX($A$1:A2999)+1)</f>
        <v>2750</v>
      </c>
      <c r="B3000" s="36" t="s">
        <v>141</v>
      </c>
      <c r="C3000" s="23">
        <v>46106</v>
      </c>
      <c r="D3000" s="28" t="str">
        <f>_xlfn.XLOOKUP(Table134526_79101120212223242526[[#This Row],[Name Surname]],Manpower!$C$4:$C$1048576,Manpower!$B$4:$B$1048576,"")</f>
        <v>Nass Group</v>
      </c>
      <c r="E3000" s="21" t="s">
        <v>146</v>
      </c>
      <c r="F3000" s="12" t="e">
        <f>_xlfn.XLOOKUP(Table134526_79101120212223242526[[#This Row],[Name Surname]],Manpower!C:C,Manpower!D:D,)</f>
        <v>#N/A</v>
      </c>
      <c r="G3000" s="28" t="str">
        <f>_xlfn.XLOOKUP(Table134526_79101120212223242526[[#This Row],[Name Surname]],Manpower!$C$4:$C$1048576,Manpower!$F$4:$F$1048576,"")</f>
        <v>130T Crawler Crane</v>
      </c>
      <c r="H3000" s="28" t="str">
        <f>_xlfn.XLOOKUP(Table134526_79101120212223242526[[#This Row],[Name Surname]],Manpower!$C$4:$C$1048576,Manpower!$H$4:$H$1048576,"")</f>
        <v>Equipment</v>
      </c>
      <c r="I3000" s="28" t="str">
        <f>_xlfn.XLOOKUP(Table134526_79101120212223242526[[#This Row],[Name Surname]],Manpower!$C$4:$C$1048576,Manpower!$H$4:$H$1048576,"")</f>
        <v>Equipment</v>
      </c>
      <c r="J3000" s="21" t="s">
        <v>35</v>
      </c>
      <c r="K3000" s="21" t="s">
        <v>409</v>
      </c>
      <c r="L3000" s="21" t="s">
        <v>82</v>
      </c>
      <c r="M3000" s="21" t="s">
        <v>55</v>
      </c>
      <c r="N3000" s="29">
        <v>5</v>
      </c>
      <c r="O3000" s="21" t="s">
        <v>40</v>
      </c>
      <c r="P3000" s="21" t="s">
        <v>41</v>
      </c>
      <c r="Q3000" s="21" t="s">
        <v>42</v>
      </c>
      <c r="R3000" s="21" t="s">
        <v>400</v>
      </c>
      <c r="T3000" s="67" t="s">
        <v>396</v>
      </c>
    </row>
    <row r="3001" spans="1:20" s="45" customFormat="1" ht="14.4" hidden="1">
      <c r="A3001" s="53">
        <f>IF(C3001="","",MAX($A$1:A3000)+1)</f>
        <v>2751</v>
      </c>
      <c r="B3001" s="25" t="s">
        <v>141</v>
      </c>
      <c r="C3001" s="41">
        <v>46106</v>
      </c>
      <c r="D3001" s="48" t="str">
        <f>_xlfn.XLOOKUP(Table134526_79101120212223242526[[#This Row],[Name Surname]],Manpower!$C$4:$C$1048576,Manpower!$B$4:$B$1048576,"")</f>
        <v>SARENS NASS</v>
      </c>
      <c r="E3001" s="43" t="s">
        <v>214</v>
      </c>
      <c r="F3001" s="12">
        <f>_xlfn.XLOOKUP(Table134526_79101120212223242526[[#This Row],[Name Surname]],Manpower!C:C,Manpower!D:D,)</f>
        <v>109957631</v>
      </c>
      <c r="G3001" s="48" t="str">
        <f>_xlfn.XLOOKUP(Table134526_79101120212223242526[[#This Row],[Name Surname]],Manpower!$C$4:$C$1048576,Manpower!$F$4:$F$1048576,"")</f>
        <v>Crane Operator-130T Liebherr Crawler</v>
      </c>
      <c r="H3001" s="48" t="str">
        <f>_xlfn.XLOOKUP(Table134526_79101120212223242526[[#This Row],[Name Surname]],Manpower!$C$4:$C$1048576,Manpower!$H$4:$H$1048576,"")</f>
        <v>Manpower</v>
      </c>
      <c r="I3001" s="48" t="str">
        <f>_xlfn.XLOOKUP(Table134526_79101120212223242526[[#This Row],[Name Surname]],Manpower!$C$4:$C$1048576,Manpower!$H$4:$H$1048576,"")</f>
        <v>Manpower</v>
      </c>
      <c r="J3001" s="43" t="s">
        <v>35</v>
      </c>
      <c r="K3001" s="43" t="s">
        <v>409</v>
      </c>
      <c r="L3001" s="43" t="s">
        <v>82</v>
      </c>
      <c r="M3001" s="43" t="s">
        <v>55</v>
      </c>
      <c r="N3001" s="44">
        <v>5</v>
      </c>
      <c r="O3001" s="43" t="s">
        <v>40</v>
      </c>
      <c r="P3001" s="43" t="s">
        <v>41</v>
      </c>
      <c r="Q3001" s="43" t="s">
        <v>42</v>
      </c>
      <c r="R3001" s="43" t="s">
        <v>400</v>
      </c>
      <c r="S3001" s="43"/>
      <c r="T3001" s="67" t="s">
        <v>396</v>
      </c>
    </row>
    <row r="3002" spans="1:20" s="45" customFormat="1" ht="14.4" hidden="1">
      <c r="A3002" s="53">
        <f>IF(C3002="","",MAX($A$1:A3001)+1)</f>
        <v>2752</v>
      </c>
      <c r="B3002" s="25" t="s">
        <v>141</v>
      </c>
      <c r="C3002" s="41">
        <v>46106</v>
      </c>
      <c r="D3002" s="48" t="str">
        <f>_xlfn.XLOOKUP(Table134526_79101120212223242526[[#This Row],[Name Surname]],Manpower!$C$4:$C$1048576,Manpower!$B$4:$B$1048576,"")</f>
        <v>Encogroup</v>
      </c>
      <c r="E3002" s="43" t="s">
        <v>91</v>
      </c>
      <c r="F3002" s="12">
        <f>_xlfn.XLOOKUP(Table134526_79101120212223242526[[#This Row],[Name Surname]],Manpower!C:C,Manpower!D:D,)</f>
        <v>132915855</v>
      </c>
      <c r="G3002" s="48" t="str">
        <f>_xlfn.XLOOKUP(Table134526_79101120212223242526[[#This Row],[Name Surname]],Manpower!$C$4:$C$1048576,Manpower!$F$4:$F$1048576,"")</f>
        <v>Mechanical Supervisor</v>
      </c>
      <c r="H3002" s="48" t="str">
        <f>_xlfn.XLOOKUP(Table134526_79101120212223242526[[#This Row],[Name Surname]],Manpower!$C$4:$C$1048576,Manpower!$H$4:$H$1048576,"")</f>
        <v>Manpower</v>
      </c>
      <c r="I3002" s="48" t="str">
        <f>_xlfn.XLOOKUP(Table134526_79101120212223242526[[#This Row],[Name Surname]],Manpower!$C$4:$C$1048576,Manpower!$H$4:$H$1048576,"")</f>
        <v>Manpower</v>
      </c>
      <c r="J3002" s="43" t="s">
        <v>35</v>
      </c>
      <c r="K3002" s="43" t="s">
        <v>412</v>
      </c>
      <c r="L3002" s="43" t="s">
        <v>82</v>
      </c>
      <c r="M3002" s="43" t="s">
        <v>55</v>
      </c>
      <c r="N3002" s="44">
        <v>5</v>
      </c>
      <c r="O3002" s="43" t="s">
        <v>25</v>
      </c>
      <c r="P3002" s="43" t="s">
        <v>60</v>
      </c>
      <c r="Q3002" s="43" t="s">
        <v>60</v>
      </c>
      <c r="R3002" s="43" t="s">
        <v>413</v>
      </c>
      <c r="S3002" s="43"/>
      <c r="T3002" s="67" t="s">
        <v>396</v>
      </c>
    </row>
    <row r="3003" spans="1:20" s="45" customFormat="1" ht="14.4" hidden="1">
      <c r="A3003" s="53">
        <f>IF(C3003="","",MAX($A$1:A3002)+1)</f>
        <v>2753</v>
      </c>
      <c r="B3003" s="25" t="s">
        <v>141</v>
      </c>
      <c r="C3003" s="41">
        <v>46106</v>
      </c>
      <c r="D3003" s="48" t="str">
        <f>_xlfn.XLOOKUP(Table134526_79101120212223242526[[#This Row],[Name Surname]],Manpower!$C$4:$C$1048576,Manpower!$B$4:$B$1048576,"")</f>
        <v>Encogroup</v>
      </c>
      <c r="E3003" s="43" t="s">
        <v>97</v>
      </c>
      <c r="F3003" s="12">
        <f>_xlfn.XLOOKUP(Table134526_79101120212223242526[[#This Row],[Name Surname]],Manpower!C:C,Manpower!D:D,)</f>
        <v>141359235</v>
      </c>
      <c r="G3003" s="48" t="str">
        <f>_xlfn.XLOOKUP(Table134526_79101120212223242526[[#This Row],[Name Surname]],Manpower!$C$4:$C$1048576,Manpower!$F$4:$F$1048576,"")</f>
        <v>Fitter</v>
      </c>
      <c r="H3003" s="48" t="str">
        <f>_xlfn.XLOOKUP(Table134526_79101120212223242526[[#This Row],[Name Surname]],Manpower!$C$4:$C$1048576,Manpower!$H$4:$H$1048576,"")</f>
        <v>Manpower</v>
      </c>
      <c r="I3003" s="48" t="str">
        <f>_xlfn.XLOOKUP(Table134526_79101120212223242526[[#This Row],[Name Surname]],Manpower!$C$4:$C$1048576,Manpower!$H$4:$H$1048576,"")</f>
        <v>Manpower</v>
      </c>
      <c r="J3003" s="43" t="s">
        <v>35</v>
      </c>
      <c r="K3003" s="43" t="s">
        <v>411</v>
      </c>
      <c r="L3003" s="43" t="s">
        <v>82</v>
      </c>
      <c r="M3003" s="43" t="s">
        <v>55</v>
      </c>
      <c r="N3003" s="44">
        <v>5</v>
      </c>
      <c r="O3003" s="43" t="s">
        <v>25</v>
      </c>
      <c r="P3003" s="43" t="s">
        <v>41</v>
      </c>
      <c r="Q3003" s="43" t="s">
        <v>77</v>
      </c>
      <c r="R3003" s="43" t="s">
        <v>386</v>
      </c>
      <c r="S3003" s="43" t="s">
        <v>26</v>
      </c>
      <c r="T3003" s="67" t="s">
        <v>396</v>
      </c>
    </row>
    <row r="3004" spans="1:20" s="45" customFormat="1" ht="14.4" hidden="1">
      <c r="A3004" s="53">
        <f>IF(C3004="","",MAX($A$1:A3003)+1)</f>
        <v>2754</v>
      </c>
      <c r="B3004" s="25" t="s">
        <v>141</v>
      </c>
      <c r="C3004" s="41">
        <v>46106</v>
      </c>
      <c r="D3004" s="48" t="str">
        <f>_xlfn.XLOOKUP(Table134526_79101120212223242526[[#This Row],[Name Surname]],Manpower!$C$4:$C$1048576,Manpower!$B$4:$B$1048576,"")</f>
        <v>Encogroup</v>
      </c>
      <c r="E3004" s="43" t="s">
        <v>124</v>
      </c>
      <c r="F3004" s="12">
        <f>_xlfn.XLOOKUP(Table134526_79101120212223242526[[#This Row],[Name Surname]],Manpower!C:C,Manpower!D:D,)</f>
        <v>141169033</v>
      </c>
      <c r="G3004" s="48" t="str">
        <f>_xlfn.XLOOKUP(Table134526_79101120212223242526[[#This Row],[Name Surname]],Manpower!$C$4:$C$1048576,Manpower!$F$4:$F$1048576,"")</f>
        <v>Welder</v>
      </c>
      <c r="H3004" s="48" t="str">
        <f>_xlfn.XLOOKUP(Table134526_79101120212223242526[[#This Row],[Name Surname]],Manpower!$C$4:$C$1048576,Manpower!$H$4:$H$1048576,"")</f>
        <v>Manpower</v>
      </c>
      <c r="I3004" s="48" t="str">
        <f>_xlfn.XLOOKUP(Table134526_79101120212223242526[[#This Row],[Name Surname]],Manpower!$C$4:$C$1048576,Manpower!$H$4:$H$1048576,"")</f>
        <v>Manpower</v>
      </c>
      <c r="J3004" s="43" t="s">
        <v>35</v>
      </c>
      <c r="K3004" s="43" t="s">
        <v>411</v>
      </c>
      <c r="L3004" s="43" t="s">
        <v>82</v>
      </c>
      <c r="M3004" s="43" t="s">
        <v>55</v>
      </c>
      <c r="N3004" s="44">
        <v>5</v>
      </c>
      <c r="O3004" s="43" t="s">
        <v>25</v>
      </c>
      <c r="P3004" s="43" t="s">
        <v>41</v>
      </c>
      <c r="Q3004" s="43" t="s">
        <v>77</v>
      </c>
      <c r="R3004" s="43" t="s">
        <v>386</v>
      </c>
      <c r="S3004" s="43" t="s">
        <v>26</v>
      </c>
      <c r="T3004" s="67" t="s">
        <v>396</v>
      </c>
    </row>
    <row r="3005" spans="1:20" s="45" customFormat="1" ht="14.4" hidden="1">
      <c r="A3005" s="53">
        <f>IF(C3005="","",MAX($A$1:A3003)+1)</f>
        <v>2754</v>
      </c>
      <c r="B3005" s="25" t="s">
        <v>141</v>
      </c>
      <c r="C3005" s="41">
        <v>46106</v>
      </c>
      <c r="D3005" s="48" t="str">
        <f>_xlfn.XLOOKUP(Table134526_79101120212223242526[[#This Row],[Name Surname]],Manpower!$C$4:$C$1048576,Manpower!$B$4:$B$1048576,"")</f>
        <v>Encogroup</v>
      </c>
      <c r="E3005" s="43" t="s">
        <v>99</v>
      </c>
      <c r="F3005" s="12">
        <f>_xlfn.XLOOKUP(Table134526_79101120212223242526[[#This Row],[Name Surname]],Manpower!C:C,Manpower!D:D,)</f>
        <v>140697025</v>
      </c>
      <c r="G3005" s="48" t="str">
        <f>_xlfn.XLOOKUP(Table134526_79101120212223242526[[#This Row],[Name Surname]],Manpower!$C$4:$C$1048576,Manpower!$F$4:$F$1048576,"")</f>
        <v>Assistant/Helper</v>
      </c>
      <c r="H3005" s="48" t="str">
        <f>_xlfn.XLOOKUP(Table134526_79101120212223242526[[#This Row],[Name Surname]],Manpower!$C$4:$C$1048576,Manpower!$H$4:$H$1048576,"")</f>
        <v>Manpower</v>
      </c>
      <c r="I3005" s="48" t="str">
        <f>_xlfn.XLOOKUP(Table134526_79101120212223242526[[#This Row],[Name Surname]],Manpower!$C$4:$C$1048576,Manpower!$H$4:$H$1048576,"")</f>
        <v>Manpower</v>
      </c>
      <c r="J3005" s="43" t="s">
        <v>35</v>
      </c>
      <c r="K3005" s="43" t="s">
        <v>409</v>
      </c>
      <c r="L3005" s="43" t="s">
        <v>82</v>
      </c>
      <c r="M3005" s="43" t="s">
        <v>55</v>
      </c>
      <c r="N3005" s="44">
        <v>5</v>
      </c>
      <c r="O3005" s="43" t="s">
        <v>25</v>
      </c>
      <c r="P3005" s="43" t="s">
        <v>41</v>
      </c>
      <c r="Q3005" s="43" t="s">
        <v>60</v>
      </c>
      <c r="R3005" s="43" t="s">
        <v>100</v>
      </c>
      <c r="S3005" s="43"/>
      <c r="T3005" s="67" t="s">
        <v>396</v>
      </c>
    </row>
    <row r="3006" spans="1:20" s="45" customFormat="1" ht="14.4" hidden="1">
      <c r="A3006" s="53">
        <f>IF(C3006="","",MAX($A$1:A3005)+1)</f>
        <v>2755</v>
      </c>
      <c r="B3006" s="25" t="s">
        <v>141</v>
      </c>
      <c r="C3006" s="41">
        <v>46106</v>
      </c>
      <c r="D3006" s="48" t="str">
        <f>_xlfn.XLOOKUP(Table134526_79101120212223242526[[#This Row],[Name Surname]],Manpower!$C$4:$C$1048576,Manpower!$B$4:$B$1048576,"")</f>
        <v>Encogroup</v>
      </c>
      <c r="E3006" s="43" t="s">
        <v>125</v>
      </c>
      <c r="F3006" s="12">
        <f>_xlfn.XLOOKUP(Table134526_79101120212223242526[[#This Row],[Name Surname]],Manpower!C:C,Manpower!D:D,)</f>
        <v>141169028</v>
      </c>
      <c r="G3006" s="48" t="str">
        <f>_xlfn.XLOOKUP(Table134526_79101120212223242526[[#This Row],[Name Surname]],Manpower!$C$4:$C$1048576,Manpower!$F$4:$F$1048576,"")</f>
        <v>Welder</v>
      </c>
      <c r="H3006" s="48" t="str">
        <f>_xlfn.XLOOKUP(Table134526_79101120212223242526[[#This Row],[Name Surname]],Manpower!$C$4:$C$1048576,Manpower!$H$4:$H$1048576,"")</f>
        <v>Manpower</v>
      </c>
      <c r="I3006" s="48" t="str">
        <f>_xlfn.XLOOKUP(Table134526_79101120212223242526[[#This Row],[Name Surname]],Manpower!$C$4:$C$1048576,Manpower!$H$4:$H$1048576,"")</f>
        <v>Manpower</v>
      </c>
      <c r="J3006" s="43" t="s">
        <v>35</v>
      </c>
      <c r="K3006" s="43" t="s">
        <v>279</v>
      </c>
      <c r="L3006" s="43" t="s">
        <v>82</v>
      </c>
      <c r="M3006" s="43" t="s">
        <v>55</v>
      </c>
      <c r="N3006" s="44">
        <v>5</v>
      </c>
      <c r="O3006" s="43" t="s">
        <v>25</v>
      </c>
      <c r="P3006" s="43" t="s">
        <v>41</v>
      </c>
      <c r="Q3006" s="43" t="s">
        <v>60</v>
      </c>
      <c r="R3006" s="43" t="s">
        <v>390</v>
      </c>
      <c r="S3006" s="43"/>
      <c r="T3006" s="67" t="s">
        <v>396</v>
      </c>
    </row>
    <row r="3007" spans="1:20" s="45" customFormat="1" ht="14.4" hidden="1">
      <c r="A3007" s="53">
        <f>IF(C3007="","",MAX($A$1:A3006)+1)</f>
        <v>2756</v>
      </c>
      <c r="B3007" s="25" t="s">
        <v>141</v>
      </c>
      <c r="C3007" s="41">
        <v>46106</v>
      </c>
      <c r="D3007" s="48" t="str">
        <f>_xlfn.XLOOKUP(Table134526_79101120212223242526[[#This Row],[Name Surname]],Manpower!$C$4:$C$1048576,Manpower!$B$4:$B$1048576,"")</f>
        <v>Encogroup</v>
      </c>
      <c r="E3007" s="43" t="s">
        <v>101</v>
      </c>
      <c r="F3007" s="12">
        <f>_xlfn.XLOOKUP(Table134526_79101120212223242526[[#This Row],[Name Surname]],Manpower!C:C,Manpower!D:D,)</f>
        <v>141169052</v>
      </c>
      <c r="G3007" s="48" t="str">
        <f>_xlfn.XLOOKUP(Table134526_79101120212223242526[[#This Row],[Name Surname]],Manpower!$C$4:$C$1048576,Manpower!$F$4:$F$1048576,"")</f>
        <v>Welder</v>
      </c>
      <c r="H3007" s="48" t="str">
        <f>_xlfn.XLOOKUP(Table134526_79101120212223242526[[#This Row],[Name Surname]],Manpower!$C$4:$C$1048576,Manpower!$H$4:$H$1048576,"")</f>
        <v>Manpower</v>
      </c>
      <c r="I3007" s="48" t="str">
        <f>_xlfn.XLOOKUP(Table134526_79101120212223242526[[#This Row],[Name Surname]],Manpower!$C$4:$C$1048576,Manpower!$H$4:$H$1048576,"")</f>
        <v>Manpower</v>
      </c>
      <c r="J3007" s="43" t="s">
        <v>35</v>
      </c>
      <c r="K3007" s="43" t="s">
        <v>411</v>
      </c>
      <c r="L3007" s="43" t="s">
        <v>82</v>
      </c>
      <c r="M3007" s="43" t="s">
        <v>55</v>
      </c>
      <c r="N3007" s="44">
        <v>5</v>
      </c>
      <c r="O3007" s="43" t="s">
        <v>25</v>
      </c>
      <c r="P3007" s="43" t="s">
        <v>41</v>
      </c>
      <c r="Q3007" s="43" t="s">
        <v>77</v>
      </c>
      <c r="R3007" s="43" t="s">
        <v>386</v>
      </c>
      <c r="S3007" s="43"/>
      <c r="T3007" s="67" t="s">
        <v>396</v>
      </c>
    </row>
    <row r="3008" spans="1:20" s="45" customFormat="1" ht="14.4" hidden="1">
      <c r="A3008" s="53">
        <f>IF(C3008="","",MAX($A$1:A3007)+1)</f>
        <v>2757</v>
      </c>
      <c r="B3008" s="25" t="s">
        <v>141</v>
      </c>
      <c r="C3008" s="41">
        <v>46106</v>
      </c>
      <c r="D3008" s="48" t="str">
        <f>_xlfn.XLOOKUP(Table134526_79101120212223242526[[#This Row],[Name Surname]],Manpower!$C$4:$C$1048576,Manpower!$B$4:$B$1048576,"")</f>
        <v>Encogroup</v>
      </c>
      <c r="E3008" s="43" t="s">
        <v>105</v>
      </c>
      <c r="F3008" s="12">
        <f>_xlfn.XLOOKUP(Table134526_79101120212223242526[[#This Row],[Name Surname]],Manpower!C:C,Manpower!D:D,)</f>
        <v>141358993</v>
      </c>
      <c r="G3008" s="48" t="str">
        <f>_xlfn.XLOOKUP(Table134526_79101120212223242526[[#This Row],[Name Surname]],Manpower!$C$4:$C$1048576,Manpower!$F$4:$F$1048576,"")</f>
        <v>Fitter</v>
      </c>
      <c r="H3008" s="48" t="str">
        <f>_xlfn.XLOOKUP(Table134526_79101120212223242526[[#This Row],[Name Surname]],Manpower!$C$4:$C$1048576,Manpower!$H$4:$H$1048576,"")</f>
        <v>Manpower</v>
      </c>
      <c r="I3008" s="48" t="str">
        <f>_xlfn.XLOOKUP(Table134526_79101120212223242526[[#This Row],[Name Surname]],Manpower!$C$4:$C$1048576,Manpower!$H$4:$H$1048576,"")</f>
        <v>Manpower</v>
      </c>
      <c r="J3008" s="43" t="s">
        <v>35</v>
      </c>
      <c r="K3008" s="43" t="s">
        <v>411</v>
      </c>
      <c r="L3008" s="43" t="s">
        <v>82</v>
      </c>
      <c r="M3008" s="43" t="s">
        <v>55</v>
      </c>
      <c r="N3008" s="44">
        <v>5</v>
      </c>
      <c r="O3008" s="43" t="s">
        <v>25</v>
      </c>
      <c r="P3008" s="43" t="s">
        <v>41</v>
      </c>
      <c r="Q3008" s="43" t="s">
        <v>77</v>
      </c>
      <c r="R3008" s="43" t="s">
        <v>386</v>
      </c>
      <c r="S3008" s="43"/>
      <c r="T3008" s="67" t="s">
        <v>396</v>
      </c>
    </row>
    <row r="3009" spans="1:20" s="45" customFormat="1" ht="14.4" hidden="1">
      <c r="A3009" s="53">
        <f>IF(C3009="","",MAX($A$1:A3008)+1)</f>
        <v>2758</v>
      </c>
      <c r="B3009" s="25" t="s">
        <v>141</v>
      </c>
      <c r="C3009" s="41">
        <v>46106</v>
      </c>
      <c r="D3009" s="48" t="str">
        <f>_xlfn.XLOOKUP(Table134526_79101120212223242526[[#This Row],[Name Surname]],Manpower!$C$4:$C$1048576,Manpower!$B$4:$B$1048576,"")</f>
        <v>Encogroup</v>
      </c>
      <c r="E3009" s="43" t="s">
        <v>106</v>
      </c>
      <c r="F3009" s="12" t="str">
        <f>_xlfn.XLOOKUP(Table134526_79101120212223242526[[#This Row],[Name Surname]],Manpower!C:C,Manpower!D:D,)</f>
        <v>R3971143</v>
      </c>
      <c r="G3009" s="48" t="str">
        <f>_xlfn.XLOOKUP(Table134526_79101120212223242526[[#This Row],[Name Surname]],Manpower!$C$4:$C$1048576,Manpower!$F$4:$F$1048576,"")</f>
        <v>Mechanical Foreman</v>
      </c>
      <c r="H3009" s="48" t="str">
        <f>_xlfn.XLOOKUP(Table134526_79101120212223242526[[#This Row],[Name Surname]],Manpower!$C$4:$C$1048576,Manpower!$H$4:$H$1048576,"")</f>
        <v>Manpower</v>
      </c>
      <c r="I3009" s="48" t="str">
        <f>_xlfn.XLOOKUP(Table134526_79101120212223242526[[#This Row],[Name Surname]],Manpower!$C$4:$C$1048576,Manpower!$H$4:$H$1048576,"")</f>
        <v>Manpower</v>
      </c>
      <c r="J3009" s="43" t="s">
        <v>35</v>
      </c>
      <c r="K3009" s="43" t="s">
        <v>409</v>
      </c>
      <c r="L3009" s="43" t="s">
        <v>82</v>
      </c>
      <c r="M3009" s="43" t="s">
        <v>55</v>
      </c>
      <c r="N3009" s="44">
        <v>5</v>
      </c>
      <c r="O3009" s="43" t="s">
        <v>25</v>
      </c>
      <c r="P3009" s="43" t="s">
        <v>41</v>
      </c>
      <c r="Q3009" s="43" t="s">
        <v>60</v>
      </c>
      <c r="R3009" s="43" t="s">
        <v>413</v>
      </c>
      <c r="S3009" s="43"/>
      <c r="T3009" s="67" t="s">
        <v>396</v>
      </c>
    </row>
    <row r="3010" spans="1:20" s="45" customFormat="1" ht="14.4" hidden="1">
      <c r="A3010" s="53">
        <f>IF(C3010="","",MAX($A$1:A3009)+1)</f>
        <v>2759</v>
      </c>
      <c r="B3010" s="25" t="s">
        <v>141</v>
      </c>
      <c r="C3010" s="41">
        <v>46106</v>
      </c>
      <c r="D3010" s="48" t="str">
        <f>_xlfn.XLOOKUP(Table134526_79101120212223242526[[#This Row],[Name Surname]],Manpower!$C$4:$C$1048576,Manpower!$B$4:$B$1048576,"")</f>
        <v>Encogroup</v>
      </c>
      <c r="E3010" s="43" t="s">
        <v>107</v>
      </c>
      <c r="F3010" s="12">
        <f>_xlfn.XLOOKUP(Table134526_79101120212223242526[[#This Row],[Name Surname]],Manpower!C:C,Manpower!D:D,)</f>
        <v>116858297</v>
      </c>
      <c r="G3010" s="48" t="str">
        <f>_xlfn.XLOOKUP(Table134526_79101120212223242526[[#This Row],[Name Surname]],Manpower!$C$4:$C$1048576,Manpower!$F$4:$F$1048576,"")</f>
        <v>Mechanical Superintendent</v>
      </c>
      <c r="H3010" s="48" t="str">
        <f>_xlfn.XLOOKUP(Table134526_79101120212223242526[[#This Row],[Name Surname]],Manpower!$C$4:$C$1048576,Manpower!$H$4:$H$1048576,"")</f>
        <v>Manpower</v>
      </c>
      <c r="I3010" s="48" t="str">
        <f>_xlfn.XLOOKUP(Table134526_79101120212223242526[[#This Row],[Name Surname]],Manpower!$C$4:$C$1048576,Manpower!$H$4:$H$1048576,"")</f>
        <v>Manpower</v>
      </c>
      <c r="J3010" s="43" t="s">
        <v>35</v>
      </c>
      <c r="K3010" s="43" t="s">
        <v>412</v>
      </c>
      <c r="L3010" s="43" t="s">
        <v>82</v>
      </c>
      <c r="M3010" s="43" t="s">
        <v>55</v>
      </c>
      <c r="N3010" s="44">
        <v>5</v>
      </c>
      <c r="O3010" s="43" t="s">
        <v>25</v>
      </c>
      <c r="P3010" s="43" t="s">
        <v>41</v>
      </c>
      <c r="Q3010" s="43" t="s">
        <v>60</v>
      </c>
      <c r="R3010" s="43" t="s">
        <v>413</v>
      </c>
      <c r="S3010" s="43"/>
      <c r="T3010" s="67" t="s">
        <v>396</v>
      </c>
    </row>
    <row r="3011" spans="1:20" s="45" customFormat="1" ht="14.4" hidden="1">
      <c r="A3011" s="53">
        <f>IF(C3011="","",MAX($A$1:A3010)+1)</f>
        <v>2760</v>
      </c>
      <c r="B3011" s="25" t="s">
        <v>141</v>
      </c>
      <c r="C3011" s="41">
        <v>46106</v>
      </c>
      <c r="D3011" s="48" t="str">
        <f>_xlfn.XLOOKUP(Table134526_79101120212223242526[[#This Row],[Name Surname]],Manpower!$C$4:$C$1048576,Manpower!$B$4:$B$1048576,"")</f>
        <v>Encogroup</v>
      </c>
      <c r="E3011" s="43" t="s">
        <v>126</v>
      </c>
      <c r="F3011" s="12">
        <f>_xlfn.XLOOKUP(Table134526_79101120212223242526[[#This Row],[Name Surname]],Manpower!C:C,Manpower!D:D,)</f>
        <v>140805568</v>
      </c>
      <c r="G3011" s="48" t="str">
        <f>_xlfn.XLOOKUP(Table134526_79101120212223242526[[#This Row],[Name Surname]],Manpower!$C$4:$C$1048576,Manpower!$F$4:$F$1048576,"")</f>
        <v>Assistant/Helper</v>
      </c>
      <c r="H3011" s="48" t="str">
        <f>_xlfn.XLOOKUP(Table134526_79101120212223242526[[#This Row],[Name Surname]],Manpower!$C$4:$C$1048576,Manpower!$H$4:$H$1048576,"")</f>
        <v>Manpower</v>
      </c>
      <c r="I3011" s="48" t="str">
        <f>_xlfn.XLOOKUP(Table134526_79101120212223242526[[#This Row],[Name Surname]],Manpower!$C$4:$C$1048576,Manpower!$H$4:$H$1048576,"")</f>
        <v>Manpower</v>
      </c>
      <c r="J3011" s="43" t="s">
        <v>35</v>
      </c>
      <c r="K3011" s="43" t="s">
        <v>409</v>
      </c>
      <c r="L3011" s="43" t="s">
        <v>82</v>
      </c>
      <c r="M3011" s="43" t="s">
        <v>55</v>
      </c>
      <c r="N3011" s="44">
        <v>5</v>
      </c>
      <c r="O3011" s="43" t="s">
        <v>40</v>
      </c>
      <c r="P3011" s="43" t="s">
        <v>41</v>
      </c>
      <c r="Q3011" s="43" t="s">
        <v>128</v>
      </c>
      <c r="R3011" s="43" t="s">
        <v>270</v>
      </c>
      <c r="S3011" s="43"/>
      <c r="T3011" s="67" t="s">
        <v>396</v>
      </c>
    </row>
    <row r="3012" spans="1:20" ht="14.4" hidden="1">
      <c r="A3012" s="38">
        <f>IF(C3012="","",MAX($A$1:A3011)+1)</f>
        <v>2761</v>
      </c>
      <c r="B3012" s="33" t="s">
        <v>141</v>
      </c>
      <c r="C3012" s="23">
        <v>46106</v>
      </c>
      <c r="D3012" s="28" t="str">
        <f>_xlfn.XLOOKUP(Table134526_79101120212223242526[[#This Row],[Name Surname]],Manpower!$C$4:$C$1048576,Manpower!$B$4:$B$1048576,"")</f>
        <v>Rabwu Ahamal AL Khaleej Trad</v>
      </c>
      <c r="E3012" s="21" t="s">
        <v>131</v>
      </c>
      <c r="F3012" s="12">
        <f>_xlfn.XLOOKUP(Table134526_79101120212223242526[[#This Row],[Name Surname]],Manpower!C:C,Manpower!D:D,)</f>
        <v>131431131</v>
      </c>
      <c r="G3012" s="28" t="str">
        <f>_xlfn.XLOOKUP(Table134526_79101120212223242526[[#This Row],[Name Surname]],Manpower!$C$4:$C$1048576,Manpower!$F$4:$F$1048576,"")</f>
        <v>RIgger</v>
      </c>
      <c r="H3012" s="28" t="str">
        <f>_xlfn.XLOOKUP(Table134526_79101120212223242526[[#This Row],[Name Surname]],Manpower!$C$4:$C$1048576,Manpower!$H$4:$H$1048576,"")</f>
        <v>Sub Contactor</v>
      </c>
      <c r="I3012" s="28" t="str">
        <f>_xlfn.XLOOKUP(Table134526_79101120212223242526[[#This Row],[Name Surname]],Manpower!$C$4:$C$1048576,Manpower!$H$4:$H$1048576,"")</f>
        <v>Sub Contactor</v>
      </c>
      <c r="J3012" s="21" t="s">
        <v>35</v>
      </c>
      <c r="K3012" s="21" t="s">
        <v>409</v>
      </c>
      <c r="L3012" s="21" t="s">
        <v>82</v>
      </c>
      <c r="M3012" s="21" t="s">
        <v>55</v>
      </c>
      <c r="N3012" s="29">
        <v>5</v>
      </c>
      <c r="O3012" s="21" t="s">
        <v>40</v>
      </c>
      <c r="P3012" s="21" t="s">
        <v>41</v>
      </c>
      <c r="Q3012" s="21" t="s">
        <v>42</v>
      </c>
      <c r="R3012" s="21" t="s">
        <v>401</v>
      </c>
      <c r="T3012" s="56" t="s">
        <v>396</v>
      </c>
    </row>
    <row r="3013" spans="1:20" ht="14.4" hidden="1">
      <c r="A3013" s="38">
        <f>IF(C3013="","",MAX($A$1:A3012)+1)</f>
        <v>2762</v>
      </c>
      <c r="B3013" s="36" t="s">
        <v>141</v>
      </c>
      <c r="C3013" s="23">
        <v>46106</v>
      </c>
      <c r="D3013" s="28" t="str">
        <f>_xlfn.XLOOKUP(Table134526_79101120212223242526[[#This Row],[Name Surname]],Manpower!$C$4:$C$1048576,Manpower!$B$4:$B$1048576,"")</f>
        <v>AL Saif &amp; Al QALLM ENT LLC</v>
      </c>
      <c r="E3013" s="21" t="s">
        <v>130</v>
      </c>
      <c r="F3013" s="12">
        <f>_xlfn.XLOOKUP(Table134526_79101120212223242526[[#This Row],[Name Surname]],Manpower!C:C,Manpower!D:D,)</f>
        <v>76647648</v>
      </c>
      <c r="G3013" s="28" t="str">
        <f>_xlfn.XLOOKUP(Table134526_79101120212223242526[[#This Row],[Name Surname]],Manpower!$C$4:$C$1048576,Manpower!$F$4:$F$1048576,"")</f>
        <v>RIgger</v>
      </c>
      <c r="H3013" s="28" t="str">
        <f>_xlfn.XLOOKUP(Table134526_79101120212223242526[[#This Row],[Name Surname]],Manpower!$C$4:$C$1048576,Manpower!$H$4:$H$1048576,"")</f>
        <v>Sub Contactor</v>
      </c>
      <c r="I3013" s="28" t="str">
        <f>_xlfn.XLOOKUP(Table134526_79101120212223242526[[#This Row],[Name Surname]],Manpower!$C$4:$C$1048576,Manpower!$H$4:$H$1048576,"")</f>
        <v>Sub Contactor</v>
      </c>
      <c r="J3013" s="21" t="s">
        <v>35</v>
      </c>
      <c r="K3013" s="21" t="s">
        <v>409</v>
      </c>
      <c r="L3013" s="21" t="s">
        <v>82</v>
      </c>
      <c r="M3013" s="21" t="s">
        <v>55</v>
      </c>
      <c r="N3013" s="29">
        <v>5</v>
      </c>
      <c r="O3013" s="21" t="s">
        <v>40</v>
      </c>
      <c r="P3013" s="21" t="s">
        <v>41</v>
      </c>
      <c r="Q3013" s="21" t="s">
        <v>42</v>
      </c>
      <c r="R3013" s="21" t="s">
        <v>401</v>
      </c>
      <c r="T3013" s="56" t="s">
        <v>396</v>
      </c>
    </row>
    <row r="3014" spans="1:20" s="45" customFormat="1" ht="14.4" hidden="1">
      <c r="A3014" s="53">
        <f>IF(C3014="","",MAX($A$1:A3013)+1)</f>
        <v>2763</v>
      </c>
      <c r="B3014" s="25" t="s">
        <v>141</v>
      </c>
      <c r="C3014" s="41">
        <v>46106</v>
      </c>
      <c r="D3014" s="48" t="str">
        <f>_xlfn.XLOOKUP(Table134526_79101120212223242526[[#This Row],[Name Surname]],Manpower!$C$4:$C$1048576,Manpower!$B$4:$B$1048576,"")</f>
        <v>Encogroup</v>
      </c>
      <c r="E3014" s="43" t="s">
        <v>109</v>
      </c>
      <c r="F3014" s="12">
        <f>_xlfn.XLOOKUP(Table134526_79101120212223242526[[#This Row],[Name Surname]],Manpower!C:C,Manpower!D:D,)</f>
        <v>123805496</v>
      </c>
      <c r="G3014" s="48" t="str">
        <f>_xlfn.XLOOKUP(Table134526_79101120212223242526[[#This Row],[Name Surname]],Manpower!$C$4:$C$1048576,Manpower!$F$4:$F$1048576,"")</f>
        <v>Fitter/Erector</v>
      </c>
      <c r="H3014" s="48" t="str">
        <f>_xlfn.XLOOKUP(Table134526_79101120212223242526[[#This Row],[Name Surname]],Manpower!$C$4:$C$1048576,Manpower!$H$4:$H$1048576,"")</f>
        <v>Manpower</v>
      </c>
      <c r="I3014" s="48" t="str">
        <f>_xlfn.XLOOKUP(Table134526_79101120212223242526[[#This Row],[Name Surname]],Manpower!$C$4:$C$1048576,Manpower!$H$4:$H$1048576,"")</f>
        <v>Manpower</v>
      </c>
      <c r="J3014" s="43" t="s">
        <v>35</v>
      </c>
      <c r="K3014" s="43" t="s">
        <v>409</v>
      </c>
      <c r="L3014" s="43" t="s">
        <v>82</v>
      </c>
      <c r="M3014" s="43" t="s">
        <v>55</v>
      </c>
      <c r="N3014" s="44">
        <v>5</v>
      </c>
      <c r="O3014" s="43" t="s">
        <v>25</v>
      </c>
      <c r="P3014" s="43" t="s">
        <v>41</v>
      </c>
      <c r="Q3014" s="43" t="s">
        <v>60</v>
      </c>
      <c r="R3014" s="43" t="s">
        <v>390</v>
      </c>
      <c r="S3014" s="43"/>
      <c r="T3014" s="67" t="s">
        <v>396</v>
      </c>
    </row>
    <row r="3015" spans="1:20" ht="14.4" hidden="1">
      <c r="A3015" s="38">
        <f>IF(C3015="","",MAX($A$1:A3014)+1)</f>
        <v>2764</v>
      </c>
      <c r="B3015" s="36" t="s">
        <v>141</v>
      </c>
      <c r="C3015" s="23">
        <v>46106</v>
      </c>
      <c r="D3015" s="28" t="str">
        <f>_xlfn.XLOOKUP(Table134526_79101120212223242526[[#This Row],[Name Surname]],Manpower!$C$4:$C$1048576,Manpower!$B$4:$B$1048576,"")</f>
        <v>Encogroup</v>
      </c>
      <c r="E3015" s="21" t="s">
        <v>110</v>
      </c>
      <c r="F3015" s="12">
        <f>_xlfn.XLOOKUP(Table134526_79101120212223242526[[#This Row],[Name Surname]],Manpower!C:C,Manpower!D:D,)</f>
        <v>136277866</v>
      </c>
      <c r="G3015" s="28" t="str">
        <f>_xlfn.XLOOKUP(Table134526_79101120212223242526[[#This Row],[Name Surname]],Manpower!$C$4:$C$1048576,Manpower!$F$4:$F$1048576,"")</f>
        <v>Permit Receiver</v>
      </c>
      <c r="H3015" s="28" t="str">
        <f>_xlfn.XLOOKUP(Table134526_79101120212223242526[[#This Row],[Name Surname]],Manpower!$C$4:$C$1048576,Manpower!$H$4:$H$1048576,"")</f>
        <v>Manpower</v>
      </c>
      <c r="I3015" s="28" t="str">
        <f>_xlfn.XLOOKUP(Table134526_79101120212223242526[[#This Row],[Name Surname]],Manpower!$C$4:$C$1048576,Manpower!$H$4:$H$1048576,"")</f>
        <v>Manpower</v>
      </c>
      <c r="J3015" s="21" t="s">
        <v>35</v>
      </c>
      <c r="K3015" s="21" t="s">
        <v>389</v>
      </c>
      <c r="L3015" s="21" t="s">
        <v>82</v>
      </c>
      <c r="M3015" s="21" t="s">
        <v>55</v>
      </c>
      <c r="N3015" s="29">
        <v>5</v>
      </c>
      <c r="O3015" s="21" t="s">
        <v>25</v>
      </c>
      <c r="P3015" s="21" t="s">
        <v>41</v>
      </c>
      <c r="Q3015" s="21" t="s">
        <v>60</v>
      </c>
      <c r="R3015" s="21" t="s">
        <v>413</v>
      </c>
      <c r="T3015" s="56" t="s">
        <v>396</v>
      </c>
    </row>
    <row r="3016" spans="1:20" s="45" customFormat="1" ht="14.4" hidden="1">
      <c r="A3016" s="53">
        <f>IF(C3016="","",MAX($A$1:A3015)+1)</f>
        <v>2765</v>
      </c>
      <c r="B3016" s="25" t="s">
        <v>141</v>
      </c>
      <c r="C3016" s="41">
        <v>46106</v>
      </c>
      <c r="D3016" s="48" t="str">
        <f>_xlfn.XLOOKUP(Table134526_79101120212223242526[[#This Row],[Name Surname]],Manpower!$C$4:$C$1048576,Manpower!$B$4:$B$1048576,"")</f>
        <v>Encogroup</v>
      </c>
      <c r="E3016" s="43" t="s">
        <v>112</v>
      </c>
      <c r="F3016" s="12">
        <f>_xlfn.XLOOKUP(Table134526_79101120212223242526[[#This Row],[Name Surname]],Manpower!C:C,Manpower!D:D,)</f>
        <v>140663253</v>
      </c>
      <c r="G3016" s="48" t="str">
        <f>_xlfn.XLOOKUP(Table134526_79101120212223242526[[#This Row],[Name Surname]],Manpower!$C$4:$C$1048576,Manpower!$F$4:$F$1048576,"")</f>
        <v>Painting Inspector</v>
      </c>
      <c r="H3016" s="48" t="str">
        <f>_xlfn.XLOOKUP(Table134526_79101120212223242526[[#This Row],[Name Surname]],Manpower!$C$4:$C$1048576,Manpower!$H$4:$H$1048576,"")</f>
        <v>Manpower</v>
      </c>
      <c r="I3016" s="48" t="str">
        <f>_xlfn.XLOOKUP(Table134526_79101120212223242526[[#This Row],[Name Surname]],Manpower!$C$4:$C$1048576,Manpower!$H$4:$H$1048576,"")</f>
        <v>Manpower</v>
      </c>
      <c r="J3016" s="43" t="s">
        <v>35</v>
      </c>
      <c r="K3016" s="43" t="s">
        <v>88</v>
      </c>
      <c r="L3016" s="43" t="s">
        <v>82</v>
      </c>
      <c r="M3016" s="43" t="s">
        <v>55</v>
      </c>
      <c r="N3016" s="44">
        <v>5</v>
      </c>
      <c r="O3016" s="43" t="s">
        <v>94</v>
      </c>
      <c r="P3016" s="43" t="s">
        <v>114</v>
      </c>
      <c r="Q3016" s="43" t="s">
        <v>114</v>
      </c>
      <c r="R3016" s="43" t="s">
        <v>391</v>
      </c>
      <c r="S3016" s="43" t="s">
        <v>26</v>
      </c>
      <c r="T3016" s="67" t="s">
        <v>396</v>
      </c>
    </row>
    <row r="3017" spans="1:20" s="45" customFormat="1" ht="14.4" hidden="1">
      <c r="A3017" s="53">
        <f>IF(C3017="","",MAX($A$1:A3016)+1)</f>
        <v>2766</v>
      </c>
      <c r="B3017" s="25" t="s">
        <v>141</v>
      </c>
      <c r="C3017" s="41">
        <v>46106</v>
      </c>
      <c r="D3017" s="48" t="str">
        <f>_xlfn.XLOOKUP(Table134526_79101120212223242526[[#This Row],[Name Surname]],Manpower!$C$4:$C$1048576,Manpower!$B$4:$B$1048576,"")</f>
        <v>Encogroup</v>
      </c>
      <c r="E3017" s="43" t="s">
        <v>87</v>
      </c>
      <c r="F3017" s="12">
        <f>_xlfn.XLOOKUP(Table134526_79101120212223242526[[#This Row],[Name Surname]],Manpower!C:C,Manpower!D:D,)</f>
        <v>126724428</v>
      </c>
      <c r="G3017" s="48" t="str">
        <f>_xlfn.XLOOKUP(Table134526_79101120212223242526[[#This Row],[Name Surname]],Manpower!$C$4:$C$1048576,Manpower!$F$4:$F$1048576,"")</f>
        <v>Surveyor</v>
      </c>
      <c r="H3017" s="48" t="str">
        <f>_xlfn.XLOOKUP(Table134526_79101120212223242526[[#This Row],[Name Surname]],Manpower!$C$4:$C$1048576,Manpower!$H$4:$H$1048576,"")</f>
        <v>Manpower</v>
      </c>
      <c r="I3017" s="48" t="str">
        <f>_xlfn.XLOOKUP(Table134526_79101120212223242526[[#This Row],[Name Surname]],Manpower!$C$4:$C$1048576,Manpower!$H$4:$H$1048576,"")</f>
        <v>Manpower</v>
      </c>
      <c r="J3017" s="43" t="s">
        <v>35</v>
      </c>
      <c r="K3017" s="43" t="s">
        <v>26</v>
      </c>
      <c r="L3017" s="43" t="s">
        <v>82</v>
      </c>
      <c r="M3017" s="43" t="s">
        <v>55</v>
      </c>
      <c r="N3017" s="44">
        <v>5</v>
      </c>
      <c r="O3017" s="43" t="s">
        <v>89</v>
      </c>
      <c r="P3017" s="43" t="s">
        <v>89</v>
      </c>
      <c r="Q3017" s="43" t="s">
        <v>89</v>
      </c>
      <c r="R3017" s="43" t="s">
        <v>89</v>
      </c>
      <c r="S3017" s="43" t="s">
        <v>26</v>
      </c>
      <c r="T3017" s="67" t="s">
        <v>396</v>
      </c>
    </row>
    <row r="3018" spans="1:20" s="45" customFormat="1" ht="14.4" hidden="1">
      <c r="A3018" s="53">
        <f>IF(C3018="","",MAX($A$1:A3017)+1)</f>
        <v>2767</v>
      </c>
      <c r="B3018" s="25" t="s">
        <v>141</v>
      </c>
      <c r="C3018" s="41">
        <v>46106</v>
      </c>
      <c r="D3018" s="48" t="str">
        <f>_xlfn.XLOOKUP(Table134526_79101120212223242526[[#This Row],[Name Surname]],Manpower!$C$4:$C$1048576,Manpower!$B$4:$B$1048576,"")</f>
        <v>Encogroup</v>
      </c>
      <c r="E3018" s="43" t="s">
        <v>34</v>
      </c>
      <c r="F3018" s="12">
        <f>_xlfn.XLOOKUP(Table134526_79101120212223242526[[#This Row],[Name Surname]],Manpower!C:C,Manpower!D:D,)</f>
        <v>141365023</v>
      </c>
      <c r="G3018" s="48" t="str">
        <f>_xlfn.XLOOKUP(Table134526_79101120212223242526[[#This Row],[Name Surname]],Manpower!$C$4:$C$1048576,Manpower!$F$4:$F$1048576,"")</f>
        <v>Grinder</v>
      </c>
      <c r="H3018" s="48" t="str">
        <f>_xlfn.XLOOKUP(Table134526_79101120212223242526[[#This Row],[Name Surname]],Manpower!$C$4:$C$1048576,Manpower!$H$4:$H$1048576,"")</f>
        <v>Manpower</v>
      </c>
      <c r="I3018" s="48" t="str">
        <f>_xlfn.XLOOKUP(Table134526_79101120212223242526[[#This Row],[Name Surname]],Manpower!$C$4:$C$1048576,Manpower!$H$4:$H$1048576,"")</f>
        <v>Manpower</v>
      </c>
      <c r="J3018" s="43" t="s">
        <v>35</v>
      </c>
      <c r="K3018" s="43" t="s">
        <v>26</v>
      </c>
      <c r="L3018" s="43" t="s">
        <v>82</v>
      </c>
      <c r="M3018" s="43" t="s">
        <v>55</v>
      </c>
      <c r="N3018" s="44">
        <v>5</v>
      </c>
      <c r="O3018" s="43" t="s">
        <v>89</v>
      </c>
      <c r="P3018" s="43" t="s">
        <v>89</v>
      </c>
      <c r="Q3018" s="43" t="s">
        <v>89</v>
      </c>
      <c r="R3018" s="43" t="s">
        <v>89</v>
      </c>
      <c r="S3018" s="43" t="s">
        <v>26</v>
      </c>
      <c r="T3018" s="67" t="s">
        <v>396</v>
      </c>
    </row>
    <row r="3019" spans="1:20" s="45" customFormat="1" ht="14.4" hidden="1">
      <c r="A3019" s="53">
        <f>IF(C3019="","",MAX($A$1:A3018)+1)</f>
        <v>2768</v>
      </c>
      <c r="B3019" s="25" t="s">
        <v>141</v>
      </c>
      <c r="C3019" s="41">
        <v>46106</v>
      </c>
      <c r="D3019" s="48" t="str">
        <f>_xlfn.XLOOKUP(Table134526_79101120212223242526[[#This Row],[Name Surname]],Manpower!$C$4:$C$1048576,Manpower!$B$4:$B$1048576,"")</f>
        <v>Encogroup</v>
      </c>
      <c r="E3019" s="43" t="s">
        <v>228</v>
      </c>
      <c r="F3019" s="12">
        <f>_xlfn.XLOOKUP(Table134526_79101120212223242526[[#This Row],[Name Surname]],Manpower!C:C,Manpower!D:D,)</f>
        <v>125199963</v>
      </c>
      <c r="G3019" s="48" t="str">
        <f>_xlfn.XLOOKUP(Table134526_79101120212223242526[[#This Row],[Name Surname]],Manpower!$C$4:$C$1048576,Manpower!$F$4:$F$1048576,"")</f>
        <v>Electrician</v>
      </c>
      <c r="H3019" s="48" t="str">
        <f>_xlfn.XLOOKUP(Table134526_79101120212223242526[[#This Row],[Name Surname]],Manpower!$C$4:$C$1048576,Manpower!$H$4:$H$1048576,"")</f>
        <v>Manpower</v>
      </c>
      <c r="I3019" s="48" t="str">
        <f>_xlfn.XLOOKUP(Table134526_79101120212223242526[[#This Row],[Name Surname]],Manpower!$C$4:$C$1048576,Manpower!$H$4:$H$1048576,"")</f>
        <v>Manpower</v>
      </c>
      <c r="J3019" s="43" t="s">
        <v>135</v>
      </c>
      <c r="K3019" s="43" t="s">
        <v>26</v>
      </c>
      <c r="L3019" s="43" t="s">
        <v>82</v>
      </c>
      <c r="M3019" s="43" t="s">
        <v>55</v>
      </c>
      <c r="N3019" s="44">
        <v>5</v>
      </c>
      <c r="O3019" s="43" t="s">
        <v>28</v>
      </c>
      <c r="P3019" s="43" t="s">
        <v>28</v>
      </c>
      <c r="Q3019" s="43" t="s">
        <v>28</v>
      </c>
      <c r="R3019" s="43" t="s">
        <v>28</v>
      </c>
      <c r="S3019" s="43" t="s">
        <v>26</v>
      </c>
      <c r="T3019" s="67" t="s">
        <v>396</v>
      </c>
    </row>
    <row r="3020" spans="1:20" s="45" customFormat="1" ht="14.4" hidden="1">
      <c r="A3020" s="53">
        <f>IF(C3020="","",MAX($A$1:A3019)+1)</f>
        <v>2769</v>
      </c>
      <c r="B3020" s="25" t="s">
        <v>141</v>
      </c>
      <c r="C3020" s="41">
        <v>46106</v>
      </c>
      <c r="D3020" s="48" t="str">
        <f>_xlfn.XLOOKUP(Table134526_79101120212223242526[[#This Row],[Name Surname]],Manpower!$C$4:$C$1048576,Manpower!$B$4:$B$1048576,"")</f>
        <v>Encogroup</v>
      </c>
      <c r="E3020" s="43" t="s">
        <v>286</v>
      </c>
      <c r="F3020" s="12">
        <f>_xlfn.XLOOKUP(Table134526_79101120212223242526[[#This Row],[Name Surname]],Manpower!C:C,Manpower!D:D,)</f>
        <v>1487544</v>
      </c>
      <c r="G3020" s="48" t="str">
        <f>_xlfn.XLOOKUP(Table134526_79101120212223242526[[#This Row],[Name Surname]],Manpower!$C$4:$C$1048576,Manpower!$F$4:$F$1048576,"")</f>
        <v>Driver</v>
      </c>
      <c r="H3020" s="48" t="str">
        <f>_xlfn.XLOOKUP(Table134526_79101120212223242526[[#This Row],[Name Surname]],Manpower!$C$4:$C$1048576,Manpower!$H$4:$H$1048576,"")</f>
        <v>Manpower</v>
      </c>
      <c r="I3020" s="48" t="str">
        <f>_xlfn.XLOOKUP(Table134526_79101120212223242526[[#This Row],[Name Surname]],Manpower!$C$4:$C$1048576,Manpower!$H$4:$H$1048576,"")</f>
        <v>Manpower</v>
      </c>
      <c r="J3020" s="43" t="s">
        <v>135</v>
      </c>
      <c r="K3020" s="43" t="s">
        <v>26</v>
      </c>
      <c r="L3020" s="43" t="s">
        <v>82</v>
      </c>
      <c r="M3020" s="43" t="s">
        <v>55</v>
      </c>
      <c r="N3020" s="44">
        <v>5</v>
      </c>
      <c r="O3020" s="43" t="s">
        <v>138</v>
      </c>
      <c r="P3020" s="43" t="s">
        <v>138</v>
      </c>
      <c r="Q3020" s="43" t="s">
        <v>138</v>
      </c>
      <c r="R3020" s="43" t="s">
        <v>26</v>
      </c>
      <c r="S3020" s="43" t="s">
        <v>26</v>
      </c>
      <c r="T3020" s="67" t="s">
        <v>396</v>
      </c>
    </row>
    <row r="3021" spans="1:20" s="45" customFormat="1" ht="14.4" hidden="1">
      <c r="A3021" s="53">
        <f>IF(C3021="","",MAX($A$1:A3019)+1)</f>
        <v>2769</v>
      </c>
      <c r="B3021" s="25" t="s">
        <v>141</v>
      </c>
      <c r="C3021" s="41">
        <v>46106</v>
      </c>
      <c r="D3021" s="48" t="str">
        <f>_xlfn.XLOOKUP(Table134526_79101120212223242526[[#This Row],[Name Surname]],Manpower!$C$4:$C$1048576,Manpower!$B$4:$B$1048576,"")</f>
        <v>Encogroup</v>
      </c>
      <c r="E3021" s="43" t="s">
        <v>398</v>
      </c>
      <c r="F3021" s="12">
        <f>_xlfn.XLOOKUP(Table134526_79101120212223242526[[#This Row],[Name Surname]],Manpower!C:C,Manpower!D:D,)</f>
        <v>81612139</v>
      </c>
      <c r="G3021" s="48" t="str">
        <f>_xlfn.XLOOKUP(Table134526_79101120212223242526[[#This Row],[Name Surname]],Manpower!$C$4:$C$1048576,Manpower!$F$4:$F$1048576,"")</f>
        <v>Mechanic</v>
      </c>
      <c r="H3021" s="48" t="str">
        <f>_xlfn.XLOOKUP(Table134526_79101120212223242526[[#This Row],[Name Surname]],Manpower!$C$4:$C$1048576,Manpower!$H$4:$H$1048576,"")</f>
        <v>Manpower</v>
      </c>
      <c r="I3021" s="48" t="str">
        <f>_xlfn.XLOOKUP(Table134526_79101120212223242526[[#This Row],[Name Surname]],Manpower!$C$4:$C$1048576,Manpower!$H$4:$H$1048576,"")</f>
        <v>Manpower</v>
      </c>
      <c r="J3021" s="43" t="s">
        <v>135</v>
      </c>
      <c r="K3021" s="43" t="s">
        <v>26</v>
      </c>
      <c r="L3021" s="43" t="s">
        <v>82</v>
      </c>
      <c r="M3021" s="43" t="s">
        <v>55</v>
      </c>
      <c r="N3021" s="44">
        <v>5</v>
      </c>
      <c r="O3021" s="43" t="s">
        <v>236</v>
      </c>
      <c r="P3021" s="43" t="s">
        <v>236</v>
      </c>
      <c r="Q3021" s="43" t="s">
        <v>236</v>
      </c>
      <c r="R3021" s="43" t="s">
        <v>236</v>
      </c>
      <c r="S3021" s="43" t="s">
        <v>26</v>
      </c>
      <c r="T3021" s="67" t="s">
        <v>396</v>
      </c>
    </row>
    <row r="3022" spans="1:20" s="45" customFormat="1" ht="14.4" hidden="1">
      <c r="A3022" s="53">
        <f>IF(C3022="","",MAX($A$1:A3016)+1)</f>
        <v>2766</v>
      </c>
      <c r="B3022" s="25" t="s">
        <v>141</v>
      </c>
      <c r="C3022" s="41">
        <v>46106</v>
      </c>
      <c r="D3022" s="48" t="str">
        <f>_xlfn.XLOOKUP(Table134526_79101120212223242526[[#This Row],[Name Surname]],Manpower!$C$4:$C$1048576,Manpower!$B$4:$B$1048576,"")</f>
        <v>Encogroup</v>
      </c>
      <c r="E3022" s="43" t="s">
        <v>118</v>
      </c>
      <c r="F3022" s="12" t="str">
        <f>_xlfn.XLOOKUP(Table134526_79101120212223242526[[#This Row],[Name Surname]],Manpower!C:C,Manpower!D:D,)</f>
        <v>AG111207</v>
      </c>
      <c r="G3022" s="48" t="str">
        <f>_xlfn.XLOOKUP(Table134526_79101120212223242526[[#This Row],[Name Surname]],Manpower!$C$4:$C$1048576,Manpower!$F$4:$F$1048576,"")</f>
        <v>Assistant/Helper</v>
      </c>
      <c r="H3022" s="48" t="str">
        <f>_xlfn.XLOOKUP(Table134526_79101120212223242526[[#This Row],[Name Surname]],Manpower!$C$4:$C$1048576,Manpower!$H$4:$H$1048576,"")</f>
        <v>Manpower</v>
      </c>
      <c r="I3022" s="48" t="str">
        <f>_xlfn.XLOOKUP(Table134526_79101120212223242526[[#This Row],[Name Surname]],Manpower!$C$4:$C$1048576,Manpower!$H$4:$H$1048576,"")</f>
        <v>Manpower</v>
      </c>
      <c r="J3022" s="43" t="s">
        <v>35</v>
      </c>
      <c r="K3022" s="43" t="s">
        <v>88</v>
      </c>
      <c r="L3022" s="43" t="s">
        <v>82</v>
      </c>
      <c r="M3022" s="43" t="s">
        <v>55</v>
      </c>
      <c r="N3022" s="44">
        <v>5</v>
      </c>
      <c r="O3022" s="43" t="s">
        <v>94</v>
      </c>
      <c r="P3022" s="43" t="s">
        <v>114</v>
      </c>
      <c r="Q3022" s="43" t="s">
        <v>114</v>
      </c>
      <c r="R3022" s="43" t="s">
        <v>391</v>
      </c>
      <c r="S3022" s="43"/>
      <c r="T3022" s="67" t="s">
        <v>396</v>
      </c>
    </row>
    <row r="3023" spans="1:20" s="45" customFormat="1" ht="14.4" hidden="1">
      <c r="A3023" s="53">
        <f>IF(C3023="","",MAX($A$1:A3022)+1)</f>
        <v>2770</v>
      </c>
      <c r="B3023" s="25" t="s">
        <v>141</v>
      </c>
      <c r="C3023" s="41">
        <v>46106</v>
      </c>
      <c r="D3023" s="48" t="str">
        <f>_xlfn.XLOOKUP(Table134526_79101120212223242526[[#This Row],[Name Surname]],Manpower!$C$4:$C$1048576,Manpower!$B$4:$B$1048576,"")</f>
        <v>Encogroup</v>
      </c>
      <c r="E3023" s="43" t="s">
        <v>92</v>
      </c>
      <c r="F3023" s="12">
        <f>_xlfn.XLOOKUP(Table134526_79101120212223242526[[#This Row],[Name Surname]],Manpower!C:C,Manpower!D:D,)</f>
        <v>141377747</v>
      </c>
      <c r="G3023" s="48" t="str">
        <f>_xlfn.XLOOKUP(Table134526_79101120212223242526[[#This Row],[Name Surname]],Manpower!$C$4:$C$1048576,Manpower!$F$4:$F$1048576,"")</f>
        <v>Painter</v>
      </c>
      <c r="H3023" s="48" t="str">
        <f>_xlfn.XLOOKUP(Table134526_79101120212223242526[[#This Row],[Name Surname]],Manpower!$C$4:$C$1048576,Manpower!$H$4:$H$1048576,"")</f>
        <v>Manpower</v>
      </c>
      <c r="I3023" s="48" t="str">
        <f>_xlfn.XLOOKUP(Table134526_79101120212223242526[[#This Row],[Name Surname]],Manpower!$C$4:$C$1048576,Manpower!$H$4:$H$1048576,"")</f>
        <v>Manpower</v>
      </c>
      <c r="J3023" s="43" t="s">
        <v>35</v>
      </c>
      <c r="K3023" s="43" t="s">
        <v>409</v>
      </c>
      <c r="L3023" s="43" t="s">
        <v>82</v>
      </c>
      <c r="M3023" s="43" t="s">
        <v>55</v>
      </c>
      <c r="N3023" s="44">
        <v>5</v>
      </c>
      <c r="O3023" s="43" t="s">
        <v>25</v>
      </c>
      <c r="P3023" s="43" t="s">
        <v>60</v>
      </c>
      <c r="Q3023" s="43" t="s">
        <v>60</v>
      </c>
      <c r="R3023" s="43" t="s">
        <v>390</v>
      </c>
      <c r="S3023" s="43"/>
      <c r="T3023" s="67" t="s">
        <v>396</v>
      </c>
    </row>
    <row r="3024" spans="1:20" s="45" customFormat="1" ht="14.4" hidden="1">
      <c r="A3024" s="53">
        <f>IF(C3024="","",MAX($A$1:A3023)+1)</f>
        <v>2771</v>
      </c>
      <c r="B3024" s="25" t="s">
        <v>141</v>
      </c>
      <c r="C3024" s="41">
        <v>46106</v>
      </c>
      <c r="D3024" s="48" t="str">
        <f>_xlfn.XLOOKUP(Table134526_79101120212223242526[[#This Row],[Name Surname]],Manpower!$C$4:$C$1048576,Manpower!$B$4:$B$1048576,"")</f>
        <v>Encogroup</v>
      </c>
      <c r="E3024" s="43" t="s">
        <v>173</v>
      </c>
      <c r="F3024" s="12" t="str">
        <f>_xlfn.XLOOKUP(Table134526_79101120212223242526[[#This Row],[Name Surname]],Manpower!C:C,Manpower!D:D,)</f>
        <v>S3549132</v>
      </c>
      <c r="G3024" s="48" t="str">
        <f>_xlfn.XLOOKUP(Table134526_79101120212223242526[[#This Row],[Name Surname]],Manpower!$C$4:$C$1048576,Manpower!$F$4:$F$1048576,"")</f>
        <v>Grinder</v>
      </c>
      <c r="H3024" s="48" t="str">
        <f>_xlfn.XLOOKUP(Table134526_79101120212223242526[[#This Row],[Name Surname]],Manpower!$C$4:$C$1048576,Manpower!$H$4:$H$1048576,"")</f>
        <v>Manpower</v>
      </c>
      <c r="I3024" s="48" t="str">
        <f>_xlfn.XLOOKUP(Table134526_79101120212223242526[[#This Row],[Name Surname]],Manpower!$C$4:$C$1048576,Manpower!$H$4:$H$1048576,"")</f>
        <v>Manpower</v>
      </c>
      <c r="J3024" s="43" t="s">
        <v>35</v>
      </c>
      <c r="K3024" s="43" t="s">
        <v>88</v>
      </c>
      <c r="L3024" s="43" t="s">
        <v>82</v>
      </c>
      <c r="M3024" s="43" t="s">
        <v>55</v>
      </c>
      <c r="N3024" s="44">
        <v>5</v>
      </c>
      <c r="O3024" s="43" t="s">
        <v>94</v>
      </c>
      <c r="P3024" s="43" t="s">
        <v>114</v>
      </c>
      <c r="Q3024" s="43" t="s">
        <v>114</v>
      </c>
      <c r="R3024" s="43" t="s">
        <v>391</v>
      </c>
      <c r="S3024" s="43"/>
      <c r="T3024" s="67" t="s">
        <v>396</v>
      </c>
    </row>
    <row r="3025" spans="1:20" s="45" customFormat="1" ht="14.4" hidden="1">
      <c r="A3025" s="53">
        <f>IF(C3025="","",MAX($A$1:A3024)+1)</f>
        <v>2772</v>
      </c>
      <c r="B3025" s="25" t="s">
        <v>141</v>
      </c>
      <c r="C3025" s="41">
        <v>46106</v>
      </c>
      <c r="D3025" s="48" t="str">
        <f>_xlfn.XLOOKUP(Table134526_79101120212223242526[[#This Row],[Name Surname]],Manpower!$C$4:$C$1048576,Manpower!$B$4:$B$1048576,"")</f>
        <v>Encogroup</v>
      </c>
      <c r="E3025" s="43" t="s">
        <v>119</v>
      </c>
      <c r="F3025" s="12">
        <f>_xlfn.XLOOKUP(Table134526_79101120212223242526[[#This Row],[Name Surname]],Manpower!C:C,Manpower!D:D,)</f>
        <v>140844778</v>
      </c>
      <c r="G3025" s="48" t="str">
        <f>_xlfn.XLOOKUP(Table134526_79101120212223242526[[#This Row],[Name Surname]],Manpower!$C$4:$C$1048576,Manpower!$F$4:$F$1048576,"")</f>
        <v>Painter</v>
      </c>
      <c r="H3025" s="48" t="str">
        <f>_xlfn.XLOOKUP(Table134526_79101120212223242526[[#This Row],[Name Surname]],Manpower!$C$4:$C$1048576,Manpower!$H$4:$H$1048576,"")</f>
        <v>Manpower</v>
      </c>
      <c r="I3025" s="48" t="str">
        <f>_xlfn.XLOOKUP(Table134526_79101120212223242526[[#This Row],[Name Surname]],Manpower!$C$4:$C$1048576,Manpower!$H$4:$H$1048576,"")</f>
        <v>Manpower</v>
      </c>
      <c r="J3025" s="43" t="s">
        <v>35</v>
      </c>
      <c r="K3025" s="43" t="s">
        <v>88</v>
      </c>
      <c r="L3025" s="43" t="s">
        <v>82</v>
      </c>
      <c r="M3025" s="43" t="s">
        <v>55</v>
      </c>
      <c r="N3025" s="44">
        <v>5</v>
      </c>
      <c r="O3025" s="43" t="s">
        <v>94</v>
      </c>
      <c r="P3025" s="43" t="s">
        <v>114</v>
      </c>
      <c r="Q3025" s="43" t="s">
        <v>114</v>
      </c>
      <c r="R3025" s="43" t="s">
        <v>391</v>
      </c>
      <c r="S3025" s="43"/>
      <c r="T3025" s="67" t="s">
        <v>396</v>
      </c>
    </row>
    <row r="3026" spans="1:20" s="45" customFormat="1" ht="14.4" hidden="1">
      <c r="A3026" s="53">
        <f>IF(C3026="","",MAX($A$1:A3025)+1)</f>
        <v>2773</v>
      </c>
      <c r="B3026" s="25" t="s">
        <v>141</v>
      </c>
      <c r="C3026" s="41">
        <v>46106</v>
      </c>
      <c r="D3026" s="48" t="str">
        <f>_xlfn.XLOOKUP(Table134526_79101120212223242526[[#This Row],[Name Surname]],Manpower!$C$4:$C$1048576,Manpower!$B$4:$B$1048576,"")</f>
        <v>Encogroup</v>
      </c>
      <c r="E3026" s="43" t="s">
        <v>117</v>
      </c>
      <c r="F3026" s="12">
        <f>_xlfn.XLOOKUP(Table134526_79101120212223242526[[#This Row],[Name Surname]],Manpower!C:C,Manpower!D:D,)</f>
        <v>140844783</v>
      </c>
      <c r="G3026" s="48" t="str">
        <f>_xlfn.XLOOKUP(Table134526_79101120212223242526[[#This Row],[Name Surname]],Manpower!$C$4:$C$1048576,Manpower!$F$4:$F$1048576,"")</f>
        <v>Painter</v>
      </c>
      <c r="H3026" s="48" t="str">
        <f>_xlfn.XLOOKUP(Table134526_79101120212223242526[[#This Row],[Name Surname]],Manpower!$C$4:$C$1048576,Manpower!$H$4:$H$1048576,"")</f>
        <v>Manpower</v>
      </c>
      <c r="I3026" s="48" t="str">
        <f>_xlfn.XLOOKUP(Table134526_79101120212223242526[[#This Row],[Name Surname]],Manpower!$C$4:$C$1048576,Manpower!$H$4:$H$1048576,"")</f>
        <v>Manpower</v>
      </c>
      <c r="J3026" s="43" t="s">
        <v>35</v>
      </c>
      <c r="K3026" s="43" t="s">
        <v>88</v>
      </c>
      <c r="L3026" s="43" t="s">
        <v>82</v>
      </c>
      <c r="M3026" s="43" t="s">
        <v>55</v>
      </c>
      <c r="N3026" s="44">
        <v>5</v>
      </c>
      <c r="O3026" s="43" t="s">
        <v>94</v>
      </c>
      <c r="P3026" s="43" t="s">
        <v>114</v>
      </c>
      <c r="Q3026" s="43" t="s">
        <v>114</v>
      </c>
      <c r="R3026" s="43" t="s">
        <v>391</v>
      </c>
      <c r="S3026" s="43"/>
      <c r="T3026" s="67" t="s">
        <v>396</v>
      </c>
    </row>
    <row r="3027" spans="1:20" s="45" customFormat="1" ht="14.4" hidden="1">
      <c r="A3027" s="53">
        <f>IF(C3027="","",MAX($A$1:A3026)+1)</f>
        <v>2774</v>
      </c>
      <c r="B3027" s="25" t="s">
        <v>141</v>
      </c>
      <c r="C3027" s="41">
        <v>46106</v>
      </c>
      <c r="D3027" s="48" t="str">
        <f>_xlfn.XLOOKUP(Table134526_79101120212223242526[[#This Row],[Name Surname]],Manpower!$C$4:$C$1048576,Manpower!$B$4:$B$1048576,"")</f>
        <v>Encogroup</v>
      </c>
      <c r="E3027" s="43" t="s">
        <v>209</v>
      </c>
      <c r="F3027" s="12">
        <f>_xlfn.XLOOKUP(Table134526_79101120212223242526[[#This Row],[Name Surname]],Manpower!C:C,Manpower!D:D,)</f>
        <v>141365164</v>
      </c>
      <c r="G3027" s="48" t="str">
        <f>_xlfn.XLOOKUP(Table134526_79101120212223242526[[#This Row],[Name Surname]],Manpower!$C$4:$C$1048576,Manpower!$F$4:$F$1048576,"")</f>
        <v>Helper</v>
      </c>
      <c r="H3027" s="48" t="str">
        <f>_xlfn.XLOOKUP(Table134526_79101120212223242526[[#This Row],[Name Surname]],Manpower!$C$4:$C$1048576,Manpower!$H$4:$H$1048576,"")</f>
        <v>Manpower</v>
      </c>
      <c r="I3027" s="48" t="str">
        <f>_xlfn.XLOOKUP(Table134526_79101120212223242526[[#This Row],[Name Surname]],Manpower!$C$4:$C$1048576,Manpower!$H$4:$H$1048576,"")</f>
        <v>Manpower</v>
      </c>
      <c r="J3027" s="43" t="s">
        <v>35</v>
      </c>
      <c r="K3027" s="43" t="s">
        <v>88</v>
      </c>
      <c r="L3027" s="43" t="s">
        <v>82</v>
      </c>
      <c r="M3027" s="43" t="s">
        <v>55</v>
      </c>
      <c r="N3027" s="44">
        <v>5</v>
      </c>
      <c r="O3027" s="43" t="s">
        <v>94</v>
      </c>
      <c r="P3027" s="43" t="s">
        <v>114</v>
      </c>
      <c r="Q3027" s="43" t="s">
        <v>114</v>
      </c>
      <c r="R3027" s="43" t="s">
        <v>391</v>
      </c>
      <c r="S3027" s="43"/>
      <c r="T3027" s="67" t="s">
        <v>396</v>
      </c>
    </row>
    <row r="3028" spans="1:20" ht="14.4" hidden="1">
      <c r="A3028" s="38">
        <f>IF(C3028="","",MAX($A$1:A3027)+1)</f>
        <v>2775</v>
      </c>
      <c r="B3028" s="36" t="s">
        <v>141</v>
      </c>
      <c r="C3028" s="23">
        <v>46106</v>
      </c>
      <c r="D3028" s="28" t="str">
        <f>_xlfn.XLOOKUP(Table134526_79101120212223242526[[#This Row],[Name Surname]],Manpower!$C$4:$C$1048576,Manpower!$B$4:$B$1048576,"")</f>
        <v>Encogroup</v>
      </c>
      <c r="E3028" s="21" t="s">
        <v>122</v>
      </c>
      <c r="F3028" s="12">
        <f>_xlfn.XLOOKUP(Table134526_79101120212223242526[[#This Row],[Name Surname]],Manpower!C:C,Manpower!D:D,)</f>
        <v>140805554</v>
      </c>
      <c r="G3028" s="28" t="str">
        <f>_xlfn.XLOOKUP(Table134526_79101120212223242526[[#This Row],[Name Surname]],Manpower!$C$4:$C$1048576,Manpower!$F$4:$F$1048576,"")</f>
        <v>Assistant/Helper</v>
      </c>
      <c r="H3028" s="28" t="str">
        <f>_xlfn.XLOOKUP(Table134526_79101120212223242526[[#This Row],[Name Surname]],Manpower!$C$4:$C$1048576,Manpower!$H$4:$H$1048576,"")</f>
        <v>Manpower</v>
      </c>
      <c r="I3028" s="28" t="str">
        <f>_xlfn.XLOOKUP(Table134526_79101120212223242526[[#This Row],[Name Surname]],Manpower!$C$4:$C$1048576,Manpower!$H$4:$H$1048576,"")</f>
        <v>Manpower</v>
      </c>
      <c r="J3028" s="21" t="s">
        <v>35</v>
      </c>
      <c r="K3028" s="21" t="s">
        <v>411</v>
      </c>
      <c r="L3028" s="21" t="s">
        <v>82</v>
      </c>
      <c r="M3028" s="21" t="s">
        <v>55</v>
      </c>
      <c r="N3028" s="29">
        <v>5</v>
      </c>
      <c r="O3028" s="21" t="s">
        <v>25</v>
      </c>
      <c r="P3028" s="21" t="s">
        <v>41</v>
      </c>
      <c r="Q3028" s="21" t="s">
        <v>77</v>
      </c>
      <c r="R3028" s="21" t="s">
        <v>386</v>
      </c>
      <c r="T3028" s="56" t="s">
        <v>396</v>
      </c>
    </row>
    <row r="3029" spans="1:20" ht="14.4" hidden="1">
      <c r="A3029" s="38">
        <f>IF(C3029="","",MAX($A$1:A3028)+1)</f>
        <v>2776</v>
      </c>
      <c r="B3029" s="36" t="s">
        <v>141</v>
      </c>
      <c r="C3029" s="23">
        <v>46106</v>
      </c>
      <c r="D3029" s="28" t="str">
        <f>_xlfn.XLOOKUP(Table134526_79101120212223242526[[#This Row],[Name Surname]],Manpower!$C$4:$C$1048576,Manpower!$B$4:$B$1048576,"")</f>
        <v>AL Saif &amp; Al QALLM ENT LLC</v>
      </c>
      <c r="E3029" s="21" t="s">
        <v>132</v>
      </c>
      <c r="F3029" s="12">
        <f>_xlfn.XLOOKUP(Table134526_79101120212223242526[[#This Row],[Name Surname]],Manpower!C:C,Manpower!D:D,)</f>
        <v>135762195</v>
      </c>
      <c r="G3029" s="28" t="str">
        <f>_xlfn.XLOOKUP(Table134526_79101120212223242526[[#This Row],[Name Surname]],Manpower!$C$4:$C$1048576,Manpower!$F$4:$F$1048576,"")</f>
        <v>HSE Officer</v>
      </c>
      <c r="H3029" s="28" t="str">
        <f>_xlfn.XLOOKUP(Table134526_79101120212223242526[[#This Row],[Name Surname]],Manpower!$C$4:$C$1048576,Manpower!$H$4:$H$1048576,"")</f>
        <v>Sub Contactor</v>
      </c>
      <c r="I3029" s="28" t="str">
        <f>_xlfn.XLOOKUP(Table134526_79101120212223242526[[#This Row],[Name Surname]],Manpower!$C$4:$C$1048576,Manpower!$H$4:$H$1048576,"")</f>
        <v>Sub Contactor</v>
      </c>
      <c r="J3029" s="21" t="s">
        <v>35</v>
      </c>
      <c r="K3029" s="21" t="s">
        <v>412</v>
      </c>
      <c r="L3029" s="21" t="s">
        <v>82</v>
      </c>
      <c r="M3029" s="21" t="s">
        <v>55</v>
      </c>
      <c r="N3029" s="29">
        <v>5</v>
      </c>
      <c r="O3029" s="21" t="s">
        <v>25</v>
      </c>
      <c r="P3029" s="21" t="s">
        <v>41</v>
      </c>
      <c r="Q3029" s="21" t="s">
        <v>60</v>
      </c>
      <c r="R3029" s="21" t="s">
        <v>413</v>
      </c>
      <c r="T3029" s="56" t="s">
        <v>396</v>
      </c>
    </row>
    <row r="3030" spans="1:20" s="45" customFormat="1" ht="14.4" hidden="1">
      <c r="A3030" s="53">
        <f>IF(C3030="","",MAX($A$1:A3029)+1)</f>
        <v>2777</v>
      </c>
      <c r="B3030" s="25" t="s">
        <v>141</v>
      </c>
      <c r="C3030" s="41">
        <v>46106</v>
      </c>
      <c r="D3030" s="48" t="str">
        <f>_xlfn.XLOOKUP(Table134526_79101120212223242526[[#This Row],[Name Surname]],Manpower!$C$4:$C$1048576,Manpower!$B$4:$B$1048576,"")</f>
        <v>Encogroup</v>
      </c>
      <c r="E3030" s="43" t="s">
        <v>133</v>
      </c>
      <c r="F3030" s="12">
        <f>_xlfn.XLOOKUP(Table134526_79101120212223242526[[#This Row],[Name Surname]],Manpower!C:C,Manpower!D:D,)</f>
        <v>140846684</v>
      </c>
      <c r="G3030" s="48" t="str">
        <f>_xlfn.XLOOKUP(Table134526_79101120212223242526[[#This Row],[Name Surname]],Manpower!$C$4:$C$1048576,Manpower!$F$4:$F$1048576,"")</f>
        <v>Assistant/Helper</v>
      </c>
      <c r="H3030" s="48" t="str">
        <f>_xlfn.XLOOKUP(Table134526_79101120212223242526[[#This Row],[Name Surname]],Manpower!$C$4:$C$1048576,Manpower!$H$4:$H$1048576,"")</f>
        <v>Manpower</v>
      </c>
      <c r="I3030" s="48" t="str">
        <f>_xlfn.XLOOKUP(Table134526_79101120212223242526[[#This Row],[Name Surname]],Manpower!$C$4:$C$1048576,Manpower!$H$4:$H$1048576,"")</f>
        <v>Manpower</v>
      </c>
      <c r="J3030" s="43" t="s">
        <v>35</v>
      </c>
      <c r="K3030" s="43" t="s">
        <v>409</v>
      </c>
      <c r="L3030" s="43" t="s">
        <v>82</v>
      </c>
      <c r="M3030" s="43" t="s">
        <v>55</v>
      </c>
      <c r="N3030" s="44">
        <v>5</v>
      </c>
      <c r="O3030" s="43" t="s">
        <v>25</v>
      </c>
      <c r="P3030" s="43" t="s">
        <v>41</v>
      </c>
      <c r="Q3030" s="43" t="s">
        <v>60</v>
      </c>
      <c r="R3030" s="43" t="s">
        <v>100</v>
      </c>
      <c r="S3030" s="43"/>
      <c r="T3030" s="67" t="s">
        <v>396</v>
      </c>
    </row>
    <row r="3031" spans="1:20" ht="14.4">
      <c r="A3031" s="38">
        <f>IF(C3031="","",MAX($A$1:A3030)+1)</f>
        <v>2778</v>
      </c>
      <c r="B3031" s="36" t="s">
        <v>141</v>
      </c>
      <c r="C3031" s="23">
        <v>46106</v>
      </c>
      <c r="D3031" s="28" t="str">
        <f>_xlfn.XLOOKUP(Table134526_79101120212223242526[[#This Row],[Name Surname]],Manpower!$C$4:$C$1048576,Manpower!$B$4:$B$1048576,"")</f>
        <v>Encogroup</v>
      </c>
      <c r="E3031" s="21" t="s">
        <v>137</v>
      </c>
      <c r="F3031" s="12" t="e">
        <f>_xlfn.XLOOKUP(Table134526_79101120212223242526[[#This Row],[Name Surname]],Manpower!C:C,Manpower!D:D,)</f>
        <v>#N/A</v>
      </c>
      <c r="G3031" s="28" t="str">
        <f>_xlfn.XLOOKUP(Table134526_79101120212223242526[[#This Row],[Name Surname]],Manpower!$C$4:$C$1048576,Manpower!$F$4:$F$1048576,"")</f>
        <v>55 Seat Bus</v>
      </c>
      <c r="H3031" s="28" t="str">
        <f>_xlfn.XLOOKUP(Table134526_79101120212223242526[[#This Row],[Name Surname]],Manpower!$C$4:$C$1048576,Manpower!$H$4:$H$1048576,"")</f>
        <v>Equipment</v>
      </c>
      <c r="I3031" s="28" t="str">
        <f>_xlfn.XLOOKUP(Table134526_79101120212223242526[[#This Row],[Name Surname]],Manpower!$C$4:$C$1048576,Manpower!$H$4:$H$1048576,"")</f>
        <v>Equipment</v>
      </c>
      <c r="J3031" s="21" t="s">
        <v>35</v>
      </c>
      <c r="K3031" s="21" t="s">
        <v>409</v>
      </c>
      <c r="L3031" s="21" t="s">
        <v>82</v>
      </c>
      <c r="M3031" s="21" t="s">
        <v>55</v>
      </c>
      <c r="N3031" s="29">
        <v>5</v>
      </c>
      <c r="O3031" s="21" t="s">
        <v>138</v>
      </c>
      <c r="P3031" s="21" t="s">
        <v>138</v>
      </c>
      <c r="Q3031" s="21" t="s">
        <v>138</v>
      </c>
      <c r="R3031" s="21" t="s">
        <v>26</v>
      </c>
      <c r="T3031" s="56" t="s">
        <v>396</v>
      </c>
    </row>
    <row r="3032" spans="1:20" ht="14.4">
      <c r="A3032" s="38">
        <f>IF(C3032="","",MAX($A$1:A3030)+1)</f>
        <v>2778</v>
      </c>
      <c r="B3032" s="36" t="s">
        <v>141</v>
      </c>
      <c r="C3032" s="23">
        <v>46106</v>
      </c>
      <c r="D3032" s="28" t="str">
        <f>_xlfn.XLOOKUP(Table134526_79101120212223242526[[#This Row],[Name Surname]],Manpower!$C$4:$C$1048576,Manpower!$B$4:$B$1048576,"")</f>
        <v>Encogroup</v>
      </c>
      <c r="E3032" s="23" t="s">
        <v>139</v>
      </c>
      <c r="F3032" s="12" t="e">
        <f>_xlfn.XLOOKUP(Table134526_79101120212223242526[[#This Row],[Name Surname]],Manpower!C:C,Manpower!D:D,)</f>
        <v>#N/A</v>
      </c>
      <c r="G3032" s="28" t="str">
        <f>_xlfn.XLOOKUP(Table134526_79101120212223242526[[#This Row],[Name Surname]],Manpower!$C$4:$C$1048576,Manpower!$F$4:$F$1048576,"")</f>
        <v>TOWER LIGHT</v>
      </c>
      <c r="H3032" s="28" t="str">
        <f>_xlfn.XLOOKUP(Table134526_79101120212223242526[[#This Row],[Name Surname]],Manpower!$C$4:$C$1048576,Manpower!$H$4:$H$1048576,"")</f>
        <v>Equipment</v>
      </c>
      <c r="I3032" s="28" t="str">
        <f>_xlfn.XLOOKUP(Table134526_79101120212223242526[[#This Row],[Name Surname]],Manpower!$C$4:$C$1048576,Manpower!$H$4:$H$1048576,"")</f>
        <v>Equipment</v>
      </c>
      <c r="J3032" s="21" t="s">
        <v>35</v>
      </c>
      <c r="K3032" s="21" t="s">
        <v>409</v>
      </c>
      <c r="L3032" s="21" t="s">
        <v>82</v>
      </c>
      <c r="M3032" s="21" t="s">
        <v>55</v>
      </c>
      <c r="N3032" s="29">
        <v>5</v>
      </c>
      <c r="O3032" s="21" t="s">
        <v>140</v>
      </c>
      <c r="P3032" s="21" t="s">
        <v>140</v>
      </c>
      <c r="Q3032" s="21" t="s">
        <v>140</v>
      </c>
      <c r="R3032" s="21" t="s">
        <v>26</v>
      </c>
      <c r="T3032" s="56" t="s">
        <v>396</v>
      </c>
    </row>
    <row r="3033" spans="1:20" ht="14.4">
      <c r="A3033" s="38">
        <f>IF(C3033="","",MAX($A$1:A3032)+1)</f>
        <v>2779</v>
      </c>
      <c r="B3033" s="36" t="s">
        <v>141</v>
      </c>
      <c r="C3033" s="23">
        <v>46106</v>
      </c>
      <c r="D3033" s="28" t="str">
        <f>_xlfn.XLOOKUP(Table134526_79101120212223242526[[#This Row],[Name Surname]],Manpower!$C$4:$C$1048576,Manpower!$B$4:$B$1048576,"")</f>
        <v>Encogroup</v>
      </c>
      <c r="E3033" s="21" t="s">
        <v>355</v>
      </c>
      <c r="F3033" s="12" t="e">
        <f>_xlfn.XLOOKUP(Table134526_79101120212223242526[[#This Row],[Name Surname]],Manpower!C:C,Manpower!D:D,)</f>
        <v>#N/A</v>
      </c>
      <c r="G3033" s="28" t="str">
        <f>_xlfn.XLOOKUP(Table134526_79101120212223242526[[#This Row],[Name Surname]],Manpower!$C$4:$C$1048576,Manpower!$F$4:$F$1048576,"")</f>
        <v>TOWER LIGHT</v>
      </c>
      <c r="H3033" s="28" t="str">
        <f>_xlfn.XLOOKUP(Table134526_79101120212223242526[[#This Row],[Name Surname]],Manpower!$C$4:$C$1048576,Manpower!$H$4:$H$1048576,"")</f>
        <v>Equipment</v>
      </c>
      <c r="I3033" s="28" t="str">
        <f>_xlfn.XLOOKUP(Table134526_79101120212223242526[[#This Row],[Name Surname]],Manpower!$C$4:$C$1048576,Manpower!$H$4:$H$1048576,"")</f>
        <v>Equipment</v>
      </c>
      <c r="J3033" s="21" t="s">
        <v>35</v>
      </c>
      <c r="K3033" s="21" t="s">
        <v>409</v>
      </c>
      <c r="L3033" s="21" t="s">
        <v>82</v>
      </c>
      <c r="M3033" s="21" t="s">
        <v>55</v>
      </c>
      <c r="N3033" s="29">
        <v>5</v>
      </c>
      <c r="O3033" s="21" t="s">
        <v>140</v>
      </c>
      <c r="P3033" s="21" t="s">
        <v>140</v>
      </c>
      <c r="Q3033" s="21" t="s">
        <v>140</v>
      </c>
      <c r="R3033" s="21" t="s">
        <v>26</v>
      </c>
      <c r="T3033" s="56" t="s">
        <v>396</v>
      </c>
    </row>
    <row r="3034" spans="1:20" ht="14.4">
      <c r="A3034" s="38">
        <f>IF(C3034="","",MAX($A$1:A3033)+1)</f>
        <v>2780</v>
      </c>
      <c r="B3034" s="27" t="s">
        <v>141</v>
      </c>
      <c r="C3034" s="23">
        <v>46106</v>
      </c>
      <c r="D3034" s="28" t="str">
        <f>_xlfn.XLOOKUP(Table134526_79101120212223242526[[#This Row],[Name Surname]],Manpower!$C$4:$C$1048576,Manpower!$B$4:$B$1048576,"")</f>
        <v>Nass Group</v>
      </c>
      <c r="E3034" s="21" t="s">
        <v>148</v>
      </c>
      <c r="F3034" s="12" t="e">
        <f>_xlfn.XLOOKUP(Table134526_79101120212223242526[[#This Row],[Name Surname]],Manpower!C:C,Manpower!D:D,)</f>
        <v>#N/A</v>
      </c>
      <c r="G3034" s="28" t="str">
        <f>_xlfn.XLOOKUP(Table134526_79101120212223242526[[#This Row],[Name Surname]],Manpower!$C$4:$C$1048576,Manpower!$F$4:$F$1048576,"")</f>
        <v>70T-Telescopic crane</v>
      </c>
      <c r="H3034" s="28" t="str">
        <f>_xlfn.XLOOKUP(Table134526_79101120212223242526[[#This Row],[Name Surname]],Manpower!$C$4:$C$1048576,Manpower!$H$4:$H$1048576,"")</f>
        <v>Equipment</v>
      </c>
      <c r="I3034" s="28" t="str">
        <f>_xlfn.XLOOKUP(Table134526_79101120212223242526[[#This Row],[Name Surname]],Manpower!$C$4:$C$1048576,Manpower!$H$4:$H$1048576,"")</f>
        <v>Equipment</v>
      </c>
      <c r="J3034" s="21" t="s">
        <v>143</v>
      </c>
      <c r="K3034" s="21" t="s">
        <v>26</v>
      </c>
      <c r="L3034" s="21" t="s">
        <v>144</v>
      </c>
      <c r="M3034" s="21" t="s">
        <v>55</v>
      </c>
      <c r="N3034" s="29">
        <v>5</v>
      </c>
      <c r="O3034" s="21" t="s">
        <v>40</v>
      </c>
      <c r="P3034" s="21" t="s">
        <v>42</v>
      </c>
      <c r="Q3034" s="21" t="s">
        <v>42</v>
      </c>
      <c r="R3034" s="21" t="s">
        <v>402</v>
      </c>
      <c r="T3034" s="56" t="s">
        <v>396</v>
      </c>
    </row>
    <row r="3035" spans="1:20" ht="14.4">
      <c r="A3035" s="38">
        <f>IF(C3035="","",MAX($A$1:A3034)+1)</f>
        <v>2781</v>
      </c>
      <c r="B3035" s="27" t="s">
        <v>141</v>
      </c>
      <c r="C3035" s="23">
        <v>46106</v>
      </c>
      <c r="D3035" s="28" t="str">
        <f>_xlfn.XLOOKUP(Table134526_79101120212223242526[[#This Row],[Name Surname]],Manpower!$C$4:$C$1048576,Manpower!$B$4:$B$1048576,"")</f>
        <v>Riyan Al Khaleej</v>
      </c>
      <c r="E3035" s="21" t="s">
        <v>20</v>
      </c>
      <c r="F3035" s="12" t="e">
        <f>_xlfn.XLOOKUP(Table134526_79101120212223242526[[#This Row],[Name Surname]],Manpower!C:C,Manpower!D:D,)</f>
        <v>#N/A</v>
      </c>
      <c r="G3035" s="28" t="str">
        <f>_xlfn.XLOOKUP(Table134526_79101120212223242526[[#This Row],[Name Surname]],Manpower!$C$4:$C$1048576,Manpower!$F$4:$F$1048576,"")</f>
        <v>100T Telescopic Crane</v>
      </c>
      <c r="H3035" s="28" t="str">
        <f>_xlfn.XLOOKUP(Table134526_79101120212223242526[[#This Row],[Name Surname]],Manpower!$C$4:$C$1048576,Manpower!$H$4:$H$1048576,"")</f>
        <v>Equipment</v>
      </c>
      <c r="I3035" s="28" t="str">
        <f>_xlfn.XLOOKUP(Table134526_79101120212223242526[[#This Row],[Name Surname]],Manpower!$C$4:$C$1048576,Manpower!$H$4:$H$1048576,"")</f>
        <v>Equipment</v>
      </c>
      <c r="J3035" s="21" t="s">
        <v>143</v>
      </c>
      <c r="K3035" s="21" t="s">
        <v>26</v>
      </c>
      <c r="L3035" s="21" t="s">
        <v>144</v>
      </c>
      <c r="M3035" s="21" t="s">
        <v>55</v>
      </c>
      <c r="N3035" s="29">
        <v>3</v>
      </c>
      <c r="O3035" s="21" t="s">
        <v>40</v>
      </c>
      <c r="P3035" s="21" t="s">
        <v>42</v>
      </c>
      <c r="Q3035" s="21" t="s">
        <v>42</v>
      </c>
      <c r="R3035" s="21" t="s">
        <v>402</v>
      </c>
      <c r="T3035" s="56"/>
    </row>
    <row r="3036" spans="1:20" s="45" customFormat="1" ht="14.4" hidden="1">
      <c r="A3036" s="53">
        <f>IF(C3036="","",MAX($A$1:A3035)+1)</f>
        <v>2782</v>
      </c>
      <c r="B3036" s="25" t="s">
        <v>141</v>
      </c>
      <c r="C3036" s="41">
        <v>46106</v>
      </c>
      <c r="D3036" s="48" t="str">
        <f>_xlfn.XLOOKUP(Table134526_79101120212223242526[[#This Row],[Name Surname]],Manpower!$C$4:$C$1048576,Manpower!$B$4:$B$1048576,"")</f>
        <v>Rial Al Khaleej</v>
      </c>
      <c r="E3036" s="43" t="s">
        <v>38</v>
      </c>
      <c r="F3036" s="12">
        <f>_xlfn.XLOOKUP(Table134526_79101120212223242526[[#This Row],[Name Surname]],Manpower!C:C,Manpower!D:D,)</f>
        <v>98845403</v>
      </c>
      <c r="G3036" s="48" t="str">
        <f>_xlfn.XLOOKUP(Table134526_79101120212223242526[[#This Row],[Name Surname]],Manpower!$C$4:$C$1048576,Manpower!$F$4:$F$1048576,"")</f>
        <v>Crane Operator-100T Zoomlion Telescopic</v>
      </c>
      <c r="H3036" s="48" t="str">
        <f>_xlfn.XLOOKUP(Table134526_79101120212223242526[[#This Row],[Name Surname]],Manpower!$C$4:$C$1048576,Manpower!$H$4:$H$1048576,"")</f>
        <v>Manpower</v>
      </c>
      <c r="I3036" s="48" t="str">
        <f>_xlfn.XLOOKUP(Table134526_79101120212223242526[[#This Row],[Name Surname]],Manpower!$C$4:$C$1048576,Manpower!$H$4:$H$1048576,"")</f>
        <v>Manpower</v>
      </c>
      <c r="J3036" s="43" t="s">
        <v>143</v>
      </c>
      <c r="K3036" s="43" t="s">
        <v>26</v>
      </c>
      <c r="L3036" s="43" t="s">
        <v>144</v>
      </c>
      <c r="M3036" s="43" t="s">
        <v>55</v>
      </c>
      <c r="N3036" s="44">
        <v>3</v>
      </c>
      <c r="O3036" s="43" t="s">
        <v>40</v>
      </c>
      <c r="P3036" s="43" t="s">
        <v>42</v>
      </c>
      <c r="Q3036" s="43" t="s">
        <v>42</v>
      </c>
      <c r="R3036" s="43" t="s">
        <v>402</v>
      </c>
      <c r="S3036" s="43"/>
      <c r="T3036" s="67"/>
    </row>
    <row r="3037" spans="1:20" s="45" customFormat="1" ht="14.4" hidden="1">
      <c r="A3037" s="53">
        <f>IF(C3037="","",MAX($A$1:A3034)+1)</f>
        <v>2781</v>
      </c>
      <c r="B3037" s="25" t="s">
        <v>141</v>
      </c>
      <c r="C3037" s="41">
        <v>46106</v>
      </c>
      <c r="D3037" s="48" t="str">
        <f>_xlfn.XLOOKUP(Table134526_79101120212223242526[[#This Row],[Name Surname]],Manpower!$C$4:$C$1048576,Manpower!$B$4:$B$1048576,"")</f>
        <v>SARENS NASS</v>
      </c>
      <c r="E3037" s="43" t="s">
        <v>162</v>
      </c>
      <c r="F3037" s="12">
        <f>_xlfn.XLOOKUP(Table134526_79101120212223242526[[#This Row],[Name Surname]],Manpower!C:C,Manpower!D:D,)</f>
        <v>78753612</v>
      </c>
      <c r="G3037" s="48" t="str">
        <f>_xlfn.XLOOKUP(Table134526_79101120212223242526[[#This Row],[Name Surname]],Manpower!$C$4:$C$1048576,Manpower!$F$4:$F$1048576,"")</f>
        <v>Crane Operator- 70T Liebherr Telescopic Crane-02</v>
      </c>
      <c r="H3037" s="48" t="str">
        <f>_xlfn.XLOOKUP(Table134526_79101120212223242526[[#This Row],[Name Surname]],Manpower!$C$4:$C$1048576,Manpower!$H$4:$H$1048576,"")</f>
        <v>Manpower</v>
      </c>
      <c r="I3037" s="48" t="str">
        <f>_xlfn.XLOOKUP(Table134526_79101120212223242526[[#This Row],[Name Surname]],Manpower!$C$4:$C$1048576,Manpower!$H$4:$H$1048576,"")</f>
        <v>Manpower</v>
      </c>
      <c r="J3037" s="43" t="s">
        <v>143</v>
      </c>
      <c r="K3037" s="43" t="s">
        <v>26</v>
      </c>
      <c r="L3037" s="43" t="s">
        <v>144</v>
      </c>
      <c r="M3037" s="43" t="s">
        <v>55</v>
      </c>
      <c r="N3037" s="44">
        <v>5</v>
      </c>
      <c r="O3037" s="43" t="s">
        <v>40</v>
      </c>
      <c r="P3037" s="43" t="s">
        <v>42</v>
      </c>
      <c r="Q3037" s="43" t="s">
        <v>42</v>
      </c>
      <c r="R3037" s="43" t="s">
        <v>402</v>
      </c>
      <c r="S3037" s="43"/>
      <c r="T3037" s="67" t="s">
        <v>396</v>
      </c>
    </row>
    <row r="3038" spans="1:20" ht="14.4">
      <c r="A3038" s="38">
        <f>IF(C3038="","",MAX($A$1:A3037)+1)</f>
        <v>2783</v>
      </c>
      <c r="B3038" s="27" t="s">
        <v>141</v>
      </c>
      <c r="C3038" s="23">
        <v>46106</v>
      </c>
      <c r="D3038" s="28" t="str">
        <f>_xlfn.XLOOKUP(Table134526_79101120212223242526[[#This Row],[Name Surname]],Manpower!$C$4:$C$1048576,Manpower!$B$4:$B$1048576,"")</f>
        <v>Encogroup</v>
      </c>
      <c r="E3038" s="21" t="s">
        <v>142</v>
      </c>
      <c r="F3038" s="12" t="e">
        <f>_xlfn.XLOOKUP(Table134526_79101120212223242526[[#This Row],[Name Surname]],Manpower!C:C,Manpower!D:D,)</f>
        <v>#N/A</v>
      </c>
      <c r="G3038" s="28" t="str">
        <f>_xlfn.XLOOKUP(Table134526_79101120212223242526[[#This Row],[Name Surname]],Manpower!$C$4:$C$1048576,Manpower!$F$4:$F$1048576,"")</f>
        <v>13 Seat Bus</v>
      </c>
      <c r="H3038" s="28" t="str">
        <f>_xlfn.XLOOKUP(Table134526_79101120212223242526[[#This Row],[Name Surname]],Manpower!$C$4:$C$1048576,Manpower!$H$4:$H$1048576,"")</f>
        <v>Equipment</v>
      </c>
      <c r="I3038" s="28" t="str">
        <f>_xlfn.XLOOKUP(Table134526_79101120212223242526[[#This Row],[Name Surname]],Manpower!$C$4:$C$1048576,Manpower!$H$4:$H$1048576,"")</f>
        <v>Equipment</v>
      </c>
      <c r="J3038" s="21" t="s">
        <v>143</v>
      </c>
      <c r="K3038" s="21" t="s">
        <v>26</v>
      </c>
      <c r="L3038" s="21" t="s">
        <v>144</v>
      </c>
      <c r="M3038" s="21" t="s">
        <v>55</v>
      </c>
      <c r="N3038" s="29">
        <v>5</v>
      </c>
      <c r="O3038" s="21" t="s">
        <v>138</v>
      </c>
      <c r="P3038" s="21" t="s">
        <v>138</v>
      </c>
      <c r="Q3038" s="21" t="s">
        <v>138</v>
      </c>
      <c r="R3038" s="21" t="s">
        <v>26</v>
      </c>
      <c r="T3038" s="56" t="s">
        <v>396</v>
      </c>
    </row>
    <row r="3039" spans="1:20" ht="14.4">
      <c r="A3039" s="38">
        <f>IF(C3039="","",MAX($A$1:A3038)+1)</f>
        <v>2784</v>
      </c>
      <c r="B3039" s="27" t="s">
        <v>141</v>
      </c>
      <c r="C3039" s="23">
        <v>46106</v>
      </c>
      <c r="D3039" s="28" t="str">
        <f>_xlfn.XLOOKUP(Table134526_79101120212223242526[[#This Row],[Name Surname]],Manpower!$C$4:$C$1048576,Manpower!$B$4:$B$1048576,"")</f>
        <v>Encogroup</v>
      </c>
      <c r="E3039" s="21" t="s">
        <v>145</v>
      </c>
      <c r="F3039" s="12" t="e">
        <f>_xlfn.XLOOKUP(Table134526_79101120212223242526[[#This Row],[Name Surname]],Manpower!C:C,Manpower!D:D,)</f>
        <v>#N/A</v>
      </c>
      <c r="G3039" s="28" t="str">
        <f>_xlfn.XLOOKUP(Table134526_79101120212223242526[[#This Row],[Name Surname]],Manpower!$C$4:$C$1048576,Manpower!$F$4:$F$1048576,"")</f>
        <v>15 Seat Bus</v>
      </c>
      <c r="H3039" s="28" t="str">
        <f>_xlfn.XLOOKUP(Table134526_79101120212223242526[[#This Row],[Name Surname]],Manpower!$C$4:$C$1048576,Manpower!$H$4:$H$1048576,"")</f>
        <v>Equipment</v>
      </c>
      <c r="I3039" s="28" t="str">
        <f>_xlfn.XLOOKUP(Table134526_79101120212223242526[[#This Row],[Name Surname]],Manpower!$C$4:$C$1048576,Manpower!$H$4:$H$1048576,"")</f>
        <v>Equipment</v>
      </c>
      <c r="J3039" s="21" t="s">
        <v>143</v>
      </c>
      <c r="K3039" s="21" t="s">
        <v>26</v>
      </c>
      <c r="L3039" s="21" t="s">
        <v>144</v>
      </c>
      <c r="M3039" s="21" t="s">
        <v>55</v>
      </c>
      <c r="N3039" s="29">
        <v>5</v>
      </c>
      <c r="O3039" s="21" t="s">
        <v>138</v>
      </c>
      <c r="P3039" s="21" t="s">
        <v>138</v>
      </c>
      <c r="Q3039" s="21" t="s">
        <v>138</v>
      </c>
      <c r="R3039" s="21" t="s">
        <v>26</v>
      </c>
      <c r="T3039" s="56" t="s">
        <v>396</v>
      </c>
    </row>
    <row r="3040" spans="1:20" ht="14.4">
      <c r="A3040" s="38">
        <f>IF(C3040="","",MAX($A$1:A3038)+1)</f>
        <v>2784</v>
      </c>
      <c r="B3040" s="27" t="s">
        <v>141</v>
      </c>
      <c r="C3040" s="23">
        <v>46106</v>
      </c>
      <c r="D3040" s="28" t="str">
        <f>_xlfn.XLOOKUP(Table134526_79101120212223242526[[#This Row],[Name Surname]],Manpower!$C$4:$C$1048576,Manpower!$B$4:$B$1048576,"")</f>
        <v>Encogroup</v>
      </c>
      <c r="E3040" s="21" t="s">
        <v>150</v>
      </c>
      <c r="F3040" s="12" t="e">
        <f>_xlfn.XLOOKUP(Table134526_79101120212223242526[[#This Row],[Name Surname]],Manpower!C:C,Manpower!D:D,)</f>
        <v>#N/A</v>
      </c>
      <c r="G3040" s="28" t="str">
        <f>_xlfn.XLOOKUP(Table134526_79101120212223242526[[#This Row],[Name Surname]],Manpower!$C$4:$C$1048576,Manpower!$F$4:$F$1048576,"")</f>
        <v>14T Fork lift</v>
      </c>
      <c r="H3040" s="28" t="str">
        <f>_xlfn.XLOOKUP(Table134526_79101120212223242526[[#This Row],[Name Surname]],Manpower!$C$4:$C$1048576,Manpower!$H$4:$H$1048576,"")</f>
        <v>Equipment</v>
      </c>
      <c r="I3040" s="28" t="str">
        <f>_xlfn.XLOOKUP(Table134526_79101120212223242526[[#This Row],[Name Surname]],Manpower!$C$4:$C$1048576,Manpower!$H$4:$H$1048576,"")</f>
        <v>Equipment</v>
      </c>
      <c r="J3040" s="21" t="s">
        <v>143</v>
      </c>
      <c r="K3040" s="21" t="s">
        <v>26</v>
      </c>
      <c r="L3040" s="21" t="s">
        <v>144</v>
      </c>
      <c r="M3040" s="21" t="s">
        <v>55</v>
      </c>
      <c r="N3040" s="29">
        <v>5</v>
      </c>
      <c r="O3040" s="21" t="s">
        <v>40</v>
      </c>
      <c r="P3040" s="21" t="s">
        <v>42</v>
      </c>
      <c r="Q3040" s="21" t="s">
        <v>41</v>
      </c>
      <c r="R3040" s="21" t="s">
        <v>272</v>
      </c>
      <c r="T3040" s="56" t="s">
        <v>396</v>
      </c>
    </row>
    <row r="3041" spans="1:20" ht="14.4">
      <c r="A3041" s="38">
        <f>IF(C3041="","",MAX($A$1:A3040)+1)</f>
        <v>2785</v>
      </c>
      <c r="B3041" s="27" t="s">
        <v>141</v>
      </c>
      <c r="C3041" s="23">
        <v>46106</v>
      </c>
      <c r="D3041" s="28" t="str">
        <f>_xlfn.XLOOKUP(Table134526_79101120212223242526[[#This Row],[Name Surname]],Manpower!$C$4:$C$1048576,Manpower!$B$4:$B$1048576,"")</f>
        <v>Encogroup</v>
      </c>
      <c r="E3041" s="21" t="s">
        <v>153</v>
      </c>
      <c r="F3041" s="12" t="e">
        <f>_xlfn.XLOOKUP(Table134526_79101120212223242526[[#This Row],[Name Surname]],Manpower!C:C,Manpower!D:D,)</f>
        <v>#N/A</v>
      </c>
      <c r="G3041" s="28" t="str">
        <f>_xlfn.XLOOKUP(Table134526_79101120212223242526[[#This Row],[Name Surname]],Manpower!$C$4:$C$1048576,Manpower!$F$4:$F$1048576,"")</f>
        <v>22 Seat Bus</v>
      </c>
      <c r="H3041" s="28" t="str">
        <f>_xlfn.XLOOKUP(Table134526_79101120212223242526[[#This Row],[Name Surname]],Manpower!$C$4:$C$1048576,Manpower!$H$4:$H$1048576,"")</f>
        <v>Equipment</v>
      </c>
      <c r="I3041" s="28" t="str">
        <f>_xlfn.XLOOKUP(Table134526_79101120212223242526[[#This Row],[Name Surname]],Manpower!$C$4:$C$1048576,Manpower!$H$4:$H$1048576,"")</f>
        <v>Equipment</v>
      </c>
      <c r="J3041" s="21" t="s">
        <v>143</v>
      </c>
      <c r="K3041" s="21" t="s">
        <v>26</v>
      </c>
      <c r="L3041" s="21" t="s">
        <v>144</v>
      </c>
      <c r="M3041" s="21" t="s">
        <v>55</v>
      </c>
      <c r="N3041" s="29">
        <v>5</v>
      </c>
      <c r="O3041" s="21" t="s">
        <v>138</v>
      </c>
      <c r="P3041" s="21" t="s">
        <v>138</v>
      </c>
      <c r="Q3041" s="21" t="s">
        <v>138</v>
      </c>
      <c r="R3041" s="21" t="s">
        <v>26</v>
      </c>
      <c r="T3041" s="56" t="s">
        <v>396</v>
      </c>
    </row>
    <row r="3042" spans="1:20" ht="14.4">
      <c r="A3042" s="38">
        <f>IF(C3042="","",MAX($A$1:A3041)+1)</f>
        <v>2786</v>
      </c>
      <c r="B3042" s="27" t="s">
        <v>141</v>
      </c>
      <c r="C3042" s="23">
        <v>46106</v>
      </c>
      <c r="D3042" s="28" t="str">
        <f>_xlfn.XLOOKUP(Table134526_79101120212223242526[[#This Row],[Name Surname]],Manpower!$C$4:$C$1048576,Manpower!$B$4:$B$1048576,"")</f>
        <v>Encogroup</v>
      </c>
      <c r="E3042" s="21" t="s">
        <v>154</v>
      </c>
      <c r="F3042" s="12" t="e">
        <f>_xlfn.XLOOKUP(Table134526_79101120212223242526[[#This Row],[Name Surname]],Manpower!C:C,Manpower!D:D,)</f>
        <v>#N/A</v>
      </c>
      <c r="G3042" s="28" t="str">
        <f>_xlfn.XLOOKUP(Table134526_79101120212223242526[[#This Row],[Name Surname]],Manpower!$C$4:$C$1048576,Manpower!$F$4:$F$1048576,"")</f>
        <v>22 Seat Bus</v>
      </c>
      <c r="H3042" s="28" t="str">
        <f>_xlfn.XLOOKUP(Table134526_79101120212223242526[[#This Row],[Name Surname]],Manpower!$C$4:$C$1048576,Manpower!$H$4:$H$1048576,"")</f>
        <v>Equipment</v>
      </c>
      <c r="I3042" s="28" t="str">
        <f>_xlfn.XLOOKUP(Table134526_79101120212223242526[[#This Row],[Name Surname]],Manpower!$C$4:$C$1048576,Manpower!$H$4:$H$1048576,"")</f>
        <v>Equipment</v>
      </c>
      <c r="J3042" s="21" t="s">
        <v>143</v>
      </c>
      <c r="K3042" s="21" t="s">
        <v>26</v>
      </c>
      <c r="L3042" s="21" t="s">
        <v>144</v>
      </c>
      <c r="M3042" s="21" t="s">
        <v>55</v>
      </c>
      <c r="N3042" s="29">
        <v>5</v>
      </c>
      <c r="O3042" s="21" t="s">
        <v>138</v>
      </c>
      <c r="P3042" s="21" t="s">
        <v>138</v>
      </c>
      <c r="Q3042" s="21" t="s">
        <v>138</v>
      </c>
      <c r="R3042" s="21" t="s">
        <v>26</v>
      </c>
      <c r="T3042" s="56" t="s">
        <v>396</v>
      </c>
    </row>
    <row r="3043" spans="1:20" ht="14.4">
      <c r="A3043" s="38">
        <f>IF(C3043="","",MAX($A$1:A3042)+1)</f>
        <v>2787</v>
      </c>
      <c r="B3043" s="27" t="s">
        <v>141</v>
      </c>
      <c r="C3043" s="23">
        <v>46106</v>
      </c>
      <c r="D3043" s="28" t="str">
        <f>_xlfn.XLOOKUP(Table134526_79101120212223242526[[#This Row],[Name Surname]],Manpower!$C$4:$C$1048576,Manpower!$B$4:$B$1048576,"")</f>
        <v>Encogroup</v>
      </c>
      <c r="E3043" s="21" t="s">
        <v>155</v>
      </c>
      <c r="F3043" s="12" t="e">
        <f>_xlfn.XLOOKUP(Table134526_79101120212223242526[[#This Row],[Name Surname]],Manpower!C:C,Manpower!D:D,)</f>
        <v>#N/A</v>
      </c>
      <c r="G3043" s="28" t="str">
        <f>_xlfn.XLOOKUP(Table134526_79101120212223242526[[#This Row],[Name Surname]],Manpower!$C$4:$C$1048576,Manpower!$F$4:$F$1048576,"")</f>
        <v>300 KVA Generator</v>
      </c>
      <c r="H3043" s="28" t="str">
        <f>_xlfn.XLOOKUP(Table134526_79101120212223242526[[#This Row],[Name Surname]],Manpower!$C$4:$C$1048576,Manpower!$H$4:$H$1048576,"")</f>
        <v>Equipment</v>
      </c>
      <c r="I3043" s="28" t="str">
        <f>_xlfn.XLOOKUP(Table134526_79101120212223242526[[#This Row],[Name Surname]],Manpower!$C$4:$C$1048576,Manpower!$H$4:$H$1048576,"")</f>
        <v>Equipment</v>
      </c>
      <c r="J3043" s="21" t="s">
        <v>143</v>
      </c>
      <c r="K3043" s="21" t="s">
        <v>26</v>
      </c>
      <c r="L3043" s="21" t="s">
        <v>144</v>
      </c>
      <c r="M3043" s="21" t="s">
        <v>55</v>
      </c>
      <c r="N3043" s="29">
        <v>5</v>
      </c>
      <c r="O3043" s="21" t="s">
        <v>140</v>
      </c>
      <c r="P3043" s="21" t="s">
        <v>140</v>
      </c>
      <c r="Q3043" s="21" t="s">
        <v>140</v>
      </c>
      <c r="R3043" s="21" t="s">
        <v>26</v>
      </c>
      <c r="T3043" s="56" t="s">
        <v>396</v>
      </c>
    </row>
    <row r="3044" spans="1:20" ht="14.4">
      <c r="A3044" s="38">
        <f>IF(C3044="","",MAX($A$1:A3043)+1)</f>
        <v>2788</v>
      </c>
      <c r="B3044" s="27" t="s">
        <v>141</v>
      </c>
      <c r="C3044" s="23">
        <v>46106</v>
      </c>
      <c r="D3044" s="28" t="str">
        <f>_xlfn.XLOOKUP(Table134526_79101120212223242526[[#This Row],[Name Surname]],Manpower!$C$4:$C$1048576,Manpower!$B$4:$B$1048576,"")</f>
        <v>Encogroup</v>
      </c>
      <c r="E3044" s="23" t="s">
        <v>156</v>
      </c>
      <c r="F3044" s="12" t="e">
        <f>_xlfn.XLOOKUP(Table134526_79101120212223242526[[#This Row],[Name Surname]],Manpower!C:C,Manpower!D:D,)</f>
        <v>#N/A</v>
      </c>
      <c r="G3044" s="28" t="str">
        <f>_xlfn.XLOOKUP(Table134526_79101120212223242526[[#This Row],[Name Surname]],Manpower!$C$4:$C$1048576,Manpower!$F$4:$F$1048576,"")</f>
        <v>35 KVA Generator</v>
      </c>
      <c r="H3044" s="28" t="str">
        <f>_xlfn.XLOOKUP(Table134526_79101120212223242526[[#This Row],[Name Surname]],Manpower!$C$4:$C$1048576,Manpower!$H$4:$H$1048576,"")</f>
        <v>Equipment</v>
      </c>
      <c r="I3044" s="28" t="str">
        <f>_xlfn.XLOOKUP(Table134526_79101120212223242526[[#This Row],[Name Surname]],Manpower!$C$4:$C$1048576,Manpower!$H$4:$H$1048576,"")</f>
        <v>Equipment</v>
      </c>
      <c r="J3044" s="21" t="s">
        <v>143</v>
      </c>
      <c r="K3044" s="21" t="s">
        <v>26</v>
      </c>
      <c r="L3044" s="21" t="s">
        <v>144</v>
      </c>
      <c r="M3044" s="21" t="s">
        <v>55</v>
      </c>
      <c r="N3044" s="29">
        <v>5</v>
      </c>
      <c r="R3044" s="21" t="s">
        <v>56</v>
      </c>
      <c r="T3044" s="56" t="s">
        <v>396</v>
      </c>
    </row>
    <row r="3045" spans="1:20" ht="14.4">
      <c r="A3045" s="38">
        <f>IF(C3045="","",MAX($A$1:A3044)+1)</f>
        <v>2789</v>
      </c>
      <c r="B3045" s="27" t="s">
        <v>141</v>
      </c>
      <c r="C3045" s="23">
        <v>46106</v>
      </c>
      <c r="D3045" s="28" t="str">
        <f>_xlfn.XLOOKUP(Table134526_79101120212223242526[[#This Row],[Name Surname]],Manpower!$C$4:$C$1048576,Manpower!$B$4:$B$1048576,"")</f>
        <v>Encogroup</v>
      </c>
      <c r="E3045" s="21" t="s">
        <v>342</v>
      </c>
      <c r="F3045" s="12" t="e">
        <f>_xlfn.XLOOKUP(Table134526_79101120212223242526[[#This Row],[Name Surname]],Manpower!C:C,Manpower!D:D,)</f>
        <v>#N/A</v>
      </c>
      <c r="G3045" s="28" t="str">
        <f>_xlfn.XLOOKUP(Table134526_79101120212223242526[[#This Row],[Name Surname]],Manpower!$C$4:$C$1048576,Manpower!$F$4:$F$1048576,"")</f>
        <v>SCISSOR LIFT</v>
      </c>
      <c r="H3045" s="28" t="str">
        <f>_xlfn.XLOOKUP(Table134526_79101120212223242526[[#This Row],[Name Surname]],Manpower!$C$4:$C$1048576,Manpower!$H$4:$H$1048576,"")</f>
        <v>Equipment</v>
      </c>
      <c r="I3045" s="28" t="str">
        <f>_xlfn.XLOOKUP(Table134526_79101120212223242526[[#This Row],[Name Surname]],Manpower!$C$4:$C$1048576,Manpower!$H$4:$H$1048576,"")</f>
        <v>Equipment</v>
      </c>
      <c r="J3045" s="21" t="s">
        <v>143</v>
      </c>
      <c r="K3045" s="21" t="s">
        <v>26</v>
      </c>
      <c r="L3045" s="21" t="s">
        <v>144</v>
      </c>
      <c r="M3045" s="21" t="s">
        <v>55</v>
      </c>
      <c r="N3045" s="29">
        <v>5</v>
      </c>
      <c r="R3045" s="21" t="s">
        <v>56</v>
      </c>
      <c r="T3045" s="56" t="s">
        <v>396</v>
      </c>
    </row>
    <row r="3046" spans="1:20" s="45" customFormat="1" ht="14.4" hidden="1">
      <c r="A3046" s="53">
        <f>IF(C3046="","",MAX($A$1:A3045)+1)</f>
        <v>2790</v>
      </c>
      <c r="B3046" s="25" t="s">
        <v>141</v>
      </c>
      <c r="C3046" s="41">
        <v>46106</v>
      </c>
      <c r="D3046" s="48" t="str">
        <f>_xlfn.XLOOKUP(Table134526_79101120212223242526[[#This Row],[Name Surname]],Manpower!$C$4:$C$1048576,Manpower!$B$4:$B$1048576,"")</f>
        <v>Encogroup</v>
      </c>
      <c r="E3046" s="43" t="s">
        <v>157</v>
      </c>
      <c r="F3046" s="12">
        <f>_xlfn.XLOOKUP(Table134526_79101120212223242526[[#This Row],[Name Surname]],Manpower!C:C,Manpower!D:D,)</f>
        <v>140742144</v>
      </c>
      <c r="G3046" s="48" t="str">
        <f>_xlfn.XLOOKUP(Table134526_79101120212223242526[[#This Row],[Name Surname]],Manpower!$C$4:$C$1048576,Manpower!$F$4:$F$1048576,"")</f>
        <v>Assistant/Helper</v>
      </c>
      <c r="H3046" s="48" t="str">
        <f>_xlfn.XLOOKUP(Table134526_79101120212223242526[[#This Row],[Name Surname]],Manpower!$C$4:$C$1048576,Manpower!$H$4:$H$1048576,"")</f>
        <v>Manpower</v>
      </c>
      <c r="I3046" s="48" t="str">
        <f>_xlfn.XLOOKUP(Table134526_79101120212223242526[[#This Row],[Name Surname]],Manpower!$C$4:$C$1048576,Manpower!$H$4:$H$1048576,"")</f>
        <v>Manpower</v>
      </c>
      <c r="J3046" s="43" t="s">
        <v>158</v>
      </c>
      <c r="K3046" s="43" t="s">
        <v>26</v>
      </c>
      <c r="L3046" s="43" t="s">
        <v>26</v>
      </c>
      <c r="M3046" s="43" t="s">
        <v>55</v>
      </c>
      <c r="N3046" s="44">
        <v>5</v>
      </c>
      <c r="O3046" s="43" t="s">
        <v>159</v>
      </c>
      <c r="P3046" s="43" t="s">
        <v>160</v>
      </c>
      <c r="Q3046" s="43" t="s">
        <v>160</v>
      </c>
      <c r="R3046" s="43" t="s">
        <v>161</v>
      </c>
      <c r="S3046" s="43" t="s">
        <v>230</v>
      </c>
      <c r="T3046" s="67" t="s">
        <v>396</v>
      </c>
    </row>
    <row r="3047" spans="1:20" s="45" customFormat="1" ht="14.4" hidden="1">
      <c r="A3047" s="53">
        <f>IF(C3047="","",MAX($A$1:A3046)+1)</f>
        <v>2791</v>
      </c>
      <c r="B3047" s="25" t="s">
        <v>141</v>
      </c>
      <c r="C3047" s="41">
        <v>46106</v>
      </c>
      <c r="D3047" s="48" t="str">
        <f>_xlfn.XLOOKUP(Table134526_79101120212223242526[[#This Row],[Name Surname]],Manpower!$C$4:$C$1048576,Manpower!$B$4:$B$1048576,"")</f>
        <v>Encogroup</v>
      </c>
      <c r="E3047" s="43" t="s">
        <v>166</v>
      </c>
      <c r="F3047" s="12" t="str">
        <f>_xlfn.XLOOKUP(Table134526_79101120212223242526[[#This Row],[Name Surname]],Manpower!C:C,Manpower!D:D,)</f>
        <v>U4181508</v>
      </c>
      <c r="G3047" s="48" t="str">
        <f>_xlfn.XLOOKUP(Table134526_79101120212223242526[[#This Row],[Name Surname]],Manpower!$C$4:$C$1048576,Manpower!$F$4:$F$1048576,"")</f>
        <v>Welder</v>
      </c>
      <c r="H3047" s="48" t="str">
        <f>_xlfn.XLOOKUP(Table134526_79101120212223242526[[#This Row],[Name Surname]],Manpower!$C$4:$C$1048576,Manpower!$H$4:$H$1048576,"")</f>
        <v>Manpower</v>
      </c>
      <c r="I3047" s="48" t="str">
        <f>_xlfn.XLOOKUP(Table134526_79101120212223242526[[#This Row],[Name Surname]],Manpower!$C$4:$C$1048576,Manpower!$H$4:$H$1048576,"")</f>
        <v>Manpower</v>
      </c>
      <c r="J3047" s="43" t="s">
        <v>143</v>
      </c>
      <c r="K3047" s="43" t="s">
        <v>26</v>
      </c>
      <c r="L3047" s="43" t="s">
        <v>144</v>
      </c>
      <c r="M3047" s="43" t="s">
        <v>55</v>
      </c>
      <c r="N3047" s="44">
        <v>5</v>
      </c>
      <c r="O3047" s="43" t="s">
        <v>40</v>
      </c>
      <c r="P3047" s="43" t="s">
        <v>42</v>
      </c>
      <c r="Q3047" s="43" t="s">
        <v>42</v>
      </c>
      <c r="R3047" s="43" t="s">
        <v>402</v>
      </c>
      <c r="S3047" s="43"/>
      <c r="T3047" s="67" t="s">
        <v>396</v>
      </c>
    </row>
    <row r="3048" spans="1:20" s="45" customFormat="1" ht="14.4" hidden="1">
      <c r="A3048" s="53">
        <f>IF(C3048="","",MAX($A$1:A3047)+1)</f>
        <v>2792</v>
      </c>
      <c r="B3048" s="25" t="s">
        <v>141</v>
      </c>
      <c r="C3048" s="41">
        <v>46106</v>
      </c>
      <c r="D3048" s="48" t="str">
        <f>_xlfn.XLOOKUP(Table134526_79101120212223242526[[#This Row],[Name Surname]],Manpower!$C$4:$C$1048576,Manpower!$B$4:$B$1048576,"")</f>
        <v>Encogroup</v>
      </c>
      <c r="E3048" s="43" t="s">
        <v>167</v>
      </c>
      <c r="F3048" s="12">
        <f>_xlfn.XLOOKUP(Table134526_79101120212223242526[[#This Row],[Name Surname]],Manpower!C:C,Manpower!D:D,)</f>
        <v>125440631</v>
      </c>
      <c r="G3048" s="48" t="str">
        <f>_xlfn.XLOOKUP(Table134526_79101120212223242526[[#This Row],[Name Surname]],Manpower!$C$4:$C$1048576,Manpower!$F$4:$F$1048576,"")</f>
        <v>Rigger</v>
      </c>
      <c r="H3048" s="48" t="str">
        <f>_xlfn.XLOOKUP(Table134526_79101120212223242526[[#This Row],[Name Surname]],Manpower!$C$4:$C$1048576,Manpower!$H$4:$H$1048576,"")</f>
        <v>Manpower</v>
      </c>
      <c r="I3048" s="48" t="str">
        <f>_xlfn.XLOOKUP(Table134526_79101120212223242526[[#This Row],[Name Surname]],Manpower!$C$4:$C$1048576,Manpower!$H$4:$H$1048576,"")</f>
        <v>Manpower</v>
      </c>
      <c r="J3048" s="43" t="s">
        <v>143</v>
      </c>
      <c r="K3048" s="43" t="s">
        <v>26</v>
      </c>
      <c r="L3048" s="43" t="s">
        <v>144</v>
      </c>
      <c r="M3048" s="43" t="s">
        <v>55</v>
      </c>
      <c r="N3048" s="44">
        <v>5</v>
      </c>
      <c r="O3048" s="43" t="s">
        <v>40</v>
      </c>
      <c r="P3048" s="43" t="s">
        <v>42</v>
      </c>
      <c r="Q3048" s="43" t="s">
        <v>42</v>
      </c>
      <c r="R3048" s="43" t="s">
        <v>402</v>
      </c>
      <c r="S3048" s="43"/>
      <c r="T3048" s="67" t="s">
        <v>396</v>
      </c>
    </row>
    <row r="3049" spans="1:20" ht="14.4" hidden="1">
      <c r="A3049" s="38">
        <f>IF(C3049="","",MAX($A$1:A3048)+1)</f>
        <v>2793</v>
      </c>
      <c r="B3049" s="27" t="s">
        <v>141</v>
      </c>
      <c r="C3049" s="23">
        <v>46106</v>
      </c>
      <c r="D3049" s="28" t="str">
        <f>_xlfn.XLOOKUP(Table134526_79101120212223242526[[#This Row],[Name Surname]],Manpower!$C$4:$C$1048576,Manpower!$B$4:$B$1048576,"")</f>
        <v>AL Omar International TRAD AND CONT</v>
      </c>
      <c r="E3049" s="21" t="s">
        <v>169</v>
      </c>
      <c r="F3049" s="12">
        <f>_xlfn.XLOOKUP(Table134526_79101120212223242526[[#This Row],[Name Surname]],Manpower!C:C,Manpower!D:D,)</f>
        <v>115731078</v>
      </c>
      <c r="G3049" s="28" t="str">
        <f>_xlfn.XLOOKUP(Table134526_79101120212223242526[[#This Row],[Name Surname]],Manpower!$C$4:$C$1048576,Manpower!$F$4:$F$1048576,"")</f>
        <v>Scaffolder</v>
      </c>
      <c r="H3049" s="28" t="str">
        <f>_xlfn.XLOOKUP(Table134526_79101120212223242526[[#This Row],[Name Surname]],Manpower!$C$4:$C$1048576,Manpower!$H$4:$H$1048576,"")</f>
        <v>Sub Contactor</v>
      </c>
      <c r="I3049" s="28" t="str">
        <f>_xlfn.XLOOKUP(Table134526_79101120212223242526[[#This Row],[Name Surname]],Manpower!$C$4:$C$1048576,Manpower!$H$4:$H$1048576,"")</f>
        <v>Sub Contactor</v>
      </c>
      <c r="J3049" s="21" t="s">
        <v>143</v>
      </c>
      <c r="K3049" s="21" t="s">
        <v>26</v>
      </c>
      <c r="L3049" s="21" t="s">
        <v>170</v>
      </c>
      <c r="M3049" s="21" t="s">
        <v>55</v>
      </c>
      <c r="N3049" s="29">
        <v>5</v>
      </c>
      <c r="O3049" s="21" t="s">
        <v>40</v>
      </c>
      <c r="P3049" s="21" t="s">
        <v>128</v>
      </c>
      <c r="Q3049" s="21" t="s">
        <v>128</v>
      </c>
      <c r="R3049" s="21" t="s">
        <v>171</v>
      </c>
      <c r="T3049" s="56" t="s">
        <v>396</v>
      </c>
    </row>
    <row r="3050" spans="1:20" s="45" customFormat="1" ht="14.4" hidden="1">
      <c r="A3050" s="53">
        <f>IF(C3050="","",MAX($A$1:A3049)+1)</f>
        <v>2794</v>
      </c>
      <c r="B3050" s="25" t="s">
        <v>141</v>
      </c>
      <c r="C3050" s="41">
        <v>46106</v>
      </c>
      <c r="D3050" s="48" t="str">
        <f>_xlfn.XLOOKUP(Table134526_79101120212223242526[[#This Row],[Name Surname]],Manpower!$C$4:$C$1048576,Manpower!$B$4:$B$1048576,"")</f>
        <v>Encogroup</v>
      </c>
      <c r="E3050" s="43" t="s">
        <v>172</v>
      </c>
      <c r="F3050" s="12">
        <f>_xlfn.XLOOKUP(Table134526_79101120212223242526[[#This Row],[Name Surname]],Manpower!C:C,Manpower!D:D,)</f>
        <v>140764355</v>
      </c>
      <c r="G3050" s="48" t="str">
        <f>_xlfn.XLOOKUP(Table134526_79101120212223242526[[#This Row],[Name Surname]],Manpower!$C$4:$C$1048576,Manpower!$F$4:$F$1048576,"")</f>
        <v>Fitter/Erector</v>
      </c>
      <c r="H3050" s="48" t="str">
        <f>_xlfn.XLOOKUP(Table134526_79101120212223242526[[#This Row],[Name Surname]],Manpower!$C$4:$C$1048576,Manpower!$H$4:$H$1048576,"")</f>
        <v>Manpower</v>
      </c>
      <c r="I3050" s="48" t="str">
        <f>_xlfn.XLOOKUP(Table134526_79101120212223242526[[#This Row],[Name Surname]],Manpower!$C$4:$C$1048576,Manpower!$H$4:$H$1048576,"")</f>
        <v>Manpower</v>
      </c>
      <c r="J3050" s="43" t="s">
        <v>143</v>
      </c>
      <c r="K3050" s="43" t="s">
        <v>26</v>
      </c>
      <c r="L3050" s="43" t="s">
        <v>144</v>
      </c>
      <c r="M3050" s="43" t="s">
        <v>55</v>
      </c>
      <c r="N3050" s="44">
        <v>5</v>
      </c>
      <c r="O3050" s="43" t="s">
        <v>40</v>
      </c>
      <c r="P3050" s="43" t="s">
        <v>42</v>
      </c>
      <c r="Q3050" s="43" t="s">
        <v>42</v>
      </c>
      <c r="R3050" s="43" t="s">
        <v>402</v>
      </c>
      <c r="S3050" s="43"/>
      <c r="T3050" s="67" t="s">
        <v>396</v>
      </c>
    </row>
    <row r="3051" spans="1:20" ht="14.4" hidden="1">
      <c r="A3051" s="38">
        <f>IF(C3051="","",MAX($A$1:A3050)+1)</f>
        <v>2795</v>
      </c>
      <c r="B3051" s="27" t="s">
        <v>141</v>
      </c>
      <c r="C3051" s="23">
        <v>46106</v>
      </c>
      <c r="D3051" s="28" t="str">
        <f>_xlfn.XLOOKUP(Table134526_79101120212223242526[[#This Row],[Name Surname]],Manpower!$C$4:$C$1048576,Manpower!$B$4:$B$1048576,"")</f>
        <v>Encogroup</v>
      </c>
      <c r="E3051" s="21" t="s">
        <v>175</v>
      </c>
      <c r="F3051" s="12">
        <f>_xlfn.XLOOKUP(Table134526_79101120212223242526[[#This Row],[Name Surname]],Manpower!C:C,Manpower!D:D,)</f>
        <v>140742125</v>
      </c>
      <c r="G3051" s="28" t="str">
        <f>_xlfn.XLOOKUP(Table134526_79101120212223242526[[#This Row],[Name Surname]],Manpower!$C$4:$C$1048576,Manpower!$F$4:$F$1048576,"")</f>
        <v>Assistant/Helper</v>
      </c>
      <c r="H3051" s="28" t="str">
        <f>_xlfn.XLOOKUP(Table134526_79101120212223242526[[#This Row],[Name Surname]],Manpower!$C$4:$C$1048576,Manpower!$H$4:$H$1048576,"")</f>
        <v>Manpower</v>
      </c>
      <c r="I3051" s="28" t="str">
        <f>_xlfn.XLOOKUP(Table134526_79101120212223242526[[#This Row],[Name Surname]],Manpower!$C$4:$C$1048576,Manpower!$H$4:$H$1048576,"")</f>
        <v>Manpower</v>
      </c>
      <c r="J3051" s="21" t="s">
        <v>158</v>
      </c>
      <c r="K3051" s="21" t="s">
        <v>26</v>
      </c>
      <c r="L3051" s="21" t="s">
        <v>26</v>
      </c>
      <c r="M3051" s="21" t="s">
        <v>55</v>
      </c>
      <c r="N3051" s="29">
        <v>5</v>
      </c>
      <c r="O3051" s="21" t="s">
        <v>159</v>
      </c>
      <c r="P3051" s="21" t="s">
        <v>160</v>
      </c>
      <c r="Q3051" s="21" t="s">
        <v>160</v>
      </c>
      <c r="R3051" s="21" t="s">
        <v>161</v>
      </c>
      <c r="T3051" s="56" t="s">
        <v>396</v>
      </c>
    </row>
    <row r="3052" spans="1:20" ht="14.4" hidden="1">
      <c r="A3052" s="38">
        <f>IF(C3052="","",MAX($A$1:A3051)+1)</f>
        <v>2796</v>
      </c>
      <c r="B3052" s="27" t="s">
        <v>141</v>
      </c>
      <c r="C3052" s="23">
        <v>46106</v>
      </c>
      <c r="D3052" s="28" t="str">
        <f>_xlfn.XLOOKUP(Table134526_79101120212223242526[[#This Row],[Name Surname]],Manpower!$C$4:$C$1048576,Manpower!$B$4:$B$1048576,"")</f>
        <v>Encogroup</v>
      </c>
      <c r="E3052" s="21" t="s">
        <v>228</v>
      </c>
      <c r="F3052" s="12">
        <f>_xlfn.XLOOKUP(Table134526_79101120212223242526[[#This Row],[Name Surname]],Manpower!C:C,Manpower!D:D,)</f>
        <v>125199963</v>
      </c>
      <c r="G3052" s="28" t="str">
        <f>_xlfn.XLOOKUP(Table134526_79101120212223242526[[#This Row],[Name Surname]],Manpower!$C$4:$C$1048576,Manpower!$F$4:$F$1048576,"")</f>
        <v>Electrician</v>
      </c>
      <c r="H3052" s="28" t="str">
        <f>_xlfn.XLOOKUP(Table134526_79101120212223242526[[#This Row],[Name Surname]],Manpower!$C$4:$C$1048576,Manpower!$H$4:$H$1048576,"")</f>
        <v>Manpower</v>
      </c>
      <c r="I3052" s="28" t="str">
        <f>_xlfn.XLOOKUP(Table134526_79101120212223242526[[#This Row],[Name Surname]],Manpower!$C$4:$C$1048576,Manpower!$H$4:$H$1048576,"")</f>
        <v>Manpower</v>
      </c>
      <c r="J3052" s="21" t="s">
        <v>158</v>
      </c>
      <c r="K3052" s="21" t="s">
        <v>26</v>
      </c>
      <c r="L3052" s="21" t="s">
        <v>26</v>
      </c>
      <c r="M3052" s="21" t="s">
        <v>55</v>
      </c>
      <c r="N3052" s="29">
        <v>5</v>
      </c>
      <c r="O3052" s="21" t="s">
        <v>159</v>
      </c>
      <c r="P3052" s="21" t="s">
        <v>160</v>
      </c>
      <c r="Q3052" s="21" t="s">
        <v>160</v>
      </c>
      <c r="R3052" s="21" t="s">
        <v>161</v>
      </c>
      <c r="T3052" s="56" t="s">
        <v>396</v>
      </c>
    </row>
    <row r="3053" spans="1:20" ht="14.4" hidden="1">
      <c r="A3053" s="38">
        <f>IF(C3053="","",MAX($A$1:A3052)+1)</f>
        <v>2797</v>
      </c>
      <c r="B3053" s="27" t="s">
        <v>141</v>
      </c>
      <c r="C3053" s="23">
        <v>46106</v>
      </c>
      <c r="D3053" s="28" t="str">
        <f>_xlfn.XLOOKUP(Table134526_79101120212223242526[[#This Row],[Name Surname]],Manpower!$C$4:$C$1048576,Manpower!$B$4:$B$1048576,"")</f>
        <v>Encogroup</v>
      </c>
      <c r="E3053" s="21" t="s">
        <v>119</v>
      </c>
      <c r="F3053" s="12">
        <f>_xlfn.XLOOKUP(Table134526_79101120212223242526[[#This Row],[Name Surname]],Manpower!C:C,Manpower!D:D,)</f>
        <v>140844778</v>
      </c>
      <c r="G3053" s="28" t="str">
        <f>_xlfn.XLOOKUP(Table134526_79101120212223242526[[#This Row],[Name Surname]],Manpower!$C$4:$C$1048576,Manpower!$F$4:$F$1048576,"")</f>
        <v>Painter</v>
      </c>
      <c r="H3053" s="28" t="str">
        <f>_xlfn.XLOOKUP(Table134526_79101120212223242526[[#This Row],[Name Surname]],Manpower!$C$4:$C$1048576,Manpower!$H$4:$H$1048576,"")</f>
        <v>Manpower</v>
      </c>
      <c r="I3053" s="28" t="str">
        <f>_xlfn.XLOOKUP(Table134526_79101120212223242526[[#This Row],[Name Surname]],Manpower!$C$4:$C$1048576,Manpower!$H$4:$H$1048576,"")</f>
        <v>Manpower</v>
      </c>
      <c r="J3053" s="21" t="s">
        <v>143</v>
      </c>
      <c r="K3053" s="21" t="s">
        <v>26</v>
      </c>
      <c r="L3053" s="21" t="s">
        <v>144</v>
      </c>
      <c r="M3053" s="21" t="s">
        <v>55</v>
      </c>
      <c r="N3053" s="29">
        <v>5</v>
      </c>
      <c r="O3053" s="21" t="s">
        <v>40</v>
      </c>
      <c r="P3053" s="21" t="s">
        <v>42</v>
      </c>
      <c r="Q3053" s="21" t="s">
        <v>42</v>
      </c>
      <c r="R3053" s="21" t="s">
        <v>402</v>
      </c>
      <c r="T3053" s="56" t="s">
        <v>396</v>
      </c>
    </row>
    <row r="3054" spans="1:20" ht="14.4" hidden="1">
      <c r="A3054" s="38">
        <f>IF(C3054="","",MAX($A$1:A3053)+1)</f>
        <v>2798</v>
      </c>
      <c r="B3054" s="27" t="s">
        <v>141</v>
      </c>
      <c r="C3054" s="23">
        <v>46106</v>
      </c>
      <c r="D3054" s="28" t="str">
        <f>_xlfn.XLOOKUP(Table134526_79101120212223242526[[#This Row],[Name Surname]],Manpower!$C$4:$C$1048576,Manpower!$B$4:$B$1048576,"")</f>
        <v>Encogroup</v>
      </c>
      <c r="E3054" s="21" t="s">
        <v>117</v>
      </c>
      <c r="F3054" s="12">
        <f>_xlfn.XLOOKUP(Table134526_79101120212223242526[[#This Row],[Name Surname]],Manpower!C:C,Manpower!D:D,)</f>
        <v>140844783</v>
      </c>
      <c r="G3054" s="28" t="str">
        <f>_xlfn.XLOOKUP(Table134526_79101120212223242526[[#This Row],[Name Surname]],Manpower!$C$4:$C$1048576,Manpower!$F$4:$F$1048576,"")</f>
        <v>Painter</v>
      </c>
      <c r="H3054" s="28" t="str">
        <f>_xlfn.XLOOKUP(Table134526_79101120212223242526[[#This Row],[Name Surname]],Manpower!$C$4:$C$1048576,Manpower!$H$4:$H$1048576,"")</f>
        <v>Manpower</v>
      </c>
      <c r="I3054" s="28" t="str">
        <f>_xlfn.XLOOKUP(Table134526_79101120212223242526[[#This Row],[Name Surname]],Manpower!$C$4:$C$1048576,Manpower!$H$4:$H$1048576,"")</f>
        <v>Manpower</v>
      </c>
      <c r="J3054" s="21" t="s">
        <v>143</v>
      </c>
      <c r="K3054" s="21" t="s">
        <v>26</v>
      </c>
      <c r="L3054" s="21" t="s">
        <v>144</v>
      </c>
      <c r="M3054" s="21" t="s">
        <v>55</v>
      </c>
      <c r="N3054" s="29">
        <v>5</v>
      </c>
      <c r="O3054" s="21" t="s">
        <v>40</v>
      </c>
      <c r="P3054" s="21" t="s">
        <v>42</v>
      </c>
      <c r="Q3054" s="21" t="s">
        <v>42</v>
      </c>
      <c r="R3054" s="21" t="s">
        <v>402</v>
      </c>
      <c r="T3054" s="56" t="s">
        <v>396</v>
      </c>
    </row>
    <row r="3055" spans="1:20" s="45" customFormat="1" ht="14.4" hidden="1">
      <c r="A3055" s="53">
        <f>IF(C3055="","",MAX($A$1:A3054)+1)</f>
        <v>2799</v>
      </c>
      <c r="B3055" s="25" t="s">
        <v>141</v>
      </c>
      <c r="C3055" s="41">
        <v>46106</v>
      </c>
      <c r="D3055" s="48" t="str">
        <f>_xlfn.XLOOKUP(Table134526_79101120212223242526[[#This Row],[Name Surname]],Manpower!$C$4:$C$1048576,Manpower!$B$4:$B$1048576,"")</f>
        <v>Encogroup</v>
      </c>
      <c r="E3055" s="43" t="s">
        <v>176</v>
      </c>
      <c r="F3055" s="12">
        <f>_xlfn.XLOOKUP(Table134526_79101120212223242526[[#This Row],[Name Surname]],Manpower!C:C,Manpower!D:D,)</f>
        <v>124398279</v>
      </c>
      <c r="G3055" s="48" t="str">
        <f>_xlfn.XLOOKUP(Table134526_79101120212223242526[[#This Row],[Name Surname]],Manpower!$C$4:$C$1048576,Manpower!$F$4:$F$1048576,"")</f>
        <v>Permit Receiver</v>
      </c>
      <c r="H3055" s="48" t="str">
        <f>_xlfn.XLOOKUP(Table134526_79101120212223242526[[#This Row],[Name Surname]],Manpower!$C$4:$C$1048576,Manpower!$H$4:$H$1048576,"")</f>
        <v>Manpower</v>
      </c>
      <c r="I3055" s="48" t="str">
        <f>_xlfn.XLOOKUP(Table134526_79101120212223242526[[#This Row],[Name Surname]],Manpower!$C$4:$C$1048576,Manpower!$H$4:$H$1048576,"")</f>
        <v>Manpower</v>
      </c>
      <c r="J3055" s="43" t="s">
        <v>143</v>
      </c>
      <c r="K3055" s="43" t="s">
        <v>26</v>
      </c>
      <c r="L3055" s="43" t="s">
        <v>144</v>
      </c>
      <c r="M3055" s="43" t="s">
        <v>55</v>
      </c>
      <c r="N3055" s="44">
        <v>5</v>
      </c>
      <c r="O3055" s="43" t="s">
        <v>40</v>
      </c>
      <c r="P3055" s="43" t="s">
        <v>42</v>
      </c>
      <c r="Q3055" s="43" t="s">
        <v>42</v>
      </c>
      <c r="R3055" s="43" t="s">
        <v>402</v>
      </c>
      <c r="S3055" s="43" t="s">
        <v>343</v>
      </c>
      <c r="T3055" s="67" t="s">
        <v>396</v>
      </c>
    </row>
    <row r="3056" spans="1:20" s="45" customFormat="1" ht="14.4" hidden="1">
      <c r="A3056" s="53">
        <f>IF(C3056="","",MAX($A$1:A3055)+1)</f>
        <v>2800</v>
      </c>
      <c r="B3056" s="25" t="s">
        <v>141</v>
      </c>
      <c r="C3056" s="41">
        <v>46106</v>
      </c>
      <c r="D3056" s="48" t="str">
        <f>_xlfn.XLOOKUP(Table134526_79101120212223242526[[#This Row],[Name Surname]],Manpower!$C$4:$C$1048576,Manpower!$B$4:$B$1048576,"")</f>
        <v>Encogroup</v>
      </c>
      <c r="E3056" s="43" t="s">
        <v>404</v>
      </c>
      <c r="F3056" s="12">
        <f>_xlfn.XLOOKUP(Table134526_79101120212223242526[[#This Row],[Name Surname]],Manpower!C:C,Manpower!D:D,)</f>
        <v>118882687</v>
      </c>
      <c r="G3056" s="48" t="str">
        <f>_xlfn.XLOOKUP(Table134526_79101120212223242526[[#This Row],[Name Surname]],Manpower!$C$4:$C$1048576,Manpower!$F$4:$F$1048576,"")</f>
        <v>Permit Reciver</v>
      </c>
      <c r="H3056" s="48" t="str">
        <f>_xlfn.XLOOKUP(Table134526_79101120212223242526[[#This Row],[Name Surname]],Manpower!$C$4:$C$1048576,Manpower!$H$4:$H$1048576,"")</f>
        <v>Manpower</v>
      </c>
      <c r="I3056" s="48" t="str">
        <f>_xlfn.XLOOKUP(Table134526_79101120212223242526[[#This Row],[Name Surname]],Manpower!$C$4:$C$1048576,Manpower!$H$4:$H$1048576,"")</f>
        <v>Manpower</v>
      </c>
      <c r="J3056" s="43" t="s">
        <v>143</v>
      </c>
      <c r="K3056" s="43" t="s">
        <v>26</v>
      </c>
      <c r="L3056" s="43" t="s">
        <v>144</v>
      </c>
      <c r="M3056" s="43" t="s">
        <v>55</v>
      </c>
      <c r="N3056" s="44">
        <v>5</v>
      </c>
      <c r="O3056" s="43" t="s">
        <v>40</v>
      </c>
      <c r="P3056" s="43" t="s">
        <v>42</v>
      </c>
      <c r="Q3056" s="43" t="s">
        <v>42</v>
      </c>
      <c r="R3056" s="43" t="s">
        <v>402</v>
      </c>
      <c r="S3056" s="43" t="s">
        <v>343</v>
      </c>
      <c r="T3056" s="67" t="s">
        <v>396</v>
      </c>
    </row>
    <row r="3057" spans="1:20" s="45" customFormat="1" ht="14.4">
      <c r="A3057" s="53">
        <f>IF(C3057="","",MAX($A$1:A3056)+1)</f>
        <v>2801</v>
      </c>
      <c r="B3057" s="25" t="s">
        <v>141</v>
      </c>
      <c r="C3057" s="41">
        <v>46106</v>
      </c>
      <c r="D3057" s="48" t="str">
        <f>_xlfn.XLOOKUP(Table134526_79101120212223242526[[#This Row],[Name Surname]],Manpower!$C$4:$C$1048576,Manpower!$B$4:$B$1048576,"")</f>
        <v>OCI</v>
      </c>
      <c r="E3057" s="43" t="s">
        <v>417</v>
      </c>
      <c r="F3057" s="12" t="str">
        <f>_xlfn.XLOOKUP(Table134526_79101120212223242526[[#This Row],[Name Surname]],Manpower!C:C,Manpower!D:D,)</f>
        <v>not required</v>
      </c>
      <c r="G3057" s="48" t="str">
        <f>_xlfn.XLOOKUP(Table134526_79101120212223242526[[#This Row],[Name Surname]],Manpower!$C$4:$C$1048576,Manpower!$F$4:$F$1048576,"")</f>
        <v>DRIVER</v>
      </c>
      <c r="H3057" s="48" t="str">
        <f>_xlfn.XLOOKUP(Table134526_79101120212223242526[[#This Row],[Name Surname]],Manpower!$C$4:$C$1048576,Manpower!$H$4:$H$1048576,"")</f>
        <v>DRIVER</v>
      </c>
      <c r="I3057" s="48" t="str">
        <f>_xlfn.XLOOKUP(Table134526_79101120212223242526[[#This Row],[Name Surname]],Manpower!$C$4:$C$1048576,Manpower!$H$4:$H$1048576,"")</f>
        <v>DRIVER</v>
      </c>
      <c r="J3057" s="43" t="s">
        <v>143</v>
      </c>
      <c r="K3057" s="43" t="s">
        <v>26</v>
      </c>
      <c r="L3057" s="43" t="s">
        <v>144</v>
      </c>
      <c r="M3057" s="43" t="s">
        <v>55</v>
      </c>
      <c r="N3057" s="44">
        <v>5</v>
      </c>
      <c r="O3057" s="43" t="s">
        <v>40</v>
      </c>
      <c r="P3057" s="43" t="s">
        <v>42</v>
      </c>
      <c r="Q3057" s="43" t="s">
        <v>42</v>
      </c>
      <c r="R3057" s="43" t="s">
        <v>402</v>
      </c>
      <c r="S3057" s="43"/>
      <c r="T3057" s="67"/>
    </row>
    <row r="3058" spans="1:20" s="45" customFormat="1" ht="14.4" hidden="1">
      <c r="A3058" s="53">
        <f>IF(C3058="","",MAX($A$1:A3056)+1)</f>
        <v>2801</v>
      </c>
      <c r="B3058" s="25" t="s">
        <v>141</v>
      </c>
      <c r="C3058" s="41">
        <v>46106</v>
      </c>
      <c r="D3058" s="48" t="str">
        <f>_xlfn.XLOOKUP(Table134526_79101120212223242526[[#This Row],[Name Surname]],Manpower!$C$4:$C$1048576,Manpower!$B$4:$B$1048576,"")</f>
        <v>OCI</v>
      </c>
      <c r="E3058" s="43" t="s">
        <v>418</v>
      </c>
      <c r="F3058" s="12" t="e">
        <f>_xlfn.XLOOKUP(Table134526_79101120212223242526[[#This Row],[Name Surname]],Manpower!C:C,Manpower!D:D,)</f>
        <v>#N/A</v>
      </c>
      <c r="G3058" s="48" t="str">
        <f>_xlfn.XLOOKUP(Table134526_79101120212223242526[[#This Row],[Name Surname]],Manpower!$C$4:$C$1048576,Manpower!$F$4:$F$1048576,"")</f>
        <v>DRIVER</v>
      </c>
      <c r="H3058" s="48" t="str">
        <f>_xlfn.XLOOKUP(Table134526_79101120212223242526[[#This Row],[Name Surname]],Manpower!$C$4:$C$1048576,Manpower!$H$4:$H$1048576,"")</f>
        <v>Manpower</v>
      </c>
      <c r="I3058" s="48" t="str">
        <f>_xlfn.XLOOKUP(Table134526_79101120212223242526[[#This Row],[Name Surname]],Manpower!$C$4:$C$1048576,Manpower!$H$4:$H$1048576,"")</f>
        <v>Manpower</v>
      </c>
      <c r="J3058" s="43" t="s">
        <v>143</v>
      </c>
      <c r="K3058" s="43" t="s">
        <v>26</v>
      </c>
      <c r="L3058" s="43" t="s">
        <v>144</v>
      </c>
      <c r="M3058" s="43" t="s">
        <v>55</v>
      </c>
      <c r="N3058" s="44">
        <v>5</v>
      </c>
      <c r="O3058" s="43" t="s">
        <v>40</v>
      </c>
      <c r="P3058" s="43" t="s">
        <v>42</v>
      </c>
      <c r="Q3058" s="43" t="s">
        <v>42</v>
      </c>
      <c r="R3058" s="43" t="s">
        <v>402</v>
      </c>
      <c r="S3058" s="43"/>
      <c r="T3058" s="67"/>
    </row>
    <row r="3059" spans="1:20" s="45" customFormat="1" ht="14.4" hidden="1">
      <c r="A3059" s="53">
        <f>IF(C3059="","",MAX($A$1:A3055)+1)</f>
        <v>2800</v>
      </c>
      <c r="B3059" s="25" t="s">
        <v>141</v>
      </c>
      <c r="C3059" s="41">
        <v>46106</v>
      </c>
      <c r="D3059" s="48" t="str">
        <f>_xlfn.XLOOKUP(Table134526_79101120212223242526[[#This Row],[Name Surname]],Manpower!$C$4:$C$1048576,Manpower!$B$4:$B$1048576,"")</f>
        <v>Encogroup</v>
      </c>
      <c r="E3059" s="43" t="s">
        <v>177</v>
      </c>
      <c r="F3059" s="12">
        <f>_xlfn.XLOOKUP(Table134526_79101120212223242526[[#This Row],[Name Surname]],Manpower!C:C,Manpower!D:D,)</f>
        <v>140809004</v>
      </c>
      <c r="G3059" s="48" t="str">
        <f>_xlfn.XLOOKUP(Table134526_79101120212223242526[[#This Row],[Name Surname]],Manpower!$C$4:$C$1048576,Manpower!$F$4:$F$1048576,"")</f>
        <v>Fitter/Erector</v>
      </c>
      <c r="H3059" s="48" t="str">
        <f>_xlfn.XLOOKUP(Table134526_79101120212223242526[[#This Row],[Name Surname]],Manpower!$C$4:$C$1048576,Manpower!$H$4:$H$1048576,"")</f>
        <v>Manpower</v>
      </c>
      <c r="I3059" s="48" t="str">
        <f>_xlfn.XLOOKUP(Table134526_79101120212223242526[[#This Row],[Name Surname]],Manpower!$C$4:$C$1048576,Manpower!$H$4:$H$1048576,"")</f>
        <v>Manpower</v>
      </c>
      <c r="J3059" s="43" t="s">
        <v>143</v>
      </c>
      <c r="K3059" s="43" t="s">
        <v>26</v>
      </c>
      <c r="L3059" s="43" t="s">
        <v>144</v>
      </c>
      <c r="M3059" s="43" t="s">
        <v>55</v>
      </c>
      <c r="N3059" s="44">
        <v>5</v>
      </c>
      <c r="O3059" s="43" t="s">
        <v>40</v>
      </c>
      <c r="P3059" s="43" t="s">
        <v>42</v>
      </c>
      <c r="Q3059" s="43" t="s">
        <v>42</v>
      </c>
      <c r="R3059" s="43" t="s">
        <v>402</v>
      </c>
      <c r="S3059" s="43"/>
      <c r="T3059" s="67" t="s">
        <v>396</v>
      </c>
    </row>
    <row r="3060" spans="1:20" ht="14.4" hidden="1">
      <c r="A3060" s="38">
        <f>IF(C3060="","",MAX($A$1:A3059)+1)</f>
        <v>2802</v>
      </c>
      <c r="B3060" s="27" t="s">
        <v>141</v>
      </c>
      <c r="C3060" s="23">
        <v>46106</v>
      </c>
      <c r="D3060" s="28" t="str">
        <f>_xlfn.XLOOKUP(Table134526_79101120212223242526[[#This Row],[Name Surname]],Manpower!$C$4:$C$1048576,Manpower!$B$4:$B$1048576,"")</f>
        <v>Encogroup</v>
      </c>
      <c r="E3060" s="21" t="s">
        <v>178</v>
      </c>
      <c r="F3060" s="12">
        <f>_xlfn.XLOOKUP(Table134526_79101120212223242526[[#This Row],[Name Surname]],Manpower!C:C,Manpower!D:D,)</f>
        <v>140683436</v>
      </c>
      <c r="G3060" s="28" t="str">
        <f>_xlfn.XLOOKUP(Table134526_79101120212223242526[[#This Row],[Name Surname]],Manpower!$C$4:$C$1048576,Manpower!$F$4:$F$1048576,"")</f>
        <v>Scaffolder</v>
      </c>
      <c r="H3060" s="28" t="str">
        <f>_xlfn.XLOOKUP(Table134526_79101120212223242526[[#This Row],[Name Surname]],Manpower!$C$4:$C$1048576,Manpower!$H$4:$H$1048576,"")</f>
        <v>Manpower</v>
      </c>
      <c r="I3060" s="28" t="str">
        <f>_xlfn.XLOOKUP(Table134526_79101120212223242526[[#This Row],[Name Surname]],Manpower!$C$4:$C$1048576,Manpower!$H$4:$H$1048576,"")</f>
        <v>Manpower</v>
      </c>
      <c r="J3060" s="21" t="s">
        <v>158</v>
      </c>
      <c r="K3060" s="21" t="s">
        <v>26</v>
      </c>
      <c r="L3060" s="21" t="s">
        <v>26</v>
      </c>
      <c r="M3060" s="21" t="s">
        <v>55</v>
      </c>
      <c r="N3060" s="29">
        <v>5</v>
      </c>
      <c r="O3060" s="21" t="s">
        <v>159</v>
      </c>
      <c r="P3060" s="21" t="s">
        <v>160</v>
      </c>
      <c r="Q3060" s="21" t="s">
        <v>160</v>
      </c>
      <c r="R3060" s="21" t="s">
        <v>161</v>
      </c>
      <c r="T3060" s="56" t="s">
        <v>396</v>
      </c>
    </row>
    <row r="3061" spans="1:20" ht="14.4">
      <c r="A3061" s="38">
        <f>IF(C3061="","",MAX($A$1:A3060)+1)</f>
        <v>2803</v>
      </c>
      <c r="B3061" s="27" t="s">
        <v>141</v>
      </c>
      <c r="C3061" s="23">
        <v>46106</v>
      </c>
      <c r="D3061" s="28" t="str">
        <f>_xlfn.XLOOKUP(Table134526_79101120212223242526[[#This Row],[Name Surname]],Manpower!$C$4:$C$1048576,Manpower!$B$4:$B$1048576,"")</f>
        <v>Encogroup</v>
      </c>
      <c r="E3061" s="23" t="s">
        <v>179</v>
      </c>
      <c r="F3061" s="12" t="e">
        <f>_xlfn.XLOOKUP(Table134526_79101120212223242526[[#This Row],[Name Surname]],Manpower!C:C,Manpower!D:D,)</f>
        <v>#N/A</v>
      </c>
      <c r="G3061" s="28" t="str">
        <f>_xlfn.XLOOKUP(Table134526_79101120212223242526[[#This Row],[Name Surname]],Manpower!$C$4:$C$1048576,Manpower!$F$4:$F$1048576,"")</f>
        <v>7T-HIAB</v>
      </c>
      <c r="H3061" s="28" t="str">
        <f>_xlfn.XLOOKUP(Table134526_79101120212223242526[[#This Row],[Name Surname]],Manpower!$C$4:$C$1048576,Manpower!$H$4:$H$1048576,"")</f>
        <v>Equipment</v>
      </c>
      <c r="I3061" s="28" t="str">
        <f>_xlfn.XLOOKUP(Table134526_79101120212223242526[[#This Row],[Name Surname]],Manpower!$C$4:$C$1048576,Manpower!$H$4:$H$1048576,"")</f>
        <v>Equipment</v>
      </c>
      <c r="J3061" s="21" t="s">
        <v>143</v>
      </c>
      <c r="K3061" s="21" t="s">
        <v>26</v>
      </c>
      <c r="L3061" s="21" t="s">
        <v>144</v>
      </c>
      <c r="M3061" s="21" t="s">
        <v>55</v>
      </c>
      <c r="N3061" s="29">
        <v>5</v>
      </c>
      <c r="O3061" s="21" t="s">
        <v>40</v>
      </c>
      <c r="P3061" s="21" t="s">
        <v>42</v>
      </c>
      <c r="Q3061" s="21" t="s">
        <v>42</v>
      </c>
      <c r="R3061" s="21" t="s">
        <v>26</v>
      </c>
      <c r="T3061" s="56" t="s">
        <v>396</v>
      </c>
    </row>
    <row r="3062" spans="1:20" ht="14.4" hidden="1">
      <c r="A3062" s="38">
        <f>IF(C3062="","",MAX($A$1:A3061)+1)</f>
        <v>2804</v>
      </c>
      <c r="B3062" s="27" t="s">
        <v>141</v>
      </c>
      <c r="C3062" s="23">
        <v>46106</v>
      </c>
      <c r="D3062" s="28" t="str">
        <f>_xlfn.XLOOKUP(Table134526_79101120212223242526[[#This Row],[Name Surname]],Manpower!$C$4:$C$1048576,Manpower!$B$4:$B$1048576,"")</f>
        <v>Encogroup</v>
      </c>
      <c r="E3062" s="21" t="s">
        <v>180</v>
      </c>
      <c r="F3062" s="12">
        <f>_xlfn.XLOOKUP(Table134526_79101120212223242526[[#This Row],[Name Surname]],Manpower!C:C,Manpower!D:D,)</f>
        <v>9138415</v>
      </c>
      <c r="G3062" s="28" t="str">
        <f>_xlfn.XLOOKUP(Table134526_79101120212223242526[[#This Row],[Name Surname]],Manpower!$C$4:$C$1048576,Manpower!$F$4:$F$1048576,"")</f>
        <v>HIAB Driver</v>
      </c>
      <c r="H3062" s="28" t="str">
        <f>_xlfn.XLOOKUP(Table134526_79101120212223242526[[#This Row],[Name Surname]],Manpower!$C$4:$C$1048576,Manpower!$H$4:$H$1048576,"")</f>
        <v>Manpower</v>
      </c>
      <c r="I3062" s="28" t="str">
        <f>_xlfn.XLOOKUP(Table134526_79101120212223242526[[#This Row],[Name Surname]],Manpower!$C$4:$C$1048576,Manpower!$H$4:$H$1048576,"")</f>
        <v>Manpower</v>
      </c>
      <c r="J3062" s="21" t="s">
        <v>143</v>
      </c>
      <c r="K3062" s="21" t="s">
        <v>26</v>
      </c>
      <c r="L3062" s="21" t="s">
        <v>144</v>
      </c>
      <c r="M3062" s="21" t="s">
        <v>55</v>
      </c>
      <c r="N3062" s="29">
        <v>5</v>
      </c>
      <c r="O3062" s="21" t="s">
        <v>40</v>
      </c>
      <c r="P3062" s="21" t="s">
        <v>42</v>
      </c>
      <c r="Q3062" s="21" t="s">
        <v>42</v>
      </c>
      <c r="R3062" s="21" t="s">
        <v>403</v>
      </c>
      <c r="T3062" s="56" t="s">
        <v>396</v>
      </c>
    </row>
    <row r="3063" spans="1:20" s="45" customFormat="1" ht="14.4" hidden="1">
      <c r="A3063" s="53">
        <f>IF(C3063="","",MAX($A$1:A3062)+1)</f>
        <v>2805</v>
      </c>
      <c r="B3063" s="25" t="s">
        <v>141</v>
      </c>
      <c r="C3063" s="41">
        <v>46106</v>
      </c>
      <c r="D3063" s="48" t="str">
        <f>_xlfn.XLOOKUP(Table134526_79101120212223242526[[#This Row],[Name Surname]],Manpower!$C$4:$C$1048576,Manpower!$B$4:$B$1048576,"")</f>
        <v>Encogroup</v>
      </c>
      <c r="E3063" s="43" t="s">
        <v>184</v>
      </c>
      <c r="F3063" s="12">
        <f>_xlfn.XLOOKUP(Table134526_79101120212223242526[[#This Row],[Name Surname]],Manpower!C:C,Manpower!D:D,)</f>
        <v>140844759</v>
      </c>
      <c r="G3063" s="48" t="str">
        <f>_xlfn.XLOOKUP(Table134526_79101120212223242526[[#This Row],[Name Surname]],Manpower!$C$4:$C$1048576,Manpower!$F$4:$F$1048576,"")</f>
        <v>Welder</v>
      </c>
      <c r="H3063" s="48" t="str">
        <f>_xlfn.XLOOKUP(Table134526_79101120212223242526[[#This Row],[Name Surname]],Manpower!$C$4:$C$1048576,Manpower!$H$4:$H$1048576,"")</f>
        <v>Manpower</v>
      </c>
      <c r="I3063" s="48" t="str">
        <f>_xlfn.XLOOKUP(Table134526_79101120212223242526[[#This Row],[Name Surname]],Manpower!$C$4:$C$1048576,Manpower!$H$4:$H$1048576,"")</f>
        <v>Manpower</v>
      </c>
      <c r="J3063" s="43" t="s">
        <v>143</v>
      </c>
      <c r="K3063" s="43" t="s">
        <v>26</v>
      </c>
      <c r="L3063" s="43" t="s">
        <v>144</v>
      </c>
      <c r="M3063" s="43" t="s">
        <v>55</v>
      </c>
      <c r="N3063" s="44">
        <v>5</v>
      </c>
      <c r="O3063" s="43" t="s">
        <v>40</v>
      </c>
      <c r="P3063" s="43" t="s">
        <v>42</v>
      </c>
      <c r="Q3063" s="43" t="s">
        <v>42</v>
      </c>
      <c r="R3063" s="43" t="s">
        <v>402</v>
      </c>
      <c r="S3063" s="43"/>
      <c r="T3063" s="67" t="s">
        <v>396</v>
      </c>
    </row>
    <row r="3064" spans="1:20" s="45" customFormat="1" ht="14.4" hidden="1">
      <c r="A3064" s="53">
        <f>IF(C3064="","",MAX($A$1:A3063)+1)</f>
        <v>2806</v>
      </c>
      <c r="B3064" s="25" t="s">
        <v>141</v>
      </c>
      <c r="C3064" s="41">
        <v>46106</v>
      </c>
      <c r="D3064" s="48" t="str">
        <f>_xlfn.XLOOKUP(Table134526_79101120212223242526[[#This Row],[Name Surname]],Manpower!$C$4:$C$1048576,Manpower!$B$4:$B$1048576,"")</f>
        <v>Encogroup</v>
      </c>
      <c r="E3064" s="43" t="s">
        <v>185</v>
      </c>
      <c r="F3064" s="12">
        <f>_xlfn.XLOOKUP(Table134526_79101120212223242526[[#This Row],[Name Surname]],Manpower!C:C,Manpower!D:D,)</f>
        <v>140848828</v>
      </c>
      <c r="G3064" s="48" t="str">
        <f>_xlfn.XLOOKUP(Table134526_79101120212223242526[[#This Row],[Name Surname]],Manpower!$C$4:$C$1048576,Manpower!$F$4:$F$1048576,"")</f>
        <v>Pipe Fitter</v>
      </c>
      <c r="H3064" s="48" t="str">
        <f>_xlfn.XLOOKUP(Table134526_79101120212223242526[[#This Row],[Name Surname]],Manpower!$C$4:$C$1048576,Manpower!$H$4:$H$1048576,"")</f>
        <v>Manpower</v>
      </c>
      <c r="I3064" s="48" t="str">
        <f>_xlfn.XLOOKUP(Table134526_79101120212223242526[[#This Row],[Name Surname]],Manpower!$C$4:$C$1048576,Manpower!$H$4:$H$1048576,"")</f>
        <v>Manpower</v>
      </c>
      <c r="J3064" s="43" t="s">
        <v>143</v>
      </c>
      <c r="K3064" s="43" t="s">
        <v>26</v>
      </c>
      <c r="L3064" s="43" t="s">
        <v>144</v>
      </c>
      <c r="M3064" s="43" t="s">
        <v>55</v>
      </c>
      <c r="N3064" s="44">
        <v>5</v>
      </c>
      <c r="O3064" s="43" t="s">
        <v>40</v>
      </c>
      <c r="P3064" s="43" t="s">
        <v>42</v>
      </c>
      <c r="Q3064" s="43" t="s">
        <v>42</v>
      </c>
      <c r="R3064" s="43" t="s">
        <v>402</v>
      </c>
      <c r="S3064" s="43"/>
      <c r="T3064" s="67" t="s">
        <v>396</v>
      </c>
    </row>
    <row r="3065" spans="1:20" ht="14.4" hidden="1">
      <c r="A3065" s="38">
        <f>IF(C3065="","",MAX($A$1:A3064)+1)</f>
        <v>2807</v>
      </c>
      <c r="B3065" s="27" t="s">
        <v>141</v>
      </c>
      <c r="C3065" s="23">
        <v>46106</v>
      </c>
      <c r="D3065" s="28" t="str">
        <f>_xlfn.XLOOKUP(Table134526_79101120212223242526[[#This Row],[Name Surname]],Manpower!$C$4:$C$1048576,Manpower!$B$4:$B$1048576,"")</f>
        <v>AL Omar International TRAD AND CONT</v>
      </c>
      <c r="E3065" s="21" t="s">
        <v>212</v>
      </c>
      <c r="F3065" s="12">
        <f>_xlfn.XLOOKUP(Table134526_79101120212223242526[[#This Row],[Name Surname]],Manpower!C:C,Manpower!D:D,)</f>
        <v>116676257</v>
      </c>
      <c r="G3065" s="28" t="str">
        <f>_xlfn.XLOOKUP(Table134526_79101120212223242526[[#This Row],[Name Surname]],Manpower!$C$4:$C$1048576,Manpower!$F$4:$F$1048576,"")</f>
        <v>Scaffolder</v>
      </c>
      <c r="H3065" s="28" t="str">
        <f>_xlfn.XLOOKUP(Table134526_79101120212223242526[[#This Row],[Name Surname]],Manpower!$C$4:$C$1048576,Manpower!$H$4:$H$1048576,"")</f>
        <v>Sub Contactor</v>
      </c>
      <c r="I3065" s="28" t="str">
        <f>_xlfn.XLOOKUP(Table134526_79101120212223242526[[#This Row],[Name Surname]],Manpower!$C$4:$C$1048576,Manpower!$H$4:$H$1048576,"")</f>
        <v>Sub Contactor</v>
      </c>
      <c r="J3065" s="21" t="s">
        <v>143</v>
      </c>
      <c r="K3065" s="21" t="s">
        <v>26</v>
      </c>
      <c r="L3065" s="21" t="s">
        <v>170</v>
      </c>
      <c r="M3065" s="21" t="s">
        <v>55</v>
      </c>
      <c r="N3065" s="29">
        <v>5</v>
      </c>
      <c r="O3065" s="21" t="s">
        <v>40</v>
      </c>
      <c r="P3065" s="21" t="s">
        <v>128</v>
      </c>
      <c r="Q3065" s="21" t="s">
        <v>128</v>
      </c>
      <c r="R3065" s="21" t="s">
        <v>171</v>
      </c>
      <c r="T3065" s="56" t="s">
        <v>396</v>
      </c>
    </row>
    <row r="3066" spans="1:20" s="45" customFormat="1" ht="14.4" hidden="1">
      <c r="A3066" s="53">
        <f>IF(C3066="","",MAX($A$1:A3065)+1)</f>
        <v>2808</v>
      </c>
      <c r="B3066" s="25" t="s">
        <v>141</v>
      </c>
      <c r="C3066" s="41">
        <v>46106</v>
      </c>
      <c r="D3066" s="48" t="str">
        <f>_xlfn.XLOOKUP(Table134526_79101120212223242526[[#This Row],[Name Surname]],Manpower!$C$4:$C$1048576,Manpower!$B$4:$B$1048576,"")</f>
        <v>Encogroup</v>
      </c>
      <c r="E3066" s="43" t="s">
        <v>186</v>
      </c>
      <c r="F3066" s="12">
        <f>_xlfn.XLOOKUP(Table134526_79101120212223242526[[#This Row],[Name Surname]],Manpower!C:C,Manpower!D:D,)</f>
        <v>140696961</v>
      </c>
      <c r="G3066" s="48" t="str">
        <f>_xlfn.XLOOKUP(Table134526_79101120212223242526[[#This Row],[Name Surname]],Manpower!$C$4:$C$1048576,Manpower!$F$4:$F$1048576,"")</f>
        <v>Assistant/Helper</v>
      </c>
      <c r="H3066" s="48" t="str">
        <f>_xlfn.XLOOKUP(Table134526_79101120212223242526[[#This Row],[Name Surname]],Manpower!$C$4:$C$1048576,Manpower!$H$4:$H$1048576,"")</f>
        <v>Manpower</v>
      </c>
      <c r="I3066" s="48" t="str">
        <f>_xlfn.XLOOKUP(Table134526_79101120212223242526[[#This Row],[Name Surname]],Manpower!$C$4:$C$1048576,Manpower!$H$4:$H$1048576,"")</f>
        <v>Manpower</v>
      </c>
      <c r="J3066" s="43" t="s">
        <v>143</v>
      </c>
      <c r="K3066" s="43" t="s">
        <v>26</v>
      </c>
      <c r="L3066" s="43" t="s">
        <v>170</v>
      </c>
      <c r="M3066" s="43" t="s">
        <v>55</v>
      </c>
      <c r="N3066" s="44">
        <v>5</v>
      </c>
      <c r="O3066" s="43" t="s">
        <v>40</v>
      </c>
      <c r="P3066" s="43" t="s">
        <v>128</v>
      </c>
      <c r="Q3066" s="43" t="s">
        <v>128</v>
      </c>
      <c r="R3066" s="43" t="s">
        <v>171</v>
      </c>
      <c r="S3066" s="43"/>
      <c r="T3066" s="67" t="s">
        <v>396</v>
      </c>
    </row>
    <row r="3067" spans="1:20" s="45" customFormat="1" ht="14.4" hidden="1">
      <c r="A3067" s="53">
        <f>IF(C3067="","",MAX($A$1:A3066)+1)</f>
        <v>2809</v>
      </c>
      <c r="B3067" s="25" t="s">
        <v>141</v>
      </c>
      <c r="C3067" s="41">
        <v>46106</v>
      </c>
      <c r="D3067" s="48" t="str">
        <f>_xlfn.XLOOKUP(Table134526_79101120212223242526[[#This Row],[Name Surname]],Manpower!$C$4:$C$1048576,Manpower!$B$4:$B$1048576,"")</f>
        <v>Encogroup</v>
      </c>
      <c r="E3067" s="43" t="s">
        <v>187</v>
      </c>
      <c r="F3067" s="12">
        <f>_xlfn.XLOOKUP(Table134526_79101120212223242526[[#This Row],[Name Surname]],Manpower!C:C,Manpower!D:D,)</f>
        <v>140623599</v>
      </c>
      <c r="G3067" s="48" t="str">
        <f>_xlfn.XLOOKUP(Table134526_79101120212223242526[[#This Row],[Name Surname]],Manpower!$C$4:$C$1048576,Manpower!$F$4:$F$1048576,"")</f>
        <v>Mechanical Supervisor</v>
      </c>
      <c r="H3067" s="48" t="str">
        <f>_xlfn.XLOOKUP(Table134526_79101120212223242526[[#This Row],[Name Surname]],Manpower!$C$4:$C$1048576,Manpower!$H$4:$H$1048576,"")</f>
        <v>Manpower</v>
      </c>
      <c r="I3067" s="48" t="str">
        <f>_xlfn.XLOOKUP(Table134526_79101120212223242526[[#This Row],[Name Surname]],Manpower!$C$4:$C$1048576,Manpower!$H$4:$H$1048576,"")</f>
        <v>Manpower</v>
      </c>
      <c r="J3067" s="43" t="s">
        <v>143</v>
      </c>
      <c r="K3067" s="43" t="s">
        <v>26</v>
      </c>
      <c r="L3067" s="43" t="s">
        <v>144</v>
      </c>
      <c r="M3067" s="43" t="s">
        <v>55</v>
      </c>
      <c r="N3067" s="44">
        <v>5</v>
      </c>
      <c r="O3067" s="43" t="s">
        <v>40</v>
      </c>
      <c r="P3067" s="43" t="s">
        <v>42</v>
      </c>
      <c r="Q3067" s="43" t="s">
        <v>42</v>
      </c>
      <c r="R3067" s="43" t="s">
        <v>402</v>
      </c>
      <c r="S3067" s="43"/>
      <c r="T3067" s="67" t="s">
        <v>396</v>
      </c>
    </row>
    <row r="3068" spans="1:20" ht="14.4" hidden="1">
      <c r="A3068" s="38">
        <f>IF(C3068="","",MAX($A$1:A3067)+1)</f>
        <v>2810</v>
      </c>
      <c r="B3068" s="27" t="s">
        <v>141</v>
      </c>
      <c r="C3068" s="23">
        <v>46106</v>
      </c>
      <c r="D3068" s="28" t="str">
        <f>_xlfn.XLOOKUP(Table134526_79101120212223242526[[#This Row],[Name Surname]],Manpower!$C$4:$C$1048576,Manpower!$B$4:$B$1048576,"")</f>
        <v>Encogroup</v>
      </c>
      <c r="E3068" s="21" t="s">
        <v>189</v>
      </c>
      <c r="F3068" s="12">
        <f>_xlfn.XLOOKUP(Table134526_79101120212223242526[[#This Row],[Name Surname]],Manpower!C:C,Manpower!D:D,)</f>
        <v>121937785</v>
      </c>
      <c r="G3068" s="28" t="str">
        <f>_xlfn.XLOOKUP(Table134526_79101120212223242526[[#This Row],[Name Surname]],Manpower!$C$4:$C$1048576,Manpower!$F$4:$F$1048576,"")</f>
        <v>Scaffolding Inspector</v>
      </c>
      <c r="H3068" s="28" t="str">
        <f>_xlfn.XLOOKUP(Table134526_79101120212223242526[[#This Row],[Name Surname]],Manpower!$C$4:$C$1048576,Manpower!$H$4:$H$1048576,"")</f>
        <v>Manpower</v>
      </c>
      <c r="I3068" s="28" t="str">
        <f>_xlfn.XLOOKUP(Table134526_79101120212223242526[[#This Row],[Name Surname]],Manpower!$C$4:$C$1048576,Manpower!$H$4:$H$1048576,"")</f>
        <v>Manpower</v>
      </c>
      <c r="J3068" s="21" t="s">
        <v>143</v>
      </c>
      <c r="K3068" s="21" t="s">
        <v>26</v>
      </c>
      <c r="L3068" s="21" t="s">
        <v>144</v>
      </c>
      <c r="M3068" s="21" t="s">
        <v>55</v>
      </c>
      <c r="N3068" s="29">
        <v>5</v>
      </c>
      <c r="O3068" s="21" t="s">
        <v>40</v>
      </c>
      <c r="P3068" s="21" t="s">
        <v>128</v>
      </c>
      <c r="Q3068" s="21" t="s">
        <v>128</v>
      </c>
      <c r="R3068" s="21" t="s">
        <v>26</v>
      </c>
      <c r="T3068" s="56" t="s">
        <v>396</v>
      </c>
    </row>
    <row r="3069" spans="1:20" s="45" customFormat="1" ht="14.4" hidden="1">
      <c r="A3069" s="53">
        <f>IF(C3069="","",MAX($A$1:A3068)+1)</f>
        <v>2811</v>
      </c>
      <c r="B3069" s="25" t="s">
        <v>141</v>
      </c>
      <c r="C3069" s="41">
        <v>46106</v>
      </c>
      <c r="D3069" s="48" t="str">
        <f>_xlfn.XLOOKUP(Table134526_79101120212223242526[[#This Row],[Name Surname]],Manpower!$C$4:$C$1048576,Manpower!$B$4:$B$1048576,"")</f>
        <v xml:space="preserve">AL Omar International </v>
      </c>
      <c r="E3069" s="43" t="s">
        <v>190</v>
      </c>
      <c r="F3069" s="12">
        <f>_xlfn.XLOOKUP(Table134526_79101120212223242526[[#This Row],[Name Surname]],Manpower!C:C,Manpower!D:D,)</f>
        <v>85812175</v>
      </c>
      <c r="G3069" s="48" t="str">
        <f>_xlfn.XLOOKUP(Table134526_79101120212223242526[[#This Row],[Name Surname]],Manpower!$C$4:$C$1048576,Manpower!$F$4:$F$1048576,"")</f>
        <v>Scaffolding Supervisor</v>
      </c>
      <c r="H3069" s="48" t="str">
        <f>_xlfn.XLOOKUP(Table134526_79101120212223242526[[#This Row],[Name Surname]],Manpower!$C$4:$C$1048576,Manpower!$H$4:$H$1048576,"")</f>
        <v>Sub Contactor</v>
      </c>
      <c r="I3069" s="48" t="str">
        <f>_xlfn.XLOOKUP(Table134526_79101120212223242526[[#This Row],[Name Surname]],Manpower!$C$4:$C$1048576,Manpower!$H$4:$H$1048576,"")</f>
        <v>Sub Contactor</v>
      </c>
      <c r="J3069" s="43" t="s">
        <v>143</v>
      </c>
      <c r="K3069" s="43" t="s">
        <v>26</v>
      </c>
      <c r="L3069" s="43" t="s">
        <v>144</v>
      </c>
      <c r="M3069" s="43" t="s">
        <v>55</v>
      </c>
      <c r="N3069" s="44">
        <v>5</v>
      </c>
      <c r="O3069" s="43" t="s">
        <v>40</v>
      </c>
      <c r="P3069" s="43" t="s">
        <v>128</v>
      </c>
      <c r="Q3069" s="43" t="s">
        <v>128</v>
      </c>
      <c r="R3069" s="43" t="s">
        <v>26</v>
      </c>
      <c r="S3069" s="43"/>
      <c r="T3069" s="67" t="s">
        <v>396</v>
      </c>
    </row>
    <row r="3070" spans="1:20" s="45" customFormat="1" ht="14.4" hidden="1">
      <c r="A3070" s="53">
        <f>IF(C3070="","",MAX($A$1:A3069)+1)</f>
        <v>2812</v>
      </c>
      <c r="B3070" s="25" t="s">
        <v>141</v>
      </c>
      <c r="C3070" s="41">
        <v>46106</v>
      </c>
      <c r="D3070" s="48" t="str">
        <f>_xlfn.XLOOKUP(Table134526_79101120212223242526[[#This Row],[Name Surname]],Manpower!$C$4:$C$1048576,Manpower!$B$4:$B$1048576,"")</f>
        <v>Encogroup</v>
      </c>
      <c r="E3070" s="43" t="s">
        <v>346</v>
      </c>
      <c r="F3070" s="12">
        <f>_xlfn.XLOOKUP(Table134526_79101120212223242526[[#This Row],[Name Surname]],Manpower!C:C,Manpower!D:D,)</f>
        <v>117974933</v>
      </c>
      <c r="G3070" s="48" t="str">
        <f>_xlfn.XLOOKUP(Table134526_79101120212223242526[[#This Row],[Name Surname]],Manpower!$C$4:$C$1048576,Manpower!$F$4:$F$1048576,"")</f>
        <v>Scaffolder</v>
      </c>
      <c r="H3070" s="48" t="str">
        <f>_xlfn.XLOOKUP(Table134526_79101120212223242526[[#This Row],[Name Surname]],Manpower!$C$4:$C$1048576,Manpower!$H$4:$H$1048576,"")</f>
        <v>Manpower</v>
      </c>
      <c r="I3070" s="48" t="str">
        <f>_xlfn.XLOOKUP(Table134526_79101120212223242526[[#This Row],[Name Surname]],Manpower!$C$4:$C$1048576,Manpower!$H$4:$H$1048576,"")</f>
        <v>Manpower</v>
      </c>
      <c r="J3070" s="43" t="s">
        <v>143</v>
      </c>
      <c r="K3070" s="43" t="s">
        <v>26</v>
      </c>
      <c r="L3070" s="43" t="s">
        <v>144</v>
      </c>
      <c r="M3070" s="43" t="s">
        <v>55</v>
      </c>
      <c r="N3070" s="44">
        <v>5</v>
      </c>
      <c r="O3070" s="43" t="s">
        <v>40</v>
      </c>
      <c r="P3070" s="43" t="s">
        <v>128</v>
      </c>
      <c r="Q3070" s="43" t="s">
        <v>128</v>
      </c>
      <c r="R3070" s="43" t="s">
        <v>26</v>
      </c>
      <c r="S3070" s="43"/>
      <c r="T3070" s="67" t="s">
        <v>396</v>
      </c>
    </row>
    <row r="3071" spans="1:20" ht="14.4" hidden="1">
      <c r="A3071" s="38">
        <f>IF(C3071="","",MAX($A$1:A3068)+1)</f>
        <v>2811</v>
      </c>
      <c r="B3071" s="27" t="s">
        <v>141</v>
      </c>
      <c r="C3071" s="23">
        <v>46106</v>
      </c>
      <c r="D3071" s="28" t="str">
        <f>_xlfn.XLOOKUP(Table134526_79101120212223242526[[#This Row],[Name Surname]],Manpower!$C$4:$C$1048576,Manpower!$B$4:$B$1048576,"")</f>
        <v>AL Omar International TRAD AND CONT</v>
      </c>
      <c r="E3071" s="21" t="s">
        <v>193</v>
      </c>
      <c r="F3071" s="12">
        <f>_xlfn.XLOOKUP(Table134526_79101120212223242526[[#This Row],[Name Surname]],Manpower!C:C,Manpower!D:D,)</f>
        <v>105813698</v>
      </c>
      <c r="G3071" s="28" t="str">
        <f>_xlfn.XLOOKUP(Table134526_79101120212223242526[[#This Row],[Name Surname]],Manpower!$C$4:$C$1048576,Manpower!$F$4:$F$1048576,"")</f>
        <v>Scaffolding Inspector</v>
      </c>
      <c r="H3071" s="28" t="str">
        <f>_xlfn.XLOOKUP(Table134526_79101120212223242526[[#This Row],[Name Surname]],Manpower!$C$4:$C$1048576,Manpower!$H$4:$H$1048576,"")</f>
        <v>Sub Contactor</v>
      </c>
      <c r="I3071" s="28" t="str">
        <f>_xlfn.XLOOKUP(Table134526_79101120212223242526[[#This Row],[Name Surname]],Manpower!$C$4:$C$1048576,Manpower!$H$4:$H$1048576,"")</f>
        <v>Sub Contactor</v>
      </c>
      <c r="J3071" s="21" t="s">
        <v>143</v>
      </c>
      <c r="K3071" s="21" t="s">
        <v>26</v>
      </c>
      <c r="L3071" s="21" t="s">
        <v>170</v>
      </c>
      <c r="M3071" s="21" t="s">
        <v>55</v>
      </c>
      <c r="N3071" s="29">
        <v>5</v>
      </c>
      <c r="O3071" s="21" t="s">
        <v>40</v>
      </c>
      <c r="P3071" s="21" t="s">
        <v>128</v>
      </c>
      <c r="Q3071" s="21" t="s">
        <v>128</v>
      </c>
      <c r="R3071" s="21" t="s">
        <v>171</v>
      </c>
      <c r="T3071" s="56" t="s">
        <v>396</v>
      </c>
    </row>
    <row r="3072" spans="1:20" s="45" customFormat="1" ht="14.4" hidden="1">
      <c r="A3072" s="53">
        <f>IF(C3072="","",MAX($A$1:A3071)+1)</f>
        <v>2813</v>
      </c>
      <c r="B3072" s="25" t="s">
        <v>141</v>
      </c>
      <c r="C3072" s="41">
        <v>46106</v>
      </c>
      <c r="D3072" s="48" t="str">
        <f>_xlfn.XLOOKUP(Table134526_79101120212223242526[[#This Row],[Name Surname]],Manpower!$C$4:$C$1048576,Manpower!$B$4:$B$1048576,"")</f>
        <v>AL Saif &amp; Al QALLM ENT LLC</v>
      </c>
      <c r="E3072" s="43" t="s">
        <v>194</v>
      </c>
      <c r="F3072" s="12">
        <f>_xlfn.XLOOKUP(Table134526_79101120212223242526[[#This Row],[Name Surname]],Manpower!C:C,Manpower!D:D,)</f>
        <v>135340657</v>
      </c>
      <c r="G3072" s="48" t="str">
        <f>_xlfn.XLOOKUP(Table134526_79101120212223242526[[#This Row],[Name Surname]],Manpower!$C$4:$C$1048576,Manpower!$F$4:$F$1048576,"")</f>
        <v>Forklift Operator</v>
      </c>
      <c r="H3072" s="48" t="str">
        <f>_xlfn.XLOOKUP(Table134526_79101120212223242526[[#This Row],[Name Surname]],Manpower!$C$4:$C$1048576,Manpower!$H$4:$H$1048576,"")</f>
        <v>Sub Contactor</v>
      </c>
      <c r="I3072" s="48" t="str">
        <f>_xlfn.XLOOKUP(Table134526_79101120212223242526[[#This Row],[Name Surname]],Manpower!$C$4:$C$1048576,Manpower!$H$4:$H$1048576,"")</f>
        <v>Sub Contactor</v>
      </c>
      <c r="J3072" s="43" t="s">
        <v>143</v>
      </c>
      <c r="K3072" s="43" t="s">
        <v>26</v>
      </c>
      <c r="L3072" s="43" t="s">
        <v>144</v>
      </c>
      <c r="M3072" s="43" t="s">
        <v>55</v>
      </c>
      <c r="N3072" s="44">
        <v>5</v>
      </c>
      <c r="O3072" s="43" t="s">
        <v>40</v>
      </c>
      <c r="P3072" s="43" t="s">
        <v>42</v>
      </c>
      <c r="Q3072" s="43" t="s">
        <v>42</v>
      </c>
      <c r="R3072" s="43" t="s">
        <v>195</v>
      </c>
      <c r="S3072" s="43"/>
      <c r="T3072" s="67" t="s">
        <v>396</v>
      </c>
    </row>
    <row r="3073" spans="1:20" s="45" customFormat="1" ht="14.4" hidden="1">
      <c r="A3073" s="53">
        <f>IF(C3073="","",MAX($A$1:A3072)+1)</f>
        <v>2814</v>
      </c>
      <c r="B3073" s="25" t="s">
        <v>141</v>
      </c>
      <c r="C3073" s="41">
        <v>46106</v>
      </c>
      <c r="D3073" s="48" t="str">
        <f>_xlfn.XLOOKUP(Table134526_79101120212223242526[[#This Row],[Name Surname]],Manpower!$C$4:$C$1048576,Manpower!$B$4:$B$1048576,"")</f>
        <v>Encogroup</v>
      </c>
      <c r="E3073" s="43" t="s">
        <v>196</v>
      </c>
      <c r="F3073" s="12">
        <f>_xlfn.XLOOKUP(Table134526_79101120212223242526[[#This Row],[Name Surname]],Manpower!C:C,Manpower!D:D,)</f>
        <v>140844586</v>
      </c>
      <c r="G3073" s="48" t="str">
        <f>_xlfn.XLOOKUP(Table134526_79101120212223242526[[#This Row],[Name Surname]],Manpower!$C$4:$C$1048576,Manpower!$F$4:$F$1048576,"")</f>
        <v>Assistant/Helper</v>
      </c>
      <c r="H3073" s="48" t="str">
        <f>_xlfn.XLOOKUP(Table134526_79101120212223242526[[#This Row],[Name Surname]],Manpower!$C$4:$C$1048576,Manpower!$H$4:$H$1048576,"")</f>
        <v>Manpower</v>
      </c>
      <c r="I3073" s="48" t="str">
        <f>_xlfn.XLOOKUP(Table134526_79101120212223242526[[#This Row],[Name Surname]],Manpower!$C$4:$C$1048576,Manpower!$H$4:$H$1048576,"")</f>
        <v>Manpower</v>
      </c>
      <c r="J3073" s="43" t="s">
        <v>143</v>
      </c>
      <c r="K3073" s="43" t="s">
        <v>26</v>
      </c>
      <c r="L3073" s="43" t="s">
        <v>170</v>
      </c>
      <c r="M3073" s="43" t="s">
        <v>55</v>
      </c>
      <c r="N3073" s="44">
        <v>5</v>
      </c>
      <c r="O3073" s="43" t="s">
        <v>40</v>
      </c>
      <c r="P3073" s="43" t="s">
        <v>128</v>
      </c>
      <c r="Q3073" s="43" t="s">
        <v>128</v>
      </c>
      <c r="R3073" s="43" t="s">
        <v>171</v>
      </c>
      <c r="S3073" s="43"/>
      <c r="T3073" s="67" t="s">
        <v>396</v>
      </c>
    </row>
    <row r="3074" spans="1:20" ht="14.4" hidden="1">
      <c r="A3074" s="38">
        <f>IF(C3074="","",MAX($A$1:A3073)+1)</f>
        <v>2815</v>
      </c>
      <c r="B3074" s="27" t="s">
        <v>141</v>
      </c>
      <c r="C3074" s="23">
        <v>46106</v>
      </c>
      <c r="D3074" s="28" t="str">
        <f>_xlfn.XLOOKUP(Table134526_79101120212223242526[[#This Row],[Name Surname]],Manpower!$C$4:$C$1048576,Manpower!$B$4:$B$1048576,"")</f>
        <v>AL Omar International Tarde&amp;Contracting SPC</v>
      </c>
      <c r="E3074" s="21" t="s">
        <v>221</v>
      </c>
      <c r="F3074" s="12">
        <f>_xlfn.XLOOKUP(Table134526_79101120212223242526[[#This Row],[Name Surname]],Manpower!C:C,Manpower!D:D,)</f>
        <v>115122635</v>
      </c>
      <c r="G3074" s="28" t="str">
        <f>_xlfn.XLOOKUP(Table134526_79101120212223242526[[#This Row],[Name Surname]],Manpower!$C$4:$C$1048576,Manpower!$F$4:$F$1048576,"")</f>
        <v>Scaffolder</v>
      </c>
      <c r="H3074" s="28" t="str">
        <f>_xlfn.XLOOKUP(Table134526_79101120212223242526[[#This Row],[Name Surname]],Manpower!$C$4:$C$1048576,Manpower!$H$4:$H$1048576,"")</f>
        <v>Sub Contactor</v>
      </c>
      <c r="I3074" s="28" t="str">
        <f>_xlfn.XLOOKUP(Table134526_79101120212223242526[[#This Row],[Name Surname]],Manpower!$C$4:$C$1048576,Manpower!$H$4:$H$1048576,"")</f>
        <v>Sub Contactor</v>
      </c>
      <c r="J3074" s="21" t="s">
        <v>143</v>
      </c>
      <c r="K3074" s="21" t="s">
        <v>26</v>
      </c>
      <c r="L3074" s="21" t="s">
        <v>170</v>
      </c>
      <c r="M3074" s="21" t="s">
        <v>55</v>
      </c>
      <c r="N3074" s="29">
        <v>5</v>
      </c>
      <c r="O3074" s="21" t="s">
        <v>40</v>
      </c>
      <c r="P3074" s="21" t="s">
        <v>128</v>
      </c>
      <c r="Q3074" s="21" t="s">
        <v>128</v>
      </c>
      <c r="R3074" s="21" t="s">
        <v>171</v>
      </c>
      <c r="T3074" s="56" t="s">
        <v>396</v>
      </c>
    </row>
    <row r="3075" spans="1:20" ht="14.4" hidden="1">
      <c r="A3075" s="38">
        <f>IF(C3075="","",MAX($A$1:A3074)+1)</f>
        <v>2816</v>
      </c>
      <c r="B3075" s="27" t="s">
        <v>141</v>
      </c>
      <c r="C3075" s="23">
        <v>46106</v>
      </c>
      <c r="D3075" s="28" t="str">
        <f>_xlfn.XLOOKUP(Table134526_79101120212223242526[[#This Row],[Name Surname]],Manpower!$C$4:$C$1048576,Manpower!$B$4:$B$1048576,"")</f>
        <v>Encogroup</v>
      </c>
      <c r="E3075" s="21" t="s">
        <v>183</v>
      </c>
      <c r="F3075" s="12">
        <f>_xlfn.XLOOKUP(Table134526_79101120212223242526[[#This Row],[Name Surname]],Manpower!C:C,Manpower!D:D,)</f>
        <v>141359024</v>
      </c>
      <c r="G3075" s="28" t="str">
        <f>_xlfn.XLOOKUP(Table134526_79101120212223242526[[#This Row],[Name Surname]],Manpower!$C$4:$C$1048576,Manpower!$F$4:$F$1048576,"")</f>
        <v>Hydraulic Mechanic</v>
      </c>
      <c r="H3075" s="28" t="str">
        <f>_xlfn.XLOOKUP(Table134526_79101120212223242526[[#This Row],[Name Surname]],Manpower!$C$4:$C$1048576,Manpower!$H$4:$H$1048576,"")</f>
        <v>Manpower</v>
      </c>
      <c r="I3075" s="28" t="str">
        <f>_xlfn.XLOOKUP(Table134526_79101120212223242526[[#This Row],[Name Surname]],Manpower!$C$4:$C$1048576,Manpower!$H$4:$H$1048576,"")</f>
        <v>Manpower</v>
      </c>
      <c r="J3075" s="21" t="s">
        <v>143</v>
      </c>
      <c r="K3075" s="21" t="s">
        <v>26</v>
      </c>
      <c r="L3075" s="21" t="s">
        <v>170</v>
      </c>
      <c r="M3075" s="21" t="s">
        <v>55</v>
      </c>
      <c r="N3075" s="29">
        <v>5</v>
      </c>
      <c r="O3075" s="21" t="s">
        <v>40</v>
      </c>
      <c r="P3075" s="21" t="s">
        <v>128</v>
      </c>
      <c r="Q3075" s="21" t="s">
        <v>128</v>
      </c>
      <c r="R3075" s="21" t="s">
        <v>171</v>
      </c>
      <c r="T3075" s="56" t="s">
        <v>396</v>
      </c>
    </row>
    <row r="3076" spans="1:20" ht="14.4">
      <c r="A3076" s="38">
        <f>IF(C3076="","",MAX($A$1:A3075)+1)</f>
        <v>2817</v>
      </c>
      <c r="B3076" s="27" t="s">
        <v>141</v>
      </c>
      <c r="C3076" s="23">
        <v>46106</v>
      </c>
      <c r="D3076" s="28" t="str">
        <f>_xlfn.XLOOKUP(Table134526_79101120212223242526[[#This Row],[Name Surname]],Manpower!$C$4:$C$1048576,Manpower!$B$4:$B$1048576,"")</f>
        <v>Al Asrah Al Mumayaza Trad</v>
      </c>
      <c r="E3076" s="21" t="s">
        <v>198</v>
      </c>
      <c r="F3076" s="12" t="e">
        <f>_xlfn.XLOOKUP(Table134526_79101120212223242526[[#This Row],[Name Surname]],Manpower!C:C,Manpower!D:D,)</f>
        <v>#N/A</v>
      </c>
      <c r="G3076" s="28" t="str">
        <f>_xlfn.XLOOKUP(Table134526_79101120212223242526[[#This Row],[Name Surname]],Manpower!$C$4:$C$1048576,Manpower!$F$4:$F$1048576,"")</f>
        <v>PICK-UP</v>
      </c>
      <c r="H3076" s="28" t="str">
        <f>_xlfn.XLOOKUP(Table134526_79101120212223242526[[#This Row],[Name Surname]],Manpower!$C$4:$C$1048576,Manpower!$H$4:$H$1048576,"")</f>
        <v>Equipment</v>
      </c>
      <c r="I3076" s="28" t="str">
        <f>_xlfn.XLOOKUP(Table134526_79101120212223242526[[#This Row],[Name Surname]],Manpower!$C$4:$C$1048576,Manpower!$H$4:$H$1048576,"")</f>
        <v>Equipment</v>
      </c>
      <c r="J3076" s="21" t="s">
        <v>143</v>
      </c>
      <c r="K3076" s="21" t="s">
        <v>26</v>
      </c>
      <c r="L3076" s="21" t="s">
        <v>144</v>
      </c>
      <c r="M3076" s="21" t="s">
        <v>55</v>
      </c>
      <c r="N3076" s="29">
        <v>5</v>
      </c>
      <c r="O3076" s="21" t="s">
        <v>138</v>
      </c>
      <c r="P3076" s="21" t="s">
        <v>138</v>
      </c>
      <c r="Q3076" s="21" t="s">
        <v>138</v>
      </c>
      <c r="R3076" s="21" t="s">
        <v>26</v>
      </c>
      <c r="T3076" s="56" t="s">
        <v>396</v>
      </c>
    </row>
    <row r="3077" spans="1:20" ht="14.4">
      <c r="A3077" s="38">
        <f>IF(C3077="","",MAX($A$1:A3076)+1)</f>
        <v>2818</v>
      </c>
      <c r="B3077" s="27" t="s">
        <v>141</v>
      </c>
      <c r="C3077" s="23">
        <v>46106</v>
      </c>
      <c r="D3077" s="28" t="str">
        <f>_xlfn.XLOOKUP(Table134526_79101120212223242526[[#This Row],[Name Surname]],Manpower!$C$4:$C$1048576,Manpower!$B$4:$B$1048576,"")</f>
        <v>Al Asrah Al Mumayaza Trad</v>
      </c>
      <c r="E3077" s="21" t="s">
        <v>199</v>
      </c>
      <c r="F3077" s="12" t="e">
        <f>_xlfn.XLOOKUP(Table134526_79101120212223242526[[#This Row],[Name Surname]],Manpower!C:C,Manpower!D:D,)</f>
        <v>#N/A</v>
      </c>
      <c r="G3077" s="28" t="str">
        <f>_xlfn.XLOOKUP(Table134526_79101120212223242526[[#This Row],[Name Surname]],Manpower!$C$4:$C$1048576,Manpower!$F$4:$F$1048576,"")</f>
        <v>PICK-UP</v>
      </c>
      <c r="H3077" s="28" t="str">
        <f>_xlfn.XLOOKUP(Table134526_79101120212223242526[[#This Row],[Name Surname]],Manpower!$C$4:$C$1048576,Manpower!$H$4:$H$1048576,"")</f>
        <v>Equipment</v>
      </c>
      <c r="I3077" s="28" t="str">
        <f>_xlfn.XLOOKUP(Table134526_79101120212223242526[[#This Row],[Name Surname]],Manpower!$C$4:$C$1048576,Manpower!$H$4:$H$1048576,"")</f>
        <v>Equipment</v>
      </c>
      <c r="J3077" s="21" t="s">
        <v>143</v>
      </c>
      <c r="K3077" s="21" t="s">
        <v>26</v>
      </c>
      <c r="L3077" s="21" t="s">
        <v>144</v>
      </c>
      <c r="M3077" s="21" t="s">
        <v>55</v>
      </c>
      <c r="N3077" s="29">
        <v>5</v>
      </c>
      <c r="O3077" s="21" t="s">
        <v>138</v>
      </c>
      <c r="P3077" s="21" t="s">
        <v>138</v>
      </c>
      <c r="Q3077" s="21" t="s">
        <v>138</v>
      </c>
      <c r="R3077" s="21" t="s">
        <v>26</v>
      </c>
      <c r="T3077" s="56" t="s">
        <v>396</v>
      </c>
    </row>
    <row r="3078" spans="1:20" ht="14.4">
      <c r="A3078" s="38">
        <f>IF(C3078="","",MAX($A$1:A3077)+1)</f>
        <v>2819</v>
      </c>
      <c r="B3078" s="27" t="s">
        <v>141</v>
      </c>
      <c r="C3078" s="23">
        <v>46106</v>
      </c>
      <c r="D3078" s="28" t="str">
        <f>_xlfn.XLOOKUP(Table134526_79101120212223242526[[#This Row],[Name Surname]],Manpower!$C$4:$C$1048576,Manpower!$B$4:$B$1048576,"")</f>
        <v>Al Asrah Al Mumayaza Trad</v>
      </c>
      <c r="E3078" s="21" t="s">
        <v>200</v>
      </c>
      <c r="F3078" s="12" t="e">
        <f>_xlfn.XLOOKUP(Table134526_79101120212223242526[[#This Row],[Name Surname]],Manpower!C:C,Manpower!D:D,)</f>
        <v>#N/A</v>
      </c>
      <c r="G3078" s="28" t="str">
        <f>_xlfn.XLOOKUP(Table134526_79101120212223242526[[#This Row],[Name Surname]],Manpower!$C$4:$C$1048576,Manpower!$F$4:$F$1048576,"")</f>
        <v>PICK-UP</v>
      </c>
      <c r="H3078" s="28" t="str">
        <f>_xlfn.XLOOKUP(Table134526_79101120212223242526[[#This Row],[Name Surname]],Manpower!$C$4:$C$1048576,Manpower!$H$4:$H$1048576,"")</f>
        <v>Equipment</v>
      </c>
      <c r="I3078" s="28" t="str">
        <f>_xlfn.XLOOKUP(Table134526_79101120212223242526[[#This Row],[Name Surname]],Manpower!$C$4:$C$1048576,Manpower!$H$4:$H$1048576,"")</f>
        <v>Equipment</v>
      </c>
      <c r="J3078" s="21" t="s">
        <v>143</v>
      </c>
      <c r="K3078" s="21" t="s">
        <v>26</v>
      </c>
      <c r="L3078" s="21" t="s">
        <v>144</v>
      </c>
      <c r="M3078" s="21" t="s">
        <v>55</v>
      </c>
      <c r="N3078" s="29">
        <v>5</v>
      </c>
      <c r="O3078" s="21" t="s">
        <v>138</v>
      </c>
      <c r="P3078" s="21" t="s">
        <v>138</v>
      </c>
      <c r="Q3078" s="21" t="s">
        <v>138</v>
      </c>
      <c r="R3078" s="21" t="s">
        <v>26</v>
      </c>
      <c r="T3078" s="56" t="s">
        <v>396</v>
      </c>
    </row>
    <row r="3079" spans="1:20" ht="14.4">
      <c r="A3079" s="38">
        <f>IF(C3079="","",MAX($A$1:A3078)+1)</f>
        <v>2820</v>
      </c>
      <c r="B3079" s="27" t="s">
        <v>141</v>
      </c>
      <c r="C3079" s="23">
        <v>46106</v>
      </c>
      <c r="D3079" s="28" t="str">
        <f>_xlfn.XLOOKUP(Table134526_79101120212223242526[[#This Row],[Name Surname]],Manpower!$C$4:$C$1048576,Manpower!$B$4:$B$1048576,"")</f>
        <v>Al Asrah Al Mumayaza Trad</v>
      </c>
      <c r="E3079" s="21" t="s">
        <v>201</v>
      </c>
      <c r="F3079" s="12" t="e">
        <f>_xlfn.XLOOKUP(Table134526_79101120212223242526[[#This Row],[Name Surname]],Manpower!C:C,Manpower!D:D,)</f>
        <v>#N/A</v>
      </c>
      <c r="G3079" s="28" t="str">
        <f>_xlfn.XLOOKUP(Table134526_79101120212223242526[[#This Row],[Name Surname]],Manpower!$C$4:$C$1048576,Manpower!$F$4:$F$1048576,"")</f>
        <v>PICK-UP</v>
      </c>
      <c r="H3079" s="28" t="str">
        <f>_xlfn.XLOOKUP(Table134526_79101120212223242526[[#This Row],[Name Surname]],Manpower!$C$4:$C$1048576,Manpower!$H$4:$H$1048576,"")</f>
        <v>Equipment</v>
      </c>
      <c r="I3079" s="28" t="str">
        <f>_xlfn.XLOOKUP(Table134526_79101120212223242526[[#This Row],[Name Surname]],Manpower!$C$4:$C$1048576,Manpower!$H$4:$H$1048576,"")</f>
        <v>Equipment</v>
      </c>
      <c r="J3079" s="21" t="s">
        <v>143</v>
      </c>
      <c r="K3079" s="21" t="s">
        <v>26</v>
      </c>
      <c r="L3079" s="21" t="s">
        <v>144</v>
      </c>
      <c r="M3079" s="21" t="s">
        <v>55</v>
      </c>
      <c r="N3079" s="29">
        <v>5</v>
      </c>
      <c r="O3079" s="21" t="s">
        <v>138</v>
      </c>
      <c r="P3079" s="21" t="s">
        <v>138</v>
      </c>
      <c r="Q3079" s="21" t="s">
        <v>138</v>
      </c>
      <c r="R3079" s="21" t="s">
        <v>26</v>
      </c>
      <c r="T3079" s="56" t="s">
        <v>396</v>
      </c>
    </row>
    <row r="3080" spans="1:20" ht="14.4" hidden="1">
      <c r="A3080" s="38">
        <f>IF(C3080="","",MAX($A$1:A3079)+1)</f>
        <v>2821</v>
      </c>
      <c r="B3080" s="27" t="s">
        <v>141</v>
      </c>
      <c r="C3080" s="23">
        <v>46106</v>
      </c>
      <c r="D3080" s="28" t="str">
        <f>_xlfn.XLOOKUP(Table134526_79101120212223242526[[#This Row],[Name Surname]],Manpower!$C$4:$C$1048576,Manpower!$B$4:$B$1048576,"")</f>
        <v>Encogroup</v>
      </c>
      <c r="E3080" s="21" t="s">
        <v>202</v>
      </c>
      <c r="F3080" s="12">
        <f>_xlfn.XLOOKUP(Table134526_79101120212223242526[[#This Row],[Name Surname]],Manpower!C:C,Manpower!D:D,)</f>
        <v>140805592</v>
      </c>
      <c r="G3080" s="28" t="str">
        <f>_xlfn.XLOOKUP(Table134526_79101120212223242526[[#This Row],[Name Surname]],Manpower!$C$4:$C$1048576,Manpower!$F$4:$F$1048576,"")</f>
        <v>Assistant/Helper</v>
      </c>
      <c r="H3080" s="28" t="str">
        <f>_xlfn.XLOOKUP(Table134526_79101120212223242526[[#This Row],[Name Surname]],Manpower!$C$4:$C$1048576,Manpower!$H$4:$H$1048576,"")</f>
        <v>Manpower</v>
      </c>
      <c r="I3080" s="28" t="str">
        <f>_xlfn.XLOOKUP(Table134526_79101120212223242526[[#This Row],[Name Surname]],Manpower!$C$4:$C$1048576,Manpower!$H$4:$H$1048576,"")</f>
        <v>Manpower</v>
      </c>
      <c r="J3080" s="21" t="s">
        <v>143</v>
      </c>
      <c r="K3080" s="21" t="s">
        <v>26</v>
      </c>
      <c r="L3080" s="21" t="s">
        <v>144</v>
      </c>
      <c r="M3080" s="21" t="s">
        <v>55</v>
      </c>
      <c r="N3080" s="29">
        <v>5</v>
      </c>
      <c r="O3080" s="21" t="s">
        <v>40</v>
      </c>
      <c r="P3080" s="21" t="s">
        <v>42</v>
      </c>
      <c r="Q3080" s="21" t="s">
        <v>42</v>
      </c>
      <c r="R3080" s="21" t="s">
        <v>402</v>
      </c>
      <c r="T3080" s="56" t="s">
        <v>396</v>
      </c>
    </row>
    <row r="3081" spans="1:20" s="45" customFormat="1" ht="14.4" hidden="1">
      <c r="A3081" s="53">
        <f>IF(C3081="","",MAX($A$1:A3080)+1)</f>
        <v>2822</v>
      </c>
      <c r="B3081" s="25" t="s">
        <v>141</v>
      </c>
      <c r="C3081" s="41">
        <v>46106</v>
      </c>
      <c r="D3081" s="48" t="str">
        <f>_xlfn.XLOOKUP(Table134526_79101120212223242526[[#This Row],[Name Surname]],Manpower!$C$4:$C$1048576,Manpower!$B$4:$B$1048576,"")</f>
        <v>Encogroup</v>
      </c>
      <c r="E3081" s="43" t="s">
        <v>203</v>
      </c>
      <c r="F3081" s="12">
        <f>_xlfn.XLOOKUP(Table134526_79101120212223242526[[#This Row],[Name Surname]],Manpower!C:C,Manpower!D:D,)</f>
        <v>140683371</v>
      </c>
      <c r="G3081" s="48" t="str">
        <f>_xlfn.XLOOKUP(Table134526_79101120212223242526[[#This Row],[Name Surname]],Manpower!$C$4:$C$1048576,Manpower!$F$4:$F$1048576,"")</f>
        <v>Rigger</v>
      </c>
      <c r="H3081" s="48" t="str">
        <f>_xlfn.XLOOKUP(Table134526_79101120212223242526[[#This Row],[Name Surname]],Manpower!$C$4:$C$1048576,Manpower!$H$4:$H$1048576,"")</f>
        <v>Manpower</v>
      </c>
      <c r="I3081" s="48" t="str">
        <f>_xlfn.XLOOKUP(Table134526_79101120212223242526[[#This Row],[Name Surname]],Manpower!$C$4:$C$1048576,Manpower!$H$4:$H$1048576,"")</f>
        <v>Manpower</v>
      </c>
      <c r="J3081" s="43" t="s">
        <v>143</v>
      </c>
      <c r="K3081" s="43" t="s">
        <v>26</v>
      </c>
      <c r="L3081" s="43" t="s">
        <v>144</v>
      </c>
      <c r="M3081" s="43" t="s">
        <v>55</v>
      </c>
      <c r="N3081" s="44">
        <v>5</v>
      </c>
      <c r="O3081" s="43" t="s">
        <v>40</v>
      </c>
      <c r="P3081" s="43" t="s">
        <v>42</v>
      </c>
      <c r="Q3081" s="43" t="s">
        <v>42</v>
      </c>
      <c r="R3081" s="43" t="s">
        <v>402</v>
      </c>
      <c r="S3081" s="43"/>
      <c r="T3081" s="67" t="s">
        <v>396</v>
      </c>
    </row>
    <row r="3082" spans="1:20" s="45" customFormat="1" ht="14.4" hidden="1">
      <c r="A3082" s="53">
        <f>IF(C3082="","",MAX($A$1:A3081)+1)</f>
        <v>2823</v>
      </c>
      <c r="B3082" s="25" t="s">
        <v>141</v>
      </c>
      <c r="C3082" s="41">
        <v>46106</v>
      </c>
      <c r="D3082" s="48" t="str">
        <f>_xlfn.XLOOKUP(Table134526_79101120212223242526[[#This Row],[Name Surname]],Manpower!$C$4:$C$1048576,Manpower!$B$4:$B$1048576,"")</f>
        <v>Encogroup</v>
      </c>
      <c r="E3082" s="43" t="s">
        <v>206</v>
      </c>
      <c r="F3082" s="12">
        <f>_xlfn.XLOOKUP(Table134526_79101120212223242526[[#This Row],[Name Surname]],Manpower!C:C,Manpower!D:D,)</f>
        <v>140844848</v>
      </c>
      <c r="G3082" s="48" t="str">
        <f>_xlfn.XLOOKUP(Table134526_79101120212223242526[[#This Row],[Name Surname]],Manpower!$C$4:$C$1048576,Manpower!$F$4:$F$1048576,"")</f>
        <v>Assistant/Helper</v>
      </c>
      <c r="H3082" s="48" t="str">
        <f>_xlfn.XLOOKUP(Table134526_79101120212223242526[[#This Row],[Name Surname]],Manpower!$C$4:$C$1048576,Manpower!$H$4:$H$1048576,"")</f>
        <v>Manpower</v>
      </c>
      <c r="I3082" s="48" t="str">
        <f>_xlfn.XLOOKUP(Table134526_79101120212223242526[[#This Row],[Name Surname]],Manpower!$C$4:$C$1048576,Manpower!$H$4:$H$1048576,"")</f>
        <v>Manpower</v>
      </c>
      <c r="J3082" s="43" t="s">
        <v>143</v>
      </c>
      <c r="K3082" s="43" t="s">
        <v>26</v>
      </c>
      <c r="L3082" s="43" t="s">
        <v>144</v>
      </c>
      <c r="M3082" s="43" t="s">
        <v>55</v>
      </c>
      <c r="N3082" s="44">
        <v>5</v>
      </c>
      <c r="O3082" s="43" t="s">
        <v>40</v>
      </c>
      <c r="P3082" s="43" t="s">
        <v>42</v>
      </c>
      <c r="Q3082" s="43" t="s">
        <v>42</v>
      </c>
      <c r="R3082" s="43" t="s">
        <v>402</v>
      </c>
      <c r="S3082" s="43"/>
      <c r="T3082" s="67" t="s">
        <v>396</v>
      </c>
    </row>
    <row r="3083" spans="1:20" s="45" customFormat="1" ht="14.4" hidden="1">
      <c r="A3083" s="53">
        <f>IF(C3083="","",MAX($A$1:A3082)+1)</f>
        <v>2824</v>
      </c>
      <c r="B3083" s="25" t="s">
        <v>141</v>
      </c>
      <c r="C3083" s="41">
        <v>46106</v>
      </c>
      <c r="D3083" s="48" t="str">
        <f>_xlfn.XLOOKUP(Table134526_79101120212223242526[[#This Row],[Name Surname]],Manpower!$C$4:$C$1048576,Manpower!$B$4:$B$1048576,"")</f>
        <v>Encogroup</v>
      </c>
      <c r="E3083" s="43" t="s">
        <v>208</v>
      </c>
      <c r="F3083" s="12">
        <f>_xlfn.XLOOKUP(Table134526_79101120212223242526[[#This Row],[Name Surname]],Manpower!C:C,Manpower!D:D,)</f>
        <v>140683399</v>
      </c>
      <c r="G3083" s="48" t="str">
        <f>_xlfn.XLOOKUP(Table134526_79101120212223242526[[#This Row],[Name Surname]],Manpower!$C$4:$C$1048576,Manpower!$F$4:$F$1048576,"")</f>
        <v>Rigger</v>
      </c>
      <c r="H3083" s="48" t="str">
        <f>_xlfn.XLOOKUP(Table134526_79101120212223242526[[#This Row],[Name Surname]],Manpower!$C$4:$C$1048576,Manpower!$H$4:$H$1048576,"")</f>
        <v>Manpower</v>
      </c>
      <c r="I3083" s="48" t="str">
        <f>_xlfn.XLOOKUP(Table134526_79101120212223242526[[#This Row],[Name Surname]],Manpower!$C$4:$C$1048576,Manpower!$H$4:$H$1048576,"")</f>
        <v>Manpower</v>
      </c>
      <c r="J3083" s="43" t="s">
        <v>143</v>
      </c>
      <c r="K3083" s="43" t="s">
        <v>26</v>
      </c>
      <c r="L3083" s="43" t="s">
        <v>144</v>
      </c>
      <c r="M3083" s="43" t="s">
        <v>55</v>
      </c>
      <c r="N3083" s="44">
        <v>5</v>
      </c>
      <c r="O3083" s="43" t="s">
        <v>40</v>
      </c>
      <c r="P3083" s="43" t="s">
        <v>42</v>
      </c>
      <c r="Q3083" s="43" t="s">
        <v>42</v>
      </c>
      <c r="R3083" s="43" t="s">
        <v>402</v>
      </c>
      <c r="S3083" s="43"/>
      <c r="T3083" s="67" t="s">
        <v>396</v>
      </c>
    </row>
    <row r="3084" spans="1:20" ht="14.4">
      <c r="A3084" s="38">
        <f>IF(C3084="","",MAX($A$1:A3083)+1)</f>
        <v>2825</v>
      </c>
      <c r="B3084" s="27" t="s">
        <v>141</v>
      </c>
      <c r="C3084" s="23">
        <v>46106</v>
      </c>
      <c r="D3084" s="28" t="str">
        <f>_xlfn.XLOOKUP(Table134526_79101120212223242526[[#This Row],[Name Surname]],Manpower!$C$4:$C$1048576,Manpower!$B$4:$B$1048576,"")</f>
        <v>Encogroup</v>
      </c>
      <c r="E3084" s="21" t="s">
        <v>341</v>
      </c>
      <c r="F3084" s="12" t="e">
        <f>_xlfn.XLOOKUP(Table134526_79101120212223242526[[#This Row],[Name Surname]],Manpower!C:C,Manpower!D:D,)</f>
        <v>#N/A</v>
      </c>
      <c r="G3084" s="28" t="str">
        <f>_xlfn.XLOOKUP(Table134526_79101120212223242526[[#This Row],[Name Surname]],Manpower!$C$4:$C$1048576,Manpower!$F$4:$F$1048576,"")</f>
        <v>SCISSOR LIFT</v>
      </c>
      <c r="H3084" s="28" t="str">
        <f>_xlfn.XLOOKUP(Table134526_79101120212223242526[[#This Row],[Name Surname]],Manpower!$C$4:$C$1048576,Manpower!$H$4:$H$1048576,"")</f>
        <v>Equipment</v>
      </c>
      <c r="I3084" s="28" t="str">
        <f>_xlfn.XLOOKUP(Table134526_79101120212223242526[[#This Row],[Name Surname]],Manpower!$C$4:$C$1048576,Manpower!$H$4:$H$1048576,"")</f>
        <v>Equipment</v>
      </c>
      <c r="J3084" s="21" t="s">
        <v>143</v>
      </c>
      <c r="K3084" s="21" t="s">
        <v>26</v>
      </c>
      <c r="L3084" s="21" t="s">
        <v>144</v>
      </c>
      <c r="M3084" s="21" t="s">
        <v>55</v>
      </c>
      <c r="N3084" s="29">
        <v>10</v>
      </c>
      <c r="R3084" s="21" t="s">
        <v>56</v>
      </c>
      <c r="T3084" s="56"/>
    </row>
    <row r="3085" spans="1:20" ht="14.4">
      <c r="A3085" s="38">
        <f>IF(C3085="","",MAX($A$1:A3083)+1)</f>
        <v>2825</v>
      </c>
      <c r="B3085" s="27" t="s">
        <v>141</v>
      </c>
      <c r="C3085" s="23">
        <v>46106</v>
      </c>
      <c r="D3085" s="28" t="str">
        <f>_xlfn.XLOOKUP(Table134526_79101120212223242526[[#This Row],[Name Surname]],Manpower!$C$4:$C$1048576,Manpower!$B$4:$B$1048576,"")</f>
        <v>Encogroup</v>
      </c>
      <c r="E3085" s="21" t="s">
        <v>342</v>
      </c>
      <c r="F3085" s="12" t="e">
        <f>_xlfn.XLOOKUP(Table134526_79101120212223242526[[#This Row],[Name Surname]],Manpower!C:C,Manpower!D:D,)</f>
        <v>#N/A</v>
      </c>
      <c r="G3085" s="28" t="str">
        <f>_xlfn.XLOOKUP(Table134526_79101120212223242526[[#This Row],[Name Surname]],Manpower!$C$4:$C$1048576,Manpower!$F$4:$F$1048576,"")</f>
        <v>SCISSOR LIFT</v>
      </c>
      <c r="H3085" s="28" t="str">
        <f>_xlfn.XLOOKUP(Table134526_79101120212223242526[[#This Row],[Name Surname]],Manpower!$C$4:$C$1048576,Manpower!$H$4:$H$1048576,"")</f>
        <v>Equipment</v>
      </c>
      <c r="I3085" s="28" t="str">
        <f>_xlfn.XLOOKUP(Table134526_79101120212223242526[[#This Row],[Name Surname]],Manpower!$C$4:$C$1048576,Manpower!$H$4:$H$1048576,"")</f>
        <v>Equipment</v>
      </c>
      <c r="J3085" s="21" t="s">
        <v>143</v>
      </c>
      <c r="K3085" s="21" t="s">
        <v>26</v>
      </c>
      <c r="L3085" s="21" t="s">
        <v>144</v>
      </c>
      <c r="M3085" s="21" t="s">
        <v>55</v>
      </c>
      <c r="N3085" s="29">
        <v>10</v>
      </c>
      <c r="R3085" s="21" t="s">
        <v>56</v>
      </c>
      <c r="T3085" s="56"/>
    </row>
    <row r="3086" spans="1:20" ht="14.4">
      <c r="A3086" s="38">
        <f>IF(C3086="","",MAX($A$1:A3083)+1)</f>
        <v>2825</v>
      </c>
      <c r="B3086" s="27" t="s">
        <v>141</v>
      </c>
      <c r="C3086" s="23">
        <v>46106</v>
      </c>
      <c r="D3086" s="28" t="str">
        <f>_xlfn.XLOOKUP(Table134526_79101120212223242526[[#This Row],[Name Surname]],Manpower!$C$4:$C$1048576,Manpower!$B$4:$B$1048576,"")</f>
        <v>Encogroup</v>
      </c>
      <c r="E3086" s="21" t="s">
        <v>362</v>
      </c>
      <c r="F3086" s="12" t="e">
        <f>_xlfn.XLOOKUP(Table134526_79101120212223242526[[#This Row],[Name Surname]],Manpower!C:C,Manpower!D:D,)</f>
        <v>#N/A</v>
      </c>
      <c r="G3086" s="28" t="str">
        <f>_xlfn.XLOOKUP(Table134526_79101120212223242526[[#This Row],[Name Surname]],Manpower!$C$4:$C$1048576,Manpower!$F$4:$F$1048576,"")</f>
        <v>Trailer</v>
      </c>
      <c r="H3086" s="28" t="str">
        <f>_xlfn.XLOOKUP(Table134526_79101120212223242526[[#This Row],[Name Surname]],Manpower!$C$4:$C$1048576,Manpower!$H$4:$H$1048576,"")</f>
        <v>Equipment</v>
      </c>
      <c r="I3086" s="28" t="str">
        <f>_xlfn.XLOOKUP(Table134526_79101120212223242526[[#This Row],[Name Surname]],Manpower!$C$4:$C$1048576,Manpower!$H$4:$H$1048576,"")</f>
        <v>Equipment</v>
      </c>
      <c r="J3086" s="21" t="s">
        <v>143</v>
      </c>
      <c r="K3086" s="21" t="s">
        <v>26</v>
      </c>
      <c r="L3086" s="21" t="s">
        <v>144</v>
      </c>
      <c r="M3086" s="21" t="s">
        <v>24</v>
      </c>
      <c r="N3086" s="29">
        <v>10</v>
      </c>
      <c r="O3086" s="21" t="s">
        <v>40</v>
      </c>
      <c r="P3086" s="21" t="s">
        <v>42</v>
      </c>
      <c r="Q3086" s="21" t="s">
        <v>42</v>
      </c>
      <c r="R3086" s="21" t="s">
        <v>26</v>
      </c>
      <c r="T3086" s="56"/>
    </row>
    <row r="3087" spans="1:20" ht="14.4" hidden="1">
      <c r="A3087" s="38">
        <f>IF(C3087="","",MAX($A$1:A3086)+1)</f>
        <v>2826</v>
      </c>
      <c r="B3087" s="27" t="s">
        <v>141</v>
      </c>
      <c r="C3087" s="23">
        <v>46106</v>
      </c>
      <c r="D3087" s="28" t="str">
        <f>_xlfn.XLOOKUP(Table134526_79101120212223242526[[#This Row],[Name Surname]],Manpower!$C$4:$C$1048576,Manpower!$B$4:$B$1048576,"")</f>
        <v>Encogroup</v>
      </c>
      <c r="E3087" s="21" t="s">
        <v>363</v>
      </c>
      <c r="F3087" s="12">
        <f>_xlfn.XLOOKUP(Table134526_79101120212223242526[[#This Row],[Name Surname]],Manpower!C:C,Manpower!D:D,)</f>
        <v>7065269</v>
      </c>
      <c r="G3087" s="28" t="str">
        <f>_xlfn.XLOOKUP(Table134526_79101120212223242526[[#This Row],[Name Surname]],Manpower!$C$4:$C$1048576,Manpower!$F$4:$F$1048576,"")</f>
        <v>Lowbed Trailer Driver</v>
      </c>
      <c r="H3087" s="28" t="str">
        <f>_xlfn.XLOOKUP(Table134526_79101120212223242526[[#This Row],[Name Surname]],Manpower!$C$4:$C$1048576,Manpower!$H$4:$H$1048576,"")</f>
        <v>Manpower</v>
      </c>
      <c r="I3087" s="28" t="str">
        <f>_xlfn.XLOOKUP(Table134526_79101120212223242526[[#This Row],[Name Surname]],Manpower!$C$4:$C$1048576,Manpower!$H$4:$H$1048576,"")</f>
        <v>Manpower</v>
      </c>
      <c r="J3087" s="21" t="s">
        <v>143</v>
      </c>
      <c r="K3087" s="21" t="s">
        <v>26</v>
      </c>
      <c r="L3087" s="21" t="s">
        <v>144</v>
      </c>
      <c r="M3087" s="21" t="s">
        <v>24</v>
      </c>
      <c r="N3087" s="29">
        <v>8</v>
      </c>
      <c r="O3087" s="21" t="s">
        <v>40</v>
      </c>
      <c r="P3087" s="21" t="s">
        <v>42</v>
      </c>
      <c r="Q3087" s="21" t="s">
        <v>42</v>
      </c>
      <c r="R3087" s="21" t="s">
        <v>26</v>
      </c>
      <c r="T3087" s="56"/>
    </row>
    <row r="3088" spans="1:20" ht="14.4">
      <c r="A3088" s="38">
        <f>IF(C3088="","",MAX($A$1:A3083)+1)</f>
        <v>2825</v>
      </c>
      <c r="B3088" s="27" t="s">
        <v>141</v>
      </c>
      <c r="C3088" s="23">
        <v>46106</v>
      </c>
      <c r="D3088" s="28" t="str">
        <f>_xlfn.XLOOKUP(Table134526_79101120212223242526[[#This Row],[Name Surname]],Manpower!$C$4:$C$1048576,Manpower!$B$4:$B$1048576,"")</f>
        <v>Bright Light</v>
      </c>
      <c r="E3088" s="21" t="s">
        <v>210</v>
      </c>
      <c r="F3088" s="12" t="e">
        <f>_xlfn.XLOOKUP(Table134526_79101120212223242526[[#This Row],[Name Surname]],Manpower!C:C,Manpower!D:D,)</f>
        <v>#N/A</v>
      </c>
      <c r="G3088" s="28" t="str">
        <f>_xlfn.XLOOKUP(Table134526_79101120212223242526[[#This Row],[Name Surname]],Manpower!$C$4:$C$1048576,Manpower!$F$4:$F$1048576,"")</f>
        <v>Trailer</v>
      </c>
      <c r="H3088" s="28" t="str">
        <f>_xlfn.XLOOKUP(Table134526_79101120212223242526[[#This Row],[Name Surname]],Manpower!$C$4:$C$1048576,Manpower!$H$4:$H$1048576,"")</f>
        <v>Equipment</v>
      </c>
      <c r="I3088" s="28" t="str">
        <f>_xlfn.XLOOKUP(Table134526_79101120212223242526[[#This Row],[Name Surname]],Manpower!$C$4:$C$1048576,Manpower!$H$4:$H$1048576,"")</f>
        <v>Equipment</v>
      </c>
      <c r="J3088" s="21" t="s">
        <v>143</v>
      </c>
      <c r="K3088" s="21" t="s">
        <v>26</v>
      </c>
      <c r="L3088" s="21" t="s">
        <v>144</v>
      </c>
      <c r="M3088" s="21" t="s">
        <v>55</v>
      </c>
      <c r="N3088" s="29">
        <v>5</v>
      </c>
      <c r="R3088" s="21" t="s">
        <v>419</v>
      </c>
      <c r="T3088" s="56" t="s">
        <v>396</v>
      </c>
    </row>
    <row r="3089" spans="1:20" s="45" customFormat="1" ht="14.4" hidden="1">
      <c r="A3089" s="53">
        <f>IF(C3089="","",MAX($A$1:A3088)+1)</f>
        <v>2827</v>
      </c>
      <c r="B3089" s="25" t="s">
        <v>141</v>
      </c>
      <c r="C3089" s="41">
        <v>46106</v>
      </c>
      <c r="D3089" s="48" t="str">
        <f>_xlfn.XLOOKUP(Table134526_79101120212223242526[[#This Row],[Name Surname]],Manpower!$C$4:$C$1048576,Manpower!$B$4:$B$1048576,"")</f>
        <v xml:space="preserve">FAL Transport </v>
      </c>
      <c r="E3089" s="43" t="s">
        <v>225</v>
      </c>
      <c r="F3089" s="12">
        <f>_xlfn.XLOOKUP(Table134526_79101120212223242526[[#This Row],[Name Surname]],Manpower!C:C,Manpower!D:D,)</f>
        <v>124233837</v>
      </c>
      <c r="G3089" s="48" t="str">
        <f>_xlfn.XLOOKUP(Table134526_79101120212223242526[[#This Row],[Name Surname]],Manpower!$C$4:$C$1048576,Manpower!$F$4:$F$1048576,"")</f>
        <v>Trailer Driver</v>
      </c>
      <c r="H3089" s="48" t="str">
        <f>_xlfn.XLOOKUP(Table134526_79101120212223242526[[#This Row],[Name Surname]],Manpower!$C$4:$C$1048576,Manpower!$H$4:$H$1048576,"")</f>
        <v>Sub Contactor</v>
      </c>
      <c r="I3089" s="48" t="str">
        <f>_xlfn.XLOOKUP(Table134526_79101120212223242526[[#This Row],[Name Surname]],Manpower!$C$4:$C$1048576,Manpower!$H$4:$H$1048576,"")</f>
        <v>Sub Contactor</v>
      </c>
      <c r="J3089" s="43" t="s">
        <v>143</v>
      </c>
      <c r="K3089" s="43" t="s">
        <v>26</v>
      </c>
      <c r="L3089" s="43" t="s">
        <v>144</v>
      </c>
      <c r="M3089" s="43" t="s">
        <v>55</v>
      </c>
      <c r="N3089" s="44">
        <v>5</v>
      </c>
      <c r="O3089" s="43" t="s">
        <v>40</v>
      </c>
      <c r="P3089" s="43" t="s">
        <v>42</v>
      </c>
      <c r="Q3089" s="43" t="s">
        <v>42</v>
      </c>
      <c r="R3089" s="43" t="s">
        <v>226</v>
      </c>
      <c r="S3089" s="43"/>
      <c r="T3089" s="67" t="s">
        <v>396</v>
      </c>
    </row>
    <row r="3090" spans="1:20" ht="14.4" hidden="1">
      <c r="A3090" s="38">
        <f>IF(C3090="","",MAX($A$1:A3089)+1)</f>
        <v>2828</v>
      </c>
      <c r="B3090" s="27" t="s">
        <v>141</v>
      </c>
      <c r="C3090" s="23">
        <v>46106</v>
      </c>
      <c r="D3090" s="28" t="str">
        <f>_xlfn.XLOOKUP(Table134526_79101120212223242526[[#This Row],[Name Surname]],Manpower!$C$4:$C$1048576,Manpower!$B$4:$B$1048576,"")</f>
        <v>Encogroup</v>
      </c>
      <c r="E3090" s="21" t="s">
        <v>211</v>
      </c>
      <c r="F3090" s="12">
        <f>_xlfn.XLOOKUP(Table134526_79101120212223242526[[#This Row],[Name Surname]],Manpower!C:C,Manpower!D:D,)</f>
        <v>140477664</v>
      </c>
      <c r="G3090" s="28" t="str">
        <f>_xlfn.XLOOKUP(Table134526_79101120212223242526[[#This Row],[Name Surname]],Manpower!$C$4:$C$1048576,Manpower!$F$4:$F$1048576,"")</f>
        <v>Junior HSE Officer</v>
      </c>
      <c r="H3090" s="28" t="str">
        <f>_xlfn.XLOOKUP(Table134526_79101120212223242526[[#This Row],[Name Surname]],Manpower!$C$4:$C$1048576,Manpower!$H$4:$H$1048576,"")</f>
        <v>Manpower</v>
      </c>
      <c r="I3090" s="28" t="str">
        <f>_xlfn.XLOOKUP(Table134526_79101120212223242526[[#This Row],[Name Surname]],Manpower!$C$4:$C$1048576,Manpower!$H$4:$H$1048576,"")</f>
        <v>Manpower</v>
      </c>
      <c r="J3090" s="21" t="s">
        <v>143</v>
      </c>
      <c r="K3090" s="21" t="s">
        <v>26</v>
      </c>
      <c r="L3090" s="21" t="s">
        <v>144</v>
      </c>
      <c r="M3090" s="21" t="s">
        <v>55</v>
      </c>
      <c r="N3090" s="29">
        <v>5</v>
      </c>
      <c r="O3090" s="21" t="s">
        <v>40</v>
      </c>
      <c r="P3090" s="21" t="s">
        <v>42</v>
      </c>
      <c r="Q3090" s="21" t="s">
        <v>42</v>
      </c>
      <c r="R3090" s="21" t="s">
        <v>402</v>
      </c>
      <c r="T3090" s="56" t="s">
        <v>396</v>
      </c>
    </row>
    <row r="3091" spans="1:20" s="45" customFormat="1" ht="14.4" hidden="1">
      <c r="A3091" s="53">
        <f>IF(C3091="","",MAX($A$1:A3090)+1)</f>
        <v>2829</v>
      </c>
      <c r="B3091" s="25" t="s">
        <v>141</v>
      </c>
      <c r="C3091" s="41">
        <v>46106</v>
      </c>
      <c r="D3091" s="48" t="str">
        <f>_xlfn.XLOOKUP(Table134526_79101120212223242526[[#This Row],[Name Surname]],Manpower!$C$4:$C$1048576,Manpower!$B$4:$B$1048576,"")</f>
        <v>Encogroup</v>
      </c>
      <c r="E3091" s="43" t="s">
        <v>213</v>
      </c>
      <c r="F3091" s="12">
        <f>_xlfn.XLOOKUP(Table134526_79101120212223242526[[#This Row],[Name Surname]],Manpower!C:C,Manpower!D:D,)</f>
        <v>140846698</v>
      </c>
      <c r="G3091" s="48" t="str">
        <f>_xlfn.XLOOKUP(Table134526_79101120212223242526[[#This Row],[Name Surname]],Manpower!$C$4:$C$1048576,Manpower!$F$4:$F$1048576,"")</f>
        <v>Assistant/Helper</v>
      </c>
      <c r="H3091" s="48" t="str">
        <f>_xlfn.XLOOKUP(Table134526_79101120212223242526[[#This Row],[Name Surname]],Manpower!$C$4:$C$1048576,Manpower!$H$4:$H$1048576,"")</f>
        <v>Manpower</v>
      </c>
      <c r="I3091" s="48" t="str">
        <f>_xlfn.XLOOKUP(Table134526_79101120212223242526[[#This Row],[Name Surname]],Manpower!$C$4:$C$1048576,Manpower!$H$4:$H$1048576,"")</f>
        <v>Manpower</v>
      </c>
      <c r="J3091" s="43" t="s">
        <v>143</v>
      </c>
      <c r="K3091" s="43" t="s">
        <v>26</v>
      </c>
      <c r="L3091" s="43" t="s">
        <v>144</v>
      </c>
      <c r="M3091" s="43" t="s">
        <v>55</v>
      </c>
      <c r="N3091" s="44">
        <v>5</v>
      </c>
      <c r="O3091" s="43" t="s">
        <v>40</v>
      </c>
      <c r="P3091" s="43" t="s">
        <v>42</v>
      </c>
      <c r="Q3091" s="43" t="s">
        <v>42</v>
      </c>
      <c r="R3091" s="43" t="s">
        <v>402</v>
      </c>
      <c r="S3091" s="43"/>
      <c r="T3091" s="67" t="s">
        <v>396</v>
      </c>
    </row>
    <row r="3092" spans="1:20" s="45" customFormat="1" ht="14.4" hidden="1">
      <c r="A3092" s="53">
        <f>IF(C3092="","",MAX($A$1:A3091)+1)</f>
        <v>2830</v>
      </c>
      <c r="B3092" s="25" t="s">
        <v>141</v>
      </c>
      <c r="C3092" s="41">
        <v>46106</v>
      </c>
      <c r="D3092" s="48" t="str">
        <f>_xlfn.XLOOKUP(Table134526_79101120212223242526[[#This Row],[Name Surname]],Manpower!$C$4:$C$1048576,Manpower!$B$4:$B$1048576,"")</f>
        <v>Encogroup</v>
      </c>
      <c r="E3092" s="43" t="s">
        <v>217</v>
      </c>
      <c r="F3092" s="12">
        <f>_xlfn.XLOOKUP(Table134526_79101120212223242526[[#This Row],[Name Surname]],Manpower!C:C,Manpower!D:D,)</f>
        <v>140742177</v>
      </c>
      <c r="G3092" s="48" t="str">
        <f>_xlfn.XLOOKUP(Table134526_79101120212223242526[[#This Row],[Name Surname]],Manpower!$C$4:$C$1048576,Manpower!$F$4:$F$1048576,"")</f>
        <v>Grinder</v>
      </c>
      <c r="H3092" s="48" t="str">
        <f>_xlfn.XLOOKUP(Table134526_79101120212223242526[[#This Row],[Name Surname]],Manpower!$C$4:$C$1048576,Manpower!$H$4:$H$1048576,"")</f>
        <v>Manpower</v>
      </c>
      <c r="I3092" s="48" t="str">
        <f>_xlfn.XLOOKUP(Table134526_79101120212223242526[[#This Row],[Name Surname]],Manpower!$C$4:$C$1048576,Manpower!$H$4:$H$1048576,"")</f>
        <v>Manpower</v>
      </c>
      <c r="J3092" s="43" t="s">
        <v>143</v>
      </c>
      <c r="K3092" s="43" t="s">
        <v>26</v>
      </c>
      <c r="L3092" s="43" t="s">
        <v>144</v>
      </c>
      <c r="M3092" s="43" t="s">
        <v>55</v>
      </c>
      <c r="N3092" s="44">
        <v>5</v>
      </c>
      <c r="O3092" s="43" t="s">
        <v>40</v>
      </c>
      <c r="P3092" s="43" t="s">
        <v>42</v>
      </c>
      <c r="Q3092" s="43" t="s">
        <v>42</v>
      </c>
      <c r="R3092" s="43" t="s">
        <v>402</v>
      </c>
      <c r="S3092" s="43"/>
      <c r="T3092" s="67" t="s">
        <v>396</v>
      </c>
    </row>
    <row r="3093" spans="1:20" s="45" customFormat="1" ht="14.4" hidden="1">
      <c r="A3093" s="53">
        <f>IF(C3093="","",MAX($A$1:A3092)+1)</f>
        <v>2831</v>
      </c>
      <c r="B3093" s="25" t="s">
        <v>141</v>
      </c>
      <c r="C3093" s="41">
        <v>46106</v>
      </c>
      <c r="D3093" s="48" t="str">
        <f>_xlfn.XLOOKUP(Table134526_79101120212223242526[[#This Row],[Name Surname]],Manpower!$C$4:$C$1048576,Manpower!$B$4:$B$1048576,"")</f>
        <v>Encogroup</v>
      </c>
      <c r="E3093" s="43" t="s">
        <v>188</v>
      </c>
      <c r="F3093" s="12">
        <f>_xlfn.XLOOKUP(Table134526_79101120212223242526[[#This Row],[Name Surname]],Manpower!C:C,Manpower!D:D,)</f>
        <v>140696975</v>
      </c>
      <c r="G3093" s="48" t="str">
        <f>_xlfn.XLOOKUP(Table134526_79101120212223242526[[#This Row],[Name Surname]],Manpower!$C$4:$C$1048576,Manpower!$F$4:$F$1048576,"")</f>
        <v>Assistant/Helper</v>
      </c>
      <c r="H3093" s="48" t="str">
        <f>_xlfn.XLOOKUP(Table134526_79101120212223242526[[#This Row],[Name Surname]],Manpower!$C$4:$C$1048576,Manpower!$H$4:$H$1048576,"")</f>
        <v>Manpower</v>
      </c>
      <c r="I3093" s="48" t="str">
        <f>_xlfn.XLOOKUP(Table134526_79101120212223242526[[#This Row],[Name Surname]],Manpower!$C$4:$C$1048576,Manpower!$H$4:$H$1048576,"")</f>
        <v>Manpower</v>
      </c>
      <c r="J3093" s="43" t="s">
        <v>158</v>
      </c>
      <c r="K3093" s="43" t="s">
        <v>26</v>
      </c>
      <c r="L3093" s="43" t="s">
        <v>26</v>
      </c>
      <c r="M3093" s="43" t="s">
        <v>55</v>
      </c>
      <c r="N3093" s="44">
        <v>5</v>
      </c>
      <c r="O3093" s="43" t="s">
        <v>159</v>
      </c>
      <c r="P3093" s="43" t="s">
        <v>160</v>
      </c>
      <c r="Q3093" s="43" t="s">
        <v>160</v>
      </c>
      <c r="R3093" s="43" t="s">
        <v>161</v>
      </c>
      <c r="S3093" s="43" t="s">
        <v>230</v>
      </c>
      <c r="T3093" s="67" t="s">
        <v>396</v>
      </c>
    </row>
    <row r="3094" spans="1:20" s="45" customFormat="1" ht="14.4" hidden="1">
      <c r="A3094" s="53">
        <f>IF(C3094="","",MAX($A$1:A3093)+1)</f>
        <v>2832</v>
      </c>
      <c r="B3094" s="25" t="s">
        <v>141</v>
      </c>
      <c r="C3094" s="41">
        <v>46106</v>
      </c>
      <c r="D3094" s="48" t="str">
        <f>_xlfn.XLOOKUP(Table134526_79101120212223242526[[#This Row],[Name Surname]],Manpower!$C$4:$C$1048576,Manpower!$B$4:$B$1048576,"")</f>
        <v>Encogroup</v>
      </c>
      <c r="E3094" s="43" t="s">
        <v>204</v>
      </c>
      <c r="F3094" s="12">
        <f>_xlfn.XLOOKUP(Table134526_79101120212223242526[[#This Row],[Name Surname]],Manpower!C:C,Manpower!D:D,)</f>
        <v>140844572</v>
      </c>
      <c r="G3094" s="48" t="str">
        <f>_xlfn.XLOOKUP(Table134526_79101120212223242526[[#This Row],[Name Surname]],Manpower!$C$4:$C$1048576,Manpower!$F$4:$F$1048576,"")</f>
        <v>Assistant/Helper</v>
      </c>
      <c r="H3094" s="48" t="str">
        <f>_xlfn.XLOOKUP(Table134526_79101120212223242526[[#This Row],[Name Surname]],Manpower!$C$4:$C$1048576,Manpower!$H$4:$H$1048576,"")</f>
        <v>Manpower</v>
      </c>
      <c r="I3094" s="48" t="str">
        <f>_xlfn.XLOOKUP(Table134526_79101120212223242526[[#This Row],[Name Surname]],Manpower!$C$4:$C$1048576,Manpower!$H$4:$H$1048576,"")</f>
        <v>Manpower</v>
      </c>
      <c r="J3094" s="43" t="s">
        <v>158</v>
      </c>
      <c r="K3094" s="43" t="s">
        <v>26</v>
      </c>
      <c r="L3094" s="43" t="s">
        <v>26</v>
      </c>
      <c r="M3094" s="43" t="s">
        <v>55</v>
      </c>
      <c r="N3094" s="44">
        <v>5</v>
      </c>
      <c r="O3094" s="43" t="s">
        <v>159</v>
      </c>
      <c r="P3094" s="43" t="s">
        <v>160</v>
      </c>
      <c r="Q3094" s="43" t="s">
        <v>160</v>
      </c>
      <c r="R3094" s="43" t="s">
        <v>161</v>
      </c>
      <c r="S3094" s="43" t="s">
        <v>230</v>
      </c>
      <c r="T3094" s="67" t="s">
        <v>396</v>
      </c>
    </row>
    <row r="3095" spans="1:20" s="45" customFormat="1" ht="14.4" hidden="1">
      <c r="A3095" s="53">
        <f>IF(C3095="","",MAX($A$1:A3094)+1)</f>
        <v>2833</v>
      </c>
      <c r="B3095" s="25" t="s">
        <v>141</v>
      </c>
      <c r="C3095" s="41">
        <v>46106</v>
      </c>
      <c r="D3095" s="48" t="str">
        <f>_xlfn.XLOOKUP(Table134526_79101120212223242526[[#This Row],[Name Surname]],Manpower!$C$4:$C$1048576,Manpower!$B$4:$B$1048576,"")</f>
        <v>Encogroup</v>
      </c>
      <c r="E3095" s="43" t="s">
        <v>168</v>
      </c>
      <c r="F3095" s="12">
        <f>_xlfn.XLOOKUP(Table134526_79101120212223242526[[#This Row],[Name Surname]],Manpower!C:C,Manpower!D:D,)</f>
        <v>137114773</v>
      </c>
      <c r="G3095" s="48" t="str">
        <f>_xlfn.XLOOKUP(Table134526_79101120212223242526[[#This Row],[Name Surname]],Manpower!$C$4:$C$1048576,Manpower!$F$4:$F$1048576,"")</f>
        <v>Rigger</v>
      </c>
      <c r="H3095" s="48" t="str">
        <f>_xlfn.XLOOKUP(Table134526_79101120212223242526[[#This Row],[Name Surname]],Manpower!$C$4:$C$1048576,Manpower!$H$4:$H$1048576,"")</f>
        <v>Manpower</v>
      </c>
      <c r="I3095" s="48" t="str">
        <f>_xlfn.XLOOKUP(Table134526_79101120212223242526[[#This Row],[Name Surname]],Manpower!$C$4:$C$1048576,Manpower!$H$4:$H$1048576,"")</f>
        <v>Manpower</v>
      </c>
      <c r="J3095" s="43" t="s">
        <v>143</v>
      </c>
      <c r="K3095" s="43" t="s">
        <v>26</v>
      </c>
      <c r="L3095" s="43" t="s">
        <v>144</v>
      </c>
      <c r="M3095" s="43" t="s">
        <v>55</v>
      </c>
      <c r="N3095" s="44">
        <v>5</v>
      </c>
      <c r="O3095" s="43" t="s">
        <v>40</v>
      </c>
      <c r="P3095" s="43" t="s">
        <v>42</v>
      </c>
      <c r="Q3095" s="43" t="s">
        <v>42</v>
      </c>
      <c r="R3095" s="43" t="s">
        <v>402</v>
      </c>
      <c r="S3095" s="43"/>
      <c r="T3095" s="67" t="s">
        <v>396</v>
      </c>
    </row>
    <row r="3096" spans="1:20" ht="14.4">
      <c r="A3096" s="38">
        <f>IF(C3096="","",MAX($A$1:A3094)+1)</f>
        <v>2833</v>
      </c>
      <c r="B3096" s="27" t="s">
        <v>141</v>
      </c>
      <c r="C3096" s="23">
        <v>46106</v>
      </c>
      <c r="D3096" s="28" t="str">
        <f>_xlfn.XLOOKUP(Table134526_79101120212223242526[[#This Row],[Name Surname]],Manpower!$C$4:$C$1048576,Manpower!$B$4:$B$1048576,"")</f>
        <v>Encogroup</v>
      </c>
      <c r="E3096" s="23" t="s">
        <v>219</v>
      </c>
      <c r="F3096" s="12" t="e">
        <f>_xlfn.XLOOKUP(Table134526_79101120212223242526[[#This Row],[Name Surname]],Manpower!C:C,Manpower!D:D,)</f>
        <v>#N/A</v>
      </c>
      <c r="G3096" s="28" t="str">
        <f>_xlfn.XLOOKUP(Table134526_79101120212223242526[[#This Row],[Name Surname]],Manpower!$C$4:$C$1048576,Manpower!$F$4:$F$1048576,"")</f>
        <v>TOWER LIGHT</v>
      </c>
      <c r="H3096" s="28" t="str">
        <f>_xlfn.XLOOKUP(Table134526_79101120212223242526[[#This Row],[Name Surname]],Manpower!$C$4:$C$1048576,Manpower!$H$4:$H$1048576,"")</f>
        <v>Equipment</v>
      </c>
      <c r="I3096" s="28" t="str">
        <f>_xlfn.XLOOKUP(Table134526_79101120212223242526[[#This Row],[Name Surname]],Manpower!$C$4:$C$1048576,Manpower!$H$4:$H$1048576,"")</f>
        <v>Equipment</v>
      </c>
      <c r="J3096" s="21" t="s">
        <v>143</v>
      </c>
      <c r="K3096" s="21" t="s">
        <v>26</v>
      </c>
      <c r="L3096" s="21" t="s">
        <v>144</v>
      </c>
      <c r="M3096" s="21" t="s">
        <v>55</v>
      </c>
      <c r="N3096" s="29">
        <v>5</v>
      </c>
      <c r="R3096" s="21" t="s">
        <v>56</v>
      </c>
      <c r="T3096" s="56" t="s">
        <v>396</v>
      </c>
    </row>
    <row r="3097" spans="1:20" ht="14.4">
      <c r="A3097" s="38">
        <f>IF(C3097="","",MAX($A$1:A3096)+1)</f>
        <v>2834</v>
      </c>
      <c r="B3097" s="27" t="s">
        <v>141</v>
      </c>
      <c r="C3097" s="23">
        <v>46106</v>
      </c>
      <c r="D3097" s="28" t="str">
        <f>_xlfn.XLOOKUP(Table134526_79101120212223242526[[#This Row],[Name Surname]],Manpower!$C$4:$C$1048576,Manpower!$B$4:$B$1048576,"")</f>
        <v>Encogroup</v>
      </c>
      <c r="E3097" s="23" t="s">
        <v>220</v>
      </c>
      <c r="F3097" s="12" t="e">
        <f>_xlfn.XLOOKUP(Table134526_79101120212223242526[[#This Row],[Name Surname]],Manpower!C:C,Manpower!D:D,)</f>
        <v>#N/A</v>
      </c>
      <c r="G3097" s="28" t="str">
        <f>_xlfn.XLOOKUP(Table134526_79101120212223242526[[#This Row],[Name Surname]],Manpower!$C$4:$C$1048576,Manpower!$F$4:$F$1048576,"")</f>
        <v>TOWER LIGHT</v>
      </c>
      <c r="H3097" s="28" t="str">
        <f>_xlfn.XLOOKUP(Table134526_79101120212223242526[[#This Row],[Name Surname]],Manpower!$C$4:$C$1048576,Manpower!$H$4:$H$1048576,"")</f>
        <v>Equipment</v>
      </c>
      <c r="I3097" s="28" t="str">
        <f>_xlfn.XLOOKUP(Table134526_79101120212223242526[[#This Row],[Name Surname]],Manpower!$C$4:$C$1048576,Manpower!$H$4:$H$1048576,"")</f>
        <v>Equipment</v>
      </c>
      <c r="J3097" s="21" t="s">
        <v>143</v>
      </c>
      <c r="K3097" s="21" t="s">
        <v>26</v>
      </c>
      <c r="L3097" s="21" t="s">
        <v>144</v>
      </c>
      <c r="M3097" s="21" t="s">
        <v>55</v>
      </c>
      <c r="N3097" s="29">
        <v>5</v>
      </c>
      <c r="R3097" s="21" t="s">
        <v>56</v>
      </c>
      <c r="T3097" s="56" t="s">
        <v>396</v>
      </c>
    </row>
    <row r="3098" spans="1:20" ht="14.4" hidden="1">
      <c r="A3098" s="38">
        <f>IF(C3098="","",MAX($A$1:A3097)+1)</f>
        <v>2835</v>
      </c>
      <c r="B3098" s="27" t="s">
        <v>141</v>
      </c>
      <c r="C3098" s="23">
        <v>46106</v>
      </c>
      <c r="D3098" s="28" t="str">
        <f>_xlfn.XLOOKUP(Table134526_79101120212223242526[[#This Row],[Name Surname]],Manpower!$C$4:$C$1048576,Manpower!$B$4:$B$1048576,"")</f>
        <v>Encogroup</v>
      </c>
      <c r="E3098" s="23" t="s">
        <v>223</v>
      </c>
      <c r="F3098" s="12">
        <f>_xlfn.XLOOKUP(Table134526_79101120212223242526[[#This Row],[Name Surname]],Manpower!C:C,Manpower!D:D,)</f>
        <v>140696989</v>
      </c>
      <c r="G3098" s="28" t="str">
        <f>_xlfn.XLOOKUP(Table134526_79101120212223242526[[#This Row],[Name Surname]],Manpower!$C$4:$C$1048576,Manpower!$F$4:$F$1048576,"")</f>
        <v>Assistant/Helper</v>
      </c>
      <c r="H3098" s="28" t="str">
        <f>_xlfn.XLOOKUP(Table134526_79101120212223242526[[#This Row],[Name Surname]],Manpower!$C$4:$C$1048576,Manpower!$H$4:$H$1048576,"")</f>
        <v>Manpower</v>
      </c>
      <c r="I3098" s="28" t="str">
        <f>_xlfn.XLOOKUP(Table134526_79101120212223242526[[#This Row],[Name Surname]],Manpower!$C$4:$C$1048576,Manpower!$H$4:$H$1048576,"")</f>
        <v>Manpower</v>
      </c>
      <c r="J3098" s="21"/>
      <c r="N3098" s="29"/>
      <c r="T3098" s="56"/>
    </row>
    <row r="3099" spans="1:20" s="45" customFormat="1" ht="14.4" hidden="1">
      <c r="A3099" s="53">
        <f>IF(C3099="","",MAX($A$1:A3098)+1)</f>
        <v>2836</v>
      </c>
      <c r="B3099" s="25" t="s">
        <v>141</v>
      </c>
      <c r="C3099" s="41">
        <v>46106</v>
      </c>
      <c r="D3099" s="48" t="str">
        <f>_xlfn.XLOOKUP(Table134526_79101120212223242526[[#This Row],[Name Surname]],Manpower!$C$4:$C$1048576,Manpower!$B$4:$B$1048576,"")</f>
        <v>Encogroup</v>
      </c>
      <c r="E3099" s="41" t="s">
        <v>223</v>
      </c>
      <c r="F3099" s="12">
        <f>_xlfn.XLOOKUP(Table134526_79101120212223242526[[#This Row],[Name Surname]],Manpower!C:C,Manpower!D:D,)</f>
        <v>140696989</v>
      </c>
      <c r="G3099" s="48" t="str">
        <f>_xlfn.XLOOKUP(Table134526_79101120212223242526[[#This Row],[Name Surname]],Manpower!$C$4:$C$1048576,Manpower!$F$4:$F$1048576,"")</f>
        <v>Assistant/Helper</v>
      </c>
      <c r="H3099" s="48" t="str">
        <f>_xlfn.XLOOKUP(Table134526_79101120212223242526[[#This Row],[Name Surname]],Manpower!$C$4:$C$1048576,Manpower!$H$4:$H$1048576,"")</f>
        <v>Manpower</v>
      </c>
      <c r="I3099" s="48" t="str">
        <f>_xlfn.XLOOKUP(Table134526_79101120212223242526[[#This Row],[Name Surname]],Manpower!$C$4:$C$1048576,Manpower!$H$4:$H$1048576,"")</f>
        <v>Manpower</v>
      </c>
      <c r="J3099" s="43" t="s">
        <v>143</v>
      </c>
      <c r="K3099" s="43" t="s">
        <v>26</v>
      </c>
      <c r="L3099" s="43" t="s">
        <v>144</v>
      </c>
      <c r="M3099" s="43" t="s">
        <v>55</v>
      </c>
      <c r="N3099" s="44">
        <v>3</v>
      </c>
      <c r="O3099" s="43" t="s">
        <v>40</v>
      </c>
      <c r="P3099" s="43" t="s">
        <v>42</v>
      </c>
      <c r="Q3099" s="43" t="s">
        <v>42</v>
      </c>
      <c r="R3099" s="43" t="s">
        <v>402</v>
      </c>
      <c r="S3099" s="43"/>
      <c r="T3099" s="67"/>
    </row>
    <row r="3100" spans="1:20" s="45" customFormat="1" ht="14.4" hidden="1">
      <c r="A3100" s="53" t="str">
        <f>IF(C3100="","",MAX($A$1:A3099)+1)</f>
        <v/>
      </c>
      <c r="B3100" s="25"/>
      <c r="C3100" s="41"/>
      <c r="D3100" s="48" t="str">
        <f>_xlfn.XLOOKUP(Table134526_79101120212223242526[[#This Row],[Name Surname]],Manpower!$C$4:$C$1048576,Manpower!$B$4:$B$1048576,"")</f>
        <v>Encogroup</v>
      </c>
      <c r="E3100" s="41" t="s">
        <v>168</v>
      </c>
      <c r="F3100" s="12">
        <f>_xlfn.XLOOKUP(Table134526_79101120212223242526[[#This Row],[Name Surname]],Manpower!C:C,Manpower!D:D,)</f>
        <v>137114773</v>
      </c>
      <c r="G3100" s="48" t="str">
        <f>_xlfn.XLOOKUP(Table134526_79101120212223242526[[#This Row],[Name Surname]],Manpower!$C$4:$C$1048576,Manpower!$F$4:$F$1048576,"")</f>
        <v>Rigger</v>
      </c>
      <c r="H3100" s="48" t="str">
        <f>_xlfn.XLOOKUP(Table134526_79101120212223242526[[#This Row],[Name Surname]],Manpower!$C$4:$C$1048576,Manpower!$H$4:$H$1048576,"")</f>
        <v>Manpower</v>
      </c>
      <c r="I3100" s="48" t="str">
        <f>_xlfn.XLOOKUP(Table134526_79101120212223242526[[#This Row],[Name Surname]],Manpower!$C$4:$C$1048576,Manpower!$H$4:$H$1048576,"")</f>
        <v>Manpower</v>
      </c>
      <c r="J3100" s="43"/>
      <c r="K3100" s="43"/>
      <c r="L3100" s="43"/>
      <c r="M3100" s="43"/>
      <c r="N3100" s="44"/>
      <c r="O3100" s="43"/>
      <c r="P3100" s="43"/>
      <c r="Q3100" s="43"/>
      <c r="R3100" s="43"/>
      <c r="S3100" s="43"/>
      <c r="T3100" s="67"/>
    </row>
    <row r="3101" spans="1:20" s="45" customFormat="1" ht="14.4" hidden="1">
      <c r="A3101" s="53">
        <f>IF(C3101="","",MAX($A$1:A3097)+1)</f>
        <v>2835</v>
      </c>
      <c r="B3101" s="25" t="s">
        <v>141</v>
      </c>
      <c r="C3101" s="41">
        <v>46106</v>
      </c>
      <c r="D3101" s="48" t="str">
        <f>_xlfn.XLOOKUP(Table134526_79101120212223242526[[#This Row],[Name Surname]],Manpower!$C$4:$C$1048576,Manpower!$B$4:$B$1048576,"")</f>
        <v>Encogroup</v>
      </c>
      <c r="E3101" s="43" t="s">
        <v>222</v>
      </c>
      <c r="F3101" s="12">
        <f>_xlfn.XLOOKUP(Table134526_79101120212223242526[[#This Row],[Name Surname]],Manpower!C:C,Manpower!D:D,)</f>
        <v>122082863</v>
      </c>
      <c r="G3101" s="48" t="str">
        <f>_xlfn.XLOOKUP(Table134526_79101120212223242526[[#This Row],[Name Surname]],Manpower!$C$4:$C$1048576,Manpower!$F$4:$F$1048576,"")</f>
        <v>Grinder</v>
      </c>
      <c r="H3101" s="48" t="str">
        <f>_xlfn.XLOOKUP(Table134526_79101120212223242526[[#This Row],[Name Surname]],Manpower!$C$4:$C$1048576,Manpower!$H$4:$H$1048576,"")</f>
        <v>Manpower</v>
      </c>
      <c r="I3101" s="48" t="str">
        <f>_xlfn.XLOOKUP(Table134526_79101120212223242526[[#This Row],[Name Surname]],Manpower!$C$4:$C$1048576,Manpower!$H$4:$H$1048576,"")</f>
        <v>Manpower</v>
      </c>
      <c r="J3101" s="43" t="s">
        <v>143</v>
      </c>
      <c r="K3101" s="43" t="s">
        <v>26</v>
      </c>
      <c r="L3101" s="43" t="s">
        <v>144</v>
      </c>
      <c r="M3101" s="43" t="s">
        <v>55</v>
      </c>
      <c r="N3101" s="44">
        <v>5</v>
      </c>
      <c r="O3101" s="43" t="s">
        <v>40</v>
      </c>
      <c r="P3101" s="43" t="s">
        <v>42</v>
      </c>
      <c r="Q3101" s="43" t="s">
        <v>42</v>
      </c>
      <c r="R3101" s="43" t="s">
        <v>402</v>
      </c>
      <c r="S3101" s="43"/>
      <c r="T3101" s="67" t="s">
        <v>396</v>
      </c>
    </row>
    <row r="3102" spans="1:20" s="45" customFormat="1" ht="14.4" hidden="1">
      <c r="A3102" s="53">
        <f>IF(C3102="","",MAX($A$1:A3101)+1)</f>
        <v>2837</v>
      </c>
      <c r="B3102" s="25" t="s">
        <v>141</v>
      </c>
      <c r="C3102" s="41">
        <v>46106</v>
      </c>
      <c r="D3102" s="48" t="str">
        <f>_xlfn.XLOOKUP(Table134526_79101120212223242526[[#This Row],[Name Surname]],Manpower!$C$4:$C$1048576,Manpower!$B$4:$B$1048576,"")</f>
        <v>Encogroup</v>
      </c>
      <c r="E3102" s="43" t="s">
        <v>223</v>
      </c>
      <c r="F3102" s="12">
        <f>_xlfn.XLOOKUP(Table134526_79101120212223242526[[#This Row],[Name Surname]],Manpower!C:C,Manpower!D:D,)</f>
        <v>140696989</v>
      </c>
      <c r="G3102" s="48" t="str">
        <f>_xlfn.XLOOKUP(Table134526_79101120212223242526[[#This Row],[Name Surname]],Manpower!$C$4:$C$1048576,Manpower!$F$4:$F$1048576,"")</f>
        <v>Assistant/Helper</v>
      </c>
      <c r="H3102" s="48" t="str">
        <f>_xlfn.XLOOKUP(Table134526_79101120212223242526[[#This Row],[Name Surname]],Manpower!$C$4:$C$1048576,Manpower!$H$4:$H$1048576,"")</f>
        <v>Manpower</v>
      </c>
      <c r="I3102" s="48" t="str">
        <f>_xlfn.XLOOKUP(Table134526_79101120212223242526[[#This Row],[Name Surname]],Manpower!$C$4:$C$1048576,Manpower!$H$4:$H$1048576,"")</f>
        <v>Manpower</v>
      </c>
      <c r="J3102" s="43" t="s">
        <v>158</v>
      </c>
      <c r="K3102" s="43" t="s">
        <v>26</v>
      </c>
      <c r="L3102" s="43" t="s">
        <v>26</v>
      </c>
      <c r="M3102" s="43" t="s">
        <v>55</v>
      </c>
      <c r="N3102" s="44">
        <v>2</v>
      </c>
      <c r="O3102" s="43" t="s">
        <v>159</v>
      </c>
      <c r="P3102" s="43" t="s">
        <v>160</v>
      </c>
      <c r="Q3102" s="43" t="s">
        <v>160</v>
      </c>
      <c r="R3102" s="43" t="s">
        <v>161</v>
      </c>
      <c r="S3102" s="43"/>
      <c r="T3102" s="67" t="s">
        <v>396</v>
      </c>
    </row>
    <row r="3103" spans="1:20" ht="14.4" hidden="1">
      <c r="A3103" s="38">
        <f>IF(C3103="","",MAX($A$1:A3102)+1)</f>
        <v>2838</v>
      </c>
      <c r="B3103" s="27" t="s">
        <v>141</v>
      </c>
      <c r="C3103" s="23">
        <v>46106</v>
      </c>
      <c r="D3103" s="28" t="str">
        <f>_xlfn.XLOOKUP(Table134526_79101120212223242526[[#This Row],[Name Surname]],Manpower!$C$4:$C$1048576,Manpower!$B$4:$B$1048576,"")</f>
        <v>Encogroup</v>
      </c>
      <c r="E3103" s="21" t="s">
        <v>218</v>
      </c>
      <c r="F3103" s="12">
        <f>_xlfn.XLOOKUP(Table134526_79101120212223242526[[#This Row],[Name Surname]],Manpower!C:C,Manpower!D:D,)</f>
        <v>116853914</v>
      </c>
      <c r="G3103" s="28" t="str">
        <f>_xlfn.XLOOKUP(Table134526_79101120212223242526[[#This Row],[Name Surname]],Manpower!$C$4:$C$1048576,Manpower!$F$4:$F$1048576,"")</f>
        <v>Electrical Supervisor</v>
      </c>
      <c r="H3103" s="28" t="str">
        <f>_xlfn.XLOOKUP(Table134526_79101120212223242526[[#This Row],[Name Surname]],Manpower!$C$4:$C$1048576,Manpower!$H$4:$H$1048576,"")</f>
        <v>Manpower</v>
      </c>
      <c r="I3103" s="28" t="str">
        <f>_xlfn.XLOOKUP(Table134526_79101120212223242526[[#This Row],[Name Surname]],Manpower!$C$4:$C$1048576,Manpower!$H$4:$H$1048576,"")</f>
        <v>Manpower</v>
      </c>
      <c r="J3103" s="21" t="s">
        <v>158</v>
      </c>
      <c r="K3103" s="21" t="s">
        <v>26</v>
      </c>
      <c r="L3103" s="21" t="s">
        <v>26</v>
      </c>
      <c r="M3103" s="21" t="s">
        <v>55</v>
      </c>
      <c r="N3103" s="29">
        <v>5</v>
      </c>
      <c r="O3103" s="21" t="s">
        <v>159</v>
      </c>
      <c r="P3103" s="21" t="s">
        <v>160</v>
      </c>
      <c r="Q3103" s="21" t="s">
        <v>160</v>
      </c>
      <c r="R3103" s="21" t="s">
        <v>161</v>
      </c>
      <c r="T3103" s="56" t="s">
        <v>396</v>
      </c>
    </row>
    <row r="3104" spans="1:20" ht="14.4" hidden="1">
      <c r="A3104" s="38">
        <f>IF(C3104="","",MAX($A$1:A3103)+1)</f>
        <v>2839</v>
      </c>
      <c r="B3104" s="27" t="s">
        <v>141</v>
      </c>
      <c r="C3104" s="23">
        <v>46106</v>
      </c>
      <c r="D3104" s="28" t="str">
        <f>_xlfn.XLOOKUP(Table134526_79101120212223242526[[#This Row],[Name Surname]],Manpower!$C$4:$C$1048576,Manpower!$B$4:$B$1048576,"")</f>
        <v>Encogroup</v>
      </c>
      <c r="E3104" s="21" t="s">
        <v>346</v>
      </c>
      <c r="F3104" s="12">
        <f>_xlfn.XLOOKUP(Table134526_79101120212223242526[[#This Row],[Name Surname]],Manpower!C:C,Manpower!D:D,)</f>
        <v>117974933</v>
      </c>
      <c r="G3104" s="28" t="str">
        <f>_xlfn.XLOOKUP(Table134526_79101120212223242526[[#This Row],[Name Surname]],Manpower!$C$4:$C$1048576,Manpower!$F$4:$F$1048576,"")</f>
        <v>Scaffolder</v>
      </c>
      <c r="H3104" s="28" t="str">
        <f>_xlfn.XLOOKUP(Table134526_79101120212223242526[[#This Row],[Name Surname]],Manpower!$C$4:$C$1048576,Manpower!$H$4:$H$1048576,"")</f>
        <v>Manpower</v>
      </c>
      <c r="I3104" s="28" t="str">
        <f>_xlfn.XLOOKUP(Table134526_79101120212223242526[[#This Row],[Name Surname]],Manpower!$C$4:$C$1048576,Manpower!$H$4:$H$1048576,"")</f>
        <v>Manpower</v>
      </c>
      <c r="J3104" s="21" t="s">
        <v>158</v>
      </c>
      <c r="K3104" s="21" t="s">
        <v>26</v>
      </c>
      <c r="L3104" s="21" t="s">
        <v>26</v>
      </c>
      <c r="M3104" s="21" t="s">
        <v>55</v>
      </c>
      <c r="N3104" s="29">
        <v>5</v>
      </c>
      <c r="O3104" s="21" t="s">
        <v>159</v>
      </c>
      <c r="P3104" s="21" t="s">
        <v>160</v>
      </c>
      <c r="Q3104" s="21" t="s">
        <v>160</v>
      </c>
      <c r="R3104" s="21" t="s">
        <v>161</v>
      </c>
      <c r="T3104" s="56" t="s">
        <v>396</v>
      </c>
    </row>
    <row r="3105" spans="1:20" ht="14.4" hidden="1">
      <c r="A3105" s="38">
        <f>IF(C3105="","",MAX($A$1:A3104)+1)</f>
        <v>2840</v>
      </c>
      <c r="B3105" s="27" t="s">
        <v>141</v>
      </c>
      <c r="C3105" s="23">
        <v>46106</v>
      </c>
      <c r="D3105" s="28" t="str">
        <f>_xlfn.XLOOKUP(Table134526_79101120212223242526[[#This Row],[Name Surname]],Manpower!$C$4:$C$1048576,Manpower!$B$4:$B$1048576,"")</f>
        <v>Encogroup</v>
      </c>
      <c r="E3105" s="21" t="s">
        <v>347</v>
      </c>
      <c r="F3105" s="12">
        <f>_xlfn.XLOOKUP(Table134526_79101120212223242526[[#This Row],[Name Surname]],Manpower!C:C,Manpower!D:D,)</f>
        <v>141502853</v>
      </c>
      <c r="G3105" s="28" t="str">
        <f>_xlfn.XLOOKUP(Table134526_79101120212223242526[[#This Row],[Name Surname]],Manpower!$C$4:$C$1048576,Manpower!$F$4:$F$1048576,"")</f>
        <v>Scaffolder</v>
      </c>
      <c r="H3105" s="28" t="str">
        <f>_xlfn.XLOOKUP(Table134526_79101120212223242526[[#This Row],[Name Surname]],Manpower!$C$4:$C$1048576,Manpower!$H$4:$H$1048576,"")</f>
        <v>Manpower</v>
      </c>
      <c r="I3105" s="28" t="str">
        <f>_xlfn.XLOOKUP(Table134526_79101120212223242526[[#This Row],[Name Surname]],Manpower!$C$4:$C$1048576,Manpower!$H$4:$H$1048576,"")</f>
        <v>Manpower</v>
      </c>
      <c r="J3105" s="21" t="s">
        <v>158</v>
      </c>
      <c r="K3105" s="21" t="s">
        <v>26</v>
      </c>
      <c r="L3105" s="21" t="s">
        <v>26</v>
      </c>
      <c r="M3105" s="21" t="s">
        <v>55</v>
      </c>
      <c r="N3105" s="29">
        <v>5</v>
      </c>
      <c r="O3105" s="21" t="s">
        <v>159</v>
      </c>
      <c r="P3105" s="21" t="s">
        <v>160</v>
      </c>
      <c r="Q3105" s="21" t="s">
        <v>160</v>
      </c>
      <c r="R3105" s="21" t="s">
        <v>161</v>
      </c>
      <c r="T3105" s="56" t="s">
        <v>396</v>
      </c>
    </row>
    <row r="3106" spans="1:20" ht="14.4" hidden="1">
      <c r="A3106" s="38">
        <f>IF(C3106="","",MAX($A$1:A3105)+1)</f>
        <v>2841</v>
      </c>
      <c r="B3106" s="27" t="s">
        <v>141</v>
      </c>
      <c r="C3106" s="23">
        <v>46106</v>
      </c>
      <c r="D3106" s="28" t="str">
        <f>_xlfn.XLOOKUP(Table134526_79101120212223242526[[#This Row],[Name Surname]],Manpower!$C$4:$C$1048576,Manpower!$B$4:$B$1048576,"")</f>
        <v>Encogroup</v>
      </c>
      <c r="E3106" s="21" t="s">
        <v>264</v>
      </c>
      <c r="F3106" s="12">
        <f>_xlfn.XLOOKUP(Table134526_79101120212223242526[[#This Row],[Name Surname]],Manpower!C:C,Manpower!D:D,)</f>
        <v>141365061</v>
      </c>
      <c r="G3106" s="28" t="str">
        <f>_xlfn.XLOOKUP(Table134526_79101120212223242526[[#This Row],[Name Surname]],Manpower!$C$4:$C$1048576,Manpower!$F$4:$F$1048576,"")</f>
        <v>Helper</v>
      </c>
      <c r="H3106" s="28" t="str">
        <f>_xlfn.XLOOKUP(Table134526_79101120212223242526[[#This Row],[Name Surname]],Manpower!$C$4:$C$1048576,Manpower!$H$4:$H$1048576,"")</f>
        <v>Manpower</v>
      </c>
      <c r="I3106" s="28" t="str">
        <f>_xlfn.XLOOKUP(Table134526_79101120212223242526[[#This Row],[Name Surname]],Manpower!$C$4:$C$1048576,Manpower!$H$4:$H$1048576,"")</f>
        <v>Manpower</v>
      </c>
      <c r="J3106" s="21" t="s">
        <v>143</v>
      </c>
      <c r="K3106" s="21" t="s">
        <v>26</v>
      </c>
      <c r="L3106" s="21" t="s">
        <v>144</v>
      </c>
      <c r="M3106" s="21" t="s">
        <v>55</v>
      </c>
      <c r="N3106" s="29">
        <v>5</v>
      </c>
      <c r="O3106" s="21" t="s">
        <v>40</v>
      </c>
      <c r="P3106" s="21" t="s">
        <v>42</v>
      </c>
      <c r="Q3106" s="21" t="s">
        <v>42</v>
      </c>
      <c r="R3106" s="21" t="s">
        <v>402</v>
      </c>
      <c r="T3106" s="56" t="s">
        <v>396</v>
      </c>
    </row>
    <row r="3107" spans="1:20" s="45" customFormat="1" ht="14.4" hidden="1">
      <c r="A3107" s="53">
        <f>IF(C3107="","",MAX($A$1:A3106)+1)</f>
        <v>2842</v>
      </c>
      <c r="B3107" s="25" t="s">
        <v>141</v>
      </c>
      <c r="C3107" s="41">
        <v>46106</v>
      </c>
      <c r="D3107" s="48" t="str">
        <f>_xlfn.XLOOKUP(Table134526_79101120212223242526[[#This Row],[Name Surname]],Manpower!$C$4:$C$1048576,Manpower!$B$4:$B$1048576,"")</f>
        <v>Encogroup</v>
      </c>
      <c r="E3107" s="43" t="s">
        <v>224</v>
      </c>
      <c r="F3107" s="12">
        <f>_xlfn.XLOOKUP(Table134526_79101120212223242526[[#This Row],[Name Surname]],Manpower!C:C,Manpower!D:D,)</f>
        <v>141365094</v>
      </c>
      <c r="G3107" s="48" t="str">
        <f>_xlfn.XLOOKUP(Table134526_79101120212223242526[[#This Row],[Name Surname]],Manpower!$C$4:$C$1048576,Manpower!$F$4:$F$1048576,"")</f>
        <v>Helper</v>
      </c>
      <c r="H3107" s="48" t="str">
        <f>_xlfn.XLOOKUP(Table134526_79101120212223242526[[#This Row],[Name Surname]],Manpower!$C$4:$C$1048576,Manpower!$H$4:$H$1048576,"")</f>
        <v>Manpower</v>
      </c>
      <c r="I3107" s="48" t="str">
        <f>_xlfn.XLOOKUP(Table134526_79101120212223242526[[#This Row],[Name Surname]],Manpower!$C$4:$C$1048576,Manpower!$H$4:$H$1048576,"")</f>
        <v>Manpower</v>
      </c>
      <c r="J3107" s="43" t="s">
        <v>143</v>
      </c>
      <c r="K3107" s="43" t="s">
        <v>26</v>
      </c>
      <c r="L3107" s="43" t="s">
        <v>144</v>
      </c>
      <c r="M3107" s="43" t="s">
        <v>55</v>
      </c>
      <c r="N3107" s="44">
        <v>5</v>
      </c>
      <c r="O3107" s="43" t="s">
        <v>40</v>
      </c>
      <c r="P3107" s="43" t="s">
        <v>42</v>
      </c>
      <c r="Q3107" s="43" t="s">
        <v>42</v>
      </c>
      <c r="R3107" s="43" t="s">
        <v>402</v>
      </c>
      <c r="S3107" s="43"/>
      <c r="T3107" s="67" t="s">
        <v>396</v>
      </c>
    </row>
    <row r="3108" spans="1:20" ht="14.4" hidden="1">
      <c r="A3108" s="38">
        <f>IF(C3108="","",MAX($A$1:A3107)+1)</f>
        <v>2843</v>
      </c>
      <c r="B3108" s="22" t="s">
        <v>19</v>
      </c>
      <c r="C3108" s="23">
        <v>46107</v>
      </c>
      <c r="D3108" s="28" t="str">
        <f>_xlfn.XLOOKUP(Table134526_79101120212223242526[[#This Row],[Name Surname]],Manpower!$C$4:$C$1048576,Manpower!$B$4:$B$1048576,"")</f>
        <v>Encogroup</v>
      </c>
      <c r="E3108" s="21" t="s">
        <v>30</v>
      </c>
      <c r="F3108" s="12">
        <f>_xlfn.XLOOKUP(Table134526_79101120212223242526[[#This Row],[Name Surname]],Manpower!C:C,Manpower!D:D,)</f>
        <v>116589569</v>
      </c>
      <c r="G3108" s="28" t="str">
        <f>_xlfn.XLOOKUP(Table134526_79101120212223242526[[#This Row],[Name Surname]],Manpower!$C$4:$C$1048576,Manpower!$F$4:$F$1048576,"")</f>
        <v>Mechanical Engineer</v>
      </c>
      <c r="H3108" s="28" t="str">
        <f>_xlfn.XLOOKUP(Table134526_79101120212223242526[[#This Row],[Name Surname]],Manpower!$C$4:$C$1048576,Manpower!$H$4:$H$1048576,"")</f>
        <v>Manpower</v>
      </c>
      <c r="I3108" s="28" t="str">
        <f>_xlfn.XLOOKUP(Table134526_79101120212223242526[[#This Row],[Name Surname]],Manpower!$C$4:$C$1048576,Manpower!$H$4:$H$1048576,"")</f>
        <v>Manpower</v>
      </c>
      <c r="J3108" s="21" t="s">
        <v>21</v>
      </c>
      <c r="K3108" s="21" t="s">
        <v>26</v>
      </c>
      <c r="L3108" s="21" t="s">
        <v>49</v>
      </c>
      <c r="M3108" s="21" t="s">
        <v>55</v>
      </c>
      <c r="N3108" s="29">
        <v>10</v>
      </c>
      <c r="R3108" s="21" t="s">
        <v>419</v>
      </c>
      <c r="T3108" s="56" t="s">
        <v>396</v>
      </c>
    </row>
    <row r="3109" spans="1:20" ht="14.4">
      <c r="A3109" s="38">
        <f>IF(C3109="","",MAX($A$1:A3108)+1)</f>
        <v>2844</v>
      </c>
      <c r="B3109" s="22" t="s">
        <v>19</v>
      </c>
      <c r="C3109" s="23">
        <v>46107</v>
      </c>
      <c r="D3109" s="28" t="str">
        <f>_xlfn.XLOOKUP(Table134526_79101120212223242526[[#This Row],[Name Surname]],Manpower!$C$4:$C$1048576,Manpower!$B$4:$B$1048576,"")</f>
        <v>Al Jaber Heavy Lift</v>
      </c>
      <c r="E3109" s="21" t="s">
        <v>371</v>
      </c>
      <c r="F3109" s="12" t="e">
        <f>_xlfn.XLOOKUP(Table134526_79101120212223242526[[#This Row],[Name Surname]],Manpower!C:C,Manpower!D:D,)</f>
        <v>#N/A</v>
      </c>
      <c r="G3109" s="28" t="str">
        <f>_xlfn.XLOOKUP(Table134526_79101120212223242526[[#This Row],[Name Surname]],Manpower!$C$4:$C$1048576,Manpower!$F$4:$F$1048576,"")</f>
        <v>70T Crawler Crane</v>
      </c>
      <c r="H3109" s="28" t="str">
        <f>_xlfn.XLOOKUP(Table134526_79101120212223242526[[#This Row],[Name Surname]],Manpower!$C$4:$C$1048576,Manpower!$H$4:$H$1048576,"")</f>
        <v>Equipment</v>
      </c>
      <c r="I3109" s="28" t="str">
        <f>_xlfn.XLOOKUP(Table134526_79101120212223242526[[#This Row],[Name Surname]],Manpower!$C$4:$C$1048576,Manpower!$H$4:$H$1048576,"")</f>
        <v>Equipment</v>
      </c>
      <c r="J3109" s="21" t="s">
        <v>21</v>
      </c>
      <c r="K3109" s="21" t="s">
        <v>26</v>
      </c>
      <c r="L3109" s="21" t="s">
        <v>49</v>
      </c>
      <c r="M3109" s="21" t="s">
        <v>55</v>
      </c>
      <c r="N3109" s="29">
        <v>10</v>
      </c>
      <c r="R3109" s="21" t="s">
        <v>419</v>
      </c>
      <c r="T3109" s="56" t="s">
        <v>396</v>
      </c>
    </row>
    <row r="3110" spans="1:20" ht="14.4">
      <c r="A3110" s="38">
        <f>IF(C3110="","",MAX($A$1:A3109)+1)</f>
        <v>2845</v>
      </c>
      <c r="B3110" s="22" t="s">
        <v>19</v>
      </c>
      <c r="C3110" s="23">
        <v>46107</v>
      </c>
      <c r="D3110" s="28" t="str">
        <f>_xlfn.XLOOKUP(Table134526_79101120212223242526[[#This Row],[Name Surname]],Manpower!$C$4:$C$1048576,Manpower!$B$4:$B$1048576,"")</f>
        <v>Riyan Al Khaleej</v>
      </c>
      <c r="E3110" s="21" t="s">
        <v>20</v>
      </c>
      <c r="F3110" s="12" t="e">
        <f>_xlfn.XLOOKUP(Table134526_79101120212223242526[[#This Row],[Name Surname]],Manpower!C:C,Manpower!D:D,)</f>
        <v>#N/A</v>
      </c>
      <c r="G3110" s="28" t="str">
        <f>_xlfn.XLOOKUP(Table134526_79101120212223242526[[#This Row],[Name Surname]],Manpower!$C$4:$C$1048576,Manpower!$F$4:$F$1048576,"")</f>
        <v>100T Telescopic Crane</v>
      </c>
      <c r="H3110" s="28" t="str">
        <f>_xlfn.XLOOKUP(Table134526_79101120212223242526[[#This Row],[Name Surname]],Manpower!$C$4:$C$1048576,Manpower!$H$4:$H$1048576,"")</f>
        <v>Equipment</v>
      </c>
      <c r="I3110" s="28" t="str">
        <f>_xlfn.XLOOKUP(Table134526_79101120212223242526[[#This Row],[Name Surname]],Manpower!$C$4:$C$1048576,Manpower!$H$4:$H$1048576,"")</f>
        <v>Equipment</v>
      </c>
      <c r="J3110" s="21" t="s">
        <v>21</v>
      </c>
      <c r="K3110" s="21" t="s">
        <v>26</v>
      </c>
      <c r="L3110" s="21" t="s">
        <v>49</v>
      </c>
      <c r="M3110" s="21" t="s">
        <v>55</v>
      </c>
      <c r="N3110" s="29">
        <v>10</v>
      </c>
      <c r="R3110" s="21" t="s">
        <v>419</v>
      </c>
      <c r="T3110" s="56" t="s">
        <v>396</v>
      </c>
    </row>
    <row r="3111" spans="1:20" ht="14.4">
      <c r="A3111" s="38">
        <f>IF(C3111="","",MAX($A$1:A3110)+1)</f>
        <v>2846</v>
      </c>
      <c r="B3111" s="22" t="s">
        <v>19</v>
      </c>
      <c r="C3111" s="23">
        <v>46107</v>
      </c>
      <c r="D3111" s="28" t="str">
        <f>_xlfn.XLOOKUP(Table134526_79101120212223242526[[#This Row],[Name Surname]],Manpower!$C$4:$C$1048576,Manpower!$B$4:$B$1048576,"")</f>
        <v>Al Jaber Heavy Lift</v>
      </c>
      <c r="E3111" s="21" t="s">
        <v>151</v>
      </c>
      <c r="F3111" s="12" t="e">
        <f>_xlfn.XLOOKUP(Table134526_79101120212223242526[[#This Row],[Name Surname]],Manpower!C:C,Manpower!D:D,)</f>
        <v>#N/A</v>
      </c>
      <c r="G3111" s="28" t="str">
        <f>_xlfn.XLOOKUP(Table134526_79101120212223242526[[#This Row],[Name Surname]],Manpower!$C$4:$C$1048576,Manpower!$F$4:$F$1048576,"")</f>
        <v>150T-Crawler Crane</v>
      </c>
      <c r="H3111" s="28" t="str">
        <f>_xlfn.XLOOKUP(Table134526_79101120212223242526[[#This Row],[Name Surname]],Manpower!$C$4:$C$1048576,Manpower!$H$4:$H$1048576,"")</f>
        <v>Equipment</v>
      </c>
      <c r="I3111" s="28" t="str">
        <f>_xlfn.XLOOKUP(Table134526_79101120212223242526[[#This Row],[Name Surname]],Manpower!$C$4:$C$1048576,Manpower!$H$4:$H$1048576,"")</f>
        <v>Equipment</v>
      </c>
      <c r="J3111" s="21" t="s">
        <v>21</v>
      </c>
      <c r="K3111" s="21" t="s">
        <v>26</v>
      </c>
      <c r="L3111" s="21" t="s">
        <v>49</v>
      </c>
      <c r="M3111" s="21" t="s">
        <v>55</v>
      </c>
      <c r="N3111" s="29">
        <v>10</v>
      </c>
      <c r="R3111" s="21" t="s">
        <v>419</v>
      </c>
      <c r="T3111" s="56" t="s">
        <v>396</v>
      </c>
    </row>
    <row r="3112" spans="1:20" ht="14.4" hidden="1">
      <c r="A3112" s="38">
        <f>IF(C3112="","",MAX($A$1:A3111)+1)</f>
        <v>2847</v>
      </c>
      <c r="B3112" s="22" t="s">
        <v>19</v>
      </c>
      <c r="C3112" s="23">
        <v>46107</v>
      </c>
      <c r="D3112" s="28" t="str">
        <f>_xlfn.XLOOKUP(Table134526_79101120212223242526[[#This Row],[Name Surname]],Manpower!$C$4:$C$1048576,Manpower!$B$4:$B$1048576,"")</f>
        <v>Al Jaber Heavy Lift</v>
      </c>
      <c r="E3112" s="21" t="s">
        <v>164</v>
      </c>
      <c r="F3112" s="12">
        <f>_xlfn.XLOOKUP(Table134526_79101120212223242526[[#This Row],[Name Surname]],Manpower!C:C,Manpower!D:D,)</f>
        <v>112778626</v>
      </c>
      <c r="G3112" s="28" t="str">
        <f>_xlfn.XLOOKUP(Table134526_79101120212223242526[[#This Row],[Name Surname]],Manpower!$C$4:$C$1048576,Manpower!$F$4:$F$1048576,"")</f>
        <v>Crane Operator-150T Hitachi Crawler</v>
      </c>
      <c r="H3112" s="28" t="str">
        <f>_xlfn.XLOOKUP(Table134526_79101120212223242526[[#This Row],[Name Surname]],Manpower!$C$4:$C$1048576,Manpower!$H$4:$H$1048576,"")</f>
        <v>Manpower</v>
      </c>
      <c r="I3112" s="28" t="str">
        <f>_xlfn.XLOOKUP(Table134526_79101120212223242526[[#This Row],[Name Surname]],Manpower!$C$4:$C$1048576,Manpower!$H$4:$H$1048576,"")</f>
        <v>Manpower</v>
      </c>
      <c r="J3112" s="21" t="s">
        <v>21</v>
      </c>
      <c r="K3112" s="21" t="s">
        <v>26</v>
      </c>
      <c r="L3112" s="21" t="s">
        <v>49</v>
      </c>
      <c r="M3112" s="21" t="s">
        <v>55</v>
      </c>
      <c r="N3112" s="29">
        <v>10</v>
      </c>
      <c r="R3112" s="21" t="s">
        <v>419</v>
      </c>
      <c r="T3112" s="56" t="s">
        <v>396</v>
      </c>
    </row>
    <row r="3113" spans="1:20" ht="14.4" hidden="1">
      <c r="A3113" s="38">
        <f>IF(C3113="","",MAX($A$1:A3112)+1)</f>
        <v>2848</v>
      </c>
      <c r="B3113" s="22" t="s">
        <v>19</v>
      </c>
      <c r="C3113" s="23">
        <v>46107</v>
      </c>
      <c r="D3113" s="28" t="str">
        <f>_xlfn.XLOOKUP(Table134526_79101120212223242526[[#This Row],[Name Surname]],Manpower!$C$4:$C$1048576,Manpower!$B$4:$B$1048576,"")</f>
        <v>Al Jaber Heavy Lift</v>
      </c>
      <c r="E3113" s="21" t="s">
        <v>275</v>
      </c>
      <c r="F3113" s="12">
        <f>_xlfn.XLOOKUP(Table134526_79101120212223242526[[#This Row],[Name Surname]],Manpower!C:C,Manpower!D:D,)</f>
        <v>116448869</v>
      </c>
      <c r="G3113" s="28" t="str">
        <f>_xlfn.XLOOKUP(Table134526_79101120212223242526[[#This Row],[Name Surname]],Manpower!$C$4:$C$1048576,Manpower!$F$4:$F$1048576,"")</f>
        <v xml:space="preserve">Crane Operator </v>
      </c>
      <c r="H3113" s="28" t="str">
        <f>_xlfn.XLOOKUP(Table134526_79101120212223242526[[#This Row],[Name Surname]],Manpower!$C$4:$C$1048576,Manpower!$H$4:$H$1048576,"")</f>
        <v>Manpower</v>
      </c>
      <c r="I3113" s="28" t="str">
        <f>_xlfn.XLOOKUP(Table134526_79101120212223242526[[#This Row],[Name Surname]],Manpower!$C$4:$C$1048576,Manpower!$H$4:$H$1048576,"")</f>
        <v>Manpower</v>
      </c>
      <c r="J3113" s="21" t="s">
        <v>21</v>
      </c>
      <c r="K3113" s="21" t="s">
        <v>26</v>
      </c>
      <c r="L3113" s="21" t="s">
        <v>49</v>
      </c>
      <c r="M3113" s="21" t="s">
        <v>55</v>
      </c>
      <c r="N3113" s="29">
        <v>10</v>
      </c>
      <c r="R3113" s="21" t="s">
        <v>419</v>
      </c>
      <c r="T3113" s="56" t="s">
        <v>396</v>
      </c>
    </row>
    <row r="3114" spans="1:20" ht="14.4" hidden="1">
      <c r="A3114" s="38">
        <f>IF(C3114="","",MAX($A$1:A3113)+1)</f>
        <v>2849</v>
      </c>
      <c r="B3114" s="22" t="s">
        <v>19</v>
      </c>
      <c r="C3114" s="23">
        <v>46107</v>
      </c>
      <c r="D3114" s="28" t="str">
        <f>_xlfn.XLOOKUP(Table134526_79101120212223242526[[#This Row],[Name Surname]],Manpower!$C$4:$C$1048576,Manpower!$B$4:$B$1048576,"")</f>
        <v>Rial Al Khaleej</v>
      </c>
      <c r="E3114" s="21" t="s">
        <v>38</v>
      </c>
      <c r="F3114" s="12">
        <f>_xlfn.XLOOKUP(Table134526_79101120212223242526[[#This Row],[Name Surname]],Manpower!C:C,Manpower!D:D,)</f>
        <v>98845403</v>
      </c>
      <c r="G3114" s="28" t="str">
        <f>_xlfn.XLOOKUP(Table134526_79101120212223242526[[#This Row],[Name Surname]],Manpower!$C$4:$C$1048576,Manpower!$F$4:$F$1048576,"")</f>
        <v>Crane Operator-100T Zoomlion Telescopic</v>
      </c>
      <c r="H3114" s="28" t="str">
        <f>_xlfn.XLOOKUP(Table134526_79101120212223242526[[#This Row],[Name Surname]],Manpower!$C$4:$C$1048576,Manpower!$H$4:$H$1048576,"")</f>
        <v>Manpower</v>
      </c>
      <c r="I3114" s="28" t="str">
        <f>_xlfn.XLOOKUP(Table134526_79101120212223242526[[#This Row],[Name Surname]],Manpower!$C$4:$C$1048576,Manpower!$H$4:$H$1048576,"")</f>
        <v>Manpower</v>
      </c>
      <c r="J3114" s="21" t="s">
        <v>21</v>
      </c>
      <c r="K3114" s="21" t="s">
        <v>26</v>
      </c>
      <c r="L3114" s="21" t="s">
        <v>49</v>
      </c>
      <c r="M3114" s="21" t="s">
        <v>55</v>
      </c>
      <c r="N3114" s="29">
        <v>10</v>
      </c>
      <c r="R3114" s="21" t="s">
        <v>419</v>
      </c>
      <c r="T3114" s="56" t="s">
        <v>396</v>
      </c>
    </row>
    <row r="3115" spans="1:20" ht="14.4" hidden="1">
      <c r="A3115" s="38">
        <f>IF(C3115="","",MAX($A$1:A3114)+1)</f>
        <v>2850</v>
      </c>
      <c r="B3115" s="22" t="s">
        <v>19</v>
      </c>
      <c r="C3115" s="23">
        <v>46107</v>
      </c>
      <c r="D3115" s="28" t="str">
        <f>_xlfn.XLOOKUP(Table134526_79101120212223242526[[#This Row],[Name Surname]],Manpower!$C$4:$C$1048576,Manpower!$B$4:$B$1048576,"")</f>
        <v>Encogroup</v>
      </c>
      <c r="E3115" s="21" t="s">
        <v>29</v>
      </c>
      <c r="F3115" s="12">
        <f>_xlfn.XLOOKUP(Table134526_79101120212223242526[[#This Row],[Name Surname]],Manpower!C:C,Manpower!D:D,)</f>
        <v>127331574</v>
      </c>
      <c r="G3115" s="28" t="str">
        <f>_xlfn.XLOOKUP(Table134526_79101120212223242526[[#This Row],[Name Surname]],Manpower!$C$4:$C$1048576,Manpower!$F$4:$F$1048576,"")</f>
        <v>Permit Receiver</v>
      </c>
      <c r="H3115" s="28" t="str">
        <f>_xlfn.XLOOKUP(Table134526_79101120212223242526[[#This Row],[Name Surname]],Manpower!$C$4:$C$1048576,Manpower!$H$4:$H$1048576,"")</f>
        <v>Manpower</v>
      </c>
      <c r="I3115" s="28" t="str">
        <f>_xlfn.XLOOKUP(Table134526_79101120212223242526[[#This Row],[Name Surname]],Manpower!$C$4:$C$1048576,Manpower!$H$4:$H$1048576,"")</f>
        <v>Manpower</v>
      </c>
      <c r="J3115" s="21" t="s">
        <v>21</v>
      </c>
      <c r="K3115" s="21" t="s">
        <v>26</v>
      </c>
      <c r="L3115" s="21" t="s">
        <v>49</v>
      </c>
      <c r="M3115" s="21" t="s">
        <v>55</v>
      </c>
      <c r="N3115" s="29">
        <v>10</v>
      </c>
      <c r="R3115" s="21" t="s">
        <v>419</v>
      </c>
      <c r="T3115" s="56" t="s">
        <v>396</v>
      </c>
    </row>
    <row r="3116" spans="1:20" ht="14.4" hidden="1">
      <c r="A3116" s="38">
        <f>IF(C3116="","",MAX($A$1:A3115)+1)</f>
        <v>2851</v>
      </c>
      <c r="B3116" s="22" t="s">
        <v>19</v>
      </c>
      <c r="C3116" s="23">
        <v>46107</v>
      </c>
      <c r="D3116" s="28" t="str">
        <f>_xlfn.XLOOKUP(Table134526_79101120212223242526[[#This Row],[Name Surname]],Manpower!$C$4:$C$1048576,Manpower!$B$4:$B$1048576,"")</f>
        <v>Encogroup</v>
      </c>
      <c r="E3116" s="21" t="s">
        <v>31</v>
      </c>
      <c r="F3116" s="12">
        <f>_xlfn.XLOOKUP(Table134526_79101120212223242526[[#This Row],[Name Surname]],Manpower!C:C,Manpower!D:D,)</f>
        <v>99596058</v>
      </c>
      <c r="G3116" s="28" t="str">
        <f>_xlfn.XLOOKUP(Table134526_79101120212223242526[[#This Row],[Name Surname]],Manpower!$C$4:$C$1048576,Manpower!$F$4:$F$1048576,"")</f>
        <v>HSE Officer</v>
      </c>
      <c r="H3116" s="28" t="str">
        <f>_xlfn.XLOOKUP(Table134526_79101120212223242526[[#This Row],[Name Surname]],Manpower!$C$4:$C$1048576,Manpower!$H$4:$H$1048576,"")</f>
        <v>Manpower</v>
      </c>
      <c r="I3116" s="28" t="str">
        <f>_xlfn.XLOOKUP(Table134526_79101120212223242526[[#This Row],[Name Surname]],Manpower!$C$4:$C$1048576,Manpower!$H$4:$H$1048576,"")</f>
        <v>Manpower</v>
      </c>
      <c r="J3116" s="21" t="s">
        <v>21</v>
      </c>
      <c r="K3116" s="21" t="s">
        <v>26</v>
      </c>
      <c r="L3116" s="21" t="s">
        <v>49</v>
      </c>
      <c r="M3116" s="21" t="s">
        <v>55</v>
      </c>
      <c r="N3116" s="29">
        <v>10</v>
      </c>
      <c r="R3116" s="21" t="s">
        <v>419</v>
      </c>
      <c r="T3116" s="56" t="s">
        <v>396</v>
      </c>
    </row>
    <row r="3117" spans="1:20" ht="14.4" hidden="1">
      <c r="A3117" s="38">
        <f>IF(C3117="","",MAX($A$1:A3116)+1)</f>
        <v>2852</v>
      </c>
      <c r="B3117" s="22" t="s">
        <v>19</v>
      </c>
      <c r="C3117" s="23">
        <v>46107</v>
      </c>
      <c r="D3117" s="28" t="str">
        <f>_xlfn.XLOOKUP(Table134526_79101120212223242526[[#This Row],[Name Surname]],Manpower!$C$4:$C$1048576,Manpower!$B$4:$B$1048576,"")</f>
        <v>AL Omar International TRAD AND CONT</v>
      </c>
      <c r="E3117" s="21" t="s">
        <v>197</v>
      </c>
      <c r="F3117" s="12">
        <f>_xlfn.XLOOKUP(Table134526_79101120212223242526[[#This Row],[Name Surname]],Manpower!C:C,Manpower!D:D,)</f>
        <v>106093463</v>
      </c>
      <c r="G3117" s="28" t="str">
        <f>_xlfn.XLOOKUP(Table134526_79101120212223242526[[#This Row],[Name Surname]],Manpower!$C$4:$C$1048576,Manpower!$F$4:$F$1048576,"")</f>
        <v>RIgger</v>
      </c>
      <c r="H3117" s="28" t="str">
        <f>_xlfn.XLOOKUP(Table134526_79101120212223242526[[#This Row],[Name Surname]],Manpower!$C$4:$C$1048576,Manpower!$H$4:$H$1048576,"")</f>
        <v>Sub Contactor</v>
      </c>
      <c r="I3117" s="28" t="str">
        <f>_xlfn.XLOOKUP(Table134526_79101120212223242526[[#This Row],[Name Surname]],Manpower!$C$4:$C$1048576,Manpower!$H$4:$H$1048576,"")</f>
        <v>Sub Contactor</v>
      </c>
      <c r="J3117" s="21" t="s">
        <v>21</v>
      </c>
      <c r="K3117" s="21" t="s">
        <v>26</v>
      </c>
      <c r="L3117" s="21" t="s">
        <v>49</v>
      </c>
      <c r="M3117" s="21" t="s">
        <v>55</v>
      </c>
      <c r="N3117" s="29">
        <v>5</v>
      </c>
      <c r="R3117" s="21" t="s">
        <v>419</v>
      </c>
      <c r="T3117" s="56" t="s">
        <v>396</v>
      </c>
    </row>
    <row r="3118" spans="1:20" ht="14.4" hidden="1">
      <c r="A3118" s="38">
        <f>IF(C3118="","",MAX($A$1:A3117)+1)</f>
        <v>2853</v>
      </c>
      <c r="B3118" s="22" t="s">
        <v>19</v>
      </c>
      <c r="C3118" s="23">
        <v>46107</v>
      </c>
      <c r="D3118" s="28" t="str">
        <f>_xlfn.XLOOKUP(Table134526_79101120212223242526[[#This Row],[Name Surname]],Manpower!$C$4:$C$1048576,Manpower!$B$4:$B$1048576,"")</f>
        <v>Encogroup</v>
      </c>
      <c r="E3118" s="21" t="s">
        <v>72</v>
      </c>
      <c r="F3118" s="12">
        <f>_xlfn.XLOOKUP(Table134526_79101120212223242526[[#This Row],[Name Surname]],Manpower!C:C,Manpower!D:D,)</f>
        <v>140764706</v>
      </c>
      <c r="G3118" s="28" t="str">
        <f>_xlfn.XLOOKUP(Table134526_79101120212223242526[[#This Row],[Name Surname]],Manpower!$C$4:$C$1048576,Manpower!$F$4:$F$1048576,"")</f>
        <v>Rigger</v>
      </c>
      <c r="H3118" s="28" t="str">
        <f>_xlfn.XLOOKUP(Table134526_79101120212223242526[[#This Row],[Name Surname]],Manpower!$C$4:$C$1048576,Manpower!$H$4:$H$1048576,"")</f>
        <v>Manpower</v>
      </c>
      <c r="I3118" s="28" t="str">
        <f>_xlfn.XLOOKUP(Table134526_79101120212223242526[[#This Row],[Name Surname]],Manpower!$C$4:$C$1048576,Manpower!$H$4:$H$1048576,"")</f>
        <v>Manpower</v>
      </c>
      <c r="J3118" s="21" t="s">
        <v>21</v>
      </c>
      <c r="K3118" s="21" t="s">
        <v>26</v>
      </c>
      <c r="L3118" s="21" t="s">
        <v>49</v>
      </c>
      <c r="M3118" s="21" t="s">
        <v>55</v>
      </c>
      <c r="N3118" s="29">
        <v>10</v>
      </c>
      <c r="R3118" s="21" t="s">
        <v>419</v>
      </c>
      <c r="T3118" s="56" t="s">
        <v>396</v>
      </c>
    </row>
    <row r="3119" spans="1:20" ht="14.4" hidden="1">
      <c r="A3119" s="38">
        <f>IF(C3119="","",MAX($A$1:A3118)+1)</f>
        <v>2854</v>
      </c>
      <c r="B3119" s="22" t="s">
        <v>19</v>
      </c>
      <c r="C3119" s="23">
        <v>46107</v>
      </c>
      <c r="D3119" s="28" t="str">
        <f>_xlfn.XLOOKUP(Table134526_79101120212223242526[[#This Row],[Name Surname]],Manpower!$C$4:$C$1048576,Manpower!$B$4:$B$1048576,"")</f>
        <v>Encogroup</v>
      </c>
      <c r="E3119" s="21" t="s">
        <v>46</v>
      </c>
      <c r="F3119" s="12">
        <f>_xlfn.XLOOKUP(Table134526_79101120212223242526[[#This Row],[Name Surname]],Manpower!C:C,Manpower!D:D,)</f>
        <v>140844618</v>
      </c>
      <c r="G3119" s="28" t="str">
        <f>_xlfn.XLOOKUP(Table134526_79101120212223242526[[#This Row],[Name Surname]],Manpower!$C$4:$C$1048576,Manpower!$F$4:$F$1048576,"")</f>
        <v>Assistant/Helper</v>
      </c>
      <c r="H3119" s="28" t="str">
        <f>_xlfn.XLOOKUP(Table134526_79101120212223242526[[#This Row],[Name Surname]],Manpower!$C$4:$C$1048576,Manpower!$H$4:$H$1048576,"")</f>
        <v>Manpower</v>
      </c>
      <c r="I3119" s="28" t="str">
        <f>_xlfn.XLOOKUP(Table134526_79101120212223242526[[#This Row],[Name Surname]],Manpower!$C$4:$C$1048576,Manpower!$H$4:$H$1048576,"")</f>
        <v>Manpower</v>
      </c>
      <c r="J3119" s="21" t="s">
        <v>21</v>
      </c>
      <c r="K3119" s="21" t="s">
        <v>26</v>
      </c>
      <c r="L3119" s="21" t="s">
        <v>49</v>
      </c>
      <c r="M3119" s="21" t="s">
        <v>55</v>
      </c>
      <c r="N3119" s="29">
        <v>10</v>
      </c>
      <c r="R3119" s="21" t="s">
        <v>419</v>
      </c>
      <c r="T3119" s="56" t="s">
        <v>396</v>
      </c>
    </row>
    <row r="3120" spans="1:20" ht="14.4" hidden="1">
      <c r="A3120" s="38">
        <f>IF(C3120="","",MAX($A$1:A3119)+1)</f>
        <v>2855</v>
      </c>
      <c r="B3120" s="22" t="s">
        <v>19</v>
      </c>
      <c r="C3120" s="23">
        <v>46107</v>
      </c>
      <c r="D3120" s="28" t="str">
        <f>_xlfn.XLOOKUP(Table134526_79101120212223242526[[#This Row],[Name Surname]],Manpower!$C$4:$C$1048576,Manpower!$B$4:$B$1048576,"")</f>
        <v>Encogroup</v>
      </c>
      <c r="E3120" s="21" t="s">
        <v>27</v>
      </c>
      <c r="F3120" s="12">
        <f>_xlfn.XLOOKUP(Table134526_79101120212223242526[[#This Row],[Name Surname]],Manpower!C:C,Manpower!D:D,)</f>
        <v>127414586</v>
      </c>
      <c r="G3120" s="28" t="str">
        <f>_xlfn.XLOOKUP(Table134526_79101120212223242526[[#This Row],[Name Surname]],Manpower!$C$4:$C$1048576,Manpower!$F$4:$F$1048576,"")</f>
        <v>Electrician</v>
      </c>
      <c r="H3120" s="28" t="str">
        <f>_xlfn.XLOOKUP(Table134526_79101120212223242526[[#This Row],[Name Surname]],Manpower!$C$4:$C$1048576,Manpower!$H$4:$H$1048576,"")</f>
        <v>Manpower</v>
      </c>
      <c r="I3120" s="28" t="str">
        <f>_xlfn.XLOOKUP(Table134526_79101120212223242526[[#This Row],[Name Surname]],Manpower!$C$4:$C$1048576,Manpower!$H$4:$H$1048576,"")</f>
        <v>Manpower</v>
      </c>
      <c r="J3120" s="21" t="s">
        <v>21</v>
      </c>
      <c r="K3120" s="21" t="s">
        <v>26</v>
      </c>
      <c r="L3120" s="21" t="s">
        <v>49</v>
      </c>
      <c r="M3120" s="21" t="s">
        <v>55</v>
      </c>
      <c r="N3120" s="29">
        <v>10</v>
      </c>
      <c r="R3120" s="21" t="s">
        <v>419</v>
      </c>
      <c r="T3120" s="56" t="s">
        <v>396</v>
      </c>
    </row>
    <row r="3121" spans="1:20" ht="14.4">
      <c r="A3121" s="38">
        <f>IF(C3121="","",MAX($A$1:A3120)+1)</f>
        <v>2856</v>
      </c>
      <c r="B3121" s="25" t="s">
        <v>19</v>
      </c>
      <c r="C3121" s="23">
        <v>46107</v>
      </c>
      <c r="D3121" s="28" t="str">
        <f>_xlfn.XLOOKUP(Table134526_79101120212223242526[[#This Row],[Name Surname]],Manpower!$C$4:$C$1048576,Manpower!$B$4:$B$1048576,"")</f>
        <v>Bright Light</v>
      </c>
      <c r="E3121" s="23" t="s">
        <v>47</v>
      </c>
      <c r="F3121" s="12" t="e">
        <f>_xlfn.XLOOKUP(Table134526_79101120212223242526[[#This Row],[Name Surname]],Manpower!C:C,Manpower!D:D,)</f>
        <v>#N/A</v>
      </c>
      <c r="G3121" s="28" t="str">
        <f>_xlfn.XLOOKUP(Table134526_79101120212223242526[[#This Row],[Name Surname]],Manpower!$C$4:$C$1048576,Manpower!$F$4:$F$1048576,"")</f>
        <v>100T Telescopic Crane</v>
      </c>
      <c r="H3121" s="28" t="str">
        <f>_xlfn.XLOOKUP(Table134526_79101120212223242526[[#This Row],[Name Surname]],Manpower!$C$4:$C$1048576,Manpower!$H$4:$H$1048576,"")</f>
        <v>Equipment</v>
      </c>
      <c r="I3121" s="28" t="str">
        <f>_xlfn.XLOOKUP(Table134526_79101120212223242526[[#This Row],[Name Surname]],Manpower!$C$4:$C$1048576,Manpower!$H$4:$H$1048576,"")</f>
        <v>Equipment</v>
      </c>
      <c r="J3121" s="21" t="s">
        <v>48</v>
      </c>
      <c r="K3121" s="21" t="s">
        <v>26</v>
      </c>
      <c r="L3121" s="21" t="s">
        <v>49</v>
      </c>
      <c r="M3121" s="21" t="s">
        <v>55</v>
      </c>
      <c r="N3121" s="29">
        <v>10</v>
      </c>
      <c r="R3121" s="21" t="s">
        <v>419</v>
      </c>
      <c r="T3121" s="56" t="s">
        <v>396</v>
      </c>
    </row>
    <row r="3122" spans="1:20" ht="14.4">
      <c r="A3122" s="38">
        <f>IF(C3122="","",MAX($A$1:A3121)+1)</f>
        <v>2857</v>
      </c>
      <c r="B3122" s="25" t="s">
        <v>19</v>
      </c>
      <c r="C3122" s="23">
        <v>46107</v>
      </c>
      <c r="D3122" s="28" t="str">
        <f>_xlfn.XLOOKUP(Table134526_79101120212223242526[[#This Row],[Name Surname]],Manpower!$C$4:$C$1048576,Manpower!$B$4:$B$1048576,"")</f>
        <v>Bright Light</v>
      </c>
      <c r="E3122" s="21" t="s">
        <v>51</v>
      </c>
      <c r="F3122" s="12" t="e">
        <f>_xlfn.XLOOKUP(Table134526_79101120212223242526[[#This Row],[Name Surname]],Manpower!C:C,Manpower!D:D,)</f>
        <v>#N/A</v>
      </c>
      <c r="G3122" s="28" t="str">
        <f>_xlfn.XLOOKUP(Table134526_79101120212223242526[[#This Row],[Name Surname]],Manpower!$C$4:$C$1048576,Manpower!$F$4:$F$1048576,"")</f>
        <v>150T-Crawler Crane</v>
      </c>
      <c r="H3122" s="28" t="str">
        <f>_xlfn.XLOOKUP(Table134526_79101120212223242526[[#This Row],[Name Surname]],Manpower!$C$4:$C$1048576,Manpower!$H$4:$H$1048576,"")</f>
        <v>Equipment</v>
      </c>
      <c r="I3122" s="28" t="str">
        <f>_xlfn.XLOOKUP(Table134526_79101120212223242526[[#This Row],[Name Surname]],Manpower!$C$4:$C$1048576,Manpower!$H$4:$H$1048576,"")</f>
        <v>Equipment</v>
      </c>
      <c r="J3122" s="21" t="s">
        <v>48</v>
      </c>
      <c r="K3122" s="21" t="s">
        <v>26</v>
      </c>
      <c r="L3122" s="21" t="s">
        <v>49</v>
      </c>
      <c r="M3122" s="21" t="s">
        <v>55</v>
      </c>
      <c r="N3122" s="29">
        <v>10</v>
      </c>
      <c r="R3122" s="21" t="s">
        <v>419</v>
      </c>
      <c r="T3122" s="56" t="s">
        <v>396</v>
      </c>
    </row>
    <row r="3123" spans="1:20" ht="14.4">
      <c r="A3123" s="38">
        <f>IF(C3123="","",MAX($A$1:A3122)+1)</f>
        <v>2858</v>
      </c>
      <c r="B3123" s="25" t="s">
        <v>19</v>
      </c>
      <c r="C3123" s="23">
        <v>46107</v>
      </c>
      <c r="D3123" s="28" t="str">
        <f>_xlfn.XLOOKUP(Table134526_79101120212223242526[[#This Row],[Name Surname]],Manpower!$C$4:$C$1048576,Manpower!$B$4:$B$1048576,"")</f>
        <v>Encogroup</v>
      </c>
      <c r="E3123" s="21" t="s">
        <v>54</v>
      </c>
      <c r="F3123" s="12" t="e">
        <f>_xlfn.XLOOKUP(Table134526_79101120212223242526[[#This Row],[Name Surname]],Manpower!C:C,Manpower!D:D,)</f>
        <v>#N/A</v>
      </c>
      <c r="G3123" s="28" t="str">
        <f>_xlfn.XLOOKUP(Table134526_79101120212223242526[[#This Row],[Name Surname]],Manpower!$C$4:$C$1048576,Manpower!$F$4:$F$1048576,"")</f>
        <v>28M-Manlift</v>
      </c>
      <c r="H3123" s="28" t="str">
        <f>_xlfn.XLOOKUP(Table134526_79101120212223242526[[#This Row],[Name Surname]],Manpower!$C$4:$C$1048576,Manpower!$H$4:$H$1048576,"")</f>
        <v>Equipment</v>
      </c>
      <c r="I3123" s="28" t="str">
        <f>_xlfn.XLOOKUP(Table134526_79101120212223242526[[#This Row],[Name Surname]],Manpower!$C$4:$C$1048576,Manpower!$H$4:$H$1048576,"")</f>
        <v>Equipment</v>
      </c>
      <c r="J3123" s="21" t="s">
        <v>48</v>
      </c>
      <c r="K3123" s="21" t="s">
        <v>26</v>
      </c>
      <c r="L3123" s="21" t="s">
        <v>49</v>
      </c>
      <c r="M3123" s="21" t="s">
        <v>55</v>
      </c>
      <c r="N3123" s="29">
        <v>10</v>
      </c>
      <c r="R3123" s="21" t="s">
        <v>419</v>
      </c>
      <c r="T3123" s="56" t="s">
        <v>396</v>
      </c>
    </row>
    <row r="3124" spans="1:20" ht="14.4">
      <c r="A3124" s="38">
        <f>IF(C3124="","",MAX($A$1:A3123)+1)</f>
        <v>2859</v>
      </c>
      <c r="B3124" s="25" t="s">
        <v>19</v>
      </c>
      <c r="C3124" s="23">
        <v>46107</v>
      </c>
      <c r="D3124" s="28" t="str">
        <f>_xlfn.XLOOKUP(Table134526_79101120212223242526[[#This Row],[Name Surname]],Manpower!$C$4:$C$1048576,Manpower!$B$4:$B$1048576,"")</f>
        <v>Encogroup</v>
      </c>
      <c r="E3124" s="21" t="s">
        <v>53</v>
      </c>
      <c r="F3124" s="12" t="e">
        <f>_xlfn.XLOOKUP(Table134526_79101120212223242526[[#This Row],[Name Surname]],Manpower!C:C,Manpower!D:D,)</f>
        <v>#N/A</v>
      </c>
      <c r="G3124" s="28" t="str">
        <f>_xlfn.XLOOKUP(Table134526_79101120212223242526[[#This Row],[Name Surname]],Manpower!$C$4:$C$1048576,Manpower!$F$4:$F$1048576,"")</f>
        <v>22M-Manlift</v>
      </c>
      <c r="H3124" s="28" t="str">
        <f>_xlfn.XLOOKUP(Table134526_79101120212223242526[[#This Row],[Name Surname]],Manpower!$C$4:$C$1048576,Manpower!$H$4:$H$1048576,"")</f>
        <v>Equipment</v>
      </c>
      <c r="I3124" s="28" t="str">
        <f>_xlfn.XLOOKUP(Table134526_79101120212223242526[[#This Row],[Name Surname]],Manpower!$C$4:$C$1048576,Manpower!$H$4:$H$1048576,"")</f>
        <v>Equipment</v>
      </c>
      <c r="J3124" s="21" t="s">
        <v>48</v>
      </c>
      <c r="K3124" s="21" t="s">
        <v>26</v>
      </c>
      <c r="L3124" s="21" t="s">
        <v>49</v>
      </c>
      <c r="M3124" s="21" t="s">
        <v>55</v>
      </c>
      <c r="N3124" s="29">
        <v>10</v>
      </c>
      <c r="R3124" s="21" t="s">
        <v>419</v>
      </c>
      <c r="T3124" s="56" t="s">
        <v>396</v>
      </c>
    </row>
    <row r="3125" spans="1:20" ht="14.4" hidden="1">
      <c r="A3125" s="38">
        <f>IF(C3125="","",MAX($A$1:A3124)+1)</f>
        <v>2860</v>
      </c>
      <c r="B3125" s="25" t="s">
        <v>19</v>
      </c>
      <c r="C3125" s="23">
        <v>46107</v>
      </c>
      <c r="D3125" s="28" t="str">
        <f>_xlfn.XLOOKUP(Table134526_79101120212223242526[[#This Row],[Name Surname]],Manpower!$C$4:$C$1048576,Manpower!$B$4:$B$1048576,"")</f>
        <v>Encogroup</v>
      </c>
      <c r="E3125" s="21" t="s">
        <v>57</v>
      </c>
      <c r="F3125" s="12">
        <f>_xlfn.XLOOKUP(Table134526_79101120212223242526[[#This Row],[Name Surname]],Manpower!C:C,Manpower!D:D,)</f>
        <v>140693697</v>
      </c>
      <c r="G3125" s="28" t="str">
        <f>_xlfn.XLOOKUP(Table134526_79101120212223242526[[#This Row],[Name Surname]],Manpower!$C$4:$C$1048576,Manpower!$F$4:$F$1048576,"")</f>
        <v>HSE Officer</v>
      </c>
      <c r="H3125" s="28" t="str">
        <f>_xlfn.XLOOKUP(Table134526_79101120212223242526[[#This Row],[Name Surname]],Manpower!$C$4:$C$1048576,Manpower!$H$4:$H$1048576,"")</f>
        <v>Manpower</v>
      </c>
      <c r="I3125" s="28" t="str">
        <f>_xlfn.XLOOKUP(Table134526_79101120212223242526[[#This Row],[Name Surname]],Manpower!$C$4:$C$1048576,Manpower!$H$4:$H$1048576,"")</f>
        <v>Manpower</v>
      </c>
      <c r="J3125" s="21" t="s">
        <v>48</v>
      </c>
      <c r="K3125" s="21" t="s">
        <v>26</v>
      </c>
      <c r="L3125" s="21" t="s">
        <v>49</v>
      </c>
      <c r="M3125" s="21" t="s">
        <v>55</v>
      </c>
      <c r="N3125" s="29">
        <v>10</v>
      </c>
      <c r="R3125" s="21" t="s">
        <v>419</v>
      </c>
      <c r="T3125" s="56" t="s">
        <v>396</v>
      </c>
    </row>
    <row r="3126" spans="1:20" ht="14.4" hidden="1">
      <c r="A3126" s="38">
        <f>IF(C3126="","",MAX($A$1:A3125)+1)</f>
        <v>2861</v>
      </c>
      <c r="B3126" s="25" t="s">
        <v>19</v>
      </c>
      <c r="C3126" s="23">
        <v>46107</v>
      </c>
      <c r="D3126" s="28" t="str">
        <f>_xlfn.XLOOKUP(Table134526_79101120212223242526[[#This Row],[Name Surname]],Manpower!$C$4:$C$1048576,Manpower!$B$4:$B$1048576,"")</f>
        <v>Encogroup</v>
      </c>
      <c r="E3126" s="21" t="s">
        <v>33</v>
      </c>
      <c r="F3126" s="12">
        <f>_xlfn.XLOOKUP(Table134526_79101120212223242526[[#This Row],[Name Surname]],Manpower!C:C,Manpower!D:D,)</f>
        <v>124565057</v>
      </c>
      <c r="G3126" s="28" t="str">
        <f>_xlfn.XLOOKUP(Table134526_79101120212223242526[[#This Row],[Name Surname]],Manpower!$C$4:$C$1048576,Manpower!$F$4:$F$1048576,"")</f>
        <v>Fitter/Erector</v>
      </c>
      <c r="H3126" s="28" t="str">
        <f>_xlfn.XLOOKUP(Table134526_79101120212223242526[[#This Row],[Name Surname]],Manpower!$C$4:$C$1048576,Manpower!$H$4:$H$1048576,"")</f>
        <v>Manpower</v>
      </c>
      <c r="I3126" s="28" t="str">
        <f>_xlfn.XLOOKUP(Table134526_79101120212223242526[[#This Row],[Name Surname]],Manpower!$C$4:$C$1048576,Manpower!$H$4:$H$1048576,"")</f>
        <v>Manpower</v>
      </c>
      <c r="J3126" s="21" t="s">
        <v>48</v>
      </c>
      <c r="K3126" s="21" t="s">
        <v>26</v>
      </c>
      <c r="L3126" s="21" t="s">
        <v>49</v>
      </c>
      <c r="M3126" s="21" t="s">
        <v>55</v>
      </c>
      <c r="N3126" s="29">
        <v>10</v>
      </c>
      <c r="R3126" s="21" t="s">
        <v>419</v>
      </c>
      <c r="T3126" s="56" t="s">
        <v>396</v>
      </c>
    </row>
    <row r="3127" spans="1:20" ht="14.4" hidden="1">
      <c r="A3127" s="38">
        <f>IF(C3127="","",MAX($A$1:A3126)+1)</f>
        <v>2862</v>
      </c>
      <c r="B3127" s="25" t="s">
        <v>19</v>
      </c>
      <c r="C3127" s="23">
        <v>46107</v>
      </c>
      <c r="D3127" s="28" t="str">
        <f>_xlfn.XLOOKUP(Table134526_79101120212223242526[[#This Row],[Name Surname]],Manpower!$C$4:$C$1048576,Manpower!$B$4:$B$1048576,"")</f>
        <v>Encogroup</v>
      </c>
      <c r="E3127" s="21" t="s">
        <v>62</v>
      </c>
      <c r="F3127" s="12">
        <f>_xlfn.XLOOKUP(Table134526_79101120212223242526[[#This Row],[Name Surname]],Manpower!C:C,Manpower!D:D,)</f>
        <v>140844797</v>
      </c>
      <c r="G3127" s="28" t="str">
        <f>_xlfn.XLOOKUP(Table134526_79101120212223242526[[#This Row],[Name Surname]],Manpower!$C$4:$C$1048576,Manpower!$F$4:$F$1048576,"")</f>
        <v>Fitter/Erector</v>
      </c>
      <c r="H3127" s="28" t="str">
        <f>_xlfn.XLOOKUP(Table134526_79101120212223242526[[#This Row],[Name Surname]],Manpower!$C$4:$C$1048576,Manpower!$H$4:$H$1048576,"")</f>
        <v>Manpower</v>
      </c>
      <c r="I3127" s="28" t="str">
        <f>_xlfn.XLOOKUP(Table134526_79101120212223242526[[#This Row],[Name Surname]],Manpower!$C$4:$C$1048576,Manpower!$H$4:$H$1048576,"")</f>
        <v>Manpower</v>
      </c>
      <c r="J3127" s="21" t="s">
        <v>48</v>
      </c>
      <c r="K3127" s="21" t="s">
        <v>26</v>
      </c>
      <c r="L3127" s="21" t="s">
        <v>49</v>
      </c>
      <c r="M3127" s="21" t="s">
        <v>55</v>
      </c>
      <c r="N3127" s="29">
        <v>10</v>
      </c>
      <c r="R3127" s="21" t="s">
        <v>419</v>
      </c>
      <c r="T3127" s="56" t="s">
        <v>396</v>
      </c>
    </row>
    <row r="3128" spans="1:20" ht="14.4">
      <c r="A3128" s="38">
        <f>IF(C3128="","",MAX($A$1:A3127)+1)</f>
        <v>2863</v>
      </c>
      <c r="B3128" s="25" t="s">
        <v>19</v>
      </c>
      <c r="C3128" s="23">
        <v>46107</v>
      </c>
      <c r="D3128" s="24" t="str">
        <f>_xlfn.XLOOKUP(Table134526_79101120212223242526[[#This Row],[Name Surname]],Manpower!$C$4:$C$1048576,Manpower!$B$4:$B$1048576,"")</f>
        <v>Encogroup</v>
      </c>
      <c r="E3128" s="23" t="s">
        <v>63</v>
      </c>
      <c r="F3128" s="12" t="e">
        <f>_xlfn.XLOOKUP(Table134526_79101120212223242526[[#This Row],[Name Surname]],Manpower!C:C,Manpower!D:D,)</f>
        <v>#N/A</v>
      </c>
      <c r="G3128" s="24" t="str">
        <f>_xlfn.XLOOKUP(Table134526_79101120212223242526[[#This Row],[Name Surname]],Manpower!$C$4:$C$1048576,Manpower!$F$4:$F$1048576,"")</f>
        <v>22KVA-Generator</v>
      </c>
      <c r="H3128" s="24" t="str">
        <f>_xlfn.XLOOKUP(Table134526_79101120212223242526[[#This Row],[Name Surname]],Manpower!$C$4:$C$1048576,Manpower!$H$4:$H$1048576,"")</f>
        <v>Equipment</v>
      </c>
      <c r="I3128" s="24" t="str">
        <f>_xlfn.XLOOKUP(Table134526_79101120212223242526[[#This Row],[Name Surname]],Manpower!$C$4:$C$1048576,Manpower!$H$4:$H$1048576,"")</f>
        <v>Equipment</v>
      </c>
      <c r="J3128" s="21" t="s">
        <v>48</v>
      </c>
      <c r="K3128" s="21" t="s">
        <v>26</v>
      </c>
      <c r="L3128" s="21" t="s">
        <v>49</v>
      </c>
      <c r="M3128" s="21" t="s">
        <v>55</v>
      </c>
      <c r="N3128" s="29">
        <v>10</v>
      </c>
      <c r="R3128" s="21" t="s">
        <v>419</v>
      </c>
      <c r="T3128" s="56" t="s">
        <v>396</v>
      </c>
    </row>
    <row r="3129" spans="1:20" ht="14.4" hidden="1">
      <c r="A3129" s="38">
        <f>IF(C3129="","",MAX($A$1:A3127)+1)</f>
        <v>2863</v>
      </c>
      <c r="B3129" s="25" t="s">
        <v>19</v>
      </c>
      <c r="C3129" s="23">
        <v>46107</v>
      </c>
      <c r="D3129" s="28" t="str">
        <f>_xlfn.XLOOKUP(Table134526_79101120212223242526[[#This Row],[Name Surname]],Manpower!$C$4:$C$1048576,Manpower!$B$4:$B$1048576,"")</f>
        <v>Bright Light</v>
      </c>
      <c r="E3129" s="21" t="s">
        <v>64</v>
      </c>
      <c r="F3129" s="12">
        <f>_xlfn.XLOOKUP(Table134526_79101120212223242526[[#This Row],[Name Surname]],Manpower!C:C,Manpower!D:D,)</f>
        <v>114531608</v>
      </c>
      <c r="G3129" s="28" t="str">
        <f>_xlfn.XLOOKUP(Table134526_79101120212223242526[[#This Row],[Name Surname]],Manpower!$C$4:$C$1048576,Manpower!$F$4:$F$1048576,"")</f>
        <v>Crane Operator-150T Sany Crawler</v>
      </c>
      <c r="H3129" s="28" t="str">
        <f>_xlfn.XLOOKUP(Table134526_79101120212223242526[[#This Row],[Name Surname]],Manpower!$C$4:$C$1048576,Manpower!$H$4:$H$1048576,"")</f>
        <v>Manpower</v>
      </c>
      <c r="I3129" s="28" t="str">
        <f>_xlfn.XLOOKUP(Table134526_79101120212223242526[[#This Row],[Name Surname]],Manpower!$C$4:$C$1048576,Manpower!$H$4:$H$1048576,"")</f>
        <v>Manpower</v>
      </c>
      <c r="J3129" s="21" t="s">
        <v>48</v>
      </c>
      <c r="K3129" s="21" t="s">
        <v>26</v>
      </c>
      <c r="L3129" s="21" t="s">
        <v>49</v>
      </c>
      <c r="M3129" s="21" t="s">
        <v>55</v>
      </c>
      <c r="N3129" s="29">
        <v>10</v>
      </c>
      <c r="R3129" s="21" t="s">
        <v>419</v>
      </c>
      <c r="T3129" s="56" t="s">
        <v>396</v>
      </c>
    </row>
    <row r="3130" spans="1:20" ht="14.4" hidden="1">
      <c r="A3130" s="38">
        <f>IF(C3130="","",MAX($A$1:A3129)+1)</f>
        <v>2864</v>
      </c>
      <c r="B3130" s="25" t="s">
        <v>19</v>
      </c>
      <c r="C3130" s="23">
        <v>46107</v>
      </c>
      <c r="D3130" s="28" t="str">
        <f>_xlfn.XLOOKUP(Table134526_79101120212223242526[[#This Row],[Name Surname]],Manpower!$C$4:$C$1048576,Manpower!$B$4:$B$1048576,"")</f>
        <v>Encogroup</v>
      </c>
      <c r="E3130" s="21" t="s">
        <v>67</v>
      </c>
      <c r="F3130" s="12">
        <f>_xlfn.XLOOKUP(Table134526_79101120212223242526[[#This Row],[Name Surname]],Manpower!C:C,Manpower!D:D,)</f>
        <v>122082769</v>
      </c>
      <c r="G3130" s="28" t="str">
        <f>_xlfn.XLOOKUP(Table134526_79101120212223242526[[#This Row],[Name Surname]],Manpower!$C$4:$C$1048576,Manpower!$F$4:$F$1048576,"")</f>
        <v>Grinder</v>
      </c>
      <c r="H3130" s="28" t="str">
        <f>_xlfn.XLOOKUP(Table134526_79101120212223242526[[#This Row],[Name Surname]],Manpower!$C$4:$C$1048576,Manpower!$H$4:$H$1048576,"")</f>
        <v>Manpower</v>
      </c>
      <c r="I3130" s="28" t="str">
        <f>_xlfn.XLOOKUP(Table134526_79101120212223242526[[#This Row],[Name Surname]],Manpower!$C$4:$C$1048576,Manpower!$H$4:$H$1048576,"")</f>
        <v>Manpower</v>
      </c>
      <c r="J3130" s="21" t="s">
        <v>48</v>
      </c>
      <c r="K3130" s="21" t="s">
        <v>26</v>
      </c>
      <c r="L3130" s="21" t="s">
        <v>49</v>
      </c>
      <c r="M3130" s="21" t="s">
        <v>55</v>
      </c>
      <c r="N3130" s="29">
        <v>10</v>
      </c>
      <c r="R3130" s="21" t="s">
        <v>419</v>
      </c>
      <c r="T3130" s="56" t="s">
        <v>396</v>
      </c>
    </row>
    <row r="3131" spans="1:20" ht="14.4" hidden="1">
      <c r="A3131" s="38">
        <f>IF(C3131="","",MAX($A$1:A3130)+1)</f>
        <v>2865</v>
      </c>
      <c r="B3131" s="25" t="s">
        <v>19</v>
      </c>
      <c r="C3131" s="23">
        <v>46107</v>
      </c>
      <c r="D3131" s="28" t="str">
        <f>_xlfn.XLOOKUP(Table134526_79101120212223242526[[#This Row],[Name Surname]],Manpower!$C$4:$C$1048576,Manpower!$B$4:$B$1048576,"")</f>
        <v>AL Omar International TRAD AND CONT</v>
      </c>
      <c r="E3131" s="21" t="s">
        <v>66</v>
      </c>
      <c r="F3131" s="12">
        <f>_xlfn.XLOOKUP(Table134526_79101120212223242526[[#This Row],[Name Surname]],Manpower!C:C,Manpower!D:D,)</f>
        <v>115018512</v>
      </c>
      <c r="G3131" s="28" t="str">
        <f>_xlfn.XLOOKUP(Table134526_79101120212223242526[[#This Row],[Name Surname]],Manpower!$C$4:$C$1048576,Manpower!$F$4:$F$1048576,"")</f>
        <v>RIgger</v>
      </c>
      <c r="H3131" s="28" t="str">
        <f>_xlfn.XLOOKUP(Table134526_79101120212223242526[[#This Row],[Name Surname]],Manpower!$C$4:$C$1048576,Manpower!$H$4:$H$1048576,"")</f>
        <v>Sub Contactor</v>
      </c>
      <c r="I3131" s="28" t="str">
        <f>_xlfn.XLOOKUP(Table134526_79101120212223242526[[#This Row],[Name Surname]],Manpower!$C$4:$C$1048576,Manpower!$H$4:$H$1048576,"")</f>
        <v>Sub Contactor</v>
      </c>
      <c r="J3131" s="21" t="s">
        <v>48</v>
      </c>
      <c r="K3131" s="21" t="s">
        <v>26</v>
      </c>
      <c r="L3131" s="21" t="s">
        <v>49</v>
      </c>
      <c r="M3131" s="21" t="s">
        <v>55</v>
      </c>
      <c r="N3131" s="29">
        <v>10</v>
      </c>
      <c r="R3131" s="21" t="s">
        <v>419</v>
      </c>
      <c r="T3131" s="56" t="s">
        <v>396</v>
      </c>
    </row>
    <row r="3132" spans="1:20" ht="14.4" hidden="1">
      <c r="A3132" s="38">
        <f>IF(C3132="","",MAX($A$1:A3131)+1)</f>
        <v>2866</v>
      </c>
      <c r="B3132" s="25" t="s">
        <v>19</v>
      </c>
      <c r="C3132" s="23">
        <v>46107</v>
      </c>
      <c r="D3132" s="28" t="str">
        <f>_xlfn.XLOOKUP(Table134526_79101120212223242526[[#This Row],[Name Surname]],Manpower!$C$4:$C$1048576,Manpower!$B$4:$B$1048576,"")</f>
        <v>AL Omar International TRAD AND CONT</v>
      </c>
      <c r="E3132" s="21" t="s">
        <v>197</v>
      </c>
      <c r="F3132" s="12">
        <f>_xlfn.XLOOKUP(Table134526_79101120212223242526[[#This Row],[Name Surname]],Manpower!C:C,Manpower!D:D,)</f>
        <v>106093463</v>
      </c>
      <c r="G3132" s="28" t="str">
        <f>_xlfn.XLOOKUP(Table134526_79101120212223242526[[#This Row],[Name Surname]],Manpower!$C$4:$C$1048576,Manpower!$F$4:$F$1048576,"")</f>
        <v>RIgger</v>
      </c>
      <c r="H3132" s="28" t="str">
        <f>_xlfn.XLOOKUP(Table134526_79101120212223242526[[#This Row],[Name Surname]],Manpower!$C$4:$C$1048576,Manpower!$H$4:$H$1048576,"")</f>
        <v>Sub Contactor</v>
      </c>
      <c r="I3132" s="28" t="str">
        <f>_xlfn.XLOOKUP(Table134526_79101120212223242526[[#This Row],[Name Surname]],Manpower!$C$4:$C$1048576,Manpower!$H$4:$H$1048576,"")</f>
        <v>Sub Contactor</v>
      </c>
      <c r="J3132" s="21" t="s">
        <v>48</v>
      </c>
      <c r="K3132" s="21" t="s">
        <v>26</v>
      </c>
      <c r="L3132" s="21" t="s">
        <v>49</v>
      </c>
      <c r="M3132" s="21" t="s">
        <v>55</v>
      </c>
      <c r="N3132" s="29">
        <v>5</v>
      </c>
      <c r="R3132" s="21" t="s">
        <v>419</v>
      </c>
      <c r="T3132" s="56" t="s">
        <v>396</v>
      </c>
    </row>
    <row r="3133" spans="1:20" ht="14.4" hidden="1">
      <c r="A3133" s="38">
        <f>IF(C3133="","",MAX($A$1:A3132)+1)</f>
        <v>2867</v>
      </c>
      <c r="B3133" s="25" t="s">
        <v>19</v>
      </c>
      <c r="C3133" s="23">
        <v>46107</v>
      </c>
      <c r="D3133" s="28" t="str">
        <f>_xlfn.XLOOKUP(Table134526_79101120212223242526[[#This Row],[Name Surname]],Manpower!$C$4:$C$1048576,Manpower!$B$4:$B$1048576,"")</f>
        <v>Encogroup</v>
      </c>
      <c r="E3133" s="21" t="s">
        <v>44</v>
      </c>
      <c r="F3133" s="12">
        <f>_xlfn.XLOOKUP(Table134526_79101120212223242526[[#This Row],[Name Surname]],Manpower!C:C,Manpower!D:D,)</f>
        <v>140806218</v>
      </c>
      <c r="G3133" s="28" t="str">
        <f>_xlfn.XLOOKUP(Table134526_79101120212223242526[[#This Row],[Name Surname]],Manpower!$C$4:$C$1048576,Manpower!$F$4:$F$1048576,"")</f>
        <v>Fitter/Erector</v>
      </c>
      <c r="H3133" s="28" t="str">
        <f>_xlfn.XLOOKUP(Table134526_79101120212223242526[[#This Row],[Name Surname]],Manpower!$C$4:$C$1048576,Manpower!$H$4:$H$1048576,"")</f>
        <v>Manpower</v>
      </c>
      <c r="I3133" s="28" t="str">
        <f>_xlfn.XLOOKUP(Table134526_79101120212223242526[[#This Row],[Name Surname]],Manpower!$C$4:$C$1048576,Manpower!$H$4:$H$1048576,"")</f>
        <v>Manpower</v>
      </c>
      <c r="J3133" s="21" t="s">
        <v>48</v>
      </c>
      <c r="K3133" s="21" t="s">
        <v>26</v>
      </c>
      <c r="L3133" s="21" t="s">
        <v>49</v>
      </c>
      <c r="M3133" s="21" t="s">
        <v>55</v>
      </c>
      <c r="N3133" s="29">
        <v>10</v>
      </c>
      <c r="R3133" s="21" t="s">
        <v>419</v>
      </c>
      <c r="T3133" s="56" t="s">
        <v>396</v>
      </c>
    </row>
    <row r="3134" spans="1:20" ht="14.4" hidden="1">
      <c r="A3134" s="38">
        <f>IF(C3134="","",MAX($A$1:A3133)+1)</f>
        <v>2868</v>
      </c>
      <c r="B3134" s="25" t="s">
        <v>19</v>
      </c>
      <c r="C3134" s="23">
        <v>46107</v>
      </c>
      <c r="D3134" s="28" t="str">
        <f>_xlfn.XLOOKUP(Table134526_79101120212223242526[[#This Row],[Name Surname]],Manpower!$C$4:$C$1048576,Manpower!$B$4:$B$1048576,"")</f>
        <v>Encogroup</v>
      </c>
      <c r="E3134" s="21" t="s">
        <v>68</v>
      </c>
      <c r="F3134" s="12">
        <f>_xlfn.XLOOKUP(Table134526_79101120212223242526[[#This Row],[Name Surname]],Manpower!C:C,Manpower!D:D,)</f>
        <v>116915582</v>
      </c>
      <c r="G3134" s="28" t="str">
        <f>_xlfn.XLOOKUP(Table134526_79101120212223242526[[#This Row],[Name Surname]],Manpower!$C$4:$C$1048576,Manpower!$F$4:$F$1048576,"")</f>
        <v>Mechanical Superintendent</v>
      </c>
      <c r="H3134" s="28" t="str">
        <f>_xlfn.XLOOKUP(Table134526_79101120212223242526[[#This Row],[Name Surname]],Manpower!$C$4:$C$1048576,Manpower!$H$4:$H$1048576,"")</f>
        <v>Manpower</v>
      </c>
      <c r="I3134" s="28" t="str">
        <f>_xlfn.XLOOKUP(Table134526_79101120212223242526[[#This Row],[Name Surname]],Manpower!$C$4:$C$1048576,Manpower!$H$4:$H$1048576,"")</f>
        <v>Manpower</v>
      </c>
      <c r="J3134" s="21" t="s">
        <v>48</v>
      </c>
      <c r="K3134" s="21" t="s">
        <v>26</v>
      </c>
      <c r="L3134" s="21" t="s">
        <v>49</v>
      </c>
      <c r="M3134" s="21" t="s">
        <v>55</v>
      </c>
      <c r="N3134" s="29">
        <v>10</v>
      </c>
      <c r="R3134" s="21" t="s">
        <v>419</v>
      </c>
      <c r="T3134" s="56" t="s">
        <v>396</v>
      </c>
    </row>
    <row r="3135" spans="1:20" ht="14.4" hidden="1">
      <c r="A3135" s="38">
        <f>IF(C3135="","",MAX($A$1:A3134)+1)</f>
        <v>2869</v>
      </c>
      <c r="B3135" s="25" t="s">
        <v>19</v>
      </c>
      <c r="C3135" s="23">
        <v>46107</v>
      </c>
      <c r="D3135" s="28" t="str">
        <f>_xlfn.XLOOKUP(Table134526_79101120212223242526[[#This Row],[Name Surname]],Manpower!$C$4:$C$1048576,Manpower!$B$4:$B$1048576,"")</f>
        <v>Encogroup</v>
      </c>
      <c r="E3135" s="21" t="s">
        <v>69</v>
      </c>
      <c r="F3135" s="12">
        <f>_xlfn.XLOOKUP(Table134526_79101120212223242526[[#This Row],[Name Surname]],Manpower!C:C,Manpower!D:D,)</f>
        <v>141169071</v>
      </c>
      <c r="G3135" s="28" t="str">
        <f>_xlfn.XLOOKUP(Table134526_79101120212223242526[[#This Row],[Name Surname]],Manpower!$C$4:$C$1048576,Manpower!$F$4:$F$1048576,"")</f>
        <v>Welding Supervisor</v>
      </c>
      <c r="H3135" s="28" t="str">
        <f>_xlfn.XLOOKUP(Table134526_79101120212223242526[[#This Row],[Name Surname]],Manpower!$C$4:$C$1048576,Manpower!$H$4:$H$1048576,"")</f>
        <v>Manpower</v>
      </c>
      <c r="I3135" s="28" t="str">
        <f>_xlfn.XLOOKUP(Table134526_79101120212223242526[[#This Row],[Name Surname]],Manpower!$C$4:$C$1048576,Manpower!$H$4:$H$1048576,"")</f>
        <v>Manpower</v>
      </c>
      <c r="J3135" s="21" t="s">
        <v>48</v>
      </c>
      <c r="K3135" s="21" t="s">
        <v>26</v>
      </c>
      <c r="L3135" s="21" t="s">
        <v>49</v>
      </c>
      <c r="M3135" s="21" t="s">
        <v>55</v>
      </c>
      <c r="N3135" s="29">
        <v>10</v>
      </c>
      <c r="R3135" s="21" t="s">
        <v>419</v>
      </c>
      <c r="T3135" s="56" t="s">
        <v>396</v>
      </c>
    </row>
    <row r="3136" spans="1:20" ht="14.4" hidden="1">
      <c r="A3136" s="38">
        <f>IF(C3136="","",MAX($A$1:A3135)+1)</f>
        <v>2870</v>
      </c>
      <c r="B3136" s="25" t="s">
        <v>19</v>
      </c>
      <c r="C3136" s="23">
        <v>46107</v>
      </c>
      <c r="D3136" s="28" t="str">
        <f>_xlfn.XLOOKUP(Table134526_79101120212223242526[[#This Row],[Name Surname]],Manpower!$C$4:$C$1048576,Manpower!$B$4:$B$1048576,"")</f>
        <v>Encogroup</v>
      </c>
      <c r="E3136" s="21" t="s">
        <v>61</v>
      </c>
      <c r="F3136" s="12">
        <f>_xlfn.XLOOKUP(Table134526_79101120212223242526[[#This Row],[Name Surname]],Manpower!C:C,Manpower!D:D,)</f>
        <v>141169047</v>
      </c>
      <c r="G3136" s="28" t="str">
        <f>_xlfn.XLOOKUP(Table134526_79101120212223242526[[#This Row],[Name Surname]],Manpower!$C$4:$C$1048576,Manpower!$F$4:$F$1048576,"")</f>
        <v>Welder</v>
      </c>
      <c r="H3136" s="28" t="str">
        <f>_xlfn.XLOOKUP(Table134526_79101120212223242526[[#This Row],[Name Surname]],Manpower!$C$4:$C$1048576,Manpower!$H$4:$H$1048576,"")</f>
        <v>Manpower</v>
      </c>
      <c r="I3136" s="28" t="str">
        <f>_xlfn.XLOOKUP(Table134526_79101120212223242526[[#This Row],[Name Surname]],Manpower!$C$4:$C$1048576,Manpower!$H$4:$H$1048576,"")</f>
        <v>Manpower</v>
      </c>
      <c r="J3136" s="21" t="s">
        <v>48</v>
      </c>
      <c r="K3136" s="21" t="s">
        <v>26</v>
      </c>
      <c r="L3136" s="21" t="s">
        <v>49</v>
      </c>
      <c r="M3136" s="21" t="s">
        <v>55</v>
      </c>
      <c r="N3136" s="29">
        <v>10</v>
      </c>
      <c r="R3136" s="21" t="s">
        <v>419</v>
      </c>
      <c r="T3136" s="56" t="s">
        <v>396</v>
      </c>
    </row>
    <row r="3137" spans="1:20" ht="14.4" hidden="1">
      <c r="A3137" s="38">
        <f>IF(C3137="","",MAX($A$1:A3136)+1)</f>
        <v>2871</v>
      </c>
      <c r="B3137" s="25" t="s">
        <v>19</v>
      </c>
      <c r="C3137" s="23">
        <v>46107</v>
      </c>
      <c r="D3137" s="28" t="str">
        <f>_xlfn.XLOOKUP(Table134526_79101120212223242526[[#This Row],[Name Surname]],Manpower!$C$4:$C$1048576,Manpower!$B$4:$B$1048576,"")</f>
        <v>Encogroup</v>
      </c>
      <c r="E3137" s="21" t="s">
        <v>59</v>
      </c>
      <c r="F3137" s="12">
        <f>_xlfn.XLOOKUP(Table134526_79101120212223242526[[#This Row],[Name Surname]],Manpower!C:C,Manpower!D:D,)</f>
        <v>141169085</v>
      </c>
      <c r="G3137" s="28" t="str">
        <f>_xlfn.XLOOKUP(Table134526_79101120212223242526[[#This Row],[Name Surname]],Manpower!$C$4:$C$1048576,Manpower!$F$4:$F$1048576,"")</f>
        <v>Welder</v>
      </c>
      <c r="H3137" s="28" t="str">
        <f>_xlfn.XLOOKUP(Table134526_79101120212223242526[[#This Row],[Name Surname]],Manpower!$C$4:$C$1048576,Manpower!$H$4:$H$1048576,"")</f>
        <v>Manpower</v>
      </c>
      <c r="I3137" s="28" t="str">
        <f>_xlfn.XLOOKUP(Table134526_79101120212223242526[[#This Row],[Name Surname]],Manpower!$C$4:$C$1048576,Manpower!$H$4:$H$1048576,"")</f>
        <v>Manpower</v>
      </c>
      <c r="J3137" s="21" t="s">
        <v>48</v>
      </c>
      <c r="K3137" s="21" t="s">
        <v>26</v>
      </c>
      <c r="L3137" s="21" t="s">
        <v>49</v>
      </c>
      <c r="M3137" s="21" t="s">
        <v>55</v>
      </c>
      <c r="N3137" s="29">
        <v>10</v>
      </c>
      <c r="R3137" s="21" t="s">
        <v>419</v>
      </c>
      <c r="T3137" s="56" t="s">
        <v>396</v>
      </c>
    </row>
    <row r="3138" spans="1:20" ht="14.4" hidden="1">
      <c r="A3138" s="38">
        <f>IF(C3138="","",MAX($A$1:A3137)+1)</f>
        <v>2872</v>
      </c>
      <c r="B3138" s="25" t="s">
        <v>19</v>
      </c>
      <c r="C3138" s="23">
        <v>46107</v>
      </c>
      <c r="D3138" s="28" t="str">
        <f>_xlfn.XLOOKUP(Table134526_79101120212223242526[[#This Row],[Name Surname]],Manpower!$C$4:$C$1048576,Manpower!$B$4:$B$1048576,"")</f>
        <v>AL Omar International TRAD AND CONT</v>
      </c>
      <c r="E3138" s="21" t="s">
        <v>36</v>
      </c>
      <c r="F3138" s="12">
        <f>_xlfn.XLOOKUP(Table134526_79101120212223242526[[#This Row],[Name Surname]],Manpower!C:C,Manpower!D:D,)</f>
        <v>114929202</v>
      </c>
      <c r="G3138" s="28" t="str">
        <f>_xlfn.XLOOKUP(Table134526_79101120212223242526[[#This Row],[Name Surname]],Manpower!$C$4:$C$1048576,Manpower!$F$4:$F$1048576,"")</f>
        <v>RIgger</v>
      </c>
      <c r="H3138" s="28" t="str">
        <f>_xlfn.XLOOKUP(Table134526_79101120212223242526[[#This Row],[Name Surname]],Manpower!$C$4:$C$1048576,Manpower!$H$4:$H$1048576,"")</f>
        <v>Sub Contactor</v>
      </c>
      <c r="I3138" s="28" t="str">
        <f>_xlfn.XLOOKUP(Table134526_79101120212223242526[[#This Row],[Name Surname]],Manpower!$C$4:$C$1048576,Manpower!$H$4:$H$1048576,"")</f>
        <v>Sub Contactor</v>
      </c>
      <c r="J3138" s="21" t="s">
        <v>48</v>
      </c>
      <c r="K3138" s="21" t="s">
        <v>26</v>
      </c>
      <c r="L3138" s="21" t="s">
        <v>49</v>
      </c>
      <c r="M3138" s="21" t="s">
        <v>55</v>
      </c>
      <c r="N3138" s="29">
        <v>10</v>
      </c>
      <c r="R3138" s="21" t="s">
        <v>419</v>
      </c>
      <c r="T3138" s="56" t="s">
        <v>396</v>
      </c>
    </row>
    <row r="3139" spans="1:20" ht="14.4" hidden="1">
      <c r="A3139" s="38">
        <f>IF(C3139="","",MAX($A$1:A3138)+1)</f>
        <v>2873</v>
      </c>
      <c r="B3139" s="25" t="s">
        <v>19</v>
      </c>
      <c r="C3139" s="23">
        <v>46107</v>
      </c>
      <c r="D3139" s="28" t="str">
        <f>_xlfn.XLOOKUP(Table134526_79101120212223242526[[#This Row],[Name Surname]],Manpower!$C$4:$C$1048576,Manpower!$B$4:$B$1048576,"")</f>
        <v>Encogroup</v>
      </c>
      <c r="E3139" s="21" t="s">
        <v>37</v>
      </c>
      <c r="F3139" s="12">
        <f>_xlfn.XLOOKUP(Table134526_79101120212223242526[[#This Row],[Name Surname]],Manpower!C:C,Manpower!D:D,)</f>
        <v>140742088</v>
      </c>
      <c r="G3139" s="28" t="str">
        <f>_xlfn.XLOOKUP(Table134526_79101120212223242526[[#This Row],[Name Surname]],Manpower!$C$4:$C$1048576,Manpower!$F$4:$F$1048576,"")</f>
        <v>Fitter/Erector</v>
      </c>
      <c r="H3139" s="28" t="str">
        <f>_xlfn.XLOOKUP(Table134526_79101120212223242526[[#This Row],[Name Surname]],Manpower!$C$4:$C$1048576,Manpower!$H$4:$H$1048576,"")</f>
        <v>Manpower</v>
      </c>
      <c r="I3139" s="28" t="str">
        <f>_xlfn.XLOOKUP(Table134526_79101120212223242526[[#This Row],[Name Surname]],Manpower!$C$4:$C$1048576,Manpower!$H$4:$H$1048576,"")</f>
        <v>Manpower</v>
      </c>
      <c r="J3139" s="21" t="s">
        <v>48</v>
      </c>
      <c r="K3139" s="21" t="s">
        <v>26</v>
      </c>
      <c r="L3139" s="21" t="s">
        <v>49</v>
      </c>
      <c r="M3139" s="21" t="s">
        <v>55</v>
      </c>
      <c r="N3139" s="29">
        <v>10</v>
      </c>
      <c r="R3139" s="21" t="s">
        <v>419</v>
      </c>
      <c r="T3139" s="56" t="s">
        <v>396</v>
      </c>
    </row>
    <row r="3140" spans="1:20" ht="14.4" hidden="1">
      <c r="A3140" s="38">
        <f>IF(C3140="","",MAX($A$1:A3139)+1)</f>
        <v>2874</v>
      </c>
      <c r="B3140" s="25" t="s">
        <v>19</v>
      </c>
      <c r="C3140" s="23">
        <v>46107</v>
      </c>
      <c r="D3140" s="28" t="str">
        <f>_xlfn.XLOOKUP(Table134526_79101120212223242526[[#This Row],[Name Surname]],Manpower!$C$4:$C$1048576,Manpower!$B$4:$B$1048576,"")</f>
        <v>Encogroup</v>
      </c>
      <c r="E3140" s="21" t="s">
        <v>32</v>
      </c>
      <c r="F3140" s="12">
        <f>_xlfn.XLOOKUP(Table134526_79101120212223242526[[#This Row],[Name Surname]],Manpower!C:C,Manpower!D:D,)</f>
        <v>140697039</v>
      </c>
      <c r="G3140" s="28" t="str">
        <f>_xlfn.XLOOKUP(Table134526_79101120212223242526[[#This Row],[Name Surname]],Manpower!$C$4:$C$1048576,Manpower!$F$4:$F$1048576,"")</f>
        <v>Fitter/Erector</v>
      </c>
      <c r="H3140" s="28" t="str">
        <f>_xlfn.XLOOKUP(Table134526_79101120212223242526[[#This Row],[Name Surname]],Manpower!$C$4:$C$1048576,Manpower!$H$4:$H$1048576,"")</f>
        <v>Manpower</v>
      </c>
      <c r="I3140" s="28" t="str">
        <f>_xlfn.XLOOKUP(Table134526_79101120212223242526[[#This Row],[Name Surname]],Manpower!$C$4:$C$1048576,Manpower!$H$4:$H$1048576,"")</f>
        <v>Manpower</v>
      </c>
      <c r="J3140" s="21" t="s">
        <v>48</v>
      </c>
      <c r="K3140" s="21" t="s">
        <v>26</v>
      </c>
      <c r="L3140" s="21" t="s">
        <v>49</v>
      </c>
      <c r="M3140" s="21" t="s">
        <v>55</v>
      </c>
      <c r="N3140" s="29">
        <v>10</v>
      </c>
      <c r="R3140" s="21" t="s">
        <v>419</v>
      </c>
      <c r="T3140" s="56" t="s">
        <v>396</v>
      </c>
    </row>
    <row r="3141" spans="1:20" ht="14.4" hidden="1">
      <c r="A3141" s="38">
        <f>IF(C3141="","",MAX($A$1:A3140)+1)</f>
        <v>2875</v>
      </c>
      <c r="B3141" s="25" t="s">
        <v>19</v>
      </c>
      <c r="C3141" s="23">
        <v>46107</v>
      </c>
      <c r="D3141" s="28" t="str">
        <f>_xlfn.XLOOKUP(Table134526_79101120212223242526[[#This Row],[Name Surname]],Manpower!$C$4:$C$1048576,Manpower!$B$4:$B$1048576,"")</f>
        <v>Encogroup</v>
      </c>
      <c r="E3141" s="21" t="s">
        <v>207</v>
      </c>
      <c r="F3141" s="12">
        <f>_xlfn.XLOOKUP(Table134526_79101120212223242526[[#This Row],[Name Surname]],Manpower!C:C,Manpower!D:D,)</f>
        <v>141359216</v>
      </c>
      <c r="G3141" s="28" t="str">
        <f>_xlfn.XLOOKUP(Table134526_79101120212223242526[[#This Row],[Name Surname]],Manpower!$C$4:$C$1048576,Manpower!$F$4:$F$1048576,"")</f>
        <v>Electrician</v>
      </c>
      <c r="H3141" s="28" t="str">
        <f>_xlfn.XLOOKUP(Table134526_79101120212223242526[[#This Row],[Name Surname]],Manpower!$C$4:$C$1048576,Manpower!$H$4:$H$1048576,"")</f>
        <v>Manpower</v>
      </c>
      <c r="I3141" s="28" t="str">
        <f>_xlfn.XLOOKUP(Table134526_79101120212223242526[[#This Row],[Name Surname]],Manpower!$C$4:$C$1048576,Manpower!$H$4:$H$1048576,"")</f>
        <v>Manpower</v>
      </c>
      <c r="J3141" s="21" t="s">
        <v>48</v>
      </c>
      <c r="K3141" s="21" t="s">
        <v>26</v>
      </c>
      <c r="L3141" s="21" t="s">
        <v>49</v>
      </c>
      <c r="M3141" s="21" t="s">
        <v>55</v>
      </c>
      <c r="N3141" s="29">
        <v>10</v>
      </c>
      <c r="R3141" s="21" t="s">
        <v>419</v>
      </c>
      <c r="T3141" s="56" t="s">
        <v>396</v>
      </c>
    </row>
    <row r="3142" spans="1:20" ht="14.4" hidden="1">
      <c r="A3142" s="38">
        <f>IF(C3142="","",MAX($A$1:A3141)+1)</f>
        <v>2876</v>
      </c>
      <c r="B3142" s="25" t="s">
        <v>19</v>
      </c>
      <c r="C3142" s="23">
        <v>46107</v>
      </c>
      <c r="D3142" s="28" t="str">
        <f>_xlfn.XLOOKUP(Table134526_79101120212223242526[[#This Row],[Name Surname]],Manpower!$C$4:$C$1048576,Manpower!$B$4:$B$1048576,"")</f>
        <v>Encogroup</v>
      </c>
      <c r="E3142" s="21" t="s">
        <v>70</v>
      </c>
      <c r="F3142" s="12">
        <f>_xlfn.XLOOKUP(Table134526_79101120212223242526[[#This Row],[Name Surname]],Manpower!C:C,Manpower!D:D,)</f>
        <v>141365126</v>
      </c>
      <c r="G3142" s="28" t="str">
        <f>_xlfn.XLOOKUP(Table134526_79101120212223242526[[#This Row],[Name Surname]],Manpower!$C$4:$C$1048576,Manpower!$F$4:$F$1048576,"")</f>
        <v>Helper</v>
      </c>
      <c r="H3142" s="28" t="str">
        <f>_xlfn.XLOOKUP(Table134526_79101120212223242526[[#This Row],[Name Surname]],Manpower!$C$4:$C$1048576,Manpower!$H$4:$H$1048576,"")</f>
        <v>Manpower</v>
      </c>
      <c r="I3142" s="28" t="str">
        <f>_xlfn.XLOOKUP(Table134526_79101120212223242526[[#This Row],[Name Surname]],Manpower!$C$4:$C$1048576,Manpower!$H$4:$H$1048576,"")</f>
        <v>Manpower</v>
      </c>
      <c r="J3142" s="21" t="s">
        <v>48</v>
      </c>
      <c r="K3142" s="21" t="s">
        <v>26</v>
      </c>
      <c r="L3142" s="21" t="s">
        <v>49</v>
      </c>
      <c r="M3142" s="21" t="s">
        <v>55</v>
      </c>
      <c r="N3142" s="29">
        <v>10</v>
      </c>
      <c r="R3142" s="21" t="s">
        <v>419</v>
      </c>
      <c r="T3142" s="56" t="s">
        <v>396</v>
      </c>
    </row>
    <row r="3143" spans="1:20" ht="14.4" hidden="1">
      <c r="A3143" s="38">
        <f>IF(C3143="","",MAX($A$1:A3142)+1)</f>
        <v>2877</v>
      </c>
      <c r="B3143" s="25" t="s">
        <v>19</v>
      </c>
      <c r="C3143" s="23">
        <v>46107</v>
      </c>
      <c r="D3143" s="28" t="str">
        <f>_xlfn.XLOOKUP(Table134526_79101120212223242526[[#This Row],[Name Surname]],Manpower!$C$4:$C$1048576,Manpower!$B$4:$B$1048576,"")</f>
        <v>Bright Light</v>
      </c>
      <c r="E3143" s="21" t="s">
        <v>71</v>
      </c>
      <c r="F3143" s="12">
        <f>_xlfn.XLOOKUP(Table134526_79101120212223242526[[#This Row],[Name Surname]],Manpower!C:C,Manpower!D:D,)</f>
        <v>81379273</v>
      </c>
      <c r="G3143" s="28" t="str">
        <f>_xlfn.XLOOKUP(Table134526_79101120212223242526[[#This Row],[Name Surname]],Manpower!$C$4:$C$1048576,Manpower!$F$4:$F$1048576,"")</f>
        <v>Crane Operator-100T Sany Telescopic</v>
      </c>
      <c r="H3143" s="28" t="str">
        <f>_xlfn.XLOOKUP(Table134526_79101120212223242526[[#This Row],[Name Surname]],Manpower!$C$4:$C$1048576,Manpower!$H$4:$H$1048576,"")</f>
        <v>Manpower</v>
      </c>
      <c r="I3143" s="28" t="str">
        <f>_xlfn.XLOOKUP(Table134526_79101120212223242526[[#This Row],[Name Surname]],Manpower!$C$4:$C$1048576,Manpower!$H$4:$H$1048576,"")</f>
        <v>Manpower</v>
      </c>
      <c r="J3143" s="21" t="s">
        <v>48</v>
      </c>
      <c r="K3143" s="21" t="s">
        <v>26</v>
      </c>
      <c r="L3143" s="21" t="s">
        <v>49</v>
      </c>
      <c r="M3143" s="21" t="s">
        <v>55</v>
      </c>
      <c r="N3143" s="29">
        <v>10</v>
      </c>
      <c r="R3143" s="21" t="s">
        <v>419</v>
      </c>
      <c r="T3143" s="56" t="s">
        <v>396</v>
      </c>
    </row>
    <row r="3144" spans="1:20" ht="14.4" hidden="1">
      <c r="A3144" s="38">
        <f>IF(C3144="","",MAX($A$1:A3143)+1)</f>
        <v>2878</v>
      </c>
      <c r="B3144" s="25" t="s">
        <v>19</v>
      </c>
      <c r="C3144" s="23">
        <v>46107</v>
      </c>
      <c r="D3144" s="28" t="str">
        <f>_xlfn.XLOOKUP(Table134526_79101120212223242526[[#This Row],[Name Surname]],Manpower!$C$4:$C$1048576,Manpower!$B$4:$B$1048576,"")</f>
        <v>Encogroup</v>
      </c>
      <c r="E3144" s="21" t="s">
        <v>73</v>
      </c>
      <c r="F3144" s="12">
        <f>_xlfn.XLOOKUP(Table134526_79101120212223242526[[#This Row],[Name Surname]],Manpower!C:C,Manpower!D:D,)</f>
        <v>135325259</v>
      </c>
      <c r="G3144" s="28" t="str">
        <f>_xlfn.XLOOKUP(Table134526_79101120212223242526[[#This Row],[Name Surname]],Manpower!$C$4:$C$1048576,Manpower!$F$4:$F$1048576,"")</f>
        <v>Permit Receiver</v>
      </c>
      <c r="H3144" s="28" t="str">
        <f>_xlfn.XLOOKUP(Table134526_79101120212223242526[[#This Row],[Name Surname]],Manpower!$C$4:$C$1048576,Manpower!$H$4:$H$1048576,"")</f>
        <v>Manpower</v>
      </c>
      <c r="I3144" s="28" t="str">
        <f>_xlfn.XLOOKUP(Table134526_79101120212223242526[[#This Row],[Name Surname]],Manpower!$C$4:$C$1048576,Manpower!$H$4:$H$1048576,"")</f>
        <v>Manpower</v>
      </c>
      <c r="J3144" s="21" t="s">
        <v>48</v>
      </c>
      <c r="K3144" s="21" t="s">
        <v>26</v>
      </c>
      <c r="L3144" s="21" t="s">
        <v>49</v>
      </c>
      <c r="M3144" s="21" t="s">
        <v>55</v>
      </c>
      <c r="N3144" s="29">
        <v>10</v>
      </c>
      <c r="R3144" s="21" t="s">
        <v>419</v>
      </c>
      <c r="T3144" s="56" t="s">
        <v>396</v>
      </c>
    </row>
    <row r="3145" spans="1:20" ht="14.4" hidden="1">
      <c r="A3145" s="38">
        <f>IF(C3145="","",MAX($A$1:A3144)+1)</f>
        <v>2879</v>
      </c>
      <c r="B3145" s="25" t="s">
        <v>19</v>
      </c>
      <c r="C3145" s="23">
        <v>46107</v>
      </c>
      <c r="D3145" s="28" t="str">
        <f>_xlfn.XLOOKUP(Table134526_79101120212223242526[[#This Row],[Name Surname]],Manpower!$C$4:$C$1048576,Manpower!$B$4:$B$1048576,"")</f>
        <v>Encogroup</v>
      </c>
      <c r="E3145" s="21" t="s">
        <v>74</v>
      </c>
      <c r="F3145" s="12">
        <f>_xlfn.XLOOKUP(Table134526_79101120212223242526[[#This Row],[Name Surname]],Manpower!C:C,Manpower!D:D,)</f>
        <v>141365089</v>
      </c>
      <c r="G3145" s="28" t="str">
        <f>_xlfn.XLOOKUP(Table134526_79101120212223242526[[#This Row],[Name Surname]],Manpower!$C$4:$C$1048576,Manpower!$F$4:$F$1048576,"")</f>
        <v>Fitter</v>
      </c>
      <c r="H3145" s="28" t="str">
        <f>_xlfn.XLOOKUP(Table134526_79101120212223242526[[#This Row],[Name Surname]],Manpower!$C$4:$C$1048576,Manpower!$H$4:$H$1048576,"")</f>
        <v>Manpower</v>
      </c>
      <c r="I3145" s="28" t="str">
        <f>_xlfn.XLOOKUP(Table134526_79101120212223242526[[#This Row],[Name Surname]],Manpower!$C$4:$C$1048576,Manpower!$H$4:$H$1048576,"")</f>
        <v>Manpower</v>
      </c>
      <c r="J3145" s="21" t="s">
        <v>48</v>
      </c>
      <c r="K3145" s="21" t="s">
        <v>26</v>
      </c>
      <c r="L3145" s="21" t="s">
        <v>49</v>
      </c>
      <c r="M3145" s="21" t="s">
        <v>55</v>
      </c>
      <c r="N3145" s="29">
        <v>10</v>
      </c>
      <c r="R3145" s="21" t="s">
        <v>419</v>
      </c>
      <c r="T3145" s="56" t="s">
        <v>396</v>
      </c>
    </row>
    <row r="3146" spans="1:20" ht="14.4" hidden="1">
      <c r="A3146" s="38">
        <f>IF(C3146="","",MAX($A$1:A3145)+1)</f>
        <v>2880</v>
      </c>
      <c r="B3146" s="25" t="s">
        <v>19</v>
      </c>
      <c r="C3146" s="23">
        <v>46107</v>
      </c>
      <c r="D3146" s="28" t="str">
        <f>_xlfn.XLOOKUP(Table134526_79101120212223242526[[#This Row],[Name Surname]],Manpower!$C$4:$C$1048576,Manpower!$B$4:$B$1048576,"")</f>
        <v>Encogroup</v>
      </c>
      <c r="E3146" s="21" t="s">
        <v>75</v>
      </c>
      <c r="F3146" s="12">
        <f>_xlfn.XLOOKUP(Table134526_79101120212223242526[[#This Row],[Name Surname]],Manpower!C:C,Manpower!D:D,)</f>
        <v>122179604</v>
      </c>
      <c r="G3146" s="28" t="str">
        <f>_xlfn.XLOOKUP(Table134526_79101120212223242526[[#This Row],[Name Surname]],Manpower!$C$4:$C$1048576,Manpower!$F$4:$F$1048576,"")</f>
        <v>Fitter/Erector</v>
      </c>
      <c r="H3146" s="28" t="str">
        <f>_xlfn.XLOOKUP(Table134526_79101120212223242526[[#This Row],[Name Surname]],Manpower!$C$4:$C$1048576,Manpower!$H$4:$H$1048576,"")</f>
        <v>Manpower</v>
      </c>
      <c r="I3146" s="28" t="str">
        <f>_xlfn.XLOOKUP(Table134526_79101120212223242526[[#This Row],[Name Surname]],Manpower!$C$4:$C$1048576,Manpower!$H$4:$H$1048576,"")</f>
        <v>Manpower</v>
      </c>
      <c r="J3146" s="21" t="s">
        <v>48</v>
      </c>
      <c r="K3146" s="21" t="s">
        <v>26</v>
      </c>
      <c r="L3146" s="21" t="s">
        <v>49</v>
      </c>
      <c r="M3146" s="21" t="s">
        <v>55</v>
      </c>
      <c r="N3146" s="29">
        <v>10</v>
      </c>
      <c r="R3146" s="21" t="s">
        <v>419</v>
      </c>
      <c r="T3146" s="56" t="s">
        <v>396</v>
      </c>
    </row>
    <row r="3147" spans="1:20" ht="14.4" hidden="1">
      <c r="A3147" s="38">
        <f>IF(C3147="","",MAX($A$1:A3146)+1)</f>
        <v>2881</v>
      </c>
      <c r="B3147" s="25" t="s">
        <v>19</v>
      </c>
      <c r="C3147" s="23">
        <v>46107</v>
      </c>
      <c r="D3147" s="28" t="str">
        <f>_xlfn.XLOOKUP(Table134526_79101120212223242526[[#This Row],[Name Surname]],Manpower!$C$4:$C$1048576,Manpower!$B$4:$B$1048576,"")</f>
        <v>Encogroup</v>
      </c>
      <c r="E3147" s="21" t="s">
        <v>78</v>
      </c>
      <c r="F3147" s="12">
        <f>_xlfn.XLOOKUP(Table134526_79101120212223242526[[#This Row],[Name Surname]],Manpower!C:C,Manpower!D:D,)</f>
        <v>117255966</v>
      </c>
      <c r="G3147" s="28" t="str">
        <f>_xlfn.XLOOKUP(Table134526_79101120212223242526[[#This Row],[Name Surname]],Manpower!$C$4:$C$1048576,Manpower!$F$4:$F$1048576,"")</f>
        <v>Mechanical Supervisor</v>
      </c>
      <c r="H3147" s="28" t="str">
        <f>_xlfn.XLOOKUP(Table134526_79101120212223242526[[#This Row],[Name Surname]],Manpower!$C$4:$C$1048576,Manpower!$H$4:$H$1048576,"")</f>
        <v>Manpower</v>
      </c>
      <c r="I3147" s="28" t="str">
        <f>_xlfn.XLOOKUP(Table134526_79101120212223242526[[#This Row],[Name Surname]],Manpower!$C$4:$C$1048576,Manpower!$H$4:$H$1048576,"")</f>
        <v>Manpower</v>
      </c>
      <c r="J3147" s="21" t="s">
        <v>48</v>
      </c>
      <c r="K3147" s="21" t="s">
        <v>26</v>
      </c>
      <c r="L3147" s="21" t="s">
        <v>49</v>
      </c>
      <c r="M3147" s="21" t="s">
        <v>55</v>
      </c>
      <c r="N3147" s="29">
        <v>10</v>
      </c>
      <c r="R3147" s="21" t="s">
        <v>419</v>
      </c>
      <c r="T3147" s="56" t="s">
        <v>396</v>
      </c>
    </row>
    <row r="3148" spans="1:20" ht="14.4" hidden="1">
      <c r="A3148" s="38">
        <f>IF(C3148="","",MAX($A$1:A3147)+1)</f>
        <v>2882</v>
      </c>
      <c r="B3148" s="37" t="s">
        <v>141</v>
      </c>
      <c r="C3148" s="23">
        <v>46107</v>
      </c>
      <c r="D3148" s="28" t="str">
        <f>_xlfn.XLOOKUP(Table134526_79101120212223242526[[#This Row],[Name Surname]],Manpower!$C$4:$C$1048576,Manpower!$B$4:$B$1048576,"")</f>
        <v>Encogroup</v>
      </c>
      <c r="E3148" s="21" t="s">
        <v>377</v>
      </c>
      <c r="F3148" s="12">
        <f>_xlfn.XLOOKUP(Table134526_79101120212223242526[[#This Row],[Name Surname]],Manpower!C:C,Manpower!D:D,)</f>
        <v>141322485</v>
      </c>
      <c r="G3148" s="28" t="str">
        <f>_xlfn.XLOOKUP(Table134526_79101120212223242526[[#This Row],[Name Surname]],Manpower!$C$4:$C$1048576,Manpower!$F$4:$F$1048576,"")</f>
        <v>Electrical Engineer</v>
      </c>
      <c r="H3148" s="28" t="str">
        <f>_xlfn.XLOOKUP(Table134526_79101120212223242526[[#This Row],[Name Surname]],Manpower!$C$4:$C$1048576,Manpower!$H$4:$H$1048576,"")</f>
        <v>Manpower</v>
      </c>
      <c r="I3148" s="28" t="str">
        <f>_xlfn.XLOOKUP(Table134526_79101120212223242526[[#This Row],[Name Surname]],Manpower!$C$4:$C$1048576,Manpower!$H$4:$H$1048576,"")</f>
        <v>Manpower</v>
      </c>
      <c r="J3148" s="21" t="s">
        <v>378</v>
      </c>
      <c r="K3148" s="21" t="s">
        <v>26</v>
      </c>
      <c r="L3148" s="21" t="s">
        <v>379</v>
      </c>
      <c r="M3148" s="21" t="s">
        <v>55</v>
      </c>
      <c r="N3148" s="29">
        <v>10</v>
      </c>
      <c r="R3148" s="21" t="s">
        <v>419</v>
      </c>
      <c r="T3148" s="56" t="s">
        <v>396</v>
      </c>
    </row>
    <row r="3149" spans="1:20" ht="14.4" hidden="1">
      <c r="A3149" s="38">
        <f>IF(C3149="","",MAX($A$1:A3147)+1)</f>
        <v>2882</v>
      </c>
      <c r="B3149" s="37" t="s">
        <v>141</v>
      </c>
      <c r="C3149" s="23">
        <v>46107</v>
      </c>
      <c r="D3149" s="28" t="str">
        <f>_xlfn.XLOOKUP(Table134526_79101120212223242526[[#This Row],[Name Surname]],Manpower!$C$4:$C$1048576,Manpower!$B$4:$B$1048576,"")</f>
        <v>Encogroup</v>
      </c>
      <c r="E3149" s="21" t="s">
        <v>382</v>
      </c>
      <c r="F3149" s="12">
        <f>_xlfn.XLOOKUP(Table134526_79101120212223242526[[#This Row],[Name Surname]],Manpower!C:C,Manpower!D:D,)</f>
        <v>127414586</v>
      </c>
      <c r="G3149" s="28" t="str">
        <f>_xlfn.XLOOKUP(Table134526_79101120212223242526[[#This Row],[Name Surname]],Manpower!$C$4:$C$1048576,Manpower!$F$4:$F$1048576,"")</f>
        <v>HSE Officer</v>
      </c>
      <c r="H3149" s="28" t="str">
        <f>_xlfn.XLOOKUP(Table134526_79101120212223242526[[#This Row],[Name Surname]],Manpower!$C$4:$C$1048576,Manpower!$H$4:$H$1048576,"")</f>
        <v>Manpower</v>
      </c>
      <c r="I3149" s="28" t="str">
        <f>_xlfn.XLOOKUP(Table134526_79101120212223242526[[#This Row],[Name Surname]],Manpower!$C$4:$C$1048576,Manpower!$H$4:$H$1048576,"")</f>
        <v>Manpower</v>
      </c>
      <c r="J3149" s="21" t="s">
        <v>378</v>
      </c>
      <c r="K3149" s="21" t="s">
        <v>26</v>
      </c>
      <c r="L3149" s="21" t="s">
        <v>379</v>
      </c>
      <c r="M3149" s="21" t="s">
        <v>55</v>
      </c>
      <c r="N3149" s="29">
        <v>10</v>
      </c>
      <c r="R3149" s="21" t="s">
        <v>419</v>
      </c>
      <c r="T3149" s="56" t="s">
        <v>396</v>
      </c>
    </row>
    <row r="3150" spans="1:20" ht="14.4" hidden="1">
      <c r="A3150" s="38">
        <f>IF(C3150="","",MAX($A$1:A3149)+1)</f>
        <v>2883</v>
      </c>
      <c r="B3150" s="37" t="s">
        <v>141</v>
      </c>
      <c r="C3150" s="23">
        <v>46107</v>
      </c>
      <c r="D3150" s="28" t="str">
        <f>_xlfn.XLOOKUP(Table134526_79101120212223242526[[#This Row],[Name Surname]],Manpower!$C$4:$C$1048576,Manpower!$B$4:$B$1048576,"")</f>
        <v>Encogroup</v>
      </c>
      <c r="E3150" s="21" t="s">
        <v>383</v>
      </c>
      <c r="F3150" s="12">
        <f>_xlfn.XLOOKUP(Table134526_79101120212223242526[[#This Row],[Name Surname]],Manpower!C:C,Manpower!D:D,)</f>
        <v>71437827</v>
      </c>
      <c r="G3150" s="28" t="str">
        <f>_xlfn.XLOOKUP(Table134526_79101120212223242526[[#This Row],[Name Surname]],Manpower!$C$4:$C$1048576,Manpower!$F$4:$F$1048576,"")</f>
        <v>Electrical  Supervisor</v>
      </c>
      <c r="H3150" s="28" t="str">
        <f>_xlfn.XLOOKUP(Table134526_79101120212223242526[[#This Row],[Name Surname]],Manpower!$C$4:$C$1048576,Manpower!$H$4:$H$1048576,"")</f>
        <v>Manpower</v>
      </c>
      <c r="I3150" s="28" t="str">
        <f>_xlfn.XLOOKUP(Table134526_79101120212223242526[[#This Row],[Name Surname]],Manpower!$C$4:$C$1048576,Manpower!$H$4:$H$1048576,"")</f>
        <v>Manpower</v>
      </c>
      <c r="J3150" s="21" t="s">
        <v>378</v>
      </c>
      <c r="K3150" s="21" t="s">
        <v>26</v>
      </c>
      <c r="L3150" s="21" t="s">
        <v>379</v>
      </c>
      <c r="M3150" s="21" t="s">
        <v>55</v>
      </c>
      <c r="N3150" s="29">
        <v>10</v>
      </c>
      <c r="R3150" s="21" t="s">
        <v>419</v>
      </c>
      <c r="T3150" s="56" t="s">
        <v>396</v>
      </c>
    </row>
    <row r="3151" spans="1:20" ht="14.4" hidden="1">
      <c r="A3151" s="38">
        <f>IF(C3151="","",MAX($A$1:A3147)+1)</f>
        <v>2882</v>
      </c>
      <c r="B3151" s="37" t="s">
        <v>141</v>
      </c>
      <c r="C3151" s="23">
        <v>46107</v>
      </c>
      <c r="D3151" s="28" t="str">
        <f>_xlfn.XLOOKUP(Table134526_79101120212223242526[[#This Row],[Name Surname]],Manpower!$C$4:$C$1048576,Manpower!$B$4:$B$1048576,"")</f>
        <v>Encogroup</v>
      </c>
      <c r="E3151" s="21" t="s">
        <v>218</v>
      </c>
      <c r="F3151" s="12">
        <f>_xlfn.XLOOKUP(Table134526_79101120212223242526[[#This Row],[Name Surname]],Manpower!C:C,Manpower!D:D,)</f>
        <v>116853914</v>
      </c>
      <c r="G3151" s="28" t="str">
        <f>_xlfn.XLOOKUP(Table134526_79101120212223242526[[#This Row],[Name Surname]],Manpower!$C$4:$C$1048576,Manpower!$F$4:$F$1048576,"")</f>
        <v>Electrical Supervisor</v>
      </c>
      <c r="H3151" s="28" t="str">
        <f>_xlfn.XLOOKUP(Table134526_79101120212223242526[[#This Row],[Name Surname]],Manpower!$C$4:$C$1048576,Manpower!$H$4:$H$1048576,"")</f>
        <v>Manpower</v>
      </c>
      <c r="I3151" s="28" t="str">
        <f>_xlfn.XLOOKUP(Table134526_79101120212223242526[[#This Row],[Name Surname]],Manpower!$C$4:$C$1048576,Manpower!$H$4:$H$1048576,"")</f>
        <v>Manpower</v>
      </c>
      <c r="J3151" s="21" t="s">
        <v>378</v>
      </c>
      <c r="K3151" s="21" t="s">
        <v>26</v>
      </c>
      <c r="L3151" s="21" t="s">
        <v>379</v>
      </c>
      <c r="M3151" s="21" t="s">
        <v>55</v>
      </c>
      <c r="N3151" s="29">
        <v>10</v>
      </c>
      <c r="R3151" s="21" t="s">
        <v>419</v>
      </c>
      <c r="T3151" s="56" t="s">
        <v>396</v>
      </c>
    </row>
    <row r="3152" spans="1:20" ht="14.4" hidden="1">
      <c r="A3152" s="38">
        <f>IF(C3152="","",MAX($A$1:A3151)+1)</f>
        <v>2884</v>
      </c>
      <c r="B3152" s="37" t="s">
        <v>141</v>
      </c>
      <c r="C3152" s="23">
        <v>46107</v>
      </c>
      <c r="D3152" s="28" t="str">
        <f>_xlfn.XLOOKUP(Table134526_79101120212223242526[[#This Row],[Name Surname]],Manpower!$C$4:$C$1048576,Manpower!$B$4:$B$1048576,"")</f>
        <v>Encogroup</v>
      </c>
      <c r="E3152" s="21" t="s">
        <v>384</v>
      </c>
      <c r="F3152" s="12">
        <f>_xlfn.XLOOKUP(Table134526_79101120212223242526[[#This Row],[Name Surname]],Manpower!C:C,Manpower!D:D,)</f>
        <v>141307968</v>
      </c>
      <c r="G3152" s="28" t="str">
        <f>_xlfn.XLOOKUP(Table134526_79101120212223242526[[#This Row],[Name Surname]],Manpower!$C$4:$C$1048576,Manpower!$F$4:$F$1048576,"")</f>
        <v>Mechanical Supervisor</v>
      </c>
      <c r="H3152" s="28" t="str">
        <f>_xlfn.XLOOKUP(Table134526_79101120212223242526[[#This Row],[Name Surname]],Manpower!$C$4:$C$1048576,Manpower!$H$4:$H$1048576,"")</f>
        <v>Manpower</v>
      </c>
      <c r="I3152" s="28" t="str">
        <f>_xlfn.XLOOKUP(Table134526_79101120212223242526[[#This Row],[Name Surname]],Manpower!$C$4:$C$1048576,Manpower!$H$4:$H$1048576,"")</f>
        <v>Manpower</v>
      </c>
      <c r="J3152" s="21" t="s">
        <v>378</v>
      </c>
      <c r="K3152" s="21" t="s">
        <v>26</v>
      </c>
      <c r="L3152" s="21" t="s">
        <v>379</v>
      </c>
      <c r="M3152" s="21" t="s">
        <v>55</v>
      </c>
      <c r="N3152" s="29">
        <v>10</v>
      </c>
      <c r="R3152" s="21" t="s">
        <v>419</v>
      </c>
      <c r="T3152" s="56" t="s">
        <v>396</v>
      </c>
    </row>
    <row r="3153" spans="1:20" ht="14.4" hidden="1">
      <c r="A3153" s="38">
        <f>IF(C3153="","",MAX($A$1:A3147)+1)</f>
        <v>2882</v>
      </c>
      <c r="B3153" s="37" t="s">
        <v>141</v>
      </c>
      <c r="C3153" s="23">
        <v>46107</v>
      </c>
      <c r="D3153" s="28" t="str">
        <f>_xlfn.XLOOKUP(Table134526_79101120212223242526[[#This Row],[Name Surname]],Manpower!$C$4:$C$1048576,Manpower!$B$4:$B$1048576,"")</f>
        <v>Encogroup</v>
      </c>
      <c r="E3153" s="21" t="s">
        <v>385</v>
      </c>
      <c r="F3153" s="12">
        <f>_xlfn.XLOOKUP(Table134526_79101120212223242526[[#This Row],[Name Surname]],Manpower!C:C,Manpower!D:D,)</f>
        <v>141307921</v>
      </c>
      <c r="G3153" s="28" t="str">
        <f>_xlfn.XLOOKUP(Table134526_79101120212223242526[[#This Row],[Name Surname]],Manpower!$C$4:$C$1048576,Manpower!$F$4:$F$1048576,"")</f>
        <v>Mechanical Assistant</v>
      </c>
      <c r="H3153" s="28" t="str">
        <f>_xlfn.XLOOKUP(Table134526_79101120212223242526[[#This Row],[Name Surname]],Manpower!$C$4:$C$1048576,Manpower!$H$4:$H$1048576,"")</f>
        <v>Manpower</v>
      </c>
      <c r="I3153" s="28" t="str">
        <f>_xlfn.XLOOKUP(Table134526_79101120212223242526[[#This Row],[Name Surname]],Manpower!$C$4:$C$1048576,Manpower!$H$4:$H$1048576,"")</f>
        <v>Manpower</v>
      </c>
      <c r="J3153" s="21" t="s">
        <v>378</v>
      </c>
      <c r="K3153" s="21" t="s">
        <v>26</v>
      </c>
      <c r="L3153" s="21" t="s">
        <v>379</v>
      </c>
      <c r="M3153" s="21" t="s">
        <v>55</v>
      </c>
      <c r="N3153" s="29">
        <v>10</v>
      </c>
      <c r="R3153" s="21" t="s">
        <v>419</v>
      </c>
      <c r="T3153" s="56" t="s">
        <v>396</v>
      </c>
    </row>
    <row r="3154" spans="1:20" ht="14.4" hidden="1">
      <c r="A3154" s="38">
        <f>IF(C3154="","",MAX($A$1:A3147)+1)</f>
        <v>2882</v>
      </c>
      <c r="B3154" s="37" t="s">
        <v>141</v>
      </c>
      <c r="C3154" s="23">
        <v>46107</v>
      </c>
      <c r="D3154" s="28" t="str">
        <f>_xlfn.XLOOKUP(Table134526_79101120212223242526[[#This Row],[Name Surname]],Manpower!$C$4:$C$1048576,Manpower!$B$4:$B$1048576,"")</f>
        <v>Encogroup</v>
      </c>
      <c r="E3154" s="21" t="s">
        <v>61</v>
      </c>
      <c r="F3154" s="12">
        <f>_xlfn.XLOOKUP(Table134526_79101120212223242526[[#This Row],[Name Surname]],Manpower!C:C,Manpower!D:D,)</f>
        <v>141169047</v>
      </c>
      <c r="G3154" s="28" t="str">
        <f>_xlfn.XLOOKUP(Table134526_79101120212223242526[[#This Row],[Name Surname]],Manpower!$C$4:$C$1048576,Manpower!$F$4:$F$1048576,"")</f>
        <v>Welder</v>
      </c>
      <c r="H3154" s="28" t="str">
        <f>_xlfn.XLOOKUP(Table134526_79101120212223242526[[#This Row],[Name Surname]],Manpower!$C$4:$C$1048576,Manpower!$H$4:$H$1048576,"")</f>
        <v>Manpower</v>
      </c>
      <c r="I3154" s="28" t="str">
        <f>_xlfn.XLOOKUP(Table134526_79101120212223242526[[#This Row],[Name Surname]],Manpower!$C$4:$C$1048576,Manpower!$H$4:$H$1048576,"")</f>
        <v>Manpower</v>
      </c>
      <c r="J3154" s="21" t="s">
        <v>378</v>
      </c>
      <c r="K3154" s="21" t="s">
        <v>26</v>
      </c>
      <c r="L3154" s="21" t="s">
        <v>379</v>
      </c>
      <c r="M3154" s="21" t="s">
        <v>55</v>
      </c>
      <c r="N3154" s="29">
        <v>10</v>
      </c>
      <c r="R3154" s="21" t="s">
        <v>419</v>
      </c>
      <c r="T3154" s="56" t="s">
        <v>396</v>
      </c>
    </row>
    <row r="3155" spans="1:20" ht="14.4">
      <c r="A3155" s="38">
        <f>IF(C3155="","",MAX($A$1:A3147)+1)</f>
        <v>2882</v>
      </c>
      <c r="B3155" s="36" t="s">
        <v>141</v>
      </c>
      <c r="C3155" s="23">
        <v>46107</v>
      </c>
      <c r="D3155" s="28" t="str">
        <f>_xlfn.XLOOKUP(Table134526_79101120212223242526[[#This Row],[Name Surname]],Manpower!$C$4:$C$1048576,Manpower!$B$4:$B$1048576,"")</f>
        <v>Encogroup</v>
      </c>
      <c r="E3155" s="21" t="s">
        <v>80</v>
      </c>
      <c r="F3155" s="12" t="e">
        <f>_xlfn.XLOOKUP(Table134526_79101120212223242526[[#This Row],[Name Surname]],Manpower!C:C,Manpower!D:D,)</f>
        <v>#N/A</v>
      </c>
      <c r="G3155" s="28" t="str">
        <f>_xlfn.XLOOKUP(Table134526_79101120212223242526[[#This Row],[Name Surname]],Manpower!$C$4:$C$1048576,Manpower!$F$4:$F$1048576,"")</f>
        <v>22M-Manlift</v>
      </c>
      <c r="H3155" s="28" t="str">
        <f>_xlfn.XLOOKUP(Table134526_79101120212223242526[[#This Row],[Name Surname]],Manpower!$C$4:$C$1048576,Manpower!$H$4:$H$1048576,"")</f>
        <v>Equipment</v>
      </c>
      <c r="I3155" s="28" t="str">
        <f>_xlfn.XLOOKUP(Table134526_79101120212223242526[[#This Row],[Name Surname]],Manpower!$C$4:$C$1048576,Manpower!$H$4:$H$1048576,"")</f>
        <v>Equipment</v>
      </c>
      <c r="J3155" s="21" t="s">
        <v>35</v>
      </c>
      <c r="K3155" s="21" t="s">
        <v>26</v>
      </c>
      <c r="L3155" s="21" t="s">
        <v>82</v>
      </c>
      <c r="M3155" s="21" t="s">
        <v>55</v>
      </c>
      <c r="N3155" s="29">
        <v>10</v>
      </c>
      <c r="R3155" s="21" t="s">
        <v>419</v>
      </c>
      <c r="T3155" s="56" t="s">
        <v>396</v>
      </c>
    </row>
    <row r="3156" spans="1:20" ht="14.4">
      <c r="A3156" s="38">
        <f>IF(C3156="","",MAX($A$1:A3155)+1)</f>
        <v>2885</v>
      </c>
      <c r="B3156" s="36" t="s">
        <v>141</v>
      </c>
      <c r="C3156" s="23">
        <v>46107</v>
      </c>
      <c r="D3156" s="28" t="str">
        <f>_xlfn.XLOOKUP(Table134526_79101120212223242526[[#This Row],[Name Surname]],Manpower!$C$4:$C$1048576,Manpower!$B$4:$B$1048576,"")</f>
        <v>Encogroup</v>
      </c>
      <c r="E3156" s="21" t="s">
        <v>84</v>
      </c>
      <c r="F3156" s="12" t="e">
        <f>_xlfn.XLOOKUP(Table134526_79101120212223242526[[#This Row],[Name Surname]],Manpower!C:C,Manpower!D:D,)</f>
        <v>#N/A</v>
      </c>
      <c r="G3156" s="28" t="str">
        <f>_xlfn.XLOOKUP(Table134526_79101120212223242526[[#This Row],[Name Surname]],Manpower!$C$4:$C$1048576,Manpower!$F$4:$F$1048576,"")</f>
        <v>22M-Manlift</v>
      </c>
      <c r="H3156" s="28" t="str">
        <f>_xlfn.XLOOKUP(Table134526_79101120212223242526[[#This Row],[Name Surname]],Manpower!$C$4:$C$1048576,Manpower!$H$4:$H$1048576,"")</f>
        <v>Equipment</v>
      </c>
      <c r="I3156" s="28" t="str">
        <f>_xlfn.XLOOKUP(Table134526_79101120212223242526[[#This Row],[Name Surname]],Manpower!$C$4:$C$1048576,Manpower!$H$4:$H$1048576,"")</f>
        <v>Equipment</v>
      </c>
      <c r="J3156" s="21" t="s">
        <v>35</v>
      </c>
      <c r="K3156" s="21" t="s">
        <v>26</v>
      </c>
      <c r="L3156" s="21" t="s">
        <v>82</v>
      </c>
      <c r="M3156" s="21" t="s">
        <v>55</v>
      </c>
      <c r="N3156" s="29">
        <v>10</v>
      </c>
      <c r="R3156" s="21" t="s">
        <v>419</v>
      </c>
      <c r="T3156" s="56" t="s">
        <v>396</v>
      </c>
    </row>
    <row r="3157" spans="1:20" ht="14.4">
      <c r="A3157" s="38">
        <f>IF(C3157="","",MAX($A$1:A3156)+1)</f>
        <v>2886</v>
      </c>
      <c r="B3157" s="36" t="s">
        <v>141</v>
      </c>
      <c r="C3157" s="23">
        <v>46107</v>
      </c>
      <c r="D3157" s="28" t="str">
        <f>_xlfn.XLOOKUP(Table134526_79101120212223242526[[#This Row],[Name Surname]],Manpower!$C$4:$C$1048576,Manpower!$B$4:$B$1048576,"")</f>
        <v>Encogroup</v>
      </c>
      <c r="E3157" s="21" t="s">
        <v>341</v>
      </c>
      <c r="F3157" s="12" t="e">
        <f>_xlfn.XLOOKUP(Table134526_79101120212223242526[[#This Row],[Name Surname]],Manpower!C:C,Manpower!D:D,)</f>
        <v>#N/A</v>
      </c>
      <c r="G3157" s="28" t="str">
        <f>_xlfn.XLOOKUP(Table134526_79101120212223242526[[#This Row],[Name Surname]],Manpower!$C$4:$C$1048576,Manpower!$F$4:$F$1048576,"")</f>
        <v>SCISSOR LIFT</v>
      </c>
      <c r="H3157" s="28" t="str">
        <f>_xlfn.XLOOKUP(Table134526_79101120212223242526[[#This Row],[Name Surname]],Manpower!$C$4:$C$1048576,Manpower!$H$4:$H$1048576,"")</f>
        <v>Equipment</v>
      </c>
      <c r="I3157" s="28" t="str">
        <f>_xlfn.XLOOKUP(Table134526_79101120212223242526[[#This Row],[Name Surname]],Manpower!$C$4:$C$1048576,Manpower!$H$4:$H$1048576,"")</f>
        <v>Equipment</v>
      </c>
      <c r="J3157" s="21" t="s">
        <v>35</v>
      </c>
      <c r="K3157" s="21" t="s">
        <v>26</v>
      </c>
      <c r="L3157" s="21" t="s">
        <v>82</v>
      </c>
      <c r="M3157" s="21" t="s">
        <v>55</v>
      </c>
      <c r="N3157" s="29">
        <v>10</v>
      </c>
      <c r="R3157" s="21" t="s">
        <v>419</v>
      </c>
      <c r="T3157" s="56" t="s">
        <v>396</v>
      </c>
    </row>
    <row r="3158" spans="1:20" ht="14.4">
      <c r="A3158" s="38">
        <f>IF(C3158="","",MAX($A$1:A3157)+1)</f>
        <v>2887</v>
      </c>
      <c r="B3158" s="36" t="s">
        <v>141</v>
      </c>
      <c r="C3158" s="23">
        <v>46107</v>
      </c>
      <c r="D3158" s="28" t="str">
        <f>_xlfn.XLOOKUP(Table134526_79101120212223242526[[#This Row],[Name Surname]],Manpower!$C$4:$C$1048576,Manpower!$B$4:$B$1048576,"")</f>
        <v>Nass Group</v>
      </c>
      <c r="E3158" s="21" t="s">
        <v>86</v>
      </c>
      <c r="F3158" s="12" t="e">
        <f>_xlfn.XLOOKUP(Table134526_79101120212223242526[[#This Row],[Name Surname]],Manpower!C:C,Manpower!D:D,)</f>
        <v>#N/A</v>
      </c>
      <c r="G3158" s="28" t="str">
        <f>_xlfn.XLOOKUP(Table134526_79101120212223242526[[#This Row],[Name Surname]],Manpower!$C$4:$C$1048576,Manpower!$F$4:$F$1048576,"")</f>
        <v>70T-Telescopic crane</v>
      </c>
      <c r="H3158" s="28" t="str">
        <f>_xlfn.XLOOKUP(Table134526_79101120212223242526[[#This Row],[Name Surname]],Manpower!$C$4:$C$1048576,Manpower!$H$4:$H$1048576,"")</f>
        <v>Equipment</v>
      </c>
      <c r="I3158" s="28" t="str">
        <f>_xlfn.XLOOKUP(Table134526_79101120212223242526[[#This Row],[Name Surname]],Manpower!$C$4:$C$1048576,Manpower!$H$4:$H$1048576,"")</f>
        <v>Equipment</v>
      </c>
      <c r="J3158" s="21" t="s">
        <v>35</v>
      </c>
      <c r="K3158" s="21" t="s">
        <v>26</v>
      </c>
      <c r="L3158" s="21" t="s">
        <v>82</v>
      </c>
      <c r="M3158" s="21" t="s">
        <v>55</v>
      </c>
      <c r="N3158" s="29">
        <v>10</v>
      </c>
      <c r="R3158" s="21" t="s">
        <v>419</v>
      </c>
      <c r="T3158" s="56" t="s">
        <v>396</v>
      </c>
    </row>
    <row r="3159" spans="1:20" ht="14.4" hidden="1">
      <c r="A3159" s="38">
        <f>IF(C3159="","",MAX($A$1:A3158)+1)</f>
        <v>2888</v>
      </c>
      <c r="B3159" s="36" t="s">
        <v>141</v>
      </c>
      <c r="C3159" s="23">
        <v>46107</v>
      </c>
      <c r="D3159" s="28" t="str">
        <f>_xlfn.XLOOKUP(Table134526_79101120212223242526[[#This Row],[Name Surname]],Manpower!$C$4:$C$1048576,Manpower!$B$4:$B$1048576,"")</f>
        <v>SARENS NASS</v>
      </c>
      <c r="E3159" s="21" t="s">
        <v>103</v>
      </c>
      <c r="F3159" s="12">
        <f>_xlfn.XLOOKUP(Table134526_79101120212223242526[[#This Row],[Name Surname]],Manpower!C:C,Manpower!D:D,)</f>
        <v>79502392</v>
      </c>
      <c r="G3159" s="28" t="str">
        <f>_xlfn.XLOOKUP(Table134526_79101120212223242526[[#This Row],[Name Surname]],Manpower!$C$4:$C$1048576,Manpower!$F$4:$F$1048576,"")</f>
        <v>Crane Operator- 70T Liebherr Telescopic Crane-01</v>
      </c>
      <c r="H3159" s="28" t="str">
        <f>_xlfn.XLOOKUP(Table134526_79101120212223242526[[#This Row],[Name Surname]],Manpower!$C$4:$C$1048576,Manpower!$H$4:$H$1048576,"")</f>
        <v>Manpower</v>
      </c>
      <c r="I3159" s="28" t="str">
        <f>_xlfn.XLOOKUP(Table134526_79101120212223242526[[#This Row],[Name Surname]],Manpower!$C$4:$C$1048576,Manpower!$H$4:$H$1048576,"")</f>
        <v>Manpower</v>
      </c>
      <c r="J3159" s="21" t="s">
        <v>35</v>
      </c>
      <c r="K3159" s="21" t="s">
        <v>26</v>
      </c>
      <c r="L3159" s="21" t="s">
        <v>82</v>
      </c>
      <c r="M3159" s="21" t="s">
        <v>55</v>
      </c>
      <c r="N3159" s="29">
        <v>10</v>
      </c>
      <c r="R3159" s="21" t="s">
        <v>419</v>
      </c>
      <c r="T3159" s="56" t="s">
        <v>396</v>
      </c>
    </row>
    <row r="3160" spans="1:20" ht="14.4">
      <c r="A3160" s="38">
        <f>IF(C3160="","",MAX($A$1:A3159)+1)</f>
        <v>2889</v>
      </c>
      <c r="B3160" s="36" t="s">
        <v>141</v>
      </c>
      <c r="C3160" s="23">
        <v>46107</v>
      </c>
      <c r="D3160" s="28" t="str">
        <f>_xlfn.XLOOKUP(Table134526_79101120212223242526[[#This Row],[Name Surname]],Manpower!$C$4:$C$1048576,Manpower!$B$4:$B$1048576,"")</f>
        <v>Nass Group</v>
      </c>
      <c r="E3160" s="21" t="s">
        <v>146</v>
      </c>
      <c r="F3160" s="12" t="e">
        <f>_xlfn.XLOOKUP(Table134526_79101120212223242526[[#This Row],[Name Surname]],Manpower!C:C,Manpower!D:D,)</f>
        <v>#N/A</v>
      </c>
      <c r="G3160" s="28" t="str">
        <f>_xlfn.XLOOKUP(Table134526_79101120212223242526[[#This Row],[Name Surname]],Manpower!$C$4:$C$1048576,Manpower!$F$4:$F$1048576,"")</f>
        <v>130T Crawler Crane</v>
      </c>
      <c r="H3160" s="28" t="str">
        <f>_xlfn.XLOOKUP(Table134526_79101120212223242526[[#This Row],[Name Surname]],Manpower!$C$4:$C$1048576,Manpower!$H$4:$H$1048576,"")</f>
        <v>Equipment</v>
      </c>
      <c r="I3160" s="28" t="str">
        <f>_xlfn.XLOOKUP(Table134526_79101120212223242526[[#This Row],[Name Surname]],Manpower!$C$4:$C$1048576,Manpower!$H$4:$H$1048576,"")</f>
        <v>Equipment</v>
      </c>
      <c r="J3160" s="21" t="s">
        <v>35</v>
      </c>
      <c r="K3160" s="21" t="s">
        <v>26</v>
      </c>
      <c r="L3160" s="21" t="s">
        <v>82</v>
      </c>
      <c r="M3160" s="21" t="s">
        <v>55</v>
      </c>
      <c r="N3160" s="29">
        <v>10</v>
      </c>
      <c r="R3160" s="21" t="s">
        <v>419</v>
      </c>
      <c r="T3160" s="56" t="s">
        <v>396</v>
      </c>
    </row>
    <row r="3161" spans="1:20" ht="14.4" hidden="1">
      <c r="A3161" s="38">
        <f>IF(C3161="","",MAX($A$1:A3160)+1)</f>
        <v>2890</v>
      </c>
      <c r="B3161" s="36" t="s">
        <v>141</v>
      </c>
      <c r="C3161" s="23">
        <v>46107</v>
      </c>
      <c r="D3161" s="28" t="str">
        <f>_xlfn.XLOOKUP(Table134526_79101120212223242526[[#This Row],[Name Surname]],Manpower!$C$4:$C$1048576,Manpower!$B$4:$B$1048576,"")</f>
        <v>SARENS NASS</v>
      </c>
      <c r="E3161" s="21" t="s">
        <v>214</v>
      </c>
      <c r="F3161" s="12">
        <f>_xlfn.XLOOKUP(Table134526_79101120212223242526[[#This Row],[Name Surname]],Manpower!C:C,Manpower!D:D,)</f>
        <v>109957631</v>
      </c>
      <c r="G3161" s="28" t="str">
        <f>_xlfn.XLOOKUP(Table134526_79101120212223242526[[#This Row],[Name Surname]],Manpower!$C$4:$C$1048576,Manpower!$F$4:$F$1048576,"")</f>
        <v>Crane Operator-130T Liebherr Crawler</v>
      </c>
      <c r="H3161" s="28" t="str">
        <f>_xlfn.XLOOKUP(Table134526_79101120212223242526[[#This Row],[Name Surname]],Manpower!$C$4:$C$1048576,Manpower!$H$4:$H$1048576,"")</f>
        <v>Manpower</v>
      </c>
      <c r="I3161" s="28" t="str">
        <f>_xlfn.XLOOKUP(Table134526_79101120212223242526[[#This Row],[Name Surname]],Manpower!$C$4:$C$1048576,Manpower!$H$4:$H$1048576,"")</f>
        <v>Manpower</v>
      </c>
      <c r="J3161" s="21" t="s">
        <v>35</v>
      </c>
      <c r="K3161" s="21" t="s">
        <v>26</v>
      </c>
      <c r="L3161" s="21" t="s">
        <v>82</v>
      </c>
      <c r="M3161" s="21" t="s">
        <v>55</v>
      </c>
      <c r="N3161" s="29">
        <v>10</v>
      </c>
      <c r="R3161" s="21" t="s">
        <v>419</v>
      </c>
      <c r="T3161" s="56" t="s">
        <v>396</v>
      </c>
    </row>
    <row r="3162" spans="1:20" ht="14.4" hidden="1">
      <c r="A3162" s="38">
        <f>IF(C3162="","",MAX($A$1:A3161)+1)</f>
        <v>2891</v>
      </c>
      <c r="B3162" s="36" t="s">
        <v>141</v>
      </c>
      <c r="C3162" s="23">
        <v>46107</v>
      </c>
      <c r="D3162" s="28" t="str">
        <f>_xlfn.XLOOKUP(Table134526_79101120212223242526[[#This Row],[Name Surname]],Manpower!$C$4:$C$1048576,Manpower!$B$4:$B$1048576,"")</f>
        <v>Encogroup</v>
      </c>
      <c r="E3162" s="21" t="s">
        <v>136</v>
      </c>
      <c r="F3162" s="12">
        <f>_xlfn.XLOOKUP(Table134526_79101120212223242526[[#This Row],[Name Surname]],Manpower!C:C,Manpower!D:D,)</f>
        <v>141250908</v>
      </c>
      <c r="G3162" s="28" t="str">
        <f>_xlfn.XLOOKUP(Table134526_79101120212223242526[[#This Row],[Name Surname]],Manpower!$C$4:$C$1048576,Manpower!$F$4:$F$1048576,"")</f>
        <v>Mechanical Engineer</v>
      </c>
      <c r="H3162" s="28" t="str">
        <f>_xlfn.XLOOKUP(Table134526_79101120212223242526[[#This Row],[Name Surname]],Manpower!$C$4:$C$1048576,Manpower!$H$4:$H$1048576,"")</f>
        <v>Manpower</v>
      </c>
      <c r="I3162" s="28" t="str">
        <f>_xlfn.XLOOKUP(Table134526_79101120212223242526[[#This Row],[Name Surname]],Manpower!$C$4:$C$1048576,Manpower!$H$4:$H$1048576,"")</f>
        <v>Manpower</v>
      </c>
      <c r="J3162" s="21" t="s">
        <v>35</v>
      </c>
      <c r="K3162" s="21" t="s">
        <v>26</v>
      </c>
      <c r="L3162" s="21" t="s">
        <v>82</v>
      </c>
      <c r="M3162" s="21" t="s">
        <v>55</v>
      </c>
      <c r="N3162" s="29">
        <v>10</v>
      </c>
      <c r="R3162" s="21" t="s">
        <v>419</v>
      </c>
      <c r="T3162" s="56" t="s">
        <v>396</v>
      </c>
    </row>
    <row r="3163" spans="1:20" ht="14.4" hidden="1">
      <c r="A3163" s="38">
        <f>IF(C3163="","",MAX($A$1:A3161)+1)</f>
        <v>2891</v>
      </c>
      <c r="B3163" s="36" t="s">
        <v>141</v>
      </c>
      <c r="C3163" s="23">
        <v>46107</v>
      </c>
      <c r="D3163" s="28" t="str">
        <f>_xlfn.XLOOKUP(Table134526_79101120212223242526[[#This Row],[Name Surname]],Manpower!$C$4:$C$1048576,Manpower!$B$4:$B$1048576,"")</f>
        <v>Encogroup</v>
      </c>
      <c r="E3163" s="21" t="s">
        <v>91</v>
      </c>
      <c r="F3163" s="12">
        <f>_xlfn.XLOOKUP(Table134526_79101120212223242526[[#This Row],[Name Surname]],Manpower!C:C,Manpower!D:D,)</f>
        <v>132915855</v>
      </c>
      <c r="G3163" s="28" t="str">
        <f>_xlfn.XLOOKUP(Table134526_79101120212223242526[[#This Row],[Name Surname]],Manpower!$C$4:$C$1048576,Manpower!$F$4:$F$1048576,"")</f>
        <v>Mechanical Supervisor</v>
      </c>
      <c r="H3163" s="28" t="str">
        <f>_xlfn.XLOOKUP(Table134526_79101120212223242526[[#This Row],[Name Surname]],Manpower!$C$4:$C$1048576,Manpower!$H$4:$H$1048576,"")</f>
        <v>Manpower</v>
      </c>
      <c r="I3163" s="28" t="str">
        <f>_xlfn.XLOOKUP(Table134526_79101120212223242526[[#This Row],[Name Surname]],Manpower!$C$4:$C$1048576,Manpower!$H$4:$H$1048576,"")</f>
        <v>Manpower</v>
      </c>
      <c r="J3163" s="21" t="s">
        <v>35</v>
      </c>
      <c r="K3163" s="21" t="s">
        <v>26</v>
      </c>
      <c r="L3163" s="21" t="s">
        <v>82</v>
      </c>
      <c r="M3163" s="21" t="s">
        <v>55</v>
      </c>
      <c r="N3163" s="29">
        <v>10</v>
      </c>
      <c r="R3163" s="21" t="s">
        <v>419</v>
      </c>
      <c r="T3163" s="56" t="s">
        <v>396</v>
      </c>
    </row>
    <row r="3164" spans="1:20" ht="14.4" hidden="1">
      <c r="A3164" s="38">
        <f>IF(C3164="","",MAX($A$1:A3163)+1)</f>
        <v>2892</v>
      </c>
      <c r="B3164" s="36" t="s">
        <v>141</v>
      </c>
      <c r="C3164" s="23">
        <v>46107</v>
      </c>
      <c r="D3164" s="28" t="str">
        <f>_xlfn.XLOOKUP(Table134526_79101120212223242526[[#This Row],[Name Surname]],Manpower!$C$4:$C$1048576,Manpower!$B$4:$B$1048576,"")</f>
        <v>Encogroup</v>
      </c>
      <c r="E3164" s="21" t="s">
        <v>97</v>
      </c>
      <c r="F3164" s="12">
        <f>_xlfn.XLOOKUP(Table134526_79101120212223242526[[#This Row],[Name Surname]],Manpower!C:C,Manpower!D:D,)</f>
        <v>141359235</v>
      </c>
      <c r="G3164" s="28" t="str">
        <f>_xlfn.XLOOKUP(Table134526_79101120212223242526[[#This Row],[Name Surname]],Manpower!$C$4:$C$1048576,Manpower!$F$4:$F$1048576,"")</f>
        <v>Fitter</v>
      </c>
      <c r="H3164" s="28" t="str">
        <f>_xlfn.XLOOKUP(Table134526_79101120212223242526[[#This Row],[Name Surname]],Manpower!$C$4:$C$1048576,Manpower!$H$4:$H$1048576,"")</f>
        <v>Manpower</v>
      </c>
      <c r="I3164" s="28" t="str">
        <f>_xlfn.XLOOKUP(Table134526_79101120212223242526[[#This Row],[Name Surname]],Manpower!$C$4:$C$1048576,Manpower!$H$4:$H$1048576,"")</f>
        <v>Manpower</v>
      </c>
      <c r="J3164" s="21" t="s">
        <v>35</v>
      </c>
      <c r="K3164" s="21" t="s">
        <v>26</v>
      </c>
      <c r="L3164" s="21" t="s">
        <v>82</v>
      </c>
      <c r="M3164" s="21" t="s">
        <v>55</v>
      </c>
      <c r="N3164" s="29">
        <v>10</v>
      </c>
      <c r="R3164" s="21" t="s">
        <v>419</v>
      </c>
      <c r="T3164" s="56" t="s">
        <v>396</v>
      </c>
    </row>
    <row r="3165" spans="1:20" ht="14.4" hidden="1">
      <c r="A3165" s="38">
        <f>IF(C3165="","",MAX($A$1:A3164)+1)</f>
        <v>2893</v>
      </c>
      <c r="B3165" s="36" t="s">
        <v>141</v>
      </c>
      <c r="C3165" s="23">
        <v>46107</v>
      </c>
      <c r="D3165" s="28" t="str">
        <f>_xlfn.XLOOKUP(Table134526_79101120212223242526[[#This Row],[Name Surname]],Manpower!$C$4:$C$1048576,Manpower!$B$4:$B$1048576,"")</f>
        <v>Encogroup</v>
      </c>
      <c r="E3165" s="21" t="s">
        <v>99</v>
      </c>
      <c r="F3165" s="12">
        <f>_xlfn.XLOOKUP(Table134526_79101120212223242526[[#This Row],[Name Surname]],Manpower!C:C,Manpower!D:D,)</f>
        <v>140697025</v>
      </c>
      <c r="G3165" s="28" t="str">
        <f>_xlfn.XLOOKUP(Table134526_79101120212223242526[[#This Row],[Name Surname]],Manpower!$C$4:$C$1048576,Manpower!$F$4:$F$1048576,"")</f>
        <v>Assistant/Helper</v>
      </c>
      <c r="H3165" s="28" t="str">
        <f>_xlfn.XLOOKUP(Table134526_79101120212223242526[[#This Row],[Name Surname]],Manpower!$C$4:$C$1048576,Manpower!$H$4:$H$1048576,"")</f>
        <v>Manpower</v>
      </c>
      <c r="I3165" s="28" t="str">
        <f>_xlfn.XLOOKUP(Table134526_79101120212223242526[[#This Row],[Name Surname]],Manpower!$C$4:$C$1048576,Manpower!$H$4:$H$1048576,"")</f>
        <v>Manpower</v>
      </c>
      <c r="J3165" s="21" t="s">
        <v>35</v>
      </c>
      <c r="K3165" s="21" t="s">
        <v>26</v>
      </c>
      <c r="L3165" s="21" t="s">
        <v>82</v>
      </c>
      <c r="M3165" s="21" t="s">
        <v>55</v>
      </c>
      <c r="N3165" s="29">
        <v>10</v>
      </c>
      <c r="R3165" s="21" t="s">
        <v>419</v>
      </c>
      <c r="T3165" s="56" t="s">
        <v>396</v>
      </c>
    </row>
    <row r="3166" spans="1:20" ht="14.4" hidden="1">
      <c r="A3166" s="38">
        <f>IF(C3166="","",MAX($A$1:A3165)+1)</f>
        <v>2894</v>
      </c>
      <c r="B3166" s="36" t="s">
        <v>141</v>
      </c>
      <c r="C3166" s="23">
        <v>46107</v>
      </c>
      <c r="D3166" s="28" t="str">
        <f>_xlfn.XLOOKUP(Table134526_79101120212223242526[[#This Row],[Name Surname]],Manpower!$C$4:$C$1048576,Manpower!$B$4:$B$1048576,"")</f>
        <v>Encogroup</v>
      </c>
      <c r="E3166" s="21" t="s">
        <v>125</v>
      </c>
      <c r="F3166" s="12">
        <f>_xlfn.XLOOKUP(Table134526_79101120212223242526[[#This Row],[Name Surname]],Manpower!C:C,Manpower!D:D,)</f>
        <v>141169028</v>
      </c>
      <c r="G3166" s="28" t="str">
        <f>_xlfn.XLOOKUP(Table134526_79101120212223242526[[#This Row],[Name Surname]],Manpower!$C$4:$C$1048576,Manpower!$F$4:$F$1048576,"")</f>
        <v>Welder</v>
      </c>
      <c r="H3166" s="28" t="str">
        <f>_xlfn.XLOOKUP(Table134526_79101120212223242526[[#This Row],[Name Surname]],Manpower!$C$4:$C$1048576,Manpower!$H$4:$H$1048576,"")</f>
        <v>Manpower</v>
      </c>
      <c r="I3166" s="28" t="str">
        <f>_xlfn.XLOOKUP(Table134526_79101120212223242526[[#This Row],[Name Surname]],Manpower!$C$4:$C$1048576,Manpower!$H$4:$H$1048576,"")</f>
        <v>Manpower</v>
      </c>
      <c r="J3166" s="21" t="s">
        <v>35</v>
      </c>
      <c r="K3166" s="21" t="s">
        <v>26</v>
      </c>
      <c r="L3166" s="21" t="s">
        <v>82</v>
      </c>
      <c r="M3166" s="21" t="s">
        <v>55</v>
      </c>
      <c r="N3166" s="29">
        <v>10</v>
      </c>
      <c r="R3166" s="21" t="s">
        <v>419</v>
      </c>
      <c r="T3166" s="56" t="s">
        <v>396</v>
      </c>
    </row>
    <row r="3167" spans="1:20" ht="14.4" hidden="1">
      <c r="A3167" s="38">
        <f>IF(C3167="","",MAX($A$1:A3166)+1)</f>
        <v>2895</v>
      </c>
      <c r="B3167" s="36" t="s">
        <v>141</v>
      </c>
      <c r="C3167" s="23">
        <v>46107</v>
      </c>
      <c r="D3167" s="28" t="str">
        <f>_xlfn.XLOOKUP(Table134526_79101120212223242526[[#This Row],[Name Surname]],Manpower!$C$4:$C$1048576,Manpower!$B$4:$B$1048576,"")</f>
        <v>Encogroup</v>
      </c>
      <c r="E3167" s="21" t="s">
        <v>101</v>
      </c>
      <c r="F3167" s="12">
        <f>_xlfn.XLOOKUP(Table134526_79101120212223242526[[#This Row],[Name Surname]],Manpower!C:C,Manpower!D:D,)</f>
        <v>141169052</v>
      </c>
      <c r="G3167" s="28" t="str">
        <f>_xlfn.XLOOKUP(Table134526_79101120212223242526[[#This Row],[Name Surname]],Manpower!$C$4:$C$1048576,Manpower!$F$4:$F$1048576,"")</f>
        <v>Welder</v>
      </c>
      <c r="H3167" s="28" t="str">
        <f>_xlfn.XLOOKUP(Table134526_79101120212223242526[[#This Row],[Name Surname]],Manpower!$C$4:$C$1048576,Manpower!$H$4:$H$1048576,"")</f>
        <v>Manpower</v>
      </c>
      <c r="I3167" s="28" t="str">
        <f>_xlfn.XLOOKUP(Table134526_79101120212223242526[[#This Row],[Name Surname]],Manpower!$C$4:$C$1048576,Manpower!$H$4:$H$1048576,"")</f>
        <v>Manpower</v>
      </c>
      <c r="J3167" s="21" t="s">
        <v>35</v>
      </c>
      <c r="K3167" s="21" t="s">
        <v>26</v>
      </c>
      <c r="L3167" s="21" t="s">
        <v>82</v>
      </c>
      <c r="M3167" s="21" t="s">
        <v>55</v>
      </c>
      <c r="N3167" s="29">
        <v>10</v>
      </c>
      <c r="R3167" s="21" t="s">
        <v>419</v>
      </c>
      <c r="T3167" s="56" t="s">
        <v>396</v>
      </c>
    </row>
    <row r="3168" spans="1:20" ht="14.4" hidden="1">
      <c r="A3168" s="38">
        <f>IF(C3168="","",MAX($A$1:A3167)+1)</f>
        <v>2896</v>
      </c>
      <c r="B3168" s="36" t="s">
        <v>141</v>
      </c>
      <c r="C3168" s="23">
        <v>46107</v>
      </c>
      <c r="D3168" s="28" t="str">
        <f>_xlfn.XLOOKUP(Table134526_79101120212223242526[[#This Row],[Name Surname]],Manpower!$C$4:$C$1048576,Manpower!$B$4:$B$1048576,"")</f>
        <v>Encogroup</v>
      </c>
      <c r="E3168" s="21" t="s">
        <v>124</v>
      </c>
      <c r="F3168" s="12">
        <f>_xlfn.XLOOKUP(Table134526_79101120212223242526[[#This Row],[Name Surname]],Manpower!C:C,Manpower!D:D,)</f>
        <v>141169033</v>
      </c>
      <c r="G3168" s="28" t="str">
        <f>_xlfn.XLOOKUP(Table134526_79101120212223242526[[#This Row],[Name Surname]],Manpower!$C$4:$C$1048576,Manpower!$F$4:$F$1048576,"")</f>
        <v>Welder</v>
      </c>
      <c r="H3168" s="28" t="str">
        <f>_xlfn.XLOOKUP(Table134526_79101120212223242526[[#This Row],[Name Surname]],Manpower!$C$4:$C$1048576,Manpower!$H$4:$H$1048576,"")</f>
        <v>Manpower</v>
      </c>
      <c r="I3168" s="28" t="str">
        <f>_xlfn.XLOOKUP(Table134526_79101120212223242526[[#This Row],[Name Surname]],Manpower!$C$4:$C$1048576,Manpower!$H$4:$H$1048576,"")</f>
        <v>Manpower</v>
      </c>
      <c r="J3168" s="21" t="s">
        <v>35</v>
      </c>
      <c r="K3168" s="21" t="s">
        <v>26</v>
      </c>
      <c r="L3168" s="21" t="s">
        <v>82</v>
      </c>
      <c r="M3168" s="21" t="s">
        <v>55</v>
      </c>
      <c r="N3168" s="29">
        <v>10</v>
      </c>
      <c r="R3168" s="21" t="s">
        <v>419</v>
      </c>
      <c r="T3168" s="56" t="s">
        <v>396</v>
      </c>
    </row>
    <row r="3169" spans="1:20" ht="14.4" hidden="1">
      <c r="A3169" s="38">
        <f>IF(C3169="","",MAX($A$1:A3167)+1)</f>
        <v>2896</v>
      </c>
      <c r="B3169" s="36" t="s">
        <v>141</v>
      </c>
      <c r="C3169" s="23">
        <v>46107</v>
      </c>
      <c r="D3169" s="28" t="str">
        <f>_xlfn.XLOOKUP(Table134526_79101120212223242526[[#This Row],[Name Surname]],Manpower!$C$4:$C$1048576,Manpower!$B$4:$B$1048576,"")</f>
        <v>Encogroup</v>
      </c>
      <c r="E3169" s="21" t="s">
        <v>105</v>
      </c>
      <c r="F3169" s="12">
        <f>_xlfn.XLOOKUP(Table134526_79101120212223242526[[#This Row],[Name Surname]],Manpower!C:C,Manpower!D:D,)</f>
        <v>141358993</v>
      </c>
      <c r="G3169" s="28" t="str">
        <f>_xlfn.XLOOKUP(Table134526_79101120212223242526[[#This Row],[Name Surname]],Manpower!$C$4:$C$1048576,Manpower!$F$4:$F$1048576,"")</f>
        <v>Fitter</v>
      </c>
      <c r="H3169" s="28" t="str">
        <f>_xlfn.XLOOKUP(Table134526_79101120212223242526[[#This Row],[Name Surname]],Manpower!$C$4:$C$1048576,Manpower!$H$4:$H$1048576,"")</f>
        <v>Manpower</v>
      </c>
      <c r="I3169" s="28" t="str">
        <f>_xlfn.XLOOKUP(Table134526_79101120212223242526[[#This Row],[Name Surname]],Manpower!$C$4:$C$1048576,Manpower!$H$4:$H$1048576,"")</f>
        <v>Manpower</v>
      </c>
      <c r="J3169" s="21" t="s">
        <v>35</v>
      </c>
      <c r="K3169" s="21" t="s">
        <v>26</v>
      </c>
      <c r="L3169" s="21" t="s">
        <v>82</v>
      </c>
      <c r="M3169" s="21" t="s">
        <v>55</v>
      </c>
      <c r="N3169" s="29">
        <v>10</v>
      </c>
      <c r="R3169" s="21" t="s">
        <v>419</v>
      </c>
      <c r="T3169" s="56" t="s">
        <v>396</v>
      </c>
    </row>
    <row r="3170" spans="1:20" ht="14.4" hidden="1">
      <c r="A3170" s="38">
        <f>IF(C3170="","",MAX($A$1:A3169)+1)</f>
        <v>2897</v>
      </c>
      <c r="B3170" s="36" t="s">
        <v>141</v>
      </c>
      <c r="C3170" s="23">
        <v>46107</v>
      </c>
      <c r="D3170" s="28" t="str">
        <f>_xlfn.XLOOKUP(Table134526_79101120212223242526[[#This Row],[Name Surname]],Manpower!$C$4:$C$1048576,Manpower!$B$4:$B$1048576,"")</f>
        <v>Encogroup</v>
      </c>
      <c r="E3170" s="21" t="s">
        <v>106</v>
      </c>
      <c r="F3170" s="12" t="str">
        <f>_xlfn.XLOOKUP(Table134526_79101120212223242526[[#This Row],[Name Surname]],Manpower!C:C,Manpower!D:D,)</f>
        <v>R3971143</v>
      </c>
      <c r="G3170" s="28" t="str">
        <f>_xlfn.XLOOKUP(Table134526_79101120212223242526[[#This Row],[Name Surname]],Manpower!$C$4:$C$1048576,Manpower!$F$4:$F$1048576,"")</f>
        <v>Mechanical Foreman</v>
      </c>
      <c r="H3170" s="28" t="str">
        <f>_xlfn.XLOOKUP(Table134526_79101120212223242526[[#This Row],[Name Surname]],Manpower!$C$4:$C$1048576,Manpower!$H$4:$H$1048576,"")</f>
        <v>Manpower</v>
      </c>
      <c r="I3170" s="28" t="str">
        <f>_xlfn.XLOOKUP(Table134526_79101120212223242526[[#This Row],[Name Surname]],Manpower!$C$4:$C$1048576,Manpower!$H$4:$H$1048576,"")</f>
        <v>Manpower</v>
      </c>
      <c r="J3170" s="21" t="s">
        <v>35</v>
      </c>
      <c r="K3170" s="21" t="s">
        <v>26</v>
      </c>
      <c r="L3170" s="21" t="s">
        <v>82</v>
      </c>
      <c r="M3170" s="21" t="s">
        <v>55</v>
      </c>
      <c r="N3170" s="29">
        <v>10</v>
      </c>
      <c r="R3170" s="21" t="s">
        <v>419</v>
      </c>
      <c r="T3170" s="56" t="s">
        <v>396</v>
      </c>
    </row>
    <row r="3171" spans="1:20" ht="14.4" hidden="1">
      <c r="A3171" s="38">
        <f>IF(C3171="","",MAX($A$1:A3170)+1)</f>
        <v>2898</v>
      </c>
      <c r="B3171" s="36" t="s">
        <v>141</v>
      </c>
      <c r="C3171" s="23">
        <v>46107</v>
      </c>
      <c r="D3171" s="28" t="str">
        <f>_xlfn.XLOOKUP(Table134526_79101120212223242526[[#This Row],[Name Surname]],Manpower!$C$4:$C$1048576,Manpower!$B$4:$B$1048576,"")</f>
        <v>Encogroup</v>
      </c>
      <c r="E3171" s="21" t="s">
        <v>107</v>
      </c>
      <c r="F3171" s="12">
        <f>_xlfn.XLOOKUP(Table134526_79101120212223242526[[#This Row],[Name Surname]],Manpower!C:C,Manpower!D:D,)</f>
        <v>116858297</v>
      </c>
      <c r="G3171" s="28" t="str">
        <f>_xlfn.XLOOKUP(Table134526_79101120212223242526[[#This Row],[Name Surname]],Manpower!$C$4:$C$1048576,Manpower!$F$4:$F$1048576,"")</f>
        <v>Mechanical Superintendent</v>
      </c>
      <c r="H3171" s="28" t="str">
        <f>_xlfn.XLOOKUP(Table134526_79101120212223242526[[#This Row],[Name Surname]],Manpower!$C$4:$C$1048576,Manpower!$H$4:$H$1048576,"")</f>
        <v>Manpower</v>
      </c>
      <c r="I3171" s="28" t="str">
        <f>_xlfn.XLOOKUP(Table134526_79101120212223242526[[#This Row],[Name Surname]],Manpower!$C$4:$C$1048576,Manpower!$H$4:$H$1048576,"")</f>
        <v>Manpower</v>
      </c>
      <c r="J3171" s="21" t="s">
        <v>35</v>
      </c>
      <c r="K3171" s="21" t="s">
        <v>26</v>
      </c>
      <c r="L3171" s="21" t="s">
        <v>82</v>
      </c>
      <c r="M3171" s="21" t="s">
        <v>55</v>
      </c>
      <c r="N3171" s="29">
        <v>10</v>
      </c>
      <c r="R3171" s="21" t="s">
        <v>419</v>
      </c>
      <c r="T3171" s="56" t="s">
        <v>396</v>
      </c>
    </row>
    <row r="3172" spans="1:20" ht="14.4" hidden="1">
      <c r="A3172" s="38">
        <f>IF(C3172="","",MAX($A$1:A3171)+1)</f>
        <v>2899</v>
      </c>
      <c r="B3172" s="36" t="s">
        <v>141</v>
      </c>
      <c r="C3172" s="23">
        <v>46107</v>
      </c>
      <c r="D3172" s="28" t="str">
        <f>_xlfn.XLOOKUP(Table134526_79101120212223242526[[#This Row],[Name Surname]],Manpower!$C$4:$C$1048576,Manpower!$B$4:$B$1048576,"")</f>
        <v>Encogroup</v>
      </c>
      <c r="E3172" s="21" t="s">
        <v>126</v>
      </c>
      <c r="F3172" s="12">
        <f>_xlfn.XLOOKUP(Table134526_79101120212223242526[[#This Row],[Name Surname]],Manpower!C:C,Manpower!D:D,)</f>
        <v>140805568</v>
      </c>
      <c r="G3172" s="28" t="str">
        <f>_xlfn.XLOOKUP(Table134526_79101120212223242526[[#This Row],[Name Surname]],Manpower!$C$4:$C$1048576,Manpower!$F$4:$F$1048576,"")</f>
        <v>Assistant/Helper</v>
      </c>
      <c r="H3172" s="28" t="str">
        <f>_xlfn.XLOOKUP(Table134526_79101120212223242526[[#This Row],[Name Surname]],Manpower!$C$4:$C$1048576,Manpower!$H$4:$H$1048576,"")</f>
        <v>Manpower</v>
      </c>
      <c r="I3172" s="28" t="str">
        <f>_xlfn.XLOOKUP(Table134526_79101120212223242526[[#This Row],[Name Surname]],Manpower!$C$4:$C$1048576,Manpower!$H$4:$H$1048576,"")</f>
        <v>Manpower</v>
      </c>
      <c r="J3172" s="21" t="s">
        <v>35</v>
      </c>
      <c r="K3172" s="21" t="s">
        <v>26</v>
      </c>
      <c r="L3172" s="21" t="s">
        <v>82</v>
      </c>
      <c r="M3172" s="21" t="s">
        <v>55</v>
      </c>
      <c r="N3172" s="29">
        <v>10</v>
      </c>
      <c r="R3172" s="21" t="s">
        <v>419</v>
      </c>
      <c r="T3172" s="56" t="s">
        <v>396</v>
      </c>
    </row>
    <row r="3173" spans="1:20" ht="14.4" hidden="1">
      <c r="A3173" s="38">
        <f>IF(C3173="","",MAX($A$1:A3172)+1)</f>
        <v>2900</v>
      </c>
      <c r="B3173" s="36" t="s">
        <v>141</v>
      </c>
      <c r="C3173" s="23">
        <v>46107</v>
      </c>
      <c r="D3173" s="28" t="str">
        <f>_xlfn.XLOOKUP(Table134526_79101120212223242526[[#This Row],[Name Surname]],Manpower!$C$4:$C$1048576,Manpower!$B$4:$B$1048576,"")</f>
        <v>Rabwu Ahamal AL Khaleej Trad</v>
      </c>
      <c r="E3173" s="21" t="s">
        <v>131</v>
      </c>
      <c r="F3173" s="12">
        <f>_xlfn.XLOOKUP(Table134526_79101120212223242526[[#This Row],[Name Surname]],Manpower!C:C,Manpower!D:D,)</f>
        <v>131431131</v>
      </c>
      <c r="G3173" s="28" t="str">
        <f>_xlfn.XLOOKUP(Table134526_79101120212223242526[[#This Row],[Name Surname]],Manpower!$C$4:$C$1048576,Manpower!$F$4:$F$1048576,"")</f>
        <v>RIgger</v>
      </c>
      <c r="H3173" s="28" t="str">
        <f>_xlfn.XLOOKUP(Table134526_79101120212223242526[[#This Row],[Name Surname]],Manpower!$C$4:$C$1048576,Manpower!$H$4:$H$1048576,"")</f>
        <v>Sub Contactor</v>
      </c>
      <c r="I3173" s="28" t="str">
        <f>_xlfn.XLOOKUP(Table134526_79101120212223242526[[#This Row],[Name Surname]],Manpower!$C$4:$C$1048576,Manpower!$H$4:$H$1048576,"")</f>
        <v>Sub Contactor</v>
      </c>
      <c r="J3173" s="21" t="s">
        <v>35</v>
      </c>
      <c r="K3173" s="21" t="s">
        <v>26</v>
      </c>
      <c r="L3173" s="21" t="s">
        <v>82</v>
      </c>
      <c r="M3173" s="21" t="s">
        <v>55</v>
      </c>
      <c r="N3173" s="29">
        <v>10</v>
      </c>
      <c r="R3173" s="21" t="s">
        <v>419</v>
      </c>
      <c r="T3173" s="56" t="s">
        <v>396</v>
      </c>
    </row>
    <row r="3174" spans="1:20" ht="14.4" hidden="1">
      <c r="A3174" s="38">
        <f>IF(C3174="","",MAX($A$1:A3173)+1)</f>
        <v>2901</v>
      </c>
      <c r="B3174" s="36" t="s">
        <v>141</v>
      </c>
      <c r="C3174" s="23">
        <v>46107</v>
      </c>
      <c r="D3174" s="28" t="str">
        <f>_xlfn.XLOOKUP(Table134526_79101120212223242526[[#This Row],[Name Surname]],Manpower!$C$4:$C$1048576,Manpower!$B$4:$B$1048576,"")</f>
        <v>AL Saif &amp; Al QALLM ENT LLC</v>
      </c>
      <c r="E3174" s="21" t="s">
        <v>130</v>
      </c>
      <c r="F3174" s="12">
        <f>_xlfn.XLOOKUP(Table134526_79101120212223242526[[#This Row],[Name Surname]],Manpower!C:C,Manpower!D:D,)</f>
        <v>76647648</v>
      </c>
      <c r="G3174" s="28" t="str">
        <f>_xlfn.XLOOKUP(Table134526_79101120212223242526[[#This Row],[Name Surname]],Manpower!$C$4:$C$1048576,Manpower!$F$4:$F$1048576,"")</f>
        <v>RIgger</v>
      </c>
      <c r="H3174" s="28" t="str">
        <f>_xlfn.XLOOKUP(Table134526_79101120212223242526[[#This Row],[Name Surname]],Manpower!$C$4:$C$1048576,Manpower!$H$4:$H$1048576,"")</f>
        <v>Sub Contactor</v>
      </c>
      <c r="I3174" s="28" t="str">
        <f>_xlfn.XLOOKUP(Table134526_79101120212223242526[[#This Row],[Name Surname]],Manpower!$C$4:$C$1048576,Manpower!$H$4:$H$1048576,"")</f>
        <v>Sub Contactor</v>
      </c>
      <c r="J3174" s="21" t="s">
        <v>35</v>
      </c>
      <c r="K3174" s="21" t="s">
        <v>26</v>
      </c>
      <c r="L3174" s="21" t="s">
        <v>82</v>
      </c>
      <c r="M3174" s="21" t="s">
        <v>55</v>
      </c>
      <c r="N3174" s="29">
        <v>10</v>
      </c>
      <c r="R3174" s="21" t="s">
        <v>419</v>
      </c>
      <c r="T3174" s="56" t="s">
        <v>396</v>
      </c>
    </row>
    <row r="3175" spans="1:20" ht="14.4" hidden="1">
      <c r="A3175" s="38">
        <f>IF(C3175="","",MAX($A$1:A3174)+1)</f>
        <v>2902</v>
      </c>
      <c r="B3175" s="36" t="s">
        <v>141</v>
      </c>
      <c r="C3175" s="23">
        <v>46107</v>
      </c>
      <c r="D3175" s="28" t="str">
        <f>_xlfn.XLOOKUP(Table134526_79101120212223242526[[#This Row],[Name Surname]],Manpower!$C$4:$C$1048576,Manpower!$B$4:$B$1048576,"")</f>
        <v>Encogroup</v>
      </c>
      <c r="E3175" s="21" t="s">
        <v>109</v>
      </c>
      <c r="F3175" s="12">
        <f>_xlfn.XLOOKUP(Table134526_79101120212223242526[[#This Row],[Name Surname]],Manpower!C:C,Manpower!D:D,)</f>
        <v>123805496</v>
      </c>
      <c r="G3175" s="28" t="str">
        <f>_xlfn.XLOOKUP(Table134526_79101120212223242526[[#This Row],[Name Surname]],Manpower!$C$4:$C$1048576,Manpower!$F$4:$F$1048576,"")</f>
        <v>Fitter/Erector</v>
      </c>
      <c r="H3175" s="28" t="str">
        <f>_xlfn.XLOOKUP(Table134526_79101120212223242526[[#This Row],[Name Surname]],Manpower!$C$4:$C$1048576,Manpower!$H$4:$H$1048576,"")</f>
        <v>Manpower</v>
      </c>
      <c r="I3175" s="28" t="str">
        <f>_xlfn.XLOOKUP(Table134526_79101120212223242526[[#This Row],[Name Surname]],Manpower!$C$4:$C$1048576,Manpower!$H$4:$H$1048576,"")</f>
        <v>Manpower</v>
      </c>
      <c r="J3175" s="21" t="s">
        <v>35</v>
      </c>
      <c r="K3175" s="21" t="s">
        <v>26</v>
      </c>
      <c r="L3175" s="21" t="s">
        <v>82</v>
      </c>
      <c r="M3175" s="21" t="s">
        <v>55</v>
      </c>
      <c r="N3175" s="29">
        <v>10</v>
      </c>
      <c r="R3175" s="21" t="s">
        <v>419</v>
      </c>
      <c r="T3175" s="56" t="s">
        <v>396</v>
      </c>
    </row>
    <row r="3176" spans="1:20" ht="14.4" hidden="1">
      <c r="A3176" s="38">
        <f>IF(C3176="","",MAX($A$1:A3175)+1)</f>
        <v>2903</v>
      </c>
      <c r="B3176" s="36" t="s">
        <v>141</v>
      </c>
      <c r="C3176" s="23">
        <v>46107</v>
      </c>
      <c r="D3176" s="28" t="str">
        <f>_xlfn.XLOOKUP(Table134526_79101120212223242526[[#This Row],[Name Surname]],Manpower!$C$4:$C$1048576,Manpower!$B$4:$B$1048576,"")</f>
        <v>Encogroup</v>
      </c>
      <c r="E3176" s="21" t="s">
        <v>110</v>
      </c>
      <c r="F3176" s="12">
        <f>_xlfn.XLOOKUP(Table134526_79101120212223242526[[#This Row],[Name Surname]],Manpower!C:C,Manpower!D:D,)</f>
        <v>136277866</v>
      </c>
      <c r="G3176" s="28" t="str">
        <f>_xlfn.XLOOKUP(Table134526_79101120212223242526[[#This Row],[Name Surname]],Manpower!$C$4:$C$1048576,Manpower!$F$4:$F$1048576,"")</f>
        <v>Permit Receiver</v>
      </c>
      <c r="H3176" s="28" t="str">
        <f>_xlfn.XLOOKUP(Table134526_79101120212223242526[[#This Row],[Name Surname]],Manpower!$C$4:$C$1048576,Manpower!$H$4:$H$1048576,"")</f>
        <v>Manpower</v>
      </c>
      <c r="I3176" s="28" t="str">
        <f>_xlfn.XLOOKUP(Table134526_79101120212223242526[[#This Row],[Name Surname]],Manpower!$C$4:$C$1048576,Manpower!$H$4:$H$1048576,"")</f>
        <v>Manpower</v>
      </c>
      <c r="J3176" s="21" t="s">
        <v>35</v>
      </c>
      <c r="K3176" s="21" t="s">
        <v>26</v>
      </c>
      <c r="L3176" s="21" t="s">
        <v>82</v>
      </c>
      <c r="M3176" s="21" t="s">
        <v>55</v>
      </c>
      <c r="N3176" s="29">
        <v>10</v>
      </c>
      <c r="R3176" s="21" t="s">
        <v>419</v>
      </c>
      <c r="T3176" s="56" t="s">
        <v>396</v>
      </c>
    </row>
    <row r="3177" spans="1:20" ht="14.4" hidden="1">
      <c r="A3177" s="38">
        <f>IF(C3177="","",MAX($A$1:A3176)+1)</f>
        <v>2904</v>
      </c>
      <c r="B3177" s="36" t="s">
        <v>141</v>
      </c>
      <c r="C3177" s="23">
        <v>46107</v>
      </c>
      <c r="D3177" s="28" t="str">
        <f>_xlfn.XLOOKUP(Table134526_79101120212223242526[[#This Row],[Name Surname]],Manpower!$C$4:$C$1048576,Manpower!$B$4:$B$1048576,"")</f>
        <v>Encogroup</v>
      </c>
      <c r="E3177" s="21" t="s">
        <v>112</v>
      </c>
      <c r="F3177" s="12">
        <f>_xlfn.XLOOKUP(Table134526_79101120212223242526[[#This Row],[Name Surname]],Manpower!C:C,Manpower!D:D,)</f>
        <v>140663253</v>
      </c>
      <c r="G3177" s="28" t="str">
        <f>_xlfn.XLOOKUP(Table134526_79101120212223242526[[#This Row],[Name Surname]],Manpower!$C$4:$C$1048576,Manpower!$F$4:$F$1048576,"")</f>
        <v>Painting Inspector</v>
      </c>
      <c r="H3177" s="28" t="str">
        <f>_xlfn.XLOOKUP(Table134526_79101120212223242526[[#This Row],[Name Surname]],Manpower!$C$4:$C$1048576,Manpower!$H$4:$H$1048576,"")</f>
        <v>Manpower</v>
      </c>
      <c r="I3177" s="28" t="str">
        <f>_xlfn.XLOOKUP(Table134526_79101120212223242526[[#This Row],[Name Surname]],Manpower!$C$4:$C$1048576,Manpower!$H$4:$H$1048576,"")</f>
        <v>Manpower</v>
      </c>
      <c r="J3177" s="21" t="s">
        <v>35</v>
      </c>
      <c r="K3177" s="21" t="s">
        <v>26</v>
      </c>
      <c r="L3177" s="21" t="s">
        <v>82</v>
      </c>
      <c r="M3177" s="21" t="s">
        <v>55</v>
      </c>
      <c r="N3177" s="29">
        <v>10</v>
      </c>
      <c r="R3177" s="21" t="s">
        <v>419</v>
      </c>
      <c r="T3177" s="56" t="s">
        <v>396</v>
      </c>
    </row>
    <row r="3178" spans="1:20" ht="14.4" hidden="1">
      <c r="A3178" s="38">
        <f>IF(C3178="","",MAX($A$1:A3177)+1)</f>
        <v>2905</v>
      </c>
      <c r="B3178" s="36" t="s">
        <v>141</v>
      </c>
      <c r="C3178" s="23">
        <v>46107</v>
      </c>
      <c r="D3178" s="28" t="str">
        <f>_xlfn.XLOOKUP(Table134526_79101120212223242526[[#This Row],[Name Surname]],Manpower!$C$4:$C$1048576,Manpower!$B$4:$B$1048576,"")</f>
        <v>Encogroup</v>
      </c>
      <c r="E3178" s="21" t="s">
        <v>118</v>
      </c>
      <c r="F3178" s="12" t="str">
        <f>_xlfn.XLOOKUP(Table134526_79101120212223242526[[#This Row],[Name Surname]],Manpower!C:C,Manpower!D:D,)</f>
        <v>AG111207</v>
      </c>
      <c r="G3178" s="28" t="str">
        <f>_xlfn.XLOOKUP(Table134526_79101120212223242526[[#This Row],[Name Surname]],Manpower!$C$4:$C$1048576,Manpower!$F$4:$F$1048576,"")</f>
        <v>Assistant/Helper</v>
      </c>
      <c r="H3178" s="28" t="str">
        <f>_xlfn.XLOOKUP(Table134526_79101120212223242526[[#This Row],[Name Surname]],Manpower!$C$4:$C$1048576,Manpower!$H$4:$H$1048576,"")</f>
        <v>Manpower</v>
      </c>
      <c r="I3178" s="28" t="str">
        <f>_xlfn.XLOOKUP(Table134526_79101120212223242526[[#This Row],[Name Surname]],Manpower!$C$4:$C$1048576,Manpower!$H$4:$H$1048576,"")</f>
        <v>Manpower</v>
      </c>
      <c r="J3178" s="21" t="s">
        <v>35</v>
      </c>
      <c r="K3178" s="21" t="s">
        <v>26</v>
      </c>
      <c r="L3178" s="21" t="s">
        <v>82</v>
      </c>
      <c r="M3178" s="21" t="s">
        <v>55</v>
      </c>
      <c r="N3178" s="29">
        <v>10</v>
      </c>
      <c r="R3178" s="21" t="s">
        <v>419</v>
      </c>
      <c r="T3178" s="56" t="s">
        <v>396</v>
      </c>
    </row>
    <row r="3179" spans="1:20" ht="14.4" hidden="1">
      <c r="A3179" s="38">
        <f>IF(C3179="","",MAX($A$1:A3178)+1)</f>
        <v>2906</v>
      </c>
      <c r="B3179" s="36" t="s">
        <v>141</v>
      </c>
      <c r="C3179" s="23">
        <v>46107</v>
      </c>
      <c r="D3179" s="28" t="str">
        <f>_xlfn.XLOOKUP(Table134526_79101120212223242526[[#This Row],[Name Surname]],Manpower!$C$4:$C$1048576,Manpower!$B$4:$B$1048576,"")</f>
        <v>Encogroup</v>
      </c>
      <c r="E3179" s="21" t="s">
        <v>92</v>
      </c>
      <c r="F3179" s="12">
        <f>_xlfn.XLOOKUP(Table134526_79101120212223242526[[#This Row],[Name Surname]],Manpower!C:C,Manpower!D:D,)</f>
        <v>141377747</v>
      </c>
      <c r="G3179" s="28" t="str">
        <f>_xlfn.XLOOKUP(Table134526_79101120212223242526[[#This Row],[Name Surname]],Manpower!$C$4:$C$1048576,Manpower!$F$4:$F$1048576,"")</f>
        <v>Painter</v>
      </c>
      <c r="H3179" s="28" t="str">
        <f>_xlfn.XLOOKUP(Table134526_79101120212223242526[[#This Row],[Name Surname]],Manpower!$C$4:$C$1048576,Manpower!$H$4:$H$1048576,"")</f>
        <v>Manpower</v>
      </c>
      <c r="I3179" s="28" t="str">
        <f>_xlfn.XLOOKUP(Table134526_79101120212223242526[[#This Row],[Name Surname]],Manpower!$C$4:$C$1048576,Manpower!$H$4:$H$1048576,"")</f>
        <v>Manpower</v>
      </c>
      <c r="J3179" s="21" t="s">
        <v>35</v>
      </c>
      <c r="K3179" s="21" t="s">
        <v>26</v>
      </c>
      <c r="L3179" s="21" t="s">
        <v>82</v>
      </c>
      <c r="M3179" s="21" t="s">
        <v>55</v>
      </c>
      <c r="N3179" s="29">
        <v>10</v>
      </c>
      <c r="R3179" s="21" t="s">
        <v>419</v>
      </c>
      <c r="T3179" s="56" t="s">
        <v>396</v>
      </c>
    </row>
    <row r="3180" spans="1:20" ht="14.4" hidden="1">
      <c r="A3180" s="38">
        <f>IF(C3180="","",MAX($A$1:A3179)+1)</f>
        <v>2907</v>
      </c>
      <c r="B3180" s="36" t="s">
        <v>141</v>
      </c>
      <c r="C3180" s="23">
        <v>46107</v>
      </c>
      <c r="D3180" s="28" t="str">
        <f>_xlfn.XLOOKUP(Table134526_79101120212223242526[[#This Row],[Name Surname]],Manpower!$C$4:$C$1048576,Manpower!$B$4:$B$1048576,"")</f>
        <v>Encogroup</v>
      </c>
      <c r="E3180" s="21" t="s">
        <v>173</v>
      </c>
      <c r="F3180" s="12" t="str">
        <f>_xlfn.XLOOKUP(Table134526_79101120212223242526[[#This Row],[Name Surname]],Manpower!C:C,Manpower!D:D,)</f>
        <v>S3549132</v>
      </c>
      <c r="G3180" s="28" t="str">
        <f>_xlfn.XLOOKUP(Table134526_79101120212223242526[[#This Row],[Name Surname]],Manpower!$C$4:$C$1048576,Manpower!$F$4:$F$1048576,"")</f>
        <v>Grinder</v>
      </c>
      <c r="H3180" s="28" t="str">
        <f>_xlfn.XLOOKUP(Table134526_79101120212223242526[[#This Row],[Name Surname]],Manpower!$C$4:$C$1048576,Manpower!$H$4:$H$1048576,"")</f>
        <v>Manpower</v>
      </c>
      <c r="I3180" s="28" t="str">
        <f>_xlfn.XLOOKUP(Table134526_79101120212223242526[[#This Row],[Name Surname]],Manpower!$C$4:$C$1048576,Manpower!$H$4:$H$1048576,"")</f>
        <v>Manpower</v>
      </c>
      <c r="J3180" s="21" t="s">
        <v>35</v>
      </c>
      <c r="K3180" s="21" t="s">
        <v>26</v>
      </c>
      <c r="L3180" s="21" t="s">
        <v>82</v>
      </c>
      <c r="M3180" s="21" t="s">
        <v>55</v>
      </c>
      <c r="N3180" s="29">
        <v>10</v>
      </c>
      <c r="R3180" s="21" t="s">
        <v>419</v>
      </c>
      <c r="T3180" s="56" t="s">
        <v>396</v>
      </c>
    </row>
    <row r="3181" spans="1:20" ht="14.4" hidden="1">
      <c r="A3181" s="38">
        <f>IF(C3181="","",MAX($A$1:A3180)+1)</f>
        <v>2908</v>
      </c>
      <c r="B3181" s="36" t="s">
        <v>141</v>
      </c>
      <c r="C3181" s="23">
        <v>46107</v>
      </c>
      <c r="D3181" s="28" t="str">
        <f>_xlfn.XLOOKUP(Table134526_79101120212223242526[[#This Row],[Name Surname]],Manpower!$C$4:$C$1048576,Manpower!$B$4:$B$1048576,"")</f>
        <v>Encogroup</v>
      </c>
      <c r="E3181" s="21" t="s">
        <v>119</v>
      </c>
      <c r="F3181" s="12">
        <f>_xlfn.XLOOKUP(Table134526_79101120212223242526[[#This Row],[Name Surname]],Manpower!C:C,Manpower!D:D,)</f>
        <v>140844778</v>
      </c>
      <c r="G3181" s="28" t="str">
        <f>_xlfn.XLOOKUP(Table134526_79101120212223242526[[#This Row],[Name Surname]],Manpower!$C$4:$C$1048576,Manpower!$F$4:$F$1048576,"")</f>
        <v>Painter</v>
      </c>
      <c r="H3181" s="28" t="str">
        <f>_xlfn.XLOOKUP(Table134526_79101120212223242526[[#This Row],[Name Surname]],Manpower!$C$4:$C$1048576,Manpower!$H$4:$H$1048576,"")</f>
        <v>Manpower</v>
      </c>
      <c r="I3181" s="28" t="str">
        <f>_xlfn.XLOOKUP(Table134526_79101120212223242526[[#This Row],[Name Surname]],Manpower!$C$4:$C$1048576,Manpower!$H$4:$H$1048576,"")</f>
        <v>Manpower</v>
      </c>
      <c r="J3181" s="21" t="s">
        <v>35</v>
      </c>
      <c r="K3181" s="21" t="s">
        <v>26</v>
      </c>
      <c r="L3181" s="21" t="s">
        <v>82</v>
      </c>
      <c r="M3181" s="21" t="s">
        <v>55</v>
      </c>
      <c r="N3181" s="29">
        <v>10</v>
      </c>
      <c r="R3181" s="21" t="s">
        <v>419</v>
      </c>
      <c r="T3181" s="56" t="s">
        <v>396</v>
      </c>
    </row>
    <row r="3182" spans="1:20" ht="14.4" hidden="1">
      <c r="A3182" s="38">
        <f>IF(C3182="","",MAX($A$1:A3181)+1)</f>
        <v>2909</v>
      </c>
      <c r="B3182" s="36" t="s">
        <v>141</v>
      </c>
      <c r="C3182" s="23">
        <v>46107</v>
      </c>
      <c r="D3182" s="28" t="str">
        <f>_xlfn.XLOOKUP(Table134526_79101120212223242526[[#This Row],[Name Surname]],Manpower!$C$4:$C$1048576,Manpower!$B$4:$B$1048576,"")</f>
        <v>Encogroup</v>
      </c>
      <c r="E3182" s="21" t="s">
        <v>117</v>
      </c>
      <c r="F3182" s="12">
        <f>_xlfn.XLOOKUP(Table134526_79101120212223242526[[#This Row],[Name Surname]],Manpower!C:C,Manpower!D:D,)</f>
        <v>140844783</v>
      </c>
      <c r="G3182" s="28" t="str">
        <f>_xlfn.XLOOKUP(Table134526_79101120212223242526[[#This Row],[Name Surname]],Manpower!$C$4:$C$1048576,Manpower!$F$4:$F$1048576,"")</f>
        <v>Painter</v>
      </c>
      <c r="H3182" s="28" t="str">
        <f>_xlfn.XLOOKUP(Table134526_79101120212223242526[[#This Row],[Name Surname]],Manpower!$C$4:$C$1048576,Manpower!$H$4:$H$1048576,"")</f>
        <v>Manpower</v>
      </c>
      <c r="I3182" s="28" t="str">
        <f>_xlfn.XLOOKUP(Table134526_79101120212223242526[[#This Row],[Name Surname]],Manpower!$C$4:$C$1048576,Manpower!$H$4:$H$1048576,"")</f>
        <v>Manpower</v>
      </c>
      <c r="J3182" s="21" t="s">
        <v>35</v>
      </c>
      <c r="K3182" s="21" t="s">
        <v>26</v>
      </c>
      <c r="L3182" s="21" t="s">
        <v>82</v>
      </c>
      <c r="M3182" s="21" t="s">
        <v>55</v>
      </c>
      <c r="N3182" s="29">
        <v>10</v>
      </c>
      <c r="R3182" s="21" t="s">
        <v>419</v>
      </c>
      <c r="T3182" s="56" t="s">
        <v>396</v>
      </c>
    </row>
    <row r="3183" spans="1:20" ht="14.4" hidden="1">
      <c r="A3183" s="38">
        <f>IF(C3183="","",MAX($A$1:A3182)+1)</f>
        <v>2910</v>
      </c>
      <c r="B3183" s="36" t="s">
        <v>141</v>
      </c>
      <c r="C3183" s="23">
        <v>46107</v>
      </c>
      <c r="D3183" s="28" t="str">
        <f>_xlfn.XLOOKUP(Table134526_79101120212223242526[[#This Row],[Name Surname]],Manpower!$C$4:$C$1048576,Manpower!$B$4:$B$1048576,"")</f>
        <v>Encogroup</v>
      </c>
      <c r="E3183" s="21" t="s">
        <v>209</v>
      </c>
      <c r="F3183" s="12">
        <f>_xlfn.XLOOKUP(Table134526_79101120212223242526[[#This Row],[Name Surname]],Manpower!C:C,Manpower!D:D,)</f>
        <v>141365164</v>
      </c>
      <c r="G3183" s="28" t="str">
        <f>_xlfn.XLOOKUP(Table134526_79101120212223242526[[#This Row],[Name Surname]],Manpower!$C$4:$C$1048576,Manpower!$F$4:$F$1048576,"")</f>
        <v>Helper</v>
      </c>
      <c r="H3183" s="28" t="str">
        <f>_xlfn.XLOOKUP(Table134526_79101120212223242526[[#This Row],[Name Surname]],Manpower!$C$4:$C$1048576,Manpower!$H$4:$H$1048576,"")</f>
        <v>Manpower</v>
      </c>
      <c r="I3183" s="28" t="str">
        <f>_xlfn.XLOOKUP(Table134526_79101120212223242526[[#This Row],[Name Surname]],Manpower!$C$4:$C$1048576,Manpower!$H$4:$H$1048576,"")</f>
        <v>Manpower</v>
      </c>
      <c r="J3183" s="21" t="s">
        <v>35</v>
      </c>
      <c r="K3183" s="21" t="s">
        <v>26</v>
      </c>
      <c r="L3183" s="21" t="s">
        <v>82</v>
      </c>
      <c r="M3183" s="21" t="s">
        <v>55</v>
      </c>
      <c r="N3183" s="29">
        <v>10</v>
      </c>
      <c r="R3183" s="21" t="s">
        <v>419</v>
      </c>
      <c r="T3183" s="56" t="s">
        <v>396</v>
      </c>
    </row>
    <row r="3184" spans="1:20" ht="14.4" hidden="1">
      <c r="A3184" s="38">
        <f>IF(C3184="","",MAX($A$1:A3183)+1)</f>
        <v>2911</v>
      </c>
      <c r="B3184" s="36" t="s">
        <v>141</v>
      </c>
      <c r="C3184" s="23">
        <v>46107</v>
      </c>
      <c r="D3184" s="28" t="str">
        <f>_xlfn.XLOOKUP(Table134526_79101120212223242526[[#This Row],[Name Surname]],Manpower!$C$4:$C$1048576,Manpower!$B$4:$B$1048576,"")</f>
        <v>Encogroup</v>
      </c>
      <c r="E3184" s="21" t="s">
        <v>122</v>
      </c>
      <c r="F3184" s="12">
        <f>_xlfn.XLOOKUP(Table134526_79101120212223242526[[#This Row],[Name Surname]],Manpower!C:C,Manpower!D:D,)</f>
        <v>140805554</v>
      </c>
      <c r="G3184" s="28" t="str">
        <f>_xlfn.XLOOKUP(Table134526_79101120212223242526[[#This Row],[Name Surname]],Manpower!$C$4:$C$1048576,Manpower!$F$4:$F$1048576,"")</f>
        <v>Assistant/Helper</v>
      </c>
      <c r="H3184" s="28" t="str">
        <f>_xlfn.XLOOKUP(Table134526_79101120212223242526[[#This Row],[Name Surname]],Manpower!$C$4:$C$1048576,Manpower!$H$4:$H$1048576,"")</f>
        <v>Manpower</v>
      </c>
      <c r="I3184" s="28" t="str">
        <f>_xlfn.XLOOKUP(Table134526_79101120212223242526[[#This Row],[Name Surname]],Manpower!$C$4:$C$1048576,Manpower!$H$4:$H$1048576,"")</f>
        <v>Manpower</v>
      </c>
      <c r="J3184" s="21" t="s">
        <v>35</v>
      </c>
      <c r="K3184" s="21" t="s">
        <v>26</v>
      </c>
      <c r="L3184" s="21" t="s">
        <v>82</v>
      </c>
      <c r="M3184" s="21" t="s">
        <v>55</v>
      </c>
      <c r="N3184" s="29">
        <v>10</v>
      </c>
      <c r="R3184" s="21" t="s">
        <v>419</v>
      </c>
      <c r="T3184" s="56" t="s">
        <v>396</v>
      </c>
    </row>
    <row r="3185" spans="1:20" ht="14.4" hidden="1">
      <c r="A3185" s="38">
        <f>IF(C3185="","",MAX($A$1:A3184)+1)</f>
        <v>2912</v>
      </c>
      <c r="B3185" s="36" t="s">
        <v>141</v>
      </c>
      <c r="C3185" s="23">
        <v>46107</v>
      </c>
      <c r="D3185" s="28" t="str">
        <f>_xlfn.XLOOKUP(Table134526_79101120212223242526[[#This Row],[Name Surname]],Manpower!$C$4:$C$1048576,Manpower!$B$4:$B$1048576,"")</f>
        <v>AL Saif &amp; Al QALLM ENT LLC</v>
      </c>
      <c r="E3185" s="21" t="s">
        <v>132</v>
      </c>
      <c r="F3185" s="12">
        <f>_xlfn.XLOOKUP(Table134526_79101120212223242526[[#This Row],[Name Surname]],Manpower!C:C,Manpower!D:D,)</f>
        <v>135762195</v>
      </c>
      <c r="G3185" s="28" t="str">
        <f>_xlfn.XLOOKUP(Table134526_79101120212223242526[[#This Row],[Name Surname]],Manpower!$C$4:$C$1048576,Manpower!$F$4:$F$1048576,"")</f>
        <v>HSE Officer</v>
      </c>
      <c r="H3185" s="28" t="str">
        <f>_xlfn.XLOOKUP(Table134526_79101120212223242526[[#This Row],[Name Surname]],Manpower!$C$4:$C$1048576,Manpower!$H$4:$H$1048576,"")</f>
        <v>Sub Contactor</v>
      </c>
      <c r="I3185" s="28" t="str">
        <f>_xlfn.XLOOKUP(Table134526_79101120212223242526[[#This Row],[Name Surname]],Manpower!$C$4:$C$1048576,Manpower!$H$4:$H$1048576,"")</f>
        <v>Sub Contactor</v>
      </c>
      <c r="J3185" s="21" t="s">
        <v>35</v>
      </c>
      <c r="K3185" s="21" t="s">
        <v>26</v>
      </c>
      <c r="L3185" s="21" t="s">
        <v>82</v>
      </c>
      <c r="M3185" s="21" t="s">
        <v>55</v>
      </c>
      <c r="N3185" s="29">
        <v>10</v>
      </c>
      <c r="R3185" s="21" t="s">
        <v>419</v>
      </c>
      <c r="T3185" s="56" t="s">
        <v>396</v>
      </c>
    </row>
    <row r="3186" spans="1:20" ht="14.4" hidden="1">
      <c r="A3186" s="38">
        <f>IF(C3186="","",MAX($A$1:A3185)+1)</f>
        <v>2913</v>
      </c>
      <c r="B3186" s="36" t="s">
        <v>141</v>
      </c>
      <c r="C3186" s="23">
        <v>46107</v>
      </c>
      <c r="D3186" s="28" t="str">
        <f>_xlfn.XLOOKUP(Table134526_79101120212223242526[[#This Row],[Name Surname]],Manpower!$C$4:$C$1048576,Manpower!$B$4:$B$1048576,"")</f>
        <v>Encogroup</v>
      </c>
      <c r="E3186" s="21" t="s">
        <v>133</v>
      </c>
      <c r="F3186" s="12">
        <f>_xlfn.XLOOKUP(Table134526_79101120212223242526[[#This Row],[Name Surname]],Manpower!C:C,Manpower!D:D,)</f>
        <v>140846684</v>
      </c>
      <c r="G3186" s="28" t="str">
        <f>_xlfn.XLOOKUP(Table134526_79101120212223242526[[#This Row],[Name Surname]],Manpower!$C$4:$C$1048576,Manpower!$F$4:$F$1048576,"")</f>
        <v>Assistant/Helper</v>
      </c>
      <c r="H3186" s="28" t="str">
        <f>_xlfn.XLOOKUP(Table134526_79101120212223242526[[#This Row],[Name Surname]],Manpower!$C$4:$C$1048576,Manpower!$H$4:$H$1048576,"")</f>
        <v>Manpower</v>
      </c>
      <c r="I3186" s="28" t="str">
        <f>_xlfn.XLOOKUP(Table134526_79101120212223242526[[#This Row],[Name Surname]],Manpower!$C$4:$C$1048576,Manpower!$H$4:$H$1048576,"")</f>
        <v>Manpower</v>
      </c>
      <c r="J3186" s="21" t="s">
        <v>35</v>
      </c>
      <c r="K3186" s="21" t="s">
        <v>26</v>
      </c>
      <c r="L3186" s="21" t="s">
        <v>82</v>
      </c>
      <c r="M3186" s="21" t="s">
        <v>55</v>
      </c>
      <c r="N3186" s="29">
        <v>10</v>
      </c>
      <c r="R3186" s="21" t="s">
        <v>419</v>
      </c>
      <c r="T3186" s="56" t="s">
        <v>396</v>
      </c>
    </row>
    <row r="3187" spans="1:20" ht="14.4">
      <c r="A3187" s="38">
        <f>IF(C3187="","",MAX($A$1:A3186)+1)</f>
        <v>2914</v>
      </c>
      <c r="B3187" s="36" t="s">
        <v>141</v>
      </c>
      <c r="C3187" s="23">
        <v>46107</v>
      </c>
      <c r="D3187" s="28" t="str">
        <f>_xlfn.XLOOKUP(Table134526_79101120212223242526[[#This Row],[Name Surname]],Manpower!$C$4:$C$1048576,Manpower!$B$4:$B$1048576,"")</f>
        <v>Encogroup</v>
      </c>
      <c r="E3187" s="21" t="s">
        <v>137</v>
      </c>
      <c r="F3187" s="12" t="e">
        <f>_xlfn.XLOOKUP(Table134526_79101120212223242526[[#This Row],[Name Surname]],Manpower!C:C,Manpower!D:D,)</f>
        <v>#N/A</v>
      </c>
      <c r="G3187" s="28" t="str">
        <f>_xlfn.XLOOKUP(Table134526_79101120212223242526[[#This Row],[Name Surname]],Manpower!$C$4:$C$1048576,Manpower!$F$4:$F$1048576,"")</f>
        <v>55 Seat Bus</v>
      </c>
      <c r="H3187" s="28" t="str">
        <f>_xlfn.XLOOKUP(Table134526_79101120212223242526[[#This Row],[Name Surname]],Manpower!$C$4:$C$1048576,Manpower!$H$4:$H$1048576,"")</f>
        <v>Equipment</v>
      </c>
      <c r="I3187" s="28" t="str">
        <f>_xlfn.XLOOKUP(Table134526_79101120212223242526[[#This Row],[Name Surname]],Manpower!$C$4:$C$1048576,Manpower!$H$4:$H$1048576,"")</f>
        <v>Equipment</v>
      </c>
      <c r="J3187" s="21" t="s">
        <v>35</v>
      </c>
      <c r="K3187" s="21" t="s">
        <v>26</v>
      </c>
      <c r="L3187" s="21" t="s">
        <v>82</v>
      </c>
      <c r="M3187" s="21" t="s">
        <v>55</v>
      </c>
      <c r="N3187" s="29">
        <v>10</v>
      </c>
      <c r="R3187" s="21" t="s">
        <v>419</v>
      </c>
      <c r="T3187" s="56" t="s">
        <v>396</v>
      </c>
    </row>
    <row r="3188" spans="1:20" ht="14.4">
      <c r="A3188" s="38">
        <f>IF(C3188="","",MAX($A$1:A3186)+1)</f>
        <v>2914</v>
      </c>
      <c r="B3188" s="36" t="s">
        <v>141</v>
      </c>
      <c r="C3188" s="23">
        <v>46107</v>
      </c>
      <c r="D3188" s="28" t="str">
        <f>_xlfn.XLOOKUP(Table134526_79101120212223242526[[#This Row],[Name Surname]],Manpower!$C$4:$C$1048576,Manpower!$B$4:$B$1048576,"")</f>
        <v>Encogroup</v>
      </c>
      <c r="E3188" s="21" t="s">
        <v>139</v>
      </c>
      <c r="F3188" s="12" t="e">
        <f>_xlfn.XLOOKUP(Table134526_79101120212223242526[[#This Row],[Name Surname]],Manpower!C:C,Manpower!D:D,)</f>
        <v>#N/A</v>
      </c>
      <c r="G3188" s="28" t="str">
        <f>_xlfn.XLOOKUP(Table134526_79101120212223242526[[#This Row],[Name Surname]],Manpower!$C$4:$C$1048576,Manpower!$F$4:$F$1048576,"")</f>
        <v>TOWER LIGHT</v>
      </c>
      <c r="H3188" s="28" t="str">
        <f>_xlfn.XLOOKUP(Table134526_79101120212223242526[[#This Row],[Name Surname]],Manpower!$C$4:$C$1048576,Manpower!$H$4:$H$1048576,"")</f>
        <v>Equipment</v>
      </c>
      <c r="I3188" s="28" t="str">
        <f>_xlfn.XLOOKUP(Table134526_79101120212223242526[[#This Row],[Name Surname]],Manpower!$C$4:$C$1048576,Manpower!$H$4:$H$1048576,"")</f>
        <v>Equipment</v>
      </c>
      <c r="J3188" s="21" t="s">
        <v>35</v>
      </c>
      <c r="K3188" s="21" t="s">
        <v>26</v>
      </c>
      <c r="L3188" s="21" t="s">
        <v>82</v>
      </c>
      <c r="M3188" s="21" t="s">
        <v>55</v>
      </c>
      <c r="N3188" s="29">
        <v>10</v>
      </c>
      <c r="R3188" s="21" t="s">
        <v>419</v>
      </c>
      <c r="T3188" s="56" t="s">
        <v>396</v>
      </c>
    </row>
    <row r="3189" spans="1:20" ht="14.4">
      <c r="A3189" s="38">
        <f>IF(C3189="","",MAX($A$1:A3188)+1)</f>
        <v>2915</v>
      </c>
      <c r="B3189" s="36" t="s">
        <v>141</v>
      </c>
      <c r="C3189" s="23">
        <v>46107</v>
      </c>
      <c r="D3189" s="28" t="str">
        <f>_xlfn.XLOOKUP(Table134526_79101120212223242526[[#This Row],[Name Surname]],Manpower!$C$4:$C$1048576,Manpower!$B$4:$B$1048576,"")</f>
        <v>Encogroup</v>
      </c>
      <c r="E3189" s="21" t="s">
        <v>355</v>
      </c>
      <c r="F3189" s="12" t="e">
        <f>_xlfn.XLOOKUP(Table134526_79101120212223242526[[#This Row],[Name Surname]],Manpower!C:C,Manpower!D:D,)</f>
        <v>#N/A</v>
      </c>
      <c r="G3189" s="28" t="str">
        <f>_xlfn.XLOOKUP(Table134526_79101120212223242526[[#This Row],[Name Surname]],Manpower!$C$4:$C$1048576,Manpower!$F$4:$F$1048576,"")</f>
        <v>TOWER LIGHT</v>
      </c>
      <c r="H3189" s="28" t="str">
        <f>_xlfn.XLOOKUP(Table134526_79101120212223242526[[#This Row],[Name Surname]],Manpower!$C$4:$C$1048576,Manpower!$H$4:$H$1048576,"")</f>
        <v>Equipment</v>
      </c>
      <c r="I3189" s="28" t="str">
        <f>_xlfn.XLOOKUP(Table134526_79101120212223242526[[#This Row],[Name Surname]],Manpower!$C$4:$C$1048576,Manpower!$H$4:$H$1048576,"")</f>
        <v>Equipment</v>
      </c>
      <c r="J3189" s="21" t="s">
        <v>35</v>
      </c>
      <c r="K3189" s="21" t="s">
        <v>26</v>
      </c>
      <c r="L3189" s="21" t="s">
        <v>82</v>
      </c>
      <c r="M3189" s="21" t="s">
        <v>55</v>
      </c>
      <c r="N3189" s="29">
        <v>10</v>
      </c>
      <c r="R3189" s="21" t="s">
        <v>419</v>
      </c>
      <c r="T3189" s="56" t="s">
        <v>396</v>
      </c>
    </row>
    <row r="3190" spans="1:20" ht="14.4">
      <c r="A3190" s="38">
        <f>IF(C3190="","",MAX($A$1:A3189)+1)</f>
        <v>2916</v>
      </c>
      <c r="B3190" s="27" t="s">
        <v>141</v>
      </c>
      <c r="C3190" s="23">
        <v>46107</v>
      </c>
      <c r="D3190" s="28" t="str">
        <f>_xlfn.XLOOKUP(Table134526_79101120212223242526[[#This Row],[Name Surname]],Manpower!$C$4:$C$1048576,Manpower!$B$4:$B$1048576,"")</f>
        <v>Nass Group</v>
      </c>
      <c r="E3190" s="21" t="s">
        <v>148</v>
      </c>
      <c r="F3190" s="12" t="e">
        <f>_xlfn.XLOOKUP(Table134526_79101120212223242526[[#This Row],[Name Surname]],Manpower!C:C,Manpower!D:D,)</f>
        <v>#N/A</v>
      </c>
      <c r="G3190" s="28" t="str">
        <f>_xlfn.XLOOKUP(Table134526_79101120212223242526[[#This Row],[Name Surname]],Manpower!$C$4:$C$1048576,Manpower!$F$4:$F$1048576,"")</f>
        <v>70T-Telescopic crane</v>
      </c>
      <c r="H3190" s="28" t="str">
        <f>_xlfn.XLOOKUP(Table134526_79101120212223242526[[#This Row],[Name Surname]],Manpower!$C$4:$C$1048576,Manpower!$H$4:$H$1048576,"")</f>
        <v>Equipment</v>
      </c>
      <c r="I3190" s="28" t="str">
        <f>_xlfn.XLOOKUP(Table134526_79101120212223242526[[#This Row],[Name Surname]],Manpower!$C$4:$C$1048576,Manpower!$H$4:$H$1048576,"")</f>
        <v>Equipment</v>
      </c>
      <c r="J3190" s="21" t="s">
        <v>143</v>
      </c>
      <c r="K3190" s="21" t="s">
        <v>26</v>
      </c>
      <c r="L3190" s="21" t="s">
        <v>144</v>
      </c>
      <c r="M3190" s="21" t="s">
        <v>55</v>
      </c>
      <c r="N3190" s="29">
        <v>10</v>
      </c>
      <c r="R3190" s="21" t="s">
        <v>419</v>
      </c>
      <c r="T3190" s="56" t="s">
        <v>396</v>
      </c>
    </row>
    <row r="3191" spans="1:20" ht="14.4" hidden="1">
      <c r="A3191" s="38">
        <f>IF(C3191="","",MAX($A$1:A3190)+1)</f>
        <v>2917</v>
      </c>
      <c r="B3191" s="27" t="s">
        <v>141</v>
      </c>
      <c r="C3191" s="23">
        <v>46107</v>
      </c>
      <c r="D3191" s="28" t="str">
        <f>_xlfn.XLOOKUP(Table134526_79101120212223242526[[#This Row],[Name Surname]],Manpower!$C$4:$C$1048576,Manpower!$B$4:$B$1048576,"")</f>
        <v>SARENS NASS</v>
      </c>
      <c r="E3191" s="21" t="s">
        <v>162</v>
      </c>
      <c r="F3191" s="12">
        <f>_xlfn.XLOOKUP(Table134526_79101120212223242526[[#This Row],[Name Surname]],Manpower!C:C,Manpower!D:D,)</f>
        <v>78753612</v>
      </c>
      <c r="G3191" s="28" t="str">
        <f>_xlfn.XLOOKUP(Table134526_79101120212223242526[[#This Row],[Name Surname]],Manpower!$C$4:$C$1048576,Manpower!$F$4:$F$1048576,"")</f>
        <v>Crane Operator- 70T Liebherr Telescopic Crane-02</v>
      </c>
      <c r="H3191" s="28" t="str">
        <f>_xlfn.XLOOKUP(Table134526_79101120212223242526[[#This Row],[Name Surname]],Manpower!$C$4:$C$1048576,Manpower!$H$4:$H$1048576,"")</f>
        <v>Manpower</v>
      </c>
      <c r="I3191" s="28" t="str">
        <f>_xlfn.XLOOKUP(Table134526_79101120212223242526[[#This Row],[Name Surname]],Manpower!$C$4:$C$1048576,Manpower!$H$4:$H$1048576,"")</f>
        <v>Manpower</v>
      </c>
      <c r="J3191" s="21" t="s">
        <v>143</v>
      </c>
      <c r="K3191" s="21" t="s">
        <v>26</v>
      </c>
      <c r="L3191" s="21" t="s">
        <v>144</v>
      </c>
      <c r="M3191" s="21" t="s">
        <v>55</v>
      </c>
      <c r="N3191" s="29">
        <v>10</v>
      </c>
      <c r="R3191" s="21" t="s">
        <v>419</v>
      </c>
      <c r="T3191" s="56" t="s">
        <v>396</v>
      </c>
    </row>
    <row r="3192" spans="1:20" ht="14.4">
      <c r="A3192" s="38">
        <f>IF(C3192="","",MAX($A$1:A3191)+1)</f>
        <v>2918</v>
      </c>
      <c r="B3192" s="27" t="s">
        <v>141</v>
      </c>
      <c r="C3192" s="23">
        <v>46107</v>
      </c>
      <c r="D3192" s="28" t="str">
        <f>_xlfn.XLOOKUP(Table134526_79101120212223242526[[#This Row],[Name Surname]],Manpower!$C$4:$C$1048576,Manpower!$B$4:$B$1048576,"")</f>
        <v>Encogroup</v>
      </c>
      <c r="E3192" s="21" t="s">
        <v>142</v>
      </c>
      <c r="F3192" s="12" t="e">
        <f>_xlfn.XLOOKUP(Table134526_79101120212223242526[[#This Row],[Name Surname]],Manpower!C:C,Manpower!D:D,)</f>
        <v>#N/A</v>
      </c>
      <c r="G3192" s="28" t="str">
        <f>_xlfn.XLOOKUP(Table134526_79101120212223242526[[#This Row],[Name Surname]],Manpower!$C$4:$C$1048576,Manpower!$F$4:$F$1048576,"")</f>
        <v>13 Seat Bus</v>
      </c>
      <c r="H3192" s="28" t="str">
        <f>_xlfn.XLOOKUP(Table134526_79101120212223242526[[#This Row],[Name Surname]],Manpower!$C$4:$C$1048576,Manpower!$H$4:$H$1048576,"")</f>
        <v>Equipment</v>
      </c>
      <c r="I3192" s="28" t="str">
        <f>_xlfn.XLOOKUP(Table134526_79101120212223242526[[#This Row],[Name Surname]],Manpower!$C$4:$C$1048576,Manpower!$H$4:$H$1048576,"")</f>
        <v>Equipment</v>
      </c>
      <c r="J3192" s="21" t="s">
        <v>143</v>
      </c>
      <c r="K3192" s="21" t="s">
        <v>26</v>
      </c>
      <c r="L3192" s="21" t="s">
        <v>144</v>
      </c>
      <c r="M3192" s="21" t="s">
        <v>55</v>
      </c>
      <c r="N3192" s="29">
        <v>10</v>
      </c>
      <c r="R3192" s="21" t="s">
        <v>419</v>
      </c>
      <c r="T3192" s="56" t="s">
        <v>396</v>
      </c>
    </row>
    <row r="3193" spans="1:20" ht="14.4">
      <c r="A3193" s="38">
        <f>IF(C3193="","",MAX($A$1:A3192)+1)</f>
        <v>2919</v>
      </c>
      <c r="B3193" s="27" t="s">
        <v>141</v>
      </c>
      <c r="C3193" s="23">
        <v>46107</v>
      </c>
      <c r="D3193" s="28" t="str">
        <f>_xlfn.XLOOKUP(Table134526_79101120212223242526[[#This Row],[Name Surname]],Manpower!$C$4:$C$1048576,Manpower!$B$4:$B$1048576,"")</f>
        <v>Encogroup</v>
      </c>
      <c r="E3193" s="21" t="s">
        <v>145</v>
      </c>
      <c r="F3193" s="12" t="e">
        <f>_xlfn.XLOOKUP(Table134526_79101120212223242526[[#This Row],[Name Surname]],Manpower!C:C,Manpower!D:D,)</f>
        <v>#N/A</v>
      </c>
      <c r="G3193" s="28" t="str">
        <f>_xlfn.XLOOKUP(Table134526_79101120212223242526[[#This Row],[Name Surname]],Manpower!$C$4:$C$1048576,Manpower!$F$4:$F$1048576,"")</f>
        <v>15 Seat Bus</v>
      </c>
      <c r="H3193" s="28" t="str">
        <f>_xlfn.XLOOKUP(Table134526_79101120212223242526[[#This Row],[Name Surname]],Manpower!$C$4:$C$1048576,Manpower!$H$4:$H$1048576,"")</f>
        <v>Equipment</v>
      </c>
      <c r="I3193" s="28" t="str">
        <f>_xlfn.XLOOKUP(Table134526_79101120212223242526[[#This Row],[Name Surname]],Manpower!$C$4:$C$1048576,Manpower!$H$4:$H$1048576,"")</f>
        <v>Equipment</v>
      </c>
      <c r="J3193" s="21" t="s">
        <v>143</v>
      </c>
      <c r="K3193" s="21" t="s">
        <v>26</v>
      </c>
      <c r="L3193" s="21" t="s">
        <v>144</v>
      </c>
      <c r="M3193" s="21" t="s">
        <v>55</v>
      </c>
      <c r="N3193" s="29">
        <v>10</v>
      </c>
      <c r="R3193" s="21" t="s">
        <v>419</v>
      </c>
      <c r="T3193" s="56" t="s">
        <v>396</v>
      </c>
    </row>
    <row r="3194" spans="1:20" ht="14.4">
      <c r="A3194" s="38">
        <f>IF(C3194="","",MAX($A$1:A3192)+1)</f>
        <v>2919</v>
      </c>
      <c r="B3194" s="27" t="s">
        <v>141</v>
      </c>
      <c r="C3194" s="23">
        <v>46107</v>
      </c>
      <c r="D3194" s="28" t="str">
        <f>_xlfn.XLOOKUP(Table134526_79101120212223242526[[#This Row],[Name Surname]],Manpower!$C$4:$C$1048576,Manpower!$B$4:$B$1048576,"")</f>
        <v>Encogroup</v>
      </c>
      <c r="E3194" s="21" t="s">
        <v>150</v>
      </c>
      <c r="F3194" s="12" t="e">
        <f>_xlfn.XLOOKUP(Table134526_79101120212223242526[[#This Row],[Name Surname]],Manpower!C:C,Manpower!D:D,)</f>
        <v>#N/A</v>
      </c>
      <c r="G3194" s="28" t="str">
        <f>_xlfn.XLOOKUP(Table134526_79101120212223242526[[#This Row],[Name Surname]],Manpower!$C$4:$C$1048576,Manpower!$F$4:$F$1048576,"")</f>
        <v>14T Fork lift</v>
      </c>
      <c r="H3194" s="28" t="str">
        <f>_xlfn.XLOOKUP(Table134526_79101120212223242526[[#This Row],[Name Surname]],Manpower!$C$4:$C$1048576,Manpower!$H$4:$H$1048576,"")</f>
        <v>Equipment</v>
      </c>
      <c r="I3194" s="28" t="str">
        <f>_xlfn.XLOOKUP(Table134526_79101120212223242526[[#This Row],[Name Surname]],Manpower!$C$4:$C$1048576,Manpower!$H$4:$H$1048576,"")</f>
        <v>Equipment</v>
      </c>
      <c r="J3194" s="21" t="s">
        <v>143</v>
      </c>
      <c r="K3194" s="21" t="s">
        <v>26</v>
      </c>
      <c r="L3194" s="21" t="s">
        <v>144</v>
      </c>
      <c r="M3194" s="21" t="s">
        <v>55</v>
      </c>
      <c r="N3194" s="29">
        <v>10</v>
      </c>
      <c r="R3194" s="21" t="s">
        <v>419</v>
      </c>
      <c r="T3194" s="56" t="s">
        <v>396</v>
      </c>
    </row>
    <row r="3195" spans="1:20" ht="14.4">
      <c r="A3195" s="38">
        <f>IF(C3195="","",MAX($A$1:A3194)+1)</f>
        <v>2920</v>
      </c>
      <c r="B3195" s="27" t="s">
        <v>141</v>
      </c>
      <c r="C3195" s="23">
        <v>46107</v>
      </c>
      <c r="D3195" s="28" t="str">
        <f>_xlfn.XLOOKUP(Table134526_79101120212223242526[[#This Row],[Name Surname]],Manpower!$C$4:$C$1048576,Manpower!$B$4:$B$1048576,"")</f>
        <v>Encogroup</v>
      </c>
      <c r="E3195" s="21" t="s">
        <v>153</v>
      </c>
      <c r="F3195" s="12" t="e">
        <f>_xlfn.XLOOKUP(Table134526_79101120212223242526[[#This Row],[Name Surname]],Manpower!C:C,Manpower!D:D,)</f>
        <v>#N/A</v>
      </c>
      <c r="G3195" s="28" t="str">
        <f>_xlfn.XLOOKUP(Table134526_79101120212223242526[[#This Row],[Name Surname]],Manpower!$C$4:$C$1048576,Manpower!$F$4:$F$1048576,"")</f>
        <v>22 Seat Bus</v>
      </c>
      <c r="H3195" s="28" t="str">
        <f>_xlfn.XLOOKUP(Table134526_79101120212223242526[[#This Row],[Name Surname]],Manpower!$C$4:$C$1048576,Manpower!$H$4:$H$1048576,"")</f>
        <v>Equipment</v>
      </c>
      <c r="I3195" s="28" t="str">
        <f>_xlfn.XLOOKUP(Table134526_79101120212223242526[[#This Row],[Name Surname]],Manpower!$C$4:$C$1048576,Manpower!$H$4:$H$1048576,"")</f>
        <v>Equipment</v>
      </c>
      <c r="J3195" s="21" t="s">
        <v>143</v>
      </c>
      <c r="K3195" s="21" t="s">
        <v>26</v>
      </c>
      <c r="L3195" s="21" t="s">
        <v>144</v>
      </c>
      <c r="M3195" s="21" t="s">
        <v>55</v>
      </c>
      <c r="N3195" s="29">
        <v>10</v>
      </c>
      <c r="R3195" s="21" t="s">
        <v>419</v>
      </c>
      <c r="T3195" s="56" t="s">
        <v>396</v>
      </c>
    </row>
    <row r="3196" spans="1:20" ht="14.4">
      <c r="A3196" s="38">
        <f>IF(C3196="","",MAX($A$1:A3195)+1)</f>
        <v>2921</v>
      </c>
      <c r="B3196" s="27" t="s">
        <v>141</v>
      </c>
      <c r="C3196" s="23">
        <v>46107</v>
      </c>
      <c r="D3196" s="28" t="str">
        <f>_xlfn.XLOOKUP(Table134526_79101120212223242526[[#This Row],[Name Surname]],Manpower!$C$4:$C$1048576,Manpower!$B$4:$B$1048576,"")</f>
        <v>Encogroup</v>
      </c>
      <c r="E3196" s="21" t="s">
        <v>154</v>
      </c>
      <c r="F3196" s="12" t="e">
        <f>_xlfn.XLOOKUP(Table134526_79101120212223242526[[#This Row],[Name Surname]],Manpower!C:C,Manpower!D:D,)</f>
        <v>#N/A</v>
      </c>
      <c r="G3196" s="28" t="str">
        <f>_xlfn.XLOOKUP(Table134526_79101120212223242526[[#This Row],[Name Surname]],Manpower!$C$4:$C$1048576,Manpower!$F$4:$F$1048576,"")</f>
        <v>22 Seat Bus</v>
      </c>
      <c r="H3196" s="28" t="str">
        <f>_xlfn.XLOOKUP(Table134526_79101120212223242526[[#This Row],[Name Surname]],Manpower!$C$4:$C$1048576,Manpower!$H$4:$H$1048576,"")</f>
        <v>Equipment</v>
      </c>
      <c r="I3196" s="28" t="str">
        <f>_xlfn.XLOOKUP(Table134526_79101120212223242526[[#This Row],[Name Surname]],Manpower!$C$4:$C$1048576,Manpower!$H$4:$H$1048576,"")</f>
        <v>Equipment</v>
      </c>
      <c r="J3196" s="21" t="s">
        <v>143</v>
      </c>
      <c r="K3196" s="21" t="s">
        <v>26</v>
      </c>
      <c r="L3196" s="21" t="s">
        <v>144</v>
      </c>
      <c r="M3196" s="21" t="s">
        <v>55</v>
      </c>
      <c r="N3196" s="29">
        <v>10</v>
      </c>
      <c r="R3196" s="21" t="s">
        <v>419</v>
      </c>
      <c r="T3196" s="56" t="s">
        <v>396</v>
      </c>
    </row>
    <row r="3197" spans="1:20" ht="14.4">
      <c r="A3197" s="38">
        <f>IF(C3197="","",MAX($A$1:A3196)+1)</f>
        <v>2922</v>
      </c>
      <c r="B3197" s="27" t="s">
        <v>141</v>
      </c>
      <c r="C3197" s="23">
        <v>46107</v>
      </c>
      <c r="D3197" s="28" t="str">
        <f>_xlfn.XLOOKUP(Table134526_79101120212223242526[[#This Row],[Name Surname]],Manpower!$C$4:$C$1048576,Manpower!$B$4:$B$1048576,"")</f>
        <v>Encogroup</v>
      </c>
      <c r="E3197" s="21" t="s">
        <v>155</v>
      </c>
      <c r="F3197" s="12" t="e">
        <f>_xlfn.XLOOKUP(Table134526_79101120212223242526[[#This Row],[Name Surname]],Manpower!C:C,Manpower!D:D,)</f>
        <v>#N/A</v>
      </c>
      <c r="G3197" s="28" t="str">
        <f>_xlfn.XLOOKUP(Table134526_79101120212223242526[[#This Row],[Name Surname]],Manpower!$C$4:$C$1048576,Manpower!$F$4:$F$1048576,"")</f>
        <v>300 KVA Generator</v>
      </c>
      <c r="H3197" s="28" t="str">
        <f>_xlfn.XLOOKUP(Table134526_79101120212223242526[[#This Row],[Name Surname]],Manpower!$C$4:$C$1048576,Manpower!$H$4:$H$1048576,"")</f>
        <v>Equipment</v>
      </c>
      <c r="I3197" s="28" t="str">
        <f>_xlfn.XLOOKUP(Table134526_79101120212223242526[[#This Row],[Name Surname]],Manpower!$C$4:$C$1048576,Manpower!$H$4:$H$1048576,"")</f>
        <v>Equipment</v>
      </c>
      <c r="J3197" s="21" t="s">
        <v>143</v>
      </c>
      <c r="K3197" s="21" t="s">
        <v>26</v>
      </c>
      <c r="L3197" s="21" t="s">
        <v>144</v>
      </c>
      <c r="M3197" s="21" t="s">
        <v>55</v>
      </c>
      <c r="N3197" s="29">
        <v>10</v>
      </c>
      <c r="R3197" s="21" t="s">
        <v>419</v>
      </c>
      <c r="T3197" s="56" t="s">
        <v>396</v>
      </c>
    </row>
    <row r="3198" spans="1:20" ht="14.4">
      <c r="A3198" s="38">
        <f>IF(C3198="","",MAX($A$1:A3197)+1)</f>
        <v>2923</v>
      </c>
      <c r="B3198" s="27" t="s">
        <v>141</v>
      </c>
      <c r="C3198" s="23">
        <v>46107</v>
      </c>
      <c r="D3198" s="28" t="str">
        <f>_xlfn.XLOOKUP(Table134526_79101120212223242526[[#This Row],[Name Surname]],Manpower!$C$4:$C$1048576,Manpower!$B$4:$B$1048576,"")</f>
        <v>Encogroup</v>
      </c>
      <c r="E3198" s="23" t="s">
        <v>156</v>
      </c>
      <c r="F3198" s="12" t="e">
        <f>_xlfn.XLOOKUP(Table134526_79101120212223242526[[#This Row],[Name Surname]],Manpower!C:C,Manpower!D:D,)</f>
        <v>#N/A</v>
      </c>
      <c r="G3198" s="28" t="str">
        <f>_xlfn.XLOOKUP(Table134526_79101120212223242526[[#This Row],[Name Surname]],Manpower!$C$4:$C$1048576,Manpower!$F$4:$F$1048576,"")</f>
        <v>35 KVA Generator</v>
      </c>
      <c r="H3198" s="28" t="str">
        <f>_xlfn.XLOOKUP(Table134526_79101120212223242526[[#This Row],[Name Surname]],Manpower!$C$4:$C$1048576,Manpower!$H$4:$H$1048576,"")</f>
        <v>Equipment</v>
      </c>
      <c r="I3198" s="28" t="str">
        <f>_xlfn.XLOOKUP(Table134526_79101120212223242526[[#This Row],[Name Surname]],Manpower!$C$4:$C$1048576,Manpower!$H$4:$H$1048576,"")</f>
        <v>Equipment</v>
      </c>
      <c r="J3198" s="21" t="s">
        <v>143</v>
      </c>
      <c r="K3198" s="21" t="s">
        <v>26</v>
      </c>
      <c r="L3198" s="21" t="s">
        <v>144</v>
      </c>
      <c r="M3198" s="21" t="s">
        <v>55</v>
      </c>
      <c r="N3198" s="29">
        <v>10</v>
      </c>
      <c r="R3198" s="21" t="s">
        <v>419</v>
      </c>
      <c r="T3198" s="56" t="s">
        <v>396</v>
      </c>
    </row>
    <row r="3199" spans="1:20" ht="14.4">
      <c r="A3199" s="38">
        <f>IF(C3199="","",MAX($A$1:A3198)+1)</f>
        <v>2924</v>
      </c>
      <c r="B3199" s="27" t="s">
        <v>141</v>
      </c>
      <c r="C3199" s="23">
        <v>46107</v>
      </c>
      <c r="D3199" s="28" t="str">
        <f>_xlfn.XLOOKUP(Table134526_79101120212223242526[[#This Row],[Name Surname]],Manpower!$C$4:$C$1048576,Manpower!$B$4:$B$1048576,"")</f>
        <v>Encogroup</v>
      </c>
      <c r="E3199" s="21" t="s">
        <v>342</v>
      </c>
      <c r="F3199" s="12" t="e">
        <f>_xlfn.XLOOKUP(Table134526_79101120212223242526[[#This Row],[Name Surname]],Manpower!C:C,Manpower!D:D,)</f>
        <v>#N/A</v>
      </c>
      <c r="G3199" s="28" t="str">
        <f>_xlfn.XLOOKUP(Table134526_79101120212223242526[[#This Row],[Name Surname]],Manpower!$C$4:$C$1048576,Manpower!$F$4:$F$1048576,"")</f>
        <v>SCISSOR LIFT</v>
      </c>
      <c r="H3199" s="28" t="str">
        <f>_xlfn.XLOOKUP(Table134526_79101120212223242526[[#This Row],[Name Surname]],Manpower!$C$4:$C$1048576,Manpower!$H$4:$H$1048576,"")</f>
        <v>Equipment</v>
      </c>
      <c r="I3199" s="28" t="str">
        <f>_xlfn.XLOOKUP(Table134526_79101120212223242526[[#This Row],[Name Surname]],Manpower!$C$4:$C$1048576,Manpower!$H$4:$H$1048576,"")</f>
        <v>Equipment</v>
      </c>
      <c r="J3199" s="21" t="s">
        <v>143</v>
      </c>
      <c r="K3199" s="21" t="s">
        <v>26</v>
      </c>
      <c r="L3199" s="21" t="s">
        <v>144</v>
      </c>
      <c r="M3199" s="21" t="s">
        <v>55</v>
      </c>
      <c r="N3199" s="29">
        <v>10</v>
      </c>
      <c r="R3199" s="21" t="s">
        <v>419</v>
      </c>
      <c r="T3199" s="56" t="s">
        <v>396</v>
      </c>
    </row>
    <row r="3200" spans="1:20" ht="14.4" hidden="1">
      <c r="A3200" s="38">
        <f>IF(C3200="","",MAX($A$1:A3199)+1)</f>
        <v>2925</v>
      </c>
      <c r="B3200" s="27" t="s">
        <v>141</v>
      </c>
      <c r="C3200" s="23">
        <v>46107</v>
      </c>
      <c r="D3200" s="28" t="str">
        <f>_xlfn.XLOOKUP(Table134526_79101120212223242526[[#This Row],[Name Surname]],Manpower!$C$4:$C$1048576,Manpower!$B$4:$B$1048576,"")</f>
        <v>Encogroup</v>
      </c>
      <c r="E3200" s="21" t="s">
        <v>157</v>
      </c>
      <c r="F3200" s="12">
        <f>_xlfn.XLOOKUP(Table134526_79101120212223242526[[#This Row],[Name Surname]],Manpower!C:C,Manpower!D:D,)</f>
        <v>140742144</v>
      </c>
      <c r="G3200" s="28" t="str">
        <f>_xlfn.XLOOKUP(Table134526_79101120212223242526[[#This Row],[Name Surname]],Manpower!$C$4:$C$1048576,Manpower!$F$4:$F$1048576,"")</f>
        <v>Assistant/Helper</v>
      </c>
      <c r="H3200" s="28" t="str">
        <f>_xlfn.XLOOKUP(Table134526_79101120212223242526[[#This Row],[Name Surname]],Manpower!$C$4:$C$1048576,Manpower!$H$4:$H$1048576,"")</f>
        <v>Manpower</v>
      </c>
      <c r="I3200" s="28" t="str">
        <f>_xlfn.XLOOKUP(Table134526_79101120212223242526[[#This Row],[Name Surname]],Manpower!$C$4:$C$1048576,Manpower!$H$4:$H$1048576,"")</f>
        <v>Manpower</v>
      </c>
      <c r="J3200" s="21" t="s">
        <v>143</v>
      </c>
      <c r="K3200" s="21" t="s">
        <v>26</v>
      </c>
      <c r="L3200" s="21" t="s">
        <v>26</v>
      </c>
      <c r="M3200" s="21" t="s">
        <v>24</v>
      </c>
      <c r="N3200" s="29">
        <v>5</v>
      </c>
      <c r="O3200" s="21" t="s">
        <v>40</v>
      </c>
      <c r="P3200" s="21" t="s">
        <v>42</v>
      </c>
      <c r="Q3200" s="21" t="s">
        <v>42</v>
      </c>
      <c r="R3200" s="21" t="s">
        <v>419</v>
      </c>
      <c r="T3200" s="56" t="s">
        <v>396</v>
      </c>
    </row>
    <row r="3201" spans="1:20" ht="14.4" hidden="1">
      <c r="A3201" s="38">
        <f>IF(C3201="","",MAX($A$1:A3200)+1)</f>
        <v>2926</v>
      </c>
      <c r="B3201" s="27" t="s">
        <v>141</v>
      </c>
      <c r="C3201" s="23">
        <v>46107</v>
      </c>
      <c r="D3201" s="28" t="str">
        <f>_xlfn.XLOOKUP(Table134526_79101120212223242526[[#This Row],[Name Surname]],Manpower!$C$4:$C$1048576,Manpower!$B$4:$B$1048576,"")</f>
        <v>Encogroup</v>
      </c>
      <c r="E3201" s="21" t="s">
        <v>166</v>
      </c>
      <c r="F3201" s="12" t="str">
        <f>_xlfn.XLOOKUP(Table134526_79101120212223242526[[#This Row],[Name Surname]],Manpower!C:C,Manpower!D:D,)</f>
        <v>U4181508</v>
      </c>
      <c r="G3201" s="28" t="str">
        <f>_xlfn.XLOOKUP(Table134526_79101120212223242526[[#This Row],[Name Surname]],Manpower!$C$4:$C$1048576,Manpower!$F$4:$F$1048576,"")</f>
        <v>Welder</v>
      </c>
      <c r="H3201" s="28" t="str">
        <f>_xlfn.XLOOKUP(Table134526_79101120212223242526[[#This Row],[Name Surname]],Manpower!$C$4:$C$1048576,Manpower!$H$4:$H$1048576,"")</f>
        <v>Manpower</v>
      </c>
      <c r="I3201" s="28" t="str">
        <f>_xlfn.XLOOKUP(Table134526_79101120212223242526[[#This Row],[Name Surname]],Manpower!$C$4:$C$1048576,Manpower!$H$4:$H$1048576,"")</f>
        <v>Manpower</v>
      </c>
      <c r="J3201" s="21" t="s">
        <v>143</v>
      </c>
      <c r="K3201" s="21" t="s">
        <v>26</v>
      </c>
      <c r="L3201" s="21" t="s">
        <v>144</v>
      </c>
      <c r="M3201" s="21" t="s">
        <v>55</v>
      </c>
      <c r="N3201" s="29">
        <v>10</v>
      </c>
      <c r="R3201" s="21" t="s">
        <v>419</v>
      </c>
      <c r="T3201" s="56" t="s">
        <v>396</v>
      </c>
    </row>
    <row r="3202" spans="1:20" ht="14.4" hidden="1">
      <c r="A3202" s="38">
        <f>IF(C3202="","",MAX($A$1:A3201)+1)</f>
        <v>2927</v>
      </c>
      <c r="B3202" s="27" t="s">
        <v>141</v>
      </c>
      <c r="C3202" s="23">
        <v>46107</v>
      </c>
      <c r="D3202" s="28" t="str">
        <f>_xlfn.XLOOKUP(Table134526_79101120212223242526[[#This Row],[Name Surname]],Manpower!$C$4:$C$1048576,Manpower!$B$4:$B$1048576,"")</f>
        <v>Encogroup</v>
      </c>
      <c r="E3202" s="21" t="s">
        <v>167</v>
      </c>
      <c r="F3202" s="12">
        <f>_xlfn.XLOOKUP(Table134526_79101120212223242526[[#This Row],[Name Surname]],Manpower!C:C,Manpower!D:D,)</f>
        <v>125440631</v>
      </c>
      <c r="G3202" s="28" t="str">
        <f>_xlfn.XLOOKUP(Table134526_79101120212223242526[[#This Row],[Name Surname]],Manpower!$C$4:$C$1048576,Manpower!$F$4:$F$1048576,"")</f>
        <v>Rigger</v>
      </c>
      <c r="H3202" s="28" t="str">
        <f>_xlfn.XLOOKUP(Table134526_79101120212223242526[[#This Row],[Name Surname]],Manpower!$C$4:$C$1048576,Manpower!$H$4:$H$1048576,"")</f>
        <v>Manpower</v>
      </c>
      <c r="I3202" s="28" t="str">
        <f>_xlfn.XLOOKUP(Table134526_79101120212223242526[[#This Row],[Name Surname]],Manpower!$C$4:$C$1048576,Manpower!$H$4:$H$1048576,"")</f>
        <v>Manpower</v>
      </c>
      <c r="J3202" s="21" t="s">
        <v>143</v>
      </c>
      <c r="K3202" s="21" t="s">
        <v>26</v>
      </c>
      <c r="L3202" s="21" t="s">
        <v>144</v>
      </c>
      <c r="M3202" s="21" t="s">
        <v>55</v>
      </c>
      <c r="N3202" s="29">
        <v>10</v>
      </c>
      <c r="R3202" s="21" t="s">
        <v>419</v>
      </c>
      <c r="T3202" s="56" t="s">
        <v>396</v>
      </c>
    </row>
    <row r="3203" spans="1:20" ht="14.4" hidden="1">
      <c r="A3203" s="38">
        <f>IF(C3203="","",MAX($A$1:A3202)+1)</f>
        <v>2928</v>
      </c>
      <c r="B3203" s="27" t="s">
        <v>141</v>
      </c>
      <c r="C3203" s="23">
        <v>46107</v>
      </c>
      <c r="D3203" s="28" t="str">
        <f>_xlfn.XLOOKUP(Table134526_79101120212223242526[[#This Row],[Name Surname]],Manpower!$C$4:$C$1048576,Manpower!$B$4:$B$1048576,"")</f>
        <v>AL Omar International TRAD AND CONT</v>
      </c>
      <c r="E3203" s="21" t="s">
        <v>169</v>
      </c>
      <c r="F3203" s="12">
        <f>_xlfn.XLOOKUP(Table134526_79101120212223242526[[#This Row],[Name Surname]],Manpower!C:C,Manpower!D:D,)</f>
        <v>115731078</v>
      </c>
      <c r="G3203" s="28" t="str">
        <f>_xlfn.XLOOKUP(Table134526_79101120212223242526[[#This Row],[Name Surname]],Manpower!$C$4:$C$1048576,Manpower!$F$4:$F$1048576,"")</f>
        <v>Scaffolder</v>
      </c>
      <c r="H3203" s="28" t="str">
        <f>_xlfn.XLOOKUP(Table134526_79101120212223242526[[#This Row],[Name Surname]],Manpower!$C$4:$C$1048576,Manpower!$H$4:$H$1048576,"")</f>
        <v>Sub Contactor</v>
      </c>
      <c r="I3203" s="28" t="str">
        <f>_xlfn.XLOOKUP(Table134526_79101120212223242526[[#This Row],[Name Surname]],Manpower!$C$4:$C$1048576,Manpower!$H$4:$H$1048576,"")</f>
        <v>Sub Contactor</v>
      </c>
      <c r="J3203" s="21" t="s">
        <v>143</v>
      </c>
      <c r="K3203" s="21" t="s">
        <v>26</v>
      </c>
      <c r="L3203" s="21" t="s">
        <v>170</v>
      </c>
      <c r="M3203" s="21" t="s">
        <v>55</v>
      </c>
      <c r="N3203" s="29">
        <v>10</v>
      </c>
      <c r="R3203" s="21" t="s">
        <v>419</v>
      </c>
      <c r="T3203" s="56" t="s">
        <v>396</v>
      </c>
    </row>
    <row r="3204" spans="1:20" ht="14.4" hidden="1">
      <c r="A3204" s="38">
        <f>IF(C3204="","",MAX($A$1:A3203)+1)</f>
        <v>2929</v>
      </c>
      <c r="B3204" s="27" t="s">
        <v>141</v>
      </c>
      <c r="C3204" s="23">
        <v>46107</v>
      </c>
      <c r="D3204" s="28" t="str">
        <f>_xlfn.XLOOKUP(Table134526_79101120212223242526[[#This Row],[Name Surname]],Manpower!$C$4:$C$1048576,Manpower!$B$4:$B$1048576,"")</f>
        <v>Encogroup</v>
      </c>
      <c r="E3204" s="21" t="s">
        <v>172</v>
      </c>
      <c r="F3204" s="12">
        <f>_xlfn.XLOOKUP(Table134526_79101120212223242526[[#This Row],[Name Surname]],Manpower!C:C,Manpower!D:D,)</f>
        <v>140764355</v>
      </c>
      <c r="G3204" s="28" t="str">
        <f>_xlfn.XLOOKUP(Table134526_79101120212223242526[[#This Row],[Name Surname]],Manpower!$C$4:$C$1048576,Manpower!$F$4:$F$1048576,"")</f>
        <v>Fitter/Erector</v>
      </c>
      <c r="H3204" s="28" t="str">
        <f>_xlfn.XLOOKUP(Table134526_79101120212223242526[[#This Row],[Name Surname]],Manpower!$C$4:$C$1048576,Manpower!$H$4:$H$1048576,"")</f>
        <v>Manpower</v>
      </c>
      <c r="I3204" s="28" t="str">
        <f>_xlfn.XLOOKUP(Table134526_79101120212223242526[[#This Row],[Name Surname]],Manpower!$C$4:$C$1048576,Manpower!$H$4:$H$1048576,"")</f>
        <v>Manpower</v>
      </c>
      <c r="J3204" s="21" t="s">
        <v>143</v>
      </c>
      <c r="K3204" s="21" t="s">
        <v>26</v>
      </c>
      <c r="L3204" s="21" t="s">
        <v>144</v>
      </c>
      <c r="M3204" s="21" t="s">
        <v>55</v>
      </c>
      <c r="N3204" s="29">
        <v>10</v>
      </c>
      <c r="R3204" s="21" t="s">
        <v>419</v>
      </c>
      <c r="T3204" s="56" t="s">
        <v>396</v>
      </c>
    </row>
    <row r="3205" spans="1:20" ht="14.4" hidden="1">
      <c r="A3205" s="38">
        <f>IF(C3205="","",MAX($A$1:A3204)+1)</f>
        <v>2930</v>
      </c>
      <c r="B3205" s="27" t="s">
        <v>141</v>
      </c>
      <c r="C3205" s="23">
        <v>46107</v>
      </c>
      <c r="D3205" s="28" t="str">
        <f>_xlfn.XLOOKUP(Table134526_79101120212223242526[[#This Row],[Name Surname]],Manpower!$C$4:$C$1048576,Manpower!$B$4:$B$1048576,"")</f>
        <v>Encogroup</v>
      </c>
      <c r="E3205" s="21" t="s">
        <v>175</v>
      </c>
      <c r="F3205" s="12">
        <f>_xlfn.XLOOKUP(Table134526_79101120212223242526[[#This Row],[Name Surname]],Manpower!C:C,Manpower!D:D,)</f>
        <v>140742125</v>
      </c>
      <c r="G3205" s="28" t="str">
        <f>_xlfn.XLOOKUP(Table134526_79101120212223242526[[#This Row],[Name Surname]],Manpower!$C$4:$C$1048576,Manpower!$F$4:$F$1048576,"")</f>
        <v>Assistant/Helper</v>
      </c>
      <c r="H3205" s="28" t="str">
        <f>_xlfn.XLOOKUP(Table134526_79101120212223242526[[#This Row],[Name Surname]],Manpower!$C$4:$C$1048576,Manpower!$H$4:$H$1048576,"")</f>
        <v>Manpower</v>
      </c>
      <c r="I3205" s="28" t="str">
        <f>_xlfn.XLOOKUP(Table134526_79101120212223242526[[#This Row],[Name Surname]],Manpower!$C$4:$C$1048576,Manpower!$H$4:$H$1048576,"")</f>
        <v>Manpower</v>
      </c>
      <c r="J3205" s="21" t="s">
        <v>143</v>
      </c>
      <c r="K3205" s="21" t="s">
        <v>26</v>
      </c>
      <c r="L3205" s="21" t="s">
        <v>26</v>
      </c>
      <c r="M3205" s="21" t="s">
        <v>24</v>
      </c>
      <c r="N3205" s="29">
        <v>5</v>
      </c>
      <c r="O3205" s="21" t="s">
        <v>40</v>
      </c>
      <c r="P3205" s="21" t="s">
        <v>42</v>
      </c>
      <c r="Q3205" s="21" t="s">
        <v>42</v>
      </c>
      <c r="R3205" s="21" t="s">
        <v>419</v>
      </c>
      <c r="T3205" s="56" t="s">
        <v>396</v>
      </c>
    </row>
    <row r="3206" spans="1:20" ht="14.4" hidden="1">
      <c r="A3206" s="38">
        <f>IF(C3206="","",MAX($A$1:A3205)+1)</f>
        <v>2931</v>
      </c>
      <c r="B3206" s="27" t="s">
        <v>141</v>
      </c>
      <c r="C3206" s="23">
        <v>46107</v>
      </c>
      <c r="D3206" s="28" t="str">
        <f>_xlfn.XLOOKUP(Table134526_79101120212223242526[[#This Row],[Name Surname]],Manpower!$C$4:$C$1048576,Manpower!$B$4:$B$1048576,"")</f>
        <v>Encogroup</v>
      </c>
      <c r="E3206" s="21" t="s">
        <v>228</v>
      </c>
      <c r="F3206" s="12">
        <f>_xlfn.XLOOKUP(Table134526_79101120212223242526[[#This Row],[Name Surname]],Manpower!C:C,Manpower!D:D,)</f>
        <v>125199963</v>
      </c>
      <c r="G3206" s="28" t="str">
        <f>_xlfn.XLOOKUP(Table134526_79101120212223242526[[#This Row],[Name Surname]],Manpower!$C$4:$C$1048576,Manpower!$F$4:$F$1048576,"")</f>
        <v>Electrician</v>
      </c>
      <c r="H3206" s="28" t="str">
        <f>_xlfn.XLOOKUP(Table134526_79101120212223242526[[#This Row],[Name Surname]],Manpower!$C$4:$C$1048576,Manpower!$H$4:$H$1048576,"")</f>
        <v>Manpower</v>
      </c>
      <c r="I3206" s="28" t="str">
        <f>_xlfn.XLOOKUP(Table134526_79101120212223242526[[#This Row],[Name Surname]],Manpower!$C$4:$C$1048576,Manpower!$H$4:$H$1048576,"")</f>
        <v>Manpower</v>
      </c>
      <c r="J3206" s="21" t="s">
        <v>143</v>
      </c>
      <c r="K3206" s="21" t="s">
        <v>26</v>
      </c>
      <c r="L3206" s="21" t="s">
        <v>26</v>
      </c>
      <c r="M3206" s="21" t="s">
        <v>24</v>
      </c>
      <c r="N3206" s="29">
        <v>5</v>
      </c>
      <c r="O3206" s="21" t="s">
        <v>40</v>
      </c>
      <c r="P3206" s="21" t="s">
        <v>42</v>
      </c>
      <c r="Q3206" s="21" t="s">
        <v>42</v>
      </c>
      <c r="R3206" s="21" t="s">
        <v>419</v>
      </c>
      <c r="T3206" s="56" t="s">
        <v>396</v>
      </c>
    </row>
    <row r="3207" spans="1:20" ht="14.4" hidden="1">
      <c r="A3207" s="38">
        <f>IF(C3207="","",MAX($A$1:A3206)+1)</f>
        <v>2932</v>
      </c>
      <c r="B3207" s="27" t="s">
        <v>141</v>
      </c>
      <c r="C3207" s="23">
        <v>46107</v>
      </c>
      <c r="D3207" s="28" t="str">
        <f>_xlfn.XLOOKUP(Table134526_79101120212223242526[[#This Row],[Name Surname]],Manpower!$C$4:$C$1048576,Manpower!$B$4:$B$1048576,"")</f>
        <v>Encogroup</v>
      </c>
      <c r="E3207" s="21" t="s">
        <v>119</v>
      </c>
      <c r="F3207" s="12">
        <f>_xlfn.XLOOKUP(Table134526_79101120212223242526[[#This Row],[Name Surname]],Manpower!C:C,Manpower!D:D,)</f>
        <v>140844778</v>
      </c>
      <c r="G3207" s="28" t="str">
        <f>_xlfn.XLOOKUP(Table134526_79101120212223242526[[#This Row],[Name Surname]],Manpower!$C$4:$C$1048576,Manpower!$F$4:$F$1048576,"")</f>
        <v>Painter</v>
      </c>
      <c r="H3207" s="28" t="str">
        <f>_xlfn.XLOOKUP(Table134526_79101120212223242526[[#This Row],[Name Surname]],Manpower!$C$4:$C$1048576,Manpower!$H$4:$H$1048576,"")</f>
        <v>Manpower</v>
      </c>
      <c r="I3207" s="28" t="str">
        <f>_xlfn.XLOOKUP(Table134526_79101120212223242526[[#This Row],[Name Surname]],Manpower!$C$4:$C$1048576,Manpower!$H$4:$H$1048576,"")</f>
        <v>Manpower</v>
      </c>
      <c r="J3207" s="21" t="s">
        <v>143</v>
      </c>
      <c r="K3207" s="21" t="s">
        <v>26</v>
      </c>
      <c r="L3207" s="21" t="s">
        <v>144</v>
      </c>
      <c r="M3207" s="21" t="s">
        <v>55</v>
      </c>
      <c r="N3207" s="29">
        <v>10</v>
      </c>
      <c r="R3207" s="21" t="s">
        <v>419</v>
      </c>
      <c r="T3207" s="56" t="s">
        <v>396</v>
      </c>
    </row>
    <row r="3208" spans="1:20" ht="14.4" hidden="1">
      <c r="A3208" s="38">
        <f>IF(C3208="","",MAX($A$1:A3207)+1)</f>
        <v>2933</v>
      </c>
      <c r="B3208" s="27" t="s">
        <v>141</v>
      </c>
      <c r="C3208" s="23">
        <v>46107</v>
      </c>
      <c r="D3208" s="28" t="str">
        <f>_xlfn.XLOOKUP(Table134526_79101120212223242526[[#This Row],[Name Surname]],Manpower!$C$4:$C$1048576,Manpower!$B$4:$B$1048576,"")</f>
        <v>Encogroup</v>
      </c>
      <c r="E3208" s="21" t="s">
        <v>117</v>
      </c>
      <c r="F3208" s="12">
        <f>_xlfn.XLOOKUP(Table134526_79101120212223242526[[#This Row],[Name Surname]],Manpower!C:C,Manpower!D:D,)</f>
        <v>140844783</v>
      </c>
      <c r="G3208" s="28" t="str">
        <f>_xlfn.XLOOKUP(Table134526_79101120212223242526[[#This Row],[Name Surname]],Manpower!$C$4:$C$1048576,Manpower!$F$4:$F$1048576,"")</f>
        <v>Painter</v>
      </c>
      <c r="H3208" s="28" t="str">
        <f>_xlfn.XLOOKUP(Table134526_79101120212223242526[[#This Row],[Name Surname]],Manpower!$C$4:$C$1048576,Manpower!$H$4:$H$1048576,"")</f>
        <v>Manpower</v>
      </c>
      <c r="I3208" s="28" t="str">
        <f>_xlfn.XLOOKUP(Table134526_79101120212223242526[[#This Row],[Name Surname]],Manpower!$C$4:$C$1048576,Manpower!$H$4:$H$1048576,"")</f>
        <v>Manpower</v>
      </c>
      <c r="J3208" s="21" t="s">
        <v>143</v>
      </c>
      <c r="K3208" s="21" t="s">
        <v>26</v>
      </c>
      <c r="L3208" s="21" t="s">
        <v>144</v>
      </c>
      <c r="M3208" s="21" t="s">
        <v>55</v>
      </c>
      <c r="N3208" s="29">
        <v>10</v>
      </c>
      <c r="R3208" s="21" t="s">
        <v>419</v>
      </c>
      <c r="T3208" s="56" t="s">
        <v>396</v>
      </c>
    </row>
    <row r="3209" spans="1:20" ht="14.4" hidden="1">
      <c r="A3209" s="38">
        <f>IF(C3209="","",MAX($A$1:A3208)+1)</f>
        <v>2934</v>
      </c>
      <c r="B3209" s="27" t="s">
        <v>141</v>
      </c>
      <c r="C3209" s="23">
        <v>46107</v>
      </c>
      <c r="D3209" s="28" t="str">
        <f>_xlfn.XLOOKUP(Table134526_79101120212223242526[[#This Row],[Name Surname]],Manpower!$C$4:$C$1048576,Manpower!$B$4:$B$1048576,"")</f>
        <v>Encogroup</v>
      </c>
      <c r="E3209" s="21" t="s">
        <v>176</v>
      </c>
      <c r="F3209" s="12">
        <f>_xlfn.XLOOKUP(Table134526_79101120212223242526[[#This Row],[Name Surname]],Manpower!C:C,Manpower!D:D,)</f>
        <v>124398279</v>
      </c>
      <c r="G3209" s="28" t="str">
        <f>_xlfn.XLOOKUP(Table134526_79101120212223242526[[#This Row],[Name Surname]],Manpower!$C$4:$C$1048576,Manpower!$F$4:$F$1048576,"")</f>
        <v>Permit Receiver</v>
      </c>
      <c r="H3209" s="28" t="str">
        <f>_xlfn.XLOOKUP(Table134526_79101120212223242526[[#This Row],[Name Surname]],Manpower!$C$4:$C$1048576,Manpower!$H$4:$H$1048576,"")</f>
        <v>Manpower</v>
      </c>
      <c r="I3209" s="28" t="str">
        <f>_xlfn.XLOOKUP(Table134526_79101120212223242526[[#This Row],[Name Surname]],Manpower!$C$4:$C$1048576,Manpower!$H$4:$H$1048576,"")</f>
        <v>Manpower</v>
      </c>
      <c r="J3209" s="21" t="s">
        <v>143</v>
      </c>
      <c r="K3209" s="21" t="s">
        <v>26</v>
      </c>
      <c r="L3209" s="21" t="s">
        <v>144</v>
      </c>
      <c r="M3209" s="21" t="s">
        <v>55</v>
      </c>
      <c r="N3209" s="29">
        <v>10</v>
      </c>
      <c r="R3209" s="21" t="s">
        <v>419</v>
      </c>
      <c r="T3209" s="56" t="s">
        <v>396</v>
      </c>
    </row>
    <row r="3210" spans="1:20" ht="14.4" hidden="1">
      <c r="A3210" s="38">
        <f>IF(C3210="","",MAX($A$1:A3209)+1)</f>
        <v>2935</v>
      </c>
      <c r="B3210" s="27" t="s">
        <v>141</v>
      </c>
      <c r="C3210" s="23">
        <v>46107</v>
      </c>
      <c r="D3210" s="28" t="str">
        <f>_xlfn.XLOOKUP(Table134526_79101120212223242526[[#This Row],[Name Surname]],Manpower!$C$4:$C$1048576,Manpower!$B$4:$B$1048576,"")</f>
        <v>Encogroup</v>
      </c>
      <c r="E3210" s="21" t="s">
        <v>177</v>
      </c>
      <c r="F3210" s="12">
        <f>_xlfn.XLOOKUP(Table134526_79101120212223242526[[#This Row],[Name Surname]],Manpower!C:C,Manpower!D:D,)</f>
        <v>140809004</v>
      </c>
      <c r="G3210" s="28" t="str">
        <f>_xlfn.XLOOKUP(Table134526_79101120212223242526[[#This Row],[Name Surname]],Manpower!$C$4:$C$1048576,Manpower!$F$4:$F$1048576,"")</f>
        <v>Fitter/Erector</v>
      </c>
      <c r="H3210" s="28" t="str">
        <f>_xlfn.XLOOKUP(Table134526_79101120212223242526[[#This Row],[Name Surname]],Manpower!$C$4:$C$1048576,Manpower!$H$4:$H$1048576,"")</f>
        <v>Manpower</v>
      </c>
      <c r="I3210" s="28" t="str">
        <f>_xlfn.XLOOKUP(Table134526_79101120212223242526[[#This Row],[Name Surname]],Manpower!$C$4:$C$1048576,Manpower!$H$4:$H$1048576,"")</f>
        <v>Manpower</v>
      </c>
      <c r="J3210" s="21" t="s">
        <v>143</v>
      </c>
      <c r="K3210" s="21" t="s">
        <v>26</v>
      </c>
      <c r="L3210" s="21" t="s">
        <v>144</v>
      </c>
      <c r="M3210" s="21" t="s">
        <v>55</v>
      </c>
      <c r="N3210" s="29">
        <v>10</v>
      </c>
      <c r="R3210" s="21" t="s">
        <v>419</v>
      </c>
      <c r="T3210" s="56" t="s">
        <v>396</v>
      </c>
    </row>
    <row r="3211" spans="1:20" ht="14.4" hidden="1">
      <c r="A3211" s="38">
        <f>IF(C3211="","",MAX($A$1:A3210)+1)</f>
        <v>2936</v>
      </c>
      <c r="B3211" s="27" t="s">
        <v>141</v>
      </c>
      <c r="C3211" s="23">
        <v>46107</v>
      </c>
      <c r="D3211" s="28" t="str">
        <f>_xlfn.XLOOKUP(Table134526_79101120212223242526[[#This Row],[Name Surname]],Manpower!$C$4:$C$1048576,Manpower!$B$4:$B$1048576,"")</f>
        <v>Encogroup</v>
      </c>
      <c r="E3211" s="21" t="s">
        <v>178</v>
      </c>
      <c r="F3211" s="12">
        <f>_xlfn.XLOOKUP(Table134526_79101120212223242526[[#This Row],[Name Surname]],Manpower!C:C,Manpower!D:D,)</f>
        <v>140683436</v>
      </c>
      <c r="G3211" s="28" t="str">
        <f>_xlfn.XLOOKUP(Table134526_79101120212223242526[[#This Row],[Name Surname]],Manpower!$C$4:$C$1048576,Manpower!$F$4:$F$1048576,"")</f>
        <v>Scaffolder</v>
      </c>
      <c r="H3211" s="28" t="str">
        <f>_xlfn.XLOOKUP(Table134526_79101120212223242526[[#This Row],[Name Surname]],Manpower!$C$4:$C$1048576,Manpower!$H$4:$H$1048576,"")</f>
        <v>Manpower</v>
      </c>
      <c r="I3211" s="28" t="str">
        <f>_xlfn.XLOOKUP(Table134526_79101120212223242526[[#This Row],[Name Surname]],Manpower!$C$4:$C$1048576,Manpower!$H$4:$H$1048576,"")</f>
        <v>Manpower</v>
      </c>
      <c r="J3211" s="21" t="s">
        <v>143</v>
      </c>
      <c r="K3211" s="21" t="s">
        <v>26</v>
      </c>
      <c r="L3211" s="21" t="s">
        <v>26</v>
      </c>
      <c r="M3211" s="21" t="s">
        <v>24</v>
      </c>
      <c r="N3211" s="29">
        <v>5</v>
      </c>
      <c r="O3211" s="21" t="s">
        <v>40</v>
      </c>
      <c r="P3211" s="21" t="s">
        <v>42</v>
      </c>
      <c r="Q3211" s="21" t="s">
        <v>42</v>
      </c>
      <c r="R3211" s="21" t="s">
        <v>419</v>
      </c>
      <c r="T3211" s="56" t="s">
        <v>396</v>
      </c>
    </row>
    <row r="3212" spans="1:20" ht="14.4">
      <c r="A3212" s="38">
        <f>IF(C3212="","",MAX($A$1:A3211)+1)</f>
        <v>2937</v>
      </c>
      <c r="B3212" s="27" t="s">
        <v>141</v>
      </c>
      <c r="C3212" s="23">
        <v>46107</v>
      </c>
      <c r="D3212" s="28" t="str">
        <f>_xlfn.XLOOKUP(Table134526_79101120212223242526[[#This Row],[Name Surname]],Manpower!$C$4:$C$1048576,Manpower!$B$4:$B$1048576,"")</f>
        <v>Encogroup</v>
      </c>
      <c r="E3212" s="23" t="s">
        <v>179</v>
      </c>
      <c r="F3212" s="12" t="e">
        <f>_xlfn.XLOOKUP(Table134526_79101120212223242526[[#This Row],[Name Surname]],Manpower!C:C,Manpower!D:D,)</f>
        <v>#N/A</v>
      </c>
      <c r="G3212" s="28" t="str">
        <f>_xlfn.XLOOKUP(Table134526_79101120212223242526[[#This Row],[Name Surname]],Manpower!$C$4:$C$1048576,Manpower!$F$4:$F$1048576,"")</f>
        <v>7T-HIAB</v>
      </c>
      <c r="H3212" s="28" t="str">
        <f>_xlfn.XLOOKUP(Table134526_79101120212223242526[[#This Row],[Name Surname]],Manpower!$C$4:$C$1048576,Manpower!$H$4:$H$1048576,"")</f>
        <v>Equipment</v>
      </c>
      <c r="I3212" s="28" t="str">
        <f>_xlfn.XLOOKUP(Table134526_79101120212223242526[[#This Row],[Name Surname]],Manpower!$C$4:$C$1048576,Manpower!$H$4:$H$1048576,"")</f>
        <v>Equipment</v>
      </c>
      <c r="J3212" s="21" t="s">
        <v>143</v>
      </c>
      <c r="K3212" s="21" t="s">
        <v>26</v>
      </c>
      <c r="L3212" s="21" t="s">
        <v>144</v>
      </c>
      <c r="M3212" s="21" t="s">
        <v>55</v>
      </c>
      <c r="N3212" s="29">
        <v>10</v>
      </c>
      <c r="R3212" s="21" t="s">
        <v>419</v>
      </c>
      <c r="T3212" s="56" t="s">
        <v>396</v>
      </c>
    </row>
    <row r="3213" spans="1:20" ht="14.4" hidden="1">
      <c r="A3213" s="38">
        <f>IF(C3213="","",MAX($A$1:A3212)+1)</f>
        <v>2938</v>
      </c>
      <c r="B3213" s="27" t="s">
        <v>141</v>
      </c>
      <c r="C3213" s="23">
        <v>46107</v>
      </c>
      <c r="D3213" s="28" t="str">
        <f>_xlfn.XLOOKUP(Table134526_79101120212223242526[[#This Row],[Name Surname]],Manpower!$C$4:$C$1048576,Manpower!$B$4:$B$1048576,"")</f>
        <v>Encogroup</v>
      </c>
      <c r="E3213" s="21" t="s">
        <v>180</v>
      </c>
      <c r="F3213" s="12">
        <f>_xlfn.XLOOKUP(Table134526_79101120212223242526[[#This Row],[Name Surname]],Manpower!C:C,Manpower!D:D,)</f>
        <v>9138415</v>
      </c>
      <c r="G3213" s="28" t="str">
        <f>_xlfn.XLOOKUP(Table134526_79101120212223242526[[#This Row],[Name Surname]],Manpower!$C$4:$C$1048576,Manpower!$F$4:$F$1048576,"")</f>
        <v>HIAB Driver</v>
      </c>
      <c r="H3213" s="28" t="str">
        <f>_xlfn.XLOOKUP(Table134526_79101120212223242526[[#This Row],[Name Surname]],Manpower!$C$4:$C$1048576,Manpower!$H$4:$H$1048576,"")</f>
        <v>Manpower</v>
      </c>
      <c r="I3213" s="28" t="str">
        <f>_xlfn.XLOOKUP(Table134526_79101120212223242526[[#This Row],[Name Surname]],Manpower!$C$4:$C$1048576,Manpower!$H$4:$H$1048576,"")</f>
        <v>Manpower</v>
      </c>
      <c r="J3213" s="21" t="s">
        <v>143</v>
      </c>
      <c r="K3213" s="21" t="s">
        <v>26</v>
      </c>
      <c r="L3213" s="21" t="s">
        <v>144</v>
      </c>
      <c r="M3213" s="21" t="s">
        <v>55</v>
      </c>
      <c r="N3213" s="29">
        <v>10</v>
      </c>
      <c r="R3213" s="21" t="s">
        <v>419</v>
      </c>
      <c r="T3213" s="56" t="s">
        <v>396</v>
      </c>
    </row>
    <row r="3214" spans="1:20" ht="14.4" hidden="1">
      <c r="A3214" s="38">
        <f>IF(C3214="","",MAX($A$1:A3213)+1)</f>
        <v>2939</v>
      </c>
      <c r="B3214" s="27" t="s">
        <v>141</v>
      </c>
      <c r="C3214" s="23">
        <v>46107</v>
      </c>
      <c r="D3214" s="28" t="str">
        <f>_xlfn.XLOOKUP(Table134526_79101120212223242526[[#This Row],[Name Surname]],Manpower!$C$4:$C$1048576,Manpower!$B$4:$B$1048576,"")</f>
        <v>Encogroup</v>
      </c>
      <c r="E3214" s="21" t="s">
        <v>184</v>
      </c>
      <c r="F3214" s="12">
        <f>_xlfn.XLOOKUP(Table134526_79101120212223242526[[#This Row],[Name Surname]],Manpower!C:C,Manpower!D:D,)</f>
        <v>140844759</v>
      </c>
      <c r="G3214" s="28" t="str">
        <f>_xlfn.XLOOKUP(Table134526_79101120212223242526[[#This Row],[Name Surname]],Manpower!$C$4:$C$1048576,Manpower!$F$4:$F$1048576,"")</f>
        <v>Welder</v>
      </c>
      <c r="H3214" s="28" t="str">
        <f>_xlfn.XLOOKUP(Table134526_79101120212223242526[[#This Row],[Name Surname]],Manpower!$C$4:$C$1048576,Manpower!$H$4:$H$1048576,"")</f>
        <v>Manpower</v>
      </c>
      <c r="I3214" s="28" t="str">
        <f>_xlfn.XLOOKUP(Table134526_79101120212223242526[[#This Row],[Name Surname]],Manpower!$C$4:$C$1048576,Manpower!$H$4:$H$1048576,"")</f>
        <v>Manpower</v>
      </c>
      <c r="J3214" s="21" t="s">
        <v>143</v>
      </c>
      <c r="K3214" s="21" t="s">
        <v>26</v>
      </c>
      <c r="L3214" s="21" t="s">
        <v>144</v>
      </c>
      <c r="M3214" s="21" t="s">
        <v>55</v>
      </c>
      <c r="N3214" s="29">
        <v>10</v>
      </c>
      <c r="R3214" s="21" t="s">
        <v>419</v>
      </c>
      <c r="T3214" s="56" t="s">
        <v>396</v>
      </c>
    </row>
    <row r="3215" spans="1:20" ht="14.4" hidden="1">
      <c r="A3215" s="38">
        <f>IF(C3215="","",MAX($A$1:A3214)+1)</f>
        <v>2940</v>
      </c>
      <c r="B3215" s="27" t="s">
        <v>141</v>
      </c>
      <c r="C3215" s="23">
        <v>46107</v>
      </c>
      <c r="D3215" s="28" t="str">
        <f>_xlfn.XLOOKUP(Table134526_79101120212223242526[[#This Row],[Name Surname]],Manpower!$C$4:$C$1048576,Manpower!$B$4:$B$1048576,"")</f>
        <v>Encogroup</v>
      </c>
      <c r="E3215" s="21" t="s">
        <v>185</v>
      </c>
      <c r="F3215" s="12">
        <f>_xlfn.XLOOKUP(Table134526_79101120212223242526[[#This Row],[Name Surname]],Manpower!C:C,Manpower!D:D,)</f>
        <v>140848828</v>
      </c>
      <c r="G3215" s="28" t="str">
        <f>_xlfn.XLOOKUP(Table134526_79101120212223242526[[#This Row],[Name Surname]],Manpower!$C$4:$C$1048576,Manpower!$F$4:$F$1048576,"")</f>
        <v>Pipe Fitter</v>
      </c>
      <c r="H3215" s="28" t="str">
        <f>_xlfn.XLOOKUP(Table134526_79101120212223242526[[#This Row],[Name Surname]],Manpower!$C$4:$C$1048576,Manpower!$H$4:$H$1048576,"")</f>
        <v>Manpower</v>
      </c>
      <c r="I3215" s="28" t="str">
        <f>_xlfn.XLOOKUP(Table134526_79101120212223242526[[#This Row],[Name Surname]],Manpower!$C$4:$C$1048576,Manpower!$H$4:$H$1048576,"")</f>
        <v>Manpower</v>
      </c>
      <c r="J3215" s="21" t="s">
        <v>143</v>
      </c>
      <c r="K3215" s="21" t="s">
        <v>26</v>
      </c>
      <c r="L3215" s="21" t="s">
        <v>144</v>
      </c>
      <c r="M3215" s="21" t="s">
        <v>55</v>
      </c>
      <c r="N3215" s="29">
        <v>10</v>
      </c>
      <c r="R3215" s="21" t="s">
        <v>419</v>
      </c>
      <c r="T3215" s="56" t="s">
        <v>396</v>
      </c>
    </row>
    <row r="3216" spans="1:20" ht="14.4" hidden="1">
      <c r="A3216" s="38">
        <f>IF(C3216="","",MAX($A$1:A3215)+1)</f>
        <v>2941</v>
      </c>
      <c r="B3216" s="27" t="s">
        <v>141</v>
      </c>
      <c r="C3216" s="23">
        <v>46107</v>
      </c>
      <c r="D3216" s="28" t="str">
        <f>_xlfn.XLOOKUP(Table134526_79101120212223242526[[#This Row],[Name Surname]],Manpower!$C$4:$C$1048576,Manpower!$B$4:$B$1048576,"")</f>
        <v>AL Omar International TRAD AND CONT</v>
      </c>
      <c r="E3216" s="21" t="s">
        <v>212</v>
      </c>
      <c r="F3216" s="12">
        <f>_xlfn.XLOOKUP(Table134526_79101120212223242526[[#This Row],[Name Surname]],Manpower!C:C,Manpower!D:D,)</f>
        <v>116676257</v>
      </c>
      <c r="G3216" s="28" t="str">
        <f>_xlfn.XLOOKUP(Table134526_79101120212223242526[[#This Row],[Name Surname]],Manpower!$C$4:$C$1048576,Manpower!$F$4:$F$1048576,"")</f>
        <v>Scaffolder</v>
      </c>
      <c r="H3216" s="28" t="str">
        <f>_xlfn.XLOOKUP(Table134526_79101120212223242526[[#This Row],[Name Surname]],Manpower!$C$4:$C$1048576,Manpower!$H$4:$H$1048576,"")</f>
        <v>Sub Contactor</v>
      </c>
      <c r="I3216" s="28" t="str">
        <f>_xlfn.XLOOKUP(Table134526_79101120212223242526[[#This Row],[Name Surname]],Manpower!$C$4:$C$1048576,Manpower!$H$4:$H$1048576,"")</f>
        <v>Sub Contactor</v>
      </c>
      <c r="J3216" s="21" t="s">
        <v>143</v>
      </c>
      <c r="K3216" s="21" t="s">
        <v>26</v>
      </c>
      <c r="L3216" s="21" t="s">
        <v>170</v>
      </c>
      <c r="M3216" s="21" t="s">
        <v>55</v>
      </c>
      <c r="N3216" s="29">
        <v>10</v>
      </c>
      <c r="R3216" s="21" t="s">
        <v>419</v>
      </c>
      <c r="T3216" s="56" t="s">
        <v>396</v>
      </c>
    </row>
    <row r="3217" spans="1:20" ht="14.4" hidden="1">
      <c r="A3217" s="38">
        <f>IF(C3217="","",MAX($A$1:A3216)+1)</f>
        <v>2942</v>
      </c>
      <c r="B3217" s="27" t="s">
        <v>141</v>
      </c>
      <c r="C3217" s="23">
        <v>46107</v>
      </c>
      <c r="D3217" s="28" t="str">
        <f>_xlfn.XLOOKUP(Table134526_79101120212223242526[[#This Row],[Name Surname]],Manpower!$C$4:$C$1048576,Manpower!$B$4:$B$1048576,"")</f>
        <v>Encogroup</v>
      </c>
      <c r="E3217" s="21" t="s">
        <v>186</v>
      </c>
      <c r="F3217" s="12">
        <f>_xlfn.XLOOKUP(Table134526_79101120212223242526[[#This Row],[Name Surname]],Manpower!C:C,Manpower!D:D,)</f>
        <v>140696961</v>
      </c>
      <c r="G3217" s="28" t="str">
        <f>_xlfn.XLOOKUP(Table134526_79101120212223242526[[#This Row],[Name Surname]],Manpower!$C$4:$C$1048576,Manpower!$F$4:$F$1048576,"")</f>
        <v>Assistant/Helper</v>
      </c>
      <c r="H3217" s="28" t="str">
        <f>_xlfn.XLOOKUP(Table134526_79101120212223242526[[#This Row],[Name Surname]],Manpower!$C$4:$C$1048576,Manpower!$H$4:$H$1048576,"")</f>
        <v>Manpower</v>
      </c>
      <c r="I3217" s="28" t="str">
        <f>_xlfn.XLOOKUP(Table134526_79101120212223242526[[#This Row],[Name Surname]],Manpower!$C$4:$C$1048576,Manpower!$H$4:$H$1048576,"")</f>
        <v>Manpower</v>
      </c>
      <c r="J3217" s="21" t="s">
        <v>143</v>
      </c>
      <c r="K3217" s="21" t="s">
        <v>26</v>
      </c>
      <c r="L3217" s="21" t="s">
        <v>170</v>
      </c>
      <c r="M3217" s="21" t="s">
        <v>55</v>
      </c>
      <c r="N3217" s="29">
        <v>10</v>
      </c>
      <c r="R3217" s="21" t="s">
        <v>419</v>
      </c>
      <c r="T3217" s="56" t="s">
        <v>396</v>
      </c>
    </row>
    <row r="3218" spans="1:20" ht="14.4" hidden="1">
      <c r="A3218" s="38">
        <f>IF(C3218="","",MAX($A$1:A3217)+1)</f>
        <v>2943</v>
      </c>
      <c r="B3218" s="27" t="s">
        <v>141</v>
      </c>
      <c r="C3218" s="23">
        <v>46107</v>
      </c>
      <c r="D3218" s="28" t="str">
        <f>_xlfn.XLOOKUP(Table134526_79101120212223242526[[#This Row],[Name Surname]],Manpower!$C$4:$C$1048576,Manpower!$B$4:$B$1048576,"")</f>
        <v>Encogroup</v>
      </c>
      <c r="E3218" s="21" t="s">
        <v>187</v>
      </c>
      <c r="F3218" s="12">
        <f>_xlfn.XLOOKUP(Table134526_79101120212223242526[[#This Row],[Name Surname]],Manpower!C:C,Manpower!D:D,)</f>
        <v>140623599</v>
      </c>
      <c r="G3218" s="28" t="str">
        <f>_xlfn.XLOOKUP(Table134526_79101120212223242526[[#This Row],[Name Surname]],Manpower!$C$4:$C$1048576,Manpower!$F$4:$F$1048576,"")</f>
        <v>Mechanical Supervisor</v>
      </c>
      <c r="H3218" s="28" t="str">
        <f>_xlfn.XLOOKUP(Table134526_79101120212223242526[[#This Row],[Name Surname]],Manpower!$C$4:$C$1048576,Manpower!$H$4:$H$1048576,"")</f>
        <v>Manpower</v>
      </c>
      <c r="I3218" s="28" t="str">
        <f>_xlfn.XLOOKUP(Table134526_79101120212223242526[[#This Row],[Name Surname]],Manpower!$C$4:$C$1048576,Manpower!$H$4:$H$1048576,"")</f>
        <v>Manpower</v>
      </c>
      <c r="J3218" s="21" t="s">
        <v>143</v>
      </c>
      <c r="K3218" s="21" t="s">
        <v>26</v>
      </c>
      <c r="L3218" s="21" t="s">
        <v>144</v>
      </c>
      <c r="M3218" s="21" t="s">
        <v>55</v>
      </c>
      <c r="N3218" s="29">
        <v>10</v>
      </c>
      <c r="R3218" s="21" t="s">
        <v>419</v>
      </c>
      <c r="T3218" s="56" t="s">
        <v>396</v>
      </c>
    </row>
    <row r="3219" spans="1:20" ht="14.4" hidden="1">
      <c r="A3219" s="38">
        <f>IF(C3219="","",MAX($A$1:A3218)+1)</f>
        <v>2944</v>
      </c>
      <c r="B3219" s="27" t="s">
        <v>141</v>
      </c>
      <c r="C3219" s="23">
        <v>46107</v>
      </c>
      <c r="D3219" s="28" t="str">
        <f>_xlfn.XLOOKUP(Table134526_79101120212223242526[[#This Row],[Name Surname]],Manpower!$C$4:$C$1048576,Manpower!$B$4:$B$1048576,"")</f>
        <v>Encogroup</v>
      </c>
      <c r="E3219" s="21" t="s">
        <v>189</v>
      </c>
      <c r="F3219" s="12">
        <f>_xlfn.XLOOKUP(Table134526_79101120212223242526[[#This Row],[Name Surname]],Manpower!C:C,Manpower!D:D,)</f>
        <v>121937785</v>
      </c>
      <c r="G3219" s="28" t="str">
        <f>_xlfn.XLOOKUP(Table134526_79101120212223242526[[#This Row],[Name Surname]],Manpower!$C$4:$C$1048576,Manpower!$F$4:$F$1048576,"")</f>
        <v>Scaffolding Inspector</v>
      </c>
      <c r="H3219" s="28" t="str">
        <f>_xlfn.XLOOKUP(Table134526_79101120212223242526[[#This Row],[Name Surname]],Manpower!$C$4:$C$1048576,Manpower!$H$4:$H$1048576,"")</f>
        <v>Manpower</v>
      </c>
      <c r="I3219" s="28" t="str">
        <f>_xlfn.XLOOKUP(Table134526_79101120212223242526[[#This Row],[Name Surname]],Manpower!$C$4:$C$1048576,Manpower!$H$4:$H$1048576,"")</f>
        <v>Manpower</v>
      </c>
      <c r="J3219" s="21" t="s">
        <v>143</v>
      </c>
      <c r="K3219" s="21" t="s">
        <v>26</v>
      </c>
      <c r="L3219" s="21" t="s">
        <v>144</v>
      </c>
      <c r="M3219" s="21" t="s">
        <v>55</v>
      </c>
      <c r="N3219" s="29">
        <v>10</v>
      </c>
      <c r="R3219" s="21" t="s">
        <v>419</v>
      </c>
      <c r="T3219" s="56" t="s">
        <v>396</v>
      </c>
    </row>
    <row r="3220" spans="1:20" ht="14.4" hidden="1">
      <c r="A3220" s="38">
        <f>IF(C3220="","",MAX($A$1:A3219)+1)</f>
        <v>2945</v>
      </c>
      <c r="B3220" s="27" t="s">
        <v>141</v>
      </c>
      <c r="C3220" s="23">
        <v>46107</v>
      </c>
      <c r="D3220" s="28" t="str">
        <f>_xlfn.XLOOKUP(Table134526_79101120212223242526[[#This Row],[Name Surname]],Manpower!$C$4:$C$1048576,Manpower!$B$4:$B$1048576,"")</f>
        <v>AL Omar International TRAD AND CONT</v>
      </c>
      <c r="E3220" s="21" t="s">
        <v>193</v>
      </c>
      <c r="F3220" s="12">
        <f>_xlfn.XLOOKUP(Table134526_79101120212223242526[[#This Row],[Name Surname]],Manpower!C:C,Manpower!D:D,)</f>
        <v>105813698</v>
      </c>
      <c r="G3220" s="28" t="str">
        <f>_xlfn.XLOOKUP(Table134526_79101120212223242526[[#This Row],[Name Surname]],Manpower!$C$4:$C$1048576,Manpower!$F$4:$F$1048576,"")</f>
        <v>Scaffolding Inspector</v>
      </c>
      <c r="H3220" s="28" t="str">
        <f>_xlfn.XLOOKUP(Table134526_79101120212223242526[[#This Row],[Name Surname]],Manpower!$C$4:$C$1048576,Manpower!$H$4:$H$1048576,"")</f>
        <v>Sub Contactor</v>
      </c>
      <c r="I3220" s="28" t="str">
        <f>_xlfn.XLOOKUP(Table134526_79101120212223242526[[#This Row],[Name Surname]],Manpower!$C$4:$C$1048576,Manpower!$H$4:$H$1048576,"")</f>
        <v>Sub Contactor</v>
      </c>
      <c r="J3220" s="21" t="s">
        <v>143</v>
      </c>
      <c r="K3220" s="21" t="s">
        <v>26</v>
      </c>
      <c r="L3220" s="21" t="s">
        <v>170</v>
      </c>
      <c r="M3220" s="21" t="s">
        <v>55</v>
      </c>
      <c r="N3220" s="29">
        <v>10</v>
      </c>
      <c r="R3220" s="21" t="s">
        <v>419</v>
      </c>
      <c r="T3220" s="56" t="s">
        <v>396</v>
      </c>
    </row>
    <row r="3221" spans="1:20" ht="14.4" hidden="1">
      <c r="A3221" s="38">
        <f>IF(C3221="","",MAX($A$1:A3220)+1)</f>
        <v>2946</v>
      </c>
      <c r="B3221" s="27" t="s">
        <v>141</v>
      </c>
      <c r="C3221" s="23">
        <v>46107</v>
      </c>
      <c r="D3221" s="28" t="str">
        <f>_xlfn.XLOOKUP(Table134526_79101120212223242526[[#This Row],[Name Surname]],Manpower!$C$4:$C$1048576,Manpower!$B$4:$B$1048576,"")</f>
        <v>AL Saif &amp; Al QALLM ENT LLC</v>
      </c>
      <c r="E3221" s="21" t="s">
        <v>194</v>
      </c>
      <c r="F3221" s="12">
        <f>_xlfn.XLOOKUP(Table134526_79101120212223242526[[#This Row],[Name Surname]],Manpower!C:C,Manpower!D:D,)</f>
        <v>135340657</v>
      </c>
      <c r="G3221" s="28" t="str">
        <f>_xlfn.XLOOKUP(Table134526_79101120212223242526[[#This Row],[Name Surname]],Manpower!$C$4:$C$1048576,Manpower!$F$4:$F$1048576,"")</f>
        <v>Forklift Operator</v>
      </c>
      <c r="H3221" s="28" t="str">
        <f>_xlfn.XLOOKUP(Table134526_79101120212223242526[[#This Row],[Name Surname]],Manpower!$C$4:$C$1048576,Manpower!$H$4:$H$1048576,"")</f>
        <v>Sub Contactor</v>
      </c>
      <c r="I3221" s="28" t="str">
        <f>_xlfn.XLOOKUP(Table134526_79101120212223242526[[#This Row],[Name Surname]],Manpower!$C$4:$C$1048576,Manpower!$H$4:$H$1048576,"")</f>
        <v>Sub Contactor</v>
      </c>
      <c r="J3221" s="21" t="s">
        <v>143</v>
      </c>
      <c r="K3221" s="21" t="s">
        <v>26</v>
      </c>
      <c r="L3221" s="21" t="s">
        <v>144</v>
      </c>
      <c r="M3221" s="21" t="s">
        <v>55</v>
      </c>
      <c r="N3221" s="29">
        <v>10</v>
      </c>
      <c r="R3221" s="21" t="s">
        <v>419</v>
      </c>
      <c r="T3221" s="56" t="s">
        <v>396</v>
      </c>
    </row>
    <row r="3222" spans="1:20" ht="14.4" hidden="1">
      <c r="A3222" s="38">
        <f>IF(C3222="","",MAX($A$1:A3221)+1)</f>
        <v>2947</v>
      </c>
      <c r="B3222" s="27" t="s">
        <v>141</v>
      </c>
      <c r="C3222" s="23">
        <v>46107</v>
      </c>
      <c r="D3222" s="28" t="str">
        <f>_xlfn.XLOOKUP(Table134526_79101120212223242526[[#This Row],[Name Surname]],Manpower!$C$4:$C$1048576,Manpower!$B$4:$B$1048576,"")</f>
        <v>Encogroup</v>
      </c>
      <c r="E3222" s="21" t="s">
        <v>196</v>
      </c>
      <c r="F3222" s="12">
        <f>_xlfn.XLOOKUP(Table134526_79101120212223242526[[#This Row],[Name Surname]],Manpower!C:C,Manpower!D:D,)</f>
        <v>140844586</v>
      </c>
      <c r="G3222" s="28" t="str">
        <f>_xlfn.XLOOKUP(Table134526_79101120212223242526[[#This Row],[Name Surname]],Manpower!$C$4:$C$1048576,Manpower!$F$4:$F$1048576,"")</f>
        <v>Assistant/Helper</v>
      </c>
      <c r="H3222" s="28" t="str">
        <f>_xlfn.XLOOKUP(Table134526_79101120212223242526[[#This Row],[Name Surname]],Manpower!$C$4:$C$1048576,Manpower!$H$4:$H$1048576,"")</f>
        <v>Manpower</v>
      </c>
      <c r="I3222" s="28" t="str">
        <f>_xlfn.XLOOKUP(Table134526_79101120212223242526[[#This Row],[Name Surname]],Manpower!$C$4:$C$1048576,Manpower!$H$4:$H$1048576,"")</f>
        <v>Manpower</v>
      </c>
      <c r="J3222" s="21" t="s">
        <v>143</v>
      </c>
      <c r="K3222" s="21" t="s">
        <v>26</v>
      </c>
      <c r="L3222" s="21" t="s">
        <v>170</v>
      </c>
      <c r="M3222" s="21" t="s">
        <v>55</v>
      </c>
      <c r="N3222" s="29">
        <v>10</v>
      </c>
      <c r="R3222" s="21" t="s">
        <v>419</v>
      </c>
      <c r="T3222" s="56" t="s">
        <v>396</v>
      </c>
    </row>
    <row r="3223" spans="1:20" ht="14.4" hidden="1">
      <c r="A3223" s="38">
        <f>IF(C3223="","",MAX($A$1:A3222)+1)</f>
        <v>2948</v>
      </c>
      <c r="B3223" s="27" t="s">
        <v>141</v>
      </c>
      <c r="C3223" s="23">
        <v>46107</v>
      </c>
      <c r="D3223" s="28" t="str">
        <f>_xlfn.XLOOKUP(Table134526_79101120212223242526[[#This Row],[Name Surname]],Manpower!$C$4:$C$1048576,Manpower!$B$4:$B$1048576,"")</f>
        <v>AL Omar International Tarde&amp;Contracting SPC</v>
      </c>
      <c r="E3223" s="21" t="s">
        <v>221</v>
      </c>
      <c r="F3223" s="12">
        <f>_xlfn.XLOOKUP(Table134526_79101120212223242526[[#This Row],[Name Surname]],Manpower!C:C,Manpower!D:D,)</f>
        <v>115122635</v>
      </c>
      <c r="G3223" s="28" t="str">
        <f>_xlfn.XLOOKUP(Table134526_79101120212223242526[[#This Row],[Name Surname]],Manpower!$C$4:$C$1048576,Manpower!$F$4:$F$1048576,"")</f>
        <v>Scaffolder</v>
      </c>
      <c r="H3223" s="28" t="str">
        <f>_xlfn.XLOOKUP(Table134526_79101120212223242526[[#This Row],[Name Surname]],Manpower!$C$4:$C$1048576,Manpower!$H$4:$H$1048576,"")</f>
        <v>Sub Contactor</v>
      </c>
      <c r="I3223" s="28" t="str">
        <f>_xlfn.XLOOKUP(Table134526_79101120212223242526[[#This Row],[Name Surname]],Manpower!$C$4:$C$1048576,Manpower!$H$4:$H$1048576,"")</f>
        <v>Sub Contactor</v>
      </c>
      <c r="J3223" s="21" t="s">
        <v>143</v>
      </c>
      <c r="K3223" s="21" t="s">
        <v>26</v>
      </c>
      <c r="L3223" s="21" t="s">
        <v>170</v>
      </c>
      <c r="M3223" s="21" t="s">
        <v>55</v>
      </c>
      <c r="N3223" s="29">
        <v>10</v>
      </c>
      <c r="R3223" s="21" t="s">
        <v>419</v>
      </c>
      <c r="T3223" s="56" t="s">
        <v>396</v>
      </c>
    </row>
    <row r="3224" spans="1:20" ht="14.4" hidden="1">
      <c r="A3224" s="38">
        <f>IF(C3224="","",MAX($A$1:A3223)+1)</f>
        <v>2949</v>
      </c>
      <c r="B3224" s="27" t="s">
        <v>141</v>
      </c>
      <c r="C3224" s="23">
        <v>46107</v>
      </c>
      <c r="D3224" s="28" t="str">
        <f>_xlfn.XLOOKUP(Table134526_79101120212223242526[[#This Row],[Name Surname]],Manpower!$C$4:$C$1048576,Manpower!$B$4:$B$1048576,"")</f>
        <v>Encogroup</v>
      </c>
      <c r="E3224" s="21" t="s">
        <v>183</v>
      </c>
      <c r="F3224" s="12">
        <f>_xlfn.XLOOKUP(Table134526_79101120212223242526[[#This Row],[Name Surname]],Manpower!C:C,Manpower!D:D,)</f>
        <v>141359024</v>
      </c>
      <c r="G3224" s="28" t="str">
        <f>_xlfn.XLOOKUP(Table134526_79101120212223242526[[#This Row],[Name Surname]],Manpower!$C$4:$C$1048576,Manpower!$F$4:$F$1048576,"")</f>
        <v>Hydraulic Mechanic</v>
      </c>
      <c r="H3224" s="28" t="str">
        <f>_xlfn.XLOOKUP(Table134526_79101120212223242526[[#This Row],[Name Surname]],Manpower!$C$4:$C$1048576,Manpower!$H$4:$H$1048576,"")</f>
        <v>Manpower</v>
      </c>
      <c r="I3224" s="28" t="str">
        <f>_xlfn.XLOOKUP(Table134526_79101120212223242526[[#This Row],[Name Surname]],Manpower!$C$4:$C$1048576,Manpower!$H$4:$H$1048576,"")</f>
        <v>Manpower</v>
      </c>
      <c r="J3224" s="21" t="s">
        <v>143</v>
      </c>
      <c r="K3224" s="21" t="s">
        <v>26</v>
      </c>
      <c r="L3224" s="21" t="s">
        <v>170</v>
      </c>
      <c r="M3224" s="21" t="s">
        <v>55</v>
      </c>
      <c r="N3224" s="29">
        <v>10</v>
      </c>
      <c r="R3224" s="21" t="s">
        <v>419</v>
      </c>
      <c r="T3224" s="56" t="s">
        <v>396</v>
      </c>
    </row>
    <row r="3225" spans="1:20" ht="14.4">
      <c r="A3225" s="38">
        <f>IF(C3225="","",MAX($A$1:A3224)+1)</f>
        <v>2950</v>
      </c>
      <c r="B3225" s="27" t="s">
        <v>141</v>
      </c>
      <c r="C3225" s="23">
        <v>46107</v>
      </c>
      <c r="D3225" s="28" t="str">
        <f>_xlfn.XLOOKUP(Table134526_79101120212223242526[[#This Row],[Name Surname]],Manpower!$C$4:$C$1048576,Manpower!$B$4:$B$1048576,"")</f>
        <v>Al Asrah Al Mumayaza Trad</v>
      </c>
      <c r="E3225" s="21" t="s">
        <v>198</v>
      </c>
      <c r="F3225" s="12" t="e">
        <f>_xlfn.XLOOKUP(Table134526_79101120212223242526[[#This Row],[Name Surname]],Manpower!C:C,Manpower!D:D,)</f>
        <v>#N/A</v>
      </c>
      <c r="G3225" s="28" t="str">
        <f>_xlfn.XLOOKUP(Table134526_79101120212223242526[[#This Row],[Name Surname]],Manpower!$C$4:$C$1048576,Manpower!$F$4:$F$1048576,"")</f>
        <v>PICK-UP</v>
      </c>
      <c r="H3225" s="28" t="str">
        <f>_xlfn.XLOOKUP(Table134526_79101120212223242526[[#This Row],[Name Surname]],Manpower!$C$4:$C$1048576,Manpower!$H$4:$H$1048576,"")</f>
        <v>Equipment</v>
      </c>
      <c r="I3225" s="28" t="str">
        <f>_xlfn.XLOOKUP(Table134526_79101120212223242526[[#This Row],[Name Surname]],Manpower!$C$4:$C$1048576,Manpower!$H$4:$H$1048576,"")</f>
        <v>Equipment</v>
      </c>
      <c r="J3225" s="21" t="s">
        <v>143</v>
      </c>
      <c r="K3225" s="21" t="s">
        <v>26</v>
      </c>
      <c r="L3225" s="21" t="s">
        <v>144</v>
      </c>
      <c r="M3225" s="21" t="s">
        <v>55</v>
      </c>
      <c r="N3225" s="29">
        <v>10</v>
      </c>
      <c r="R3225" s="21" t="s">
        <v>419</v>
      </c>
      <c r="T3225" s="56" t="s">
        <v>396</v>
      </c>
    </row>
    <row r="3226" spans="1:20" ht="14.4">
      <c r="A3226" s="38">
        <f>IF(C3226="","",MAX($A$1:A3225)+1)</f>
        <v>2951</v>
      </c>
      <c r="B3226" s="27" t="s">
        <v>141</v>
      </c>
      <c r="C3226" s="23">
        <v>46107</v>
      </c>
      <c r="D3226" s="28" t="str">
        <f>_xlfn.XLOOKUP(Table134526_79101120212223242526[[#This Row],[Name Surname]],Manpower!$C$4:$C$1048576,Manpower!$B$4:$B$1048576,"")</f>
        <v>Al Asrah Al Mumayaza Trad</v>
      </c>
      <c r="E3226" s="21" t="s">
        <v>199</v>
      </c>
      <c r="F3226" s="12" t="e">
        <f>_xlfn.XLOOKUP(Table134526_79101120212223242526[[#This Row],[Name Surname]],Manpower!C:C,Manpower!D:D,)</f>
        <v>#N/A</v>
      </c>
      <c r="G3226" s="28" t="str">
        <f>_xlfn.XLOOKUP(Table134526_79101120212223242526[[#This Row],[Name Surname]],Manpower!$C$4:$C$1048576,Manpower!$F$4:$F$1048576,"")</f>
        <v>PICK-UP</v>
      </c>
      <c r="H3226" s="28" t="str">
        <f>_xlfn.XLOOKUP(Table134526_79101120212223242526[[#This Row],[Name Surname]],Manpower!$C$4:$C$1048576,Manpower!$H$4:$H$1048576,"")</f>
        <v>Equipment</v>
      </c>
      <c r="I3226" s="28" t="str">
        <f>_xlfn.XLOOKUP(Table134526_79101120212223242526[[#This Row],[Name Surname]],Manpower!$C$4:$C$1048576,Manpower!$H$4:$H$1048576,"")</f>
        <v>Equipment</v>
      </c>
      <c r="J3226" s="21" t="s">
        <v>143</v>
      </c>
      <c r="K3226" s="21" t="s">
        <v>26</v>
      </c>
      <c r="L3226" s="21" t="s">
        <v>144</v>
      </c>
      <c r="M3226" s="21" t="s">
        <v>55</v>
      </c>
      <c r="N3226" s="29">
        <v>10</v>
      </c>
      <c r="R3226" s="21" t="s">
        <v>419</v>
      </c>
      <c r="T3226" s="56" t="s">
        <v>396</v>
      </c>
    </row>
    <row r="3227" spans="1:20" ht="14.4">
      <c r="A3227" s="38">
        <f>IF(C3227="","",MAX($A$1:A3226)+1)</f>
        <v>2952</v>
      </c>
      <c r="B3227" s="27" t="s">
        <v>141</v>
      </c>
      <c r="C3227" s="23">
        <v>46107</v>
      </c>
      <c r="D3227" s="28" t="str">
        <f>_xlfn.XLOOKUP(Table134526_79101120212223242526[[#This Row],[Name Surname]],Manpower!$C$4:$C$1048576,Manpower!$B$4:$B$1048576,"")</f>
        <v>Al Asrah Al Mumayaza Trad</v>
      </c>
      <c r="E3227" s="21" t="s">
        <v>200</v>
      </c>
      <c r="F3227" s="12" t="e">
        <f>_xlfn.XLOOKUP(Table134526_79101120212223242526[[#This Row],[Name Surname]],Manpower!C:C,Manpower!D:D,)</f>
        <v>#N/A</v>
      </c>
      <c r="G3227" s="28" t="str">
        <f>_xlfn.XLOOKUP(Table134526_79101120212223242526[[#This Row],[Name Surname]],Manpower!$C$4:$C$1048576,Manpower!$F$4:$F$1048576,"")</f>
        <v>PICK-UP</v>
      </c>
      <c r="H3227" s="28" t="str">
        <f>_xlfn.XLOOKUP(Table134526_79101120212223242526[[#This Row],[Name Surname]],Manpower!$C$4:$C$1048576,Manpower!$H$4:$H$1048576,"")</f>
        <v>Equipment</v>
      </c>
      <c r="I3227" s="28" t="str">
        <f>_xlfn.XLOOKUP(Table134526_79101120212223242526[[#This Row],[Name Surname]],Manpower!$C$4:$C$1048576,Manpower!$H$4:$H$1048576,"")</f>
        <v>Equipment</v>
      </c>
      <c r="J3227" s="21" t="s">
        <v>143</v>
      </c>
      <c r="K3227" s="21" t="s">
        <v>26</v>
      </c>
      <c r="L3227" s="21" t="s">
        <v>144</v>
      </c>
      <c r="M3227" s="21" t="s">
        <v>55</v>
      </c>
      <c r="N3227" s="29">
        <v>10</v>
      </c>
      <c r="R3227" s="21" t="s">
        <v>419</v>
      </c>
      <c r="T3227" s="56" t="s">
        <v>396</v>
      </c>
    </row>
    <row r="3228" spans="1:20" ht="14.4">
      <c r="A3228" s="38">
        <f>IF(C3228="","",MAX($A$1:A3227)+1)</f>
        <v>2953</v>
      </c>
      <c r="B3228" s="27" t="s">
        <v>141</v>
      </c>
      <c r="C3228" s="23">
        <v>46107</v>
      </c>
      <c r="D3228" s="28" t="str">
        <f>_xlfn.XLOOKUP(Table134526_79101120212223242526[[#This Row],[Name Surname]],Manpower!$C$4:$C$1048576,Manpower!$B$4:$B$1048576,"")</f>
        <v>Al Asrah Al Mumayaza Trad</v>
      </c>
      <c r="E3228" s="21" t="s">
        <v>201</v>
      </c>
      <c r="F3228" s="12" t="e">
        <f>_xlfn.XLOOKUP(Table134526_79101120212223242526[[#This Row],[Name Surname]],Manpower!C:C,Manpower!D:D,)</f>
        <v>#N/A</v>
      </c>
      <c r="G3228" s="28" t="str">
        <f>_xlfn.XLOOKUP(Table134526_79101120212223242526[[#This Row],[Name Surname]],Manpower!$C$4:$C$1048576,Manpower!$F$4:$F$1048576,"")</f>
        <v>PICK-UP</v>
      </c>
      <c r="H3228" s="28" t="str">
        <f>_xlfn.XLOOKUP(Table134526_79101120212223242526[[#This Row],[Name Surname]],Manpower!$C$4:$C$1048576,Manpower!$H$4:$H$1048576,"")</f>
        <v>Equipment</v>
      </c>
      <c r="I3228" s="28" t="str">
        <f>_xlfn.XLOOKUP(Table134526_79101120212223242526[[#This Row],[Name Surname]],Manpower!$C$4:$C$1048576,Manpower!$H$4:$H$1048576,"")</f>
        <v>Equipment</v>
      </c>
      <c r="J3228" s="21" t="s">
        <v>143</v>
      </c>
      <c r="K3228" s="21" t="s">
        <v>26</v>
      </c>
      <c r="L3228" s="21" t="s">
        <v>144</v>
      </c>
      <c r="M3228" s="21" t="s">
        <v>55</v>
      </c>
      <c r="N3228" s="29">
        <v>10</v>
      </c>
      <c r="R3228" s="21" t="s">
        <v>419</v>
      </c>
      <c r="T3228" s="56" t="s">
        <v>396</v>
      </c>
    </row>
    <row r="3229" spans="1:20" ht="14.4" hidden="1">
      <c r="A3229" s="38">
        <f>IF(C3229="","",MAX($A$1:A3228)+1)</f>
        <v>2954</v>
      </c>
      <c r="B3229" s="27" t="s">
        <v>141</v>
      </c>
      <c r="C3229" s="23">
        <v>46107</v>
      </c>
      <c r="D3229" s="28" t="str">
        <f>_xlfn.XLOOKUP(Table134526_79101120212223242526[[#This Row],[Name Surname]],Manpower!$C$4:$C$1048576,Manpower!$B$4:$B$1048576,"")</f>
        <v>Encogroup</v>
      </c>
      <c r="E3229" s="21" t="s">
        <v>202</v>
      </c>
      <c r="F3229" s="12">
        <f>_xlfn.XLOOKUP(Table134526_79101120212223242526[[#This Row],[Name Surname]],Manpower!C:C,Manpower!D:D,)</f>
        <v>140805592</v>
      </c>
      <c r="G3229" s="28" t="str">
        <f>_xlfn.XLOOKUP(Table134526_79101120212223242526[[#This Row],[Name Surname]],Manpower!$C$4:$C$1048576,Manpower!$F$4:$F$1048576,"")</f>
        <v>Assistant/Helper</v>
      </c>
      <c r="H3229" s="28" t="str">
        <f>_xlfn.XLOOKUP(Table134526_79101120212223242526[[#This Row],[Name Surname]],Manpower!$C$4:$C$1048576,Manpower!$H$4:$H$1048576,"")</f>
        <v>Manpower</v>
      </c>
      <c r="I3229" s="28" t="str">
        <f>_xlfn.XLOOKUP(Table134526_79101120212223242526[[#This Row],[Name Surname]],Manpower!$C$4:$C$1048576,Manpower!$H$4:$H$1048576,"")</f>
        <v>Manpower</v>
      </c>
      <c r="J3229" s="21" t="s">
        <v>143</v>
      </c>
      <c r="K3229" s="21" t="s">
        <v>26</v>
      </c>
      <c r="L3229" s="21" t="s">
        <v>144</v>
      </c>
      <c r="M3229" s="21" t="s">
        <v>55</v>
      </c>
      <c r="N3229" s="29">
        <v>10</v>
      </c>
      <c r="R3229" s="21" t="s">
        <v>419</v>
      </c>
      <c r="T3229" s="56" t="s">
        <v>396</v>
      </c>
    </row>
    <row r="3230" spans="1:20" ht="14.4" hidden="1">
      <c r="A3230" s="38">
        <f>IF(C3230="","",MAX($A$1:A3229)+1)</f>
        <v>2955</v>
      </c>
      <c r="B3230" s="27" t="s">
        <v>141</v>
      </c>
      <c r="C3230" s="23">
        <v>46107</v>
      </c>
      <c r="D3230" s="28" t="str">
        <f>_xlfn.XLOOKUP(Table134526_79101120212223242526[[#This Row],[Name Surname]],Manpower!$C$4:$C$1048576,Manpower!$B$4:$B$1048576,"")</f>
        <v>Encogroup</v>
      </c>
      <c r="E3230" s="21" t="s">
        <v>203</v>
      </c>
      <c r="F3230" s="12">
        <f>_xlfn.XLOOKUP(Table134526_79101120212223242526[[#This Row],[Name Surname]],Manpower!C:C,Manpower!D:D,)</f>
        <v>140683371</v>
      </c>
      <c r="G3230" s="28" t="str">
        <f>_xlfn.XLOOKUP(Table134526_79101120212223242526[[#This Row],[Name Surname]],Manpower!$C$4:$C$1048576,Manpower!$F$4:$F$1048576,"")</f>
        <v>Rigger</v>
      </c>
      <c r="H3230" s="28" t="str">
        <f>_xlfn.XLOOKUP(Table134526_79101120212223242526[[#This Row],[Name Surname]],Manpower!$C$4:$C$1048576,Manpower!$H$4:$H$1048576,"")</f>
        <v>Manpower</v>
      </c>
      <c r="I3230" s="28" t="str">
        <f>_xlfn.XLOOKUP(Table134526_79101120212223242526[[#This Row],[Name Surname]],Manpower!$C$4:$C$1048576,Manpower!$H$4:$H$1048576,"")</f>
        <v>Manpower</v>
      </c>
      <c r="J3230" s="21" t="s">
        <v>143</v>
      </c>
      <c r="K3230" s="21" t="s">
        <v>26</v>
      </c>
      <c r="L3230" s="21" t="s">
        <v>144</v>
      </c>
      <c r="M3230" s="21" t="s">
        <v>55</v>
      </c>
      <c r="N3230" s="29">
        <v>10</v>
      </c>
      <c r="R3230" s="21" t="s">
        <v>419</v>
      </c>
      <c r="T3230" s="56" t="s">
        <v>396</v>
      </c>
    </row>
    <row r="3231" spans="1:20" ht="14.4" hidden="1">
      <c r="A3231" s="38">
        <f>IF(C3231="","",MAX($A$1:A3230)+1)</f>
        <v>2956</v>
      </c>
      <c r="B3231" s="27" t="s">
        <v>141</v>
      </c>
      <c r="C3231" s="23">
        <v>46107</v>
      </c>
      <c r="D3231" s="28" t="str">
        <f>_xlfn.XLOOKUP(Table134526_79101120212223242526[[#This Row],[Name Surname]],Manpower!$C$4:$C$1048576,Manpower!$B$4:$B$1048576,"")</f>
        <v>Encogroup</v>
      </c>
      <c r="E3231" s="21" t="s">
        <v>206</v>
      </c>
      <c r="F3231" s="12">
        <f>_xlfn.XLOOKUP(Table134526_79101120212223242526[[#This Row],[Name Surname]],Manpower!C:C,Manpower!D:D,)</f>
        <v>140844848</v>
      </c>
      <c r="G3231" s="28" t="str">
        <f>_xlfn.XLOOKUP(Table134526_79101120212223242526[[#This Row],[Name Surname]],Manpower!$C$4:$C$1048576,Manpower!$F$4:$F$1048576,"")</f>
        <v>Assistant/Helper</v>
      </c>
      <c r="H3231" s="28" t="str">
        <f>_xlfn.XLOOKUP(Table134526_79101120212223242526[[#This Row],[Name Surname]],Manpower!$C$4:$C$1048576,Manpower!$H$4:$H$1048576,"")</f>
        <v>Manpower</v>
      </c>
      <c r="I3231" s="28" t="str">
        <f>_xlfn.XLOOKUP(Table134526_79101120212223242526[[#This Row],[Name Surname]],Manpower!$C$4:$C$1048576,Manpower!$H$4:$H$1048576,"")</f>
        <v>Manpower</v>
      </c>
      <c r="J3231" s="21" t="s">
        <v>143</v>
      </c>
      <c r="K3231" s="21" t="s">
        <v>26</v>
      </c>
      <c r="L3231" s="21" t="s">
        <v>144</v>
      </c>
      <c r="M3231" s="21" t="s">
        <v>55</v>
      </c>
      <c r="N3231" s="29">
        <v>10</v>
      </c>
      <c r="R3231" s="21" t="s">
        <v>419</v>
      </c>
      <c r="T3231" s="56" t="s">
        <v>396</v>
      </c>
    </row>
    <row r="3232" spans="1:20" ht="14.4" hidden="1">
      <c r="A3232" s="38">
        <f>IF(C3232="","",MAX($A$1:A3231)+1)</f>
        <v>2957</v>
      </c>
      <c r="B3232" s="27" t="s">
        <v>141</v>
      </c>
      <c r="C3232" s="23">
        <v>46107</v>
      </c>
      <c r="D3232" s="28" t="str">
        <f>_xlfn.XLOOKUP(Table134526_79101120212223242526[[#This Row],[Name Surname]],Manpower!$C$4:$C$1048576,Manpower!$B$4:$B$1048576,"")</f>
        <v>Encogroup</v>
      </c>
      <c r="E3232" s="21" t="s">
        <v>208</v>
      </c>
      <c r="F3232" s="12">
        <f>_xlfn.XLOOKUP(Table134526_79101120212223242526[[#This Row],[Name Surname]],Manpower!C:C,Manpower!D:D,)</f>
        <v>140683399</v>
      </c>
      <c r="G3232" s="28" t="str">
        <f>_xlfn.XLOOKUP(Table134526_79101120212223242526[[#This Row],[Name Surname]],Manpower!$C$4:$C$1048576,Manpower!$F$4:$F$1048576,"")</f>
        <v>Rigger</v>
      </c>
      <c r="H3232" s="28" t="str">
        <f>_xlfn.XLOOKUP(Table134526_79101120212223242526[[#This Row],[Name Surname]],Manpower!$C$4:$C$1048576,Manpower!$H$4:$H$1048576,"")</f>
        <v>Manpower</v>
      </c>
      <c r="I3232" s="28" t="str">
        <f>_xlfn.XLOOKUP(Table134526_79101120212223242526[[#This Row],[Name Surname]],Manpower!$C$4:$C$1048576,Manpower!$H$4:$H$1048576,"")</f>
        <v>Manpower</v>
      </c>
      <c r="J3232" s="21" t="s">
        <v>143</v>
      </c>
      <c r="K3232" s="21" t="s">
        <v>26</v>
      </c>
      <c r="L3232" s="21" t="s">
        <v>144</v>
      </c>
      <c r="M3232" s="21" t="s">
        <v>55</v>
      </c>
      <c r="N3232" s="29">
        <v>10</v>
      </c>
      <c r="R3232" s="21" t="s">
        <v>419</v>
      </c>
      <c r="T3232" s="56" t="s">
        <v>396</v>
      </c>
    </row>
    <row r="3233" spans="1:20" ht="14.4">
      <c r="A3233" s="38">
        <f>IF(C3233="","",MAX($A$1:A3232)+1)</f>
        <v>2958</v>
      </c>
      <c r="B3233" s="27" t="s">
        <v>141</v>
      </c>
      <c r="C3233" s="23">
        <v>46107</v>
      </c>
      <c r="D3233" s="28" t="str">
        <f>_xlfn.XLOOKUP(Table134526_79101120212223242526[[#This Row],[Name Surname]],Manpower!$C$4:$C$1048576,Manpower!$B$4:$B$1048576,"")</f>
        <v>Encogroup</v>
      </c>
      <c r="E3233" s="21" t="s">
        <v>341</v>
      </c>
      <c r="F3233" s="12" t="e">
        <f>_xlfn.XLOOKUP(Table134526_79101120212223242526[[#This Row],[Name Surname]],Manpower!C:C,Manpower!D:D,)</f>
        <v>#N/A</v>
      </c>
      <c r="G3233" s="28" t="str">
        <f>_xlfn.XLOOKUP(Table134526_79101120212223242526[[#This Row],[Name Surname]],Manpower!$C$4:$C$1048576,Manpower!$F$4:$F$1048576,"")</f>
        <v>SCISSOR LIFT</v>
      </c>
      <c r="H3233" s="28" t="str">
        <f>_xlfn.XLOOKUP(Table134526_79101120212223242526[[#This Row],[Name Surname]],Manpower!$C$4:$C$1048576,Manpower!$H$4:$H$1048576,"")</f>
        <v>Equipment</v>
      </c>
      <c r="I3233" s="28" t="str">
        <f>_xlfn.XLOOKUP(Table134526_79101120212223242526[[#This Row],[Name Surname]],Manpower!$C$4:$C$1048576,Manpower!$H$4:$H$1048576,"")</f>
        <v>Equipment</v>
      </c>
      <c r="J3233" s="21" t="s">
        <v>143</v>
      </c>
      <c r="K3233" s="21" t="s">
        <v>26</v>
      </c>
      <c r="L3233" s="21" t="s">
        <v>144</v>
      </c>
      <c r="M3233" s="21" t="s">
        <v>55</v>
      </c>
      <c r="N3233" s="29">
        <v>10</v>
      </c>
      <c r="R3233" s="21" t="s">
        <v>56</v>
      </c>
      <c r="T3233" s="56"/>
    </row>
    <row r="3234" spans="1:20" ht="14.4">
      <c r="A3234" s="38">
        <f>IF(C3234="","",MAX($A$1:A3232)+1)</f>
        <v>2958</v>
      </c>
      <c r="B3234" s="27" t="s">
        <v>141</v>
      </c>
      <c r="C3234" s="23">
        <v>46107</v>
      </c>
      <c r="D3234" s="28" t="str">
        <f>_xlfn.XLOOKUP(Table134526_79101120212223242526[[#This Row],[Name Surname]],Manpower!$C$4:$C$1048576,Manpower!$B$4:$B$1048576,"")</f>
        <v>Encogroup</v>
      </c>
      <c r="E3234" s="21" t="s">
        <v>342</v>
      </c>
      <c r="F3234" s="12" t="e">
        <f>_xlfn.XLOOKUP(Table134526_79101120212223242526[[#This Row],[Name Surname]],Manpower!C:C,Manpower!D:D,)</f>
        <v>#N/A</v>
      </c>
      <c r="G3234" s="28" t="str">
        <f>_xlfn.XLOOKUP(Table134526_79101120212223242526[[#This Row],[Name Surname]],Manpower!$C$4:$C$1048576,Manpower!$F$4:$F$1048576,"")</f>
        <v>SCISSOR LIFT</v>
      </c>
      <c r="H3234" s="28" t="str">
        <f>_xlfn.XLOOKUP(Table134526_79101120212223242526[[#This Row],[Name Surname]],Manpower!$C$4:$C$1048576,Manpower!$H$4:$H$1048576,"")</f>
        <v>Equipment</v>
      </c>
      <c r="I3234" s="28" t="str">
        <f>_xlfn.XLOOKUP(Table134526_79101120212223242526[[#This Row],[Name Surname]],Manpower!$C$4:$C$1048576,Manpower!$H$4:$H$1048576,"")</f>
        <v>Equipment</v>
      </c>
      <c r="J3234" s="21" t="s">
        <v>143</v>
      </c>
      <c r="K3234" s="21" t="s">
        <v>26</v>
      </c>
      <c r="L3234" s="21" t="s">
        <v>144</v>
      </c>
      <c r="M3234" s="21" t="s">
        <v>55</v>
      </c>
      <c r="N3234" s="29">
        <v>10</v>
      </c>
      <c r="R3234" s="21" t="s">
        <v>56</v>
      </c>
      <c r="T3234" s="56"/>
    </row>
    <row r="3235" spans="1:20" ht="14.4">
      <c r="A3235" s="38">
        <f>IF(C3235="","",MAX($A$1:A3232)+1)</f>
        <v>2958</v>
      </c>
      <c r="B3235" s="27" t="s">
        <v>141</v>
      </c>
      <c r="C3235" s="23">
        <v>46107</v>
      </c>
      <c r="D3235" s="28" t="str">
        <f>_xlfn.XLOOKUP(Table134526_79101120212223242526[[#This Row],[Name Surname]],Manpower!$C$4:$C$1048576,Manpower!$B$4:$B$1048576,"")</f>
        <v>Encogroup</v>
      </c>
      <c r="E3235" s="21" t="s">
        <v>362</v>
      </c>
      <c r="F3235" s="12" t="e">
        <f>_xlfn.XLOOKUP(Table134526_79101120212223242526[[#This Row],[Name Surname]],Manpower!C:C,Manpower!D:D,)</f>
        <v>#N/A</v>
      </c>
      <c r="G3235" s="28" t="str">
        <f>_xlfn.XLOOKUP(Table134526_79101120212223242526[[#This Row],[Name Surname]],Manpower!$C$4:$C$1048576,Manpower!$F$4:$F$1048576,"")</f>
        <v>Trailer</v>
      </c>
      <c r="H3235" s="28" t="str">
        <f>_xlfn.XLOOKUP(Table134526_79101120212223242526[[#This Row],[Name Surname]],Manpower!$C$4:$C$1048576,Manpower!$H$4:$H$1048576,"")</f>
        <v>Equipment</v>
      </c>
      <c r="I3235" s="28" t="str">
        <f>_xlfn.XLOOKUP(Table134526_79101120212223242526[[#This Row],[Name Surname]],Manpower!$C$4:$C$1048576,Manpower!$H$4:$H$1048576,"")</f>
        <v>Equipment</v>
      </c>
      <c r="J3235" s="21" t="s">
        <v>143</v>
      </c>
      <c r="K3235" s="21" t="s">
        <v>26</v>
      </c>
      <c r="L3235" s="21" t="s">
        <v>144</v>
      </c>
      <c r="M3235" s="21" t="s">
        <v>55</v>
      </c>
      <c r="N3235" s="29">
        <v>5</v>
      </c>
      <c r="R3235" s="21" t="s">
        <v>419</v>
      </c>
      <c r="T3235" s="56" t="s">
        <v>396</v>
      </c>
    </row>
    <row r="3236" spans="1:20" ht="14.4" hidden="1">
      <c r="A3236" s="38">
        <f>IF(C3236="","",MAX($A$1:A3235)+1)</f>
        <v>2959</v>
      </c>
      <c r="B3236" s="27" t="s">
        <v>141</v>
      </c>
      <c r="C3236" s="23">
        <v>46107</v>
      </c>
      <c r="D3236" s="28" t="str">
        <f>_xlfn.XLOOKUP(Table134526_79101120212223242526[[#This Row],[Name Surname]],Manpower!$C$4:$C$1048576,Manpower!$B$4:$B$1048576,"")</f>
        <v>Encogroup</v>
      </c>
      <c r="E3236" s="21" t="s">
        <v>363</v>
      </c>
      <c r="F3236" s="12">
        <f>_xlfn.XLOOKUP(Table134526_79101120212223242526[[#This Row],[Name Surname]],Manpower!C:C,Manpower!D:D,)</f>
        <v>7065269</v>
      </c>
      <c r="G3236" s="28" t="str">
        <f>_xlfn.XLOOKUP(Table134526_79101120212223242526[[#This Row],[Name Surname]],Manpower!$C$4:$C$1048576,Manpower!$F$4:$F$1048576,"")</f>
        <v>Lowbed Trailer Driver</v>
      </c>
      <c r="H3236" s="28" t="str">
        <f>_xlfn.XLOOKUP(Table134526_79101120212223242526[[#This Row],[Name Surname]],Manpower!$C$4:$C$1048576,Manpower!$H$4:$H$1048576,"")</f>
        <v>Manpower</v>
      </c>
      <c r="I3236" s="28" t="str">
        <f>_xlfn.XLOOKUP(Table134526_79101120212223242526[[#This Row],[Name Surname]],Manpower!$C$4:$C$1048576,Manpower!$H$4:$H$1048576,"")</f>
        <v>Manpower</v>
      </c>
      <c r="J3236" s="21" t="s">
        <v>143</v>
      </c>
      <c r="K3236" s="21" t="s">
        <v>26</v>
      </c>
      <c r="L3236" s="21" t="s">
        <v>144</v>
      </c>
      <c r="M3236" s="21" t="s">
        <v>55</v>
      </c>
      <c r="N3236" s="29">
        <v>5</v>
      </c>
      <c r="R3236" s="21" t="s">
        <v>419</v>
      </c>
      <c r="T3236" s="56"/>
    </row>
    <row r="3237" spans="1:20" ht="14.4">
      <c r="A3237" s="38">
        <f>IF(C3237="","",MAX($A$1:A3232)+1)</f>
        <v>2958</v>
      </c>
      <c r="B3237" s="27" t="s">
        <v>141</v>
      </c>
      <c r="C3237" s="23">
        <v>46107</v>
      </c>
      <c r="D3237" s="28" t="str">
        <f>_xlfn.XLOOKUP(Table134526_79101120212223242526[[#This Row],[Name Surname]],Manpower!$C$4:$C$1048576,Manpower!$B$4:$B$1048576,"")</f>
        <v>Bright Light</v>
      </c>
      <c r="E3237" s="21" t="s">
        <v>210</v>
      </c>
      <c r="F3237" s="12" t="e">
        <f>_xlfn.XLOOKUP(Table134526_79101120212223242526[[#This Row],[Name Surname]],Manpower!C:C,Manpower!D:D,)</f>
        <v>#N/A</v>
      </c>
      <c r="G3237" s="28" t="str">
        <f>_xlfn.XLOOKUP(Table134526_79101120212223242526[[#This Row],[Name Surname]],Manpower!$C$4:$C$1048576,Manpower!$F$4:$F$1048576,"")</f>
        <v>Trailer</v>
      </c>
      <c r="H3237" s="28" t="str">
        <f>_xlfn.XLOOKUP(Table134526_79101120212223242526[[#This Row],[Name Surname]],Manpower!$C$4:$C$1048576,Manpower!$H$4:$H$1048576,"")</f>
        <v>Equipment</v>
      </c>
      <c r="I3237" s="28" t="str">
        <f>_xlfn.XLOOKUP(Table134526_79101120212223242526[[#This Row],[Name Surname]],Manpower!$C$4:$C$1048576,Manpower!$H$4:$H$1048576,"")</f>
        <v>Equipment</v>
      </c>
      <c r="J3237" s="21" t="s">
        <v>143</v>
      </c>
      <c r="K3237" s="21" t="s">
        <v>26</v>
      </c>
      <c r="L3237" s="21" t="s">
        <v>144</v>
      </c>
      <c r="M3237" s="21" t="s">
        <v>55</v>
      </c>
      <c r="N3237" s="29">
        <v>10</v>
      </c>
      <c r="R3237" s="21" t="s">
        <v>419</v>
      </c>
    </row>
    <row r="3238" spans="1:20" ht="14.4" hidden="1">
      <c r="A3238" s="38">
        <f>IF(C3238="","",MAX($A$1:A3237)+1)</f>
        <v>2960</v>
      </c>
      <c r="B3238" s="27" t="s">
        <v>141</v>
      </c>
      <c r="C3238" s="23">
        <v>46107</v>
      </c>
      <c r="D3238" s="28" t="str">
        <f>_xlfn.XLOOKUP(Table134526_79101120212223242526[[#This Row],[Name Surname]],Manpower!$C$4:$C$1048576,Manpower!$B$4:$B$1048576,"")</f>
        <v xml:space="preserve">FAL Transport </v>
      </c>
      <c r="E3238" s="21" t="s">
        <v>225</v>
      </c>
      <c r="F3238" s="12">
        <f>_xlfn.XLOOKUP(Table134526_79101120212223242526[[#This Row],[Name Surname]],Manpower!C:C,Manpower!D:D,)</f>
        <v>124233837</v>
      </c>
      <c r="G3238" s="28" t="str">
        <f>_xlfn.XLOOKUP(Table134526_79101120212223242526[[#This Row],[Name Surname]],Manpower!$C$4:$C$1048576,Manpower!$F$4:$F$1048576,"")</f>
        <v>Trailer Driver</v>
      </c>
      <c r="H3238" s="28" t="str">
        <f>_xlfn.XLOOKUP(Table134526_79101120212223242526[[#This Row],[Name Surname]],Manpower!$C$4:$C$1048576,Manpower!$H$4:$H$1048576,"")</f>
        <v>Sub Contactor</v>
      </c>
      <c r="I3238" s="28" t="str">
        <f>_xlfn.XLOOKUP(Table134526_79101120212223242526[[#This Row],[Name Surname]],Manpower!$C$4:$C$1048576,Manpower!$H$4:$H$1048576,"")</f>
        <v>Sub Contactor</v>
      </c>
      <c r="J3238" s="21" t="s">
        <v>143</v>
      </c>
      <c r="K3238" s="21" t="s">
        <v>26</v>
      </c>
      <c r="L3238" s="21" t="s">
        <v>144</v>
      </c>
      <c r="M3238" s="21" t="s">
        <v>55</v>
      </c>
      <c r="N3238" s="29">
        <v>10</v>
      </c>
      <c r="R3238" s="21" t="s">
        <v>419</v>
      </c>
    </row>
    <row r="3239" spans="1:20" ht="14.4" hidden="1">
      <c r="A3239" s="38">
        <f>IF(C3239="","",MAX($A$1:A3238)+1)</f>
        <v>2961</v>
      </c>
      <c r="B3239" s="27" t="s">
        <v>141</v>
      </c>
      <c r="C3239" s="23">
        <v>46107</v>
      </c>
      <c r="D3239" s="28" t="str">
        <f>_xlfn.XLOOKUP(Table134526_79101120212223242526[[#This Row],[Name Surname]],Manpower!$C$4:$C$1048576,Manpower!$B$4:$B$1048576,"")</f>
        <v>Encogroup</v>
      </c>
      <c r="E3239" s="21" t="s">
        <v>211</v>
      </c>
      <c r="F3239" s="12">
        <f>_xlfn.XLOOKUP(Table134526_79101120212223242526[[#This Row],[Name Surname]],Manpower!C:C,Manpower!D:D,)</f>
        <v>140477664</v>
      </c>
      <c r="G3239" s="28" t="str">
        <f>_xlfn.XLOOKUP(Table134526_79101120212223242526[[#This Row],[Name Surname]],Manpower!$C$4:$C$1048576,Manpower!$F$4:$F$1048576,"")</f>
        <v>Junior HSE Officer</v>
      </c>
      <c r="H3239" s="28" t="str">
        <f>_xlfn.XLOOKUP(Table134526_79101120212223242526[[#This Row],[Name Surname]],Manpower!$C$4:$C$1048576,Manpower!$H$4:$H$1048576,"")</f>
        <v>Manpower</v>
      </c>
      <c r="I3239" s="28" t="str">
        <f>_xlfn.XLOOKUP(Table134526_79101120212223242526[[#This Row],[Name Surname]],Manpower!$C$4:$C$1048576,Manpower!$H$4:$H$1048576,"")</f>
        <v>Manpower</v>
      </c>
      <c r="J3239" s="21" t="s">
        <v>143</v>
      </c>
      <c r="K3239" s="21" t="s">
        <v>26</v>
      </c>
      <c r="L3239" s="21" t="s">
        <v>144</v>
      </c>
      <c r="M3239" s="21" t="s">
        <v>55</v>
      </c>
      <c r="N3239" s="29">
        <v>10</v>
      </c>
      <c r="R3239" s="21" t="s">
        <v>419</v>
      </c>
    </row>
    <row r="3240" spans="1:20" ht="14.4" hidden="1">
      <c r="A3240" s="38">
        <f>IF(C3240="","",MAX($A$1:A3239)+1)</f>
        <v>2962</v>
      </c>
      <c r="B3240" s="27" t="s">
        <v>141</v>
      </c>
      <c r="C3240" s="23">
        <v>46107</v>
      </c>
      <c r="D3240" s="28" t="str">
        <f>_xlfn.XLOOKUP(Table134526_79101120212223242526[[#This Row],[Name Surname]],Manpower!$C$4:$C$1048576,Manpower!$B$4:$B$1048576,"")</f>
        <v>Encogroup</v>
      </c>
      <c r="E3240" s="21" t="s">
        <v>213</v>
      </c>
      <c r="F3240" s="12">
        <f>_xlfn.XLOOKUP(Table134526_79101120212223242526[[#This Row],[Name Surname]],Manpower!C:C,Manpower!D:D,)</f>
        <v>140846698</v>
      </c>
      <c r="G3240" s="28" t="str">
        <f>_xlfn.XLOOKUP(Table134526_79101120212223242526[[#This Row],[Name Surname]],Manpower!$C$4:$C$1048576,Manpower!$F$4:$F$1048576,"")</f>
        <v>Assistant/Helper</v>
      </c>
      <c r="H3240" s="28" t="str">
        <f>_xlfn.XLOOKUP(Table134526_79101120212223242526[[#This Row],[Name Surname]],Manpower!$C$4:$C$1048576,Manpower!$H$4:$H$1048576,"")</f>
        <v>Manpower</v>
      </c>
      <c r="I3240" s="28" t="str">
        <f>_xlfn.XLOOKUP(Table134526_79101120212223242526[[#This Row],[Name Surname]],Manpower!$C$4:$C$1048576,Manpower!$H$4:$H$1048576,"")</f>
        <v>Manpower</v>
      </c>
      <c r="J3240" s="21" t="s">
        <v>143</v>
      </c>
      <c r="K3240" s="21" t="s">
        <v>26</v>
      </c>
      <c r="L3240" s="21" t="s">
        <v>144</v>
      </c>
      <c r="M3240" s="21" t="s">
        <v>55</v>
      </c>
      <c r="N3240" s="29">
        <v>10</v>
      </c>
      <c r="R3240" s="21" t="s">
        <v>419</v>
      </c>
    </row>
    <row r="3241" spans="1:20" ht="14.4" hidden="1">
      <c r="A3241" s="38">
        <f>IF(C3241="","",MAX($A$1:A3240)+1)</f>
        <v>2963</v>
      </c>
      <c r="B3241" s="27" t="s">
        <v>141</v>
      </c>
      <c r="C3241" s="23">
        <v>46107</v>
      </c>
      <c r="D3241" s="28" t="str">
        <f>_xlfn.XLOOKUP(Table134526_79101120212223242526[[#This Row],[Name Surname]],Manpower!$C$4:$C$1048576,Manpower!$B$4:$B$1048576,"")</f>
        <v>Encogroup</v>
      </c>
      <c r="E3241" s="21" t="s">
        <v>217</v>
      </c>
      <c r="F3241" s="12">
        <f>_xlfn.XLOOKUP(Table134526_79101120212223242526[[#This Row],[Name Surname]],Manpower!C:C,Manpower!D:D,)</f>
        <v>140742177</v>
      </c>
      <c r="G3241" s="28" t="str">
        <f>_xlfn.XLOOKUP(Table134526_79101120212223242526[[#This Row],[Name Surname]],Manpower!$C$4:$C$1048576,Manpower!$F$4:$F$1048576,"")</f>
        <v>Grinder</v>
      </c>
      <c r="H3241" s="28" t="str">
        <f>_xlfn.XLOOKUP(Table134526_79101120212223242526[[#This Row],[Name Surname]],Manpower!$C$4:$C$1048576,Manpower!$H$4:$H$1048576,"")</f>
        <v>Manpower</v>
      </c>
      <c r="I3241" s="28" t="str">
        <f>_xlfn.XLOOKUP(Table134526_79101120212223242526[[#This Row],[Name Surname]],Manpower!$C$4:$C$1048576,Manpower!$H$4:$H$1048576,"")</f>
        <v>Manpower</v>
      </c>
      <c r="J3241" s="21" t="s">
        <v>143</v>
      </c>
      <c r="K3241" s="21" t="s">
        <v>26</v>
      </c>
      <c r="L3241" s="21" t="s">
        <v>144</v>
      </c>
      <c r="M3241" s="21" t="s">
        <v>55</v>
      </c>
      <c r="N3241" s="29">
        <v>10</v>
      </c>
      <c r="R3241" s="21" t="s">
        <v>419</v>
      </c>
    </row>
    <row r="3242" spans="1:20" ht="14.4" hidden="1">
      <c r="A3242" s="38">
        <f>IF(C3242="","",MAX($A$1:A3241)+1)</f>
        <v>2964</v>
      </c>
      <c r="B3242" s="27" t="s">
        <v>141</v>
      </c>
      <c r="C3242" s="23">
        <v>46107</v>
      </c>
      <c r="D3242" s="28" t="str">
        <f>_xlfn.XLOOKUP(Table134526_79101120212223242526[[#This Row],[Name Surname]],Manpower!$C$4:$C$1048576,Manpower!$B$4:$B$1048576,"")</f>
        <v>Encogroup</v>
      </c>
      <c r="E3242" s="21" t="s">
        <v>188</v>
      </c>
      <c r="F3242" s="12">
        <f>_xlfn.XLOOKUP(Table134526_79101120212223242526[[#This Row],[Name Surname]],Manpower!C:C,Manpower!D:D,)</f>
        <v>140696975</v>
      </c>
      <c r="G3242" s="28" t="str">
        <f>_xlfn.XLOOKUP(Table134526_79101120212223242526[[#This Row],[Name Surname]],Manpower!$C$4:$C$1048576,Manpower!$F$4:$F$1048576,"")</f>
        <v>Assistant/Helper</v>
      </c>
      <c r="H3242" s="28" t="str">
        <f>_xlfn.XLOOKUP(Table134526_79101120212223242526[[#This Row],[Name Surname]],Manpower!$C$4:$C$1048576,Manpower!$H$4:$H$1048576,"")</f>
        <v>Manpower</v>
      </c>
      <c r="I3242" s="28" t="str">
        <f>_xlfn.XLOOKUP(Table134526_79101120212223242526[[#This Row],[Name Surname]],Manpower!$C$4:$C$1048576,Manpower!$H$4:$H$1048576,"")</f>
        <v>Manpower</v>
      </c>
      <c r="J3242" s="21" t="s">
        <v>143</v>
      </c>
      <c r="K3242" s="21" t="s">
        <v>26</v>
      </c>
      <c r="L3242" s="21" t="s">
        <v>26</v>
      </c>
      <c r="M3242" s="21" t="s">
        <v>24</v>
      </c>
      <c r="N3242" s="29">
        <v>5</v>
      </c>
      <c r="O3242" s="21" t="s">
        <v>40</v>
      </c>
      <c r="P3242" s="21" t="s">
        <v>42</v>
      </c>
      <c r="Q3242" s="21" t="s">
        <v>42</v>
      </c>
      <c r="R3242" s="21" t="s">
        <v>419</v>
      </c>
    </row>
    <row r="3243" spans="1:20" ht="14.4" hidden="1">
      <c r="A3243" s="38">
        <f>IF(C3243="","",MAX($A$1:A3242)+1)</f>
        <v>2965</v>
      </c>
      <c r="B3243" s="27" t="s">
        <v>141</v>
      </c>
      <c r="C3243" s="23">
        <v>46107</v>
      </c>
      <c r="D3243" s="28" t="str">
        <f>_xlfn.XLOOKUP(Table134526_79101120212223242526[[#This Row],[Name Surname]],Manpower!$C$4:$C$1048576,Manpower!$B$4:$B$1048576,"")</f>
        <v>Encogroup</v>
      </c>
      <c r="E3243" s="21" t="s">
        <v>204</v>
      </c>
      <c r="F3243" s="12">
        <f>_xlfn.XLOOKUP(Table134526_79101120212223242526[[#This Row],[Name Surname]],Manpower!C:C,Manpower!D:D,)</f>
        <v>140844572</v>
      </c>
      <c r="G3243" s="28" t="str">
        <f>_xlfn.XLOOKUP(Table134526_79101120212223242526[[#This Row],[Name Surname]],Manpower!$C$4:$C$1048576,Manpower!$F$4:$F$1048576,"")</f>
        <v>Assistant/Helper</v>
      </c>
      <c r="H3243" s="28" t="str">
        <f>_xlfn.XLOOKUP(Table134526_79101120212223242526[[#This Row],[Name Surname]],Manpower!$C$4:$C$1048576,Manpower!$H$4:$H$1048576,"")</f>
        <v>Manpower</v>
      </c>
      <c r="I3243" s="28" t="str">
        <f>_xlfn.XLOOKUP(Table134526_79101120212223242526[[#This Row],[Name Surname]],Manpower!$C$4:$C$1048576,Manpower!$H$4:$H$1048576,"")</f>
        <v>Manpower</v>
      </c>
      <c r="J3243" s="21" t="s">
        <v>143</v>
      </c>
      <c r="K3243" s="21" t="s">
        <v>26</v>
      </c>
      <c r="L3243" s="21" t="s">
        <v>26</v>
      </c>
      <c r="M3243" s="21" t="s">
        <v>24</v>
      </c>
      <c r="N3243" s="29">
        <v>5</v>
      </c>
      <c r="O3243" s="21" t="s">
        <v>40</v>
      </c>
      <c r="P3243" s="21" t="s">
        <v>42</v>
      </c>
      <c r="Q3243" s="21" t="s">
        <v>42</v>
      </c>
      <c r="R3243" s="21" t="s">
        <v>419</v>
      </c>
    </row>
    <row r="3244" spans="1:20" ht="14.4">
      <c r="A3244" s="38">
        <f>IF(C3244="","",MAX($A$1:A3243)+1)</f>
        <v>2966</v>
      </c>
      <c r="B3244" s="27" t="s">
        <v>141</v>
      </c>
      <c r="C3244" s="23">
        <v>46107</v>
      </c>
      <c r="D3244" s="28" t="str">
        <f>_xlfn.XLOOKUP(Table134526_79101120212223242526[[#This Row],[Name Surname]],Manpower!$C$4:$C$1048576,Manpower!$B$4:$B$1048576,"")</f>
        <v>Encogroup</v>
      </c>
      <c r="E3244" s="23" t="s">
        <v>219</v>
      </c>
      <c r="F3244" s="12" t="e">
        <f>_xlfn.XLOOKUP(Table134526_79101120212223242526[[#This Row],[Name Surname]],Manpower!C:C,Manpower!D:D,)</f>
        <v>#N/A</v>
      </c>
      <c r="G3244" s="28" t="str">
        <f>_xlfn.XLOOKUP(Table134526_79101120212223242526[[#This Row],[Name Surname]],Manpower!$C$4:$C$1048576,Manpower!$F$4:$F$1048576,"")</f>
        <v>TOWER LIGHT</v>
      </c>
      <c r="H3244" s="28" t="str">
        <f>_xlfn.XLOOKUP(Table134526_79101120212223242526[[#This Row],[Name Surname]],Manpower!$C$4:$C$1048576,Manpower!$H$4:$H$1048576,"")</f>
        <v>Equipment</v>
      </c>
      <c r="I3244" s="28" t="str">
        <f>_xlfn.XLOOKUP(Table134526_79101120212223242526[[#This Row],[Name Surname]],Manpower!$C$4:$C$1048576,Manpower!$H$4:$H$1048576,"")</f>
        <v>Equipment</v>
      </c>
      <c r="J3244" s="21" t="s">
        <v>143</v>
      </c>
      <c r="K3244" s="21" t="s">
        <v>26</v>
      </c>
      <c r="L3244" s="21" t="s">
        <v>144</v>
      </c>
      <c r="M3244" s="21" t="s">
        <v>55</v>
      </c>
      <c r="N3244" s="29">
        <v>10</v>
      </c>
      <c r="R3244" s="21" t="s">
        <v>419</v>
      </c>
    </row>
    <row r="3245" spans="1:20" ht="14.4">
      <c r="A3245" s="38">
        <f>IF(C3245="","",MAX($A$1:A3244)+1)</f>
        <v>2967</v>
      </c>
      <c r="B3245" s="27" t="s">
        <v>141</v>
      </c>
      <c r="C3245" s="23">
        <v>46107</v>
      </c>
      <c r="D3245" s="28" t="str">
        <f>_xlfn.XLOOKUP(Table134526_79101120212223242526[[#This Row],[Name Surname]],Manpower!$C$4:$C$1048576,Manpower!$B$4:$B$1048576,"")</f>
        <v>Encogroup</v>
      </c>
      <c r="E3245" s="23" t="s">
        <v>220</v>
      </c>
      <c r="F3245" s="12" t="e">
        <f>_xlfn.XLOOKUP(Table134526_79101120212223242526[[#This Row],[Name Surname]],Manpower!C:C,Manpower!D:D,)</f>
        <v>#N/A</v>
      </c>
      <c r="G3245" s="28" t="str">
        <f>_xlfn.XLOOKUP(Table134526_79101120212223242526[[#This Row],[Name Surname]],Manpower!$C$4:$C$1048576,Manpower!$F$4:$F$1048576,"")</f>
        <v>TOWER LIGHT</v>
      </c>
      <c r="H3245" s="28" t="str">
        <f>_xlfn.XLOOKUP(Table134526_79101120212223242526[[#This Row],[Name Surname]],Manpower!$C$4:$C$1048576,Manpower!$H$4:$H$1048576,"")</f>
        <v>Equipment</v>
      </c>
      <c r="I3245" s="28" t="str">
        <f>_xlfn.XLOOKUP(Table134526_79101120212223242526[[#This Row],[Name Surname]],Manpower!$C$4:$C$1048576,Manpower!$H$4:$H$1048576,"")</f>
        <v>Equipment</v>
      </c>
      <c r="J3245" s="21" t="s">
        <v>143</v>
      </c>
      <c r="K3245" s="21" t="s">
        <v>26</v>
      </c>
      <c r="L3245" s="21" t="s">
        <v>144</v>
      </c>
      <c r="M3245" s="21" t="s">
        <v>55</v>
      </c>
      <c r="N3245" s="29">
        <v>10</v>
      </c>
      <c r="R3245" s="21" t="s">
        <v>419</v>
      </c>
    </row>
    <row r="3246" spans="1:20" ht="14.4" hidden="1">
      <c r="A3246" s="38">
        <f>IF(C3246="","",MAX($A$1:A3245)+1)</f>
        <v>2968</v>
      </c>
      <c r="B3246" s="27" t="s">
        <v>141</v>
      </c>
      <c r="C3246" s="23">
        <v>46107</v>
      </c>
      <c r="D3246" s="28" t="str">
        <f>_xlfn.XLOOKUP(Table134526_79101120212223242526[[#This Row],[Name Surname]],Manpower!$C$4:$C$1048576,Manpower!$B$4:$B$1048576,"")</f>
        <v>Encogroup</v>
      </c>
      <c r="E3246" s="21" t="s">
        <v>222</v>
      </c>
      <c r="F3246" s="12">
        <f>_xlfn.XLOOKUP(Table134526_79101120212223242526[[#This Row],[Name Surname]],Manpower!C:C,Manpower!D:D,)</f>
        <v>122082863</v>
      </c>
      <c r="G3246" s="28" t="str">
        <f>_xlfn.XLOOKUP(Table134526_79101120212223242526[[#This Row],[Name Surname]],Manpower!$C$4:$C$1048576,Manpower!$F$4:$F$1048576,"")</f>
        <v>Grinder</v>
      </c>
      <c r="H3246" s="28" t="str">
        <f>_xlfn.XLOOKUP(Table134526_79101120212223242526[[#This Row],[Name Surname]],Manpower!$C$4:$C$1048576,Manpower!$H$4:$H$1048576,"")</f>
        <v>Manpower</v>
      </c>
      <c r="I3246" s="28" t="str">
        <f>_xlfn.XLOOKUP(Table134526_79101120212223242526[[#This Row],[Name Surname]],Manpower!$C$4:$C$1048576,Manpower!$H$4:$H$1048576,"")</f>
        <v>Manpower</v>
      </c>
      <c r="J3246" s="21" t="s">
        <v>143</v>
      </c>
      <c r="K3246" s="21" t="s">
        <v>26</v>
      </c>
      <c r="L3246" s="21" t="s">
        <v>144</v>
      </c>
      <c r="M3246" s="21" t="s">
        <v>55</v>
      </c>
      <c r="N3246" s="29">
        <v>10</v>
      </c>
      <c r="R3246" s="21" t="s">
        <v>419</v>
      </c>
    </row>
    <row r="3247" spans="1:20" ht="14.4" hidden="1">
      <c r="A3247" s="38">
        <f>IF(C3247="","",MAX($A$1:A3246)+1)</f>
        <v>2969</v>
      </c>
      <c r="B3247" s="27" t="s">
        <v>141</v>
      </c>
      <c r="C3247" s="23">
        <v>46107</v>
      </c>
      <c r="D3247" s="28" t="str">
        <f>_xlfn.XLOOKUP(Table134526_79101120212223242526[[#This Row],[Name Surname]],Manpower!$C$4:$C$1048576,Manpower!$B$4:$B$1048576,"")</f>
        <v>Encogroup</v>
      </c>
      <c r="E3247" s="21" t="s">
        <v>223</v>
      </c>
      <c r="F3247" s="12">
        <f>_xlfn.XLOOKUP(Table134526_79101120212223242526[[#This Row],[Name Surname]],Manpower!C:C,Manpower!D:D,)</f>
        <v>140696989</v>
      </c>
      <c r="G3247" s="28" t="str">
        <f>_xlfn.XLOOKUP(Table134526_79101120212223242526[[#This Row],[Name Surname]],Manpower!$C$4:$C$1048576,Manpower!$F$4:$F$1048576,"")</f>
        <v>Assistant/Helper</v>
      </c>
      <c r="H3247" s="28" t="str">
        <f>_xlfn.XLOOKUP(Table134526_79101120212223242526[[#This Row],[Name Surname]],Manpower!$C$4:$C$1048576,Manpower!$H$4:$H$1048576,"")</f>
        <v>Manpower</v>
      </c>
      <c r="I3247" s="28" t="str">
        <f>_xlfn.XLOOKUP(Table134526_79101120212223242526[[#This Row],[Name Surname]],Manpower!$C$4:$C$1048576,Manpower!$H$4:$H$1048576,"")</f>
        <v>Manpower</v>
      </c>
      <c r="J3247" s="21" t="s">
        <v>143</v>
      </c>
      <c r="K3247" s="21" t="s">
        <v>26</v>
      </c>
      <c r="L3247" s="21" t="s">
        <v>26</v>
      </c>
      <c r="M3247" s="21" t="s">
        <v>24</v>
      </c>
      <c r="N3247" s="29">
        <v>5</v>
      </c>
      <c r="O3247" s="21" t="s">
        <v>40</v>
      </c>
      <c r="P3247" s="21" t="s">
        <v>42</v>
      </c>
      <c r="Q3247" s="21" t="s">
        <v>42</v>
      </c>
      <c r="R3247" s="21" t="s">
        <v>419</v>
      </c>
    </row>
    <row r="3248" spans="1:20" ht="14.4" hidden="1">
      <c r="A3248" s="38">
        <f>IF(C3248="","",MAX($A$1:A3247)+1)</f>
        <v>2970</v>
      </c>
      <c r="B3248" s="27" t="s">
        <v>141</v>
      </c>
      <c r="C3248" s="23">
        <v>46107</v>
      </c>
      <c r="D3248" s="28" t="str">
        <f>_xlfn.XLOOKUP(Table134526_79101120212223242526[[#This Row],[Name Surname]],Manpower!$C$4:$C$1048576,Manpower!$B$4:$B$1048576,"")</f>
        <v>Encogroup</v>
      </c>
      <c r="E3248" s="21" t="s">
        <v>218</v>
      </c>
      <c r="F3248" s="12">
        <f>_xlfn.XLOOKUP(Table134526_79101120212223242526[[#This Row],[Name Surname]],Manpower!C:C,Manpower!D:D,)</f>
        <v>116853914</v>
      </c>
      <c r="G3248" s="28" t="str">
        <f>_xlfn.XLOOKUP(Table134526_79101120212223242526[[#This Row],[Name Surname]],Manpower!$C$4:$C$1048576,Manpower!$F$4:$F$1048576,"")</f>
        <v>Electrical Supervisor</v>
      </c>
      <c r="H3248" s="28" t="str">
        <f>_xlfn.XLOOKUP(Table134526_79101120212223242526[[#This Row],[Name Surname]],Manpower!$C$4:$C$1048576,Manpower!$H$4:$H$1048576,"")</f>
        <v>Manpower</v>
      </c>
      <c r="I3248" s="28" t="str">
        <f>_xlfn.XLOOKUP(Table134526_79101120212223242526[[#This Row],[Name Surname]],Manpower!$C$4:$C$1048576,Manpower!$H$4:$H$1048576,"")</f>
        <v>Manpower</v>
      </c>
      <c r="J3248" s="21" t="s">
        <v>143</v>
      </c>
      <c r="K3248" s="21" t="s">
        <v>26</v>
      </c>
      <c r="L3248" s="21" t="s">
        <v>26</v>
      </c>
      <c r="M3248" s="21" t="s">
        <v>24</v>
      </c>
      <c r="N3248" s="29">
        <v>5</v>
      </c>
      <c r="O3248" s="21" t="s">
        <v>40</v>
      </c>
      <c r="P3248" s="21" t="s">
        <v>42</v>
      </c>
      <c r="Q3248" s="21" t="s">
        <v>42</v>
      </c>
      <c r="R3248" s="21" t="s">
        <v>419</v>
      </c>
    </row>
    <row r="3249" spans="1:20" ht="14.4" hidden="1">
      <c r="A3249" s="38">
        <f>IF(C3249="","",MAX($A$1:A3248)+1)</f>
        <v>2971</v>
      </c>
      <c r="B3249" s="27" t="s">
        <v>141</v>
      </c>
      <c r="C3249" s="23">
        <v>46107</v>
      </c>
      <c r="D3249" s="28" t="str">
        <f>_xlfn.XLOOKUP(Table134526_79101120212223242526[[#This Row],[Name Surname]],Manpower!$C$4:$C$1048576,Manpower!$B$4:$B$1048576,"")</f>
        <v>Encogroup</v>
      </c>
      <c r="E3249" s="21" t="s">
        <v>346</v>
      </c>
      <c r="F3249" s="12">
        <f>_xlfn.XLOOKUP(Table134526_79101120212223242526[[#This Row],[Name Surname]],Manpower!C:C,Manpower!D:D,)</f>
        <v>117974933</v>
      </c>
      <c r="G3249" s="28" t="str">
        <f>_xlfn.XLOOKUP(Table134526_79101120212223242526[[#This Row],[Name Surname]],Manpower!$C$4:$C$1048576,Manpower!$F$4:$F$1048576,"")</f>
        <v>Scaffolder</v>
      </c>
      <c r="H3249" s="28" t="str">
        <f>_xlfn.XLOOKUP(Table134526_79101120212223242526[[#This Row],[Name Surname]],Manpower!$C$4:$C$1048576,Manpower!$H$4:$H$1048576,"")</f>
        <v>Manpower</v>
      </c>
      <c r="I3249" s="28" t="str">
        <f>_xlfn.XLOOKUP(Table134526_79101120212223242526[[#This Row],[Name Surname]],Manpower!$C$4:$C$1048576,Manpower!$H$4:$H$1048576,"")</f>
        <v>Manpower</v>
      </c>
      <c r="J3249" s="21" t="s">
        <v>143</v>
      </c>
      <c r="K3249" s="21" t="s">
        <v>26</v>
      </c>
      <c r="L3249" s="21" t="s">
        <v>26</v>
      </c>
      <c r="M3249" s="21" t="s">
        <v>24</v>
      </c>
      <c r="N3249" s="29">
        <v>5</v>
      </c>
      <c r="O3249" s="21" t="s">
        <v>40</v>
      </c>
      <c r="P3249" s="21" t="s">
        <v>42</v>
      </c>
      <c r="Q3249" s="21" t="s">
        <v>42</v>
      </c>
      <c r="R3249" s="21" t="s">
        <v>419</v>
      </c>
    </row>
    <row r="3250" spans="1:20" ht="14.4" hidden="1">
      <c r="A3250" s="38">
        <f>IF(C3250="","",MAX($A$1:A3249)+1)</f>
        <v>2972</v>
      </c>
      <c r="B3250" s="27" t="s">
        <v>141</v>
      </c>
      <c r="C3250" s="23">
        <v>46107</v>
      </c>
      <c r="D3250" s="28" t="str">
        <f>_xlfn.XLOOKUP(Table134526_79101120212223242526[[#This Row],[Name Surname]],Manpower!$C$4:$C$1048576,Manpower!$B$4:$B$1048576,"")</f>
        <v>Encogroup</v>
      </c>
      <c r="E3250" s="21" t="s">
        <v>347</v>
      </c>
      <c r="F3250" s="12">
        <f>_xlfn.XLOOKUP(Table134526_79101120212223242526[[#This Row],[Name Surname]],Manpower!C:C,Manpower!D:D,)</f>
        <v>141502853</v>
      </c>
      <c r="G3250" s="28" t="str">
        <f>_xlfn.XLOOKUP(Table134526_79101120212223242526[[#This Row],[Name Surname]],Manpower!$C$4:$C$1048576,Manpower!$F$4:$F$1048576,"")</f>
        <v>Scaffolder</v>
      </c>
      <c r="H3250" s="28" t="str">
        <f>_xlfn.XLOOKUP(Table134526_79101120212223242526[[#This Row],[Name Surname]],Manpower!$C$4:$C$1048576,Manpower!$H$4:$H$1048576,"")</f>
        <v>Manpower</v>
      </c>
      <c r="I3250" s="28" t="str">
        <f>_xlfn.XLOOKUP(Table134526_79101120212223242526[[#This Row],[Name Surname]],Manpower!$C$4:$C$1048576,Manpower!$H$4:$H$1048576,"")</f>
        <v>Manpower</v>
      </c>
      <c r="J3250" s="21" t="s">
        <v>143</v>
      </c>
      <c r="K3250" s="21" t="s">
        <v>26</v>
      </c>
      <c r="L3250" s="21" t="s">
        <v>26</v>
      </c>
      <c r="M3250" s="21" t="s">
        <v>24</v>
      </c>
      <c r="N3250" s="29">
        <v>5</v>
      </c>
      <c r="O3250" s="21" t="s">
        <v>40</v>
      </c>
      <c r="P3250" s="21" t="s">
        <v>42</v>
      </c>
      <c r="Q3250" s="21" t="s">
        <v>42</v>
      </c>
      <c r="R3250" s="21" t="s">
        <v>419</v>
      </c>
    </row>
    <row r="3251" spans="1:20" ht="14.4" hidden="1">
      <c r="A3251" s="38">
        <f>IF(C3251="","",MAX($A$1:A3250)+1)</f>
        <v>2973</v>
      </c>
      <c r="B3251" s="27" t="s">
        <v>141</v>
      </c>
      <c r="C3251" s="23">
        <v>46107</v>
      </c>
      <c r="D3251" s="28" t="str">
        <f>_xlfn.XLOOKUP(Table134526_79101120212223242526[[#This Row],[Name Surname]],Manpower!$C$4:$C$1048576,Manpower!$B$4:$B$1048576,"")</f>
        <v>Encogroup</v>
      </c>
      <c r="E3251" s="21" t="s">
        <v>264</v>
      </c>
      <c r="F3251" s="12">
        <f>_xlfn.XLOOKUP(Table134526_79101120212223242526[[#This Row],[Name Surname]],Manpower!C:C,Manpower!D:D,)</f>
        <v>141365061</v>
      </c>
      <c r="G3251" s="28" t="str">
        <f>_xlfn.XLOOKUP(Table134526_79101120212223242526[[#This Row],[Name Surname]],Manpower!$C$4:$C$1048576,Manpower!$F$4:$F$1048576,"")</f>
        <v>Helper</v>
      </c>
      <c r="H3251" s="28" t="str">
        <f>_xlfn.XLOOKUP(Table134526_79101120212223242526[[#This Row],[Name Surname]],Manpower!$C$4:$C$1048576,Manpower!$H$4:$H$1048576,"")</f>
        <v>Manpower</v>
      </c>
      <c r="I3251" s="28" t="str">
        <f>_xlfn.XLOOKUP(Table134526_79101120212223242526[[#This Row],[Name Surname]],Manpower!$C$4:$C$1048576,Manpower!$H$4:$H$1048576,"")</f>
        <v>Manpower</v>
      </c>
      <c r="J3251" s="21" t="s">
        <v>143</v>
      </c>
      <c r="K3251" s="21" t="s">
        <v>26</v>
      </c>
      <c r="L3251" s="21" t="s">
        <v>144</v>
      </c>
      <c r="M3251" s="21" t="s">
        <v>55</v>
      </c>
      <c r="N3251" s="29">
        <v>10</v>
      </c>
      <c r="R3251" s="21" t="s">
        <v>419</v>
      </c>
    </row>
    <row r="3252" spans="1:20" ht="14.4" hidden="1">
      <c r="A3252" s="38">
        <f>IF(C3252="","",MAX($A$1:A3251)+1)</f>
        <v>2974</v>
      </c>
      <c r="B3252" s="27" t="s">
        <v>141</v>
      </c>
      <c r="C3252" s="23">
        <v>46107</v>
      </c>
      <c r="D3252" s="28" t="str">
        <f>_xlfn.XLOOKUP(Table134526_79101120212223242526[[#This Row],[Name Surname]],Manpower!$C$4:$C$1048576,Manpower!$B$4:$B$1048576,"")</f>
        <v>Encogroup</v>
      </c>
      <c r="E3252" s="21" t="s">
        <v>224</v>
      </c>
      <c r="F3252" s="12">
        <f>_xlfn.XLOOKUP(Table134526_79101120212223242526[[#This Row],[Name Surname]],Manpower!C:C,Manpower!D:D,)</f>
        <v>141365094</v>
      </c>
      <c r="G3252" s="28" t="str">
        <f>_xlfn.XLOOKUP(Table134526_79101120212223242526[[#This Row],[Name Surname]],Manpower!$C$4:$C$1048576,Manpower!$F$4:$F$1048576,"")</f>
        <v>Helper</v>
      </c>
      <c r="H3252" s="28" t="str">
        <f>_xlfn.XLOOKUP(Table134526_79101120212223242526[[#This Row],[Name Surname]],Manpower!$C$4:$C$1048576,Manpower!$H$4:$H$1048576,"")</f>
        <v>Manpower</v>
      </c>
      <c r="I3252" s="28" t="str">
        <f>_xlfn.XLOOKUP(Table134526_79101120212223242526[[#This Row],[Name Surname]],Manpower!$C$4:$C$1048576,Manpower!$H$4:$H$1048576,"")</f>
        <v>Manpower</v>
      </c>
      <c r="J3252" s="21" t="s">
        <v>143</v>
      </c>
      <c r="K3252" s="21" t="s">
        <v>26</v>
      </c>
      <c r="L3252" s="21" t="s">
        <v>144</v>
      </c>
      <c r="M3252" s="21" t="s">
        <v>55</v>
      </c>
      <c r="N3252" s="29">
        <v>10</v>
      </c>
      <c r="R3252" s="21" t="s">
        <v>419</v>
      </c>
    </row>
    <row r="3253" spans="1:20" ht="14.4" hidden="1">
      <c r="A3253" s="38">
        <f>IF(C3253="","",MAX($A$1:A3252)+1)</f>
        <v>2975</v>
      </c>
      <c r="B3253" s="22" t="s">
        <v>19</v>
      </c>
      <c r="C3253" s="23">
        <v>46109</v>
      </c>
      <c r="D3253" s="28" t="str">
        <f>_xlfn.XLOOKUP(Table134526_79101120212223242526[[#This Row],[Name Surname]],Manpower!$C$4:$C$1048576,Manpower!$B$4:$B$1048576,"")</f>
        <v>Encogroup</v>
      </c>
      <c r="E3253" s="21" t="s">
        <v>30</v>
      </c>
      <c r="F3253" s="12">
        <f>_xlfn.XLOOKUP(Table134526_79101120212223242526[[#This Row],[Name Surname]],Manpower!C:C,Manpower!D:D,)</f>
        <v>116589569</v>
      </c>
      <c r="G3253" s="28" t="str">
        <f>_xlfn.XLOOKUP(Table134526_79101120212223242526[[#This Row],[Name Surname]],Manpower!$C$4:$C$1048576,Manpower!$F$4:$F$1048576,"")</f>
        <v>Mechanical Engineer</v>
      </c>
      <c r="H3253" s="28" t="str">
        <f>_xlfn.XLOOKUP(Table134526_79101120212223242526[[#This Row],[Name Surname]],Manpower!$C$4:$C$1048576,Manpower!$H$4:$H$1048576,"")</f>
        <v>Manpower</v>
      </c>
      <c r="I3253" s="28" t="str">
        <f>_xlfn.XLOOKUP(Table134526_79101120212223242526[[#This Row],[Name Surname]],Manpower!$C$4:$C$1048576,Manpower!$H$4:$H$1048576,"")</f>
        <v>Manpower</v>
      </c>
      <c r="J3253" s="21" t="s">
        <v>21</v>
      </c>
      <c r="K3253" s="21" t="s">
        <v>26</v>
      </c>
      <c r="L3253" s="21" t="s">
        <v>49</v>
      </c>
      <c r="M3253" s="21" t="s">
        <v>55</v>
      </c>
      <c r="N3253" s="29">
        <v>10</v>
      </c>
      <c r="R3253" s="21" t="s">
        <v>420</v>
      </c>
    </row>
    <row r="3254" spans="1:20" ht="14.4">
      <c r="A3254" s="38">
        <f>IF(C3254="","",MAX($A$1:A3253)+1)</f>
        <v>2976</v>
      </c>
      <c r="B3254" s="22" t="s">
        <v>19</v>
      </c>
      <c r="C3254" s="23">
        <v>46109</v>
      </c>
      <c r="D3254" s="28" t="str">
        <f>_xlfn.XLOOKUP(Table134526_79101120212223242526[[#This Row],[Name Surname]],Manpower!$C$4:$C$1048576,Manpower!$B$4:$B$1048576,"")</f>
        <v>Al Jaber Heavy Lift</v>
      </c>
      <c r="E3254" s="21" t="s">
        <v>371</v>
      </c>
      <c r="F3254" s="12" t="e">
        <f>_xlfn.XLOOKUP(Table134526_79101120212223242526[[#This Row],[Name Surname]],Manpower!C:C,Manpower!D:D,)</f>
        <v>#N/A</v>
      </c>
      <c r="G3254" s="28" t="str">
        <f>_xlfn.XLOOKUP(Table134526_79101120212223242526[[#This Row],[Name Surname]],Manpower!$C$4:$C$1048576,Manpower!$F$4:$F$1048576,"")</f>
        <v>70T Crawler Crane</v>
      </c>
      <c r="H3254" s="28" t="str">
        <f>_xlfn.XLOOKUP(Table134526_79101120212223242526[[#This Row],[Name Surname]],Manpower!$C$4:$C$1048576,Manpower!$H$4:$H$1048576,"")</f>
        <v>Equipment</v>
      </c>
      <c r="I3254" s="28" t="str">
        <f>_xlfn.XLOOKUP(Table134526_79101120212223242526[[#This Row],[Name Surname]],Manpower!$C$4:$C$1048576,Manpower!$H$4:$H$1048576,"")</f>
        <v>Equipment</v>
      </c>
      <c r="J3254" s="21" t="s">
        <v>21</v>
      </c>
      <c r="K3254" s="21" t="s">
        <v>26</v>
      </c>
      <c r="L3254" s="21" t="s">
        <v>49</v>
      </c>
      <c r="M3254" s="21" t="s">
        <v>55</v>
      </c>
      <c r="N3254" s="29">
        <v>10</v>
      </c>
      <c r="R3254" s="21" t="s">
        <v>420</v>
      </c>
    </row>
    <row r="3255" spans="1:20" ht="14.4">
      <c r="A3255" s="38">
        <f>IF(C3255="","",MAX($A$1:A3254)+1)</f>
        <v>2977</v>
      </c>
      <c r="B3255" s="22" t="s">
        <v>19</v>
      </c>
      <c r="C3255" s="23">
        <v>46109</v>
      </c>
      <c r="D3255" s="28" t="str">
        <f>_xlfn.XLOOKUP(Table134526_79101120212223242526[[#This Row],[Name Surname]],Manpower!$C$4:$C$1048576,Manpower!$B$4:$B$1048576,"")</f>
        <v>Riyan Al Khaleej</v>
      </c>
      <c r="E3255" s="21" t="s">
        <v>20</v>
      </c>
      <c r="F3255" s="12" t="e">
        <f>_xlfn.XLOOKUP(Table134526_79101120212223242526[[#This Row],[Name Surname]],Manpower!C:C,Manpower!D:D,)</f>
        <v>#N/A</v>
      </c>
      <c r="G3255" s="28" t="str">
        <f>_xlfn.XLOOKUP(Table134526_79101120212223242526[[#This Row],[Name Surname]],Manpower!$C$4:$C$1048576,Manpower!$F$4:$F$1048576,"")</f>
        <v>100T Telescopic Crane</v>
      </c>
      <c r="H3255" s="28" t="str">
        <f>_xlfn.XLOOKUP(Table134526_79101120212223242526[[#This Row],[Name Surname]],Manpower!$C$4:$C$1048576,Manpower!$H$4:$H$1048576,"")</f>
        <v>Equipment</v>
      </c>
      <c r="I3255" s="28" t="str">
        <f>_xlfn.XLOOKUP(Table134526_79101120212223242526[[#This Row],[Name Surname]],Manpower!$C$4:$C$1048576,Manpower!$H$4:$H$1048576,"")</f>
        <v>Equipment</v>
      </c>
      <c r="J3255" s="21" t="s">
        <v>21</v>
      </c>
      <c r="K3255" s="21" t="s">
        <v>26</v>
      </c>
      <c r="L3255" s="21" t="s">
        <v>49</v>
      </c>
      <c r="M3255" s="21" t="s">
        <v>55</v>
      </c>
      <c r="N3255" s="29">
        <v>10</v>
      </c>
      <c r="R3255" s="21" t="s">
        <v>420</v>
      </c>
    </row>
    <row r="3256" spans="1:20" ht="14.4">
      <c r="A3256" s="38">
        <f>IF(C3256="","",MAX($A$1:A3255)+1)</f>
        <v>2978</v>
      </c>
      <c r="B3256" s="22" t="s">
        <v>19</v>
      </c>
      <c r="C3256" s="23">
        <v>46109</v>
      </c>
      <c r="D3256" s="28" t="str">
        <f>_xlfn.XLOOKUP(Table134526_79101120212223242526[[#This Row],[Name Surname]],Manpower!$C$4:$C$1048576,Manpower!$B$4:$B$1048576,"")</f>
        <v>Al Jaber Heavy Lift</v>
      </c>
      <c r="E3256" s="21" t="s">
        <v>151</v>
      </c>
      <c r="F3256" s="12" t="e">
        <f>_xlfn.XLOOKUP(Table134526_79101120212223242526[[#This Row],[Name Surname]],Manpower!C:C,Manpower!D:D,)</f>
        <v>#N/A</v>
      </c>
      <c r="G3256" s="28" t="str">
        <f>_xlfn.XLOOKUP(Table134526_79101120212223242526[[#This Row],[Name Surname]],Manpower!$C$4:$C$1048576,Manpower!$F$4:$F$1048576,"")</f>
        <v>150T-Crawler Crane</v>
      </c>
      <c r="H3256" s="28" t="str">
        <f>_xlfn.XLOOKUP(Table134526_79101120212223242526[[#This Row],[Name Surname]],Manpower!$C$4:$C$1048576,Manpower!$H$4:$H$1048576,"")</f>
        <v>Equipment</v>
      </c>
      <c r="I3256" s="28" t="str">
        <f>_xlfn.XLOOKUP(Table134526_79101120212223242526[[#This Row],[Name Surname]],Manpower!$C$4:$C$1048576,Manpower!$H$4:$H$1048576,"")</f>
        <v>Equipment</v>
      </c>
      <c r="J3256" s="21" t="s">
        <v>21</v>
      </c>
      <c r="K3256" s="21" t="s">
        <v>26</v>
      </c>
      <c r="L3256" s="21" t="s">
        <v>49</v>
      </c>
      <c r="M3256" s="21" t="s">
        <v>55</v>
      </c>
      <c r="N3256" s="29">
        <v>10</v>
      </c>
      <c r="R3256" s="21" t="s">
        <v>420</v>
      </c>
    </row>
    <row r="3257" spans="1:20" ht="14.4" hidden="1">
      <c r="A3257" s="38">
        <f>IF(C3257="","",MAX($A$1:A3256)+1)</f>
        <v>2979</v>
      </c>
      <c r="B3257" s="22" t="s">
        <v>19</v>
      </c>
      <c r="C3257" s="23">
        <v>46109</v>
      </c>
      <c r="D3257" s="28" t="str">
        <f>_xlfn.XLOOKUP(Table134526_79101120212223242526[[#This Row],[Name Surname]],Manpower!$C$4:$C$1048576,Manpower!$B$4:$B$1048576,"")</f>
        <v>Al Jaber Heavy Lift</v>
      </c>
      <c r="E3257" s="21" t="s">
        <v>164</v>
      </c>
      <c r="F3257" s="12">
        <f>_xlfn.XLOOKUP(Table134526_79101120212223242526[[#This Row],[Name Surname]],Manpower!C:C,Manpower!D:D,)</f>
        <v>112778626</v>
      </c>
      <c r="G3257" s="28" t="str">
        <f>_xlfn.XLOOKUP(Table134526_79101120212223242526[[#This Row],[Name Surname]],Manpower!$C$4:$C$1048576,Manpower!$F$4:$F$1048576,"")</f>
        <v>Crane Operator-150T Hitachi Crawler</v>
      </c>
      <c r="H3257" s="28" t="str">
        <f>_xlfn.XLOOKUP(Table134526_79101120212223242526[[#This Row],[Name Surname]],Manpower!$C$4:$C$1048576,Manpower!$H$4:$H$1048576,"")</f>
        <v>Manpower</v>
      </c>
      <c r="I3257" s="28" t="str">
        <f>_xlfn.XLOOKUP(Table134526_79101120212223242526[[#This Row],[Name Surname]],Manpower!$C$4:$C$1048576,Manpower!$H$4:$H$1048576,"")</f>
        <v>Manpower</v>
      </c>
      <c r="J3257" s="21" t="s">
        <v>21</v>
      </c>
      <c r="K3257" s="21" t="s">
        <v>26</v>
      </c>
      <c r="L3257" s="21" t="s">
        <v>49</v>
      </c>
      <c r="M3257" s="21" t="s">
        <v>55</v>
      </c>
      <c r="N3257" s="29">
        <v>10</v>
      </c>
      <c r="R3257" s="21" t="s">
        <v>420</v>
      </c>
    </row>
    <row r="3258" spans="1:20" ht="14.4" hidden="1">
      <c r="A3258" s="38">
        <f>IF(C3258="","",MAX($A$1:A3257)+1)</f>
        <v>2980</v>
      </c>
      <c r="B3258" s="58" t="s">
        <v>19</v>
      </c>
      <c r="C3258" s="23">
        <v>46109</v>
      </c>
      <c r="D3258" s="28" t="str">
        <f>_xlfn.XLOOKUP(Table134526_79101120212223242526[[#This Row],[Name Surname]],Manpower!$C$4:$C$1048576,Manpower!$B$4:$B$1048576,"")</f>
        <v>Al Jaber Heavy Lift</v>
      </c>
      <c r="E3258" s="21" t="s">
        <v>275</v>
      </c>
      <c r="F3258" s="12">
        <f>_xlfn.XLOOKUP(Table134526_79101120212223242526[[#This Row],[Name Surname]],Manpower!C:C,Manpower!D:D,)</f>
        <v>116448869</v>
      </c>
      <c r="G3258" s="28" t="str">
        <f>_xlfn.XLOOKUP(Table134526_79101120212223242526[[#This Row],[Name Surname]],Manpower!$C$4:$C$1048576,Manpower!$F$4:$F$1048576,"")</f>
        <v xml:space="preserve">Crane Operator </v>
      </c>
      <c r="H3258" s="28" t="str">
        <f>_xlfn.XLOOKUP(Table134526_79101120212223242526[[#This Row],[Name Surname]],Manpower!$C$4:$C$1048576,Manpower!$H$4:$H$1048576,"")</f>
        <v>Manpower</v>
      </c>
      <c r="I3258" s="28" t="str">
        <f>_xlfn.XLOOKUP(Table134526_79101120212223242526[[#This Row],[Name Surname]],Manpower!$C$4:$C$1048576,Manpower!$H$4:$H$1048576,"")</f>
        <v>Manpower</v>
      </c>
      <c r="J3258" s="21" t="s">
        <v>21</v>
      </c>
      <c r="K3258" s="21" t="s">
        <v>26</v>
      </c>
      <c r="L3258" s="21" t="s">
        <v>49</v>
      </c>
      <c r="M3258" s="21" t="s">
        <v>55</v>
      </c>
      <c r="N3258" s="29">
        <v>10</v>
      </c>
      <c r="R3258" s="21" t="s">
        <v>420</v>
      </c>
    </row>
    <row r="3259" spans="1:20" ht="14.4" hidden="1">
      <c r="A3259" s="38">
        <f>IF(C3259="","",MAX($A$1:A3258)+1)</f>
        <v>2981</v>
      </c>
      <c r="B3259" s="58" t="s">
        <v>19</v>
      </c>
      <c r="C3259" s="23">
        <v>46109</v>
      </c>
      <c r="D3259" s="28" t="str">
        <f>_xlfn.XLOOKUP(Table134526_79101120212223242526[[#This Row],[Name Surname]],Manpower!$C$4:$C$1048576,Manpower!$B$4:$B$1048576,"")</f>
        <v>Rial Al Khaleej</v>
      </c>
      <c r="E3259" s="21" t="s">
        <v>38</v>
      </c>
      <c r="F3259" s="12">
        <f>_xlfn.XLOOKUP(Table134526_79101120212223242526[[#This Row],[Name Surname]],Manpower!C:C,Manpower!D:D,)</f>
        <v>98845403</v>
      </c>
      <c r="G3259" s="28" t="str">
        <f>_xlfn.XLOOKUP(Table134526_79101120212223242526[[#This Row],[Name Surname]],Manpower!$C$4:$C$1048576,Manpower!$F$4:$F$1048576,"")</f>
        <v>Crane Operator-100T Zoomlion Telescopic</v>
      </c>
      <c r="H3259" s="28" t="str">
        <f>_xlfn.XLOOKUP(Table134526_79101120212223242526[[#This Row],[Name Surname]],Manpower!$C$4:$C$1048576,Manpower!$H$4:$H$1048576,"")</f>
        <v>Manpower</v>
      </c>
      <c r="I3259" s="28" t="str">
        <f>_xlfn.XLOOKUP(Table134526_79101120212223242526[[#This Row],[Name Surname]],Manpower!$C$4:$C$1048576,Manpower!$H$4:$H$1048576,"")</f>
        <v>Manpower</v>
      </c>
      <c r="J3259" s="21" t="s">
        <v>21</v>
      </c>
      <c r="K3259" s="21" t="s">
        <v>26</v>
      </c>
      <c r="L3259" s="21" t="s">
        <v>49</v>
      </c>
      <c r="M3259" s="21" t="s">
        <v>24</v>
      </c>
      <c r="N3259" s="29">
        <v>10</v>
      </c>
      <c r="R3259" s="21" t="s">
        <v>421</v>
      </c>
    </row>
    <row r="3260" spans="1:20" s="45" customFormat="1" ht="14.4" hidden="1">
      <c r="A3260" s="53">
        <f>IF(C3260="","",MAX($A$1:A3259)+1)</f>
        <v>2982</v>
      </c>
      <c r="B3260" s="58" t="s">
        <v>19</v>
      </c>
      <c r="C3260" s="23">
        <v>46109</v>
      </c>
      <c r="D3260" s="28" t="str">
        <f>_xlfn.XLOOKUP(Table134526_79101120212223242526[[#This Row],[Name Surname]],Manpower!$C$4:$C$1048576,Manpower!$B$4:$B$1048576,"")</f>
        <v>Encogroup</v>
      </c>
      <c r="E3260" s="21" t="s">
        <v>29</v>
      </c>
      <c r="F3260" s="12">
        <f>_xlfn.XLOOKUP(Table134526_79101120212223242526[[#This Row],[Name Surname]],Manpower!C:C,Manpower!D:D,)</f>
        <v>127331574</v>
      </c>
      <c r="G3260" s="28" t="str">
        <f>_xlfn.XLOOKUP(Table134526_79101120212223242526[[#This Row],[Name Surname]],Manpower!$C$4:$C$1048576,Manpower!$F$4:$F$1048576,"")</f>
        <v>Permit Receiver</v>
      </c>
      <c r="H3260" s="28" t="str">
        <f>_xlfn.XLOOKUP(Table134526_79101120212223242526[[#This Row],[Name Surname]],Manpower!$C$4:$C$1048576,Manpower!$H$4:$H$1048576,"")</f>
        <v>Manpower</v>
      </c>
      <c r="I3260" s="28" t="str">
        <f>_xlfn.XLOOKUP(Table134526_79101120212223242526[[#This Row],[Name Surname]],Manpower!$C$4:$C$1048576,Manpower!$H$4:$H$1048576,"")</f>
        <v>Manpower</v>
      </c>
      <c r="J3260" s="21" t="s">
        <v>21</v>
      </c>
      <c r="K3260" s="21" t="s">
        <v>26</v>
      </c>
      <c r="L3260" s="21" t="s">
        <v>49</v>
      </c>
      <c r="M3260" s="21" t="s">
        <v>55</v>
      </c>
      <c r="N3260" s="29">
        <v>10</v>
      </c>
      <c r="O3260" s="21"/>
      <c r="P3260" s="21"/>
      <c r="Q3260" s="21"/>
      <c r="R3260" s="21" t="s">
        <v>420</v>
      </c>
      <c r="S3260" s="21"/>
      <c r="T3260" s="12"/>
    </row>
    <row r="3261" spans="1:20" ht="14.4" hidden="1">
      <c r="A3261" s="38">
        <f>IF(C3261="","",MAX($A$1:A3260)+1)</f>
        <v>2983</v>
      </c>
      <c r="B3261" s="58" t="s">
        <v>19</v>
      </c>
      <c r="C3261" s="23">
        <v>46109</v>
      </c>
      <c r="D3261" s="28" t="str">
        <f>_xlfn.XLOOKUP(Table134526_79101120212223242526[[#This Row],[Name Surname]],Manpower!$C$4:$C$1048576,Manpower!$B$4:$B$1048576,"")</f>
        <v>Encogroup</v>
      </c>
      <c r="E3261" s="21" t="s">
        <v>31</v>
      </c>
      <c r="F3261" s="12">
        <f>_xlfn.XLOOKUP(Table134526_79101120212223242526[[#This Row],[Name Surname]],Manpower!C:C,Manpower!D:D,)</f>
        <v>99596058</v>
      </c>
      <c r="G3261" s="28" t="str">
        <f>_xlfn.XLOOKUP(Table134526_79101120212223242526[[#This Row],[Name Surname]],Manpower!$C$4:$C$1048576,Manpower!$F$4:$F$1048576,"")</f>
        <v>HSE Officer</v>
      </c>
      <c r="H3261" s="28" t="str">
        <f>_xlfn.XLOOKUP(Table134526_79101120212223242526[[#This Row],[Name Surname]],Manpower!$C$4:$C$1048576,Manpower!$H$4:$H$1048576,"")</f>
        <v>Manpower</v>
      </c>
      <c r="I3261" s="28" t="str">
        <f>_xlfn.XLOOKUP(Table134526_79101120212223242526[[#This Row],[Name Surname]],Manpower!$C$4:$C$1048576,Manpower!$H$4:$H$1048576,"")</f>
        <v>Manpower</v>
      </c>
      <c r="J3261" s="21" t="s">
        <v>21</v>
      </c>
      <c r="K3261" s="21" t="s">
        <v>26</v>
      </c>
      <c r="L3261" s="21" t="s">
        <v>49</v>
      </c>
      <c r="M3261" s="21" t="s">
        <v>55</v>
      </c>
      <c r="N3261" s="29">
        <v>10</v>
      </c>
      <c r="R3261" s="21" t="s">
        <v>420</v>
      </c>
    </row>
    <row r="3262" spans="1:20" ht="14.4" hidden="1">
      <c r="A3262" s="38">
        <f>IF(C3262="","",MAX($A$1:A3261)+1)</f>
        <v>2984</v>
      </c>
      <c r="B3262" s="58" t="s">
        <v>19</v>
      </c>
      <c r="C3262" s="23">
        <v>46109</v>
      </c>
      <c r="D3262" s="28" t="str">
        <f>_xlfn.XLOOKUP(Table134526_79101120212223242526[[#This Row],[Name Surname]],Manpower!$C$4:$C$1048576,Manpower!$B$4:$B$1048576,"")</f>
        <v>AL Omar International TRAD AND CONT</v>
      </c>
      <c r="E3262" s="21" t="s">
        <v>197</v>
      </c>
      <c r="F3262" s="12">
        <f>_xlfn.XLOOKUP(Table134526_79101120212223242526[[#This Row],[Name Surname]],Manpower!C:C,Manpower!D:D,)</f>
        <v>106093463</v>
      </c>
      <c r="G3262" s="28" t="str">
        <f>_xlfn.XLOOKUP(Table134526_79101120212223242526[[#This Row],[Name Surname]],Manpower!$C$4:$C$1048576,Manpower!$F$4:$F$1048576,"")</f>
        <v>RIgger</v>
      </c>
      <c r="H3262" s="28" t="str">
        <f>_xlfn.XLOOKUP(Table134526_79101120212223242526[[#This Row],[Name Surname]],Manpower!$C$4:$C$1048576,Manpower!$H$4:$H$1048576,"")</f>
        <v>Sub Contactor</v>
      </c>
      <c r="I3262" s="28" t="str">
        <f>_xlfn.XLOOKUP(Table134526_79101120212223242526[[#This Row],[Name Surname]],Manpower!$C$4:$C$1048576,Manpower!$H$4:$H$1048576,"")</f>
        <v>Sub Contactor</v>
      </c>
      <c r="J3262" s="21" t="s">
        <v>21</v>
      </c>
      <c r="K3262" s="21" t="s">
        <v>26</v>
      </c>
      <c r="L3262" s="21" t="s">
        <v>49</v>
      </c>
      <c r="M3262" s="21" t="s">
        <v>55</v>
      </c>
      <c r="N3262" s="29">
        <v>5</v>
      </c>
      <c r="R3262" s="21" t="s">
        <v>420</v>
      </c>
    </row>
    <row r="3263" spans="1:20" s="45" customFormat="1" ht="14.4" hidden="1">
      <c r="A3263" s="53">
        <f>IF(C3263="","",MAX($A$1:A3262)+1)</f>
        <v>2985</v>
      </c>
      <c r="B3263" s="58" t="s">
        <v>19</v>
      </c>
      <c r="C3263" s="23">
        <v>46109</v>
      </c>
      <c r="D3263" s="28" t="str">
        <f>_xlfn.XLOOKUP(Table134526_79101120212223242526[[#This Row],[Name Surname]],Manpower!$C$4:$C$1048576,Manpower!$B$4:$B$1048576,"")</f>
        <v>Encogroup</v>
      </c>
      <c r="E3263" s="21" t="s">
        <v>72</v>
      </c>
      <c r="F3263" s="12">
        <f>_xlfn.XLOOKUP(Table134526_79101120212223242526[[#This Row],[Name Surname]],Manpower!C:C,Manpower!D:D,)</f>
        <v>140764706</v>
      </c>
      <c r="G3263" s="28" t="str">
        <f>_xlfn.XLOOKUP(Table134526_79101120212223242526[[#This Row],[Name Surname]],Manpower!$C$4:$C$1048576,Manpower!$F$4:$F$1048576,"")</f>
        <v>Rigger</v>
      </c>
      <c r="H3263" s="28" t="str">
        <f>_xlfn.XLOOKUP(Table134526_79101120212223242526[[#This Row],[Name Surname]],Manpower!$C$4:$C$1048576,Manpower!$H$4:$H$1048576,"")</f>
        <v>Manpower</v>
      </c>
      <c r="I3263" s="28" t="str">
        <f>_xlfn.XLOOKUP(Table134526_79101120212223242526[[#This Row],[Name Surname]],Manpower!$C$4:$C$1048576,Manpower!$H$4:$H$1048576,"")</f>
        <v>Manpower</v>
      </c>
      <c r="J3263" s="21" t="s">
        <v>21</v>
      </c>
      <c r="K3263" s="21" t="s">
        <v>26</v>
      </c>
      <c r="L3263" s="21" t="s">
        <v>49</v>
      </c>
      <c r="M3263" s="21" t="s">
        <v>55</v>
      </c>
      <c r="N3263" s="29">
        <v>10</v>
      </c>
      <c r="O3263" s="21"/>
      <c r="P3263" s="21"/>
      <c r="Q3263" s="21"/>
      <c r="R3263" s="21" t="s">
        <v>420</v>
      </c>
      <c r="S3263" s="21"/>
      <c r="T3263" s="12"/>
    </row>
    <row r="3264" spans="1:20" s="45" customFormat="1" ht="14.4" hidden="1">
      <c r="A3264" s="53">
        <f>IF(C3264="","",MAX($A$1:A3263)+1)</f>
        <v>2986</v>
      </c>
      <c r="B3264" s="58" t="s">
        <v>19</v>
      </c>
      <c r="C3264" s="23">
        <v>46109</v>
      </c>
      <c r="D3264" s="28" t="str">
        <f>_xlfn.XLOOKUP(Table134526_79101120212223242526[[#This Row],[Name Surname]],Manpower!$C$4:$C$1048576,Manpower!$B$4:$B$1048576,"")</f>
        <v>Encogroup</v>
      </c>
      <c r="E3264" s="21" t="s">
        <v>46</v>
      </c>
      <c r="F3264" s="12">
        <f>_xlfn.XLOOKUP(Table134526_79101120212223242526[[#This Row],[Name Surname]],Manpower!C:C,Manpower!D:D,)</f>
        <v>140844618</v>
      </c>
      <c r="G3264" s="28" t="str">
        <f>_xlfn.XLOOKUP(Table134526_79101120212223242526[[#This Row],[Name Surname]],Manpower!$C$4:$C$1048576,Manpower!$F$4:$F$1048576,"")</f>
        <v>Assistant/Helper</v>
      </c>
      <c r="H3264" s="28" t="str">
        <f>_xlfn.XLOOKUP(Table134526_79101120212223242526[[#This Row],[Name Surname]],Manpower!$C$4:$C$1048576,Manpower!$H$4:$H$1048576,"")</f>
        <v>Manpower</v>
      </c>
      <c r="I3264" s="28" t="str">
        <f>_xlfn.XLOOKUP(Table134526_79101120212223242526[[#This Row],[Name Surname]],Manpower!$C$4:$C$1048576,Manpower!$H$4:$H$1048576,"")</f>
        <v>Manpower</v>
      </c>
      <c r="J3264" s="21" t="s">
        <v>21</v>
      </c>
      <c r="K3264" s="21" t="s">
        <v>26</v>
      </c>
      <c r="L3264" s="21" t="s">
        <v>49</v>
      </c>
      <c r="M3264" s="21" t="s">
        <v>24</v>
      </c>
      <c r="N3264" s="29">
        <v>10</v>
      </c>
      <c r="O3264" s="21"/>
      <c r="P3264" s="21"/>
      <c r="Q3264" s="21"/>
      <c r="R3264" s="21" t="s">
        <v>421</v>
      </c>
      <c r="S3264" s="21"/>
      <c r="T3264" s="12"/>
    </row>
    <row r="3265" spans="1:20" s="45" customFormat="1" ht="14.4" hidden="1">
      <c r="A3265" s="53">
        <f>IF(C3265="","",MAX($A$1:A3264)+1)</f>
        <v>2987</v>
      </c>
      <c r="B3265" s="58" t="s">
        <v>19</v>
      </c>
      <c r="C3265" s="23">
        <v>46109</v>
      </c>
      <c r="D3265" s="28" t="str">
        <f>_xlfn.XLOOKUP(Table134526_79101120212223242526[[#This Row],[Name Surname]],Manpower!$C$4:$C$1048576,Manpower!$B$4:$B$1048576,"")</f>
        <v>Encogroup</v>
      </c>
      <c r="E3265" s="21" t="s">
        <v>27</v>
      </c>
      <c r="F3265" s="12">
        <f>_xlfn.XLOOKUP(Table134526_79101120212223242526[[#This Row],[Name Surname]],Manpower!C:C,Manpower!D:D,)</f>
        <v>127414586</v>
      </c>
      <c r="G3265" s="28" t="str">
        <f>_xlfn.XLOOKUP(Table134526_79101120212223242526[[#This Row],[Name Surname]],Manpower!$C$4:$C$1048576,Manpower!$F$4:$F$1048576,"")</f>
        <v>Electrician</v>
      </c>
      <c r="H3265" s="28" t="str">
        <f>_xlfn.XLOOKUP(Table134526_79101120212223242526[[#This Row],[Name Surname]],Manpower!$C$4:$C$1048576,Manpower!$H$4:$H$1048576,"")</f>
        <v>Manpower</v>
      </c>
      <c r="I3265" s="28" t="str">
        <f>_xlfn.XLOOKUP(Table134526_79101120212223242526[[#This Row],[Name Surname]],Manpower!$C$4:$C$1048576,Manpower!$H$4:$H$1048576,"")</f>
        <v>Manpower</v>
      </c>
      <c r="J3265" s="21" t="s">
        <v>21</v>
      </c>
      <c r="K3265" s="21" t="s">
        <v>26</v>
      </c>
      <c r="L3265" s="21" t="s">
        <v>49</v>
      </c>
      <c r="M3265" s="21" t="s">
        <v>55</v>
      </c>
      <c r="N3265" s="29">
        <v>10</v>
      </c>
      <c r="O3265" s="21"/>
      <c r="P3265" s="21"/>
      <c r="Q3265" s="21"/>
      <c r="R3265" s="21" t="s">
        <v>420</v>
      </c>
      <c r="S3265" s="21"/>
      <c r="T3265" s="12"/>
    </row>
    <row r="3266" spans="1:20" ht="14.4">
      <c r="A3266" s="38">
        <f>IF(C3266="","",MAX($A$1:A3265)+1)</f>
        <v>2988</v>
      </c>
      <c r="B3266" s="25" t="s">
        <v>19</v>
      </c>
      <c r="C3266" s="23">
        <v>46109</v>
      </c>
      <c r="D3266" s="28" t="str">
        <f>_xlfn.XLOOKUP(Table134526_79101120212223242526[[#This Row],[Name Surname]],Manpower!$C$4:$C$1048576,Manpower!$B$4:$B$1048576,"")</f>
        <v>Bright Light</v>
      </c>
      <c r="E3266" s="23" t="s">
        <v>47</v>
      </c>
      <c r="F3266" s="12" t="e">
        <f>_xlfn.XLOOKUP(Table134526_79101120212223242526[[#This Row],[Name Surname]],Manpower!C:C,Manpower!D:D,)</f>
        <v>#N/A</v>
      </c>
      <c r="G3266" s="28" t="str">
        <f>_xlfn.XLOOKUP(Table134526_79101120212223242526[[#This Row],[Name Surname]],Manpower!$C$4:$C$1048576,Manpower!$F$4:$F$1048576,"")</f>
        <v>100T Telescopic Crane</v>
      </c>
      <c r="H3266" s="28" t="str">
        <f>_xlfn.XLOOKUP(Table134526_79101120212223242526[[#This Row],[Name Surname]],Manpower!$C$4:$C$1048576,Manpower!$H$4:$H$1048576,"")</f>
        <v>Equipment</v>
      </c>
      <c r="I3266" s="28" t="str">
        <f>_xlfn.XLOOKUP(Table134526_79101120212223242526[[#This Row],[Name Surname]],Manpower!$C$4:$C$1048576,Manpower!$H$4:$H$1048576,"")</f>
        <v>Equipment</v>
      </c>
      <c r="J3266" s="21" t="s">
        <v>48</v>
      </c>
      <c r="K3266" s="21" t="s">
        <v>26</v>
      </c>
      <c r="L3266" s="21" t="s">
        <v>49</v>
      </c>
      <c r="M3266" s="21" t="s">
        <v>55</v>
      </c>
      <c r="N3266" s="29">
        <v>10</v>
      </c>
      <c r="R3266" s="21" t="s">
        <v>420</v>
      </c>
    </row>
    <row r="3267" spans="1:20" ht="14.4">
      <c r="A3267" s="38">
        <f>IF(C3267="","",MAX($A$1:A3266)+1)</f>
        <v>2989</v>
      </c>
      <c r="B3267" s="25" t="s">
        <v>19</v>
      </c>
      <c r="C3267" s="23">
        <v>46109</v>
      </c>
      <c r="D3267" s="28" t="str">
        <f>_xlfn.XLOOKUP(Table134526_79101120212223242526[[#This Row],[Name Surname]],Manpower!$C$4:$C$1048576,Manpower!$B$4:$B$1048576,"")</f>
        <v>Bright Light</v>
      </c>
      <c r="E3267" s="21" t="s">
        <v>51</v>
      </c>
      <c r="F3267" s="12" t="e">
        <f>_xlfn.XLOOKUP(Table134526_79101120212223242526[[#This Row],[Name Surname]],Manpower!C:C,Manpower!D:D,)</f>
        <v>#N/A</v>
      </c>
      <c r="G3267" s="28" t="str">
        <f>_xlfn.XLOOKUP(Table134526_79101120212223242526[[#This Row],[Name Surname]],Manpower!$C$4:$C$1048576,Manpower!$F$4:$F$1048576,"")</f>
        <v>150T-Crawler Crane</v>
      </c>
      <c r="H3267" s="28" t="str">
        <f>_xlfn.XLOOKUP(Table134526_79101120212223242526[[#This Row],[Name Surname]],Manpower!$C$4:$C$1048576,Manpower!$H$4:$H$1048576,"")</f>
        <v>Equipment</v>
      </c>
      <c r="I3267" s="28" t="str">
        <f>_xlfn.XLOOKUP(Table134526_79101120212223242526[[#This Row],[Name Surname]],Manpower!$C$4:$C$1048576,Manpower!$H$4:$H$1048576,"")</f>
        <v>Equipment</v>
      </c>
      <c r="J3267" s="21" t="s">
        <v>48</v>
      </c>
      <c r="K3267" s="21" t="s">
        <v>26</v>
      </c>
      <c r="L3267" s="21" t="s">
        <v>49</v>
      </c>
      <c r="M3267" s="21" t="s">
        <v>55</v>
      </c>
      <c r="N3267" s="29">
        <v>10</v>
      </c>
      <c r="R3267" s="21" t="s">
        <v>420</v>
      </c>
    </row>
    <row r="3268" spans="1:20" ht="14.4">
      <c r="A3268" s="38">
        <f>IF(C3268="","",MAX($A$1:A3267)+1)</f>
        <v>2990</v>
      </c>
      <c r="B3268" s="25" t="s">
        <v>19</v>
      </c>
      <c r="C3268" s="23">
        <v>46109</v>
      </c>
      <c r="D3268" s="28" t="str">
        <f>_xlfn.XLOOKUP(Table134526_79101120212223242526[[#This Row],[Name Surname]],Manpower!$C$4:$C$1048576,Manpower!$B$4:$B$1048576,"")</f>
        <v>Encogroup</v>
      </c>
      <c r="E3268" s="21" t="s">
        <v>54</v>
      </c>
      <c r="F3268" s="12" t="e">
        <f>_xlfn.XLOOKUP(Table134526_79101120212223242526[[#This Row],[Name Surname]],Manpower!C:C,Manpower!D:D,)</f>
        <v>#N/A</v>
      </c>
      <c r="G3268" s="28" t="str">
        <f>_xlfn.XLOOKUP(Table134526_79101120212223242526[[#This Row],[Name Surname]],Manpower!$C$4:$C$1048576,Manpower!$F$4:$F$1048576,"")</f>
        <v>28M-Manlift</v>
      </c>
      <c r="H3268" s="28" t="str">
        <f>_xlfn.XLOOKUP(Table134526_79101120212223242526[[#This Row],[Name Surname]],Manpower!$C$4:$C$1048576,Manpower!$H$4:$H$1048576,"")</f>
        <v>Equipment</v>
      </c>
      <c r="I3268" s="28" t="str">
        <f>_xlfn.XLOOKUP(Table134526_79101120212223242526[[#This Row],[Name Surname]],Manpower!$C$4:$C$1048576,Manpower!$H$4:$H$1048576,"")</f>
        <v>Equipment</v>
      </c>
      <c r="J3268" s="21" t="s">
        <v>48</v>
      </c>
      <c r="K3268" s="21" t="s">
        <v>26</v>
      </c>
      <c r="L3268" s="21" t="s">
        <v>49</v>
      </c>
      <c r="M3268" s="21" t="s">
        <v>55</v>
      </c>
      <c r="N3268" s="29">
        <v>10</v>
      </c>
      <c r="R3268" s="21" t="s">
        <v>420</v>
      </c>
    </row>
    <row r="3269" spans="1:20" ht="14.4">
      <c r="A3269" s="38">
        <f>IF(C3269="","",MAX($A$1:A3268)+1)</f>
        <v>2991</v>
      </c>
      <c r="B3269" s="25" t="s">
        <v>19</v>
      </c>
      <c r="C3269" s="23">
        <v>46109</v>
      </c>
      <c r="D3269" s="28" t="str">
        <f>_xlfn.XLOOKUP(Table134526_79101120212223242526[[#This Row],[Name Surname]],Manpower!$C$4:$C$1048576,Manpower!$B$4:$B$1048576,"")</f>
        <v>Encogroup</v>
      </c>
      <c r="E3269" s="21" t="s">
        <v>53</v>
      </c>
      <c r="F3269" s="12" t="e">
        <f>_xlfn.XLOOKUP(Table134526_79101120212223242526[[#This Row],[Name Surname]],Manpower!C:C,Manpower!D:D,)</f>
        <v>#N/A</v>
      </c>
      <c r="G3269" s="28" t="str">
        <f>_xlfn.XLOOKUP(Table134526_79101120212223242526[[#This Row],[Name Surname]],Manpower!$C$4:$C$1048576,Manpower!$F$4:$F$1048576,"")</f>
        <v>22M-Manlift</v>
      </c>
      <c r="H3269" s="28" t="str">
        <f>_xlfn.XLOOKUP(Table134526_79101120212223242526[[#This Row],[Name Surname]],Manpower!$C$4:$C$1048576,Manpower!$H$4:$H$1048576,"")</f>
        <v>Equipment</v>
      </c>
      <c r="I3269" s="28" t="str">
        <f>_xlfn.XLOOKUP(Table134526_79101120212223242526[[#This Row],[Name Surname]],Manpower!$C$4:$C$1048576,Manpower!$H$4:$H$1048576,"")</f>
        <v>Equipment</v>
      </c>
      <c r="J3269" s="21" t="s">
        <v>48</v>
      </c>
      <c r="K3269" s="21" t="s">
        <v>26</v>
      </c>
      <c r="L3269" s="21" t="s">
        <v>49</v>
      </c>
      <c r="M3269" s="21" t="s">
        <v>55</v>
      </c>
      <c r="N3269" s="29">
        <v>10</v>
      </c>
      <c r="R3269" s="21" t="s">
        <v>420</v>
      </c>
    </row>
    <row r="3270" spans="1:20" ht="14.4" hidden="1">
      <c r="A3270" s="38">
        <f>IF(C3270="","",MAX($A$1:A3269)+1)</f>
        <v>2992</v>
      </c>
      <c r="B3270" s="25" t="s">
        <v>19</v>
      </c>
      <c r="C3270" s="23">
        <v>46109</v>
      </c>
      <c r="D3270" s="28" t="str">
        <f>_xlfn.XLOOKUP(Table134526_79101120212223242526[[#This Row],[Name Surname]],Manpower!$C$4:$C$1048576,Manpower!$B$4:$B$1048576,"")</f>
        <v>Encogroup</v>
      </c>
      <c r="E3270" s="21" t="s">
        <v>57</v>
      </c>
      <c r="F3270" s="12">
        <f>_xlfn.XLOOKUP(Table134526_79101120212223242526[[#This Row],[Name Surname]],Manpower!C:C,Manpower!D:D,)</f>
        <v>140693697</v>
      </c>
      <c r="G3270" s="28" t="str">
        <f>_xlfn.XLOOKUP(Table134526_79101120212223242526[[#This Row],[Name Surname]],Manpower!$C$4:$C$1048576,Manpower!$F$4:$F$1048576,"")</f>
        <v>HSE Officer</v>
      </c>
      <c r="H3270" s="28" t="str">
        <f>_xlfn.XLOOKUP(Table134526_79101120212223242526[[#This Row],[Name Surname]],Manpower!$C$4:$C$1048576,Manpower!$H$4:$H$1048576,"")</f>
        <v>Manpower</v>
      </c>
      <c r="I3270" s="28" t="str">
        <f>_xlfn.XLOOKUP(Table134526_79101120212223242526[[#This Row],[Name Surname]],Manpower!$C$4:$C$1048576,Manpower!$H$4:$H$1048576,"")</f>
        <v>Manpower</v>
      </c>
      <c r="J3270" s="21" t="s">
        <v>48</v>
      </c>
      <c r="K3270" s="21" t="s">
        <v>26</v>
      </c>
      <c r="L3270" s="21" t="s">
        <v>49</v>
      </c>
      <c r="M3270" s="21" t="s">
        <v>55</v>
      </c>
      <c r="N3270" s="29">
        <v>10</v>
      </c>
      <c r="R3270" s="21" t="s">
        <v>420</v>
      </c>
    </row>
    <row r="3271" spans="1:20" s="45" customFormat="1" ht="14.4" hidden="1">
      <c r="A3271" s="53">
        <f>IF(C3271="","",MAX($A$1:A3270)+1)</f>
        <v>2993</v>
      </c>
      <c r="B3271" s="25" t="s">
        <v>19</v>
      </c>
      <c r="C3271" s="41">
        <v>46109</v>
      </c>
      <c r="D3271" s="48" t="str">
        <f>_xlfn.XLOOKUP(Table134526_79101120212223242526[[#This Row],[Name Surname]],Manpower!$C$4:$C$1048576,Manpower!$B$4:$B$1048576,"")</f>
        <v>Encogroup</v>
      </c>
      <c r="E3271" s="43" t="s">
        <v>33</v>
      </c>
      <c r="F3271" s="12">
        <f>_xlfn.XLOOKUP(Table134526_79101120212223242526[[#This Row],[Name Surname]],Manpower!C:C,Manpower!D:D,)</f>
        <v>124565057</v>
      </c>
      <c r="G3271" s="48" t="str">
        <f>_xlfn.XLOOKUP(Table134526_79101120212223242526[[#This Row],[Name Surname]],Manpower!$C$4:$C$1048576,Manpower!$F$4:$F$1048576,"")</f>
        <v>Fitter/Erector</v>
      </c>
      <c r="H3271" s="48" t="str">
        <f>_xlfn.XLOOKUP(Table134526_79101120212223242526[[#This Row],[Name Surname]],Manpower!$C$4:$C$1048576,Manpower!$H$4:$H$1048576,"")</f>
        <v>Manpower</v>
      </c>
      <c r="I3271" s="48" t="str">
        <f>_xlfn.XLOOKUP(Table134526_79101120212223242526[[#This Row],[Name Surname]],Manpower!$C$4:$C$1048576,Manpower!$H$4:$H$1048576,"")</f>
        <v>Manpower</v>
      </c>
      <c r="J3271" s="43" t="s">
        <v>48</v>
      </c>
      <c r="K3271" s="43" t="s">
        <v>26</v>
      </c>
      <c r="L3271" s="43" t="s">
        <v>49</v>
      </c>
      <c r="M3271" s="43" t="s">
        <v>55</v>
      </c>
      <c r="N3271" s="44">
        <v>10</v>
      </c>
      <c r="O3271" s="43"/>
      <c r="P3271" s="43"/>
      <c r="Q3271" s="43"/>
      <c r="R3271" s="43" t="s">
        <v>420</v>
      </c>
      <c r="S3271" s="43"/>
    </row>
    <row r="3272" spans="1:20" ht="14.4" hidden="1">
      <c r="A3272" s="38">
        <f>IF(C3272="","",MAX($A$1:A3271)+1)</f>
        <v>2994</v>
      </c>
      <c r="B3272" s="25" t="s">
        <v>19</v>
      </c>
      <c r="C3272" s="23">
        <v>46109</v>
      </c>
      <c r="D3272" s="28" t="str">
        <f>_xlfn.XLOOKUP(Table134526_79101120212223242526[[#This Row],[Name Surname]],Manpower!$C$4:$C$1048576,Manpower!$B$4:$B$1048576,"")</f>
        <v>Encogroup</v>
      </c>
      <c r="E3272" s="21" t="s">
        <v>62</v>
      </c>
      <c r="F3272" s="12">
        <f>_xlfn.XLOOKUP(Table134526_79101120212223242526[[#This Row],[Name Surname]],Manpower!C:C,Manpower!D:D,)</f>
        <v>140844797</v>
      </c>
      <c r="G3272" s="28" t="str">
        <f>_xlfn.XLOOKUP(Table134526_79101120212223242526[[#This Row],[Name Surname]],Manpower!$C$4:$C$1048576,Manpower!$F$4:$F$1048576,"")</f>
        <v>Fitter/Erector</v>
      </c>
      <c r="H3272" s="28" t="str">
        <f>_xlfn.XLOOKUP(Table134526_79101120212223242526[[#This Row],[Name Surname]],Manpower!$C$4:$C$1048576,Manpower!$H$4:$H$1048576,"")</f>
        <v>Manpower</v>
      </c>
      <c r="I3272" s="28" t="str">
        <f>_xlfn.XLOOKUP(Table134526_79101120212223242526[[#This Row],[Name Surname]],Manpower!$C$4:$C$1048576,Manpower!$H$4:$H$1048576,"")</f>
        <v>Manpower</v>
      </c>
      <c r="J3272" s="21" t="s">
        <v>48</v>
      </c>
      <c r="K3272" s="21" t="s">
        <v>26</v>
      </c>
      <c r="L3272" s="21" t="s">
        <v>49</v>
      </c>
      <c r="M3272" s="21" t="s">
        <v>55</v>
      </c>
      <c r="N3272" s="29">
        <v>10</v>
      </c>
      <c r="R3272" s="21" t="s">
        <v>420</v>
      </c>
    </row>
    <row r="3273" spans="1:20" ht="14.4">
      <c r="A3273" s="38">
        <f>IF(C3273="","",MAX($A$1:A3272)+1)</f>
        <v>2995</v>
      </c>
      <c r="B3273" s="25" t="s">
        <v>19</v>
      </c>
      <c r="C3273" s="23">
        <v>46109</v>
      </c>
      <c r="D3273" s="24" t="str">
        <f>_xlfn.XLOOKUP(Table134526_79101120212223242526[[#This Row],[Name Surname]],Manpower!$C$4:$C$1048576,Manpower!$B$4:$B$1048576,"")</f>
        <v>Encogroup</v>
      </c>
      <c r="E3273" s="23" t="s">
        <v>63</v>
      </c>
      <c r="F3273" s="12" t="e">
        <f>_xlfn.XLOOKUP(Table134526_79101120212223242526[[#This Row],[Name Surname]],Manpower!C:C,Manpower!D:D,)</f>
        <v>#N/A</v>
      </c>
      <c r="G3273" s="24" t="str">
        <f>_xlfn.XLOOKUP(Table134526_79101120212223242526[[#This Row],[Name Surname]],Manpower!$C$4:$C$1048576,Manpower!$F$4:$F$1048576,"")</f>
        <v>22KVA-Generator</v>
      </c>
      <c r="H3273" s="24" t="str">
        <f>_xlfn.XLOOKUP(Table134526_79101120212223242526[[#This Row],[Name Surname]],Manpower!$C$4:$C$1048576,Manpower!$H$4:$H$1048576,"")</f>
        <v>Equipment</v>
      </c>
      <c r="I3273" s="24" t="str">
        <f>_xlfn.XLOOKUP(Table134526_79101120212223242526[[#This Row],[Name Surname]],Manpower!$C$4:$C$1048576,Manpower!$H$4:$H$1048576,"")</f>
        <v>Equipment</v>
      </c>
      <c r="J3273" s="21" t="s">
        <v>48</v>
      </c>
      <c r="K3273" s="21" t="s">
        <v>26</v>
      </c>
      <c r="L3273" s="21" t="s">
        <v>49</v>
      </c>
      <c r="M3273" s="21" t="s">
        <v>55</v>
      </c>
      <c r="N3273" s="29">
        <v>10</v>
      </c>
      <c r="R3273" s="21" t="s">
        <v>420</v>
      </c>
    </row>
    <row r="3274" spans="1:20" ht="14.4" hidden="1">
      <c r="A3274" s="38">
        <f>IF(C3274="","",MAX($A$1:A3273)+1)</f>
        <v>2996</v>
      </c>
      <c r="B3274" s="25" t="s">
        <v>19</v>
      </c>
      <c r="C3274" s="23">
        <v>46109</v>
      </c>
      <c r="D3274" s="28" t="str">
        <f>_xlfn.XLOOKUP(Table134526_79101120212223242526[[#This Row],[Name Surname]],Manpower!$C$4:$C$1048576,Manpower!$B$4:$B$1048576,"")</f>
        <v>Bright Light</v>
      </c>
      <c r="E3274" s="21" t="s">
        <v>64</v>
      </c>
      <c r="F3274" s="12">
        <f>_xlfn.XLOOKUP(Table134526_79101120212223242526[[#This Row],[Name Surname]],Manpower!C:C,Manpower!D:D,)</f>
        <v>114531608</v>
      </c>
      <c r="G3274" s="28" t="str">
        <f>_xlfn.XLOOKUP(Table134526_79101120212223242526[[#This Row],[Name Surname]],Manpower!$C$4:$C$1048576,Manpower!$F$4:$F$1048576,"")</f>
        <v>Crane Operator-150T Sany Crawler</v>
      </c>
      <c r="H3274" s="28" t="str">
        <f>_xlfn.XLOOKUP(Table134526_79101120212223242526[[#This Row],[Name Surname]],Manpower!$C$4:$C$1048576,Manpower!$H$4:$H$1048576,"")</f>
        <v>Manpower</v>
      </c>
      <c r="I3274" s="28" t="str">
        <f>_xlfn.XLOOKUP(Table134526_79101120212223242526[[#This Row],[Name Surname]],Manpower!$C$4:$C$1048576,Manpower!$H$4:$H$1048576,"")</f>
        <v>Manpower</v>
      </c>
      <c r="J3274" s="21" t="s">
        <v>48</v>
      </c>
      <c r="K3274" s="21" t="s">
        <v>26</v>
      </c>
      <c r="L3274" s="21" t="s">
        <v>49</v>
      </c>
      <c r="M3274" s="21" t="s">
        <v>55</v>
      </c>
      <c r="N3274" s="29">
        <v>10</v>
      </c>
      <c r="R3274" s="21" t="s">
        <v>420</v>
      </c>
    </row>
    <row r="3275" spans="1:20" ht="14.4" hidden="1">
      <c r="A3275" s="38">
        <f>IF(C3275="","",MAX($A$1:A3274)+1)</f>
        <v>2997</v>
      </c>
      <c r="B3275" s="25" t="s">
        <v>19</v>
      </c>
      <c r="C3275" s="23">
        <v>46109</v>
      </c>
      <c r="D3275" s="28" t="str">
        <f>_xlfn.XLOOKUP(Table134526_79101120212223242526[[#This Row],[Name Surname]],Manpower!$C$4:$C$1048576,Manpower!$B$4:$B$1048576,"")</f>
        <v>Encogroup</v>
      </c>
      <c r="E3275" s="21" t="s">
        <v>67</v>
      </c>
      <c r="F3275" s="12">
        <f>_xlfn.XLOOKUP(Table134526_79101120212223242526[[#This Row],[Name Surname]],Manpower!C:C,Manpower!D:D,)</f>
        <v>122082769</v>
      </c>
      <c r="G3275" s="28" t="str">
        <f>_xlfn.XLOOKUP(Table134526_79101120212223242526[[#This Row],[Name Surname]],Manpower!$C$4:$C$1048576,Manpower!$F$4:$F$1048576,"")</f>
        <v>Grinder</v>
      </c>
      <c r="H3275" s="28" t="str">
        <f>_xlfn.XLOOKUP(Table134526_79101120212223242526[[#This Row],[Name Surname]],Manpower!$C$4:$C$1048576,Manpower!$H$4:$H$1048576,"")</f>
        <v>Manpower</v>
      </c>
      <c r="I3275" s="28" t="str">
        <f>_xlfn.XLOOKUP(Table134526_79101120212223242526[[#This Row],[Name Surname]],Manpower!$C$4:$C$1048576,Manpower!$H$4:$H$1048576,"")</f>
        <v>Manpower</v>
      </c>
      <c r="J3275" s="21" t="s">
        <v>48</v>
      </c>
      <c r="K3275" s="21" t="s">
        <v>26</v>
      </c>
      <c r="L3275" s="21" t="s">
        <v>49</v>
      </c>
      <c r="M3275" s="21" t="s">
        <v>55</v>
      </c>
      <c r="N3275" s="29">
        <v>10</v>
      </c>
      <c r="R3275" s="21" t="s">
        <v>420</v>
      </c>
    </row>
    <row r="3276" spans="1:20" s="45" customFormat="1" ht="14.4" hidden="1">
      <c r="A3276" s="53">
        <f>IF(C3276="","",MAX($A$1:A3275)+1)</f>
        <v>2998</v>
      </c>
      <c r="B3276" s="25" t="s">
        <v>19</v>
      </c>
      <c r="C3276" s="41">
        <v>46109</v>
      </c>
      <c r="D3276" s="48" t="str">
        <f>_xlfn.XLOOKUP(Table134526_79101120212223242526[[#This Row],[Name Surname]],Manpower!$C$4:$C$1048576,Manpower!$B$4:$B$1048576,"")</f>
        <v>AL Omar International TRAD AND CONT</v>
      </c>
      <c r="E3276" s="43" t="s">
        <v>66</v>
      </c>
      <c r="F3276" s="12">
        <f>_xlfn.XLOOKUP(Table134526_79101120212223242526[[#This Row],[Name Surname]],Manpower!C:C,Manpower!D:D,)</f>
        <v>115018512</v>
      </c>
      <c r="G3276" s="48" t="str">
        <f>_xlfn.XLOOKUP(Table134526_79101120212223242526[[#This Row],[Name Surname]],Manpower!$C$4:$C$1048576,Manpower!$F$4:$F$1048576,"")</f>
        <v>RIgger</v>
      </c>
      <c r="H3276" s="48" t="str">
        <f>_xlfn.XLOOKUP(Table134526_79101120212223242526[[#This Row],[Name Surname]],Manpower!$C$4:$C$1048576,Manpower!$H$4:$H$1048576,"")</f>
        <v>Sub Contactor</v>
      </c>
      <c r="I3276" s="48" t="str">
        <f>_xlfn.XLOOKUP(Table134526_79101120212223242526[[#This Row],[Name Surname]],Manpower!$C$4:$C$1048576,Manpower!$H$4:$H$1048576,"")</f>
        <v>Sub Contactor</v>
      </c>
      <c r="J3276" s="43" t="s">
        <v>48</v>
      </c>
      <c r="K3276" s="43" t="s">
        <v>26</v>
      </c>
      <c r="L3276" s="43" t="s">
        <v>49</v>
      </c>
      <c r="M3276" s="43" t="s">
        <v>55</v>
      </c>
      <c r="N3276" s="44">
        <v>10</v>
      </c>
      <c r="O3276" s="43"/>
      <c r="P3276" s="43"/>
      <c r="Q3276" s="43"/>
      <c r="R3276" s="43" t="s">
        <v>420</v>
      </c>
      <c r="S3276" s="43"/>
    </row>
    <row r="3277" spans="1:20" ht="14.4" hidden="1">
      <c r="A3277" s="38">
        <f>IF(C3277="","",MAX($A$1:A3276)+1)</f>
        <v>2999</v>
      </c>
      <c r="B3277" s="25" t="s">
        <v>19</v>
      </c>
      <c r="C3277" s="23">
        <v>46109</v>
      </c>
      <c r="D3277" s="28" t="str">
        <f>_xlfn.XLOOKUP(Table134526_79101120212223242526[[#This Row],[Name Surname]],Manpower!$C$4:$C$1048576,Manpower!$B$4:$B$1048576,"")</f>
        <v>AL Omar International TRAD AND CONT</v>
      </c>
      <c r="E3277" s="21" t="s">
        <v>197</v>
      </c>
      <c r="F3277" s="12">
        <f>_xlfn.XLOOKUP(Table134526_79101120212223242526[[#This Row],[Name Surname]],Manpower!C:C,Manpower!D:D,)</f>
        <v>106093463</v>
      </c>
      <c r="G3277" s="28" t="str">
        <f>_xlfn.XLOOKUP(Table134526_79101120212223242526[[#This Row],[Name Surname]],Manpower!$C$4:$C$1048576,Manpower!$F$4:$F$1048576,"")</f>
        <v>RIgger</v>
      </c>
      <c r="H3277" s="28" t="str">
        <f>_xlfn.XLOOKUP(Table134526_79101120212223242526[[#This Row],[Name Surname]],Manpower!$C$4:$C$1048576,Manpower!$H$4:$H$1048576,"")</f>
        <v>Sub Contactor</v>
      </c>
      <c r="I3277" s="28" t="str">
        <f>_xlfn.XLOOKUP(Table134526_79101120212223242526[[#This Row],[Name Surname]],Manpower!$C$4:$C$1048576,Manpower!$H$4:$H$1048576,"")</f>
        <v>Sub Contactor</v>
      </c>
      <c r="J3277" s="21" t="s">
        <v>48</v>
      </c>
      <c r="K3277" s="21" t="s">
        <v>26</v>
      </c>
      <c r="L3277" s="21" t="s">
        <v>49</v>
      </c>
      <c r="M3277" s="21" t="s">
        <v>55</v>
      </c>
      <c r="N3277" s="29">
        <v>5</v>
      </c>
      <c r="R3277" s="21" t="s">
        <v>420</v>
      </c>
    </row>
    <row r="3278" spans="1:20" s="45" customFormat="1" ht="14.4" hidden="1">
      <c r="A3278" s="53">
        <f>IF(C3278="","",MAX($A$1:A3277)+1)</f>
        <v>3000</v>
      </c>
      <c r="B3278" s="25" t="s">
        <v>19</v>
      </c>
      <c r="C3278" s="41">
        <v>46109</v>
      </c>
      <c r="D3278" s="48" t="str">
        <f>_xlfn.XLOOKUP(Table134526_79101120212223242526[[#This Row],[Name Surname]],Manpower!$C$4:$C$1048576,Manpower!$B$4:$B$1048576,"")</f>
        <v>Encogroup</v>
      </c>
      <c r="E3278" s="43" t="s">
        <v>44</v>
      </c>
      <c r="F3278" s="12">
        <f>_xlfn.XLOOKUP(Table134526_79101120212223242526[[#This Row],[Name Surname]],Manpower!C:C,Manpower!D:D,)</f>
        <v>140806218</v>
      </c>
      <c r="G3278" s="48" t="str">
        <f>_xlfn.XLOOKUP(Table134526_79101120212223242526[[#This Row],[Name Surname]],Manpower!$C$4:$C$1048576,Manpower!$F$4:$F$1048576,"")</f>
        <v>Fitter/Erector</v>
      </c>
      <c r="H3278" s="48" t="str">
        <f>_xlfn.XLOOKUP(Table134526_79101120212223242526[[#This Row],[Name Surname]],Manpower!$C$4:$C$1048576,Manpower!$H$4:$H$1048576,"")</f>
        <v>Manpower</v>
      </c>
      <c r="I3278" s="48" t="str">
        <f>_xlfn.XLOOKUP(Table134526_79101120212223242526[[#This Row],[Name Surname]],Manpower!$C$4:$C$1048576,Manpower!$H$4:$H$1048576,"")</f>
        <v>Manpower</v>
      </c>
      <c r="J3278" s="43" t="s">
        <v>48</v>
      </c>
      <c r="K3278" s="43" t="s">
        <v>26</v>
      </c>
      <c r="L3278" s="43" t="s">
        <v>49</v>
      </c>
      <c r="M3278" s="43" t="s">
        <v>55</v>
      </c>
      <c r="N3278" s="44">
        <v>10</v>
      </c>
      <c r="O3278" s="43"/>
      <c r="P3278" s="43"/>
      <c r="Q3278" s="43"/>
      <c r="R3278" s="43" t="s">
        <v>420</v>
      </c>
      <c r="S3278" s="43"/>
    </row>
    <row r="3279" spans="1:20" ht="14.4" hidden="1">
      <c r="A3279" s="38">
        <f>IF(C3279="","",MAX($A$1:A3278)+1)</f>
        <v>3001</v>
      </c>
      <c r="B3279" s="25" t="s">
        <v>19</v>
      </c>
      <c r="C3279" s="23">
        <v>46109</v>
      </c>
      <c r="D3279" s="28" t="str">
        <f>_xlfn.XLOOKUP(Table134526_79101120212223242526[[#This Row],[Name Surname]],Manpower!$C$4:$C$1048576,Manpower!$B$4:$B$1048576,"")</f>
        <v>Encogroup</v>
      </c>
      <c r="E3279" s="21" t="s">
        <v>68</v>
      </c>
      <c r="F3279" s="12">
        <f>_xlfn.XLOOKUP(Table134526_79101120212223242526[[#This Row],[Name Surname]],Manpower!C:C,Manpower!D:D,)</f>
        <v>116915582</v>
      </c>
      <c r="G3279" s="28" t="str">
        <f>_xlfn.XLOOKUP(Table134526_79101120212223242526[[#This Row],[Name Surname]],Manpower!$C$4:$C$1048576,Manpower!$F$4:$F$1048576,"")</f>
        <v>Mechanical Superintendent</v>
      </c>
      <c r="H3279" s="28" t="str">
        <f>_xlfn.XLOOKUP(Table134526_79101120212223242526[[#This Row],[Name Surname]],Manpower!$C$4:$C$1048576,Manpower!$H$4:$H$1048576,"")</f>
        <v>Manpower</v>
      </c>
      <c r="I3279" s="28" t="str">
        <f>_xlfn.XLOOKUP(Table134526_79101120212223242526[[#This Row],[Name Surname]],Manpower!$C$4:$C$1048576,Manpower!$H$4:$H$1048576,"")</f>
        <v>Manpower</v>
      </c>
      <c r="J3279" s="21" t="s">
        <v>48</v>
      </c>
      <c r="K3279" s="21" t="s">
        <v>26</v>
      </c>
      <c r="L3279" s="21" t="s">
        <v>49</v>
      </c>
      <c r="M3279" s="21" t="s">
        <v>55</v>
      </c>
      <c r="N3279" s="29">
        <v>10</v>
      </c>
      <c r="R3279" s="21" t="s">
        <v>420</v>
      </c>
    </row>
    <row r="3280" spans="1:20" ht="14.4" hidden="1">
      <c r="A3280" s="38">
        <f>IF(C3280="","",MAX($A$1:A3279)+1)</f>
        <v>3002</v>
      </c>
      <c r="B3280" s="25" t="s">
        <v>19</v>
      </c>
      <c r="C3280" s="23">
        <v>46109</v>
      </c>
      <c r="D3280" s="28" t="str">
        <f>_xlfn.XLOOKUP(Table134526_79101120212223242526[[#This Row],[Name Surname]],Manpower!$C$4:$C$1048576,Manpower!$B$4:$B$1048576,"")</f>
        <v>Encogroup</v>
      </c>
      <c r="E3280" s="21" t="s">
        <v>69</v>
      </c>
      <c r="F3280" s="12">
        <f>_xlfn.XLOOKUP(Table134526_79101120212223242526[[#This Row],[Name Surname]],Manpower!C:C,Manpower!D:D,)</f>
        <v>141169071</v>
      </c>
      <c r="G3280" s="28" t="str">
        <f>_xlfn.XLOOKUP(Table134526_79101120212223242526[[#This Row],[Name Surname]],Manpower!$C$4:$C$1048576,Manpower!$F$4:$F$1048576,"")</f>
        <v>Welding Supervisor</v>
      </c>
      <c r="H3280" s="28" t="str">
        <f>_xlfn.XLOOKUP(Table134526_79101120212223242526[[#This Row],[Name Surname]],Manpower!$C$4:$C$1048576,Manpower!$H$4:$H$1048576,"")</f>
        <v>Manpower</v>
      </c>
      <c r="I3280" s="28" t="str">
        <f>_xlfn.XLOOKUP(Table134526_79101120212223242526[[#This Row],[Name Surname]],Manpower!$C$4:$C$1048576,Manpower!$H$4:$H$1048576,"")</f>
        <v>Manpower</v>
      </c>
      <c r="J3280" s="21" t="s">
        <v>48</v>
      </c>
      <c r="K3280" s="21" t="s">
        <v>26</v>
      </c>
      <c r="L3280" s="21" t="s">
        <v>49</v>
      </c>
      <c r="M3280" s="21" t="s">
        <v>55</v>
      </c>
      <c r="N3280" s="29">
        <v>10</v>
      </c>
      <c r="R3280" s="21" t="s">
        <v>420</v>
      </c>
    </row>
    <row r="3281" spans="1:19" s="45" customFormat="1" ht="14.4" hidden="1">
      <c r="A3281" s="53">
        <f>IF(C3281="","",MAX($A$1:A3280)+1)</f>
        <v>3003</v>
      </c>
      <c r="B3281" s="25" t="s">
        <v>19</v>
      </c>
      <c r="C3281" s="41">
        <v>46109</v>
      </c>
      <c r="D3281" s="48" t="str">
        <f>_xlfn.XLOOKUP(Table134526_79101120212223242526[[#This Row],[Name Surname]],Manpower!$C$4:$C$1048576,Manpower!$B$4:$B$1048576,"")</f>
        <v>Encogroup</v>
      </c>
      <c r="E3281" s="43" t="s">
        <v>61</v>
      </c>
      <c r="F3281" s="12">
        <f>_xlfn.XLOOKUP(Table134526_79101120212223242526[[#This Row],[Name Surname]],Manpower!C:C,Manpower!D:D,)</f>
        <v>141169047</v>
      </c>
      <c r="G3281" s="48" t="str">
        <f>_xlfn.XLOOKUP(Table134526_79101120212223242526[[#This Row],[Name Surname]],Manpower!$C$4:$C$1048576,Manpower!$F$4:$F$1048576,"")</f>
        <v>Welder</v>
      </c>
      <c r="H3281" s="48" t="str">
        <f>_xlfn.XLOOKUP(Table134526_79101120212223242526[[#This Row],[Name Surname]],Manpower!$C$4:$C$1048576,Manpower!$H$4:$H$1048576,"")</f>
        <v>Manpower</v>
      </c>
      <c r="I3281" s="48" t="str">
        <f>_xlfn.XLOOKUP(Table134526_79101120212223242526[[#This Row],[Name Surname]],Manpower!$C$4:$C$1048576,Manpower!$H$4:$H$1048576,"")</f>
        <v>Manpower</v>
      </c>
      <c r="J3281" s="43" t="s">
        <v>48</v>
      </c>
      <c r="K3281" s="43" t="s">
        <v>26</v>
      </c>
      <c r="L3281" s="43" t="s">
        <v>49</v>
      </c>
      <c r="M3281" s="43" t="s">
        <v>55</v>
      </c>
      <c r="N3281" s="44">
        <v>10</v>
      </c>
      <c r="O3281" s="43"/>
      <c r="P3281" s="43"/>
      <c r="Q3281" s="43"/>
      <c r="R3281" s="43" t="s">
        <v>420</v>
      </c>
      <c r="S3281" s="43"/>
    </row>
    <row r="3282" spans="1:19" s="45" customFormat="1" ht="14.4" hidden="1">
      <c r="A3282" s="53">
        <f>IF(C3282="","",MAX($A$1:A3281)+1)</f>
        <v>3004</v>
      </c>
      <c r="B3282" s="25" t="s">
        <v>19</v>
      </c>
      <c r="C3282" s="41">
        <v>46109</v>
      </c>
      <c r="D3282" s="48" t="str">
        <f>_xlfn.XLOOKUP(Table134526_79101120212223242526[[#This Row],[Name Surname]],Manpower!$C$4:$C$1048576,Manpower!$B$4:$B$1048576,"")</f>
        <v>Encogroup</v>
      </c>
      <c r="E3282" s="43" t="s">
        <v>102</v>
      </c>
      <c r="F3282" s="12">
        <f>_xlfn.XLOOKUP(Table134526_79101120212223242526[[#This Row],[Name Surname]],Manpower!C:C,Manpower!D:D,)</f>
        <v>141365075</v>
      </c>
      <c r="G3282" s="48" t="str">
        <f>_xlfn.XLOOKUP(Table134526_79101120212223242526[[#This Row],[Name Surname]],Manpower!$C$4:$C$1048576,Manpower!$F$4:$F$1048576,"")</f>
        <v>Helper</v>
      </c>
      <c r="H3282" s="48" t="str">
        <f>_xlfn.XLOOKUP(Table134526_79101120212223242526[[#This Row],[Name Surname]],Manpower!$C$4:$C$1048576,Manpower!$H$4:$H$1048576,"")</f>
        <v>Manpower</v>
      </c>
      <c r="I3282" s="48" t="str">
        <f>_xlfn.XLOOKUP(Table134526_79101120212223242526[[#This Row],[Name Surname]],Manpower!$C$4:$C$1048576,Manpower!$H$4:$H$1048576,"")</f>
        <v>Manpower</v>
      </c>
      <c r="J3282" s="43" t="s">
        <v>48</v>
      </c>
      <c r="K3282" s="43" t="s">
        <v>26</v>
      </c>
      <c r="L3282" s="43" t="s">
        <v>49</v>
      </c>
      <c r="M3282" s="43" t="s">
        <v>55</v>
      </c>
      <c r="N3282" s="44">
        <v>10</v>
      </c>
      <c r="O3282" s="43"/>
      <c r="P3282" s="43"/>
      <c r="Q3282" s="43"/>
      <c r="R3282" s="43" t="s">
        <v>420</v>
      </c>
      <c r="S3282" s="43"/>
    </row>
    <row r="3283" spans="1:19" ht="14.4" hidden="1">
      <c r="A3283" s="38">
        <f>IF(C3283="","",MAX($A$1:A3281)+1)</f>
        <v>3004</v>
      </c>
      <c r="B3283" s="25" t="s">
        <v>19</v>
      </c>
      <c r="C3283" s="23">
        <v>46109</v>
      </c>
      <c r="D3283" s="28" t="str">
        <f>_xlfn.XLOOKUP(Table134526_79101120212223242526[[#This Row],[Name Surname]],Manpower!$C$4:$C$1048576,Manpower!$B$4:$B$1048576,"")</f>
        <v>Encogroup</v>
      </c>
      <c r="E3283" s="21" t="s">
        <v>59</v>
      </c>
      <c r="F3283" s="12">
        <f>_xlfn.XLOOKUP(Table134526_79101120212223242526[[#This Row],[Name Surname]],Manpower!C:C,Manpower!D:D,)</f>
        <v>141169085</v>
      </c>
      <c r="G3283" s="28" t="str">
        <f>_xlfn.XLOOKUP(Table134526_79101120212223242526[[#This Row],[Name Surname]],Manpower!$C$4:$C$1048576,Manpower!$F$4:$F$1048576,"")</f>
        <v>Welder</v>
      </c>
      <c r="H3283" s="28" t="str">
        <f>_xlfn.XLOOKUP(Table134526_79101120212223242526[[#This Row],[Name Surname]],Manpower!$C$4:$C$1048576,Manpower!$H$4:$H$1048576,"")</f>
        <v>Manpower</v>
      </c>
      <c r="I3283" s="28" t="str">
        <f>_xlfn.XLOOKUP(Table134526_79101120212223242526[[#This Row],[Name Surname]],Manpower!$C$4:$C$1048576,Manpower!$H$4:$H$1048576,"")</f>
        <v>Manpower</v>
      </c>
      <c r="J3283" s="21" t="s">
        <v>48</v>
      </c>
      <c r="K3283" s="21" t="s">
        <v>26</v>
      </c>
      <c r="L3283" s="21" t="s">
        <v>49</v>
      </c>
      <c r="M3283" s="21" t="s">
        <v>55</v>
      </c>
      <c r="N3283" s="29">
        <v>10</v>
      </c>
      <c r="R3283" s="21" t="s">
        <v>420</v>
      </c>
    </row>
    <row r="3284" spans="1:19" ht="14.4" hidden="1">
      <c r="A3284" s="38">
        <f>IF(C3284="","",MAX($A$1:A3283)+1)</f>
        <v>3005</v>
      </c>
      <c r="B3284" s="25" t="s">
        <v>19</v>
      </c>
      <c r="C3284" s="23">
        <v>46109</v>
      </c>
      <c r="D3284" s="28" t="str">
        <f>_xlfn.XLOOKUP(Table134526_79101120212223242526[[#This Row],[Name Surname]],Manpower!$C$4:$C$1048576,Manpower!$B$4:$B$1048576,"")</f>
        <v>AL Omar International TRAD AND CONT</v>
      </c>
      <c r="E3284" s="21" t="s">
        <v>36</v>
      </c>
      <c r="F3284" s="12">
        <f>_xlfn.XLOOKUP(Table134526_79101120212223242526[[#This Row],[Name Surname]],Manpower!C:C,Manpower!D:D,)</f>
        <v>114929202</v>
      </c>
      <c r="G3284" s="28" t="str">
        <f>_xlfn.XLOOKUP(Table134526_79101120212223242526[[#This Row],[Name Surname]],Manpower!$C$4:$C$1048576,Manpower!$F$4:$F$1048576,"")</f>
        <v>RIgger</v>
      </c>
      <c r="H3284" s="28" t="str">
        <f>_xlfn.XLOOKUP(Table134526_79101120212223242526[[#This Row],[Name Surname]],Manpower!$C$4:$C$1048576,Manpower!$H$4:$H$1048576,"")</f>
        <v>Sub Contactor</v>
      </c>
      <c r="I3284" s="28" t="str">
        <f>_xlfn.XLOOKUP(Table134526_79101120212223242526[[#This Row],[Name Surname]],Manpower!$C$4:$C$1048576,Manpower!$H$4:$H$1048576,"")</f>
        <v>Sub Contactor</v>
      </c>
      <c r="J3284" s="21" t="s">
        <v>48</v>
      </c>
      <c r="K3284" s="21" t="s">
        <v>26</v>
      </c>
      <c r="L3284" s="21" t="s">
        <v>49</v>
      </c>
      <c r="M3284" s="21" t="s">
        <v>55</v>
      </c>
      <c r="N3284" s="29">
        <v>10</v>
      </c>
      <c r="R3284" s="21" t="s">
        <v>420</v>
      </c>
    </row>
    <row r="3285" spans="1:19" s="45" customFormat="1" ht="14.4" hidden="1">
      <c r="A3285" s="53">
        <f>IF(C3285="","",MAX($A$1:A3284)+1)</f>
        <v>3006</v>
      </c>
      <c r="B3285" s="25" t="s">
        <v>19</v>
      </c>
      <c r="C3285" s="41">
        <v>46109</v>
      </c>
      <c r="D3285" s="48" t="str">
        <f>_xlfn.XLOOKUP(Table134526_79101120212223242526[[#This Row],[Name Surname]],Manpower!$C$4:$C$1048576,Manpower!$B$4:$B$1048576,"")</f>
        <v>Encogroup</v>
      </c>
      <c r="E3285" s="43" t="s">
        <v>37</v>
      </c>
      <c r="F3285" s="12">
        <f>_xlfn.XLOOKUP(Table134526_79101120212223242526[[#This Row],[Name Surname]],Manpower!C:C,Manpower!D:D,)</f>
        <v>140742088</v>
      </c>
      <c r="G3285" s="48" t="str">
        <f>_xlfn.XLOOKUP(Table134526_79101120212223242526[[#This Row],[Name Surname]],Manpower!$C$4:$C$1048576,Manpower!$F$4:$F$1048576,"")</f>
        <v>Fitter/Erector</v>
      </c>
      <c r="H3285" s="48" t="str">
        <f>_xlfn.XLOOKUP(Table134526_79101120212223242526[[#This Row],[Name Surname]],Manpower!$C$4:$C$1048576,Manpower!$H$4:$H$1048576,"")</f>
        <v>Manpower</v>
      </c>
      <c r="I3285" s="48" t="str">
        <f>_xlfn.XLOOKUP(Table134526_79101120212223242526[[#This Row],[Name Surname]],Manpower!$C$4:$C$1048576,Manpower!$H$4:$H$1048576,"")</f>
        <v>Manpower</v>
      </c>
      <c r="J3285" s="43" t="s">
        <v>48</v>
      </c>
      <c r="K3285" s="43" t="s">
        <v>26</v>
      </c>
      <c r="L3285" s="43" t="s">
        <v>49</v>
      </c>
      <c r="M3285" s="43" t="s">
        <v>55</v>
      </c>
      <c r="N3285" s="44">
        <v>10</v>
      </c>
      <c r="O3285" s="43"/>
      <c r="P3285" s="43"/>
      <c r="Q3285" s="43"/>
      <c r="R3285" s="43" t="s">
        <v>420</v>
      </c>
      <c r="S3285" s="43"/>
    </row>
    <row r="3286" spans="1:19" s="45" customFormat="1" ht="14.4" hidden="1">
      <c r="A3286" s="53">
        <f>IF(C3286="","",MAX($A$1:A3285)+1)</f>
        <v>3007</v>
      </c>
      <c r="B3286" s="25" t="s">
        <v>19</v>
      </c>
      <c r="C3286" s="41">
        <v>46109</v>
      </c>
      <c r="D3286" s="48" t="str">
        <f>_xlfn.XLOOKUP(Table134526_79101120212223242526[[#This Row],[Name Surname]],Manpower!$C$4:$C$1048576,Manpower!$B$4:$B$1048576,"")</f>
        <v>Encogroup</v>
      </c>
      <c r="E3286" s="43" t="s">
        <v>32</v>
      </c>
      <c r="F3286" s="12">
        <f>_xlfn.XLOOKUP(Table134526_79101120212223242526[[#This Row],[Name Surname]],Manpower!C:C,Manpower!D:D,)</f>
        <v>140697039</v>
      </c>
      <c r="G3286" s="48" t="str">
        <f>_xlfn.XLOOKUP(Table134526_79101120212223242526[[#This Row],[Name Surname]],Manpower!$C$4:$C$1048576,Manpower!$F$4:$F$1048576,"")</f>
        <v>Fitter/Erector</v>
      </c>
      <c r="H3286" s="48" t="str">
        <f>_xlfn.XLOOKUP(Table134526_79101120212223242526[[#This Row],[Name Surname]],Manpower!$C$4:$C$1048576,Manpower!$H$4:$H$1048576,"")</f>
        <v>Manpower</v>
      </c>
      <c r="I3286" s="48" t="str">
        <f>_xlfn.XLOOKUP(Table134526_79101120212223242526[[#This Row],[Name Surname]],Manpower!$C$4:$C$1048576,Manpower!$H$4:$H$1048576,"")</f>
        <v>Manpower</v>
      </c>
      <c r="J3286" s="43" t="s">
        <v>48</v>
      </c>
      <c r="K3286" s="43" t="s">
        <v>26</v>
      </c>
      <c r="L3286" s="43" t="s">
        <v>49</v>
      </c>
      <c r="M3286" s="43" t="s">
        <v>55</v>
      </c>
      <c r="N3286" s="44">
        <v>10</v>
      </c>
      <c r="O3286" s="43"/>
      <c r="P3286" s="43"/>
      <c r="Q3286" s="43"/>
      <c r="R3286" s="43" t="s">
        <v>420</v>
      </c>
      <c r="S3286" s="43"/>
    </row>
    <row r="3287" spans="1:19" ht="14.4" hidden="1">
      <c r="A3287" s="38">
        <f>IF(C3287="","",MAX($A$1:A3286)+1)</f>
        <v>3008</v>
      </c>
      <c r="B3287" s="25" t="s">
        <v>19</v>
      </c>
      <c r="C3287" s="23">
        <v>46109</v>
      </c>
      <c r="D3287" s="28" t="str">
        <f>_xlfn.XLOOKUP(Table134526_79101120212223242526[[#This Row],[Name Surname]],Manpower!$C$4:$C$1048576,Manpower!$B$4:$B$1048576,"")</f>
        <v>Encogroup</v>
      </c>
      <c r="E3287" s="21" t="s">
        <v>207</v>
      </c>
      <c r="F3287" s="12">
        <f>_xlfn.XLOOKUP(Table134526_79101120212223242526[[#This Row],[Name Surname]],Manpower!C:C,Manpower!D:D,)</f>
        <v>141359216</v>
      </c>
      <c r="G3287" s="28" t="str">
        <f>_xlfn.XLOOKUP(Table134526_79101120212223242526[[#This Row],[Name Surname]],Manpower!$C$4:$C$1048576,Manpower!$F$4:$F$1048576,"")</f>
        <v>Electrician</v>
      </c>
      <c r="H3287" s="28" t="str">
        <f>_xlfn.XLOOKUP(Table134526_79101120212223242526[[#This Row],[Name Surname]],Manpower!$C$4:$C$1048576,Manpower!$H$4:$H$1048576,"")</f>
        <v>Manpower</v>
      </c>
      <c r="I3287" s="28" t="str">
        <f>_xlfn.XLOOKUP(Table134526_79101120212223242526[[#This Row],[Name Surname]],Manpower!$C$4:$C$1048576,Manpower!$H$4:$H$1048576,"")</f>
        <v>Manpower</v>
      </c>
      <c r="J3287" s="21" t="s">
        <v>48</v>
      </c>
      <c r="K3287" s="21" t="s">
        <v>26</v>
      </c>
      <c r="L3287" s="21" t="s">
        <v>49</v>
      </c>
      <c r="M3287" s="21" t="s">
        <v>55</v>
      </c>
      <c r="N3287" s="29">
        <v>10</v>
      </c>
      <c r="R3287" s="21" t="s">
        <v>420</v>
      </c>
    </row>
    <row r="3288" spans="1:19" ht="14.4" hidden="1">
      <c r="A3288" s="38">
        <f>IF(C3288="","",MAX($A$1:A3287)+1)</f>
        <v>3009</v>
      </c>
      <c r="B3288" s="25" t="s">
        <v>19</v>
      </c>
      <c r="C3288" s="23">
        <v>46109</v>
      </c>
      <c r="D3288" s="28" t="str">
        <f>_xlfn.XLOOKUP(Table134526_79101120212223242526[[#This Row],[Name Surname]],Manpower!$C$4:$C$1048576,Manpower!$B$4:$B$1048576,"")</f>
        <v>Encogroup</v>
      </c>
      <c r="E3288" s="21" t="s">
        <v>70</v>
      </c>
      <c r="F3288" s="12">
        <f>_xlfn.XLOOKUP(Table134526_79101120212223242526[[#This Row],[Name Surname]],Manpower!C:C,Manpower!D:D,)</f>
        <v>141365126</v>
      </c>
      <c r="G3288" s="28" t="str">
        <f>_xlfn.XLOOKUP(Table134526_79101120212223242526[[#This Row],[Name Surname]],Manpower!$C$4:$C$1048576,Manpower!$F$4:$F$1048576,"")</f>
        <v>Helper</v>
      </c>
      <c r="H3288" s="28" t="str">
        <f>_xlfn.XLOOKUP(Table134526_79101120212223242526[[#This Row],[Name Surname]],Manpower!$C$4:$C$1048576,Manpower!$H$4:$H$1048576,"")</f>
        <v>Manpower</v>
      </c>
      <c r="I3288" s="28" t="str">
        <f>_xlfn.XLOOKUP(Table134526_79101120212223242526[[#This Row],[Name Surname]],Manpower!$C$4:$C$1048576,Manpower!$H$4:$H$1048576,"")</f>
        <v>Manpower</v>
      </c>
      <c r="J3288" s="21" t="s">
        <v>48</v>
      </c>
      <c r="K3288" s="21" t="s">
        <v>26</v>
      </c>
      <c r="L3288" s="21" t="s">
        <v>49</v>
      </c>
      <c r="M3288" s="21" t="s">
        <v>55</v>
      </c>
      <c r="N3288" s="29">
        <v>10</v>
      </c>
      <c r="R3288" s="21" t="s">
        <v>420</v>
      </c>
    </row>
    <row r="3289" spans="1:19" s="45" customFormat="1" ht="14.4" hidden="1">
      <c r="A3289" s="53">
        <f>IF(C3289="","",MAX($A$1:A3288)+1)</f>
        <v>3010</v>
      </c>
      <c r="B3289" s="25" t="s">
        <v>19</v>
      </c>
      <c r="C3289" s="41">
        <v>46109</v>
      </c>
      <c r="D3289" s="48" t="str">
        <f>_xlfn.XLOOKUP(Table134526_79101120212223242526[[#This Row],[Name Surname]],Manpower!$C$4:$C$1048576,Manpower!$B$4:$B$1048576,"")</f>
        <v>Bright Light</v>
      </c>
      <c r="E3289" s="43" t="s">
        <v>71</v>
      </c>
      <c r="F3289" s="12">
        <f>_xlfn.XLOOKUP(Table134526_79101120212223242526[[#This Row],[Name Surname]],Manpower!C:C,Manpower!D:D,)</f>
        <v>81379273</v>
      </c>
      <c r="G3289" s="48" t="str">
        <f>_xlfn.XLOOKUP(Table134526_79101120212223242526[[#This Row],[Name Surname]],Manpower!$C$4:$C$1048576,Manpower!$F$4:$F$1048576,"")</f>
        <v>Crane Operator-100T Sany Telescopic</v>
      </c>
      <c r="H3289" s="48" t="str">
        <f>_xlfn.XLOOKUP(Table134526_79101120212223242526[[#This Row],[Name Surname]],Manpower!$C$4:$C$1048576,Manpower!$H$4:$H$1048576,"")</f>
        <v>Manpower</v>
      </c>
      <c r="I3289" s="48" t="str">
        <f>_xlfn.XLOOKUP(Table134526_79101120212223242526[[#This Row],[Name Surname]],Manpower!$C$4:$C$1048576,Manpower!$H$4:$H$1048576,"")</f>
        <v>Manpower</v>
      </c>
      <c r="J3289" s="43" t="s">
        <v>48</v>
      </c>
      <c r="K3289" s="43" t="s">
        <v>26</v>
      </c>
      <c r="L3289" s="43" t="s">
        <v>49</v>
      </c>
      <c r="M3289" s="43" t="s">
        <v>55</v>
      </c>
      <c r="N3289" s="44">
        <v>10</v>
      </c>
      <c r="O3289" s="43"/>
      <c r="P3289" s="43"/>
      <c r="Q3289" s="43"/>
      <c r="R3289" s="43" t="s">
        <v>420</v>
      </c>
      <c r="S3289" s="43"/>
    </row>
    <row r="3290" spans="1:19" s="45" customFormat="1" ht="14.4" hidden="1">
      <c r="A3290" s="53">
        <f>IF(C3290="","",MAX($A$1:A3289)+1)</f>
        <v>3011</v>
      </c>
      <c r="B3290" s="25" t="s">
        <v>19</v>
      </c>
      <c r="C3290" s="41">
        <v>46109</v>
      </c>
      <c r="D3290" s="48" t="str">
        <f>_xlfn.XLOOKUP(Table134526_79101120212223242526[[#This Row],[Name Surname]],Manpower!$C$4:$C$1048576,Manpower!$B$4:$B$1048576,"")</f>
        <v>Encogroup</v>
      </c>
      <c r="E3290" s="43" t="s">
        <v>73</v>
      </c>
      <c r="F3290" s="12">
        <f>_xlfn.XLOOKUP(Table134526_79101120212223242526[[#This Row],[Name Surname]],Manpower!C:C,Manpower!D:D,)</f>
        <v>135325259</v>
      </c>
      <c r="G3290" s="48" t="str">
        <f>_xlfn.XLOOKUP(Table134526_79101120212223242526[[#This Row],[Name Surname]],Manpower!$C$4:$C$1048576,Manpower!$F$4:$F$1048576,"")</f>
        <v>Permit Receiver</v>
      </c>
      <c r="H3290" s="48" t="str">
        <f>_xlfn.XLOOKUP(Table134526_79101120212223242526[[#This Row],[Name Surname]],Manpower!$C$4:$C$1048576,Manpower!$H$4:$H$1048576,"")</f>
        <v>Manpower</v>
      </c>
      <c r="I3290" s="48" t="str">
        <f>_xlfn.XLOOKUP(Table134526_79101120212223242526[[#This Row],[Name Surname]],Manpower!$C$4:$C$1048576,Manpower!$H$4:$H$1048576,"")</f>
        <v>Manpower</v>
      </c>
      <c r="J3290" s="43" t="s">
        <v>48</v>
      </c>
      <c r="K3290" s="43" t="s">
        <v>26</v>
      </c>
      <c r="L3290" s="43" t="s">
        <v>49</v>
      </c>
      <c r="M3290" s="43" t="s">
        <v>55</v>
      </c>
      <c r="N3290" s="44">
        <v>10</v>
      </c>
      <c r="O3290" s="43"/>
      <c r="P3290" s="43"/>
      <c r="Q3290" s="43"/>
      <c r="R3290" s="43" t="s">
        <v>420</v>
      </c>
      <c r="S3290" s="43"/>
    </row>
    <row r="3291" spans="1:19" ht="14.4" hidden="1">
      <c r="A3291" s="38">
        <f>IF(C3291="","",MAX($A$1:A3290)+1)</f>
        <v>3012</v>
      </c>
      <c r="B3291" s="25" t="s">
        <v>19</v>
      </c>
      <c r="C3291" s="23">
        <v>46109</v>
      </c>
      <c r="D3291" s="28" t="str">
        <f>_xlfn.XLOOKUP(Table134526_79101120212223242526[[#This Row],[Name Surname]],Manpower!$C$4:$C$1048576,Manpower!$B$4:$B$1048576,"")</f>
        <v>Encogroup</v>
      </c>
      <c r="E3291" s="21" t="s">
        <v>74</v>
      </c>
      <c r="F3291" s="12">
        <f>_xlfn.XLOOKUP(Table134526_79101120212223242526[[#This Row],[Name Surname]],Manpower!C:C,Manpower!D:D,)</f>
        <v>141365089</v>
      </c>
      <c r="G3291" s="28" t="str">
        <f>_xlfn.XLOOKUP(Table134526_79101120212223242526[[#This Row],[Name Surname]],Manpower!$C$4:$C$1048576,Manpower!$F$4:$F$1048576,"")</f>
        <v>Fitter</v>
      </c>
      <c r="H3291" s="28" t="str">
        <f>_xlfn.XLOOKUP(Table134526_79101120212223242526[[#This Row],[Name Surname]],Manpower!$C$4:$C$1048576,Manpower!$H$4:$H$1048576,"")</f>
        <v>Manpower</v>
      </c>
      <c r="I3291" s="28" t="str">
        <f>_xlfn.XLOOKUP(Table134526_79101120212223242526[[#This Row],[Name Surname]],Manpower!$C$4:$C$1048576,Manpower!$H$4:$H$1048576,"")</f>
        <v>Manpower</v>
      </c>
      <c r="J3291" s="21" t="s">
        <v>48</v>
      </c>
      <c r="K3291" s="21" t="s">
        <v>26</v>
      </c>
      <c r="L3291" s="21" t="s">
        <v>49</v>
      </c>
      <c r="M3291" s="21" t="s">
        <v>55</v>
      </c>
      <c r="N3291" s="29">
        <v>10</v>
      </c>
      <c r="R3291" s="21" t="s">
        <v>420</v>
      </c>
    </row>
    <row r="3292" spans="1:19" s="45" customFormat="1" ht="14.4" hidden="1">
      <c r="A3292" s="53">
        <f>IF(C3292="","",MAX($A$1:A3291)+1)</f>
        <v>3013</v>
      </c>
      <c r="B3292" s="25" t="s">
        <v>19</v>
      </c>
      <c r="C3292" s="41">
        <v>46109</v>
      </c>
      <c r="D3292" s="48" t="str">
        <f>_xlfn.XLOOKUP(Table134526_79101120212223242526[[#This Row],[Name Surname]],Manpower!$C$4:$C$1048576,Manpower!$B$4:$B$1048576,"")</f>
        <v>Encogroup</v>
      </c>
      <c r="E3292" s="43" t="s">
        <v>75</v>
      </c>
      <c r="F3292" s="12">
        <f>_xlfn.XLOOKUP(Table134526_79101120212223242526[[#This Row],[Name Surname]],Manpower!C:C,Manpower!D:D,)</f>
        <v>122179604</v>
      </c>
      <c r="G3292" s="48" t="str">
        <f>_xlfn.XLOOKUP(Table134526_79101120212223242526[[#This Row],[Name Surname]],Manpower!$C$4:$C$1048576,Manpower!$F$4:$F$1048576,"")</f>
        <v>Fitter/Erector</v>
      </c>
      <c r="H3292" s="48" t="str">
        <f>_xlfn.XLOOKUP(Table134526_79101120212223242526[[#This Row],[Name Surname]],Manpower!$C$4:$C$1048576,Manpower!$H$4:$H$1048576,"")</f>
        <v>Manpower</v>
      </c>
      <c r="I3292" s="48" t="str">
        <f>_xlfn.XLOOKUP(Table134526_79101120212223242526[[#This Row],[Name Surname]],Manpower!$C$4:$C$1048576,Manpower!$H$4:$H$1048576,"")</f>
        <v>Manpower</v>
      </c>
      <c r="J3292" s="43" t="s">
        <v>48</v>
      </c>
      <c r="K3292" s="43" t="s">
        <v>26</v>
      </c>
      <c r="L3292" s="43" t="s">
        <v>49</v>
      </c>
      <c r="M3292" s="43" t="s">
        <v>55</v>
      </c>
      <c r="N3292" s="44">
        <v>10</v>
      </c>
      <c r="O3292" s="43"/>
      <c r="P3292" s="43"/>
      <c r="Q3292" s="43"/>
      <c r="R3292" s="43" t="s">
        <v>420</v>
      </c>
      <c r="S3292" s="43"/>
    </row>
    <row r="3293" spans="1:19" s="45" customFormat="1" ht="14.4" hidden="1">
      <c r="A3293" s="53">
        <f>IF(C3293="","",MAX($A$1:A3292)+1)</f>
        <v>3014</v>
      </c>
      <c r="B3293" s="25" t="s">
        <v>19</v>
      </c>
      <c r="C3293" s="41">
        <v>46109</v>
      </c>
      <c r="D3293" s="48" t="str">
        <f>_xlfn.XLOOKUP(Table134526_79101120212223242526[[#This Row],[Name Surname]],Manpower!$C$4:$C$1048576,Manpower!$B$4:$B$1048576,"")</f>
        <v>Encogroup</v>
      </c>
      <c r="E3293" s="43" t="s">
        <v>78</v>
      </c>
      <c r="F3293" s="12">
        <f>_xlfn.XLOOKUP(Table134526_79101120212223242526[[#This Row],[Name Surname]],Manpower!C:C,Manpower!D:D,)</f>
        <v>117255966</v>
      </c>
      <c r="G3293" s="48" t="str">
        <f>_xlfn.XLOOKUP(Table134526_79101120212223242526[[#This Row],[Name Surname]],Manpower!$C$4:$C$1048576,Manpower!$F$4:$F$1048576,"")</f>
        <v>Mechanical Supervisor</v>
      </c>
      <c r="H3293" s="48" t="str">
        <f>_xlfn.XLOOKUP(Table134526_79101120212223242526[[#This Row],[Name Surname]],Manpower!$C$4:$C$1048576,Manpower!$H$4:$H$1048576,"")</f>
        <v>Manpower</v>
      </c>
      <c r="I3293" s="48" t="str">
        <f>_xlfn.XLOOKUP(Table134526_79101120212223242526[[#This Row],[Name Surname]],Manpower!$C$4:$C$1048576,Manpower!$H$4:$H$1048576,"")</f>
        <v>Manpower</v>
      </c>
      <c r="J3293" s="43" t="s">
        <v>48</v>
      </c>
      <c r="K3293" s="43" t="s">
        <v>26</v>
      </c>
      <c r="L3293" s="43" t="s">
        <v>49</v>
      </c>
      <c r="M3293" s="43" t="s">
        <v>55</v>
      </c>
      <c r="N3293" s="44">
        <v>10</v>
      </c>
      <c r="O3293" s="43"/>
      <c r="P3293" s="43"/>
      <c r="Q3293" s="43"/>
      <c r="R3293" s="43" t="s">
        <v>420</v>
      </c>
      <c r="S3293" s="43"/>
    </row>
    <row r="3294" spans="1:19" ht="14.4" hidden="1">
      <c r="A3294" s="38">
        <f>IF(C3294="","",MAX($A$1:A3293)+1)</f>
        <v>3015</v>
      </c>
      <c r="B3294" s="37" t="s">
        <v>141</v>
      </c>
      <c r="C3294" s="23">
        <v>46109</v>
      </c>
      <c r="D3294" s="28" t="str">
        <f>_xlfn.XLOOKUP(Table134526_79101120212223242526[[#This Row],[Name Surname]],Manpower!$C$4:$C$1048576,Manpower!$B$4:$B$1048576,"")</f>
        <v>Encogroup</v>
      </c>
      <c r="E3294" s="21" t="s">
        <v>377</v>
      </c>
      <c r="F3294" s="12">
        <f>_xlfn.XLOOKUP(Table134526_79101120212223242526[[#This Row],[Name Surname]],Manpower!C:C,Manpower!D:D,)</f>
        <v>141322485</v>
      </c>
      <c r="G3294" s="28" t="str">
        <f>_xlfn.XLOOKUP(Table134526_79101120212223242526[[#This Row],[Name Surname]],Manpower!$C$4:$C$1048576,Manpower!$F$4:$F$1048576,"")</f>
        <v>Electrical Engineer</v>
      </c>
      <c r="H3294" s="28" t="str">
        <f>_xlfn.XLOOKUP(Table134526_79101120212223242526[[#This Row],[Name Surname]],Manpower!$C$4:$C$1048576,Manpower!$H$4:$H$1048576,"")</f>
        <v>Manpower</v>
      </c>
      <c r="I3294" s="28" t="str">
        <f>_xlfn.XLOOKUP(Table134526_79101120212223242526[[#This Row],[Name Surname]],Manpower!$C$4:$C$1048576,Manpower!$H$4:$H$1048576,"")</f>
        <v>Manpower</v>
      </c>
      <c r="J3294" s="21" t="s">
        <v>378</v>
      </c>
      <c r="K3294" s="21" t="s">
        <v>26</v>
      </c>
      <c r="L3294" s="21" t="s">
        <v>379</v>
      </c>
      <c r="M3294" s="21" t="s">
        <v>55</v>
      </c>
      <c r="N3294" s="29">
        <v>10</v>
      </c>
      <c r="R3294" s="21" t="s">
        <v>420</v>
      </c>
    </row>
    <row r="3295" spans="1:19" ht="14.4" hidden="1">
      <c r="A3295" s="38">
        <f>IF(C3295="","",MAX($A$1:A3294)+1)</f>
        <v>3016</v>
      </c>
      <c r="B3295" s="37" t="s">
        <v>141</v>
      </c>
      <c r="C3295" s="23">
        <v>46109</v>
      </c>
      <c r="D3295" s="28" t="str">
        <f>_xlfn.XLOOKUP(Table134526_79101120212223242526[[#This Row],[Name Surname]],Manpower!$C$4:$C$1048576,Manpower!$B$4:$B$1048576,"")</f>
        <v>Encogroup</v>
      </c>
      <c r="E3295" s="21" t="s">
        <v>382</v>
      </c>
      <c r="F3295" s="12">
        <f>_xlfn.XLOOKUP(Table134526_79101120212223242526[[#This Row],[Name Surname]],Manpower!C:C,Manpower!D:D,)</f>
        <v>127414586</v>
      </c>
      <c r="G3295" s="28" t="str">
        <f>_xlfn.XLOOKUP(Table134526_79101120212223242526[[#This Row],[Name Surname]],Manpower!$C$4:$C$1048576,Manpower!$F$4:$F$1048576,"")</f>
        <v>HSE Officer</v>
      </c>
      <c r="H3295" s="28" t="str">
        <f>_xlfn.XLOOKUP(Table134526_79101120212223242526[[#This Row],[Name Surname]],Manpower!$C$4:$C$1048576,Manpower!$H$4:$H$1048576,"")</f>
        <v>Manpower</v>
      </c>
      <c r="I3295" s="28" t="str">
        <f>_xlfn.XLOOKUP(Table134526_79101120212223242526[[#This Row],[Name Surname]],Manpower!$C$4:$C$1048576,Manpower!$H$4:$H$1048576,"")</f>
        <v>Manpower</v>
      </c>
      <c r="J3295" s="21" t="s">
        <v>378</v>
      </c>
      <c r="K3295" s="21" t="s">
        <v>26</v>
      </c>
      <c r="L3295" s="21" t="s">
        <v>379</v>
      </c>
      <c r="M3295" s="21" t="s">
        <v>55</v>
      </c>
      <c r="N3295" s="29">
        <v>10</v>
      </c>
      <c r="R3295" s="21" t="s">
        <v>420</v>
      </c>
    </row>
    <row r="3296" spans="1:19" ht="14.4" hidden="1">
      <c r="A3296" s="38">
        <f>IF(C3296="","",MAX($A$1:A3295)+1)</f>
        <v>3017</v>
      </c>
      <c r="B3296" s="37" t="s">
        <v>141</v>
      </c>
      <c r="C3296" s="23">
        <v>46109</v>
      </c>
      <c r="D3296" s="28" t="str">
        <f>_xlfn.XLOOKUP(Table134526_79101120212223242526[[#This Row],[Name Surname]],Manpower!$C$4:$C$1048576,Manpower!$B$4:$B$1048576,"")</f>
        <v>Encogroup</v>
      </c>
      <c r="E3296" s="21" t="s">
        <v>383</v>
      </c>
      <c r="F3296" s="12">
        <f>_xlfn.XLOOKUP(Table134526_79101120212223242526[[#This Row],[Name Surname]],Manpower!C:C,Manpower!D:D,)</f>
        <v>71437827</v>
      </c>
      <c r="G3296" s="28" t="str">
        <f>_xlfn.XLOOKUP(Table134526_79101120212223242526[[#This Row],[Name Surname]],Manpower!$C$4:$C$1048576,Manpower!$F$4:$F$1048576,"")</f>
        <v>Electrical  Supervisor</v>
      </c>
      <c r="H3296" s="28" t="str">
        <f>_xlfn.XLOOKUP(Table134526_79101120212223242526[[#This Row],[Name Surname]],Manpower!$C$4:$C$1048576,Manpower!$H$4:$H$1048576,"")</f>
        <v>Manpower</v>
      </c>
      <c r="I3296" s="28" t="str">
        <f>_xlfn.XLOOKUP(Table134526_79101120212223242526[[#This Row],[Name Surname]],Manpower!$C$4:$C$1048576,Manpower!$H$4:$H$1048576,"")</f>
        <v>Manpower</v>
      </c>
      <c r="J3296" s="21" t="s">
        <v>378</v>
      </c>
      <c r="K3296" s="21" t="s">
        <v>26</v>
      </c>
      <c r="L3296" s="21" t="s">
        <v>379</v>
      </c>
      <c r="M3296" s="21" t="s">
        <v>55</v>
      </c>
      <c r="N3296" s="29">
        <v>10</v>
      </c>
      <c r="R3296" s="21" t="s">
        <v>420</v>
      </c>
    </row>
    <row r="3297" spans="1:20" ht="14.4" hidden="1">
      <c r="A3297" s="38">
        <f>IF(C3297="","",MAX($A$1:A3296)+1)</f>
        <v>3018</v>
      </c>
      <c r="B3297" s="37" t="s">
        <v>141</v>
      </c>
      <c r="C3297" s="23">
        <v>46109</v>
      </c>
      <c r="D3297" s="28" t="str">
        <f>_xlfn.XLOOKUP(Table134526_79101120212223242526[[#This Row],[Name Surname]],Manpower!$C$4:$C$1048576,Manpower!$B$4:$B$1048576,"")</f>
        <v>Encogroup</v>
      </c>
      <c r="E3297" s="21" t="s">
        <v>218</v>
      </c>
      <c r="F3297" s="12">
        <f>_xlfn.XLOOKUP(Table134526_79101120212223242526[[#This Row],[Name Surname]],Manpower!C:C,Manpower!D:D,)</f>
        <v>116853914</v>
      </c>
      <c r="G3297" s="28" t="str">
        <f>_xlfn.XLOOKUP(Table134526_79101120212223242526[[#This Row],[Name Surname]],Manpower!$C$4:$C$1048576,Manpower!$F$4:$F$1048576,"")</f>
        <v>Electrical Supervisor</v>
      </c>
      <c r="H3297" s="28" t="str">
        <f>_xlfn.XLOOKUP(Table134526_79101120212223242526[[#This Row],[Name Surname]],Manpower!$C$4:$C$1048576,Manpower!$H$4:$H$1048576,"")</f>
        <v>Manpower</v>
      </c>
      <c r="I3297" s="28" t="str">
        <f>_xlfn.XLOOKUP(Table134526_79101120212223242526[[#This Row],[Name Surname]],Manpower!$C$4:$C$1048576,Manpower!$H$4:$H$1048576,"")</f>
        <v>Manpower</v>
      </c>
      <c r="J3297" s="21" t="s">
        <v>378</v>
      </c>
      <c r="K3297" s="21" t="s">
        <v>26</v>
      </c>
      <c r="L3297" s="21" t="s">
        <v>379</v>
      </c>
      <c r="M3297" s="21" t="s">
        <v>55</v>
      </c>
      <c r="N3297" s="29">
        <v>10</v>
      </c>
      <c r="R3297" s="21" t="s">
        <v>420</v>
      </c>
    </row>
    <row r="3298" spans="1:20" ht="14.4" hidden="1">
      <c r="A3298" s="38">
        <f>IF(C3298="","",MAX($A$1:A3297)+1)</f>
        <v>3019</v>
      </c>
      <c r="B3298" s="37" t="s">
        <v>141</v>
      </c>
      <c r="C3298" s="23">
        <v>46109</v>
      </c>
      <c r="D3298" s="28" t="str">
        <f>_xlfn.XLOOKUP(Table134526_79101120212223242526[[#This Row],[Name Surname]],Manpower!$C$4:$C$1048576,Manpower!$B$4:$B$1048576,"")</f>
        <v>Encogroup</v>
      </c>
      <c r="E3298" s="21" t="s">
        <v>384</v>
      </c>
      <c r="F3298" s="12">
        <f>_xlfn.XLOOKUP(Table134526_79101120212223242526[[#This Row],[Name Surname]],Manpower!C:C,Manpower!D:D,)</f>
        <v>141307968</v>
      </c>
      <c r="G3298" s="28" t="str">
        <f>_xlfn.XLOOKUP(Table134526_79101120212223242526[[#This Row],[Name Surname]],Manpower!$C$4:$C$1048576,Manpower!$F$4:$F$1048576,"")</f>
        <v>Mechanical Supervisor</v>
      </c>
      <c r="H3298" s="28" t="str">
        <f>_xlfn.XLOOKUP(Table134526_79101120212223242526[[#This Row],[Name Surname]],Manpower!$C$4:$C$1048576,Manpower!$H$4:$H$1048576,"")</f>
        <v>Manpower</v>
      </c>
      <c r="I3298" s="28" t="str">
        <f>_xlfn.XLOOKUP(Table134526_79101120212223242526[[#This Row],[Name Surname]],Manpower!$C$4:$C$1048576,Manpower!$H$4:$H$1048576,"")</f>
        <v>Manpower</v>
      </c>
      <c r="J3298" s="21" t="s">
        <v>378</v>
      </c>
      <c r="K3298" s="21" t="s">
        <v>26</v>
      </c>
      <c r="L3298" s="21" t="s">
        <v>379</v>
      </c>
      <c r="M3298" s="21" t="s">
        <v>55</v>
      </c>
      <c r="N3298" s="29">
        <v>10</v>
      </c>
      <c r="R3298" s="21" t="s">
        <v>420</v>
      </c>
    </row>
    <row r="3299" spans="1:20" ht="14.4" hidden="1">
      <c r="A3299" s="38">
        <f>IF(C3299="","",MAX($A$1:A3298)+1)</f>
        <v>3020</v>
      </c>
      <c r="B3299" s="37" t="s">
        <v>141</v>
      </c>
      <c r="C3299" s="23">
        <v>46109</v>
      </c>
      <c r="D3299" s="28" t="str">
        <f>_xlfn.XLOOKUP(Table134526_79101120212223242526[[#This Row],[Name Surname]],Manpower!$C$4:$C$1048576,Manpower!$B$4:$B$1048576,"")</f>
        <v>Encogroup</v>
      </c>
      <c r="E3299" s="21" t="s">
        <v>385</v>
      </c>
      <c r="F3299" s="12">
        <f>_xlfn.XLOOKUP(Table134526_79101120212223242526[[#This Row],[Name Surname]],Manpower!C:C,Manpower!D:D,)</f>
        <v>141307921</v>
      </c>
      <c r="G3299" s="28" t="str">
        <f>_xlfn.XLOOKUP(Table134526_79101120212223242526[[#This Row],[Name Surname]],Manpower!$C$4:$C$1048576,Manpower!$F$4:$F$1048576,"")</f>
        <v>Mechanical Assistant</v>
      </c>
      <c r="H3299" s="28" t="str">
        <f>_xlfn.XLOOKUP(Table134526_79101120212223242526[[#This Row],[Name Surname]],Manpower!$C$4:$C$1048576,Manpower!$H$4:$H$1048576,"")</f>
        <v>Manpower</v>
      </c>
      <c r="I3299" s="28" t="str">
        <f>_xlfn.XLOOKUP(Table134526_79101120212223242526[[#This Row],[Name Surname]],Manpower!$C$4:$C$1048576,Manpower!$H$4:$H$1048576,"")</f>
        <v>Manpower</v>
      </c>
      <c r="J3299" s="21" t="s">
        <v>378</v>
      </c>
      <c r="K3299" s="21" t="s">
        <v>26</v>
      </c>
      <c r="L3299" s="21" t="s">
        <v>379</v>
      </c>
      <c r="M3299" s="21" t="s">
        <v>55</v>
      </c>
      <c r="N3299" s="29">
        <v>10</v>
      </c>
      <c r="R3299" s="21" t="s">
        <v>420</v>
      </c>
    </row>
    <row r="3300" spans="1:20" ht="14.4" hidden="1">
      <c r="A3300" s="38">
        <f>IF(C3300="","",MAX($A$1:A3299)+1)</f>
        <v>3021</v>
      </c>
      <c r="B3300" s="37" t="s">
        <v>141</v>
      </c>
      <c r="C3300" s="23">
        <v>46109</v>
      </c>
      <c r="D3300" s="28" t="str">
        <f>_xlfn.XLOOKUP(Table134526_79101120212223242526[[#This Row],[Name Surname]],Manpower!$C$4:$C$1048576,Manpower!$B$4:$B$1048576,"")</f>
        <v>Encogroup</v>
      </c>
      <c r="E3300" s="21" t="s">
        <v>61</v>
      </c>
      <c r="F3300" s="12">
        <f>_xlfn.XLOOKUP(Table134526_79101120212223242526[[#This Row],[Name Surname]],Manpower!C:C,Manpower!D:D,)</f>
        <v>141169047</v>
      </c>
      <c r="G3300" s="28" t="str">
        <f>_xlfn.XLOOKUP(Table134526_79101120212223242526[[#This Row],[Name Surname]],Manpower!$C$4:$C$1048576,Manpower!$F$4:$F$1048576,"")</f>
        <v>Welder</v>
      </c>
      <c r="H3300" s="28" t="str">
        <f>_xlfn.XLOOKUP(Table134526_79101120212223242526[[#This Row],[Name Surname]],Manpower!$C$4:$C$1048576,Manpower!$H$4:$H$1048576,"")</f>
        <v>Manpower</v>
      </c>
      <c r="I3300" s="28" t="str">
        <f>_xlfn.XLOOKUP(Table134526_79101120212223242526[[#This Row],[Name Surname]],Manpower!$C$4:$C$1048576,Manpower!$H$4:$H$1048576,"")</f>
        <v>Manpower</v>
      </c>
      <c r="J3300" s="21" t="s">
        <v>378</v>
      </c>
      <c r="K3300" s="21" t="s">
        <v>26</v>
      </c>
      <c r="L3300" s="21" t="s">
        <v>379</v>
      </c>
      <c r="M3300" s="21" t="s">
        <v>55</v>
      </c>
      <c r="N3300" s="29">
        <v>10</v>
      </c>
      <c r="R3300" s="21" t="s">
        <v>420</v>
      </c>
    </row>
    <row r="3301" spans="1:20" ht="14.4">
      <c r="A3301" s="38">
        <f>IF(C3301="","",MAX($A$1:A3300)+1)</f>
        <v>3022</v>
      </c>
      <c r="B3301" s="36" t="s">
        <v>141</v>
      </c>
      <c r="C3301" s="23">
        <v>46109</v>
      </c>
      <c r="D3301" s="28" t="str">
        <f>_xlfn.XLOOKUP(Table134526_79101120212223242526[[#This Row],[Name Surname]],Manpower!$C$4:$C$1048576,Manpower!$B$4:$B$1048576,"")</f>
        <v>Encogroup</v>
      </c>
      <c r="E3301" s="21" t="s">
        <v>80</v>
      </c>
      <c r="F3301" s="12" t="e">
        <f>_xlfn.XLOOKUP(Table134526_79101120212223242526[[#This Row],[Name Surname]],Manpower!C:C,Manpower!D:D,)</f>
        <v>#N/A</v>
      </c>
      <c r="G3301" s="28" t="str">
        <f>_xlfn.XLOOKUP(Table134526_79101120212223242526[[#This Row],[Name Surname]],Manpower!$C$4:$C$1048576,Manpower!$F$4:$F$1048576,"")</f>
        <v>22M-Manlift</v>
      </c>
      <c r="H3301" s="28" t="str">
        <f>_xlfn.XLOOKUP(Table134526_79101120212223242526[[#This Row],[Name Surname]],Manpower!$C$4:$C$1048576,Manpower!$H$4:$H$1048576,"")</f>
        <v>Equipment</v>
      </c>
      <c r="I3301" s="28" t="str">
        <f>_xlfn.XLOOKUP(Table134526_79101120212223242526[[#This Row],[Name Surname]],Manpower!$C$4:$C$1048576,Manpower!$H$4:$H$1048576,"")</f>
        <v>Equipment</v>
      </c>
      <c r="J3301" s="21" t="s">
        <v>35</v>
      </c>
      <c r="K3301" s="21" t="s">
        <v>26</v>
      </c>
      <c r="L3301" s="21" t="s">
        <v>82</v>
      </c>
      <c r="M3301" s="21" t="s">
        <v>55</v>
      </c>
      <c r="N3301" s="29">
        <v>10</v>
      </c>
      <c r="R3301" s="21" t="s">
        <v>420</v>
      </c>
    </row>
    <row r="3302" spans="1:20" ht="14.4">
      <c r="A3302" s="38">
        <f>IF(C3302="","",MAX($A$1:A3301)+1)</f>
        <v>3023</v>
      </c>
      <c r="B3302" s="36" t="s">
        <v>141</v>
      </c>
      <c r="C3302" s="23">
        <v>46109</v>
      </c>
      <c r="D3302" s="28" t="str">
        <f>_xlfn.XLOOKUP(Table134526_79101120212223242526[[#This Row],[Name Surname]],Manpower!$C$4:$C$1048576,Manpower!$B$4:$B$1048576,"")</f>
        <v>Encogroup</v>
      </c>
      <c r="E3302" s="21" t="s">
        <v>84</v>
      </c>
      <c r="F3302" s="12" t="e">
        <f>_xlfn.XLOOKUP(Table134526_79101120212223242526[[#This Row],[Name Surname]],Manpower!C:C,Manpower!D:D,)</f>
        <v>#N/A</v>
      </c>
      <c r="G3302" s="28" t="str">
        <f>_xlfn.XLOOKUP(Table134526_79101120212223242526[[#This Row],[Name Surname]],Manpower!$C$4:$C$1048576,Manpower!$F$4:$F$1048576,"")</f>
        <v>22M-Manlift</v>
      </c>
      <c r="H3302" s="28" t="str">
        <f>_xlfn.XLOOKUP(Table134526_79101120212223242526[[#This Row],[Name Surname]],Manpower!$C$4:$C$1048576,Manpower!$H$4:$H$1048576,"")</f>
        <v>Equipment</v>
      </c>
      <c r="I3302" s="28" t="str">
        <f>_xlfn.XLOOKUP(Table134526_79101120212223242526[[#This Row],[Name Surname]],Manpower!$C$4:$C$1048576,Manpower!$H$4:$H$1048576,"")</f>
        <v>Equipment</v>
      </c>
      <c r="J3302" s="21" t="s">
        <v>35</v>
      </c>
      <c r="K3302" s="21" t="s">
        <v>26</v>
      </c>
      <c r="L3302" s="21" t="s">
        <v>82</v>
      </c>
      <c r="M3302" s="21" t="s">
        <v>55</v>
      </c>
      <c r="N3302" s="29">
        <v>10</v>
      </c>
      <c r="R3302" s="21" t="s">
        <v>420</v>
      </c>
    </row>
    <row r="3303" spans="1:20" ht="14.4">
      <c r="A3303" s="38">
        <f>IF(C3303="","",MAX($A$1:A3302)+1)</f>
        <v>3024</v>
      </c>
      <c r="B3303" s="36" t="s">
        <v>141</v>
      </c>
      <c r="C3303" s="23">
        <v>46109</v>
      </c>
      <c r="D3303" s="28" t="str">
        <f>_xlfn.XLOOKUP(Table134526_79101120212223242526[[#This Row],[Name Surname]],Manpower!$C$4:$C$1048576,Manpower!$B$4:$B$1048576,"")</f>
        <v>Encogroup</v>
      </c>
      <c r="E3303" s="21" t="s">
        <v>341</v>
      </c>
      <c r="F3303" s="12" t="e">
        <f>_xlfn.XLOOKUP(Table134526_79101120212223242526[[#This Row],[Name Surname]],Manpower!C:C,Manpower!D:D,)</f>
        <v>#N/A</v>
      </c>
      <c r="G3303" s="28" t="str">
        <f>_xlfn.XLOOKUP(Table134526_79101120212223242526[[#This Row],[Name Surname]],Manpower!$C$4:$C$1048576,Manpower!$F$4:$F$1048576,"")</f>
        <v>SCISSOR LIFT</v>
      </c>
      <c r="H3303" s="28" t="str">
        <f>_xlfn.XLOOKUP(Table134526_79101120212223242526[[#This Row],[Name Surname]],Manpower!$C$4:$C$1048576,Manpower!$H$4:$H$1048576,"")</f>
        <v>Equipment</v>
      </c>
      <c r="I3303" s="28" t="str">
        <f>_xlfn.XLOOKUP(Table134526_79101120212223242526[[#This Row],[Name Surname]],Manpower!$C$4:$C$1048576,Manpower!$H$4:$H$1048576,"")</f>
        <v>Equipment</v>
      </c>
      <c r="J3303" s="21" t="s">
        <v>35</v>
      </c>
      <c r="K3303" s="21" t="s">
        <v>26</v>
      </c>
      <c r="L3303" s="21" t="s">
        <v>82</v>
      </c>
      <c r="M3303" s="21" t="s">
        <v>55</v>
      </c>
      <c r="N3303" s="29">
        <v>10</v>
      </c>
      <c r="R3303" s="21" t="s">
        <v>420</v>
      </c>
    </row>
    <row r="3304" spans="1:20" ht="14.4">
      <c r="A3304" s="38">
        <f>IF(C3304="","",MAX($A$1:A3303)+1)</f>
        <v>3025</v>
      </c>
      <c r="B3304" s="36" t="s">
        <v>141</v>
      </c>
      <c r="C3304" s="23">
        <v>46109</v>
      </c>
      <c r="D3304" s="28" t="str">
        <f>_xlfn.XLOOKUP(Table134526_79101120212223242526[[#This Row],[Name Surname]],Manpower!$C$4:$C$1048576,Manpower!$B$4:$B$1048576,"")</f>
        <v>Nass Group</v>
      </c>
      <c r="E3304" s="21" t="s">
        <v>86</v>
      </c>
      <c r="F3304" s="12" t="e">
        <f>_xlfn.XLOOKUP(Table134526_79101120212223242526[[#This Row],[Name Surname]],Manpower!C:C,Manpower!D:D,)</f>
        <v>#N/A</v>
      </c>
      <c r="G3304" s="28" t="str">
        <f>_xlfn.XLOOKUP(Table134526_79101120212223242526[[#This Row],[Name Surname]],Manpower!$C$4:$C$1048576,Manpower!$F$4:$F$1048576,"")</f>
        <v>70T-Telescopic crane</v>
      </c>
      <c r="H3304" s="28" t="str">
        <f>_xlfn.XLOOKUP(Table134526_79101120212223242526[[#This Row],[Name Surname]],Manpower!$C$4:$C$1048576,Manpower!$H$4:$H$1048576,"")</f>
        <v>Equipment</v>
      </c>
      <c r="I3304" s="28" t="str">
        <f>_xlfn.XLOOKUP(Table134526_79101120212223242526[[#This Row],[Name Surname]],Manpower!$C$4:$C$1048576,Manpower!$H$4:$H$1048576,"")</f>
        <v>Equipment</v>
      </c>
      <c r="J3304" s="21" t="s">
        <v>35</v>
      </c>
      <c r="K3304" s="21" t="s">
        <v>26</v>
      </c>
      <c r="L3304" s="21" t="s">
        <v>82</v>
      </c>
      <c r="M3304" s="21" t="s">
        <v>55</v>
      </c>
      <c r="N3304" s="29">
        <v>10</v>
      </c>
      <c r="R3304" s="21" t="s">
        <v>420</v>
      </c>
    </row>
    <row r="3305" spans="1:20" ht="14.4" hidden="1">
      <c r="A3305" s="38">
        <f>IF(C3305="","",MAX($A$1:A3304)+1)</f>
        <v>3026</v>
      </c>
      <c r="B3305" s="36" t="s">
        <v>141</v>
      </c>
      <c r="C3305" s="23">
        <v>46109</v>
      </c>
      <c r="D3305" s="28" t="str">
        <f>_xlfn.XLOOKUP(Table134526_79101120212223242526[[#This Row],[Name Surname]],Manpower!$C$4:$C$1048576,Manpower!$B$4:$B$1048576,"")</f>
        <v>SARENS NASS</v>
      </c>
      <c r="E3305" s="21" t="s">
        <v>103</v>
      </c>
      <c r="F3305" s="12">
        <f>_xlfn.XLOOKUP(Table134526_79101120212223242526[[#This Row],[Name Surname]],Manpower!C:C,Manpower!D:D,)</f>
        <v>79502392</v>
      </c>
      <c r="G3305" s="28" t="str">
        <f>_xlfn.XLOOKUP(Table134526_79101120212223242526[[#This Row],[Name Surname]],Manpower!$C$4:$C$1048576,Manpower!$F$4:$F$1048576,"")</f>
        <v>Crane Operator- 70T Liebherr Telescopic Crane-01</v>
      </c>
      <c r="H3305" s="28" t="str">
        <f>_xlfn.XLOOKUP(Table134526_79101120212223242526[[#This Row],[Name Surname]],Manpower!$C$4:$C$1048576,Manpower!$H$4:$H$1048576,"")</f>
        <v>Manpower</v>
      </c>
      <c r="I3305" s="28" t="str">
        <f>_xlfn.XLOOKUP(Table134526_79101120212223242526[[#This Row],[Name Surname]],Manpower!$C$4:$C$1048576,Manpower!$H$4:$H$1048576,"")</f>
        <v>Manpower</v>
      </c>
      <c r="J3305" s="21" t="s">
        <v>35</v>
      </c>
      <c r="K3305" s="21" t="s">
        <v>26</v>
      </c>
      <c r="L3305" s="21" t="s">
        <v>82</v>
      </c>
      <c r="M3305" s="21" t="s">
        <v>55</v>
      </c>
      <c r="N3305" s="29">
        <v>10</v>
      </c>
      <c r="R3305" s="21" t="s">
        <v>420</v>
      </c>
    </row>
    <row r="3306" spans="1:20" ht="14.4">
      <c r="A3306" s="38">
        <f>IF(C3306="","",MAX($A$1:A3305)+1)</f>
        <v>3027</v>
      </c>
      <c r="B3306" s="36" t="s">
        <v>141</v>
      </c>
      <c r="C3306" s="23">
        <v>46109</v>
      </c>
      <c r="D3306" s="28" t="str">
        <f>_xlfn.XLOOKUP(Table134526_79101120212223242526[[#This Row],[Name Surname]],Manpower!$C$4:$C$1048576,Manpower!$B$4:$B$1048576,"")</f>
        <v>Nass Group</v>
      </c>
      <c r="E3306" s="21" t="s">
        <v>146</v>
      </c>
      <c r="F3306" s="12" t="e">
        <f>_xlfn.XLOOKUP(Table134526_79101120212223242526[[#This Row],[Name Surname]],Manpower!C:C,Manpower!D:D,)</f>
        <v>#N/A</v>
      </c>
      <c r="G3306" s="28" t="str">
        <f>_xlfn.XLOOKUP(Table134526_79101120212223242526[[#This Row],[Name Surname]],Manpower!$C$4:$C$1048576,Manpower!$F$4:$F$1048576,"")</f>
        <v>130T Crawler Crane</v>
      </c>
      <c r="H3306" s="28" t="str">
        <f>_xlfn.XLOOKUP(Table134526_79101120212223242526[[#This Row],[Name Surname]],Manpower!$C$4:$C$1048576,Manpower!$H$4:$H$1048576,"")</f>
        <v>Equipment</v>
      </c>
      <c r="I3306" s="28" t="str">
        <f>_xlfn.XLOOKUP(Table134526_79101120212223242526[[#This Row],[Name Surname]],Manpower!$C$4:$C$1048576,Manpower!$H$4:$H$1048576,"")</f>
        <v>Equipment</v>
      </c>
      <c r="J3306" s="21" t="s">
        <v>35</v>
      </c>
      <c r="K3306" s="21" t="s">
        <v>26</v>
      </c>
      <c r="L3306" s="21" t="s">
        <v>82</v>
      </c>
      <c r="M3306" s="21" t="s">
        <v>55</v>
      </c>
      <c r="N3306" s="29">
        <v>10</v>
      </c>
      <c r="R3306" s="21" t="s">
        <v>420</v>
      </c>
    </row>
    <row r="3307" spans="1:20" ht="14.4" hidden="1">
      <c r="A3307" s="38">
        <f>IF(C3307="","",MAX($A$1:A3306)+1)</f>
        <v>3028</v>
      </c>
      <c r="B3307" s="36" t="s">
        <v>141</v>
      </c>
      <c r="C3307" s="23">
        <v>46109</v>
      </c>
      <c r="D3307" s="28" t="str">
        <f>_xlfn.XLOOKUP(Table134526_79101120212223242526[[#This Row],[Name Surname]],Manpower!$C$4:$C$1048576,Manpower!$B$4:$B$1048576,"")</f>
        <v>SARENS NASS</v>
      </c>
      <c r="E3307" s="21" t="s">
        <v>214</v>
      </c>
      <c r="F3307" s="12">
        <f>_xlfn.XLOOKUP(Table134526_79101120212223242526[[#This Row],[Name Surname]],Manpower!C:C,Manpower!D:D,)</f>
        <v>109957631</v>
      </c>
      <c r="G3307" s="28" t="str">
        <f>_xlfn.XLOOKUP(Table134526_79101120212223242526[[#This Row],[Name Surname]],Manpower!$C$4:$C$1048576,Manpower!$F$4:$F$1048576,"")</f>
        <v>Crane Operator-130T Liebherr Crawler</v>
      </c>
      <c r="H3307" s="28" t="str">
        <f>_xlfn.XLOOKUP(Table134526_79101120212223242526[[#This Row],[Name Surname]],Manpower!$C$4:$C$1048576,Manpower!$H$4:$H$1048576,"")</f>
        <v>Manpower</v>
      </c>
      <c r="I3307" s="28" t="str">
        <f>_xlfn.XLOOKUP(Table134526_79101120212223242526[[#This Row],[Name Surname]],Manpower!$C$4:$C$1048576,Manpower!$H$4:$H$1048576,"")</f>
        <v>Manpower</v>
      </c>
      <c r="J3307" s="21" t="s">
        <v>35</v>
      </c>
      <c r="K3307" s="21" t="s">
        <v>26</v>
      </c>
      <c r="L3307" s="21" t="s">
        <v>82</v>
      </c>
      <c r="M3307" s="21" t="s">
        <v>55</v>
      </c>
      <c r="N3307" s="29">
        <v>10</v>
      </c>
      <c r="R3307" s="21" t="s">
        <v>420</v>
      </c>
    </row>
    <row r="3308" spans="1:20" s="45" customFormat="1" ht="14.4" hidden="1">
      <c r="A3308" s="53">
        <f>IF(C3308="","",MAX($A$1:A3307)+1)</f>
        <v>3029</v>
      </c>
      <c r="B3308" s="36" t="s">
        <v>141</v>
      </c>
      <c r="C3308" s="23">
        <v>46109</v>
      </c>
      <c r="D3308" s="28" t="str">
        <f>_xlfn.XLOOKUP(Table134526_79101120212223242526[[#This Row],[Name Surname]],Manpower!$C$4:$C$1048576,Manpower!$B$4:$B$1048576,"")</f>
        <v>Encogroup</v>
      </c>
      <c r="E3308" s="21" t="s">
        <v>136</v>
      </c>
      <c r="F3308" s="12">
        <f>_xlfn.XLOOKUP(Table134526_79101120212223242526[[#This Row],[Name Surname]],Manpower!C:C,Manpower!D:D,)</f>
        <v>141250908</v>
      </c>
      <c r="G3308" s="28" t="str">
        <f>_xlfn.XLOOKUP(Table134526_79101120212223242526[[#This Row],[Name Surname]],Manpower!$C$4:$C$1048576,Manpower!$F$4:$F$1048576,"")</f>
        <v>Mechanical Engineer</v>
      </c>
      <c r="H3308" s="28" t="str">
        <f>_xlfn.XLOOKUP(Table134526_79101120212223242526[[#This Row],[Name Surname]],Manpower!$C$4:$C$1048576,Manpower!$H$4:$H$1048576,"")</f>
        <v>Manpower</v>
      </c>
      <c r="I3308" s="28" t="str">
        <f>_xlfn.XLOOKUP(Table134526_79101120212223242526[[#This Row],[Name Surname]],Manpower!$C$4:$C$1048576,Manpower!$H$4:$H$1048576,"")</f>
        <v>Manpower</v>
      </c>
      <c r="J3308" s="21" t="s">
        <v>35</v>
      </c>
      <c r="K3308" s="21" t="s">
        <v>26</v>
      </c>
      <c r="L3308" s="21" t="s">
        <v>82</v>
      </c>
      <c r="M3308" s="21" t="s">
        <v>55</v>
      </c>
      <c r="N3308" s="29">
        <v>10</v>
      </c>
      <c r="O3308" s="21"/>
      <c r="P3308" s="21"/>
      <c r="Q3308" s="21"/>
      <c r="R3308" s="21" t="s">
        <v>420</v>
      </c>
      <c r="S3308" s="21"/>
      <c r="T3308" s="12"/>
    </row>
    <row r="3309" spans="1:20" s="45" customFormat="1" ht="14.4" hidden="1">
      <c r="A3309" s="53">
        <f>IF(C3309="","",MAX($A$1:A3308)+1)</f>
        <v>3030</v>
      </c>
      <c r="B3309" s="36" t="s">
        <v>141</v>
      </c>
      <c r="C3309" s="23">
        <v>46109</v>
      </c>
      <c r="D3309" s="28" t="str">
        <f>_xlfn.XLOOKUP(Table134526_79101120212223242526[[#This Row],[Name Surname]],Manpower!$C$4:$C$1048576,Manpower!$B$4:$B$1048576,"")</f>
        <v>Encogroup</v>
      </c>
      <c r="E3309" s="21" t="s">
        <v>91</v>
      </c>
      <c r="F3309" s="12">
        <f>_xlfn.XLOOKUP(Table134526_79101120212223242526[[#This Row],[Name Surname]],Manpower!C:C,Manpower!D:D,)</f>
        <v>132915855</v>
      </c>
      <c r="G3309" s="28" t="str">
        <f>_xlfn.XLOOKUP(Table134526_79101120212223242526[[#This Row],[Name Surname]],Manpower!$C$4:$C$1048576,Manpower!$F$4:$F$1048576,"")</f>
        <v>Mechanical Supervisor</v>
      </c>
      <c r="H3309" s="28" t="str">
        <f>_xlfn.XLOOKUP(Table134526_79101120212223242526[[#This Row],[Name Surname]],Manpower!$C$4:$C$1048576,Manpower!$H$4:$H$1048576,"")</f>
        <v>Manpower</v>
      </c>
      <c r="I3309" s="28" t="str">
        <f>_xlfn.XLOOKUP(Table134526_79101120212223242526[[#This Row],[Name Surname]],Manpower!$C$4:$C$1048576,Manpower!$H$4:$H$1048576,"")</f>
        <v>Manpower</v>
      </c>
      <c r="J3309" s="21" t="s">
        <v>35</v>
      </c>
      <c r="K3309" s="21" t="s">
        <v>26</v>
      </c>
      <c r="L3309" s="21" t="s">
        <v>82</v>
      </c>
      <c r="M3309" s="21" t="s">
        <v>55</v>
      </c>
      <c r="N3309" s="29">
        <v>10</v>
      </c>
      <c r="O3309" s="21"/>
      <c r="P3309" s="21"/>
      <c r="Q3309" s="21"/>
      <c r="R3309" s="21" t="s">
        <v>420</v>
      </c>
      <c r="S3309" s="21"/>
      <c r="T3309" s="12"/>
    </row>
    <row r="3310" spans="1:20" s="45" customFormat="1" ht="14.4" hidden="1">
      <c r="A3310" s="53">
        <f>IF(C3310="","",MAX($A$1:A3309)+1)</f>
        <v>3031</v>
      </c>
      <c r="B3310" s="36" t="s">
        <v>141</v>
      </c>
      <c r="C3310" s="23">
        <v>46109</v>
      </c>
      <c r="D3310" s="28" t="str">
        <f>_xlfn.XLOOKUP(Table134526_79101120212223242526[[#This Row],[Name Surname]],Manpower!$C$4:$C$1048576,Manpower!$B$4:$B$1048576,"")</f>
        <v>Encogroup</v>
      </c>
      <c r="E3310" s="21" t="s">
        <v>97</v>
      </c>
      <c r="F3310" s="12">
        <f>_xlfn.XLOOKUP(Table134526_79101120212223242526[[#This Row],[Name Surname]],Manpower!C:C,Manpower!D:D,)</f>
        <v>141359235</v>
      </c>
      <c r="G3310" s="28" t="str">
        <f>_xlfn.XLOOKUP(Table134526_79101120212223242526[[#This Row],[Name Surname]],Manpower!$C$4:$C$1048576,Manpower!$F$4:$F$1048576,"")</f>
        <v>Fitter</v>
      </c>
      <c r="H3310" s="28" t="str">
        <f>_xlfn.XLOOKUP(Table134526_79101120212223242526[[#This Row],[Name Surname]],Manpower!$C$4:$C$1048576,Manpower!$H$4:$H$1048576,"")</f>
        <v>Manpower</v>
      </c>
      <c r="I3310" s="28" t="str">
        <f>_xlfn.XLOOKUP(Table134526_79101120212223242526[[#This Row],[Name Surname]],Manpower!$C$4:$C$1048576,Manpower!$H$4:$H$1048576,"")</f>
        <v>Manpower</v>
      </c>
      <c r="J3310" s="21" t="s">
        <v>35</v>
      </c>
      <c r="K3310" s="21" t="s">
        <v>26</v>
      </c>
      <c r="L3310" s="21" t="s">
        <v>82</v>
      </c>
      <c r="M3310" s="21" t="s">
        <v>55</v>
      </c>
      <c r="N3310" s="29">
        <v>10</v>
      </c>
      <c r="O3310" s="21"/>
      <c r="P3310" s="21"/>
      <c r="Q3310" s="21"/>
      <c r="R3310" s="21" t="s">
        <v>420</v>
      </c>
      <c r="S3310" s="21"/>
      <c r="T3310" s="12"/>
    </row>
    <row r="3311" spans="1:20" ht="14.4" hidden="1">
      <c r="A3311" s="38">
        <f>IF(C3311="","",MAX($A$1:A3310)+1)</f>
        <v>3032</v>
      </c>
      <c r="B3311" s="36" t="s">
        <v>141</v>
      </c>
      <c r="C3311" s="23">
        <v>46109</v>
      </c>
      <c r="D3311" s="28" t="str">
        <f>_xlfn.XLOOKUP(Table134526_79101120212223242526[[#This Row],[Name Surname]],Manpower!$C$4:$C$1048576,Manpower!$B$4:$B$1048576,"")</f>
        <v>Encogroup</v>
      </c>
      <c r="E3311" s="21" t="s">
        <v>99</v>
      </c>
      <c r="F3311" s="12">
        <f>_xlfn.XLOOKUP(Table134526_79101120212223242526[[#This Row],[Name Surname]],Manpower!C:C,Manpower!D:D,)</f>
        <v>140697025</v>
      </c>
      <c r="G3311" s="28" t="str">
        <f>_xlfn.XLOOKUP(Table134526_79101120212223242526[[#This Row],[Name Surname]],Manpower!$C$4:$C$1048576,Manpower!$F$4:$F$1048576,"")</f>
        <v>Assistant/Helper</v>
      </c>
      <c r="H3311" s="28" t="str">
        <f>_xlfn.XLOOKUP(Table134526_79101120212223242526[[#This Row],[Name Surname]],Manpower!$C$4:$C$1048576,Manpower!$H$4:$H$1048576,"")</f>
        <v>Manpower</v>
      </c>
      <c r="I3311" s="28" t="str">
        <f>_xlfn.XLOOKUP(Table134526_79101120212223242526[[#This Row],[Name Surname]],Manpower!$C$4:$C$1048576,Manpower!$H$4:$H$1048576,"")</f>
        <v>Manpower</v>
      </c>
      <c r="J3311" s="21" t="s">
        <v>35</v>
      </c>
      <c r="K3311" s="21" t="s">
        <v>26</v>
      </c>
      <c r="L3311" s="21" t="s">
        <v>82</v>
      </c>
      <c r="M3311" s="21" t="s">
        <v>24</v>
      </c>
      <c r="N3311" s="29">
        <v>10</v>
      </c>
      <c r="R3311" s="21" t="s">
        <v>421</v>
      </c>
    </row>
    <row r="3312" spans="1:20" s="45" customFormat="1" ht="14.4" hidden="1">
      <c r="A3312" s="53">
        <f>IF(C3312="","",MAX($A$1:A3311)+1)</f>
        <v>3033</v>
      </c>
      <c r="B3312" s="36" t="s">
        <v>141</v>
      </c>
      <c r="C3312" s="23">
        <v>46109</v>
      </c>
      <c r="D3312" s="28" t="str">
        <f>_xlfn.XLOOKUP(Table134526_79101120212223242526[[#This Row],[Name Surname]],Manpower!$C$4:$C$1048576,Manpower!$B$4:$B$1048576,"")</f>
        <v>Encogroup</v>
      </c>
      <c r="E3312" s="21" t="s">
        <v>125</v>
      </c>
      <c r="F3312" s="12">
        <f>_xlfn.XLOOKUP(Table134526_79101120212223242526[[#This Row],[Name Surname]],Manpower!C:C,Manpower!D:D,)</f>
        <v>141169028</v>
      </c>
      <c r="G3312" s="28" t="str">
        <f>_xlfn.XLOOKUP(Table134526_79101120212223242526[[#This Row],[Name Surname]],Manpower!$C$4:$C$1048576,Manpower!$F$4:$F$1048576,"")</f>
        <v>Welder</v>
      </c>
      <c r="H3312" s="28" t="str">
        <f>_xlfn.XLOOKUP(Table134526_79101120212223242526[[#This Row],[Name Surname]],Manpower!$C$4:$C$1048576,Manpower!$H$4:$H$1048576,"")</f>
        <v>Manpower</v>
      </c>
      <c r="I3312" s="28" t="str">
        <f>_xlfn.XLOOKUP(Table134526_79101120212223242526[[#This Row],[Name Surname]],Manpower!$C$4:$C$1048576,Manpower!$H$4:$H$1048576,"")</f>
        <v>Manpower</v>
      </c>
      <c r="J3312" s="21" t="s">
        <v>35</v>
      </c>
      <c r="K3312" s="21" t="s">
        <v>26</v>
      </c>
      <c r="L3312" s="21" t="s">
        <v>82</v>
      </c>
      <c r="M3312" s="21" t="s">
        <v>55</v>
      </c>
      <c r="N3312" s="29">
        <v>10</v>
      </c>
      <c r="O3312" s="21"/>
      <c r="P3312" s="21"/>
      <c r="Q3312" s="21"/>
      <c r="R3312" s="21" t="s">
        <v>420</v>
      </c>
      <c r="S3312" s="21"/>
      <c r="T3312" s="12"/>
    </row>
    <row r="3313" spans="1:20" s="45" customFormat="1" ht="14.4" hidden="1">
      <c r="A3313" s="53">
        <f>IF(C3313="","",MAX($A$1:A3312)+1)</f>
        <v>3034</v>
      </c>
      <c r="B3313" s="36" t="s">
        <v>141</v>
      </c>
      <c r="C3313" s="23">
        <v>46109</v>
      </c>
      <c r="D3313" s="28" t="str">
        <f>_xlfn.XLOOKUP(Table134526_79101120212223242526[[#This Row],[Name Surname]],Manpower!$C$4:$C$1048576,Manpower!$B$4:$B$1048576,"")</f>
        <v>Encogroup</v>
      </c>
      <c r="E3313" s="21" t="s">
        <v>101</v>
      </c>
      <c r="F3313" s="12">
        <f>_xlfn.XLOOKUP(Table134526_79101120212223242526[[#This Row],[Name Surname]],Manpower!C:C,Manpower!D:D,)</f>
        <v>141169052</v>
      </c>
      <c r="G3313" s="28" t="str">
        <f>_xlfn.XLOOKUP(Table134526_79101120212223242526[[#This Row],[Name Surname]],Manpower!$C$4:$C$1048576,Manpower!$F$4:$F$1048576,"")</f>
        <v>Welder</v>
      </c>
      <c r="H3313" s="28" t="str">
        <f>_xlfn.XLOOKUP(Table134526_79101120212223242526[[#This Row],[Name Surname]],Manpower!$C$4:$C$1048576,Manpower!$H$4:$H$1048576,"")</f>
        <v>Manpower</v>
      </c>
      <c r="I3313" s="28" t="str">
        <f>_xlfn.XLOOKUP(Table134526_79101120212223242526[[#This Row],[Name Surname]],Manpower!$C$4:$C$1048576,Manpower!$H$4:$H$1048576,"")</f>
        <v>Manpower</v>
      </c>
      <c r="J3313" s="21" t="s">
        <v>35</v>
      </c>
      <c r="K3313" s="21" t="s">
        <v>26</v>
      </c>
      <c r="L3313" s="21" t="s">
        <v>82</v>
      </c>
      <c r="M3313" s="21" t="s">
        <v>55</v>
      </c>
      <c r="N3313" s="29">
        <v>10</v>
      </c>
      <c r="O3313" s="21"/>
      <c r="P3313" s="21"/>
      <c r="Q3313" s="21"/>
      <c r="R3313" s="21" t="s">
        <v>420</v>
      </c>
      <c r="S3313" s="21"/>
      <c r="T3313" s="12"/>
    </row>
    <row r="3314" spans="1:20" s="45" customFormat="1" ht="14.4" hidden="1">
      <c r="A3314" s="53">
        <f>IF(C3314="","",MAX($A$1:A3313)+1)</f>
        <v>3035</v>
      </c>
      <c r="B3314" s="36" t="s">
        <v>141</v>
      </c>
      <c r="C3314" s="23">
        <v>46109</v>
      </c>
      <c r="D3314" s="28" t="str">
        <f>_xlfn.XLOOKUP(Table134526_79101120212223242526[[#This Row],[Name Surname]],Manpower!$C$4:$C$1048576,Manpower!$B$4:$B$1048576,"")</f>
        <v>Encogroup</v>
      </c>
      <c r="E3314" s="21" t="s">
        <v>124</v>
      </c>
      <c r="F3314" s="12">
        <f>_xlfn.XLOOKUP(Table134526_79101120212223242526[[#This Row],[Name Surname]],Manpower!C:C,Manpower!D:D,)</f>
        <v>141169033</v>
      </c>
      <c r="G3314" s="28" t="str">
        <f>_xlfn.XLOOKUP(Table134526_79101120212223242526[[#This Row],[Name Surname]],Manpower!$C$4:$C$1048576,Manpower!$F$4:$F$1048576,"")</f>
        <v>Welder</v>
      </c>
      <c r="H3314" s="28" t="str">
        <f>_xlfn.XLOOKUP(Table134526_79101120212223242526[[#This Row],[Name Surname]],Manpower!$C$4:$C$1048576,Manpower!$H$4:$H$1048576,"")</f>
        <v>Manpower</v>
      </c>
      <c r="I3314" s="28" t="str">
        <f>_xlfn.XLOOKUP(Table134526_79101120212223242526[[#This Row],[Name Surname]],Manpower!$C$4:$C$1048576,Manpower!$H$4:$H$1048576,"")</f>
        <v>Manpower</v>
      </c>
      <c r="J3314" s="21" t="s">
        <v>35</v>
      </c>
      <c r="K3314" s="21" t="s">
        <v>26</v>
      </c>
      <c r="L3314" s="21" t="s">
        <v>82</v>
      </c>
      <c r="M3314" s="21" t="s">
        <v>55</v>
      </c>
      <c r="N3314" s="29">
        <v>10</v>
      </c>
      <c r="O3314" s="21"/>
      <c r="P3314" s="21"/>
      <c r="Q3314" s="21"/>
      <c r="R3314" s="21" t="s">
        <v>420</v>
      </c>
      <c r="S3314" s="21"/>
      <c r="T3314" s="12"/>
    </row>
    <row r="3315" spans="1:20" s="45" customFormat="1" ht="14.4" hidden="1">
      <c r="A3315" s="53">
        <f>IF(C3315="","",MAX($A$1:A3314)+1)</f>
        <v>3036</v>
      </c>
      <c r="B3315" s="36" t="s">
        <v>141</v>
      </c>
      <c r="C3315" s="23">
        <v>46109</v>
      </c>
      <c r="D3315" s="28" t="str">
        <f>_xlfn.XLOOKUP(Table134526_79101120212223242526[[#This Row],[Name Surname]],Manpower!$C$4:$C$1048576,Manpower!$B$4:$B$1048576,"")</f>
        <v>Encogroup</v>
      </c>
      <c r="E3315" s="21" t="s">
        <v>105</v>
      </c>
      <c r="F3315" s="12">
        <f>_xlfn.XLOOKUP(Table134526_79101120212223242526[[#This Row],[Name Surname]],Manpower!C:C,Manpower!D:D,)</f>
        <v>141358993</v>
      </c>
      <c r="G3315" s="28" t="str">
        <f>_xlfn.XLOOKUP(Table134526_79101120212223242526[[#This Row],[Name Surname]],Manpower!$C$4:$C$1048576,Manpower!$F$4:$F$1048576,"")</f>
        <v>Fitter</v>
      </c>
      <c r="H3315" s="28" t="str">
        <f>_xlfn.XLOOKUP(Table134526_79101120212223242526[[#This Row],[Name Surname]],Manpower!$C$4:$C$1048576,Manpower!$H$4:$H$1048576,"")</f>
        <v>Manpower</v>
      </c>
      <c r="I3315" s="28" t="str">
        <f>_xlfn.XLOOKUP(Table134526_79101120212223242526[[#This Row],[Name Surname]],Manpower!$C$4:$C$1048576,Manpower!$H$4:$H$1048576,"")</f>
        <v>Manpower</v>
      </c>
      <c r="J3315" s="21" t="s">
        <v>35</v>
      </c>
      <c r="K3315" s="21" t="s">
        <v>26</v>
      </c>
      <c r="L3315" s="21" t="s">
        <v>82</v>
      </c>
      <c r="M3315" s="21" t="s">
        <v>55</v>
      </c>
      <c r="N3315" s="29">
        <v>10</v>
      </c>
      <c r="O3315" s="21"/>
      <c r="P3315" s="21"/>
      <c r="Q3315" s="21"/>
      <c r="R3315" s="21" t="s">
        <v>420</v>
      </c>
      <c r="S3315" s="21"/>
      <c r="T3315" s="12"/>
    </row>
    <row r="3316" spans="1:20" ht="14.4" hidden="1">
      <c r="A3316" s="38">
        <f>IF(C3316="","",MAX($A$1:A3315)+1)</f>
        <v>3037</v>
      </c>
      <c r="B3316" s="36" t="s">
        <v>141</v>
      </c>
      <c r="C3316" s="23">
        <v>46109</v>
      </c>
      <c r="D3316" s="28" t="str">
        <f>_xlfn.XLOOKUP(Table134526_79101120212223242526[[#This Row],[Name Surname]],Manpower!$C$4:$C$1048576,Manpower!$B$4:$B$1048576,"")</f>
        <v>Encogroup</v>
      </c>
      <c r="E3316" s="21" t="s">
        <v>106</v>
      </c>
      <c r="F3316" s="12" t="str">
        <f>_xlfn.XLOOKUP(Table134526_79101120212223242526[[#This Row],[Name Surname]],Manpower!C:C,Manpower!D:D,)</f>
        <v>R3971143</v>
      </c>
      <c r="G3316" s="28" t="str">
        <f>_xlfn.XLOOKUP(Table134526_79101120212223242526[[#This Row],[Name Surname]],Manpower!$C$4:$C$1048576,Manpower!$F$4:$F$1048576,"")</f>
        <v>Mechanical Foreman</v>
      </c>
      <c r="H3316" s="28" t="str">
        <f>_xlfn.XLOOKUP(Table134526_79101120212223242526[[#This Row],[Name Surname]],Manpower!$C$4:$C$1048576,Manpower!$H$4:$H$1048576,"")</f>
        <v>Manpower</v>
      </c>
      <c r="I3316" s="28" t="str">
        <f>_xlfn.XLOOKUP(Table134526_79101120212223242526[[#This Row],[Name Surname]],Manpower!$C$4:$C$1048576,Manpower!$H$4:$H$1048576,"")</f>
        <v>Manpower</v>
      </c>
      <c r="J3316" s="21" t="s">
        <v>35</v>
      </c>
      <c r="K3316" s="21" t="s">
        <v>26</v>
      </c>
      <c r="L3316" s="21" t="s">
        <v>82</v>
      </c>
      <c r="M3316" s="21" t="s">
        <v>55</v>
      </c>
      <c r="N3316" s="29">
        <v>10</v>
      </c>
      <c r="R3316" s="21" t="s">
        <v>420</v>
      </c>
    </row>
    <row r="3317" spans="1:20" s="45" customFormat="1" ht="14.4" hidden="1">
      <c r="A3317" s="53">
        <f>IF(C3317="","",MAX($A$1:A3316)+1)</f>
        <v>3038</v>
      </c>
      <c r="B3317" s="36" t="s">
        <v>141</v>
      </c>
      <c r="C3317" s="23">
        <v>46109</v>
      </c>
      <c r="D3317" s="28" t="str">
        <f>_xlfn.XLOOKUP(Table134526_79101120212223242526[[#This Row],[Name Surname]],Manpower!$C$4:$C$1048576,Manpower!$B$4:$B$1048576,"")</f>
        <v>Encogroup</v>
      </c>
      <c r="E3317" s="21" t="s">
        <v>107</v>
      </c>
      <c r="F3317" s="12">
        <f>_xlfn.XLOOKUP(Table134526_79101120212223242526[[#This Row],[Name Surname]],Manpower!C:C,Manpower!D:D,)</f>
        <v>116858297</v>
      </c>
      <c r="G3317" s="28" t="str">
        <f>_xlfn.XLOOKUP(Table134526_79101120212223242526[[#This Row],[Name Surname]],Manpower!$C$4:$C$1048576,Manpower!$F$4:$F$1048576,"")</f>
        <v>Mechanical Superintendent</v>
      </c>
      <c r="H3317" s="28" t="str">
        <f>_xlfn.XLOOKUP(Table134526_79101120212223242526[[#This Row],[Name Surname]],Manpower!$C$4:$C$1048576,Manpower!$H$4:$H$1048576,"")</f>
        <v>Manpower</v>
      </c>
      <c r="I3317" s="28" t="str">
        <f>_xlfn.XLOOKUP(Table134526_79101120212223242526[[#This Row],[Name Surname]],Manpower!$C$4:$C$1048576,Manpower!$H$4:$H$1048576,"")</f>
        <v>Manpower</v>
      </c>
      <c r="J3317" s="21" t="s">
        <v>35</v>
      </c>
      <c r="K3317" s="21" t="s">
        <v>26</v>
      </c>
      <c r="L3317" s="21" t="s">
        <v>82</v>
      </c>
      <c r="M3317" s="21" t="s">
        <v>55</v>
      </c>
      <c r="N3317" s="29">
        <v>10</v>
      </c>
      <c r="O3317" s="21"/>
      <c r="P3317" s="21"/>
      <c r="Q3317" s="21"/>
      <c r="R3317" s="21" t="s">
        <v>420</v>
      </c>
      <c r="S3317" s="21"/>
      <c r="T3317" s="12"/>
    </row>
    <row r="3318" spans="1:20" ht="14.4" hidden="1">
      <c r="A3318" s="38">
        <f>IF(C3318="","",MAX($A$1:A3317)+1)</f>
        <v>3039</v>
      </c>
      <c r="B3318" s="36" t="s">
        <v>141</v>
      </c>
      <c r="C3318" s="23">
        <v>46109</v>
      </c>
      <c r="D3318" s="28" t="str">
        <f>_xlfn.XLOOKUP(Table134526_79101120212223242526[[#This Row],[Name Surname]],Manpower!$C$4:$C$1048576,Manpower!$B$4:$B$1048576,"")</f>
        <v>Encogroup</v>
      </c>
      <c r="E3318" s="21" t="s">
        <v>126</v>
      </c>
      <c r="F3318" s="12">
        <f>_xlfn.XLOOKUP(Table134526_79101120212223242526[[#This Row],[Name Surname]],Manpower!C:C,Manpower!D:D,)</f>
        <v>140805568</v>
      </c>
      <c r="G3318" s="28" t="str">
        <f>_xlfn.XLOOKUP(Table134526_79101120212223242526[[#This Row],[Name Surname]],Manpower!$C$4:$C$1048576,Manpower!$F$4:$F$1048576,"")</f>
        <v>Assistant/Helper</v>
      </c>
      <c r="H3318" s="28" t="str">
        <f>_xlfn.XLOOKUP(Table134526_79101120212223242526[[#This Row],[Name Surname]],Manpower!$C$4:$C$1048576,Manpower!$H$4:$H$1048576,"")</f>
        <v>Manpower</v>
      </c>
      <c r="I3318" s="28" t="str">
        <f>_xlfn.XLOOKUP(Table134526_79101120212223242526[[#This Row],[Name Surname]],Manpower!$C$4:$C$1048576,Manpower!$H$4:$H$1048576,"")</f>
        <v>Manpower</v>
      </c>
      <c r="J3318" s="21" t="s">
        <v>35</v>
      </c>
      <c r="K3318" s="21" t="s">
        <v>26</v>
      </c>
      <c r="L3318" s="21" t="s">
        <v>82</v>
      </c>
      <c r="M3318" s="21" t="s">
        <v>24</v>
      </c>
      <c r="N3318" s="29">
        <v>10</v>
      </c>
      <c r="R3318" s="21" t="s">
        <v>421</v>
      </c>
    </row>
    <row r="3319" spans="1:20" ht="14.4" hidden="1">
      <c r="A3319" s="38">
        <f>IF(C3319="","",MAX($A$1:A3318)+1)</f>
        <v>3040</v>
      </c>
      <c r="B3319" s="36" t="s">
        <v>141</v>
      </c>
      <c r="C3319" s="23">
        <v>46109</v>
      </c>
      <c r="D3319" s="28" t="str">
        <f>_xlfn.XLOOKUP(Table134526_79101120212223242526[[#This Row],[Name Surname]],Manpower!$C$4:$C$1048576,Manpower!$B$4:$B$1048576,"")</f>
        <v>Rabwu Ahamal AL Khaleej Trad</v>
      </c>
      <c r="E3319" s="21" t="s">
        <v>131</v>
      </c>
      <c r="F3319" s="12">
        <f>_xlfn.XLOOKUP(Table134526_79101120212223242526[[#This Row],[Name Surname]],Manpower!C:C,Manpower!D:D,)</f>
        <v>131431131</v>
      </c>
      <c r="G3319" s="28" t="str">
        <f>_xlfn.XLOOKUP(Table134526_79101120212223242526[[#This Row],[Name Surname]],Manpower!$C$4:$C$1048576,Manpower!$F$4:$F$1048576,"")</f>
        <v>RIgger</v>
      </c>
      <c r="H3319" s="28" t="str">
        <f>_xlfn.XLOOKUP(Table134526_79101120212223242526[[#This Row],[Name Surname]],Manpower!$C$4:$C$1048576,Manpower!$H$4:$H$1048576,"")</f>
        <v>Sub Contactor</v>
      </c>
      <c r="I3319" s="28" t="str">
        <f>_xlfn.XLOOKUP(Table134526_79101120212223242526[[#This Row],[Name Surname]],Manpower!$C$4:$C$1048576,Manpower!$H$4:$H$1048576,"")</f>
        <v>Sub Contactor</v>
      </c>
      <c r="J3319" s="21" t="s">
        <v>35</v>
      </c>
      <c r="K3319" s="21" t="s">
        <v>26</v>
      </c>
      <c r="L3319" s="21" t="s">
        <v>82</v>
      </c>
      <c r="M3319" s="21" t="s">
        <v>55</v>
      </c>
      <c r="N3319" s="29">
        <v>10</v>
      </c>
      <c r="R3319" s="21" t="s">
        <v>420</v>
      </c>
    </row>
    <row r="3320" spans="1:20" s="45" customFormat="1" ht="14.4" hidden="1">
      <c r="A3320" s="53">
        <f>IF(C3320="","",MAX($A$1:A3319)+1)</f>
        <v>3041</v>
      </c>
      <c r="B3320" s="36" t="s">
        <v>141</v>
      </c>
      <c r="C3320" s="23">
        <v>46109</v>
      </c>
      <c r="D3320" s="28" t="str">
        <f>_xlfn.XLOOKUP(Table134526_79101120212223242526[[#This Row],[Name Surname]],Manpower!$C$4:$C$1048576,Manpower!$B$4:$B$1048576,"")</f>
        <v>AL Saif &amp; Al QALLM ENT LLC</v>
      </c>
      <c r="E3320" s="21" t="s">
        <v>130</v>
      </c>
      <c r="F3320" s="12">
        <f>_xlfn.XLOOKUP(Table134526_79101120212223242526[[#This Row],[Name Surname]],Manpower!C:C,Manpower!D:D,)</f>
        <v>76647648</v>
      </c>
      <c r="G3320" s="28" t="str">
        <f>_xlfn.XLOOKUP(Table134526_79101120212223242526[[#This Row],[Name Surname]],Manpower!$C$4:$C$1048576,Manpower!$F$4:$F$1048576,"")</f>
        <v>RIgger</v>
      </c>
      <c r="H3320" s="28" t="str">
        <f>_xlfn.XLOOKUP(Table134526_79101120212223242526[[#This Row],[Name Surname]],Manpower!$C$4:$C$1048576,Manpower!$H$4:$H$1048576,"")</f>
        <v>Sub Contactor</v>
      </c>
      <c r="I3320" s="28" t="str">
        <f>_xlfn.XLOOKUP(Table134526_79101120212223242526[[#This Row],[Name Surname]],Manpower!$C$4:$C$1048576,Manpower!$H$4:$H$1048576,"")</f>
        <v>Sub Contactor</v>
      </c>
      <c r="J3320" s="21" t="s">
        <v>35</v>
      </c>
      <c r="K3320" s="21" t="s">
        <v>26</v>
      </c>
      <c r="L3320" s="21" t="s">
        <v>82</v>
      </c>
      <c r="M3320" s="21" t="s">
        <v>55</v>
      </c>
      <c r="N3320" s="29">
        <v>10</v>
      </c>
      <c r="O3320" s="21"/>
      <c r="P3320" s="21"/>
      <c r="Q3320" s="21"/>
      <c r="R3320" s="21" t="s">
        <v>420</v>
      </c>
      <c r="S3320" s="21"/>
      <c r="T3320" s="12"/>
    </row>
    <row r="3321" spans="1:20" s="45" customFormat="1" ht="14.4" hidden="1">
      <c r="A3321" s="53">
        <f>IF(C3321="","",MAX($A$1:A3320)+1)</f>
        <v>3042</v>
      </c>
      <c r="B3321" s="36" t="s">
        <v>141</v>
      </c>
      <c r="C3321" s="23">
        <v>46109</v>
      </c>
      <c r="D3321" s="28" t="str">
        <f>_xlfn.XLOOKUP(Table134526_79101120212223242526[[#This Row],[Name Surname]],Manpower!$C$4:$C$1048576,Manpower!$B$4:$B$1048576,"")</f>
        <v>Encogroup</v>
      </c>
      <c r="E3321" s="21" t="s">
        <v>109</v>
      </c>
      <c r="F3321" s="12">
        <f>_xlfn.XLOOKUP(Table134526_79101120212223242526[[#This Row],[Name Surname]],Manpower!C:C,Manpower!D:D,)</f>
        <v>123805496</v>
      </c>
      <c r="G3321" s="28" t="str">
        <f>_xlfn.XLOOKUP(Table134526_79101120212223242526[[#This Row],[Name Surname]],Manpower!$C$4:$C$1048576,Manpower!$F$4:$F$1048576,"")</f>
        <v>Fitter/Erector</v>
      </c>
      <c r="H3321" s="28" t="str">
        <f>_xlfn.XLOOKUP(Table134526_79101120212223242526[[#This Row],[Name Surname]],Manpower!$C$4:$C$1048576,Manpower!$H$4:$H$1048576,"")</f>
        <v>Manpower</v>
      </c>
      <c r="I3321" s="28" t="str">
        <f>_xlfn.XLOOKUP(Table134526_79101120212223242526[[#This Row],[Name Surname]],Manpower!$C$4:$C$1048576,Manpower!$H$4:$H$1048576,"")</f>
        <v>Manpower</v>
      </c>
      <c r="J3321" s="21" t="s">
        <v>35</v>
      </c>
      <c r="K3321" s="21" t="s">
        <v>26</v>
      </c>
      <c r="L3321" s="21" t="s">
        <v>82</v>
      </c>
      <c r="M3321" s="21" t="s">
        <v>55</v>
      </c>
      <c r="N3321" s="29">
        <v>10</v>
      </c>
      <c r="O3321" s="21"/>
      <c r="P3321" s="21"/>
      <c r="Q3321" s="21"/>
      <c r="R3321" s="21" t="s">
        <v>420</v>
      </c>
      <c r="S3321" s="21"/>
      <c r="T3321" s="12"/>
    </row>
    <row r="3322" spans="1:20" ht="14.4" hidden="1">
      <c r="A3322" s="38">
        <f>IF(C3322="","",MAX($A$1:A3321)+1)</f>
        <v>3043</v>
      </c>
      <c r="B3322" s="36" t="s">
        <v>141</v>
      </c>
      <c r="C3322" s="23">
        <v>46109</v>
      </c>
      <c r="D3322" s="28" t="str">
        <f>_xlfn.XLOOKUP(Table134526_79101120212223242526[[#This Row],[Name Surname]],Manpower!$C$4:$C$1048576,Manpower!$B$4:$B$1048576,"")</f>
        <v>Encogroup</v>
      </c>
      <c r="E3322" s="21" t="s">
        <v>110</v>
      </c>
      <c r="F3322" s="12">
        <f>_xlfn.XLOOKUP(Table134526_79101120212223242526[[#This Row],[Name Surname]],Manpower!C:C,Manpower!D:D,)</f>
        <v>136277866</v>
      </c>
      <c r="G3322" s="28" t="str">
        <f>_xlfn.XLOOKUP(Table134526_79101120212223242526[[#This Row],[Name Surname]],Manpower!$C$4:$C$1048576,Manpower!$F$4:$F$1048576,"")</f>
        <v>Permit Receiver</v>
      </c>
      <c r="H3322" s="28" t="str">
        <f>_xlfn.XLOOKUP(Table134526_79101120212223242526[[#This Row],[Name Surname]],Manpower!$C$4:$C$1048576,Manpower!$H$4:$H$1048576,"")</f>
        <v>Manpower</v>
      </c>
      <c r="I3322" s="28" t="str">
        <f>_xlfn.XLOOKUP(Table134526_79101120212223242526[[#This Row],[Name Surname]],Manpower!$C$4:$C$1048576,Manpower!$H$4:$H$1048576,"")</f>
        <v>Manpower</v>
      </c>
      <c r="J3322" s="21" t="s">
        <v>35</v>
      </c>
      <c r="K3322" s="21" t="s">
        <v>26</v>
      </c>
      <c r="L3322" s="21" t="s">
        <v>82</v>
      </c>
      <c r="M3322" s="21" t="s">
        <v>55</v>
      </c>
      <c r="N3322" s="29">
        <v>10</v>
      </c>
      <c r="R3322" s="21" t="s">
        <v>420</v>
      </c>
    </row>
    <row r="3323" spans="1:20" ht="14.4" hidden="1">
      <c r="A3323" s="38">
        <f>IF(C3323="","",MAX($A$1:A3322)+1)</f>
        <v>3044</v>
      </c>
      <c r="B3323" s="36" t="s">
        <v>141</v>
      </c>
      <c r="C3323" s="23">
        <v>46109</v>
      </c>
      <c r="D3323" s="28" t="str">
        <f>_xlfn.XLOOKUP(Table134526_79101120212223242526[[#This Row],[Name Surname]],Manpower!$C$4:$C$1048576,Manpower!$B$4:$B$1048576,"")</f>
        <v>Encogroup</v>
      </c>
      <c r="E3323" s="21" t="s">
        <v>112</v>
      </c>
      <c r="F3323" s="12">
        <f>_xlfn.XLOOKUP(Table134526_79101120212223242526[[#This Row],[Name Surname]],Manpower!C:C,Manpower!D:D,)</f>
        <v>140663253</v>
      </c>
      <c r="G3323" s="28" t="str">
        <f>_xlfn.XLOOKUP(Table134526_79101120212223242526[[#This Row],[Name Surname]],Manpower!$C$4:$C$1048576,Manpower!$F$4:$F$1048576,"")</f>
        <v>Painting Inspector</v>
      </c>
      <c r="H3323" s="28" t="str">
        <f>_xlfn.XLOOKUP(Table134526_79101120212223242526[[#This Row],[Name Surname]],Manpower!$C$4:$C$1048576,Manpower!$H$4:$H$1048576,"")</f>
        <v>Manpower</v>
      </c>
      <c r="I3323" s="28" t="str">
        <f>_xlfn.XLOOKUP(Table134526_79101120212223242526[[#This Row],[Name Surname]],Manpower!$C$4:$C$1048576,Manpower!$H$4:$H$1048576,"")</f>
        <v>Manpower</v>
      </c>
      <c r="J3323" s="21" t="s">
        <v>35</v>
      </c>
      <c r="K3323" s="21" t="s">
        <v>26</v>
      </c>
      <c r="L3323" s="21" t="s">
        <v>82</v>
      </c>
      <c r="M3323" s="21" t="s">
        <v>55</v>
      </c>
      <c r="N3323" s="29">
        <v>10</v>
      </c>
      <c r="R3323" s="21" t="s">
        <v>420</v>
      </c>
    </row>
    <row r="3324" spans="1:20" s="45" customFormat="1" ht="14.4" hidden="1">
      <c r="A3324" s="53">
        <f>IF(C3324="","",MAX($A$1:A3323)+1)</f>
        <v>3045</v>
      </c>
      <c r="B3324" s="36" t="s">
        <v>141</v>
      </c>
      <c r="C3324" s="23">
        <v>46109</v>
      </c>
      <c r="D3324" s="28" t="str">
        <f>_xlfn.XLOOKUP(Table134526_79101120212223242526[[#This Row],[Name Surname]],Manpower!$C$4:$C$1048576,Manpower!$B$4:$B$1048576,"")</f>
        <v>Encogroup</v>
      </c>
      <c r="E3324" s="21" t="s">
        <v>118</v>
      </c>
      <c r="F3324" s="12" t="str">
        <f>_xlfn.XLOOKUP(Table134526_79101120212223242526[[#This Row],[Name Surname]],Manpower!C:C,Manpower!D:D,)</f>
        <v>AG111207</v>
      </c>
      <c r="G3324" s="28" t="str">
        <f>_xlfn.XLOOKUP(Table134526_79101120212223242526[[#This Row],[Name Surname]],Manpower!$C$4:$C$1048576,Manpower!$F$4:$F$1048576,"")</f>
        <v>Assistant/Helper</v>
      </c>
      <c r="H3324" s="28" t="str">
        <f>_xlfn.XLOOKUP(Table134526_79101120212223242526[[#This Row],[Name Surname]],Manpower!$C$4:$C$1048576,Manpower!$H$4:$H$1048576,"")</f>
        <v>Manpower</v>
      </c>
      <c r="I3324" s="28" t="str">
        <f>_xlfn.XLOOKUP(Table134526_79101120212223242526[[#This Row],[Name Surname]],Manpower!$C$4:$C$1048576,Manpower!$H$4:$H$1048576,"")</f>
        <v>Manpower</v>
      </c>
      <c r="J3324" s="21" t="s">
        <v>35</v>
      </c>
      <c r="K3324" s="21" t="s">
        <v>26</v>
      </c>
      <c r="L3324" s="21" t="s">
        <v>82</v>
      </c>
      <c r="M3324" s="21" t="s">
        <v>55</v>
      </c>
      <c r="N3324" s="29">
        <v>10</v>
      </c>
      <c r="O3324" s="21"/>
      <c r="P3324" s="21"/>
      <c r="Q3324" s="21"/>
      <c r="R3324" s="21" t="s">
        <v>420</v>
      </c>
      <c r="S3324" s="21"/>
      <c r="T3324" s="12"/>
    </row>
    <row r="3325" spans="1:20" ht="14.4" hidden="1">
      <c r="A3325" s="38">
        <f>IF(C3325="","",MAX($A$1:A3324)+1)</f>
        <v>3046</v>
      </c>
      <c r="B3325" s="36" t="s">
        <v>141</v>
      </c>
      <c r="C3325" s="23">
        <v>46109</v>
      </c>
      <c r="D3325" s="28" t="str">
        <f>_xlfn.XLOOKUP(Table134526_79101120212223242526[[#This Row],[Name Surname]],Manpower!$C$4:$C$1048576,Manpower!$B$4:$B$1048576,"")</f>
        <v>Encogroup</v>
      </c>
      <c r="E3325" s="21" t="s">
        <v>92</v>
      </c>
      <c r="F3325" s="12">
        <f>_xlfn.XLOOKUP(Table134526_79101120212223242526[[#This Row],[Name Surname]],Manpower!C:C,Manpower!D:D,)</f>
        <v>141377747</v>
      </c>
      <c r="G3325" s="28" t="str">
        <f>_xlfn.XLOOKUP(Table134526_79101120212223242526[[#This Row],[Name Surname]],Manpower!$C$4:$C$1048576,Manpower!$F$4:$F$1048576,"")</f>
        <v>Painter</v>
      </c>
      <c r="H3325" s="28" t="str">
        <f>_xlfn.XLOOKUP(Table134526_79101120212223242526[[#This Row],[Name Surname]],Manpower!$C$4:$C$1048576,Manpower!$H$4:$H$1048576,"")</f>
        <v>Manpower</v>
      </c>
      <c r="I3325" s="28" t="str">
        <f>_xlfn.XLOOKUP(Table134526_79101120212223242526[[#This Row],[Name Surname]],Manpower!$C$4:$C$1048576,Manpower!$H$4:$H$1048576,"")</f>
        <v>Manpower</v>
      </c>
      <c r="J3325" s="21" t="s">
        <v>35</v>
      </c>
      <c r="K3325" s="21" t="s">
        <v>26</v>
      </c>
      <c r="L3325" s="21" t="s">
        <v>82</v>
      </c>
      <c r="M3325" s="21" t="s">
        <v>55</v>
      </c>
      <c r="N3325" s="29">
        <v>10</v>
      </c>
      <c r="R3325" s="21" t="s">
        <v>420</v>
      </c>
    </row>
    <row r="3326" spans="1:20" s="45" customFormat="1" ht="15" hidden="1" customHeight="1">
      <c r="A3326" s="53">
        <f>IF(C3326="","",MAX($A$1:A3325)+1)</f>
        <v>3047</v>
      </c>
      <c r="B3326" s="36" t="s">
        <v>141</v>
      </c>
      <c r="C3326" s="23">
        <v>46109</v>
      </c>
      <c r="D3326" s="28" t="str">
        <f>_xlfn.XLOOKUP(Table134526_79101120212223242526[[#This Row],[Name Surname]],Manpower!$C$4:$C$1048576,Manpower!$B$4:$B$1048576,"")</f>
        <v>Encogroup</v>
      </c>
      <c r="E3326" s="21" t="s">
        <v>173</v>
      </c>
      <c r="F3326" s="12" t="str">
        <f>_xlfn.XLOOKUP(Table134526_79101120212223242526[[#This Row],[Name Surname]],Manpower!C:C,Manpower!D:D,)</f>
        <v>S3549132</v>
      </c>
      <c r="G3326" s="28" t="str">
        <f>_xlfn.XLOOKUP(Table134526_79101120212223242526[[#This Row],[Name Surname]],Manpower!$C$4:$C$1048576,Manpower!$F$4:$F$1048576,"")</f>
        <v>Grinder</v>
      </c>
      <c r="H3326" s="28" t="str">
        <f>_xlfn.XLOOKUP(Table134526_79101120212223242526[[#This Row],[Name Surname]],Manpower!$C$4:$C$1048576,Manpower!$H$4:$H$1048576,"")</f>
        <v>Manpower</v>
      </c>
      <c r="I3326" s="28" t="str">
        <f>_xlfn.XLOOKUP(Table134526_79101120212223242526[[#This Row],[Name Surname]],Manpower!$C$4:$C$1048576,Manpower!$H$4:$H$1048576,"")</f>
        <v>Manpower</v>
      </c>
      <c r="J3326" s="21" t="s">
        <v>35</v>
      </c>
      <c r="K3326" s="21" t="s">
        <v>26</v>
      </c>
      <c r="L3326" s="21" t="s">
        <v>82</v>
      </c>
      <c r="M3326" s="21" t="s">
        <v>55</v>
      </c>
      <c r="N3326" s="29">
        <v>10</v>
      </c>
      <c r="O3326" s="21"/>
      <c r="P3326" s="21"/>
      <c r="Q3326" s="21"/>
      <c r="R3326" s="21" t="s">
        <v>420</v>
      </c>
      <c r="S3326" s="21"/>
      <c r="T3326" s="12"/>
    </row>
    <row r="3327" spans="1:20" s="45" customFormat="1" ht="14.4" hidden="1">
      <c r="A3327" s="53">
        <f>IF(C3327="","",MAX($A$1:A3326)+1)</f>
        <v>3048</v>
      </c>
      <c r="B3327" s="36" t="s">
        <v>141</v>
      </c>
      <c r="C3327" s="23">
        <v>46109</v>
      </c>
      <c r="D3327" s="28" t="str">
        <f>_xlfn.XLOOKUP(Table134526_79101120212223242526[[#This Row],[Name Surname]],Manpower!$C$4:$C$1048576,Manpower!$B$4:$B$1048576,"")</f>
        <v>Encogroup</v>
      </c>
      <c r="E3327" s="21" t="s">
        <v>119</v>
      </c>
      <c r="F3327" s="12">
        <f>_xlfn.XLOOKUP(Table134526_79101120212223242526[[#This Row],[Name Surname]],Manpower!C:C,Manpower!D:D,)</f>
        <v>140844778</v>
      </c>
      <c r="G3327" s="28" t="str">
        <f>_xlfn.XLOOKUP(Table134526_79101120212223242526[[#This Row],[Name Surname]],Manpower!$C$4:$C$1048576,Manpower!$F$4:$F$1048576,"")</f>
        <v>Painter</v>
      </c>
      <c r="H3327" s="28" t="str">
        <f>_xlfn.XLOOKUP(Table134526_79101120212223242526[[#This Row],[Name Surname]],Manpower!$C$4:$C$1048576,Manpower!$H$4:$H$1048576,"")</f>
        <v>Manpower</v>
      </c>
      <c r="I3327" s="28" t="str">
        <f>_xlfn.XLOOKUP(Table134526_79101120212223242526[[#This Row],[Name Surname]],Manpower!$C$4:$C$1048576,Manpower!$H$4:$H$1048576,"")</f>
        <v>Manpower</v>
      </c>
      <c r="J3327" s="21" t="s">
        <v>35</v>
      </c>
      <c r="K3327" s="21" t="s">
        <v>26</v>
      </c>
      <c r="L3327" s="21" t="s">
        <v>82</v>
      </c>
      <c r="M3327" s="21" t="s">
        <v>55</v>
      </c>
      <c r="N3327" s="29">
        <v>10</v>
      </c>
      <c r="O3327" s="21"/>
      <c r="P3327" s="21"/>
      <c r="Q3327" s="21"/>
      <c r="R3327" s="21" t="s">
        <v>420</v>
      </c>
      <c r="S3327" s="21"/>
      <c r="T3327" s="12"/>
    </row>
    <row r="3328" spans="1:20" s="45" customFormat="1" ht="14.4" hidden="1">
      <c r="A3328" s="53">
        <f>IF(C3328="","",MAX($A$1:A3327)+1)</f>
        <v>3049</v>
      </c>
      <c r="B3328" s="36" t="s">
        <v>141</v>
      </c>
      <c r="C3328" s="23">
        <v>46109</v>
      </c>
      <c r="D3328" s="28" t="str">
        <f>_xlfn.XLOOKUP(Table134526_79101120212223242526[[#This Row],[Name Surname]],Manpower!$C$4:$C$1048576,Manpower!$B$4:$B$1048576,"")</f>
        <v>Encogroup</v>
      </c>
      <c r="E3328" s="21" t="s">
        <v>117</v>
      </c>
      <c r="F3328" s="12">
        <f>_xlfn.XLOOKUP(Table134526_79101120212223242526[[#This Row],[Name Surname]],Manpower!C:C,Manpower!D:D,)</f>
        <v>140844783</v>
      </c>
      <c r="G3328" s="28" t="str">
        <f>_xlfn.XLOOKUP(Table134526_79101120212223242526[[#This Row],[Name Surname]],Manpower!$C$4:$C$1048576,Manpower!$F$4:$F$1048576,"")</f>
        <v>Painter</v>
      </c>
      <c r="H3328" s="28" t="str">
        <f>_xlfn.XLOOKUP(Table134526_79101120212223242526[[#This Row],[Name Surname]],Manpower!$C$4:$C$1048576,Manpower!$H$4:$H$1048576,"")</f>
        <v>Manpower</v>
      </c>
      <c r="I3328" s="28" t="str">
        <f>_xlfn.XLOOKUP(Table134526_79101120212223242526[[#This Row],[Name Surname]],Manpower!$C$4:$C$1048576,Manpower!$H$4:$H$1048576,"")</f>
        <v>Manpower</v>
      </c>
      <c r="J3328" s="21" t="s">
        <v>35</v>
      </c>
      <c r="K3328" s="21" t="s">
        <v>26</v>
      </c>
      <c r="L3328" s="21" t="s">
        <v>82</v>
      </c>
      <c r="M3328" s="21" t="s">
        <v>55</v>
      </c>
      <c r="N3328" s="29">
        <v>10</v>
      </c>
      <c r="O3328" s="21"/>
      <c r="P3328" s="21"/>
      <c r="Q3328" s="21"/>
      <c r="R3328" s="21" t="s">
        <v>420</v>
      </c>
      <c r="S3328" s="21"/>
      <c r="T3328" s="12"/>
    </row>
    <row r="3329" spans="1:20" s="45" customFormat="1" ht="14.4" hidden="1">
      <c r="A3329" s="53">
        <f>IF(C3329="","",MAX($A$1:A3328)+1)</f>
        <v>3050</v>
      </c>
      <c r="B3329" s="36" t="s">
        <v>141</v>
      </c>
      <c r="C3329" s="23">
        <v>46109</v>
      </c>
      <c r="D3329" s="28" t="str">
        <f>_xlfn.XLOOKUP(Table134526_79101120212223242526[[#This Row],[Name Surname]],Manpower!$C$4:$C$1048576,Manpower!$B$4:$B$1048576,"")</f>
        <v>Encogroup</v>
      </c>
      <c r="E3329" s="21" t="s">
        <v>209</v>
      </c>
      <c r="F3329" s="12">
        <f>_xlfn.XLOOKUP(Table134526_79101120212223242526[[#This Row],[Name Surname]],Manpower!C:C,Manpower!D:D,)</f>
        <v>141365164</v>
      </c>
      <c r="G3329" s="28" t="str">
        <f>_xlfn.XLOOKUP(Table134526_79101120212223242526[[#This Row],[Name Surname]],Manpower!$C$4:$C$1048576,Manpower!$F$4:$F$1048576,"")</f>
        <v>Helper</v>
      </c>
      <c r="H3329" s="28" t="str">
        <f>_xlfn.XLOOKUP(Table134526_79101120212223242526[[#This Row],[Name Surname]],Manpower!$C$4:$C$1048576,Manpower!$H$4:$H$1048576,"")</f>
        <v>Manpower</v>
      </c>
      <c r="I3329" s="28" t="str">
        <f>_xlfn.XLOOKUP(Table134526_79101120212223242526[[#This Row],[Name Surname]],Manpower!$C$4:$C$1048576,Manpower!$H$4:$H$1048576,"")</f>
        <v>Manpower</v>
      </c>
      <c r="J3329" s="21" t="s">
        <v>35</v>
      </c>
      <c r="K3329" s="21" t="s">
        <v>26</v>
      </c>
      <c r="L3329" s="21" t="s">
        <v>82</v>
      </c>
      <c r="M3329" s="21" t="s">
        <v>55</v>
      </c>
      <c r="N3329" s="29">
        <v>10</v>
      </c>
      <c r="O3329" s="21"/>
      <c r="P3329" s="21"/>
      <c r="Q3329" s="21"/>
      <c r="R3329" s="21" t="s">
        <v>420</v>
      </c>
      <c r="S3329" s="21"/>
      <c r="T3329" s="12"/>
    </row>
    <row r="3330" spans="1:20" s="45" customFormat="1" ht="14.4" hidden="1">
      <c r="A3330" s="53">
        <f>IF(C3330="","",MAX($A$1:A3329)+1)</f>
        <v>3051</v>
      </c>
      <c r="B3330" s="36" t="s">
        <v>141</v>
      </c>
      <c r="C3330" s="23">
        <v>46109</v>
      </c>
      <c r="D3330" s="28" t="str">
        <f>_xlfn.XLOOKUP(Table134526_79101120212223242526[[#This Row],[Name Surname]],Manpower!$C$4:$C$1048576,Manpower!$B$4:$B$1048576,"")</f>
        <v>Encogroup</v>
      </c>
      <c r="E3330" s="21" t="s">
        <v>122</v>
      </c>
      <c r="F3330" s="12">
        <f>_xlfn.XLOOKUP(Table134526_79101120212223242526[[#This Row],[Name Surname]],Manpower!C:C,Manpower!D:D,)</f>
        <v>140805554</v>
      </c>
      <c r="G3330" s="28" t="str">
        <f>_xlfn.XLOOKUP(Table134526_79101120212223242526[[#This Row],[Name Surname]],Manpower!$C$4:$C$1048576,Manpower!$F$4:$F$1048576,"")</f>
        <v>Assistant/Helper</v>
      </c>
      <c r="H3330" s="28" t="str">
        <f>_xlfn.XLOOKUP(Table134526_79101120212223242526[[#This Row],[Name Surname]],Manpower!$C$4:$C$1048576,Manpower!$H$4:$H$1048576,"")</f>
        <v>Manpower</v>
      </c>
      <c r="I3330" s="28" t="str">
        <f>_xlfn.XLOOKUP(Table134526_79101120212223242526[[#This Row],[Name Surname]],Manpower!$C$4:$C$1048576,Manpower!$H$4:$H$1048576,"")</f>
        <v>Manpower</v>
      </c>
      <c r="J3330" s="21" t="s">
        <v>35</v>
      </c>
      <c r="K3330" s="21" t="s">
        <v>26</v>
      </c>
      <c r="L3330" s="21" t="s">
        <v>82</v>
      </c>
      <c r="M3330" s="21" t="s">
        <v>55</v>
      </c>
      <c r="N3330" s="29">
        <v>10</v>
      </c>
      <c r="O3330" s="21"/>
      <c r="P3330" s="21"/>
      <c r="Q3330" s="21"/>
      <c r="R3330" s="21" t="s">
        <v>420</v>
      </c>
      <c r="S3330" s="21"/>
      <c r="T3330" s="12"/>
    </row>
    <row r="3331" spans="1:20" ht="14.4" hidden="1">
      <c r="A3331" s="38">
        <f>IF(C3331="","",MAX($A$1:A3330)+1)</f>
        <v>3052</v>
      </c>
      <c r="B3331" s="36" t="s">
        <v>141</v>
      </c>
      <c r="C3331" s="23">
        <v>46109</v>
      </c>
      <c r="D3331" s="28" t="str">
        <f>_xlfn.XLOOKUP(Table134526_79101120212223242526[[#This Row],[Name Surname]],Manpower!$C$4:$C$1048576,Manpower!$B$4:$B$1048576,"")</f>
        <v>AL Saif &amp; Al QALLM ENT LLC</v>
      </c>
      <c r="E3331" s="21" t="s">
        <v>132</v>
      </c>
      <c r="F3331" s="12">
        <f>_xlfn.XLOOKUP(Table134526_79101120212223242526[[#This Row],[Name Surname]],Manpower!C:C,Manpower!D:D,)</f>
        <v>135762195</v>
      </c>
      <c r="G3331" s="28" t="str">
        <f>_xlfn.XLOOKUP(Table134526_79101120212223242526[[#This Row],[Name Surname]],Manpower!$C$4:$C$1048576,Manpower!$F$4:$F$1048576,"")</f>
        <v>HSE Officer</v>
      </c>
      <c r="H3331" s="28" t="str">
        <f>_xlfn.XLOOKUP(Table134526_79101120212223242526[[#This Row],[Name Surname]],Manpower!$C$4:$C$1048576,Manpower!$H$4:$H$1048576,"")</f>
        <v>Sub Contactor</v>
      </c>
      <c r="I3331" s="28" t="str">
        <f>_xlfn.XLOOKUP(Table134526_79101120212223242526[[#This Row],[Name Surname]],Manpower!$C$4:$C$1048576,Manpower!$H$4:$H$1048576,"")</f>
        <v>Sub Contactor</v>
      </c>
      <c r="J3331" s="21" t="s">
        <v>35</v>
      </c>
      <c r="K3331" s="21" t="s">
        <v>26</v>
      </c>
      <c r="L3331" s="21" t="s">
        <v>82</v>
      </c>
      <c r="M3331" s="21" t="s">
        <v>55</v>
      </c>
      <c r="N3331" s="29">
        <v>10</v>
      </c>
      <c r="R3331" s="21" t="s">
        <v>420</v>
      </c>
    </row>
    <row r="3332" spans="1:20" s="45" customFormat="1" ht="14.4" hidden="1">
      <c r="A3332" s="53">
        <f>IF(C3332="","",MAX($A$1:A3331)+1)</f>
        <v>3053</v>
      </c>
      <c r="B3332" s="36" t="s">
        <v>141</v>
      </c>
      <c r="C3332" s="23">
        <v>46109</v>
      </c>
      <c r="D3332" s="28" t="str">
        <f>_xlfn.XLOOKUP(Table134526_79101120212223242526[[#This Row],[Name Surname]],Manpower!$C$4:$C$1048576,Manpower!$B$4:$B$1048576,"")</f>
        <v>Encogroup</v>
      </c>
      <c r="E3332" s="21" t="s">
        <v>133</v>
      </c>
      <c r="F3332" s="12">
        <f>_xlfn.XLOOKUP(Table134526_79101120212223242526[[#This Row],[Name Surname]],Manpower!C:C,Manpower!D:D,)</f>
        <v>140846684</v>
      </c>
      <c r="G3332" s="28" t="str">
        <f>_xlfn.XLOOKUP(Table134526_79101120212223242526[[#This Row],[Name Surname]],Manpower!$C$4:$C$1048576,Manpower!$F$4:$F$1048576,"")</f>
        <v>Assistant/Helper</v>
      </c>
      <c r="H3332" s="28" t="str">
        <f>_xlfn.XLOOKUP(Table134526_79101120212223242526[[#This Row],[Name Surname]],Manpower!$C$4:$C$1048576,Manpower!$H$4:$H$1048576,"")</f>
        <v>Manpower</v>
      </c>
      <c r="I3332" s="28" t="str">
        <f>_xlfn.XLOOKUP(Table134526_79101120212223242526[[#This Row],[Name Surname]],Manpower!$C$4:$C$1048576,Manpower!$H$4:$H$1048576,"")</f>
        <v>Manpower</v>
      </c>
      <c r="J3332" s="21" t="s">
        <v>35</v>
      </c>
      <c r="K3332" s="21" t="s">
        <v>26</v>
      </c>
      <c r="L3332" s="21" t="s">
        <v>82</v>
      </c>
      <c r="M3332" s="21" t="s">
        <v>55</v>
      </c>
      <c r="N3332" s="29">
        <v>10</v>
      </c>
      <c r="O3332" s="21"/>
      <c r="P3332" s="21"/>
      <c r="Q3332" s="21"/>
      <c r="R3332" s="21" t="s">
        <v>420</v>
      </c>
      <c r="S3332" s="21"/>
      <c r="T3332" s="12"/>
    </row>
    <row r="3333" spans="1:20" ht="14.4">
      <c r="A3333" s="38">
        <f>IF(C3333="","",MAX($A$1:A3332)+1)</f>
        <v>3054</v>
      </c>
      <c r="B3333" s="36" t="s">
        <v>141</v>
      </c>
      <c r="C3333" s="23">
        <v>46109</v>
      </c>
      <c r="D3333" s="28" t="str">
        <f>_xlfn.XLOOKUP(Table134526_79101120212223242526[[#This Row],[Name Surname]],Manpower!$C$4:$C$1048576,Manpower!$B$4:$B$1048576,"")</f>
        <v>Encogroup</v>
      </c>
      <c r="E3333" s="21" t="s">
        <v>137</v>
      </c>
      <c r="F3333" s="12" t="e">
        <f>_xlfn.XLOOKUP(Table134526_79101120212223242526[[#This Row],[Name Surname]],Manpower!C:C,Manpower!D:D,)</f>
        <v>#N/A</v>
      </c>
      <c r="G3333" s="28" t="str">
        <f>_xlfn.XLOOKUP(Table134526_79101120212223242526[[#This Row],[Name Surname]],Manpower!$C$4:$C$1048576,Manpower!$F$4:$F$1048576,"")</f>
        <v>55 Seat Bus</v>
      </c>
      <c r="H3333" s="28" t="str">
        <f>_xlfn.XLOOKUP(Table134526_79101120212223242526[[#This Row],[Name Surname]],Manpower!$C$4:$C$1048576,Manpower!$H$4:$H$1048576,"")</f>
        <v>Equipment</v>
      </c>
      <c r="I3333" s="28" t="str">
        <f>_xlfn.XLOOKUP(Table134526_79101120212223242526[[#This Row],[Name Surname]],Manpower!$C$4:$C$1048576,Manpower!$H$4:$H$1048576,"")</f>
        <v>Equipment</v>
      </c>
      <c r="J3333" s="21" t="s">
        <v>35</v>
      </c>
      <c r="K3333" s="21" t="s">
        <v>26</v>
      </c>
      <c r="L3333" s="21" t="s">
        <v>82</v>
      </c>
      <c r="M3333" s="21" t="s">
        <v>55</v>
      </c>
      <c r="N3333" s="29">
        <v>10</v>
      </c>
      <c r="R3333" s="21" t="s">
        <v>420</v>
      </c>
    </row>
    <row r="3334" spans="1:20" ht="14.4">
      <c r="A3334" s="38">
        <f>IF(C3334="","",MAX($A$1:A3332)+1)</f>
        <v>3054</v>
      </c>
      <c r="B3334" s="36" t="s">
        <v>141</v>
      </c>
      <c r="C3334" s="23">
        <v>46109</v>
      </c>
      <c r="D3334" s="28" t="str">
        <f>_xlfn.XLOOKUP(Table134526_79101120212223242526[[#This Row],[Name Surname]],Manpower!$C$4:$C$1048576,Manpower!$B$4:$B$1048576,"")</f>
        <v>Encogroup</v>
      </c>
      <c r="E3334" s="21" t="s">
        <v>139</v>
      </c>
      <c r="F3334" s="12" t="e">
        <f>_xlfn.XLOOKUP(Table134526_79101120212223242526[[#This Row],[Name Surname]],Manpower!C:C,Manpower!D:D,)</f>
        <v>#N/A</v>
      </c>
      <c r="G3334" s="28" t="str">
        <f>_xlfn.XLOOKUP(Table134526_79101120212223242526[[#This Row],[Name Surname]],Manpower!$C$4:$C$1048576,Manpower!$F$4:$F$1048576,"")</f>
        <v>TOWER LIGHT</v>
      </c>
      <c r="H3334" s="28" t="str">
        <f>_xlfn.XLOOKUP(Table134526_79101120212223242526[[#This Row],[Name Surname]],Manpower!$C$4:$C$1048576,Manpower!$H$4:$H$1048576,"")</f>
        <v>Equipment</v>
      </c>
      <c r="I3334" s="28" t="str">
        <f>_xlfn.XLOOKUP(Table134526_79101120212223242526[[#This Row],[Name Surname]],Manpower!$C$4:$C$1048576,Manpower!$H$4:$H$1048576,"")</f>
        <v>Equipment</v>
      </c>
      <c r="J3334" s="21" t="s">
        <v>35</v>
      </c>
      <c r="K3334" s="21" t="s">
        <v>26</v>
      </c>
      <c r="L3334" s="21" t="s">
        <v>82</v>
      </c>
      <c r="M3334" s="21" t="s">
        <v>55</v>
      </c>
      <c r="N3334" s="29">
        <v>10</v>
      </c>
      <c r="R3334" s="21" t="s">
        <v>420</v>
      </c>
    </row>
    <row r="3335" spans="1:20" ht="14.4">
      <c r="A3335" s="38">
        <f>IF(C3335="","",MAX($A$1:A3334)+1)</f>
        <v>3055</v>
      </c>
      <c r="B3335" s="36" t="s">
        <v>141</v>
      </c>
      <c r="C3335" s="23">
        <v>46109</v>
      </c>
      <c r="D3335" s="28" t="str">
        <f>_xlfn.XLOOKUP(Table134526_79101120212223242526[[#This Row],[Name Surname]],Manpower!$C$4:$C$1048576,Manpower!$B$4:$B$1048576,"")</f>
        <v>Encogroup</v>
      </c>
      <c r="E3335" s="21" t="s">
        <v>355</v>
      </c>
      <c r="F3335" s="12" t="e">
        <f>_xlfn.XLOOKUP(Table134526_79101120212223242526[[#This Row],[Name Surname]],Manpower!C:C,Manpower!D:D,)</f>
        <v>#N/A</v>
      </c>
      <c r="G3335" s="28" t="str">
        <f>_xlfn.XLOOKUP(Table134526_79101120212223242526[[#This Row],[Name Surname]],Manpower!$C$4:$C$1048576,Manpower!$F$4:$F$1048576,"")</f>
        <v>TOWER LIGHT</v>
      </c>
      <c r="H3335" s="28" t="str">
        <f>_xlfn.XLOOKUP(Table134526_79101120212223242526[[#This Row],[Name Surname]],Manpower!$C$4:$C$1048576,Manpower!$H$4:$H$1048576,"")</f>
        <v>Equipment</v>
      </c>
      <c r="I3335" s="28" t="str">
        <f>_xlfn.XLOOKUP(Table134526_79101120212223242526[[#This Row],[Name Surname]],Manpower!$C$4:$C$1048576,Manpower!$H$4:$H$1048576,"")</f>
        <v>Equipment</v>
      </c>
      <c r="J3335" s="21" t="s">
        <v>35</v>
      </c>
      <c r="K3335" s="21" t="s">
        <v>26</v>
      </c>
      <c r="L3335" s="21" t="s">
        <v>82</v>
      </c>
      <c r="M3335" s="21" t="s">
        <v>55</v>
      </c>
      <c r="N3335" s="29">
        <v>10</v>
      </c>
      <c r="R3335" s="21" t="s">
        <v>420</v>
      </c>
    </row>
    <row r="3336" spans="1:20" ht="14.4">
      <c r="A3336" s="38">
        <f>IF(C3336="","",MAX($A$1:A3335)+1)</f>
        <v>3056</v>
      </c>
      <c r="B3336" s="36" t="s">
        <v>141</v>
      </c>
      <c r="C3336" s="23">
        <v>46109</v>
      </c>
      <c r="D3336" s="28" t="str">
        <f>_xlfn.XLOOKUP(Table134526_79101120212223242526[[#This Row],[Name Surname]],Manpower!$C$4:$C$1048576,Manpower!$B$4:$B$1048576,"")</f>
        <v>Nass Group</v>
      </c>
      <c r="E3336" s="21" t="s">
        <v>148</v>
      </c>
      <c r="F3336" s="12" t="e">
        <f>_xlfn.XLOOKUP(Table134526_79101120212223242526[[#This Row],[Name Surname]],Manpower!C:C,Manpower!D:D,)</f>
        <v>#N/A</v>
      </c>
      <c r="G3336" s="28" t="str">
        <f>_xlfn.XLOOKUP(Table134526_79101120212223242526[[#This Row],[Name Surname]],Manpower!$C$4:$C$1048576,Manpower!$F$4:$F$1048576,"")</f>
        <v>70T-Telescopic crane</v>
      </c>
      <c r="H3336" s="28" t="str">
        <f>_xlfn.XLOOKUP(Table134526_79101120212223242526[[#This Row],[Name Surname]],Manpower!$C$4:$C$1048576,Manpower!$H$4:$H$1048576,"")</f>
        <v>Equipment</v>
      </c>
      <c r="I3336" s="28" t="str">
        <f>_xlfn.XLOOKUP(Table134526_79101120212223242526[[#This Row],[Name Surname]],Manpower!$C$4:$C$1048576,Manpower!$H$4:$H$1048576,"")</f>
        <v>Equipment</v>
      </c>
      <c r="J3336" s="21" t="s">
        <v>143</v>
      </c>
      <c r="K3336" s="21" t="s">
        <v>26</v>
      </c>
      <c r="L3336" s="21" t="s">
        <v>144</v>
      </c>
      <c r="M3336" s="21" t="s">
        <v>55</v>
      </c>
      <c r="N3336" s="29">
        <v>10</v>
      </c>
      <c r="R3336" s="21" t="s">
        <v>420</v>
      </c>
    </row>
    <row r="3337" spans="1:20" ht="14.4" hidden="1">
      <c r="A3337" s="38">
        <f>IF(C3337="","",MAX($A$1:A3336)+1)</f>
        <v>3057</v>
      </c>
      <c r="B3337" s="36" t="s">
        <v>141</v>
      </c>
      <c r="C3337" s="23">
        <v>46109</v>
      </c>
      <c r="D3337" s="28" t="str">
        <f>_xlfn.XLOOKUP(Table134526_79101120212223242526[[#This Row],[Name Surname]],Manpower!$C$4:$C$1048576,Manpower!$B$4:$B$1048576,"")</f>
        <v>SARENS NASS</v>
      </c>
      <c r="E3337" s="21" t="s">
        <v>162</v>
      </c>
      <c r="F3337" s="12">
        <f>_xlfn.XLOOKUP(Table134526_79101120212223242526[[#This Row],[Name Surname]],Manpower!C:C,Manpower!D:D,)</f>
        <v>78753612</v>
      </c>
      <c r="G3337" s="28" t="str">
        <f>_xlfn.XLOOKUP(Table134526_79101120212223242526[[#This Row],[Name Surname]],Manpower!$C$4:$C$1048576,Manpower!$F$4:$F$1048576,"")</f>
        <v>Crane Operator- 70T Liebherr Telescopic Crane-02</v>
      </c>
      <c r="H3337" s="28" t="str">
        <f>_xlfn.XLOOKUP(Table134526_79101120212223242526[[#This Row],[Name Surname]],Manpower!$C$4:$C$1048576,Manpower!$H$4:$H$1048576,"")</f>
        <v>Manpower</v>
      </c>
      <c r="I3337" s="28" t="str">
        <f>_xlfn.XLOOKUP(Table134526_79101120212223242526[[#This Row],[Name Surname]],Manpower!$C$4:$C$1048576,Manpower!$H$4:$H$1048576,"")</f>
        <v>Manpower</v>
      </c>
      <c r="J3337" s="21" t="s">
        <v>143</v>
      </c>
      <c r="K3337" s="21" t="s">
        <v>26</v>
      </c>
      <c r="L3337" s="21" t="s">
        <v>144</v>
      </c>
      <c r="M3337" s="21" t="s">
        <v>55</v>
      </c>
      <c r="N3337" s="29">
        <v>10</v>
      </c>
      <c r="R3337" s="21" t="s">
        <v>420</v>
      </c>
    </row>
    <row r="3338" spans="1:20" ht="14.4">
      <c r="A3338" s="38">
        <f>IF(C3338="","",MAX($A$1:A3337)+1)</f>
        <v>3058</v>
      </c>
      <c r="B3338" s="36" t="s">
        <v>141</v>
      </c>
      <c r="C3338" s="23">
        <v>46109</v>
      </c>
      <c r="D3338" s="28" t="str">
        <f>_xlfn.XLOOKUP(Table134526_79101120212223242526[[#This Row],[Name Surname]],Manpower!$C$4:$C$1048576,Manpower!$B$4:$B$1048576,"")</f>
        <v>Encogroup</v>
      </c>
      <c r="E3338" s="21" t="s">
        <v>142</v>
      </c>
      <c r="F3338" s="12" t="e">
        <f>_xlfn.XLOOKUP(Table134526_79101120212223242526[[#This Row],[Name Surname]],Manpower!C:C,Manpower!D:D,)</f>
        <v>#N/A</v>
      </c>
      <c r="G3338" s="28" t="str">
        <f>_xlfn.XLOOKUP(Table134526_79101120212223242526[[#This Row],[Name Surname]],Manpower!$C$4:$C$1048576,Manpower!$F$4:$F$1048576,"")</f>
        <v>13 Seat Bus</v>
      </c>
      <c r="H3338" s="28" t="str">
        <f>_xlfn.XLOOKUP(Table134526_79101120212223242526[[#This Row],[Name Surname]],Manpower!$C$4:$C$1048576,Manpower!$H$4:$H$1048576,"")</f>
        <v>Equipment</v>
      </c>
      <c r="I3338" s="28" t="str">
        <f>_xlfn.XLOOKUP(Table134526_79101120212223242526[[#This Row],[Name Surname]],Manpower!$C$4:$C$1048576,Manpower!$H$4:$H$1048576,"")</f>
        <v>Equipment</v>
      </c>
      <c r="J3338" s="21" t="s">
        <v>143</v>
      </c>
      <c r="K3338" s="21" t="s">
        <v>26</v>
      </c>
      <c r="L3338" s="21" t="s">
        <v>144</v>
      </c>
      <c r="M3338" s="21" t="s">
        <v>55</v>
      </c>
      <c r="N3338" s="29">
        <v>10</v>
      </c>
      <c r="R3338" s="21" t="s">
        <v>420</v>
      </c>
    </row>
    <row r="3339" spans="1:20" ht="14.4">
      <c r="A3339" s="38">
        <f>IF(C3339="","",MAX($A$1:A3338)+1)</f>
        <v>3059</v>
      </c>
      <c r="B3339" s="36" t="s">
        <v>141</v>
      </c>
      <c r="C3339" s="23">
        <v>46109</v>
      </c>
      <c r="D3339" s="28" t="str">
        <f>_xlfn.XLOOKUP(Table134526_79101120212223242526[[#This Row],[Name Surname]],Manpower!$C$4:$C$1048576,Manpower!$B$4:$B$1048576,"")</f>
        <v>Encogroup</v>
      </c>
      <c r="E3339" s="21" t="s">
        <v>145</v>
      </c>
      <c r="F3339" s="12" t="e">
        <f>_xlfn.XLOOKUP(Table134526_79101120212223242526[[#This Row],[Name Surname]],Manpower!C:C,Manpower!D:D,)</f>
        <v>#N/A</v>
      </c>
      <c r="G3339" s="28" t="str">
        <f>_xlfn.XLOOKUP(Table134526_79101120212223242526[[#This Row],[Name Surname]],Manpower!$C$4:$C$1048576,Manpower!$F$4:$F$1048576,"")</f>
        <v>15 Seat Bus</v>
      </c>
      <c r="H3339" s="28" t="str">
        <f>_xlfn.XLOOKUP(Table134526_79101120212223242526[[#This Row],[Name Surname]],Manpower!$C$4:$C$1048576,Manpower!$H$4:$H$1048576,"")</f>
        <v>Equipment</v>
      </c>
      <c r="I3339" s="28" t="str">
        <f>_xlfn.XLOOKUP(Table134526_79101120212223242526[[#This Row],[Name Surname]],Manpower!$C$4:$C$1048576,Manpower!$H$4:$H$1048576,"")</f>
        <v>Equipment</v>
      </c>
      <c r="J3339" s="21" t="s">
        <v>143</v>
      </c>
      <c r="K3339" s="21" t="s">
        <v>26</v>
      </c>
      <c r="L3339" s="21" t="s">
        <v>144</v>
      </c>
      <c r="M3339" s="21" t="s">
        <v>55</v>
      </c>
      <c r="N3339" s="29">
        <v>10</v>
      </c>
      <c r="R3339" s="21" t="s">
        <v>420</v>
      </c>
    </row>
    <row r="3340" spans="1:20" ht="14.4">
      <c r="A3340" s="38">
        <f>IF(C3340="","",MAX($A$1:A3338)+1)</f>
        <v>3059</v>
      </c>
      <c r="B3340" s="36" t="s">
        <v>141</v>
      </c>
      <c r="C3340" s="23">
        <v>46109</v>
      </c>
      <c r="D3340" s="28" t="str">
        <f>_xlfn.XLOOKUP(Table134526_79101120212223242526[[#This Row],[Name Surname]],Manpower!$C$4:$C$1048576,Manpower!$B$4:$B$1048576,"")</f>
        <v>Encogroup</v>
      </c>
      <c r="E3340" s="21" t="s">
        <v>150</v>
      </c>
      <c r="F3340" s="12" t="e">
        <f>_xlfn.XLOOKUP(Table134526_79101120212223242526[[#This Row],[Name Surname]],Manpower!C:C,Manpower!D:D,)</f>
        <v>#N/A</v>
      </c>
      <c r="G3340" s="28" t="str">
        <f>_xlfn.XLOOKUP(Table134526_79101120212223242526[[#This Row],[Name Surname]],Manpower!$C$4:$C$1048576,Manpower!$F$4:$F$1048576,"")</f>
        <v>14T Fork lift</v>
      </c>
      <c r="H3340" s="28" t="str">
        <f>_xlfn.XLOOKUP(Table134526_79101120212223242526[[#This Row],[Name Surname]],Manpower!$C$4:$C$1048576,Manpower!$H$4:$H$1048576,"")</f>
        <v>Equipment</v>
      </c>
      <c r="I3340" s="28" t="str">
        <f>_xlfn.XLOOKUP(Table134526_79101120212223242526[[#This Row],[Name Surname]],Manpower!$C$4:$C$1048576,Manpower!$H$4:$H$1048576,"")</f>
        <v>Equipment</v>
      </c>
      <c r="J3340" s="21" t="s">
        <v>143</v>
      </c>
      <c r="K3340" s="21" t="s">
        <v>26</v>
      </c>
      <c r="L3340" s="21" t="s">
        <v>144</v>
      </c>
      <c r="M3340" s="21" t="s">
        <v>55</v>
      </c>
      <c r="N3340" s="29">
        <v>10</v>
      </c>
      <c r="R3340" s="21" t="s">
        <v>420</v>
      </c>
    </row>
    <row r="3341" spans="1:20" ht="14.4">
      <c r="A3341" s="38">
        <f>IF(C3341="","",MAX($A$1:A3340)+1)</f>
        <v>3060</v>
      </c>
      <c r="B3341" s="36" t="s">
        <v>141</v>
      </c>
      <c r="C3341" s="23">
        <v>46109</v>
      </c>
      <c r="D3341" s="28" t="str">
        <f>_xlfn.XLOOKUP(Table134526_79101120212223242526[[#This Row],[Name Surname]],Manpower!$C$4:$C$1048576,Manpower!$B$4:$B$1048576,"")</f>
        <v>Encogroup</v>
      </c>
      <c r="E3341" s="21" t="s">
        <v>153</v>
      </c>
      <c r="F3341" s="12" t="e">
        <f>_xlfn.XLOOKUP(Table134526_79101120212223242526[[#This Row],[Name Surname]],Manpower!C:C,Manpower!D:D,)</f>
        <v>#N/A</v>
      </c>
      <c r="G3341" s="28" t="str">
        <f>_xlfn.XLOOKUP(Table134526_79101120212223242526[[#This Row],[Name Surname]],Manpower!$C$4:$C$1048576,Manpower!$F$4:$F$1048576,"")</f>
        <v>22 Seat Bus</v>
      </c>
      <c r="H3341" s="28" t="str">
        <f>_xlfn.XLOOKUP(Table134526_79101120212223242526[[#This Row],[Name Surname]],Manpower!$C$4:$C$1048576,Manpower!$H$4:$H$1048576,"")</f>
        <v>Equipment</v>
      </c>
      <c r="I3341" s="28" t="str">
        <f>_xlfn.XLOOKUP(Table134526_79101120212223242526[[#This Row],[Name Surname]],Manpower!$C$4:$C$1048576,Manpower!$H$4:$H$1048576,"")</f>
        <v>Equipment</v>
      </c>
      <c r="J3341" s="21" t="s">
        <v>143</v>
      </c>
      <c r="K3341" s="21" t="s">
        <v>26</v>
      </c>
      <c r="L3341" s="21" t="s">
        <v>144</v>
      </c>
      <c r="M3341" s="21" t="s">
        <v>55</v>
      </c>
      <c r="N3341" s="29">
        <v>10</v>
      </c>
      <c r="R3341" s="21" t="s">
        <v>420</v>
      </c>
    </row>
    <row r="3342" spans="1:20" ht="14.4">
      <c r="A3342" s="38">
        <f>IF(C3342="","",MAX($A$1:A3341)+1)</f>
        <v>3061</v>
      </c>
      <c r="B3342" s="36" t="s">
        <v>141</v>
      </c>
      <c r="C3342" s="23">
        <v>46109</v>
      </c>
      <c r="D3342" s="28" t="str">
        <f>_xlfn.XLOOKUP(Table134526_79101120212223242526[[#This Row],[Name Surname]],Manpower!$C$4:$C$1048576,Manpower!$B$4:$B$1048576,"")</f>
        <v>Encogroup</v>
      </c>
      <c r="E3342" s="21" t="s">
        <v>154</v>
      </c>
      <c r="F3342" s="12" t="e">
        <f>_xlfn.XLOOKUP(Table134526_79101120212223242526[[#This Row],[Name Surname]],Manpower!C:C,Manpower!D:D,)</f>
        <v>#N/A</v>
      </c>
      <c r="G3342" s="28" t="str">
        <f>_xlfn.XLOOKUP(Table134526_79101120212223242526[[#This Row],[Name Surname]],Manpower!$C$4:$C$1048576,Manpower!$F$4:$F$1048576,"")</f>
        <v>22 Seat Bus</v>
      </c>
      <c r="H3342" s="28" t="str">
        <f>_xlfn.XLOOKUP(Table134526_79101120212223242526[[#This Row],[Name Surname]],Manpower!$C$4:$C$1048576,Manpower!$H$4:$H$1048576,"")</f>
        <v>Equipment</v>
      </c>
      <c r="I3342" s="28" t="str">
        <f>_xlfn.XLOOKUP(Table134526_79101120212223242526[[#This Row],[Name Surname]],Manpower!$C$4:$C$1048576,Manpower!$H$4:$H$1048576,"")</f>
        <v>Equipment</v>
      </c>
      <c r="J3342" s="21" t="s">
        <v>143</v>
      </c>
      <c r="K3342" s="21" t="s">
        <v>26</v>
      </c>
      <c r="L3342" s="21" t="s">
        <v>144</v>
      </c>
      <c r="M3342" s="21" t="s">
        <v>55</v>
      </c>
      <c r="N3342" s="29">
        <v>10</v>
      </c>
      <c r="R3342" s="21" t="s">
        <v>420</v>
      </c>
    </row>
    <row r="3343" spans="1:20" ht="14.4">
      <c r="A3343" s="38">
        <f>IF(C3343="","",MAX($A$1:A3342)+1)</f>
        <v>3062</v>
      </c>
      <c r="B3343" s="36" t="s">
        <v>141</v>
      </c>
      <c r="C3343" s="23">
        <v>46109</v>
      </c>
      <c r="D3343" s="28" t="str">
        <f>_xlfn.XLOOKUP(Table134526_79101120212223242526[[#This Row],[Name Surname]],Manpower!$C$4:$C$1048576,Manpower!$B$4:$B$1048576,"")</f>
        <v>Encogroup</v>
      </c>
      <c r="E3343" s="21" t="s">
        <v>155</v>
      </c>
      <c r="F3343" s="12" t="e">
        <f>_xlfn.XLOOKUP(Table134526_79101120212223242526[[#This Row],[Name Surname]],Manpower!C:C,Manpower!D:D,)</f>
        <v>#N/A</v>
      </c>
      <c r="G3343" s="28" t="str">
        <f>_xlfn.XLOOKUP(Table134526_79101120212223242526[[#This Row],[Name Surname]],Manpower!$C$4:$C$1048576,Manpower!$F$4:$F$1048576,"")</f>
        <v>300 KVA Generator</v>
      </c>
      <c r="H3343" s="28" t="str">
        <f>_xlfn.XLOOKUP(Table134526_79101120212223242526[[#This Row],[Name Surname]],Manpower!$C$4:$C$1048576,Manpower!$H$4:$H$1048576,"")</f>
        <v>Equipment</v>
      </c>
      <c r="I3343" s="28" t="str">
        <f>_xlfn.XLOOKUP(Table134526_79101120212223242526[[#This Row],[Name Surname]],Manpower!$C$4:$C$1048576,Manpower!$H$4:$H$1048576,"")</f>
        <v>Equipment</v>
      </c>
      <c r="J3343" s="21" t="s">
        <v>143</v>
      </c>
      <c r="K3343" s="21" t="s">
        <v>26</v>
      </c>
      <c r="L3343" s="21" t="s">
        <v>144</v>
      </c>
      <c r="M3343" s="21" t="s">
        <v>55</v>
      </c>
      <c r="N3343" s="29">
        <v>10</v>
      </c>
      <c r="R3343" s="21" t="s">
        <v>420</v>
      </c>
    </row>
    <row r="3344" spans="1:20" ht="14.4">
      <c r="A3344" s="38">
        <f>IF(C3344="","",MAX($A$1:A3343)+1)</f>
        <v>3063</v>
      </c>
      <c r="B3344" s="36" t="s">
        <v>141</v>
      </c>
      <c r="C3344" s="23">
        <v>46109</v>
      </c>
      <c r="D3344" s="28" t="str">
        <f>_xlfn.XLOOKUP(Table134526_79101120212223242526[[#This Row],[Name Surname]],Manpower!$C$4:$C$1048576,Manpower!$B$4:$B$1048576,"")</f>
        <v>Encogroup</v>
      </c>
      <c r="E3344" s="23" t="s">
        <v>156</v>
      </c>
      <c r="F3344" s="12" t="e">
        <f>_xlfn.XLOOKUP(Table134526_79101120212223242526[[#This Row],[Name Surname]],Manpower!C:C,Manpower!D:D,)</f>
        <v>#N/A</v>
      </c>
      <c r="G3344" s="28" t="str">
        <f>_xlfn.XLOOKUP(Table134526_79101120212223242526[[#This Row],[Name Surname]],Manpower!$C$4:$C$1048576,Manpower!$F$4:$F$1048576,"")</f>
        <v>35 KVA Generator</v>
      </c>
      <c r="H3344" s="28" t="str">
        <f>_xlfn.XLOOKUP(Table134526_79101120212223242526[[#This Row],[Name Surname]],Manpower!$C$4:$C$1048576,Manpower!$H$4:$H$1048576,"")</f>
        <v>Equipment</v>
      </c>
      <c r="I3344" s="28" t="str">
        <f>_xlfn.XLOOKUP(Table134526_79101120212223242526[[#This Row],[Name Surname]],Manpower!$C$4:$C$1048576,Manpower!$H$4:$H$1048576,"")</f>
        <v>Equipment</v>
      </c>
      <c r="J3344" s="21" t="s">
        <v>143</v>
      </c>
      <c r="K3344" s="21" t="s">
        <v>26</v>
      </c>
      <c r="L3344" s="21" t="s">
        <v>144</v>
      </c>
      <c r="M3344" s="21" t="s">
        <v>55</v>
      </c>
      <c r="N3344" s="29">
        <v>10</v>
      </c>
      <c r="R3344" s="21" t="s">
        <v>420</v>
      </c>
    </row>
    <row r="3345" spans="1:20" ht="14.4">
      <c r="A3345" s="38">
        <f>IF(C3345="","",MAX($A$1:A3344)+1)</f>
        <v>3064</v>
      </c>
      <c r="B3345" s="36" t="s">
        <v>141</v>
      </c>
      <c r="C3345" s="23">
        <v>46109</v>
      </c>
      <c r="D3345" s="28" t="str">
        <f>_xlfn.XLOOKUP(Table134526_79101120212223242526[[#This Row],[Name Surname]],Manpower!$C$4:$C$1048576,Manpower!$B$4:$B$1048576,"")</f>
        <v>Encogroup</v>
      </c>
      <c r="E3345" s="21" t="s">
        <v>342</v>
      </c>
      <c r="F3345" s="12" t="e">
        <f>_xlfn.XLOOKUP(Table134526_79101120212223242526[[#This Row],[Name Surname]],Manpower!C:C,Manpower!D:D,)</f>
        <v>#N/A</v>
      </c>
      <c r="G3345" s="28" t="str">
        <f>_xlfn.XLOOKUP(Table134526_79101120212223242526[[#This Row],[Name Surname]],Manpower!$C$4:$C$1048576,Manpower!$F$4:$F$1048576,"")</f>
        <v>SCISSOR LIFT</v>
      </c>
      <c r="H3345" s="28" t="str">
        <f>_xlfn.XLOOKUP(Table134526_79101120212223242526[[#This Row],[Name Surname]],Manpower!$C$4:$C$1048576,Manpower!$H$4:$H$1048576,"")</f>
        <v>Equipment</v>
      </c>
      <c r="I3345" s="28" t="str">
        <f>_xlfn.XLOOKUP(Table134526_79101120212223242526[[#This Row],[Name Surname]],Manpower!$C$4:$C$1048576,Manpower!$H$4:$H$1048576,"")</f>
        <v>Equipment</v>
      </c>
      <c r="J3345" s="21" t="s">
        <v>143</v>
      </c>
      <c r="K3345" s="21" t="s">
        <v>26</v>
      </c>
      <c r="L3345" s="21" t="s">
        <v>144</v>
      </c>
      <c r="M3345" s="21" t="s">
        <v>55</v>
      </c>
      <c r="N3345" s="29">
        <v>10</v>
      </c>
      <c r="R3345" s="21" t="s">
        <v>420</v>
      </c>
    </row>
    <row r="3346" spans="1:20" s="45" customFormat="1" ht="14.4" hidden="1">
      <c r="A3346" s="53">
        <f>IF(C3346="","",MAX($A$1:A3345)+1)</f>
        <v>3065</v>
      </c>
      <c r="B3346" s="36" t="s">
        <v>141</v>
      </c>
      <c r="C3346" s="23">
        <v>46109</v>
      </c>
      <c r="D3346" s="28" t="str">
        <f>_xlfn.XLOOKUP(Table134526_79101120212223242526[[#This Row],[Name Surname]],Manpower!$C$4:$C$1048576,Manpower!$B$4:$B$1048576,"")</f>
        <v>Encogroup</v>
      </c>
      <c r="E3346" s="21" t="s">
        <v>157</v>
      </c>
      <c r="F3346" s="12">
        <f>_xlfn.XLOOKUP(Table134526_79101120212223242526[[#This Row],[Name Surname]],Manpower!C:C,Manpower!D:D,)</f>
        <v>140742144</v>
      </c>
      <c r="G3346" s="28" t="str">
        <f>_xlfn.XLOOKUP(Table134526_79101120212223242526[[#This Row],[Name Surname]],Manpower!$C$4:$C$1048576,Manpower!$F$4:$F$1048576,"")</f>
        <v>Assistant/Helper</v>
      </c>
      <c r="H3346" s="28" t="str">
        <f>_xlfn.XLOOKUP(Table134526_79101120212223242526[[#This Row],[Name Surname]],Manpower!$C$4:$C$1048576,Manpower!$H$4:$H$1048576,"")</f>
        <v>Manpower</v>
      </c>
      <c r="I3346" s="28" t="str">
        <f>_xlfn.XLOOKUP(Table134526_79101120212223242526[[#This Row],[Name Surname]],Manpower!$C$4:$C$1048576,Manpower!$H$4:$H$1048576,"")</f>
        <v>Manpower</v>
      </c>
      <c r="J3346" s="21" t="s">
        <v>143</v>
      </c>
      <c r="K3346" s="21" t="s">
        <v>26</v>
      </c>
      <c r="L3346" s="21" t="s">
        <v>26</v>
      </c>
      <c r="M3346" s="21" t="s">
        <v>55</v>
      </c>
      <c r="N3346" s="29">
        <v>10</v>
      </c>
      <c r="O3346" s="21"/>
      <c r="P3346" s="21"/>
      <c r="Q3346" s="21"/>
      <c r="R3346" s="21" t="s">
        <v>420</v>
      </c>
      <c r="S3346" s="21"/>
      <c r="T3346" s="12"/>
    </row>
    <row r="3347" spans="1:20" s="45" customFormat="1" ht="14.4" hidden="1">
      <c r="A3347" s="53">
        <f>IF(C3347="","",MAX($A$1:A3346)+1)</f>
        <v>3066</v>
      </c>
      <c r="B3347" s="36" t="s">
        <v>141</v>
      </c>
      <c r="C3347" s="23">
        <v>46109</v>
      </c>
      <c r="D3347" s="28" t="str">
        <f>_xlfn.XLOOKUP(Table134526_79101120212223242526[[#This Row],[Name Surname]],Manpower!$C$4:$C$1048576,Manpower!$B$4:$B$1048576,"")</f>
        <v>Encogroup</v>
      </c>
      <c r="E3347" s="21" t="s">
        <v>166</v>
      </c>
      <c r="F3347" s="12" t="str">
        <f>_xlfn.XLOOKUP(Table134526_79101120212223242526[[#This Row],[Name Surname]],Manpower!C:C,Manpower!D:D,)</f>
        <v>U4181508</v>
      </c>
      <c r="G3347" s="28" t="str">
        <f>_xlfn.XLOOKUP(Table134526_79101120212223242526[[#This Row],[Name Surname]],Manpower!$C$4:$C$1048576,Manpower!$F$4:$F$1048576,"")</f>
        <v>Welder</v>
      </c>
      <c r="H3347" s="28" t="str">
        <f>_xlfn.XLOOKUP(Table134526_79101120212223242526[[#This Row],[Name Surname]],Manpower!$C$4:$C$1048576,Manpower!$H$4:$H$1048576,"")</f>
        <v>Manpower</v>
      </c>
      <c r="I3347" s="28" t="str">
        <f>_xlfn.XLOOKUP(Table134526_79101120212223242526[[#This Row],[Name Surname]],Manpower!$C$4:$C$1048576,Manpower!$H$4:$H$1048576,"")</f>
        <v>Manpower</v>
      </c>
      <c r="J3347" s="21" t="s">
        <v>143</v>
      </c>
      <c r="K3347" s="21" t="s">
        <v>26</v>
      </c>
      <c r="L3347" s="21" t="s">
        <v>144</v>
      </c>
      <c r="M3347" s="21" t="s">
        <v>55</v>
      </c>
      <c r="N3347" s="29">
        <v>10</v>
      </c>
      <c r="O3347" s="21"/>
      <c r="P3347" s="21"/>
      <c r="Q3347" s="21"/>
      <c r="R3347" s="21" t="s">
        <v>420</v>
      </c>
      <c r="S3347" s="21"/>
      <c r="T3347" s="12"/>
    </row>
    <row r="3348" spans="1:20" s="45" customFormat="1" ht="14.4" hidden="1">
      <c r="A3348" s="53">
        <f>IF(C3348="","",MAX($A$1:A3347)+1)</f>
        <v>3067</v>
      </c>
      <c r="B3348" s="36" t="s">
        <v>141</v>
      </c>
      <c r="C3348" s="23">
        <v>46109</v>
      </c>
      <c r="D3348" s="28" t="str">
        <f>_xlfn.XLOOKUP(Table134526_79101120212223242526[[#This Row],[Name Surname]],Manpower!$C$4:$C$1048576,Manpower!$B$4:$B$1048576,"")</f>
        <v>Encogroup</v>
      </c>
      <c r="E3348" s="21" t="s">
        <v>167</v>
      </c>
      <c r="F3348" s="12">
        <f>_xlfn.XLOOKUP(Table134526_79101120212223242526[[#This Row],[Name Surname]],Manpower!C:C,Manpower!D:D,)</f>
        <v>125440631</v>
      </c>
      <c r="G3348" s="28" t="str">
        <f>_xlfn.XLOOKUP(Table134526_79101120212223242526[[#This Row],[Name Surname]],Manpower!$C$4:$C$1048576,Manpower!$F$4:$F$1048576,"")</f>
        <v>Rigger</v>
      </c>
      <c r="H3348" s="28" t="str">
        <f>_xlfn.XLOOKUP(Table134526_79101120212223242526[[#This Row],[Name Surname]],Manpower!$C$4:$C$1048576,Manpower!$H$4:$H$1048576,"")</f>
        <v>Manpower</v>
      </c>
      <c r="I3348" s="28" t="str">
        <f>_xlfn.XLOOKUP(Table134526_79101120212223242526[[#This Row],[Name Surname]],Manpower!$C$4:$C$1048576,Manpower!$H$4:$H$1048576,"")</f>
        <v>Manpower</v>
      </c>
      <c r="J3348" s="21" t="s">
        <v>143</v>
      </c>
      <c r="K3348" s="21" t="s">
        <v>26</v>
      </c>
      <c r="L3348" s="21" t="s">
        <v>144</v>
      </c>
      <c r="M3348" s="21" t="s">
        <v>55</v>
      </c>
      <c r="N3348" s="29">
        <v>10</v>
      </c>
      <c r="O3348" s="21"/>
      <c r="P3348" s="21"/>
      <c r="Q3348" s="21"/>
      <c r="R3348" s="21" t="s">
        <v>420</v>
      </c>
      <c r="S3348" s="21"/>
      <c r="T3348" s="12"/>
    </row>
    <row r="3349" spans="1:20" ht="14.4" hidden="1">
      <c r="A3349" s="38">
        <f>IF(C3349="","",MAX($A$1:A3348)+1)</f>
        <v>3068</v>
      </c>
      <c r="B3349" s="36" t="s">
        <v>141</v>
      </c>
      <c r="C3349" s="23">
        <v>46109</v>
      </c>
      <c r="D3349" s="28" t="str">
        <f>_xlfn.XLOOKUP(Table134526_79101120212223242526[[#This Row],[Name Surname]],Manpower!$C$4:$C$1048576,Manpower!$B$4:$B$1048576,"")</f>
        <v>AL Omar International TRAD AND CONT</v>
      </c>
      <c r="E3349" s="21" t="s">
        <v>169</v>
      </c>
      <c r="F3349" s="12">
        <f>_xlfn.XLOOKUP(Table134526_79101120212223242526[[#This Row],[Name Surname]],Manpower!C:C,Manpower!D:D,)</f>
        <v>115731078</v>
      </c>
      <c r="G3349" s="28" t="str">
        <f>_xlfn.XLOOKUP(Table134526_79101120212223242526[[#This Row],[Name Surname]],Manpower!$C$4:$C$1048576,Manpower!$F$4:$F$1048576,"")</f>
        <v>Scaffolder</v>
      </c>
      <c r="H3349" s="28" t="str">
        <f>_xlfn.XLOOKUP(Table134526_79101120212223242526[[#This Row],[Name Surname]],Manpower!$C$4:$C$1048576,Manpower!$H$4:$H$1048576,"")</f>
        <v>Sub Contactor</v>
      </c>
      <c r="I3349" s="28" t="str">
        <f>_xlfn.XLOOKUP(Table134526_79101120212223242526[[#This Row],[Name Surname]],Manpower!$C$4:$C$1048576,Manpower!$H$4:$H$1048576,"")</f>
        <v>Sub Contactor</v>
      </c>
      <c r="J3349" s="21" t="s">
        <v>143</v>
      </c>
      <c r="K3349" s="21" t="s">
        <v>26</v>
      </c>
      <c r="L3349" s="21" t="s">
        <v>170</v>
      </c>
      <c r="M3349" s="21" t="s">
        <v>55</v>
      </c>
      <c r="N3349" s="29">
        <v>10</v>
      </c>
      <c r="R3349" s="21" t="s">
        <v>420</v>
      </c>
    </row>
    <row r="3350" spans="1:20" s="45" customFormat="1" ht="14.4" hidden="1">
      <c r="A3350" s="53">
        <f>IF(C3350="","",MAX($A$1:A3349)+1)</f>
        <v>3069</v>
      </c>
      <c r="B3350" s="36" t="s">
        <v>141</v>
      </c>
      <c r="C3350" s="23">
        <v>46109</v>
      </c>
      <c r="D3350" s="28" t="str">
        <f>_xlfn.XLOOKUP(Table134526_79101120212223242526[[#This Row],[Name Surname]],Manpower!$C$4:$C$1048576,Manpower!$B$4:$B$1048576,"")</f>
        <v>Encogroup</v>
      </c>
      <c r="E3350" s="21" t="s">
        <v>172</v>
      </c>
      <c r="F3350" s="12">
        <f>_xlfn.XLOOKUP(Table134526_79101120212223242526[[#This Row],[Name Surname]],Manpower!C:C,Manpower!D:D,)</f>
        <v>140764355</v>
      </c>
      <c r="G3350" s="28" t="str">
        <f>_xlfn.XLOOKUP(Table134526_79101120212223242526[[#This Row],[Name Surname]],Manpower!$C$4:$C$1048576,Manpower!$F$4:$F$1048576,"")</f>
        <v>Fitter/Erector</v>
      </c>
      <c r="H3350" s="28" t="str">
        <f>_xlfn.XLOOKUP(Table134526_79101120212223242526[[#This Row],[Name Surname]],Manpower!$C$4:$C$1048576,Manpower!$H$4:$H$1048576,"")</f>
        <v>Manpower</v>
      </c>
      <c r="I3350" s="28" t="str">
        <f>_xlfn.XLOOKUP(Table134526_79101120212223242526[[#This Row],[Name Surname]],Manpower!$C$4:$C$1048576,Manpower!$H$4:$H$1048576,"")</f>
        <v>Manpower</v>
      </c>
      <c r="J3350" s="21" t="s">
        <v>143</v>
      </c>
      <c r="K3350" s="21" t="s">
        <v>26</v>
      </c>
      <c r="L3350" s="21" t="s">
        <v>144</v>
      </c>
      <c r="M3350" s="21" t="s">
        <v>55</v>
      </c>
      <c r="N3350" s="29">
        <v>10</v>
      </c>
      <c r="O3350" s="21"/>
      <c r="P3350" s="21"/>
      <c r="Q3350" s="21"/>
      <c r="R3350" s="21" t="s">
        <v>420</v>
      </c>
      <c r="S3350" s="21"/>
      <c r="T3350" s="12"/>
    </row>
    <row r="3351" spans="1:20" ht="14.4" hidden="1">
      <c r="A3351" s="38">
        <f>IF(C3351="","",MAX($A$1:A3350)+1)</f>
        <v>3070</v>
      </c>
      <c r="B3351" s="36" t="s">
        <v>141</v>
      </c>
      <c r="C3351" s="23">
        <v>46109</v>
      </c>
      <c r="D3351" s="28" t="str">
        <f>_xlfn.XLOOKUP(Table134526_79101120212223242526[[#This Row],[Name Surname]],Manpower!$C$4:$C$1048576,Manpower!$B$4:$B$1048576,"")</f>
        <v>Encogroup</v>
      </c>
      <c r="E3351" s="21" t="s">
        <v>175</v>
      </c>
      <c r="F3351" s="12">
        <f>_xlfn.XLOOKUP(Table134526_79101120212223242526[[#This Row],[Name Surname]],Manpower!C:C,Manpower!D:D,)</f>
        <v>140742125</v>
      </c>
      <c r="G3351" s="28" t="str">
        <f>_xlfn.XLOOKUP(Table134526_79101120212223242526[[#This Row],[Name Surname]],Manpower!$C$4:$C$1048576,Manpower!$F$4:$F$1048576,"")</f>
        <v>Assistant/Helper</v>
      </c>
      <c r="H3351" s="28" t="str">
        <f>_xlfn.XLOOKUP(Table134526_79101120212223242526[[#This Row],[Name Surname]],Manpower!$C$4:$C$1048576,Manpower!$H$4:$H$1048576,"")</f>
        <v>Manpower</v>
      </c>
      <c r="I3351" s="28" t="str">
        <f>_xlfn.XLOOKUP(Table134526_79101120212223242526[[#This Row],[Name Surname]],Manpower!$C$4:$C$1048576,Manpower!$H$4:$H$1048576,"")</f>
        <v>Manpower</v>
      </c>
      <c r="J3351" s="21" t="s">
        <v>143</v>
      </c>
      <c r="K3351" s="21" t="s">
        <v>26</v>
      </c>
      <c r="L3351" s="21" t="s">
        <v>26</v>
      </c>
      <c r="M3351" s="21" t="s">
        <v>55</v>
      </c>
      <c r="N3351" s="29">
        <v>10</v>
      </c>
      <c r="R3351" s="21" t="s">
        <v>420</v>
      </c>
    </row>
    <row r="3352" spans="1:20" ht="14.4" hidden="1">
      <c r="A3352" s="38">
        <f>IF(C3352="","",MAX($A$1:A3351)+1)</f>
        <v>3071</v>
      </c>
      <c r="B3352" s="36" t="s">
        <v>141</v>
      </c>
      <c r="C3352" s="23">
        <v>46109</v>
      </c>
      <c r="D3352" s="28" t="str">
        <f>_xlfn.XLOOKUP(Table134526_79101120212223242526[[#This Row],[Name Surname]],Manpower!$C$4:$C$1048576,Manpower!$B$4:$B$1048576,"")</f>
        <v>Encogroup</v>
      </c>
      <c r="E3352" s="21" t="s">
        <v>228</v>
      </c>
      <c r="F3352" s="12">
        <f>_xlfn.XLOOKUP(Table134526_79101120212223242526[[#This Row],[Name Surname]],Manpower!C:C,Manpower!D:D,)</f>
        <v>125199963</v>
      </c>
      <c r="G3352" s="28" t="str">
        <f>_xlfn.XLOOKUP(Table134526_79101120212223242526[[#This Row],[Name Surname]],Manpower!$C$4:$C$1048576,Manpower!$F$4:$F$1048576,"")</f>
        <v>Electrician</v>
      </c>
      <c r="H3352" s="28" t="str">
        <f>_xlfn.XLOOKUP(Table134526_79101120212223242526[[#This Row],[Name Surname]],Manpower!$C$4:$C$1048576,Manpower!$H$4:$H$1048576,"")</f>
        <v>Manpower</v>
      </c>
      <c r="I3352" s="28" t="str">
        <f>_xlfn.XLOOKUP(Table134526_79101120212223242526[[#This Row],[Name Surname]],Manpower!$C$4:$C$1048576,Manpower!$H$4:$H$1048576,"")</f>
        <v>Manpower</v>
      </c>
      <c r="J3352" s="21" t="s">
        <v>143</v>
      </c>
      <c r="K3352" s="21" t="s">
        <v>26</v>
      </c>
      <c r="L3352" s="21" t="s">
        <v>26</v>
      </c>
      <c r="M3352" s="21" t="s">
        <v>55</v>
      </c>
      <c r="N3352" s="29">
        <v>10</v>
      </c>
      <c r="R3352" s="21" t="s">
        <v>420</v>
      </c>
    </row>
    <row r="3353" spans="1:20" ht="14.4" hidden="1">
      <c r="A3353" s="38">
        <f>IF(C3353="","",MAX($A$1:A3352)+1)</f>
        <v>3072</v>
      </c>
      <c r="B3353" s="36" t="s">
        <v>141</v>
      </c>
      <c r="C3353" s="23">
        <v>46109</v>
      </c>
      <c r="D3353" s="28" t="str">
        <f>_xlfn.XLOOKUP(Table134526_79101120212223242526[[#This Row],[Name Surname]],Manpower!$C$4:$C$1048576,Manpower!$B$4:$B$1048576,"")</f>
        <v>Encogroup</v>
      </c>
      <c r="E3353" s="21" t="s">
        <v>119</v>
      </c>
      <c r="F3353" s="12">
        <f>_xlfn.XLOOKUP(Table134526_79101120212223242526[[#This Row],[Name Surname]],Manpower!C:C,Manpower!D:D,)</f>
        <v>140844778</v>
      </c>
      <c r="G3353" s="28" t="str">
        <f>_xlfn.XLOOKUP(Table134526_79101120212223242526[[#This Row],[Name Surname]],Manpower!$C$4:$C$1048576,Manpower!$F$4:$F$1048576,"")</f>
        <v>Painter</v>
      </c>
      <c r="H3353" s="28" t="str">
        <f>_xlfn.XLOOKUP(Table134526_79101120212223242526[[#This Row],[Name Surname]],Manpower!$C$4:$C$1048576,Manpower!$H$4:$H$1048576,"")</f>
        <v>Manpower</v>
      </c>
      <c r="I3353" s="28" t="str">
        <f>_xlfn.XLOOKUP(Table134526_79101120212223242526[[#This Row],[Name Surname]],Manpower!$C$4:$C$1048576,Manpower!$H$4:$H$1048576,"")</f>
        <v>Manpower</v>
      </c>
      <c r="J3353" s="21" t="s">
        <v>143</v>
      </c>
      <c r="K3353" s="21" t="s">
        <v>26</v>
      </c>
      <c r="L3353" s="21" t="s">
        <v>144</v>
      </c>
      <c r="M3353" s="21" t="s">
        <v>55</v>
      </c>
      <c r="N3353" s="29">
        <v>10</v>
      </c>
      <c r="R3353" s="21" t="s">
        <v>420</v>
      </c>
    </row>
    <row r="3354" spans="1:20" ht="14.4" hidden="1">
      <c r="A3354" s="38">
        <f>IF(C3354="","",MAX($A$1:A3353)+1)</f>
        <v>3073</v>
      </c>
      <c r="B3354" s="36" t="s">
        <v>141</v>
      </c>
      <c r="C3354" s="23">
        <v>46109</v>
      </c>
      <c r="D3354" s="28" t="str">
        <f>_xlfn.XLOOKUP(Table134526_79101120212223242526[[#This Row],[Name Surname]],Manpower!$C$4:$C$1048576,Manpower!$B$4:$B$1048576,"")</f>
        <v>Encogroup</v>
      </c>
      <c r="E3354" s="21" t="s">
        <v>117</v>
      </c>
      <c r="F3354" s="12">
        <f>_xlfn.XLOOKUP(Table134526_79101120212223242526[[#This Row],[Name Surname]],Manpower!C:C,Manpower!D:D,)</f>
        <v>140844783</v>
      </c>
      <c r="G3354" s="28" t="str">
        <f>_xlfn.XLOOKUP(Table134526_79101120212223242526[[#This Row],[Name Surname]],Manpower!$C$4:$C$1048576,Manpower!$F$4:$F$1048576,"")</f>
        <v>Painter</v>
      </c>
      <c r="H3354" s="28" t="str">
        <f>_xlfn.XLOOKUP(Table134526_79101120212223242526[[#This Row],[Name Surname]],Manpower!$C$4:$C$1048576,Manpower!$H$4:$H$1048576,"")</f>
        <v>Manpower</v>
      </c>
      <c r="I3354" s="28" t="str">
        <f>_xlfn.XLOOKUP(Table134526_79101120212223242526[[#This Row],[Name Surname]],Manpower!$C$4:$C$1048576,Manpower!$H$4:$H$1048576,"")</f>
        <v>Manpower</v>
      </c>
      <c r="J3354" s="21" t="s">
        <v>143</v>
      </c>
      <c r="K3354" s="21" t="s">
        <v>26</v>
      </c>
      <c r="L3354" s="21" t="s">
        <v>144</v>
      </c>
      <c r="M3354" s="21" t="s">
        <v>55</v>
      </c>
      <c r="N3354" s="29">
        <v>10</v>
      </c>
      <c r="R3354" s="21" t="s">
        <v>420</v>
      </c>
    </row>
    <row r="3355" spans="1:20" s="45" customFormat="1" ht="14.4" hidden="1">
      <c r="A3355" s="53">
        <f>IF(C3355="","",MAX($A$1:A3354)+1)</f>
        <v>3074</v>
      </c>
      <c r="B3355" s="36" t="s">
        <v>141</v>
      </c>
      <c r="C3355" s="23">
        <v>46109</v>
      </c>
      <c r="D3355" s="28" t="str">
        <f>_xlfn.XLOOKUP(Table134526_79101120212223242526[[#This Row],[Name Surname]],Manpower!$C$4:$C$1048576,Manpower!$B$4:$B$1048576,"")</f>
        <v>Encogroup</v>
      </c>
      <c r="E3355" s="21" t="s">
        <v>176</v>
      </c>
      <c r="F3355" s="12">
        <f>_xlfn.XLOOKUP(Table134526_79101120212223242526[[#This Row],[Name Surname]],Manpower!C:C,Manpower!D:D,)</f>
        <v>124398279</v>
      </c>
      <c r="G3355" s="28" t="str">
        <f>_xlfn.XLOOKUP(Table134526_79101120212223242526[[#This Row],[Name Surname]],Manpower!$C$4:$C$1048576,Manpower!$F$4:$F$1048576,"")</f>
        <v>Permit Receiver</v>
      </c>
      <c r="H3355" s="28" t="str">
        <f>_xlfn.XLOOKUP(Table134526_79101120212223242526[[#This Row],[Name Surname]],Manpower!$C$4:$C$1048576,Manpower!$H$4:$H$1048576,"")</f>
        <v>Manpower</v>
      </c>
      <c r="I3355" s="28" t="str">
        <f>_xlfn.XLOOKUP(Table134526_79101120212223242526[[#This Row],[Name Surname]],Manpower!$C$4:$C$1048576,Manpower!$H$4:$H$1048576,"")</f>
        <v>Manpower</v>
      </c>
      <c r="J3355" s="21" t="s">
        <v>143</v>
      </c>
      <c r="K3355" s="21" t="s">
        <v>26</v>
      </c>
      <c r="L3355" s="21" t="s">
        <v>144</v>
      </c>
      <c r="M3355" s="21" t="s">
        <v>55</v>
      </c>
      <c r="N3355" s="29">
        <v>10</v>
      </c>
      <c r="O3355" s="21"/>
      <c r="P3355" s="21"/>
      <c r="Q3355" s="21"/>
      <c r="R3355" s="21" t="s">
        <v>420</v>
      </c>
      <c r="S3355" s="21"/>
      <c r="T3355" s="12"/>
    </row>
    <row r="3356" spans="1:20" s="45" customFormat="1" ht="14.4" hidden="1">
      <c r="A3356" s="53">
        <f>IF(C3356="","",MAX($A$1:A3355)+1)</f>
        <v>3075</v>
      </c>
      <c r="B3356" s="36" t="s">
        <v>141</v>
      </c>
      <c r="C3356" s="23">
        <v>46109</v>
      </c>
      <c r="D3356" s="28" t="str">
        <f>_xlfn.XLOOKUP(Table134526_79101120212223242526[[#This Row],[Name Surname]],Manpower!$C$4:$C$1048576,Manpower!$B$4:$B$1048576,"")</f>
        <v>Encogroup</v>
      </c>
      <c r="E3356" s="21" t="s">
        <v>177</v>
      </c>
      <c r="F3356" s="12">
        <f>_xlfn.XLOOKUP(Table134526_79101120212223242526[[#This Row],[Name Surname]],Manpower!C:C,Manpower!D:D,)</f>
        <v>140809004</v>
      </c>
      <c r="G3356" s="28" t="str">
        <f>_xlfn.XLOOKUP(Table134526_79101120212223242526[[#This Row],[Name Surname]],Manpower!$C$4:$C$1048576,Manpower!$F$4:$F$1048576,"")</f>
        <v>Fitter/Erector</v>
      </c>
      <c r="H3356" s="28" t="str">
        <f>_xlfn.XLOOKUP(Table134526_79101120212223242526[[#This Row],[Name Surname]],Manpower!$C$4:$C$1048576,Manpower!$H$4:$H$1048576,"")</f>
        <v>Manpower</v>
      </c>
      <c r="I3356" s="28" t="str">
        <f>_xlfn.XLOOKUP(Table134526_79101120212223242526[[#This Row],[Name Surname]],Manpower!$C$4:$C$1048576,Manpower!$H$4:$H$1048576,"")</f>
        <v>Manpower</v>
      </c>
      <c r="J3356" s="21" t="s">
        <v>143</v>
      </c>
      <c r="K3356" s="21" t="s">
        <v>26</v>
      </c>
      <c r="L3356" s="21" t="s">
        <v>144</v>
      </c>
      <c r="M3356" s="21" t="s">
        <v>55</v>
      </c>
      <c r="N3356" s="29">
        <v>10</v>
      </c>
      <c r="O3356" s="21"/>
      <c r="P3356" s="21"/>
      <c r="Q3356" s="21"/>
      <c r="R3356" s="21" t="s">
        <v>420</v>
      </c>
      <c r="S3356" s="21"/>
      <c r="T3356" s="12"/>
    </row>
    <row r="3357" spans="1:20" ht="14.4" hidden="1">
      <c r="A3357" s="38">
        <f>IF(C3357="","",MAX($A$1:A3356)+1)</f>
        <v>3076</v>
      </c>
      <c r="B3357" s="36" t="s">
        <v>141</v>
      </c>
      <c r="C3357" s="23">
        <v>46109</v>
      </c>
      <c r="D3357" s="28" t="str">
        <f>_xlfn.XLOOKUP(Table134526_79101120212223242526[[#This Row],[Name Surname]],Manpower!$C$4:$C$1048576,Manpower!$B$4:$B$1048576,"")</f>
        <v>Encogroup</v>
      </c>
      <c r="E3357" s="21" t="s">
        <v>178</v>
      </c>
      <c r="F3357" s="12">
        <f>_xlfn.XLOOKUP(Table134526_79101120212223242526[[#This Row],[Name Surname]],Manpower!C:C,Manpower!D:D,)</f>
        <v>140683436</v>
      </c>
      <c r="G3357" s="28" t="str">
        <f>_xlfn.XLOOKUP(Table134526_79101120212223242526[[#This Row],[Name Surname]],Manpower!$C$4:$C$1048576,Manpower!$F$4:$F$1048576,"")</f>
        <v>Scaffolder</v>
      </c>
      <c r="H3357" s="28" t="str">
        <f>_xlfn.XLOOKUP(Table134526_79101120212223242526[[#This Row],[Name Surname]],Manpower!$C$4:$C$1048576,Manpower!$H$4:$H$1048576,"")</f>
        <v>Manpower</v>
      </c>
      <c r="I3357" s="28" t="str">
        <f>_xlfn.XLOOKUP(Table134526_79101120212223242526[[#This Row],[Name Surname]],Manpower!$C$4:$C$1048576,Manpower!$H$4:$H$1048576,"")</f>
        <v>Manpower</v>
      </c>
      <c r="J3357" s="21" t="s">
        <v>143</v>
      </c>
      <c r="K3357" s="21" t="s">
        <v>26</v>
      </c>
      <c r="L3357" s="21" t="s">
        <v>26</v>
      </c>
      <c r="M3357" s="21" t="s">
        <v>55</v>
      </c>
      <c r="N3357" s="29">
        <v>10</v>
      </c>
      <c r="R3357" s="21" t="s">
        <v>420</v>
      </c>
    </row>
    <row r="3358" spans="1:20" ht="14.4">
      <c r="A3358" s="38">
        <f>IF(C3358="","",MAX($A$1:A3357)+1)</f>
        <v>3077</v>
      </c>
      <c r="B3358" s="36" t="s">
        <v>141</v>
      </c>
      <c r="C3358" s="23">
        <v>46109</v>
      </c>
      <c r="D3358" s="28" t="str">
        <f>_xlfn.XLOOKUP(Table134526_79101120212223242526[[#This Row],[Name Surname]],Manpower!$C$4:$C$1048576,Manpower!$B$4:$B$1048576,"")</f>
        <v>Encogroup</v>
      </c>
      <c r="E3358" s="23" t="s">
        <v>179</v>
      </c>
      <c r="F3358" s="12" t="e">
        <f>_xlfn.XLOOKUP(Table134526_79101120212223242526[[#This Row],[Name Surname]],Manpower!C:C,Manpower!D:D,)</f>
        <v>#N/A</v>
      </c>
      <c r="G3358" s="28" t="str">
        <f>_xlfn.XLOOKUP(Table134526_79101120212223242526[[#This Row],[Name Surname]],Manpower!$C$4:$C$1048576,Manpower!$F$4:$F$1048576,"")</f>
        <v>7T-HIAB</v>
      </c>
      <c r="H3358" s="28" t="str">
        <f>_xlfn.XLOOKUP(Table134526_79101120212223242526[[#This Row],[Name Surname]],Manpower!$C$4:$C$1048576,Manpower!$H$4:$H$1048576,"")</f>
        <v>Equipment</v>
      </c>
      <c r="I3358" s="28" t="str">
        <f>_xlfn.XLOOKUP(Table134526_79101120212223242526[[#This Row],[Name Surname]],Manpower!$C$4:$C$1048576,Manpower!$H$4:$H$1048576,"")</f>
        <v>Equipment</v>
      </c>
      <c r="J3358" s="21" t="s">
        <v>143</v>
      </c>
      <c r="K3358" s="21" t="s">
        <v>26</v>
      </c>
      <c r="L3358" s="21" t="s">
        <v>144</v>
      </c>
      <c r="M3358" s="21" t="s">
        <v>55</v>
      </c>
      <c r="N3358" s="29">
        <v>10</v>
      </c>
      <c r="R3358" s="21" t="s">
        <v>420</v>
      </c>
    </row>
    <row r="3359" spans="1:20" ht="14.4" hidden="1">
      <c r="A3359" s="38">
        <f>IF(C3359="","",MAX($A$1:A3358)+1)</f>
        <v>3078</v>
      </c>
      <c r="B3359" s="36" t="s">
        <v>141</v>
      </c>
      <c r="C3359" s="23">
        <v>46109</v>
      </c>
      <c r="D3359" s="28" t="str">
        <f>_xlfn.XLOOKUP(Table134526_79101120212223242526[[#This Row],[Name Surname]],Manpower!$C$4:$C$1048576,Manpower!$B$4:$B$1048576,"")</f>
        <v>Encogroup</v>
      </c>
      <c r="E3359" s="21" t="s">
        <v>180</v>
      </c>
      <c r="F3359" s="12">
        <f>_xlfn.XLOOKUP(Table134526_79101120212223242526[[#This Row],[Name Surname]],Manpower!C:C,Manpower!D:D,)</f>
        <v>9138415</v>
      </c>
      <c r="G3359" s="28" t="str">
        <f>_xlfn.XLOOKUP(Table134526_79101120212223242526[[#This Row],[Name Surname]],Manpower!$C$4:$C$1048576,Manpower!$F$4:$F$1048576,"")</f>
        <v>HIAB Driver</v>
      </c>
      <c r="H3359" s="28" t="str">
        <f>_xlfn.XLOOKUP(Table134526_79101120212223242526[[#This Row],[Name Surname]],Manpower!$C$4:$C$1048576,Manpower!$H$4:$H$1048576,"")</f>
        <v>Manpower</v>
      </c>
      <c r="I3359" s="28" t="str">
        <f>_xlfn.XLOOKUP(Table134526_79101120212223242526[[#This Row],[Name Surname]],Manpower!$C$4:$C$1048576,Manpower!$H$4:$H$1048576,"")</f>
        <v>Manpower</v>
      </c>
      <c r="J3359" s="21" t="s">
        <v>143</v>
      </c>
      <c r="K3359" s="21" t="s">
        <v>26</v>
      </c>
      <c r="L3359" s="21" t="s">
        <v>144</v>
      </c>
      <c r="M3359" s="21" t="s">
        <v>55</v>
      </c>
      <c r="N3359" s="29">
        <v>10</v>
      </c>
      <c r="R3359" s="21" t="s">
        <v>420</v>
      </c>
    </row>
    <row r="3360" spans="1:20" s="45" customFormat="1" ht="14.4" hidden="1">
      <c r="A3360" s="53">
        <f>IF(C3360="","",MAX($A$1:A3359)+1)</f>
        <v>3079</v>
      </c>
      <c r="B3360" s="36" t="s">
        <v>141</v>
      </c>
      <c r="C3360" s="23">
        <v>46109</v>
      </c>
      <c r="D3360" s="28" t="str">
        <f>_xlfn.XLOOKUP(Table134526_79101120212223242526[[#This Row],[Name Surname]],Manpower!$C$4:$C$1048576,Manpower!$B$4:$B$1048576,"")</f>
        <v>Encogroup</v>
      </c>
      <c r="E3360" s="21" t="s">
        <v>184</v>
      </c>
      <c r="F3360" s="12">
        <f>_xlfn.XLOOKUP(Table134526_79101120212223242526[[#This Row],[Name Surname]],Manpower!C:C,Manpower!D:D,)</f>
        <v>140844759</v>
      </c>
      <c r="G3360" s="28" t="str">
        <f>_xlfn.XLOOKUP(Table134526_79101120212223242526[[#This Row],[Name Surname]],Manpower!$C$4:$C$1048576,Manpower!$F$4:$F$1048576,"")</f>
        <v>Welder</v>
      </c>
      <c r="H3360" s="28" t="str">
        <f>_xlfn.XLOOKUP(Table134526_79101120212223242526[[#This Row],[Name Surname]],Manpower!$C$4:$C$1048576,Manpower!$H$4:$H$1048576,"")</f>
        <v>Manpower</v>
      </c>
      <c r="I3360" s="28" t="str">
        <f>_xlfn.XLOOKUP(Table134526_79101120212223242526[[#This Row],[Name Surname]],Manpower!$C$4:$C$1048576,Manpower!$H$4:$H$1048576,"")</f>
        <v>Manpower</v>
      </c>
      <c r="J3360" s="21" t="s">
        <v>143</v>
      </c>
      <c r="K3360" s="21" t="s">
        <v>26</v>
      </c>
      <c r="L3360" s="21" t="s">
        <v>144</v>
      </c>
      <c r="M3360" s="21" t="s">
        <v>55</v>
      </c>
      <c r="N3360" s="29">
        <v>10</v>
      </c>
      <c r="O3360" s="21"/>
      <c r="P3360" s="21"/>
      <c r="Q3360" s="21"/>
      <c r="R3360" s="21" t="s">
        <v>420</v>
      </c>
      <c r="S3360" s="21"/>
      <c r="T3360" s="12"/>
    </row>
    <row r="3361" spans="1:20" s="45" customFormat="1" ht="14.4" hidden="1">
      <c r="A3361" s="53">
        <f>IF(C3361="","",MAX($A$1:A3360)+1)</f>
        <v>3080</v>
      </c>
      <c r="B3361" s="36" t="s">
        <v>141</v>
      </c>
      <c r="C3361" s="23">
        <v>46109</v>
      </c>
      <c r="D3361" s="28" t="str">
        <f>_xlfn.XLOOKUP(Table134526_79101120212223242526[[#This Row],[Name Surname]],Manpower!$C$4:$C$1048576,Manpower!$B$4:$B$1048576,"")</f>
        <v>Encogroup</v>
      </c>
      <c r="E3361" s="21" t="s">
        <v>185</v>
      </c>
      <c r="F3361" s="12">
        <f>_xlfn.XLOOKUP(Table134526_79101120212223242526[[#This Row],[Name Surname]],Manpower!C:C,Manpower!D:D,)</f>
        <v>140848828</v>
      </c>
      <c r="G3361" s="28" t="str">
        <f>_xlfn.XLOOKUP(Table134526_79101120212223242526[[#This Row],[Name Surname]],Manpower!$C$4:$C$1048576,Manpower!$F$4:$F$1048576,"")</f>
        <v>Pipe Fitter</v>
      </c>
      <c r="H3361" s="28" t="str">
        <f>_xlfn.XLOOKUP(Table134526_79101120212223242526[[#This Row],[Name Surname]],Manpower!$C$4:$C$1048576,Manpower!$H$4:$H$1048576,"")</f>
        <v>Manpower</v>
      </c>
      <c r="I3361" s="28" t="str">
        <f>_xlfn.XLOOKUP(Table134526_79101120212223242526[[#This Row],[Name Surname]],Manpower!$C$4:$C$1048576,Manpower!$H$4:$H$1048576,"")</f>
        <v>Manpower</v>
      </c>
      <c r="J3361" s="21" t="s">
        <v>143</v>
      </c>
      <c r="K3361" s="21" t="s">
        <v>26</v>
      </c>
      <c r="L3361" s="21" t="s">
        <v>144</v>
      </c>
      <c r="M3361" s="21" t="s">
        <v>55</v>
      </c>
      <c r="N3361" s="29">
        <v>10</v>
      </c>
      <c r="O3361" s="21"/>
      <c r="P3361" s="21"/>
      <c r="Q3361" s="21"/>
      <c r="R3361" s="21" t="s">
        <v>420</v>
      </c>
      <c r="S3361" s="21"/>
      <c r="T3361" s="12"/>
    </row>
    <row r="3362" spans="1:20" ht="14.4" hidden="1">
      <c r="A3362" s="38">
        <f>IF(C3362="","",MAX($A$1:A3361)+1)</f>
        <v>3081</v>
      </c>
      <c r="B3362" s="36" t="s">
        <v>141</v>
      </c>
      <c r="C3362" s="23">
        <v>46109</v>
      </c>
      <c r="D3362" s="28" t="str">
        <f>_xlfn.XLOOKUP(Table134526_79101120212223242526[[#This Row],[Name Surname]],Manpower!$C$4:$C$1048576,Manpower!$B$4:$B$1048576,"")</f>
        <v>AL Omar International TRAD AND CONT</v>
      </c>
      <c r="E3362" s="21" t="s">
        <v>212</v>
      </c>
      <c r="F3362" s="12">
        <f>_xlfn.XLOOKUP(Table134526_79101120212223242526[[#This Row],[Name Surname]],Manpower!C:C,Manpower!D:D,)</f>
        <v>116676257</v>
      </c>
      <c r="G3362" s="28" t="str">
        <f>_xlfn.XLOOKUP(Table134526_79101120212223242526[[#This Row],[Name Surname]],Manpower!$C$4:$C$1048576,Manpower!$F$4:$F$1048576,"")</f>
        <v>Scaffolder</v>
      </c>
      <c r="H3362" s="28" t="str">
        <f>_xlfn.XLOOKUP(Table134526_79101120212223242526[[#This Row],[Name Surname]],Manpower!$C$4:$C$1048576,Manpower!$H$4:$H$1048576,"")</f>
        <v>Sub Contactor</v>
      </c>
      <c r="I3362" s="28" t="str">
        <f>_xlfn.XLOOKUP(Table134526_79101120212223242526[[#This Row],[Name Surname]],Manpower!$C$4:$C$1048576,Manpower!$H$4:$H$1048576,"")</f>
        <v>Sub Contactor</v>
      </c>
      <c r="J3362" s="21" t="s">
        <v>143</v>
      </c>
      <c r="K3362" s="21" t="s">
        <v>26</v>
      </c>
      <c r="L3362" s="21" t="s">
        <v>170</v>
      </c>
      <c r="M3362" s="21" t="s">
        <v>55</v>
      </c>
      <c r="N3362" s="29">
        <v>10</v>
      </c>
      <c r="R3362" s="21" t="s">
        <v>420</v>
      </c>
    </row>
    <row r="3363" spans="1:20" s="45" customFormat="1" ht="14.4" hidden="1">
      <c r="A3363" s="53">
        <f>IF(C3363="","",MAX($A$1:A3362)+1)</f>
        <v>3082</v>
      </c>
      <c r="B3363" s="36" t="s">
        <v>141</v>
      </c>
      <c r="C3363" s="23">
        <v>46109</v>
      </c>
      <c r="D3363" s="28" t="str">
        <f>_xlfn.XLOOKUP(Table134526_79101120212223242526[[#This Row],[Name Surname]],Manpower!$C$4:$C$1048576,Manpower!$B$4:$B$1048576,"")</f>
        <v>Encogroup</v>
      </c>
      <c r="E3363" s="21" t="s">
        <v>186</v>
      </c>
      <c r="F3363" s="12">
        <f>_xlfn.XLOOKUP(Table134526_79101120212223242526[[#This Row],[Name Surname]],Manpower!C:C,Manpower!D:D,)</f>
        <v>140696961</v>
      </c>
      <c r="G3363" s="28" t="str">
        <f>_xlfn.XLOOKUP(Table134526_79101120212223242526[[#This Row],[Name Surname]],Manpower!$C$4:$C$1048576,Manpower!$F$4:$F$1048576,"")</f>
        <v>Assistant/Helper</v>
      </c>
      <c r="H3363" s="28" t="str">
        <f>_xlfn.XLOOKUP(Table134526_79101120212223242526[[#This Row],[Name Surname]],Manpower!$C$4:$C$1048576,Manpower!$H$4:$H$1048576,"")</f>
        <v>Manpower</v>
      </c>
      <c r="I3363" s="28" t="str">
        <f>_xlfn.XLOOKUP(Table134526_79101120212223242526[[#This Row],[Name Surname]],Manpower!$C$4:$C$1048576,Manpower!$H$4:$H$1048576,"")</f>
        <v>Manpower</v>
      </c>
      <c r="J3363" s="21" t="s">
        <v>143</v>
      </c>
      <c r="K3363" s="21" t="s">
        <v>26</v>
      </c>
      <c r="L3363" s="21" t="s">
        <v>170</v>
      </c>
      <c r="M3363" s="21" t="s">
        <v>55</v>
      </c>
      <c r="N3363" s="29">
        <v>10</v>
      </c>
      <c r="O3363" s="21"/>
      <c r="P3363" s="21"/>
      <c r="Q3363" s="21"/>
      <c r="R3363" s="21" t="s">
        <v>420</v>
      </c>
      <c r="S3363" s="21"/>
      <c r="T3363" s="12"/>
    </row>
    <row r="3364" spans="1:20" s="45" customFormat="1" ht="14.4" hidden="1">
      <c r="A3364" s="53">
        <f>IF(C3364="","",MAX($A$1:A3363)+1)</f>
        <v>3083</v>
      </c>
      <c r="B3364" s="36" t="s">
        <v>141</v>
      </c>
      <c r="C3364" s="23">
        <v>46109</v>
      </c>
      <c r="D3364" s="28" t="str">
        <f>_xlfn.XLOOKUP(Table134526_79101120212223242526[[#This Row],[Name Surname]],Manpower!$C$4:$C$1048576,Manpower!$B$4:$B$1048576,"")</f>
        <v>Encogroup</v>
      </c>
      <c r="E3364" s="21" t="s">
        <v>422</v>
      </c>
      <c r="F3364" s="12">
        <f>_xlfn.XLOOKUP(Table134526_79101120212223242526[[#This Row],[Name Surname]],Manpower!C:C,Manpower!D:D,)</f>
        <v>121668462</v>
      </c>
      <c r="G3364" s="28" t="str">
        <f>_xlfn.XLOOKUP(Table134526_79101120212223242526[[#This Row],[Name Surname]],Manpower!$C$4:$C$1048576,Manpower!$F$4:$F$1048576,"")</f>
        <v>Site Manager</v>
      </c>
      <c r="H3364" s="28" t="str">
        <f>_xlfn.XLOOKUP(Table134526_79101120212223242526[[#This Row],[Name Surname]],Manpower!$C$4:$C$1048576,Manpower!$H$4:$H$1048576,"")</f>
        <v>Manpower</v>
      </c>
      <c r="I3364" s="28" t="str">
        <f>_xlfn.XLOOKUP(Table134526_79101120212223242526[[#This Row],[Name Surname]],Manpower!$C$4:$C$1048576,Manpower!$H$4:$H$1048576,"")</f>
        <v>Manpower</v>
      </c>
      <c r="J3364" s="21" t="s">
        <v>143</v>
      </c>
      <c r="K3364" s="21" t="s">
        <v>26</v>
      </c>
      <c r="L3364" s="21" t="s">
        <v>144</v>
      </c>
      <c r="M3364" s="21" t="s">
        <v>24</v>
      </c>
      <c r="N3364" s="29">
        <v>10</v>
      </c>
      <c r="O3364" s="21"/>
      <c r="P3364" s="21"/>
      <c r="Q3364" s="21"/>
      <c r="R3364" s="21" t="s">
        <v>421</v>
      </c>
      <c r="S3364" s="21"/>
      <c r="T3364" s="12"/>
    </row>
    <row r="3365" spans="1:20" s="45" customFormat="1" ht="14.4" hidden="1">
      <c r="A3365" s="53">
        <f>IF(C3365="","",MAX($A$1:A3364)+1)</f>
        <v>3084</v>
      </c>
      <c r="B3365" s="36" t="s">
        <v>141</v>
      </c>
      <c r="C3365" s="23">
        <v>46109</v>
      </c>
      <c r="D3365" s="28" t="str">
        <f>_xlfn.XLOOKUP(Table134526_79101120212223242526[[#This Row],[Name Surname]],Manpower!$C$4:$C$1048576,Manpower!$B$4:$B$1048576,"")</f>
        <v>Encogroup</v>
      </c>
      <c r="E3365" s="21" t="s">
        <v>423</v>
      </c>
      <c r="F3365" s="12">
        <f>_xlfn.XLOOKUP(Table134526_79101120212223242526[[#This Row],[Name Surname]],Manpower!C:C,Manpower!D:D,)</f>
        <v>141253376</v>
      </c>
      <c r="G3365" s="28" t="str">
        <f>_xlfn.XLOOKUP(Table134526_79101120212223242526[[#This Row],[Name Surname]],Manpower!$C$4:$C$1048576,Manpower!$F$4:$F$1048576,"")</f>
        <v>Store Keeper</v>
      </c>
      <c r="H3365" s="28" t="str">
        <f>_xlfn.XLOOKUP(Table134526_79101120212223242526[[#This Row],[Name Surname]],Manpower!$C$4:$C$1048576,Manpower!$H$4:$H$1048576,"")</f>
        <v>Manpower</v>
      </c>
      <c r="I3365" s="28" t="str">
        <f>_xlfn.XLOOKUP(Table134526_79101120212223242526[[#This Row],[Name Surname]],Manpower!$C$4:$C$1048576,Manpower!$H$4:$H$1048576,"")</f>
        <v>Manpower</v>
      </c>
      <c r="J3365" s="21" t="s">
        <v>143</v>
      </c>
      <c r="K3365" s="21"/>
      <c r="L3365" s="21" t="s">
        <v>144</v>
      </c>
      <c r="M3365" s="21" t="s">
        <v>24</v>
      </c>
      <c r="N3365" s="29">
        <v>10</v>
      </c>
      <c r="O3365" s="21"/>
      <c r="P3365" s="21"/>
      <c r="Q3365" s="21"/>
      <c r="R3365" s="21" t="s">
        <v>421</v>
      </c>
      <c r="S3365" s="21"/>
      <c r="T3365" s="12"/>
    </row>
    <row r="3366" spans="1:20" s="45" customFormat="1" ht="14.4" hidden="1">
      <c r="A3366" s="53">
        <f>IF(C3366="","",MAX($A$1:A3365)+1)</f>
        <v>3085</v>
      </c>
      <c r="B3366" s="36" t="s">
        <v>141</v>
      </c>
      <c r="C3366" s="23">
        <v>46109</v>
      </c>
      <c r="D3366" s="28" t="str">
        <f>_xlfn.XLOOKUP(Table134526_79101120212223242526[[#This Row],[Name Surname]],Manpower!$C$4:$C$1048576,Manpower!$B$4:$B$1048576,"")</f>
        <v>Encogroup</v>
      </c>
      <c r="E3366" s="21" t="s">
        <v>238</v>
      </c>
      <c r="F3366" s="12">
        <f>_xlfn.XLOOKUP(Table134526_79101120212223242526[[#This Row],[Name Surname]],Manpower!C:C,Manpower!D:D,)</f>
        <v>19753414</v>
      </c>
      <c r="G3366" s="28" t="str">
        <f>_xlfn.XLOOKUP(Table134526_79101120212223242526[[#This Row],[Name Surname]],Manpower!$C$4:$C$1048576,Manpower!$F$4:$F$1048576,"")</f>
        <v>Bus Driver</v>
      </c>
      <c r="H3366" s="28" t="str">
        <f>_xlfn.XLOOKUP(Table134526_79101120212223242526[[#This Row],[Name Surname]],Manpower!$C$4:$C$1048576,Manpower!$H$4:$H$1048576,"")</f>
        <v>Manpower</v>
      </c>
      <c r="I3366" s="28" t="str">
        <f>_xlfn.XLOOKUP(Table134526_79101120212223242526[[#This Row],[Name Surname]],Manpower!$C$4:$C$1048576,Manpower!$H$4:$H$1048576,"")</f>
        <v>Manpower</v>
      </c>
      <c r="J3366" s="21" t="s">
        <v>143</v>
      </c>
      <c r="K3366" s="21"/>
      <c r="L3366" s="21" t="s">
        <v>144</v>
      </c>
      <c r="M3366" s="21" t="s">
        <v>24</v>
      </c>
      <c r="N3366" s="29">
        <v>10</v>
      </c>
      <c r="O3366" s="21"/>
      <c r="P3366" s="21"/>
      <c r="Q3366" s="21"/>
      <c r="R3366" s="21" t="s">
        <v>421</v>
      </c>
      <c r="S3366" s="21"/>
      <c r="T3366" s="12"/>
    </row>
    <row r="3367" spans="1:20" s="45" customFormat="1" ht="14.4" hidden="1">
      <c r="A3367" s="53">
        <f>IF(C3367="","",MAX($A$1:A3363)+1)</f>
        <v>3083</v>
      </c>
      <c r="B3367" s="36" t="s">
        <v>141</v>
      </c>
      <c r="C3367" s="23">
        <v>46109</v>
      </c>
      <c r="D3367" s="28" t="str">
        <f>_xlfn.XLOOKUP(Table134526_79101120212223242526[[#This Row],[Name Surname]],Manpower!$C$4:$C$1048576,Manpower!$B$4:$B$1048576,"")</f>
        <v>Encogroup</v>
      </c>
      <c r="E3367" s="21" t="s">
        <v>187</v>
      </c>
      <c r="F3367" s="12">
        <f>_xlfn.XLOOKUP(Table134526_79101120212223242526[[#This Row],[Name Surname]],Manpower!C:C,Manpower!D:D,)</f>
        <v>140623599</v>
      </c>
      <c r="G3367" s="28" t="str">
        <f>_xlfn.XLOOKUP(Table134526_79101120212223242526[[#This Row],[Name Surname]],Manpower!$C$4:$C$1048576,Manpower!$F$4:$F$1048576,"")</f>
        <v>Mechanical Supervisor</v>
      </c>
      <c r="H3367" s="28" t="str">
        <f>_xlfn.XLOOKUP(Table134526_79101120212223242526[[#This Row],[Name Surname]],Manpower!$C$4:$C$1048576,Manpower!$H$4:$H$1048576,"")</f>
        <v>Manpower</v>
      </c>
      <c r="I3367" s="28" t="str">
        <f>_xlfn.XLOOKUP(Table134526_79101120212223242526[[#This Row],[Name Surname]],Manpower!$C$4:$C$1048576,Manpower!$H$4:$H$1048576,"")</f>
        <v>Manpower</v>
      </c>
      <c r="J3367" s="21" t="s">
        <v>143</v>
      </c>
      <c r="K3367" s="21" t="s">
        <v>26</v>
      </c>
      <c r="L3367" s="21" t="s">
        <v>144</v>
      </c>
      <c r="M3367" s="21" t="s">
        <v>24</v>
      </c>
      <c r="N3367" s="29">
        <v>10</v>
      </c>
      <c r="O3367" s="21"/>
      <c r="P3367" s="21"/>
      <c r="Q3367" s="21"/>
      <c r="R3367" s="21" t="s">
        <v>421</v>
      </c>
      <c r="S3367" s="21"/>
      <c r="T3367" s="12"/>
    </row>
    <row r="3368" spans="1:20" ht="14.4" hidden="1">
      <c r="A3368" s="38">
        <f>IF(C3368="","",MAX($A$1:A3367)+1)</f>
        <v>3086</v>
      </c>
      <c r="B3368" s="36" t="s">
        <v>141</v>
      </c>
      <c r="C3368" s="23">
        <v>46109</v>
      </c>
      <c r="D3368" s="28" t="str">
        <f>_xlfn.XLOOKUP(Table134526_79101120212223242526[[#This Row],[Name Surname]],Manpower!$C$4:$C$1048576,Manpower!$B$4:$B$1048576,"")</f>
        <v>Encogroup</v>
      </c>
      <c r="E3368" s="21" t="s">
        <v>189</v>
      </c>
      <c r="F3368" s="12">
        <f>_xlfn.XLOOKUP(Table134526_79101120212223242526[[#This Row],[Name Surname]],Manpower!C:C,Manpower!D:D,)</f>
        <v>121937785</v>
      </c>
      <c r="G3368" s="28" t="str">
        <f>_xlfn.XLOOKUP(Table134526_79101120212223242526[[#This Row],[Name Surname]],Manpower!$C$4:$C$1048576,Manpower!$F$4:$F$1048576,"")</f>
        <v>Scaffolding Inspector</v>
      </c>
      <c r="H3368" s="28" t="str">
        <f>_xlfn.XLOOKUP(Table134526_79101120212223242526[[#This Row],[Name Surname]],Manpower!$C$4:$C$1048576,Manpower!$H$4:$H$1048576,"")</f>
        <v>Manpower</v>
      </c>
      <c r="I3368" s="28" t="str">
        <f>_xlfn.XLOOKUP(Table134526_79101120212223242526[[#This Row],[Name Surname]],Manpower!$C$4:$C$1048576,Manpower!$H$4:$H$1048576,"")</f>
        <v>Manpower</v>
      </c>
      <c r="J3368" s="21" t="s">
        <v>143</v>
      </c>
      <c r="K3368" s="21" t="s">
        <v>26</v>
      </c>
      <c r="L3368" s="21" t="s">
        <v>144</v>
      </c>
      <c r="M3368" s="21" t="s">
        <v>55</v>
      </c>
      <c r="N3368" s="29">
        <v>10</v>
      </c>
      <c r="R3368" s="21" t="s">
        <v>420</v>
      </c>
    </row>
    <row r="3369" spans="1:20" ht="14.4" hidden="1">
      <c r="A3369" s="38">
        <f>IF(C3369="","",MAX($A$1:A3368)+1)</f>
        <v>3087</v>
      </c>
      <c r="B3369" s="36" t="s">
        <v>141</v>
      </c>
      <c r="C3369" s="23">
        <v>46109</v>
      </c>
      <c r="D3369" s="28" t="str">
        <f>_xlfn.XLOOKUP(Table134526_79101120212223242526[[#This Row],[Name Surname]],Manpower!$C$4:$C$1048576,Manpower!$B$4:$B$1048576,"")</f>
        <v>AL Omar International TRAD AND CONT</v>
      </c>
      <c r="E3369" s="21" t="s">
        <v>193</v>
      </c>
      <c r="F3369" s="12">
        <f>_xlfn.XLOOKUP(Table134526_79101120212223242526[[#This Row],[Name Surname]],Manpower!C:C,Manpower!D:D,)</f>
        <v>105813698</v>
      </c>
      <c r="G3369" s="28" t="str">
        <f>_xlfn.XLOOKUP(Table134526_79101120212223242526[[#This Row],[Name Surname]],Manpower!$C$4:$C$1048576,Manpower!$F$4:$F$1048576,"")</f>
        <v>Scaffolding Inspector</v>
      </c>
      <c r="H3369" s="28" t="str">
        <f>_xlfn.XLOOKUP(Table134526_79101120212223242526[[#This Row],[Name Surname]],Manpower!$C$4:$C$1048576,Manpower!$H$4:$H$1048576,"")</f>
        <v>Sub Contactor</v>
      </c>
      <c r="I3369" s="28" t="str">
        <f>_xlfn.XLOOKUP(Table134526_79101120212223242526[[#This Row],[Name Surname]],Manpower!$C$4:$C$1048576,Manpower!$H$4:$H$1048576,"")</f>
        <v>Sub Contactor</v>
      </c>
      <c r="J3369" s="21" t="s">
        <v>143</v>
      </c>
      <c r="K3369" s="21" t="s">
        <v>26</v>
      </c>
      <c r="L3369" s="21" t="s">
        <v>170</v>
      </c>
      <c r="M3369" s="21" t="s">
        <v>55</v>
      </c>
      <c r="N3369" s="29">
        <v>10</v>
      </c>
      <c r="R3369" s="21" t="s">
        <v>420</v>
      </c>
    </row>
    <row r="3370" spans="1:20" s="45" customFormat="1" ht="14.4" hidden="1">
      <c r="A3370" s="53">
        <f>IF(C3370="","",MAX($A$1:A3369)+1)</f>
        <v>3088</v>
      </c>
      <c r="B3370" s="36" t="s">
        <v>141</v>
      </c>
      <c r="C3370" s="23">
        <v>46109</v>
      </c>
      <c r="D3370" s="28" t="str">
        <f>_xlfn.XLOOKUP(Table134526_79101120212223242526[[#This Row],[Name Surname]],Manpower!$C$4:$C$1048576,Manpower!$B$4:$B$1048576,"")</f>
        <v>AL Saif &amp; Al QALLM ENT LLC</v>
      </c>
      <c r="E3370" s="21" t="s">
        <v>194</v>
      </c>
      <c r="F3370" s="12">
        <f>_xlfn.XLOOKUP(Table134526_79101120212223242526[[#This Row],[Name Surname]],Manpower!C:C,Manpower!D:D,)</f>
        <v>135340657</v>
      </c>
      <c r="G3370" s="28" t="str">
        <f>_xlfn.XLOOKUP(Table134526_79101120212223242526[[#This Row],[Name Surname]],Manpower!$C$4:$C$1048576,Manpower!$F$4:$F$1048576,"")</f>
        <v>Forklift Operator</v>
      </c>
      <c r="H3370" s="28" t="str">
        <f>_xlfn.XLOOKUP(Table134526_79101120212223242526[[#This Row],[Name Surname]],Manpower!$C$4:$C$1048576,Manpower!$H$4:$H$1048576,"")</f>
        <v>Sub Contactor</v>
      </c>
      <c r="I3370" s="28" t="str">
        <f>_xlfn.XLOOKUP(Table134526_79101120212223242526[[#This Row],[Name Surname]],Manpower!$C$4:$C$1048576,Manpower!$H$4:$H$1048576,"")</f>
        <v>Sub Contactor</v>
      </c>
      <c r="J3370" s="21" t="s">
        <v>143</v>
      </c>
      <c r="K3370" s="21" t="s">
        <v>26</v>
      </c>
      <c r="L3370" s="21" t="s">
        <v>144</v>
      </c>
      <c r="M3370" s="21" t="s">
        <v>55</v>
      </c>
      <c r="N3370" s="29">
        <v>10</v>
      </c>
      <c r="O3370" s="21"/>
      <c r="P3370" s="21"/>
      <c r="Q3370" s="21"/>
      <c r="R3370" s="21" t="s">
        <v>420</v>
      </c>
      <c r="S3370" s="21"/>
      <c r="T3370" s="12"/>
    </row>
    <row r="3371" spans="1:20" s="45" customFormat="1" ht="14.4" hidden="1">
      <c r="A3371" s="53">
        <f>IF(C3371="","",MAX($A$1:A3370)+1)</f>
        <v>3089</v>
      </c>
      <c r="B3371" s="36" t="s">
        <v>141</v>
      </c>
      <c r="C3371" s="23">
        <v>46109</v>
      </c>
      <c r="D3371" s="28" t="str">
        <f>_xlfn.XLOOKUP(Table134526_79101120212223242526[[#This Row],[Name Surname]],Manpower!$C$4:$C$1048576,Manpower!$B$4:$B$1048576,"")</f>
        <v>Encogroup</v>
      </c>
      <c r="E3371" s="21" t="s">
        <v>196</v>
      </c>
      <c r="F3371" s="12">
        <f>_xlfn.XLOOKUP(Table134526_79101120212223242526[[#This Row],[Name Surname]],Manpower!C:C,Manpower!D:D,)</f>
        <v>140844586</v>
      </c>
      <c r="G3371" s="28" t="str">
        <f>_xlfn.XLOOKUP(Table134526_79101120212223242526[[#This Row],[Name Surname]],Manpower!$C$4:$C$1048576,Manpower!$F$4:$F$1048576,"")</f>
        <v>Assistant/Helper</v>
      </c>
      <c r="H3371" s="28" t="str">
        <f>_xlfn.XLOOKUP(Table134526_79101120212223242526[[#This Row],[Name Surname]],Manpower!$C$4:$C$1048576,Manpower!$H$4:$H$1048576,"")</f>
        <v>Manpower</v>
      </c>
      <c r="I3371" s="28" t="str">
        <f>_xlfn.XLOOKUP(Table134526_79101120212223242526[[#This Row],[Name Surname]],Manpower!$C$4:$C$1048576,Manpower!$H$4:$H$1048576,"")</f>
        <v>Manpower</v>
      </c>
      <c r="J3371" s="21" t="s">
        <v>143</v>
      </c>
      <c r="K3371" s="21" t="s">
        <v>26</v>
      </c>
      <c r="L3371" s="21" t="s">
        <v>170</v>
      </c>
      <c r="M3371" s="21" t="s">
        <v>55</v>
      </c>
      <c r="N3371" s="29">
        <v>10</v>
      </c>
      <c r="O3371" s="21"/>
      <c r="P3371" s="21"/>
      <c r="Q3371" s="21"/>
      <c r="R3371" s="21" t="s">
        <v>420</v>
      </c>
      <c r="S3371" s="21"/>
      <c r="T3371" s="12"/>
    </row>
    <row r="3372" spans="1:20" ht="14.4" hidden="1">
      <c r="A3372" s="38">
        <f>IF(C3372="","",MAX($A$1:A3371)+1)</f>
        <v>3090</v>
      </c>
      <c r="B3372" s="36" t="s">
        <v>141</v>
      </c>
      <c r="C3372" s="23">
        <v>46109</v>
      </c>
      <c r="D3372" s="28" t="str">
        <f>_xlfn.XLOOKUP(Table134526_79101120212223242526[[#This Row],[Name Surname]],Manpower!$C$4:$C$1048576,Manpower!$B$4:$B$1048576,"")</f>
        <v>AL Omar International Tarde&amp;Contracting SPC</v>
      </c>
      <c r="E3372" s="21" t="s">
        <v>221</v>
      </c>
      <c r="F3372" s="12">
        <f>_xlfn.XLOOKUP(Table134526_79101120212223242526[[#This Row],[Name Surname]],Manpower!C:C,Manpower!D:D,)</f>
        <v>115122635</v>
      </c>
      <c r="G3372" s="28" t="str">
        <f>_xlfn.XLOOKUP(Table134526_79101120212223242526[[#This Row],[Name Surname]],Manpower!$C$4:$C$1048576,Manpower!$F$4:$F$1048576,"")</f>
        <v>Scaffolder</v>
      </c>
      <c r="H3372" s="28" t="str">
        <f>_xlfn.XLOOKUP(Table134526_79101120212223242526[[#This Row],[Name Surname]],Manpower!$C$4:$C$1048576,Manpower!$H$4:$H$1048576,"")</f>
        <v>Sub Contactor</v>
      </c>
      <c r="I3372" s="28" t="str">
        <f>_xlfn.XLOOKUP(Table134526_79101120212223242526[[#This Row],[Name Surname]],Manpower!$C$4:$C$1048576,Manpower!$H$4:$H$1048576,"")</f>
        <v>Sub Contactor</v>
      </c>
      <c r="J3372" s="21" t="s">
        <v>143</v>
      </c>
      <c r="K3372" s="21" t="s">
        <v>26</v>
      </c>
      <c r="L3372" s="21" t="s">
        <v>170</v>
      </c>
      <c r="M3372" s="21" t="s">
        <v>55</v>
      </c>
      <c r="N3372" s="29">
        <v>10</v>
      </c>
      <c r="R3372" s="21" t="s">
        <v>420</v>
      </c>
    </row>
    <row r="3373" spans="1:20" ht="14.4" hidden="1">
      <c r="A3373" s="38">
        <f>IF(C3373="","",MAX($A$1:A3372)+1)</f>
        <v>3091</v>
      </c>
      <c r="B3373" s="36" t="s">
        <v>141</v>
      </c>
      <c r="C3373" s="23">
        <v>46109</v>
      </c>
      <c r="D3373" s="28" t="str">
        <f>_xlfn.XLOOKUP(Table134526_79101120212223242526[[#This Row],[Name Surname]],Manpower!$C$4:$C$1048576,Manpower!$B$4:$B$1048576,"")</f>
        <v>Encogroup</v>
      </c>
      <c r="E3373" s="21" t="s">
        <v>183</v>
      </c>
      <c r="F3373" s="12">
        <f>_xlfn.XLOOKUP(Table134526_79101120212223242526[[#This Row],[Name Surname]],Manpower!C:C,Manpower!D:D,)</f>
        <v>141359024</v>
      </c>
      <c r="G3373" s="28" t="str">
        <f>_xlfn.XLOOKUP(Table134526_79101120212223242526[[#This Row],[Name Surname]],Manpower!$C$4:$C$1048576,Manpower!$F$4:$F$1048576,"")</f>
        <v>Hydraulic Mechanic</v>
      </c>
      <c r="H3373" s="28" t="str">
        <f>_xlfn.XLOOKUP(Table134526_79101120212223242526[[#This Row],[Name Surname]],Manpower!$C$4:$C$1048576,Manpower!$H$4:$H$1048576,"")</f>
        <v>Manpower</v>
      </c>
      <c r="I3373" s="28" t="str">
        <f>_xlfn.XLOOKUP(Table134526_79101120212223242526[[#This Row],[Name Surname]],Manpower!$C$4:$C$1048576,Manpower!$H$4:$H$1048576,"")</f>
        <v>Manpower</v>
      </c>
      <c r="J3373" s="21" t="s">
        <v>143</v>
      </c>
      <c r="K3373" s="21" t="s">
        <v>26</v>
      </c>
      <c r="L3373" s="21" t="s">
        <v>170</v>
      </c>
      <c r="M3373" s="21" t="s">
        <v>55</v>
      </c>
      <c r="N3373" s="29">
        <v>10</v>
      </c>
      <c r="R3373" s="21" t="s">
        <v>420</v>
      </c>
    </row>
    <row r="3374" spans="1:20" ht="14.4">
      <c r="A3374" s="38">
        <f>IF(C3374="","",MAX($A$1:A3373)+1)</f>
        <v>3092</v>
      </c>
      <c r="B3374" s="36" t="s">
        <v>141</v>
      </c>
      <c r="C3374" s="23">
        <v>46109</v>
      </c>
      <c r="D3374" s="28" t="str">
        <f>_xlfn.XLOOKUP(Table134526_79101120212223242526[[#This Row],[Name Surname]],Manpower!$C$4:$C$1048576,Manpower!$B$4:$B$1048576,"")</f>
        <v>Al Asrah Al Mumayaza Trad</v>
      </c>
      <c r="E3374" s="21" t="s">
        <v>198</v>
      </c>
      <c r="F3374" s="12" t="e">
        <f>_xlfn.XLOOKUP(Table134526_79101120212223242526[[#This Row],[Name Surname]],Manpower!C:C,Manpower!D:D,)</f>
        <v>#N/A</v>
      </c>
      <c r="G3374" s="28" t="str">
        <f>_xlfn.XLOOKUP(Table134526_79101120212223242526[[#This Row],[Name Surname]],Manpower!$C$4:$C$1048576,Manpower!$F$4:$F$1048576,"")</f>
        <v>PICK-UP</v>
      </c>
      <c r="H3374" s="28" t="str">
        <f>_xlfn.XLOOKUP(Table134526_79101120212223242526[[#This Row],[Name Surname]],Manpower!$C$4:$C$1048576,Manpower!$H$4:$H$1048576,"")</f>
        <v>Equipment</v>
      </c>
      <c r="I3374" s="28" t="str">
        <f>_xlfn.XLOOKUP(Table134526_79101120212223242526[[#This Row],[Name Surname]],Manpower!$C$4:$C$1048576,Manpower!$H$4:$H$1048576,"")</f>
        <v>Equipment</v>
      </c>
      <c r="J3374" s="21" t="s">
        <v>143</v>
      </c>
      <c r="K3374" s="21" t="s">
        <v>26</v>
      </c>
      <c r="L3374" s="21" t="s">
        <v>144</v>
      </c>
      <c r="M3374" s="21" t="s">
        <v>55</v>
      </c>
      <c r="N3374" s="29">
        <v>10</v>
      </c>
      <c r="R3374" s="21" t="s">
        <v>420</v>
      </c>
    </row>
    <row r="3375" spans="1:20" ht="14.4">
      <c r="A3375" s="38">
        <f>IF(C3375="","",MAX($A$1:A3374)+1)</f>
        <v>3093</v>
      </c>
      <c r="B3375" s="36" t="s">
        <v>141</v>
      </c>
      <c r="C3375" s="23">
        <v>46109</v>
      </c>
      <c r="D3375" s="28" t="str">
        <f>_xlfn.XLOOKUP(Table134526_79101120212223242526[[#This Row],[Name Surname]],Manpower!$C$4:$C$1048576,Manpower!$B$4:$B$1048576,"")</f>
        <v>Al Asrah Al Mumayaza Trad</v>
      </c>
      <c r="E3375" s="21" t="s">
        <v>199</v>
      </c>
      <c r="F3375" s="12" t="e">
        <f>_xlfn.XLOOKUP(Table134526_79101120212223242526[[#This Row],[Name Surname]],Manpower!C:C,Manpower!D:D,)</f>
        <v>#N/A</v>
      </c>
      <c r="G3375" s="28" t="str">
        <f>_xlfn.XLOOKUP(Table134526_79101120212223242526[[#This Row],[Name Surname]],Manpower!$C$4:$C$1048576,Manpower!$F$4:$F$1048576,"")</f>
        <v>PICK-UP</v>
      </c>
      <c r="H3375" s="28" t="str">
        <f>_xlfn.XLOOKUP(Table134526_79101120212223242526[[#This Row],[Name Surname]],Manpower!$C$4:$C$1048576,Manpower!$H$4:$H$1048576,"")</f>
        <v>Equipment</v>
      </c>
      <c r="I3375" s="28" t="str">
        <f>_xlfn.XLOOKUP(Table134526_79101120212223242526[[#This Row],[Name Surname]],Manpower!$C$4:$C$1048576,Manpower!$H$4:$H$1048576,"")</f>
        <v>Equipment</v>
      </c>
      <c r="J3375" s="21" t="s">
        <v>143</v>
      </c>
      <c r="K3375" s="21" t="s">
        <v>26</v>
      </c>
      <c r="L3375" s="21" t="s">
        <v>144</v>
      </c>
      <c r="M3375" s="21" t="s">
        <v>55</v>
      </c>
      <c r="N3375" s="29">
        <v>10</v>
      </c>
      <c r="R3375" s="21" t="s">
        <v>420</v>
      </c>
    </row>
    <row r="3376" spans="1:20" ht="14.4">
      <c r="A3376" s="38">
        <f>IF(C3376="","",MAX($A$1:A3375)+1)</f>
        <v>3094</v>
      </c>
      <c r="B3376" s="36" t="s">
        <v>141</v>
      </c>
      <c r="C3376" s="23">
        <v>46109</v>
      </c>
      <c r="D3376" s="28" t="str">
        <f>_xlfn.XLOOKUP(Table134526_79101120212223242526[[#This Row],[Name Surname]],Manpower!$C$4:$C$1048576,Manpower!$B$4:$B$1048576,"")</f>
        <v>Al Asrah Al Mumayaza Trad</v>
      </c>
      <c r="E3376" s="21" t="s">
        <v>200</v>
      </c>
      <c r="F3376" s="12" t="e">
        <f>_xlfn.XLOOKUP(Table134526_79101120212223242526[[#This Row],[Name Surname]],Manpower!C:C,Manpower!D:D,)</f>
        <v>#N/A</v>
      </c>
      <c r="G3376" s="28" t="str">
        <f>_xlfn.XLOOKUP(Table134526_79101120212223242526[[#This Row],[Name Surname]],Manpower!$C$4:$C$1048576,Manpower!$F$4:$F$1048576,"")</f>
        <v>PICK-UP</v>
      </c>
      <c r="H3376" s="28" t="str">
        <f>_xlfn.XLOOKUP(Table134526_79101120212223242526[[#This Row],[Name Surname]],Manpower!$C$4:$C$1048576,Manpower!$H$4:$H$1048576,"")</f>
        <v>Equipment</v>
      </c>
      <c r="I3376" s="28" t="str">
        <f>_xlfn.XLOOKUP(Table134526_79101120212223242526[[#This Row],[Name Surname]],Manpower!$C$4:$C$1048576,Manpower!$H$4:$H$1048576,"")</f>
        <v>Equipment</v>
      </c>
      <c r="J3376" s="21" t="s">
        <v>143</v>
      </c>
      <c r="K3376" s="21" t="s">
        <v>26</v>
      </c>
      <c r="L3376" s="21" t="s">
        <v>144</v>
      </c>
      <c r="M3376" s="21" t="s">
        <v>55</v>
      </c>
      <c r="N3376" s="29">
        <v>10</v>
      </c>
      <c r="R3376" s="21" t="s">
        <v>420</v>
      </c>
    </row>
    <row r="3377" spans="1:700" ht="14.4">
      <c r="A3377" s="38">
        <f>IF(C3377="","",MAX($A$1:A3376)+1)</f>
        <v>3095</v>
      </c>
      <c r="B3377" s="36" t="s">
        <v>141</v>
      </c>
      <c r="C3377" s="23">
        <v>46109</v>
      </c>
      <c r="D3377" s="28" t="str">
        <f>_xlfn.XLOOKUP(Table134526_79101120212223242526[[#This Row],[Name Surname]],Manpower!$C$4:$C$1048576,Manpower!$B$4:$B$1048576,"")</f>
        <v>Al Asrah Al Mumayaza Trad</v>
      </c>
      <c r="E3377" s="21" t="s">
        <v>201</v>
      </c>
      <c r="F3377" s="12" t="e">
        <f>_xlfn.XLOOKUP(Table134526_79101120212223242526[[#This Row],[Name Surname]],Manpower!C:C,Manpower!D:D,)</f>
        <v>#N/A</v>
      </c>
      <c r="G3377" s="28" t="str">
        <f>_xlfn.XLOOKUP(Table134526_79101120212223242526[[#This Row],[Name Surname]],Manpower!$C$4:$C$1048576,Manpower!$F$4:$F$1048576,"")</f>
        <v>PICK-UP</v>
      </c>
      <c r="H3377" s="28" t="str">
        <f>_xlfn.XLOOKUP(Table134526_79101120212223242526[[#This Row],[Name Surname]],Manpower!$C$4:$C$1048576,Manpower!$H$4:$H$1048576,"")</f>
        <v>Equipment</v>
      </c>
      <c r="I3377" s="28" t="str">
        <f>_xlfn.XLOOKUP(Table134526_79101120212223242526[[#This Row],[Name Surname]],Manpower!$C$4:$C$1048576,Manpower!$H$4:$H$1048576,"")</f>
        <v>Equipment</v>
      </c>
      <c r="J3377" s="21" t="s">
        <v>143</v>
      </c>
      <c r="K3377" s="21" t="s">
        <v>26</v>
      </c>
      <c r="L3377" s="21" t="s">
        <v>144</v>
      </c>
      <c r="M3377" s="21" t="s">
        <v>55</v>
      </c>
      <c r="N3377" s="29">
        <v>10</v>
      </c>
      <c r="R3377" s="21" t="s">
        <v>420</v>
      </c>
    </row>
    <row r="3378" spans="1:700" s="45" customFormat="1" ht="14.4" hidden="1">
      <c r="A3378" s="53">
        <f>IF(C3378="","",MAX($A$1:A3377)+1)</f>
        <v>3096</v>
      </c>
      <c r="B3378" s="36" t="s">
        <v>141</v>
      </c>
      <c r="C3378" s="23">
        <v>46109</v>
      </c>
      <c r="D3378" s="28" t="str">
        <f>_xlfn.XLOOKUP(Table134526_79101120212223242526[[#This Row],[Name Surname]],Manpower!$C$4:$C$1048576,Manpower!$B$4:$B$1048576,"")</f>
        <v>Encogroup</v>
      </c>
      <c r="E3378" s="21" t="s">
        <v>202</v>
      </c>
      <c r="F3378" s="12">
        <f>_xlfn.XLOOKUP(Table134526_79101120212223242526[[#This Row],[Name Surname]],Manpower!C:C,Manpower!D:D,)</f>
        <v>140805592</v>
      </c>
      <c r="G3378" s="28" t="str">
        <f>_xlfn.XLOOKUP(Table134526_79101120212223242526[[#This Row],[Name Surname]],Manpower!$C$4:$C$1048576,Manpower!$F$4:$F$1048576,"")</f>
        <v>Assistant/Helper</v>
      </c>
      <c r="H3378" s="28" t="str">
        <f>_xlfn.XLOOKUP(Table134526_79101120212223242526[[#This Row],[Name Surname]],Manpower!$C$4:$C$1048576,Manpower!$H$4:$H$1048576,"")</f>
        <v>Manpower</v>
      </c>
      <c r="I3378" s="28" t="str">
        <f>_xlfn.XLOOKUP(Table134526_79101120212223242526[[#This Row],[Name Surname]],Manpower!$C$4:$C$1048576,Manpower!$H$4:$H$1048576,"")</f>
        <v>Manpower</v>
      </c>
      <c r="J3378" s="21" t="s">
        <v>143</v>
      </c>
      <c r="K3378" s="21" t="s">
        <v>26</v>
      </c>
      <c r="L3378" s="21" t="s">
        <v>144</v>
      </c>
      <c r="M3378" s="21" t="s">
        <v>55</v>
      </c>
      <c r="N3378" s="29">
        <v>10</v>
      </c>
      <c r="O3378" s="21"/>
      <c r="P3378" s="21"/>
      <c r="Q3378" s="21"/>
      <c r="R3378" s="21" t="s">
        <v>420</v>
      </c>
      <c r="S3378" s="21"/>
      <c r="T3378" s="12"/>
      <c r="U3378" s="12"/>
      <c r="V3378" s="12"/>
      <c r="W3378" s="12"/>
      <c r="X3378" s="12"/>
      <c r="Y3378" s="12"/>
      <c r="Z3378" s="12"/>
      <c r="AA3378" s="12"/>
      <c r="AB3378" s="12"/>
      <c r="AC3378" s="12"/>
      <c r="AD3378" s="12"/>
      <c r="AE3378" s="12"/>
      <c r="AF3378" s="12"/>
      <c r="AG3378" s="12"/>
      <c r="AH3378" s="12"/>
      <c r="AI3378" s="12"/>
      <c r="AJ3378" s="12"/>
      <c r="AK3378" s="12"/>
      <c r="AL3378" s="12"/>
      <c r="AM3378" s="12"/>
      <c r="AN3378" s="12"/>
      <c r="AO3378" s="12"/>
      <c r="AP3378" s="12"/>
      <c r="AQ3378" s="12"/>
      <c r="AR3378" s="12"/>
      <c r="AS3378" s="12"/>
      <c r="AT3378" s="12"/>
      <c r="AU3378" s="12"/>
      <c r="AV3378" s="12"/>
      <c r="AW3378" s="12"/>
      <c r="AX3378" s="12"/>
      <c r="AY3378" s="12"/>
      <c r="AZ3378" s="12"/>
      <c r="BA3378" s="12"/>
      <c r="BB3378" s="12"/>
      <c r="BC3378" s="12"/>
      <c r="BD3378" s="12"/>
      <c r="BE3378" s="12"/>
      <c r="BF3378" s="12"/>
      <c r="BG3378" s="12"/>
      <c r="BH3378" s="12"/>
      <c r="BI3378" s="12"/>
      <c r="BJ3378" s="12"/>
      <c r="BK3378" s="12"/>
      <c r="BL3378" s="12"/>
      <c r="BM3378" s="12"/>
      <c r="BN3378" s="12"/>
      <c r="BO3378" s="12"/>
      <c r="BP3378" s="12"/>
      <c r="BQ3378" s="12"/>
      <c r="BR3378" s="12"/>
      <c r="BS3378" s="12"/>
      <c r="BT3378" s="12"/>
      <c r="BU3378" s="12"/>
      <c r="BV3378" s="12"/>
      <c r="BW3378" s="12"/>
      <c r="BX3378" s="12"/>
      <c r="BY3378" s="12"/>
      <c r="BZ3378" s="12"/>
      <c r="CA3378" s="12"/>
      <c r="CB3378" s="12"/>
      <c r="CC3378" s="12"/>
      <c r="CD3378" s="12"/>
      <c r="CE3378" s="12"/>
      <c r="CF3378" s="12"/>
      <c r="CG3378" s="12"/>
      <c r="CH3378" s="12"/>
      <c r="CI3378" s="12"/>
      <c r="CJ3378" s="12"/>
      <c r="CK3378" s="12"/>
      <c r="CL3378" s="12"/>
      <c r="CM3378" s="12"/>
      <c r="CN3378" s="12"/>
      <c r="CO3378" s="12"/>
      <c r="CP3378" s="12"/>
      <c r="CQ3378" s="12"/>
      <c r="CR3378" s="12"/>
      <c r="CS3378" s="12"/>
      <c r="CT3378" s="12"/>
      <c r="CU3378" s="12"/>
      <c r="CV3378" s="12"/>
      <c r="CW3378" s="12"/>
      <c r="CX3378" s="12"/>
      <c r="CY3378" s="12"/>
      <c r="CZ3378" s="12"/>
      <c r="DA3378" s="12"/>
      <c r="DB3378" s="12"/>
      <c r="DC3378" s="12"/>
      <c r="DD3378" s="12"/>
      <c r="DE3378" s="12"/>
      <c r="DF3378" s="12"/>
      <c r="DG3378" s="12"/>
      <c r="DH3378" s="12"/>
      <c r="DI3378" s="12"/>
      <c r="DJ3378" s="12"/>
      <c r="DK3378" s="12"/>
      <c r="DL3378" s="12"/>
      <c r="DM3378" s="12"/>
      <c r="DN3378" s="12"/>
      <c r="DO3378" s="12"/>
      <c r="DP3378" s="12"/>
      <c r="DQ3378" s="12"/>
      <c r="DR3378" s="12"/>
      <c r="DS3378" s="12"/>
      <c r="DT3378" s="12"/>
      <c r="DU3378" s="12"/>
      <c r="DV3378" s="12"/>
      <c r="DW3378" s="12"/>
      <c r="DX3378" s="12"/>
      <c r="DY3378" s="12"/>
      <c r="DZ3378" s="12"/>
      <c r="EA3378" s="12"/>
      <c r="EB3378" s="12"/>
      <c r="EC3378" s="12"/>
      <c r="ED3378" s="12"/>
      <c r="EE3378" s="12"/>
      <c r="EF3378" s="12"/>
      <c r="EG3378" s="12"/>
      <c r="EH3378" s="12"/>
      <c r="EI3378" s="12"/>
      <c r="EJ3378" s="12"/>
      <c r="EK3378" s="12"/>
      <c r="EL3378" s="12"/>
      <c r="EM3378" s="12"/>
      <c r="EN3378" s="12"/>
      <c r="EO3378" s="12"/>
      <c r="EP3378" s="12"/>
      <c r="EQ3378" s="12"/>
      <c r="ER3378" s="12"/>
      <c r="ES3378" s="12"/>
      <c r="ET3378" s="12"/>
      <c r="EU3378" s="12"/>
      <c r="EV3378" s="12"/>
      <c r="EW3378" s="12"/>
      <c r="EX3378" s="12"/>
      <c r="EY3378" s="12"/>
      <c r="EZ3378" s="12"/>
      <c r="FA3378" s="12"/>
      <c r="FB3378" s="12"/>
      <c r="FC3378" s="12"/>
      <c r="FD3378" s="12"/>
      <c r="FE3378" s="12"/>
      <c r="FF3378" s="12"/>
      <c r="FG3378" s="12"/>
      <c r="FH3378" s="12"/>
      <c r="FI3378" s="12"/>
      <c r="FJ3378" s="12"/>
      <c r="FK3378" s="12"/>
      <c r="FL3378" s="12"/>
      <c r="FM3378" s="12"/>
      <c r="FN3378" s="12"/>
      <c r="FO3378" s="12"/>
      <c r="FP3378" s="12"/>
      <c r="FQ3378" s="12"/>
      <c r="FR3378" s="12"/>
      <c r="FS3378" s="12"/>
      <c r="FT3378" s="12"/>
      <c r="FU3378" s="12"/>
      <c r="FV3378" s="12"/>
      <c r="FW3378" s="12"/>
      <c r="FX3378" s="12"/>
      <c r="FY3378" s="12"/>
      <c r="FZ3378" s="12"/>
      <c r="GA3378" s="12"/>
      <c r="GB3378" s="12"/>
      <c r="GC3378" s="12"/>
      <c r="GD3378" s="12"/>
      <c r="GE3378" s="12"/>
      <c r="GF3378" s="12"/>
      <c r="GG3378" s="12"/>
      <c r="GH3378" s="12"/>
      <c r="GI3378" s="12"/>
      <c r="GJ3378" s="12"/>
      <c r="GK3378" s="12"/>
      <c r="GL3378" s="12"/>
      <c r="GM3378" s="12"/>
      <c r="GN3378" s="12"/>
      <c r="GO3378" s="12"/>
      <c r="GP3378" s="12"/>
      <c r="GQ3378" s="12"/>
      <c r="GR3378" s="12"/>
      <c r="GS3378" s="12"/>
      <c r="GT3378" s="12"/>
      <c r="GU3378" s="12"/>
      <c r="GV3378" s="12"/>
      <c r="GW3378" s="12"/>
      <c r="GX3378" s="12"/>
      <c r="GY3378" s="12"/>
      <c r="GZ3378" s="12"/>
      <c r="HA3378" s="12"/>
      <c r="HB3378" s="12"/>
      <c r="HC3378" s="12"/>
      <c r="HD3378" s="12"/>
      <c r="HE3378" s="12"/>
      <c r="HF3378" s="12"/>
      <c r="HG3378" s="12"/>
      <c r="HH3378" s="12"/>
      <c r="HI3378" s="12"/>
      <c r="HJ3378" s="12"/>
      <c r="HK3378" s="12"/>
      <c r="HL3378" s="12"/>
      <c r="HM3378" s="12"/>
      <c r="HN3378" s="12"/>
      <c r="HO3378" s="12"/>
      <c r="HP3378" s="12"/>
      <c r="HQ3378" s="12"/>
      <c r="HR3378" s="12"/>
      <c r="HS3378" s="12"/>
      <c r="HT3378" s="12"/>
      <c r="HU3378" s="12"/>
      <c r="HV3378" s="12"/>
      <c r="HW3378" s="12"/>
      <c r="HX3378" s="12"/>
      <c r="HY3378" s="12"/>
      <c r="HZ3378" s="12"/>
      <c r="IA3378" s="12"/>
      <c r="IB3378" s="12"/>
      <c r="IC3378" s="12"/>
      <c r="ID3378" s="12"/>
      <c r="IE3378" s="12"/>
      <c r="IF3378" s="12"/>
      <c r="IG3378" s="12"/>
      <c r="IH3378" s="12"/>
      <c r="II3378" s="12"/>
      <c r="IJ3378" s="12"/>
      <c r="IK3378" s="12"/>
      <c r="IL3378" s="12"/>
      <c r="IM3378" s="12"/>
      <c r="IN3378" s="12"/>
      <c r="IO3378" s="12"/>
      <c r="IP3378" s="12"/>
      <c r="IQ3378" s="12"/>
      <c r="IR3378" s="12"/>
      <c r="IS3378" s="12"/>
      <c r="IT3378" s="12"/>
      <c r="IU3378" s="12"/>
      <c r="IV3378" s="12"/>
      <c r="IW3378" s="12"/>
      <c r="IX3378" s="12"/>
      <c r="IY3378" s="12"/>
      <c r="IZ3378" s="12"/>
      <c r="JA3378" s="12"/>
      <c r="JB3378" s="12"/>
      <c r="JC3378" s="12"/>
      <c r="JD3378" s="12"/>
      <c r="JE3378" s="12"/>
      <c r="JF3378" s="12"/>
      <c r="JG3378" s="12"/>
      <c r="JH3378" s="12"/>
      <c r="JI3378" s="12"/>
      <c r="JJ3378" s="12"/>
      <c r="JK3378" s="12"/>
      <c r="JL3378" s="12"/>
      <c r="JM3378" s="12"/>
      <c r="JN3378" s="12"/>
      <c r="JO3378" s="12"/>
      <c r="JP3378" s="12"/>
      <c r="JQ3378" s="12"/>
      <c r="JR3378" s="12"/>
      <c r="JS3378" s="12"/>
      <c r="JT3378" s="12"/>
      <c r="JU3378" s="12"/>
      <c r="JV3378" s="12"/>
      <c r="JW3378" s="12"/>
      <c r="JX3378" s="12"/>
      <c r="JY3378" s="12"/>
      <c r="JZ3378" s="12"/>
      <c r="KA3378" s="12"/>
      <c r="KB3378" s="12"/>
      <c r="KC3378" s="12"/>
      <c r="KD3378" s="12"/>
      <c r="KE3378" s="12"/>
      <c r="KF3378" s="12"/>
      <c r="KG3378" s="12"/>
      <c r="KH3378" s="12"/>
      <c r="KI3378" s="12"/>
      <c r="KJ3378" s="12"/>
      <c r="KK3378" s="12"/>
      <c r="KL3378" s="12"/>
      <c r="KM3378" s="12"/>
      <c r="KN3378" s="12"/>
      <c r="KO3378" s="12"/>
      <c r="KP3378" s="12"/>
      <c r="KQ3378" s="12"/>
      <c r="KR3378" s="12"/>
      <c r="KS3378" s="12"/>
      <c r="KT3378" s="12"/>
      <c r="KU3378" s="12"/>
      <c r="KV3378" s="12"/>
      <c r="KW3378" s="12"/>
      <c r="KX3378" s="12"/>
      <c r="KY3378" s="12"/>
      <c r="KZ3378" s="12"/>
      <c r="LA3378" s="12"/>
      <c r="LB3378" s="12"/>
      <c r="LC3378" s="12"/>
      <c r="LD3378" s="12"/>
      <c r="LE3378" s="12"/>
      <c r="LF3378" s="12"/>
      <c r="LG3378" s="12"/>
      <c r="LH3378" s="12"/>
      <c r="LI3378" s="12"/>
      <c r="LJ3378" s="12"/>
      <c r="LK3378" s="12"/>
      <c r="LL3378" s="12"/>
      <c r="LM3378" s="12"/>
      <c r="LN3378" s="12"/>
      <c r="LO3378" s="12"/>
      <c r="LP3378" s="12"/>
      <c r="LQ3378" s="12"/>
      <c r="LR3378" s="12"/>
      <c r="LS3378" s="12"/>
      <c r="LT3378" s="12"/>
      <c r="LU3378" s="12"/>
      <c r="LV3378" s="12"/>
      <c r="LW3378" s="12"/>
      <c r="LX3378" s="12"/>
      <c r="LY3378" s="12"/>
      <c r="LZ3378" s="12"/>
      <c r="MA3378" s="12"/>
      <c r="MB3378" s="12"/>
      <c r="MC3378" s="12"/>
      <c r="MD3378" s="12"/>
      <c r="ME3378" s="12"/>
      <c r="MF3378" s="12"/>
      <c r="MG3378" s="12"/>
      <c r="MH3378" s="12"/>
      <c r="MI3378" s="12"/>
      <c r="MJ3378" s="12"/>
      <c r="MK3378" s="12"/>
      <c r="ML3378" s="12"/>
      <c r="MM3378" s="12"/>
      <c r="MN3378" s="12"/>
      <c r="MO3378" s="12"/>
      <c r="MP3378" s="12"/>
      <c r="MQ3378" s="12"/>
      <c r="MR3378" s="12"/>
      <c r="MS3378" s="12"/>
      <c r="MT3378" s="12"/>
      <c r="MU3378" s="12"/>
      <c r="MV3378" s="12"/>
      <c r="MW3378" s="12"/>
      <c r="MX3378" s="12"/>
      <c r="MY3378" s="12"/>
      <c r="MZ3378" s="12"/>
      <c r="NA3378" s="12"/>
      <c r="NB3378" s="12"/>
      <c r="NC3378" s="12"/>
      <c r="ND3378" s="12"/>
      <c r="NE3378" s="12"/>
      <c r="NF3378" s="12"/>
      <c r="NG3378" s="12"/>
      <c r="NH3378" s="12"/>
      <c r="NI3378" s="12"/>
      <c r="NJ3378" s="12"/>
      <c r="NK3378" s="12"/>
      <c r="NL3378" s="12"/>
      <c r="NM3378" s="12"/>
      <c r="NN3378" s="12"/>
      <c r="NO3378" s="12"/>
      <c r="NP3378" s="12"/>
      <c r="NQ3378" s="12"/>
      <c r="NR3378" s="12"/>
      <c r="NS3378" s="12"/>
      <c r="NT3378" s="12"/>
      <c r="NU3378" s="12"/>
      <c r="NV3378" s="12"/>
      <c r="NW3378" s="12"/>
      <c r="NX3378" s="12"/>
      <c r="NY3378" s="12"/>
      <c r="NZ3378" s="12"/>
      <c r="OA3378" s="12"/>
      <c r="OB3378" s="12"/>
      <c r="OC3378" s="12"/>
      <c r="OD3378" s="12"/>
      <c r="OE3378" s="12"/>
      <c r="OF3378" s="12"/>
      <c r="OG3378" s="12"/>
      <c r="OH3378" s="12"/>
      <c r="OI3378" s="12"/>
      <c r="OJ3378" s="12"/>
      <c r="OK3378" s="12"/>
      <c r="OL3378" s="12"/>
      <c r="OM3378" s="12"/>
      <c r="ON3378" s="12"/>
      <c r="OO3378" s="12"/>
      <c r="OP3378" s="12"/>
      <c r="OQ3378" s="12"/>
      <c r="OR3378" s="12"/>
      <c r="OS3378" s="12"/>
      <c r="OT3378" s="12"/>
      <c r="OU3378" s="12"/>
      <c r="OV3378" s="12"/>
      <c r="OW3378" s="12"/>
      <c r="OX3378" s="12"/>
      <c r="OY3378" s="12"/>
      <c r="OZ3378" s="12"/>
      <c r="PA3378" s="12"/>
      <c r="PB3378" s="12"/>
      <c r="PC3378" s="12"/>
      <c r="PD3378" s="12"/>
      <c r="PE3378" s="12"/>
      <c r="PF3378" s="12"/>
      <c r="PG3378" s="12"/>
      <c r="PH3378" s="12"/>
      <c r="PI3378" s="12"/>
      <c r="PJ3378" s="12"/>
      <c r="PK3378" s="12"/>
      <c r="PL3378" s="12"/>
      <c r="PM3378" s="12"/>
      <c r="PN3378" s="12"/>
      <c r="PO3378" s="12"/>
      <c r="PP3378" s="12"/>
      <c r="PQ3378" s="12"/>
      <c r="PR3378" s="12"/>
      <c r="PS3378" s="12"/>
      <c r="PT3378" s="12"/>
      <c r="PU3378" s="12"/>
      <c r="PV3378" s="12"/>
      <c r="PW3378" s="12"/>
      <c r="PX3378" s="12"/>
      <c r="PY3378" s="12"/>
      <c r="PZ3378" s="12"/>
      <c r="QA3378" s="12"/>
      <c r="QB3378" s="12"/>
      <c r="QC3378" s="12"/>
      <c r="QD3378" s="12"/>
      <c r="QE3378" s="12"/>
      <c r="QF3378" s="12"/>
      <c r="QG3378" s="12"/>
      <c r="QH3378" s="12"/>
      <c r="QI3378" s="12"/>
      <c r="QJ3378" s="12"/>
      <c r="QK3378" s="12"/>
      <c r="QL3378" s="12"/>
      <c r="QM3378" s="12"/>
      <c r="QN3378" s="12"/>
      <c r="QO3378" s="12"/>
      <c r="QP3378" s="12"/>
      <c r="QQ3378" s="12"/>
      <c r="QR3378" s="12"/>
      <c r="QS3378" s="12"/>
      <c r="QT3378" s="12"/>
      <c r="QU3378" s="12"/>
      <c r="QV3378" s="12"/>
      <c r="QW3378" s="12"/>
      <c r="QX3378" s="12"/>
      <c r="QY3378" s="12"/>
      <c r="QZ3378" s="12"/>
      <c r="RA3378" s="12"/>
      <c r="RB3378" s="12"/>
      <c r="RC3378" s="12"/>
      <c r="RD3378" s="12"/>
      <c r="RE3378" s="12"/>
      <c r="RF3378" s="12"/>
      <c r="RG3378" s="12"/>
      <c r="RH3378" s="12"/>
      <c r="RI3378" s="12"/>
      <c r="RJ3378" s="12"/>
      <c r="RK3378" s="12"/>
      <c r="RL3378" s="12"/>
      <c r="RM3378" s="12"/>
      <c r="RN3378" s="12"/>
      <c r="RO3378" s="12"/>
      <c r="RP3378" s="12"/>
      <c r="RQ3378" s="12"/>
      <c r="RR3378" s="12"/>
      <c r="RS3378" s="12"/>
      <c r="RT3378" s="12"/>
      <c r="RU3378" s="12"/>
      <c r="RV3378" s="12"/>
      <c r="RW3378" s="12"/>
      <c r="RX3378" s="12"/>
      <c r="RY3378" s="12"/>
      <c r="RZ3378" s="12"/>
      <c r="SA3378" s="12"/>
      <c r="SB3378" s="12"/>
      <c r="SC3378" s="12"/>
      <c r="SD3378" s="12"/>
      <c r="SE3378" s="12"/>
      <c r="SF3378" s="12"/>
      <c r="SG3378" s="12"/>
      <c r="SH3378" s="12"/>
      <c r="SI3378" s="12"/>
      <c r="SJ3378" s="12"/>
      <c r="SK3378" s="12"/>
      <c r="SL3378" s="12"/>
      <c r="SM3378" s="12"/>
      <c r="SN3378" s="12"/>
      <c r="SO3378" s="12"/>
      <c r="SP3378" s="12"/>
      <c r="SQ3378" s="12"/>
      <c r="SR3378" s="12"/>
      <c r="SS3378" s="12"/>
      <c r="ST3378" s="12"/>
      <c r="SU3378" s="12"/>
      <c r="SV3378" s="12"/>
      <c r="SW3378" s="12"/>
      <c r="SX3378" s="12"/>
      <c r="SY3378" s="12"/>
      <c r="SZ3378" s="12"/>
      <c r="TA3378" s="12"/>
      <c r="TB3378" s="12"/>
      <c r="TC3378" s="12"/>
      <c r="TD3378" s="12"/>
      <c r="TE3378" s="12"/>
      <c r="TF3378" s="12"/>
      <c r="TG3378" s="12"/>
      <c r="TH3378" s="12"/>
      <c r="TI3378" s="12"/>
      <c r="TJ3378" s="12"/>
      <c r="TK3378" s="12"/>
      <c r="TL3378" s="12"/>
      <c r="TM3378" s="12"/>
      <c r="TN3378" s="12"/>
      <c r="TO3378" s="12"/>
      <c r="TP3378" s="12"/>
      <c r="TQ3378" s="12"/>
      <c r="TR3378" s="12"/>
      <c r="TS3378" s="12"/>
      <c r="TT3378" s="12"/>
      <c r="TU3378" s="12"/>
      <c r="TV3378" s="12"/>
      <c r="TW3378" s="12"/>
      <c r="TX3378" s="12"/>
      <c r="TY3378" s="12"/>
      <c r="TZ3378" s="12"/>
      <c r="UA3378" s="12"/>
      <c r="UB3378" s="12"/>
      <c r="UC3378" s="12"/>
      <c r="UD3378" s="12"/>
      <c r="UE3378" s="12"/>
      <c r="UF3378" s="12"/>
      <c r="UG3378" s="12"/>
      <c r="UH3378" s="12"/>
      <c r="UI3378" s="12"/>
      <c r="UJ3378" s="12"/>
      <c r="UK3378" s="12"/>
      <c r="UL3378" s="12"/>
      <c r="UM3378" s="12"/>
      <c r="UN3378" s="12"/>
      <c r="UO3378" s="12"/>
      <c r="UP3378" s="12"/>
      <c r="UQ3378" s="12"/>
      <c r="UR3378" s="12"/>
      <c r="US3378" s="12"/>
      <c r="UT3378" s="12"/>
      <c r="UU3378" s="12"/>
      <c r="UV3378" s="12"/>
      <c r="UW3378" s="12"/>
      <c r="UX3378" s="12"/>
      <c r="UY3378" s="12"/>
      <c r="UZ3378" s="12"/>
      <c r="VA3378" s="12"/>
      <c r="VB3378" s="12"/>
      <c r="VC3378" s="12"/>
      <c r="VD3378" s="12"/>
      <c r="VE3378" s="12"/>
      <c r="VF3378" s="12"/>
      <c r="VG3378" s="12"/>
      <c r="VH3378" s="12"/>
      <c r="VI3378" s="12"/>
      <c r="VJ3378" s="12"/>
      <c r="VK3378" s="12"/>
      <c r="VL3378" s="12"/>
      <c r="VM3378" s="12"/>
      <c r="VN3378" s="12"/>
      <c r="VO3378" s="12"/>
      <c r="VP3378" s="12"/>
      <c r="VQ3378" s="12"/>
      <c r="VR3378" s="12"/>
      <c r="VS3378" s="12"/>
      <c r="VT3378" s="12"/>
      <c r="VU3378" s="12"/>
      <c r="VV3378" s="12"/>
      <c r="VW3378" s="12"/>
      <c r="VX3378" s="12"/>
      <c r="VY3378" s="12"/>
      <c r="VZ3378" s="12"/>
      <c r="WA3378" s="12"/>
      <c r="WB3378" s="12"/>
      <c r="WC3378" s="12"/>
      <c r="WD3378" s="12"/>
      <c r="WE3378" s="12"/>
      <c r="WF3378" s="12"/>
      <c r="WG3378" s="12"/>
      <c r="WH3378" s="12"/>
      <c r="WI3378" s="12"/>
      <c r="WJ3378" s="12"/>
      <c r="WK3378" s="12"/>
      <c r="WL3378" s="12"/>
      <c r="WM3378" s="12"/>
      <c r="WN3378" s="12"/>
      <c r="WO3378" s="12"/>
      <c r="WP3378" s="12"/>
      <c r="WQ3378" s="12"/>
      <c r="WR3378" s="12"/>
      <c r="WS3378" s="12"/>
      <c r="WT3378" s="12"/>
      <c r="WU3378" s="12"/>
      <c r="WV3378" s="12"/>
      <c r="WW3378" s="12"/>
      <c r="WX3378" s="12"/>
      <c r="WY3378" s="12"/>
      <c r="WZ3378" s="12"/>
      <c r="XA3378" s="12"/>
      <c r="XB3378" s="12"/>
      <c r="XC3378" s="12"/>
      <c r="XD3378" s="12"/>
      <c r="XE3378" s="12"/>
      <c r="XF3378" s="12"/>
      <c r="XG3378" s="12"/>
      <c r="XH3378" s="12"/>
      <c r="XI3378" s="12"/>
      <c r="XJ3378" s="12"/>
      <c r="XK3378" s="12"/>
      <c r="XL3378" s="12"/>
      <c r="XM3378" s="12"/>
      <c r="XN3378" s="12"/>
      <c r="XO3378" s="12"/>
      <c r="XP3378" s="12"/>
      <c r="XQ3378" s="12"/>
      <c r="XR3378" s="12"/>
      <c r="XS3378" s="12"/>
      <c r="XT3378" s="12"/>
      <c r="XU3378" s="12"/>
      <c r="XV3378" s="12"/>
      <c r="XW3378" s="12"/>
      <c r="XX3378" s="12"/>
      <c r="XY3378" s="12"/>
      <c r="XZ3378" s="12"/>
      <c r="YA3378" s="12"/>
      <c r="YB3378" s="12"/>
      <c r="YC3378" s="12"/>
      <c r="YD3378" s="12"/>
      <c r="YE3378" s="12"/>
      <c r="YF3378" s="12"/>
      <c r="YG3378" s="12"/>
      <c r="YH3378" s="12"/>
      <c r="YI3378" s="12"/>
      <c r="YJ3378" s="12"/>
      <c r="YK3378" s="12"/>
      <c r="YL3378" s="12"/>
      <c r="YM3378" s="12"/>
      <c r="YN3378" s="12"/>
      <c r="YO3378" s="12"/>
      <c r="YP3378" s="12"/>
      <c r="YQ3378" s="12"/>
      <c r="YR3378" s="12"/>
      <c r="YS3378" s="12"/>
      <c r="YT3378" s="12"/>
      <c r="YU3378" s="12"/>
      <c r="YV3378" s="12"/>
      <c r="YW3378" s="12"/>
      <c r="YX3378" s="12"/>
      <c r="YY3378" s="12"/>
      <c r="YZ3378" s="12"/>
      <c r="ZA3378" s="12"/>
      <c r="ZB3378" s="12"/>
      <c r="ZC3378" s="12"/>
      <c r="ZD3378" s="12"/>
      <c r="ZE3378" s="12"/>
      <c r="ZF3378" s="12"/>
      <c r="ZG3378" s="12"/>
      <c r="ZH3378" s="12"/>
      <c r="ZI3378" s="12"/>
      <c r="ZJ3378" s="12"/>
      <c r="ZK3378" s="12"/>
      <c r="ZL3378" s="12"/>
      <c r="ZM3378" s="12"/>
      <c r="ZN3378" s="12"/>
      <c r="ZO3378" s="12"/>
      <c r="ZP3378" s="12"/>
      <c r="ZQ3378" s="12"/>
      <c r="ZR3378" s="12"/>
      <c r="ZS3378" s="12"/>
      <c r="ZT3378" s="12"/>
      <c r="ZU3378" s="12"/>
      <c r="ZV3378" s="12"/>
      <c r="ZW3378" s="12"/>
      <c r="ZX3378" s="12"/>
    </row>
    <row r="3379" spans="1:700" s="45" customFormat="1" ht="14.4" hidden="1">
      <c r="A3379" s="53">
        <f>IF(C3379="","",MAX($A$1:A3378)+1)</f>
        <v>3097</v>
      </c>
      <c r="B3379" s="36" t="s">
        <v>141</v>
      </c>
      <c r="C3379" s="23">
        <v>46109</v>
      </c>
      <c r="D3379" s="28" t="str">
        <f>_xlfn.XLOOKUP(Table134526_79101120212223242526[[#This Row],[Name Surname]],Manpower!$C$4:$C$1048576,Manpower!$B$4:$B$1048576,"")</f>
        <v>Encogroup</v>
      </c>
      <c r="E3379" s="21" t="s">
        <v>203</v>
      </c>
      <c r="F3379" s="12">
        <f>_xlfn.XLOOKUP(Table134526_79101120212223242526[[#This Row],[Name Surname]],Manpower!C:C,Manpower!D:D,)</f>
        <v>140683371</v>
      </c>
      <c r="G3379" s="28" t="str">
        <f>_xlfn.XLOOKUP(Table134526_79101120212223242526[[#This Row],[Name Surname]],Manpower!$C$4:$C$1048576,Manpower!$F$4:$F$1048576,"")</f>
        <v>Rigger</v>
      </c>
      <c r="H3379" s="28" t="str">
        <f>_xlfn.XLOOKUP(Table134526_79101120212223242526[[#This Row],[Name Surname]],Manpower!$C$4:$C$1048576,Manpower!$H$4:$H$1048576,"")</f>
        <v>Manpower</v>
      </c>
      <c r="I3379" s="28" t="str">
        <f>_xlfn.XLOOKUP(Table134526_79101120212223242526[[#This Row],[Name Surname]],Manpower!$C$4:$C$1048576,Manpower!$H$4:$H$1048576,"")</f>
        <v>Manpower</v>
      </c>
      <c r="J3379" s="21" t="s">
        <v>143</v>
      </c>
      <c r="K3379" s="21" t="s">
        <v>26</v>
      </c>
      <c r="L3379" s="21" t="s">
        <v>144</v>
      </c>
      <c r="M3379" s="21" t="s">
        <v>55</v>
      </c>
      <c r="N3379" s="29">
        <v>10</v>
      </c>
      <c r="O3379" s="21"/>
      <c r="P3379" s="21"/>
      <c r="Q3379" s="21"/>
      <c r="R3379" s="21" t="s">
        <v>420</v>
      </c>
      <c r="S3379" s="21"/>
      <c r="T3379" s="12"/>
      <c r="U3379" s="12"/>
      <c r="V3379" s="12"/>
      <c r="W3379" s="12"/>
      <c r="X3379" s="12"/>
      <c r="Y3379" s="12"/>
      <c r="Z3379" s="12"/>
      <c r="AA3379" s="12"/>
      <c r="AB3379" s="12"/>
      <c r="AC3379" s="12"/>
      <c r="AD3379" s="12"/>
      <c r="AE3379" s="12"/>
      <c r="AF3379" s="12"/>
      <c r="AG3379" s="12"/>
      <c r="AH3379" s="12"/>
      <c r="AI3379" s="12"/>
      <c r="AJ3379" s="12"/>
      <c r="AK3379" s="12"/>
      <c r="AL3379" s="12"/>
      <c r="AM3379" s="12"/>
      <c r="AN3379" s="12"/>
      <c r="AO3379" s="12"/>
      <c r="AP3379" s="12"/>
      <c r="AQ3379" s="12"/>
      <c r="AR3379" s="12"/>
      <c r="AS3379" s="12"/>
      <c r="AT3379" s="12"/>
      <c r="AU3379" s="12"/>
      <c r="AV3379" s="12"/>
      <c r="AW3379" s="12"/>
      <c r="AX3379" s="12"/>
      <c r="AY3379" s="12"/>
      <c r="AZ3379" s="12"/>
      <c r="BA3379" s="12"/>
      <c r="BB3379" s="12"/>
      <c r="BC3379" s="12"/>
      <c r="BD3379" s="12"/>
      <c r="BE3379" s="12"/>
      <c r="BF3379" s="12"/>
      <c r="BG3379" s="12"/>
      <c r="BH3379" s="12"/>
      <c r="BI3379" s="12"/>
      <c r="BJ3379" s="12"/>
      <c r="BK3379" s="12"/>
      <c r="BL3379" s="12"/>
      <c r="BM3379" s="12"/>
      <c r="BN3379" s="12"/>
      <c r="BO3379" s="12"/>
      <c r="BP3379" s="12"/>
      <c r="BQ3379" s="12"/>
      <c r="BR3379" s="12"/>
      <c r="BS3379" s="12"/>
      <c r="BT3379" s="12"/>
      <c r="BU3379" s="12"/>
      <c r="BV3379" s="12"/>
      <c r="BW3379" s="12"/>
      <c r="BX3379" s="12"/>
      <c r="BY3379" s="12"/>
      <c r="BZ3379" s="12"/>
      <c r="CA3379" s="12"/>
      <c r="CB3379" s="12"/>
      <c r="CC3379" s="12"/>
      <c r="CD3379" s="12"/>
      <c r="CE3379" s="12"/>
      <c r="CF3379" s="12"/>
      <c r="CG3379" s="12"/>
      <c r="CH3379" s="12"/>
      <c r="CI3379" s="12"/>
      <c r="CJ3379" s="12"/>
      <c r="CK3379" s="12"/>
      <c r="CL3379" s="12"/>
      <c r="CM3379" s="12"/>
      <c r="CN3379" s="12"/>
      <c r="CO3379" s="12"/>
      <c r="CP3379" s="12"/>
      <c r="CQ3379" s="12"/>
      <c r="CR3379" s="12"/>
      <c r="CS3379" s="12"/>
      <c r="CT3379" s="12"/>
      <c r="CU3379" s="12"/>
      <c r="CV3379" s="12"/>
      <c r="CW3379" s="12"/>
      <c r="CX3379" s="12"/>
      <c r="CY3379" s="12"/>
      <c r="CZ3379" s="12"/>
      <c r="DA3379" s="12"/>
      <c r="DB3379" s="12"/>
      <c r="DC3379" s="12"/>
      <c r="DD3379" s="12"/>
      <c r="DE3379" s="12"/>
      <c r="DF3379" s="12"/>
      <c r="DG3379" s="12"/>
      <c r="DH3379" s="12"/>
      <c r="DI3379" s="12"/>
      <c r="DJ3379" s="12"/>
      <c r="DK3379" s="12"/>
      <c r="DL3379" s="12"/>
      <c r="DM3379" s="12"/>
      <c r="DN3379" s="12"/>
      <c r="DO3379" s="12"/>
      <c r="DP3379" s="12"/>
      <c r="DQ3379" s="12"/>
      <c r="DR3379" s="12"/>
      <c r="DS3379" s="12"/>
      <c r="DT3379" s="12"/>
      <c r="DU3379" s="12"/>
      <c r="DV3379" s="12"/>
      <c r="DW3379" s="12"/>
      <c r="DX3379" s="12"/>
      <c r="DY3379" s="12"/>
      <c r="DZ3379" s="12"/>
      <c r="EA3379" s="12"/>
      <c r="EB3379" s="12"/>
      <c r="EC3379" s="12"/>
      <c r="ED3379" s="12"/>
      <c r="EE3379" s="12"/>
      <c r="EF3379" s="12"/>
      <c r="EG3379" s="12"/>
      <c r="EH3379" s="12"/>
      <c r="EI3379" s="12"/>
      <c r="EJ3379" s="12"/>
      <c r="EK3379" s="12"/>
      <c r="EL3379" s="12"/>
      <c r="EM3379" s="12"/>
      <c r="EN3379" s="12"/>
      <c r="EO3379" s="12"/>
      <c r="EP3379" s="12"/>
      <c r="EQ3379" s="12"/>
      <c r="ER3379" s="12"/>
      <c r="ES3379" s="12"/>
      <c r="ET3379" s="12"/>
      <c r="EU3379" s="12"/>
      <c r="EV3379" s="12"/>
      <c r="EW3379" s="12"/>
      <c r="EX3379" s="12"/>
      <c r="EY3379" s="12"/>
      <c r="EZ3379" s="12"/>
      <c r="FA3379" s="12"/>
      <c r="FB3379" s="12"/>
      <c r="FC3379" s="12"/>
      <c r="FD3379" s="12"/>
      <c r="FE3379" s="12"/>
      <c r="FF3379" s="12"/>
      <c r="FG3379" s="12"/>
      <c r="FH3379" s="12"/>
      <c r="FI3379" s="12"/>
      <c r="FJ3379" s="12"/>
      <c r="FK3379" s="12"/>
      <c r="FL3379" s="12"/>
      <c r="FM3379" s="12"/>
      <c r="FN3379" s="12"/>
      <c r="FO3379" s="12"/>
      <c r="FP3379" s="12"/>
      <c r="FQ3379" s="12"/>
      <c r="FR3379" s="12"/>
      <c r="FS3379" s="12"/>
      <c r="FT3379" s="12"/>
      <c r="FU3379" s="12"/>
      <c r="FV3379" s="12"/>
      <c r="FW3379" s="12"/>
      <c r="FX3379" s="12"/>
      <c r="FY3379" s="12"/>
      <c r="FZ3379" s="12"/>
      <c r="GA3379" s="12"/>
      <c r="GB3379" s="12"/>
      <c r="GC3379" s="12"/>
      <c r="GD3379" s="12"/>
      <c r="GE3379" s="12"/>
      <c r="GF3379" s="12"/>
      <c r="GG3379" s="12"/>
      <c r="GH3379" s="12"/>
      <c r="GI3379" s="12"/>
      <c r="GJ3379" s="12"/>
      <c r="GK3379" s="12"/>
      <c r="GL3379" s="12"/>
      <c r="GM3379" s="12"/>
      <c r="GN3379" s="12"/>
      <c r="GO3379" s="12"/>
      <c r="GP3379" s="12"/>
      <c r="GQ3379" s="12"/>
      <c r="GR3379" s="12"/>
      <c r="GS3379" s="12"/>
      <c r="GT3379" s="12"/>
      <c r="GU3379" s="12"/>
      <c r="GV3379" s="12"/>
      <c r="GW3379" s="12"/>
      <c r="GX3379" s="12"/>
      <c r="GY3379" s="12"/>
      <c r="GZ3379" s="12"/>
      <c r="HA3379" s="12"/>
      <c r="HB3379" s="12"/>
      <c r="HC3379" s="12"/>
      <c r="HD3379" s="12"/>
      <c r="HE3379" s="12"/>
      <c r="HF3379" s="12"/>
      <c r="HG3379" s="12"/>
      <c r="HH3379" s="12"/>
      <c r="HI3379" s="12"/>
      <c r="HJ3379" s="12"/>
      <c r="HK3379" s="12"/>
      <c r="HL3379" s="12"/>
      <c r="HM3379" s="12"/>
      <c r="HN3379" s="12"/>
      <c r="HO3379" s="12"/>
      <c r="HP3379" s="12"/>
      <c r="HQ3379" s="12"/>
      <c r="HR3379" s="12"/>
      <c r="HS3379" s="12"/>
      <c r="HT3379" s="12"/>
      <c r="HU3379" s="12"/>
      <c r="HV3379" s="12"/>
      <c r="HW3379" s="12"/>
      <c r="HX3379" s="12"/>
      <c r="HY3379" s="12"/>
      <c r="HZ3379" s="12"/>
      <c r="IA3379" s="12"/>
      <c r="IB3379" s="12"/>
      <c r="IC3379" s="12"/>
      <c r="ID3379" s="12"/>
      <c r="IE3379" s="12"/>
      <c r="IF3379" s="12"/>
      <c r="IG3379" s="12"/>
      <c r="IH3379" s="12"/>
      <c r="II3379" s="12"/>
      <c r="IJ3379" s="12"/>
      <c r="IK3379" s="12"/>
      <c r="IL3379" s="12"/>
      <c r="IM3379" s="12"/>
      <c r="IN3379" s="12"/>
      <c r="IO3379" s="12"/>
      <c r="IP3379" s="12"/>
      <c r="IQ3379" s="12"/>
      <c r="IR3379" s="12"/>
      <c r="IS3379" s="12"/>
      <c r="IT3379" s="12"/>
      <c r="IU3379" s="12"/>
      <c r="IV3379" s="12"/>
      <c r="IW3379" s="12"/>
      <c r="IX3379" s="12"/>
      <c r="IY3379" s="12"/>
      <c r="IZ3379" s="12"/>
      <c r="JA3379" s="12"/>
      <c r="JB3379" s="12"/>
      <c r="JC3379" s="12"/>
      <c r="JD3379" s="12"/>
      <c r="JE3379" s="12"/>
      <c r="JF3379" s="12"/>
      <c r="JG3379" s="12"/>
      <c r="JH3379" s="12"/>
      <c r="JI3379" s="12"/>
      <c r="JJ3379" s="12"/>
      <c r="JK3379" s="12"/>
      <c r="JL3379" s="12"/>
      <c r="JM3379" s="12"/>
      <c r="JN3379" s="12"/>
      <c r="JO3379" s="12"/>
      <c r="JP3379" s="12"/>
      <c r="JQ3379" s="12"/>
      <c r="JR3379" s="12"/>
      <c r="JS3379" s="12"/>
      <c r="JT3379" s="12"/>
      <c r="JU3379" s="12"/>
      <c r="JV3379" s="12"/>
      <c r="JW3379" s="12"/>
      <c r="JX3379" s="12"/>
      <c r="JY3379" s="12"/>
      <c r="JZ3379" s="12"/>
      <c r="KA3379" s="12"/>
      <c r="KB3379" s="12"/>
      <c r="KC3379" s="12"/>
      <c r="KD3379" s="12"/>
      <c r="KE3379" s="12"/>
      <c r="KF3379" s="12"/>
      <c r="KG3379" s="12"/>
      <c r="KH3379" s="12"/>
      <c r="KI3379" s="12"/>
      <c r="KJ3379" s="12"/>
      <c r="KK3379" s="12"/>
      <c r="KL3379" s="12"/>
      <c r="KM3379" s="12"/>
      <c r="KN3379" s="12"/>
      <c r="KO3379" s="12"/>
      <c r="KP3379" s="12"/>
      <c r="KQ3379" s="12"/>
      <c r="KR3379" s="12"/>
      <c r="KS3379" s="12"/>
      <c r="KT3379" s="12"/>
      <c r="KU3379" s="12"/>
      <c r="KV3379" s="12"/>
      <c r="KW3379" s="12"/>
      <c r="KX3379" s="12"/>
      <c r="KY3379" s="12"/>
      <c r="KZ3379" s="12"/>
      <c r="LA3379" s="12"/>
      <c r="LB3379" s="12"/>
      <c r="LC3379" s="12"/>
      <c r="LD3379" s="12"/>
      <c r="LE3379" s="12"/>
      <c r="LF3379" s="12"/>
      <c r="LG3379" s="12"/>
      <c r="LH3379" s="12"/>
      <c r="LI3379" s="12"/>
      <c r="LJ3379" s="12"/>
      <c r="LK3379" s="12"/>
      <c r="LL3379" s="12"/>
      <c r="LM3379" s="12"/>
      <c r="LN3379" s="12"/>
      <c r="LO3379" s="12"/>
      <c r="LP3379" s="12"/>
      <c r="LQ3379" s="12"/>
      <c r="LR3379" s="12"/>
      <c r="LS3379" s="12"/>
      <c r="LT3379" s="12"/>
      <c r="LU3379" s="12"/>
      <c r="LV3379" s="12"/>
      <c r="LW3379" s="12"/>
      <c r="LX3379" s="12"/>
      <c r="LY3379" s="12"/>
      <c r="LZ3379" s="12"/>
      <c r="MA3379" s="12"/>
      <c r="MB3379" s="12"/>
      <c r="MC3379" s="12"/>
      <c r="MD3379" s="12"/>
      <c r="ME3379" s="12"/>
      <c r="MF3379" s="12"/>
      <c r="MG3379" s="12"/>
      <c r="MH3379" s="12"/>
      <c r="MI3379" s="12"/>
      <c r="MJ3379" s="12"/>
      <c r="MK3379" s="12"/>
      <c r="ML3379" s="12"/>
      <c r="MM3379" s="12"/>
      <c r="MN3379" s="12"/>
      <c r="MO3379" s="12"/>
      <c r="MP3379" s="12"/>
      <c r="MQ3379" s="12"/>
      <c r="MR3379" s="12"/>
      <c r="MS3379" s="12"/>
      <c r="MT3379" s="12"/>
      <c r="MU3379" s="12"/>
      <c r="MV3379" s="12"/>
      <c r="MW3379" s="12"/>
      <c r="MX3379" s="12"/>
      <c r="MY3379" s="12"/>
      <c r="MZ3379" s="12"/>
      <c r="NA3379" s="12"/>
      <c r="NB3379" s="12"/>
      <c r="NC3379" s="12"/>
      <c r="ND3379" s="12"/>
      <c r="NE3379" s="12"/>
      <c r="NF3379" s="12"/>
      <c r="NG3379" s="12"/>
      <c r="NH3379" s="12"/>
      <c r="NI3379" s="12"/>
      <c r="NJ3379" s="12"/>
      <c r="NK3379" s="12"/>
      <c r="NL3379" s="12"/>
      <c r="NM3379" s="12"/>
      <c r="NN3379" s="12"/>
      <c r="NO3379" s="12"/>
      <c r="NP3379" s="12"/>
      <c r="NQ3379" s="12"/>
      <c r="NR3379" s="12"/>
      <c r="NS3379" s="12"/>
      <c r="NT3379" s="12"/>
      <c r="NU3379" s="12"/>
      <c r="NV3379" s="12"/>
      <c r="NW3379" s="12"/>
      <c r="NX3379" s="12"/>
      <c r="NY3379" s="12"/>
      <c r="NZ3379" s="12"/>
      <c r="OA3379" s="12"/>
      <c r="OB3379" s="12"/>
      <c r="OC3379" s="12"/>
      <c r="OD3379" s="12"/>
      <c r="OE3379" s="12"/>
      <c r="OF3379" s="12"/>
      <c r="OG3379" s="12"/>
      <c r="OH3379" s="12"/>
      <c r="OI3379" s="12"/>
      <c r="OJ3379" s="12"/>
      <c r="OK3379" s="12"/>
      <c r="OL3379" s="12"/>
      <c r="OM3379" s="12"/>
      <c r="ON3379" s="12"/>
      <c r="OO3379" s="12"/>
      <c r="OP3379" s="12"/>
      <c r="OQ3379" s="12"/>
      <c r="OR3379" s="12"/>
      <c r="OS3379" s="12"/>
      <c r="OT3379" s="12"/>
      <c r="OU3379" s="12"/>
      <c r="OV3379" s="12"/>
      <c r="OW3379" s="12"/>
      <c r="OX3379" s="12"/>
      <c r="OY3379" s="12"/>
      <c r="OZ3379" s="12"/>
      <c r="PA3379" s="12"/>
      <c r="PB3379" s="12"/>
      <c r="PC3379" s="12"/>
      <c r="PD3379" s="12"/>
      <c r="PE3379" s="12"/>
      <c r="PF3379" s="12"/>
      <c r="PG3379" s="12"/>
      <c r="PH3379" s="12"/>
      <c r="PI3379" s="12"/>
      <c r="PJ3379" s="12"/>
      <c r="PK3379" s="12"/>
      <c r="PL3379" s="12"/>
      <c r="PM3379" s="12"/>
      <c r="PN3379" s="12"/>
      <c r="PO3379" s="12"/>
      <c r="PP3379" s="12"/>
      <c r="PQ3379" s="12"/>
      <c r="PR3379" s="12"/>
      <c r="PS3379" s="12"/>
      <c r="PT3379" s="12"/>
      <c r="PU3379" s="12"/>
      <c r="PV3379" s="12"/>
      <c r="PW3379" s="12"/>
      <c r="PX3379" s="12"/>
      <c r="PY3379" s="12"/>
      <c r="PZ3379" s="12"/>
      <c r="QA3379" s="12"/>
      <c r="QB3379" s="12"/>
      <c r="QC3379" s="12"/>
      <c r="QD3379" s="12"/>
      <c r="QE3379" s="12"/>
      <c r="QF3379" s="12"/>
      <c r="QG3379" s="12"/>
      <c r="QH3379" s="12"/>
      <c r="QI3379" s="12"/>
      <c r="QJ3379" s="12"/>
      <c r="QK3379" s="12"/>
      <c r="QL3379" s="12"/>
      <c r="QM3379" s="12"/>
      <c r="QN3379" s="12"/>
      <c r="QO3379" s="12"/>
      <c r="QP3379" s="12"/>
      <c r="QQ3379" s="12"/>
      <c r="QR3379" s="12"/>
      <c r="QS3379" s="12"/>
      <c r="QT3379" s="12"/>
      <c r="QU3379" s="12"/>
      <c r="QV3379" s="12"/>
      <c r="QW3379" s="12"/>
      <c r="QX3379" s="12"/>
      <c r="QY3379" s="12"/>
      <c r="QZ3379" s="12"/>
      <c r="RA3379" s="12"/>
      <c r="RB3379" s="12"/>
      <c r="RC3379" s="12"/>
      <c r="RD3379" s="12"/>
      <c r="RE3379" s="12"/>
      <c r="RF3379" s="12"/>
      <c r="RG3379" s="12"/>
      <c r="RH3379" s="12"/>
      <c r="RI3379" s="12"/>
      <c r="RJ3379" s="12"/>
      <c r="RK3379" s="12"/>
      <c r="RL3379" s="12"/>
      <c r="RM3379" s="12"/>
      <c r="RN3379" s="12"/>
      <c r="RO3379" s="12"/>
      <c r="RP3379" s="12"/>
      <c r="RQ3379" s="12"/>
      <c r="RR3379" s="12"/>
      <c r="RS3379" s="12"/>
      <c r="RT3379" s="12"/>
      <c r="RU3379" s="12"/>
      <c r="RV3379" s="12"/>
      <c r="RW3379" s="12"/>
      <c r="RX3379" s="12"/>
      <c r="RY3379" s="12"/>
      <c r="RZ3379" s="12"/>
      <c r="SA3379" s="12"/>
      <c r="SB3379" s="12"/>
      <c r="SC3379" s="12"/>
      <c r="SD3379" s="12"/>
      <c r="SE3379" s="12"/>
      <c r="SF3379" s="12"/>
      <c r="SG3379" s="12"/>
      <c r="SH3379" s="12"/>
      <c r="SI3379" s="12"/>
      <c r="SJ3379" s="12"/>
      <c r="SK3379" s="12"/>
      <c r="SL3379" s="12"/>
      <c r="SM3379" s="12"/>
      <c r="SN3379" s="12"/>
      <c r="SO3379" s="12"/>
      <c r="SP3379" s="12"/>
      <c r="SQ3379" s="12"/>
      <c r="SR3379" s="12"/>
      <c r="SS3379" s="12"/>
      <c r="ST3379" s="12"/>
      <c r="SU3379" s="12"/>
      <c r="SV3379" s="12"/>
      <c r="SW3379" s="12"/>
      <c r="SX3379" s="12"/>
      <c r="SY3379" s="12"/>
      <c r="SZ3379" s="12"/>
      <c r="TA3379" s="12"/>
      <c r="TB3379" s="12"/>
      <c r="TC3379" s="12"/>
      <c r="TD3379" s="12"/>
      <c r="TE3379" s="12"/>
      <c r="TF3379" s="12"/>
      <c r="TG3379" s="12"/>
      <c r="TH3379" s="12"/>
      <c r="TI3379" s="12"/>
      <c r="TJ3379" s="12"/>
      <c r="TK3379" s="12"/>
      <c r="TL3379" s="12"/>
      <c r="TM3379" s="12"/>
      <c r="TN3379" s="12"/>
      <c r="TO3379" s="12"/>
      <c r="TP3379" s="12"/>
      <c r="TQ3379" s="12"/>
      <c r="TR3379" s="12"/>
      <c r="TS3379" s="12"/>
      <c r="TT3379" s="12"/>
      <c r="TU3379" s="12"/>
      <c r="TV3379" s="12"/>
      <c r="TW3379" s="12"/>
      <c r="TX3379" s="12"/>
      <c r="TY3379" s="12"/>
      <c r="TZ3379" s="12"/>
      <c r="UA3379" s="12"/>
      <c r="UB3379" s="12"/>
      <c r="UC3379" s="12"/>
      <c r="UD3379" s="12"/>
      <c r="UE3379" s="12"/>
      <c r="UF3379" s="12"/>
      <c r="UG3379" s="12"/>
      <c r="UH3379" s="12"/>
      <c r="UI3379" s="12"/>
      <c r="UJ3379" s="12"/>
      <c r="UK3379" s="12"/>
      <c r="UL3379" s="12"/>
      <c r="UM3379" s="12"/>
      <c r="UN3379" s="12"/>
      <c r="UO3379" s="12"/>
      <c r="UP3379" s="12"/>
      <c r="UQ3379" s="12"/>
      <c r="UR3379" s="12"/>
      <c r="US3379" s="12"/>
      <c r="UT3379" s="12"/>
      <c r="UU3379" s="12"/>
      <c r="UV3379" s="12"/>
      <c r="UW3379" s="12"/>
      <c r="UX3379" s="12"/>
      <c r="UY3379" s="12"/>
      <c r="UZ3379" s="12"/>
      <c r="VA3379" s="12"/>
      <c r="VB3379" s="12"/>
      <c r="VC3379" s="12"/>
      <c r="VD3379" s="12"/>
      <c r="VE3379" s="12"/>
      <c r="VF3379" s="12"/>
      <c r="VG3379" s="12"/>
      <c r="VH3379" s="12"/>
      <c r="VI3379" s="12"/>
      <c r="VJ3379" s="12"/>
      <c r="VK3379" s="12"/>
      <c r="VL3379" s="12"/>
      <c r="VM3379" s="12"/>
      <c r="VN3379" s="12"/>
      <c r="VO3379" s="12"/>
      <c r="VP3379" s="12"/>
      <c r="VQ3379" s="12"/>
      <c r="VR3379" s="12"/>
      <c r="VS3379" s="12"/>
      <c r="VT3379" s="12"/>
      <c r="VU3379" s="12"/>
      <c r="VV3379" s="12"/>
      <c r="VW3379" s="12"/>
      <c r="VX3379" s="12"/>
      <c r="VY3379" s="12"/>
      <c r="VZ3379" s="12"/>
      <c r="WA3379" s="12"/>
      <c r="WB3379" s="12"/>
      <c r="WC3379" s="12"/>
      <c r="WD3379" s="12"/>
      <c r="WE3379" s="12"/>
      <c r="WF3379" s="12"/>
      <c r="WG3379" s="12"/>
      <c r="WH3379" s="12"/>
      <c r="WI3379" s="12"/>
      <c r="WJ3379" s="12"/>
      <c r="WK3379" s="12"/>
      <c r="WL3379" s="12"/>
      <c r="WM3379" s="12"/>
      <c r="WN3379" s="12"/>
      <c r="WO3379" s="12"/>
      <c r="WP3379" s="12"/>
      <c r="WQ3379" s="12"/>
      <c r="WR3379" s="12"/>
      <c r="WS3379" s="12"/>
      <c r="WT3379" s="12"/>
      <c r="WU3379" s="12"/>
      <c r="WV3379" s="12"/>
      <c r="WW3379" s="12"/>
      <c r="WX3379" s="12"/>
      <c r="WY3379" s="12"/>
      <c r="WZ3379" s="12"/>
      <c r="XA3379" s="12"/>
      <c r="XB3379" s="12"/>
      <c r="XC3379" s="12"/>
      <c r="XD3379" s="12"/>
      <c r="XE3379" s="12"/>
      <c r="XF3379" s="12"/>
      <c r="XG3379" s="12"/>
      <c r="XH3379" s="12"/>
      <c r="XI3379" s="12"/>
      <c r="XJ3379" s="12"/>
      <c r="XK3379" s="12"/>
      <c r="XL3379" s="12"/>
      <c r="XM3379" s="12"/>
      <c r="XN3379" s="12"/>
      <c r="XO3379" s="12"/>
      <c r="XP3379" s="12"/>
      <c r="XQ3379" s="12"/>
      <c r="XR3379" s="12"/>
      <c r="XS3379" s="12"/>
      <c r="XT3379" s="12"/>
      <c r="XU3379" s="12"/>
      <c r="XV3379" s="12"/>
      <c r="XW3379" s="12"/>
      <c r="XX3379" s="12"/>
      <c r="XY3379" s="12"/>
      <c r="XZ3379" s="12"/>
      <c r="YA3379" s="12"/>
      <c r="YB3379" s="12"/>
      <c r="YC3379" s="12"/>
      <c r="YD3379" s="12"/>
      <c r="YE3379" s="12"/>
      <c r="YF3379" s="12"/>
      <c r="YG3379" s="12"/>
      <c r="YH3379" s="12"/>
      <c r="YI3379" s="12"/>
      <c r="YJ3379" s="12"/>
      <c r="YK3379" s="12"/>
      <c r="YL3379" s="12"/>
      <c r="YM3379" s="12"/>
      <c r="YN3379" s="12"/>
      <c r="YO3379" s="12"/>
      <c r="YP3379" s="12"/>
      <c r="YQ3379" s="12"/>
      <c r="YR3379" s="12"/>
      <c r="YS3379" s="12"/>
      <c r="YT3379" s="12"/>
      <c r="YU3379" s="12"/>
      <c r="YV3379" s="12"/>
      <c r="YW3379" s="12"/>
      <c r="YX3379" s="12"/>
      <c r="YY3379" s="12"/>
      <c r="YZ3379" s="12"/>
      <c r="ZA3379" s="12"/>
      <c r="ZB3379" s="12"/>
      <c r="ZC3379" s="12"/>
      <c r="ZD3379" s="12"/>
      <c r="ZE3379" s="12"/>
      <c r="ZF3379" s="12"/>
      <c r="ZG3379" s="12"/>
      <c r="ZH3379" s="12"/>
      <c r="ZI3379" s="12"/>
      <c r="ZJ3379" s="12"/>
      <c r="ZK3379" s="12"/>
      <c r="ZL3379" s="12"/>
      <c r="ZM3379" s="12"/>
      <c r="ZN3379" s="12"/>
      <c r="ZO3379" s="12"/>
      <c r="ZP3379" s="12"/>
      <c r="ZQ3379" s="12"/>
      <c r="ZR3379" s="12"/>
      <c r="ZS3379" s="12"/>
      <c r="ZT3379" s="12"/>
      <c r="ZU3379" s="12"/>
      <c r="ZV3379" s="12"/>
      <c r="ZW3379" s="12"/>
      <c r="ZX3379" s="12"/>
    </row>
    <row r="3380" spans="1:700" s="45" customFormat="1" ht="14.4" hidden="1">
      <c r="A3380" s="53">
        <f>IF(C3380="","",MAX($A$1:A3379)+1)</f>
        <v>3098</v>
      </c>
      <c r="B3380" s="36" t="s">
        <v>141</v>
      </c>
      <c r="C3380" s="23">
        <v>46109</v>
      </c>
      <c r="D3380" s="28" t="str">
        <f>_xlfn.XLOOKUP(Table134526_79101120212223242526[[#This Row],[Name Surname]],Manpower!$C$4:$C$1048576,Manpower!$B$4:$B$1048576,"")</f>
        <v>Encogroup</v>
      </c>
      <c r="E3380" s="21" t="s">
        <v>206</v>
      </c>
      <c r="F3380" s="12">
        <f>_xlfn.XLOOKUP(Table134526_79101120212223242526[[#This Row],[Name Surname]],Manpower!C:C,Manpower!D:D,)</f>
        <v>140844848</v>
      </c>
      <c r="G3380" s="28" t="str">
        <f>_xlfn.XLOOKUP(Table134526_79101120212223242526[[#This Row],[Name Surname]],Manpower!$C$4:$C$1048576,Manpower!$F$4:$F$1048576,"")</f>
        <v>Assistant/Helper</v>
      </c>
      <c r="H3380" s="28" t="str">
        <f>_xlfn.XLOOKUP(Table134526_79101120212223242526[[#This Row],[Name Surname]],Manpower!$C$4:$C$1048576,Manpower!$H$4:$H$1048576,"")</f>
        <v>Manpower</v>
      </c>
      <c r="I3380" s="28" t="str">
        <f>_xlfn.XLOOKUP(Table134526_79101120212223242526[[#This Row],[Name Surname]],Manpower!$C$4:$C$1048576,Manpower!$H$4:$H$1048576,"")</f>
        <v>Manpower</v>
      </c>
      <c r="J3380" s="21" t="s">
        <v>143</v>
      </c>
      <c r="K3380" s="21" t="s">
        <v>26</v>
      </c>
      <c r="L3380" s="21" t="s">
        <v>144</v>
      </c>
      <c r="M3380" s="21" t="s">
        <v>55</v>
      </c>
      <c r="N3380" s="29">
        <v>10</v>
      </c>
      <c r="O3380" s="21"/>
      <c r="P3380" s="21"/>
      <c r="Q3380" s="21"/>
      <c r="R3380" s="21" t="s">
        <v>420</v>
      </c>
      <c r="S3380" s="21"/>
      <c r="T3380" s="12"/>
      <c r="U3380" s="12"/>
      <c r="V3380" s="12"/>
      <c r="W3380" s="12"/>
      <c r="X3380" s="12"/>
      <c r="Y3380" s="12"/>
      <c r="Z3380" s="12"/>
      <c r="AA3380" s="12"/>
      <c r="AB3380" s="12"/>
      <c r="AC3380" s="12"/>
      <c r="AD3380" s="12"/>
      <c r="AE3380" s="12"/>
      <c r="AF3380" s="12"/>
      <c r="AG3380" s="12"/>
      <c r="AH3380" s="12"/>
      <c r="AI3380" s="12"/>
      <c r="AJ3380" s="12"/>
      <c r="AK3380" s="12"/>
      <c r="AL3380" s="12"/>
      <c r="AM3380" s="12"/>
      <c r="AN3380" s="12"/>
      <c r="AO3380" s="12"/>
      <c r="AP3380" s="12"/>
      <c r="AQ3380" s="12"/>
      <c r="AR3380" s="12"/>
      <c r="AS3380" s="12"/>
      <c r="AT3380" s="12"/>
      <c r="AU3380" s="12"/>
      <c r="AV3380" s="12"/>
      <c r="AW3380" s="12"/>
      <c r="AX3380" s="12"/>
      <c r="AY3380" s="12"/>
      <c r="AZ3380" s="12"/>
      <c r="BA3380" s="12"/>
      <c r="BB3380" s="12"/>
      <c r="BC3380" s="12"/>
      <c r="BD3380" s="12"/>
      <c r="BE3380" s="12"/>
      <c r="BF3380" s="12"/>
      <c r="BG3380" s="12"/>
      <c r="BH3380" s="12"/>
      <c r="BI3380" s="12"/>
      <c r="BJ3380" s="12"/>
      <c r="BK3380" s="12"/>
      <c r="BL3380" s="12"/>
      <c r="BM3380" s="12"/>
      <c r="BN3380" s="12"/>
      <c r="BO3380" s="12"/>
      <c r="BP3380" s="12"/>
      <c r="BQ3380" s="12"/>
      <c r="BR3380" s="12"/>
      <c r="BS3380" s="12"/>
      <c r="BT3380" s="12"/>
      <c r="BU3380" s="12"/>
      <c r="BV3380" s="12"/>
      <c r="BW3380" s="12"/>
      <c r="BX3380" s="12"/>
      <c r="BY3380" s="12"/>
      <c r="BZ3380" s="12"/>
      <c r="CA3380" s="12"/>
      <c r="CB3380" s="12"/>
      <c r="CC3380" s="12"/>
      <c r="CD3380" s="12"/>
      <c r="CE3380" s="12"/>
      <c r="CF3380" s="12"/>
      <c r="CG3380" s="12"/>
      <c r="CH3380" s="12"/>
      <c r="CI3380" s="12"/>
      <c r="CJ3380" s="12"/>
      <c r="CK3380" s="12"/>
      <c r="CL3380" s="12"/>
      <c r="CM3380" s="12"/>
      <c r="CN3380" s="12"/>
      <c r="CO3380" s="12"/>
      <c r="CP3380" s="12"/>
      <c r="CQ3380" s="12"/>
      <c r="CR3380" s="12"/>
      <c r="CS3380" s="12"/>
      <c r="CT3380" s="12"/>
      <c r="CU3380" s="12"/>
      <c r="CV3380" s="12"/>
      <c r="CW3380" s="12"/>
      <c r="CX3380" s="12"/>
      <c r="CY3380" s="12"/>
      <c r="CZ3380" s="12"/>
      <c r="DA3380" s="12"/>
      <c r="DB3380" s="12"/>
      <c r="DC3380" s="12"/>
      <c r="DD3380" s="12"/>
      <c r="DE3380" s="12"/>
      <c r="DF3380" s="12"/>
      <c r="DG3380" s="12"/>
      <c r="DH3380" s="12"/>
      <c r="DI3380" s="12"/>
      <c r="DJ3380" s="12"/>
      <c r="DK3380" s="12"/>
      <c r="DL3380" s="12"/>
      <c r="DM3380" s="12"/>
      <c r="DN3380" s="12"/>
      <c r="DO3380" s="12"/>
      <c r="DP3380" s="12"/>
      <c r="DQ3380" s="12"/>
      <c r="DR3380" s="12"/>
      <c r="DS3380" s="12"/>
      <c r="DT3380" s="12"/>
      <c r="DU3380" s="12"/>
      <c r="DV3380" s="12"/>
      <c r="DW3380" s="12"/>
      <c r="DX3380" s="12"/>
      <c r="DY3380" s="12"/>
      <c r="DZ3380" s="12"/>
      <c r="EA3380" s="12"/>
      <c r="EB3380" s="12"/>
      <c r="EC3380" s="12"/>
      <c r="ED3380" s="12"/>
      <c r="EE3380" s="12"/>
      <c r="EF3380" s="12"/>
      <c r="EG3380" s="12"/>
      <c r="EH3380" s="12"/>
      <c r="EI3380" s="12"/>
      <c r="EJ3380" s="12"/>
      <c r="EK3380" s="12"/>
      <c r="EL3380" s="12"/>
      <c r="EM3380" s="12"/>
      <c r="EN3380" s="12"/>
      <c r="EO3380" s="12"/>
      <c r="EP3380" s="12"/>
      <c r="EQ3380" s="12"/>
      <c r="ER3380" s="12"/>
      <c r="ES3380" s="12"/>
      <c r="ET3380" s="12"/>
      <c r="EU3380" s="12"/>
      <c r="EV3380" s="12"/>
      <c r="EW3380" s="12"/>
      <c r="EX3380" s="12"/>
      <c r="EY3380" s="12"/>
      <c r="EZ3380" s="12"/>
      <c r="FA3380" s="12"/>
      <c r="FB3380" s="12"/>
      <c r="FC3380" s="12"/>
      <c r="FD3380" s="12"/>
      <c r="FE3380" s="12"/>
      <c r="FF3380" s="12"/>
      <c r="FG3380" s="12"/>
      <c r="FH3380" s="12"/>
      <c r="FI3380" s="12"/>
      <c r="FJ3380" s="12"/>
      <c r="FK3380" s="12"/>
      <c r="FL3380" s="12"/>
      <c r="FM3380" s="12"/>
      <c r="FN3380" s="12"/>
      <c r="FO3380" s="12"/>
      <c r="FP3380" s="12"/>
      <c r="FQ3380" s="12"/>
      <c r="FR3380" s="12"/>
      <c r="FS3380" s="12"/>
      <c r="FT3380" s="12"/>
      <c r="FU3380" s="12"/>
      <c r="FV3380" s="12"/>
      <c r="FW3380" s="12"/>
      <c r="FX3380" s="12"/>
      <c r="FY3380" s="12"/>
      <c r="FZ3380" s="12"/>
      <c r="GA3380" s="12"/>
      <c r="GB3380" s="12"/>
      <c r="GC3380" s="12"/>
      <c r="GD3380" s="12"/>
      <c r="GE3380" s="12"/>
      <c r="GF3380" s="12"/>
      <c r="GG3380" s="12"/>
      <c r="GH3380" s="12"/>
      <c r="GI3380" s="12"/>
      <c r="GJ3380" s="12"/>
      <c r="GK3380" s="12"/>
      <c r="GL3380" s="12"/>
      <c r="GM3380" s="12"/>
      <c r="GN3380" s="12"/>
      <c r="GO3380" s="12"/>
      <c r="GP3380" s="12"/>
      <c r="GQ3380" s="12"/>
      <c r="GR3380" s="12"/>
      <c r="GS3380" s="12"/>
      <c r="GT3380" s="12"/>
      <c r="GU3380" s="12"/>
      <c r="GV3380" s="12"/>
      <c r="GW3380" s="12"/>
      <c r="GX3380" s="12"/>
      <c r="GY3380" s="12"/>
      <c r="GZ3380" s="12"/>
      <c r="HA3380" s="12"/>
      <c r="HB3380" s="12"/>
      <c r="HC3380" s="12"/>
      <c r="HD3380" s="12"/>
      <c r="HE3380" s="12"/>
      <c r="HF3380" s="12"/>
      <c r="HG3380" s="12"/>
      <c r="HH3380" s="12"/>
      <c r="HI3380" s="12"/>
      <c r="HJ3380" s="12"/>
      <c r="HK3380" s="12"/>
      <c r="HL3380" s="12"/>
      <c r="HM3380" s="12"/>
      <c r="HN3380" s="12"/>
      <c r="HO3380" s="12"/>
      <c r="HP3380" s="12"/>
      <c r="HQ3380" s="12"/>
      <c r="HR3380" s="12"/>
      <c r="HS3380" s="12"/>
      <c r="HT3380" s="12"/>
      <c r="HU3380" s="12"/>
      <c r="HV3380" s="12"/>
      <c r="HW3380" s="12"/>
      <c r="HX3380" s="12"/>
      <c r="HY3380" s="12"/>
      <c r="HZ3380" s="12"/>
      <c r="IA3380" s="12"/>
      <c r="IB3380" s="12"/>
      <c r="IC3380" s="12"/>
      <c r="ID3380" s="12"/>
      <c r="IE3380" s="12"/>
      <c r="IF3380" s="12"/>
      <c r="IG3380" s="12"/>
      <c r="IH3380" s="12"/>
      <c r="II3380" s="12"/>
      <c r="IJ3380" s="12"/>
      <c r="IK3380" s="12"/>
      <c r="IL3380" s="12"/>
      <c r="IM3380" s="12"/>
      <c r="IN3380" s="12"/>
      <c r="IO3380" s="12"/>
      <c r="IP3380" s="12"/>
      <c r="IQ3380" s="12"/>
      <c r="IR3380" s="12"/>
      <c r="IS3380" s="12"/>
      <c r="IT3380" s="12"/>
      <c r="IU3380" s="12"/>
      <c r="IV3380" s="12"/>
      <c r="IW3380" s="12"/>
      <c r="IX3380" s="12"/>
      <c r="IY3380" s="12"/>
      <c r="IZ3380" s="12"/>
      <c r="JA3380" s="12"/>
      <c r="JB3380" s="12"/>
      <c r="JC3380" s="12"/>
      <c r="JD3380" s="12"/>
      <c r="JE3380" s="12"/>
      <c r="JF3380" s="12"/>
      <c r="JG3380" s="12"/>
      <c r="JH3380" s="12"/>
      <c r="JI3380" s="12"/>
      <c r="JJ3380" s="12"/>
      <c r="JK3380" s="12"/>
      <c r="JL3380" s="12"/>
      <c r="JM3380" s="12"/>
      <c r="JN3380" s="12"/>
      <c r="JO3380" s="12"/>
      <c r="JP3380" s="12"/>
      <c r="JQ3380" s="12"/>
      <c r="JR3380" s="12"/>
      <c r="JS3380" s="12"/>
      <c r="JT3380" s="12"/>
      <c r="JU3380" s="12"/>
      <c r="JV3380" s="12"/>
      <c r="JW3380" s="12"/>
      <c r="JX3380" s="12"/>
      <c r="JY3380" s="12"/>
      <c r="JZ3380" s="12"/>
      <c r="KA3380" s="12"/>
      <c r="KB3380" s="12"/>
      <c r="KC3380" s="12"/>
      <c r="KD3380" s="12"/>
      <c r="KE3380" s="12"/>
      <c r="KF3380" s="12"/>
      <c r="KG3380" s="12"/>
      <c r="KH3380" s="12"/>
      <c r="KI3380" s="12"/>
      <c r="KJ3380" s="12"/>
      <c r="KK3380" s="12"/>
      <c r="KL3380" s="12"/>
      <c r="KM3380" s="12"/>
      <c r="KN3380" s="12"/>
      <c r="KO3380" s="12"/>
      <c r="KP3380" s="12"/>
      <c r="KQ3380" s="12"/>
      <c r="KR3380" s="12"/>
      <c r="KS3380" s="12"/>
      <c r="KT3380" s="12"/>
      <c r="KU3380" s="12"/>
      <c r="KV3380" s="12"/>
      <c r="KW3380" s="12"/>
      <c r="KX3380" s="12"/>
      <c r="KY3380" s="12"/>
      <c r="KZ3380" s="12"/>
      <c r="LA3380" s="12"/>
      <c r="LB3380" s="12"/>
      <c r="LC3380" s="12"/>
      <c r="LD3380" s="12"/>
      <c r="LE3380" s="12"/>
      <c r="LF3380" s="12"/>
      <c r="LG3380" s="12"/>
      <c r="LH3380" s="12"/>
      <c r="LI3380" s="12"/>
      <c r="LJ3380" s="12"/>
      <c r="LK3380" s="12"/>
      <c r="LL3380" s="12"/>
      <c r="LM3380" s="12"/>
      <c r="LN3380" s="12"/>
      <c r="LO3380" s="12"/>
      <c r="LP3380" s="12"/>
      <c r="LQ3380" s="12"/>
      <c r="LR3380" s="12"/>
      <c r="LS3380" s="12"/>
      <c r="LT3380" s="12"/>
      <c r="LU3380" s="12"/>
      <c r="LV3380" s="12"/>
      <c r="LW3380" s="12"/>
      <c r="LX3380" s="12"/>
      <c r="LY3380" s="12"/>
      <c r="LZ3380" s="12"/>
      <c r="MA3380" s="12"/>
      <c r="MB3380" s="12"/>
      <c r="MC3380" s="12"/>
      <c r="MD3380" s="12"/>
      <c r="ME3380" s="12"/>
      <c r="MF3380" s="12"/>
      <c r="MG3380" s="12"/>
      <c r="MH3380" s="12"/>
      <c r="MI3380" s="12"/>
      <c r="MJ3380" s="12"/>
      <c r="MK3380" s="12"/>
      <c r="ML3380" s="12"/>
      <c r="MM3380" s="12"/>
      <c r="MN3380" s="12"/>
      <c r="MO3380" s="12"/>
      <c r="MP3380" s="12"/>
      <c r="MQ3380" s="12"/>
      <c r="MR3380" s="12"/>
      <c r="MS3380" s="12"/>
      <c r="MT3380" s="12"/>
      <c r="MU3380" s="12"/>
      <c r="MV3380" s="12"/>
      <c r="MW3380" s="12"/>
      <c r="MX3380" s="12"/>
      <c r="MY3380" s="12"/>
      <c r="MZ3380" s="12"/>
      <c r="NA3380" s="12"/>
      <c r="NB3380" s="12"/>
      <c r="NC3380" s="12"/>
      <c r="ND3380" s="12"/>
      <c r="NE3380" s="12"/>
      <c r="NF3380" s="12"/>
      <c r="NG3380" s="12"/>
      <c r="NH3380" s="12"/>
      <c r="NI3380" s="12"/>
      <c r="NJ3380" s="12"/>
      <c r="NK3380" s="12"/>
      <c r="NL3380" s="12"/>
      <c r="NM3380" s="12"/>
      <c r="NN3380" s="12"/>
      <c r="NO3380" s="12"/>
      <c r="NP3380" s="12"/>
      <c r="NQ3380" s="12"/>
      <c r="NR3380" s="12"/>
      <c r="NS3380" s="12"/>
      <c r="NT3380" s="12"/>
      <c r="NU3380" s="12"/>
      <c r="NV3380" s="12"/>
      <c r="NW3380" s="12"/>
      <c r="NX3380" s="12"/>
      <c r="NY3380" s="12"/>
      <c r="NZ3380" s="12"/>
      <c r="OA3380" s="12"/>
      <c r="OB3380" s="12"/>
      <c r="OC3380" s="12"/>
      <c r="OD3380" s="12"/>
      <c r="OE3380" s="12"/>
      <c r="OF3380" s="12"/>
      <c r="OG3380" s="12"/>
      <c r="OH3380" s="12"/>
      <c r="OI3380" s="12"/>
      <c r="OJ3380" s="12"/>
      <c r="OK3380" s="12"/>
      <c r="OL3380" s="12"/>
      <c r="OM3380" s="12"/>
      <c r="ON3380" s="12"/>
      <c r="OO3380" s="12"/>
      <c r="OP3380" s="12"/>
      <c r="OQ3380" s="12"/>
      <c r="OR3380" s="12"/>
      <c r="OS3380" s="12"/>
      <c r="OT3380" s="12"/>
      <c r="OU3380" s="12"/>
      <c r="OV3380" s="12"/>
      <c r="OW3380" s="12"/>
      <c r="OX3380" s="12"/>
      <c r="OY3380" s="12"/>
      <c r="OZ3380" s="12"/>
      <c r="PA3380" s="12"/>
      <c r="PB3380" s="12"/>
      <c r="PC3380" s="12"/>
      <c r="PD3380" s="12"/>
      <c r="PE3380" s="12"/>
      <c r="PF3380" s="12"/>
      <c r="PG3380" s="12"/>
      <c r="PH3380" s="12"/>
      <c r="PI3380" s="12"/>
      <c r="PJ3380" s="12"/>
      <c r="PK3380" s="12"/>
      <c r="PL3380" s="12"/>
      <c r="PM3380" s="12"/>
      <c r="PN3380" s="12"/>
      <c r="PO3380" s="12"/>
      <c r="PP3380" s="12"/>
      <c r="PQ3380" s="12"/>
      <c r="PR3380" s="12"/>
      <c r="PS3380" s="12"/>
      <c r="PT3380" s="12"/>
      <c r="PU3380" s="12"/>
      <c r="PV3380" s="12"/>
      <c r="PW3380" s="12"/>
      <c r="PX3380" s="12"/>
      <c r="PY3380" s="12"/>
      <c r="PZ3380" s="12"/>
      <c r="QA3380" s="12"/>
      <c r="QB3380" s="12"/>
      <c r="QC3380" s="12"/>
      <c r="QD3380" s="12"/>
      <c r="QE3380" s="12"/>
      <c r="QF3380" s="12"/>
      <c r="QG3380" s="12"/>
      <c r="QH3380" s="12"/>
      <c r="QI3380" s="12"/>
      <c r="QJ3380" s="12"/>
      <c r="QK3380" s="12"/>
      <c r="QL3380" s="12"/>
      <c r="QM3380" s="12"/>
      <c r="QN3380" s="12"/>
      <c r="QO3380" s="12"/>
      <c r="QP3380" s="12"/>
      <c r="QQ3380" s="12"/>
      <c r="QR3380" s="12"/>
      <c r="QS3380" s="12"/>
      <c r="QT3380" s="12"/>
      <c r="QU3380" s="12"/>
      <c r="QV3380" s="12"/>
      <c r="QW3380" s="12"/>
      <c r="QX3380" s="12"/>
      <c r="QY3380" s="12"/>
      <c r="QZ3380" s="12"/>
      <c r="RA3380" s="12"/>
      <c r="RB3380" s="12"/>
      <c r="RC3380" s="12"/>
      <c r="RD3380" s="12"/>
      <c r="RE3380" s="12"/>
      <c r="RF3380" s="12"/>
      <c r="RG3380" s="12"/>
      <c r="RH3380" s="12"/>
      <c r="RI3380" s="12"/>
      <c r="RJ3380" s="12"/>
      <c r="RK3380" s="12"/>
      <c r="RL3380" s="12"/>
      <c r="RM3380" s="12"/>
      <c r="RN3380" s="12"/>
      <c r="RO3380" s="12"/>
      <c r="RP3380" s="12"/>
      <c r="RQ3380" s="12"/>
      <c r="RR3380" s="12"/>
      <c r="RS3380" s="12"/>
      <c r="RT3380" s="12"/>
      <c r="RU3380" s="12"/>
      <c r="RV3380" s="12"/>
      <c r="RW3380" s="12"/>
      <c r="RX3380" s="12"/>
      <c r="RY3380" s="12"/>
      <c r="RZ3380" s="12"/>
      <c r="SA3380" s="12"/>
      <c r="SB3380" s="12"/>
      <c r="SC3380" s="12"/>
      <c r="SD3380" s="12"/>
      <c r="SE3380" s="12"/>
      <c r="SF3380" s="12"/>
      <c r="SG3380" s="12"/>
      <c r="SH3380" s="12"/>
      <c r="SI3380" s="12"/>
      <c r="SJ3380" s="12"/>
      <c r="SK3380" s="12"/>
      <c r="SL3380" s="12"/>
      <c r="SM3380" s="12"/>
      <c r="SN3380" s="12"/>
      <c r="SO3380" s="12"/>
      <c r="SP3380" s="12"/>
      <c r="SQ3380" s="12"/>
      <c r="SR3380" s="12"/>
      <c r="SS3380" s="12"/>
      <c r="ST3380" s="12"/>
      <c r="SU3380" s="12"/>
      <c r="SV3380" s="12"/>
      <c r="SW3380" s="12"/>
      <c r="SX3380" s="12"/>
      <c r="SY3380" s="12"/>
      <c r="SZ3380" s="12"/>
      <c r="TA3380" s="12"/>
      <c r="TB3380" s="12"/>
      <c r="TC3380" s="12"/>
      <c r="TD3380" s="12"/>
      <c r="TE3380" s="12"/>
      <c r="TF3380" s="12"/>
      <c r="TG3380" s="12"/>
      <c r="TH3380" s="12"/>
      <c r="TI3380" s="12"/>
      <c r="TJ3380" s="12"/>
      <c r="TK3380" s="12"/>
      <c r="TL3380" s="12"/>
      <c r="TM3380" s="12"/>
      <c r="TN3380" s="12"/>
      <c r="TO3380" s="12"/>
      <c r="TP3380" s="12"/>
      <c r="TQ3380" s="12"/>
      <c r="TR3380" s="12"/>
      <c r="TS3380" s="12"/>
      <c r="TT3380" s="12"/>
      <c r="TU3380" s="12"/>
      <c r="TV3380" s="12"/>
      <c r="TW3380" s="12"/>
      <c r="TX3380" s="12"/>
      <c r="TY3380" s="12"/>
      <c r="TZ3380" s="12"/>
      <c r="UA3380" s="12"/>
      <c r="UB3380" s="12"/>
      <c r="UC3380" s="12"/>
      <c r="UD3380" s="12"/>
      <c r="UE3380" s="12"/>
      <c r="UF3380" s="12"/>
      <c r="UG3380" s="12"/>
      <c r="UH3380" s="12"/>
      <c r="UI3380" s="12"/>
      <c r="UJ3380" s="12"/>
      <c r="UK3380" s="12"/>
      <c r="UL3380" s="12"/>
      <c r="UM3380" s="12"/>
      <c r="UN3380" s="12"/>
      <c r="UO3380" s="12"/>
      <c r="UP3380" s="12"/>
      <c r="UQ3380" s="12"/>
      <c r="UR3380" s="12"/>
      <c r="US3380" s="12"/>
      <c r="UT3380" s="12"/>
      <c r="UU3380" s="12"/>
      <c r="UV3380" s="12"/>
      <c r="UW3380" s="12"/>
      <c r="UX3380" s="12"/>
      <c r="UY3380" s="12"/>
      <c r="UZ3380" s="12"/>
      <c r="VA3380" s="12"/>
      <c r="VB3380" s="12"/>
      <c r="VC3380" s="12"/>
      <c r="VD3380" s="12"/>
      <c r="VE3380" s="12"/>
      <c r="VF3380" s="12"/>
      <c r="VG3380" s="12"/>
      <c r="VH3380" s="12"/>
      <c r="VI3380" s="12"/>
      <c r="VJ3380" s="12"/>
      <c r="VK3380" s="12"/>
      <c r="VL3380" s="12"/>
      <c r="VM3380" s="12"/>
      <c r="VN3380" s="12"/>
      <c r="VO3380" s="12"/>
      <c r="VP3380" s="12"/>
      <c r="VQ3380" s="12"/>
      <c r="VR3380" s="12"/>
      <c r="VS3380" s="12"/>
      <c r="VT3380" s="12"/>
      <c r="VU3380" s="12"/>
      <c r="VV3380" s="12"/>
      <c r="VW3380" s="12"/>
      <c r="VX3380" s="12"/>
      <c r="VY3380" s="12"/>
      <c r="VZ3380" s="12"/>
      <c r="WA3380" s="12"/>
      <c r="WB3380" s="12"/>
      <c r="WC3380" s="12"/>
      <c r="WD3380" s="12"/>
      <c r="WE3380" s="12"/>
      <c r="WF3380" s="12"/>
      <c r="WG3380" s="12"/>
      <c r="WH3380" s="12"/>
      <c r="WI3380" s="12"/>
      <c r="WJ3380" s="12"/>
      <c r="WK3380" s="12"/>
      <c r="WL3380" s="12"/>
      <c r="WM3380" s="12"/>
      <c r="WN3380" s="12"/>
      <c r="WO3380" s="12"/>
      <c r="WP3380" s="12"/>
      <c r="WQ3380" s="12"/>
      <c r="WR3380" s="12"/>
      <c r="WS3380" s="12"/>
      <c r="WT3380" s="12"/>
      <c r="WU3380" s="12"/>
      <c r="WV3380" s="12"/>
      <c r="WW3380" s="12"/>
      <c r="WX3380" s="12"/>
      <c r="WY3380" s="12"/>
      <c r="WZ3380" s="12"/>
      <c r="XA3380" s="12"/>
      <c r="XB3380" s="12"/>
      <c r="XC3380" s="12"/>
      <c r="XD3380" s="12"/>
      <c r="XE3380" s="12"/>
      <c r="XF3380" s="12"/>
      <c r="XG3380" s="12"/>
      <c r="XH3380" s="12"/>
      <c r="XI3380" s="12"/>
      <c r="XJ3380" s="12"/>
      <c r="XK3380" s="12"/>
      <c r="XL3380" s="12"/>
      <c r="XM3380" s="12"/>
      <c r="XN3380" s="12"/>
      <c r="XO3380" s="12"/>
      <c r="XP3380" s="12"/>
      <c r="XQ3380" s="12"/>
      <c r="XR3380" s="12"/>
      <c r="XS3380" s="12"/>
      <c r="XT3380" s="12"/>
      <c r="XU3380" s="12"/>
      <c r="XV3380" s="12"/>
      <c r="XW3380" s="12"/>
      <c r="XX3380" s="12"/>
      <c r="XY3380" s="12"/>
      <c r="XZ3380" s="12"/>
      <c r="YA3380" s="12"/>
      <c r="YB3380" s="12"/>
      <c r="YC3380" s="12"/>
      <c r="YD3380" s="12"/>
      <c r="YE3380" s="12"/>
      <c r="YF3380" s="12"/>
      <c r="YG3380" s="12"/>
      <c r="YH3380" s="12"/>
      <c r="YI3380" s="12"/>
      <c r="YJ3380" s="12"/>
      <c r="YK3380" s="12"/>
      <c r="YL3380" s="12"/>
      <c r="YM3380" s="12"/>
      <c r="YN3380" s="12"/>
      <c r="YO3380" s="12"/>
      <c r="YP3380" s="12"/>
      <c r="YQ3380" s="12"/>
      <c r="YR3380" s="12"/>
      <c r="YS3380" s="12"/>
      <c r="YT3380" s="12"/>
      <c r="YU3380" s="12"/>
      <c r="YV3380" s="12"/>
      <c r="YW3380" s="12"/>
      <c r="YX3380" s="12"/>
      <c r="YY3380" s="12"/>
      <c r="YZ3380" s="12"/>
      <c r="ZA3380" s="12"/>
      <c r="ZB3380" s="12"/>
      <c r="ZC3380" s="12"/>
      <c r="ZD3380" s="12"/>
      <c r="ZE3380" s="12"/>
      <c r="ZF3380" s="12"/>
      <c r="ZG3380" s="12"/>
      <c r="ZH3380" s="12"/>
      <c r="ZI3380" s="12"/>
      <c r="ZJ3380" s="12"/>
      <c r="ZK3380" s="12"/>
      <c r="ZL3380" s="12"/>
      <c r="ZM3380" s="12"/>
      <c r="ZN3380" s="12"/>
      <c r="ZO3380" s="12"/>
      <c r="ZP3380" s="12"/>
      <c r="ZQ3380" s="12"/>
      <c r="ZR3380" s="12"/>
      <c r="ZS3380" s="12"/>
      <c r="ZT3380" s="12"/>
      <c r="ZU3380" s="12"/>
      <c r="ZV3380" s="12"/>
      <c r="ZW3380" s="12"/>
      <c r="ZX3380" s="12"/>
    </row>
    <row r="3381" spans="1:700" s="45" customFormat="1" ht="14.4" hidden="1">
      <c r="A3381" s="53">
        <f>IF(C3381="","",MAX($A$1:A3380)+1)</f>
        <v>3099</v>
      </c>
      <c r="B3381" s="36" t="s">
        <v>141</v>
      </c>
      <c r="C3381" s="23">
        <v>46109</v>
      </c>
      <c r="D3381" s="28" t="str">
        <f>_xlfn.XLOOKUP(Table134526_79101120212223242526[[#This Row],[Name Surname]],Manpower!$C$4:$C$1048576,Manpower!$B$4:$B$1048576,"")</f>
        <v>Encogroup</v>
      </c>
      <c r="E3381" s="21" t="s">
        <v>208</v>
      </c>
      <c r="F3381" s="12">
        <f>_xlfn.XLOOKUP(Table134526_79101120212223242526[[#This Row],[Name Surname]],Manpower!C:C,Manpower!D:D,)</f>
        <v>140683399</v>
      </c>
      <c r="G3381" s="28" t="str">
        <f>_xlfn.XLOOKUP(Table134526_79101120212223242526[[#This Row],[Name Surname]],Manpower!$C$4:$C$1048576,Manpower!$F$4:$F$1048576,"")</f>
        <v>Rigger</v>
      </c>
      <c r="H3381" s="28" t="str">
        <f>_xlfn.XLOOKUP(Table134526_79101120212223242526[[#This Row],[Name Surname]],Manpower!$C$4:$C$1048576,Manpower!$H$4:$H$1048576,"")</f>
        <v>Manpower</v>
      </c>
      <c r="I3381" s="28" t="str">
        <f>_xlfn.XLOOKUP(Table134526_79101120212223242526[[#This Row],[Name Surname]],Manpower!$C$4:$C$1048576,Manpower!$H$4:$H$1048576,"")</f>
        <v>Manpower</v>
      </c>
      <c r="J3381" s="21" t="s">
        <v>143</v>
      </c>
      <c r="K3381" s="21" t="s">
        <v>26</v>
      </c>
      <c r="L3381" s="21" t="s">
        <v>144</v>
      </c>
      <c r="M3381" s="21" t="s">
        <v>55</v>
      </c>
      <c r="N3381" s="29">
        <v>10</v>
      </c>
      <c r="O3381" s="21"/>
      <c r="P3381" s="21"/>
      <c r="Q3381" s="21"/>
      <c r="R3381" s="21" t="s">
        <v>420</v>
      </c>
      <c r="S3381" s="21"/>
      <c r="T3381" s="12"/>
      <c r="U3381" s="12"/>
      <c r="V3381" s="12"/>
      <c r="W3381" s="12"/>
      <c r="X3381" s="12"/>
      <c r="Y3381" s="12"/>
      <c r="Z3381" s="12"/>
      <c r="AA3381" s="12"/>
      <c r="AB3381" s="12"/>
      <c r="AC3381" s="12"/>
      <c r="AD3381" s="12"/>
      <c r="AE3381" s="12"/>
      <c r="AF3381" s="12"/>
      <c r="AG3381" s="12"/>
      <c r="AH3381" s="12"/>
      <c r="AI3381" s="12"/>
      <c r="AJ3381" s="12"/>
      <c r="AK3381" s="12"/>
      <c r="AL3381" s="12"/>
      <c r="AM3381" s="12"/>
      <c r="AN3381" s="12"/>
      <c r="AO3381" s="12"/>
      <c r="AP3381" s="12"/>
      <c r="AQ3381" s="12"/>
      <c r="AR3381" s="12"/>
      <c r="AS3381" s="12"/>
      <c r="AT3381" s="12"/>
      <c r="AU3381" s="12"/>
      <c r="AV3381" s="12"/>
      <c r="AW3381" s="12"/>
      <c r="AX3381" s="12"/>
      <c r="AY3381" s="12"/>
      <c r="AZ3381" s="12"/>
      <c r="BA3381" s="12"/>
      <c r="BB3381" s="12"/>
      <c r="BC3381" s="12"/>
      <c r="BD3381" s="12"/>
      <c r="BE3381" s="12"/>
      <c r="BF3381" s="12"/>
      <c r="BG3381" s="12"/>
      <c r="BH3381" s="12"/>
      <c r="BI3381" s="12"/>
      <c r="BJ3381" s="12"/>
      <c r="BK3381" s="12"/>
      <c r="BL3381" s="12"/>
      <c r="BM3381" s="12"/>
      <c r="BN3381" s="12"/>
      <c r="BO3381" s="12"/>
      <c r="BP3381" s="12"/>
      <c r="BQ3381" s="12"/>
      <c r="BR3381" s="12"/>
      <c r="BS3381" s="12"/>
      <c r="BT3381" s="12"/>
      <c r="BU3381" s="12"/>
      <c r="BV3381" s="12"/>
      <c r="BW3381" s="12"/>
      <c r="BX3381" s="12"/>
      <c r="BY3381" s="12"/>
      <c r="BZ3381" s="12"/>
      <c r="CA3381" s="12"/>
      <c r="CB3381" s="12"/>
      <c r="CC3381" s="12"/>
      <c r="CD3381" s="12"/>
      <c r="CE3381" s="12"/>
      <c r="CF3381" s="12"/>
      <c r="CG3381" s="12"/>
      <c r="CH3381" s="12"/>
      <c r="CI3381" s="12"/>
      <c r="CJ3381" s="12"/>
      <c r="CK3381" s="12"/>
      <c r="CL3381" s="12"/>
      <c r="CM3381" s="12"/>
      <c r="CN3381" s="12"/>
      <c r="CO3381" s="12"/>
      <c r="CP3381" s="12"/>
      <c r="CQ3381" s="12"/>
      <c r="CR3381" s="12"/>
      <c r="CS3381" s="12"/>
      <c r="CT3381" s="12"/>
      <c r="CU3381" s="12"/>
      <c r="CV3381" s="12"/>
      <c r="CW3381" s="12"/>
      <c r="CX3381" s="12"/>
      <c r="CY3381" s="12"/>
      <c r="CZ3381" s="12"/>
      <c r="DA3381" s="12"/>
      <c r="DB3381" s="12"/>
      <c r="DC3381" s="12"/>
      <c r="DD3381" s="12"/>
      <c r="DE3381" s="12"/>
      <c r="DF3381" s="12"/>
      <c r="DG3381" s="12"/>
      <c r="DH3381" s="12"/>
      <c r="DI3381" s="12"/>
      <c r="DJ3381" s="12"/>
      <c r="DK3381" s="12"/>
      <c r="DL3381" s="12"/>
      <c r="DM3381" s="12"/>
      <c r="DN3381" s="12"/>
      <c r="DO3381" s="12"/>
      <c r="DP3381" s="12"/>
      <c r="DQ3381" s="12"/>
      <c r="DR3381" s="12"/>
      <c r="DS3381" s="12"/>
      <c r="DT3381" s="12"/>
      <c r="DU3381" s="12"/>
      <c r="DV3381" s="12"/>
      <c r="DW3381" s="12"/>
      <c r="DX3381" s="12"/>
      <c r="DY3381" s="12"/>
      <c r="DZ3381" s="12"/>
      <c r="EA3381" s="12"/>
      <c r="EB3381" s="12"/>
      <c r="EC3381" s="12"/>
      <c r="ED3381" s="12"/>
      <c r="EE3381" s="12"/>
      <c r="EF3381" s="12"/>
      <c r="EG3381" s="12"/>
      <c r="EH3381" s="12"/>
      <c r="EI3381" s="12"/>
      <c r="EJ3381" s="12"/>
      <c r="EK3381" s="12"/>
      <c r="EL3381" s="12"/>
      <c r="EM3381" s="12"/>
      <c r="EN3381" s="12"/>
      <c r="EO3381" s="12"/>
      <c r="EP3381" s="12"/>
      <c r="EQ3381" s="12"/>
      <c r="ER3381" s="12"/>
      <c r="ES3381" s="12"/>
      <c r="ET3381" s="12"/>
      <c r="EU3381" s="12"/>
      <c r="EV3381" s="12"/>
      <c r="EW3381" s="12"/>
      <c r="EX3381" s="12"/>
      <c r="EY3381" s="12"/>
      <c r="EZ3381" s="12"/>
      <c r="FA3381" s="12"/>
      <c r="FB3381" s="12"/>
      <c r="FC3381" s="12"/>
      <c r="FD3381" s="12"/>
      <c r="FE3381" s="12"/>
      <c r="FF3381" s="12"/>
      <c r="FG3381" s="12"/>
      <c r="FH3381" s="12"/>
      <c r="FI3381" s="12"/>
      <c r="FJ3381" s="12"/>
      <c r="FK3381" s="12"/>
      <c r="FL3381" s="12"/>
      <c r="FM3381" s="12"/>
      <c r="FN3381" s="12"/>
      <c r="FO3381" s="12"/>
      <c r="FP3381" s="12"/>
      <c r="FQ3381" s="12"/>
      <c r="FR3381" s="12"/>
      <c r="FS3381" s="12"/>
      <c r="FT3381" s="12"/>
      <c r="FU3381" s="12"/>
      <c r="FV3381" s="12"/>
      <c r="FW3381" s="12"/>
      <c r="FX3381" s="12"/>
      <c r="FY3381" s="12"/>
      <c r="FZ3381" s="12"/>
      <c r="GA3381" s="12"/>
      <c r="GB3381" s="12"/>
      <c r="GC3381" s="12"/>
      <c r="GD3381" s="12"/>
      <c r="GE3381" s="12"/>
      <c r="GF3381" s="12"/>
      <c r="GG3381" s="12"/>
      <c r="GH3381" s="12"/>
      <c r="GI3381" s="12"/>
      <c r="GJ3381" s="12"/>
      <c r="GK3381" s="12"/>
      <c r="GL3381" s="12"/>
      <c r="GM3381" s="12"/>
      <c r="GN3381" s="12"/>
      <c r="GO3381" s="12"/>
      <c r="GP3381" s="12"/>
      <c r="GQ3381" s="12"/>
      <c r="GR3381" s="12"/>
      <c r="GS3381" s="12"/>
      <c r="GT3381" s="12"/>
      <c r="GU3381" s="12"/>
      <c r="GV3381" s="12"/>
      <c r="GW3381" s="12"/>
      <c r="GX3381" s="12"/>
      <c r="GY3381" s="12"/>
      <c r="GZ3381" s="12"/>
      <c r="HA3381" s="12"/>
      <c r="HB3381" s="12"/>
      <c r="HC3381" s="12"/>
      <c r="HD3381" s="12"/>
      <c r="HE3381" s="12"/>
      <c r="HF3381" s="12"/>
      <c r="HG3381" s="12"/>
      <c r="HH3381" s="12"/>
      <c r="HI3381" s="12"/>
      <c r="HJ3381" s="12"/>
      <c r="HK3381" s="12"/>
      <c r="HL3381" s="12"/>
      <c r="HM3381" s="12"/>
      <c r="HN3381" s="12"/>
      <c r="HO3381" s="12"/>
      <c r="HP3381" s="12"/>
      <c r="HQ3381" s="12"/>
      <c r="HR3381" s="12"/>
      <c r="HS3381" s="12"/>
      <c r="HT3381" s="12"/>
      <c r="HU3381" s="12"/>
      <c r="HV3381" s="12"/>
      <c r="HW3381" s="12"/>
      <c r="HX3381" s="12"/>
      <c r="HY3381" s="12"/>
      <c r="HZ3381" s="12"/>
      <c r="IA3381" s="12"/>
      <c r="IB3381" s="12"/>
      <c r="IC3381" s="12"/>
      <c r="ID3381" s="12"/>
      <c r="IE3381" s="12"/>
      <c r="IF3381" s="12"/>
      <c r="IG3381" s="12"/>
      <c r="IH3381" s="12"/>
      <c r="II3381" s="12"/>
      <c r="IJ3381" s="12"/>
      <c r="IK3381" s="12"/>
      <c r="IL3381" s="12"/>
      <c r="IM3381" s="12"/>
      <c r="IN3381" s="12"/>
      <c r="IO3381" s="12"/>
      <c r="IP3381" s="12"/>
      <c r="IQ3381" s="12"/>
      <c r="IR3381" s="12"/>
      <c r="IS3381" s="12"/>
      <c r="IT3381" s="12"/>
      <c r="IU3381" s="12"/>
      <c r="IV3381" s="12"/>
      <c r="IW3381" s="12"/>
      <c r="IX3381" s="12"/>
      <c r="IY3381" s="12"/>
      <c r="IZ3381" s="12"/>
      <c r="JA3381" s="12"/>
      <c r="JB3381" s="12"/>
      <c r="JC3381" s="12"/>
      <c r="JD3381" s="12"/>
      <c r="JE3381" s="12"/>
      <c r="JF3381" s="12"/>
      <c r="JG3381" s="12"/>
      <c r="JH3381" s="12"/>
      <c r="JI3381" s="12"/>
      <c r="JJ3381" s="12"/>
      <c r="JK3381" s="12"/>
      <c r="JL3381" s="12"/>
      <c r="JM3381" s="12"/>
      <c r="JN3381" s="12"/>
      <c r="JO3381" s="12"/>
      <c r="JP3381" s="12"/>
      <c r="JQ3381" s="12"/>
      <c r="JR3381" s="12"/>
      <c r="JS3381" s="12"/>
      <c r="JT3381" s="12"/>
      <c r="JU3381" s="12"/>
      <c r="JV3381" s="12"/>
      <c r="JW3381" s="12"/>
      <c r="JX3381" s="12"/>
      <c r="JY3381" s="12"/>
      <c r="JZ3381" s="12"/>
      <c r="KA3381" s="12"/>
      <c r="KB3381" s="12"/>
      <c r="KC3381" s="12"/>
      <c r="KD3381" s="12"/>
      <c r="KE3381" s="12"/>
      <c r="KF3381" s="12"/>
      <c r="KG3381" s="12"/>
      <c r="KH3381" s="12"/>
      <c r="KI3381" s="12"/>
      <c r="KJ3381" s="12"/>
      <c r="KK3381" s="12"/>
      <c r="KL3381" s="12"/>
      <c r="KM3381" s="12"/>
      <c r="KN3381" s="12"/>
      <c r="KO3381" s="12"/>
      <c r="KP3381" s="12"/>
      <c r="KQ3381" s="12"/>
      <c r="KR3381" s="12"/>
      <c r="KS3381" s="12"/>
      <c r="KT3381" s="12"/>
      <c r="KU3381" s="12"/>
      <c r="KV3381" s="12"/>
      <c r="KW3381" s="12"/>
      <c r="KX3381" s="12"/>
      <c r="KY3381" s="12"/>
      <c r="KZ3381" s="12"/>
      <c r="LA3381" s="12"/>
      <c r="LB3381" s="12"/>
      <c r="LC3381" s="12"/>
      <c r="LD3381" s="12"/>
      <c r="LE3381" s="12"/>
      <c r="LF3381" s="12"/>
      <c r="LG3381" s="12"/>
      <c r="LH3381" s="12"/>
      <c r="LI3381" s="12"/>
      <c r="LJ3381" s="12"/>
      <c r="LK3381" s="12"/>
      <c r="LL3381" s="12"/>
      <c r="LM3381" s="12"/>
      <c r="LN3381" s="12"/>
      <c r="LO3381" s="12"/>
      <c r="LP3381" s="12"/>
      <c r="LQ3381" s="12"/>
      <c r="LR3381" s="12"/>
      <c r="LS3381" s="12"/>
      <c r="LT3381" s="12"/>
      <c r="LU3381" s="12"/>
      <c r="LV3381" s="12"/>
      <c r="LW3381" s="12"/>
      <c r="LX3381" s="12"/>
      <c r="LY3381" s="12"/>
      <c r="LZ3381" s="12"/>
      <c r="MA3381" s="12"/>
      <c r="MB3381" s="12"/>
      <c r="MC3381" s="12"/>
      <c r="MD3381" s="12"/>
      <c r="ME3381" s="12"/>
      <c r="MF3381" s="12"/>
      <c r="MG3381" s="12"/>
      <c r="MH3381" s="12"/>
      <c r="MI3381" s="12"/>
      <c r="MJ3381" s="12"/>
      <c r="MK3381" s="12"/>
      <c r="ML3381" s="12"/>
      <c r="MM3381" s="12"/>
      <c r="MN3381" s="12"/>
      <c r="MO3381" s="12"/>
      <c r="MP3381" s="12"/>
      <c r="MQ3381" s="12"/>
      <c r="MR3381" s="12"/>
      <c r="MS3381" s="12"/>
      <c r="MT3381" s="12"/>
      <c r="MU3381" s="12"/>
      <c r="MV3381" s="12"/>
      <c r="MW3381" s="12"/>
      <c r="MX3381" s="12"/>
      <c r="MY3381" s="12"/>
      <c r="MZ3381" s="12"/>
      <c r="NA3381" s="12"/>
      <c r="NB3381" s="12"/>
      <c r="NC3381" s="12"/>
      <c r="ND3381" s="12"/>
      <c r="NE3381" s="12"/>
      <c r="NF3381" s="12"/>
      <c r="NG3381" s="12"/>
      <c r="NH3381" s="12"/>
      <c r="NI3381" s="12"/>
      <c r="NJ3381" s="12"/>
      <c r="NK3381" s="12"/>
      <c r="NL3381" s="12"/>
      <c r="NM3381" s="12"/>
      <c r="NN3381" s="12"/>
      <c r="NO3381" s="12"/>
      <c r="NP3381" s="12"/>
      <c r="NQ3381" s="12"/>
      <c r="NR3381" s="12"/>
      <c r="NS3381" s="12"/>
      <c r="NT3381" s="12"/>
      <c r="NU3381" s="12"/>
      <c r="NV3381" s="12"/>
      <c r="NW3381" s="12"/>
      <c r="NX3381" s="12"/>
      <c r="NY3381" s="12"/>
      <c r="NZ3381" s="12"/>
      <c r="OA3381" s="12"/>
      <c r="OB3381" s="12"/>
      <c r="OC3381" s="12"/>
      <c r="OD3381" s="12"/>
      <c r="OE3381" s="12"/>
      <c r="OF3381" s="12"/>
      <c r="OG3381" s="12"/>
      <c r="OH3381" s="12"/>
      <c r="OI3381" s="12"/>
      <c r="OJ3381" s="12"/>
      <c r="OK3381" s="12"/>
      <c r="OL3381" s="12"/>
      <c r="OM3381" s="12"/>
      <c r="ON3381" s="12"/>
      <c r="OO3381" s="12"/>
      <c r="OP3381" s="12"/>
      <c r="OQ3381" s="12"/>
      <c r="OR3381" s="12"/>
      <c r="OS3381" s="12"/>
      <c r="OT3381" s="12"/>
      <c r="OU3381" s="12"/>
      <c r="OV3381" s="12"/>
      <c r="OW3381" s="12"/>
      <c r="OX3381" s="12"/>
      <c r="OY3381" s="12"/>
      <c r="OZ3381" s="12"/>
      <c r="PA3381" s="12"/>
      <c r="PB3381" s="12"/>
      <c r="PC3381" s="12"/>
      <c r="PD3381" s="12"/>
      <c r="PE3381" s="12"/>
      <c r="PF3381" s="12"/>
      <c r="PG3381" s="12"/>
      <c r="PH3381" s="12"/>
      <c r="PI3381" s="12"/>
      <c r="PJ3381" s="12"/>
      <c r="PK3381" s="12"/>
      <c r="PL3381" s="12"/>
      <c r="PM3381" s="12"/>
      <c r="PN3381" s="12"/>
      <c r="PO3381" s="12"/>
      <c r="PP3381" s="12"/>
      <c r="PQ3381" s="12"/>
      <c r="PR3381" s="12"/>
      <c r="PS3381" s="12"/>
      <c r="PT3381" s="12"/>
      <c r="PU3381" s="12"/>
      <c r="PV3381" s="12"/>
      <c r="PW3381" s="12"/>
      <c r="PX3381" s="12"/>
      <c r="PY3381" s="12"/>
      <c r="PZ3381" s="12"/>
      <c r="QA3381" s="12"/>
      <c r="QB3381" s="12"/>
      <c r="QC3381" s="12"/>
      <c r="QD3381" s="12"/>
      <c r="QE3381" s="12"/>
      <c r="QF3381" s="12"/>
      <c r="QG3381" s="12"/>
      <c r="QH3381" s="12"/>
      <c r="QI3381" s="12"/>
      <c r="QJ3381" s="12"/>
      <c r="QK3381" s="12"/>
      <c r="QL3381" s="12"/>
      <c r="QM3381" s="12"/>
      <c r="QN3381" s="12"/>
      <c r="QO3381" s="12"/>
      <c r="QP3381" s="12"/>
      <c r="QQ3381" s="12"/>
      <c r="QR3381" s="12"/>
      <c r="QS3381" s="12"/>
      <c r="QT3381" s="12"/>
      <c r="QU3381" s="12"/>
      <c r="QV3381" s="12"/>
      <c r="QW3381" s="12"/>
      <c r="QX3381" s="12"/>
      <c r="QY3381" s="12"/>
      <c r="QZ3381" s="12"/>
      <c r="RA3381" s="12"/>
      <c r="RB3381" s="12"/>
      <c r="RC3381" s="12"/>
      <c r="RD3381" s="12"/>
      <c r="RE3381" s="12"/>
      <c r="RF3381" s="12"/>
      <c r="RG3381" s="12"/>
      <c r="RH3381" s="12"/>
      <c r="RI3381" s="12"/>
      <c r="RJ3381" s="12"/>
      <c r="RK3381" s="12"/>
      <c r="RL3381" s="12"/>
      <c r="RM3381" s="12"/>
      <c r="RN3381" s="12"/>
      <c r="RO3381" s="12"/>
      <c r="RP3381" s="12"/>
      <c r="RQ3381" s="12"/>
      <c r="RR3381" s="12"/>
      <c r="RS3381" s="12"/>
      <c r="RT3381" s="12"/>
      <c r="RU3381" s="12"/>
      <c r="RV3381" s="12"/>
      <c r="RW3381" s="12"/>
      <c r="RX3381" s="12"/>
      <c r="RY3381" s="12"/>
      <c r="RZ3381" s="12"/>
      <c r="SA3381" s="12"/>
      <c r="SB3381" s="12"/>
      <c r="SC3381" s="12"/>
      <c r="SD3381" s="12"/>
      <c r="SE3381" s="12"/>
      <c r="SF3381" s="12"/>
      <c r="SG3381" s="12"/>
      <c r="SH3381" s="12"/>
      <c r="SI3381" s="12"/>
      <c r="SJ3381" s="12"/>
      <c r="SK3381" s="12"/>
      <c r="SL3381" s="12"/>
      <c r="SM3381" s="12"/>
      <c r="SN3381" s="12"/>
      <c r="SO3381" s="12"/>
      <c r="SP3381" s="12"/>
      <c r="SQ3381" s="12"/>
      <c r="SR3381" s="12"/>
      <c r="SS3381" s="12"/>
      <c r="ST3381" s="12"/>
      <c r="SU3381" s="12"/>
      <c r="SV3381" s="12"/>
      <c r="SW3381" s="12"/>
      <c r="SX3381" s="12"/>
      <c r="SY3381" s="12"/>
      <c r="SZ3381" s="12"/>
      <c r="TA3381" s="12"/>
      <c r="TB3381" s="12"/>
      <c r="TC3381" s="12"/>
      <c r="TD3381" s="12"/>
      <c r="TE3381" s="12"/>
      <c r="TF3381" s="12"/>
      <c r="TG3381" s="12"/>
      <c r="TH3381" s="12"/>
      <c r="TI3381" s="12"/>
      <c r="TJ3381" s="12"/>
      <c r="TK3381" s="12"/>
      <c r="TL3381" s="12"/>
      <c r="TM3381" s="12"/>
      <c r="TN3381" s="12"/>
      <c r="TO3381" s="12"/>
      <c r="TP3381" s="12"/>
      <c r="TQ3381" s="12"/>
      <c r="TR3381" s="12"/>
      <c r="TS3381" s="12"/>
      <c r="TT3381" s="12"/>
      <c r="TU3381" s="12"/>
      <c r="TV3381" s="12"/>
      <c r="TW3381" s="12"/>
      <c r="TX3381" s="12"/>
      <c r="TY3381" s="12"/>
      <c r="TZ3381" s="12"/>
      <c r="UA3381" s="12"/>
      <c r="UB3381" s="12"/>
      <c r="UC3381" s="12"/>
      <c r="UD3381" s="12"/>
      <c r="UE3381" s="12"/>
      <c r="UF3381" s="12"/>
      <c r="UG3381" s="12"/>
      <c r="UH3381" s="12"/>
      <c r="UI3381" s="12"/>
      <c r="UJ3381" s="12"/>
      <c r="UK3381" s="12"/>
      <c r="UL3381" s="12"/>
      <c r="UM3381" s="12"/>
      <c r="UN3381" s="12"/>
      <c r="UO3381" s="12"/>
      <c r="UP3381" s="12"/>
      <c r="UQ3381" s="12"/>
      <c r="UR3381" s="12"/>
      <c r="US3381" s="12"/>
      <c r="UT3381" s="12"/>
      <c r="UU3381" s="12"/>
      <c r="UV3381" s="12"/>
      <c r="UW3381" s="12"/>
      <c r="UX3381" s="12"/>
      <c r="UY3381" s="12"/>
      <c r="UZ3381" s="12"/>
      <c r="VA3381" s="12"/>
      <c r="VB3381" s="12"/>
      <c r="VC3381" s="12"/>
      <c r="VD3381" s="12"/>
      <c r="VE3381" s="12"/>
      <c r="VF3381" s="12"/>
      <c r="VG3381" s="12"/>
      <c r="VH3381" s="12"/>
      <c r="VI3381" s="12"/>
      <c r="VJ3381" s="12"/>
      <c r="VK3381" s="12"/>
      <c r="VL3381" s="12"/>
      <c r="VM3381" s="12"/>
      <c r="VN3381" s="12"/>
      <c r="VO3381" s="12"/>
      <c r="VP3381" s="12"/>
      <c r="VQ3381" s="12"/>
      <c r="VR3381" s="12"/>
      <c r="VS3381" s="12"/>
      <c r="VT3381" s="12"/>
      <c r="VU3381" s="12"/>
      <c r="VV3381" s="12"/>
      <c r="VW3381" s="12"/>
      <c r="VX3381" s="12"/>
      <c r="VY3381" s="12"/>
      <c r="VZ3381" s="12"/>
      <c r="WA3381" s="12"/>
      <c r="WB3381" s="12"/>
      <c r="WC3381" s="12"/>
      <c r="WD3381" s="12"/>
      <c r="WE3381" s="12"/>
      <c r="WF3381" s="12"/>
      <c r="WG3381" s="12"/>
      <c r="WH3381" s="12"/>
      <c r="WI3381" s="12"/>
      <c r="WJ3381" s="12"/>
      <c r="WK3381" s="12"/>
      <c r="WL3381" s="12"/>
      <c r="WM3381" s="12"/>
      <c r="WN3381" s="12"/>
      <c r="WO3381" s="12"/>
      <c r="WP3381" s="12"/>
      <c r="WQ3381" s="12"/>
      <c r="WR3381" s="12"/>
      <c r="WS3381" s="12"/>
      <c r="WT3381" s="12"/>
      <c r="WU3381" s="12"/>
      <c r="WV3381" s="12"/>
      <c r="WW3381" s="12"/>
      <c r="WX3381" s="12"/>
      <c r="WY3381" s="12"/>
      <c r="WZ3381" s="12"/>
      <c r="XA3381" s="12"/>
      <c r="XB3381" s="12"/>
      <c r="XC3381" s="12"/>
      <c r="XD3381" s="12"/>
      <c r="XE3381" s="12"/>
      <c r="XF3381" s="12"/>
      <c r="XG3381" s="12"/>
      <c r="XH3381" s="12"/>
      <c r="XI3381" s="12"/>
      <c r="XJ3381" s="12"/>
      <c r="XK3381" s="12"/>
      <c r="XL3381" s="12"/>
      <c r="XM3381" s="12"/>
      <c r="XN3381" s="12"/>
      <c r="XO3381" s="12"/>
      <c r="XP3381" s="12"/>
      <c r="XQ3381" s="12"/>
      <c r="XR3381" s="12"/>
      <c r="XS3381" s="12"/>
      <c r="XT3381" s="12"/>
      <c r="XU3381" s="12"/>
      <c r="XV3381" s="12"/>
      <c r="XW3381" s="12"/>
      <c r="XX3381" s="12"/>
      <c r="XY3381" s="12"/>
      <c r="XZ3381" s="12"/>
      <c r="YA3381" s="12"/>
      <c r="YB3381" s="12"/>
      <c r="YC3381" s="12"/>
      <c r="YD3381" s="12"/>
      <c r="YE3381" s="12"/>
      <c r="YF3381" s="12"/>
      <c r="YG3381" s="12"/>
      <c r="YH3381" s="12"/>
      <c r="YI3381" s="12"/>
      <c r="YJ3381" s="12"/>
      <c r="YK3381" s="12"/>
      <c r="YL3381" s="12"/>
      <c r="YM3381" s="12"/>
      <c r="YN3381" s="12"/>
      <c r="YO3381" s="12"/>
      <c r="YP3381" s="12"/>
      <c r="YQ3381" s="12"/>
      <c r="YR3381" s="12"/>
      <c r="YS3381" s="12"/>
      <c r="YT3381" s="12"/>
      <c r="YU3381" s="12"/>
      <c r="YV3381" s="12"/>
      <c r="YW3381" s="12"/>
      <c r="YX3381" s="12"/>
      <c r="YY3381" s="12"/>
      <c r="YZ3381" s="12"/>
      <c r="ZA3381" s="12"/>
      <c r="ZB3381" s="12"/>
      <c r="ZC3381" s="12"/>
      <c r="ZD3381" s="12"/>
      <c r="ZE3381" s="12"/>
      <c r="ZF3381" s="12"/>
      <c r="ZG3381" s="12"/>
      <c r="ZH3381" s="12"/>
      <c r="ZI3381" s="12"/>
      <c r="ZJ3381" s="12"/>
      <c r="ZK3381" s="12"/>
      <c r="ZL3381" s="12"/>
      <c r="ZM3381" s="12"/>
      <c r="ZN3381" s="12"/>
      <c r="ZO3381" s="12"/>
      <c r="ZP3381" s="12"/>
      <c r="ZQ3381" s="12"/>
      <c r="ZR3381" s="12"/>
      <c r="ZS3381" s="12"/>
      <c r="ZT3381" s="12"/>
      <c r="ZU3381" s="12"/>
      <c r="ZV3381" s="12"/>
      <c r="ZW3381" s="12"/>
      <c r="ZX3381" s="12"/>
    </row>
    <row r="3382" spans="1:700" ht="14.4">
      <c r="A3382" s="38">
        <f>IF(C3382="","",MAX($A$1:A3381)+1)</f>
        <v>3100</v>
      </c>
      <c r="B3382" s="36" t="s">
        <v>141</v>
      </c>
      <c r="C3382" s="23">
        <v>46109</v>
      </c>
      <c r="D3382" s="28" t="str">
        <f>_xlfn.XLOOKUP(Table134526_79101120212223242526[[#This Row],[Name Surname]],Manpower!$C$4:$C$1048576,Manpower!$B$4:$B$1048576,"")</f>
        <v>Encogroup</v>
      </c>
      <c r="E3382" s="21" t="s">
        <v>341</v>
      </c>
      <c r="F3382" s="12" t="e">
        <f>_xlfn.XLOOKUP(Table134526_79101120212223242526[[#This Row],[Name Surname]],Manpower!C:C,Manpower!D:D,)</f>
        <v>#N/A</v>
      </c>
      <c r="G3382" s="28" t="str">
        <f>_xlfn.XLOOKUP(Table134526_79101120212223242526[[#This Row],[Name Surname]],Manpower!$C$4:$C$1048576,Manpower!$F$4:$F$1048576,"")</f>
        <v>SCISSOR LIFT</v>
      </c>
      <c r="H3382" s="28" t="str">
        <f>_xlfn.XLOOKUP(Table134526_79101120212223242526[[#This Row],[Name Surname]],Manpower!$C$4:$C$1048576,Manpower!$H$4:$H$1048576,"")</f>
        <v>Equipment</v>
      </c>
      <c r="I3382" s="28" t="str">
        <f>_xlfn.XLOOKUP(Table134526_79101120212223242526[[#This Row],[Name Surname]],Manpower!$C$4:$C$1048576,Manpower!$H$4:$H$1048576,"")</f>
        <v>Equipment</v>
      </c>
      <c r="J3382" s="21" t="s">
        <v>143</v>
      </c>
      <c r="K3382" s="21" t="s">
        <v>26</v>
      </c>
      <c r="L3382" s="21" t="s">
        <v>144</v>
      </c>
      <c r="M3382" s="21" t="s">
        <v>55</v>
      </c>
      <c r="N3382" s="29">
        <v>10</v>
      </c>
      <c r="R3382" s="21" t="s">
        <v>56</v>
      </c>
    </row>
    <row r="3383" spans="1:700" ht="14.4">
      <c r="A3383" s="38">
        <f>IF(C3383="","",MAX($A$1:A3381)+1)</f>
        <v>3100</v>
      </c>
      <c r="B3383" s="36" t="s">
        <v>141</v>
      </c>
      <c r="C3383" s="23">
        <v>46109</v>
      </c>
      <c r="D3383" s="28" t="str">
        <f>_xlfn.XLOOKUP(Table134526_79101120212223242526[[#This Row],[Name Surname]],Manpower!$C$4:$C$1048576,Manpower!$B$4:$B$1048576,"")</f>
        <v>Encogroup</v>
      </c>
      <c r="E3383" s="21" t="s">
        <v>342</v>
      </c>
      <c r="F3383" s="12" t="e">
        <f>_xlfn.XLOOKUP(Table134526_79101120212223242526[[#This Row],[Name Surname]],Manpower!C:C,Manpower!D:D,)</f>
        <v>#N/A</v>
      </c>
      <c r="G3383" s="28" t="str">
        <f>_xlfn.XLOOKUP(Table134526_79101120212223242526[[#This Row],[Name Surname]],Manpower!$C$4:$C$1048576,Manpower!$F$4:$F$1048576,"")</f>
        <v>SCISSOR LIFT</v>
      </c>
      <c r="H3383" s="28" t="str">
        <f>_xlfn.XLOOKUP(Table134526_79101120212223242526[[#This Row],[Name Surname]],Manpower!$C$4:$C$1048576,Manpower!$H$4:$H$1048576,"")</f>
        <v>Equipment</v>
      </c>
      <c r="I3383" s="28" t="str">
        <f>_xlfn.XLOOKUP(Table134526_79101120212223242526[[#This Row],[Name Surname]],Manpower!$C$4:$C$1048576,Manpower!$H$4:$H$1048576,"")</f>
        <v>Equipment</v>
      </c>
      <c r="J3383" s="21" t="s">
        <v>143</v>
      </c>
      <c r="K3383" s="21" t="s">
        <v>26</v>
      </c>
      <c r="L3383" s="21" t="s">
        <v>144</v>
      </c>
      <c r="M3383" s="21" t="s">
        <v>55</v>
      </c>
      <c r="N3383" s="29">
        <v>10</v>
      </c>
      <c r="R3383" s="21" t="s">
        <v>56</v>
      </c>
    </row>
    <row r="3384" spans="1:700" ht="14.4">
      <c r="A3384" s="38">
        <f>IF(C3384="","",MAX($A$1:A3381)+1)</f>
        <v>3100</v>
      </c>
      <c r="B3384" s="36" t="s">
        <v>141</v>
      </c>
      <c r="C3384" s="23">
        <v>46109</v>
      </c>
      <c r="D3384" s="28" t="str">
        <f>_xlfn.XLOOKUP(Table134526_79101120212223242526[[#This Row],[Name Surname]],Manpower!$C$4:$C$1048576,Manpower!$B$4:$B$1048576,"")</f>
        <v>Encogroup</v>
      </c>
      <c r="E3384" s="21" t="s">
        <v>362</v>
      </c>
      <c r="F3384" s="12" t="e">
        <f>_xlfn.XLOOKUP(Table134526_79101120212223242526[[#This Row],[Name Surname]],Manpower!C:C,Manpower!D:D,)</f>
        <v>#N/A</v>
      </c>
      <c r="G3384" s="28" t="str">
        <f>_xlfn.XLOOKUP(Table134526_79101120212223242526[[#This Row],[Name Surname]],Manpower!$C$4:$C$1048576,Manpower!$F$4:$F$1048576,"")</f>
        <v>Trailer</v>
      </c>
      <c r="H3384" s="28" t="str">
        <f>_xlfn.XLOOKUP(Table134526_79101120212223242526[[#This Row],[Name Surname]],Manpower!$C$4:$C$1048576,Manpower!$H$4:$H$1048576,"")</f>
        <v>Equipment</v>
      </c>
      <c r="I3384" s="28" t="str">
        <f>_xlfn.XLOOKUP(Table134526_79101120212223242526[[#This Row],[Name Surname]],Manpower!$C$4:$C$1048576,Manpower!$H$4:$H$1048576,"")</f>
        <v>Equipment</v>
      </c>
      <c r="J3384" s="21" t="s">
        <v>143</v>
      </c>
      <c r="K3384" s="21" t="s">
        <v>26</v>
      </c>
      <c r="L3384" s="21" t="s">
        <v>144</v>
      </c>
      <c r="M3384" s="21" t="s">
        <v>55</v>
      </c>
      <c r="N3384" s="29">
        <v>10</v>
      </c>
      <c r="R3384" s="21" t="s">
        <v>420</v>
      </c>
    </row>
    <row r="3385" spans="1:700" ht="14.4" hidden="1">
      <c r="A3385" s="38">
        <f>IF(C3385="","",MAX($A$1:A3384)+1)</f>
        <v>3101</v>
      </c>
      <c r="B3385" s="36" t="s">
        <v>141</v>
      </c>
      <c r="C3385" s="23">
        <v>46109</v>
      </c>
      <c r="D3385" s="28" t="str">
        <f>_xlfn.XLOOKUP(Table134526_79101120212223242526[[#This Row],[Name Surname]],Manpower!$C$4:$C$1048576,Manpower!$B$4:$B$1048576,"")</f>
        <v>Encogroup</v>
      </c>
      <c r="E3385" s="21" t="s">
        <v>363</v>
      </c>
      <c r="F3385" s="12">
        <f>_xlfn.XLOOKUP(Table134526_79101120212223242526[[#This Row],[Name Surname]],Manpower!C:C,Manpower!D:D,)</f>
        <v>7065269</v>
      </c>
      <c r="G3385" s="28" t="str">
        <f>_xlfn.XLOOKUP(Table134526_79101120212223242526[[#This Row],[Name Surname]],Manpower!$C$4:$C$1048576,Manpower!$F$4:$F$1048576,"")</f>
        <v>Lowbed Trailer Driver</v>
      </c>
      <c r="H3385" s="28" t="str">
        <f>_xlfn.XLOOKUP(Table134526_79101120212223242526[[#This Row],[Name Surname]],Manpower!$C$4:$C$1048576,Manpower!$H$4:$H$1048576,"")</f>
        <v>Manpower</v>
      </c>
      <c r="I3385" s="28" t="str">
        <f>_xlfn.XLOOKUP(Table134526_79101120212223242526[[#This Row],[Name Surname]],Manpower!$C$4:$C$1048576,Manpower!$H$4:$H$1048576,"")</f>
        <v>Manpower</v>
      </c>
      <c r="J3385" s="21" t="s">
        <v>143</v>
      </c>
      <c r="K3385" s="21" t="s">
        <v>26</v>
      </c>
      <c r="L3385" s="21" t="s">
        <v>144</v>
      </c>
      <c r="M3385" s="21" t="s">
        <v>55</v>
      </c>
      <c r="N3385" s="29">
        <v>10</v>
      </c>
      <c r="R3385" s="21" t="s">
        <v>420</v>
      </c>
    </row>
    <row r="3386" spans="1:700" ht="14.4">
      <c r="A3386" s="38">
        <f>IF(C3386="","",MAX($A$1:A3381)+1)</f>
        <v>3100</v>
      </c>
      <c r="B3386" s="36" t="s">
        <v>141</v>
      </c>
      <c r="C3386" s="23">
        <v>46109</v>
      </c>
      <c r="D3386" s="28" t="str">
        <f>_xlfn.XLOOKUP(Table134526_79101120212223242526[[#This Row],[Name Surname]],Manpower!$C$4:$C$1048576,Manpower!$B$4:$B$1048576,"")</f>
        <v>Bright Light</v>
      </c>
      <c r="E3386" s="21" t="s">
        <v>210</v>
      </c>
      <c r="F3386" s="12" t="e">
        <f>_xlfn.XLOOKUP(Table134526_79101120212223242526[[#This Row],[Name Surname]],Manpower!C:C,Manpower!D:D,)</f>
        <v>#N/A</v>
      </c>
      <c r="G3386" s="28" t="str">
        <f>_xlfn.XLOOKUP(Table134526_79101120212223242526[[#This Row],[Name Surname]],Manpower!$C$4:$C$1048576,Manpower!$F$4:$F$1048576,"")</f>
        <v>Trailer</v>
      </c>
      <c r="H3386" s="28" t="str">
        <f>_xlfn.XLOOKUP(Table134526_79101120212223242526[[#This Row],[Name Surname]],Manpower!$C$4:$C$1048576,Manpower!$H$4:$H$1048576,"")</f>
        <v>Equipment</v>
      </c>
      <c r="I3386" s="28" t="str">
        <f>_xlfn.XLOOKUP(Table134526_79101120212223242526[[#This Row],[Name Surname]],Manpower!$C$4:$C$1048576,Manpower!$H$4:$H$1048576,"")</f>
        <v>Equipment</v>
      </c>
      <c r="J3386" s="21" t="s">
        <v>143</v>
      </c>
      <c r="K3386" s="21" t="s">
        <v>26</v>
      </c>
      <c r="L3386" s="21" t="s">
        <v>144</v>
      </c>
      <c r="M3386" s="21" t="s">
        <v>55</v>
      </c>
      <c r="N3386" s="29">
        <v>10</v>
      </c>
      <c r="R3386" s="21" t="s">
        <v>420</v>
      </c>
    </row>
    <row r="3387" spans="1:700" s="45" customFormat="1" ht="14.4" hidden="1">
      <c r="A3387" s="53">
        <f>IF(C3387="","",MAX($A$1:A3386)+1)</f>
        <v>3102</v>
      </c>
      <c r="B3387" s="36" t="s">
        <v>141</v>
      </c>
      <c r="C3387" s="23">
        <v>46109</v>
      </c>
      <c r="D3387" s="28" t="str">
        <f>_xlfn.XLOOKUP(Table134526_79101120212223242526[[#This Row],[Name Surname]],Manpower!$C$4:$C$1048576,Manpower!$B$4:$B$1048576,"")</f>
        <v xml:space="preserve">FAL Transport </v>
      </c>
      <c r="E3387" s="21" t="s">
        <v>225</v>
      </c>
      <c r="F3387" s="12">
        <f>_xlfn.XLOOKUP(Table134526_79101120212223242526[[#This Row],[Name Surname]],Manpower!C:C,Manpower!D:D,)</f>
        <v>124233837</v>
      </c>
      <c r="G3387" s="28" t="str">
        <f>_xlfn.XLOOKUP(Table134526_79101120212223242526[[#This Row],[Name Surname]],Manpower!$C$4:$C$1048576,Manpower!$F$4:$F$1048576,"")</f>
        <v>Trailer Driver</v>
      </c>
      <c r="H3387" s="28" t="str">
        <f>_xlfn.XLOOKUP(Table134526_79101120212223242526[[#This Row],[Name Surname]],Manpower!$C$4:$C$1048576,Manpower!$H$4:$H$1048576,"")</f>
        <v>Sub Contactor</v>
      </c>
      <c r="I3387" s="28" t="str">
        <f>_xlfn.XLOOKUP(Table134526_79101120212223242526[[#This Row],[Name Surname]],Manpower!$C$4:$C$1048576,Manpower!$H$4:$H$1048576,"")</f>
        <v>Sub Contactor</v>
      </c>
      <c r="J3387" s="21" t="s">
        <v>143</v>
      </c>
      <c r="K3387" s="21" t="s">
        <v>26</v>
      </c>
      <c r="L3387" s="21" t="s">
        <v>144</v>
      </c>
      <c r="M3387" s="21" t="s">
        <v>55</v>
      </c>
      <c r="N3387" s="29">
        <v>10</v>
      </c>
      <c r="O3387" s="21"/>
      <c r="P3387" s="21"/>
      <c r="Q3387" s="21"/>
      <c r="R3387" s="21" t="s">
        <v>420</v>
      </c>
      <c r="S3387" s="21"/>
      <c r="T3387" s="12"/>
      <c r="U3387" s="12"/>
      <c r="V3387" s="12"/>
      <c r="W3387" s="12"/>
      <c r="X3387" s="12"/>
      <c r="Y3387" s="12"/>
      <c r="Z3387" s="12"/>
      <c r="AA3387" s="12"/>
      <c r="AB3387" s="12"/>
      <c r="AC3387" s="12"/>
      <c r="AD3387" s="12"/>
      <c r="AE3387" s="12"/>
      <c r="AF3387" s="12"/>
      <c r="AG3387" s="12"/>
      <c r="AH3387" s="12"/>
      <c r="AI3387" s="12"/>
      <c r="AJ3387" s="12"/>
      <c r="AK3387" s="12"/>
      <c r="AL3387" s="12"/>
      <c r="AM3387" s="12"/>
      <c r="AN3387" s="12"/>
      <c r="AO3387" s="12"/>
      <c r="AP3387" s="12"/>
      <c r="AQ3387" s="12"/>
      <c r="AR3387" s="12"/>
      <c r="AS3387" s="12"/>
      <c r="AT3387" s="12"/>
      <c r="AU3387" s="12"/>
      <c r="AV3387" s="12"/>
      <c r="AW3387" s="12"/>
      <c r="AX3387" s="12"/>
      <c r="AY3387" s="12"/>
      <c r="AZ3387" s="12"/>
      <c r="BA3387" s="12"/>
      <c r="BB3387" s="12"/>
      <c r="BC3387" s="12"/>
      <c r="BD3387" s="12"/>
      <c r="BE3387" s="12"/>
      <c r="BF3387" s="12"/>
      <c r="BG3387" s="12"/>
      <c r="BH3387" s="12"/>
      <c r="BI3387" s="12"/>
      <c r="BJ3387" s="12"/>
      <c r="BK3387" s="12"/>
      <c r="BL3387" s="12"/>
      <c r="BM3387" s="12"/>
      <c r="BN3387" s="12"/>
      <c r="BO3387" s="12"/>
      <c r="BP3387" s="12"/>
      <c r="BQ3387" s="12"/>
      <c r="BR3387" s="12"/>
      <c r="BS3387" s="12"/>
      <c r="BT3387" s="12"/>
      <c r="BU3387" s="12"/>
      <c r="BV3387" s="12"/>
      <c r="BW3387" s="12"/>
      <c r="BX3387" s="12"/>
      <c r="BY3387" s="12"/>
      <c r="BZ3387" s="12"/>
      <c r="CA3387" s="12"/>
      <c r="CB3387" s="12"/>
      <c r="CC3387" s="12"/>
      <c r="CD3387" s="12"/>
      <c r="CE3387" s="12"/>
      <c r="CF3387" s="12"/>
      <c r="CG3387" s="12"/>
      <c r="CH3387" s="12"/>
      <c r="CI3387" s="12"/>
      <c r="CJ3387" s="12"/>
      <c r="CK3387" s="12"/>
      <c r="CL3387" s="12"/>
      <c r="CM3387" s="12"/>
      <c r="CN3387" s="12"/>
      <c r="CO3387" s="12"/>
      <c r="CP3387" s="12"/>
      <c r="CQ3387" s="12"/>
      <c r="CR3387" s="12"/>
      <c r="CS3387" s="12"/>
      <c r="CT3387" s="12"/>
      <c r="CU3387" s="12"/>
      <c r="CV3387" s="12"/>
      <c r="CW3387" s="12"/>
      <c r="CX3387" s="12"/>
      <c r="CY3387" s="12"/>
      <c r="CZ3387" s="12"/>
      <c r="DA3387" s="12"/>
      <c r="DB3387" s="12"/>
      <c r="DC3387" s="12"/>
      <c r="DD3387" s="12"/>
      <c r="DE3387" s="12"/>
      <c r="DF3387" s="12"/>
      <c r="DG3387" s="12"/>
      <c r="DH3387" s="12"/>
      <c r="DI3387" s="12"/>
      <c r="DJ3387" s="12"/>
      <c r="DK3387" s="12"/>
      <c r="DL3387" s="12"/>
      <c r="DM3387" s="12"/>
      <c r="DN3387" s="12"/>
      <c r="DO3387" s="12"/>
      <c r="DP3387" s="12"/>
      <c r="DQ3387" s="12"/>
      <c r="DR3387" s="12"/>
      <c r="DS3387" s="12"/>
      <c r="DT3387" s="12"/>
      <c r="DU3387" s="12"/>
      <c r="DV3387" s="12"/>
      <c r="DW3387" s="12"/>
      <c r="DX3387" s="12"/>
      <c r="DY3387" s="12"/>
      <c r="DZ3387" s="12"/>
      <c r="EA3387" s="12"/>
      <c r="EB3387" s="12"/>
      <c r="EC3387" s="12"/>
      <c r="ED3387" s="12"/>
      <c r="EE3387" s="12"/>
      <c r="EF3387" s="12"/>
      <c r="EG3387" s="12"/>
      <c r="EH3387" s="12"/>
      <c r="EI3387" s="12"/>
      <c r="EJ3387" s="12"/>
      <c r="EK3387" s="12"/>
      <c r="EL3387" s="12"/>
      <c r="EM3387" s="12"/>
      <c r="EN3387" s="12"/>
      <c r="EO3387" s="12"/>
      <c r="EP3387" s="12"/>
      <c r="EQ3387" s="12"/>
      <c r="ER3387" s="12"/>
      <c r="ES3387" s="12"/>
      <c r="ET3387" s="12"/>
      <c r="EU3387" s="12"/>
      <c r="EV3387" s="12"/>
      <c r="EW3387" s="12"/>
      <c r="EX3387" s="12"/>
      <c r="EY3387" s="12"/>
      <c r="EZ3387" s="12"/>
      <c r="FA3387" s="12"/>
      <c r="FB3387" s="12"/>
      <c r="FC3387" s="12"/>
      <c r="FD3387" s="12"/>
      <c r="FE3387" s="12"/>
      <c r="FF3387" s="12"/>
      <c r="FG3387" s="12"/>
      <c r="FH3387" s="12"/>
      <c r="FI3387" s="12"/>
      <c r="FJ3387" s="12"/>
      <c r="FK3387" s="12"/>
      <c r="FL3387" s="12"/>
      <c r="FM3387" s="12"/>
      <c r="FN3387" s="12"/>
      <c r="FO3387" s="12"/>
      <c r="FP3387" s="12"/>
      <c r="FQ3387" s="12"/>
      <c r="FR3387" s="12"/>
      <c r="FS3387" s="12"/>
      <c r="FT3387" s="12"/>
      <c r="FU3387" s="12"/>
      <c r="FV3387" s="12"/>
      <c r="FW3387" s="12"/>
      <c r="FX3387" s="12"/>
      <c r="FY3387" s="12"/>
      <c r="FZ3387" s="12"/>
      <c r="GA3387" s="12"/>
      <c r="GB3387" s="12"/>
      <c r="GC3387" s="12"/>
      <c r="GD3387" s="12"/>
      <c r="GE3387" s="12"/>
      <c r="GF3387" s="12"/>
      <c r="GG3387" s="12"/>
      <c r="GH3387" s="12"/>
      <c r="GI3387" s="12"/>
      <c r="GJ3387" s="12"/>
      <c r="GK3387" s="12"/>
      <c r="GL3387" s="12"/>
      <c r="GM3387" s="12"/>
      <c r="GN3387" s="12"/>
      <c r="GO3387" s="12"/>
      <c r="GP3387" s="12"/>
      <c r="GQ3387" s="12"/>
      <c r="GR3387" s="12"/>
      <c r="GS3387" s="12"/>
      <c r="GT3387" s="12"/>
      <c r="GU3387" s="12"/>
      <c r="GV3387" s="12"/>
      <c r="GW3387" s="12"/>
      <c r="GX3387" s="12"/>
      <c r="GY3387" s="12"/>
      <c r="GZ3387" s="12"/>
      <c r="HA3387" s="12"/>
      <c r="HB3387" s="12"/>
      <c r="HC3387" s="12"/>
      <c r="HD3387" s="12"/>
      <c r="HE3387" s="12"/>
      <c r="HF3387" s="12"/>
      <c r="HG3387" s="12"/>
      <c r="HH3387" s="12"/>
      <c r="HI3387" s="12"/>
      <c r="HJ3387" s="12"/>
      <c r="HK3387" s="12"/>
      <c r="HL3387" s="12"/>
      <c r="HM3387" s="12"/>
      <c r="HN3387" s="12"/>
      <c r="HO3387" s="12"/>
      <c r="HP3387" s="12"/>
      <c r="HQ3387" s="12"/>
      <c r="HR3387" s="12"/>
      <c r="HS3387" s="12"/>
      <c r="HT3387" s="12"/>
      <c r="HU3387" s="12"/>
      <c r="HV3387" s="12"/>
      <c r="HW3387" s="12"/>
      <c r="HX3387" s="12"/>
      <c r="HY3387" s="12"/>
      <c r="HZ3387" s="12"/>
      <c r="IA3387" s="12"/>
      <c r="IB3387" s="12"/>
      <c r="IC3387" s="12"/>
      <c r="ID3387" s="12"/>
      <c r="IE3387" s="12"/>
      <c r="IF3387" s="12"/>
      <c r="IG3387" s="12"/>
      <c r="IH3387" s="12"/>
      <c r="II3387" s="12"/>
      <c r="IJ3387" s="12"/>
      <c r="IK3387" s="12"/>
      <c r="IL3387" s="12"/>
      <c r="IM3387" s="12"/>
      <c r="IN3387" s="12"/>
      <c r="IO3387" s="12"/>
      <c r="IP3387" s="12"/>
      <c r="IQ3387" s="12"/>
      <c r="IR3387" s="12"/>
      <c r="IS3387" s="12"/>
      <c r="IT3387" s="12"/>
      <c r="IU3387" s="12"/>
      <c r="IV3387" s="12"/>
      <c r="IW3387" s="12"/>
      <c r="IX3387" s="12"/>
      <c r="IY3387" s="12"/>
      <c r="IZ3387" s="12"/>
      <c r="JA3387" s="12"/>
      <c r="JB3387" s="12"/>
      <c r="JC3387" s="12"/>
      <c r="JD3387" s="12"/>
      <c r="JE3387" s="12"/>
      <c r="JF3387" s="12"/>
      <c r="JG3387" s="12"/>
      <c r="JH3387" s="12"/>
      <c r="JI3387" s="12"/>
      <c r="JJ3387" s="12"/>
      <c r="JK3387" s="12"/>
      <c r="JL3387" s="12"/>
      <c r="JM3387" s="12"/>
      <c r="JN3387" s="12"/>
      <c r="JO3387" s="12"/>
      <c r="JP3387" s="12"/>
      <c r="JQ3387" s="12"/>
      <c r="JR3387" s="12"/>
      <c r="JS3387" s="12"/>
      <c r="JT3387" s="12"/>
      <c r="JU3387" s="12"/>
      <c r="JV3387" s="12"/>
      <c r="JW3387" s="12"/>
      <c r="JX3387" s="12"/>
      <c r="JY3387" s="12"/>
      <c r="JZ3387" s="12"/>
      <c r="KA3387" s="12"/>
      <c r="KB3387" s="12"/>
      <c r="KC3387" s="12"/>
      <c r="KD3387" s="12"/>
      <c r="KE3387" s="12"/>
      <c r="KF3387" s="12"/>
      <c r="KG3387" s="12"/>
      <c r="KH3387" s="12"/>
      <c r="KI3387" s="12"/>
      <c r="KJ3387" s="12"/>
      <c r="KK3387" s="12"/>
      <c r="KL3387" s="12"/>
      <c r="KM3387" s="12"/>
      <c r="KN3387" s="12"/>
      <c r="KO3387" s="12"/>
      <c r="KP3387" s="12"/>
      <c r="KQ3387" s="12"/>
      <c r="KR3387" s="12"/>
      <c r="KS3387" s="12"/>
      <c r="KT3387" s="12"/>
      <c r="KU3387" s="12"/>
      <c r="KV3387" s="12"/>
      <c r="KW3387" s="12"/>
      <c r="KX3387" s="12"/>
      <c r="KY3387" s="12"/>
      <c r="KZ3387" s="12"/>
      <c r="LA3387" s="12"/>
      <c r="LB3387" s="12"/>
      <c r="LC3387" s="12"/>
      <c r="LD3387" s="12"/>
      <c r="LE3387" s="12"/>
      <c r="LF3387" s="12"/>
      <c r="LG3387" s="12"/>
      <c r="LH3387" s="12"/>
      <c r="LI3387" s="12"/>
      <c r="LJ3387" s="12"/>
      <c r="LK3387" s="12"/>
      <c r="LL3387" s="12"/>
      <c r="LM3387" s="12"/>
      <c r="LN3387" s="12"/>
      <c r="LO3387" s="12"/>
      <c r="LP3387" s="12"/>
      <c r="LQ3387" s="12"/>
      <c r="LR3387" s="12"/>
      <c r="LS3387" s="12"/>
      <c r="LT3387" s="12"/>
      <c r="LU3387" s="12"/>
      <c r="LV3387" s="12"/>
      <c r="LW3387" s="12"/>
      <c r="LX3387" s="12"/>
      <c r="LY3387" s="12"/>
      <c r="LZ3387" s="12"/>
      <c r="MA3387" s="12"/>
      <c r="MB3387" s="12"/>
      <c r="MC3387" s="12"/>
      <c r="MD3387" s="12"/>
      <c r="ME3387" s="12"/>
      <c r="MF3387" s="12"/>
      <c r="MG3387" s="12"/>
      <c r="MH3387" s="12"/>
      <c r="MI3387" s="12"/>
      <c r="MJ3387" s="12"/>
      <c r="MK3387" s="12"/>
      <c r="ML3387" s="12"/>
      <c r="MM3387" s="12"/>
      <c r="MN3387" s="12"/>
      <c r="MO3387" s="12"/>
      <c r="MP3387" s="12"/>
      <c r="MQ3387" s="12"/>
      <c r="MR3387" s="12"/>
      <c r="MS3387" s="12"/>
      <c r="MT3387" s="12"/>
      <c r="MU3387" s="12"/>
      <c r="MV3387" s="12"/>
      <c r="MW3387" s="12"/>
      <c r="MX3387" s="12"/>
      <c r="MY3387" s="12"/>
      <c r="MZ3387" s="12"/>
      <c r="NA3387" s="12"/>
      <c r="NB3387" s="12"/>
      <c r="NC3387" s="12"/>
      <c r="ND3387" s="12"/>
      <c r="NE3387" s="12"/>
      <c r="NF3387" s="12"/>
      <c r="NG3387" s="12"/>
      <c r="NH3387" s="12"/>
      <c r="NI3387" s="12"/>
      <c r="NJ3387" s="12"/>
      <c r="NK3387" s="12"/>
      <c r="NL3387" s="12"/>
      <c r="NM3387" s="12"/>
      <c r="NN3387" s="12"/>
      <c r="NO3387" s="12"/>
      <c r="NP3387" s="12"/>
      <c r="NQ3387" s="12"/>
      <c r="NR3387" s="12"/>
      <c r="NS3387" s="12"/>
      <c r="NT3387" s="12"/>
      <c r="NU3387" s="12"/>
      <c r="NV3387" s="12"/>
      <c r="NW3387" s="12"/>
      <c r="NX3387" s="12"/>
      <c r="NY3387" s="12"/>
      <c r="NZ3387" s="12"/>
      <c r="OA3387" s="12"/>
      <c r="OB3387" s="12"/>
      <c r="OC3387" s="12"/>
      <c r="OD3387" s="12"/>
      <c r="OE3387" s="12"/>
      <c r="OF3387" s="12"/>
      <c r="OG3387" s="12"/>
      <c r="OH3387" s="12"/>
      <c r="OI3387" s="12"/>
      <c r="OJ3387" s="12"/>
      <c r="OK3387" s="12"/>
      <c r="OL3387" s="12"/>
      <c r="OM3387" s="12"/>
      <c r="ON3387" s="12"/>
      <c r="OO3387" s="12"/>
      <c r="OP3387" s="12"/>
      <c r="OQ3387" s="12"/>
      <c r="OR3387" s="12"/>
      <c r="OS3387" s="12"/>
      <c r="OT3387" s="12"/>
      <c r="OU3387" s="12"/>
      <c r="OV3387" s="12"/>
      <c r="OW3387" s="12"/>
      <c r="OX3387" s="12"/>
      <c r="OY3387" s="12"/>
      <c r="OZ3387" s="12"/>
      <c r="PA3387" s="12"/>
      <c r="PB3387" s="12"/>
      <c r="PC3387" s="12"/>
      <c r="PD3387" s="12"/>
      <c r="PE3387" s="12"/>
      <c r="PF3387" s="12"/>
      <c r="PG3387" s="12"/>
      <c r="PH3387" s="12"/>
      <c r="PI3387" s="12"/>
      <c r="PJ3387" s="12"/>
      <c r="PK3387" s="12"/>
      <c r="PL3387" s="12"/>
      <c r="PM3387" s="12"/>
      <c r="PN3387" s="12"/>
      <c r="PO3387" s="12"/>
      <c r="PP3387" s="12"/>
      <c r="PQ3387" s="12"/>
      <c r="PR3387" s="12"/>
      <c r="PS3387" s="12"/>
      <c r="PT3387" s="12"/>
      <c r="PU3387" s="12"/>
      <c r="PV3387" s="12"/>
      <c r="PW3387" s="12"/>
      <c r="PX3387" s="12"/>
      <c r="PY3387" s="12"/>
      <c r="PZ3387" s="12"/>
      <c r="QA3387" s="12"/>
      <c r="QB3387" s="12"/>
      <c r="QC3387" s="12"/>
      <c r="QD3387" s="12"/>
      <c r="QE3387" s="12"/>
      <c r="QF3387" s="12"/>
      <c r="QG3387" s="12"/>
      <c r="QH3387" s="12"/>
      <c r="QI3387" s="12"/>
      <c r="QJ3387" s="12"/>
      <c r="QK3387" s="12"/>
      <c r="QL3387" s="12"/>
      <c r="QM3387" s="12"/>
      <c r="QN3387" s="12"/>
      <c r="QO3387" s="12"/>
      <c r="QP3387" s="12"/>
      <c r="QQ3387" s="12"/>
      <c r="QR3387" s="12"/>
      <c r="QS3387" s="12"/>
      <c r="QT3387" s="12"/>
      <c r="QU3387" s="12"/>
      <c r="QV3387" s="12"/>
      <c r="QW3387" s="12"/>
      <c r="QX3387" s="12"/>
      <c r="QY3387" s="12"/>
      <c r="QZ3387" s="12"/>
      <c r="RA3387" s="12"/>
      <c r="RB3387" s="12"/>
      <c r="RC3387" s="12"/>
      <c r="RD3387" s="12"/>
      <c r="RE3387" s="12"/>
      <c r="RF3387" s="12"/>
      <c r="RG3387" s="12"/>
      <c r="RH3387" s="12"/>
      <c r="RI3387" s="12"/>
      <c r="RJ3387" s="12"/>
      <c r="RK3387" s="12"/>
      <c r="RL3387" s="12"/>
      <c r="RM3387" s="12"/>
      <c r="RN3387" s="12"/>
      <c r="RO3387" s="12"/>
      <c r="RP3387" s="12"/>
      <c r="RQ3387" s="12"/>
      <c r="RR3387" s="12"/>
      <c r="RS3387" s="12"/>
      <c r="RT3387" s="12"/>
      <c r="RU3387" s="12"/>
      <c r="RV3387" s="12"/>
      <c r="RW3387" s="12"/>
      <c r="RX3387" s="12"/>
      <c r="RY3387" s="12"/>
      <c r="RZ3387" s="12"/>
      <c r="SA3387" s="12"/>
      <c r="SB3387" s="12"/>
      <c r="SC3387" s="12"/>
      <c r="SD3387" s="12"/>
      <c r="SE3387" s="12"/>
      <c r="SF3387" s="12"/>
      <c r="SG3387" s="12"/>
      <c r="SH3387" s="12"/>
      <c r="SI3387" s="12"/>
      <c r="SJ3387" s="12"/>
      <c r="SK3387" s="12"/>
      <c r="SL3387" s="12"/>
      <c r="SM3387" s="12"/>
      <c r="SN3387" s="12"/>
      <c r="SO3387" s="12"/>
      <c r="SP3387" s="12"/>
      <c r="SQ3387" s="12"/>
      <c r="SR3387" s="12"/>
      <c r="SS3387" s="12"/>
      <c r="ST3387" s="12"/>
      <c r="SU3387" s="12"/>
      <c r="SV3387" s="12"/>
      <c r="SW3387" s="12"/>
      <c r="SX3387" s="12"/>
      <c r="SY3387" s="12"/>
      <c r="SZ3387" s="12"/>
      <c r="TA3387" s="12"/>
      <c r="TB3387" s="12"/>
      <c r="TC3387" s="12"/>
      <c r="TD3387" s="12"/>
      <c r="TE3387" s="12"/>
      <c r="TF3387" s="12"/>
      <c r="TG3387" s="12"/>
      <c r="TH3387" s="12"/>
      <c r="TI3387" s="12"/>
      <c r="TJ3387" s="12"/>
      <c r="TK3387" s="12"/>
      <c r="TL3387" s="12"/>
      <c r="TM3387" s="12"/>
      <c r="TN3387" s="12"/>
      <c r="TO3387" s="12"/>
      <c r="TP3387" s="12"/>
      <c r="TQ3387" s="12"/>
      <c r="TR3387" s="12"/>
      <c r="TS3387" s="12"/>
      <c r="TT3387" s="12"/>
      <c r="TU3387" s="12"/>
      <c r="TV3387" s="12"/>
      <c r="TW3387" s="12"/>
      <c r="TX3387" s="12"/>
      <c r="TY3387" s="12"/>
      <c r="TZ3387" s="12"/>
      <c r="UA3387" s="12"/>
      <c r="UB3387" s="12"/>
      <c r="UC3387" s="12"/>
      <c r="UD3387" s="12"/>
      <c r="UE3387" s="12"/>
      <c r="UF3387" s="12"/>
      <c r="UG3387" s="12"/>
      <c r="UH3387" s="12"/>
      <c r="UI3387" s="12"/>
      <c r="UJ3387" s="12"/>
      <c r="UK3387" s="12"/>
      <c r="UL3387" s="12"/>
      <c r="UM3387" s="12"/>
      <c r="UN3387" s="12"/>
      <c r="UO3387" s="12"/>
      <c r="UP3387" s="12"/>
      <c r="UQ3387" s="12"/>
      <c r="UR3387" s="12"/>
      <c r="US3387" s="12"/>
      <c r="UT3387" s="12"/>
      <c r="UU3387" s="12"/>
      <c r="UV3387" s="12"/>
      <c r="UW3387" s="12"/>
      <c r="UX3387" s="12"/>
      <c r="UY3387" s="12"/>
      <c r="UZ3387" s="12"/>
      <c r="VA3387" s="12"/>
      <c r="VB3387" s="12"/>
      <c r="VC3387" s="12"/>
      <c r="VD3387" s="12"/>
      <c r="VE3387" s="12"/>
      <c r="VF3387" s="12"/>
      <c r="VG3387" s="12"/>
      <c r="VH3387" s="12"/>
      <c r="VI3387" s="12"/>
      <c r="VJ3387" s="12"/>
      <c r="VK3387" s="12"/>
      <c r="VL3387" s="12"/>
      <c r="VM3387" s="12"/>
      <c r="VN3387" s="12"/>
      <c r="VO3387" s="12"/>
      <c r="VP3387" s="12"/>
      <c r="VQ3387" s="12"/>
      <c r="VR3387" s="12"/>
      <c r="VS3387" s="12"/>
      <c r="VT3387" s="12"/>
      <c r="VU3387" s="12"/>
      <c r="VV3387" s="12"/>
      <c r="VW3387" s="12"/>
      <c r="VX3387" s="12"/>
      <c r="VY3387" s="12"/>
      <c r="VZ3387" s="12"/>
      <c r="WA3387" s="12"/>
      <c r="WB3387" s="12"/>
      <c r="WC3387" s="12"/>
      <c r="WD3387" s="12"/>
      <c r="WE3387" s="12"/>
      <c r="WF3387" s="12"/>
      <c r="WG3387" s="12"/>
      <c r="WH3387" s="12"/>
      <c r="WI3387" s="12"/>
      <c r="WJ3387" s="12"/>
      <c r="WK3387" s="12"/>
      <c r="WL3387" s="12"/>
      <c r="WM3387" s="12"/>
      <c r="WN3387" s="12"/>
      <c r="WO3387" s="12"/>
      <c r="WP3387" s="12"/>
      <c r="WQ3387" s="12"/>
      <c r="WR3387" s="12"/>
      <c r="WS3387" s="12"/>
      <c r="WT3387" s="12"/>
      <c r="WU3387" s="12"/>
      <c r="WV3387" s="12"/>
      <c r="WW3387" s="12"/>
      <c r="WX3387" s="12"/>
      <c r="WY3387" s="12"/>
      <c r="WZ3387" s="12"/>
      <c r="XA3387" s="12"/>
      <c r="XB3387" s="12"/>
      <c r="XC3387" s="12"/>
      <c r="XD3387" s="12"/>
      <c r="XE3387" s="12"/>
      <c r="XF3387" s="12"/>
      <c r="XG3387" s="12"/>
      <c r="XH3387" s="12"/>
      <c r="XI3387" s="12"/>
      <c r="XJ3387" s="12"/>
      <c r="XK3387" s="12"/>
      <c r="XL3387" s="12"/>
      <c r="XM3387" s="12"/>
      <c r="XN3387" s="12"/>
      <c r="XO3387" s="12"/>
      <c r="XP3387" s="12"/>
      <c r="XQ3387" s="12"/>
      <c r="XR3387" s="12"/>
      <c r="XS3387" s="12"/>
      <c r="XT3387" s="12"/>
      <c r="XU3387" s="12"/>
      <c r="XV3387" s="12"/>
      <c r="XW3387" s="12"/>
      <c r="XX3387" s="12"/>
      <c r="XY3387" s="12"/>
      <c r="XZ3387" s="12"/>
      <c r="YA3387" s="12"/>
      <c r="YB3387" s="12"/>
      <c r="YC3387" s="12"/>
      <c r="YD3387" s="12"/>
      <c r="YE3387" s="12"/>
      <c r="YF3387" s="12"/>
      <c r="YG3387" s="12"/>
      <c r="YH3387" s="12"/>
      <c r="YI3387" s="12"/>
      <c r="YJ3387" s="12"/>
      <c r="YK3387" s="12"/>
      <c r="YL3387" s="12"/>
      <c r="YM3387" s="12"/>
      <c r="YN3387" s="12"/>
      <c r="YO3387" s="12"/>
      <c r="YP3387" s="12"/>
      <c r="YQ3387" s="12"/>
      <c r="YR3387" s="12"/>
      <c r="YS3387" s="12"/>
      <c r="YT3387" s="12"/>
      <c r="YU3387" s="12"/>
      <c r="YV3387" s="12"/>
      <c r="YW3387" s="12"/>
      <c r="YX3387" s="12"/>
      <c r="YY3387" s="12"/>
      <c r="YZ3387" s="12"/>
      <c r="ZA3387" s="12"/>
      <c r="ZB3387" s="12"/>
      <c r="ZC3387" s="12"/>
      <c r="ZD3387" s="12"/>
      <c r="ZE3387" s="12"/>
      <c r="ZF3387" s="12"/>
      <c r="ZG3387" s="12"/>
      <c r="ZH3387" s="12"/>
      <c r="ZI3387" s="12"/>
      <c r="ZJ3387" s="12"/>
      <c r="ZK3387" s="12"/>
      <c r="ZL3387" s="12"/>
      <c r="ZM3387" s="12"/>
      <c r="ZN3387" s="12"/>
      <c r="ZO3387" s="12"/>
      <c r="ZP3387" s="12"/>
      <c r="ZQ3387" s="12"/>
      <c r="ZR3387" s="12"/>
      <c r="ZS3387" s="12"/>
      <c r="ZT3387" s="12"/>
      <c r="ZU3387" s="12"/>
      <c r="ZV3387" s="12"/>
      <c r="ZW3387" s="12"/>
      <c r="ZX3387" s="12"/>
    </row>
    <row r="3388" spans="1:700" ht="14.4" hidden="1">
      <c r="A3388" s="38">
        <f>IF(C3388="","",MAX($A$1:A3387)+1)</f>
        <v>3103</v>
      </c>
      <c r="B3388" s="36" t="s">
        <v>141</v>
      </c>
      <c r="C3388" s="23">
        <v>46109</v>
      </c>
      <c r="D3388" s="28" t="str">
        <f>_xlfn.XLOOKUP(Table134526_79101120212223242526[[#This Row],[Name Surname]],Manpower!$C$4:$C$1048576,Manpower!$B$4:$B$1048576,"")</f>
        <v>Encogroup</v>
      </c>
      <c r="E3388" s="21" t="s">
        <v>211</v>
      </c>
      <c r="F3388" s="12">
        <f>_xlfn.XLOOKUP(Table134526_79101120212223242526[[#This Row],[Name Surname]],Manpower!C:C,Manpower!D:D,)</f>
        <v>140477664</v>
      </c>
      <c r="G3388" s="28" t="str">
        <f>_xlfn.XLOOKUP(Table134526_79101120212223242526[[#This Row],[Name Surname]],Manpower!$C$4:$C$1048576,Manpower!$F$4:$F$1048576,"")</f>
        <v>Junior HSE Officer</v>
      </c>
      <c r="H3388" s="28" t="str">
        <f>_xlfn.XLOOKUP(Table134526_79101120212223242526[[#This Row],[Name Surname]],Manpower!$C$4:$C$1048576,Manpower!$H$4:$H$1048576,"")</f>
        <v>Manpower</v>
      </c>
      <c r="I3388" s="28" t="str">
        <f>_xlfn.XLOOKUP(Table134526_79101120212223242526[[#This Row],[Name Surname]],Manpower!$C$4:$C$1048576,Manpower!$H$4:$H$1048576,"")</f>
        <v>Manpower</v>
      </c>
      <c r="J3388" s="21" t="s">
        <v>143</v>
      </c>
      <c r="K3388" s="21" t="s">
        <v>26</v>
      </c>
      <c r="L3388" s="21" t="s">
        <v>144</v>
      </c>
      <c r="M3388" s="21" t="s">
        <v>55</v>
      </c>
      <c r="N3388" s="29">
        <v>10</v>
      </c>
      <c r="R3388" s="21" t="s">
        <v>420</v>
      </c>
    </row>
    <row r="3389" spans="1:700" s="45" customFormat="1" ht="14.4" hidden="1">
      <c r="A3389" s="53">
        <f>IF(C3389="","",MAX($A$1:A3388)+1)</f>
        <v>3104</v>
      </c>
      <c r="B3389" s="36" t="s">
        <v>141</v>
      </c>
      <c r="C3389" s="23">
        <v>46109</v>
      </c>
      <c r="D3389" s="28" t="str">
        <f>_xlfn.XLOOKUP(Table134526_79101120212223242526[[#This Row],[Name Surname]],Manpower!$C$4:$C$1048576,Manpower!$B$4:$B$1048576,"")</f>
        <v>Encogroup</v>
      </c>
      <c r="E3389" s="21" t="s">
        <v>213</v>
      </c>
      <c r="F3389" s="12">
        <f>_xlfn.XLOOKUP(Table134526_79101120212223242526[[#This Row],[Name Surname]],Manpower!C:C,Manpower!D:D,)</f>
        <v>140846698</v>
      </c>
      <c r="G3389" s="28" t="str">
        <f>_xlfn.XLOOKUP(Table134526_79101120212223242526[[#This Row],[Name Surname]],Manpower!$C$4:$C$1048576,Manpower!$F$4:$F$1048576,"")</f>
        <v>Assistant/Helper</v>
      </c>
      <c r="H3389" s="28" t="str">
        <f>_xlfn.XLOOKUP(Table134526_79101120212223242526[[#This Row],[Name Surname]],Manpower!$C$4:$C$1048576,Manpower!$H$4:$H$1048576,"")</f>
        <v>Manpower</v>
      </c>
      <c r="I3389" s="28" t="str">
        <f>_xlfn.XLOOKUP(Table134526_79101120212223242526[[#This Row],[Name Surname]],Manpower!$C$4:$C$1048576,Manpower!$H$4:$H$1048576,"")</f>
        <v>Manpower</v>
      </c>
      <c r="J3389" s="21" t="s">
        <v>143</v>
      </c>
      <c r="K3389" s="21" t="s">
        <v>26</v>
      </c>
      <c r="L3389" s="21" t="s">
        <v>144</v>
      </c>
      <c r="M3389" s="21" t="s">
        <v>55</v>
      </c>
      <c r="N3389" s="29">
        <v>10</v>
      </c>
      <c r="O3389" s="21"/>
      <c r="P3389" s="21"/>
      <c r="Q3389" s="21"/>
      <c r="R3389" s="21" t="s">
        <v>420</v>
      </c>
      <c r="S3389" s="21"/>
      <c r="T3389" s="12"/>
      <c r="U3389" s="12"/>
      <c r="V3389" s="12"/>
      <c r="W3389" s="12"/>
      <c r="X3389" s="12"/>
      <c r="Y3389" s="12"/>
      <c r="Z3389" s="12"/>
      <c r="AA3389" s="12"/>
      <c r="AB3389" s="12"/>
      <c r="AC3389" s="12"/>
      <c r="AD3389" s="12"/>
      <c r="AE3389" s="12"/>
      <c r="AF3389" s="12"/>
      <c r="AG3389" s="12"/>
      <c r="AH3389" s="12"/>
      <c r="AI3389" s="12"/>
      <c r="AJ3389" s="12"/>
      <c r="AK3389" s="12"/>
      <c r="AL3389" s="12"/>
      <c r="AM3389" s="12"/>
      <c r="AN3389" s="12"/>
      <c r="AO3389" s="12"/>
      <c r="AP3389" s="12"/>
      <c r="AQ3389" s="12"/>
      <c r="AR3389" s="12"/>
      <c r="AS3389" s="12"/>
      <c r="AT3389" s="12"/>
      <c r="AU3389" s="12"/>
      <c r="AV3389" s="12"/>
      <c r="AW3389" s="12"/>
      <c r="AX3389" s="12"/>
      <c r="AY3389" s="12"/>
      <c r="AZ3389" s="12"/>
      <c r="BA3389" s="12"/>
      <c r="BB3389" s="12"/>
      <c r="BC3389" s="12"/>
      <c r="BD3389" s="12"/>
      <c r="BE3389" s="12"/>
      <c r="BF3389" s="12"/>
      <c r="BG3389" s="12"/>
      <c r="BH3389" s="12"/>
      <c r="BI3389" s="12"/>
      <c r="BJ3389" s="12"/>
      <c r="BK3389" s="12"/>
      <c r="BL3389" s="12"/>
      <c r="BM3389" s="12"/>
      <c r="BN3389" s="12"/>
      <c r="BO3389" s="12"/>
      <c r="BP3389" s="12"/>
      <c r="BQ3389" s="12"/>
      <c r="BR3389" s="12"/>
      <c r="BS3389" s="12"/>
      <c r="BT3389" s="12"/>
      <c r="BU3389" s="12"/>
      <c r="BV3389" s="12"/>
      <c r="BW3389" s="12"/>
      <c r="BX3389" s="12"/>
      <c r="BY3389" s="12"/>
      <c r="BZ3389" s="12"/>
      <c r="CA3389" s="12"/>
      <c r="CB3389" s="12"/>
      <c r="CC3389" s="12"/>
      <c r="CD3389" s="12"/>
      <c r="CE3389" s="12"/>
      <c r="CF3389" s="12"/>
      <c r="CG3389" s="12"/>
      <c r="CH3389" s="12"/>
      <c r="CI3389" s="12"/>
      <c r="CJ3389" s="12"/>
      <c r="CK3389" s="12"/>
      <c r="CL3389" s="12"/>
      <c r="CM3389" s="12"/>
      <c r="CN3389" s="12"/>
      <c r="CO3389" s="12"/>
      <c r="CP3389" s="12"/>
      <c r="CQ3389" s="12"/>
      <c r="CR3389" s="12"/>
      <c r="CS3389" s="12"/>
      <c r="CT3389" s="12"/>
      <c r="CU3389" s="12"/>
      <c r="CV3389" s="12"/>
      <c r="CW3389" s="12"/>
      <c r="CX3389" s="12"/>
      <c r="CY3389" s="12"/>
      <c r="CZ3389" s="12"/>
      <c r="DA3389" s="12"/>
      <c r="DB3389" s="12"/>
      <c r="DC3389" s="12"/>
      <c r="DD3389" s="12"/>
      <c r="DE3389" s="12"/>
      <c r="DF3389" s="12"/>
      <c r="DG3389" s="12"/>
      <c r="DH3389" s="12"/>
      <c r="DI3389" s="12"/>
      <c r="DJ3389" s="12"/>
      <c r="DK3389" s="12"/>
      <c r="DL3389" s="12"/>
      <c r="DM3389" s="12"/>
      <c r="DN3389" s="12"/>
      <c r="DO3389" s="12"/>
      <c r="DP3389" s="12"/>
      <c r="DQ3389" s="12"/>
      <c r="DR3389" s="12"/>
      <c r="DS3389" s="12"/>
      <c r="DT3389" s="12"/>
      <c r="DU3389" s="12"/>
      <c r="DV3389" s="12"/>
      <c r="DW3389" s="12"/>
      <c r="DX3389" s="12"/>
      <c r="DY3389" s="12"/>
      <c r="DZ3389" s="12"/>
      <c r="EA3389" s="12"/>
      <c r="EB3389" s="12"/>
      <c r="EC3389" s="12"/>
      <c r="ED3389" s="12"/>
      <c r="EE3389" s="12"/>
      <c r="EF3389" s="12"/>
      <c r="EG3389" s="12"/>
      <c r="EH3389" s="12"/>
      <c r="EI3389" s="12"/>
      <c r="EJ3389" s="12"/>
      <c r="EK3389" s="12"/>
      <c r="EL3389" s="12"/>
      <c r="EM3389" s="12"/>
      <c r="EN3389" s="12"/>
      <c r="EO3389" s="12"/>
      <c r="EP3389" s="12"/>
      <c r="EQ3389" s="12"/>
      <c r="ER3389" s="12"/>
      <c r="ES3389" s="12"/>
      <c r="ET3389" s="12"/>
      <c r="EU3389" s="12"/>
      <c r="EV3389" s="12"/>
      <c r="EW3389" s="12"/>
      <c r="EX3389" s="12"/>
      <c r="EY3389" s="12"/>
      <c r="EZ3389" s="12"/>
      <c r="FA3389" s="12"/>
      <c r="FB3389" s="12"/>
      <c r="FC3389" s="12"/>
      <c r="FD3389" s="12"/>
      <c r="FE3389" s="12"/>
      <c r="FF3389" s="12"/>
      <c r="FG3389" s="12"/>
      <c r="FH3389" s="12"/>
      <c r="FI3389" s="12"/>
      <c r="FJ3389" s="12"/>
      <c r="FK3389" s="12"/>
      <c r="FL3389" s="12"/>
      <c r="FM3389" s="12"/>
      <c r="FN3389" s="12"/>
      <c r="FO3389" s="12"/>
      <c r="FP3389" s="12"/>
      <c r="FQ3389" s="12"/>
      <c r="FR3389" s="12"/>
      <c r="FS3389" s="12"/>
      <c r="FT3389" s="12"/>
      <c r="FU3389" s="12"/>
      <c r="FV3389" s="12"/>
      <c r="FW3389" s="12"/>
      <c r="FX3389" s="12"/>
      <c r="FY3389" s="12"/>
      <c r="FZ3389" s="12"/>
      <c r="GA3389" s="12"/>
      <c r="GB3389" s="12"/>
      <c r="GC3389" s="12"/>
      <c r="GD3389" s="12"/>
      <c r="GE3389" s="12"/>
      <c r="GF3389" s="12"/>
      <c r="GG3389" s="12"/>
      <c r="GH3389" s="12"/>
      <c r="GI3389" s="12"/>
      <c r="GJ3389" s="12"/>
      <c r="GK3389" s="12"/>
      <c r="GL3389" s="12"/>
      <c r="GM3389" s="12"/>
      <c r="GN3389" s="12"/>
      <c r="GO3389" s="12"/>
      <c r="GP3389" s="12"/>
      <c r="GQ3389" s="12"/>
      <c r="GR3389" s="12"/>
      <c r="GS3389" s="12"/>
      <c r="GT3389" s="12"/>
      <c r="GU3389" s="12"/>
      <c r="GV3389" s="12"/>
      <c r="GW3389" s="12"/>
      <c r="GX3389" s="12"/>
      <c r="GY3389" s="12"/>
      <c r="GZ3389" s="12"/>
      <c r="HA3389" s="12"/>
      <c r="HB3389" s="12"/>
      <c r="HC3389" s="12"/>
      <c r="HD3389" s="12"/>
      <c r="HE3389" s="12"/>
      <c r="HF3389" s="12"/>
      <c r="HG3389" s="12"/>
      <c r="HH3389" s="12"/>
      <c r="HI3389" s="12"/>
      <c r="HJ3389" s="12"/>
      <c r="HK3389" s="12"/>
      <c r="HL3389" s="12"/>
      <c r="HM3389" s="12"/>
      <c r="HN3389" s="12"/>
      <c r="HO3389" s="12"/>
      <c r="HP3389" s="12"/>
      <c r="HQ3389" s="12"/>
      <c r="HR3389" s="12"/>
      <c r="HS3389" s="12"/>
      <c r="HT3389" s="12"/>
      <c r="HU3389" s="12"/>
      <c r="HV3389" s="12"/>
      <c r="HW3389" s="12"/>
      <c r="HX3389" s="12"/>
      <c r="HY3389" s="12"/>
      <c r="HZ3389" s="12"/>
      <c r="IA3389" s="12"/>
      <c r="IB3389" s="12"/>
      <c r="IC3389" s="12"/>
      <c r="ID3389" s="12"/>
      <c r="IE3389" s="12"/>
      <c r="IF3389" s="12"/>
      <c r="IG3389" s="12"/>
      <c r="IH3389" s="12"/>
      <c r="II3389" s="12"/>
      <c r="IJ3389" s="12"/>
      <c r="IK3389" s="12"/>
      <c r="IL3389" s="12"/>
      <c r="IM3389" s="12"/>
      <c r="IN3389" s="12"/>
      <c r="IO3389" s="12"/>
      <c r="IP3389" s="12"/>
      <c r="IQ3389" s="12"/>
      <c r="IR3389" s="12"/>
      <c r="IS3389" s="12"/>
      <c r="IT3389" s="12"/>
      <c r="IU3389" s="12"/>
      <c r="IV3389" s="12"/>
      <c r="IW3389" s="12"/>
      <c r="IX3389" s="12"/>
      <c r="IY3389" s="12"/>
      <c r="IZ3389" s="12"/>
      <c r="JA3389" s="12"/>
      <c r="JB3389" s="12"/>
      <c r="JC3389" s="12"/>
      <c r="JD3389" s="12"/>
      <c r="JE3389" s="12"/>
      <c r="JF3389" s="12"/>
      <c r="JG3389" s="12"/>
      <c r="JH3389" s="12"/>
      <c r="JI3389" s="12"/>
      <c r="JJ3389" s="12"/>
      <c r="JK3389" s="12"/>
      <c r="JL3389" s="12"/>
      <c r="JM3389" s="12"/>
      <c r="JN3389" s="12"/>
      <c r="JO3389" s="12"/>
      <c r="JP3389" s="12"/>
      <c r="JQ3389" s="12"/>
      <c r="JR3389" s="12"/>
      <c r="JS3389" s="12"/>
      <c r="JT3389" s="12"/>
      <c r="JU3389" s="12"/>
      <c r="JV3389" s="12"/>
      <c r="JW3389" s="12"/>
      <c r="JX3389" s="12"/>
      <c r="JY3389" s="12"/>
      <c r="JZ3389" s="12"/>
      <c r="KA3389" s="12"/>
      <c r="KB3389" s="12"/>
      <c r="KC3389" s="12"/>
      <c r="KD3389" s="12"/>
      <c r="KE3389" s="12"/>
      <c r="KF3389" s="12"/>
      <c r="KG3389" s="12"/>
      <c r="KH3389" s="12"/>
      <c r="KI3389" s="12"/>
      <c r="KJ3389" s="12"/>
      <c r="KK3389" s="12"/>
      <c r="KL3389" s="12"/>
      <c r="KM3389" s="12"/>
      <c r="KN3389" s="12"/>
      <c r="KO3389" s="12"/>
      <c r="KP3389" s="12"/>
      <c r="KQ3389" s="12"/>
      <c r="KR3389" s="12"/>
      <c r="KS3389" s="12"/>
      <c r="KT3389" s="12"/>
      <c r="KU3389" s="12"/>
      <c r="KV3389" s="12"/>
      <c r="KW3389" s="12"/>
      <c r="KX3389" s="12"/>
      <c r="KY3389" s="12"/>
      <c r="KZ3389" s="12"/>
      <c r="LA3389" s="12"/>
      <c r="LB3389" s="12"/>
      <c r="LC3389" s="12"/>
      <c r="LD3389" s="12"/>
      <c r="LE3389" s="12"/>
      <c r="LF3389" s="12"/>
      <c r="LG3389" s="12"/>
      <c r="LH3389" s="12"/>
      <c r="LI3389" s="12"/>
      <c r="LJ3389" s="12"/>
      <c r="LK3389" s="12"/>
      <c r="LL3389" s="12"/>
      <c r="LM3389" s="12"/>
      <c r="LN3389" s="12"/>
      <c r="LO3389" s="12"/>
      <c r="LP3389" s="12"/>
      <c r="LQ3389" s="12"/>
      <c r="LR3389" s="12"/>
      <c r="LS3389" s="12"/>
      <c r="LT3389" s="12"/>
      <c r="LU3389" s="12"/>
      <c r="LV3389" s="12"/>
      <c r="LW3389" s="12"/>
      <c r="LX3389" s="12"/>
      <c r="LY3389" s="12"/>
      <c r="LZ3389" s="12"/>
      <c r="MA3389" s="12"/>
      <c r="MB3389" s="12"/>
      <c r="MC3389" s="12"/>
      <c r="MD3389" s="12"/>
      <c r="ME3389" s="12"/>
      <c r="MF3389" s="12"/>
      <c r="MG3389" s="12"/>
      <c r="MH3389" s="12"/>
      <c r="MI3389" s="12"/>
      <c r="MJ3389" s="12"/>
      <c r="MK3389" s="12"/>
      <c r="ML3389" s="12"/>
      <c r="MM3389" s="12"/>
      <c r="MN3389" s="12"/>
      <c r="MO3389" s="12"/>
      <c r="MP3389" s="12"/>
      <c r="MQ3389" s="12"/>
      <c r="MR3389" s="12"/>
      <c r="MS3389" s="12"/>
      <c r="MT3389" s="12"/>
      <c r="MU3389" s="12"/>
      <c r="MV3389" s="12"/>
      <c r="MW3389" s="12"/>
      <c r="MX3389" s="12"/>
      <c r="MY3389" s="12"/>
      <c r="MZ3389" s="12"/>
      <c r="NA3389" s="12"/>
      <c r="NB3389" s="12"/>
      <c r="NC3389" s="12"/>
      <c r="ND3389" s="12"/>
      <c r="NE3389" s="12"/>
      <c r="NF3389" s="12"/>
      <c r="NG3389" s="12"/>
      <c r="NH3389" s="12"/>
      <c r="NI3389" s="12"/>
      <c r="NJ3389" s="12"/>
      <c r="NK3389" s="12"/>
      <c r="NL3389" s="12"/>
      <c r="NM3389" s="12"/>
      <c r="NN3389" s="12"/>
      <c r="NO3389" s="12"/>
      <c r="NP3389" s="12"/>
      <c r="NQ3389" s="12"/>
      <c r="NR3389" s="12"/>
      <c r="NS3389" s="12"/>
      <c r="NT3389" s="12"/>
      <c r="NU3389" s="12"/>
      <c r="NV3389" s="12"/>
      <c r="NW3389" s="12"/>
      <c r="NX3389" s="12"/>
      <c r="NY3389" s="12"/>
      <c r="NZ3389" s="12"/>
      <c r="OA3389" s="12"/>
      <c r="OB3389" s="12"/>
      <c r="OC3389" s="12"/>
      <c r="OD3389" s="12"/>
      <c r="OE3389" s="12"/>
      <c r="OF3389" s="12"/>
      <c r="OG3389" s="12"/>
      <c r="OH3389" s="12"/>
      <c r="OI3389" s="12"/>
      <c r="OJ3389" s="12"/>
      <c r="OK3389" s="12"/>
      <c r="OL3389" s="12"/>
      <c r="OM3389" s="12"/>
      <c r="ON3389" s="12"/>
      <c r="OO3389" s="12"/>
      <c r="OP3389" s="12"/>
      <c r="OQ3389" s="12"/>
      <c r="OR3389" s="12"/>
      <c r="OS3389" s="12"/>
      <c r="OT3389" s="12"/>
      <c r="OU3389" s="12"/>
      <c r="OV3389" s="12"/>
      <c r="OW3389" s="12"/>
      <c r="OX3389" s="12"/>
      <c r="OY3389" s="12"/>
      <c r="OZ3389" s="12"/>
      <c r="PA3389" s="12"/>
      <c r="PB3389" s="12"/>
      <c r="PC3389" s="12"/>
      <c r="PD3389" s="12"/>
      <c r="PE3389" s="12"/>
      <c r="PF3389" s="12"/>
      <c r="PG3389" s="12"/>
      <c r="PH3389" s="12"/>
      <c r="PI3389" s="12"/>
      <c r="PJ3389" s="12"/>
      <c r="PK3389" s="12"/>
      <c r="PL3389" s="12"/>
      <c r="PM3389" s="12"/>
      <c r="PN3389" s="12"/>
      <c r="PO3389" s="12"/>
      <c r="PP3389" s="12"/>
      <c r="PQ3389" s="12"/>
      <c r="PR3389" s="12"/>
      <c r="PS3389" s="12"/>
      <c r="PT3389" s="12"/>
      <c r="PU3389" s="12"/>
      <c r="PV3389" s="12"/>
      <c r="PW3389" s="12"/>
      <c r="PX3389" s="12"/>
      <c r="PY3389" s="12"/>
      <c r="PZ3389" s="12"/>
      <c r="QA3389" s="12"/>
      <c r="QB3389" s="12"/>
      <c r="QC3389" s="12"/>
      <c r="QD3389" s="12"/>
      <c r="QE3389" s="12"/>
      <c r="QF3389" s="12"/>
      <c r="QG3389" s="12"/>
      <c r="QH3389" s="12"/>
      <c r="QI3389" s="12"/>
      <c r="QJ3389" s="12"/>
      <c r="QK3389" s="12"/>
      <c r="QL3389" s="12"/>
      <c r="QM3389" s="12"/>
      <c r="QN3389" s="12"/>
      <c r="QO3389" s="12"/>
      <c r="QP3389" s="12"/>
      <c r="QQ3389" s="12"/>
      <c r="QR3389" s="12"/>
      <c r="QS3389" s="12"/>
      <c r="QT3389" s="12"/>
      <c r="QU3389" s="12"/>
      <c r="QV3389" s="12"/>
      <c r="QW3389" s="12"/>
      <c r="QX3389" s="12"/>
      <c r="QY3389" s="12"/>
      <c r="QZ3389" s="12"/>
      <c r="RA3389" s="12"/>
      <c r="RB3389" s="12"/>
      <c r="RC3389" s="12"/>
      <c r="RD3389" s="12"/>
      <c r="RE3389" s="12"/>
      <c r="RF3389" s="12"/>
      <c r="RG3389" s="12"/>
      <c r="RH3389" s="12"/>
      <c r="RI3389" s="12"/>
      <c r="RJ3389" s="12"/>
      <c r="RK3389" s="12"/>
      <c r="RL3389" s="12"/>
      <c r="RM3389" s="12"/>
      <c r="RN3389" s="12"/>
      <c r="RO3389" s="12"/>
      <c r="RP3389" s="12"/>
      <c r="RQ3389" s="12"/>
      <c r="RR3389" s="12"/>
      <c r="RS3389" s="12"/>
      <c r="RT3389" s="12"/>
      <c r="RU3389" s="12"/>
      <c r="RV3389" s="12"/>
      <c r="RW3389" s="12"/>
      <c r="RX3389" s="12"/>
      <c r="RY3389" s="12"/>
      <c r="RZ3389" s="12"/>
      <c r="SA3389" s="12"/>
      <c r="SB3389" s="12"/>
      <c r="SC3389" s="12"/>
      <c r="SD3389" s="12"/>
      <c r="SE3389" s="12"/>
      <c r="SF3389" s="12"/>
      <c r="SG3389" s="12"/>
      <c r="SH3389" s="12"/>
      <c r="SI3389" s="12"/>
      <c r="SJ3389" s="12"/>
      <c r="SK3389" s="12"/>
      <c r="SL3389" s="12"/>
      <c r="SM3389" s="12"/>
      <c r="SN3389" s="12"/>
      <c r="SO3389" s="12"/>
      <c r="SP3389" s="12"/>
      <c r="SQ3389" s="12"/>
      <c r="SR3389" s="12"/>
      <c r="SS3389" s="12"/>
      <c r="ST3389" s="12"/>
      <c r="SU3389" s="12"/>
      <c r="SV3389" s="12"/>
      <c r="SW3389" s="12"/>
      <c r="SX3389" s="12"/>
      <c r="SY3389" s="12"/>
      <c r="SZ3389" s="12"/>
      <c r="TA3389" s="12"/>
      <c r="TB3389" s="12"/>
      <c r="TC3389" s="12"/>
      <c r="TD3389" s="12"/>
      <c r="TE3389" s="12"/>
      <c r="TF3389" s="12"/>
      <c r="TG3389" s="12"/>
      <c r="TH3389" s="12"/>
      <c r="TI3389" s="12"/>
      <c r="TJ3389" s="12"/>
      <c r="TK3389" s="12"/>
      <c r="TL3389" s="12"/>
      <c r="TM3389" s="12"/>
      <c r="TN3389" s="12"/>
      <c r="TO3389" s="12"/>
      <c r="TP3389" s="12"/>
      <c r="TQ3389" s="12"/>
      <c r="TR3389" s="12"/>
      <c r="TS3389" s="12"/>
      <c r="TT3389" s="12"/>
      <c r="TU3389" s="12"/>
      <c r="TV3389" s="12"/>
      <c r="TW3389" s="12"/>
      <c r="TX3389" s="12"/>
      <c r="TY3389" s="12"/>
      <c r="TZ3389" s="12"/>
      <c r="UA3389" s="12"/>
      <c r="UB3389" s="12"/>
      <c r="UC3389" s="12"/>
      <c r="UD3389" s="12"/>
      <c r="UE3389" s="12"/>
      <c r="UF3389" s="12"/>
      <c r="UG3389" s="12"/>
      <c r="UH3389" s="12"/>
      <c r="UI3389" s="12"/>
      <c r="UJ3389" s="12"/>
      <c r="UK3389" s="12"/>
      <c r="UL3389" s="12"/>
      <c r="UM3389" s="12"/>
      <c r="UN3389" s="12"/>
      <c r="UO3389" s="12"/>
      <c r="UP3389" s="12"/>
      <c r="UQ3389" s="12"/>
      <c r="UR3389" s="12"/>
      <c r="US3389" s="12"/>
      <c r="UT3389" s="12"/>
      <c r="UU3389" s="12"/>
      <c r="UV3389" s="12"/>
      <c r="UW3389" s="12"/>
      <c r="UX3389" s="12"/>
      <c r="UY3389" s="12"/>
      <c r="UZ3389" s="12"/>
      <c r="VA3389" s="12"/>
      <c r="VB3389" s="12"/>
      <c r="VC3389" s="12"/>
      <c r="VD3389" s="12"/>
      <c r="VE3389" s="12"/>
      <c r="VF3389" s="12"/>
      <c r="VG3389" s="12"/>
      <c r="VH3389" s="12"/>
      <c r="VI3389" s="12"/>
      <c r="VJ3389" s="12"/>
      <c r="VK3389" s="12"/>
      <c r="VL3389" s="12"/>
      <c r="VM3389" s="12"/>
      <c r="VN3389" s="12"/>
      <c r="VO3389" s="12"/>
      <c r="VP3389" s="12"/>
      <c r="VQ3389" s="12"/>
      <c r="VR3389" s="12"/>
      <c r="VS3389" s="12"/>
      <c r="VT3389" s="12"/>
      <c r="VU3389" s="12"/>
      <c r="VV3389" s="12"/>
      <c r="VW3389" s="12"/>
      <c r="VX3389" s="12"/>
      <c r="VY3389" s="12"/>
      <c r="VZ3389" s="12"/>
      <c r="WA3389" s="12"/>
      <c r="WB3389" s="12"/>
      <c r="WC3389" s="12"/>
      <c r="WD3389" s="12"/>
      <c r="WE3389" s="12"/>
      <c r="WF3389" s="12"/>
      <c r="WG3389" s="12"/>
      <c r="WH3389" s="12"/>
      <c r="WI3389" s="12"/>
      <c r="WJ3389" s="12"/>
      <c r="WK3389" s="12"/>
      <c r="WL3389" s="12"/>
      <c r="WM3389" s="12"/>
      <c r="WN3389" s="12"/>
      <c r="WO3389" s="12"/>
      <c r="WP3389" s="12"/>
      <c r="WQ3389" s="12"/>
      <c r="WR3389" s="12"/>
      <c r="WS3389" s="12"/>
      <c r="WT3389" s="12"/>
      <c r="WU3389" s="12"/>
      <c r="WV3389" s="12"/>
      <c r="WW3389" s="12"/>
      <c r="WX3389" s="12"/>
      <c r="WY3389" s="12"/>
      <c r="WZ3389" s="12"/>
      <c r="XA3389" s="12"/>
      <c r="XB3389" s="12"/>
      <c r="XC3389" s="12"/>
      <c r="XD3389" s="12"/>
      <c r="XE3389" s="12"/>
      <c r="XF3389" s="12"/>
      <c r="XG3389" s="12"/>
      <c r="XH3389" s="12"/>
      <c r="XI3389" s="12"/>
      <c r="XJ3389" s="12"/>
      <c r="XK3389" s="12"/>
      <c r="XL3389" s="12"/>
      <c r="XM3389" s="12"/>
      <c r="XN3389" s="12"/>
      <c r="XO3389" s="12"/>
      <c r="XP3389" s="12"/>
      <c r="XQ3389" s="12"/>
      <c r="XR3389" s="12"/>
      <c r="XS3389" s="12"/>
      <c r="XT3389" s="12"/>
      <c r="XU3389" s="12"/>
      <c r="XV3389" s="12"/>
      <c r="XW3389" s="12"/>
      <c r="XX3389" s="12"/>
      <c r="XY3389" s="12"/>
      <c r="XZ3389" s="12"/>
      <c r="YA3389" s="12"/>
      <c r="YB3389" s="12"/>
      <c r="YC3389" s="12"/>
      <c r="YD3389" s="12"/>
      <c r="YE3389" s="12"/>
      <c r="YF3389" s="12"/>
      <c r="YG3389" s="12"/>
      <c r="YH3389" s="12"/>
      <c r="YI3389" s="12"/>
      <c r="YJ3389" s="12"/>
      <c r="YK3389" s="12"/>
      <c r="YL3389" s="12"/>
      <c r="YM3389" s="12"/>
      <c r="YN3389" s="12"/>
      <c r="YO3389" s="12"/>
      <c r="YP3389" s="12"/>
      <c r="YQ3389" s="12"/>
      <c r="YR3389" s="12"/>
      <c r="YS3389" s="12"/>
      <c r="YT3389" s="12"/>
      <c r="YU3389" s="12"/>
      <c r="YV3389" s="12"/>
      <c r="YW3389" s="12"/>
      <c r="YX3389" s="12"/>
      <c r="YY3389" s="12"/>
      <c r="YZ3389" s="12"/>
      <c r="ZA3389" s="12"/>
      <c r="ZB3389" s="12"/>
      <c r="ZC3389" s="12"/>
      <c r="ZD3389" s="12"/>
      <c r="ZE3389" s="12"/>
      <c r="ZF3389" s="12"/>
      <c r="ZG3389" s="12"/>
      <c r="ZH3389" s="12"/>
      <c r="ZI3389" s="12"/>
      <c r="ZJ3389" s="12"/>
      <c r="ZK3389" s="12"/>
      <c r="ZL3389" s="12"/>
      <c r="ZM3389" s="12"/>
      <c r="ZN3389" s="12"/>
      <c r="ZO3389" s="12"/>
      <c r="ZP3389" s="12"/>
      <c r="ZQ3389" s="12"/>
      <c r="ZR3389" s="12"/>
      <c r="ZS3389" s="12"/>
      <c r="ZT3389" s="12"/>
      <c r="ZU3389" s="12"/>
      <c r="ZV3389" s="12"/>
      <c r="ZW3389" s="12"/>
      <c r="ZX3389" s="12"/>
    </row>
    <row r="3390" spans="1:700" s="45" customFormat="1" ht="14.4" hidden="1">
      <c r="A3390" s="53">
        <f>IF(C3390="","",MAX($A$1:A3389)+1)</f>
        <v>3105</v>
      </c>
      <c r="B3390" s="36" t="s">
        <v>141</v>
      </c>
      <c r="C3390" s="23">
        <v>46109</v>
      </c>
      <c r="D3390" s="28" t="str">
        <f>_xlfn.XLOOKUP(Table134526_79101120212223242526[[#This Row],[Name Surname]],Manpower!$C$4:$C$1048576,Manpower!$B$4:$B$1048576,"")</f>
        <v>Encogroup</v>
      </c>
      <c r="E3390" s="21" t="s">
        <v>217</v>
      </c>
      <c r="F3390" s="12">
        <f>_xlfn.XLOOKUP(Table134526_79101120212223242526[[#This Row],[Name Surname]],Manpower!C:C,Manpower!D:D,)</f>
        <v>140742177</v>
      </c>
      <c r="G3390" s="28" t="str">
        <f>_xlfn.XLOOKUP(Table134526_79101120212223242526[[#This Row],[Name Surname]],Manpower!$C$4:$C$1048576,Manpower!$F$4:$F$1048576,"")</f>
        <v>Grinder</v>
      </c>
      <c r="H3390" s="28" t="str">
        <f>_xlfn.XLOOKUP(Table134526_79101120212223242526[[#This Row],[Name Surname]],Manpower!$C$4:$C$1048576,Manpower!$H$4:$H$1048576,"")</f>
        <v>Manpower</v>
      </c>
      <c r="I3390" s="28" t="str">
        <f>_xlfn.XLOOKUP(Table134526_79101120212223242526[[#This Row],[Name Surname]],Manpower!$C$4:$C$1048576,Manpower!$H$4:$H$1048576,"")</f>
        <v>Manpower</v>
      </c>
      <c r="J3390" s="21" t="s">
        <v>143</v>
      </c>
      <c r="K3390" s="21" t="s">
        <v>26</v>
      </c>
      <c r="L3390" s="21" t="s">
        <v>144</v>
      </c>
      <c r="M3390" s="21" t="s">
        <v>55</v>
      </c>
      <c r="N3390" s="29">
        <v>10</v>
      </c>
      <c r="O3390" s="21"/>
      <c r="P3390" s="21"/>
      <c r="Q3390" s="21"/>
      <c r="R3390" s="21" t="s">
        <v>420</v>
      </c>
      <c r="S3390" s="21"/>
      <c r="T3390" s="12"/>
      <c r="U3390" s="12"/>
      <c r="V3390" s="12"/>
      <c r="W3390" s="12"/>
      <c r="X3390" s="12"/>
      <c r="Y3390" s="12"/>
      <c r="Z3390" s="12"/>
      <c r="AA3390" s="12"/>
      <c r="AB3390" s="12"/>
      <c r="AC3390" s="12"/>
      <c r="AD3390" s="12"/>
      <c r="AE3390" s="12"/>
      <c r="AF3390" s="12"/>
      <c r="AG3390" s="12"/>
      <c r="AH3390" s="12"/>
      <c r="AI3390" s="12"/>
      <c r="AJ3390" s="12"/>
      <c r="AK3390" s="12"/>
      <c r="AL3390" s="12"/>
      <c r="AM3390" s="12"/>
      <c r="AN3390" s="12"/>
      <c r="AO3390" s="12"/>
      <c r="AP3390" s="12"/>
      <c r="AQ3390" s="12"/>
      <c r="AR3390" s="12"/>
      <c r="AS3390" s="12"/>
      <c r="AT3390" s="12"/>
      <c r="AU3390" s="12"/>
      <c r="AV3390" s="12"/>
      <c r="AW3390" s="12"/>
      <c r="AX3390" s="12"/>
      <c r="AY3390" s="12"/>
      <c r="AZ3390" s="12"/>
      <c r="BA3390" s="12"/>
      <c r="BB3390" s="12"/>
      <c r="BC3390" s="12"/>
      <c r="BD3390" s="12"/>
      <c r="BE3390" s="12"/>
      <c r="BF3390" s="12"/>
      <c r="BG3390" s="12"/>
      <c r="BH3390" s="12"/>
      <c r="BI3390" s="12"/>
      <c r="BJ3390" s="12"/>
      <c r="BK3390" s="12"/>
      <c r="BL3390" s="12"/>
      <c r="BM3390" s="12"/>
      <c r="BN3390" s="12"/>
      <c r="BO3390" s="12"/>
      <c r="BP3390" s="12"/>
      <c r="BQ3390" s="12"/>
      <c r="BR3390" s="12"/>
      <c r="BS3390" s="12"/>
      <c r="BT3390" s="12"/>
      <c r="BU3390" s="12"/>
      <c r="BV3390" s="12"/>
      <c r="BW3390" s="12"/>
      <c r="BX3390" s="12"/>
      <c r="BY3390" s="12"/>
      <c r="BZ3390" s="12"/>
      <c r="CA3390" s="12"/>
      <c r="CB3390" s="12"/>
      <c r="CC3390" s="12"/>
      <c r="CD3390" s="12"/>
      <c r="CE3390" s="12"/>
      <c r="CF3390" s="12"/>
      <c r="CG3390" s="12"/>
      <c r="CH3390" s="12"/>
      <c r="CI3390" s="12"/>
      <c r="CJ3390" s="12"/>
      <c r="CK3390" s="12"/>
      <c r="CL3390" s="12"/>
      <c r="CM3390" s="12"/>
      <c r="CN3390" s="12"/>
      <c r="CO3390" s="12"/>
      <c r="CP3390" s="12"/>
      <c r="CQ3390" s="12"/>
      <c r="CR3390" s="12"/>
      <c r="CS3390" s="12"/>
      <c r="CT3390" s="12"/>
      <c r="CU3390" s="12"/>
      <c r="CV3390" s="12"/>
      <c r="CW3390" s="12"/>
      <c r="CX3390" s="12"/>
      <c r="CY3390" s="12"/>
      <c r="CZ3390" s="12"/>
      <c r="DA3390" s="12"/>
      <c r="DB3390" s="12"/>
      <c r="DC3390" s="12"/>
      <c r="DD3390" s="12"/>
      <c r="DE3390" s="12"/>
      <c r="DF3390" s="12"/>
      <c r="DG3390" s="12"/>
      <c r="DH3390" s="12"/>
      <c r="DI3390" s="12"/>
      <c r="DJ3390" s="12"/>
      <c r="DK3390" s="12"/>
      <c r="DL3390" s="12"/>
      <c r="DM3390" s="12"/>
      <c r="DN3390" s="12"/>
      <c r="DO3390" s="12"/>
      <c r="DP3390" s="12"/>
      <c r="DQ3390" s="12"/>
      <c r="DR3390" s="12"/>
      <c r="DS3390" s="12"/>
      <c r="DT3390" s="12"/>
      <c r="DU3390" s="12"/>
      <c r="DV3390" s="12"/>
      <c r="DW3390" s="12"/>
      <c r="DX3390" s="12"/>
      <c r="DY3390" s="12"/>
      <c r="DZ3390" s="12"/>
      <c r="EA3390" s="12"/>
      <c r="EB3390" s="12"/>
      <c r="EC3390" s="12"/>
      <c r="ED3390" s="12"/>
      <c r="EE3390" s="12"/>
      <c r="EF3390" s="12"/>
      <c r="EG3390" s="12"/>
      <c r="EH3390" s="12"/>
      <c r="EI3390" s="12"/>
      <c r="EJ3390" s="12"/>
      <c r="EK3390" s="12"/>
      <c r="EL3390" s="12"/>
      <c r="EM3390" s="12"/>
      <c r="EN3390" s="12"/>
      <c r="EO3390" s="12"/>
      <c r="EP3390" s="12"/>
      <c r="EQ3390" s="12"/>
      <c r="ER3390" s="12"/>
      <c r="ES3390" s="12"/>
      <c r="ET3390" s="12"/>
      <c r="EU3390" s="12"/>
      <c r="EV3390" s="12"/>
      <c r="EW3390" s="12"/>
      <c r="EX3390" s="12"/>
      <c r="EY3390" s="12"/>
      <c r="EZ3390" s="12"/>
      <c r="FA3390" s="12"/>
      <c r="FB3390" s="12"/>
      <c r="FC3390" s="12"/>
      <c r="FD3390" s="12"/>
      <c r="FE3390" s="12"/>
      <c r="FF3390" s="12"/>
      <c r="FG3390" s="12"/>
      <c r="FH3390" s="12"/>
      <c r="FI3390" s="12"/>
      <c r="FJ3390" s="12"/>
      <c r="FK3390" s="12"/>
      <c r="FL3390" s="12"/>
      <c r="FM3390" s="12"/>
      <c r="FN3390" s="12"/>
      <c r="FO3390" s="12"/>
      <c r="FP3390" s="12"/>
      <c r="FQ3390" s="12"/>
      <c r="FR3390" s="12"/>
      <c r="FS3390" s="12"/>
      <c r="FT3390" s="12"/>
      <c r="FU3390" s="12"/>
      <c r="FV3390" s="12"/>
      <c r="FW3390" s="12"/>
      <c r="FX3390" s="12"/>
      <c r="FY3390" s="12"/>
      <c r="FZ3390" s="12"/>
      <c r="GA3390" s="12"/>
      <c r="GB3390" s="12"/>
      <c r="GC3390" s="12"/>
      <c r="GD3390" s="12"/>
      <c r="GE3390" s="12"/>
      <c r="GF3390" s="12"/>
      <c r="GG3390" s="12"/>
      <c r="GH3390" s="12"/>
      <c r="GI3390" s="12"/>
      <c r="GJ3390" s="12"/>
      <c r="GK3390" s="12"/>
      <c r="GL3390" s="12"/>
      <c r="GM3390" s="12"/>
      <c r="GN3390" s="12"/>
      <c r="GO3390" s="12"/>
      <c r="GP3390" s="12"/>
      <c r="GQ3390" s="12"/>
      <c r="GR3390" s="12"/>
      <c r="GS3390" s="12"/>
      <c r="GT3390" s="12"/>
      <c r="GU3390" s="12"/>
      <c r="GV3390" s="12"/>
      <c r="GW3390" s="12"/>
      <c r="GX3390" s="12"/>
      <c r="GY3390" s="12"/>
      <c r="GZ3390" s="12"/>
      <c r="HA3390" s="12"/>
      <c r="HB3390" s="12"/>
      <c r="HC3390" s="12"/>
      <c r="HD3390" s="12"/>
      <c r="HE3390" s="12"/>
      <c r="HF3390" s="12"/>
      <c r="HG3390" s="12"/>
      <c r="HH3390" s="12"/>
      <c r="HI3390" s="12"/>
      <c r="HJ3390" s="12"/>
      <c r="HK3390" s="12"/>
      <c r="HL3390" s="12"/>
      <c r="HM3390" s="12"/>
      <c r="HN3390" s="12"/>
      <c r="HO3390" s="12"/>
      <c r="HP3390" s="12"/>
      <c r="HQ3390" s="12"/>
      <c r="HR3390" s="12"/>
      <c r="HS3390" s="12"/>
      <c r="HT3390" s="12"/>
      <c r="HU3390" s="12"/>
      <c r="HV3390" s="12"/>
      <c r="HW3390" s="12"/>
      <c r="HX3390" s="12"/>
      <c r="HY3390" s="12"/>
      <c r="HZ3390" s="12"/>
      <c r="IA3390" s="12"/>
      <c r="IB3390" s="12"/>
      <c r="IC3390" s="12"/>
      <c r="ID3390" s="12"/>
      <c r="IE3390" s="12"/>
      <c r="IF3390" s="12"/>
      <c r="IG3390" s="12"/>
      <c r="IH3390" s="12"/>
      <c r="II3390" s="12"/>
      <c r="IJ3390" s="12"/>
      <c r="IK3390" s="12"/>
      <c r="IL3390" s="12"/>
      <c r="IM3390" s="12"/>
      <c r="IN3390" s="12"/>
      <c r="IO3390" s="12"/>
      <c r="IP3390" s="12"/>
      <c r="IQ3390" s="12"/>
      <c r="IR3390" s="12"/>
      <c r="IS3390" s="12"/>
      <c r="IT3390" s="12"/>
      <c r="IU3390" s="12"/>
      <c r="IV3390" s="12"/>
      <c r="IW3390" s="12"/>
      <c r="IX3390" s="12"/>
      <c r="IY3390" s="12"/>
      <c r="IZ3390" s="12"/>
      <c r="JA3390" s="12"/>
      <c r="JB3390" s="12"/>
      <c r="JC3390" s="12"/>
      <c r="JD3390" s="12"/>
      <c r="JE3390" s="12"/>
      <c r="JF3390" s="12"/>
      <c r="JG3390" s="12"/>
      <c r="JH3390" s="12"/>
      <c r="JI3390" s="12"/>
      <c r="JJ3390" s="12"/>
      <c r="JK3390" s="12"/>
      <c r="JL3390" s="12"/>
      <c r="JM3390" s="12"/>
      <c r="JN3390" s="12"/>
      <c r="JO3390" s="12"/>
      <c r="JP3390" s="12"/>
      <c r="JQ3390" s="12"/>
      <c r="JR3390" s="12"/>
      <c r="JS3390" s="12"/>
      <c r="JT3390" s="12"/>
      <c r="JU3390" s="12"/>
      <c r="JV3390" s="12"/>
      <c r="JW3390" s="12"/>
      <c r="JX3390" s="12"/>
      <c r="JY3390" s="12"/>
      <c r="JZ3390" s="12"/>
      <c r="KA3390" s="12"/>
      <c r="KB3390" s="12"/>
      <c r="KC3390" s="12"/>
      <c r="KD3390" s="12"/>
      <c r="KE3390" s="12"/>
      <c r="KF3390" s="12"/>
      <c r="KG3390" s="12"/>
      <c r="KH3390" s="12"/>
      <c r="KI3390" s="12"/>
      <c r="KJ3390" s="12"/>
      <c r="KK3390" s="12"/>
      <c r="KL3390" s="12"/>
      <c r="KM3390" s="12"/>
      <c r="KN3390" s="12"/>
      <c r="KO3390" s="12"/>
      <c r="KP3390" s="12"/>
      <c r="KQ3390" s="12"/>
      <c r="KR3390" s="12"/>
      <c r="KS3390" s="12"/>
      <c r="KT3390" s="12"/>
      <c r="KU3390" s="12"/>
      <c r="KV3390" s="12"/>
      <c r="KW3390" s="12"/>
      <c r="KX3390" s="12"/>
      <c r="KY3390" s="12"/>
      <c r="KZ3390" s="12"/>
      <c r="LA3390" s="12"/>
      <c r="LB3390" s="12"/>
      <c r="LC3390" s="12"/>
      <c r="LD3390" s="12"/>
      <c r="LE3390" s="12"/>
      <c r="LF3390" s="12"/>
      <c r="LG3390" s="12"/>
      <c r="LH3390" s="12"/>
      <c r="LI3390" s="12"/>
      <c r="LJ3390" s="12"/>
      <c r="LK3390" s="12"/>
      <c r="LL3390" s="12"/>
      <c r="LM3390" s="12"/>
      <c r="LN3390" s="12"/>
      <c r="LO3390" s="12"/>
      <c r="LP3390" s="12"/>
      <c r="LQ3390" s="12"/>
      <c r="LR3390" s="12"/>
      <c r="LS3390" s="12"/>
      <c r="LT3390" s="12"/>
      <c r="LU3390" s="12"/>
      <c r="LV3390" s="12"/>
      <c r="LW3390" s="12"/>
      <c r="LX3390" s="12"/>
      <c r="LY3390" s="12"/>
      <c r="LZ3390" s="12"/>
      <c r="MA3390" s="12"/>
      <c r="MB3390" s="12"/>
      <c r="MC3390" s="12"/>
      <c r="MD3390" s="12"/>
      <c r="ME3390" s="12"/>
      <c r="MF3390" s="12"/>
      <c r="MG3390" s="12"/>
      <c r="MH3390" s="12"/>
      <c r="MI3390" s="12"/>
      <c r="MJ3390" s="12"/>
      <c r="MK3390" s="12"/>
      <c r="ML3390" s="12"/>
      <c r="MM3390" s="12"/>
      <c r="MN3390" s="12"/>
      <c r="MO3390" s="12"/>
      <c r="MP3390" s="12"/>
      <c r="MQ3390" s="12"/>
      <c r="MR3390" s="12"/>
      <c r="MS3390" s="12"/>
      <c r="MT3390" s="12"/>
      <c r="MU3390" s="12"/>
      <c r="MV3390" s="12"/>
      <c r="MW3390" s="12"/>
      <c r="MX3390" s="12"/>
      <c r="MY3390" s="12"/>
      <c r="MZ3390" s="12"/>
      <c r="NA3390" s="12"/>
      <c r="NB3390" s="12"/>
      <c r="NC3390" s="12"/>
      <c r="ND3390" s="12"/>
      <c r="NE3390" s="12"/>
      <c r="NF3390" s="12"/>
      <c r="NG3390" s="12"/>
      <c r="NH3390" s="12"/>
      <c r="NI3390" s="12"/>
      <c r="NJ3390" s="12"/>
      <c r="NK3390" s="12"/>
      <c r="NL3390" s="12"/>
      <c r="NM3390" s="12"/>
      <c r="NN3390" s="12"/>
      <c r="NO3390" s="12"/>
      <c r="NP3390" s="12"/>
      <c r="NQ3390" s="12"/>
      <c r="NR3390" s="12"/>
      <c r="NS3390" s="12"/>
      <c r="NT3390" s="12"/>
      <c r="NU3390" s="12"/>
      <c r="NV3390" s="12"/>
      <c r="NW3390" s="12"/>
      <c r="NX3390" s="12"/>
      <c r="NY3390" s="12"/>
      <c r="NZ3390" s="12"/>
      <c r="OA3390" s="12"/>
      <c r="OB3390" s="12"/>
      <c r="OC3390" s="12"/>
      <c r="OD3390" s="12"/>
      <c r="OE3390" s="12"/>
      <c r="OF3390" s="12"/>
      <c r="OG3390" s="12"/>
      <c r="OH3390" s="12"/>
      <c r="OI3390" s="12"/>
      <c r="OJ3390" s="12"/>
      <c r="OK3390" s="12"/>
      <c r="OL3390" s="12"/>
      <c r="OM3390" s="12"/>
      <c r="ON3390" s="12"/>
      <c r="OO3390" s="12"/>
      <c r="OP3390" s="12"/>
      <c r="OQ3390" s="12"/>
      <c r="OR3390" s="12"/>
      <c r="OS3390" s="12"/>
      <c r="OT3390" s="12"/>
      <c r="OU3390" s="12"/>
      <c r="OV3390" s="12"/>
      <c r="OW3390" s="12"/>
      <c r="OX3390" s="12"/>
      <c r="OY3390" s="12"/>
      <c r="OZ3390" s="12"/>
      <c r="PA3390" s="12"/>
      <c r="PB3390" s="12"/>
      <c r="PC3390" s="12"/>
      <c r="PD3390" s="12"/>
      <c r="PE3390" s="12"/>
      <c r="PF3390" s="12"/>
      <c r="PG3390" s="12"/>
      <c r="PH3390" s="12"/>
      <c r="PI3390" s="12"/>
      <c r="PJ3390" s="12"/>
      <c r="PK3390" s="12"/>
      <c r="PL3390" s="12"/>
      <c r="PM3390" s="12"/>
      <c r="PN3390" s="12"/>
      <c r="PO3390" s="12"/>
      <c r="PP3390" s="12"/>
      <c r="PQ3390" s="12"/>
      <c r="PR3390" s="12"/>
      <c r="PS3390" s="12"/>
      <c r="PT3390" s="12"/>
      <c r="PU3390" s="12"/>
      <c r="PV3390" s="12"/>
      <c r="PW3390" s="12"/>
      <c r="PX3390" s="12"/>
      <c r="PY3390" s="12"/>
      <c r="PZ3390" s="12"/>
      <c r="QA3390" s="12"/>
      <c r="QB3390" s="12"/>
      <c r="QC3390" s="12"/>
      <c r="QD3390" s="12"/>
      <c r="QE3390" s="12"/>
      <c r="QF3390" s="12"/>
      <c r="QG3390" s="12"/>
      <c r="QH3390" s="12"/>
      <c r="QI3390" s="12"/>
      <c r="QJ3390" s="12"/>
      <c r="QK3390" s="12"/>
      <c r="QL3390" s="12"/>
      <c r="QM3390" s="12"/>
      <c r="QN3390" s="12"/>
      <c r="QO3390" s="12"/>
      <c r="QP3390" s="12"/>
      <c r="QQ3390" s="12"/>
      <c r="QR3390" s="12"/>
      <c r="QS3390" s="12"/>
      <c r="QT3390" s="12"/>
      <c r="QU3390" s="12"/>
      <c r="QV3390" s="12"/>
      <c r="QW3390" s="12"/>
      <c r="QX3390" s="12"/>
      <c r="QY3390" s="12"/>
      <c r="QZ3390" s="12"/>
      <c r="RA3390" s="12"/>
      <c r="RB3390" s="12"/>
      <c r="RC3390" s="12"/>
      <c r="RD3390" s="12"/>
      <c r="RE3390" s="12"/>
      <c r="RF3390" s="12"/>
      <c r="RG3390" s="12"/>
      <c r="RH3390" s="12"/>
      <c r="RI3390" s="12"/>
      <c r="RJ3390" s="12"/>
      <c r="RK3390" s="12"/>
      <c r="RL3390" s="12"/>
      <c r="RM3390" s="12"/>
      <c r="RN3390" s="12"/>
      <c r="RO3390" s="12"/>
      <c r="RP3390" s="12"/>
      <c r="RQ3390" s="12"/>
      <c r="RR3390" s="12"/>
      <c r="RS3390" s="12"/>
      <c r="RT3390" s="12"/>
      <c r="RU3390" s="12"/>
      <c r="RV3390" s="12"/>
      <c r="RW3390" s="12"/>
      <c r="RX3390" s="12"/>
      <c r="RY3390" s="12"/>
      <c r="RZ3390" s="12"/>
      <c r="SA3390" s="12"/>
      <c r="SB3390" s="12"/>
      <c r="SC3390" s="12"/>
      <c r="SD3390" s="12"/>
      <c r="SE3390" s="12"/>
      <c r="SF3390" s="12"/>
      <c r="SG3390" s="12"/>
      <c r="SH3390" s="12"/>
      <c r="SI3390" s="12"/>
      <c r="SJ3390" s="12"/>
      <c r="SK3390" s="12"/>
      <c r="SL3390" s="12"/>
      <c r="SM3390" s="12"/>
      <c r="SN3390" s="12"/>
      <c r="SO3390" s="12"/>
      <c r="SP3390" s="12"/>
      <c r="SQ3390" s="12"/>
      <c r="SR3390" s="12"/>
      <c r="SS3390" s="12"/>
      <c r="ST3390" s="12"/>
      <c r="SU3390" s="12"/>
      <c r="SV3390" s="12"/>
      <c r="SW3390" s="12"/>
      <c r="SX3390" s="12"/>
      <c r="SY3390" s="12"/>
      <c r="SZ3390" s="12"/>
      <c r="TA3390" s="12"/>
      <c r="TB3390" s="12"/>
      <c r="TC3390" s="12"/>
      <c r="TD3390" s="12"/>
      <c r="TE3390" s="12"/>
      <c r="TF3390" s="12"/>
      <c r="TG3390" s="12"/>
      <c r="TH3390" s="12"/>
      <c r="TI3390" s="12"/>
      <c r="TJ3390" s="12"/>
      <c r="TK3390" s="12"/>
      <c r="TL3390" s="12"/>
      <c r="TM3390" s="12"/>
      <c r="TN3390" s="12"/>
      <c r="TO3390" s="12"/>
      <c r="TP3390" s="12"/>
      <c r="TQ3390" s="12"/>
      <c r="TR3390" s="12"/>
      <c r="TS3390" s="12"/>
      <c r="TT3390" s="12"/>
      <c r="TU3390" s="12"/>
      <c r="TV3390" s="12"/>
      <c r="TW3390" s="12"/>
      <c r="TX3390" s="12"/>
      <c r="TY3390" s="12"/>
      <c r="TZ3390" s="12"/>
      <c r="UA3390" s="12"/>
      <c r="UB3390" s="12"/>
      <c r="UC3390" s="12"/>
      <c r="UD3390" s="12"/>
      <c r="UE3390" s="12"/>
      <c r="UF3390" s="12"/>
      <c r="UG3390" s="12"/>
      <c r="UH3390" s="12"/>
      <c r="UI3390" s="12"/>
      <c r="UJ3390" s="12"/>
      <c r="UK3390" s="12"/>
      <c r="UL3390" s="12"/>
      <c r="UM3390" s="12"/>
      <c r="UN3390" s="12"/>
      <c r="UO3390" s="12"/>
      <c r="UP3390" s="12"/>
      <c r="UQ3390" s="12"/>
      <c r="UR3390" s="12"/>
      <c r="US3390" s="12"/>
      <c r="UT3390" s="12"/>
      <c r="UU3390" s="12"/>
      <c r="UV3390" s="12"/>
      <c r="UW3390" s="12"/>
      <c r="UX3390" s="12"/>
      <c r="UY3390" s="12"/>
      <c r="UZ3390" s="12"/>
      <c r="VA3390" s="12"/>
      <c r="VB3390" s="12"/>
      <c r="VC3390" s="12"/>
      <c r="VD3390" s="12"/>
      <c r="VE3390" s="12"/>
      <c r="VF3390" s="12"/>
      <c r="VG3390" s="12"/>
      <c r="VH3390" s="12"/>
      <c r="VI3390" s="12"/>
      <c r="VJ3390" s="12"/>
      <c r="VK3390" s="12"/>
      <c r="VL3390" s="12"/>
      <c r="VM3390" s="12"/>
      <c r="VN3390" s="12"/>
      <c r="VO3390" s="12"/>
      <c r="VP3390" s="12"/>
      <c r="VQ3390" s="12"/>
      <c r="VR3390" s="12"/>
      <c r="VS3390" s="12"/>
      <c r="VT3390" s="12"/>
      <c r="VU3390" s="12"/>
      <c r="VV3390" s="12"/>
      <c r="VW3390" s="12"/>
      <c r="VX3390" s="12"/>
      <c r="VY3390" s="12"/>
      <c r="VZ3390" s="12"/>
      <c r="WA3390" s="12"/>
      <c r="WB3390" s="12"/>
      <c r="WC3390" s="12"/>
      <c r="WD3390" s="12"/>
      <c r="WE3390" s="12"/>
      <c r="WF3390" s="12"/>
      <c r="WG3390" s="12"/>
      <c r="WH3390" s="12"/>
      <c r="WI3390" s="12"/>
      <c r="WJ3390" s="12"/>
      <c r="WK3390" s="12"/>
      <c r="WL3390" s="12"/>
      <c r="WM3390" s="12"/>
      <c r="WN3390" s="12"/>
      <c r="WO3390" s="12"/>
      <c r="WP3390" s="12"/>
      <c r="WQ3390" s="12"/>
      <c r="WR3390" s="12"/>
      <c r="WS3390" s="12"/>
      <c r="WT3390" s="12"/>
      <c r="WU3390" s="12"/>
      <c r="WV3390" s="12"/>
      <c r="WW3390" s="12"/>
      <c r="WX3390" s="12"/>
      <c r="WY3390" s="12"/>
      <c r="WZ3390" s="12"/>
      <c r="XA3390" s="12"/>
      <c r="XB3390" s="12"/>
      <c r="XC3390" s="12"/>
      <c r="XD3390" s="12"/>
      <c r="XE3390" s="12"/>
      <c r="XF3390" s="12"/>
      <c r="XG3390" s="12"/>
      <c r="XH3390" s="12"/>
      <c r="XI3390" s="12"/>
      <c r="XJ3390" s="12"/>
      <c r="XK3390" s="12"/>
      <c r="XL3390" s="12"/>
      <c r="XM3390" s="12"/>
      <c r="XN3390" s="12"/>
      <c r="XO3390" s="12"/>
      <c r="XP3390" s="12"/>
      <c r="XQ3390" s="12"/>
      <c r="XR3390" s="12"/>
      <c r="XS3390" s="12"/>
      <c r="XT3390" s="12"/>
      <c r="XU3390" s="12"/>
      <c r="XV3390" s="12"/>
      <c r="XW3390" s="12"/>
      <c r="XX3390" s="12"/>
      <c r="XY3390" s="12"/>
      <c r="XZ3390" s="12"/>
      <c r="YA3390" s="12"/>
      <c r="YB3390" s="12"/>
      <c r="YC3390" s="12"/>
      <c r="YD3390" s="12"/>
      <c r="YE3390" s="12"/>
      <c r="YF3390" s="12"/>
      <c r="YG3390" s="12"/>
      <c r="YH3390" s="12"/>
      <c r="YI3390" s="12"/>
      <c r="YJ3390" s="12"/>
      <c r="YK3390" s="12"/>
      <c r="YL3390" s="12"/>
      <c r="YM3390" s="12"/>
      <c r="YN3390" s="12"/>
      <c r="YO3390" s="12"/>
      <c r="YP3390" s="12"/>
      <c r="YQ3390" s="12"/>
      <c r="YR3390" s="12"/>
      <c r="YS3390" s="12"/>
      <c r="YT3390" s="12"/>
      <c r="YU3390" s="12"/>
      <c r="YV3390" s="12"/>
      <c r="YW3390" s="12"/>
      <c r="YX3390" s="12"/>
      <c r="YY3390" s="12"/>
      <c r="YZ3390" s="12"/>
      <c r="ZA3390" s="12"/>
      <c r="ZB3390" s="12"/>
      <c r="ZC3390" s="12"/>
      <c r="ZD3390" s="12"/>
      <c r="ZE3390" s="12"/>
      <c r="ZF3390" s="12"/>
      <c r="ZG3390" s="12"/>
      <c r="ZH3390" s="12"/>
      <c r="ZI3390" s="12"/>
      <c r="ZJ3390" s="12"/>
      <c r="ZK3390" s="12"/>
      <c r="ZL3390" s="12"/>
      <c r="ZM3390" s="12"/>
      <c r="ZN3390" s="12"/>
      <c r="ZO3390" s="12"/>
      <c r="ZP3390" s="12"/>
      <c r="ZQ3390" s="12"/>
      <c r="ZR3390" s="12"/>
      <c r="ZS3390" s="12"/>
      <c r="ZT3390" s="12"/>
      <c r="ZU3390" s="12"/>
      <c r="ZV3390" s="12"/>
      <c r="ZW3390" s="12"/>
      <c r="ZX3390" s="12"/>
    </row>
    <row r="3391" spans="1:700" s="45" customFormat="1" ht="14.4" hidden="1">
      <c r="A3391" s="53">
        <f>IF(C3391="","",MAX($A$1:A3390)+1)</f>
        <v>3106</v>
      </c>
      <c r="B3391" s="36" t="s">
        <v>141</v>
      </c>
      <c r="C3391" s="23">
        <v>46109</v>
      </c>
      <c r="D3391" s="28" t="str">
        <f>_xlfn.XLOOKUP(Table134526_79101120212223242526[[#This Row],[Name Surname]],Manpower!$C$4:$C$1048576,Manpower!$B$4:$B$1048576,"")</f>
        <v>Encogroup</v>
      </c>
      <c r="E3391" s="21" t="s">
        <v>188</v>
      </c>
      <c r="F3391" s="12">
        <f>_xlfn.XLOOKUP(Table134526_79101120212223242526[[#This Row],[Name Surname]],Manpower!C:C,Manpower!D:D,)</f>
        <v>140696975</v>
      </c>
      <c r="G3391" s="28" t="str">
        <f>_xlfn.XLOOKUP(Table134526_79101120212223242526[[#This Row],[Name Surname]],Manpower!$C$4:$C$1048576,Manpower!$F$4:$F$1048576,"")</f>
        <v>Assistant/Helper</v>
      </c>
      <c r="H3391" s="28" t="str">
        <f>_xlfn.XLOOKUP(Table134526_79101120212223242526[[#This Row],[Name Surname]],Manpower!$C$4:$C$1048576,Manpower!$H$4:$H$1048576,"")</f>
        <v>Manpower</v>
      </c>
      <c r="I3391" s="28" t="str">
        <f>_xlfn.XLOOKUP(Table134526_79101120212223242526[[#This Row],[Name Surname]],Manpower!$C$4:$C$1048576,Manpower!$H$4:$H$1048576,"")</f>
        <v>Manpower</v>
      </c>
      <c r="J3391" s="21" t="s">
        <v>143</v>
      </c>
      <c r="K3391" s="21" t="s">
        <v>26</v>
      </c>
      <c r="L3391" s="21" t="s">
        <v>26</v>
      </c>
      <c r="M3391" s="21" t="s">
        <v>55</v>
      </c>
      <c r="N3391" s="29">
        <v>10</v>
      </c>
      <c r="O3391" s="21" t="s">
        <v>40</v>
      </c>
      <c r="P3391" s="21" t="s">
        <v>42</v>
      </c>
      <c r="Q3391" s="21" t="s">
        <v>42</v>
      </c>
      <c r="R3391" s="21" t="s">
        <v>420</v>
      </c>
      <c r="S3391" s="21"/>
      <c r="T3391" s="12"/>
      <c r="U3391" s="12"/>
      <c r="V3391" s="12"/>
      <c r="W3391" s="12"/>
      <c r="X3391" s="12"/>
      <c r="Y3391" s="12"/>
      <c r="Z3391" s="12"/>
      <c r="AA3391" s="12"/>
      <c r="AB3391" s="12"/>
      <c r="AC3391" s="12"/>
      <c r="AD3391" s="12"/>
      <c r="AE3391" s="12"/>
      <c r="AF3391" s="12"/>
      <c r="AG3391" s="12"/>
      <c r="AH3391" s="12"/>
      <c r="AI3391" s="12"/>
      <c r="AJ3391" s="12"/>
      <c r="AK3391" s="12"/>
      <c r="AL3391" s="12"/>
      <c r="AM3391" s="12"/>
      <c r="AN3391" s="12"/>
      <c r="AO3391" s="12"/>
      <c r="AP3391" s="12"/>
      <c r="AQ3391" s="12"/>
      <c r="AR3391" s="12"/>
      <c r="AS3391" s="12"/>
      <c r="AT3391" s="12"/>
      <c r="AU3391" s="12"/>
      <c r="AV3391" s="12"/>
      <c r="AW3391" s="12"/>
      <c r="AX3391" s="12"/>
      <c r="AY3391" s="12"/>
      <c r="AZ3391" s="12"/>
      <c r="BA3391" s="12"/>
      <c r="BB3391" s="12"/>
      <c r="BC3391" s="12"/>
      <c r="BD3391" s="12"/>
      <c r="BE3391" s="12"/>
      <c r="BF3391" s="12"/>
      <c r="BG3391" s="12"/>
      <c r="BH3391" s="12"/>
      <c r="BI3391" s="12"/>
      <c r="BJ3391" s="12"/>
      <c r="BK3391" s="12"/>
      <c r="BL3391" s="12"/>
      <c r="BM3391" s="12"/>
      <c r="BN3391" s="12"/>
      <c r="BO3391" s="12"/>
      <c r="BP3391" s="12"/>
      <c r="BQ3391" s="12"/>
      <c r="BR3391" s="12"/>
      <c r="BS3391" s="12"/>
      <c r="BT3391" s="12"/>
      <c r="BU3391" s="12"/>
      <c r="BV3391" s="12"/>
      <c r="BW3391" s="12"/>
      <c r="BX3391" s="12"/>
      <c r="BY3391" s="12"/>
      <c r="BZ3391" s="12"/>
      <c r="CA3391" s="12"/>
      <c r="CB3391" s="12"/>
      <c r="CC3391" s="12"/>
      <c r="CD3391" s="12"/>
      <c r="CE3391" s="12"/>
      <c r="CF3391" s="12"/>
      <c r="CG3391" s="12"/>
      <c r="CH3391" s="12"/>
      <c r="CI3391" s="12"/>
      <c r="CJ3391" s="12"/>
      <c r="CK3391" s="12"/>
      <c r="CL3391" s="12"/>
      <c r="CM3391" s="12"/>
      <c r="CN3391" s="12"/>
      <c r="CO3391" s="12"/>
      <c r="CP3391" s="12"/>
      <c r="CQ3391" s="12"/>
      <c r="CR3391" s="12"/>
      <c r="CS3391" s="12"/>
      <c r="CT3391" s="12"/>
      <c r="CU3391" s="12"/>
      <c r="CV3391" s="12"/>
      <c r="CW3391" s="12"/>
      <c r="CX3391" s="12"/>
      <c r="CY3391" s="12"/>
      <c r="CZ3391" s="12"/>
      <c r="DA3391" s="12"/>
      <c r="DB3391" s="12"/>
      <c r="DC3391" s="12"/>
      <c r="DD3391" s="12"/>
      <c r="DE3391" s="12"/>
      <c r="DF3391" s="12"/>
      <c r="DG3391" s="12"/>
      <c r="DH3391" s="12"/>
      <c r="DI3391" s="12"/>
      <c r="DJ3391" s="12"/>
      <c r="DK3391" s="12"/>
      <c r="DL3391" s="12"/>
      <c r="DM3391" s="12"/>
      <c r="DN3391" s="12"/>
      <c r="DO3391" s="12"/>
      <c r="DP3391" s="12"/>
      <c r="DQ3391" s="12"/>
      <c r="DR3391" s="12"/>
      <c r="DS3391" s="12"/>
      <c r="DT3391" s="12"/>
      <c r="DU3391" s="12"/>
      <c r="DV3391" s="12"/>
      <c r="DW3391" s="12"/>
      <c r="DX3391" s="12"/>
      <c r="DY3391" s="12"/>
      <c r="DZ3391" s="12"/>
      <c r="EA3391" s="12"/>
      <c r="EB3391" s="12"/>
      <c r="EC3391" s="12"/>
      <c r="ED3391" s="12"/>
      <c r="EE3391" s="12"/>
      <c r="EF3391" s="12"/>
      <c r="EG3391" s="12"/>
      <c r="EH3391" s="12"/>
      <c r="EI3391" s="12"/>
      <c r="EJ3391" s="12"/>
      <c r="EK3391" s="12"/>
      <c r="EL3391" s="12"/>
      <c r="EM3391" s="12"/>
      <c r="EN3391" s="12"/>
      <c r="EO3391" s="12"/>
      <c r="EP3391" s="12"/>
      <c r="EQ3391" s="12"/>
      <c r="ER3391" s="12"/>
      <c r="ES3391" s="12"/>
      <c r="ET3391" s="12"/>
      <c r="EU3391" s="12"/>
      <c r="EV3391" s="12"/>
      <c r="EW3391" s="12"/>
      <c r="EX3391" s="12"/>
      <c r="EY3391" s="12"/>
      <c r="EZ3391" s="12"/>
      <c r="FA3391" s="12"/>
      <c r="FB3391" s="12"/>
      <c r="FC3391" s="12"/>
      <c r="FD3391" s="12"/>
      <c r="FE3391" s="12"/>
      <c r="FF3391" s="12"/>
      <c r="FG3391" s="12"/>
      <c r="FH3391" s="12"/>
      <c r="FI3391" s="12"/>
      <c r="FJ3391" s="12"/>
      <c r="FK3391" s="12"/>
      <c r="FL3391" s="12"/>
      <c r="FM3391" s="12"/>
      <c r="FN3391" s="12"/>
      <c r="FO3391" s="12"/>
      <c r="FP3391" s="12"/>
      <c r="FQ3391" s="12"/>
      <c r="FR3391" s="12"/>
      <c r="FS3391" s="12"/>
      <c r="FT3391" s="12"/>
      <c r="FU3391" s="12"/>
      <c r="FV3391" s="12"/>
      <c r="FW3391" s="12"/>
      <c r="FX3391" s="12"/>
      <c r="FY3391" s="12"/>
      <c r="FZ3391" s="12"/>
      <c r="GA3391" s="12"/>
      <c r="GB3391" s="12"/>
      <c r="GC3391" s="12"/>
      <c r="GD3391" s="12"/>
      <c r="GE3391" s="12"/>
      <c r="GF3391" s="12"/>
      <c r="GG3391" s="12"/>
      <c r="GH3391" s="12"/>
      <c r="GI3391" s="12"/>
      <c r="GJ3391" s="12"/>
      <c r="GK3391" s="12"/>
      <c r="GL3391" s="12"/>
      <c r="GM3391" s="12"/>
      <c r="GN3391" s="12"/>
      <c r="GO3391" s="12"/>
      <c r="GP3391" s="12"/>
      <c r="GQ3391" s="12"/>
      <c r="GR3391" s="12"/>
      <c r="GS3391" s="12"/>
      <c r="GT3391" s="12"/>
      <c r="GU3391" s="12"/>
      <c r="GV3391" s="12"/>
      <c r="GW3391" s="12"/>
      <c r="GX3391" s="12"/>
      <c r="GY3391" s="12"/>
      <c r="GZ3391" s="12"/>
      <c r="HA3391" s="12"/>
      <c r="HB3391" s="12"/>
      <c r="HC3391" s="12"/>
      <c r="HD3391" s="12"/>
      <c r="HE3391" s="12"/>
      <c r="HF3391" s="12"/>
      <c r="HG3391" s="12"/>
      <c r="HH3391" s="12"/>
      <c r="HI3391" s="12"/>
      <c r="HJ3391" s="12"/>
      <c r="HK3391" s="12"/>
      <c r="HL3391" s="12"/>
      <c r="HM3391" s="12"/>
      <c r="HN3391" s="12"/>
      <c r="HO3391" s="12"/>
      <c r="HP3391" s="12"/>
      <c r="HQ3391" s="12"/>
      <c r="HR3391" s="12"/>
      <c r="HS3391" s="12"/>
      <c r="HT3391" s="12"/>
      <c r="HU3391" s="12"/>
      <c r="HV3391" s="12"/>
      <c r="HW3391" s="12"/>
      <c r="HX3391" s="12"/>
      <c r="HY3391" s="12"/>
      <c r="HZ3391" s="12"/>
      <c r="IA3391" s="12"/>
      <c r="IB3391" s="12"/>
      <c r="IC3391" s="12"/>
      <c r="ID3391" s="12"/>
      <c r="IE3391" s="12"/>
      <c r="IF3391" s="12"/>
      <c r="IG3391" s="12"/>
      <c r="IH3391" s="12"/>
      <c r="II3391" s="12"/>
      <c r="IJ3391" s="12"/>
      <c r="IK3391" s="12"/>
      <c r="IL3391" s="12"/>
      <c r="IM3391" s="12"/>
      <c r="IN3391" s="12"/>
      <c r="IO3391" s="12"/>
      <c r="IP3391" s="12"/>
      <c r="IQ3391" s="12"/>
      <c r="IR3391" s="12"/>
      <c r="IS3391" s="12"/>
      <c r="IT3391" s="12"/>
      <c r="IU3391" s="12"/>
      <c r="IV3391" s="12"/>
      <c r="IW3391" s="12"/>
      <c r="IX3391" s="12"/>
      <c r="IY3391" s="12"/>
      <c r="IZ3391" s="12"/>
      <c r="JA3391" s="12"/>
      <c r="JB3391" s="12"/>
      <c r="JC3391" s="12"/>
      <c r="JD3391" s="12"/>
      <c r="JE3391" s="12"/>
      <c r="JF3391" s="12"/>
      <c r="JG3391" s="12"/>
      <c r="JH3391" s="12"/>
      <c r="JI3391" s="12"/>
      <c r="JJ3391" s="12"/>
      <c r="JK3391" s="12"/>
      <c r="JL3391" s="12"/>
      <c r="JM3391" s="12"/>
      <c r="JN3391" s="12"/>
      <c r="JO3391" s="12"/>
      <c r="JP3391" s="12"/>
      <c r="JQ3391" s="12"/>
      <c r="JR3391" s="12"/>
      <c r="JS3391" s="12"/>
      <c r="JT3391" s="12"/>
      <c r="JU3391" s="12"/>
      <c r="JV3391" s="12"/>
      <c r="JW3391" s="12"/>
      <c r="JX3391" s="12"/>
      <c r="JY3391" s="12"/>
      <c r="JZ3391" s="12"/>
      <c r="KA3391" s="12"/>
      <c r="KB3391" s="12"/>
      <c r="KC3391" s="12"/>
      <c r="KD3391" s="12"/>
      <c r="KE3391" s="12"/>
      <c r="KF3391" s="12"/>
      <c r="KG3391" s="12"/>
      <c r="KH3391" s="12"/>
      <c r="KI3391" s="12"/>
      <c r="KJ3391" s="12"/>
      <c r="KK3391" s="12"/>
      <c r="KL3391" s="12"/>
      <c r="KM3391" s="12"/>
      <c r="KN3391" s="12"/>
      <c r="KO3391" s="12"/>
      <c r="KP3391" s="12"/>
      <c r="KQ3391" s="12"/>
      <c r="KR3391" s="12"/>
      <c r="KS3391" s="12"/>
      <c r="KT3391" s="12"/>
      <c r="KU3391" s="12"/>
      <c r="KV3391" s="12"/>
      <c r="KW3391" s="12"/>
      <c r="KX3391" s="12"/>
      <c r="KY3391" s="12"/>
      <c r="KZ3391" s="12"/>
      <c r="LA3391" s="12"/>
      <c r="LB3391" s="12"/>
      <c r="LC3391" s="12"/>
      <c r="LD3391" s="12"/>
      <c r="LE3391" s="12"/>
      <c r="LF3391" s="12"/>
      <c r="LG3391" s="12"/>
      <c r="LH3391" s="12"/>
      <c r="LI3391" s="12"/>
      <c r="LJ3391" s="12"/>
      <c r="LK3391" s="12"/>
      <c r="LL3391" s="12"/>
      <c r="LM3391" s="12"/>
      <c r="LN3391" s="12"/>
      <c r="LO3391" s="12"/>
      <c r="LP3391" s="12"/>
      <c r="LQ3391" s="12"/>
      <c r="LR3391" s="12"/>
      <c r="LS3391" s="12"/>
      <c r="LT3391" s="12"/>
      <c r="LU3391" s="12"/>
      <c r="LV3391" s="12"/>
      <c r="LW3391" s="12"/>
      <c r="LX3391" s="12"/>
      <c r="LY3391" s="12"/>
      <c r="LZ3391" s="12"/>
      <c r="MA3391" s="12"/>
      <c r="MB3391" s="12"/>
      <c r="MC3391" s="12"/>
      <c r="MD3391" s="12"/>
      <c r="ME3391" s="12"/>
      <c r="MF3391" s="12"/>
      <c r="MG3391" s="12"/>
      <c r="MH3391" s="12"/>
      <c r="MI3391" s="12"/>
      <c r="MJ3391" s="12"/>
      <c r="MK3391" s="12"/>
      <c r="ML3391" s="12"/>
      <c r="MM3391" s="12"/>
      <c r="MN3391" s="12"/>
      <c r="MO3391" s="12"/>
      <c r="MP3391" s="12"/>
      <c r="MQ3391" s="12"/>
      <c r="MR3391" s="12"/>
      <c r="MS3391" s="12"/>
      <c r="MT3391" s="12"/>
      <c r="MU3391" s="12"/>
      <c r="MV3391" s="12"/>
      <c r="MW3391" s="12"/>
      <c r="MX3391" s="12"/>
      <c r="MY3391" s="12"/>
      <c r="MZ3391" s="12"/>
      <c r="NA3391" s="12"/>
      <c r="NB3391" s="12"/>
      <c r="NC3391" s="12"/>
      <c r="ND3391" s="12"/>
      <c r="NE3391" s="12"/>
      <c r="NF3391" s="12"/>
      <c r="NG3391" s="12"/>
      <c r="NH3391" s="12"/>
      <c r="NI3391" s="12"/>
      <c r="NJ3391" s="12"/>
      <c r="NK3391" s="12"/>
      <c r="NL3391" s="12"/>
      <c r="NM3391" s="12"/>
      <c r="NN3391" s="12"/>
      <c r="NO3391" s="12"/>
      <c r="NP3391" s="12"/>
      <c r="NQ3391" s="12"/>
      <c r="NR3391" s="12"/>
      <c r="NS3391" s="12"/>
      <c r="NT3391" s="12"/>
      <c r="NU3391" s="12"/>
      <c r="NV3391" s="12"/>
      <c r="NW3391" s="12"/>
      <c r="NX3391" s="12"/>
      <c r="NY3391" s="12"/>
      <c r="NZ3391" s="12"/>
      <c r="OA3391" s="12"/>
      <c r="OB3391" s="12"/>
      <c r="OC3391" s="12"/>
      <c r="OD3391" s="12"/>
      <c r="OE3391" s="12"/>
      <c r="OF3391" s="12"/>
      <c r="OG3391" s="12"/>
      <c r="OH3391" s="12"/>
      <c r="OI3391" s="12"/>
      <c r="OJ3391" s="12"/>
      <c r="OK3391" s="12"/>
      <c r="OL3391" s="12"/>
      <c r="OM3391" s="12"/>
      <c r="ON3391" s="12"/>
      <c r="OO3391" s="12"/>
      <c r="OP3391" s="12"/>
      <c r="OQ3391" s="12"/>
      <c r="OR3391" s="12"/>
      <c r="OS3391" s="12"/>
      <c r="OT3391" s="12"/>
      <c r="OU3391" s="12"/>
      <c r="OV3391" s="12"/>
      <c r="OW3391" s="12"/>
      <c r="OX3391" s="12"/>
      <c r="OY3391" s="12"/>
      <c r="OZ3391" s="12"/>
      <c r="PA3391" s="12"/>
      <c r="PB3391" s="12"/>
      <c r="PC3391" s="12"/>
      <c r="PD3391" s="12"/>
      <c r="PE3391" s="12"/>
      <c r="PF3391" s="12"/>
      <c r="PG3391" s="12"/>
      <c r="PH3391" s="12"/>
      <c r="PI3391" s="12"/>
      <c r="PJ3391" s="12"/>
      <c r="PK3391" s="12"/>
      <c r="PL3391" s="12"/>
      <c r="PM3391" s="12"/>
      <c r="PN3391" s="12"/>
      <c r="PO3391" s="12"/>
      <c r="PP3391" s="12"/>
      <c r="PQ3391" s="12"/>
      <c r="PR3391" s="12"/>
      <c r="PS3391" s="12"/>
      <c r="PT3391" s="12"/>
      <c r="PU3391" s="12"/>
      <c r="PV3391" s="12"/>
      <c r="PW3391" s="12"/>
      <c r="PX3391" s="12"/>
      <c r="PY3391" s="12"/>
      <c r="PZ3391" s="12"/>
      <c r="QA3391" s="12"/>
      <c r="QB3391" s="12"/>
      <c r="QC3391" s="12"/>
      <c r="QD3391" s="12"/>
      <c r="QE3391" s="12"/>
      <c r="QF3391" s="12"/>
      <c r="QG3391" s="12"/>
      <c r="QH3391" s="12"/>
      <c r="QI3391" s="12"/>
      <c r="QJ3391" s="12"/>
      <c r="QK3391" s="12"/>
      <c r="QL3391" s="12"/>
      <c r="QM3391" s="12"/>
      <c r="QN3391" s="12"/>
      <c r="QO3391" s="12"/>
      <c r="QP3391" s="12"/>
      <c r="QQ3391" s="12"/>
      <c r="QR3391" s="12"/>
      <c r="QS3391" s="12"/>
      <c r="QT3391" s="12"/>
      <c r="QU3391" s="12"/>
      <c r="QV3391" s="12"/>
      <c r="QW3391" s="12"/>
      <c r="QX3391" s="12"/>
      <c r="QY3391" s="12"/>
      <c r="QZ3391" s="12"/>
      <c r="RA3391" s="12"/>
      <c r="RB3391" s="12"/>
      <c r="RC3391" s="12"/>
      <c r="RD3391" s="12"/>
      <c r="RE3391" s="12"/>
      <c r="RF3391" s="12"/>
      <c r="RG3391" s="12"/>
      <c r="RH3391" s="12"/>
      <c r="RI3391" s="12"/>
      <c r="RJ3391" s="12"/>
      <c r="RK3391" s="12"/>
      <c r="RL3391" s="12"/>
      <c r="RM3391" s="12"/>
      <c r="RN3391" s="12"/>
      <c r="RO3391" s="12"/>
      <c r="RP3391" s="12"/>
      <c r="RQ3391" s="12"/>
      <c r="RR3391" s="12"/>
      <c r="RS3391" s="12"/>
      <c r="RT3391" s="12"/>
      <c r="RU3391" s="12"/>
      <c r="RV3391" s="12"/>
      <c r="RW3391" s="12"/>
      <c r="RX3391" s="12"/>
      <c r="RY3391" s="12"/>
      <c r="RZ3391" s="12"/>
      <c r="SA3391" s="12"/>
      <c r="SB3391" s="12"/>
      <c r="SC3391" s="12"/>
      <c r="SD3391" s="12"/>
      <c r="SE3391" s="12"/>
      <c r="SF3391" s="12"/>
      <c r="SG3391" s="12"/>
      <c r="SH3391" s="12"/>
      <c r="SI3391" s="12"/>
      <c r="SJ3391" s="12"/>
      <c r="SK3391" s="12"/>
      <c r="SL3391" s="12"/>
      <c r="SM3391" s="12"/>
      <c r="SN3391" s="12"/>
      <c r="SO3391" s="12"/>
      <c r="SP3391" s="12"/>
      <c r="SQ3391" s="12"/>
      <c r="SR3391" s="12"/>
      <c r="SS3391" s="12"/>
      <c r="ST3391" s="12"/>
      <c r="SU3391" s="12"/>
      <c r="SV3391" s="12"/>
      <c r="SW3391" s="12"/>
      <c r="SX3391" s="12"/>
      <c r="SY3391" s="12"/>
      <c r="SZ3391" s="12"/>
      <c r="TA3391" s="12"/>
      <c r="TB3391" s="12"/>
      <c r="TC3391" s="12"/>
      <c r="TD3391" s="12"/>
      <c r="TE3391" s="12"/>
      <c r="TF3391" s="12"/>
      <c r="TG3391" s="12"/>
      <c r="TH3391" s="12"/>
      <c r="TI3391" s="12"/>
      <c r="TJ3391" s="12"/>
      <c r="TK3391" s="12"/>
      <c r="TL3391" s="12"/>
      <c r="TM3391" s="12"/>
      <c r="TN3391" s="12"/>
      <c r="TO3391" s="12"/>
      <c r="TP3391" s="12"/>
      <c r="TQ3391" s="12"/>
      <c r="TR3391" s="12"/>
      <c r="TS3391" s="12"/>
      <c r="TT3391" s="12"/>
      <c r="TU3391" s="12"/>
      <c r="TV3391" s="12"/>
      <c r="TW3391" s="12"/>
      <c r="TX3391" s="12"/>
      <c r="TY3391" s="12"/>
      <c r="TZ3391" s="12"/>
      <c r="UA3391" s="12"/>
      <c r="UB3391" s="12"/>
      <c r="UC3391" s="12"/>
      <c r="UD3391" s="12"/>
      <c r="UE3391" s="12"/>
      <c r="UF3391" s="12"/>
      <c r="UG3391" s="12"/>
      <c r="UH3391" s="12"/>
      <c r="UI3391" s="12"/>
      <c r="UJ3391" s="12"/>
      <c r="UK3391" s="12"/>
      <c r="UL3391" s="12"/>
      <c r="UM3391" s="12"/>
      <c r="UN3391" s="12"/>
      <c r="UO3391" s="12"/>
      <c r="UP3391" s="12"/>
      <c r="UQ3391" s="12"/>
      <c r="UR3391" s="12"/>
      <c r="US3391" s="12"/>
      <c r="UT3391" s="12"/>
      <c r="UU3391" s="12"/>
      <c r="UV3391" s="12"/>
      <c r="UW3391" s="12"/>
      <c r="UX3391" s="12"/>
      <c r="UY3391" s="12"/>
      <c r="UZ3391" s="12"/>
      <c r="VA3391" s="12"/>
      <c r="VB3391" s="12"/>
      <c r="VC3391" s="12"/>
      <c r="VD3391" s="12"/>
      <c r="VE3391" s="12"/>
      <c r="VF3391" s="12"/>
      <c r="VG3391" s="12"/>
      <c r="VH3391" s="12"/>
      <c r="VI3391" s="12"/>
      <c r="VJ3391" s="12"/>
      <c r="VK3391" s="12"/>
      <c r="VL3391" s="12"/>
      <c r="VM3391" s="12"/>
      <c r="VN3391" s="12"/>
      <c r="VO3391" s="12"/>
      <c r="VP3391" s="12"/>
      <c r="VQ3391" s="12"/>
      <c r="VR3391" s="12"/>
      <c r="VS3391" s="12"/>
      <c r="VT3391" s="12"/>
      <c r="VU3391" s="12"/>
      <c r="VV3391" s="12"/>
      <c r="VW3391" s="12"/>
      <c r="VX3391" s="12"/>
      <c r="VY3391" s="12"/>
      <c r="VZ3391" s="12"/>
      <c r="WA3391" s="12"/>
      <c r="WB3391" s="12"/>
      <c r="WC3391" s="12"/>
      <c r="WD3391" s="12"/>
      <c r="WE3391" s="12"/>
      <c r="WF3391" s="12"/>
      <c r="WG3391" s="12"/>
      <c r="WH3391" s="12"/>
      <c r="WI3391" s="12"/>
      <c r="WJ3391" s="12"/>
      <c r="WK3391" s="12"/>
      <c r="WL3391" s="12"/>
      <c r="WM3391" s="12"/>
      <c r="WN3391" s="12"/>
      <c r="WO3391" s="12"/>
      <c r="WP3391" s="12"/>
      <c r="WQ3391" s="12"/>
      <c r="WR3391" s="12"/>
      <c r="WS3391" s="12"/>
      <c r="WT3391" s="12"/>
      <c r="WU3391" s="12"/>
      <c r="WV3391" s="12"/>
      <c r="WW3391" s="12"/>
      <c r="WX3391" s="12"/>
      <c r="WY3391" s="12"/>
      <c r="WZ3391" s="12"/>
      <c r="XA3391" s="12"/>
      <c r="XB3391" s="12"/>
      <c r="XC3391" s="12"/>
      <c r="XD3391" s="12"/>
      <c r="XE3391" s="12"/>
      <c r="XF3391" s="12"/>
      <c r="XG3391" s="12"/>
      <c r="XH3391" s="12"/>
      <c r="XI3391" s="12"/>
      <c r="XJ3391" s="12"/>
      <c r="XK3391" s="12"/>
      <c r="XL3391" s="12"/>
      <c r="XM3391" s="12"/>
      <c r="XN3391" s="12"/>
      <c r="XO3391" s="12"/>
      <c r="XP3391" s="12"/>
      <c r="XQ3391" s="12"/>
      <c r="XR3391" s="12"/>
      <c r="XS3391" s="12"/>
      <c r="XT3391" s="12"/>
      <c r="XU3391" s="12"/>
      <c r="XV3391" s="12"/>
      <c r="XW3391" s="12"/>
      <c r="XX3391" s="12"/>
      <c r="XY3391" s="12"/>
      <c r="XZ3391" s="12"/>
      <c r="YA3391" s="12"/>
      <c r="YB3391" s="12"/>
      <c r="YC3391" s="12"/>
      <c r="YD3391" s="12"/>
      <c r="YE3391" s="12"/>
      <c r="YF3391" s="12"/>
      <c r="YG3391" s="12"/>
      <c r="YH3391" s="12"/>
      <c r="YI3391" s="12"/>
      <c r="YJ3391" s="12"/>
      <c r="YK3391" s="12"/>
      <c r="YL3391" s="12"/>
      <c r="YM3391" s="12"/>
      <c r="YN3391" s="12"/>
      <c r="YO3391" s="12"/>
      <c r="YP3391" s="12"/>
      <c r="YQ3391" s="12"/>
      <c r="YR3391" s="12"/>
      <c r="YS3391" s="12"/>
      <c r="YT3391" s="12"/>
      <c r="YU3391" s="12"/>
      <c r="YV3391" s="12"/>
      <c r="YW3391" s="12"/>
      <c r="YX3391" s="12"/>
      <c r="YY3391" s="12"/>
      <c r="YZ3391" s="12"/>
      <c r="ZA3391" s="12"/>
      <c r="ZB3391" s="12"/>
      <c r="ZC3391" s="12"/>
      <c r="ZD3391" s="12"/>
      <c r="ZE3391" s="12"/>
      <c r="ZF3391" s="12"/>
      <c r="ZG3391" s="12"/>
      <c r="ZH3391" s="12"/>
      <c r="ZI3391" s="12"/>
      <c r="ZJ3391" s="12"/>
      <c r="ZK3391" s="12"/>
      <c r="ZL3391" s="12"/>
      <c r="ZM3391" s="12"/>
      <c r="ZN3391" s="12"/>
      <c r="ZO3391" s="12"/>
      <c r="ZP3391" s="12"/>
      <c r="ZQ3391" s="12"/>
      <c r="ZR3391" s="12"/>
      <c r="ZS3391" s="12"/>
      <c r="ZT3391" s="12"/>
      <c r="ZU3391" s="12"/>
      <c r="ZV3391" s="12"/>
      <c r="ZW3391" s="12"/>
      <c r="ZX3391" s="12"/>
    </row>
    <row r="3392" spans="1:700" s="45" customFormat="1" ht="14.4" hidden="1">
      <c r="A3392" s="53">
        <f>IF(C3392="","",MAX($A$1:A3391)+1)</f>
        <v>3107</v>
      </c>
      <c r="B3392" s="36" t="s">
        <v>141</v>
      </c>
      <c r="C3392" s="23">
        <v>46109</v>
      </c>
      <c r="D3392" s="28" t="str">
        <f>_xlfn.XLOOKUP(Table134526_79101120212223242526[[#This Row],[Name Surname]],Manpower!$C$4:$C$1048576,Manpower!$B$4:$B$1048576,"")</f>
        <v>Encogroup</v>
      </c>
      <c r="E3392" s="21" t="s">
        <v>204</v>
      </c>
      <c r="F3392" s="12">
        <f>_xlfn.XLOOKUP(Table134526_79101120212223242526[[#This Row],[Name Surname]],Manpower!C:C,Manpower!D:D,)</f>
        <v>140844572</v>
      </c>
      <c r="G3392" s="28" t="str">
        <f>_xlfn.XLOOKUP(Table134526_79101120212223242526[[#This Row],[Name Surname]],Manpower!$C$4:$C$1048576,Manpower!$F$4:$F$1048576,"")</f>
        <v>Assistant/Helper</v>
      </c>
      <c r="H3392" s="28" t="str">
        <f>_xlfn.XLOOKUP(Table134526_79101120212223242526[[#This Row],[Name Surname]],Manpower!$C$4:$C$1048576,Manpower!$H$4:$H$1048576,"")</f>
        <v>Manpower</v>
      </c>
      <c r="I3392" s="28" t="str">
        <f>_xlfn.XLOOKUP(Table134526_79101120212223242526[[#This Row],[Name Surname]],Manpower!$C$4:$C$1048576,Manpower!$H$4:$H$1048576,"")</f>
        <v>Manpower</v>
      </c>
      <c r="J3392" s="21" t="s">
        <v>143</v>
      </c>
      <c r="K3392" s="21" t="s">
        <v>26</v>
      </c>
      <c r="L3392" s="21" t="s">
        <v>26</v>
      </c>
      <c r="M3392" s="21" t="s">
        <v>55</v>
      </c>
      <c r="N3392" s="29">
        <v>10</v>
      </c>
      <c r="O3392" s="21" t="s">
        <v>40</v>
      </c>
      <c r="P3392" s="21" t="s">
        <v>42</v>
      </c>
      <c r="Q3392" s="21" t="s">
        <v>42</v>
      </c>
      <c r="R3392" s="21" t="s">
        <v>420</v>
      </c>
      <c r="S3392" s="21"/>
      <c r="T3392" s="12"/>
      <c r="U3392" s="12"/>
      <c r="V3392" s="12"/>
      <c r="W3392" s="12"/>
      <c r="X3392" s="12"/>
      <c r="Y3392" s="12"/>
      <c r="Z3392" s="12"/>
      <c r="AA3392" s="12"/>
      <c r="AB3392" s="12"/>
      <c r="AC3392" s="12"/>
      <c r="AD3392" s="12"/>
      <c r="AE3392" s="12"/>
      <c r="AF3392" s="12"/>
      <c r="AG3392" s="12"/>
      <c r="AH3392" s="12"/>
      <c r="AI3392" s="12"/>
      <c r="AJ3392" s="12"/>
      <c r="AK3392" s="12"/>
      <c r="AL3392" s="12"/>
      <c r="AM3392" s="12"/>
      <c r="AN3392" s="12"/>
      <c r="AO3392" s="12"/>
      <c r="AP3392" s="12"/>
      <c r="AQ3392" s="12"/>
      <c r="AR3392" s="12"/>
      <c r="AS3392" s="12"/>
      <c r="AT3392" s="12"/>
      <c r="AU3392" s="12"/>
      <c r="AV3392" s="12"/>
      <c r="AW3392" s="12"/>
      <c r="AX3392" s="12"/>
      <c r="AY3392" s="12"/>
      <c r="AZ3392" s="12"/>
      <c r="BA3392" s="12"/>
      <c r="BB3392" s="12"/>
      <c r="BC3392" s="12"/>
      <c r="BD3392" s="12"/>
      <c r="BE3392" s="12"/>
      <c r="BF3392" s="12"/>
      <c r="BG3392" s="12"/>
      <c r="BH3392" s="12"/>
      <c r="BI3392" s="12"/>
      <c r="BJ3392" s="12"/>
      <c r="BK3392" s="12"/>
      <c r="BL3392" s="12"/>
      <c r="BM3392" s="12"/>
      <c r="BN3392" s="12"/>
      <c r="BO3392" s="12"/>
      <c r="BP3392" s="12"/>
      <c r="BQ3392" s="12"/>
      <c r="BR3392" s="12"/>
      <c r="BS3392" s="12"/>
      <c r="BT3392" s="12"/>
      <c r="BU3392" s="12"/>
      <c r="BV3392" s="12"/>
      <c r="BW3392" s="12"/>
      <c r="BX3392" s="12"/>
      <c r="BY3392" s="12"/>
      <c r="BZ3392" s="12"/>
      <c r="CA3392" s="12"/>
      <c r="CB3392" s="12"/>
      <c r="CC3392" s="12"/>
      <c r="CD3392" s="12"/>
      <c r="CE3392" s="12"/>
      <c r="CF3392" s="12"/>
      <c r="CG3392" s="12"/>
      <c r="CH3392" s="12"/>
      <c r="CI3392" s="12"/>
      <c r="CJ3392" s="12"/>
      <c r="CK3392" s="12"/>
      <c r="CL3392" s="12"/>
      <c r="CM3392" s="12"/>
      <c r="CN3392" s="12"/>
      <c r="CO3392" s="12"/>
      <c r="CP3392" s="12"/>
      <c r="CQ3392" s="12"/>
      <c r="CR3392" s="12"/>
      <c r="CS3392" s="12"/>
      <c r="CT3392" s="12"/>
      <c r="CU3392" s="12"/>
      <c r="CV3392" s="12"/>
      <c r="CW3392" s="12"/>
      <c r="CX3392" s="12"/>
      <c r="CY3392" s="12"/>
      <c r="CZ3392" s="12"/>
      <c r="DA3392" s="12"/>
      <c r="DB3392" s="12"/>
      <c r="DC3392" s="12"/>
      <c r="DD3392" s="12"/>
      <c r="DE3392" s="12"/>
      <c r="DF3392" s="12"/>
      <c r="DG3392" s="12"/>
      <c r="DH3392" s="12"/>
      <c r="DI3392" s="12"/>
      <c r="DJ3392" s="12"/>
      <c r="DK3392" s="12"/>
      <c r="DL3392" s="12"/>
      <c r="DM3392" s="12"/>
      <c r="DN3392" s="12"/>
      <c r="DO3392" s="12"/>
      <c r="DP3392" s="12"/>
      <c r="DQ3392" s="12"/>
      <c r="DR3392" s="12"/>
      <c r="DS3392" s="12"/>
      <c r="DT3392" s="12"/>
      <c r="DU3392" s="12"/>
      <c r="DV3392" s="12"/>
      <c r="DW3392" s="12"/>
      <c r="DX3392" s="12"/>
      <c r="DY3392" s="12"/>
      <c r="DZ3392" s="12"/>
      <c r="EA3392" s="12"/>
      <c r="EB3392" s="12"/>
      <c r="EC3392" s="12"/>
      <c r="ED3392" s="12"/>
      <c r="EE3392" s="12"/>
      <c r="EF3392" s="12"/>
      <c r="EG3392" s="12"/>
      <c r="EH3392" s="12"/>
      <c r="EI3392" s="12"/>
      <c r="EJ3392" s="12"/>
      <c r="EK3392" s="12"/>
      <c r="EL3392" s="12"/>
      <c r="EM3392" s="12"/>
      <c r="EN3392" s="12"/>
      <c r="EO3392" s="12"/>
      <c r="EP3392" s="12"/>
      <c r="EQ3392" s="12"/>
      <c r="ER3392" s="12"/>
      <c r="ES3392" s="12"/>
      <c r="ET3392" s="12"/>
      <c r="EU3392" s="12"/>
      <c r="EV3392" s="12"/>
      <c r="EW3392" s="12"/>
      <c r="EX3392" s="12"/>
      <c r="EY3392" s="12"/>
      <c r="EZ3392" s="12"/>
      <c r="FA3392" s="12"/>
      <c r="FB3392" s="12"/>
      <c r="FC3392" s="12"/>
      <c r="FD3392" s="12"/>
      <c r="FE3392" s="12"/>
      <c r="FF3392" s="12"/>
      <c r="FG3392" s="12"/>
      <c r="FH3392" s="12"/>
      <c r="FI3392" s="12"/>
      <c r="FJ3392" s="12"/>
      <c r="FK3392" s="12"/>
      <c r="FL3392" s="12"/>
      <c r="FM3392" s="12"/>
      <c r="FN3392" s="12"/>
      <c r="FO3392" s="12"/>
      <c r="FP3392" s="12"/>
      <c r="FQ3392" s="12"/>
      <c r="FR3392" s="12"/>
      <c r="FS3392" s="12"/>
      <c r="FT3392" s="12"/>
      <c r="FU3392" s="12"/>
      <c r="FV3392" s="12"/>
      <c r="FW3392" s="12"/>
      <c r="FX3392" s="12"/>
      <c r="FY3392" s="12"/>
      <c r="FZ3392" s="12"/>
      <c r="GA3392" s="12"/>
      <c r="GB3392" s="12"/>
      <c r="GC3392" s="12"/>
      <c r="GD3392" s="12"/>
      <c r="GE3392" s="12"/>
      <c r="GF3392" s="12"/>
      <c r="GG3392" s="12"/>
      <c r="GH3392" s="12"/>
      <c r="GI3392" s="12"/>
      <c r="GJ3392" s="12"/>
      <c r="GK3392" s="12"/>
      <c r="GL3392" s="12"/>
      <c r="GM3392" s="12"/>
      <c r="GN3392" s="12"/>
      <c r="GO3392" s="12"/>
      <c r="GP3392" s="12"/>
      <c r="GQ3392" s="12"/>
      <c r="GR3392" s="12"/>
      <c r="GS3392" s="12"/>
      <c r="GT3392" s="12"/>
      <c r="GU3392" s="12"/>
      <c r="GV3392" s="12"/>
      <c r="GW3392" s="12"/>
      <c r="GX3392" s="12"/>
      <c r="GY3392" s="12"/>
      <c r="GZ3392" s="12"/>
      <c r="HA3392" s="12"/>
      <c r="HB3392" s="12"/>
      <c r="HC3392" s="12"/>
      <c r="HD3392" s="12"/>
      <c r="HE3392" s="12"/>
      <c r="HF3392" s="12"/>
      <c r="HG3392" s="12"/>
      <c r="HH3392" s="12"/>
      <c r="HI3392" s="12"/>
      <c r="HJ3392" s="12"/>
      <c r="HK3392" s="12"/>
      <c r="HL3392" s="12"/>
      <c r="HM3392" s="12"/>
      <c r="HN3392" s="12"/>
      <c r="HO3392" s="12"/>
      <c r="HP3392" s="12"/>
      <c r="HQ3392" s="12"/>
      <c r="HR3392" s="12"/>
      <c r="HS3392" s="12"/>
      <c r="HT3392" s="12"/>
      <c r="HU3392" s="12"/>
      <c r="HV3392" s="12"/>
      <c r="HW3392" s="12"/>
      <c r="HX3392" s="12"/>
      <c r="HY3392" s="12"/>
      <c r="HZ3392" s="12"/>
      <c r="IA3392" s="12"/>
      <c r="IB3392" s="12"/>
      <c r="IC3392" s="12"/>
      <c r="ID3392" s="12"/>
      <c r="IE3392" s="12"/>
      <c r="IF3392" s="12"/>
      <c r="IG3392" s="12"/>
      <c r="IH3392" s="12"/>
      <c r="II3392" s="12"/>
      <c r="IJ3392" s="12"/>
      <c r="IK3392" s="12"/>
      <c r="IL3392" s="12"/>
      <c r="IM3392" s="12"/>
      <c r="IN3392" s="12"/>
      <c r="IO3392" s="12"/>
      <c r="IP3392" s="12"/>
      <c r="IQ3392" s="12"/>
      <c r="IR3392" s="12"/>
      <c r="IS3392" s="12"/>
      <c r="IT3392" s="12"/>
      <c r="IU3392" s="12"/>
      <c r="IV3392" s="12"/>
      <c r="IW3392" s="12"/>
      <c r="IX3392" s="12"/>
      <c r="IY3392" s="12"/>
      <c r="IZ3392" s="12"/>
      <c r="JA3392" s="12"/>
      <c r="JB3392" s="12"/>
      <c r="JC3392" s="12"/>
      <c r="JD3392" s="12"/>
      <c r="JE3392" s="12"/>
      <c r="JF3392" s="12"/>
      <c r="JG3392" s="12"/>
      <c r="JH3392" s="12"/>
      <c r="JI3392" s="12"/>
      <c r="JJ3392" s="12"/>
      <c r="JK3392" s="12"/>
      <c r="JL3392" s="12"/>
      <c r="JM3392" s="12"/>
      <c r="JN3392" s="12"/>
      <c r="JO3392" s="12"/>
      <c r="JP3392" s="12"/>
      <c r="JQ3392" s="12"/>
      <c r="JR3392" s="12"/>
      <c r="JS3392" s="12"/>
      <c r="JT3392" s="12"/>
      <c r="JU3392" s="12"/>
      <c r="JV3392" s="12"/>
      <c r="JW3392" s="12"/>
      <c r="JX3392" s="12"/>
      <c r="JY3392" s="12"/>
      <c r="JZ3392" s="12"/>
      <c r="KA3392" s="12"/>
      <c r="KB3392" s="12"/>
      <c r="KC3392" s="12"/>
      <c r="KD3392" s="12"/>
      <c r="KE3392" s="12"/>
      <c r="KF3392" s="12"/>
      <c r="KG3392" s="12"/>
      <c r="KH3392" s="12"/>
      <c r="KI3392" s="12"/>
      <c r="KJ3392" s="12"/>
      <c r="KK3392" s="12"/>
      <c r="KL3392" s="12"/>
      <c r="KM3392" s="12"/>
      <c r="KN3392" s="12"/>
      <c r="KO3392" s="12"/>
      <c r="KP3392" s="12"/>
      <c r="KQ3392" s="12"/>
      <c r="KR3392" s="12"/>
      <c r="KS3392" s="12"/>
      <c r="KT3392" s="12"/>
      <c r="KU3392" s="12"/>
      <c r="KV3392" s="12"/>
      <c r="KW3392" s="12"/>
      <c r="KX3392" s="12"/>
      <c r="KY3392" s="12"/>
      <c r="KZ3392" s="12"/>
      <c r="LA3392" s="12"/>
      <c r="LB3392" s="12"/>
      <c r="LC3392" s="12"/>
      <c r="LD3392" s="12"/>
      <c r="LE3392" s="12"/>
      <c r="LF3392" s="12"/>
      <c r="LG3392" s="12"/>
      <c r="LH3392" s="12"/>
      <c r="LI3392" s="12"/>
      <c r="LJ3392" s="12"/>
      <c r="LK3392" s="12"/>
      <c r="LL3392" s="12"/>
      <c r="LM3392" s="12"/>
      <c r="LN3392" s="12"/>
      <c r="LO3392" s="12"/>
      <c r="LP3392" s="12"/>
      <c r="LQ3392" s="12"/>
      <c r="LR3392" s="12"/>
      <c r="LS3392" s="12"/>
      <c r="LT3392" s="12"/>
      <c r="LU3392" s="12"/>
      <c r="LV3392" s="12"/>
      <c r="LW3392" s="12"/>
      <c r="LX3392" s="12"/>
      <c r="LY3392" s="12"/>
      <c r="LZ3392" s="12"/>
      <c r="MA3392" s="12"/>
      <c r="MB3392" s="12"/>
      <c r="MC3392" s="12"/>
      <c r="MD3392" s="12"/>
      <c r="ME3392" s="12"/>
      <c r="MF3392" s="12"/>
      <c r="MG3392" s="12"/>
      <c r="MH3392" s="12"/>
      <c r="MI3392" s="12"/>
      <c r="MJ3392" s="12"/>
      <c r="MK3392" s="12"/>
      <c r="ML3392" s="12"/>
      <c r="MM3392" s="12"/>
      <c r="MN3392" s="12"/>
      <c r="MO3392" s="12"/>
      <c r="MP3392" s="12"/>
      <c r="MQ3392" s="12"/>
      <c r="MR3392" s="12"/>
      <c r="MS3392" s="12"/>
      <c r="MT3392" s="12"/>
      <c r="MU3392" s="12"/>
      <c r="MV3392" s="12"/>
      <c r="MW3392" s="12"/>
      <c r="MX3392" s="12"/>
      <c r="MY3392" s="12"/>
      <c r="MZ3392" s="12"/>
      <c r="NA3392" s="12"/>
      <c r="NB3392" s="12"/>
      <c r="NC3392" s="12"/>
      <c r="ND3392" s="12"/>
      <c r="NE3392" s="12"/>
      <c r="NF3392" s="12"/>
      <c r="NG3392" s="12"/>
      <c r="NH3392" s="12"/>
      <c r="NI3392" s="12"/>
      <c r="NJ3392" s="12"/>
      <c r="NK3392" s="12"/>
      <c r="NL3392" s="12"/>
      <c r="NM3392" s="12"/>
      <c r="NN3392" s="12"/>
      <c r="NO3392" s="12"/>
      <c r="NP3392" s="12"/>
      <c r="NQ3392" s="12"/>
      <c r="NR3392" s="12"/>
      <c r="NS3392" s="12"/>
      <c r="NT3392" s="12"/>
      <c r="NU3392" s="12"/>
      <c r="NV3392" s="12"/>
      <c r="NW3392" s="12"/>
      <c r="NX3392" s="12"/>
      <c r="NY3392" s="12"/>
      <c r="NZ3392" s="12"/>
      <c r="OA3392" s="12"/>
      <c r="OB3392" s="12"/>
      <c r="OC3392" s="12"/>
      <c r="OD3392" s="12"/>
      <c r="OE3392" s="12"/>
      <c r="OF3392" s="12"/>
      <c r="OG3392" s="12"/>
      <c r="OH3392" s="12"/>
      <c r="OI3392" s="12"/>
      <c r="OJ3392" s="12"/>
      <c r="OK3392" s="12"/>
      <c r="OL3392" s="12"/>
      <c r="OM3392" s="12"/>
      <c r="ON3392" s="12"/>
      <c r="OO3392" s="12"/>
      <c r="OP3392" s="12"/>
      <c r="OQ3392" s="12"/>
      <c r="OR3392" s="12"/>
      <c r="OS3392" s="12"/>
      <c r="OT3392" s="12"/>
      <c r="OU3392" s="12"/>
      <c r="OV3392" s="12"/>
      <c r="OW3392" s="12"/>
      <c r="OX3392" s="12"/>
      <c r="OY3392" s="12"/>
      <c r="OZ3392" s="12"/>
      <c r="PA3392" s="12"/>
      <c r="PB3392" s="12"/>
      <c r="PC3392" s="12"/>
      <c r="PD3392" s="12"/>
      <c r="PE3392" s="12"/>
      <c r="PF3392" s="12"/>
      <c r="PG3392" s="12"/>
      <c r="PH3392" s="12"/>
      <c r="PI3392" s="12"/>
      <c r="PJ3392" s="12"/>
      <c r="PK3392" s="12"/>
      <c r="PL3392" s="12"/>
      <c r="PM3392" s="12"/>
      <c r="PN3392" s="12"/>
      <c r="PO3392" s="12"/>
      <c r="PP3392" s="12"/>
      <c r="PQ3392" s="12"/>
      <c r="PR3392" s="12"/>
      <c r="PS3392" s="12"/>
      <c r="PT3392" s="12"/>
      <c r="PU3392" s="12"/>
      <c r="PV3392" s="12"/>
      <c r="PW3392" s="12"/>
      <c r="PX3392" s="12"/>
      <c r="PY3392" s="12"/>
      <c r="PZ3392" s="12"/>
      <c r="QA3392" s="12"/>
      <c r="QB3392" s="12"/>
      <c r="QC3392" s="12"/>
      <c r="QD3392" s="12"/>
      <c r="QE3392" s="12"/>
      <c r="QF3392" s="12"/>
      <c r="QG3392" s="12"/>
      <c r="QH3392" s="12"/>
      <c r="QI3392" s="12"/>
      <c r="QJ3392" s="12"/>
      <c r="QK3392" s="12"/>
      <c r="QL3392" s="12"/>
      <c r="QM3392" s="12"/>
      <c r="QN3392" s="12"/>
      <c r="QO3392" s="12"/>
      <c r="QP3392" s="12"/>
      <c r="QQ3392" s="12"/>
      <c r="QR3392" s="12"/>
      <c r="QS3392" s="12"/>
      <c r="QT3392" s="12"/>
      <c r="QU3392" s="12"/>
      <c r="QV3392" s="12"/>
      <c r="QW3392" s="12"/>
      <c r="QX3392" s="12"/>
      <c r="QY3392" s="12"/>
      <c r="QZ3392" s="12"/>
      <c r="RA3392" s="12"/>
      <c r="RB3392" s="12"/>
      <c r="RC3392" s="12"/>
      <c r="RD3392" s="12"/>
      <c r="RE3392" s="12"/>
      <c r="RF3392" s="12"/>
      <c r="RG3392" s="12"/>
      <c r="RH3392" s="12"/>
      <c r="RI3392" s="12"/>
      <c r="RJ3392" s="12"/>
      <c r="RK3392" s="12"/>
      <c r="RL3392" s="12"/>
      <c r="RM3392" s="12"/>
      <c r="RN3392" s="12"/>
      <c r="RO3392" s="12"/>
      <c r="RP3392" s="12"/>
      <c r="RQ3392" s="12"/>
      <c r="RR3392" s="12"/>
      <c r="RS3392" s="12"/>
      <c r="RT3392" s="12"/>
      <c r="RU3392" s="12"/>
      <c r="RV3392" s="12"/>
      <c r="RW3392" s="12"/>
      <c r="RX3392" s="12"/>
      <c r="RY3392" s="12"/>
      <c r="RZ3392" s="12"/>
      <c r="SA3392" s="12"/>
      <c r="SB3392" s="12"/>
      <c r="SC3392" s="12"/>
      <c r="SD3392" s="12"/>
      <c r="SE3392" s="12"/>
      <c r="SF3392" s="12"/>
      <c r="SG3392" s="12"/>
      <c r="SH3392" s="12"/>
      <c r="SI3392" s="12"/>
      <c r="SJ3392" s="12"/>
      <c r="SK3392" s="12"/>
      <c r="SL3392" s="12"/>
      <c r="SM3392" s="12"/>
      <c r="SN3392" s="12"/>
      <c r="SO3392" s="12"/>
      <c r="SP3392" s="12"/>
      <c r="SQ3392" s="12"/>
      <c r="SR3392" s="12"/>
      <c r="SS3392" s="12"/>
      <c r="ST3392" s="12"/>
      <c r="SU3392" s="12"/>
      <c r="SV3392" s="12"/>
      <c r="SW3392" s="12"/>
      <c r="SX3392" s="12"/>
      <c r="SY3392" s="12"/>
      <c r="SZ3392" s="12"/>
      <c r="TA3392" s="12"/>
      <c r="TB3392" s="12"/>
      <c r="TC3392" s="12"/>
      <c r="TD3392" s="12"/>
      <c r="TE3392" s="12"/>
      <c r="TF3392" s="12"/>
      <c r="TG3392" s="12"/>
      <c r="TH3392" s="12"/>
      <c r="TI3392" s="12"/>
      <c r="TJ3392" s="12"/>
      <c r="TK3392" s="12"/>
      <c r="TL3392" s="12"/>
      <c r="TM3392" s="12"/>
      <c r="TN3392" s="12"/>
      <c r="TO3392" s="12"/>
      <c r="TP3392" s="12"/>
      <c r="TQ3392" s="12"/>
      <c r="TR3392" s="12"/>
      <c r="TS3392" s="12"/>
      <c r="TT3392" s="12"/>
      <c r="TU3392" s="12"/>
      <c r="TV3392" s="12"/>
      <c r="TW3392" s="12"/>
      <c r="TX3392" s="12"/>
      <c r="TY3392" s="12"/>
      <c r="TZ3392" s="12"/>
      <c r="UA3392" s="12"/>
      <c r="UB3392" s="12"/>
      <c r="UC3392" s="12"/>
      <c r="UD3392" s="12"/>
      <c r="UE3392" s="12"/>
      <c r="UF3392" s="12"/>
      <c r="UG3392" s="12"/>
      <c r="UH3392" s="12"/>
      <c r="UI3392" s="12"/>
      <c r="UJ3392" s="12"/>
      <c r="UK3392" s="12"/>
      <c r="UL3392" s="12"/>
      <c r="UM3392" s="12"/>
      <c r="UN3392" s="12"/>
      <c r="UO3392" s="12"/>
      <c r="UP3392" s="12"/>
      <c r="UQ3392" s="12"/>
      <c r="UR3392" s="12"/>
      <c r="US3392" s="12"/>
      <c r="UT3392" s="12"/>
      <c r="UU3392" s="12"/>
      <c r="UV3392" s="12"/>
      <c r="UW3392" s="12"/>
      <c r="UX3392" s="12"/>
      <c r="UY3392" s="12"/>
      <c r="UZ3392" s="12"/>
      <c r="VA3392" s="12"/>
      <c r="VB3392" s="12"/>
      <c r="VC3392" s="12"/>
      <c r="VD3392" s="12"/>
      <c r="VE3392" s="12"/>
      <c r="VF3392" s="12"/>
      <c r="VG3392" s="12"/>
      <c r="VH3392" s="12"/>
      <c r="VI3392" s="12"/>
      <c r="VJ3392" s="12"/>
      <c r="VK3392" s="12"/>
      <c r="VL3392" s="12"/>
      <c r="VM3392" s="12"/>
      <c r="VN3392" s="12"/>
      <c r="VO3392" s="12"/>
      <c r="VP3392" s="12"/>
      <c r="VQ3392" s="12"/>
      <c r="VR3392" s="12"/>
      <c r="VS3392" s="12"/>
      <c r="VT3392" s="12"/>
      <c r="VU3392" s="12"/>
      <c r="VV3392" s="12"/>
      <c r="VW3392" s="12"/>
      <c r="VX3392" s="12"/>
      <c r="VY3392" s="12"/>
      <c r="VZ3392" s="12"/>
      <c r="WA3392" s="12"/>
      <c r="WB3392" s="12"/>
      <c r="WC3392" s="12"/>
      <c r="WD3392" s="12"/>
      <c r="WE3392" s="12"/>
      <c r="WF3392" s="12"/>
      <c r="WG3392" s="12"/>
      <c r="WH3392" s="12"/>
      <c r="WI3392" s="12"/>
      <c r="WJ3392" s="12"/>
      <c r="WK3392" s="12"/>
      <c r="WL3392" s="12"/>
      <c r="WM3392" s="12"/>
      <c r="WN3392" s="12"/>
      <c r="WO3392" s="12"/>
      <c r="WP3392" s="12"/>
      <c r="WQ3392" s="12"/>
      <c r="WR3392" s="12"/>
      <c r="WS3392" s="12"/>
      <c r="WT3392" s="12"/>
      <c r="WU3392" s="12"/>
      <c r="WV3392" s="12"/>
      <c r="WW3392" s="12"/>
      <c r="WX3392" s="12"/>
      <c r="WY3392" s="12"/>
      <c r="WZ3392" s="12"/>
      <c r="XA3392" s="12"/>
      <c r="XB3392" s="12"/>
      <c r="XC3392" s="12"/>
      <c r="XD3392" s="12"/>
      <c r="XE3392" s="12"/>
      <c r="XF3392" s="12"/>
      <c r="XG3392" s="12"/>
      <c r="XH3392" s="12"/>
      <c r="XI3392" s="12"/>
      <c r="XJ3392" s="12"/>
      <c r="XK3392" s="12"/>
      <c r="XL3392" s="12"/>
      <c r="XM3392" s="12"/>
      <c r="XN3392" s="12"/>
      <c r="XO3392" s="12"/>
      <c r="XP3392" s="12"/>
      <c r="XQ3392" s="12"/>
      <c r="XR3392" s="12"/>
      <c r="XS3392" s="12"/>
      <c r="XT3392" s="12"/>
      <c r="XU3392" s="12"/>
      <c r="XV3392" s="12"/>
      <c r="XW3392" s="12"/>
      <c r="XX3392" s="12"/>
      <c r="XY3392" s="12"/>
      <c r="XZ3392" s="12"/>
      <c r="YA3392" s="12"/>
      <c r="YB3392" s="12"/>
      <c r="YC3392" s="12"/>
      <c r="YD3392" s="12"/>
      <c r="YE3392" s="12"/>
      <c r="YF3392" s="12"/>
      <c r="YG3392" s="12"/>
      <c r="YH3392" s="12"/>
      <c r="YI3392" s="12"/>
      <c r="YJ3392" s="12"/>
      <c r="YK3392" s="12"/>
      <c r="YL3392" s="12"/>
      <c r="YM3392" s="12"/>
      <c r="YN3392" s="12"/>
      <c r="YO3392" s="12"/>
      <c r="YP3392" s="12"/>
      <c r="YQ3392" s="12"/>
      <c r="YR3392" s="12"/>
      <c r="YS3392" s="12"/>
      <c r="YT3392" s="12"/>
      <c r="YU3392" s="12"/>
      <c r="YV3392" s="12"/>
      <c r="YW3392" s="12"/>
      <c r="YX3392" s="12"/>
      <c r="YY3392" s="12"/>
      <c r="YZ3392" s="12"/>
      <c r="ZA3392" s="12"/>
      <c r="ZB3392" s="12"/>
      <c r="ZC3392" s="12"/>
      <c r="ZD3392" s="12"/>
      <c r="ZE3392" s="12"/>
      <c r="ZF3392" s="12"/>
      <c r="ZG3392" s="12"/>
      <c r="ZH3392" s="12"/>
      <c r="ZI3392" s="12"/>
      <c r="ZJ3392" s="12"/>
      <c r="ZK3392" s="12"/>
      <c r="ZL3392" s="12"/>
      <c r="ZM3392" s="12"/>
      <c r="ZN3392" s="12"/>
      <c r="ZO3392" s="12"/>
      <c r="ZP3392" s="12"/>
      <c r="ZQ3392" s="12"/>
      <c r="ZR3392" s="12"/>
      <c r="ZS3392" s="12"/>
      <c r="ZT3392" s="12"/>
      <c r="ZU3392" s="12"/>
      <c r="ZV3392" s="12"/>
      <c r="ZW3392" s="12"/>
      <c r="ZX3392" s="12"/>
    </row>
    <row r="3393" spans="1:700" ht="14.4">
      <c r="A3393" s="38">
        <f>IF(C3393="","",MAX($A$1:A3392)+1)</f>
        <v>3108</v>
      </c>
      <c r="B3393" s="36" t="s">
        <v>141</v>
      </c>
      <c r="C3393" s="23">
        <v>46109</v>
      </c>
      <c r="D3393" s="28" t="str">
        <f>_xlfn.XLOOKUP(Table134526_79101120212223242526[[#This Row],[Name Surname]],Manpower!$C$4:$C$1048576,Manpower!$B$4:$B$1048576,"")</f>
        <v>Encogroup</v>
      </c>
      <c r="E3393" s="23" t="s">
        <v>219</v>
      </c>
      <c r="F3393" s="12" t="e">
        <f>_xlfn.XLOOKUP(Table134526_79101120212223242526[[#This Row],[Name Surname]],Manpower!C:C,Manpower!D:D,)</f>
        <v>#N/A</v>
      </c>
      <c r="G3393" s="28" t="str">
        <f>_xlfn.XLOOKUP(Table134526_79101120212223242526[[#This Row],[Name Surname]],Manpower!$C$4:$C$1048576,Manpower!$F$4:$F$1048576,"")</f>
        <v>TOWER LIGHT</v>
      </c>
      <c r="H3393" s="28" t="str">
        <f>_xlfn.XLOOKUP(Table134526_79101120212223242526[[#This Row],[Name Surname]],Manpower!$C$4:$C$1048576,Manpower!$H$4:$H$1048576,"")</f>
        <v>Equipment</v>
      </c>
      <c r="I3393" s="28" t="str">
        <f>_xlfn.XLOOKUP(Table134526_79101120212223242526[[#This Row],[Name Surname]],Manpower!$C$4:$C$1048576,Manpower!$H$4:$H$1048576,"")</f>
        <v>Equipment</v>
      </c>
      <c r="J3393" s="21" t="s">
        <v>143</v>
      </c>
      <c r="K3393" s="21" t="s">
        <v>26</v>
      </c>
      <c r="L3393" s="21" t="s">
        <v>144</v>
      </c>
      <c r="M3393" s="21" t="s">
        <v>55</v>
      </c>
      <c r="N3393" s="29">
        <v>10</v>
      </c>
      <c r="R3393" s="21" t="s">
        <v>420</v>
      </c>
    </row>
    <row r="3394" spans="1:700" ht="14.4">
      <c r="A3394" s="38">
        <f>IF(C3394="","",MAX($A$1:A3393)+1)</f>
        <v>3109</v>
      </c>
      <c r="B3394" s="36" t="s">
        <v>141</v>
      </c>
      <c r="C3394" s="23">
        <v>46109</v>
      </c>
      <c r="D3394" s="28" t="str">
        <f>_xlfn.XLOOKUP(Table134526_79101120212223242526[[#This Row],[Name Surname]],Manpower!$C$4:$C$1048576,Manpower!$B$4:$B$1048576,"")</f>
        <v>Encogroup</v>
      </c>
      <c r="E3394" s="23" t="s">
        <v>220</v>
      </c>
      <c r="F3394" s="12" t="e">
        <f>_xlfn.XLOOKUP(Table134526_79101120212223242526[[#This Row],[Name Surname]],Manpower!C:C,Manpower!D:D,)</f>
        <v>#N/A</v>
      </c>
      <c r="G3394" s="28" t="str">
        <f>_xlfn.XLOOKUP(Table134526_79101120212223242526[[#This Row],[Name Surname]],Manpower!$C$4:$C$1048576,Manpower!$F$4:$F$1048576,"")</f>
        <v>TOWER LIGHT</v>
      </c>
      <c r="H3394" s="28" t="str">
        <f>_xlfn.XLOOKUP(Table134526_79101120212223242526[[#This Row],[Name Surname]],Manpower!$C$4:$C$1048576,Manpower!$H$4:$H$1048576,"")</f>
        <v>Equipment</v>
      </c>
      <c r="I3394" s="28" t="str">
        <f>_xlfn.XLOOKUP(Table134526_79101120212223242526[[#This Row],[Name Surname]],Manpower!$C$4:$C$1048576,Manpower!$H$4:$H$1048576,"")</f>
        <v>Equipment</v>
      </c>
      <c r="J3394" s="21" t="s">
        <v>143</v>
      </c>
      <c r="K3394" s="21" t="s">
        <v>26</v>
      </c>
      <c r="L3394" s="21" t="s">
        <v>144</v>
      </c>
      <c r="M3394" s="21" t="s">
        <v>55</v>
      </c>
      <c r="N3394" s="29">
        <v>10</v>
      </c>
      <c r="R3394" s="21" t="s">
        <v>420</v>
      </c>
    </row>
    <row r="3395" spans="1:700" ht="14.4" hidden="1">
      <c r="A3395" s="38">
        <f>IF(C3395="","",MAX($A$1:A3394)+1)</f>
        <v>3110</v>
      </c>
      <c r="B3395" s="36" t="s">
        <v>141</v>
      </c>
      <c r="C3395" s="23">
        <v>46109</v>
      </c>
      <c r="D3395" s="28" t="str">
        <f>_xlfn.XLOOKUP(Table134526_79101120212223242526[[#This Row],[Name Surname]],Manpower!$C$4:$C$1048576,Manpower!$B$4:$B$1048576,"")</f>
        <v>Encogroup</v>
      </c>
      <c r="E3395" s="21" t="s">
        <v>222</v>
      </c>
      <c r="F3395" s="12">
        <f>_xlfn.XLOOKUP(Table134526_79101120212223242526[[#This Row],[Name Surname]],Manpower!C:C,Manpower!D:D,)</f>
        <v>122082863</v>
      </c>
      <c r="G3395" s="28" t="str">
        <f>_xlfn.XLOOKUP(Table134526_79101120212223242526[[#This Row],[Name Surname]],Manpower!$C$4:$C$1048576,Manpower!$F$4:$F$1048576,"")</f>
        <v>Grinder</v>
      </c>
      <c r="H3395" s="28" t="str">
        <f>_xlfn.XLOOKUP(Table134526_79101120212223242526[[#This Row],[Name Surname]],Manpower!$C$4:$C$1048576,Manpower!$H$4:$H$1048576,"")</f>
        <v>Manpower</v>
      </c>
      <c r="I3395" s="28" t="str">
        <f>_xlfn.XLOOKUP(Table134526_79101120212223242526[[#This Row],[Name Surname]],Manpower!$C$4:$C$1048576,Manpower!$H$4:$H$1048576,"")</f>
        <v>Manpower</v>
      </c>
      <c r="J3395" s="21" t="s">
        <v>143</v>
      </c>
      <c r="K3395" s="21" t="s">
        <v>26</v>
      </c>
      <c r="L3395" s="21" t="s">
        <v>144</v>
      </c>
      <c r="M3395" s="21" t="s">
        <v>55</v>
      </c>
      <c r="N3395" s="29">
        <v>10</v>
      </c>
      <c r="R3395" s="21" t="s">
        <v>420</v>
      </c>
    </row>
    <row r="3396" spans="1:700" ht="14.4" hidden="1">
      <c r="A3396" s="38">
        <f>IF(C3396="","",MAX($A$1:A3395)+1)</f>
        <v>3111</v>
      </c>
      <c r="B3396" s="36" t="s">
        <v>141</v>
      </c>
      <c r="C3396" s="23">
        <v>46109</v>
      </c>
      <c r="D3396" s="28" t="str">
        <f>_xlfn.XLOOKUP(Table134526_79101120212223242526[[#This Row],[Name Surname]],Manpower!$C$4:$C$1048576,Manpower!$B$4:$B$1048576,"")</f>
        <v>Encogroup</v>
      </c>
      <c r="E3396" s="21" t="s">
        <v>223</v>
      </c>
      <c r="F3396" s="12">
        <f>_xlfn.XLOOKUP(Table134526_79101120212223242526[[#This Row],[Name Surname]],Manpower!C:C,Manpower!D:D,)</f>
        <v>140696989</v>
      </c>
      <c r="G3396" s="28" t="str">
        <f>_xlfn.XLOOKUP(Table134526_79101120212223242526[[#This Row],[Name Surname]],Manpower!$C$4:$C$1048576,Manpower!$F$4:$F$1048576,"")</f>
        <v>Assistant/Helper</v>
      </c>
      <c r="H3396" s="28" t="str">
        <f>_xlfn.XLOOKUP(Table134526_79101120212223242526[[#This Row],[Name Surname]],Manpower!$C$4:$C$1048576,Manpower!$H$4:$H$1048576,"")</f>
        <v>Manpower</v>
      </c>
      <c r="I3396" s="28" t="str">
        <f>_xlfn.XLOOKUP(Table134526_79101120212223242526[[#This Row],[Name Surname]],Manpower!$C$4:$C$1048576,Manpower!$H$4:$H$1048576,"")</f>
        <v>Manpower</v>
      </c>
      <c r="J3396" s="21" t="s">
        <v>143</v>
      </c>
      <c r="K3396" s="21" t="s">
        <v>26</v>
      </c>
      <c r="L3396" s="21" t="s">
        <v>26</v>
      </c>
      <c r="M3396" s="21" t="s">
        <v>55</v>
      </c>
      <c r="N3396" s="29">
        <v>10</v>
      </c>
      <c r="O3396" s="21" t="s">
        <v>40</v>
      </c>
      <c r="P3396" s="21" t="s">
        <v>42</v>
      </c>
      <c r="Q3396" s="21" t="s">
        <v>42</v>
      </c>
      <c r="R3396" s="21" t="s">
        <v>420</v>
      </c>
    </row>
    <row r="3397" spans="1:700" ht="14.4" hidden="1">
      <c r="A3397" s="38">
        <f>IF(C3397="","",MAX($A$1:A3396)+1)</f>
        <v>3112</v>
      </c>
      <c r="B3397" s="36" t="s">
        <v>141</v>
      </c>
      <c r="C3397" s="23">
        <v>46109</v>
      </c>
      <c r="D3397" s="28" t="str">
        <f>_xlfn.XLOOKUP(Table134526_79101120212223242526[[#This Row],[Name Surname]],Manpower!$C$4:$C$1048576,Manpower!$B$4:$B$1048576,"")</f>
        <v>Encogroup</v>
      </c>
      <c r="E3397" s="21" t="s">
        <v>218</v>
      </c>
      <c r="F3397" s="12">
        <f>_xlfn.XLOOKUP(Table134526_79101120212223242526[[#This Row],[Name Surname]],Manpower!C:C,Manpower!D:D,)</f>
        <v>116853914</v>
      </c>
      <c r="G3397" s="28" t="str">
        <f>_xlfn.XLOOKUP(Table134526_79101120212223242526[[#This Row],[Name Surname]],Manpower!$C$4:$C$1048576,Manpower!$F$4:$F$1048576,"")</f>
        <v>Electrical Supervisor</v>
      </c>
      <c r="H3397" s="28" t="str">
        <f>_xlfn.XLOOKUP(Table134526_79101120212223242526[[#This Row],[Name Surname]],Manpower!$C$4:$C$1048576,Manpower!$H$4:$H$1048576,"")</f>
        <v>Manpower</v>
      </c>
      <c r="I3397" s="28" t="str">
        <f>_xlfn.XLOOKUP(Table134526_79101120212223242526[[#This Row],[Name Surname]],Manpower!$C$4:$C$1048576,Manpower!$H$4:$H$1048576,"")</f>
        <v>Manpower</v>
      </c>
      <c r="J3397" s="21" t="s">
        <v>143</v>
      </c>
      <c r="K3397" s="21" t="s">
        <v>26</v>
      </c>
      <c r="L3397" s="21" t="s">
        <v>26</v>
      </c>
      <c r="M3397" s="21" t="s">
        <v>55</v>
      </c>
      <c r="N3397" s="29">
        <v>10</v>
      </c>
      <c r="O3397" s="21" t="s">
        <v>40</v>
      </c>
      <c r="P3397" s="21" t="s">
        <v>42</v>
      </c>
      <c r="Q3397" s="21" t="s">
        <v>42</v>
      </c>
      <c r="R3397" s="21" t="s">
        <v>420</v>
      </c>
    </row>
    <row r="3398" spans="1:700" s="45" customFormat="1" ht="14.4" hidden="1">
      <c r="A3398" s="53">
        <f>IF(C3398="","",MAX($A$1:A3397)+1)</f>
        <v>3113</v>
      </c>
      <c r="B3398" s="36" t="s">
        <v>141</v>
      </c>
      <c r="C3398" s="23">
        <v>46109</v>
      </c>
      <c r="D3398" s="28" t="str">
        <f>_xlfn.XLOOKUP(Table134526_79101120212223242526[[#This Row],[Name Surname]],Manpower!$C$4:$C$1048576,Manpower!$B$4:$B$1048576,"")</f>
        <v>Encogroup</v>
      </c>
      <c r="E3398" s="21" t="s">
        <v>346</v>
      </c>
      <c r="F3398" s="12">
        <f>_xlfn.XLOOKUP(Table134526_79101120212223242526[[#This Row],[Name Surname]],Manpower!C:C,Manpower!D:D,)</f>
        <v>117974933</v>
      </c>
      <c r="G3398" s="28" t="str">
        <f>_xlfn.XLOOKUP(Table134526_79101120212223242526[[#This Row],[Name Surname]],Manpower!$C$4:$C$1048576,Manpower!$F$4:$F$1048576,"")</f>
        <v>Scaffolder</v>
      </c>
      <c r="H3398" s="28" t="str">
        <f>_xlfn.XLOOKUP(Table134526_79101120212223242526[[#This Row],[Name Surname]],Manpower!$C$4:$C$1048576,Manpower!$H$4:$H$1048576,"")</f>
        <v>Manpower</v>
      </c>
      <c r="I3398" s="28" t="str">
        <f>_xlfn.XLOOKUP(Table134526_79101120212223242526[[#This Row],[Name Surname]],Manpower!$C$4:$C$1048576,Manpower!$H$4:$H$1048576,"")</f>
        <v>Manpower</v>
      </c>
      <c r="J3398" s="21" t="s">
        <v>143</v>
      </c>
      <c r="K3398" s="21" t="s">
        <v>26</v>
      </c>
      <c r="L3398" s="21" t="s">
        <v>26</v>
      </c>
      <c r="M3398" s="21" t="s">
        <v>55</v>
      </c>
      <c r="N3398" s="29">
        <v>10</v>
      </c>
      <c r="O3398" s="21" t="s">
        <v>40</v>
      </c>
      <c r="P3398" s="21" t="s">
        <v>42</v>
      </c>
      <c r="Q3398" s="21" t="s">
        <v>42</v>
      </c>
      <c r="R3398" s="21" t="s">
        <v>420</v>
      </c>
      <c r="S3398" s="21"/>
      <c r="T3398" s="12"/>
      <c r="U3398" s="12"/>
      <c r="V3398" s="12"/>
      <c r="W3398" s="12"/>
      <c r="X3398" s="12"/>
      <c r="Y3398" s="12"/>
      <c r="Z3398" s="12"/>
      <c r="AA3398" s="12"/>
      <c r="AB3398" s="12"/>
      <c r="AC3398" s="12"/>
      <c r="AD3398" s="12"/>
      <c r="AE3398" s="12"/>
      <c r="AF3398" s="12"/>
      <c r="AG3398" s="12"/>
      <c r="AH3398" s="12"/>
      <c r="AI3398" s="12"/>
      <c r="AJ3398" s="12"/>
      <c r="AK3398" s="12"/>
      <c r="AL3398" s="12"/>
      <c r="AM3398" s="12"/>
      <c r="AN3398" s="12"/>
      <c r="AO3398" s="12"/>
      <c r="AP3398" s="12"/>
      <c r="AQ3398" s="12"/>
      <c r="AR3398" s="12"/>
      <c r="AS3398" s="12"/>
      <c r="AT3398" s="12"/>
      <c r="AU3398" s="12"/>
      <c r="AV3398" s="12"/>
      <c r="AW3398" s="12"/>
      <c r="AX3398" s="12"/>
      <c r="AY3398" s="12"/>
      <c r="AZ3398" s="12"/>
      <c r="BA3398" s="12"/>
      <c r="BB3398" s="12"/>
      <c r="BC3398" s="12"/>
      <c r="BD3398" s="12"/>
      <c r="BE3398" s="12"/>
      <c r="BF3398" s="12"/>
      <c r="BG3398" s="12"/>
      <c r="BH3398" s="12"/>
      <c r="BI3398" s="12"/>
      <c r="BJ3398" s="12"/>
      <c r="BK3398" s="12"/>
      <c r="BL3398" s="12"/>
      <c r="BM3398" s="12"/>
      <c r="BN3398" s="12"/>
      <c r="BO3398" s="12"/>
      <c r="BP3398" s="12"/>
      <c r="BQ3398" s="12"/>
      <c r="BR3398" s="12"/>
      <c r="BS3398" s="12"/>
      <c r="BT3398" s="12"/>
      <c r="BU3398" s="12"/>
      <c r="BV3398" s="12"/>
      <c r="BW3398" s="12"/>
      <c r="BX3398" s="12"/>
      <c r="BY3398" s="12"/>
      <c r="BZ3398" s="12"/>
      <c r="CA3398" s="12"/>
      <c r="CB3398" s="12"/>
      <c r="CC3398" s="12"/>
      <c r="CD3398" s="12"/>
      <c r="CE3398" s="12"/>
      <c r="CF3398" s="12"/>
      <c r="CG3398" s="12"/>
      <c r="CH3398" s="12"/>
      <c r="CI3398" s="12"/>
      <c r="CJ3398" s="12"/>
      <c r="CK3398" s="12"/>
      <c r="CL3398" s="12"/>
      <c r="CM3398" s="12"/>
      <c r="CN3398" s="12"/>
      <c r="CO3398" s="12"/>
      <c r="CP3398" s="12"/>
      <c r="CQ3398" s="12"/>
      <c r="CR3398" s="12"/>
      <c r="CS3398" s="12"/>
      <c r="CT3398" s="12"/>
      <c r="CU3398" s="12"/>
      <c r="CV3398" s="12"/>
      <c r="CW3398" s="12"/>
      <c r="CX3398" s="12"/>
      <c r="CY3398" s="12"/>
      <c r="CZ3398" s="12"/>
      <c r="DA3398" s="12"/>
      <c r="DB3398" s="12"/>
      <c r="DC3398" s="12"/>
      <c r="DD3398" s="12"/>
      <c r="DE3398" s="12"/>
      <c r="DF3398" s="12"/>
      <c r="DG3398" s="12"/>
      <c r="DH3398" s="12"/>
      <c r="DI3398" s="12"/>
      <c r="DJ3398" s="12"/>
      <c r="DK3398" s="12"/>
      <c r="DL3398" s="12"/>
      <c r="DM3398" s="12"/>
      <c r="DN3398" s="12"/>
      <c r="DO3398" s="12"/>
      <c r="DP3398" s="12"/>
      <c r="DQ3398" s="12"/>
      <c r="DR3398" s="12"/>
      <c r="DS3398" s="12"/>
      <c r="DT3398" s="12"/>
      <c r="DU3398" s="12"/>
      <c r="DV3398" s="12"/>
      <c r="DW3398" s="12"/>
      <c r="DX3398" s="12"/>
      <c r="DY3398" s="12"/>
      <c r="DZ3398" s="12"/>
      <c r="EA3398" s="12"/>
      <c r="EB3398" s="12"/>
      <c r="EC3398" s="12"/>
      <c r="ED3398" s="12"/>
      <c r="EE3398" s="12"/>
      <c r="EF3398" s="12"/>
      <c r="EG3398" s="12"/>
      <c r="EH3398" s="12"/>
      <c r="EI3398" s="12"/>
      <c r="EJ3398" s="12"/>
      <c r="EK3398" s="12"/>
      <c r="EL3398" s="12"/>
      <c r="EM3398" s="12"/>
      <c r="EN3398" s="12"/>
      <c r="EO3398" s="12"/>
      <c r="EP3398" s="12"/>
      <c r="EQ3398" s="12"/>
      <c r="ER3398" s="12"/>
      <c r="ES3398" s="12"/>
      <c r="ET3398" s="12"/>
      <c r="EU3398" s="12"/>
      <c r="EV3398" s="12"/>
      <c r="EW3398" s="12"/>
      <c r="EX3398" s="12"/>
      <c r="EY3398" s="12"/>
      <c r="EZ3398" s="12"/>
      <c r="FA3398" s="12"/>
      <c r="FB3398" s="12"/>
      <c r="FC3398" s="12"/>
      <c r="FD3398" s="12"/>
      <c r="FE3398" s="12"/>
      <c r="FF3398" s="12"/>
      <c r="FG3398" s="12"/>
      <c r="FH3398" s="12"/>
      <c r="FI3398" s="12"/>
      <c r="FJ3398" s="12"/>
      <c r="FK3398" s="12"/>
      <c r="FL3398" s="12"/>
      <c r="FM3398" s="12"/>
      <c r="FN3398" s="12"/>
      <c r="FO3398" s="12"/>
      <c r="FP3398" s="12"/>
      <c r="FQ3398" s="12"/>
      <c r="FR3398" s="12"/>
      <c r="FS3398" s="12"/>
      <c r="FT3398" s="12"/>
      <c r="FU3398" s="12"/>
      <c r="FV3398" s="12"/>
      <c r="FW3398" s="12"/>
      <c r="FX3398" s="12"/>
      <c r="FY3398" s="12"/>
      <c r="FZ3398" s="12"/>
      <c r="GA3398" s="12"/>
      <c r="GB3398" s="12"/>
      <c r="GC3398" s="12"/>
      <c r="GD3398" s="12"/>
      <c r="GE3398" s="12"/>
      <c r="GF3398" s="12"/>
      <c r="GG3398" s="12"/>
      <c r="GH3398" s="12"/>
      <c r="GI3398" s="12"/>
      <c r="GJ3398" s="12"/>
      <c r="GK3398" s="12"/>
      <c r="GL3398" s="12"/>
      <c r="GM3398" s="12"/>
      <c r="GN3398" s="12"/>
      <c r="GO3398" s="12"/>
      <c r="GP3398" s="12"/>
      <c r="GQ3398" s="12"/>
      <c r="GR3398" s="12"/>
      <c r="GS3398" s="12"/>
      <c r="GT3398" s="12"/>
      <c r="GU3398" s="12"/>
      <c r="GV3398" s="12"/>
      <c r="GW3398" s="12"/>
      <c r="GX3398" s="12"/>
      <c r="GY3398" s="12"/>
      <c r="GZ3398" s="12"/>
      <c r="HA3398" s="12"/>
      <c r="HB3398" s="12"/>
      <c r="HC3398" s="12"/>
      <c r="HD3398" s="12"/>
      <c r="HE3398" s="12"/>
      <c r="HF3398" s="12"/>
      <c r="HG3398" s="12"/>
      <c r="HH3398" s="12"/>
      <c r="HI3398" s="12"/>
      <c r="HJ3398" s="12"/>
      <c r="HK3398" s="12"/>
      <c r="HL3398" s="12"/>
      <c r="HM3398" s="12"/>
      <c r="HN3398" s="12"/>
      <c r="HO3398" s="12"/>
      <c r="HP3398" s="12"/>
      <c r="HQ3398" s="12"/>
      <c r="HR3398" s="12"/>
      <c r="HS3398" s="12"/>
      <c r="HT3398" s="12"/>
      <c r="HU3398" s="12"/>
      <c r="HV3398" s="12"/>
      <c r="HW3398" s="12"/>
      <c r="HX3398" s="12"/>
      <c r="HY3398" s="12"/>
      <c r="HZ3398" s="12"/>
      <c r="IA3398" s="12"/>
      <c r="IB3398" s="12"/>
      <c r="IC3398" s="12"/>
      <c r="ID3398" s="12"/>
      <c r="IE3398" s="12"/>
      <c r="IF3398" s="12"/>
      <c r="IG3398" s="12"/>
      <c r="IH3398" s="12"/>
      <c r="II3398" s="12"/>
      <c r="IJ3398" s="12"/>
      <c r="IK3398" s="12"/>
      <c r="IL3398" s="12"/>
      <c r="IM3398" s="12"/>
      <c r="IN3398" s="12"/>
      <c r="IO3398" s="12"/>
      <c r="IP3398" s="12"/>
      <c r="IQ3398" s="12"/>
      <c r="IR3398" s="12"/>
      <c r="IS3398" s="12"/>
      <c r="IT3398" s="12"/>
      <c r="IU3398" s="12"/>
      <c r="IV3398" s="12"/>
      <c r="IW3398" s="12"/>
      <c r="IX3398" s="12"/>
      <c r="IY3398" s="12"/>
      <c r="IZ3398" s="12"/>
      <c r="JA3398" s="12"/>
      <c r="JB3398" s="12"/>
      <c r="JC3398" s="12"/>
      <c r="JD3398" s="12"/>
      <c r="JE3398" s="12"/>
      <c r="JF3398" s="12"/>
      <c r="JG3398" s="12"/>
      <c r="JH3398" s="12"/>
      <c r="JI3398" s="12"/>
      <c r="JJ3398" s="12"/>
      <c r="JK3398" s="12"/>
      <c r="JL3398" s="12"/>
      <c r="JM3398" s="12"/>
      <c r="JN3398" s="12"/>
      <c r="JO3398" s="12"/>
      <c r="JP3398" s="12"/>
      <c r="JQ3398" s="12"/>
      <c r="JR3398" s="12"/>
      <c r="JS3398" s="12"/>
      <c r="JT3398" s="12"/>
      <c r="JU3398" s="12"/>
      <c r="JV3398" s="12"/>
      <c r="JW3398" s="12"/>
      <c r="JX3398" s="12"/>
      <c r="JY3398" s="12"/>
      <c r="JZ3398" s="12"/>
      <c r="KA3398" s="12"/>
      <c r="KB3398" s="12"/>
      <c r="KC3398" s="12"/>
      <c r="KD3398" s="12"/>
      <c r="KE3398" s="12"/>
      <c r="KF3398" s="12"/>
      <c r="KG3398" s="12"/>
      <c r="KH3398" s="12"/>
      <c r="KI3398" s="12"/>
      <c r="KJ3398" s="12"/>
      <c r="KK3398" s="12"/>
      <c r="KL3398" s="12"/>
      <c r="KM3398" s="12"/>
      <c r="KN3398" s="12"/>
      <c r="KO3398" s="12"/>
      <c r="KP3398" s="12"/>
      <c r="KQ3398" s="12"/>
      <c r="KR3398" s="12"/>
      <c r="KS3398" s="12"/>
      <c r="KT3398" s="12"/>
      <c r="KU3398" s="12"/>
      <c r="KV3398" s="12"/>
      <c r="KW3398" s="12"/>
      <c r="KX3398" s="12"/>
      <c r="KY3398" s="12"/>
      <c r="KZ3398" s="12"/>
      <c r="LA3398" s="12"/>
      <c r="LB3398" s="12"/>
      <c r="LC3398" s="12"/>
      <c r="LD3398" s="12"/>
      <c r="LE3398" s="12"/>
      <c r="LF3398" s="12"/>
      <c r="LG3398" s="12"/>
      <c r="LH3398" s="12"/>
      <c r="LI3398" s="12"/>
      <c r="LJ3398" s="12"/>
      <c r="LK3398" s="12"/>
      <c r="LL3398" s="12"/>
      <c r="LM3398" s="12"/>
      <c r="LN3398" s="12"/>
      <c r="LO3398" s="12"/>
      <c r="LP3398" s="12"/>
      <c r="LQ3398" s="12"/>
      <c r="LR3398" s="12"/>
      <c r="LS3398" s="12"/>
      <c r="LT3398" s="12"/>
      <c r="LU3398" s="12"/>
      <c r="LV3398" s="12"/>
      <c r="LW3398" s="12"/>
      <c r="LX3398" s="12"/>
      <c r="LY3398" s="12"/>
      <c r="LZ3398" s="12"/>
      <c r="MA3398" s="12"/>
      <c r="MB3398" s="12"/>
      <c r="MC3398" s="12"/>
      <c r="MD3398" s="12"/>
      <c r="ME3398" s="12"/>
      <c r="MF3398" s="12"/>
      <c r="MG3398" s="12"/>
      <c r="MH3398" s="12"/>
      <c r="MI3398" s="12"/>
      <c r="MJ3398" s="12"/>
      <c r="MK3398" s="12"/>
      <c r="ML3398" s="12"/>
      <c r="MM3398" s="12"/>
      <c r="MN3398" s="12"/>
      <c r="MO3398" s="12"/>
      <c r="MP3398" s="12"/>
      <c r="MQ3398" s="12"/>
      <c r="MR3398" s="12"/>
      <c r="MS3398" s="12"/>
      <c r="MT3398" s="12"/>
      <c r="MU3398" s="12"/>
      <c r="MV3398" s="12"/>
      <c r="MW3398" s="12"/>
      <c r="MX3398" s="12"/>
      <c r="MY3398" s="12"/>
      <c r="MZ3398" s="12"/>
      <c r="NA3398" s="12"/>
      <c r="NB3398" s="12"/>
      <c r="NC3398" s="12"/>
      <c r="ND3398" s="12"/>
      <c r="NE3398" s="12"/>
      <c r="NF3398" s="12"/>
      <c r="NG3398" s="12"/>
      <c r="NH3398" s="12"/>
      <c r="NI3398" s="12"/>
      <c r="NJ3398" s="12"/>
      <c r="NK3398" s="12"/>
      <c r="NL3398" s="12"/>
      <c r="NM3398" s="12"/>
      <c r="NN3398" s="12"/>
      <c r="NO3398" s="12"/>
      <c r="NP3398" s="12"/>
      <c r="NQ3398" s="12"/>
      <c r="NR3398" s="12"/>
      <c r="NS3398" s="12"/>
      <c r="NT3398" s="12"/>
      <c r="NU3398" s="12"/>
      <c r="NV3398" s="12"/>
      <c r="NW3398" s="12"/>
      <c r="NX3398" s="12"/>
      <c r="NY3398" s="12"/>
      <c r="NZ3398" s="12"/>
      <c r="OA3398" s="12"/>
      <c r="OB3398" s="12"/>
      <c r="OC3398" s="12"/>
      <c r="OD3398" s="12"/>
      <c r="OE3398" s="12"/>
      <c r="OF3398" s="12"/>
      <c r="OG3398" s="12"/>
      <c r="OH3398" s="12"/>
      <c r="OI3398" s="12"/>
      <c r="OJ3398" s="12"/>
      <c r="OK3398" s="12"/>
      <c r="OL3398" s="12"/>
      <c r="OM3398" s="12"/>
      <c r="ON3398" s="12"/>
      <c r="OO3398" s="12"/>
      <c r="OP3398" s="12"/>
      <c r="OQ3398" s="12"/>
      <c r="OR3398" s="12"/>
      <c r="OS3398" s="12"/>
      <c r="OT3398" s="12"/>
      <c r="OU3398" s="12"/>
      <c r="OV3398" s="12"/>
      <c r="OW3398" s="12"/>
      <c r="OX3398" s="12"/>
      <c r="OY3398" s="12"/>
      <c r="OZ3398" s="12"/>
      <c r="PA3398" s="12"/>
      <c r="PB3398" s="12"/>
      <c r="PC3398" s="12"/>
      <c r="PD3398" s="12"/>
      <c r="PE3398" s="12"/>
      <c r="PF3398" s="12"/>
      <c r="PG3398" s="12"/>
      <c r="PH3398" s="12"/>
      <c r="PI3398" s="12"/>
      <c r="PJ3398" s="12"/>
      <c r="PK3398" s="12"/>
      <c r="PL3398" s="12"/>
      <c r="PM3398" s="12"/>
      <c r="PN3398" s="12"/>
      <c r="PO3398" s="12"/>
      <c r="PP3398" s="12"/>
      <c r="PQ3398" s="12"/>
      <c r="PR3398" s="12"/>
      <c r="PS3398" s="12"/>
      <c r="PT3398" s="12"/>
      <c r="PU3398" s="12"/>
      <c r="PV3398" s="12"/>
      <c r="PW3398" s="12"/>
      <c r="PX3398" s="12"/>
      <c r="PY3398" s="12"/>
      <c r="PZ3398" s="12"/>
      <c r="QA3398" s="12"/>
      <c r="QB3398" s="12"/>
      <c r="QC3398" s="12"/>
      <c r="QD3398" s="12"/>
      <c r="QE3398" s="12"/>
      <c r="QF3398" s="12"/>
      <c r="QG3398" s="12"/>
      <c r="QH3398" s="12"/>
      <c r="QI3398" s="12"/>
      <c r="QJ3398" s="12"/>
      <c r="QK3398" s="12"/>
      <c r="QL3398" s="12"/>
      <c r="QM3398" s="12"/>
      <c r="QN3398" s="12"/>
      <c r="QO3398" s="12"/>
      <c r="QP3398" s="12"/>
      <c r="QQ3398" s="12"/>
      <c r="QR3398" s="12"/>
      <c r="QS3398" s="12"/>
      <c r="QT3398" s="12"/>
      <c r="QU3398" s="12"/>
      <c r="QV3398" s="12"/>
      <c r="QW3398" s="12"/>
      <c r="QX3398" s="12"/>
      <c r="QY3398" s="12"/>
      <c r="QZ3398" s="12"/>
      <c r="RA3398" s="12"/>
      <c r="RB3398" s="12"/>
      <c r="RC3398" s="12"/>
      <c r="RD3398" s="12"/>
      <c r="RE3398" s="12"/>
      <c r="RF3398" s="12"/>
      <c r="RG3398" s="12"/>
      <c r="RH3398" s="12"/>
      <c r="RI3398" s="12"/>
      <c r="RJ3398" s="12"/>
      <c r="RK3398" s="12"/>
      <c r="RL3398" s="12"/>
      <c r="RM3398" s="12"/>
      <c r="RN3398" s="12"/>
      <c r="RO3398" s="12"/>
      <c r="RP3398" s="12"/>
      <c r="RQ3398" s="12"/>
      <c r="RR3398" s="12"/>
      <c r="RS3398" s="12"/>
      <c r="RT3398" s="12"/>
      <c r="RU3398" s="12"/>
      <c r="RV3398" s="12"/>
      <c r="RW3398" s="12"/>
      <c r="RX3398" s="12"/>
      <c r="RY3398" s="12"/>
      <c r="RZ3398" s="12"/>
      <c r="SA3398" s="12"/>
      <c r="SB3398" s="12"/>
      <c r="SC3398" s="12"/>
      <c r="SD3398" s="12"/>
      <c r="SE3398" s="12"/>
      <c r="SF3398" s="12"/>
      <c r="SG3398" s="12"/>
      <c r="SH3398" s="12"/>
      <c r="SI3398" s="12"/>
      <c r="SJ3398" s="12"/>
      <c r="SK3398" s="12"/>
      <c r="SL3398" s="12"/>
      <c r="SM3398" s="12"/>
      <c r="SN3398" s="12"/>
      <c r="SO3398" s="12"/>
      <c r="SP3398" s="12"/>
      <c r="SQ3398" s="12"/>
      <c r="SR3398" s="12"/>
      <c r="SS3398" s="12"/>
      <c r="ST3398" s="12"/>
      <c r="SU3398" s="12"/>
      <c r="SV3398" s="12"/>
      <c r="SW3398" s="12"/>
      <c r="SX3398" s="12"/>
      <c r="SY3398" s="12"/>
      <c r="SZ3398" s="12"/>
      <c r="TA3398" s="12"/>
      <c r="TB3398" s="12"/>
      <c r="TC3398" s="12"/>
      <c r="TD3398" s="12"/>
      <c r="TE3398" s="12"/>
      <c r="TF3398" s="12"/>
      <c r="TG3398" s="12"/>
      <c r="TH3398" s="12"/>
      <c r="TI3398" s="12"/>
      <c r="TJ3398" s="12"/>
      <c r="TK3398" s="12"/>
      <c r="TL3398" s="12"/>
      <c r="TM3398" s="12"/>
      <c r="TN3398" s="12"/>
      <c r="TO3398" s="12"/>
      <c r="TP3398" s="12"/>
      <c r="TQ3398" s="12"/>
      <c r="TR3398" s="12"/>
      <c r="TS3398" s="12"/>
      <c r="TT3398" s="12"/>
      <c r="TU3398" s="12"/>
      <c r="TV3398" s="12"/>
      <c r="TW3398" s="12"/>
      <c r="TX3398" s="12"/>
      <c r="TY3398" s="12"/>
      <c r="TZ3398" s="12"/>
      <c r="UA3398" s="12"/>
      <c r="UB3398" s="12"/>
      <c r="UC3398" s="12"/>
      <c r="UD3398" s="12"/>
      <c r="UE3398" s="12"/>
      <c r="UF3398" s="12"/>
      <c r="UG3398" s="12"/>
      <c r="UH3398" s="12"/>
      <c r="UI3398" s="12"/>
      <c r="UJ3398" s="12"/>
      <c r="UK3398" s="12"/>
      <c r="UL3398" s="12"/>
      <c r="UM3398" s="12"/>
      <c r="UN3398" s="12"/>
      <c r="UO3398" s="12"/>
      <c r="UP3398" s="12"/>
      <c r="UQ3398" s="12"/>
      <c r="UR3398" s="12"/>
      <c r="US3398" s="12"/>
      <c r="UT3398" s="12"/>
      <c r="UU3398" s="12"/>
      <c r="UV3398" s="12"/>
      <c r="UW3398" s="12"/>
      <c r="UX3398" s="12"/>
      <c r="UY3398" s="12"/>
      <c r="UZ3398" s="12"/>
      <c r="VA3398" s="12"/>
      <c r="VB3398" s="12"/>
      <c r="VC3398" s="12"/>
      <c r="VD3398" s="12"/>
      <c r="VE3398" s="12"/>
      <c r="VF3398" s="12"/>
      <c r="VG3398" s="12"/>
      <c r="VH3398" s="12"/>
      <c r="VI3398" s="12"/>
      <c r="VJ3398" s="12"/>
      <c r="VK3398" s="12"/>
      <c r="VL3398" s="12"/>
      <c r="VM3398" s="12"/>
      <c r="VN3398" s="12"/>
      <c r="VO3398" s="12"/>
      <c r="VP3398" s="12"/>
      <c r="VQ3398" s="12"/>
      <c r="VR3398" s="12"/>
      <c r="VS3398" s="12"/>
      <c r="VT3398" s="12"/>
      <c r="VU3398" s="12"/>
      <c r="VV3398" s="12"/>
      <c r="VW3398" s="12"/>
      <c r="VX3398" s="12"/>
      <c r="VY3398" s="12"/>
      <c r="VZ3398" s="12"/>
      <c r="WA3398" s="12"/>
      <c r="WB3398" s="12"/>
      <c r="WC3398" s="12"/>
      <c r="WD3398" s="12"/>
      <c r="WE3398" s="12"/>
      <c r="WF3398" s="12"/>
      <c r="WG3398" s="12"/>
      <c r="WH3398" s="12"/>
      <c r="WI3398" s="12"/>
      <c r="WJ3398" s="12"/>
      <c r="WK3398" s="12"/>
      <c r="WL3398" s="12"/>
      <c r="WM3398" s="12"/>
      <c r="WN3398" s="12"/>
      <c r="WO3398" s="12"/>
      <c r="WP3398" s="12"/>
      <c r="WQ3398" s="12"/>
      <c r="WR3398" s="12"/>
      <c r="WS3398" s="12"/>
      <c r="WT3398" s="12"/>
      <c r="WU3398" s="12"/>
      <c r="WV3398" s="12"/>
      <c r="WW3398" s="12"/>
      <c r="WX3398" s="12"/>
      <c r="WY3398" s="12"/>
      <c r="WZ3398" s="12"/>
      <c r="XA3398" s="12"/>
      <c r="XB3398" s="12"/>
      <c r="XC3398" s="12"/>
      <c r="XD3398" s="12"/>
      <c r="XE3398" s="12"/>
      <c r="XF3398" s="12"/>
      <c r="XG3398" s="12"/>
      <c r="XH3398" s="12"/>
      <c r="XI3398" s="12"/>
      <c r="XJ3398" s="12"/>
      <c r="XK3398" s="12"/>
      <c r="XL3398" s="12"/>
      <c r="XM3398" s="12"/>
      <c r="XN3398" s="12"/>
      <c r="XO3398" s="12"/>
      <c r="XP3398" s="12"/>
      <c r="XQ3398" s="12"/>
      <c r="XR3398" s="12"/>
      <c r="XS3398" s="12"/>
      <c r="XT3398" s="12"/>
      <c r="XU3398" s="12"/>
      <c r="XV3398" s="12"/>
      <c r="XW3398" s="12"/>
      <c r="XX3398" s="12"/>
      <c r="XY3398" s="12"/>
      <c r="XZ3398" s="12"/>
      <c r="YA3398" s="12"/>
      <c r="YB3398" s="12"/>
      <c r="YC3398" s="12"/>
      <c r="YD3398" s="12"/>
      <c r="YE3398" s="12"/>
      <c r="YF3398" s="12"/>
      <c r="YG3398" s="12"/>
      <c r="YH3398" s="12"/>
      <c r="YI3398" s="12"/>
      <c r="YJ3398" s="12"/>
      <c r="YK3398" s="12"/>
      <c r="YL3398" s="12"/>
      <c r="YM3398" s="12"/>
      <c r="YN3398" s="12"/>
      <c r="YO3398" s="12"/>
      <c r="YP3398" s="12"/>
      <c r="YQ3398" s="12"/>
      <c r="YR3398" s="12"/>
      <c r="YS3398" s="12"/>
      <c r="YT3398" s="12"/>
      <c r="YU3398" s="12"/>
      <c r="YV3398" s="12"/>
      <c r="YW3398" s="12"/>
      <c r="YX3398" s="12"/>
      <c r="YY3398" s="12"/>
      <c r="YZ3398" s="12"/>
      <c r="ZA3398" s="12"/>
      <c r="ZB3398" s="12"/>
      <c r="ZC3398" s="12"/>
      <c r="ZD3398" s="12"/>
      <c r="ZE3398" s="12"/>
      <c r="ZF3398" s="12"/>
      <c r="ZG3398" s="12"/>
      <c r="ZH3398" s="12"/>
      <c r="ZI3398" s="12"/>
      <c r="ZJ3398" s="12"/>
      <c r="ZK3398" s="12"/>
      <c r="ZL3398" s="12"/>
      <c r="ZM3398" s="12"/>
      <c r="ZN3398" s="12"/>
      <c r="ZO3398" s="12"/>
      <c r="ZP3398" s="12"/>
      <c r="ZQ3398" s="12"/>
      <c r="ZR3398" s="12"/>
      <c r="ZS3398" s="12"/>
      <c r="ZT3398" s="12"/>
      <c r="ZU3398" s="12"/>
      <c r="ZV3398" s="12"/>
      <c r="ZW3398" s="12"/>
      <c r="ZX3398" s="12"/>
    </row>
    <row r="3399" spans="1:700" ht="14.4" hidden="1">
      <c r="A3399" s="38">
        <f>IF(C3399="","",MAX($A$1:A3398)+1)</f>
        <v>3114</v>
      </c>
      <c r="B3399" s="36" t="s">
        <v>141</v>
      </c>
      <c r="C3399" s="23">
        <v>46109</v>
      </c>
      <c r="D3399" s="28" t="str">
        <f>_xlfn.XLOOKUP(Table134526_79101120212223242526[[#This Row],[Name Surname]],Manpower!$C$4:$C$1048576,Manpower!$B$4:$B$1048576,"")</f>
        <v>Encogroup</v>
      </c>
      <c r="E3399" s="21" t="s">
        <v>347</v>
      </c>
      <c r="F3399" s="12">
        <f>_xlfn.XLOOKUP(Table134526_79101120212223242526[[#This Row],[Name Surname]],Manpower!C:C,Manpower!D:D,)</f>
        <v>141502853</v>
      </c>
      <c r="G3399" s="28" t="str">
        <f>_xlfn.XLOOKUP(Table134526_79101120212223242526[[#This Row],[Name Surname]],Manpower!$C$4:$C$1048576,Manpower!$F$4:$F$1048576,"")</f>
        <v>Scaffolder</v>
      </c>
      <c r="H3399" s="28" t="str">
        <f>_xlfn.XLOOKUP(Table134526_79101120212223242526[[#This Row],[Name Surname]],Manpower!$C$4:$C$1048576,Manpower!$H$4:$H$1048576,"")</f>
        <v>Manpower</v>
      </c>
      <c r="I3399" s="28" t="str">
        <f>_xlfn.XLOOKUP(Table134526_79101120212223242526[[#This Row],[Name Surname]],Manpower!$C$4:$C$1048576,Manpower!$H$4:$H$1048576,"")</f>
        <v>Manpower</v>
      </c>
      <c r="J3399" s="21" t="s">
        <v>143</v>
      </c>
      <c r="K3399" s="21" t="s">
        <v>26</v>
      </c>
      <c r="L3399" s="21" t="s">
        <v>26</v>
      </c>
      <c r="M3399" s="21" t="s">
        <v>55</v>
      </c>
      <c r="N3399" s="29">
        <v>10</v>
      </c>
      <c r="O3399" s="21" t="s">
        <v>40</v>
      </c>
      <c r="P3399" s="21" t="s">
        <v>42</v>
      </c>
      <c r="Q3399" s="21" t="s">
        <v>42</v>
      </c>
      <c r="R3399" s="21" t="s">
        <v>420</v>
      </c>
    </row>
    <row r="3400" spans="1:700" ht="14.4" hidden="1">
      <c r="A3400" s="38">
        <f>IF(C3400="","",MAX($A$1:A3399)+1)</f>
        <v>3115</v>
      </c>
      <c r="B3400" s="36" t="s">
        <v>141</v>
      </c>
      <c r="C3400" s="23">
        <v>46109</v>
      </c>
      <c r="D3400" s="28" t="str">
        <f>_xlfn.XLOOKUP(Table134526_79101120212223242526[[#This Row],[Name Surname]],Manpower!$C$4:$C$1048576,Manpower!$B$4:$B$1048576,"")</f>
        <v>Encogroup</v>
      </c>
      <c r="E3400" s="21" t="s">
        <v>264</v>
      </c>
      <c r="F3400" s="12">
        <f>_xlfn.XLOOKUP(Table134526_79101120212223242526[[#This Row],[Name Surname]],Manpower!C:C,Manpower!D:D,)</f>
        <v>141365061</v>
      </c>
      <c r="G3400" s="28" t="str">
        <f>_xlfn.XLOOKUP(Table134526_79101120212223242526[[#This Row],[Name Surname]],Manpower!$C$4:$C$1048576,Manpower!$F$4:$F$1048576,"")</f>
        <v>Helper</v>
      </c>
      <c r="H3400" s="28" t="str">
        <f>_xlfn.XLOOKUP(Table134526_79101120212223242526[[#This Row],[Name Surname]],Manpower!$C$4:$C$1048576,Manpower!$H$4:$H$1048576,"")</f>
        <v>Manpower</v>
      </c>
      <c r="I3400" s="28" t="str">
        <f>_xlfn.XLOOKUP(Table134526_79101120212223242526[[#This Row],[Name Surname]],Manpower!$C$4:$C$1048576,Manpower!$H$4:$H$1048576,"")</f>
        <v>Manpower</v>
      </c>
      <c r="J3400" s="21" t="s">
        <v>143</v>
      </c>
      <c r="K3400" s="21" t="s">
        <v>26</v>
      </c>
      <c r="L3400" s="21" t="s">
        <v>144</v>
      </c>
      <c r="M3400" s="21" t="s">
        <v>55</v>
      </c>
      <c r="N3400" s="29">
        <v>10</v>
      </c>
      <c r="R3400" s="21" t="s">
        <v>420</v>
      </c>
    </row>
    <row r="3401" spans="1:700" s="45" customFormat="1" ht="14.4" hidden="1">
      <c r="A3401" s="53">
        <f>IF(C3401="","",MAX($A$1:A3400)+1)</f>
        <v>3116</v>
      </c>
      <c r="B3401" s="36" t="s">
        <v>141</v>
      </c>
      <c r="C3401" s="23">
        <v>46109</v>
      </c>
      <c r="D3401" s="28" t="str">
        <f>_xlfn.XLOOKUP(Table134526_79101120212223242526[[#This Row],[Name Surname]],Manpower!$C$4:$C$1048576,Manpower!$B$4:$B$1048576,"")</f>
        <v>Encogroup</v>
      </c>
      <c r="E3401" s="21" t="s">
        <v>224</v>
      </c>
      <c r="F3401" s="12">
        <f>_xlfn.XLOOKUP(Table134526_79101120212223242526[[#This Row],[Name Surname]],Manpower!C:C,Manpower!D:D,)</f>
        <v>141365094</v>
      </c>
      <c r="G3401" s="28" t="str">
        <f>_xlfn.XLOOKUP(Table134526_79101120212223242526[[#This Row],[Name Surname]],Manpower!$C$4:$C$1048576,Manpower!$F$4:$F$1048576,"")</f>
        <v>Helper</v>
      </c>
      <c r="H3401" s="28" t="str">
        <f>_xlfn.XLOOKUP(Table134526_79101120212223242526[[#This Row],[Name Surname]],Manpower!$C$4:$C$1048576,Manpower!$H$4:$H$1048576,"")</f>
        <v>Manpower</v>
      </c>
      <c r="I3401" s="28" t="str">
        <f>_xlfn.XLOOKUP(Table134526_79101120212223242526[[#This Row],[Name Surname]],Manpower!$C$4:$C$1048576,Manpower!$H$4:$H$1048576,"")</f>
        <v>Manpower</v>
      </c>
      <c r="J3401" s="21" t="s">
        <v>143</v>
      </c>
      <c r="K3401" s="21" t="s">
        <v>26</v>
      </c>
      <c r="L3401" s="21" t="s">
        <v>144</v>
      </c>
      <c r="M3401" s="21" t="s">
        <v>55</v>
      </c>
      <c r="N3401" s="29">
        <v>10</v>
      </c>
      <c r="O3401" s="21"/>
      <c r="P3401" s="21"/>
      <c r="Q3401" s="21"/>
      <c r="R3401" s="21" t="s">
        <v>420</v>
      </c>
      <c r="S3401" s="21"/>
      <c r="T3401" s="12"/>
      <c r="U3401" s="12"/>
      <c r="V3401" s="12"/>
      <c r="W3401" s="12"/>
      <c r="X3401" s="12"/>
      <c r="Y3401" s="12"/>
      <c r="Z3401" s="12"/>
      <c r="AA3401" s="12"/>
      <c r="AB3401" s="12"/>
      <c r="AC3401" s="12"/>
      <c r="AD3401" s="12"/>
      <c r="AE3401" s="12"/>
      <c r="AF3401" s="12"/>
      <c r="AG3401" s="12"/>
      <c r="AH3401" s="12"/>
      <c r="AI3401" s="12"/>
      <c r="AJ3401" s="12"/>
      <c r="AK3401" s="12"/>
      <c r="AL3401" s="12"/>
      <c r="AM3401" s="12"/>
      <c r="AN3401" s="12"/>
      <c r="AO3401" s="12"/>
      <c r="AP3401" s="12"/>
      <c r="AQ3401" s="12"/>
      <c r="AR3401" s="12"/>
      <c r="AS3401" s="12"/>
      <c r="AT3401" s="12"/>
      <c r="AU3401" s="12"/>
      <c r="AV3401" s="12"/>
      <c r="AW3401" s="12"/>
      <c r="AX3401" s="12"/>
      <c r="AY3401" s="12"/>
      <c r="AZ3401" s="12"/>
      <c r="BA3401" s="12"/>
      <c r="BB3401" s="12"/>
      <c r="BC3401" s="12"/>
      <c r="BD3401" s="12"/>
      <c r="BE3401" s="12"/>
      <c r="BF3401" s="12"/>
      <c r="BG3401" s="12"/>
      <c r="BH3401" s="12"/>
      <c r="BI3401" s="12"/>
      <c r="BJ3401" s="12"/>
      <c r="BK3401" s="12"/>
      <c r="BL3401" s="12"/>
      <c r="BM3401" s="12"/>
      <c r="BN3401" s="12"/>
      <c r="BO3401" s="12"/>
      <c r="BP3401" s="12"/>
      <c r="BQ3401" s="12"/>
      <c r="BR3401" s="12"/>
      <c r="BS3401" s="12"/>
      <c r="BT3401" s="12"/>
      <c r="BU3401" s="12"/>
      <c r="BV3401" s="12"/>
      <c r="BW3401" s="12"/>
      <c r="BX3401" s="12"/>
      <c r="BY3401" s="12"/>
      <c r="BZ3401" s="12"/>
      <c r="CA3401" s="12"/>
      <c r="CB3401" s="12"/>
      <c r="CC3401" s="12"/>
      <c r="CD3401" s="12"/>
      <c r="CE3401" s="12"/>
      <c r="CF3401" s="12"/>
      <c r="CG3401" s="12"/>
      <c r="CH3401" s="12"/>
      <c r="CI3401" s="12"/>
      <c r="CJ3401" s="12"/>
      <c r="CK3401" s="12"/>
      <c r="CL3401" s="12"/>
      <c r="CM3401" s="12"/>
      <c r="CN3401" s="12"/>
      <c r="CO3401" s="12"/>
      <c r="CP3401" s="12"/>
      <c r="CQ3401" s="12"/>
      <c r="CR3401" s="12"/>
      <c r="CS3401" s="12"/>
      <c r="CT3401" s="12"/>
      <c r="CU3401" s="12"/>
      <c r="CV3401" s="12"/>
      <c r="CW3401" s="12"/>
      <c r="CX3401" s="12"/>
      <c r="CY3401" s="12"/>
      <c r="CZ3401" s="12"/>
      <c r="DA3401" s="12"/>
      <c r="DB3401" s="12"/>
      <c r="DC3401" s="12"/>
      <c r="DD3401" s="12"/>
      <c r="DE3401" s="12"/>
      <c r="DF3401" s="12"/>
      <c r="DG3401" s="12"/>
      <c r="DH3401" s="12"/>
      <c r="DI3401" s="12"/>
      <c r="DJ3401" s="12"/>
      <c r="DK3401" s="12"/>
      <c r="DL3401" s="12"/>
      <c r="DM3401" s="12"/>
      <c r="DN3401" s="12"/>
      <c r="DO3401" s="12"/>
      <c r="DP3401" s="12"/>
      <c r="DQ3401" s="12"/>
      <c r="DR3401" s="12"/>
      <c r="DS3401" s="12"/>
      <c r="DT3401" s="12"/>
      <c r="DU3401" s="12"/>
      <c r="DV3401" s="12"/>
      <c r="DW3401" s="12"/>
      <c r="DX3401" s="12"/>
      <c r="DY3401" s="12"/>
      <c r="DZ3401" s="12"/>
      <c r="EA3401" s="12"/>
      <c r="EB3401" s="12"/>
      <c r="EC3401" s="12"/>
      <c r="ED3401" s="12"/>
      <c r="EE3401" s="12"/>
      <c r="EF3401" s="12"/>
      <c r="EG3401" s="12"/>
      <c r="EH3401" s="12"/>
      <c r="EI3401" s="12"/>
      <c r="EJ3401" s="12"/>
      <c r="EK3401" s="12"/>
      <c r="EL3401" s="12"/>
      <c r="EM3401" s="12"/>
      <c r="EN3401" s="12"/>
      <c r="EO3401" s="12"/>
      <c r="EP3401" s="12"/>
      <c r="EQ3401" s="12"/>
      <c r="ER3401" s="12"/>
      <c r="ES3401" s="12"/>
      <c r="ET3401" s="12"/>
      <c r="EU3401" s="12"/>
      <c r="EV3401" s="12"/>
      <c r="EW3401" s="12"/>
      <c r="EX3401" s="12"/>
      <c r="EY3401" s="12"/>
      <c r="EZ3401" s="12"/>
      <c r="FA3401" s="12"/>
      <c r="FB3401" s="12"/>
      <c r="FC3401" s="12"/>
      <c r="FD3401" s="12"/>
      <c r="FE3401" s="12"/>
      <c r="FF3401" s="12"/>
      <c r="FG3401" s="12"/>
      <c r="FH3401" s="12"/>
      <c r="FI3401" s="12"/>
      <c r="FJ3401" s="12"/>
      <c r="FK3401" s="12"/>
      <c r="FL3401" s="12"/>
      <c r="FM3401" s="12"/>
      <c r="FN3401" s="12"/>
      <c r="FO3401" s="12"/>
      <c r="FP3401" s="12"/>
      <c r="FQ3401" s="12"/>
      <c r="FR3401" s="12"/>
      <c r="FS3401" s="12"/>
      <c r="FT3401" s="12"/>
      <c r="FU3401" s="12"/>
      <c r="FV3401" s="12"/>
      <c r="FW3401" s="12"/>
      <c r="FX3401" s="12"/>
      <c r="FY3401" s="12"/>
      <c r="FZ3401" s="12"/>
      <c r="GA3401" s="12"/>
      <c r="GB3401" s="12"/>
      <c r="GC3401" s="12"/>
      <c r="GD3401" s="12"/>
      <c r="GE3401" s="12"/>
      <c r="GF3401" s="12"/>
      <c r="GG3401" s="12"/>
      <c r="GH3401" s="12"/>
      <c r="GI3401" s="12"/>
      <c r="GJ3401" s="12"/>
      <c r="GK3401" s="12"/>
      <c r="GL3401" s="12"/>
      <c r="GM3401" s="12"/>
      <c r="GN3401" s="12"/>
      <c r="GO3401" s="12"/>
      <c r="GP3401" s="12"/>
      <c r="GQ3401" s="12"/>
      <c r="GR3401" s="12"/>
      <c r="GS3401" s="12"/>
      <c r="GT3401" s="12"/>
      <c r="GU3401" s="12"/>
      <c r="GV3401" s="12"/>
      <c r="GW3401" s="12"/>
      <c r="GX3401" s="12"/>
      <c r="GY3401" s="12"/>
      <c r="GZ3401" s="12"/>
      <c r="HA3401" s="12"/>
      <c r="HB3401" s="12"/>
      <c r="HC3401" s="12"/>
      <c r="HD3401" s="12"/>
      <c r="HE3401" s="12"/>
      <c r="HF3401" s="12"/>
      <c r="HG3401" s="12"/>
      <c r="HH3401" s="12"/>
      <c r="HI3401" s="12"/>
      <c r="HJ3401" s="12"/>
      <c r="HK3401" s="12"/>
      <c r="HL3401" s="12"/>
      <c r="HM3401" s="12"/>
      <c r="HN3401" s="12"/>
      <c r="HO3401" s="12"/>
      <c r="HP3401" s="12"/>
      <c r="HQ3401" s="12"/>
      <c r="HR3401" s="12"/>
      <c r="HS3401" s="12"/>
      <c r="HT3401" s="12"/>
      <c r="HU3401" s="12"/>
      <c r="HV3401" s="12"/>
      <c r="HW3401" s="12"/>
      <c r="HX3401" s="12"/>
      <c r="HY3401" s="12"/>
      <c r="HZ3401" s="12"/>
      <c r="IA3401" s="12"/>
      <c r="IB3401" s="12"/>
      <c r="IC3401" s="12"/>
      <c r="ID3401" s="12"/>
      <c r="IE3401" s="12"/>
      <c r="IF3401" s="12"/>
      <c r="IG3401" s="12"/>
      <c r="IH3401" s="12"/>
      <c r="II3401" s="12"/>
      <c r="IJ3401" s="12"/>
      <c r="IK3401" s="12"/>
      <c r="IL3401" s="12"/>
      <c r="IM3401" s="12"/>
      <c r="IN3401" s="12"/>
      <c r="IO3401" s="12"/>
      <c r="IP3401" s="12"/>
      <c r="IQ3401" s="12"/>
      <c r="IR3401" s="12"/>
      <c r="IS3401" s="12"/>
      <c r="IT3401" s="12"/>
      <c r="IU3401" s="12"/>
      <c r="IV3401" s="12"/>
      <c r="IW3401" s="12"/>
      <c r="IX3401" s="12"/>
      <c r="IY3401" s="12"/>
      <c r="IZ3401" s="12"/>
      <c r="JA3401" s="12"/>
      <c r="JB3401" s="12"/>
      <c r="JC3401" s="12"/>
      <c r="JD3401" s="12"/>
      <c r="JE3401" s="12"/>
      <c r="JF3401" s="12"/>
      <c r="JG3401" s="12"/>
      <c r="JH3401" s="12"/>
      <c r="JI3401" s="12"/>
      <c r="JJ3401" s="12"/>
      <c r="JK3401" s="12"/>
      <c r="JL3401" s="12"/>
      <c r="JM3401" s="12"/>
      <c r="JN3401" s="12"/>
      <c r="JO3401" s="12"/>
      <c r="JP3401" s="12"/>
      <c r="JQ3401" s="12"/>
      <c r="JR3401" s="12"/>
      <c r="JS3401" s="12"/>
      <c r="JT3401" s="12"/>
      <c r="JU3401" s="12"/>
      <c r="JV3401" s="12"/>
      <c r="JW3401" s="12"/>
      <c r="JX3401" s="12"/>
      <c r="JY3401" s="12"/>
      <c r="JZ3401" s="12"/>
      <c r="KA3401" s="12"/>
      <c r="KB3401" s="12"/>
      <c r="KC3401" s="12"/>
      <c r="KD3401" s="12"/>
      <c r="KE3401" s="12"/>
      <c r="KF3401" s="12"/>
      <c r="KG3401" s="12"/>
      <c r="KH3401" s="12"/>
      <c r="KI3401" s="12"/>
      <c r="KJ3401" s="12"/>
      <c r="KK3401" s="12"/>
      <c r="KL3401" s="12"/>
      <c r="KM3401" s="12"/>
      <c r="KN3401" s="12"/>
      <c r="KO3401" s="12"/>
      <c r="KP3401" s="12"/>
      <c r="KQ3401" s="12"/>
      <c r="KR3401" s="12"/>
      <c r="KS3401" s="12"/>
      <c r="KT3401" s="12"/>
      <c r="KU3401" s="12"/>
      <c r="KV3401" s="12"/>
      <c r="KW3401" s="12"/>
      <c r="KX3401" s="12"/>
      <c r="KY3401" s="12"/>
      <c r="KZ3401" s="12"/>
      <c r="LA3401" s="12"/>
      <c r="LB3401" s="12"/>
      <c r="LC3401" s="12"/>
      <c r="LD3401" s="12"/>
      <c r="LE3401" s="12"/>
      <c r="LF3401" s="12"/>
      <c r="LG3401" s="12"/>
      <c r="LH3401" s="12"/>
      <c r="LI3401" s="12"/>
      <c r="LJ3401" s="12"/>
      <c r="LK3401" s="12"/>
      <c r="LL3401" s="12"/>
      <c r="LM3401" s="12"/>
      <c r="LN3401" s="12"/>
      <c r="LO3401" s="12"/>
      <c r="LP3401" s="12"/>
      <c r="LQ3401" s="12"/>
      <c r="LR3401" s="12"/>
      <c r="LS3401" s="12"/>
      <c r="LT3401" s="12"/>
      <c r="LU3401" s="12"/>
      <c r="LV3401" s="12"/>
      <c r="LW3401" s="12"/>
      <c r="LX3401" s="12"/>
      <c r="LY3401" s="12"/>
      <c r="LZ3401" s="12"/>
      <c r="MA3401" s="12"/>
      <c r="MB3401" s="12"/>
      <c r="MC3401" s="12"/>
      <c r="MD3401" s="12"/>
      <c r="ME3401" s="12"/>
      <c r="MF3401" s="12"/>
      <c r="MG3401" s="12"/>
      <c r="MH3401" s="12"/>
      <c r="MI3401" s="12"/>
      <c r="MJ3401" s="12"/>
      <c r="MK3401" s="12"/>
      <c r="ML3401" s="12"/>
      <c r="MM3401" s="12"/>
      <c r="MN3401" s="12"/>
      <c r="MO3401" s="12"/>
      <c r="MP3401" s="12"/>
      <c r="MQ3401" s="12"/>
      <c r="MR3401" s="12"/>
      <c r="MS3401" s="12"/>
      <c r="MT3401" s="12"/>
      <c r="MU3401" s="12"/>
      <c r="MV3401" s="12"/>
      <c r="MW3401" s="12"/>
      <c r="MX3401" s="12"/>
      <c r="MY3401" s="12"/>
      <c r="MZ3401" s="12"/>
      <c r="NA3401" s="12"/>
      <c r="NB3401" s="12"/>
      <c r="NC3401" s="12"/>
      <c r="ND3401" s="12"/>
      <c r="NE3401" s="12"/>
      <c r="NF3401" s="12"/>
      <c r="NG3401" s="12"/>
      <c r="NH3401" s="12"/>
      <c r="NI3401" s="12"/>
      <c r="NJ3401" s="12"/>
      <c r="NK3401" s="12"/>
      <c r="NL3401" s="12"/>
      <c r="NM3401" s="12"/>
      <c r="NN3401" s="12"/>
      <c r="NO3401" s="12"/>
      <c r="NP3401" s="12"/>
      <c r="NQ3401" s="12"/>
      <c r="NR3401" s="12"/>
      <c r="NS3401" s="12"/>
      <c r="NT3401" s="12"/>
      <c r="NU3401" s="12"/>
      <c r="NV3401" s="12"/>
      <c r="NW3401" s="12"/>
      <c r="NX3401" s="12"/>
      <c r="NY3401" s="12"/>
      <c r="NZ3401" s="12"/>
      <c r="OA3401" s="12"/>
      <c r="OB3401" s="12"/>
      <c r="OC3401" s="12"/>
      <c r="OD3401" s="12"/>
      <c r="OE3401" s="12"/>
      <c r="OF3401" s="12"/>
      <c r="OG3401" s="12"/>
      <c r="OH3401" s="12"/>
      <c r="OI3401" s="12"/>
      <c r="OJ3401" s="12"/>
      <c r="OK3401" s="12"/>
      <c r="OL3401" s="12"/>
      <c r="OM3401" s="12"/>
      <c r="ON3401" s="12"/>
      <c r="OO3401" s="12"/>
      <c r="OP3401" s="12"/>
      <c r="OQ3401" s="12"/>
      <c r="OR3401" s="12"/>
      <c r="OS3401" s="12"/>
      <c r="OT3401" s="12"/>
      <c r="OU3401" s="12"/>
      <c r="OV3401" s="12"/>
      <c r="OW3401" s="12"/>
      <c r="OX3401" s="12"/>
      <c r="OY3401" s="12"/>
      <c r="OZ3401" s="12"/>
      <c r="PA3401" s="12"/>
      <c r="PB3401" s="12"/>
      <c r="PC3401" s="12"/>
      <c r="PD3401" s="12"/>
      <c r="PE3401" s="12"/>
      <c r="PF3401" s="12"/>
      <c r="PG3401" s="12"/>
      <c r="PH3401" s="12"/>
      <c r="PI3401" s="12"/>
      <c r="PJ3401" s="12"/>
      <c r="PK3401" s="12"/>
      <c r="PL3401" s="12"/>
      <c r="PM3401" s="12"/>
      <c r="PN3401" s="12"/>
      <c r="PO3401" s="12"/>
      <c r="PP3401" s="12"/>
      <c r="PQ3401" s="12"/>
      <c r="PR3401" s="12"/>
      <c r="PS3401" s="12"/>
      <c r="PT3401" s="12"/>
      <c r="PU3401" s="12"/>
      <c r="PV3401" s="12"/>
      <c r="PW3401" s="12"/>
      <c r="PX3401" s="12"/>
      <c r="PY3401" s="12"/>
      <c r="PZ3401" s="12"/>
      <c r="QA3401" s="12"/>
      <c r="QB3401" s="12"/>
      <c r="QC3401" s="12"/>
      <c r="QD3401" s="12"/>
      <c r="QE3401" s="12"/>
      <c r="QF3401" s="12"/>
      <c r="QG3401" s="12"/>
      <c r="QH3401" s="12"/>
      <c r="QI3401" s="12"/>
      <c r="QJ3401" s="12"/>
      <c r="QK3401" s="12"/>
      <c r="QL3401" s="12"/>
      <c r="QM3401" s="12"/>
      <c r="QN3401" s="12"/>
      <c r="QO3401" s="12"/>
      <c r="QP3401" s="12"/>
      <c r="QQ3401" s="12"/>
      <c r="QR3401" s="12"/>
      <c r="QS3401" s="12"/>
      <c r="QT3401" s="12"/>
      <c r="QU3401" s="12"/>
      <c r="QV3401" s="12"/>
      <c r="QW3401" s="12"/>
      <c r="QX3401" s="12"/>
      <c r="QY3401" s="12"/>
      <c r="QZ3401" s="12"/>
      <c r="RA3401" s="12"/>
      <c r="RB3401" s="12"/>
      <c r="RC3401" s="12"/>
      <c r="RD3401" s="12"/>
      <c r="RE3401" s="12"/>
      <c r="RF3401" s="12"/>
      <c r="RG3401" s="12"/>
      <c r="RH3401" s="12"/>
      <c r="RI3401" s="12"/>
      <c r="RJ3401" s="12"/>
      <c r="RK3401" s="12"/>
      <c r="RL3401" s="12"/>
      <c r="RM3401" s="12"/>
      <c r="RN3401" s="12"/>
      <c r="RO3401" s="12"/>
      <c r="RP3401" s="12"/>
      <c r="RQ3401" s="12"/>
      <c r="RR3401" s="12"/>
      <c r="RS3401" s="12"/>
      <c r="RT3401" s="12"/>
      <c r="RU3401" s="12"/>
      <c r="RV3401" s="12"/>
      <c r="RW3401" s="12"/>
      <c r="RX3401" s="12"/>
      <c r="RY3401" s="12"/>
      <c r="RZ3401" s="12"/>
      <c r="SA3401" s="12"/>
      <c r="SB3401" s="12"/>
      <c r="SC3401" s="12"/>
      <c r="SD3401" s="12"/>
      <c r="SE3401" s="12"/>
      <c r="SF3401" s="12"/>
      <c r="SG3401" s="12"/>
      <c r="SH3401" s="12"/>
      <c r="SI3401" s="12"/>
      <c r="SJ3401" s="12"/>
      <c r="SK3401" s="12"/>
      <c r="SL3401" s="12"/>
      <c r="SM3401" s="12"/>
      <c r="SN3401" s="12"/>
      <c r="SO3401" s="12"/>
      <c r="SP3401" s="12"/>
      <c r="SQ3401" s="12"/>
      <c r="SR3401" s="12"/>
      <c r="SS3401" s="12"/>
      <c r="ST3401" s="12"/>
      <c r="SU3401" s="12"/>
      <c r="SV3401" s="12"/>
      <c r="SW3401" s="12"/>
      <c r="SX3401" s="12"/>
      <c r="SY3401" s="12"/>
      <c r="SZ3401" s="12"/>
      <c r="TA3401" s="12"/>
      <c r="TB3401" s="12"/>
      <c r="TC3401" s="12"/>
      <c r="TD3401" s="12"/>
      <c r="TE3401" s="12"/>
      <c r="TF3401" s="12"/>
      <c r="TG3401" s="12"/>
      <c r="TH3401" s="12"/>
      <c r="TI3401" s="12"/>
      <c r="TJ3401" s="12"/>
      <c r="TK3401" s="12"/>
      <c r="TL3401" s="12"/>
      <c r="TM3401" s="12"/>
      <c r="TN3401" s="12"/>
      <c r="TO3401" s="12"/>
      <c r="TP3401" s="12"/>
      <c r="TQ3401" s="12"/>
      <c r="TR3401" s="12"/>
      <c r="TS3401" s="12"/>
      <c r="TT3401" s="12"/>
      <c r="TU3401" s="12"/>
      <c r="TV3401" s="12"/>
      <c r="TW3401" s="12"/>
      <c r="TX3401" s="12"/>
      <c r="TY3401" s="12"/>
      <c r="TZ3401" s="12"/>
      <c r="UA3401" s="12"/>
      <c r="UB3401" s="12"/>
      <c r="UC3401" s="12"/>
      <c r="UD3401" s="12"/>
      <c r="UE3401" s="12"/>
      <c r="UF3401" s="12"/>
      <c r="UG3401" s="12"/>
      <c r="UH3401" s="12"/>
      <c r="UI3401" s="12"/>
      <c r="UJ3401" s="12"/>
      <c r="UK3401" s="12"/>
      <c r="UL3401" s="12"/>
      <c r="UM3401" s="12"/>
      <c r="UN3401" s="12"/>
      <c r="UO3401" s="12"/>
      <c r="UP3401" s="12"/>
      <c r="UQ3401" s="12"/>
      <c r="UR3401" s="12"/>
      <c r="US3401" s="12"/>
      <c r="UT3401" s="12"/>
      <c r="UU3401" s="12"/>
      <c r="UV3401" s="12"/>
      <c r="UW3401" s="12"/>
      <c r="UX3401" s="12"/>
      <c r="UY3401" s="12"/>
      <c r="UZ3401" s="12"/>
      <c r="VA3401" s="12"/>
      <c r="VB3401" s="12"/>
      <c r="VC3401" s="12"/>
      <c r="VD3401" s="12"/>
      <c r="VE3401" s="12"/>
      <c r="VF3401" s="12"/>
      <c r="VG3401" s="12"/>
      <c r="VH3401" s="12"/>
      <c r="VI3401" s="12"/>
      <c r="VJ3401" s="12"/>
      <c r="VK3401" s="12"/>
      <c r="VL3401" s="12"/>
      <c r="VM3401" s="12"/>
      <c r="VN3401" s="12"/>
      <c r="VO3401" s="12"/>
      <c r="VP3401" s="12"/>
      <c r="VQ3401" s="12"/>
      <c r="VR3401" s="12"/>
      <c r="VS3401" s="12"/>
      <c r="VT3401" s="12"/>
      <c r="VU3401" s="12"/>
      <c r="VV3401" s="12"/>
      <c r="VW3401" s="12"/>
      <c r="VX3401" s="12"/>
      <c r="VY3401" s="12"/>
      <c r="VZ3401" s="12"/>
      <c r="WA3401" s="12"/>
      <c r="WB3401" s="12"/>
      <c r="WC3401" s="12"/>
      <c r="WD3401" s="12"/>
      <c r="WE3401" s="12"/>
      <c r="WF3401" s="12"/>
      <c r="WG3401" s="12"/>
      <c r="WH3401" s="12"/>
      <c r="WI3401" s="12"/>
      <c r="WJ3401" s="12"/>
      <c r="WK3401" s="12"/>
      <c r="WL3401" s="12"/>
      <c r="WM3401" s="12"/>
      <c r="WN3401" s="12"/>
      <c r="WO3401" s="12"/>
      <c r="WP3401" s="12"/>
      <c r="WQ3401" s="12"/>
      <c r="WR3401" s="12"/>
      <c r="WS3401" s="12"/>
      <c r="WT3401" s="12"/>
      <c r="WU3401" s="12"/>
      <c r="WV3401" s="12"/>
      <c r="WW3401" s="12"/>
      <c r="WX3401" s="12"/>
      <c r="WY3401" s="12"/>
      <c r="WZ3401" s="12"/>
      <c r="XA3401" s="12"/>
      <c r="XB3401" s="12"/>
      <c r="XC3401" s="12"/>
      <c r="XD3401" s="12"/>
      <c r="XE3401" s="12"/>
      <c r="XF3401" s="12"/>
      <c r="XG3401" s="12"/>
      <c r="XH3401" s="12"/>
      <c r="XI3401" s="12"/>
      <c r="XJ3401" s="12"/>
      <c r="XK3401" s="12"/>
      <c r="XL3401" s="12"/>
      <c r="XM3401" s="12"/>
      <c r="XN3401" s="12"/>
      <c r="XO3401" s="12"/>
      <c r="XP3401" s="12"/>
      <c r="XQ3401" s="12"/>
      <c r="XR3401" s="12"/>
      <c r="XS3401" s="12"/>
      <c r="XT3401" s="12"/>
      <c r="XU3401" s="12"/>
      <c r="XV3401" s="12"/>
      <c r="XW3401" s="12"/>
      <c r="XX3401" s="12"/>
      <c r="XY3401" s="12"/>
      <c r="XZ3401" s="12"/>
      <c r="YA3401" s="12"/>
      <c r="YB3401" s="12"/>
      <c r="YC3401" s="12"/>
      <c r="YD3401" s="12"/>
      <c r="YE3401" s="12"/>
      <c r="YF3401" s="12"/>
      <c r="YG3401" s="12"/>
      <c r="YH3401" s="12"/>
      <c r="YI3401" s="12"/>
      <c r="YJ3401" s="12"/>
      <c r="YK3401" s="12"/>
      <c r="YL3401" s="12"/>
      <c r="YM3401" s="12"/>
      <c r="YN3401" s="12"/>
      <c r="YO3401" s="12"/>
      <c r="YP3401" s="12"/>
      <c r="YQ3401" s="12"/>
      <c r="YR3401" s="12"/>
      <c r="YS3401" s="12"/>
      <c r="YT3401" s="12"/>
      <c r="YU3401" s="12"/>
      <c r="YV3401" s="12"/>
      <c r="YW3401" s="12"/>
      <c r="YX3401" s="12"/>
      <c r="YY3401" s="12"/>
      <c r="YZ3401" s="12"/>
      <c r="ZA3401" s="12"/>
      <c r="ZB3401" s="12"/>
      <c r="ZC3401" s="12"/>
      <c r="ZD3401" s="12"/>
      <c r="ZE3401" s="12"/>
      <c r="ZF3401" s="12"/>
      <c r="ZG3401" s="12"/>
      <c r="ZH3401" s="12"/>
      <c r="ZI3401" s="12"/>
      <c r="ZJ3401" s="12"/>
      <c r="ZK3401" s="12"/>
      <c r="ZL3401" s="12"/>
      <c r="ZM3401" s="12"/>
      <c r="ZN3401" s="12"/>
      <c r="ZO3401" s="12"/>
      <c r="ZP3401" s="12"/>
      <c r="ZQ3401" s="12"/>
      <c r="ZR3401" s="12"/>
      <c r="ZS3401" s="12"/>
      <c r="ZT3401" s="12"/>
      <c r="ZU3401" s="12"/>
      <c r="ZV3401" s="12"/>
      <c r="ZW3401" s="12"/>
      <c r="ZX3401" s="12"/>
    </row>
    <row r="3402" spans="1:700" ht="14.4" hidden="1">
      <c r="A3402" s="38">
        <f>IF(C3402="","",MAX($A$1:A3401)+1)</f>
        <v>3117</v>
      </c>
      <c r="B3402" s="59" t="s">
        <v>19</v>
      </c>
      <c r="C3402" s="60">
        <v>46110</v>
      </c>
      <c r="D3402" s="61" t="str">
        <f>_xlfn.XLOOKUP(Table134526_79101120212223242526[[#This Row],[Name Surname]],Manpower!$C$4:$C$1048576,Manpower!$B$4:$B$1048576,"")</f>
        <v>Encogroup</v>
      </c>
      <c r="E3402" s="57" t="s">
        <v>30</v>
      </c>
      <c r="F3402" s="12">
        <f>_xlfn.XLOOKUP(Table134526_79101120212223242526[[#This Row],[Name Surname]],Manpower!C:C,Manpower!D:D,)</f>
        <v>116589569</v>
      </c>
      <c r="G3402" s="61" t="str">
        <f>_xlfn.XLOOKUP(Table134526_79101120212223242526[[#This Row],[Name Surname]],Manpower!$C$4:$C$1048576,Manpower!$F$4:$F$1048576,"")</f>
        <v>Mechanical Engineer</v>
      </c>
      <c r="H3402" s="61" t="str">
        <f>_xlfn.XLOOKUP(Table134526_79101120212223242526[[#This Row],[Name Surname]],Manpower!$C$4:$C$1048576,Manpower!$H$4:$H$1048576,"")</f>
        <v>Manpower</v>
      </c>
      <c r="I3402" s="28" t="str">
        <f>_xlfn.XLOOKUP(Table134526_79101120212223242526[[#This Row],[Name Surname]],Manpower!$C$4:$C$1048576,Manpower!$H$4:$H$1048576,"")</f>
        <v>Manpower</v>
      </c>
      <c r="J3402" s="21" t="s">
        <v>21</v>
      </c>
      <c r="K3402" s="57" t="s">
        <v>369</v>
      </c>
      <c r="L3402" s="57" t="s">
        <v>49</v>
      </c>
      <c r="M3402" s="57" t="s">
        <v>55</v>
      </c>
      <c r="N3402" s="62">
        <v>10</v>
      </c>
      <c r="O3402" s="57"/>
      <c r="P3402" s="57"/>
      <c r="Q3402" s="57"/>
      <c r="R3402" s="57" t="s">
        <v>424</v>
      </c>
    </row>
    <row r="3403" spans="1:700" ht="14.4">
      <c r="A3403" s="38">
        <f>IF(C3403="","",MAX($A$1:A3402)+1)</f>
        <v>3118</v>
      </c>
      <c r="B3403" s="59" t="s">
        <v>19</v>
      </c>
      <c r="C3403" s="60">
        <v>46110</v>
      </c>
      <c r="D3403" s="61" t="str">
        <f>_xlfn.XLOOKUP(Table134526_79101120212223242526[[#This Row],[Name Surname]],Manpower!$C$4:$C$1048576,Manpower!$B$4:$B$1048576,"")</f>
        <v>Al Jaber Heavy Lift</v>
      </c>
      <c r="E3403" s="57" t="s">
        <v>371</v>
      </c>
      <c r="F3403" s="12" t="e">
        <f>_xlfn.XLOOKUP(Table134526_79101120212223242526[[#This Row],[Name Surname]],Manpower!C:C,Manpower!D:D,)</f>
        <v>#N/A</v>
      </c>
      <c r="G3403" s="61" t="str">
        <f>_xlfn.XLOOKUP(Table134526_79101120212223242526[[#This Row],[Name Surname]],Manpower!$C$4:$C$1048576,Manpower!$F$4:$F$1048576,"")</f>
        <v>70T Crawler Crane</v>
      </c>
      <c r="H3403" s="61" t="str">
        <f>_xlfn.XLOOKUP(Table134526_79101120212223242526[[#This Row],[Name Surname]],Manpower!$C$4:$C$1048576,Manpower!$H$4:$H$1048576,"")</f>
        <v>Equipment</v>
      </c>
      <c r="I3403" s="28" t="str">
        <f>_xlfn.XLOOKUP(Table134526_79101120212223242526[[#This Row],[Name Surname]],Manpower!$C$4:$C$1048576,Manpower!$H$4:$H$1048576,"")</f>
        <v>Equipment</v>
      </c>
      <c r="J3403" s="21" t="s">
        <v>21</v>
      </c>
      <c r="K3403" s="57" t="s">
        <v>369</v>
      </c>
      <c r="L3403" s="57" t="s">
        <v>49</v>
      </c>
      <c r="M3403" s="57" t="s">
        <v>55</v>
      </c>
      <c r="N3403" s="62">
        <v>10</v>
      </c>
      <c r="O3403" s="57"/>
      <c r="P3403" s="57"/>
      <c r="Q3403" s="57"/>
      <c r="R3403" s="57" t="s">
        <v>424</v>
      </c>
    </row>
    <row r="3404" spans="1:700" s="45" customFormat="1" ht="14.4" hidden="1">
      <c r="A3404" s="53">
        <f>IF(C3404="","",MAX($A$1:A3403)+1)</f>
        <v>3119</v>
      </c>
      <c r="B3404" s="54" t="s">
        <v>19</v>
      </c>
      <c r="C3404" s="55">
        <v>46110</v>
      </c>
      <c r="D3404" s="68" t="str">
        <f>_xlfn.XLOOKUP(Table134526_79101120212223242526[[#This Row],[Name Surname]],Manpower!$C$4:$C$1048576,Manpower!$B$4:$B$1048576,"")</f>
        <v>Al Jaber Heavy Lift</v>
      </c>
      <c r="E3404" s="51" t="s">
        <v>164</v>
      </c>
      <c r="F3404" s="12">
        <f>_xlfn.XLOOKUP(Table134526_79101120212223242526[[#This Row],[Name Surname]],Manpower!C:C,Manpower!D:D,)</f>
        <v>112778626</v>
      </c>
      <c r="G3404" s="68" t="str">
        <f>_xlfn.XLOOKUP(Table134526_79101120212223242526[[#This Row],[Name Surname]],Manpower!$C$4:$C$1048576,Manpower!$F$4:$F$1048576,"")</f>
        <v>Crane Operator-150T Hitachi Crawler</v>
      </c>
      <c r="H3404" s="68" t="str">
        <f>_xlfn.XLOOKUP(Table134526_79101120212223242526[[#This Row],[Name Surname]],Manpower!$C$4:$C$1048576,Manpower!$H$4:$H$1048576,"")</f>
        <v>Manpower</v>
      </c>
      <c r="I3404" s="48" t="str">
        <f>_xlfn.XLOOKUP(Table134526_79101120212223242526[[#This Row],[Name Surname]],Manpower!$C$4:$C$1048576,Manpower!$H$4:$H$1048576,"")</f>
        <v>Manpower</v>
      </c>
      <c r="J3404" s="43" t="s">
        <v>21</v>
      </c>
      <c r="K3404" s="51" t="s">
        <v>369</v>
      </c>
      <c r="L3404" s="51" t="s">
        <v>49</v>
      </c>
      <c r="M3404" s="51" t="s">
        <v>55</v>
      </c>
      <c r="N3404" s="52">
        <v>10</v>
      </c>
      <c r="O3404" s="51"/>
      <c r="P3404" s="51"/>
      <c r="Q3404" s="51"/>
      <c r="R3404" s="51" t="s">
        <v>424</v>
      </c>
      <c r="S3404" s="43"/>
    </row>
    <row r="3405" spans="1:700" ht="14.4">
      <c r="A3405" s="38">
        <f>IF(C3405="","",MAX($A$1:A3404)+1)</f>
        <v>3120</v>
      </c>
      <c r="B3405" s="59" t="s">
        <v>19</v>
      </c>
      <c r="C3405" s="60">
        <v>46110</v>
      </c>
      <c r="D3405" s="61" t="str">
        <f>_xlfn.XLOOKUP(Table134526_79101120212223242526[[#This Row],[Name Surname]],Manpower!$C$4:$C$1048576,Manpower!$B$4:$B$1048576,"")</f>
        <v>Al Jaber Heavy Lift</v>
      </c>
      <c r="E3405" s="57" t="s">
        <v>151</v>
      </c>
      <c r="F3405" s="12" t="e">
        <f>_xlfn.XLOOKUP(Table134526_79101120212223242526[[#This Row],[Name Surname]],Manpower!C:C,Manpower!D:D,)</f>
        <v>#N/A</v>
      </c>
      <c r="G3405" s="61" t="str">
        <f>_xlfn.XLOOKUP(Table134526_79101120212223242526[[#This Row],[Name Surname]],Manpower!$C$4:$C$1048576,Manpower!$F$4:$F$1048576,"")</f>
        <v>150T-Crawler Crane</v>
      </c>
      <c r="H3405" s="61" t="str">
        <f>_xlfn.XLOOKUP(Table134526_79101120212223242526[[#This Row],[Name Surname]],Manpower!$C$4:$C$1048576,Manpower!$H$4:$H$1048576,"")</f>
        <v>Equipment</v>
      </c>
      <c r="I3405" s="28" t="str">
        <f>_xlfn.XLOOKUP(Table134526_79101120212223242526[[#This Row],[Name Surname]],Manpower!$C$4:$C$1048576,Manpower!$H$4:$H$1048576,"")</f>
        <v>Equipment</v>
      </c>
      <c r="J3405" s="21" t="s">
        <v>21</v>
      </c>
      <c r="K3405" s="57" t="s">
        <v>369</v>
      </c>
      <c r="L3405" s="57" t="s">
        <v>49</v>
      </c>
      <c r="M3405" s="57" t="s">
        <v>55</v>
      </c>
      <c r="N3405" s="62">
        <v>10</v>
      </c>
      <c r="O3405" s="57"/>
      <c r="P3405" s="57"/>
      <c r="Q3405" s="57"/>
      <c r="R3405" s="57" t="s">
        <v>424</v>
      </c>
      <c r="S3405" s="57"/>
    </row>
    <row r="3406" spans="1:700" s="45" customFormat="1" ht="14.4" hidden="1">
      <c r="A3406" s="53">
        <f>IF(C3406="","",MAX($A$1:A3405)+1)</f>
        <v>3121</v>
      </c>
      <c r="B3406" s="54" t="s">
        <v>19</v>
      </c>
      <c r="C3406" s="55">
        <v>46110</v>
      </c>
      <c r="D3406" s="68" t="str">
        <f>_xlfn.XLOOKUP(Table134526_79101120212223242526[[#This Row],[Name Surname]],Manpower!$C$4:$C$1048576,Manpower!$B$4:$B$1048576,"")</f>
        <v>Al Jaber Heavy Lift</v>
      </c>
      <c r="E3406" s="51" t="s">
        <v>275</v>
      </c>
      <c r="F3406" s="12">
        <f>_xlfn.XLOOKUP(Table134526_79101120212223242526[[#This Row],[Name Surname]],Manpower!C:C,Manpower!D:D,)</f>
        <v>116448869</v>
      </c>
      <c r="G3406" s="68" t="str">
        <f>_xlfn.XLOOKUP(Table134526_79101120212223242526[[#This Row],[Name Surname]],Manpower!$C$4:$C$1048576,Manpower!$F$4:$F$1048576,"")</f>
        <v xml:space="preserve">Crane Operator </v>
      </c>
      <c r="H3406" s="68" t="str">
        <f>_xlfn.XLOOKUP(Table134526_79101120212223242526[[#This Row],[Name Surname]],Manpower!$C$4:$C$1048576,Manpower!$H$4:$H$1048576,"")</f>
        <v>Manpower</v>
      </c>
      <c r="I3406" s="48" t="str">
        <f>_xlfn.XLOOKUP(Table134526_79101120212223242526[[#This Row],[Name Surname]],Manpower!$C$4:$C$1048576,Manpower!$H$4:$H$1048576,"")</f>
        <v>Manpower</v>
      </c>
      <c r="J3406" s="43" t="s">
        <v>21</v>
      </c>
      <c r="K3406" s="51" t="s">
        <v>369</v>
      </c>
      <c r="L3406" s="51" t="s">
        <v>49</v>
      </c>
      <c r="M3406" s="51" t="s">
        <v>55</v>
      </c>
      <c r="N3406" s="52">
        <v>10</v>
      </c>
      <c r="O3406" s="51"/>
      <c r="P3406" s="51"/>
      <c r="Q3406" s="51"/>
      <c r="R3406" s="51" t="s">
        <v>424</v>
      </c>
      <c r="S3406" s="43"/>
    </row>
    <row r="3407" spans="1:700" s="45" customFormat="1" ht="14.4" hidden="1">
      <c r="A3407" s="53">
        <f>IF(C3407="","",MAX($A$1:A3406)+1)</f>
        <v>3122</v>
      </c>
      <c r="B3407" s="54" t="s">
        <v>19</v>
      </c>
      <c r="C3407" s="55">
        <v>46110</v>
      </c>
      <c r="D3407" s="68" t="str">
        <f>_xlfn.XLOOKUP(Table134526_79101120212223242526[[#This Row],[Name Surname]],Manpower!$C$4:$C$1048576,Manpower!$B$4:$B$1048576,"")</f>
        <v>Encogroup</v>
      </c>
      <c r="E3407" s="51" t="s">
        <v>72</v>
      </c>
      <c r="F3407" s="12">
        <f>_xlfn.XLOOKUP(Table134526_79101120212223242526[[#This Row],[Name Surname]],Manpower!C:C,Manpower!D:D,)</f>
        <v>140764706</v>
      </c>
      <c r="G3407" s="68" t="str">
        <f>_xlfn.XLOOKUP(Table134526_79101120212223242526[[#This Row],[Name Surname]],Manpower!$C$4:$C$1048576,Manpower!$F$4:$F$1048576,"")</f>
        <v>Rigger</v>
      </c>
      <c r="H3407" s="68" t="str">
        <f>_xlfn.XLOOKUP(Table134526_79101120212223242526[[#This Row],[Name Surname]],Manpower!$C$4:$C$1048576,Manpower!$H$4:$H$1048576,"")</f>
        <v>Manpower</v>
      </c>
      <c r="I3407" s="48" t="str">
        <f>_xlfn.XLOOKUP(Table134526_79101120212223242526[[#This Row],[Name Surname]],Manpower!$C$4:$C$1048576,Manpower!$H$4:$H$1048576,"")</f>
        <v>Manpower</v>
      </c>
      <c r="J3407" s="43" t="s">
        <v>21</v>
      </c>
      <c r="K3407" s="51" t="s">
        <v>369</v>
      </c>
      <c r="L3407" s="51" t="s">
        <v>49</v>
      </c>
      <c r="M3407" s="51" t="s">
        <v>55</v>
      </c>
      <c r="N3407" s="52">
        <v>10</v>
      </c>
      <c r="O3407" s="51"/>
      <c r="P3407" s="51"/>
      <c r="Q3407" s="51"/>
      <c r="R3407" s="51" t="s">
        <v>424</v>
      </c>
      <c r="S3407" s="43"/>
    </row>
    <row r="3408" spans="1:700" s="45" customFormat="1" ht="14.4" hidden="1">
      <c r="A3408" s="53">
        <f>IF(C3408="","",MAX($A$1:A3407)+1)</f>
        <v>3123</v>
      </c>
      <c r="B3408" s="54" t="s">
        <v>19</v>
      </c>
      <c r="C3408" s="55">
        <v>46110</v>
      </c>
      <c r="D3408" s="68" t="str">
        <f>_xlfn.XLOOKUP(Table134526_79101120212223242526[[#This Row],[Name Surname]],Manpower!$C$4:$C$1048576,Manpower!$B$4:$B$1048576,"")</f>
        <v>Encogroup</v>
      </c>
      <c r="E3408" s="51" t="s">
        <v>29</v>
      </c>
      <c r="F3408" s="12">
        <f>_xlfn.XLOOKUP(Table134526_79101120212223242526[[#This Row],[Name Surname]],Manpower!C:C,Manpower!D:D,)</f>
        <v>127331574</v>
      </c>
      <c r="G3408" s="68" t="str">
        <f>_xlfn.XLOOKUP(Table134526_79101120212223242526[[#This Row],[Name Surname]],Manpower!$C$4:$C$1048576,Manpower!$F$4:$F$1048576,"")</f>
        <v>Permit Receiver</v>
      </c>
      <c r="H3408" s="68" t="str">
        <f>_xlfn.XLOOKUP(Table134526_79101120212223242526[[#This Row],[Name Surname]],Manpower!$C$4:$C$1048576,Manpower!$H$4:$H$1048576,"")</f>
        <v>Manpower</v>
      </c>
      <c r="I3408" s="48" t="str">
        <f>_xlfn.XLOOKUP(Table134526_79101120212223242526[[#This Row],[Name Surname]],Manpower!$C$4:$C$1048576,Manpower!$H$4:$H$1048576,"")</f>
        <v>Manpower</v>
      </c>
      <c r="J3408" s="43" t="s">
        <v>21</v>
      </c>
      <c r="K3408" s="51" t="s">
        <v>369</v>
      </c>
      <c r="L3408" s="51" t="s">
        <v>49</v>
      </c>
      <c r="M3408" s="51" t="s">
        <v>55</v>
      </c>
      <c r="N3408" s="52">
        <v>10</v>
      </c>
      <c r="O3408" s="51"/>
      <c r="P3408" s="51"/>
      <c r="Q3408" s="51"/>
      <c r="R3408" s="51" t="s">
        <v>424</v>
      </c>
      <c r="S3408" s="43"/>
    </row>
    <row r="3409" spans="1:19" ht="14.4" hidden="1">
      <c r="A3409" s="38">
        <f>IF(C3409="","",MAX($A$1:A3408)+1)</f>
        <v>3124</v>
      </c>
      <c r="B3409" s="63" t="s">
        <v>19</v>
      </c>
      <c r="C3409" s="60">
        <v>46110</v>
      </c>
      <c r="D3409" s="61" t="str">
        <f>_xlfn.XLOOKUP(Table134526_79101120212223242526[[#This Row],[Name Surname]],Manpower!$C$4:$C$1048576,Manpower!$B$4:$B$1048576,"")</f>
        <v>Encogroup</v>
      </c>
      <c r="E3409" s="57" t="s">
        <v>31</v>
      </c>
      <c r="F3409" s="12">
        <f>_xlfn.XLOOKUP(Table134526_79101120212223242526[[#This Row],[Name Surname]],Manpower!C:C,Manpower!D:D,)</f>
        <v>99596058</v>
      </c>
      <c r="G3409" s="61" t="str">
        <f>_xlfn.XLOOKUP(Table134526_79101120212223242526[[#This Row],[Name Surname]],Manpower!$C$4:$C$1048576,Manpower!$F$4:$F$1048576,"")</f>
        <v>HSE Officer</v>
      </c>
      <c r="H3409" s="61" t="str">
        <f>_xlfn.XLOOKUP(Table134526_79101120212223242526[[#This Row],[Name Surname]],Manpower!$C$4:$C$1048576,Manpower!$H$4:$H$1048576,"")</f>
        <v>Manpower</v>
      </c>
      <c r="I3409" s="28" t="str">
        <f>_xlfn.XLOOKUP(Table134526_79101120212223242526[[#This Row],[Name Surname]],Manpower!$C$4:$C$1048576,Manpower!$H$4:$H$1048576,"")</f>
        <v>Manpower</v>
      </c>
      <c r="J3409" s="21" t="s">
        <v>21</v>
      </c>
      <c r="K3409" s="57" t="s">
        <v>369</v>
      </c>
      <c r="L3409" s="57" t="s">
        <v>49</v>
      </c>
      <c r="M3409" s="57" t="s">
        <v>55</v>
      </c>
      <c r="N3409" s="62">
        <v>10</v>
      </c>
      <c r="O3409" s="57"/>
      <c r="P3409" s="57"/>
      <c r="Q3409" s="57"/>
      <c r="R3409" s="57" t="s">
        <v>424</v>
      </c>
    </row>
    <row r="3410" spans="1:19" s="45" customFormat="1" ht="14.4" hidden="1">
      <c r="A3410" s="53">
        <f>IF(C3410="","",MAX($A$1:A3409)+1)</f>
        <v>3125</v>
      </c>
      <c r="B3410" s="54" t="s">
        <v>19</v>
      </c>
      <c r="C3410" s="55">
        <v>46110</v>
      </c>
      <c r="D3410" s="68" t="str">
        <f>_xlfn.XLOOKUP(Table134526_79101120212223242526[[#This Row],[Name Surname]],Manpower!$C$4:$C$1048576,Manpower!$B$4:$B$1048576,"")</f>
        <v>AL Omar International TRAD AND CONT</v>
      </c>
      <c r="E3410" s="51" t="s">
        <v>36</v>
      </c>
      <c r="F3410" s="12">
        <f>_xlfn.XLOOKUP(Table134526_79101120212223242526[[#This Row],[Name Surname]],Manpower!C:C,Manpower!D:D,)</f>
        <v>114929202</v>
      </c>
      <c r="G3410" s="68" t="str">
        <f>_xlfn.XLOOKUP(Table134526_79101120212223242526[[#This Row],[Name Surname]],Manpower!$C$4:$C$1048576,Manpower!$F$4:$F$1048576,"")</f>
        <v>RIgger</v>
      </c>
      <c r="H3410" s="68" t="str">
        <f>_xlfn.XLOOKUP(Table134526_79101120212223242526[[#This Row],[Name Surname]],Manpower!$C$4:$C$1048576,Manpower!$H$4:$H$1048576,"")</f>
        <v>Sub Contactor</v>
      </c>
      <c r="I3410" s="48" t="str">
        <f>_xlfn.XLOOKUP(Table134526_79101120212223242526[[#This Row],[Name Surname]],Manpower!$C$4:$C$1048576,Manpower!$H$4:$H$1048576,"")</f>
        <v>Sub Contactor</v>
      </c>
      <c r="J3410" s="43" t="s">
        <v>21</v>
      </c>
      <c r="K3410" s="51" t="s">
        <v>369</v>
      </c>
      <c r="L3410" s="51" t="s">
        <v>49</v>
      </c>
      <c r="M3410" s="51" t="s">
        <v>55</v>
      </c>
      <c r="N3410" s="52">
        <v>5</v>
      </c>
      <c r="O3410" s="51"/>
      <c r="P3410" s="51"/>
      <c r="Q3410" s="51"/>
      <c r="R3410" s="51" t="s">
        <v>424</v>
      </c>
      <c r="S3410" s="43"/>
    </row>
    <row r="3411" spans="1:19" s="45" customFormat="1" ht="14.4" hidden="1">
      <c r="A3411" s="53">
        <f>IF(C3411="","",MAX($A$1:A3410)+1)</f>
        <v>3126</v>
      </c>
      <c r="B3411" s="54" t="s">
        <v>19</v>
      </c>
      <c r="C3411" s="55">
        <v>46110</v>
      </c>
      <c r="D3411" s="68" t="str">
        <f>_xlfn.XLOOKUP(Table134526_79101120212223242526[[#This Row],[Name Surname]],Manpower!$C$4:$C$1048576,Manpower!$B$4:$B$1048576,"")</f>
        <v>Encogroup</v>
      </c>
      <c r="E3411" s="51" t="s">
        <v>32</v>
      </c>
      <c r="F3411" s="12">
        <f>_xlfn.XLOOKUP(Table134526_79101120212223242526[[#This Row],[Name Surname]],Manpower!C:C,Manpower!D:D,)</f>
        <v>140697039</v>
      </c>
      <c r="G3411" s="68" t="str">
        <f>_xlfn.XLOOKUP(Table134526_79101120212223242526[[#This Row],[Name Surname]],Manpower!$C$4:$C$1048576,Manpower!$F$4:$F$1048576,"")</f>
        <v>Fitter/Erector</v>
      </c>
      <c r="H3411" s="68" t="str">
        <f>_xlfn.XLOOKUP(Table134526_79101120212223242526[[#This Row],[Name Surname]],Manpower!$C$4:$C$1048576,Manpower!$H$4:$H$1048576,"")</f>
        <v>Manpower</v>
      </c>
      <c r="I3411" s="48" t="str">
        <f>_xlfn.XLOOKUP(Table134526_79101120212223242526[[#This Row],[Name Surname]],Manpower!$C$4:$C$1048576,Manpower!$H$4:$H$1048576,"")</f>
        <v>Manpower</v>
      </c>
      <c r="J3411" s="43" t="s">
        <v>21</v>
      </c>
      <c r="K3411" s="51" t="s">
        <v>369</v>
      </c>
      <c r="L3411" s="51" t="s">
        <v>49</v>
      </c>
      <c r="M3411" s="51" t="s">
        <v>55</v>
      </c>
      <c r="N3411" s="52">
        <v>10</v>
      </c>
      <c r="O3411" s="51"/>
      <c r="P3411" s="51"/>
      <c r="Q3411" s="51"/>
      <c r="R3411" s="51" t="s">
        <v>424</v>
      </c>
      <c r="S3411" s="43"/>
    </row>
    <row r="3412" spans="1:19" s="45" customFormat="1" ht="14.4" hidden="1">
      <c r="A3412" s="53">
        <f>IF(C3412="","",MAX($A$1:A3411)+1)</f>
        <v>3127</v>
      </c>
      <c r="B3412" s="54" t="s">
        <v>19</v>
      </c>
      <c r="C3412" s="55">
        <v>46110</v>
      </c>
      <c r="D3412" s="68" t="str">
        <f>_xlfn.XLOOKUP(Table134526_79101120212223242526[[#This Row],[Name Surname]],Manpower!$C$4:$C$1048576,Manpower!$B$4:$B$1048576,"")</f>
        <v>Encogroup</v>
      </c>
      <c r="E3412" s="51" t="s">
        <v>46</v>
      </c>
      <c r="F3412" s="12">
        <f>_xlfn.XLOOKUP(Table134526_79101120212223242526[[#This Row],[Name Surname]],Manpower!C:C,Manpower!D:D,)</f>
        <v>140844618</v>
      </c>
      <c r="G3412" s="68" t="str">
        <f>_xlfn.XLOOKUP(Table134526_79101120212223242526[[#This Row],[Name Surname]],Manpower!$C$4:$C$1048576,Manpower!$F$4:$F$1048576,"")</f>
        <v>Assistant/Helper</v>
      </c>
      <c r="H3412" s="68" t="str">
        <f>_xlfn.XLOOKUP(Table134526_79101120212223242526[[#This Row],[Name Surname]],Manpower!$C$4:$C$1048576,Manpower!$H$4:$H$1048576,"")</f>
        <v>Manpower</v>
      </c>
      <c r="I3412" s="48" t="str">
        <f>_xlfn.XLOOKUP(Table134526_79101120212223242526[[#This Row],[Name Surname]],Manpower!$C$4:$C$1048576,Manpower!$H$4:$H$1048576,"")</f>
        <v>Manpower</v>
      </c>
      <c r="J3412" s="43" t="s">
        <v>21</v>
      </c>
      <c r="K3412" s="51" t="s">
        <v>369</v>
      </c>
      <c r="L3412" s="51" t="s">
        <v>49</v>
      </c>
      <c r="M3412" s="51" t="s">
        <v>55</v>
      </c>
      <c r="N3412" s="52">
        <v>10</v>
      </c>
      <c r="O3412" s="51"/>
      <c r="P3412" s="51"/>
      <c r="Q3412" s="51"/>
      <c r="R3412" s="51" t="s">
        <v>424</v>
      </c>
      <c r="S3412" s="43"/>
    </row>
    <row r="3413" spans="1:19" s="45" customFormat="1" ht="14.4" hidden="1">
      <c r="A3413" s="53">
        <f>IF(C3413="","",MAX($A$1:A3412)+1)</f>
        <v>3128</v>
      </c>
      <c r="B3413" s="54" t="s">
        <v>19</v>
      </c>
      <c r="C3413" s="55">
        <v>46110</v>
      </c>
      <c r="D3413" s="48" t="str">
        <f>_xlfn.XLOOKUP(Table134526_79101120212223242526[[#This Row],[Name Surname]],Manpower!$C$4:$C$1048576,Manpower!$B$4:$B$1048576,"")</f>
        <v xml:space="preserve">FAL Transport </v>
      </c>
      <c r="E3413" s="43" t="s">
        <v>225</v>
      </c>
      <c r="F3413" s="12">
        <f>_xlfn.XLOOKUP(Table134526_79101120212223242526[[#This Row],[Name Surname]],Manpower!C:C,Manpower!D:D,)</f>
        <v>124233837</v>
      </c>
      <c r="G3413" s="48" t="str">
        <f>_xlfn.XLOOKUP(Table134526_79101120212223242526[[#This Row],[Name Surname]],Manpower!$C$4:$C$1048576,Manpower!$F$4:$F$1048576,"")</f>
        <v>Trailer Driver</v>
      </c>
      <c r="H3413" s="48" t="str">
        <f>_xlfn.XLOOKUP(Table134526_79101120212223242526[[#This Row],[Name Surname]],Manpower!$C$4:$C$1048576,Manpower!$H$4:$H$1048576,"")</f>
        <v>Sub Contactor</v>
      </c>
      <c r="I3413" s="48" t="str">
        <f>_xlfn.XLOOKUP(Table134526_79101120212223242526[[#This Row],[Name Surname]],Manpower!$C$4:$C$1048576,Manpower!$H$4:$H$1048576,"")</f>
        <v>Sub Contactor</v>
      </c>
      <c r="J3413" s="43" t="s">
        <v>135</v>
      </c>
      <c r="K3413" s="51" t="s">
        <v>369</v>
      </c>
      <c r="L3413" s="51" t="s">
        <v>49</v>
      </c>
      <c r="M3413" s="51" t="s">
        <v>24</v>
      </c>
      <c r="N3413" s="52">
        <v>10</v>
      </c>
      <c r="O3413" s="51" t="s">
        <v>40</v>
      </c>
      <c r="P3413" s="51" t="s">
        <v>41</v>
      </c>
      <c r="Q3413" s="51" t="s">
        <v>42</v>
      </c>
      <c r="R3413" s="51" t="s">
        <v>26</v>
      </c>
      <c r="S3413" s="43"/>
    </row>
    <row r="3414" spans="1:19" s="45" customFormat="1" ht="14.4" hidden="1">
      <c r="A3414" s="53">
        <f>IF(C3414="","",MAX($A$1:A3413)+1)</f>
        <v>3129</v>
      </c>
      <c r="B3414" s="54" t="s">
        <v>19</v>
      </c>
      <c r="C3414" s="55">
        <v>46110</v>
      </c>
      <c r="D3414" s="48" t="str">
        <f>_xlfn.XLOOKUP(Table134526_79101120212223242526[[#This Row],[Name Surname]],Manpower!$C$4:$C$1048576,Manpower!$B$4:$B$1048576,"")</f>
        <v xml:space="preserve">FAL Transport </v>
      </c>
      <c r="E3414" s="43" t="s">
        <v>225</v>
      </c>
      <c r="F3414" s="12">
        <f>_xlfn.XLOOKUP(Table134526_79101120212223242526[[#This Row],[Name Surname]],Manpower!C:C,Manpower!D:D,)</f>
        <v>124233837</v>
      </c>
      <c r="G3414" s="48" t="str">
        <f>_xlfn.XLOOKUP(Table134526_79101120212223242526[[#This Row],[Name Surname]],Manpower!$C$4:$C$1048576,Manpower!$F$4:$F$1048576,"")</f>
        <v>Trailer Driver</v>
      </c>
      <c r="H3414" s="48" t="str">
        <f>_xlfn.XLOOKUP(Table134526_79101120212223242526[[#This Row],[Name Surname]],Manpower!$C$4:$C$1048576,Manpower!$H$4:$H$1048576,"")</f>
        <v>Sub Contactor</v>
      </c>
      <c r="I3414" s="48" t="str">
        <f>_xlfn.XLOOKUP(Table134526_79101120212223242526[[#This Row],[Name Surname]],Manpower!$C$4:$C$1048576,Manpower!$H$4:$H$1048576,"")</f>
        <v>Sub Contactor</v>
      </c>
      <c r="J3414" s="43" t="s">
        <v>135</v>
      </c>
      <c r="K3414" s="51" t="s">
        <v>369</v>
      </c>
      <c r="L3414" s="51" t="s">
        <v>49</v>
      </c>
      <c r="M3414" s="51" t="s">
        <v>55</v>
      </c>
      <c r="N3414" s="52">
        <v>10</v>
      </c>
      <c r="O3414" s="51"/>
      <c r="P3414" s="51"/>
      <c r="Q3414" s="51"/>
      <c r="R3414" s="51" t="s">
        <v>424</v>
      </c>
      <c r="S3414" s="43"/>
    </row>
    <row r="3415" spans="1:19" s="45" customFormat="1" ht="14.4" hidden="1">
      <c r="A3415" s="53">
        <f>IF(C3415="","",MAX($A$1:A3412)+1)</f>
        <v>3128</v>
      </c>
      <c r="B3415" s="54" t="s">
        <v>19</v>
      </c>
      <c r="C3415" s="55">
        <v>46110</v>
      </c>
      <c r="D3415" s="68" t="str">
        <f>_xlfn.XLOOKUP(Table134526_79101120212223242526[[#This Row],[Name Surname]],Manpower!$C$4:$C$1048576,Manpower!$B$4:$B$1048576,"")</f>
        <v>Encogroup</v>
      </c>
      <c r="E3415" s="51" t="s">
        <v>27</v>
      </c>
      <c r="F3415" s="12">
        <f>_xlfn.XLOOKUP(Table134526_79101120212223242526[[#This Row],[Name Surname]],Manpower!C:C,Manpower!D:D,)</f>
        <v>127414586</v>
      </c>
      <c r="G3415" s="68" t="str">
        <f>_xlfn.XLOOKUP(Table134526_79101120212223242526[[#This Row],[Name Surname]],Manpower!$C$4:$C$1048576,Manpower!$F$4:$F$1048576,"")</f>
        <v>Electrician</v>
      </c>
      <c r="H3415" s="68" t="str">
        <f>_xlfn.XLOOKUP(Table134526_79101120212223242526[[#This Row],[Name Surname]],Manpower!$C$4:$C$1048576,Manpower!$H$4:$H$1048576,"")</f>
        <v>Manpower</v>
      </c>
      <c r="I3415" s="48" t="str">
        <f>_xlfn.XLOOKUP(Table134526_79101120212223242526[[#This Row],[Name Surname]],Manpower!$C$4:$C$1048576,Manpower!$H$4:$H$1048576,"")</f>
        <v>Manpower</v>
      </c>
      <c r="J3415" s="43" t="s">
        <v>21</v>
      </c>
      <c r="K3415" s="51" t="s">
        <v>369</v>
      </c>
      <c r="L3415" s="51" t="s">
        <v>49</v>
      </c>
      <c r="M3415" s="51" t="s">
        <v>55</v>
      </c>
      <c r="N3415" s="52">
        <v>10</v>
      </c>
      <c r="O3415" s="51"/>
      <c r="P3415" s="51"/>
      <c r="Q3415" s="51"/>
      <c r="R3415" s="51" t="s">
        <v>424</v>
      </c>
      <c r="S3415" s="43"/>
    </row>
    <row r="3416" spans="1:19" ht="14.4">
      <c r="A3416" s="38">
        <f>IF(C3416="","",MAX($A$1:A3415)+1)</f>
        <v>3130</v>
      </c>
      <c r="B3416" s="54" t="s">
        <v>19</v>
      </c>
      <c r="C3416" s="60">
        <v>46110</v>
      </c>
      <c r="D3416" s="61" t="str">
        <f>_xlfn.XLOOKUP(Table134526_79101120212223242526[[#This Row],[Name Surname]],Manpower!$C$4:$C$1048576,Manpower!$B$4:$B$1048576,"")</f>
        <v>Bright Light</v>
      </c>
      <c r="E3416" s="60" t="s">
        <v>47</v>
      </c>
      <c r="F3416" s="12" t="e">
        <f>_xlfn.XLOOKUP(Table134526_79101120212223242526[[#This Row],[Name Surname]],Manpower!C:C,Manpower!D:D,)</f>
        <v>#N/A</v>
      </c>
      <c r="G3416" s="61" t="str">
        <f>_xlfn.XLOOKUP(Table134526_79101120212223242526[[#This Row],[Name Surname]],Manpower!$C$4:$C$1048576,Manpower!$F$4:$F$1048576,"")</f>
        <v>100T Telescopic Crane</v>
      </c>
      <c r="H3416" s="61" t="str">
        <f>_xlfn.XLOOKUP(Table134526_79101120212223242526[[#This Row],[Name Surname]],Manpower!$C$4:$C$1048576,Manpower!$H$4:$H$1048576,"")</f>
        <v>Equipment</v>
      </c>
      <c r="I3416" s="28" t="str">
        <f>_xlfn.XLOOKUP(Table134526_79101120212223242526[[#This Row],[Name Surname]],Manpower!$C$4:$C$1048576,Manpower!$H$4:$H$1048576,"")</f>
        <v>Equipment</v>
      </c>
      <c r="J3416" s="21" t="s">
        <v>48</v>
      </c>
      <c r="K3416" s="57" t="s">
        <v>26</v>
      </c>
      <c r="L3416" s="57" t="s">
        <v>49</v>
      </c>
      <c r="M3416" s="57" t="s">
        <v>55</v>
      </c>
      <c r="N3416" s="62">
        <v>10</v>
      </c>
      <c r="O3416" s="57"/>
      <c r="P3416" s="57"/>
      <c r="Q3416" s="57"/>
      <c r="R3416" s="57" t="s">
        <v>425</v>
      </c>
    </row>
    <row r="3417" spans="1:19" ht="14.4">
      <c r="A3417" s="38">
        <f>IF(C3417="","",MAX($A$1:A3416)+1)</f>
        <v>3131</v>
      </c>
      <c r="B3417" s="54" t="s">
        <v>19</v>
      </c>
      <c r="C3417" s="60">
        <v>46110</v>
      </c>
      <c r="D3417" s="61" t="str">
        <f>_xlfn.XLOOKUP(Table134526_79101120212223242526[[#This Row],[Name Surname]],Manpower!$C$4:$C$1048576,Manpower!$B$4:$B$1048576,"")</f>
        <v>Bright Light</v>
      </c>
      <c r="E3417" s="57" t="s">
        <v>51</v>
      </c>
      <c r="F3417" s="12" t="e">
        <f>_xlfn.XLOOKUP(Table134526_79101120212223242526[[#This Row],[Name Surname]],Manpower!C:C,Manpower!D:D,)</f>
        <v>#N/A</v>
      </c>
      <c r="G3417" s="61" t="str">
        <f>_xlfn.XLOOKUP(Table134526_79101120212223242526[[#This Row],[Name Surname]],Manpower!$C$4:$C$1048576,Manpower!$F$4:$F$1048576,"")</f>
        <v>150T-Crawler Crane</v>
      </c>
      <c r="H3417" s="61" t="str">
        <f>_xlfn.XLOOKUP(Table134526_79101120212223242526[[#This Row],[Name Surname]],Manpower!$C$4:$C$1048576,Manpower!$H$4:$H$1048576,"")</f>
        <v>Equipment</v>
      </c>
      <c r="I3417" s="28" t="str">
        <f>_xlfn.XLOOKUP(Table134526_79101120212223242526[[#This Row],[Name Surname]],Manpower!$C$4:$C$1048576,Manpower!$H$4:$H$1048576,"")</f>
        <v>Equipment</v>
      </c>
      <c r="J3417" s="21" t="s">
        <v>48</v>
      </c>
      <c r="K3417" s="57" t="s">
        <v>26</v>
      </c>
      <c r="L3417" s="57" t="s">
        <v>49</v>
      </c>
      <c r="M3417" s="57" t="s">
        <v>24</v>
      </c>
      <c r="N3417" s="62">
        <v>10</v>
      </c>
      <c r="O3417" s="57" t="s">
        <v>25</v>
      </c>
      <c r="P3417" s="57" t="s">
        <v>41</v>
      </c>
      <c r="Q3417" s="57" t="s">
        <v>60</v>
      </c>
      <c r="R3417" s="57" t="s">
        <v>426</v>
      </c>
    </row>
    <row r="3418" spans="1:19" ht="14.4">
      <c r="A3418" s="38">
        <f>IF(C3418="","",MAX($A$1:A3417)+1)</f>
        <v>3132</v>
      </c>
      <c r="B3418" s="54" t="s">
        <v>19</v>
      </c>
      <c r="C3418" s="60">
        <v>46110</v>
      </c>
      <c r="D3418" s="61" t="str">
        <f>_xlfn.XLOOKUP(Table134526_79101120212223242526[[#This Row],[Name Surname]],Manpower!$C$4:$C$1048576,Manpower!$B$4:$B$1048576,"")</f>
        <v>Encogroup</v>
      </c>
      <c r="E3418" s="57" t="s">
        <v>54</v>
      </c>
      <c r="F3418" s="12" t="e">
        <f>_xlfn.XLOOKUP(Table134526_79101120212223242526[[#This Row],[Name Surname]],Manpower!C:C,Manpower!D:D,)</f>
        <v>#N/A</v>
      </c>
      <c r="G3418" s="61" t="str">
        <f>_xlfn.XLOOKUP(Table134526_79101120212223242526[[#This Row],[Name Surname]],Manpower!$C$4:$C$1048576,Manpower!$F$4:$F$1048576,"")</f>
        <v>28M-Manlift</v>
      </c>
      <c r="H3418" s="61" t="str">
        <f>_xlfn.XLOOKUP(Table134526_79101120212223242526[[#This Row],[Name Surname]],Manpower!$C$4:$C$1048576,Manpower!$H$4:$H$1048576,"")</f>
        <v>Equipment</v>
      </c>
      <c r="I3418" s="28" t="str">
        <f>_xlfn.XLOOKUP(Table134526_79101120212223242526[[#This Row],[Name Surname]],Manpower!$C$4:$C$1048576,Manpower!$H$4:$H$1048576,"")</f>
        <v>Equipment</v>
      </c>
      <c r="J3418" s="21" t="s">
        <v>48</v>
      </c>
      <c r="K3418" s="57" t="s">
        <v>26</v>
      </c>
      <c r="L3418" s="57" t="s">
        <v>49</v>
      </c>
      <c r="M3418" s="57" t="s">
        <v>24</v>
      </c>
      <c r="N3418" s="62">
        <v>10</v>
      </c>
      <c r="O3418" s="57" t="s">
        <v>25</v>
      </c>
      <c r="P3418" s="57" t="s">
        <v>41</v>
      </c>
      <c r="Q3418" s="57" t="s">
        <v>60</v>
      </c>
      <c r="R3418" s="57" t="s">
        <v>426</v>
      </c>
    </row>
    <row r="3419" spans="1:19" ht="14.4">
      <c r="A3419" s="38">
        <f>IF(C3419="","",MAX($A$1:A3418)+1)</f>
        <v>3133</v>
      </c>
      <c r="B3419" s="54" t="s">
        <v>19</v>
      </c>
      <c r="C3419" s="60">
        <v>46110</v>
      </c>
      <c r="D3419" s="61" t="str">
        <f>_xlfn.XLOOKUP(Table134526_79101120212223242526[[#This Row],[Name Surname]],Manpower!$C$4:$C$1048576,Manpower!$B$4:$B$1048576,"")</f>
        <v>Encogroup</v>
      </c>
      <c r="E3419" s="57" t="s">
        <v>53</v>
      </c>
      <c r="F3419" s="12" t="e">
        <f>_xlfn.XLOOKUP(Table134526_79101120212223242526[[#This Row],[Name Surname]],Manpower!C:C,Manpower!D:D,)</f>
        <v>#N/A</v>
      </c>
      <c r="G3419" s="61" t="str">
        <f>_xlfn.XLOOKUP(Table134526_79101120212223242526[[#This Row],[Name Surname]],Manpower!$C$4:$C$1048576,Manpower!$F$4:$F$1048576,"")</f>
        <v>22M-Manlift</v>
      </c>
      <c r="H3419" s="61" t="str">
        <f>_xlfn.XLOOKUP(Table134526_79101120212223242526[[#This Row],[Name Surname]],Manpower!$C$4:$C$1048576,Manpower!$H$4:$H$1048576,"")</f>
        <v>Equipment</v>
      </c>
      <c r="I3419" s="28" t="str">
        <f>_xlfn.XLOOKUP(Table134526_79101120212223242526[[#This Row],[Name Surname]],Manpower!$C$4:$C$1048576,Manpower!$H$4:$H$1048576,"")</f>
        <v>Equipment</v>
      </c>
      <c r="J3419" s="21" t="s">
        <v>48</v>
      </c>
      <c r="K3419" s="57" t="s">
        <v>26</v>
      </c>
      <c r="L3419" s="57" t="s">
        <v>49</v>
      </c>
      <c r="M3419" s="57" t="s">
        <v>24</v>
      </c>
      <c r="N3419" s="62">
        <v>10</v>
      </c>
      <c r="O3419" s="57" t="s">
        <v>25</v>
      </c>
      <c r="P3419" s="57" t="s">
        <v>41</v>
      </c>
      <c r="Q3419" s="57" t="s">
        <v>60</v>
      </c>
      <c r="R3419" s="57" t="s">
        <v>426</v>
      </c>
    </row>
    <row r="3420" spans="1:19" ht="14.4" hidden="1">
      <c r="A3420" s="38">
        <f>IF(C3420="","",MAX($A$1:A3419)+1)</f>
        <v>3134</v>
      </c>
      <c r="B3420" s="54" t="s">
        <v>19</v>
      </c>
      <c r="C3420" s="60">
        <v>46110</v>
      </c>
      <c r="D3420" s="61" t="str">
        <f>_xlfn.XLOOKUP(Table134526_79101120212223242526[[#This Row],[Name Surname]],Manpower!$C$4:$C$1048576,Manpower!$B$4:$B$1048576,"")</f>
        <v>Encogroup</v>
      </c>
      <c r="E3420" s="57" t="s">
        <v>57</v>
      </c>
      <c r="F3420" s="12">
        <f>_xlfn.XLOOKUP(Table134526_79101120212223242526[[#This Row],[Name Surname]],Manpower!C:C,Manpower!D:D,)</f>
        <v>140693697</v>
      </c>
      <c r="G3420" s="61" t="str">
        <f>_xlfn.XLOOKUP(Table134526_79101120212223242526[[#This Row],[Name Surname]],Manpower!$C$4:$C$1048576,Manpower!$F$4:$F$1048576,"")</f>
        <v>HSE Officer</v>
      </c>
      <c r="H3420" s="61" t="str">
        <f>_xlfn.XLOOKUP(Table134526_79101120212223242526[[#This Row],[Name Surname]],Manpower!$C$4:$C$1048576,Manpower!$H$4:$H$1048576,"")</f>
        <v>Manpower</v>
      </c>
      <c r="I3420" s="28" t="str">
        <f>_xlfn.XLOOKUP(Table134526_79101120212223242526[[#This Row],[Name Surname]],Manpower!$C$4:$C$1048576,Manpower!$H$4:$H$1048576,"")</f>
        <v>Manpower</v>
      </c>
      <c r="J3420" s="21" t="s">
        <v>48</v>
      </c>
      <c r="K3420" s="57" t="s">
        <v>26</v>
      </c>
      <c r="L3420" s="57" t="s">
        <v>49</v>
      </c>
      <c r="M3420" s="57" t="s">
        <v>24</v>
      </c>
      <c r="N3420" s="62">
        <v>10</v>
      </c>
      <c r="O3420" s="57" t="s">
        <v>25</v>
      </c>
      <c r="P3420" s="57" t="s">
        <v>41</v>
      </c>
      <c r="Q3420" s="57" t="s">
        <v>60</v>
      </c>
      <c r="R3420" s="57" t="s">
        <v>426</v>
      </c>
    </row>
    <row r="3421" spans="1:19" s="45" customFormat="1" ht="14.4" hidden="1">
      <c r="A3421" s="53">
        <f>IF(C3421="","",MAX($A$1:A3420)+1)</f>
        <v>3135</v>
      </c>
      <c r="B3421" s="54" t="s">
        <v>19</v>
      </c>
      <c r="C3421" s="55">
        <v>46110</v>
      </c>
      <c r="D3421" s="68" t="str">
        <f>_xlfn.XLOOKUP(Table134526_79101120212223242526[[#This Row],[Name Surname]],Manpower!$C$4:$C$1048576,Manpower!$B$4:$B$1048576,"")</f>
        <v>Encogroup</v>
      </c>
      <c r="E3421" s="51" t="s">
        <v>33</v>
      </c>
      <c r="F3421" s="12">
        <f>_xlfn.XLOOKUP(Table134526_79101120212223242526[[#This Row],[Name Surname]],Manpower!C:C,Manpower!D:D,)</f>
        <v>124565057</v>
      </c>
      <c r="G3421" s="68" t="str">
        <f>_xlfn.XLOOKUP(Table134526_79101120212223242526[[#This Row],[Name Surname]],Manpower!$C$4:$C$1048576,Manpower!$F$4:$F$1048576,"")</f>
        <v>Fitter/Erector</v>
      </c>
      <c r="H3421" s="68" t="str">
        <f>_xlfn.XLOOKUP(Table134526_79101120212223242526[[#This Row],[Name Surname]],Manpower!$C$4:$C$1048576,Manpower!$H$4:$H$1048576,"")</f>
        <v>Manpower</v>
      </c>
      <c r="I3421" s="48" t="str">
        <f>_xlfn.XLOOKUP(Table134526_79101120212223242526[[#This Row],[Name Surname]],Manpower!$C$4:$C$1048576,Manpower!$H$4:$H$1048576,"")</f>
        <v>Manpower</v>
      </c>
      <c r="J3421" s="43" t="s">
        <v>48</v>
      </c>
      <c r="K3421" s="51" t="s">
        <v>26</v>
      </c>
      <c r="L3421" s="51" t="s">
        <v>49</v>
      </c>
      <c r="M3421" s="51" t="s">
        <v>24</v>
      </c>
      <c r="N3421" s="52">
        <v>10</v>
      </c>
      <c r="O3421" s="51" t="s">
        <v>25</v>
      </c>
      <c r="P3421" s="51" t="s">
        <v>41</v>
      </c>
      <c r="Q3421" s="51" t="s">
        <v>60</v>
      </c>
      <c r="R3421" s="51" t="s">
        <v>426</v>
      </c>
      <c r="S3421" s="43"/>
    </row>
    <row r="3422" spans="1:19" ht="14.4" hidden="1">
      <c r="A3422" s="38">
        <f>IF(C3422="","",MAX($A$1:A3421)+1)</f>
        <v>3136</v>
      </c>
      <c r="B3422" s="54" t="s">
        <v>19</v>
      </c>
      <c r="C3422" s="60">
        <v>46110</v>
      </c>
      <c r="D3422" s="61" t="str">
        <f>_xlfn.XLOOKUP(Table134526_79101120212223242526[[#This Row],[Name Surname]],Manpower!$C$4:$C$1048576,Manpower!$B$4:$B$1048576,"")</f>
        <v>Encogroup</v>
      </c>
      <c r="E3422" s="57" t="s">
        <v>62</v>
      </c>
      <c r="F3422" s="12">
        <f>_xlfn.XLOOKUP(Table134526_79101120212223242526[[#This Row],[Name Surname]],Manpower!C:C,Manpower!D:D,)</f>
        <v>140844797</v>
      </c>
      <c r="G3422" s="61" t="str">
        <f>_xlfn.XLOOKUP(Table134526_79101120212223242526[[#This Row],[Name Surname]],Manpower!$C$4:$C$1048576,Manpower!$F$4:$F$1048576,"")</f>
        <v>Fitter/Erector</v>
      </c>
      <c r="H3422" s="61" t="str">
        <f>_xlfn.XLOOKUP(Table134526_79101120212223242526[[#This Row],[Name Surname]],Manpower!$C$4:$C$1048576,Manpower!$H$4:$H$1048576,"")</f>
        <v>Manpower</v>
      </c>
      <c r="I3422" s="28" t="str">
        <f>_xlfn.XLOOKUP(Table134526_79101120212223242526[[#This Row],[Name Surname]],Manpower!$C$4:$C$1048576,Manpower!$H$4:$H$1048576,"")</f>
        <v>Manpower</v>
      </c>
      <c r="J3422" s="21" t="s">
        <v>48</v>
      </c>
      <c r="K3422" s="57" t="s">
        <v>26</v>
      </c>
      <c r="L3422" s="57" t="s">
        <v>49</v>
      </c>
      <c r="M3422" s="57" t="s">
        <v>24</v>
      </c>
      <c r="N3422" s="62">
        <v>10</v>
      </c>
      <c r="O3422" s="57" t="s">
        <v>25</v>
      </c>
      <c r="P3422" s="57" t="s">
        <v>41</v>
      </c>
      <c r="Q3422" s="57" t="s">
        <v>60</v>
      </c>
      <c r="R3422" s="57" t="s">
        <v>426</v>
      </c>
    </row>
    <row r="3423" spans="1:19" ht="14.4">
      <c r="A3423" s="38">
        <f>IF(C3423="","",MAX($A$1:A3422)+1)</f>
        <v>3137</v>
      </c>
      <c r="B3423" s="54" t="s">
        <v>19</v>
      </c>
      <c r="C3423" s="60">
        <v>46110</v>
      </c>
      <c r="D3423" s="64" t="str">
        <f>_xlfn.XLOOKUP(Table134526_79101120212223242526[[#This Row],[Name Surname]],Manpower!$C$4:$C$1048576,Manpower!$B$4:$B$1048576,"")</f>
        <v>Encogroup</v>
      </c>
      <c r="E3423" s="60" t="s">
        <v>63</v>
      </c>
      <c r="F3423" s="12" t="e">
        <f>_xlfn.XLOOKUP(Table134526_79101120212223242526[[#This Row],[Name Surname]],Manpower!C:C,Manpower!D:D,)</f>
        <v>#N/A</v>
      </c>
      <c r="G3423" s="64" t="str">
        <f>_xlfn.XLOOKUP(Table134526_79101120212223242526[[#This Row],[Name Surname]],Manpower!$C$4:$C$1048576,Manpower!$F$4:$F$1048576,"")</f>
        <v>22KVA-Generator</v>
      </c>
      <c r="H3423" s="64" t="str">
        <f>_xlfn.XLOOKUP(Table134526_79101120212223242526[[#This Row],[Name Surname]],Manpower!$C$4:$C$1048576,Manpower!$H$4:$H$1048576,"")</f>
        <v>Equipment</v>
      </c>
      <c r="I3423" s="64" t="str">
        <f>_xlfn.XLOOKUP(Table134526_79101120212223242526[[#This Row],[Name Surname]],Manpower!$C$4:$C$1048576,Manpower!$H$4:$H$1048576,"")</f>
        <v>Equipment</v>
      </c>
      <c r="J3423" s="21" t="s">
        <v>48</v>
      </c>
      <c r="K3423" s="57" t="s">
        <v>26</v>
      </c>
      <c r="L3423" s="57" t="s">
        <v>49</v>
      </c>
      <c r="M3423" s="57" t="s">
        <v>24</v>
      </c>
      <c r="N3423" s="62">
        <v>10</v>
      </c>
      <c r="O3423" s="57" t="s">
        <v>25</v>
      </c>
      <c r="P3423" s="57" t="s">
        <v>41</v>
      </c>
      <c r="Q3423" s="57" t="s">
        <v>60</v>
      </c>
      <c r="R3423" s="57" t="s">
        <v>426</v>
      </c>
    </row>
    <row r="3424" spans="1:19" ht="14.4" hidden="1">
      <c r="A3424" s="38">
        <f>IF(C3424="","",MAX($A$1:A3423)+1)</f>
        <v>3138</v>
      </c>
      <c r="B3424" s="54" t="s">
        <v>19</v>
      </c>
      <c r="C3424" s="60">
        <v>46110</v>
      </c>
      <c r="D3424" s="61" t="str">
        <f>_xlfn.XLOOKUP(Table134526_79101120212223242526[[#This Row],[Name Surname]],Manpower!$C$4:$C$1048576,Manpower!$B$4:$B$1048576,"")</f>
        <v>Bright Light</v>
      </c>
      <c r="E3424" s="57" t="s">
        <v>64</v>
      </c>
      <c r="F3424" s="12">
        <f>_xlfn.XLOOKUP(Table134526_79101120212223242526[[#This Row],[Name Surname]],Manpower!C:C,Manpower!D:D,)</f>
        <v>114531608</v>
      </c>
      <c r="G3424" s="61" t="str">
        <f>_xlfn.XLOOKUP(Table134526_79101120212223242526[[#This Row],[Name Surname]],Manpower!$C$4:$C$1048576,Manpower!$F$4:$F$1048576,"")</f>
        <v>Crane Operator-150T Sany Crawler</v>
      </c>
      <c r="H3424" s="61" t="str">
        <f>_xlfn.XLOOKUP(Table134526_79101120212223242526[[#This Row],[Name Surname]],Manpower!$C$4:$C$1048576,Manpower!$H$4:$H$1048576,"")</f>
        <v>Manpower</v>
      </c>
      <c r="I3424" s="28" t="str">
        <f>_xlfn.XLOOKUP(Table134526_79101120212223242526[[#This Row],[Name Surname]],Manpower!$C$4:$C$1048576,Manpower!$H$4:$H$1048576,"")</f>
        <v>Manpower</v>
      </c>
      <c r="J3424" s="21" t="s">
        <v>48</v>
      </c>
      <c r="K3424" s="57" t="s">
        <v>26</v>
      </c>
      <c r="L3424" s="57" t="s">
        <v>49</v>
      </c>
      <c r="M3424" s="57" t="s">
        <v>24</v>
      </c>
      <c r="N3424" s="62">
        <v>10</v>
      </c>
      <c r="O3424" s="57" t="s">
        <v>40</v>
      </c>
      <c r="P3424" s="57" t="s">
        <v>41</v>
      </c>
      <c r="Q3424" s="57" t="s">
        <v>42</v>
      </c>
      <c r="R3424" s="57" t="s">
        <v>426</v>
      </c>
    </row>
    <row r="3425" spans="1:19" ht="14.4" hidden="1">
      <c r="A3425" s="38">
        <f>IF(C3425="","",MAX($A$1:A3424)+1)</f>
        <v>3139</v>
      </c>
      <c r="B3425" s="54" t="s">
        <v>19</v>
      </c>
      <c r="C3425" s="60">
        <v>46110</v>
      </c>
      <c r="D3425" s="61" t="str">
        <f>_xlfn.XLOOKUP(Table134526_79101120212223242526[[#This Row],[Name Surname]],Manpower!$C$4:$C$1048576,Manpower!$B$4:$B$1048576,"")</f>
        <v>Encogroup</v>
      </c>
      <c r="E3425" s="57" t="s">
        <v>67</v>
      </c>
      <c r="F3425" s="12">
        <f>_xlfn.XLOOKUP(Table134526_79101120212223242526[[#This Row],[Name Surname]],Manpower!C:C,Manpower!D:D,)</f>
        <v>122082769</v>
      </c>
      <c r="G3425" s="61" t="str">
        <f>_xlfn.XLOOKUP(Table134526_79101120212223242526[[#This Row],[Name Surname]],Manpower!$C$4:$C$1048576,Manpower!$F$4:$F$1048576,"")</f>
        <v>Grinder</v>
      </c>
      <c r="H3425" s="61" t="str">
        <f>_xlfn.XLOOKUP(Table134526_79101120212223242526[[#This Row],[Name Surname]],Manpower!$C$4:$C$1048576,Manpower!$H$4:$H$1048576,"")</f>
        <v>Manpower</v>
      </c>
      <c r="I3425" s="28" t="str">
        <f>_xlfn.XLOOKUP(Table134526_79101120212223242526[[#This Row],[Name Surname]],Manpower!$C$4:$C$1048576,Manpower!$H$4:$H$1048576,"")</f>
        <v>Manpower</v>
      </c>
      <c r="J3425" s="21" t="s">
        <v>48</v>
      </c>
      <c r="K3425" s="57" t="s">
        <v>26</v>
      </c>
      <c r="L3425" s="57" t="s">
        <v>49</v>
      </c>
      <c r="M3425" s="57" t="s">
        <v>24</v>
      </c>
      <c r="N3425" s="62">
        <v>10</v>
      </c>
      <c r="O3425" s="57" t="s">
        <v>25</v>
      </c>
      <c r="P3425" s="57" t="s">
        <v>41</v>
      </c>
      <c r="Q3425" s="57" t="s">
        <v>60</v>
      </c>
      <c r="R3425" s="57" t="s">
        <v>426</v>
      </c>
    </row>
    <row r="3426" spans="1:19" s="45" customFormat="1" ht="14.4" hidden="1">
      <c r="A3426" s="53">
        <f>IF(C3426="","",MAX($A$1:A3425)+1)</f>
        <v>3140</v>
      </c>
      <c r="B3426" s="54" t="s">
        <v>19</v>
      </c>
      <c r="C3426" s="55">
        <v>46110</v>
      </c>
      <c r="D3426" s="68" t="str">
        <f>_xlfn.XLOOKUP(Table134526_79101120212223242526[[#This Row],[Name Surname]],Manpower!$C$4:$C$1048576,Manpower!$B$4:$B$1048576,"")</f>
        <v>AL Omar International TRAD AND CONT</v>
      </c>
      <c r="E3426" s="51" t="s">
        <v>66</v>
      </c>
      <c r="F3426" s="12">
        <f>_xlfn.XLOOKUP(Table134526_79101120212223242526[[#This Row],[Name Surname]],Manpower!C:C,Manpower!D:D,)</f>
        <v>115018512</v>
      </c>
      <c r="G3426" s="68" t="str">
        <f>_xlfn.XLOOKUP(Table134526_79101120212223242526[[#This Row],[Name Surname]],Manpower!$C$4:$C$1048576,Manpower!$F$4:$F$1048576,"")</f>
        <v>RIgger</v>
      </c>
      <c r="H3426" s="68" t="str">
        <f>_xlfn.XLOOKUP(Table134526_79101120212223242526[[#This Row],[Name Surname]],Manpower!$C$4:$C$1048576,Manpower!$H$4:$H$1048576,"")</f>
        <v>Sub Contactor</v>
      </c>
      <c r="I3426" s="48" t="str">
        <f>_xlfn.XLOOKUP(Table134526_79101120212223242526[[#This Row],[Name Surname]],Manpower!$C$4:$C$1048576,Manpower!$H$4:$H$1048576,"")</f>
        <v>Sub Contactor</v>
      </c>
      <c r="J3426" s="43" t="s">
        <v>48</v>
      </c>
      <c r="K3426" s="51" t="s">
        <v>26</v>
      </c>
      <c r="L3426" s="51" t="s">
        <v>49</v>
      </c>
      <c r="M3426" s="51" t="s">
        <v>24</v>
      </c>
      <c r="N3426" s="52">
        <v>10</v>
      </c>
      <c r="O3426" s="51" t="s">
        <v>25</v>
      </c>
      <c r="P3426" s="51" t="s">
        <v>41</v>
      </c>
      <c r="Q3426" s="51" t="s">
        <v>60</v>
      </c>
      <c r="R3426" s="51" t="s">
        <v>426</v>
      </c>
      <c r="S3426" s="43"/>
    </row>
    <row r="3427" spans="1:19" ht="14.4" hidden="1">
      <c r="A3427" s="38">
        <f>IF(C3427="","",MAX($A$1:A3426)+1)</f>
        <v>3141</v>
      </c>
      <c r="B3427" s="54" t="s">
        <v>19</v>
      </c>
      <c r="C3427" s="60">
        <v>46110</v>
      </c>
      <c r="D3427" s="61" t="str">
        <f>_xlfn.XLOOKUP(Table134526_79101120212223242526[[#This Row],[Name Surname]],Manpower!$C$4:$C$1048576,Manpower!$B$4:$B$1048576,"")</f>
        <v>AL Omar International TRAD AND CONT</v>
      </c>
      <c r="E3427" s="57" t="s">
        <v>197</v>
      </c>
      <c r="F3427" s="12">
        <f>_xlfn.XLOOKUP(Table134526_79101120212223242526[[#This Row],[Name Surname]],Manpower!C:C,Manpower!D:D,)</f>
        <v>106093463</v>
      </c>
      <c r="G3427" s="61" t="str">
        <f>_xlfn.XLOOKUP(Table134526_79101120212223242526[[#This Row],[Name Surname]],Manpower!$C$4:$C$1048576,Manpower!$F$4:$F$1048576,"")</f>
        <v>RIgger</v>
      </c>
      <c r="H3427" s="61" t="str">
        <f>_xlfn.XLOOKUP(Table134526_79101120212223242526[[#This Row],[Name Surname]],Manpower!$C$4:$C$1048576,Manpower!$H$4:$H$1048576,"")</f>
        <v>Sub Contactor</v>
      </c>
      <c r="I3427" s="28" t="str">
        <f>_xlfn.XLOOKUP(Table134526_79101120212223242526[[#This Row],[Name Surname]],Manpower!$C$4:$C$1048576,Manpower!$H$4:$H$1048576,"")</f>
        <v>Sub Contactor</v>
      </c>
      <c r="J3427" s="21" t="s">
        <v>48</v>
      </c>
      <c r="K3427" s="57" t="s">
        <v>26</v>
      </c>
      <c r="L3427" s="57" t="s">
        <v>49</v>
      </c>
      <c r="M3427" s="57" t="s">
        <v>24</v>
      </c>
      <c r="N3427" s="62">
        <v>5</v>
      </c>
      <c r="O3427" s="57" t="s">
        <v>25</v>
      </c>
      <c r="P3427" s="57" t="s">
        <v>41</v>
      </c>
      <c r="Q3427" s="57" t="s">
        <v>60</v>
      </c>
      <c r="R3427" s="57" t="s">
        <v>426</v>
      </c>
    </row>
    <row r="3428" spans="1:19" s="45" customFormat="1" ht="14.4" hidden="1">
      <c r="A3428" s="53">
        <f>IF(C3428="","",MAX($A$1:A3427)+1)</f>
        <v>3142</v>
      </c>
      <c r="B3428" s="54" t="s">
        <v>19</v>
      </c>
      <c r="C3428" s="55">
        <v>46110</v>
      </c>
      <c r="D3428" s="68" t="str">
        <f>_xlfn.XLOOKUP(Table134526_79101120212223242526[[#This Row],[Name Surname]],Manpower!$C$4:$C$1048576,Manpower!$B$4:$B$1048576,"")</f>
        <v>Encogroup</v>
      </c>
      <c r="E3428" s="51" t="s">
        <v>44</v>
      </c>
      <c r="F3428" s="12">
        <f>_xlfn.XLOOKUP(Table134526_79101120212223242526[[#This Row],[Name Surname]],Manpower!C:C,Manpower!D:D,)</f>
        <v>140806218</v>
      </c>
      <c r="G3428" s="68" t="str">
        <f>_xlfn.XLOOKUP(Table134526_79101120212223242526[[#This Row],[Name Surname]],Manpower!$C$4:$C$1048576,Manpower!$F$4:$F$1048576,"")</f>
        <v>Fitter/Erector</v>
      </c>
      <c r="H3428" s="68" t="str">
        <f>_xlfn.XLOOKUP(Table134526_79101120212223242526[[#This Row],[Name Surname]],Manpower!$C$4:$C$1048576,Manpower!$H$4:$H$1048576,"")</f>
        <v>Manpower</v>
      </c>
      <c r="I3428" s="48" t="str">
        <f>_xlfn.XLOOKUP(Table134526_79101120212223242526[[#This Row],[Name Surname]],Manpower!$C$4:$C$1048576,Manpower!$H$4:$H$1048576,"")</f>
        <v>Manpower</v>
      </c>
      <c r="J3428" s="43" t="s">
        <v>48</v>
      </c>
      <c r="K3428" s="51" t="s">
        <v>26</v>
      </c>
      <c r="L3428" s="51" t="s">
        <v>49</v>
      </c>
      <c r="M3428" s="51" t="s">
        <v>24</v>
      </c>
      <c r="N3428" s="52">
        <v>10</v>
      </c>
      <c r="O3428" s="51" t="s">
        <v>25</v>
      </c>
      <c r="P3428" s="51" t="s">
        <v>41</v>
      </c>
      <c r="Q3428" s="51" t="s">
        <v>60</v>
      </c>
      <c r="R3428" s="51" t="s">
        <v>426</v>
      </c>
      <c r="S3428" s="43"/>
    </row>
    <row r="3429" spans="1:19" ht="14.4" hidden="1">
      <c r="A3429" s="38">
        <f>IF(C3429="","",MAX($A$1:A3428)+1)</f>
        <v>3143</v>
      </c>
      <c r="B3429" s="54" t="s">
        <v>19</v>
      </c>
      <c r="C3429" s="60">
        <v>46110</v>
      </c>
      <c r="D3429" s="61" t="str">
        <f>_xlfn.XLOOKUP(Table134526_79101120212223242526[[#This Row],[Name Surname]],Manpower!$C$4:$C$1048576,Manpower!$B$4:$B$1048576,"")</f>
        <v>Encogroup</v>
      </c>
      <c r="E3429" s="57" t="s">
        <v>68</v>
      </c>
      <c r="F3429" s="12">
        <f>_xlfn.XLOOKUP(Table134526_79101120212223242526[[#This Row],[Name Surname]],Manpower!C:C,Manpower!D:D,)</f>
        <v>116915582</v>
      </c>
      <c r="G3429" s="61" t="str">
        <f>_xlfn.XLOOKUP(Table134526_79101120212223242526[[#This Row],[Name Surname]],Manpower!$C$4:$C$1048576,Manpower!$F$4:$F$1048576,"")</f>
        <v>Mechanical Superintendent</v>
      </c>
      <c r="H3429" s="61" t="str">
        <f>_xlfn.XLOOKUP(Table134526_79101120212223242526[[#This Row],[Name Surname]],Manpower!$C$4:$C$1048576,Manpower!$H$4:$H$1048576,"")</f>
        <v>Manpower</v>
      </c>
      <c r="I3429" s="28" t="str">
        <f>_xlfn.XLOOKUP(Table134526_79101120212223242526[[#This Row],[Name Surname]],Manpower!$C$4:$C$1048576,Manpower!$H$4:$H$1048576,"")</f>
        <v>Manpower</v>
      </c>
      <c r="J3429" s="21" t="s">
        <v>48</v>
      </c>
      <c r="K3429" s="57" t="s">
        <v>26</v>
      </c>
      <c r="L3429" s="57" t="s">
        <v>49</v>
      </c>
      <c r="M3429" s="57" t="s">
        <v>24</v>
      </c>
      <c r="N3429" s="62">
        <v>10</v>
      </c>
      <c r="O3429" s="57" t="s">
        <v>25</v>
      </c>
      <c r="P3429" s="57" t="s">
        <v>41</v>
      </c>
      <c r="Q3429" s="57" t="s">
        <v>60</v>
      </c>
      <c r="R3429" s="57" t="s">
        <v>426</v>
      </c>
    </row>
    <row r="3430" spans="1:19" s="45" customFormat="1" ht="14.4" hidden="1">
      <c r="A3430" s="53">
        <f>IF(C3430="","",MAX($A$1:A3429)+1)</f>
        <v>3144</v>
      </c>
      <c r="B3430" s="54" t="s">
        <v>19</v>
      </c>
      <c r="C3430" s="55">
        <v>46110</v>
      </c>
      <c r="D3430" s="68" t="str">
        <f>_xlfn.XLOOKUP(Table134526_79101120212223242526[[#This Row],[Name Surname]],Manpower!$C$4:$C$1048576,Manpower!$B$4:$B$1048576,"")</f>
        <v>Encogroup</v>
      </c>
      <c r="E3430" s="51" t="s">
        <v>69</v>
      </c>
      <c r="F3430" s="12">
        <f>_xlfn.XLOOKUP(Table134526_79101120212223242526[[#This Row],[Name Surname]],Manpower!C:C,Manpower!D:D,)</f>
        <v>141169071</v>
      </c>
      <c r="G3430" s="68" t="str">
        <f>_xlfn.XLOOKUP(Table134526_79101120212223242526[[#This Row],[Name Surname]],Manpower!$C$4:$C$1048576,Manpower!$F$4:$F$1048576,"")</f>
        <v>Welding Supervisor</v>
      </c>
      <c r="H3430" s="68" t="str">
        <f>_xlfn.XLOOKUP(Table134526_79101120212223242526[[#This Row],[Name Surname]],Manpower!$C$4:$C$1048576,Manpower!$H$4:$H$1048576,"")</f>
        <v>Manpower</v>
      </c>
      <c r="I3430" s="48" t="str">
        <f>_xlfn.XLOOKUP(Table134526_79101120212223242526[[#This Row],[Name Surname]],Manpower!$C$4:$C$1048576,Manpower!$H$4:$H$1048576,"")</f>
        <v>Manpower</v>
      </c>
      <c r="J3430" s="43" t="s">
        <v>48</v>
      </c>
      <c r="K3430" s="51" t="s">
        <v>26</v>
      </c>
      <c r="L3430" s="51" t="s">
        <v>49</v>
      </c>
      <c r="M3430" s="51" t="s">
        <v>24</v>
      </c>
      <c r="N3430" s="52">
        <v>10</v>
      </c>
      <c r="O3430" s="51" t="s">
        <v>25</v>
      </c>
      <c r="P3430" s="51" t="s">
        <v>41</v>
      </c>
      <c r="Q3430" s="51" t="s">
        <v>60</v>
      </c>
      <c r="R3430" s="51" t="s">
        <v>426</v>
      </c>
      <c r="S3430" s="43"/>
    </row>
    <row r="3431" spans="1:19" s="45" customFormat="1" ht="14.4" hidden="1">
      <c r="A3431" s="53">
        <f>IF(C3431="","",MAX($A$1:A3430)+1)</f>
        <v>3145</v>
      </c>
      <c r="B3431" s="54" t="s">
        <v>19</v>
      </c>
      <c r="C3431" s="55">
        <v>46110</v>
      </c>
      <c r="D3431" s="68" t="str">
        <f>_xlfn.XLOOKUP(Table134526_79101120212223242526[[#This Row],[Name Surname]],Manpower!$C$4:$C$1048576,Manpower!$B$4:$B$1048576,"")</f>
        <v>Encogroup</v>
      </c>
      <c r="E3431" s="51" t="s">
        <v>76</v>
      </c>
      <c r="F3431" s="12">
        <f>_xlfn.XLOOKUP(Table134526_79101120212223242526[[#This Row],[Name Surname]],Manpower!C:C,Manpower!D:D,)</f>
        <v>127859069</v>
      </c>
      <c r="G3431" s="68" t="str">
        <f>_xlfn.XLOOKUP(Table134526_79101120212223242526[[#This Row],[Name Surname]],Manpower!$C$4:$C$1048576,Manpower!$F$4:$F$1048576,"")</f>
        <v>QC Mechanical Engineer</v>
      </c>
      <c r="H3431" s="68" t="str">
        <f>_xlfn.XLOOKUP(Table134526_79101120212223242526[[#This Row],[Name Surname]],Manpower!$C$4:$C$1048576,Manpower!$H$4:$H$1048576,"")</f>
        <v>Manpower</v>
      </c>
      <c r="I3431" s="48" t="str">
        <f>_xlfn.XLOOKUP(Table134526_79101120212223242526[[#This Row],[Name Surname]],Manpower!$C$4:$C$1048576,Manpower!$H$4:$H$1048576,"")</f>
        <v>Manpower</v>
      </c>
      <c r="J3431" s="43" t="s">
        <v>48</v>
      </c>
      <c r="K3431" s="51" t="s">
        <v>26</v>
      </c>
      <c r="L3431" s="51" t="s">
        <v>49</v>
      </c>
      <c r="M3431" s="51" t="s">
        <v>24</v>
      </c>
      <c r="N3431" s="52">
        <v>10</v>
      </c>
      <c r="O3431" s="51" t="s">
        <v>25</v>
      </c>
      <c r="P3431" s="51" t="s">
        <v>41</v>
      </c>
      <c r="Q3431" s="51" t="s">
        <v>60</v>
      </c>
      <c r="R3431" s="51" t="s">
        <v>426</v>
      </c>
      <c r="S3431" s="43"/>
    </row>
    <row r="3432" spans="1:19" s="45" customFormat="1" ht="14.4" hidden="1">
      <c r="A3432" s="53">
        <f>IF(C3432="","",MAX($A$1:A3431)+1)</f>
        <v>3146</v>
      </c>
      <c r="B3432" s="54" t="s">
        <v>19</v>
      </c>
      <c r="C3432" s="55">
        <v>46110</v>
      </c>
      <c r="D3432" s="68" t="str">
        <f>_xlfn.XLOOKUP(Table134526_79101120212223242526[[#This Row],[Name Surname]],Manpower!$C$4:$C$1048576,Manpower!$B$4:$B$1048576,"")</f>
        <v>Encogroup</v>
      </c>
      <c r="E3432" s="51" t="s">
        <v>59</v>
      </c>
      <c r="F3432" s="12">
        <f>_xlfn.XLOOKUP(Table134526_79101120212223242526[[#This Row],[Name Surname]],Manpower!C:C,Manpower!D:D,)</f>
        <v>141169085</v>
      </c>
      <c r="G3432" s="68" t="str">
        <f>_xlfn.XLOOKUP(Table134526_79101120212223242526[[#This Row],[Name Surname]],Manpower!$C$4:$C$1048576,Manpower!$F$4:$F$1048576,"")</f>
        <v>Welder</v>
      </c>
      <c r="H3432" s="68" t="str">
        <f>_xlfn.XLOOKUP(Table134526_79101120212223242526[[#This Row],[Name Surname]],Manpower!$C$4:$C$1048576,Manpower!$H$4:$H$1048576,"")</f>
        <v>Manpower</v>
      </c>
      <c r="I3432" s="48" t="str">
        <f>_xlfn.XLOOKUP(Table134526_79101120212223242526[[#This Row],[Name Surname]],Manpower!$C$4:$C$1048576,Manpower!$H$4:$H$1048576,"")</f>
        <v>Manpower</v>
      </c>
      <c r="J3432" s="43" t="s">
        <v>48</v>
      </c>
      <c r="K3432" s="51" t="s">
        <v>26</v>
      </c>
      <c r="L3432" s="51" t="s">
        <v>49</v>
      </c>
      <c r="M3432" s="51" t="s">
        <v>24</v>
      </c>
      <c r="N3432" s="52">
        <v>10</v>
      </c>
      <c r="O3432" s="51" t="s">
        <v>25</v>
      </c>
      <c r="P3432" s="51" t="s">
        <v>41</v>
      </c>
      <c r="Q3432" s="51" t="s">
        <v>60</v>
      </c>
      <c r="R3432" s="51" t="s">
        <v>426</v>
      </c>
      <c r="S3432" s="43"/>
    </row>
    <row r="3433" spans="1:19" ht="14.4" hidden="1">
      <c r="A3433" s="38">
        <f>IF(C3433="","",MAX($A$1:A3432)+1)</f>
        <v>3147</v>
      </c>
      <c r="B3433" s="70" t="s">
        <v>19</v>
      </c>
      <c r="C3433" s="60">
        <v>46110</v>
      </c>
      <c r="D3433" s="61" t="str">
        <f>_xlfn.XLOOKUP(Table134526_79101120212223242526[[#This Row],[Name Surname]],Manpower!$C$4:$C$1048576,Manpower!$B$4:$B$1048576,"")</f>
        <v>AL Omar International TRAD AND CONT</v>
      </c>
      <c r="E3433" s="57" t="s">
        <v>36</v>
      </c>
      <c r="F3433" s="12">
        <f>_xlfn.XLOOKUP(Table134526_79101120212223242526[[#This Row],[Name Surname]],Manpower!C:C,Manpower!D:D,)</f>
        <v>114929202</v>
      </c>
      <c r="G3433" s="61" t="str">
        <f>_xlfn.XLOOKUP(Table134526_79101120212223242526[[#This Row],[Name Surname]],Manpower!$C$4:$C$1048576,Manpower!$F$4:$F$1048576,"")</f>
        <v>RIgger</v>
      </c>
      <c r="H3433" s="61" t="str">
        <f>_xlfn.XLOOKUP(Table134526_79101120212223242526[[#This Row],[Name Surname]],Manpower!$C$4:$C$1048576,Manpower!$H$4:$H$1048576,"")</f>
        <v>Sub Contactor</v>
      </c>
      <c r="I3433" s="28" t="str">
        <f>_xlfn.XLOOKUP(Table134526_79101120212223242526[[#This Row],[Name Surname]],Manpower!$C$4:$C$1048576,Manpower!$H$4:$H$1048576,"")</f>
        <v>Sub Contactor</v>
      </c>
      <c r="J3433" s="21" t="s">
        <v>48</v>
      </c>
      <c r="K3433" s="57" t="s">
        <v>26</v>
      </c>
      <c r="L3433" s="57" t="s">
        <v>49</v>
      </c>
      <c r="M3433" s="57" t="s">
        <v>24</v>
      </c>
      <c r="N3433" s="62">
        <v>5</v>
      </c>
      <c r="O3433" s="57" t="s">
        <v>25</v>
      </c>
      <c r="P3433" s="57" t="s">
        <v>41</v>
      </c>
      <c r="Q3433" s="57" t="s">
        <v>60</v>
      </c>
      <c r="R3433" s="57" t="s">
        <v>426</v>
      </c>
    </row>
    <row r="3434" spans="1:19" s="45" customFormat="1" ht="14.4" hidden="1">
      <c r="A3434" s="53">
        <f>IF(C3434="","",MAX($A$1:A3433)+1)</f>
        <v>3148</v>
      </c>
      <c r="B3434" s="54" t="s">
        <v>19</v>
      </c>
      <c r="C3434" s="55">
        <v>46110</v>
      </c>
      <c r="D3434" s="68" t="str">
        <f>_xlfn.XLOOKUP(Table134526_79101120212223242526[[#This Row],[Name Surname]],Manpower!$C$4:$C$1048576,Manpower!$B$4:$B$1048576,"")</f>
        <v>Encogroup</v>
      </c>
      <c r="E3434" s="51" t="s">
        <v>37</v>
      </c>
      <c r="F3434" s="12">
        <f>_xlfn.XLOOKUP(Table134526_79101120212223242526[[#This Row],[Name Surname]],Manpower!C:C,Manpower!D:D,)</f>
        <v>140742088</v>
      </c>
      <c r="G3434" s="68" t="str">
        <f>_xlfn.XLOOKUP(Table134526_79101120212223242526[[#This Row],[Name Surname]],Manpower!$C$4:$C$1048576,Manpower!$F$4:$F$1048576,"")</f>
        <v>Fitter/Erector</v>
      </c>
      <c r="H3434" s="68" t="str">
        <f>_xlfn.XLOOKUP(Table134526_79101120212223242526[[#This Row],[Name Surname]],Manpower!$C$4:$C$1048576,Manpower!$H$4:$H$1048576,"")</f>
        <v>Manpower</v>
      </c>
      <c r="I3434" s="48" t="str">
        <f>_xlfn.XLOOKUP(Table134526_79101120212223242526[[#This Row],[Name Surname]],Manpower!$C$4:$C$1048576,Manpower!$H$4:$H$1048576,"")</f>
        <v>Manpower</v>
      </c>
      <c r="J3434" s="43" t="s">
        <v>48</v>
      </c>
      <c r="K3434" s="51" t="s">
        <v>26</v>
      </c>
      <c r="L3434" s="51" t="s">
        <v>49</v>
      </c>
      <c r="M3434" s="51" t="s">
        <v>24</v>
      </c>
      <c r="N3434" s="52">
        <v>10</v>
      </c>
      <c r="O3434" s="51" t="s">
        <v>25</v>
      </c>
      <c r="P3434" s="51" t="s">
        <v>41</v>
      </c>
      <c r="Q3434" s="51" t="s">
        <v>60</v>
      </c>
      <c r="R3434" s="51" t="s">
        <v>426</v>
      </c>
      <c r="S3434" s="43"/>
    </row>
    <row r="3435" spans="1:19" s="45" customFormat="1" ht="14.4" hidden="1">
      <c r="A3435" s="53">
        <f>IF(C3435="","",MAX($A$1:A3434)+1)</f>
        <v>3149</v>
      </c>
      <c r="B3435" s="54" t="s">
        <v>19</v>
      </c>
      <c r="C3435" s="55">
        <v>46110</v>
      </c>
      <c r="D3435" s="68" t="str">
        <f>_xlfn.XLOOKUP(Table134526_79101120212223242526[[#This Row],[Name Surname]],Manpower!$C$4:$C$1048576,Manpower!$B$4:$B$1048576,"")</f>
        <v>Encogroup</v>
      </c>
      <c r="E3435" s="51" t="s">
        <v>32</v>
      </c>
      <c r="F3435" s="12">
        <f>_xlfn.XLOOKUP(Table134526_79101120212223242526[[#This Row],[Name Surname]],Manpower!C:C,Manpower!D:D,)</f>
        <v>140697039</v>
      </c>
      <c r="G3435" s="68" t="str">
        <f>_xlfn.XLOOKUP(Table134526_79101120212223242526[[#This Row],[Name Surname]],Manpower!$C$4:$C$1048576,Manpower!$F$4:$F$1048576,"")</f>
        <v>Fitter/Erector</v>
      </c>
      <c r="H3435" s="68" t="str">
        <f>_xlfn.XLOOKUP(Table134526_79101120212223242526[[#This Row],[Name Surname]],Manpower!$C$4:$C$1048576,Manpower!$H$4:$H$1048576,"")</f>
        <v>Manpower</v>
      </c>
      <c r="I3435" s="48" t="str">
        <f>_xlfn.XLOOKUP(Table134526_79101120212223242526[[#This Row],[Name Surname]],Manpower!$C$4:$C$1048576,Manpower!$H$4:$H$1048576,"")</f>
        <v>Manpower</v>
      </c>
      <c r="J3435" s="43" t="s">
        <v>48</v>
      </c>
      <c r="K3435" s="51" t="s">
        <v>26</v>
      </c>
      <c r="L3435" s="51" t="s">
        <v>49</v>
      </c>
      <c r="M3435" s="51" t="s">
        <v>24</v>
      </c>
      <c r="N3435" s="52">
        <v>5</v>
      </c>
      <c r="O3435" s="51" t="s">
        <v>25</v>
      </c>
      <c r="P3435" s="51" t="s">
        <v>41</v>
      </c>
      <c r="Q3435" s="51" t="s">
        <v>60</v>
      </c>
      <c r="R3435" s="51" t="s">
        <v>426</v>
      </c>
      <c r="S3435" s="43"/>
    </row>
    <row r="3436" spans="1:19" ht="14.4" hidden="1">
      <c r="A3436" s="38">
        <f>IF(C3436="","",MAX($A$1:A3435)+1)</f>
        <v>3150</v>
      </c>
      <c r="B3436" s="54" t="s">
        <v>19</v>
      </c>
      <c r="C3436" s="60">
        <v>46110</v>
      </c>
      <c r="D3436" s="61" t="str">
        <f>_xlfn.XLOOKUP(Table134526_79101120212223242526[[#This Row],[Name Surname]],Manpower!$C$4:$C$1048576,Manpower!$B$4:$B$1048576,"")</f>
        <v>Encogroup</v>
      </c>
      <c r="E3436" s="57" t="s">
        <v>207</v>
      </c>
      <c r="F3436" s="12">
        <f>_xlfn.XLOOKUP(Table134526_79101120212223242526[[#This Row],[Name Surname]],Manpower!C:C,Manpower!D:D,)</f>
        <v>141359216</v>
      </c>
      <c r="G3436" s="61" t="str">
        <f>_xlfn.XLOOKUP(Table134526_79101120212223242526[[#This Row],[Name Surname]],Manpower!$C$4:$C$1048576,Manpower!$F$4:$F$1048576,"")</f>
        <v>Electrician</v>
      </c>
      <c r="H3436" s="61" t="str">
        <f>_xlfn.XLOOKUP(Table134526_79101120212223242526[[#This Row],[Name Surname]],Manpower!$C$4:$C$1048576,Manpower!$H$4:$H$1048576,"")</f>
        <v>Manpower</v>
      </c>
      <c r="I3436" s="28" t="str">
        <f>_xlfn.XLOOKUP(Table134526_79101120212223242526[[#This Row],[Name Surname]],Manpower!$C$4:$C$1048576,Manpower!$H$4:$H$1048576,"")</f>
        <v>Manpower</v>
      </c>
      <c r="J3436" s="21" t="s">
        <v>48</v>
      </c>
      <c r="K3436" s="57" t="s">
        <v>26</v>
      </c>
      <c r="L3436" s="57" t="s">
        <v>49</v>
      </c>
      <c r="M3436" s="57" t="s">
        <v>24</v>
      </c>
      <c r="N3436" s="62">
        <v>10</v>
      </c>
      <c r="O3436" s="57" t="s">
        <v>25</v>
      </c>
      <c r="P3436" s="57" t="s">
        <v>41</v>
      </c>
      <c r="Q3436" s="57" t="s">
        <v>60</v>
      </c>
      <c r="R3436" s="57" t="s">
        <v>426</v>
      </c>
    </row>
    <row r="3437" spans="1:19" ht="14.4" hidden="1">
      <c r="A3437" s="38">
        <f>IF(C3437="","",MAX($A$1:A3436)+1)</f>
        <v>3151</v>
      </c>
      <c r="B3437" s="54" t="s">
        <v>19</v>
      </c>
      <c r="C3437" s="60">
        <v>46110</v>
      </c>
      <c r="D3437" s="61" t="str">
        <f>_xlfn.XLOOKUP(Table134526_79101120212223242526[[#This Row],[Name Surname]],Manpower!$C$4:$C$1048576,Manpower!$B$4:$B$1048576,"")</f>
        <v>Encogroup</v>
      </c>
      <c r="E3437" s="57" t="s">
        <v>70</v>
      </c>
      <c r="F3437" s="12">
        <f>_xlfn.XLOOKUP(Table134526_79101120212223242526[[#This Row],[Name Surname]],Manpower!C:C,Manpower!D:D,)</f>
        <v>141365126</v>
      </c>
      <c r="G3437" s="61" t="str">
        <f>_xlfn.XLOOKUP(Table134526_79101120212223242526[[#This Row],[Name Surname]],Manpower!$C$4:$C$1048576,Manpower!$F$4:$F$1048576,"")</f>
        <v>Helper</v>
      </c>
      <c r="H3437" s="61" t="str">
        <f>_xlfn.XLOOKUP(Table134526_79101120212223242526[[#This Row],[Name Surname]],Manpower!$C$4:$C$1048576,Manpower!$H$4:$H$1048576,"")</f>
        <v>Manpower</v>
      </c>
      <c r="I3437" s="28" t="str">
        <f>_xlfn.XLOOKUP(Table134526_79101120212223242526[[#This Row],[Name Surname]],Manpower!$C$4:$C$1048576,Manpower!$H$4:$H$1048576,"")</f>
        <v>Manpower</v>
      </c>
      <c r="J3437" s="21" t="s">
        <v>48</v>
      </c>
      <c r="K3437" s="57" t="s">
        <v>26</v>
      </c>
      <c r="L3437" s="57" t="s">
        <v>49</v>
      </c>
      <c r="M3437" s="57" t="s">
        <v>24</v>
      </c>
      <c r="N3437" s="62">
        <v>10</v>
      </c>
      <c r="O3437" s="57" t="s">
        <v>25</v>
      </c>
      <c r="P3437" s="57" t="s">
        <v>41</v>
      </c>
      <c r="Q3437" s="57" t="s">
        <v>60</v>
      </c>
      <c r="R3437" s="57" t="s">
        <v>426</v>
      </c>
    </row>
    <row r="3438" spans="1:19" s="45" customFormat="1" ht="14.4" hidden="1">
      <c r="A3438" s="53">
        <f>IF(C3438="","",MAX($A$1:A3437)+1)</f>
        <v>3152</v>
      </c>
      <c r="B3438" s="54" t="s">
        <v>19</v>
      </c>
      <c r="C3438" s="55">
        <v>46110</v>
      </c>
      <c r="D3438" s="68" t="str">
        <f>_xlfn.XLOOKUP(Table134526_79101120212223242526[[#This Row],[Name Surname]],Manpower!$C$4:$C$1048576,Manpower!$B$4:$B$1048576,"")</f>
        <v>Bright Light</v>
      </c>
      <c r="E3438" s="51" t="s">
        <v>71</v>
      </c>
      <c r="F3438" s="12">
        <f>_xlfn.XLOOKUP(Table134526_79101120212223242526[[#This Row],[Name Surname]],Manpower!C:C,Manpower!D:D,)</f>
        <v>81379273</v>
      </c>
      <c r="G3438" s="68" t="str">
        <f>_xlfn.XLOOKUP(Table134526_79101120212223242526[[#This Row],[Name Surname]],Manpower!$C$4:$C$1048576,Manpower!$F$4:$F$1048576,"")</f>
        <v>Crane Operator-100T Sany Telescopic</v>
      </c>
      <c r="H3438" s="68" t="str">
        <f>_xlfn.XLOOKUP(Table134526_79101120212223242526[[#This Row],[Name Surname]],Manpower!$C$4:$C$1048576,Manpower!$H$4:$H$1048576,"")</f>
        <v>Manpower</v>
      </c>
      <c r="I3438" s="48" t="str">
        <f>_xlfn.XLOOKUP(Table134526_79101120212223242526[[#This Row],[Name Surname]],Manpower!$C$4:$C$1048576,Manpower!$H$4:$H$1048576,"")</f>
        <v>Manpower</v>
      </c>
      <c r="J3438" s="43" t="s">
        <v>48</v>
      </c>
      <c r="K3438" s="51" t="s">
        <v>26</v>
      </c>
      <c r="L3438" s="51" t="s">
        <v>49</v>
      </c>
      <c r="M3438" s="51" t="s">
        <v>55</v>
      </c>
      <c r="N3438" s="52">
        <v>10</v>
      </c>
      <c r="O3438" s="51"/>
      <c r="P3438" s="51"/>
      <c r="Q3438" s="51"/>
      <c r="R3438" s="51" t="s">
        <v>425</v>
      </c>
      <c r="S3438" s="43"/>
    </row>
    <row r="3439" spans="1:19" s="45" customFormat="1" ht="14.4" hidden="1">
      <c r="A3439" s="53">
        <f>IF(C3439="","",MAX($A$1:A3438)+1)</f>
        <v>3153</v>
      </c>
      <c r="B3439" s="54" t="s">
        <v>19</v>
      </c>
      <c r="C3439" s="55">
        <v>46110</v>
      </c>
      <c r="D3439" s="68" t="str">
        <f>_xlfn.XLOOKUP(Table134526_79101120212223242526[[#This Row],[Name Surname]],Manpower!$C$4:$C$1048576,Manpower!$B$4:$B$1048576,"")</f>
        <v>Encogroup</v>
      </c>
      <c r="E3439" s="51" t="s">
        <v>73</v>
      </c>
      <c r="F3439" s="12">
        <f>_xlfn.XLOOKUP(Table134526_79101120212223242526[[#This Row],[Name Surname]],Manpower!C:C,Manpower!D:D,)</f>
        <v>135325259</v>
      </c>
      <c r="G3439" s="68" t="str">
        <f>_xlfn.XLOOKUP(Table134526_79101120212223242526[[#This Row],[Name Surname]],Manpower!$C$4:$C$1048576,Manpower!$F$4:$F$1048576,"")</f>
        <v>Permit Receiver</v>
      </c>
      <c r="H3439" s="68" t="str">
        <f>_xlfn.XLOOKUP(Table134526_79101120212223242526[[#This Row],[Name Surname]],Manpower!$C$4:$C$1048576,Manpower!$H$4:$H$1048576,"")</f>
        <v>Manpower</v>
      </c>
      <c r="I3439" s="48" t="str">
        <f>_xlfn.XLOOKUP(Table134526_79101120212223242526[[#This Row],[Name Surname]],Manpower!$C$4:$C$1048576,Manpower!$H$4:$H$1048576,"")</f>
        <v>Manpower</v>
      </c>
      <c r="J3439" s="43" t="s">
        <v>48</v>
      </c>
      <c r="K3439" s="51" t="s">
        <v>26</v>
      </c>
      <c r="L3439" s="51" t="s">
        <v>49</v>
      </c>
      <c r="M3439" s="51" t="s">
        <v>24</v>
      </c>
      <c r="N3439" s="52">
        <v>10</v>
      </c>
      <c r="O3439" s="51" t="s">
        <v>25</v>
      </c>
      <c r="P3439" s="51" t="s">
        <v>41</v>
      </c>
      <c r="Q3439" s="51" t="s">
        <v>60</v>
      </c>
      <c r="R3439" s="51" t="s">
        <v>426</v>
      </c>
      <c r="S3439" s="43"/>
    </row>
    <row r="3440" spans="1:19" ht="14.4" hidden="1">
      <c r="A3440" s="38">
        <f>IF(C3440="","",MAX($A$1:A3439)+1)</f>
        <v>3154</v>
      </c>
      <c r="B3440" s="54" t="s">
        <v>19</v>
      </c>
      <c r="C3440" s="60">
        <v>46110</v>
      </c>
      <c r="D3440" s="61" t="str">
        <f>_xlfn.XLOOKUP(Table134526_79101120212223242526[[#This Row],[Name Surname]],Manpower!$C$4:$C$1048576,Manpower!$B$4:$B$1048576,"")</f>
        <v>Encogroup</v>
      </c>
      <c r="E3440" s="57" t="s">
        <v>74</v>
      </c>
      <c r="F3440" s="12">
        <f>_xlfn.XLOOKUP(Table134526_79101120212223242526[[#This Row],[Name Surname]],Manpower!C:C,Manpower!D:D,)</f>
        <v>141365089</v>
      </c>
      <c r="G3440" s="61" t="str">
        <f>_xlfn.XLOOKUP(Table134526_79101120212223242526[[#This Row],[Name Surname]],Manpower!$C$4:$C$1048576,Manpower!$F$4:$F$1048576,"")</f>
        <v>Fitter</v>
      </c>
      <c r="H3440" s="61" t="str">
        <f>_xlfn.XLOOKUP(Table134526_79101120212223242526[[#This Row],[Name Surname]],Manpower!$C$4:$C$1048576,Manpower!$H$4:$H$1048576,"")</f>
        <v>Manpower</v>
      </c>
      <c r="I3440" s="28" t="str">
        <f>_xlfn.XLOOKUP(Table134526_79101120212223242526[[#This Row],[Name Surname]],Manpower!$C$4:$C$1048576,Manpower!$H$4:$H$1048576,"")</f>
        <v>Manpower</v>
      </c>
      <c r="J3440" s="21" t="s">
        <v>48</v>
      </c>
      <c r="K3440" s="57" t="s">
        <v>26</v>
      </c>
      <c r="L3440" s="57" t="s">
        <v>49</v>
      </c>
      <c r="M3440" s="57" t="s">
        <v>24</v>
      </c>
      <c r="N3440" s="62">
        <v>10</v>
      </c>
      <c r="O3440" s="57" t="s">
        <v>25</v>
      </c>
      <c r="P3440" s="57" t="s">
        <v>41</v>
      </c>
      <c r="Q3440" s="57" t="s">
        <v>60</v>
      </c>
      <c r="R3440" s="57" t="s">
        <v>426</v>
      </c>
    </row>
    <row r="3441" spans="1:19" ht="14.4" hidden="1">
      <c r="A3441" s="38">
        <f>IF(C3441="","",MAX($A$1:A3440)+1)</f>
        <v>3155</v>
      </c>
      <c r="B3441" s="54" t="s">
        <v>19</v>
      </c>
      <c r="C3441" s="60">
        <v>46110</v>
      </c>
      <c r="D3441" s="28" t="str">
        <f>_xlfn.XLOOKUP(Table134526_79101120212223242526[[#This Row],[Name Surname]],Manpower!$C$4:$C$1048576,Manpower!$B$4:$B$1048576,"")</f>
        <v>Encogroup</v>
      </c>
      <c r="E3441" s="21" t="s">
        <v>237</v>
      </c>
      <c r="F3441" s="12">
        <f>_xlfn.XLOOKUP(Table134526_79101120212223242526[[#This Row],[Name Surname]],Manpower!C:C,Manpower!D:D,)</f>
        <v>75199413</v>
      </c>
      <c r="G3441" s="28" t="str">
        <f>_xlfn.XLOOKUP(Table134526_79101120212223242526[[#This Row],[Name Surname]],Manpower!$C$4:$C$1048576,Manpower!$F$4:$F$1048576,"")</f>
        <v>Mechanic</v>
      </c>
      <c r="H3441" s="28" t="str">
        <f>_xlfn.XLOOKUP(Table134526_79101120212223242526[[#This Row],[Name Surname]],Manpower!$C$4:$C$1048576,Manpower!$H$4:$H$1048576,"")</f>
        <v>Manpower</v>
      </c>
      <c r="I3441" s="28" t="str">
        <f>_xlfn.XLOOKUP(Table134526_79101120212223242526[[#This Row],[Name Surname]],Manpower!$C$4:$C$1048576,Manpower!$H$4:$H$1048576,"")</f>
        <v>Manpower</v>
      </c>
      <c r="J3441" s="21" t="s">
        <v>48</v>
      </c>
      <c r="K3441" s="57" t="s">
        <v>26</v>
      </c>
      <c r="L3441" s="57" t="s">
        <v>49</v>
      </c>
      <c r="M3441" s="57" t="s">
        <v>24</v>
      </c>
      <c r="N3441" s="62">
        <v>10</v>
      </c>
      <c r="O3441" s="57" t="s">
        <v>25</v>
      </c>
      <c r="P3441" s="57" t="s">
        <v>41</v>
      </c>
      <c r="Q3441" s="57" t="s">
        <v>60</v>
      </c>
      <c r="R3441" s="57" t="s">
        <v>426</v>
      </c>
    </row>
    <row r="3442" spans="1:19" s="45" customFormat="1" ht="14.4" hidden="1">
      <c r="A3442" s="53">
        <f>IF(C3442="","",MAX($A$1:A3440)+1)</f>
        <v>3155</v>
      </c>
      <c r="B3442" s="54" t="s">
        <v>19</v>
      </c>
      <c r="C3442" s="55">
        <v>46110</v>
      </c>
      <c r="D3442" s="48" t="str">
        <f>_xlfn.XLOOKUP(Table134526_79101120212223242526[[#This Row],[Name Surname]],Manpower!$C$4:$C$1048576,Manpower!$B$4:$B$1048576,"")</f>
        <v>Encogroup</v>
      </c>
      <c r="E3442" s="43" t="s">
        <v>102</v>
      </c>
      <c r="F3442" s="12">
        <f>_xlfn.XLOOKUP(Table134526_79101120212223242526[[#This Row],[Name Surname]],Manpower!C:C,Manpower!D:D,)</f>
        <v>141365075</v>
      </c>
      <c r="G3442" s="48" t="str">
        <f>_xlfn.XLOOKUP(Table134526_79101120212223242526[[#This Row],[Name Surname]],Manpower!$C$4:$C$1048576,Manpower!$F$4:$F$1048576,"")</f>
        <v>Helper</v>
      </c>
      <c r="H3442" s="48" t="str">
        <f>_xlfn.XLOOKUP(Table134526_79101120212223242526[[#This Row],[Name Surname]],Manpower!$C$4:$C$1048576,Manpower!$H$4:$H$1048576,"")</f>
        <v>Manpower</v>
      </c>
      <c r="I3442" s="48" t="str">
        <f>_xlfn.XLOOKUP(Table134526_79101120212223242526[[#This Row],[Name Surname]],Manpower!$C$4:$C$1048576,Manpower!$H$4:$H$1048576,"")</f>
        <v>Manpower</v>
      </c>
      <c r="J3442" s="43" t="s">
        <v>48</v>
      </c>
      <c r="K3442" s="51" t="s">
        <v>26</v>
      </c>
      <c r="L3442" s="51" t="s">
        <v>49</v>
      </c>
      <c r="M3442" s="51" t="s">
        <v>24</v>
      </c>
      <c r="N3442" s="52">
        <v>10</v>
      </c>
      <c r="O3442" s="43" t="s">
        <v>236</v>
      </c>
      <c r="P3442" s="43" t="s">
        <v>236</v>
      </c>
      <c r="Q3442" s="43" t="s">
        <v>236</v>
      </c>
      <c r="R3442" s="51" t="s">
        <v>426</v>
      </c>
      <c r="S3442" s="43" t="s">
        <v>45</v>
      </c>
    </row>
    <row r="3443" spans="1:19" ht="14.4" hidden="1">
      <c r="A3443" s="38">
        <f>IF(C3443="","",MAX($A$1:A3442)+1)</f>
        <v>3156</v>
      </c>
      <c r="B3443" s="54" t="s">
        <v>19</v>
      </c>
      <c r="C3443" s="60">
        <v>46110</v>
      </c>
      <c r="D3443" s="28" t="str">
        <f>_xlfn.XLOOKUP(Table134526_79101120212223242526[[#This Row],[Name Surname]],Manpower!$C$4:$C$1048576,Manpower!$B$4:$B$1048576,"")</f>
        <v>Bright Light</v>
      </c>
      <c r="E3443" s="21" t="s">
        <v>427</v>
      </c>
      <c r="F3443" s="12">
        <f>_xlfn.XLOOKUP(Table134526_79101120212223242526[[#This Row],[Name Surname]],Manpower!C:C,Manpower!D:D,)</f>
        <v>103199925</v>
      </c>
      <c r="G3443" s="28" t="str">
        <f>_xlfn.XLOOKUP(Table134526_79101120212223242526[[#This Row],[Name Surname]],Manpower!$C$4:$C$1048576,Manpower!$F$4:$F$1048576,"")</f>
        <v>Mechanic</v>
      </c>
      <c r="H3443" s="28" t="str">
        <f>_xlfn.XLOOKUP(Table134526_79101120212223242526[[#This Row],[Name Surname]],Manpower!$C$4:$C$1048576,Manpower!$H$4:$H$1048576,"")</f>
        <v>Sub Contactor</v>
      </c>
      <c r="I3443" s="28" t="str">
        <f>_xlfn.XLOOKUP(Table134526_79101120212223242526[[#This Row],[Name Surname]],Manpower!$C$4:$C$1048576,Manpower!$H$4:$H$1048576,"")</f>
        <v>Sub Contactor</v>
      </c>
      <c r="J3443" s="21" t="s">
        <v>48</v>
      </c>
      <c r="K3443" s="57" t="s">
        <v>26</v>
      </c>
      <c r="L3443" s="57" t="s">
        <v>49</v>
      </c>
      <c r="M3443" s="57" t="s">
        <v>24</v>
      </c>
      <c r="N3443" s="62">
        <v>10</v>
      </c>
      <c r="O3443" s="21" t="s">
        <v>236</v>
      </c>
      <c r="P3443" s="21" t="s">
        <v>236</v>
      </c>
      <c r="Q3443" s="21" t="s">
        <v>236</v>
      </c>
      <c r="R3443" s="57" t="s">
        <v>426</v>
      </c>
    </row>
    <row r="3444" spans="1:19" ht="14.4" hidden="1">
      <c r="A3444" s="38">
        <f>IF(C3444="","",MAX($A$1:A3442)+1)</f>
        <v>3156</v>
      </c>
      <c r="B3444" s="54" t="s">
        <v>19</v>
      </c>
      <c r="C3444" s="60">
        <v>46110</v>
      </c>
      <c r="D3444" s="28" t="str">
        <f>_xlfn.XLOOKUP(Table134526_79101120212223242526[[#This Row],[Name Surname]],Manpower!$C$4:$C$1048576,Manpower!$B$4:$B$1048576,"")</f>
        <v>Bright Light</v>
      </c>
      <c r="E3444" s="21" t="s">
        <v>324</v>
      </c>
      <c r="F3444" s="12">
        <f>_xlfn.XLOOKUP(Table134526_79101120212223242526[[#This Row],[Name Surname]],Manpower!C:C,Manpower!D:D,)</f>
        <v>83935096</v>
      </c>
      <c r="G3444" s="28" t="str">
        <f>_xlfn.XLOOKUP(Table134526_79101120212223242526[[#This Row],[Name Surname]],Manpower!$C$4:$C$1048576,Manpower!$F$4:$F$1048576,"")</f>
        <v>Technician</v>
      </c>
      <c r="H3444" s="28" t="str">
        <f>_xlfn.XLOOKUP(Table134526_79101120212223242526[[#This Row],[Name Surname]],Manpower!$C$4:$C$1048576,Manpower!$H$4:$H$1048576,"")</f>
        <v>Sub Contactor</v>
      </c>
      <c r="I3444" s="28" t="str">
        <f>_xlfn.XLOOKUP(Table134526_79101120212223242526[[#This Row],[Name Surname]],Manpower!$C$4:$C$1048576,Manpower!$H$4:$H$1048576,"")</f>
        <v>Sub Contactor</v>
      </c>
      <c r="J3444" s="21" t="s">
        <v>48</v>
      </c>
      <c r="K3444" s="57" t="s">
        <v>26</v>
      </c>
      <c r="L3444" s="57" t="s">
        <v>49</v>
      </c>
      <c r="M3444" s="57" t="s">
        <v>24</v>
      </c>
      <c r="N3444" s="62">
        <v>10</v>
      </c>
      <c r="O3444" s="21" t="s">
        <v>236</v>
      </c>
      <c r="P3444" s="21" t="s">
        <v>236</v>
      </c>
      <c r="Q3444" s="21" t="s">
        <v>236</v>
      </c>
      <c r="R3444" s="57" t="s">
        <v>426</v>
      </c>
    </row>
    <row r="3445" spans="1:19" ht="14.4" hidden="1">
      <c r="A3445" s="38">
        <f>IF(C3445="","",MAX($A$1:A3442)+1)</f>
        <v>3156</v>
      </c>
      <c r="B3445" s="54" t="s">
        <v>19</v>
      </c>
      <c r="C3445" s="60">
        <v>46110</v>
      </c>
      <c r="D3445" s="28" t="str">
        <f>_xlfn.XLOOKUP(Table134526_79101120212223242526[[#This Row],[Name Surname]],Manpower!$C$4:$C$1048576,Manpower!$B$4:$B$1048576,"")</f>
        <v>Encogroup</v>
      </c>
      <c r="E3445" s="21" t="s">
        <v>237</v>
      </c>
      <c r="F3445" s="12">
        <f>_xlfn.XLOOKUP(Table134526_79101120212223242526[[#This Row],[Name Surname]],Manpower!C:C,Manpower!D:D,)</f>
        <v>75199413</v>
      </c>
      <c r="G3445" s="28" t="str">
        <f>_xlfn.XLOOKUP(Table134526_79101120212223242526[[#This Row],[Name Surname]],Manpower!$C$4:$C$1048576,Manpower!$F$4:$F$1048576,"")</f>
        <v>Mechanic</v>
      </c>
      <c r="H3445" s="28" t="str">
        <f>_xlfn.XLOOKUP(Table134526_79101120212223242526[[#This Row],[Name Surname]],Manpower!$C$4:$C$1048576,Manpower!$H$4:$H$1048576,"")</f>
        <v>Manpower</v>
      </c>
      <c r="I3445" s="28" t="str">
        <f>_xlfn.XLOOKUP(Table134526_79101120212223242526[[#This Row],[Name Surname]],Manpower!$C$4:$C$1048576,Manpower!$H$4:$H$1048576,"")</f>
        <v>Manpower</v>
      </c>
      <c r="J3445" s="21" t="s">
        <v>135</v>
      </c>
      <c r="K3445" s="57" t="s">
        <v>26</v>
      </c>
      <c r="L3445" s="57" t="s">
        <v>49</v>
      </c>
      <c r="M3445" s="57" t="s">
        <v>24</v>
      </c>
      <c r="N3445" s="62">
        <v>10</v>
      </c>
      <c r="O3445" s="21" t="s">
        <v>236</v>
      </c>
      <c r="P3445" s="21" t="s">
        <v>236</v>
      </c>
      <c r="Q3445" s="21" t="s">
        <v>236</v>
      </c>
      <c r="R3445" s="21" t="s">
        <v>26</v>
      </c>
    </row>
    <row r="3446" spans="1:19" s="45" customFormat="1" ht="14.4" hidden="1">
      <c r="A3446" s="53">
        <f>IF(C3446="","",MAX($A$1:A3440)+1)</f>
        <v>3155</v>
      </c>
      <c r="B3446" s="54" t="s">
        <v>19</v>
      </c>
      <c r="C3446" s="55">
        <v>46110</v>
      </c>
      <c r="D3446" s="68" t="str">
        <f>_xlfn.XLOOKUP(Table134526_79101120212223242526[[#This Row],[Name Surname]],Manpower!$C$4:$C$1048576,Manpower!$B$4:$B$1048576,"")</f>
        <v>Encogroup</v>
      </c>
      <c r="E3446" s="51" t="s">
        <v>75</v>
      </c>
      <c r="F3446" s="12">
        <f>_xlfn.XLOOKUP(Table134526_79101120212223242526[[#This Row],[Name Surname]],Manpower!C:C,Manpower!D:D,)</f>
        <v>122179604</v>
      </c>
      <c r="G3446" s="68" t="str">
        <f>_xlfn.XLOOKUP(Table134526_79101120212223242526[[#This Row],[Name Surname]],Manpower!$C$4:$C$1048576,Manpower!$F$4:$F$1048576,"")</f>
        <v>Fitter/Erector</v>
      </c>
      <c r="H3446" s="68" t="str">
        <f>_xlfn.XLOOKUP(Table134526_79101120212223242526[[#This Row],[Name Surname]],Manpower!$C$4:$C$1048576,Manpower!$H$4:$H$1048576,"")</f>
        <v>Manpower</v>
      </c>
      <c r="I3446" s="48" t="str">
        <f>_xlfn.XLOOKUP(Table134526_79101120212223242526[[#This Row],[Name Surname]],Manpower!$C$4:$C$1048576,Manpower!$H$4:$H$1048576,"")</f>
        <v>Manpower</v>
      </c>
      <c r="J3446" s="43" t="s">
        <v>48</v>
      </c>
      <c r="K3446" s="51" t="s">
        <v>26</v>
      </c>
      <c r="L3446" s="51" t="s">
        <v>49</v>
      </c>
      <c r="M3446" s="51" t="s">
        <v>24</v>
      </c>
      <c r="N3446" s="52">
        <v>10</v>
      </c>
      <c r="O3446" s="51" t="s">
        <v>25</v>
      </c>
      <c r="P3446" s="51" t="s">
        <v>41</v>
      </c>
      <c r="Q3446" s="51" t="s">
        <v>60</v>
      </c>
      <c r="R3446" s="51" t="s">
        <v>426</v>
      </c>
      <c r="S3446" s="43"/>
    </row>
    <row r="3447" spans="1:19" s="45" customFormat="1" ht="14.4" hidden="1">
      <c r="A3447" s="53">
        <f>IF(C3447="","",MAX($A$1:A3446)+1)</f>
        <v>3157</v>
      </c>
      <c r="B3447" s="54" t="s">
        <v>19</v>
      </c>
      <c r="C3447" s="55">
        <v>46110</v>
      </c>
      <c r="D3447" s="68" t="str">
        <f>_xlfn.XLOOKUP(Table134526_79101120212223242526[[#This Row],[Name Surname]],Manpower!$C$4:$C$1048576,Manpower!$B$4:$B$1048576,"")</f>
        <v>Encogroup</v>
      </c>
      <c r="E3447" s="51" t="s">
        <v>78</v>
      </c>
      <c r="F3447" s="12">
        <f>_xlfn.XLOOKUP(Table134526_79101120212223242526[[#This Row],[Name Surname]],Manpower!C:C,Manpower!D:D,)</f>
        <v>117255966</v>
      </c>
      <c r="G3447" s="68" t="str">
        <f>_xlfn.XLOOKUP(Table134526_79101120212223242526[[#This Row],[Name Surname]],Manpower!$C$4:$C$1048576,Manpower!$F$4:$F$1048576,"")</f>
        <v>Mechanical Supervisor</v>
      </c>
      <c r="H3447" s="68" t="str">
        <f>_xlfn.XLOOKUP(Table134526_79101120212223242526[[#This Row],[Name Surname]],Manpower!$C$4:$C$1048576,Manpower!$H$4:$H$1048576,"")</f>
        <v>Manpower</v>
      </c>
      <c r="I3447" s="48" t="str">
        <f>_xlfn.XLOOKUP(Table134526_79101120212223242526[[#This Row],[Name Surname]],Manpower!$C$4:$C$1048576,Manpower!$H$4:$H$1048576,"")</f>
        <v>Manpower</v>
      </c>
      <c r="J3447" s="43" t="s">
        <v>48</v>
      </c>
      <c r="K3447" s="51" t="s">
        <v>26</v>
      </c>
      <c r="L3447" s="51" t="s">
        <v>49</v>
      </c>
      <c r="M3447" s="51" t="s">
        <v>24</v>
      </c>
      <c r="N3447" s="52">
        <v>10</v>
      </c>
      <c r="O3447" s="51" t="s">
        <v>25</v>
      </c>
      <c r="P3447" s="51" t="s">
        <v>41</v>
      </c>
      <c r="Q3447" s="51" t="s">
        <v>60</v>
      </c>
      <c r="R3447" s="51" t="s">
        <v>426</v>
      </c>
      <c r="S3447" s="43"/>
    </row>
    <row r="3448" spans="1:19" ht="14.4" hidden="1">
      <c r="A3448" s="38">
        <f>IF(C3448="","",MAX($A$1:A3447)+1)</f>
        <v>3158</v>
      </c>
      <c r="B3448" s="65" t="s">
        <v>141</v>
      </c>
      <c r="C3448" s="60">
        <v>46110</v>
      </c>
      <c r="D3448" s="61" t="str">
        <f>_xlfn.XLOOKUP(Table134526_79101120212223242526[[#This Row],[Name Surname]],Manpower!$C$4:$C$1048576,Manpower!$B$4:$B$1048576,"")</f>
        <v>Encogroup</v>
      </c>
      <c r="E3448" s="57" t="s">
        <v>377</v>
      </c>
      <c r="F3448" s="12">
        <f>_xlfn.XLOOKUP(Table134526_79101120212223242526[[#This Row],[Name Surname]],Manpower!C:C,Manpower!D:D,)</f>
        <v>141322485</v>
      </c>
      <c r="G3448" s="61" t="str">
        <f>_xlfn.XLOOKUP(Table134526_79101120212223242526[[#This Row],[Name Surname]],Manpower!$C$4:$C$1048576,Manpower!$F$4:$F$1048576,"")</f>
        <v>Electrical Engineer</v>
      </c>
      <c r="H3448" s="61" t="str">
        <f>_xlfn.XLOOKUP(Table134526_79101120212223242526[[#This Row],[Name Surname]],Manpower!$C$4:$C$1048576,Manpower!$H$4:$H$1048576,"")</f>
        <v>Manpower</v>
      </c>
      <c r="I3448" s="28" t="str">
        <f>_xlfn.XLOOKUP(Table134526_79101120212223242526[[#This Row],[Name Surname]],Manpower!$C$4:$C$1048576,Manpower!$H$4:$H$1048576,"")</f>
        <v>Manpower</v>
      </c>
      <c r="J3448" s="21" t="s">
        <v>378</v>
      </c>
      <c r="K3448" s="57" t="s">
        <v>26</v>
      </c>
      <c r="L3448" s="57" t="s">
        <v>379</v>
      </c>
      <c r="M3448" s="57" t="s">
        <v>24</v>
      </c>
      <c r="N3448" s="62">
        <v>10</v>
      </c>
      <c r="O3448" s="57" t="s">
        <v>28</v>
      </c>
      <c r="P3448" s="57" t="s">
        <v>28</v>
      </c>
      <c r="Q3448" s="57" t="s">
        <v>380</v>
      </c>
      <c r="R3448" s="57" t="s">
        <v>26</v>
      </c>
    </row>
    <row r="3449" spans="1:19" ht="14.4" hidden="1">
      <c r="A3449" s="38">
        <f>IF(C3449="","",MAX($A$1:A3448)+1)</f>
        <v>3159</v>
      </c>
      <c r="B3449" s="65" t="s">
        <v>141</v>
      </c>
      <c r="C3449" s="60">
        <v>46110</v>
      </c>
      <c r="D3449" s="61" t="str">
        <f>_xlfn.XLOOKUP(Table134526_79101120212223242526[[#This Row],[Name Surname]],Manpower!$C$4:$C$1048576,Manpower!$B$4:$B$1048576,"")</f>
        <v>Encogroup</v>
      </c>
      <c r="E3449" s="57" t="s">
        <v>382</v>
      </c>
      <c r="F3449" s="12">
        <f>_xlfn.XLOOKUP(Table134526_79101120212223242526[[#This Row],[Name Surname]],Manpower!C:C,Manpower!D:D,)</f>
        <v>127414586</v>
      </c>
      <c r="G3449" s="61" t="str">
        <f>_xlfn.XLOOKUP(Table134526_79101120212223242526[[#This Row],[Name Surname]],Manpower!$C$4:$C$1048576,Manpower!$F$4:$F$1048576,"")</f>
        <v>HSE Officer</v>
      </c>
      <c r="H3449" s="61" t="str">
        <f>_xlfn.XLOOKUP(Table134526_79101120212223242526[[#This Row],[Name Surname]],Manpower!$C$4:$C$1048576,Manpower!$H$4:$H$1048576,"")</f>
        <v>Manpower</v>
      </c>
      <c r="I3449" s="28" t="str">
        <f>_xlfn.XLOOKUP(Table134526_79101120212223242526[[#This Row],[Name Surname]],Manpower!$C$4:$C$1048576,Manpower!$H$4:$H$1048576,"")</f>
        <v>Manpower</v>
      </c>
      <c r="J3449" s="21" t="s">
        <v>378</v>
      </c>
      <c r="K3449" s="57" t="s">
        <v>26</v>
      </c>
      <c r="L3449" s="57" t="s">
        <v>379</v>
      </c>
      <c r="M3449" s="57" t="s">
        <v>24</v>
      </c>
      <c r="N3449" s="62">
        <v>10</v>
      </c>
      <c r="O3449" s="57" t="s">
        <v>28</v>
      </c>
      <c r="P3449" s="57" t="s">
        <v>28</v>
      </c>
      <c r="Q3449" s="57" t="s">
        <v>380</v>
      </c>
      <c r="R3449" s="57" t="s">
        <v>26</v>
      </c>
    </row>
    <row r="3450" spans="1:19" s="45" customFormat="1" ht="14.4" hidden="1">
      <c r="A3450" s="53">
        <f>IF(C3450="","",MAX($A$1:A3449)+1)</f>
        <v>3160</v>
      </c>
      <c r="B3450" s="54" t="s">
        <v>141</v>
      </c>
      <c r="C3450" s="55">
        <v>46110</v>
      </c>
      <c r="D3450" s="68" t="str">
        <f>_xlfn.XLOOKUP(Table134526_79101120212223242526[[#This Row],[Name Surname]],Manpower!$C$4:$C$1048576,Manpower!$B$4:$B$1048576,"")</f>
        <v>Encogroup</v>
      </c>
      <c r="E3450" s="51" t="s">
        <v>383</v>
      </c>
      <c r="F3450" s="12">
        <f>_xlfn.XLOOKUP(Table134526_79101120212223242526[[#This Row],[Name Surname]],Manpower!C:C,Manpower!D:D,)</f>
        <v>71437827</v>
      </c>
      <c r="G3450" s="68" t="str">
        <f>_xlfn.XLOOKUP(Table134526_79101120212223242526[[#This Row],[Name Surname]],Manpower!$C$4:$C$1048576,Manpower!$F$4:$F$1048576,"")</f>
        <v>Electrical  Supervisor</v>
      </c>
      <c r="H3450" s="68" t="str">
        <f>_xlfn.XLOOKUP(Table134526_79101120212223242526[[#This Row],[Name Surname]],Manpower!$C$4:$C$1048576,Manpower!$H$4:$H$1048576,"")</f>
        <v>Manpower</v>
      </c>
      <c r="I3450" s="48" t="str">
        <f>_xlfn.XLOOKUP(Table134526_79101120212223242526[[#This Row],[Name Surname]],Manpower!$C$4:$C$1048576,Manpower!$H$4:$H$1048576,"")</f>
        <v>Manpower</v>
      </c>
      <c r="J3450" s="43" t="s">
        <v>378</v>
      </c>
      <c r="K3450" s="51" t="s">
        <v>26</v>
      </c>
      <c r="L3450" s="51" t="s">
        <v>379</v>
      </c>
      <c r="M3450" s="51" t="s">
        <v>24</v>
      </c>
      <c r="N3450" s="52">
        <v>8</v>
      </c>
      <c r="O3450" s="51" t="s">
        <v>28</v>
      </c>
      <c r="P3450" s="51" t="s">
        <v>28</v>
      </c>
      <c r="Q3450" s="51" t="s">
        <v>380</v>
      </c>
      <c r="R3450" s="51" t="s">
        <v>26</v>
      </c>
      <c r="S3450" s="43"/>
    </row>
    <row r="3451" spans="1:19" s="45" customFormat="1" ht="14.4" hidden="1">
      <c r="A3451" s="53">
        <f>IF(C3451="","",MAX($A$1:A3450)+1)</f>
        <v>3161</v>
      </c>
      <c r="B3451" s="54" t="s">
        <v>141</v>
      </c>
      <c r="C3451" s="55">
        <v>46110</v>
      </c>
      <c r="D3451" s="68" t="str">
        <f>_xlfn.XLOOKUP(Table134526_79101120212223242526[[#This Row],[Name Surname]],Manpower!$C$4:$C$1048576,Manpower!$B$4:$B$1048576,"")</f>
        <v>Encogroup</v>
      </c>
      <c r="E3451" s="51" t="s">
        <v>218</v>
      </c>
      <c r="F3451" s="12">
        <f>_xlfn.XLOOKUP(Table134526_79101120212223242526[[#This Row],[Name Surname]],Manpower!C:C,Manpower!D:D,)</f>
        <v>116853914</v>
      </c>
      <c r="G3451" s="68" t="str">
        <f>_xlfn.XLOOKUP(Table134526_79101120212223242526[[#This Row],[Name Surname]],Manpower!$C$4:$C$1048576,Manpower!$F$4:$F$1048576,"")</f>
        <v>Electrical Supervisor</v>
      </c>
      <c r="H3451" s="68" t="str">
        <f>_xlfn.XLOOKUP(Table134526_79101120212223242526[[#This Row],[Name Surname]],Manpower!$C$4:$C$1048576,Manpower!$H$4:$H$1048576,"")</f>
        <v>Manpower</v>
      </c>
      <c r="I3451" s="48" t="str">
        <f>_xlfn.XLOOKUP(Table134526_79101120212223242526[[#This Row],[Name Surname]],Manpower!$C$4:$C$1048576,Manpower!$H$4:$H$1048576,"")</f>
        <v>Manpower</v>
      </c>
      <c r="J3451" s="43" t="s">
        <v>378</v>
      </c>
      <c r="K3451" s="51" t="s">
        <v>26</v>
      </c>
      <c r="L3451" s="51" t="s">
        <v>379</v>
      </c>
      <c r="M3451" s="51" t="s">
        <v>24</v>
      </c>
      <c r="N3451" s="52">
        <v>10</v>
      </c>
      <c r="O3451" s="51" t="s">
        <v>28</v>
      </c>
      <c r="P3451" s="51" t="s">
        <v>28</v>
      </c>
      <c r="Q3451" s="51" t="s">
        <v>380</v>
      </c>
      <c r="R3451" s="51" t="s">
        <v>26</v>
      </c>
      <c r="S3451" s="43"/>
    </row>
    <row r="3452" spans="1:19" s="45" customFormat="1" ht="14.4" hidden="1">
      <c r="A3452" s="53">
        <f>IF(C3452="","",MAX($A$1:A3451)+1)</f>
        <v>3162</v>
      </c>
      <c r="B3452" s="54" t="s">
        <v>141</v>
      </c>
      <c r="C3452" s="55">
        <v>46110</v>
      </c>
      <c r="D3452" s="68" t="str">
        <f>_xlfn.XLOOKUP(Table134526_79101120212223242526[[#This Row],[Name Surname]],Manpower!$C$4:$C$1048576,Manpower!$B$4:$B$1048576,"")</f>
        <v>Encogroup</v>
      </c>
      <c r="E3452" s="51" t="s">
        <v>384</v>
      </c>
      <c r="F3452" s="12">
        <f>_xlfn.XLOOKUP(Table134526_79101120212223242526[[#This Row],[Name Surname]],Manpower!C:C,Manpower!D:D,)</f>
        <v>141307968</v>
      </c>
      <c r="G3452" s="68" t="str">
        <f>_xlfn.XLOOKUP(Table134526_79101120212223242526[[#This Row],[Name Surname]],Manpower!$C$4:$C$1048576,Manpower!$F$4:$F$1048576,"")</f>
        <v>Mechanical Supervisor</v>
      </c>
      <c r="H3452" s="68" t="str">
        <f>_xlfn.XLOOKUP(Table134526_79101120212223242526[[#This Row],[Name Surname]],Manpower!$C$4:$C$1048576,Manpower!$H$4:$H$1048576,"")</f>
        <v>Manpower</v>
      </c>
      <c r="I3452" s="48" t="str">
        <f>_xlfn.XLOOKUP(Table134526_79101120212223242526[[#This Row],[Name Surname]],Manpower!$C$4:$C$1048576,Manpower!$H$4:$H$1048576,"")</f>
        <v>Manpower</v>
      </c>
      <c r="J3452" s="43" t="s">
        <v>378</v>
      </c>
      <c r="K3452" s="51" t="s">
        <v>26</v>
      </c>
      <c r="L3452" s="51" t="s">
        <v>379</v>
      </c>
      <c r="M3452" s="51" t="s">
        <v>24</v>
      </c>
      <c r="N3452" s="52">
        <v>8</v>
      </c>
      <c r="O3452" s="51" t="s">
        <v>28</v>
      </c>
      <c r="P3452" s="51" t="s">
        <v>28</v>
      </c>
      <c r="Q3452" s="51" t="s">
        <v>380</v>
      </c>
      <c r="R3452" s="51" t="s">
        <v>26</v>
      </c>
      <c r="S3452" s="43"/>
    </row>
    <row r="3453" spans="1:19" s="45" customFormat="1" ht="14.4" hidden="1">
      <c r="A3453" s="53">
        <f>IF(C3453="","",MAX($A$1:A3452)+1)</f>
        <v>3163</v>
      </c>
      <c r="B3453" s="54" t="s">
        <v>141</v>
      </c>
      <c r="C3453" s="55">
        <v>46110</v>
      </c>
      <c r="D3453" s="68" t="str">
        <f>_xlfn.XLOOKUP(Table134526_79101120212223242526[[#This Row],[Name Surname]],Manpower!$C$4:$C$1048576,Manpower!$B$4:$B$1048576,"")</f>
        <v>Encogroup</v>
      </c>
      <c r="E3453" s="51" t="s">
        <v>385</v>
      </c>
      <c r="F3453" s="12">
        <f>_xlfn.XLOOKUP(Table134526_79101120212223242526[[#This Row],[Name Surname]],Manpower!C:C,Manpower!D:D,)</f>
        <v>141307921</v>
      </c>
      <c r="G3453" s="68" t="str">
        <f>_xlfn.XLOOKUP(Table134526_79101120212223242526[[#This Row],[Name Surname]],Manpower!$C$4:$C$1048576,Manpower!$F$4:$F$1048576,"")</f>
        <v>Mechanical Assistant</v>
      </c>
      <c r="H3453" s="68" t="str">
        <f>_xlfn.XLOOKUP(Table134526_79101120212223242526[[#This Row],[Name Surname]],Manpower!$C$4:$C$1048576,Manpower!$H$4:$H$1048576,"")</f>
        <v>Manpower</v>
      </c>
      <c r="I3453" s="48" t="str">
        <f>_xlfn.XLOOKUP(Table134526_79101120212223242526[[#This Row],[Name Surname]],Manpower!$C$4:$C$1048576,Manpower!$H$4:$H$1048576,"")</f>
        <v>Manpower</v>
      </c>
      <c r="J3453" s="43" t="s">
        <v>378</v>
      </c>
      <c r="K3453" s="51" t="s">
        <v>26</v>
      </c>
      <c r="L3453" s="51" t="s">
        <v>379</v>
      </c>
      <c r="M3453" s="51" t="s">
        <v>24</v>
      </c>
      <c r="N3453" s="52">
        <v>10</v>
      </c>
      <c r="O3453" s="51" t="s">
        <v>28</v>
      </c>
      <c r="P3453" s="51" t="s">
        <v>28</v>
      </c>
      <c r="Q3453" s="51" t="s">
        <v>380</v>
      </c>
      <c r="R3453" s="51" t="s">
        <v>26</v>
      </c>
      <c r="S3453" s="43"/>
    </row>
    <row r="3454" spans="1:19" s="45" customFormat="1" ht="14.4" hidden="1">
      <c r="A3454" s="53">
        <f>IF(C3454="","",MAX($A$1:A3453)+1)</f>
        <v>3164</v>
      </c>
      <c r="B3454" s="54" t="s">
        <v>141</v>
      </c>
      <c r="C3454" s="55">
        <v>46110</v>
      </c>
      <c r="D3454" s="68" t="str">
        <f>_xlfn.XLOOKUP(Table134526_79101120212223242526[[#This Row],[Name Surname]],Manpower!$C$4:$C$1048576,Manpower!$B$4:$B$1048576,"")</f>
        <v>Encogroup</v>
      </c>
      <c r="E3454" s="51" t="s">
        <v>61</v>
      </c>
      <c r="F3454" s="12">
        <f>_xlfn.XLOOKUP(Table134526_79101120212223242526[[#This Row],[Name Surname]],Manpower!C:C,Manpower!D:D,)</f>
        <v>141169047</v>
      </c>
      <c r="G3454" s="68" t="str">
        <f>_xlfn.XLOOKUP(Table134526_79101120212223242526[[#This Row],[Name Surname]],Manpower!$C$4:$C$1048576,Manpower!$F$4:$F$1048576,"")</f>
        <v>Welder</v>
      </c>
      <c r="H3454" s="68" t="str">
        <f>_xlfn.XLOOKUP(Table134526_79101120212223242526[[#This Row],[Name Surname]],Manpower!$C$4:$C$1048576,Manpower!$H$4:$H$1048576,"")</f>
        <v>Manpower</v>
      </c>
      <c r="I3454" s="48" t="str">
        <f>_xlfn.XLOOKUP(Table134526_79101120212223242526[[#This Row],[Name Surname]],Manpower!$C$4:$C$1048576,Manpower!$H$4:$H$1048576,"")</f>
        <v>Manpower</v>
      </c>
      <c r="J3454" s="43" t="s">
        <v>378</v>
      </c>
      <c r="K3454" s="51" t="s">
        <v>26</v>
      </c>
      <c r="L3454" s="51" t="s">
        <v>379</v>
      </c>
      <c r="M3454" s="51" t="s">
        <v>24</v>
      </c>
      <c r="N3454" s="52">
        <v>8</v>
      </c>
      <c r="O3454" s="51" t="s">
        <v>28</v>
      </c>
      <c r="P3454" s="51" t="s">
        <v>28</v>
      </c>
      <c r="Q3454" s="51" t="s">
        <v>380</v>
      </c>
      <c r="R3454" s="51" t="s">
        <v>26</v>
      </c>
      <c r="S3454" s="43"/>
    </row>
    <row r="3455" spans="1:19" ht="14.4">
      <c r="A3455" s="38">
        <f>IF(C3455="","",MAX($A$1:A3454)+1)</f>
        <v>3165</v>
      </c>
      <c r="B3455" s="66" t="s">
        <v>141</v>
      </c>
      <c r="C3455" s="60">
        <v>46110</v>
      </c>
      <c r="D3455" s="61" t="str">
        <f>_xlfn.XLOOKUP(Table134526_79101120212223242526[[#This Row],[Name Surname]],Manpower!$C$4:$C$1048576,Manpower!$B$4:$B$1048576,"")</f>
        <v>Encogroup</v>
      </c>
      <c r="E3455" s="57" t="s">
        <v>80</v>
      </c>
      <c r="F3455" s="12" t="e">
        <f>_xlfn.XLOOKUP(Table134526_79101120212223242526[[#This Row],[Name Surname]],Manpower!C:C,Manpower!D:D,)</f>
        <v>#N/A</v>
      </c>
      <c r="G3455" s="61" t="str">
        <f>_xlfn.XLOOKUP(Table134526_79101120212223242526[[#This Row],[Name Surname]],Manpower!$C$4:$C$1048576,Manpower!$F$4:$F$1048576,"")</f>
        <v>22M-Manlift</v>
      </c>
      <c r="H3455" s="61" t="str">
        <f>_xlfn.XLOOKUP(Table134526_79101120212223242526[[#This Row],[Name Surname]],Manpower!$C$4:$C$1048576,Manpower!$H$4:$H$1048576,"")</f>
        <v>Equipment</v>
      </c>
      <c r="I3455" s="28" t="str">
        <f>_xlfn.XLOOKUP(Table134526_79101120212223242526[[#This Row],[Name Surname]],Manpower!$C$4:$C$1048576,Manpower!$H$4:$H$1048576,"")</f>
        <v>Equipment</v>
      </c>
      <c r="J3455" s="21" t="s">
        <v>35</v>
      </c>
      <c r="K3455" s="57" t="s">
        <v>428</v>
      </c>
      <c r="L3455" s="57" t="s">
        <v>82</v>
      </c>
      <c r="M3455" s="57" t="s">
        <v>24</v>
      </c>
      <c r="N3455" s="62">
        <v>10</v>
      </c>
      <c r="O3455" s="21" t="s">
        <v>25</v>
      </c>
      <c r="P3455" s="21" t="s">
        <v>41</v>
      </c>
      <c r="Q3455" s="21" t="s">
        <v>77</v>
      </c>
      <c r="R3455" s="57" t="s">
        <v>429</v>
      </c>
    </row>
    <row r="3456" spans="1:19" ht="14.4">
      <c r="A3456" s="38">
        <f>IF(C3456="","",MAX($A$1:A3455)+1)</f>
        <v>3166</v>
      </c>
      <c r="B3456" s="66" t="s">
        <v>141</v>
      </c>
      <c r="C3456" s="60">
        <v>46110</v>
      </c>
      <c r="D3456" s="61" t="str">
        <f>_xlfn.XLOOKUP(Table134526_79101120212223242526[[#This Row],[Name Surname]],Manpower!$C$4:$C$1048576,Manpower!$B$4:$B$1048576,"")</f>
        <v>Encogroup</v>
      </c>
      <c r="E3456" s="57" t="s">
        <v>84</v>
      </c>
      <c r="F3456" s="12" t="e">
        <f>_xlfn.XLOOKUP(Table134526_79101120212223242526[[#This Row],[Name Surname]],Manpower!C:C,Manpower!D:D,)</f>
        <v>#N/A</v>
      </c>
      <c r="G3456" s="61" t="str">
        <f>_xlfn.XLOOKUP(Table134526_79101120212223242526[[#This Row],[Name Surname]],Manpower!$C$4:$C$1048576,Manpower!$F$4:$F$1048576,"")</f>
        <v>22M-Manlift</v>
      </c>
      <c r="H3456" s="61" t="str">
        <f>_xlfn.XLOOKUP(Table134526_79101120212223242526[[#This Row],[Name Surname]],Manpower!$C$4:$C$1048576,Manpower!$H$4:$H$1048576,"")</f>
        <v>Equipment</v>
      </c>
      <c r="I3456" s="28" t="str">
        <f>_xlfn.XLOOKUP(Table134526_79101120212223242526[[#This Row],[Name Surname]],Manpower!$C$4:$C$1048576,Manpower!$H$4:$H$1048576,"")</f>
        <v>Equipment</v>
      </c>
      <c r="J3456" s="21" t="s">
        <v>35</v>
      </c>
      <c r="K3456" s="57" t="s">
        <v>428</v>
      </c>
      <c r="L3456" s="57" t="s">
        <v>82</v>
      </c>
      <c r="M3456" s="57" t="s">
        <v>24</v>
      </c>
      <c r="N3456" s="62">
        <v>10</v>
      </c>
      <c r="O3456" s="21" t="s">
        <v>25</v>
      </c>
      <c r="P3456" s="21" t="s">
        <v>41</v>
      </c>
      <c r="Q3456" s="21" t="s">
        <v>77</v>
      </c>
      <c r="R3456" s="57" t="s">
        <v>429</v>
      </c>
    </row>
    <row r="3457" spans="1:18" ht="14.4">
      <c r="A3457" s="38">
        <f>IF(C3457="","",MAX($A$1:A3456)+1)</f>
        <v>3167</v>
      </c>
      <c r="B3457" s="66" t="s">
        <v>141</v>
      </c>
      <c r="C3457" s="60">
        <v>46110</v>
      </c>
      <c r="D3457" s="61" t="str">
        <f>_xlfn.XLOOKUP(Table134526_79101120212223242526[[#This Row],[Name Surname]],Manpower!$C$4:$C$1048576,Manpower!$B$4:$B$1048576,"")</f>
        <v>Encogroup</v>
      </c>
      <c r="E3457" s="57" t="s">
        <v>341</v>
      </c>
      <c r="F3457" s="12" t="e">
        <f>_xlfn.XLOOKUP(Table134526_79101120212223242526[[#This Row],[Name Surname]],Manpower!C:C,Manpower!D:D,)</f>
        <v>#N/A</v>
      </c>
      <c r="G3457" s="61" t="str">
        <f>_xlfn.XLOOKUP(Table134526_79101120212223242526[[#This Row],[Name Surname]],Manpower!$C$4:$C$1048576,Manpower!$F$4:$F$1048576,"")</f>
        <v>SCISSOR LIFT</v>
      </c>
      <c r="H3457" s="61" t="str">
        <f>_xlfn.XLOOKUP(Table134526_79101120212223242526[[#This Row],[Name Surname]],Manpower!$C$4:$C$1048576,Manpower!$H$4:$H$1048576,"")</f>
        <v>Equipment</v>
      </c>
      <c r="I3457" s="28" t="str">
        <f>_xlfn.XLOOKUP(Table134526_79101120212223242526[[#This Row],[Name Surname]],Manpower!$C$4:$C$1048576,Manpower!$H$4:$H$1048576,"")</f>
        <v>Equipment</v>
      </c>
      <c r="J3457" s="21" t="s">
        <v>35</v>
      </c>
      <c r="K3457" s="57" t="s">
        <v>428</v>
      </c>
      <c r="L3457" s="57" t="s">
        <v>82</v>
      </c>
      <c r="M3457" s="57" t="s">
        <v>24</v>
      </c>
      <c r="N3457" s="62">
        <v>10</v>
      </c>
      <c r="O3457" s="21" t="s">
        <v>94</v>
      </c>
      <c r="P3457" s="21" t="s">
        <v>94</v>
      </c>
      <c r="Q3457" s="21" t="s">
        <v>94</v>
      </c>
      <c r="R3457" s="57" t="s">
        <v>429</v>
      </c>
    </row>
    <row r="3458" spans="1:18" ht="14.4">
      <c r="A3458" s="38">
        <f>IF(C3458="","",MAX($A$1:A3457)+1)</f>
        <v>3168</v>
      </c>
      <c r="B3458" s="66" t="s">
        <v>141</v>
      </c>
      <c r="C3458" s="60">
        <v>46110</v>
      </c>
      <c r="D3458" s="61" t="str">
        <f>_xlfn.XLOOKUP(Table134526_79101120212223242526[[#This Row],[Name Surname]],Manpower!$C$4:$C$1048576,Manpower!$B$4:$B$1048576,"")</f>
        <v>Nass Group</v>
      </c>
      <c r="E3458" s="57" t="s">
        <v>86</v>
      </c>
      <c r="F3458" s="12" t="e">
        <f>_xlfn.XLOOKUP(Table134526_79101120212223242526[[#This Row],[Name Surname]],Manpower!C:C,Manpower!D:D,)</f>
        <v>#N/A</v>
      </c>
      <c r="G3458" s="61" t="str">
        <f>_xlfn.XLOOKUP(Table134526_79101120212223242526[[#This Row],[Name Surname]],Manpower!$C$4:$C$1048576,Manpower!$F$4:$F$1048576,"")</f>
        <v>70T-Telescopic crane</v>
      </c>
      <c r="H3458" s="61" t="str">
        <f>_xlfn.XLOOKUP(Table134526_79101120212223242526[[#This Row],[Name Surname]],Manpower!$C$4:$C$1048576,Manpower!$H$4:$H$1048576,"")</f>
        <v>Equipment</v>
      </c>
      <c r="I3458" s="28" t="str">
        <f>_xlfn.XLOOKUP(Table134526_79101120212223242526[[#This Row],[Name Surname]],Manpower!$C$4:$C$1048576,Manpower!$H$4:$H$1048576,"")</f>
        <v>Equipment</v>
      </c>
      <c r="J3458" s="21" t="s">
        <v>35</v>
      </c>
      <c r="K3458" s="57" t="s">
        <v>428</v>
      </c>
      <c r="L3458" s="57" t="s">
        <v>82</v>
      </c>
      <c r="M3458" s="57" t="s">
        <v>24</v>
      </c>
      <c r="N3458" s="62">
        <v>10</v>
      </c>
      <c r="O3458" s="21" t="s">
        <v>40</v>
      </c>
      <c r="P3458" s="21" t="s">
        <v>41</v>
      </c>
      <c r="Q3458" s="21" t="s">
        <v>42</v>
      </c>
      <c r="R3458" s="57" t="s">
        <v>429</v>
      </c>
    </row>
    <row r="3459" spans="1:18" ht="14.4" hidden="1">
      <c r="A3459" s="38">
        <f>IF(C3459="","",MAX($A$1:A3458)+1)</f>
        <v>3169</v>
      </c>
      <c r="B3459" s="66" t="s">
        <v>141</v>
      </c>
      <c r="C3459" s="60">
        <v>46110</v>
      </c>
      <c r="D3459" s="61" t="str">
        <f>_xlfn.XLOOKUP(Table134526_79101120212223242526[[#This Row],[Name Surname]],Manpower!$C$4:$C$1048576,Manpower!$B$4:$B$1048576,"")</f>
        <v>SARENS NASS</v>
      </c>
      <c r="E3459" s="57" t="s">
        <v>103</v>
      </c>
      <c r="F3459" s="12">
        <f>_xlfn.XLOOKUP(Table134526_79101120212223242526[[#This Row],[Name Surname]],Manpower!C:C,Manpower!D:D,)</f>
        <v>79502392</v>
      </c>
      <c r="G3459" s="61" t="str">
        <f>_xlfn.XLOOKUP(Table134526_79101120212223242526[[#This Row],[Name Surname]],Manpower!$C$4:$C$1048576,Manpower!$F$4:$F$1048576,"")</f>
        <v>Crane Operator- 70T Liebherr Telescopic Crane-01</v>
      </c>
      <c r="H3459" s="61" t="str">
        <f>_xlfn.XLOOKUP(Table134526_79101120212223242526[[#This Row],[Name Surname]],Manpower!$C$4:$C$1048576,Manpower!$H$4:$H$1048576,"")</f>
        <v>Manpower</v>
      </c>
      <c r="I3459" s="28" t="str">
        <f>_xlfn.XLOOKUP(Table134526_79101120212223242526[[#This Row],[Name Surname]],Manpower!$C$4:$C$1048576,Manpower!$H$4:$H$1048576,"")</f>
        <v>Manpower</v>
      </c>
      <c r="J3459" s="21" t="s">
        <v>35</v>
      </c>
      <c r="K3459" s="57" t="s">
        <v>428</v>
      </c>
      <c r="L3459" s="57" t="s">
        <v>82</v>
      </c>
      <c r="M3459" s="57" t="s">
        <v>24</v>
      </c>
      <c r="N3459" s="62">
        <v>10</v>
      </c>
      <c r="O3459" s="21" t="s">
        <v>40</v>
      </c>
      <c r="P3459" s="21" t="s">
        <v>41</v>
      </c>
      <c r="Q3459" s="21" t="s">
        <v>42</v>
      </c>
      <c r="R3459" s="57" t="s">
        <v>429</v>
      </c>
    </row>
    <row r="3460" spans="1:18" ht="14.4">
      <c r="A3460" s="38">
        <f>IF(C3460="","",MAX($A$1:A3459)+1)</f>
        <v>3170</v>
      </c>
      <c r="B3460" s="66" t="s">
        <v>141</v>
      </c>
      <c r="C3460" s="60">
        <v>46110</v>
      </c>
      <c r="D3460" s="61" t="str">
        <f>_xlfn.XLOOKUP(Table134526_79101120212223242526[[#This Row],[Name Surname]],Manpower!$C$4:$C$1048576,Manpower!$B$4:$B$1048576,"")</f>
        <v>Nass Group</v>
      </c>
      <c r="E3460" s="57" t="s">
        <v>146</v>
      </c>
      <c r="F3460" s="12" t="e">
        <f>_xlfn.XLOOKUP(Table134526_79101120212223242526[[#This Row],[Name Surname]],Manpower!C:C,Manpower!D:D,)</f>
        <v>#N/A</v>
      </c>
      <c r="G3460" s="61" t="str">
        <f>_xlfn.XLOOKUP(Table134526_79101120212223242526[[#This Row],[Name Surname]],Manpower!$C$4:$C$1048576,Manpower!$F$4:$F$1048576,"")</f>
        <v>130T Crawler Crane</v>
      </c>
      <c r="H3460" s="61" t="str">
        <f>_xlfn.XLOOKUP(Table134526_79101120212223242526[[#This Row],[Name Surname]],Manpower!$C$4:$C$1048576,Manpower!$H$4:$H$1048576,"")</f>
        <v>Equipment</v>
      </c>
      <c r="I3460" s="28" t="str">
        <f>_xlfn.XLOOKUP(Table134526_79101120212223242526[[#This Row],[Name Surname]],Manpower!$C$4:$C$1048576,Manpower!$H$4:$H$1048576,"")</f>
        <v>Equipment</v>
      </c>
      <c r="J3460" s="21" t="s">
        <v>35</v>
      </c>
      <c r="K3460" s="57" t="s">
        <v>428</v>
      </c>
      <c r="L3460" s="57" t="s">
        <v>82</v>
      </c>
      <c r="M3460" s="57" t="s">
        <v>24</v>
      </c>
      <c r="N3460" s="62">
        <v>10</v>
      </c>
      <c r="O3460" s="21" t="s">
        <v>40</v>
      </c>
      <c r="P3460" s="21" t="s">
        <v>41</v>
      </c>
      <c r="Q3460" s="21" t="s">
        <v>42</v>
      </c>
      <c r="R3460" s="57" t="s">
        <v>429</v>
      </c>
    </row>
    <row r="3461" spans="1:18" ht="14.4" hidden="1">
      <c r="A3461" s="38">
        <f>IF(C3461="","",MAX($A$1:A3460)+1)</f>
        <v>3171</v>
      </c>
      <c r="B3461" s="66" t="s">
        <v>141</v>
      </c>
      <c r="C3461" s="60">
        <v>46110</v>
      </c>
      <c r="D3461" s="61" t="str">
        <f>_xlfn.XLOOKUP(Table134526_79101120212223242526[[#This Row],[Name Surname]],Manpower!$C$4:$C$1048576,Manpower!$B$4:$B$1048576,"")</f>
        <v>SARENS NASS</v>
      </c>
      <c r="E3461" s="57" t="s">
        <v>214</v>
      </c>
      <c r="F3461" s="12">
        <f>_xlfn.XLOOKUP(Table134526_79101120212223242526[[#This Row],[Name Surname]],Manpower!C:C,Manpower!D:D,)</f>
        <v>109957631</v>
      </c>
      <c r="G3461" s="61" t="str">
        <f>_xlfn.XLOOKUP(Table134526_79101120212223242526[[#This Row],[Name Surname]],Manpower!$C$4:$C$1048576,Manpower!$F$4:$F$1048576,"")</f>
        <v>Crane Operator-130T Liebherr Crawler</v>
      </c>
      <c r="H3461" s="61" t="str">
        <f>_xlfn.XLOOKUP(Table134526_79101120212223242526[[#This Row],[Name Surname]],Manpower!$C$4:$C$1048576,Manpower!$H$4:$H$1048576,"")</f>
        <v>Manpower</v>
      </c>
      <c r="I3461" s="28" t="str">
        <f>_xlfn.XLOOKUP(Table134526_79101120212223242526[[#This Row],[Name Surname]],Manpower!$C$4:$C$1048576,Manpower!$H$4:$H$1048576,"")</f>
        <v>Manpower</v>
      </c>
      <c r="J3461" s="21" t="s">
        <v>35</v>
      </c>
      <c r="K3461" s="57" t="s">
        <v>428</v>
      </c>
      <c r="L3461" s="57" t="s">
        <v>82</v>
      </c>
      <c r="M3461" s="57" t="s">
        <v>24</v>
      </c>
      <c r="N3461" s="62">
        <v>10</v>
      </c>
      <c r="O3461" s="21" t="s">
        <v>40</v>
      </c>
      <c r="P3461" s="21" t="s">
        <v>41</v>
      </c>
      <c r="Q3461" s="21" t="s">
        <v>42</v>
      </c>
      <c r="R3461" s="57" t="s">
        <v>429</v>
      </c>
    </row>
    <row r="3462" spans="1:18" ht="14.4" hidden="1">
      <c r="A3462" s="38">
        <f>IF(C3462="","",MAX($A$1:A3461)+1)</f>
        <v>3172</v>
      </c>
      <c r="B3462" s="66" t="s">
        <v>141</v>
      </c>
      <c r="C3462" s="60">
        <v>46110</v>
      </c>
      <c r="D3462" s="28" t="str">
        <f>_xlfn.XLOOKUP(Table134526_79101120212223242526[[#This Row],[Name Surname]],Manpower!$C$4:$C$1048576,Manpower!$B$4:$B$1048576,"")</f>
        <v>Encogroup</v>
      </c>
      <c r="E3462" s="21" t="s">
        <v>136</v>
      </c>
      <c r="F3462" s="12">
        <f>_xlfn.XLOOKUP(Table134526_79101120212223242526[[#This Row],[Name Surname]],Manpower!C:C,Manpower!D:D,)</f>
        <v>141250908</v>
      </c>
      <c r="G3462" s="28" t="str">
        <f>_xlfn.XLOOKUP(Table134526_79101120212223242526[[#This Row],[Name Surname]],Manpower!$C$4:$C$1048576,Manpower!$F$4:$F$1048576,"")</f>
        <v>Mechanical Engineer</v>
      </c>
      <c r="H3462" s="28" t="str">
        <f>_xlfn.XLOOKUP(Table134526_79101120212223242526[[#This Row],[Name Surname]],Manpower!$C$4:$C$1048576,Manpower!$H$4:$H$1048576,"")</f>
        <v>Manpower</v>
      </c>
      <c r="I3462" s="28" t="str">
        <f>_xlfn.XLOOKUP(Table134526_79101120212223242526[[#This Row],[Name Surname]],Manpower!$C$4:$C$1048576,Manpower!$H$4:$H$1048576,"")</f>
        <v>Manpower</v>
      </c>
      <c r="J3462" s="21" t="s">
        <v>35</v>
      </c>
      <c r="K3462" s="57" t="s">
        <v>428</v>
      </c>
      <c r="L3462" s="57" t="s">
        <v>82</v>
      </c>
      <c r="M3462" s="57" t="s">
        <v>24</v>
      </c>
      <c r="N3462" s="62">
        <v>10</v>
      </c>
      <c r="O3462" s="21" t="s">
        <v>25</v>
      </c>
      <c r="P3462" s="21" t="s">
        <v>60</v>
      </c>
      <c r="Q3462" s="21" t="s">
        <v>60</v>
      </c>
      <c r="R3462" s="57" t="s">
        <v>429</v>
      </c>
    </row>
    <row r="3463" spans="1:18" ht="14.4" hidden="1">
      <c r="A3463" s="38">
        <f>IF(C3463="","",MAX($A$1:A3462)+1)</f>
        <v>3173</v>
      </c>
      <c r="B3463" s="66" t="s">
        <v>141</v>
      </c>
      <c r="C3463" s="60">
        <v>46110</v>
      </c>
      <c r="D3463" s="61" t="str">
        <f>_xlfn.XLOOKUP(Table134526_79101120212223242526[[#This Row],[Name Surname]],Manpower!$C$4:$C$1048576,Manpower!$B$4:$B$1048576,"")</f>
        <v>Encogroup</v>
      </c>
      <c r="E3463" s="57" t="s">
        <v>91</v>
      </c>
      <c r="F3463" s="12">
        <f>_xlfn.XLOOKUP(Table134526_79101120212223242526[[#This Row],[Name Surname]],Manpower!C:C,Manpower!D:D,)</f>
        <v>132915855</v>
      </c>
      <c r="G3463" s="61" t="str">
        <f>_xlfn.XLOOKUP(Table134526_79101120212223242526[[#This Row],[Name Surname]],Manpower!$C$4:$C$1048576,Manpower!$F$4:$F$1048576,"")</f>
        <v>Mechanical Supervisor</v>
      </c>
      <c r="H3463" s="61" t="str">
        <f>_xlfn.XLOOKUP(Table134526_79101120212223242526[[#This Row],[Name Surname]],Manpower!$C$4:$C$1048576,Manpower!$H$4:$H$1048576,"")</f>
        <v>Manpower</v>
      </c>
      <c r="I3463" s="28" t="str">
        <f>_xlfn.XLOOKUP(Table134526_79101120212223242526[[#This Row],[Name Surname]],Manpower!$C$4:$C$1048576,Manpower!$H$4:$H$1048576,"")</f>
        <v>Manpower</v>
      </c>
      <c r="J3463" s="21" t="s">
        <v>35</v>
      </c>
      <c r="K3463" s="57" t="s">
        <v>428</v>
      </c>
      <c r="L3463" s="57" t="s">
        <v>82</v>
      </c>
      <c r="M3463" s="57" t="s">
        <v>24</v>
      </c>
      <c r="N3463" s="62">
        <v>10</v>
      </c>
      <c r="O3463" s="21" t="s">
        <v>25</v>
      </c>
      <c r="P3463" s="21" t="s">
        <v>41</v>
      </c>
      <c r="Q3463" s="21" t="s">
        <v>60</v>
      </c>
      <c r="R3463" s="57" t="s">
        <v>429</v>
      </c>
    </row>
    <row r="3464" spans="1:18" ht="14.4" hidden="1">
      <c r="A3464" s="38">
        <f>IF(C3464="","",MAX($A$1:A3463)+1)</f>
        <v>3174</v>
      </c>
      <c r="B3464" s="66" t="s">
        <v>141</v>
      </c>
      <c r="C3464" s="60">
        <v>46110</v>
      </c>
      <c r="D3464" s="61" t="str">
        <f>_xlfn.XLOOKUP(Table134526_79101120212223242526[[#This Row],[Name Surname]],Manpower!$C$4:$C$1048576,Manpower!$B$4:$B$1048576,"")</f>
        <v>Encogroup</v>
      </c>
      <c r="E3464" s="57" t="s">
        <v>97</v>
      </c>
      <c r="F3464" s="12">
        <f>_xlfn.XLOOKUP(Table134526_79101120212223242526[[#This Row],[Name Surname]],Manpower!C:C,Manpower!D:D,)</f>
        <v>141359235</v>
      </c>
      <c r="G3464" s="61" t="str">
        <f>_xlfn.XLOOKUP(Table134526_79101120212223242526[[#This Row],[Name Surname]],Manpower!$C$4:$C$1048576,Manpower!$F$4:$F$1048576,"")</f>
        <v>Fitter</v>
      </c>
      <c r="H3464" s="61" t="str">
        <f>_xlfn.XLOOKUP(Table134526_79101120212223242526[[#This Row],[Name Surname]],Manpower!$C$4:$C$1048576,Manpower!$H$4:$H$1048576,"")</f>
        <v>Manpower</v>
      </c>
      <c r="I3464" s="28" t="str">
        <f>_xlfn.XLOOKUP(Table134526_79101120212223242526[[#This Row],[Name Surname]],Manpower!$C$4:$C$1048576,Manpower!$H$4:$H$1048576,"")</f>
        <v>Manpower</v>
      </c>
      <c r="J3464" s="21" t="s">
        <v>35</v>
      </c>
      <c r="K3464" s="57" t="s">
        <v>428</v>
      </c>
      <c r="L3464" s="57" t="s">
        <v>82</v>
      </c>
      <c r="M3464" s="57" t="s">
        <v>24</v>
      </c>
      <c r="N3464" s="62">
        <v>10</v>
      </c>
      <c r="O3464" s="21" t="s">
        <v>25</v>
      </c>
      <c r="P3464" s="21" t="s">
        <v>41</v>
      </c>
      <c r="Q3464" s="21" t="s">
        <v>77</v>
      </c>
      <c r="R3464" s="57" t="s">
        <v>429</v>
      </c>
    </row>
    <row r="3465" spans="1:18" ht="14.4" hidden="1">
      <c r="A3465" s="38">
        <f>IF(C3465="","",MAX($A$1:A3464)+1)</f>
        <v>3175</v>
      </c>
      <c r="B3465" s="66" t="s">
        <v>141</v>
      </c>
      <c r="C3465" s="60">
        <v>46110</v>
      </c>
      <c r="D3465" s="61" t="str">
        <f>_xlfn.XLOOKUP(Table134526_79101120212223242526[[#This Row],[Name Surname]],Manpower!$C$4:$C$1048576,Manpower!$B$4:$B$1048576,"")</f>
        <v>Encogroup</v>
      </c>
      <c r="E3465" s="57" t="s">
        <v>99</v>
      </c>
      <c r="F3465" s="12">
        <f>_xlfn.XLOOKUP(Table134526_79101120212223242526[[#This Row],[Name Surname]],Manpower!C:C,Manpower!D:D,)</f>
        <v>140697025</v>
      </c>
      <c r="G3465" s="61" t="str">
        <f>_xlfn.XLOOKUP(Table134526_79101120212223242526[[#This Row],[Name Surname]],Manpower!$C$4:$C$1048576,Manpower!$F$4:$F$1048576,"")</f>
        <v>Assistant/Helper</v>
      </c>
      <c r="H3465" s="61" t="str">
        <f>_xlfn.XLOOKUP(Table134526_79101120212223242526[[#This Row],[Name Surname]],Manpower!$C$4:$C$1048576,Manpower!$H$4:$H$1048576,"")</f>
        <v>Manpower</v>
      </c>
      <c r="I3465" s="28" t="str">
        <f>_xlfn.XLOOKUP(Table134526_79101120212223242526[[#This Row],[Name Surname]],Manpower!$C$4:$C$1048576,Manpower!$H$4:$H$1048576,"")</f>
        <v>Manpower</v>
      </c>
      <c r="J3465" s="21" t="s">
        <v>35</v>
      </c>
      <c r="K3465" s="57" t="s">
        <v>430</v>
      </c>
      <c r="L3465" s="57" t="s">
        <v>82</v>
      </c>
      <c r="M3465" s="57" t="s">
        <v>24</v>
      </c>
      <c r="N3465" s="62">
        <v>10</v>
      </c>
      <c r="O3465" s="21" t="s">
        <v>25</v>
      </c>
      <c r="P3465" s="21" t="s">
        <v>41</v>
      </c>
      <c r="Q3465" s="21" t="s">
        <v>60</v>
      </c>
      <c r="R3465" s="57" t="s">
        <v>429</v>
      </c>
    </row>
    <row r="3466" spans="1:18" ht="14.4" hidden="1">
      <c r="A3466" s="38">
        <f>IF(C3466="","",MAX($A$1:A3465)+1)</f>
        <v>3176</v>
      </c>
      <c r="B3466" s="66" t="s">
        <v>141</v>
      </c>
      <c r="C3466" s="60">
        <v>46110</v>
      </c>
      <c r="D3466" s="61" t="str">
        <f>_xlfn.XLOOKUP(Table134526_79101120212223242526[[#This Row],[Name Surname]],Manpower!$C$4:$C$1048576,Manpower!$B$4:$B$1048576,"")</f>
        <v>Encogroup</v>
      </c>
      <c r="E3466" s="57" t="s">
        <v>125</v>
      </c>
      <c r="F3466" s="12">
        <f>_xlfn.XLOOKUP(Table134526_79101120212223242526[[#This Row],[Name Surname]],Manpower!C:C,Manpower!D:D,)</f>
        <v>141169028</v>
      </c>
      <c r="G3466" s="61" t="str">
        <f>_xlfn.XLOOKUP(Table134526_79101120212223242526[[#This Row],[Name Surname]],Manpower!$C$4:$C$1048576,Manpower!$F$4:$F$1048576,"")</f>
        <v>Welder</v>
      </c>
      <c r="H3466" s="61" t="str">
        <f>_xlfn.XLOOKUP(Table134526_79101120212223242526[[#This Row],[Name Surname]],Manpower!$C$4:$C$1048576,Manpower!$H$4:$H$1048576,"")</f>
        <v>Manpower</v>
      </c>
      <c r="I3466" s="28" t="str">
        <f>_xlfn.XLOOKUP(Table134526_79101120212223242526[[#This Row],[Name Surname]],Manpower!$C$4:$C$1048576,Manpower!$H$4:$H$1048576,"")</f>
        <v>Manpower</v>
      </c>
      <c r="J3466" s="21" t="s">
        <v>35</v>
      </c>
      <c r="K3466" s="57" t="s">
        <v>428</v>
      </c>
      <c r="L3466" s="57" t="s">
        <v>82</v>
      </c>
      <c r="M3466" s="57" t="s">
        <v>24</v>
      </c>
      <c r="N3466" s="62">
        <v>10</v>
      </c>
      <c r="O3466" s="21" t="s">
        <v>25</v>
      </c>
      <c r="P3466" s="21" t="s">
        <v>41</v>
      </c>
      <c r="Q3466" s="21" t="s">
        <v>60</v>
      </c>
      <c r="R3466" s="57" t="s">
        <v>429</v>
      </c>
    </row>
    <row r="3467" spans="1:18" ht="14.4" hidden="1">
      <c r="A3467" s="38">
        <f>IF(C3467="","",MAX($A$1:A3466)+1)</f>
        <v>3177</v>
      </c>
      <c r="B3467" s="66" t="s">
        <v>141</v>
      </c>
      <c r="C3467" s="60">
        <v>46110</v>
      </c>
      <c r="D3467" s="61" t="str">
        <f>_xlfn.XLOOKUP(Table134526_79101120212223242526[[#This Row],[Name Surname]],Manpower!$C$4:$C$1048576,Manpower!$B$4:$B$1048576,"")</f>
        <v>Encogroup</v>
      </c>
      <c r="E3467" s="57" t="s">
        <v>101</v>
      </c>
      <c r="F3467" s="12">
        <f>_xlfn.XLOOKUP(Table134526_79101120212223242526[[#This Row],[Name Surname]],Manpower!C:C,Manpower!D:D,)</f>
        <v>141169052</v>
      </c>
      <c r="G3467" s="61" t="str">
        <f>_xlfn.XLOOKUP(Table134526_79101120212223242526[[#This Row],[Name Surname]],Manpower!$C$4:$C$1048576,Manpower!$F$4:$F$1048576,"")</f>
        <v>Welder</v>
      </c>
      <c r="H3467" s="61" t="str">
        <f>_xlfn.XLOOKUP(Table134526_79101120212223242526[[#This Row],[Name Surname]],Manpower!$C$4:$C$1048576,Manpower!$H$4:$H$1048576,"")</f>
        <v>Manpower</v>
      </c>
      <c r="I3467" s="28" t="str">
        <f>_xlfn.XLOOKUP(Table134526_79101120212223242526[[#This Row],[Name Surname]],Manpower!$C$4:$C$1048576,Manpower!$H$4:$H$1048576,"")</f>
        <v>Manpower</v>
      </c>
      <c r="J3467" s="21" t="s">
        <v>35</v>
      </c>
      <c r="K3467" s="57" t="s">
        <v>428</v>
      </c>
      <c r="L3467" s="57" t="s">
        <v>82</v>
      </c>
      <c r="M3467" s="57" t="s">
        <v>24</v>
      </c>
      <c r="N3467" s="62">
        <v>10</v>
      </c>
      <c r="O3467" s="21" t="s">
        <v>25</v>
      </c>
      <c r="P3467" s="21" t="s">
        <v>41</v>
      </c>
      <c r="Q3467" s="21" t="s">
        <v>77</v>
      </c>
      <c r="R3467" s="57" t="s">
        <v>429</v>
      </c>
    </row>
    <row r="3468" spans="1:18" ht="14.4" hidden="1">
      <c r="A3468" s="38">
        <f>IF(C3468="","",MAX($A$1:A3467)+1)</f>
        <v>3178</v>
      </c>
      <c r="B3468" s="66" t="s">
        <v>141</v>
      </c>
      <c r="C3468" s="60">
        <v>46110</v>
      </c>
      <c r="D3468" s="28" t="str">
        <f>_xlfn.XLOOKUP(Table134526_79101120212223242526[[#This Row],[Name Surname]],Manpower!$C$4:$C$1048576,Manpower!$B$4:$B$1048576,"")</f>
        <v>Encogroup</v>
      </c>
      <c r="E3468" s="21" t="s">
        <v>124</v>
      </c>
      <c r="F3468" s="12">
        <f>_xlfn.XLOOKUP(Table134526_79101120212223242526[[#This Row],[Name Surname]],Manpower!C:C,Manpower!D:D,)</f>
        <v>141169033</v>
      </c>
      <c r="G3468" s="28" t="str">
        <f>_xlfn.XLOOKUP(Table134526_79101120212223242526[[#This Row],[Name Surname]],Manpower!$C$4:$C$1048576,Manpower!$F$4:$F$1048576,"")</f>
        <v>Welder</v>
      </c>
      <c r="H3468" s="28" t="str">
        <f>_xlfn.XLOOKUP(Table134526_79101120212223242526[[#This Row],[Name Surname]],Manpower!$C$4:$C$1048576,Manpower!$H$4:$H$1048576,"")</f>
        <v>Manpower</v>
      </c>
      <c r="I3468" s="28" t="str">
        <f>_xlfn.XLOOKUP(Table134526_79101120212223242526[[#This Row],[Name Surname]],Manpower!$C$4:$C$1048576,Manpower!$H$4:$H$1048576,"")</f>
        <v>Manpower</v>
      </c>
      <c r="J3468" s="21" t="s">
        <v>35</v>
      </c>
      <c r="K3468" s="57" t="s">
        <v>428</v>
      </c>
      <c r="L3468" s="57" t="s">
        <v>82</v>
      </c>
      <c r="M3468" s="57" t="s">
        <v>24</v>
      </c>
      <c r="N3468" s="62">
        <v>10</v>
      </c>
      <c r="O3468" s="21" t="s">
        <v>25</v>
      </c>
      <c r="P3468" s="21" t="s">
        <v>41</v>
      </c>
      <c r="Q3468" s="21" t="s">
        <v>77</v>
      </c>
      <c r="R3468" s="57" t="s">
        <v>429</v>
      </c>
    </row>
    <row r="3469" spans="1:18" ht="14.4" hidden="1">
      <c r="A3469" s="38">
        <f>IF(C3469="","",MAX($A$1:A3468)+1)</f>
        <v>3179</v>
      </c>
      <c r="B3469" s="66" t="s">
        <v>141</v>
      </c>
      <c r="C3469" s="60">
        <v>46110</v>
      </c>
      <c r="D3469" s="61" t="str">
        <f>_xlfn.XLOOKUP(Table134526_79101120212223242526[[#This Row],[Name Surname]],Manpower!$C$4:$C$1048576,Manpower!$B$4:$B$1048576,"")</f>
        <v>Encogroup</v>
      </c>
      <c r="E3469" s="57" t="s">
        <v>105</v>
      </c>
      <c r="F3469" s="12">
        <f>_xlfn.XLOOKUP(Table134526_79101120212223242526[[#This Row],[Name Surname]],Manpower!C:C,Manpower!D:D,)</f>
        <v>141358993</v>
      </c>
      <c r="G3469" s="61" t="str">
        <f>_xlfn.XLOOKUP(Table134526_79101120212223242526[[#This Row],[Name Surname]],Manpower!$C$4:$C$1048576,Manpower!$F$4:$F$1048576,"")</f>
        <v>Fitter</v>
      </c>
      <c r="H3469" s="61" t="str">
        <f>_xlfn.XLOOKUP(Table134526_79101120212223242526[[#This Row],[Name Surname]],Manpower!$C$4:$C$1048576,Manpower!$H$4:$H$1048576,"")</f>
        <v>Manpower</v>
      </c>
      <c r="I3469" s="28" t="str">
        <f>_xlfn.XLOOKUP(Table134526_79101120212223242526[[#This Row],[Name Surname]],Manpower!$C$4:$C$1048576,Manpower!$H$4:$H$1048576,"")</f>
        <v>Manpower</v>
      </c>
      <c r="J3469" s="21" t="s">
        <v>35</v>
      </c>
      <c r="K3469" s="57" t="s">
        <v>428</v>
      </c>
      <c r="L3469" s="57" t="s">
        <v>82</v>
      </c>
      <c r="M3469" s="57" t="s">
        <v>24</v>
      </c>
      <c r="N3469" s="62">
        <v>10</v>
      </c>
      <c r="O3469" s="21" t="s">
        <v>25</v>
      </c>
      <c r="P3469" s="21" t="s">
        <v>41</v>
      </c>
      <c r="Q3469" s="21" t="s">
        <v>77</v>
      </c>
      <c r="R3469" s="57" t="s">
        <v>429</v>
      </c>
    </row>
    <row r="3470" spans="1:18" ht="14.4" hidden="1">
      <c r="A3470" s="38">
        <f>IF(C3470="","",MAX($A$1:A3469)+1)</f>
        <v>3180</v>
      </c>
      <c r="B3470" s="66" t="s">
        <v>141</v>
      </c>
      <c r="C3470" s="60">
        <v>46110</v>
      </c>
      <c r="D3470" s="61" t="str">
        <f>_xlfn.XLOOKUP(Table134526_79101120212223242526[[#This Row],[Name Surname]],Manpower!$C$4:$C$1048576,Manpower!$B$4:$B$1048576,"")</f>
        <v>Encogroup</v>
      </c>
      <c r="E3470" s="57" t="s">
        <v>106</v>
      </c>
      <c r="F3470" s="12" t="str">
        <f>_xlfn.XLOOKUP(Table134526_79101120212223242526[[#This Row],[Name Surname]],Manpower!C:C,Manpower!D:D,)</f>
        <v>R3971143</v>
      </c>
      <c r="G3470" s="61" t="str">
        <f>_xlfn.XLOOKUP(Table134526_79101120212223242526[[#This Row],[Name Surname]],Manpower!$C$4:$C$1048576,Manpower!$F$4:$F$1048576,"")</f>
        <v>Mechanical Foreman</v>
      </c>
      <c r="H3470" s="61" t="str">
        <f>_xlfn.XLOOKUP(Table134526_79101120212223242526[[#This Row],[Name Surname]],Manpower!$C$4:$C$1048576,Manpower!$H$4:$H$1048576,"")</f>
        <v>Manpower</v>
      </c>
      <c r="I3470" s="28" t="str">
        <f>_xlfn.XLOOKUP(Table134526_79101120212223242526[[#This Row],[Name Surname]],Manpower!$C$4:$C$1048576,Manpower!$H$4:$H$1048576,"")</f>
        <v>Manpower</v>
      </c>
      <c r="J3470" s="21" t="s">
        <v>35</v>
      </c>
      <c r="K3470" s="57" t="s">
        <v>428</v>
      </c>
      <c r="L3470" s="57" t="s">
        <v>82</v>
      </c>
      <c r="M3470" s="57" t="s">
        <v>24</v>
      </c>
      <c r="N3470" s="62">
        <v>10</v>
      </c>
      <c r="O3470" s="21" t="s">
        <v>25</v>
      </c>
      <c r="P3470" s="21" t="s">
        <v>41</v>
      </c>
      <c r="Q3470" s="21" t="s">
        <v>60</v>
      </c>
      <c r="R3470" s="57" t="s">
        <v>429</v>
      </c>
    </row>
    <row r="3471" spans="1:18" ht="14.4" hidden="1">
      <c r="A3471" s="38">
        <f>IF(C3471="","",MAX($A$1:A3470)+1)</f>
        <v>3181</v>
      </c>
      <c r="B3471" s="66" t="s">
        <v>141</v>
      </c>
      <c r="C3471" s="60">
        <v>46110</v>
      </c>
      <c r="D3471" s="61" t="str">
        <f>_xlfn.XLOOKUP(Table134526_79101120212223242526[[#This Row],[Name Surname]],Manpower!$C$4:$C$1048576,Manpower!$B$4:$B$1048576,"")</f>
        <v>Encogroup</v>
      </c>
      <c r="E3471" s="57" t="s">
        <v>107</v>
      </c>
      <c r="F3471" s="12">
        <f>_xlfn.XLOOKUP(Table134526_79101120212223242526[[#This Row],[Name Surname]],Manpower!C:C,Manpower!D:D,)</f>
        <v>116858297</v>
      </c>
      <c r="G3471" s="61" t="str">
        <f>_xlfn.XLOOKUP(Table134526_79101120212223242526[[#This Row],[Name Surname]],Manpower!$C$4:$C$1048576,Manpower!$F$4:$F$1048576,"")</f>
        <v>Mechanical Superintendent</v>
      </c>
      <c r="H3471" s="61" t="str">
        <f>_xlfn.XLOOKUP(Table134526_79101120212223242526[[#This Row],[Name Surname]],Manpower!$C$4:$C$1048576,Manpower!$H$4:$H$1048576,"")</f>
        <v>Manpower</v>
      </c>
      <c r="I3471" s="28" t="str">
        <f>_xlfn.XLOOKUP(Table134526_79101120212223242526[[#This Row],[Name Surname]],Manpower!$C$4:$C$1048576,Manpower!$H$4:$H$1048576,"")</f>
        <v>Manpower</v>
      </c>
      <c r="J3471" s="21" t="s">
        <v>35</v>
      </c>
      <c r="K3471" s="57" t="s">
        <v>428</v>
      </c>
      <c r="L3471" s="57" t="s">
        <v>82</v>
      </c>
      <c r="M3471" s="57" t="s">
        <v>24</v>
      </c>
      <c r="N3471" s="62">
        <v>10</v>
      </c>
      <c r="O3471" s="21" t="s">
        <v>40</v>
      </c>
      <c r="P3471" s="21" t="s">
        <v>41</v>
      </c>
      <c r="Q3471" s="21" t="s">
        <v>128</v>
      </c>
      <c r="R3471" s="57" t="s">
        <v>429</v>
      </c>
    </row>
    <row r="3472" spans="1:18" ht="14.4" hidden="1">
      <c r="A3472" s="38">
        <f>IF(C3472="","",MAX($A$1:A3471)+1)</f>
        <v>3182</v>
      </c>
      <c r="B3472" s="66" t="s">
        <v>141</v>
      </c>
      <c r="C3472" s="60">
        <v>46110</v>
      </c>
      <c r="D3472" s="61" t="str">
        <f>_xlfn.XLOOKUP(Table134526_79101120212223242526[[#This Row],[Name Surname]],Manpower!$C$4:$C$1048576,Manpower!$B$4:$B$1048576,"")</f>
        <v>Encogroup</v>
      </c>
      <c r="E3472" s="57" t="s">
        <v>126</v>
      </c>
      <c r="F3472" s="12">
        <f>_xlfn.XLOOKUP(Table134526_79101120212223242526[[#This Row],[Name Surname]],Manpower!C:C,Manpower!D:D,)</f>
        <v>140805568</v>
      </c>
      <c r="G3472" s="61" t="str">
        <f>_xlfn.XLOOKUP(Table134526_79101120212223242526[[#This Row],[Name Surname]],Manpower!$C$4:$C$1048576,Manpower!$F$4:$F$1048576,"")</f>
        <v>Assistant/Helper</v>
      </c>
      <c r="H3472" s="61" t="str">
        <f>_xlfn.XLOOKUP(Table134526_79101120212223242526[[#This Row],[Name Surname]],Manpower!$C$4:$C$1048576,Manpower!$H$4:$H$1048576,"")</f>
        <v>Manpower</v>
      </c>
      <c r="I3472" s="28" t="str">
        <f>_xlfn.XLOOKUP(Table134526_79101120212223242526[[#This Row],[Name Surname]],Manpower!$C$4:$C$1048576,Manpower!$H$4:$H$1048576,"")</f>
        <v>Manpower</v>
      </c>
      <c r="J3472" s="21" t="s">
        <v>35</v>
      </c>
      <c r="K3472" s="57" t="s">
        <v>431</v>
      </c>
      <c r="L3472" s="57" t="s">
        <v>82</v>
      </c>
      <c r="M3472" s="57" t="s">
        <v>24</v>
      </c>
      <c r="N3472" s="62">
        <v>10</v>
      </c>
      <c r="O3472" s="21" t="s">
        <v>40</v>
      </c>
      <c r="P3472" s="21" t="s">
        <v>41</v>
      </c>
      <c r="Q3472" s="21" t="s">
        <v>329</v>
      </c>
      <c r="R3472" s="57" t="s">
        <v>429</v>
      </c>
    </row>
    <row r="3473" spans="1:18" ht="14.4" hidden="1">
      <c r="A3473" s="38">
        <f>IF(C3473="","",MAX($A$1:A3472)+1)</f>
        <v>3183</v>
      </c>
      <c r="B3473" s="66" t="s">
        <v>141</v>
      </c>
      <c r="C3473" s="60">
        <v>46110</v>
      </c>
      <c r="D3473" s="61" t="str">
        <f>_xlfn.XLOOKUP(Table134526_79101120212223242526[[#This Row],[Name Surname]],Manpower!$C$4:$C$1048576,Manpower!$B$4:$B$1048576,"")</f>
        <v>Rabwu Ahamal AL Khaleej Trad</v>
      </c>
      <c r="E3473" s="57" t="s">
        <v>131</v>
      </c>
      <c r="F3473" s="12">
        <f>_xlfn.XLOOKUP(Table134526_79101120212223242526[[#This Row],[Name Surname]],Manpower!C:C,Manpower!D:D,)</f>
        <v>131431131</v>
      </c>
      <c r="G3473" s="61" t="str">
        <f>_xlfn.XLOOKUP(Table134526_79101120212223242526[[#This Row],[Name Surname]],Manpower!$C$4:$C$1048576,Manpower!$F$4:$F$1048576,"")</f>
        <v>RIgger</v>
      </c>
      <c r="H3473" s="61" t="str">
        <f>_xlfn.XLOOKUP(Table134526_79101120212223242526[[#This Row],[Name Surname]],Manpower!$C$4:$C$1048576,Manpower!$H$4:$H$1048576,"")</f>
        <v>Sub Contactor</v>
      </c>
      <c r="I3473" s="28" t="str">
        <f>_xlfn.XLOOKUP(Table134526_79101120212223242526[[#This Row],[Name Surname]],Manpower!$C$4:$C$1048576,Manpower!$H$4:$H$1048576,"")</f>
        <v>Sub Contactor</v>
      </c>
      <c r="J3473" s="21" t="s">
        <v>35</v>
      </c>
      <c r="K3473" s="57" t="s">
        <v>428</v>
      </c>
      <c r="L3473" s="57" t="s">
        <v>82</v>
      </c>
      <c r="M3473" s="57" t="s">
        <v>24</v>
      </c>
      <c r="N3473" s="62">
        <v>10</v>
      </c>
      <c r="O3473" s="21" t="s">
        <v>40</v>
      </c>
      <c r="P3473" s="21" t="s">
        <v>41</v>
      </c>
      <c r="Q3473" s="21" t="s">
        <v>42</v>
      </c>
      <c r="R3473" s="57" t="s">
        <v>429</v>
      </c>
    </row>
    <row r="3474" spans="1:18" ht="14.4" hidden="1">
      <c r="A3474" s="38">
        <f>IF(C3474="","",MAX($A$1:A3473)+1)</f>
        <v>3184</v>
      </c>
      <c r="B3474" s="66" t="s">
        <v>141</v>
      </c>
      <c r="C3474" s="60">
        <v>46110</v>
      </c>
      <c r="D3474" s="61" t="str">
        <f>_xlfn.XLOOKUP(Table134526_79101120212223242526[[#This Row],[Name Surname]],Manpower!$C$4:$C$1048576,Manpower!$B$4:$B$1048576,"")</f>
        <v>AL Saif &amp; Al QALLM ENT LLC</v>
      </c>
      <c r="E3474" s="57" t="s">
        <v>130</v>
      </c>
      <c r="F3474" s="12">
        <f>_xlfn.XLOOKUP(Table134526_79101120212223242526[[#This Row],[Name Surname]],Manpower!C:C,Manpower!D:D,)</f>
        <v>76647648</v>
      </c>
      <c r="G3474" s="61" t="str">
        <f>_xlfn.XLOOKUP(Table134526_79101120212223242526[[#This Row],[Name Surname]],Manpower!$C$4:$C$1048576,Manpower!$F$4:$F$1048576,"")</f>
        <v>RIgger</v>
      </c>
      <c r="H3474" s="61" t="str">
        <f>_xlfn.XLOOKUP(Table134526_79101120212223242526[[#This Row],[Name Surname]],Manpower!$C$4:$C$1048576,Manpower!$H$4:$H$1048576,"")</f>
        <v>Sub Contactor</v>
      </c>
      <c r="I3474" s="28" t="str">
        <f>_xlfn.XLOOKUP(Table134526_79101120212223242526[[#This Row],[Name Surname]],Manpower!$C$4:$C$1048576,Manpower!$H$4:$H$1048576,"")</f>
        <v>Sub Contactor</v>
      </c>
      <c r="J3474" s="21" t="s">
        <v>35</v>
      </c>
      <c r="K3474" s="57" t="s">
        <v>428</v>
      </c>
      <c r="L3474" s="57" t="s">
        <v>82</v>
      </c>
      <c r="M3474" s="57" t="s">
        <v>24</v>
      </c>
      <c r="N3474" s="62">
        <v>10</v>
      </c>
      <c r="O3474" s="21" t="s">
        <v>40</v>
      </c>
      <c r="P3474" s="21" t="s">
        <v>41</v>
      </c>
      <c r="Q3474" s="21" t="s">
        <v>42</v>
      </c>
      <c r="R3474" s="57" t="s">
        <v>429</v>
      </c>
    </row>
    <row r="3475" spans="1:18" ht="14.4" hidden="1">
      <c r="A3475" s="38">
        <f>IF(C3475="","",MAX($A$1:A3474)+1)</f>
        <v>3185</v>
      </c>
      <c r="B3475" s="66" t="s">
        <v>141</v>
      </c>
      <c r="C3475" s="60">
        <v>46110</v>
      </c>
      <c r="D3475" s="61" t="str">
        <f>_xlfn.XLOOKUP(Table134526_79101120212223242526[[#This Row],[Name Surname]],Manpower!$C$4:$C$1048576,Manpower!$B$4:$B$1048576,"")</f>
        <v>Encogroup</v>
      </c>
      <c r="E3475" s="57" t="s">
        <v>109</v>
      </c>
      <c r="F3475" s="12">
        <f>_xlfn.XLOOKUP(Table134526_79101120212223242526[[#This Row],[Name Surname]],Manpower!C:C,Manpower!D:D,)</f>
        <v>123805496</v>
      </c>
      <c r="G3475" s="61" t="str">
        <f>_xlfn.XLOOKUP(Table134526_79101120212223242526[[#This Row],[Name Surname]],Manpower!$C$4:$C$1048576,Manpower!$F$4:$F$1048576,"")</f>
        <v>Fitter/Erector</v>
      </c>
      <c r="H3475" s="61" t="str">
        <f>_xlfn.XLOOKUP(Table134526_79101120212223242526[[#This Row],[Name Surname]],Manpower!$C$4:$C$1048576,Manpower!$H$4:$H$1048576,"")</f>
        <v>Manpower</v>
      </c>
      <c r="I3475" s="28" t="str">
        <f>_xlfn.XLOOKUP(Table134526_79101120212223242526[[#This Row],[Name Surname]],Manpower!$C$4:$C$1048576,Manpower!$H$4:$H$1048576,"")</f>
        <v>Manpower</v>
      </c>
      <c r="J3475" s="21" t="s">
        <v>35</v>
      </c>
      <c r="K3475" s="57" t="s">
        <v>428</v>
      </c>
      <c r="L3475" s="57" t="s">
        <v>82</v>
      </c>
      <c r="M3475" s="57" t="s">
        <v>24</v>
      </c>
      <c r="N3475" s="62">
        <v>10</v>
      </c>
      <c r="O3475" s="21" t="s">
        <v>25</v>
      </c>
      <c r="P3475" s="21" t="s">
        <v>41</v>
      </c>
      <c r="Q3475" s="21" t="s">
        <v>60</v>
      </c>
      <c r="R3475" s="57" t="s">
        <v>429</v>
      </c>
    </row>
    <row r="3476" spans="1:18" ht="14.4" hidden="1">
      <c r="A3476" s="38">
        <f>IF(C3476="","",MAX($A$1:A3475)+1)</f>
        <v>3186</v>
      </c>
      <c r="B3476" s="66" t="s">
        <v>141</v>
      </c>
      <c r="C3476" s="60">
        <v>46110</v>
      </c>
      <c r="D3476" s="61" t="str">
        <f>_xlfn.XLOOKUP(Table134526_79101120212223242526[[#This Row],[Name Surname]],Manpower!$C$4:$C$1048576,Manpower!$B$4:$B$1048576,"")</f>
        <v>Encogroup</v>
      </c>
      <c r="E3476" s="57" t="s">
        <v>110</v>
      </c>
      <c r="F3476" s="12">
        <f>_xlfn.XLOOKUP(Table134526_79101120212223242526[[#This Row],[Name Surname]],Manpower!C:C,Manpower!D:D,)</f>
        <v>136277866</v>
      </c>
      <c r="G3476" s="61" t="str">
        <f>_xlfn.XLOOKUP(Table134526_79101120212223242526[[#This Row],[Name Surname]],Manpower!$C$4:$C$1048576,Manpower!$F$4:$F$1048576,"")</f>
        <v>Permit Receiver</v>
      </c>
      <c r="H3476" s="61" t="str">
        <f>_xlfn.XLOOKUP(Table134526_79101120212223242526[[#This Row],[Name Surname]],Manpower!$C$4:$C$1048576,Manpower!$H$4:$H$1048576,"")</f>
        <v>Manpower</v>
      </c>
      <c r="I3476" s="28" t="str">
        <f>_xlfn.XLOOKUP(Table134526_79101120212223242526[[#This Row],[Name Surname]],Manpower!$C$4:$C$1048576,Manpower!$H$4:$H$1048576,"")</f>
        <v>Manpower</v>
      </c>
      <c r="J3476" s="21" t="s">
        <v>35</v>
      </c>
      <c r="K3476" s="57" t="s">
        <v>428</v>
      </c>
      <c r="L3476" s="57" t="s">
        <v>82</v>
      </c>
      <c r="M3476" s="57" t="s">
        <v>24</v>
      </c>
      <c r="N3476" s="62">
        <v>10</v>
      </c>
      <c r="O3476" s="21" t="s">
        <v>25</v>
      </c>
      <c r="P3476" s="21" t="s">
        <v>41</v>
      </c>
      <c r="Q3476" s="21" t="s">
        <v>60</v>
      </c>
      <c r="R3476" s="57" t="s">
        <v>429</v>
      </c>
    </row>
    <row r="3477" spans="1:18" ht="14.4" hidden="1">
      <c r="A3477" s="38">
        <f>IF(C3477="","",MAX($A$1:A3476)+1)</f>
        <v>3187</v>
      </c>
      <c r="B3477" s="66" t="s">
        <v>141</v>
      </c>
      <c r="C3477" s="60">
        <v>46110</v>
      </c>
      <c r="D3477" s="61" t="str">
        <f>_xlfn.XLOOKUP(Table134526_79101120212223242526[[#This Row],[Name Surname]],Manpower!$C$4:$C$1048576,Manpower!$B$4:$B$1048576,"")</f>
        <v>Encogroup</v>
      </c>
      <c r="E3477" s="57" t="s">
        <v>112</v>
      </c>
      <c r="F3477" s="12">
        <f>_xlfn.XLOOKUP(Table134526_79101120212223242526[[#This Row],[Name Surname]],Manpower!C:C,Manpower!D:D,)</f>
        <v>140663253</v>
      </c>
      <c r="G3477" s="61" t="str">
        <f>_xlfn.XLOOKUP(Table134526_79101120212223242526[[#This Row],[Name Surname]],Manpower!$C$4:$C$1048576,Manpower!$F$4:$F$1048576,"")</f>
        <v>Painting Inspector</v>
      </c>
      <c r="H3477" s="61" t="str">
        <f>_xlfn.XLOOKUP(Table134526_79101120212223242526[[#This Row],[Name Surname]],Manpower!$C$4:$C$1048576,Manpower!$H$4:$H$1048576,"")</f>
        <v>Manpower</v>
      </c>
      <c r="I3477" s="28" t="str">
        <f>_xlfn.XLOOKUP(Table134526_79101120212223242526[[#This Row],[Name Surname]],Manpower!$C$4:$C$1048576,Manpower!$H$4:$H$1048576,"")</f>
        <v>Manpower</v>
      </c>
      <c r="J3477" s="21" t="s">
        <v>35</v>
      </c>
      <c r="K3477" s="57" t="s">
        <v>432</v>
      </c>
      <c r="L3477" s="57" t="s">
        <v>82</v>
      </c>
      <c r="M3477" s="57" t="s">
        <v>24</v>
      </c>
      <c r="N3477" s="62">
        <v>10</v>
      </c>
      <c r="O3477" s="21" t="s">
        <v>94</v>
      </c>
      <c r="P3477" s="21" t="s">
        <v>114</v>
      </c>
      <c r="Q3477" s="21" t="s">
        <v>114</v>
      </c>
      <c r="R3477" s="57" t="s">
        <v>26</v>
      </c>
    </row>
    <row r="3478" spans="1:18" ht="14.4" hidden="1">
      <c r="A3478" s="38">
        <f>IF(C3478="","",MAX($A$1:A3477)+1)</f>
        <v>3188</v>
      </c>
      <c r="B3478" s="66" t="s">
        <v>141</v>
      </c>
      <c r="C3478" s="60">
        <v>46110</v>
      </c>
      <c r="D3478" s="61" t="str">
        <f>_xlfn.XLOOKUP(Table134526_79101120212223242526[[#This Row],[Name Surname]],Manpower!$C$4:$C$1048576,Manpower!$B$4:$B$1048576,"")</f>
        <v>Encogroup</v>
      </c>
      <c r="E3478" s="57" t="s">
        <v>118</v>
      </c>
      <c r="F3478" s="12" t="str">
        <f>_xlfn.XLOOKUP(Table134526_79101120212223242526[[#This Row],[Name Surname]],Manpower!C:C,Manpower!D:D,)</f>
        <v>AG111207</v>
      </c>
      <c r="G3478" s="61" t="str">
        <f>_xlfn.XLOOKUP(Table134526_79101120212223242526[[#This Row],[Name Surname]],Manpower!$C$4:$C$1048576,Manpower!$F$4:$F$1048576,"")</f>
        <v>Assistant/Helper</v>
      </c>
      <c r="H3478" s="61" t="str">
        <f>_xlfn.XLOOKUP(Table134526_79101120212223242526[[#This Row],[Name Surname]],Manpower!$C$4:$C$1048576,Manpower!$H$4:$H$1048576,"")</f>
        <v>Manpower</v>
      </c>
      <c r="I3478" s="28" t="str">
        <f>_xlfn.XLOOKUP(Table134526_79101120212223242526[[#This Row],[Name Surname]],Manpower!$C$4:$C$1048576,Manpower!$H$4:$H$1048576,"")</f>
        <v>Manpower</v>
      </c>
      <c r="J3478" s="21" t="s">
        <v>35</v>
      </c>
      <c r="K3478" s="57" t="s">
        <v>432</v>
      </c>
      <c r="L3478" s="57" t="s">
        <v>82</v>
      </c>
      <c r="M3478" s="57" t="s">
        <v>24</v>
      </c>
      <c r="N3478" s="62">
        <v>10</v>
      </c>
      <c r="O3478" s="21" t="s">
        <v>94</v>
      </c>
      <c r="P3478" s="21" t="s">
        <v>114</v>
      </c>
      <c r="Q3478" s="21" t="s">
        <v>114</v>
      </c>
      <c r="R3478" s="57" t="s">
        <v>26</v>
      </c>
    </row>
    <row r="3479" spans="1:18" ht="14.4" hidden="1">
      <c r="A3479" s="38">
        <f>IF(C3479="","",MAX($A$1:A3478)+1)</f>
        <v>3189</v>
      </c>
      <c r="B3479" s="66" t="s">
        <v>141</v>
      </c>
      <c r="C3479" s="60">
        <v>46110</v>
      </c>
      <c r="D3479" s="61" t="str">
        <f>_xlfn.XLOOKUP(Table134526_79101120212223242526[[#This Row],[Name Surname]],Manpower!$C$4:$C$1048576,Manpower!$B$4:$B$1048576,"")</f>
        <v>Encogroup</v>
      </c>
      <c r="E3479" s="57" t="s">
        <v>92</v>
      </c>
      <c r="F3479" s="12">
        <f>_xlfn.XLOOKUP(Table134526_79101120212223242526[[#This Row],[Name Surname]],Manpower!C:C,Manpower!D:D,)</f>
        <v>141377747</v>
      </c>
      <c r="G3479" s="61" t="str">
        <f>_xlfn.XLOOKUP(Table134526_79101120212223242526[[#This Row],[Name Surname]],Manpower!$C$4:$C$1048576,Manpower!$F$4:$F$1048576,"")</f>
        <v>Painter</v>
      </c>
      <c r="H3479" s="61" t="str">
        <f>_xlfn.XLOOKUP(Table134526_79101120212223242526[[#This Row],[Name Surname]],Manpower!$C$4:$C$1048576,Manpower!$H$4:$H$1048576,"")</f>
        <v>Manpower</v>
      </c>
      <c r="I3479" s="28" t="str">
        <f>_xlfn.XLOOKUP(Table134526_79101120212223242526[[#This Row],[Name Surname]],Manpower!$C$4:$C$1048576,Manpower!$H$4:$H$1048576,"")</f>
        <v>Manpower</v>
      </c>
      <c r="J3479" s="21" t="s">
        <v>35</v>
      </c>
      <c r="K3479" s="57" t="s">
        <v>428</v>
      </c>
      <c r="L3479" s="57" t="s">
        <v>82</v>
      </c>
      <c r="M3479" s="57" t="s">
        <v>24</v>
      </c>
      <c r="N3479" s="62">
        <v>10</v>
      </c>
      <c r="O3479" s="21" t="s">
        <v>25</v>
      </c>
      <c r="P3479" s="21" t="s">
        <v>41</v>
      </c>
      <c r="Q3479" s="21" t="s">
        <v>60</v>
      </c>
      <c r="R3479" s="57" t="s">
        <v>429</v>
      </c>
    </row>
    <row r="3480" spans="1:18" ht="14.4" hidden="1">
      <c r="A3480" s="38">
        <f>IF(C3480="","",MAX($A$1:A3479)+1)</f>
        <v>3190</v>
      </c>
      <c r="B3480" s="66" t="s">
        <v>141</v>
      </c>
      <c r="C3480" s="60">
        <v>46110</v>
      </c>
      <c r="D3480" s="61" t="str">
        <f>_xlfn.XLOOKUP(Table134526_79101120212223242526[[#This Row],[Name Surname]],Manpower!$C$4:$C$1048576,Manpower!$B$4:$B$1048576,"")</f>
        <v>Encogroup</v>
      </c>
      <c r="E3480" s="57" t="s">
        <v>173</v>
      </c>
      <c r="F3480" s="12" t="str">
        <f>_xlfn.XLOOKUP(Table134526_79101120212223242526[[#This Row],[Name Surname]],Manpower!C:C,Manpower!D:D,)</f>
        <v>S3549132</v>
      </c>
      <c r="G3480" s="61" t="str">
        <f>_xlfn.XLOOKUP(Table134526_79101120212223242526[[#This Row],[Name Surname]],Manpower!$C$4:$C$1048576,Manpower!$F$4:$F$1048576,"")</f>
        <v>Grinder</v>
      </c>
      <c r="H3480" s="61" t="str">
        <f>_xlfn.XLOOKUP(Table134526_79101120212223242526[[#This Row],[Name Surname]],Manpower!$C$4:$C$1048576,Manpower!$H$4:$H$1048576,"")</f>
        <v>Manpower</v>
      </c>
      <c r="I3480" s="28" t="str">
        <f>_xlfn.XLOOKUP(Table134526_79101120212223242526[[#This Row],[Name Surname]],Manpower!$C$4:$C$1048576,Manpower!$H$4:$H$1048576,"")</f>
        <v>Manpower</v>
      </c>
      <c r="J3480" s="21" t="s">
        <v>35</v>
      </c>
      <c r="K3480" s="57" t="s">
        <v>432</v>
      </c>
      <c r="L3480" s="57" t="s">
        <v>82</v>
      </c>
      <c r="M3480" s="57" t="s">
        <v>24</v>
      </c>
      <c r="N3480" s="62">
        <v>10</v>
      </c>
      <c r="O3480" s="21" t="s">
        <v>94</v>
      </c>
      <c r="P3480" s="21" t="s">
        <v>114</v>
      </c>
      <c r="Q3480" s="21" t="s">
        <v>114</v>
      </c>
      <c r="R3480" s="57" t="s">
        <v>26</v>
      </c>
    </row>
    <row r="3481" spans="1:18" ht="14.4" hidden="1">
      <c r="A3481" s="38">
        <f>IF(C3481="","",MAX($A$1:A3480)+1)</f>
        <v>3191</v>
      </c>
      <c r="B3481" s="66" t="s">
        <v>141</v>
      </c>
      <c r="C3481" s="60">
        <v>46110</v>
      </c>
      <c r="D3481" s="61" t="str">
        <f>_xlfn.XLOOKUP(Table134526_79101120212223242526[[#This Row],[Name Surname]],Manpower!$C$4:$C$1048576,Manpower!$B$4:$B$1048576,"")</f>
        <v>Encogroup</v>
      </c>
      <c r="E3481" s="57" t="s">
        <v>119</v>
      </c>
      <c r="F3481" s="12">
        <f>_xlfn.XLOOKUP(Table134526_79101120212223242526[[#This Row],[Name Surname]],Manpower!C:C,Manpower!D:D,)</f>
        <v>140844778</v>
      </c>
      <c r="G3481" s="61" t="str">
        <f>_xlfn.XLOOKUP(Table134526_79101120212223242526[[#This Row],[Name Surname]],Manpower!$C$4:$C$1048576,Manpower!$F$4:$F$1048576,"")</f>
        <v>Painter</v>
      </c>
      <c r="H3481" s="61" t="str">
        <f>_xlfn.XLOOKUP(Table134526_79101120212223242526[[#This Row],[Name Surname]],Manpower!$C$4:$C$1048576,Manpower!$H$4:$H$1048576,"")</f>
        <v>Manpower</v>
      </c>
      <c r="I3481" s="28" t="str">
        <f>_xlfn.XLOOKUP(Table134526_79101120212223242526[[#This Row],[Name Surname]],Manpower!$C$4:$C$1048576,Manpower!$H$4:$H$1048576,"")</f>
        <v>Manpower</v>
      </c>
      <c r="J3481" s="21" t="s">
        <v>35</v>
      </c>
      <c r="K3481" s="57" t="s">
        <v>432</v>
      </c>
      <c r="L3481" s="57" t="s">
        <v>82</v>
      </c>
      <c r="M3481" s="57" t="s">
        <v>24</v>
      </c>
      <c r="N3481" s="62">
        <v>10</v>
      </c>
      <c r="O3481" s="21" t="s">
        <v>94</v>
      </c>
      <c r="P3481" s="21" t="s">
        <v>114</v>
      </c>
      <c r="Q3481" s="21" t="s">
        <v>114</v>
      </c>
      <c r="R3481" s="57" t="s">
        <v>26</v>
      </c>
    </row>
    <row r="3482" spans="1:18" ht="14.4" hidden="1">
      <c r="A3482" s="38">
        <f>IF(C3482="","",MAX($A$1:A3481)+1)</f>
        <v>3192</v>
      </c>
      <c r="B3482" s="66" t="s">
        <v>141</v>
      </c>
      <c r="C3482" s="60">
        <v>46110</v>
      </c>
      <c r="D3482" s="61" t="str">
        <f>_xlfn.XLOOKUP(Table134526_79101120212223242526[[#This Row],[Name Surname]],Manpower!$C$4:$C$1048576,Manpower!$B$4:$B$1048576,"")</f>
        <v>Encogroup</v>
      </c>
      <c r="E3482" s="57" t="s">
        <v>117</v>
      </c>
      <c r="F3482" s="12">
        <f>_xlfn.XLOOKUP(Table134526_79101120212223242526[[#This Row],[Name Surname]],Manpower!C:C,Manpower!D:D,)</f>
        <v>140844783</v>
      </c>
      <c r="G3482" s="61" t="str">
        <f>_xlfn.XLOOKUP(Table134526_79101120212223242526[[#This Row],[Name Surname]],Manpower!$C$4:$C$1048576,Manpower!$F$4:$F$1048576,"")</f>
        <v>Painter</v>
      </c>
      <c r="H3482" s="61" t="str">
        <f>_xlfn.XLOOKUP(Table134526_79101120212223242526[[#This Row],[Name Surname]],Manpower!$C$4:$C$1048576,Manpower!$H$4:$H$1048576,"")</f>
        <v>Manpower</v>
      </c>
      <c r="I3482" s="28" t="str">
        <f>_xlfn.XLOOKUP(Table134526_79101120212223242526[[#This Row],[Name Surname]],Manpower!$C$4:$C$1048576,Manpower!$H$4:$H$1048576,"")</f>
        <v>Manpower</v>
      </c>
      <c r="J3482" s="21" t="s">
        <v>35</v>
      </c>
      <c r="K3482" s="57" t="s">
        <v>432</v>
      </c>
      <c r="L3482" s="57" t="s">
        <v>82</v>
      </c>
      <c r="M3482" s="57" t="s">
        <v>24</v>
      </c>
      <c r="N3482" s="62">
        <v>10</v>
      </c>
      <c r="O3482" s="21" t="s">
        <v>94</v>
      </c>
      <c r="P3482" s="21" t="s">
        <v>114</v>
      </c>
      <c r="Q3482" s="21" t="s">
        <v>114</v>
      </c>
      <c r="R3482" s="57" t="s">
        <v>26</v>
      </c>
    </row>
    <row r="3483" spans="1:18" ht="14.4" hidden="1">
      <c r="A3483" s="38">
        <f>IF(C3483="","",MAX($A$1:A3482)+1)</f>
        <v>3193</v>
      </c>
      <c r="B3483" s="66" t="s">
        <v>141</v>
      </c>
      <c r="C3483" s="60">
        <v>46110</v>
      </c>
      <c r="D3483" s="61" t="str">
        <f>_xlfn.XLOOKUP(Table134526_79101120212223242526[[#This Row],[Name Surname]],Manpower!$C$4:$C$1048576,Manpower!$B$4:$B$1048576,"")</f>
        <v>Encogroup</v>
      </c>
      <c r="E3483" s="57" t="s">
        <v>209</v>
      </c>
      <c r="F3483" s="12">
        <f>_xlfn.XLOOKUP(Table134526_79101120212223242526[[#This Row],[Name Surname]],Manpower!C:C,Manpower!D:D,)</f>
        <v>141365164</v>
      </c>
      <c r="G3483" s="61" t="str">
        <f>_xlfn.XLOOKUP(Table134526_79101120212223242526[[#This Row],[Name Surname]],Manpower!$C$4:$C$1048576,Manpower!$F$4:$F$1048576,"")</f>
        <v>Helper</v>
      </c>
      <c r="H3483" s="61" t="str">
        <f>_xlfn.XLOOKUP(Table134526_79101120212223242526[[#This Row],[Name Surname]],Manpower!$C$4:$C$1048576,Manpower!$H$4:$H$1048576,"")</f>
        <v>Manpower</v>
      </c>
      <c r="I3483" s="28" t="str">
        <f>_xlfn.XLOOKUP(Table134526_79101120212223242526[[#This Row],[Name Surname]],Manpower!$C$4:$C$1048576,Manpower!$H$4:$H$1048576,"")</f>
        <v>Manpower</v>
      </c>
      <c r="J3483" s="21" t="s">
        <v>35</v>
      </c>
      <c r="K3483" s="57" t="s">
        <v>428</v>
      </c>
      <c r="L3483" s="57" t="s">
        <v>82</v>
      </c>
      <c r="M3483" s="57" t="s">
        <v>24</v>
      </c>
      <c r="N3483" s="62">
        <v>10</v>
      </c>
      <c r="O3483" s="21" t="s">
        <v>25</v>
      </c>
      <c r="P3483" s="21" t="s">
        <v>41</v>
      </c>
      <c r="Q3483" s="21" t="s">
        <v>60</v>
      </c>
      <c r="R3483" s="57" t="s">
        <v>429</v>
      </c>
    </row>
    <row r="3484" spans="1:18" ht="14.4" hidden="1">
      <c r="A3484" s="38">
        <f>IF(C3484="","",MAX($A$1:A3483)+1)</f>
        <v>3194</v>
      </c>
      <c r="B3484" s="66" t="s">
        <v>141</v>
      </c>
      <c r="C3484" s="60">
        <v>46110</v>
      </c>
      <c r="D3484" s="61" t="str">
        <f>_xlfn.XLOOKUP(Table134526_79101120212223242526[[#This Row],[Name Surname]],Manpower!$C$4:$C$1048576,Manpower!$B$4:$B$1048576,"")</f>
        <v>Encogroup</v>
      </c>
      <c r="E3484" s="57" t="s">
        <v>122</v>
      </c>
      <c r="F3484" s="12">
        <f>_xlfn.XLOOKUP(Table134526_79101120212223242526[[#This Row],[Name Surname]],Manpower!C:C,Manpower!D:D,)</f>
        <v>140805554</v>
      </c>
      <c r="G3484" s="61" t="str">
        <f>_xlfn.XLOOKUP(Table134526_79101120212223242526[[#This Row],[Name Surname]],Manpower!$C$4:$C$1048576,Manpower!$F$4:$F$1048576,"")</f>
        <v>Assistant/Helper</v>
      </c>
      <c r="H3484" s="61" t="str">
        <f>_xlfn.XLOOKUP(Table134526_79101120212223242526[[#This Row],[Name Surname]],Manpower!$C$4:$C$1048576,Manpower!$H$4:$H$1048576,"")</f>
        <v>Manpower</v>
      </c>
      <c r="I3484" s="28" t="str">
        <f>_xlfn.XLOOKUP(Table134526_79101120212223242526[[#This Row],[Name Surname]],Manpower!$C$4:$C$1048576,Manpower!$H$4:$H$1048576,"")</f>
        <v>Manpower</v>
      </c>
      <c r="J3484" s="21" t="s">
        <v>35</v>
      </c>
      <c r="K3484" s="57" t="s">
        <v>428</v>
      </c>
      <c r="L3484" s="57" t="s">
        <v>82</v>
      </c>
      <c r="M3484" s="57" t="s">
        <v>24</v>
      </c>
      <c r="N3484" s="62">
        <v>10</v>
      </c>
      <c r="O3484" s="21" t="s">
        <v>25</v>
      </c>
      <c r="P3484" s="21" t="s">
        <v>41</v>
      </c>
      <c r="Q3484" s="21" t="s">
        <v>77</v>
      </c>
      <c r="R3484" s="57" t="s">
        <v>429</v>
      </c>
    </row>
    <row r="3485" spans="1:18" ht="14.4" hidden="1">
      <c r="A3485" s="38">
        <f>IF(C3485="","",MAX($A$1:A3484)+1)</f>
        <v>3195</v>
      </c>
      <c r="B3485" s="66" t="s">
        <v>141</v>
      </c>
      <c r="C3485" s="60">
        <v>46110</v>
      </c>
      <c r="D3485" s="28" t="str">
        <f>_xlfn.XLOOKUP(Table134526_79101120212223242526[[#This Row],[Name Surname]],Manpower!$C$4:$C$1048576,Manpower!$B$4:$B$1048576,"")</f>
        <v>Encogroup</v>
      </c>
      <c r="E3485" s="21" t="s">
        <v>286</v>
      </c>
      <c r="F3485" s="12">
        <f>_xlfn.XLOOKUP(Table134526_79101120212223242526[[#This Row],[Name Surname]],Manpower!C:C,Manpower!D:D,)</f>
        <v>1487544</v>
      </c>
      <c r="G3485" s="28" t="str">
        <f>_xlfn.XLOOKUP(Table134526_79101120212223242526[[#This Row],[Name Surname]],Manpower!$C$4:$C$1048576,Manpower!$F$4:$F$1048576,"")</f>
        <v>Driver</v>
      </c>
      <c r="H3485" s="28" t="str">
        <f>_xlfn.XLOOKUP(Table134526_79101120212223242526[[#This Row],[Name Surname]],Manpower!$C$4:$C$1048576,Manpower!$H$4:$H$1048576,"")</f>
        <v>Manpower</v>
      </c>
      <c r="I3485" s="28" t="str">
        <f>_xlfn.XLOOKUP(Table134526_79101120212223242526[[#This Row],[Name Surname]],Manpower!$C$4:$C$1048576,Manpower!$H$4:$H$1048576,"")</f>
        <v>Manpower</v>
      </c>
      <c r="J3485" s="21" t="s">
        <v>135</v>
      </c>
      <c r="K3485" s="57" t="s">
        <v>26</v>
      </c>
      <c r="L3485" s="57" t="s">
        <v>82</v>
      </c>
      <c r="M3485" s="57" t="s">
        <v>24</v>
      </c>
      <c r="N3485" s="62">
        <v>10</v>
      </c>
      <c r="O3485" s="21" t="s">
        <v>40</v>
      </c>
      <c r="P3485" s="21" t="s">
        <v>41</v>
      </c>
      <c r="Q3485" s="21" t="s">
        <v>42</v>
      </c>
      <c r="R3485" s="21" t="s">
        <v>26</v>
      </c>
    </row>
    <row r="3486" spans="1:18" ht="14.4" hidden="1">
      <c r="A3486" s="38">
        <f>IF(C3486="","",MAX($A$1:A3485)+1)</f>
        <v>3196</v>
      </c>
      <c r="B3486" s="66" t="s">
        <v>141</v>
      </c>
      <c r="C3486" s="60">
        <v>46110</v>
      </c>
      <c r="D3486" s="28" t="str">
        <f>_xlfn.XLOOKUP(Table134526_79101120212223242526[[#This Row],[Name Surname]],Manpower!$C$4:$C$1048576,Manpower!$B$4:$B$1048576,"")</f>
        <v xml:space="preserve">FAL Transport </v>
      </c>
      <c r="E3486" s="21" t="s">
        <v>225</v>
      </c>
      <c r="F3486" s="12">
        <f>_xlfn.XLOOKUP(Table134526_79101120212223242526[[#This Row],[Name Surname]],Manpower!C:C,Manpower!D:D,)</f>
        <v>124233837</v>
      </c>
      <c r="G3486" s="28" t="str">
        <f>_xlfn.XLOOKUP(Table134526_79101120212223242526[[#This Row],[Name Surname]],Manpower!$C$4:$C$1048576,Manpower!$F$4:$F$1048576,"")</f>
        <v>Trailer Driver</v>
      </c>
      <c r="H3486" s="28" t="str">
        <f>_xlfn.XLOOKUP(Table134526_79101120212223242526[[#This Row],[Name Surname]],Manpower!$C$4:$C$1048576,Manpower!$H$4:$H$1048576,"")</f>
        <v>Sub Contactor</v>
      </c>
      <c r="I3486" s="28" t="str">
        <f>_xlfn.XLOOKUP(Table134526_79101120212223242526[[#This Row],[Name Surname]],Manpower!$C$4:$C$1048576,Manpower!$H$4:$H$1048576,"")</f>
        <v>Sub Contactor</v>
      </c>
      <c r="J3486" s="21" t="s">
        <v>135</v>
      </c>
      <c r="K3486" s="57" t="s">
        <v>26</v>
      </c>
      <c r="L3486" s="57" t="s">
        <v>82</v>
      </c>
      <c r="M3486" s="57" t="s">
        <v>24</v>
      </c>
      <c r="N3486" s="62">
        <v>10</v>
      </c>
      <c r="O3486" s="21" t="s">
        <v>40</v>
      </c>
      <c r="P3486" s="21" t="s">
        <v>41</v>
      </c>
      <c r="Q3486" s="21" t="s">
        <v>42</v>
      </c>
      <c r="R3486" s="21" t="s">
        <v>26</v>
      </c>
    </row>
    <row r="3487" spans="1:18" ht="14.4" hidden="1">
      <c r="A3487" s="38">
        <f>IF(C3487="","",MAX($A$1:A3486)+1)</f>
        <v>3197</v>
      </c>
      <c r="B3487" s="66" t="s">
        <v>141</v>
      </c>
      <c r="C3487" s="60">
        <v>46110</v>
      </c>
      <c r="D3487" s="28" t="str">
        <f>_xlfn.XLOOKUP(Table134526_79101120212223242526[[#This Row],[Name Surname]],Manpower!$C$4:$C$1048576,Manpower!$B$4:$B$1048576,"")</f>
        <v>Encogroup</v>
      </c>
      <c r="E3487" s="21" t="s">
        <v>235</v>
      </c>
      <c r="F3487" s="12">
        <f>_xlfn.XLOOKUP(Table134526_79101120212223242526[[#This Row],[Name Surname]],Manpower!C:C,Manpower!D:D,)</f>
        <v>132423982</v>
      </c>
      <c r="G3487" s="28" t="str">
        <f>_xlfn.XLOOKUP(Table134526_79101120212223242526[[#This Row],[Name Surname]],Manpower!$C$4:$C$1048576,Manpower!$F$4:$F$1048576,"")</f>
        <v>Mechanic Supervisor</v>
      </c>
      <c r="H3487" s="28" t="str">
        <f>_xlfn.XLOOKUP(Table134526_79101120212223242526[[#This Row],[Name Surname]],Manpower!$C$4:$C$1048576,Manpower!$H$4:$H$1048576,"")</f>
        <v>Manpower</v>
      </c>
      <c r="I3487" s="28" t="str">
        <f>_xlfn.XLOOKUP(Table134526_79101120212223242526[[#This Row],[Name Surname]],Manpower!$C$4:$C$1048576,Manpower!$H$4:$H$1048576,"")</f>
        <v>Manpower</v>
      </c>
      <c r="J3487" s="21" t="s">
        <v>135</v>
      </c>
      <c r="K3487" s="57" t="s">
        <v>26</v>
      </c>
      <c r="L3487" s="57" t="s">
        <v>82</v>
      </c>
      <c r="M3487" s="57" t="s">
        <v>24</v>
      </c>
      <c r="N3487" s="62">
        <v>10</v>
      </c>
      <c r="O3487" s="21" t="s">
        <v>236</v>
      </c>
      <c r="P3487" s="21" t="s">
        <v>236</v>
      </c>
      <c r="Q3487" s="21" t="s">
        <v>236</v>
      </c>
      <c r="R3487" s="21" t="s">
        <v>26</v>
      </c>
    </row>
    <row r="3488" spans="1:18" ht="14.4" hidden="1">
      <c r="A3488" s="38">
        <f>IF(C3488="","",MAX($A$1:A3487)+1)</f>
        <v>3198</v>
      </c>
      <c r="B3488" s="66" t="s">
        <v>141</v>
      </c>
      <c r="C3488" s="60">
        <v>46110</v>
      </c>
      <c r="D3488" s="28" t="str">
        <f>_xlfn.XLOOKUP(Table134526_79101120212223242526[[#This Row],[Name Surname]],Manpower!$C$4:$C$1048576,Manpower!$B$4:$B$1048576,"")</f>
        <v>Encogroup</v>
      </c>
      <c r="E3488" s="21" t="s">
        <v>237</v>
      </c>
      <c r="F3488" s="12">
        <f>_xlfn.XLOOKUP(Table134526_79101120212223242526[[#This Row],[Name Surname]],Manpower!C:C,Manpower!D:D,)</f>
        <v>75199413</v>
      </c>
      <c r="G3488" s="28" t="str">
        <f>_xlfn.XLOOKUP(Table134526_79101120212223242526[[#This Row],[Name Surname]],Manpower!$C$4:$C$1048576,Manpower!$F$4:$F$1048576,"")</f>
        <v>Mechanic</v>
      </c>
      <c r="H3488" s="28" t="str">
        <f>_xlfn.XLOOKUP(Table134526_79101120212223242526[[#This Row],[Name Surname]],Manpower!$C$4:$C$1048576,Manpower!$H$4:$H$1048576,"")</f>
        <v>Manpower</v>
      </c>
      <c r="I3488" s="28" t="str">
        <f>_xlfn.XLOOKUP(Table134526_79101120212223242526[[#This Row],[Name Surname]],Manpower!$C$4:$C$1048576,Manpower!$H$4:$H$1048576,"")</f>
        <v>Manpower</v>
      </c>
      <c r="J3488" s="21" t="s">
        <v>135</v>
      </c>
      <c r="K3488" s="57" t="s">
        <v>26</v>
      </c>
      <c r="L3488" s="57" t="s">
        <v>82</v>
      </c>
      <c r="M3488" s="57" t="s">
        <v>24</v>
      </c>
      <c r="N3488" s="62">
        <v>10</v>
      </c>
      <c r="O3488" s="21" t="s">
        <v>236</v>
      </c>
      <c r="P3488" s="21" t="s">
        <v>236</v>
      </c>
      <c r="Q3488" s="21" t="s">
        <v>236</v>
      </c>
      <c r="R3488" s="21" t="s">
        <v>26</v>
      </c>
    </row>
    <row r="3489" spans="1:19" ht="14.4" hidden="1">
      <c r="A3489" s="38">
        <f>IF(C3489="","",MAX($A$1:A3488)+1)</f>
        <v>3199</v>
      </c>
      <c r="B3489" s="66" t="s">
        <v>141</v>
      </c>
      <c r="C3489" s="60">
        <v>46110</v>
      </c>
      <c r="D3489" s="28" t="str">
        <f>_xlfn.XLOOKUP(Table134526_79101120212223242526[[#This Row],[Name Surname]],Manpower!$C$4:$C$1048576,Manpower!$B$4:$B$1048576,"")</f>
        <v>Encogroup</v>
      </c>
      <c r="E3489" s="21" t="s">
        <v>398</v>
      </c>
      <c r="F3489" s="12">
        <f>_xlfn.XLOOKUP(Table134526_79101120212223242526[[#This Row],[Name Surname]],Manpower!C:C,Manpower!D:D,)</f>
        <v>81612139</v>
      </c>
      <c r="G3489" s="28" t="str">
        <f>_xlfn.XLOOKUP(Table134526_79101120212223242526[[#This Row],[Name Surname]],Manpower!$C$4:$C$1048576,Manpower!$F$4:$F$1048576,"")</f>
        <v>Mechanic</v>
      </c>
      <c r="H3489" s="28" t="str">
        <f>_xlfn.XLOOKUP(Table134526_79101120212223242526[[#This Row],[Name Surname]],Manpower!$C$4:$C$1048576,Manpower!$H$4:$H$1048576,"")</f>
        <v>Manpower</v>
      </c>
      <c r="I3489" s="28" t="str">
        <f>_xlfn.XLOOKUP(Table134526_79101120212223242526[[#This Row],[Name Surname]],Manpower!$C$4:$C$1048576,Manpower!$H$4:$H$1048576,"")</f>
        <v>Manpower</v>
      </c>
      <c r="J3489" s="21" t="s">
        <v>135</v>
      </c>
      <c r="K3489" s="57" t="s">
        <v>26</v>
      </c>
      <c r="L3489" s="57" t="s">
        <v>82</v>
      </c>
      <c r="M3489" s="57" t="s">
        <v>24</v>
      </c>
      <c r="N3489" s="62">
        <v>10</v>
      </c>
      <c r="O3489" s="21" t="s">
        <v>236</v>
      </c>
      <c r="P3489" s="21" t="s">
        <v>236</v>
      </c>
      <c r="Q3489" s="21" t="s">
        <v>236</v>
      </c>
      <c r="R3489" s="21" t="s">
        <v>26</v>
      </c>
    </row>
    <row r="3490" spans="1:19" ht="14.4" hidden="1">
      <c r="A3490" s="38">
        <f>IF(C3490="","",MAX($A$1:A3489)+1)</f>
        <v>3200</v>
      </c>
      <c r="B3490" s="66" t="s">
        <v>141</v>
      </c>
      <c r="C3490" s="60">
        <v>46110</v>
      </c>
      <c r="D3490" s="28" t="str">
        <f>_xlfn.XLOOKUP(Table134526_79101120212223242526[[#This Row],[Name Surname]],Manpower!$C$4:$C$1048576,Manpower!$B$4:$B$1048576,"")</f>
        <v>Encogroup</v>
      </c>
      <c r="E3490" s="21" t="s">
        <v>228</v>
      </c>
      <c r="F3490" s="12">
        <f>_xlfn.XLOOKUP(Table134526_79101120212223242526[[#This Row],[Name Surname]],Manpower!C:C,Manpower!D:D,)</f>
        <v>125199963</v>
      </c>
      <c r="G3490" s="28" t="str">
        <f>_xlfn.XLOOKUP(Table134526_79101120212223242526[[#This Row],[Name Surname]],Manpower!$C$4:$C$1048576,Manpower!$F$4:$F$1048576,"")</f>
        <v>Electrician</v>
      </c>
      <c r="H3490" s="28" t="str">
        <f>_xlfn.XLOOKUP(Table134526_79101120212223242526[[#This Row],[Name Surname]],Manpower!$C$4:$C$1048576,Manpower!$H$4:$H$1048576,"")</f>
        <v>Manpower</v>
      </c>
      <c r="I3490" s="28" t="str">
        <f>_xlfn.XLOOKUP(Table134526_79101120212223242526[[#This Row],[Name Surname]],Manpower!$C$4:$C$1048576,Manpower!$H$4:$H$1048576,"")</f>
        <v>Manpower</v>
      </c>
      <c r="J3490" s="21" t="s">
        <v>135</v>
      </c>
      <c r="K3490" s="57" t="s">
        <v>26</v>
      </c>
      <c r="L3490" s="57" t="s">
        <v>82</v>
      </c>
      <c r="M3490" s="57" t="s">
        <v>24</v>
      </c>
      <c r="N3490" s="62">
        <v>10</v>
      </c>
      <c r="O3490" s="21" t="s">
        <v>28</v>
      </c>
      <c r="P3490" s="21" t="s">
        <v>28</v>
      </c>
      <c r="Q3490" s="21" t="s">
        <v>28</v>
      </c>
      <c r="R3490" s="21" t="s">
        <v>26</v>
      </c>
    </row>
    <row r="3491" spans="1:19" ht="14.4" hidden="1">
      <c r="A3491" s="38">
        <f>IF(C3491="","",MAX($A$1:A3489)+1)</f>
        <v>3200</v>
      </c>
      <c r="B3491" s="66" t="s">
        <v>141</v>
      </c>
      <c r="C3491" s="60">
        <v>46110</v>
      </c>
      <c r="D3491" s="28" t="str">
        <f>_xlfn.XLOOKUP(Table134526_79101120212223242526[[#This Row],[Name Surname]],Manpower!$C$4:$C$1048576,Manpower!$B$4:$B$1048576,"")</f>
        <v>Encogroup</v>
      </c>
      <c r="E3491" s="21" t="s">
        <v>433</v>
      </c>
      <c r="F3491" s="12">
        <f>_xlfn.XLOOKUP(Table134526_79101120212223242526[[#This Row],[Name Surname]],Manpower!C:C,Manpower!D:D,)</f>
        <v>117871996</v>
      </c>
      <c r="G3491" s="28" t="str">
        <f>_xlfn.XLOOKUP(Table134526_79101120212223242526[[#This Row],[Name Surname]],Manpower!$C$4:$C$1048576,Manpower!$F$4:$F$1048576,"")</f>
        <v>Electrical  Supervisor</v>
      </c>
      <c r="H3491" s="28" t="str">
        <f>_xlfn.XLOOKUP(Table134526_79101120212223242526[[#This Row],[Name Surname]],Manpower!$C$4:$C$1048576,Manpower!$H$4:$H$1048576,"")</f>
        <v>Manpower</v>
      </c>
      <c r="I3491" s="28" t="str">
        <f>_xlfn.XLOOKUP(Table134526_79101120212223242526[[#This Row],[Name Surname]],Manpower!$C$4:$C$1048576,Manpower!$H$4:$H$1048576,"")</f>
        <v>Manpower</v>
      </c>
      <c r="J3491" s="21" t="s">
        <v>135</v>
      </c>
      <c r="K3491" s="57" t="s">
        <v>26</v>
      </c>
      <c r="L3491" s="57" t="s">
        <v>82</v>
      </c>
      <c r="M3491" s="57" t="s">
        <v>24</v>
      </c>
      <c r="N3491" s="62">
        <v>10</v>
      </c>
      <c r="O3491" s="21" t="s">
        <v>28</v>
      </c>
      <c r="P3491" s="21" t="s">
        <v>28</v>
      </c>
      <c r="Q3491" s="21" t="s">
        <v>28</v>
      </c>
      <c r="R3491" s="21" t="s">
        <v>26</v>
      </c>
    </row>
    <row r="3492" spans="1:19" ht="14.4" hidden="1">
      <c r="A3492" s="38">
        <f>IF(C3492="","",MAX($A$1:A3489)+1)</f>
        <v>3200</v>
      </c>
      <c r="B3492" s="66" t="s">
        <v>141</v>
      </c>
      <c r="C3492" s="60">
        <v>46110</v>
      </c>
      <c r="D3492" s="28" t="str">
        <f>_xlfn.XLOOKUP(Table134526_79101120212223242526[[#This Row],[Name Surname]],Manpower!$C$4:$C$1048576,Manpower!$B$4:$B$1048576,"")</f>
        <v>Encogroup</v>
      </c>
      <c r="E3492" s="21" t="s">
        <v>375</v>
      </c>
      <c r="F3492" s="12">
        <f>_xlfn.XLOOKUP(Table134526_79101120212223242526[[#This Row],[Name Surname]],Manpower!C:C,Manpower!D:D,)</f>
        <v>130805123</v>
      </c>
      <c r="G3492" s="28" t="str">
        <f>_xlfn.XLOOKUP(Table134526_79101120212223242526[[#This Row],[Name Surname]],Manpower!$C$4:$C$1048576,Manpower!$F$4:$F$1048576,"")</f>
        <v>Mechanic</v>
      </c>
      <c r="H3492" s="28" t="str">
        <f>_xlfn.XLOOKUP(Table134526_79101120212223242526[[#This Row],[Name Surname]],Manpower!$C$4:$C$1048576,Manpower!$H$4:$H$1048576,"")</f>
        <v>Manpower</v>
      </c>
      <c r="I3492" s="28" t="str">
        <f>_xlfn.XLOOKUP(Table134526_79101120212223242526[[#This Row],[Name Surname]],Manpower!$C$4:$C$1048576,Manpower!$H$4:$H$1048576,"")</f>
        <v>Manpower</v>
      </c>
      <c r="J3492" s="21" t="s">
        <v>135</v>
      </c>
      <c r="K3492" s="57" t="s">
        <v>26</v>
      </c>
      <c r="L3492" s="57" t="s">
        <v>82</v>
      </c>
      <c r="M3492" s="57" t="s">
        <v>24</v>
      </c>
      <c r="N3492" s="62">
        <v>10</v>
      </c>
      <c r="O3492" s="21" t="s">
        <v>236</v>
      </c>
      <c r="P3492" s="21" t="s">
        <v>236</v>
      </c>
      <c r="Q3492" s="21" t="s">
        <v>236</v>
      </c>
      <c r="R3492" s="21" t="s">
        <v>26</v>
      </c>
    </row>
    <row r="3493" spans="1:19" ht="14.4" hidden="1">
      <c r="A3493" s="38">
        <f>IF(C3493="","",MAX($A$1:A3492)+1)</f>
        <v>3201</v>
      </c>
      <c r="B3493" s="66" t="s">
        <v>141</v>
      </c>
      <c r="C3493" s="60">
        <v>46110</v>
      </c>
      <c r="D3493" s="28" t="str">
        <f>_xlfn.XLOOKUP(Table134526_79101120212223242526[[#This Row],[Name Surname]],Manpower!$C$4:$C$1048576,Manpower!$B$4:$B$1048576,"")</f>
        <v>Encogroup</v>
      </c>
      <c r="E3493" s="21" t="s">
        <v>434</v>
      </c>
      <c r="F3493" s="12">
        <f>_xlfn.XLOOKUP(Table134526_79101120212223242526[[#This Row],[Name Surname]],Manpower!C:C,Manpower!D:D,)</f>
        <v>140623552</v>
      </c>
      <c r="G3493" s="28" t="str">
        <f>_xlfn.XLOOKUP(Table134526_79101120212223242526[[#This Row],[Name Surname]],Manpower!$C$4:$C$1048576,Manpower!$F$4:$F$1048576,"")</f>
        <v>Mechanic</v>
      </c>
      <c r="H3493" s="28" t="str">
        <f>_xlfn.XLOOKUP(Table134526_79101120212223242526[[#This Row],[Name Surname]],Manpower!$C$4:$C$1048576,Manpower!$H$4:$H$1048576,"")</f>
        <v>Manpower</v>
      </c>
      <c r="I3493" s="28" t="str">
        <f>_xlfn.XLOOKUP(Table134526_79101120212223242526[[#This Row],[Name Surname]],Manpower!$C$4:$C$1048576,Manpower!$H$4:$H$1048576,"")</f>
        <v>Manpower</v>
      </c>
      <c r="J3493" s="21" t="s">
        <v>135</v>
      </c>
      <c r="K3493" s="57" t="s">
        <v>26</v>
      </c>
      <c r="L3493" s="57" t="s">
        <v>82</v>
      </c>
      <c r="M3493" s="57" t="s">
        <v>24</v>
      </c>
      <c r="N3493" s="62">
        <v>10</v>
      </c>
      <c r="O3493" s="21" t="s">
        <v>236</v>
      </c>
      <c r="P3493" s="21" t="s">
        <v>236</v>
      </c>
      <c r="Q3493" s="21" t="s">
        <v>236</v>
      </c>
      <c r="R3493" s="21" t="s">
        <v>26</v>
      </c>
    </row>
    <row r="3494" spans="1:19" ht="14.4" hidden="1">
      <c r="A3494" s="38">
        <f>IF(C3494="","",MAX($A$1:A3488)+1)</f>
        <v>3199</v>
      </c>
      <c r="B3494" s="66" t="s">
        <v>141</v>
      </c>
      <c r="C3494" s="60">
        <v>46110</v>
      </c>
      <c r="D3494" s="28" t="str">
        <f>_xlfn.XLOOKUP(Table134526_79101120212223242526[[#This Row],[Name Surname]],Manpower!$C$4:$C$1048576,Manpower!$B$4:$B$1048576,"")</f>
        <v>Encogroup</v>
      </c>
      <c r="E3494" s="21" t="s">
        <v>87</v>
      </c>
      <c r="F3494" s="12">
        <f>_xlfn.XLOOKUP(Table134526_79101120212223242526[[#This Row],[Name Surname]],Manpower!C:C,Manpower!D:D,)</f>
        <v>126724428</v>
      </c>
      <c r="G3494" s="28" t="str">
        <f>_xlfn.XLOOKUP(Table134526_79101120212223242526[[#This Row],[Name Surname]],Manpower!$C$4:$C$1048576,Manpower!$F$4:$F$1048576,"")</f>
        <v>Surveyor</v>
      </c>
      <c r="H3494" s="28" t="str">
        <f>_xlfn.XLOOKUP(Table134526_79101120212223242526[[#This Row],[Name Surname]],Manpower!$C$4:$C$1048576,Manpower!$H$4:$H$1048576,"")</f>
        <v>Manpower</v>
      </c>
      <c r="I3494" s="28" t="str">
        <f>_xlfn.XLOOKUP(Table134526_79101120212223242526[[#This Row],[Name Surname]],Manpower!$C$4:$C$1048576,Manpower!$H$4:$H$1048576,"")</f>
        <v>Manpower</v>
      </c>
      <c r="J3494" s="21" t="s">
        <v>35</v>
      </c>
      <c r="K3494" s="57" t="s">
        <v>428</v>
      </c>
      <c r="L3494" s="57" t="s">
        <v>82</v>
      </c>
      <c r="M3494" s="57" t="s">
        <v>24</v>
      </c>
      <c r="N3494" s="62">
        <v>10</v>
      </c>
      <c r="O3494" s="21" t="s">
        <v>89</v>
      </c>
      <c r="P3494" s="21" t="s">
        <v>89</v>
      </c>
      <c r="Q3494" s="21" t="s">
        <v>89</v>
      </c>
      <c r="R3494" s="57" t="s">
        <v>429</v>
      </c>
    </row>
    <row r="3495" spans="1:19" ht="14.4" hidden="1">
      <c r="A3495" s="38">
        <f>IF(C3495="","",MAX($A$1:A3494)+1)</f>
        <v>3202</v>
      </c>
      <c r="B3495" s="66" t="s">
        <v>141</v>
      </c>
      <c r="C3495" s="60">
        <v>46110</v>
      </c>
      <c r="D3495" s="28" t="str">
        <f>_xlfn.XLOOKUP(Table134526_79101120212223242526[[#This Row],[Name Surname]],Manpower!$C$4:$C$1048576,Manpower!$B$4:$B$1048576,"")</f>
        <v>Encogroup</v>
      </c>
      <c r="E3495" s="21" t="s">
        <v>34</v>
      </c>
      <c r="F3495" s="12">
        <f>_xlfn.XLOOKUP(Table134526_79101120212223242526[[#This Row],[Name Surname]],Manpower!C:C,Manpower!D:D,)</f>
        <v>141365023</v>
      </c>
      <c r="G3495" s="28" t="str">
        <f>_xlfn.XLOOKUP(Table134526_79101120212223242526[[#This Row],[Name Surname]],Manpower!$C$4:$C$1048576,Manpower!$F$4:$F$1048576,"")</f>
        <v>Grinder</v>
      </c>
      <c r="H3495" s="28" t="str">
        <f>_xlfn.XLOOKUP(Table134526_79101120212223242526[[#This Row],[Name Surname]],Manpower!$C$4:$C$1048576,Manpower!$H$4:$H$1048576,"")</f>
        <v>Manpower</v>
      </c>
      <c r="I3495" s="28" t="str">
        <f>_xlfn.XLOOKUP(Table134526_79101120212223242526[[#This Row],[Name Surname]],Manpower!$C$4:$C$1048576,Manpower!$H$4:$H$1048576,"")</f>
        <v>Manpower</v>
      </c>
      <c r="J3495" s="21" t="s">
        <v>35</v>
      </c>
      <c r="K3495" s="57" t="s">
        <v>428</v>
      </c>
      <c r="L3495" s="57" t="s">
        <v>82</v>
      </c>
      <c r="M3495" s="57" t="s">
        <v>24</v>
      </c>
      <c r="N3495" s="62">
        <v>10</v>
      </c>
      <c r="O3495" s="21" t="s">
        <v>89</v>
      </c>
      <c r="P3495" s="21" t="s">
        <v>89</v>
      </c>
      <c r="Q3495" s="21" t="s">
        <v>89</v>
      </c>
      <c r="R3495" s="57" t="s">
        <v>429</v>
      </c>
    </row>
    <row r="3496" spans="1:19" ht="14.4" hidden="1">
      <c r="A3496" s="38">
        <f>IF(C3496="","",MAX($A$1:A3484)+1)</f>
        <v>3195</v>
      </c>
      <c r="B3496" s="66" t="s">
        <v>141</v>
      </c>
      <c r="C3496" s="60">
        <v>46110</v>
      </c>
      <c r="D3496" s="61" t="str">
        <f>_xlfn.XLOOKUP(Table134526_79101120212223242526[[#This Row],[Name Surname]],Manpower!$C$4:$C$1048576,Manpower!$B$4:$B$1048576,"")</f>
        <v>AL Saif &amp; Al QALLM ENT LLC</v>
      </c>
      <c r="E3496" s="57" t="s">
        <v>132</v>
      </c>
      <c r="F3496" s="12">
        <f>_xlfn.XLOOKUP(Table134526_79101120212223242526[[#This Row],[Name Surname]],Manpower!C:C,Manpower!D:D,)</f>
        <v>135762195</v>
      </c>
      <c r="G3496" s="61" t="str">
        <f>_xlfn.XLOOKUP(Table134526_79101120212223242526[[#This Row],[Name Surname]],Manpower!$C$4:$C$1048576,Manpower!$F$4:$F$1048576,"")</f>
        <v>HSE Officer</v>
      </c>
      <c r="H3496" s="61" t="str">
        <f>_xlfn.XLOOKUP(Table134526_79101120212223242526[[#This Row],[Name Surname]],Manpower!$C$4:$C$1048576,Manpower!$H$4:$H$1048576,"")</f>
        <v>Sub Contactor</v>
      </c>
      <c r="I3496" s="28" t="str">
        <f>_xlfn.XLOOKUP(Table134526_79101120212223242526[[#This Row],[Name Surname]],Manpower!$C$4:$C$1048576,Manpower!$H$4:$H$1048576,"")</f>
        <v>Sub Contactor</v>
      </c>
      <c r="J3496" s="21" t="s">
        <v>35</v>
      </c>
      <c r="K3496" s="57" t="s">
        <v>428</v>
      </c>
      <c r="L3496" s="57" t="s">
        <v>82</v>
      </c>
      <c r="M3496" s="57" t="s">
        <v>24</v>
      </c>
      <c r="N3496" s="62">
        <v>10</v>
      </c>
      <c r="O3496" s="21" t="s">
        <v>25</v>
      </c>
      <c r="P3496" s="21" t="s">
        <v>41</v>
      </c>
      <c r="Q3496" s="21" t="s">
        <v>60</v>
      </c>
      <c r="R3496" s="57" t="s">
        <v>429</v>
      </c>
    </row>
    <row r="3497" spans="1:19" ht="14.4" hidden="1">
      <c r="A3497" s="38">
        <f>IF(C3497="","",MAX($A$1:A3496)+1)</f>
        <v>3203</v>
      </c>
      <c r="B3497" s="66" t="s">
        <v>141</v>
      </c>
      <c r="C3497" s="60">
        <v>46110</v>
      </c>
      <c r="D3497" s="61" t="str">
        <f>_xlfn.XLOOKUP(Table134526_79101120212223242526[[#This Row],[Name Surname]],Manpower!$C$4:$C$1048576,Manpower!$B$4:$B$1048576,"")</f>
        <v>Encogroup</v>
      </c>
      <c r="E3497" s="57" t="s">
        <v>133</v>
      </c>
      <c r="F3497" s="12">
        <f>_xlfn.XLOOKUP(Table134526_79101120212223242526[[#This Row],[Name Surname]],Manpower!C:C,Manpower!D:D,)</f>
        <v>140846684</v>
      </c>
      <c r="G3497" s="61" t="str">
        <f>_xlfn.XLOOKUP(Table134526_79101120212223242526[[#This Row],[Name Surname]],Manpower!$C$4:$C$1048576,Manpower!$F$4:$F$1048576,"")</f>
        <v>Assistant/Helper</v>
      </c>
      <c r="H3497" s="61" t="str">
        <f>_xlfn.XLOOKUP(Table134526_79101120212223242526[[#This Row],[Name Surname]],Manpower!$C$4:$C$1048576,Manpower!$H$4:$H$1048576,"")</f>
        <v>Manpower</v>
      </c>
      <c r="I3497" s="28" t="str">
        <f>_xlfn.XLOOKUP(Table134526_79101120212223242526[[#This Row],[Name Surname]],Manpower!$C$4:$C$1048576,Manpower!$H$4:$H$1048576,"")</f>
        <v>Manpower</v>
      </c>
      <c r="J3497" s="21" t="s">
        <v>35</v>
      </c>
      <c r="K3497" s="57" t="s">
        <v>430</v>
      </c>
      <c r="L3497" s="57" t="s">
        <v>82</v>
      </c>
      <c r="M3497" s="57" t="s">
        <v>24</v>
      </c>
      <c r="N3497" s="62">
        <v>10</v>
      </c>
      <c r="O3497" s="21" t="s">
        <v>25</v>
      </c>
      <c r="P3497" s="21" t="s">
        <v>41</v>
      </c>
      <c r="Q3497" s="21" t="s">
        <v>60</v>
      </c>
      <c r="R3497" s="57" t="s">
        <v>429</v>
      </c>
    </row>
    <row r="3498" spans="1:19" ht="14.4">
      <c r="A3498" s="38">
        <f>IF(C3498="","",MAX($A$1:A3497)+1)</f>
        <v>3204</v>
      </c>
      <c r="B3498" s="66" t="s">
        <v>141</v>
      </c>
      <c r="C3498" s="60">
        <v>46110</v>
      </c>
      <c r="D3498" s="28" t="str">
        <f>_xlfn.XLOOKUP(Table134526_79101120212223242526[[#This Row],[Name Surname]],Manpower!$C$4:$C$1048576,Manpower!$B$4:$B$1048576,"")</f>
        <v>Encogroup</v>
      </c>
      <c r="E3498" s="21" t="s">
        <v>137</v>
      </c>
      <c r="F3498" s="12" t="e">
        <f>_xlfn.XLOOKUP(Table134526_79101120212223242526[[#This Row],[Name Surname]],Manpower!C:C,Manpower!D:D,)</f>
        <v>#N/A</v>
      </c>
      <c r="G3498" s="28" t="str">
        <f>_xlfn.XLOOKUP(Table134526_79101120212223242526[[#This Row],[Name Surname]],Manpower!$C$4:$C$1048576,Manpower!$F$4:$F$1048576,"")</f>
        <v>55 Seat Bus</v>
      </c>
      <c r="H3498" s="28" t="str">
        <f>_xlfn.XLOOKUP(Table134526_79101120212223242526[[#This Row],[Name Surname]],Manpower!$C$4:$C$1048576,Manpower!$H$4:$H$1048576,"")</f>
        <v>Equipment</v>
      </c>
      <c r="I3498" s="28" t="str">
        <f>_xlfn.XLOOKUP(Table134526_79101120212223242526[[#This Row],[Name Surname]],Manpower!$C$4:$C$1048576,Manpower!$H$4:$H$1048576,"")</f>
        <v>Equipment</v>
      </c>
      <c r="J3498" s="21" t="s">
        <v>35</v>
      </c>
      <c r="K3498" s="57" t="s">
        <v>428</v>
      </c>
      <c r="L3498" s="57" t="s">
        <v>82</v>
      </c>
      <c r="M3498" s="57" t="s">
        <v>24</v>
      </c>
      <c r="N3498" s="62">
        <v>10</v>
      </c>
      <c r="O3498" s="21" t="s">
        <v>138</v>
      </c>
      <c r="P3498" s="21" t="s">
        <v>138</v>
      </c>
      <c r="Q3498" s="21" t="s">
        <v>138</v>
      </c>
      <c r="R3498" s="57" t="s">
        <v>429</v>
      </c>
    </row>
    <row r="3499" spans="1:19" ht="14.4">
      <c r="A3499" s="38">
        <f>IF(C3499="","",MAX($A$1:A3498)+1)</f>
        <v>3205</v>
      </c>
      <c r="B3499" s="66" t="s">
        <v>141</v>
      </c>
      <c r="C3499" s="60">
        <v>46110</v>
      </c>
      <c r="D3499" s="61" t="str">
        <f>_xlfn.XLOOKUP(Table134526_79101120212223242526[[#This Row],[Name Surname]],Manpower!$C$4:$C$1048576,Manpower!$B$4:$B$1048576,"")</f>
        <v>Encogroup</v>
      </c>
      <c r="E3499" s="57" t="s">
        <v>139</v>
      </c>
      <c r="F3499" s="12" t="e">
        <f>_xlfn.XLOOKUP(Table134526_79101120212223242526[[#This Row],[Name Surname]],Manpower!C:C,Manpower!D:D,)</f>
        <v>#N/A</v>
      </c>
      <c r="G3499" s="61" t="str">
        <f>_xlfn.XLOOKUP(Table134526_79101120212223242526[[#This Row],[Name Surname]],Manpower!$C$4:$C$1048576,Manpower!$F$4:$F$1048576,"")</f>
        <v>TOWER LIGHT</v>
      </c>
      <c r="H3499" s="61" t="str">
        <f>_xlfn.XLOOKUP(Table134526_79101120212223242526[[#This Row],[Name Surname]],Manpower!$C$4:$C$1048576,Manpower!$H$4:$H$1048576,"")</f>
        <v>Equipment</v>
      </c>
      <c r="I3499" s="28" t="str">
        <f>_xlfn.XLOOKUP(Table134526_79101120212223242526[[#This Row],[Name Surname]],Manpower!$C$4:$C$1048576,Manpower!$H$4:$H$1048576,"")</f>
        <v>Equipment</v>
      </c>
      <c r="J3499" s="21" t="s">
        <v>35</v>
      </c>
      <c r="K3499" s="57" t="s">
        <v>428</v>
      </c>
      <c r="L3499" s="57" t="s">
        <v>82</v>
      </c>
      <c r="M3499" s="57" t="s">
        <v>24</v>
      </c>
      <c r="N3499" s="62">
        <v>10</v>
      </c>
      <c r="O3499" s="21" t="s">
        <v>140</v>
      </c>
      <c r="P3499" s="21" t="s">
        <v>140</v>
      </c>
      <c r="Q3499" s="21" t="s">
        <v>140</v>
      </c>
      <c r="R3499" s="57" t="s">
        <v>429</v>
      </c>
    </row>
    <row r="3500" spans="1:19" ht="14.4">
      <c r="A3500" s="38">
        <f>IF(C3500="","",MAX($A$1:A3499)+1)</f>
        <v>3206</v>
      </c>
      <c r="B3500" s="66" t="s">
        <v>141</v>
      </c>
      <c r="C3500" s="60">
        <v>46110</v>
      </c>
      <c r="D3500" s="61" t="str">
        <f>_xlfn.XLOOKUP(Table134526_79101120212223242526[[#This Row],[Name Surname]],Manpower!$C$4:$C$1048576,Manpower!$B$4:$B$1048576,"")</f>
        <v>Encogroup</v>
      </c>
      <c r="E3500" s="57" t="s">
        <v>355</v>
      </c>
      <c r="F3500" s="12" t="e">
        <f>_xlfn.XLOOKUP(Table134526_79101120212223242526[[#This Row],[Name Surname]],Manpower!C:C,Manpower!D:D,)</f>
        <v>#N/A</v>
      </c>
      <c r="G3500" s="61" t="str">
        <f>_xlfn.XLOOKUP(Table134526_79101120212223242526[[#This Row],[Name Surname]],Manpower!$C$4:$C$1048576,Manpower!$F$4:$F$1048576,"")</f>
        <v>TOWER LIGHT</v>
      </c>
      <c r="H3500" s="61" t="str">
        <f>_xlfn.XLOOKUP(Table134526_79101120212223242526[[#This Row],[Name Surname]],Manpower!$C$4:$C$1048576,Manpower!$H$4:$H$1048576,"")</f>
        <v>Equipment</v>
      </c>
      <c r="I3500" s="28" t="str">
        <f>_xlfn.XLOOKUP(Table134526_79101120212223242526[[#This Row],[Name Surname]],Manpower!$C$4:$C$1048576,Manpower!$H$4:$H$1048576,"")</f>
        <v>Equipment</v>
      </c>
      <c r="J3500" s="21" t="s">
        <v>35</v>
      </c>
      <c r="K3500" s="57" t="s">
        <v>428</v>
      </c>
      <c r="L3500" s="57" t="s">
        <v>82</v>
      </c>
      <c r="M3500" s="57" t="s">
        <v>24</v>
      </c>
      <c r="N3500" s="62">
        <v>10</v>
      </c>
      <c r="O3500" s="21" t="s">
        <v>140</v>
      </c>
      <c r="P3500" s="21" t="s">
        <v>140</v>
      </c>
      <c r="Q3500" s="21" t="s">
        <v>140</v>
      </c>
      <c r="R3500" s="57" t="s">
        <v>429</v>
      </c>
    </row>
    <row r="3501" spans="1:19" ht="14.4">
      <c r="A3501" s="38">
        <f>IF(C3501="","",MAX($A$1:A3500)+1)</f>
        <v>3207</v>
      </c>
      <c r="B3501" s="66" t="s">
        <v>141</v>
      </c>
      <c r="C3501" s="60">
        <v>46110</v>
      </c>
      <c r="D3501" s="61" t="str">
        <f>_xlfn.XLOOKUP(Table134526_79101120212223242526[[#This Row],[Name Surname]],Manpower!$C$4:$C$1048576,Manpower!$B$4:$B$1048576,"")</f>
        <v>Nass Group</v>
      </c>
      <c r="E3501" s="57" t="s">
        <v>148</v>
      </c>
      <c r="F3501" s="12" t="e">
        <f>_xlfn.XLOOKUP(Table134526_79101120212223242526[[#This Row],[Name Surname]],Manpower!C:C,Manpower!D:D,)</f>
        <v>#N/A</v>
      </c>
      <c r="G3501" s="61" t="str">
        <f>_xlfn.XLOOKUP(Table134526_79101120212223242526[[#This Row],[Name Surname]],Manpower!$C$4:$C$1048576,Manpower!$F$4:$F$1048576,"")</f>
        <v>70T-Telescopic crane</v>
      </c>
      <c r="H3501" s="61" t="str">
        <f>_xlfn.XLOOKUP(Table134526_79101120212223242526[[#This Row],[Name Surname]],Manpower!$C$4:$C$1048576,Manpower!$H$4:$H$1048576,"")</f>
        <v>Equipment</v>
      </c>
      <c r="I3501" s="28" t="str">
        <f>_xlfn.XLOOKUP(Table134526_79101120212223242526[[#This Row],[Name Surname]],Manpower!$C$4:$C$1048576,Manpower!$H$4:$H$1048576,"")</f>
        <v>Equipment</v>
      </c>
      <c r="J3501" s="21" t="s">
        <v>143</v>
      </c>
      <c r="K3501" s="57" t="s">
        <v>26</v>
      </c>
      <c r="L3501" s="57" t="s">
        <v>435</v>
      </c>
      <c r="M3501" s="57" t="s">
        <v>24</v>
      </c>
      <c r="N3501" s="62">
        <v>10</v>
      </c>
      <c r="O3501" s="21" t="s">
        <v>40</v>
      </c>
      <c r="P3501" s="21" t="s">
        <v>42</v>
      </c>
      <c r="Q3501" s="21" t="s">
        <v>42</v>
      </c>
      <c r="R3501" s="57" t="s">
        <v>436</v>
      </c>
    </row>
    <row r="3502" spans="1:19" ht="14.4">
      <c r="A3502" s="38">
        <f>IF(C3502="","",MAX($A$1:A3501)+1)</f>
        <v>3208</v>
      </c>
      <c r="B3502" s="66" t="s">
        <v>141</v>
      </c>
      <c r="C3502" s="60">
        <v>46110</v>
      </c>
      <c r="D3502" s="28" t="str">
        <f>_xlfn.XLOOKUP(Table134526_79101120212223242526[[#This Row],[Name Surname]],Manpower!$C$4:$C$1048576,Manpower!$B$4:$B$1048576,"")</f>
        <v>Riyan Al Khaleej</v>
      </c>
      <c r="E3502" s="21" t="s">
        <v>20</v>
      </c>
      <c r="F3502" s="12" t="e">
        <f>_xlfn.XLOOKUP(Table134526_79101120212223242526[[#This Row],[Name Surname]],Manpower!C:C,Manpower!D:D,)</f>
        <v>#N/A</v>
      </c>
      <c r="G3502" s="28" t="str">
        <f>_xlfn.XLOOKUP(Table134526_79101120212223242526[[#This Row],[Name Surname]],Manpower!$C$4:$C$1048576,Manpower!$F$4:$F$1048576,"")</f>
        <v>100T Telescopic Crane</v>
      </c>
      <c r="H3502" s="28" t="str">
        <f>_xlfn.XLOOKUP(Table134526_79101120212223242526[[#This Row],[Name Surname]],Manpower!$C$4:$C$1048576,Manpower!$H$4:$H$1048576,"")</f>
        <v>Equipment</v>
      </c>
      <c r="I3502" s="28" t="str">
        <f>_xlfn.XLOOKUP(Table134526_79101120212223242526[[#This Row],[Name Surname]],Manpower!$C$4:$C$1048576,Manpower!$H$4:$H$1048576,"")</f>
        <v>Equipment</v>
      </c>
      <c r="J3502" s="21" t="s">
        <v>143</v>
      </c>
      <c r="L3502" s="57" t="s">
        <v>435</v>
      </c>
      <c r="M3502" s="57" t="s">
        <v>24</v>
      </c>
      <c r="N3502" s="62">
        <v>10</v>
      </c>
      <c r="O3502" s="21" t="s">
        <v>40</v>
      </c>
      <c r="P3502" s="21" t="s">
        <v>42</v>
      </c>
      <c r="Q3502" s="21" t="s">
        <v>42</v>
      </c>
      <c r="R3502" s="57" t="s">
        <v>436</v>
      </c>
    </row>
    <row r="3503" spans="1:19" ht="14.4">
      <c r="A3503" s="38">
        <f>IF(C3503="","",MAX($A$1:A3502)+1)</f>
        <v>3209</v>
      </c>
      <c r="B3503" s="66" t="s">
        <v>141</v>
      </c>
      <c r="C3503" s="60">
        <v>46110</v>
      </c>
      <c r="D3503" s="28" t="str">
        <f>_xlfn.XLOOKUP(Table134526_79101120212223242526[[#This Row],[Name Surname]],Manpower!$C$4:$C$1048576,Manpower!$B$4:$B$1048576,"")</f>
        <v>Al Jaber Heavy Lift</v>
      </c>
      <c r="E3503" s="21" t="s">
        <v>437</v>
      </c>
      <c r="F3503" s="12" t="e">
        <f>_xlfn.XLOOKUP(Table134526_79101120212223242526[[#This Row],[Name Surname]],Manpower!C:C,Manpower!D:D,)</f>
        <v>#N/A</v>
      </c>
      <c r="G3503" s="28" t="str">
        <f>_xlfn.XLOOKUP(Table134526_79101120212223242526[[#This Row],[Name Surname]],Manpower!$C$4:$C$1048576,Manpower!$F$4:$F$1048576,"")</f>
        <v>70T Crawler Crane</v>
      </c>
      <c r="H3503" s="28" t="str">
        <f>_xlfn.XLOOKUP(Table134526_79101120212223242526[[#This Row],[Name Surname]],Manpower!$C$4:$C$1048576,Manpower!$H$4:$H$1048576,"")</f>
        <v>Equipment</v>
      </c>
      <c r="I3503" s="28" t="str">
        <f>_xlfn.XLOOKUP(Table134526_79101120212223242526[[#This Row],[Name Surname]],Manpower!$C$4:$C$1048576,Manpower!$H$4:$H$1048576,"")</f>
        <v>Equipment</v>
      </c>
      <c r="J3503" s="21" t="s">
        <v>143</v>
      </c>
      <c r="L3503" s="21" t="s">
        <v>144</v>
      </c>
      <c r="M3503" s="21" t="s">
        <v>55</v>
      </c>
      <c r="N3503" s="29">
        <v>10</v>
      </c>
      <c r="R3503" s="21" t="s">
        <v>438</v>
      </c>
    </row>
    <row r="3504" spans="1:19" s="45" customFormat="1" ht="14.4" hidden="1">
      <c r="A3504" s="53">
        <f>IF(C3504="","",MAX($A$1:A3501)+1)</f>
        <v>3208</v>
      </c>
      <c r="B3504" s="54" t="s">
        <v>141</v>
      </c>
      <c r="C3504" s="55">
        <v>46110</v>
      </c>
      <c r="D3504" s="68" t="str">
        <f>_xlfn.XLOOKUP(Table134526_79101120212223242526[[#This Row],[Name Surname]],Manpower!$C$4:$C$1048576,Manpower!$B$4:$B$1048576,"")</f>
        <v>SARENS NASS</v>
      </c>
      <c r="E3504" s="51" t="s">
        <v>162</v>
      </c>
      <c r="F3504" s="12">
        <f>_xlfn.XLOOKUP(Table134526_79101120212223242526[[#This Row],[Name Surname]],Manpower!C:C,Manpower!D:D,)</f>
        <v>78753612</v>
      </c>
      <c r="G3504" s="68" t="str">
        <f>_xlfn.XLOOKUP(Table134526_79101120212223242526[[#This Row],[Name Surname]],Manpower!$C$4:$C$1048576,Manpower!$F$4:$F$1048576,"")</f>
        <v>Crane Operator- 70T Liebherr Telescopic Crane-02</v>
      </c>
      <c r="H3504" s="68" t="str">
        <f>_xlfn.XLOOKUP(Table134526_79101120212223242526[[#This Row],[Name Surname]],Manpower!$C$4:$C$1048576,Manpower!$H$4:$H$1048576,"")</f>
        <v>Manpower</v>
      </c>
      <c r="I3504" s="48" t="str">
        <f>_xlfn.XLOOKUP(Table134526_79101120212223242526[[#This Row],[Name Surname]],Manpower!$C$4:$C$1048576,Manpower!$H$4:$H$1048576,"")</f>
        <v>Manpower</v>
      </c>
      <c r="J3504" s="43" t="s">
        <v>143</v>
      </c>
      <c r="K3504" s="51" t="s">
        <v>26</v>
      </c>
      <c r="L3504" s="51" t="s">
        <v>435</v>
      </c>
      <c r="M3504" s="51" t="s">
        <v>24</v>
      </c>
      <c r="N3504" s="52">
        <v>10</v>
      </c>
      <c r="O3504" s="43" t="s">
        <v>40</v>
      </c>
      <c r="P3504" s="43" t="s">
        <v>42</v>
      </c>
      <c r="Q3504" s="43" t="s">
        <v>42</v>
      </c>
      <c r="R3504" s="51" t="s">
        <v>436</v>
      </c>
      <c r="S3504" s="43"/>
    </row>
    <row r="3505" spans="1:19" s="45" customFormat="1" ht="14.4" hidden="1">
      <c r="A3505" s="53">
        <f>IF(C3505="","",MAX($A$1:A3504)+1)</f>
        <v>3210</v>
      </c>
      <c r="B3505" s="54" t="s">
        <v>141</v>
      </c>
      <c r="C3505" s="55">
        <v>46110</v>
      </c>
      <c r="D3505" s="48" t="str">
        <f>_xlfn.XLOOKUP(Table134526_79101120212223242526[[#This Row],[Name Surname]],Manpower!$C$4:$C$1048576,Manpower!$B$4:$B$1048576,"")</f>
        <v>Rial Al Khaleej</v>
      </c>
      <c r="E3505" s="43" t="s">
        <v>38</v>
      </c>
      <c r="F3505" s="12">
        <f>_xlfn.XLOOKUP(Table134526_79101120212223242526[[#This Row],[Name Surname]],Manpower!C:C,Manpower!D:D,)</f>
        <v>98845403</v>
      </c>
      <c r="G3505" s="48" t="str">
        <f>_xlfn.XLOOKUP(Table134526_79101120212223242526[[#This Row],[Name Surname]],Manpower!$C$4:$C$1048576,Manpower!$F$4:$F$1048576,"")</f>
        <v>Crane Operator-100T Zoomlion Telescopic</v>
      </c>
      <c r="H3505" s="48" t="str">
        <f>_xlfn.XLOOKUP(Table134526_79101120212223242526[[#This Row],[Name Surname]],Manpower!$C$4:$C$1048576,Manpower!$H$4:$H$1048576,"")</f>
        <v>Manpower</v>
      </c>
      <c r="I3505" s="48" t="str">
        <f>_xlfn.XLOOKUP(Table134526_79101120212223242526[[#This Row],[Name Surname]],Manpower!$C$4:$C$1048576,Manpower!$H$4:$H$1048576,"")</f>
        <v>Manpower</v>
      </c>
      <c r="J3505" s="43" t="s">
        <v>143</v>
      </c>
      <c r="K3505" s="43"/>
      <c r="L3505" s="51" t="s">
        <v>435</v>
      </c>
      <c r="M3505" s="51" t="s">
        <v>24</v>
      </c>
      <c r="N3505" s="52">
        <v>10</v>
      </c>
      <c r="O3505" s="43" t="s">
        <v>40</v>
      </c>
      <c r="P3505" s="43" t="s">
        <v>42</v>
      </c>
      <c r="Q3505" s="43" t="s">
        <v>42</v>
      </c>
      <c r="R3505" s="51" t="s">
        <v>436</v>
      </c>
      <c r="S3505" s="43"/>
    </row>
    <row r="3506" spans="1:19" ht="14.4">
      <c r="A3506" s="38">
        <f>IF(C3506="","",MAX($A$1:A3504)+1)</f>
        <v>3210</v>
      </c>
      <c r="B3506" s="66" t="s">
        <v>141</v>
      </c>
      <c r="C3506" s="60">
        <v>46110</v>
      </c>
      <c r="D3506" s="61" t="str">
        <f>_xlfn.XLOOKUP(Table134526_79101120212223242526[[#This Row],[Name Surname]],Manpower!$C$4:$C$1048576,Manpower!$B$4:$B$1048576,"")</f>
        <v>Encogroup</v>
      </c>
      <c r="E3506" s="57" t="s">
        <v>142</v>
      </c>
      <c r="F3506" s="12" t="e">
        <f>_xlfn.XLOOKUP(Table134526_79101120212223242526[[#This Row],[Name Surname]],Manpower!C:C,Manpower!D:D,)</f>
        <v>#N/A</v>
      </c>
      <c r="G3506" s="61" t="str">
        <f>_xlfn.XLOOKUP(Table134526_79101120212223242526[[#This Row],[Name Surname]],Manpower!$C$4:$C$1048576,Manpower!$F$4:$F$1048576,"")</f>
        <v>13 Seat Bus</v>
      </c>
      <c r="H3506" s="61" t="str">
        <f>_xlfn.XLOOKUP(Table134526_79101120212223242526[[#This Row],[Name Surname]],Manpower!$C$4:$C$1048576,Manpower!$H$4:$H$1048576,"")</f>
        <v>Equipment</v>
      </c>
      <c r="I3506" s="28" t="str">
        <f>_xlfn.XLOOKUP(Table134526_79101120212223242526[[#This Row],[Name Surname]],Manpower!$C$4:$C$1048576,Manpower!$H$4:$H$1048576,"")</f>
        <v>Equipment</v>
      </c>
      <c r="J3506" s="21" t="s">
        <v>143</v>
      </c>
      <c r="K3506" s="57" t="s">
        <v>26</v>
      </c>
      <c r="L3506" s="57" t="s">
        <v>435</v>
      </c>
      <c r="M3506" s="57" t="s">
        <v>24</v>
      </c>
      <c r="N3506" s="62">
        <v>10</v>
      </c>
      <c r="O3506" s="21" t="s">
        <v>40</v>
      </c>
      <c r="P3506" s="21" t="s">
        <v>42</v>
      </c>
      <c r="Q3506" s="21" t="s">
        <v>42</v>
      </c>
      <c r="R3506" s="57" t="s">
        <v>436</v>
      </c>
    </row>
    <row r="3507" spans="1:19" ht="14.4">
      <c r="A3507" s="38">
        <f>IF(C3507="","",MAX($A$1:A3506)+1)</f>
        <v>3211</v>
      </c>
      <c r="B3507" s="66" t="s">
        <v>141</v>
      </c>
      <c r="C3507" s="60">
        <v>46110</v>
      </c>
      <c r="D3507" s="28" t="str">
        <f>_xlfn.XLOOKUP(Table134526_79101120212223242526[[#This Row],[Name Surname]],Manpower!$C$4:$C$1048576,Manpower!$B$4:$B$1048576,"")</f>
        <v>Encogroup</v>
      </c>
      <c r="E3507" s="21" t="s">
        <v>145</v>
      </c>
      <c r="F3507" s="12" t="e">
        <f>_xlfn.XLOOKUP(Table134526_79101120212223242526[[#This Row],[Name Surname]],Manpower!C:C,Manpower!D:D,)</f>
        <v>#N/A</v>
      </c>
      <c r="G3507" s="28" t="str">
        <f>_xlfn.XLOOKUP(Table134526_79101120212223242526[[#This Row],[Name Surname]],Manpower!$C$4:$C$1048576,Manpower!$F$4:$F$1048576,"")</f>
        <v>15 Seat Bus</v>
      </c>
      <c r="H3507" s="28" t="str">
        <f>_xlfn.XLOOKUP(Table134526_79101120212223242526[[#This Row],[Name Surname]],Manpower!$C$4:$C$1048576,Manpower!$H$4:$H$1048576,"")</f>
        <v>Equipment</v>
      </c>
      <c r="I3507" s="28" t="str">
        <f>_xlfn.XLOOKUP(Table134526_79101120212223242526[[#This Row],[Name Surname]],Manpower!$C$4:$C$1048576,Manpower!$H$4:$H$1048576,"")</f>
        <v>Equipment</v>
      </c>
      <c r="J3507" s="21" t="s">
        <v>143</v>
      </c>
      <c r="K3507" s="57" t="s">
        <v>26</v>
      </c>
      <c r="L3507" s="57" t="s">
        <v>435</v>
      </c>
      <c r="M3507" s="57" t="s">
        <v>24</v>
      </c>
      <c r="N3507" s="62">
        <v>10</v>
      </c>
      <c r="O3507" s="21" t="s">
        <v>40</v>
      </c>
      <c r="P3507" s="21" t="s">
        <v>42</v>
      </c>
      <c r="Q3507" s="21" t="s">
        <v>42</v>
      </c>
      <c r="R3507" s="57" t="s">
        <v>436</v>
      </c>
    </row>
    <row r="3508" spans="1:19" ht="14.4">
      <c r="A3508" s="38">
        <f>IF(C3508="","",MAX($A$1:A3507)+1)</f>
        <v>3212</v>
      </c>
      <c r="B3508" s="66" t="s">
        <v>141</v>
      </c>
      <c r="C3508" s="60">
        <v>46110</v>
      </c>
      <c r="D3508" s="61" t="str">
        <f>_xlfn.XLOOKUP(Table134526_79101120212223242526[[#This Row],[Name Surname]],Manpower!$C$4:$C$1048576,Manpower!$B$4:$B$1048576,"")</f>
        <v>Encogroup</v>
      </c>
      <c r="E3508" s="57" t="s">
        <v>150</v>
      </c>
      <c r="F3508" s="12" t="e">
        <f>_xlfn.XLOOKUP(Table134526_79101120212223242526[[#This Row],[Name Surname]],Manpower!C:C,Manpower!D:D,)</f>
        <v>#N/A</v>
      </c>
      <c r="G3508" s="61" t="str">
        <f>_xlfn.XLOOKUP(Table134526_79101120212223242526[[#This Row],[Name Surname]],Manpower!$C$4:$C$1048576,Manpower!$F$4:$F$1048576,"")</f>
        <v>14T Fork lift</v>
      </c>
      <c r="H3508" s="61" t="str">
        <f>_xlfn.XLOOKUP(Table134526_79101120212223242526[[#This Row],[Name Surname]],Manpower!$C$4:$C$1048576,Manpower!$H$4:$H$1048576,"")</f>
        <v>Equipment</v>
      </c>
      <c r="I3508" s="28" t="str">
        <f>_xlfn.XLOOKUP(Table134526_79101120212223242526[[#This Row],[Name Surname]],Manpower!$C$4:$C$1048576,Manpower!$H$4:$H$1048576,"")</f>
        <v>Equipment</v>
      </c>
      <c r="J3508" s="21" t="s">
        <v>143</v>
      </c>
      <c r="K3508" s="57" t="s">
        <v>26</v>
      </c>
      <c r="L3508" s="57" t="s">
        <v>435</v>
      </c>
      <c r="M3508" s="57" t="s">
        <v>24</v>
      </c>
      <c r="N3508" s="62">
        <v>10</v>
      </c>
      <c r="O3508" s="21" t="s">
        <v>40</v>
      </c>
      <c r="P3508" s="21" t="s">
        <v>42</v>
      </c>
      <c r="Q3508" s="21" t="s">
        <v>42</v>
      </c>
      <c r="R3508" s="57" t="s">
        <v>436</v>
      </c>
    </row>
    <row r="3509" spans="1:19" ht="14.4">
      <c r="A3509" s="38">
        <f>IF(C3509="","",MAX($A$1:A3508)+1)</f>
        <v>3213</v>
      </c>
      <c r="B3509" s="66" t="s">
        <v>141</v>
      </c>
      <c r="C3509" s="60">
        <v>46110</v>
      </c>
      <c r="D3509" s="61" t="str">
        <f>_xlfn.XLOOKUP(Table134526_79101120212223242526[[#This Row],[Name Surname]],Manpower!$C$4:$C$1048576,Manpower!$B$4:$B$1048576,"")</f>
        <v>Encogroup</v>
      </c>
      <c r="E3509" s="57" t="s">
        <v>153</v>
      </c>
      <c r="F3509" s="12" t="e">
        <f>_xlfn.XLOOKUP(Table134526_79101120212223242526[[#This Row],[Name Surname]],Manpower!C:C,Manpower!D:D,)</f>
        <v>#N/A</v>
      </c>
      <c r="G3509" s="61" t="str">
        <f>_xlfn.XLOOKUP(Table134526_79101120212223242526[[#This Row],[Name Surname]],Manpower!$C$4:$C$1048576,Manpower!$F$4:$F$1048576,"")</f>
        <v>22 Seat Bus</v>
      </c>
      <c r="H3509" s="61" t="str">
        <f>_xlfn.XLOOKUP(Table134526_79101120212223242526[[#This Row],[Name Surname]],Manpower!$C$4:$C$1048576,Manpower!$H$4:$H$1048576,"")</f>
        <v>Equipment</v>
      </c>
      <c r="I3509" s="28" t="str">
        <f>_xlfn.XLOOKUP(Table134526_79101120212223242526[[#This Row],[Name Surname]],Manpower!$C$4:$C$1048576,Manpower!$H$4:$H$1048576,"")</f>
        <v>Equipment</v>
      </c>
      <c r="J3509" s="21" t="s">
        <v>143</v>
      </c>
      <c r="K3509" s="57" t="s">
        <v>26</v>
      </c>
      <c r="L3509" s="57" t="s">
        <v>435</v>
      </c>
      <c r="M3509" s="57" t="s">
        <v>24</v>
      </c>
      <c r="N3509" s="62">
        <v>10</v>
      </c>
      <c r="O3509" s="21" t="s">
        <v>40</v>
      </c>
      <c r="P3509" s="21" t="s">
        <v>42</v>
      </c>
      <c r="Q3509" s="21" t="s">
        <v>42</v>
      </c>
      <c r="R3509" s="57" t="s">
        <v>436</v>
      </c>
    </row>
    <row r="3510" spans="1:19" ht="14.4">
      <c r="A3510" s="38">
        <f>IF(C3510="","",MAX($A$1:A3509)+1)</f>
        <v>3214</v>
      </c>
      <c r="B3510" s="66" t="s">
        <v>141</v>
      </c>
      <c r="C3510" s="60">
        <v>46110</v>
      </c>
      <c r="D3510" s="61" t="str">
        <f>_xlfn.XLOOKUP(Table134526_79101120212223242526[[#This Row],[Name Surname]],Manpower!$C$4:$C$1048576,Manpower!$B$4:$B$1048576,"")</f>
        <v>Encogroup</v>
      </c>
      <c r="E3510" s="57" t="s">
        <v>154</v>
      </c>
      <c r="F3510" s="12" t="e">
        <f>_xlfn.XLOOKUP(Table134526_79101120212223242526[[#This Row],[Name Surname]],Manpower!C:C,Manpower!D:D,)</f>
        <v>#N/A</v>
      </c>
      <c r="G3510" s="61" t="str">
        <f>_xlfn.XLOOKUP(Table134526_79101120212223242526[[#This Row],[Name Surname]],Manpower!$C$4:$C$1048576,Manpower!$F$4:$F$1048576,"")</f>
        <v>22 Seat Bus</v>
      </c>
      <c r="H3510" s="61" t="str">
        <f>_xlfn.XLOOKUP(Table134526_79101120212223242526[[#This Row],[Name Surname]],Manpower!$C$4:$C$1048576,Manpower!$H$4:$H$1048576,"")</f>
        <v>Equipment</v>
      </c>
      <c r="I3510" s="28" t="str">
        <f>_xlfn.XLOOKUP(Table134526_79101120212223242526[[#This Row],[Name Surname]],Manpower!$C$4:$C$1048576,Manpower!$H$4:$H$1048576,"")</f>
        <v>Equipment</v>
      </c>
      <c r="J3510" s="21" t="s">
        <v>143</v>
      </c>
      <c r="K3510" s="57" t="s">
        <v>26</v>
      </c>
      <c r="L3510" s="57" t="s">
        <v>435</v>
      </c>
      <c r="M3510" s="57" t="s">
        <v>24</v>
      </c>
      <c r="N3510" s="62">
        <v>10</v>
      </c>
      <c r="O3510" s="21" t="s">
        <v>40</v>
      </c>
      <c r="P3510" s="21" t="s">
        <v>42</v>
      </c>
      <c r="Q3510" s="21" t="s">
        <v>42</v>
      </c>
      <c r="R3510" s="57" t="s">
        <v>436</v>
      </c>
    </row>
    <row r="3511" spans="1:19" ht="14.4">
      <c r="A3511" s="38">
        <f>IF(C3511="","",MAX($A$1:A3510)+1)</f>
        <v>3215</v>
      </c>
      <c r="B3511" s="66" t="s">
        <v>141</v>
      </c>
      <c r="C3511" s="60">
        <v>46110</v>
      </c>
      <c r="D3511" s="61" t="str">
        <f>_xlfn.XLOOKUP(Table134526_79101120212223242526[[#This Row],[Name Surname]],Manpower!$C$4:$C$1048576,Manpower!$B$4:$B$1048576,"")</f>
        <v>Encogroup</v>
      </c>
      <c r="E3511" s="57" t="s">
        <v>155</v>
      </c>
      <c r="F3511" s="12" t="e">
        <f>_xlfn.XLOOKUP(Table134526_79101120212223242526[[#This Row],[Name Surname]],Manpower!C:C,Manpower!D:D,)</f>
        <v>#N/A</v>
      </c>
      <c r="G3511" s="61" t="str">
        <f>_xlfn.XLOOKUP(Table134526_79101120212223242526[[#This Row],[Name Surname]],Manpower!$C$4:$C$1048576,Manpower!$F$4:$F$1048576,"")</f>
        <v>300 KVA Generator</v>
      </c>
      <c r="H3511" s="61" t="str">
        <f>_xlfn.XLOOKUP(Table134526_79101120212223242526[[#This Row],[Name Surname]],Manpower!$C$4:$C$1048576,Manpower!$H$4:$H$1048576,"")</f>
        <v>Equipment</v>
      </c>
      <c r="I3511" s="28" t="str">
        <f>_xlfn.XLOOKUP(Table134526_79101120212223242526[[#This Row],[Name Surname]],Manpower!$C$4:$C$1048576,Manpower!$H$4:$H$1048576,"")</f>
        <v>Equipment</v>
      </c>
      <c r="J3511" s="21" t="s">
        <v>143</v>
      </c>
      <c r="K3511" s="57" t="s">
        <v>26</v>
      </c>
      <c r="L3511" s="57" t="s">
        <v>435</v>
      </c>
      <c r="M3511" s="57" t="s">
        <v>24</v>
      </c>
      <c r="N3511" s="62">
        <v>10</v>
      </c>
      <c r="O3511" s="21" t="s">
        <v>40</v>
      </c>
      <c r="P3511" s="21" t="s">
        <v>42</v>
      </c>
      <c r="Q3511" s="21" t="s">
        <v>42</v>
      </c>
      <c r="R3511" s="57" t="s">
        <v>436</v>
      </c>
    </row>
    <row r="3512" spans="1:19" ht="14.4">
      <c r="A3512" s="38">
        <f>IF(C3512="","",MAX($A$1:A3511)+1)</f>
        <v>3216</v>
      </c>
      <c r="B3512" s="66" t="s">
        <v>141</v>
      </c>
      <c r="C3512" s="60">
        <v>46110</v>
      </c>
      <c r="D3512" s="61" t="str">
        <f>_xlfn.XLOOKUP(Table134526_79101120212223242526[[#This Row],[Name Surname]],Manpower!$C$4:$C$1048576,Manpower!$B$4:$B$1048576,"")</f>
        <v>Encogroup</v>
      </c>
      <c r="E3512" s="23" t="s">
        <v>156</v>
      </c>
      <c r="F3512" s="12" t="e">
        <f>_xlfn.XLOOKUP(Table134526_79101120212223242526[[#This Row],[Name Surname]],Manpower!C:C,Manpower!D:D,)</f>
        <v>#N/A</v>
      </c>
      <c r="G3512" s="61" t="str">
        <f>_xlfn.XLOOKUP(Table134526_79101120212223242526[[#This Row],[Name Surname]],Manpower!$C$4:$C$1048576,Manpower!$F$4:$F$1048576,"")</f>
        <v>35 KVA Generator</v>
      </c>
      <c r="H3512" s="61" t="str">
        <f>_xlfn.XLOOKUP(Table134526_79101120212223242526[[#This Row],[Name Surname]],Manpower!$C$4:$C$1048576,Manpower!$H$4:$H$1048576,"")</f>
        <v>Equipment</v>
      </c>
      <c r="I3512" s="28" t="str">
        <f>_xlfn.XLOOKUP(Table134526_79101120212223242526[[#This Row],[Name Surname]],Manpower!$C$4:$C$1048576,Manpower!$H$4:$H$1048576,"")</f>
        <v>Equipment</v>
      </c>
      <c r="J3512" s="21" t="s">
        <v>143</v>
      </c>
      <c r="K3512" s="57" t="s">
        <v>26</v>
      </c>
      <c r="L3512" s="57" t="s">
        <v>435</v>
      </c>
      <c r="M3512" s="57" t="s">
        <v>55</v>
      </c>
      <c r="N3512" s="62">
        <v>10</v>
      </c>
      <c r="O3512" s="21" t="s">
        <v>40</v>
      </c>
      <c r="P3512" s="21" t="s">
        <v>42</v>
      </c>
      <c r="Q3512" s="21" t="s">
        <v>42</v>
      </c>
      <c r="R3512" s="57" t="s">
        <v>56</v>
      </c>
    </row>
    <row r="3513" spans="1:19" ht="14.4" hidden="1">
      <c r="A3513" s="38">
        <f>IF(C3513="","",MAX($A$1:A3512)+1)</f>
        <v>3217</v>
      </c>
      <c r="B3513" s="66" t="s">
        <v>141</v>
      </c>
      <c r="C3513" s="60">
        <v>46110</v>
      </c>
      <c r="D3513" s="61" t="str">
        <f>_xlfn.XLOOKUP(Table134526_79101120212223242526[[#This Row],[Name Surname]],Manpower!$C$4:$C$1048576,Manpower!$B$4:$B$1048576,"")</f>
        <v>Encogroup</v>
      </c>
      <c r="E3513" s="57" t="s">
        <v>157</v>
      </c>
      <c r="F3513" s="12">
        <f>_xlfn.XLOOKUP(Table134526_79101120212223242526[[#This Row],[Name Surname]],Manpower!C:C,Manpower!D:D,)</f>
        <v>140742144</v>
      </c>
      <c r="G3513" s="61" t="str">
        <f>_xlfn.XLOOKUP(Table134526_79101120212223242526[[#This Row],[Name Surname]],Manpower!$C$4:$C$1048576,Manpower!$F$4:$F$1048576,"")</f>
        <v>Assistant/Helper</v>
      </c>
      <c r="H3513" s="61" t="str">
        <f>_xlfn.XLOOKUP(Table134526_79101120212223242526[[#This Row],[Name Surname]],Manpower!$C$4:$C$1048576,Manpower!$H$4:$H$1048576,"")</f>
        <v>Manpower</v>
      </c>
      <c r="I3513" s="28" t="str">
        <f>_xlfn.XLOOKUP(Table134526_79101120212223242526[[#This Row],[Name Surname]],Manpower!$C$4:$C$1048576,Manpower!$H$4:$H$1048576,"")</f>
        <v>Manpower</v>
      </c>
      <c r="J3513" s="21" t="s">
        <v>143</v>
      </c>
      <c r="K3513" s="57" t="s">
        <v>26</v>
      </c>
      <c r="L3513" s="57" t="s">
        <v>435</v>
      </c>
      <c r="M3513" s="57" t="s">
        <v>24</v>
      </c>
      <c r="N3513" s="62">
        <v>10</v>
      </c>
      <c r="O3513" s="21" t="s">
        <v>40</v>
      </c>
      <c r="P3513" s="21" t="s">
        <v>42</v>
      </c>
      <c r="Q3513" s="21" t="s">
        <v>42</v>
      </c>
      <c r="R3513" s="57" t="s">
        <v>436</v>
      </c>
    </row>
    <row r="3514" spans="1:19" ht="14.4" hidden="1">
      <c r="A3514" s="38">
        <f>IF(C3514="","",MAX($A$1:A3513)+1)</f>
        <v>3218</v>
      </c>
      <c r="B3514" s="66" t="s">
        <v>141</v>
      </c>
      <c r="C3514" s="60">
        <v>46110</v>
      </c>
      <c r="D3514" s="61" t="str">
        <f>_xlfn.XLOOKUP(Table134526_79101120212223242526[[#This Row],[Name Surname]],Manpower!$C$4:$C$1048576,Manpower!$B$4:$B$1048576,"")</f>
        <v>Encogroup</v>
      </c>
      <c r="E3514" s="57" t="s">
        <v>166</v>
      </c>
      <c r="F3514" s="12" t="str">
        <f>_xlfn.XLOOKUP(Table134526_79101120212223242526[[#This Row],[Name Surname]],Manpower!C:C,Manpower!D:D,)</f>
        <v>U4181508</v>
      </c>
      <c r="G3514" s="61" t="str">
        <f>_xlfn.XLOOKUP(Table134526_79101120212223242526[[#This Row],[Name Surname]],Manpower!$C$4:$C$1048576,Manpower!$F$4:$F$1048576,"")</f>
        <v>Welder</v>
      </c>
      <c r="H3514" s="61" t="str">
        <f>_xlfn.XLOOKUP(Table134526_79101120212223242526[[#This Row],[Name Surname]],Manpower!$C$4:$C$1048576,Manpower!$H$4:$H$1048576,"")</f>
        <v>Manpower</v>
      </c>
      <c r="I3514" s="28" t="str">
        <f>_xlfn.XLOOKUP(Table134526_79101120212223242526[[#This Row],[Name Surname]],Manpower!$C$4:$C$1048576,Manpower!$H$4:$H$1048576,"")</f>
        <v>Manpower</v>
      </c>
      <c r="J3514" s="21" t="s">
        <v>143</v>
      </c>
      <c r="K3514" s="57" t="s">
        <v>26</v>
      </c>
      <c r="L3514" s="57" t="s">
        <v>435</v>
      </c>
      <c r="M3514" s="57" t="s">
        <v>24</v>
      </c>
      <c r="N3514" s="62">
        <v>10</v>
      </c>
      <c r="O3514" s="21" t="s">
        <v>40</v>
      </c>
      <c r="P3514" s="21" t="s">
        <v>42</v>
      </c>
      <c r="Q3514" s="21" t="s">
        <v>42</v>
      </c>
      <c r="R3514" s="57" t="s">
        <v>436</v>
      </c>
    </row>
    <row r="3515" spans="1:19" ht="14.4" hidden="1">
      <c r="A3515" s="38">
        <f>IF(C3515="","",MAX($A$1:A3514)+1)</f>
        <v>3219</v>
      </c>
      <c r="B3515" s="66" t="s">
        <v>141</v>
      </c>
      <c r="C3515" s="60">
        <v>46110</v>
      </c>
      <c r="D3515" s="61" t="str">
        <f>_xlfn.XLOOKUP(Table134526_79101120212223242526[[#This Row],[Name Surname]],Manpower!$C$4:$C$1048576,Manpower!$B$4:$B$1048576,"")</f>
        <v>Encogroup</v>
      </c>
      <c r="E3515" s="57" t="s">
        <v>167</v>
      </c>
      <c r="F3515" s="12">
        <f>_xlfn.XLOOKUP(Table134526_79101120212223242526[[#This Row],[Name Surname]],Manpower!C:C,Manpower!D:D,)</f>
        <v>125440631</v>
      </c>
      <c r="G3515" s="61" t="str">
        <f>_xlfn.XLOOKUP(Table134526_79101120212223242526[[#This Row],[Name Surname]],Manpower!$C$4:$C$1048576,Manpower!$F$4:$F$1048576,"")</f>
        <v>Rigger</v>
      </c>
      <c r="H3515" s="61" t="str">
        <f>_xlfn.XLOOKUP(Table134526_79101120212223242526[[#This Row],[Name Surname]],Manpower!$C$4:$C$1048576,Manpower!$H$4:$H$1048576,"")</f>
        <v>Manpower</v>
      </c>
      <c r="I3515" s="28" t="str">
        <f>_xlfn.XLOOKUP(Table134526_79101120212223242526[[#This Row],[Name Surname]],Manpower!$C$4:$C$1048576,Manpower!$H$4:$H$1048576,"")</f>
        <v>Manpower</v>
      </c>
      <c r="J3515" s="21" t="s">
        <v>143</v>
      </c>
      <c r="K3515" s="57" t="s">
        <v>26</v>
      </c>
      <c r="L3515" s="57" t="s">
        <v>435</v>
      </c>
      <c r="M3515" s="57" t="s">
        <v>24</v>
      </c>
      <c r="N3515" s="62">
        <v>10</v>
      </c>
      <c r="O3515" s="21" t="s">
        <v>40</v>
      </c>
      <c r="P3515" s="21" t="s">
        <v>42</v>
      </c>
      <c r="Q3515" s="21" t="s">
        <v>42</v>
      </c>
      <c r="R3515" s="57" t="s">
        <v>436</v>
      </c>
    </row>
    <row r="3516" spans="1:19" ht="14.4" hidden="1">
      <c r="A3516" s="38">
        <f>IF(C3516="","",MAX($A$1:A3515)+1)</f>
        <v>3220</v>
      </c>
      <c r="B3516" s="66" t="s">
        <v>141</v>
      </c>
      <c r="C3516" s="60">
        <v>46110</v>
      </c>
      <c r="D3516" s="61" t="str">
        <f>_xlfn.XLOOKUP(Table134526_79101120212223242526[[#This Row],[Name Surname]],Manpower!$C$4:$C$1048576,Manpower!$B$4:$B$1048576,"")</f>
        <v>AL Omar International TRAD AND CONT</v>
      </c>
      <c r="E3516" s="57" t="s">
        <v>169</v>
      </c>
      <c r="F3516" s="12">
        <f>_xlfn.XLOOKUP(Table134526_79101120212223242526[[#This Row],[Name Surname]],Manpower!C:C,Manpower!D:D,)</f>
        <v>115731078</v>
      </c>
      <c r="G3516" s="61" t="str">
        <f>_xlfn.XLOOKUP(Table134526_79101120212223242526[[#This Row],[Name Surname]],Manpower!$C$4:$C$1048576,Manpower!$F$4:$F$1048576,"")</f>
        <v>Scaffolder</v>
      </c>
      <c r="H3516" s="61" t="str">
        <f>_xlfn.XLOOKUP(Table134526_79101120212223242526[[#This Row],[Name Surname]],Manpower!$C$4:$C$1048576,Manpower!$H$4:$H$1048576,"")</f>
        <v>Sub Contactor</v>
      </c>
      <c r="I3516" s="28" t="str">
        <f>_xlfn.XLOOKUP(Table134526_79101120212223242526[[#This Row],[Name Surname]],Manpower!$C$4:$C$1048576,Manpower!$H$4:$H$1048576,"")</f>
        <v>Sub Contactor</v>
      </c>
      <c r="J3516" s="21" t="s">
        <v>143</v>
      </c>
      <c r="K3516" s="57" t="s">
        <v>26</v>
      </c>
      <c r="L3516" s="57" t="s">
        <v>170</v>
      </c>
      <c r="M3516" s="57" t="s">
        <v>24</v>
      </c>
      <c r="N3516" s="62">
        <v>10</v>
      </c>
      <c r="O3516" s="57" t="s">
        <v>40</v>
      </c>
      <c r="P3516" s="57" t="s">
        <v>128</v>
      </c>
      <c r="Q3516" s="57" t="s">
        <v>128</v>
      </c>
      <c r="R3516" s="57" t="s">
        <v>26</v>
      </c>
    </row>
    <row r="3517" spans="1:19" ht="14.4" hidden="1">
      <c r="A3517" s="38">
        <f>IF(C3517="","",MAX($A$1:A3516)+1)</f>
        <v>3221</v>
      </c>
      <c r="B3517" s="66" t="s">
        <v>141</v>
      </c>
      <c r="C3517" s="60">
        <v>46110</v>
      </c>
      <c r="D3517" s="61" t="str">
        <f>_xlfn.XLOOKUP(Table134526_79101120212223242526[[#This Row],[Name Surname]],Manpower!$C$4:$C$1048576,Manpower!$B$4:$B$1048576,"")</f>
        <v>Encogroup</v>
      </c>
      <c r="E3517" s="57" t="s">
        <v>172</v>
      </c>
      <c r="F3517" s="12">
        <f>_xlfn.XLOOKUP(Table134526_79101120212223242526[[#This Row],[Name Surname]],Manpower!C:C,Manpower!D:D,)</f>
        <v>140764355</v>
      </c>
      <c r="G3517" s="61" t="str">
        <f>_xlfn.XLOOKUP(Table134526_79101120212223242526[[#This Row],[Name Surname]],Manpower!$C$4:$C$1048576,Manpower!$F$4:$F$1048576,"")</f>
        <v>Fitter/Erector</v>
      </c>
      <c r="H3517" s="61" t="str">
        <f>_xlfn.XLOOKUP(Table134526_79101120212223242526[[#This Row],[Name Surname]],Manpower!$C$4:$C$1048576,Manpower!$H$4:$H$1048576,"")</f>
        <v>Manpower</v>
      </c>
      <c r="I3517" s="28" t="str">
        <f>_xlfn.XLOOKUP(Table134526_79101120212223242526[[#This Row],[Name Surname]],Manpower!$C$4:$C$1048576,Manpower!$H$4:$H$1048576,"")</f>
        <v>Manpower</v>
      </c>
      <c r="J3517" s="21" t="s">
        <v>143</v>
      </c>
      <c r="K3517" s="57" t="s">
        <v>26</v>
      </c>
      <c r="L3517" s="57" t="s">
        <v>435</v>
      </c>
      <c r="M3517" s="57" t="s">
        <v>24</v>
      </c>
      <c r="N3517" s="62">
        <v>10</v>
      </c>
      <c r="O3517" s="21" t="s">
        <v>40</v>
      </c>
      <c r="P3517" s="21" t="s">
        <v>42</v>
      </c>
      <c r="Q3517" s="21" t="s">
        <v>42</v>
      </c>
      <c r="R3517" s="57" t="s">
        <v>436</v>
      </c>
    </row>
    <row r="3518" spans="1:19" ht="14.4" hidden="1">
      <c r="A3518" s="38">
        <f>IF(C3518="","",MAX($A$1:A3517)+1)</f>
        <v>3222</v>
      </c>
      <c r="B3518" s="66" t="s">
        <v>141</v>
      </c>
      <c r="C3518" s="60">
        <v>46110</v>
      </c>
      <c r="D3518" s="61" t="str">
        <f>_xlfn.XLOOKUP(Table134526_79101120212223242526[[#This Row],[Name Surname]],Manpower!$C$4:$C$1048576,Manpower!$B$4:$B$1048576,"")</f>
        <v>Encogroup</v>
      </c>
      <c r="E3518" s="57" t="s">
        <v>175</v>
      </c>
      <c r="F3518" s="12">
        <f>_xlfn.XLOOKUP(Table134526_79101120212223242526[[#This Row],[Name Surname]],Manpower!C:C,Manpower!D:D,)</f>
        <v>140742125</v>
      </c>
      <c r="G3518" s="61" t="str">
        <f>_xlfn.XLOOKUP(Table134526_79101120212223242526[[#This Row],[Name Surname]],Manpower!$C$4:$C$1048576,Manpower!$F$4:$F$1048576,"")</f>
        <v>Assistant/Helper</v>
      </c>
      <c r="H3518" s="61" t="str">
        <f>_xlfn.XLOOKUP(Table134526_79101120212223242526[[#This Row],[Name Surname]],Manpower!$C$4:$C$1048576,Manpower!$H$4:$H$1048576,"")</f>
        <v>Manpower</v>
      </c>
      <c r="I3518" s="28" t="str">
        <f>_xlfn.XLOOKUP(Table134526_79101120212223242526[[#This Row],[Name Surname]],Manpower!$C$4:$C$1048576,Manpower!$H$4:$H$1048576,"")</f>
        <v>Manpower</v>
      </c>
      <c r="J3518" s="21" t="s">
        <v>143</v>
      </c>
      <c r="K3518" s="57" t="s">
        <v>26</v>
      </c>
      <c r="L3518" s="57" t="s">
        <v>435</v>
      </c>
      <c r="M3518" s="57" t="s">
        <v>24</v>
      </c>
      <c r="N3518" s="62">
        <v>10</v>
      </c>
      <c r="O3518" s="21" t="s">
        <v>40</v>
      </c>
      <c r="P3518" s="21" t="s">
        <v>42</v>
      </c>
      <c r="Q3518" s="21" t="s">
        <v>42</v>
      </c>
      <c r="R3518" s="57" t="s">
        <v>436</v>
      </c>
    </row>
    <row r="3519" spans="1:19" ht="14.4" hidden="1">
      <c r="A3519" s="38">
        <f>IF(C3519="","",MAX($A$1:A3518)+1)</f>
        <v>3223</v>
      </c>
      <c r="B3519" s="66" t="s">
        <v>141</v>
      </c>
      <c r="C3519" s="60">
        <v>46110</v>
      </c>
      <c r="D3519" s="61" t="str">
        <f>_xlfn.XLOOKUP(Table134526_79101120212223242526[[#This Row],[Name Surname]],Manpower!$C$4:$C$1048576,Manpower!$B$4:$B$1048576,"")</f>
        <v>Encogroup</v>
      </c>
      <c r="E3519" s="57" t="s">
        <v>228</v>
      </c>
      <c r="F3519" s="12">
        <f>_xlfn.XLOOKUP(Table134526_79101120212223242526[[#This Row],[Name Surname]],Manpower!C:C,Manpower!D:D,)</f>
        <v>125199963</v>
      </c>
      <c r="G3519" s="61" t="str">
        <f>_xlfn.XLOOKUP(Table134526_79101120212223242526[[#This Row],[Name Surname]],Manpower!$C$4:$C$1048576,Manpower!$F$4:$F$1048576,"")</f>
        <v>Electrician</v>
      </c>
      <c r="H3519" s="61" t="str">
        <f>_xlfn.XLOOKUP(Table134526_79101120212223242526[[#This Row],[Name Surname]],Manpower!$C$4:$C$1048576,Manpower!$H$4:$H$1048576,"")</f>
        <v>Manpower</v>
      </c>
      <c r="I3519" s="28" t="str">
        <f>_xlfn.XLOOKUP(Table134526_79101120212223242526[[#This Row],[Name Surname]],Manpower!$C$4:$C$1048576,Manpower!$H$4:$H$1048576,"")</f>
        <v>Manpower</v>
      </c>
      <c r="J3519" s="21" t="s">
        <v>143</v>
      </c>
      <c r="K3519" s="57" t="s">
        <v>26</v>
      </c>
      <c r="L3519" s="57" t="s">
        <v>435</v>
      </c>
      <c r="M3519" s="57" t="s">
        <v>24</v>
      </c>
      <c r="N3519" s="62">
        <v>10</v>
      </c>
      <c r="O3519" s="21" t="s">
        <v>40</v>
      </c>
      <c r="P3519" s="21" t="s">
        <v>42</v>
      </c>
      <c r="Q3519" s="21" t="s">
        <v>42</v>
      </c>
      <c r="R3519" s="57" t="s">
        <v>436</v>
      </c>
    </row>
    <row r="3520" spans="1:19" ht="14.4" hidden="1">
      <c r="A3520" s="38">
        <f>IF(C3520="","",MAX($A$1:A3519)+1)</f>
        <v>3224</v>
      </c>
      <c r="B3520" s="66" t="s">
        <v>141</v>
      </c>
      <c r="C3520" s="60">
        <v>46110</v>
      </c>
      <c r="D3520" s="61" t="str">
        <f>_xlfn.XLOOKUP(Table134526_79101120212223242526[[#This Row],[Name Surname]],Manpower!$C$4:$C$1048576,Manpower!$B$4:$B$1048576,"")</f>
        <v>Encogroup</v>
      </c>
      <c r="E3520" s="57" t="s">
        <v>119</v>
      </c>
      <c r="F3520" s="12">
        <f>_xlfn.XLOOKUP(Table134526_79101120212223242526[[#This Row],[Name Surname]],Manpower!C:C,Manpower!D:D,)</f>
        <v>140844778</v>
      </c>
      <c r="G3520" s="61" t="str">
        <f>_xlfn.XLOOKUP(Table134526_79101120212223242526[[#This Row],[Name Surname]],Manpower!$C$4:$C$1048576,Manpower!$F$4:$F$1048576,"")</f>
        <v>Painter</v>
      </c>
      <c r="H3520" s="61" t="str">
        <f>_xlfn.XLOOKUP(Table134526_79101120212223242526[[#This Row],[Name Surname]],Manpower!$C$4:$C$1048576,Manpower!$H$4:$H$1048576,"")</f>
        <v>Manpower</v>
      </c>
      <c r="I3520" s="28" t="str">
        <f>_xlfn.XLOOKUP(Table134526_79101120212223242526[[#This Row],[Name Surname]],Manpower!$C$4:$C$1048576,Manpower!$H$4:$H$1048576,"")</f>
        <v>Manpower</v>
      </c>
      <c r="J3520" s="21" t="s">
        <v>143</v>
      </c>
      <c r="K3520" s="57" t="s">
        <v>26</v>
      </c>
      <c r="L3520" s="57" t="s">
        <v>435</v>
      </c>
      <c r="M3520" s="57" t="s">
        <v>24</v>
      </c>
      <c r="N3520" s="62">
        <v>10</v>
      </c>
      <c r="O3520" s="21" t="s">
        <v>40</v>
      </c>
      <c r="P3520" s="21" t="s">
        <v>42</v>
      </c>
      <c r="Q3520" s="21" t="s">
        <v>42</v>
      </c>
      <c r="R3520" s="57" t="s">
        <v>436</v>
      </c>
    </row>
    <row r="3521" spans="1:19" ht="14.4" hidden="1">
      <c r="A3521" s="38">
        <f>IF(C3521="","",MAX($A$1:A3520)+1)</f>
        <v>3225</v>
      </c>
      <c r="B3521" s="66" t="s">
        <v>141</v>
      </c>
      <c r="C3521" s="60">
        <v>46110</v>
      </c>
      <c r="D3521" s="61" t="str">
        <f>_xlfn.XLOOKUP(Table134526_79101120212223242526[[#This Row],[Name Surname]],Manpower!$C$4:$C$1048576,Manpower!$B$4:$B$1048576,"")</f>
        <v>Encogroup</v>
      </c>
      <c r="E3521" s="57" t="s">
        <v>117</v>
      </c>
      <c r="F3521" s="12">
        <f>_xlfn.XLOOKUP(Table134526_79101120212223242526[[#This Row],[Name Surname]],Manpower!C:C,Manpower!D:D,)</f>
        <v>140844783</v>
      </c>
      <c r="G3521" s="61" t="str">
        <f>_xlfn.XLOOKUP(Table134526_79101120212223242526[[#This Row],[Name Surname]],Manpower!$C$4:$C$1048576,Manpower!$F$4:$F$1048576,"")</f>
        <v>Painter</v>
      </c>
      <c r="H3521" s="61" t="str">
        <f>_xlfn.XLOOKUP(Table134526_79101120212223242526[[#This Row],[Name Surname]],Manpower!$C$4:$C$1048576,Manpower!$H$4:$H$1048576,"")</f>
        <v>Manpower</v>
      </c>
      <c r="I3521" s="28" t="str">
        <f>_xlfn.XLOOKUP(Table134526_79101120212223242526[[#This Row],[Name Surname]],Manpower!$C$4:$C$1048576,Manpower!$H$4:$H$1048576,"")</f>
        <v>Manpower</v>
      </c>
      <c r="J3521" s="21" t="s">
        <v>143</v>
      </c>
      <c r="K3521" s="57" t="s">
        <v>26</v>
      </c>
      <c r="L3521" s="57" t="s">
        <v>435</v>
      </c>
      <c r="M3521" s="57" t="s">
        <v>24</v>
      </c>
      <c r="N3521" s="62">
        <v>10</v>
      </c>
      <c r="O3521" s="21" t="s">
        <v>40</v>
      </c>
      <c r="P3521" s="21" t="s">
        <v>42</v>
      </c>
      <c r="Q3521" s="21" t="s">
        <v>42</v>
      </c>
      <c r="R3521" s="57" t="s">
        <v>436</v>
      </c>
    </row>
    <row r="3522" spans="1:19" ht="14.4" hidden="1">
      <c r="A3522" s="38">
        <f>IF(C3522="","",MAX($A$1:A3521)+1)</f>
        <v>3226</v>
      </c>
      <c r="B3522" s="66" t="s">
        <v>141</v>
      </c>
      <c r="C3522" s="60">
        <v>46110</v>
      </c>
      <c r="D3522" s="61" t="str">
        <f>_xlfn.XLOOKUP(Table134526_79101120212223242526[[#This Row],[Name Surname]],Manpower!$C$4:$C$1048576,Manpower!$B$4:$B$1048576,"")</f>
        <v>Encogroup</v>
      </c>
      <c r="E3522" s="57" t="s">
        <v>176</v>
      </c>
      <c r="F3522" s="12">
        <f>_xlfn.XLOOKUP(Table134526_79101120212223242526[[#This Row],[Name Surname]],Manpower!C:C,Manpower!D:D,)</f>
        <v>124398279</v>
      </c>
      <c r="G3522" s="61" t="str">
        <f>_xlfn.XLOOKUP(Table134526_79101120212223242526[[#This Row],[Name Surname]],Manpower!$C$4:$C$1048576,Manpower!$F$4:$F$1048576,"")</f>
        <v>Permit Receiver</v>
      </c>
      <c r="H3522" s="61" t="str">
        <f>_xlfn.XLOOKUP(Table134526_79101120212223242526[[#This Row],[Name Surname]],Manpower!$C$4:$C$1048576,Manpower!$H$4:$H$1048576,"")</f>
        <v>Manpower</v>
      </c>
      <c r="I3522" s="28" t="str">
        <f>_xlfn.XLOOKUP(Table134526_79101120212223242526[[#This Row],[Name Surname]],Manpower!$C$4:$C$1048576,Manpower!$H$4:$H$1048576,"")</f>
        <v>Manpower</v>
      </c>
      <c r="J3522" s="21" t="s">
        <v>143</v>
      </c>
      <c r="K3522" s="57" t="s">
        <v>26</v>
      </c>
      <c r="L3522" s="57" t="s">
        <v>435</v>
      </c>
      <c r="M3522" s="57" t="s">
        <v>24</v>
      </c>
      <c r="N3522" s="62">
        <v>10</v>
      </c>
      <c r="O3522" s="21" t="s">
        <v>40</v>
      </c>
      <c r="P3522" s="21" t="s">
        <v>42</v>
      </c>
      <c r="Q3522" s="21" t="s">
        <v>42</v>
      </c>
      <c r="R3522" s="57" t="s">
        <v>436</v>
      </c>
    </row>
    <row r="3523" spans="1:19" s="45" customFormat="1" ht="14.4" hidden="1">
      <c r="A3523" s="53">
        <f>IF(C3523="","",MAX($A$1:A3522)+1)</f>
        <v>3227</v>
      </c>
      <c r="B3523" s="54" t="s">
        <v>141</v>
      </c>
      <c r="C3523" s="55">
        <v>46110</v>
      </c>
      <c r="D3523" s="68" t="str">
        <f>_xlfn.XLOOKUP(Table134526_79101120212223242526[[#This Row],[Name Surname]],Manpower!$C$4:$C$1048576,Manpower!$B$4:$B$1048576,"")</f>
        <v>Encogroup</v>
      </c>
      <c r="E3523" s="51" t="s">
        <v>177</v>
      </c>
      <c r="F3523" s="12">
        <f>_xlfn.XLOOKUP(Table134526_79101120212223242526[[#This Row],[Name Surname]],Manpower!C:C,Manpower!D:D,)</f>
        <v>140809004</v>
      </c>
      <c r="G3523" s="68" t="str">
        <f>_xlfn.XLOOKUP(Table134526_79101120212223242526[[#This Row],[Name Surname]],Manpower!$C$4:$C$1048576,Manpower!$F$4:$F$1048576,"")</f>
        <v>Fitter/Erector</v>
      </c>
      <c r="H3523" s="68" t="str">
        <f>_xlfn.XLOOKUP(Table134526_79101120212223242526[[#This Row],[Name Surname]],Manpower!$C$4:$C$1048576,Manpower!$H$4:$H$1048576,"")</f>
        <v>Manpower</v>
      </c>
      <c r="I3523" s="48" t="str">
        <f>_xlfn.XLOOKUP(Table134526_79101120212223242526[[#This Row],[Name Surname]],Manpower!$C$4:$C$1048576,Manpower!$H$4:$H$1048576,"")</f>
        <v>Manpower</v>
      </c>
      <c r="J3523" s="43" t="s">
        <v>143</v>
      </c>
      <c r="K3523" s="51" t="s">
        <v>26</v>
      </c>
      <c r="L3523" s="51" t="s">
        <v>435</v>
      </c>
      <c r="M3523" s="51" t="s">
        <v>24</v>
      </c>
      <c r="N3523" s="52">
        <v>10</v>
      </c>
      <c r="O3523" s="43" t="s">
        <v>40</v>
      </c>
      <c r="P3523" s="43" t="s">
        <v>42</v>
      </c>
      <c r="Q3523" s="43" t="s">
        <v>42</v>
      </c>
      <c r="R3523" s="51" t="s">
        <v>436</v>
      </c>
      <c r="S3523" s="43"/>
    </row>
    <row r="3524" spans="1:19" ht="14.4" hidden="1">
      <c r="A3524" s="38">
        <f>IF(C3524="","",MAX($A$1:A3523)+1)</f>
        <v>3228</v>
      </c>
      <c r="B3524" s="66" t="s">
        <v>141</v>
      </c>
      <c r="C3524" s="60">
        <v>46110</v>
      </c>
      <c r="D3524" s="61" t="str">
        <f>_xlfn.XLOOKUP(Table134526_79101120212223242526[[#This Row],[Name Surname]],Manpower!$C$4:$C$1048576,Manpower!$B$4:$B$1048576,"")</f>
        <v>Encogroup</v>
      </c>
      <c r="E3524" s="57" t="s">
        <v>178</v>
      </c>
      <c r="F3524" s="12">
        <f>_xlfn.XLOOKUP(Table134526_79101120212223242526[[#This Row],[Name Surname]],Manpower!C:C,Manpower!D:D,)</f>
        <v>140683436</v>
      </c>
      <c r="G3524" s="61" t="str">
        <f>_xlfn.XLOOKUP(Table134526_79101120212223242526[[#This Row],[Name Surname]],Manpower!$C$4:$C$1048576,Manpower!$F$4:$F$1048576,"")</f>
        <v>Scaffolder</v>
      </c>
      <c r="H3524" s="61" t="str">
        <f>_xlfn.XLOOKUP(Table134526_79101120212223242526[[#This Row],[Name Surname]],Manpower!$C$4:$C$1048576,Manpower!$H$4:$H$1048576,"")</f>
        <v>Manpower</v>
      </c>
      <c r="I3524" s="28" t="str">
        <f>_xlfn.XLOOKUP(Table134526_79101120212223242526[[#This Row],[Name Surname]],Manpower!$C$4:$C$1048576,Manpower!$H$4:$H$1048576,"")</f>
        <v>Manpower</v>
      </c>
      <c r="J3524" s="21" t="s">
        <v>143</v>
      </c>
      <c r="K3524" s="57" t="s">
        <v>26</v>
      </c>
      <c r="L3524" s="57" t="s">
        <v>435</v>
      </c>
      <c r="M3524" s="57" t="s">
        <v>24</v>
      </c>
      <c r="N3524" s="62">
        <v>10</v>
      </c>
      <c r="O3524" s="21" t="s">
        <v>40</v>
      </c>
      <c r="P3524" s="21" t="s">
        <v>42</v>
      </c>
      <c r="Q3524" s="21" t="s">
        <v>42</v>
      </c>
      <c r="R3524" s="57" t="s">
        <v>436</v>
      </c>
    </row>
    <row r="3525" spans="1:19" ht="14.4">
      <c r="A3525" s="38">
        <f>IF(C3525="","",MAX($A$1:A3524)+1)</f>
        <v>3229</v>
      </c>
      <c r="B3525" s="66" t="s">
        <v>141</v>
      </c>
      <c r="C3525" s="60">
        <v>46110</v>
      </c>
      <c r="D3525" s="61" t="str">
        <f>_xlfn.XLOOKUP(Table134526_79101120212223242526[[#This Row],[Name Surname]],Manpower!$C$4:$C$1048576,Manpower!$B$4:$B$1048576,"")</f>
        <v>Encogroup</v>
      </c>
      <c r="E3525" s="60" t="s">
        <v>179</v>
      </c>
      <c r="F3525" s="12" t="e">
        <f>_xlfn.XLOOKUP(Table134526_79101120212223242526[[#This Row],[Name Surname]],Manpower!C:C,Manpower!D:D,)</f>
        <v>#N/A</v>
      </c>
      <c r="G3525" s="61" t="str">
        <f>_xlfn.XLOOKUP(Table134526_79101120212223242526[[#This Row],[Name Surname]],Manpower!$C$4:$C$1048576,Manpower!$F$4:$F$1048576,"")</f>
        <v>7T-HIAB</v>
      </c>
      <c r="H3525" s="61" t="str">
        <f>_xlfn.XLOOKUP(Table134526_79101120212223242526[[#This Row],[Name Surname]],Manpower!$C$4:$C$1048576,Manpower!$H$4:$H$1048576,"")</f>
        <v>Equipment</v>
      </c>
      <c r="I3525" s="28" t="str">
        <f>_xlfn.XLOOKUP(Table134526_79101120212223242526[[#This Row],[Name Surname]],Manpower!$C$4:$C$1048576,Manpower!$H$4:$H$1048576,"")</f>
        <v>Equipment</v>
      </c>
      <c r="J3525" s="21" t="s">
        <v>143</v>
      </c>
      <c r="K3525" s="57" t="s">
        <v>26</v>
      </c>
      <c r="L3525" s="57" t="s">
        <v>435</v>
      </c>
      <c r="M3525" s="57" t="s">
        <v>24</v>
      </c>
      <c r="N3525" s="62">
        <v>10</v>
      </c>
      <c r="O3525" s="57"/>
      <c r="P3525" s="57"/>
      <c r="Q3525" s="57"/>
      <c r="R3525" s="57" t="s">
        <v>436</v>
      </c>
    </row>
    <row r="3526" spans="1:19" ht="14.4" hidden="1">
      <c r="A3526" s="38">
        <f>IF(C3526="","",MAX($A$1:A3525)+1)</f>
        <v>3230</v>
      </c>
      <c r="B3526" s="66" t="s">
        <v>141</v>
      </c>
      <c r="C3526" s="60">
        <v>46110</v>
      </c>
      <c r="D3526" s="61" t="str">
        <f>_xlfn.XLOOKUP(Table134526_79101120212223242526[[#This Row],[Name Surname]],Manpower!$C$4:$C$1048576,Manpower!$B$4:$B$1048576,"")</f>
        <v>Encogroup</v>
      </c>
      <c r="E3526" s="57" t="s">
        <v>180</v>
      </c>
      <c r="F3526" s="12">
        <f>_xlfn.XLOOKUP(Table134526_79101120212223242526[[#This Row],[Name Surname]],Manpower!C:C,Manpower!D:D,)</f>
        <v>9138415</v>
      </c>
      <c r="G3526" s="61" t="str">
        <f>_xlfn.XLOOKUP(Table134526_79101120212223242526[[#This Row],[Name Surname]],Manpower!$C$4:$C$1048576,Manpower!$F$4:$F$1048576,"")</f>
        <v>HIAB Driver</v>
      </c>
      <c r="H3526" s="61" t="str">
        <f>_xlfn.XLOOKUP(Table134526_79101120212223242526[[#This Row],[Name Surname]],Manpower!$C$4:$C$1048576,Manpower!$H$4:$H$1048576,"")</f>
        <v>Manpower</v>
      </c>
      <c r="I3526" s="28" t="str">
        <f>_xlfn.XLOOKUP(Table134526_79101120212223242526[[#This Row],[Name Surname]],Manpower!$C$4:$C$1048576,Manpower!$H$4:$H$1048576,"")</f>
        <v>Manpower</v>
      </c>
      <c r="J3526" s="21" t="s">
        <v>143</v>
      </c>
      <c r="K3526" s="57" t="s">
        <v>26</v>
      </c>
      <c r="L3526" s="57" t="s">
        <v>435</v>
      </c>
      <c r="M3526" s="57" t="s">
        <v>24</v>
      </c>
      <c r="N3526" s="62">
        <v>10</v>
      </c>
      <c r="O3526" s="21" t="s">
        <v>40</v>
      </c>
      <c r="P3526" s="21" t="s">
        <v>42</v>
      </c>
      <c r="Q3526" s="21" t="s">
        <v>42</v>
      </c>
      <c r="R3526" s="57" t="s">
        <v>436</v>
      </c>
    </row>
    <row r="3527" spans="1:19" s="45" customFormat="1" ht="14.4" hidden="1">
      <c r="A3527" s="53">
        <f>IF(C3527="","",MAX($A$1:A3526)+1)</f>
        <v>3231</v>
      </c>
      <c r="B3527" s="54" t="s">
        <v>141</v>
      </c>
      <c r="C3527" s="55">
        <v>46110</v>
      </c>
      <c r="D3527" s="68" t="str">
        <f>_xlfn.XLOOKUP(Table134526_79101120212223242526[[#This Row],[Name Surname]],Manpower!$C$4:$C$1048576,Manpower!$B$4:$B$1048576,"")</f>
        <v>Encogroup</v>
      </c>
      <c r="E3527" s="51" t="s">
        <v>184</v>
      </c>
      <c r="F3527" s="12">
        <f>_xlfn.XLOOKUP(Table134526_79101120212223242526[[#This Row],[Name Surname]],Manpower!C:C,Manpower!D:D,)</f>
        <v>140844759</v>
      </c>
      <c r="G3527" s="68" t="str">
        <f>_xlfn.XLOOKUP(Table134526_79101120212223242526[[#This Row],[Name Surname]],Manpower!$C$4:$C$1048576,Manpower!$F$4:$F$1048576,"")</f>
        <v>Welder</v>
      </c>
      <c r="H3527" s="68" t="str">
        <f>_xlfn.XLOOKUP(Table134526_79101120212223242526[[#This Row],[Name Surname]],Manpower!$C$4:$C$1048576,Manpower!$H$4:$H$1048576,"")</f>
        <v>Manpower</v>
      </c>
      <c r="I3527" s="48" t="str">
        <f>_xlfn.XLOOKUP(Table134526_79101120212223242526[[#This Row],[Name Surname]],Manpower!$C$4:$C$1048576,Manpower!$H$4:$H$1048576,"")</f>
        <v>Manpower</v>
      </c>
      <c r="J3527" s="43" t="s">
        <v>143</v>
      </c>
      <c r="K3527" s="51" t="s">
        <v>26</v>
      </c>
      <c r="L3527" s="51" t="s">
        <v>435</v>
      </c>
      <c r="M3527" s="51" t="s">
        <v>24</v>
      </c>
      <c r="N3527" s="52">
        <v>10</v>
      </c>
      <c r="O3527" s="43" t="s">
        <v>40</v>
      </c>
      <c r="P3527" s="43" t="s">
        <v>42</v>
      </c>
      <c r="Q3527" s="43" t="s">
        <v>42</v>
      </c>
      <c r="R3527" s="51" t="s">
        <v>436</v>
      </c>
      <c r="S3527" s="43"/>
    </row>
    <row r="3528" spans="1:19" s="45" customFormat="1" ht="14.4" hidden="1">
      <c r="A3528" s="53">
        <f>IF(C3528="","",MAX($A$1:A3527)+1)</f>
        <v>3232</v>
      </c>
      <c r="B3528" s="54" t="s">
        <v>141</v>
      </c>
      <c r="C3528" s="55">
        <v>46110</v>
      </c>
      <c r="D3528" s="68" t="str">
        <f>_xlfn.XLOOKUP(Table134526_79101120212223242526[[#This Row],[Name Surname]],Manpower!$C$4:$C$1048576,Manpower!$B$4:$B$1048576,"")</f>
        <v>Encogroup</v>
      </c>
      <c r="E3528" s="51" t="s">
        <v>185</v>
      </c>
      <c r="F3528" s="12">
        <f>_xlfn.XLOOKUP(Table134526_79101120212223242526[[#This Row],[Name Surname]],Manpower!C:C,Manpower!D:D,)</f>
        <v>140848828</v>
      </c>
      <c r="G3528" s="68" t="str">
        <f>_xlfn.XLOOKUP(Table134526_79101120212223242526[[#This Row],[Name Surname]],Manpower!$C$4:$C$1048576,Manpower!$F$4:$F$1048576,"")</f>
        <v>Pipe Fitter</v>
      </c>
      <c r="H3528" s="68" t="str">
        <f>_xlfn.XLOOKUP(Table134526_79101120212223242526[[#This Row],[Name Surname]],Manpower!$C$4:$C$1048576,Manpower!$H$4:$H$1048576,"")</f>
        <v>Manpower</v>
      </c>
      <c r="I3528" s="48" t="str">
        <f>_xlfn.XLOOKUP(Table134526_79101120212223242526[[#This Row],[Name Surname]],Manpower!$C$4:$C$1048576,Manpower!$H$4:$H$1048576,"")</f>
        <v>Manpower</v>
      </c>
      <c r="J3528" s="43" t="s">
        <v>143</v>
      </c>
      <c r="K3528" s="51" t="s">
        <v>26</v>
      </c>
      <c r="L3528" s="51" t="s">
        <v>435</v>
      </c>
      <c r="M3528" s="51" t="s">
        <v>24</v>
      </c>
      <c r="N3528" s="52">
        <v>10</v>
      </c>
      <c r="O3528" s="43" t="s">
        <v>40</v>
      </c>
      <c r="P3528" s="43" t="s">
        <v>42</v>
      </c>
      <c r="Q3528" s="43" t="s">
        <v>42</v>
      </c>
      <c r="R3528" s="51" t="s">
        <v>436</v>
      </c>
      <c r="S3528" s="43"/>
    </row>
    <row r="3529" spans="1:19" ht="14.4" hidden="1">
      <c r="A3529" s="38">
        <f>IF(C3529="","",MAX($A$1:A3528)+1)</f>
        <v>3233</v>
      </c>
      <c r="B3529" s="66" t="s">
        <v>141</v>
      </c>
      <c r="C3529" s="60">
        <v>46110</v>
      </c>
      <c r="D3529" s="61" t="str">
        <f>_xlfn.XLOOKUP(Table134526_79101120212223242526[[#This Row],[Name Surname]],Manpower!$C$4:$C$1048576,Manpower!$B$4:$B$1048576,"")</f>
        <v>AL Omar International TRAD AND CONT</v>
      </c>
      <c r="E3529" s="57" t="s">
        <v>212</v>
      </c>
      <c r="F3529" s="12">
        <f>_xlfn.XLOOKUP(Table134526_79101120212223242526[[#This Row],[Name Surname]],Manpower!C:C,Manpower!D:D,)</f>
        <v>116676257</v>
      </c>
      <c r="G3529" s="61" t="str">
        <f>_xlfn.XLOOKUP(Table134526_79101120212223242526[[#This Row],[Name Surname]],Manpower!$C$4:$C$1048576,Manpower!$F$4:$F$1048576,"")</f>
        <v>Scaffolder</v>
      </c>
      <c r="H3529" s="61" t="str">
        <f>_xlfn.XLOOKUP(Table134526_79101120212223242526[[#This Row],[Name Surname]],Manpower!$C$4:$C$1048576,Manpower!$H$4:$H$1048576,"")</f>
        <v>Sub Contactor</v>
      </c>
      <c r="I3529" s="28" t="str">
        <f>_xlfn.XLOOKUP(Table134526_79101120212223242526[[#This Row],[Name Surname]],Manpower!$C$4:$C$1048576,Manpower!$H$4:$H$1048576,"")</f>
        <v>Sub Contactor</v>
      </c>
      <c r="J3529" s="21" t="s">
        <v>143</v>
      </c>
      <c r="K3529" s="57" t="s">
        <v>26</v>
      </c>
      <c r="L3529" s="57" t="s">
        <v>170</v>
      </c>
      <c r="M3529" s="57" t="s">
        <v>24</v>
      </c>
      <c r="N3529" s="62">
        <v>10</v>
      </c>
      <c r="O3529" s="57" t="s">
        <v>40</v>
      </c>
      <c r="P3529" s="57" t="s">
        <v>128</v>
      </c>
      <c r="Q3529" s="57" t="s">
        <v>128</v>
      </c>
      <c r="R3529" s="57" t="s">
        <v>26</v>
      </c>
    </row>
    <row r="3530" spans="1:19" ht="14.4" hidden="1">
      <c r="A3530" s="38">
        <f>IF(C3530="","",MAX($A$1:A3529)+1)</f>
        <v>3234</v>
      </c>
      <c r="B3530" s="66" t="s">
        <v>141</v>
      </c>
      <c r="C3530" s="60">
        <v>46110</v>
      </c>
      <c r="D3530" s="61" t="str">
        <f>_xlfn.XLOOKUP(Table134526_79101120212223242526[[#This Row],[Name Surname]],Manpower!$C$4:$C$1048576,Manpower!$B$4:$B$1048576,"")</f>
        <v>Encogroup</v>
      </c>
      <c r="E3530" s="57" t="s">
        <v>184</v>
      </c>
      <c r="F3530" s="12">
        <f>_xlfn.XLOOKUP(Table134526_79101120212223242526[[#This Row],[Name Surname]],Manpower!C:C,Manpower!D:D,)</f>
        <v>140844759</v>
      </c>
      <c r="G3530" s="61" t="str">
        <f>_xlfn.XLOOKUP(Table134526_79101120212223242526[[#This Row],[Name Surname]],Manpower!$C$4:$C$1048576,Manpower!$F$4:$F$1048576,"")</f>
        <v>Welder</v>
      </c>
      <c r="H3530" s="61" t="str">
        <f>_xlfn.XLOOKUP(Table134526_79101120212223242526[[#This Row],[Name Surname]],Manpower!$C$4:$C$1048576,Manpower!$H$4:$H$1048576,"")</f>
        <v>Manpower</v>
      </c>
      <c r="I3530" s="28" t="str">
        <f>_xlfn.XLOOKUP(Table134526_79101120212223242526[[#This Row],[Name Surname]],Manpower!$C$4:$C$1048576,Manpower!$H$4:$H$1048576,"")</f>
        <v>Manpower</v>
      </c>
      <c r="J3530" s="21" t="s">
        <v>143</v>
      </c>
      <c r="K3530" s="57" t="s">
        <v>26</v>
      </c>
      <c r="L3530" s="57" t="s">
        <v>170</v>
      </c>
      <c r="M3530" s="57" t="s">
        <v>24</v>
      </c>
      <c r="N3530" s="62">
        <v>10</v>
      </c>
      <c r="O3530" s="57" t="s">
        <v>40</v>
      </c>
      <c r="P3530" s="57" t="s">
        <v>128</v>
      </c>
      <c r="Q3530" s="57" t="s">
        <v>128</v>
      </c>
      <c r="R3530" s="57" t="s">
        <v>26</v>
      </c>
    </row>
    <row r="3531" spans="1:19" ht="14.4" hidden="1">
      <c r="A3531" s="38">
        <f>IF(C3531="","",MAX($A$1:A3530)+1)</f>
        <v>3235</v>
      </c>
      <c r="B3531" s="66" t="s">
        <v>141</v>
      </c>
      <c r="C3531" s="60">
        <v>46110</v>
      </c>
      <c r="D3531" s="61" t="str">
        <f>_xlfn.XLOOKUP(Table134526_79101120212223242526[[#This Row],[Name Surname]],Manpower!$C$4:$C$1048576,Manpower!$B$4:$B$1048576,"")</f>
        <v>Encogroup</v>
      </c>
      <c r="E3531" s="57" t="s">
        <v>422</v>
      </c>
      <c r="F3531" s="12">
        <f>_xlfn.XLOOKUP(Table134526_79101120212223242526[[#This Row],[Name Surname]],Manpower!C:C,Manpower!D:D,)</f>
        <v>121668462</v>
      </c>
      <c r="G3531" s="61" t="str">
        <f>_xlfn.XLOOKUP(Table134526_79101120212223242526[[#This Row],[Name Surname]],Manpower!$C$4:$C$1048576,Manpower!$F$4:$F$1048576,"")</f>
        <v>Site Manager</v>
      </c>
      <c r="H3531" s="61" t="str">
        <f>_xlfn.XLOOKUP(Table134526_79101120212223242526[[#This Row],[Name Surname]],Manpower!$C$4:$C$1048576,Manpower!$H$4:$H$1048576,"")</f>
        <v>Manpower</v>
      </c>
      <c r="I3531" s="28" t="str">
        <f>_xlfn.XLOOKUP(Table134526_79101120212223242526[[#This Row],[Name Surname]],Manpower!$C$4:$C$1048576,Manpower!$H$4:$H$1048576,"")</f>
        <v>Manpower</v>
      </c>
      <c r="J3531" s="21" t="s">
        <v>143</v>
      </c>
      <c r="K3531" s="57" t="s">
        <v>26</v>
      </c>
      <c r="L3531" s="57" t="s">
        <v>435</v>
      </c>
      <c r="M3531" s="57" t="s">
        <v>24</v>
      </c>
      <c r="N3531" s="62">
        <v>10</v>
      </c>
      <c r="O3531" s="21" t="s">
        <v>40</v>
      </c>
      <c r="P3531" s="21" t="s">
        <v>42</v>
      </c>
      <c r="Q3531" s="21" t="s">
        <v>42</v>
      </c>
      <c r="R3531" s="57" t="s">
        <v>436</v>
      </c>
    </row>
    <row r="3532" spans="1:19" ht="14.4" hidden="1">
      <c r="A3532" s="38">
        <f>IF(C3532="","",MAX($A$1:A3531)+1)</f>
        <v>3236</v>
      </c>
      <c r="B3532" s="66" t="s">
        <v>141</v>
      </c>
      <c r="C3532" s="60">
        <v>46110</v>
      </c>
      <c r="D3532" s="61" t="str">
        <f>_xlfn.XLOOKUP(Table134526_79101120212223242526[[#This Row],[Name Surname]],Manpower!$C$4:$C$1048576,Manpower!$B$4:$B$1048576,"")</f>
        <v>Encogroup</v>
      </c>
      <c r="E3532" s="57" t="s">
        <v>423</v>
      </c>
      <c r="F3532" s="12">
        <f>_xlfn.XLOOKUP(Table134526_79101120212223242526[[#This Row],[Name Surname]],Manpower!C:C,Manpower!D:D,)</f>
        <v>141253376</v>
      </c>
      <c r="G3532" s="61" t="str">
        <f>_xlfn.XLOOKUP(Table134526_79101120212223242526[[#This Row],[Name Surname]],Manpower!$C$4:$C$1048576,Manpower!$F$4:$F$1048576,"")</f>
        <v>Store Keeper</v>
      </c>
      <c r="H3532" s="61" t="str">
        <f>_xlfn.XLOOKUP(Table134526_79101120212223242526[[#This Row],[Name Surname]],Manpower!$C$4:$C$1048576,Manpower!$H$4:$H$1048576,"")</f>
        <v>Manpower</v>
      </c>
      <c r="I3532" s="28" t="str">
        <f>_xlfn.XLOOKUP(Table134526_79101120212223242526[[#This Row],[Name Surname]],Manpower!$C$4:$C$1048576,Manpower!$H$4:$H$1048576,"")</f>
        <v>Manpower</v>
      </c>
      <c r="J3532" s="21" t="s">
        <v>143</v>
      </c>
      <c r="K3532" s="57" t="s">
        <v>26</v>
      </c>
      <c r="L3532" s="57" t="s">
        <v>435</v>
      </c>
      <c r="M3532" s="57" t="s">
        <v>24</v>
      </c>
      <c r="N3532" s="62">
        <v>10</v>
      </c>
      <c r="O3532" s="21" t="s">
        <v>40</v>
      </c>
      <c r="P3532" s="21" t="s">
        <v>42</v>
      </c>
      <c r="Q3532" s="21" t="s">
        <v>42</v>
      </c>
      <c r="R3532" s="57" t="s">
        <v>436</v>
      </c>
    </row>
    <row r="3533" spans="1:19" ht="14.4" hidden="1">
      <c r="A3533" s="38">
        <f>IF(C3533="","",MAX($A$1:A3532)+1)</f>
        <v>3237</v>
      </c>
      <c r="B3533" s="66" t="s">
        <v>141</v>
      </c>
      <c r="C3533" s="60">
        <v>46110</v>
      </c>
      <c r="D3533" s="61" t="str">
        <f>_xlfn.XLOOKUP(Table134526_79101120212223242526[[#This Row],[Name Surname]],Manpower!$C$4:$C$1048576,Manpower!$B$4:$B$1048576,"")</f>
        <v>Encogroup</v>
      </c>
      <c r="E3533" s="57" t="s">
        <v>238</v>
      </c>
      <c r="F3533" s="12">
        <f>_xlfn.XLOOKUP(Table134526_79101120212223242526[[#This Row],[Name Surname]],Manpower!C:C,Manpower!D:D,)</f>
        <v>19753414</v>
      </c>
      <c r="G3533" s="61" t="str">
        <f>_xlfn.XLOOKUP(Table134526_79101120212223242526[[#This Row],[Name Surname]],Manpower!$C$4:$C$1048576,Manpower!$F$4:$F$1048576,"")</f>
        <v>Bus Driver</v>
      </c>
      <c r="H3533" s="61" t="str">
        <f>_xlfn.XLOOKUP(Table134526_79101120212223242526[[#This Row],[Name Surname]],Manpower!$C$4:$C$1048576,Manpower!$H$4:$H$1048576,"")</f>
        <v>Manpower</v>
      </c>
      <c r="I3533" s="28" t="str">
        <f>_xlfn.XLOOKUP(Table134526_79101120212223242526[[#This Row],[Name Surname]],Manpower!$C$4:$C$1048576,Manpower!$H$4:$H$1048576,"")</f>
        <v>Manpower</v>
      </c>
      <c r="J3533" s="21" t="s">
        <v>143</v>
      </c>
      <c r="K3533" s="57" t="s">
        <v>26</v>
      </c>
      <c r="L3533" s="57" t="s">
        <v>435</v>
      </c>
      <c r="M3533" s="57" t="s">
        <v>24</v>
      </c>
      <c r="N3533" s="62">
        <v>10</v>
      </c>
      <c r="O3533" s="21" t="s">
        <v>40</v>
      </c>
      <c r="P3533" s="21" t="s">
        <v>42</v>
      </c>
      <c r="Q3533" s="21" t="s">
        <v>42</v>
      </c>
      <c r="R3533" s="57" t="s">
        <v>436</v>
      </c>
    </row>
    <row r="3534" spans="1:19" ht="14.4" hidden="1">
      <c r="A3534" s="38">
        <f>IF(C3534="","",MAX($A$1:A3533)+1)</f>
        <v>3238</v>
      </c>
      <c r="B3534" s="66" t="s">
        <v>141</v>
      </c>
      <c r="C3534" s="60">
        <v>46110</v>
      </c>
      <c r="D3534" s="61" t="str">
        <f>_xlfn.XLOOKUP(Table134526_79101120212223242526[[#This Row],[Name Surname]],Manpower!$C$4:$C$1048576,Manpower!$B$4:$B$1048576,"")</f>
        <v>Encogroup</v>
      </c>
      <c r="E3534" s="57" t="s">
        <v>187</v>
      </c>
      <c r="F3534" s="12">
        <f>_xlfn.XLOOKUP(Table134526_79101120212223242526[[#This Row],[Name Surname]],Manpower!C:C,Manpower!D:D,)</f>
        <v>140623599</v>
      </c>
      <c r="G3534" s="61" t="str">
        <f>_xlfn.XLOOKUP(Table134526_79101120212223242526[[#This Row],[Name Surname]],Manpower!$C$4:$C$1048576,Manpower!$F$4:$F$1048576,"")</f>
        <v>Mechanical Supervisor</v>
      </c>
      <c r="H3534" s="61" t="str">
        <f>_xlfn.XLOOKUP(Table134526_79101120212223242526[[#This Row],[Name Surname]],Manpower!$C$4:$C$1048576,Manpower!$H$4:$H$1048576,"")</f>
        <v>Manpower</v>
      </c>
      <c r="I3534" s="28" t="str">
        <f>_xlfn.XLOOKUP(Table134526_79101120212223242526[[#This Row],[Name Surname]],Manpower!$C$4:$C$1048576,Manpower!$H$4:$H$1048576,"")</f>
        <v>Manpower</v>
      </c>
      <c r="J3534" s="21" t="s">
        <v>143</v>
      </c>
      <c r="K3534" s="57" t="s">
        <v>26</v>
      </c>
      <c r="L3534" s="57" t="s">
        <v>435</v>
      </c>
      <c r="M3534" s="57" t="s">
        <v>24</v>
      </c>
      <c r="N3534" s="62">
        <v>10</v>
      </c>
      <c r="O3534" s="21" t="s">
        <v>40</v>
      </c>
      <c r="P3534" s="21" t="s">
        <v>42</v>
      </c>
      <c r="Q3534" s="21" t="s">
        <v>42</v>
      </c>
      <c r="R3534" s="57" t="s">
        <v>436</v>
      </c>
    </row>
    <row r="3535" spans="1:19" ht="14.4" hidden="1">
      <c r="A3535" s="38">
        <f>IF(C3535="","",MAX($A$1:A3534)+1)</f>
        <v>3239</v>
      </c>
      <c r="B3535" s="66" t="s">
        <v>141</v>
      </c>
      <c r="C3535" s="60">
        <v>46110</v>
      </c>
      <c r="D3535" s="61" t="str">
        <f>_xlfn.XLOOKUP(Table134526_79101120212223242526[[#This Row],[Name Surname]],Manpower!$C$4:$C$1048576,Manpower!$B$4:$B$1048576,"")</f>
        <v>Encogroup</v>
      </c>
      <c r="E3535" s="57" t="s">
        <v>189</v>
      </c>
      <c r="F3535" s="12">
        <f>_xlfn.XLOOKUP(Table134526_79101120212223242526[[#This Row],[Name Surname]],Manpower!C:C,Manpower!D:D,)</f>
        <v>121937785</v>
      </c>
      <c r="G3535" s="61" t="str">
        <f>_xlfn.XLOOKUP(Table134526_79101120212223242526[[#This Row],[Name Surname]],Manpower!$C$4:$C$1048576,Manpower!$F$4:$F$1048576,"")</f>
        <v>Scaffolding Inspector</v>
      </c>
      <c r="H3535" s="61" t="str">
        <f>_xlfn.XLOOKUP(Table134526_79101120212223242526[[#This Row],[Name Surname]],Manpower!$C$4:$C$1048576,Manpower!$H$4:$H$1048576,"")</f>
        <v>Manpower</v>
      </c>
      <c r="I3535" s="28" t="str">
        <f>_xlfn.XLOOKUP(Table134526_79101120212223242526[[#This Row],[Name Surname]],Manpower!$C$4:$C$1048576,Manpower!$H$4:$H$1048576,"")</f>
        <v>Manpower</v>
      </c>
      <c r="J3535" s="21" t="s">
        <v>143</v>
      </c>
      <c r="K3535" s="57" t="s">
        <v>26</v>
      </c>
      <c r="L3535" s="57" t="s">
        <v>435</v>
      </c>
      <c r="M3535" s="57" t="s">
        <v>24</v>
      </c>
      <c r="N3535" s="62">
        <v>10</v>
      </c>
      <c r="O3535" s="21" t="s">
        <v>40</v>
      </c>
      <c r="P3535" s="21" t="s">
        <v>42</v>
      </c>
      <c r="Q3535" s="21" t="s">
        <v>42</v>
      </c>
      <c r="R3535" s="57" t="s">
        <v>436</v>
      </c>
    </row>
    <row r="3536" spans="1:19" s="45" customFormat="1" ht="14.4" hidden="1">
      <c r="A3536" s="53">
        <f>IF(C3536="","",MAX($A$1:A3535)+1)</f>
        <v>3240</v>
      </c>
      <c r="B3536" s="54" t="s">
        <v>141</v>
      </c>
      <c r="C3536" s="55">
        <v>46110</v>
      </c>
      <c r="D3536" s="48" t="str">
        <f>_xlfn.XLOOKUP(Table134526_79101120212223242526[[#This Row],[Name Surname]],Manpower!$C$4:$C$1048576,Manpower!$B$4:$B$1048576,"")</f>
        <v xml:space="preserve">AL Omar International </v>
      </c>
      <c r="E3536" s="43" t="s">
        <v>190</v>
      </c>
      <c r="F3536" s="12">
        <f>_xlfn.XLOOKUP(Table134526_79101120212223242526[[#This Row],[Name Surname]],Manpower!C:C,Manpower!D:D,)</f>
        <v>85812175</v>
      </c>
      <c r="G3536" s="48" t="str">
        <f>_xlfn.XLOOKUP(Table134526_79101120212223242526[[#This Row],[Name Surname]],Manpower!$C$4:$C$1048576,Manpower!$F$4:$F$1048576,"")</f>
        <v>Scaffolding Supervisor</v>
      </c>
      <c r="H3536" s="48" t="str">
        <f>_xlfn.XLOOKUP(Table134526_79101120212223242526[[#This Row],[Name Surname]],Manpower!$C$4:$C$1048576,Manpower!$H$4:$H$1048576,"")</f>
        <v>Sub Contactor</v>
      </c>
      <c r="I3536" s="48" t="str">
        <f>_xlfn.XLOOKUP(Table134526_79101120212223242526[[#This Row],[Name Surname]],Manpower!$C$4:$C$1048576,Manpower!$H$4:$H$1048576,"")</f>
        <v>Sub Contactor</v>
      </c>
      <c r="J3536" s="43" t="s">
        <v>143</v>
      </c>
      <c r="K3536" s="51" t="s">
        <v>26</v>
      </c>
      <c r="L3536" s="51" t="s">
        <v>435</v>
      </c>
      <c r="M3536" s="51" t="s">
        <v>24</v>
      </c>
      <c r="N3536" s="52">
        <v>10</v>
      </c>
      <c r="O3536" s="43" t="s">
        <v>40</v>
      </c>
      <c r="P3536" s="43" t="s">
        <v>42</v>
      </c>
      <c r="Q3536" s="43" t="s">
        <v>42</v>
      </c>
      <c r="R3536" s="51" t="s">
        <v>436</v>
      </c>
      <c r="S3536" s="43"/>
    </row>
    <row r="3537" spans="1:19" ht="14.4" hidden="1">
      <c r="A3537" s="38">
        <f>IF(C3537="","",MAX($A$1:A3535)+1)</f>
        <v>3240</v>
      </c>
      <c r="B3537" s="66" t="s">
        <v>141</v>
      </c>
      <c r="C3537" s="60">
        <v>46110</v>
      </c>
      <c r="D3537" s="61" t="str">
        <f>_xlfn.XLOOKUP(Table134526_79101120212223242526[[#This Row],[Name Surname]],Manpower!$C$4:$C$1048576,Manpower!$B$4:$B$1048576,"")</f>
        <v>AL Omar International TRAD AND CONT</v>
      </c>
      <c r="E3537" s="57" t="s">
        <v>193</v>
      </c>
      <c r="F3537" s="12">
        <f>_xlfn.XLOOKUP(Table134526_79101120212223242526[[#This Row],[Name Surname]],Manpower!C:C,Manpower!D:D,)</f>
        <v>105813698</v>
      </c>
      <c r="G3537" s="61" t="str">
        <f>_xlfn.XLOOKUP(Table134526_79101120212223242526[[#This Row],[Name Surname]],Manpower!$C$4:$C$1048576,Manpower!$F$4:$F$1048576,"")</f>
        <v>Scaffolding Inspector</v>
      </c>
      <c r="H3537" s="61" t="str">
        <f>_xlfn.XLOOKUP(Table134526_79101120212223242526[[#This Row],[Name Surname]],Manpower!$C$4:$C$1048576,Manpower!$H$4:$H$1048576,"")</f>
        <v>Sub Contactor</v>
      </c>
      <c r="I3537" s="28" t="str">
        <f>_xlfn.XLOOKUP(Table134526_79101120212223242526[[#This Row],[Name Surname]],Manpower!$C$4:$C$1048576,Manpower!$H$4:$H$1048576,"")</f>
        <v>Sub Contactor</v>
      </c>
      <c r="J3537" s="21" t="s">
        <v>143</v>
      </c>
      <c r="K3537" s="57" t="s">
        <v>26</v>
      </c>
      <c r="L3537" s="57" t="s">
        <v>170</v>
      </c>
      <c r="M3537" s="57" t="s">
        <v>24</v>
      </c>
      <c r="N3537" s="62">
        <v>10</v>
      </c>
      <c r="O3537" s="57" t="s">
        <v>40</v>
      </c>
      <c r="P3537" s="57" t="s">
        <v>128</v>
      </c>
      <c r="Q3537" s="57" t="s">
        <v>128</v>
      </c>
      <c r="R3537" s="57" t="s">
        <v>26</v>
      </c>
    </row>
    <row r="3538" spans="1:19" ht="14.4" hidden="1">
      <c r="A3538" s="38">
        <f>IF(C3538="","",MAX($A$1:A3537)+1)</f>
        <v>3241</v>
      </c>
      <c r="B3538" s="66" t="s">
        <v>141</v>
      </c>
      <c r="C3538" s="60">
        <v>46110</v>
      </c>
      <c r="D3538" s="61" t="str">
        <f>_xlfn.XLOOKUP(Table134526_79101120212223242526[[#This Row],[Name Surname]],Manpower!$C$4:$C$1048576,Manpower!$B$4:$B$1048576,"")</f>
        <v>AL Saif &amp; Al QALLM ENT LLC</v>
      </c>
      <c r="E3538" s="57" t="s">
        <v>194</v>
      </c>
      <c r="F3538" s="12">
        <f>_xlfn.XLOOKUP(Table134526_79101120212223242526[[#This Row],[Name Surname]],Manpower!C:C,Manpower!D:D,)</f>
        <v>135340657</v>
      </c>
      <c r="G3538" s="61" t="str">
        <f>_xlfn.XLOOKUP(Table134526_79101120212223242526[[#This Row],[Name Surname]],Manpower!$C$4:$C$1048576,Manpower!$F$4:$F$1048576,"")</f>
        <v>Forklift Operator</v>
      </c>
      <c r="H3538" s="61" t="str">
        <f>_xlfn.XLOOKUP(Table134526_79101120212223242526[[#This Row],[Name Surname]],Manpower!$C$4:$C$1048576,Manpower!$H$4:$H$1048576,"")</f>
        <v>Sub Contactor</v>
      </c>
      <c r="I3538" s="28" t="str">
        <f>_xlfn.XLOOKUP(Table134526_79101120212223242526[[#This Row],[Name Surname]],Manpower!$C$4:$C$1048576,Manpower!$H$4:$H$1048576,"")</f>
        <v>Sub Contactor</v>
      </c>
      <c r="J3538" s="21" t="s">
        <v>143</v>
      </c>
      <c r="K3538" s="57" t="s">
        <v>26</v>
      </c>
      <c r="L3538" s="57" t="s">
        <v>435</v>
      </c>
      <c r="M3538" s="57" t="s">
        <v>24</v>
      </c>
      <c r="N3538" s="62">
        <v>10</v>
      </c>
      <c r="O3538" s="57"/>
      <c r="P3538" s="57"/>
      <c r="Q3538" s="57"/>
      <c r="R3538" s="57" t="s">
        <v>436</v>
      </c>
    </row>
    <row r="3539" spans="1:19" ht="14.4" hidden="1">
      <c r="A3539" s="38">
        <f>IF(C3539="","",MAX($A$1:A3538)+1)</f>
        <v>3242</v>
      </c>
      <c r="B3539" s="66" t="s">
        <v>141</v>
      </c>
      <c r="C3539" s="60">
        <v>46110</v>
      </c>
      <c r="D3539" s="61" t="str">
        <f>_xlfn.XLOOKUP(Table134526_79101120212223242526[[#This Row],[Name Surname]],Manpower!$C$4:$C$1048576,Manpower!$B$4:$B$1048576,"")</f>
        <v>Encogroup</v>
      </c>
      <c r="E3539" s="57" t="s">
        <v>196</v>
      </c>
      <c r="F3539" s="12">
        <f>_xlfn.XLOOKUP(Table134526_79101120212223242526[[#This Row],[Name Surname]],Manpower!C:C,Manpower!D:D,)</f>
        <v>140844586</v>
      </c>
      <c r="G3539" s="61" t="str">
        <f>_xlfn.XLOOKUP(Table134526_79101120212223242526[[#This Row],[Name Surname]],Manpower!$C$4:$C$1048576,Manpower!$F$4:$F$1048576,"")</f>
        <v>Assistant/Helper</v>
      </c>
      <c r="H3539" s="61" t="str">
        <f>_xlfn.XLOOKUP(Table134526_79101120212223242526[[#This Row],[Name Surname]],Manpower!$C$4:$C$1048576,Manpower!$H$4:$H$1048576,"")</f>
        <v>Manpower</v>
      </c>
      <c r="I3539" s="28" t="str">
        <f>_xlfn.XLOOKUP(Table134526_79101120212223242526[[#This Row],[Name Surname]],Manpower!$C$4:$C$1048576,Manpower!$H$4:$H$1048576,"")</f>
        <v>Manpower</v>
      </c>
      <c r="J3539" s="21" t="s">
        <v>143</v>
      </c>
      <c r="K3539" s="57" t="s">
        <v>26</v>
      </c>
      <c r="L3539" s="57" t="s">
        <v>170</v>
      </c>
      <c r="M3539" s="57" t="s">
        <v>24</v>
      </c>
      <c r="N3539" s="62">
        <v>10</v>
      </c>
      <c r="O3539" s="57" t="s">
        <v>40</v>
      </c>
      <c r="P3539" s="57" t="s">
        <v>128</v>
      </c>
      <c r="Q3539" s="57" t="s">
        <v>128</v>
      </c>
      <c r="R3539" s="57" t="s">
        <v>26</v>
      </c>
    </row>
    <row r="3540" spans="1:19" ht="14.4" hidden="1">
      <c r="A3540" s="38">
        <f>IF(C3540="","",MAX($A$1:A3539)+1)</f>
        <v>3243</v>
      </c>
      <c r="B3540" s="66" t="s">
        <v>141</v>
      </c>
      <c r="C3540" s="60">
        <v>46110</v>
      </c>
      <c r="D3540" s="61" t="str">
        <f>_xlfn.XLOOKUP(Table134526_79101120212223242526[[#This Row],[Name Surname]],Manpower!$C$4:$C$1048576,Manpower!$B$4:$B$1048576,"")</f>
        <v>AL Omar International Tarde&amp;Contracting SPC</v>
      </c>
      <c r="E3540" s="57" t="s">
        <v>221</v>
      </c>
      <c r="F3540" s="12">
        <f>_xlfn.XLOOKUP(Table134526_79101120212223242526[[#This Row],[Name Surname]],Manpower!C:C,Manpower!D:D,)</f>
        <v>115122635</v>
      </c>
      <c r="G3540" s="61" t="str">
        <f>_xlfn.XLOOKUP(Table134526_79101120212223242526[[#This Row],[Name Surname]],Manpower!$C$4:$C$1048576,Manpower!$F$4:$F$1048576,"")</f>
        <v>Scaffolder</v>
      </c>
      <c r="H3540" s="61" t="str">
        <f>_xlfn.XLOOKUP(Table134526_79101120212223242526[[#This Row],[Name Surname]],Manpower!$C$4:$C$1048576,Manpower!$H$4:$H$1048576,"")</f>
        <v>Sub Contactor</v>
      </c>
      <c r="I3540" s="28" t="str">
        <f>_xlfn.XLOOKUP(Table134526_79101120212223242526[[#This Row],[Name Surname]],Manpower!$C$4:$C$1048576,Manpower!$H$4:$H$1048576,"")</f>
        <v>Sub Contactor</v>
      </c>
      <c r="J3540" s="21" t="s">
        <v>143</v>
      </c>
      <c r="K3540" s="57" t="s">
        <v>26</v>
      </c>
      <c r="L3540" s="57" t="s">
        <v>170</v>
      </c>
      <c r="M3540" s="57" t="s">
        <v>24</v>
      </c>
      <c r="N3540" s="62">
        <v>10</v>
      </c>
      <c r="O3540" s="57" t="s">
        <v>40</v>
      </c>
      <c r="P3540" s="57" t="s">
        <v>128</v>
      </c>
      <c r="Q3540" s="57" t="s">
        <v>128</v>
      </c>
      <c r="R3540" s="57" t="s">
        <v>26</v>
      </c>
    </row>
    <row r="3541" spans="1:19" ht="14.4" hidden="1">
      <c r="A3541" s="38">
        <f>IF(C3541="","",MAX($A$1:A3540)+1)</f>
        <v>3244</v>
      </c>
      <c r="B3541" s="66" t="s">
        <v>141</v>
      </c>
      <c r="C3541" s="60">
        <v>46110</v>
      </c>
      <c r="D3541" s="61" t="str">
        <f>_xlfn.XLOOKUP(Table134526_79101120212223242526[[#This Row],[Name Surname]],Manpower!$C$4:$C$1048576,Manpower!$B$4:$B$1048576,"")</f>
        <v>Encogroup</v>
      </c>
      <c r="E3541" s="57" t="s">
        <v>183</v>
      </c>
      <c r="F3541" s="12">
        <f>_xlfn.XLOOKUP(Table134526_79101120212223242526[[#This Row],[Name Surname]],Manpower!C:C,Manpower!D:D,)</f>
        <v>141359024</v>
      </c>
      <c r="G3541" s="61" t="str">
        <f>_xlfn.XLOOKUP(Table134526_79101120212223242526[[#This Row],[Name Surname]],Manpower!$C$4:$C$1048576,Manpower!$F$4:$F$1048576,"")</f>
        <v>Hydraulic Mechanic</v>
      </c>
      <c r="H3541" s="61" t="str">
        <f>_xlfn.XLOOKUP(Table134526_79101120212223242526[[#This Row],[Name Surname]],Manpower!$C$4:$C$1048576,Manpower!$H$4:$H$1048576,"")</f>
        <v>Manpower</v>
      </c>
      <c r="I3541" s="28" t="str">
        <f>_xlfn.XLOOKUP(Table134526_79101120212223242526[[#This Row],[Name Surname]],Manpower!$C$4:$C$1048576,Manpower!$H$4:$H$1048576,"")</f>
        <v>Manpower</v>
      </c>
      <c r="J3541" s="21" t="s">
        <v>143</v>
      </c>
      <c r="K3541" s="57" t="s">
        <v>26</v>
      </c>
      <c r="L3541" s="57" t="s">
        <v>170</v>
      </c>
      <c r="M3541" s="57" t="s">
        <v>24</v>
      </c>
      <c r="N3541" s="62">
        <v>10</v>
      </c>
      <c r="O3541" s="57" t="s">
        <v>40</v>
      </c>
      <c r="P3541" s="57" t="s">
        <v>128</v>
      </c>
      <c r="Q3541" s="57" t="s">
        <v>128</v>
      </c>
      <c r="R3541" s="57" t="s">
        <v>26</v>
      </c>
    </row>
    <row r="3542" spans="1:19" ht="14.4">
      <c r="A3542" s="38">
        <f>IF(C3542="","",MAX($A$1:A3541)+1)</f>
        <v>3245</v>
      </c>
      <c r="B3542" s="66" t="s">
        <v>141</v>
      </c>
      <c r="C3542" s="60">
        <v>46110</v>
      </c>
      <c r="D3542" s="61" t="str">
        <f>_xlfn.XLOOKUP(Table134526_79101120212223242526[[#This Row],[Name Surname]],Manpower!$C$4:$C$1048576,Manpower!$B$4:$B$1048576,"")</f>
        <v>Al Asrah Al Mumayaza Trad</v>
      </c>
      <c r="E3542" s="57" t="s">
        <v>198</v>
      </c>
      <c r="F3542" s="12" t="e">
        <f>_xlfn.XLOOKUP(Table134526_79101120212223242526[[#This Row],[Name Surname]],Manpower!C:C,Manpower!D:D,)</f>
        <v>#N/A</v>
      </c>
      <c r="G3542" s="61" t="str">
        <f>_xlfn.XLOOKUP(Table134526_79101120212223242526[[#This Row],[Name Surname]],Manpower!$C$4:$C$1048576,Manpower!$F$4:$F$1048576,"")</f>
        <v>PICK-UP</v>
      </c>
      <c r="H3542" s="61" t="str">
        <f>_xlfn.XLOOKUP(Table134526_79101120212223242526[[#This Row],[Name Surname]],Manpower!$C$4:$C$1048576,Manpower!$H$4:$H$1048576,"")</f>
        <v>Equipment</v>
      </c>
      <c r="I3542" s="28" t="str">
        <f>_xlfn.XLOOKUP(Table134526_79101120212223242526[[#This Row],[Name Surname]],Manpower!$C$4:$C$1048576,Manpower!$H$4:$H$1048576,"")</f>
        <v>Equipment</v>
      </c>
      <c r="J3542" s="21" t="s">
        <v>143</v>
      </c>
      <c r="K3542" s="57" t="s">
        <v>26</v>
      </c>
      <c r="L3542" s="57" t="s">
        <v>435</v>
      </c>
      <c r="M3542" s="57" t="s">
        <v>24</v>
      </c>
      <c r="N3542" s="62">
        <v>10</v>
      </c>
      <c r="O3542" s="57"/>
      <c r="P3542" s="57"/>
      <c r="Q3542" s="57"/>
      <c r="R3542" s="57" t="s">
        <v>436</v>
      </c>
    </row>
    <row r="3543" spans="1:19" ht="14.4">
      <c r="A3543" s="38">
        <f>IF(C3543="","",MAX($A$1:A3542)+1)</f>
        <v>3246</v>
      </c>
      <c r="B3543" s="66" t="s">
        <v>141</v>
      </c>
      <c r="C3543" s="60">
        <v>46110</v>
      </c>
      <c r="D3543" s="61" t="str">
        <f>_xlfn.XLOOKUP(Table134526_79101120212223242526[[#This Row],[Name Surname]],Manpower!$C$4:$C$1048576,Manpower!$B$4:$B$1048576,"")</f>
        <v>Al Asrah Al Mumayaza Trad</v>
      </c>
      <c r="E3543" s="57" t="s">
        <v>199</v>
      </c>
      <c r="F3543" s="12" t="e">
        <f>_xlfn.XLOOKUP(Table134526_79101120212223242526[[#This Row],[Name Surname]],Manpower!C:C,Manpower!D:D,)</f>
        <v>#N/A</v>
      </c>
      <c r="G3543" s="61" t="str">
        <f>_xlfn.XLOOKUP(Table134526_79101120212223242526[[#This Row],[Name Surname]],Manpower!$C$4:$C$1048576,Manpower!$F$4:$F$1048576,"")</f>
        <v>PICK-UP</v>
      </c>
      <c r="H3543" s="61" t="str">
        <f>_xlfn.XLOOKUP(Table134526_79101120212223242526[[#This Row],[Name Surname]],Manpower!$C$4:$C$1048576,Manpower!$H$4:$H$1048576,"")</f>
        <v>Equipment</v>
      </c>
      <c r="I3543" s="28" t="str">
        <f>_xlfn.XLOOKUP(Table134526_79101120212223242526[[#This Row],[Name Surname]],Manpower!$C$4:$C$1048576,Manpower!$H$4:$H$1048576,"")</f>
        <v>Equipment</v>
      </c>
      <c r="J3543" s="21" t="s">
        <v>143</v>
      </c>
      <c r="K3543" s="57" t="s">
        <v>26</v>
      </c>
      <c r="L3543" s="57" t="s">
        <v>435</v>
      </c>
      <c r="M3543" s="57" t="s">
        <v>24</v>
      </c>
      <c r="N3543" s="62">
        <v>10</v>
      </c>
      <c r="O3543" s="57"/>
      <c r="P3543" s="57"/>
      <c r="Q3543" s="57"/>
      <c r="R3543" s="57" t="s">
        <v>436</v>
      </c>
    </row>
    <row r="3544" spans="1:19" ht="14.4">
      <c r="A3544" s="38">
        <f>IF(C3544="","",MAX($A$1:A3543)+1)</f>
        <v>3247</v>
      </c>
      <c r="B3544" s="66" t="s">
        <v>141</v>
      </c>
      <c r="C3544" s="60">
        <v>46110</v>
      </c>
      <c r="D3544" s="61" t="str">
        <f>_xlfn.XLOOKUP(Table134526_79101120212223242526[[#This Row],[Name Surname]],Manpower!$C$4:$C$1048576,Manpower!$B$4:$B$1048576,"")</f>
        <v>Al Asrah Al Mumayaza Trad</v>
      </c>
      <c r="E3544" s="57" t="s">
        <v>200</v>
      </c>
      <c r="F3544" s="12" t="e">
        <f>_xlfn.XLOOKUP(Table134526_79101120212223242526[[#This Row],[Name Surname]],Manpower!C:C,Manpower!D:D,)</f>
        <v>#N/A</v>
      </c>
      <c r="G3544" s="61" t="str">
        <f>_xlfn.XLOOKUP(Table134526_79101120212223242526[[#This Row],[Name Surname]],Manpower!$C$4:$C$1048576,Manpower!$F$4:$F$1048576,"")</f>
        <v>PICK-UP</v>
      </c>
      <c r="H3544" s="61" t="str">
        <f>_xlfn.XLOOKUP(Table134526_79101120212223242526[[#This Row],[Name Surname]],Manpower!$C$4:$C$1048576,Manpower!$H$4:$H$1048576,"")</f>
        <v>Equipment</v>
      </c>
      <c r="I3544" s="28" t="str">
        <f>_xlfn.XLOOKUP(Table134526_79101120212223242526[[#This Row],[Name Surname]],Manpower!$C$4:$C$1048576,Manpower!$H$4:$H$1048576,"")</f>
        <v>Equipment</v>
      </c>
      <c r="J3544" s="21" t="s">
        <v>143</v>
      </c>
      <c r="K3544" s="57" t="s">
        <v>26</v>
      </c>
      <c r="L3544" s="57" t="s">
        <v>435</v>
      </c>
      <c r="M3544" s="57" t="s">
        <v>24</v>
      </c>
      <c r="N3544" s="62">
        <v>10</v>
      </c>
      <c r="O3544" s="57"/>
      <c r="P3544" s="57"/>
      <c r="Q3544" s="57"/>
      <c r="R3544" s="57" t="s">
        <v>436</v>
      </c>
    </row>
    <row r="3545" spans="1:19" ht="14.4">
      <c r="A3545" s="38">
        <f>IF(C3545="","",MAX($A$1:A3544)+1)</f>
        <v>3248</v>
      </c>
      <c r="B3545" s="66" t="s">
        <v>141</v>
      </c>
      <c r="C3545" s="60">
        <v>46110</v>
      </c>
      <c r="D3545" s="61" t="str">
        <f>_xlfn.XLOOKUP(Table134526_79101120212223242526[[#This Row],[Name Surname]],Manpower!$C$4:$C$1048576,Manpower!$B$4:$B$1048576,"")</f>
        <v>Al Asrah Al Mumayaza Trad</v>
      </c>
      <c r="E3545" s="57" t="s">
        <v>201</v>
      </c>
      <c r="F3545" s="12" t="e">
        <f>_xlfn.XLOOKUP(Table134526_79101120212223242526[[#This Row],[Name Surname]],Manpower!C:C,Manpower!D:D,)</f>
        <v>#N/A</v>
      </c>
      <c r="G3545" s="61" t="str">
        <f>_xlfn.XLOOKUP(Table134526_79101120212223242526[[#This Row],[Name Surname]],Manpower!$C$4:$C$1048576,Manpower!$F$4:$F$1048576,"")</f>
        <v>PICK-UP</v>
      </c>
      <c r="H3545" s="61" t="str">
        <f>_xlfn.XLOOKUP(Table134526_79101120212223242526[[#This Row],[Name Surname]],Manpower!$C$4:$C$1048576,Manpower!$H$4:$H$1048576,"")</f>
        <v>Equipment</v>
      </c>
      <c r="I3545" s="28" t="str">
        <f>_xlfn.XLOOKUP(Table134526_79101120212223242526[[#This Row],[Name Surname]],Manpower!$C$4:$C$1048576,Manpower!$H$4:$H$1048576,"")</f>
        <v>Equipment</v>
      </c>
      <c r="J3545" s="21" t="s">
        <v>143</v>
      </c>
      <c r="K3545" s="57" t="s">
        <v>26</v>
      </c>
      <c r="L3545" s="57" t="s">
        <v>435</v>
      </c>
      <c r="M3545" s="57" t="s">
        <v>24</v>
      </c>
      <c r="N3545" s="62">
        <v>10</v>
      </c>
      <c r="O3545" s="57"/>
      <c r="P3545" s="57"/>
      <c r="Q3545" s="57"/>
      <c r="R3545" s="57" t="s">
        <v>436</v>
      </c>
    </row>
    <row r="3546" spans="1:19" ht="14.4" hidden="1">
      <c r="A3546" s="38">
        <f>IF(C3546="","",MAX($A$1:A3545)+1)</f>
        <v>3249</v>
      </c>
      <c r="B3546" s="66" t="s">
        <v>141</v>
      </c>
      <c r="C3546" s="60">
        <v>46110</v>
      </c>
      <c r="D3546" s="61" t="str">
        <f>_xlfn.XLOOKUP(Table134526_79101120212223242526[[#This Row],[Name Surname]],Manpower!$C$4:$C$1048576,Manpower!$B$4:$B$1048576,"")</f>
        <v>Encogroup</v>
      </c>
      <c r="E3546" s="57" t="s">
        <v>202</v>
      </c>
      <c r="F3546" s="12">
        <f>_xlfn.XLOOKUP(Table134526_79101120212223242526[[#This Row],[Name Surname]],Manpower!C:C,Manpower!D:D,)</f>
        <v>140805592</v>
      </c>
      <c r="G3546" s="61" t="str">
        <f>_xlfn.XLOOKUP(Table134526_79101120212223242526[[#This Row],[Name Surname]],Manpower!$C$4:$C$1048576,Manpower!$F$4:$F$1048576,"")</f>
        <v>Assistant/Helper</v>
      </c>
      <c r="H3546" s="61" t="str">
        <f>_xlfn.XLOOKUP(Table134526_79101120212223242526[[#This Row],[Name Surname]],Manpower!$C$4:$C$1048576,Manpower!$H$4:$H$1048576,"")</f>
        <v>Manpower</v>
      </c>
      <c r="I3546" s="28" t="str">
        <f>_xlfn.XLOOKUP(Table134526_79101120212223242526[[#This Row],[Name Surname]],Manpower!$C$4:$C$1048576,Manpower!$H$4:$H$1048576,"")</f>
        <v>Manpower</v>
      </c>
      <c r="J3546" s="21" t="s">
        <v>143</v>
      </c>
      <c r="K3546" s="57" t="s">
        <v>26</v>
      </c>
      <c r="L3546" s="57" t="s">
        <v>435</v>
      </c>
      <c r="M3546" s="57" t="s">
        <v>24</v>
      </c>
      <c r="N3546" s="62">
        <v>10</v>
      </c>
      <c r="O3546" s="21" t="s">
        <v>40</v>
      </c>
      <c r="P3546" s="21" t="s">
        <v>42</v>
      </c>
      <c r="Q3546" s="21" t="s">
        <v>42</v>
      </c>
      <c r="R3546" s="57" t="s">
        <v>436</v>
      </c>
    </row>
    <row r="3547" spans="1:19" s="45" customFormat="1" ht="14.4" hidden="1">
      <c r="A3547" s="53">
        <f>IF(C3547="","",MAX($A$1:A3546)+1)</f>
        <v>3250</v>
      </c>
      <c r="B3547" s="54" t="s">
        <v>141</v>
      </c>
      <c r="C3547" s="55">
        <v>46110</v>
      </c>
      <c r="D3547" s="68" t="str">
        <f>_xlfn.XLOOKUP(Table134526_79101120212223242526[[#This Row],[Name Surname]],Manpower!$C$4:$C$1048576,Manpower!$B$4:$B$1048576,"")</f>
        <v>Encogroup</v>
      </c>
      <c r="E3547" s="51" t="s">
        <v>203</v>
      </c>
      <c r="F3547" s="12">
        <f>_xlfn.XLOOKUP(Table134526_79101120212223242526[[#This Row],[Name Surname]],Manpower!C:C,Manpower!D:D,)</f>
        <v>140683371</v>
      </c>
      <c r="G3547" s="68" t="str">
        <f>_xlfn.XLOOKUP(Table134526_79101120212223242526[[#This Row],[Name Surname]],Manpower!$C$4:$C$1048576,Manpower!$F$4:$F$1048576,"")</f>
        <v>Rigger</v>
      </c>
      <c r="H3547" s="68" t="str">
        <f>_xlfn.XLOOKUP(Table134526_79101120212223242526[[#This Row],[Name Surname]],Manpower!$C$4:$C$1048576,Manpower!$H$4:$H$1048576,"")</f>
        <v>Manpower</v>
      </c>
      <c r="I3547" s="48" t="str">
        <f>_xlfn.XLOOKUP(Table134526_79101120212223242526[[#This Row],[Name Surname]],Manpower!$C$4:$C$1048576,Manpower!$H$4:$H$1048576,"")</f>
        <v>Manpower</v>
      </c>
      <c r="J3547" s="43" t="s">
        <v>143</v>
      </c>
      <c r="K3547" s="51" t="s">
        <v>26</v>
      </c>
      <c r="L3547" s="51" t="s">
        <v>435</v>
      </c>
      <c r="M3547" s="51" t="s">
        <v>24</v>
      </c>
      <c r="N3547" s="52">
        <v>10</v>
      </c>
      <c r="O3547" s="43" t="s">
        <v>40</v>
      </c>
      <c r="P3547" s="43" t="s">
        <v>42</v>
      </c>
      <c r="Q3547" s="43" t="s">
        <v>42</v>
      </c>
      <c r="R3547" s="51" t="s">
        <v>436</v>
      </c>
      <c r="S3547" s="43"/>
    </row>
    <row r="3548" spans="1:19" s="45" customFormat="1" ht="14.4" hidden="1">
      <c r="A3548" s="53">
        <f>IF(C3548="","",MAX($A$1:A3547)+1)</f>
        <v>3251</v>
      </c>
      <c r="B3548" s="54" t="s">
        <v>141</v>
      </c>
      <c r="C3548" s="55">
        <v>46110</v>
      </c>
      <c r="D3548" s="68" t="str">
        <f>_xlfn.XLOOKUP(Table134526_79101120212223242526[[#This Row],[Name Surname]],Manpower!$C$4:$C$1048576,Manpower!$B$4:$B$1048576,"")</f>
        <v>Encogroup</v>
      </c>
      <c r="E3548" s="51" t="s">
        <v>206</v>
      </c>
      <c r="F3548" s="12">
        <f>_xlfn.XLOOKUP(Table134526_79101120212223242526[[#This Row],[Name Surname]],Manpower!C:C,Manpower!D:D,)</f>
        <v>140844848</v>
      </c>
      <c r="G3548" s="68" t="str">
        <f>_xlfn.XLOOKUP(Table134526_79101120212223242526[[#This Row],[Name Surname]],Manpower!$C$4:$C$1048576,Manpower!$F$4:$F$1048576,"")</f>
        <v>Assistant/Helper</v>
      </c>
      <c r="H3548" s="68" t="str">
        <f>_xlfn.XLOOKUP(Table134526_79101120212223242526[[#This Row],[Name Surname]],Manpower!$C$4:$C$1048576,Manpower!$H$4:$H$1048576,"")</f>
        <v>Manpower</v>
      </c>
      <c r="I3548" s="48" t="str">
        <f>_xlfn.XLOOKUP(Table134526_79101120212223242526[[#This Row],[Name Surname]],Manpower!$C$4:$C$1048576,Manpower!$H$4:$H$1048576,"")</f>
        <v>Manpower</v>
      </c>
      <c r="J3548" s="43" t="s">
        <v>143</v>
      </c>
      <c r="K3548" s="51" t="s">
        <v>26</v>
      </c>
      <c r="L3548" s="51" t="s">
        <v>435</v>
      </c>
      <c r="M3548" s="51" t="s">
        <v>24</v>
      </c>
      <c r="N3548" s="52">
        <v>10</v>
      </c>
      <c r="O3548" s="43" t="s">
        <v>40</v>
      </c>
      <c r="P3548" s="43" t="s">
        <v>42</v>
      </c>
      <c r="Q3548" s="43" t="s">
        <v>42</v>
      </c>
      <c r="R3548" s="51" t="s">
        <v>436</v>
      </c>
      <c r="S3548" s="43"/>
    </row>
    <row r="3549" spans="1:19" ht="14.4" hidden="1">
      <c r="A3549" s="38">
        <f>IF(C3549="","",MAX($A$1:A3548)+1)</f>
        <v>3252</v>
      </c>
      <c r="B3549" s="66" t="s">
        <v>141</v>
      </c>
      <c r="C3549" s="60">
        <v>46110</v>
      </c>
      <c r="D3549" s="61" t="str">
        <f>_xlfn.XLOOKUP(Table134526_79101120212223242526[[#This Row],[Name Surname]],Manpower!$C$4:$C$1048576,Manpower!$B$4:$B$1048576,"")</f>
        <v>Encogroup</v>
      </c>
      <c r="E3549" s="57" t="s">
        <v>208</v>
      </c>
      <c r="F3549" s="12">
        <f>_xlfn.XLOOKUP(Table134526_79101120212223242526[[#This Row],[Name Surname]],Manpower!C:C,Manpower!D:D,)</f>
        <v>140683399</v>
      </c>
      <c r="G3549" s="61" t="str">
        <f>_xlfn.XLOOKUP(Table134526_79101120212223242526[[#This Row],[Name Surname]],Manpower!$C$4:$C$1048576,Manpower!$F$4:$F$1048576,"")</f>
        <v>Rigger</v>
      </c>
      <c r="H3549" s="61" t="str">
        <f>_xlfn.XLOOKUP(Table134526_79101120212223242526[[#This Row],[Name Surname]],Manpower!$C$4:$C$1048576,Manpower!$H$4:$H$1048576,"")</f>
        <v>Manpower</v>
      </c>
      <c r="I3549" s="28" t="str">
        <f>_xlfn.XLOOKUP(Table134526_79101120212223242526[[#This Row],[Name Surname]],Manpower!$C$4:$C$1048576,Manpower!$H$4:$H$1048576,"")</f>
        <v>Manpower</v>
      </c>
      <c r="J3549" s="21" t="s">
        <v>143</v>
      </c>
      <c r="K3549" s="57" t="s">
        <v>26</v>
      </c>
      <c r="L3549" s="57" t="s">
        <v>435</v>
      </c>
      <c r="M3549" s="57" t="s">
        <v>24</v>
      </c>
      <c r="N3549" s="62">
        <v>10</v>
      </c>
      <c r="O3549" s="21" t="s">
        <v>40</v>
      </c>
      <c r="P3549" s="21" t="s">
        <v>42</v>
      </c>
      <c r="Q3549" s="21" t="s">
        <v>42</v>
      </c>
      <c r="R3549" s="57" t="s">
        <v>436</v>
      </c>
    </row>
    <row r="3550" spans="1:19" ht="14.4">
      <c r="A3550" s="38">
        <f>IF(C3550="","",MAX($A$1:A3549)+1)</f>
        <v>3253</v>
      </c>
      <c r="B3550" s="66" t="s">
        <v>141</v>
      </c>
      <c r="C3550" s="60">
        <v>46110</v>
      </c>
      <c r="D3550" s="61" t="str">
        <f>_xlfn.XLOOKUP(Table134526_79101120212223242526[[#This Row],[Name Surname]],Manpower!$C$4:$C$1048576,Manpower!$B$4:$B$1048576,"")</f>
        <v>Encogroup</v>
      </c>
      <c r="E3550" s="57" t="s">
        <v>341</v>
      </c>
      <c r="F3550" s="12" t="e">
        <f>_xlfn.XLOOKUP(Table134526_79101120212223242526[[#This Row],[Name Surname]],Manpower!C:C,Manpower!D:D,)</f>
        <v>#N/A</v>
      </c>
      <c r="G3550" s="61" t="str">
        <f>_xlfn.XLOOKUP(Table134526_79101120212223242526[[#This Row],[Name Surname]],Manpower!$C$4:$C$1048576,Manpower!$F$4:$F$1048576,"")</f>
        <v>SCISSOR LIFT</v>
      </c>
      <c r="H3550" s="61" t="str">
        <f>_xlfn.XLOOKUP(Table134526_79101120212223242526[[#This Row],[Name Surname]],Manpower!$C$4:$C$1048576,Manpower!$H$4:$H$1048576,"")</f>
        <v>Equipment</v>
      </c>
      <c r="I3550" s="28" t="str">
        <f>_xlfn.XLOOKUP(Table134526_79101120212223242526[[#This Row],[Name Surname]],Manpower!$C$4:$C$1048576,Manpower!$H$4:$H$1048576,"")</f>
        <v>Equipment</v>
      </c>
      <c r="J3550" s="21" t="s">
        <v>143</v>
      </c>
      <c r="K3550" s="57" t="s">
        <v>26</v>
      </c>
      <c r="L3550" s="57" t="s">
        <v>435</v>
      </c>
      <c r="M3550" s="57" t="s">
        <v>55</v>
      </c>
      <c r="N3550" s="62">
        <v>10</v>
      </c>
      <c r="O3550" s="57"/>
      <c r="P3550" s="57"/>
      <c r="Q3550" s="57"/>
      <c r="R3550" s="57" t="s">
        <v>56</v>
      </c>
    </row>
    <row r="3551" spans="1:19" ht="14.4">
      <c r="A3551" s="38">
        <f>IF(C3551="","",MAX($A$1:A3550)+1)</f>
        <v>3254</v>
      </c>
      <c r="B3551" s="66" t="s">
        <v>141</v>
      </c>
      <c r="C3551" s="60">
        <v>46110</v>
      </c>
      <c r="D3551" s="61" t="str">
        <f>_xlfn.XLOOKUP(Table134526_79101120212223242526[[#This Row],[Name Surname]],Manpower!$C$4:$C$1048576,Manpower!$B$4:$B$1048576,"")</f>
        <v>Encogroup</v>
      </c>
      <c r="E3551" s="57" t="s">
        <v>342</v>
      </c>
      <c r="F3551" s="12" t="e">
        <f>_xlfn.XLOOKUP(Table134526_79101120212223242526[[#This Row],[Name Surname]],Manpower!C:C,Manpower!D:D,)</f>
        <v>#N/A</v>
      </c>
      <c r="G3551" s="61" t="str">
        <f>_xlfn.XLOOKUP(Table134526_79101120212223242526[[#This Row],[Name Surname]],Manpower!$C$4:$C$1048576,Manpower!$F$4:$F$1048576,"")</f>
        <v>SCISSOR LIFT</v>
      </c>
      <c r="H3551" s="61" t="str">
        <f>_xlfn.XLOOKUP(Table134526_79101120212223242526[[#This Row],[Name Surname]],Manpower!$C$4:$C$1048576,Manpower!$H$4:$H$1048576,"")</f>
        <v>Equipment</v>
      </c>
      <c r="I3551" s="28" t="str">
        <f>_xlfn.XLOOKUP(Table134526_79101120212223242526[[#This Row],[Name Surname]],Manpower!$C$4:$C$1048576,Manpower!$H$4:$H$1048576,"")</f>
        <v>Equipment</v>
      </c>
      <c r="J3551" s="21" t="s">
        <v>143</v>
      </c>
      <c r="K3551" s="57" t="s">
        <v>26</v>
      </c>
      <c r="L3551" s="57" t="s">
        <v>435</v>
      </c>
      <c r="M3551" s="57" t="s">
        <v>55</v>
      </c>
      <c r="N3551" s="62">
        <v>10</v>
      </c>
      <c r="O3551" s="57"/>
      <c r="P3551" s="57"/>
      <c r="Q3551" s="57"/>
      <c r="R3551" s="57" t="s">
        <v>56</v>
      </c>
    </row>
    <row r="3552" spans="1:19" ht="14.4">
      <c r="A3552" s="38">
        <f>IF(C3552="","",MAX($A$1:A3551)+1)</f>
        <v>3255</v>
      </c>
      <c r="B3552" s="66" t="s">
        <v>141</v>
      </c>
      <c r="C3552" s="60">
        <v>46110</v>
      </c>
      <c r="D3552" s="61" t="str">
        <f>_xlfn.XLOOKUP(Table134526_79101120212223242526[[#This Row],[Name Surname]],Manpower!$C$4:$C$1048576,Manpower!$B$4:$B$1048576,"")</f>
        <v>Encogroup</v>
      </c>
      <c r="E3552" s="57" t="s">
        <v>362</v>
      </c>
      <c r="F3552" s="12" t="e">
        <f>_xlfn.XLOOKUP(Table134526_79101120212223242526[[#This Row],[Name Surname]],Manpower!C:C,Manpower!D:D,)</f>
        <v>#N/A</v>
      </c>
      <c r="G3552" s="61" t="str">
        <f>_xlfn.XLOOKUP(Table134526_79101120212223242526[[#This Row],[Name Surname]],Manpower!$C$4:$C$1048576,Manpower!$F$4:$F$1048576,"")</f>
        <v>Trailer</v>
      </c>
      <c r="H3552" s="61" t="str">
        <f>_xlfn.XLOOKUP(Table134526_79101120212223242526[[#This Row],[Name Surname]],Manpower!$C$4:$C$1048576,Manpower!$H$4:$H$1048576,"")</f>
        <v>Equipment</v>
      </c>
      <c r="I3552" s="28" t="str">
        <f>_xlfn.XLOOKUP(Table134526_79101120212223242526[[#This Row],[Name Surname]],Manpower!$C$4:$C$1048576,Manpower!$H$4:$H$1048576,"")</f>
        <v>Equipment</v>
      </c>
      <c r="J3552" s="21" t="s">
        <v>143</v>
      </c>
      <c r="K3552" s="57" t="s">
        <v>26</v>
      </c>
      <c r="L3552" s="57" t="s">
        <v>435</v>
      </c>
      <c r="M3552" s="57" t="s">
        <v>24</v>
      </c>
      <c r="N3552" s="62">
        <v>10</v>
      </c>
      <c r="O3552" s="57"/>
      <c r="P3552" s="57"/>
      <c r="Q3552" s="57"/>
      <c r="R3552" s="57" t="s">
        <v>436</v>
      </c>
    </row>
    <row r="3553" spans="1:19" ht="14.4" hidden="1">
      <c r="A3553" s="38">
        <f>IF(C3553="","",MAX($A$1:A3552)+1)</f>
        <v>3256</v>
      </c>
      <c r="B3553" s="66" t="s">
        <v>141</v>
      </c>
      <c r="C3553" s="60">
        <v>46110</v>
      </c>
      <c r="D3553" s="61" t="str">
        <f>_xlfn.XLOOKUP(Table134526_79101120212223242526[[#This Row],[Name Surname]],Manpower!$C$4:$C$1048576,Manpower!$B$4:$B$1048576,"")</f>
        <v>Encogroup</v>
      </c>
      <c r="E3553" s="57" t="s">
        <v>363</v>
      </c>
      <c r="F3553" s="12">
        <f>_xlfn.XLOOKUP(Table134526_79101120212223242526[[#This Row],[Name Surname]],Manpower!C:C,Manpower!D:D,)</f>
        <v>7065269</v>
      </c>
      <c r="G3553" s="61" t="str">
        <f>_xlfn.XLOOKUP(Table134526_79101120212223242526[[#This Row],[Name Surname]],Manpower!$C$4:$C$1048576,Manpower!$F$4:$F$1048576,"")</f>
        <v>Lowbed Trailer Driver</v>
      </c>
      <c r="H3553" s="61" t="str">
        <f>_xlfn.XLOOKUP(Table134526_79101120212223242526[[#This Row],[Name Surname]],Manpower!$C$4:$C$1048576,Manpower!$H$4:$H$1048576,"")</f>
        <v>Manpower</v>
      </c>
      <c r="I3553" s="28" t="str">
        <f>_xlfn.XLOOKUP(Table134526_79101120212223242526[[#This Row],[Name Surname]],Manpower!$C$4:$C$1048576,Manpower!$H$4:$H$1048576,"")</f>
        <v>Manpower</v>
      </c>
      <c r="J3553" s="21" t="s">
        <v>143</v>
      </c>
      <c r="K3553" s="57" t="s">
        <v>26</v>
      </c>
      <c r="L3553" s="57" t="s">
        <v>435</v>
      </c>
      <c r="M3553" s="57" t="s">
        <v>24</v>
      </c>
      <c r="N3553" s="62">
        <v>10</v>
      </c>
      <c r="O3553" s="21" t="s">
        <v>40</v>
      </c>
      <c r="P3553" s="21" t="s">
        <v>42</v>
      </c>
      <c r="Q3553" s="21" t="s">
        <v>42</v>
      </c>
      <c r="R3553" s="57" t="s">
        <v>436</v>
      </c>
    </row>
    <row r="3554" spans="1:19" ht="14.4">
      <c r="A3554" s="38">
        <f>IF(C3554="","",MAX($A$1:A3553)+1)</f>
        <v>3257</v>
      </c>
      <c r="B3554" s="66" t="s">
        <v>141</v>
      </c>
      <c r="C3554" s="60">
        <v>46110</v>
      </c>
      <c r="D3554" s="61" t="str">
        <f>_xlfn.XLOOKUP(Table134526_79101120212223242526[[#This Row],[Name Surname]],Manpower!$C$4:$C$1048576,Manpower!$B$4:$B$1048576,"")</f>
        <v>Bright Light</v>
      </c>
      <c r="E3554" s="57" t="s">
        <v>210</v>
      </c>
      <c r="F3554" s="12" t="e">
        <f>_xlfn.XLOOKUP(Table134526_79101120212223242526[[#This Row],[Name Surname]],Manpower!C:C,Manpower!D:D,)</f>
        <v>#N/A</v>
      </c>
      <c r="G3554" s="61" t="str">
        <f>_xlfn.XLOOKUP(Table134526_79101120212223242526[[#This Row],[Name Surname]],Manpower!$C$4:$C$1048576,Manpower!$F$4:$F$1048576,"")</f>
        <v>Trailer</v>
      </c>
      <c r="H3554" s="61" t="str">
        <f>_xlfn.XLOOKUP(Table134526_79101120212223242526[[#This Row],[Name Surname]],Manpower!$C$4:$C$1048576,Manpower!$H$4:$H$1048576,"")</f>
        <v>Equipment</v>
      </c>
      <c r="I3554" s="28" t="str">
        <f>_xlfn.XLOOKUP(Table134526_79101120212223242526[[#This Row],[Name Surname]],Manpower!$C$4:$C$1048576,Manpower!$H$4:$H$1048576,"")</f>
        <v>Equipment</v>
      </c>
      <c r="J3554" s="21" t="s">
        <v>143</v>
      </c>
      <c r="K3554" s="57" t="s">
        <v>26</v>
      </c>
      <c r="L3554" s="57" t="s">
        <v>435</v>
      </c>
      <c r="M3554" s="57" t="s">
        <v>24</v>
      </c>
      <c r="N3554" s="62">
        <v>10</v>
      </c>
      <c r="O3554" s="57"/>
      <c r="P3554" s="57"/>
      <c r="Q3554" s="57"/>
      <c r="R3554" s="57" t="s">
        <v>436</v>
      </c>
    </row>
    <row r="3555" spans="1:19" ht="14.4" hidden="1">
      <c r="A3555" s="38">
        <f>IF(C3555="","",MAX($A$1:A3554)+1)</f>
        <v>3258</v>
      </c>
      <c r="B3555" s="66" t="s">
        <v>141</v>
      </c>
      <c r="C3555" s="60">
        <v>46110</v>
      </c>
      <c r="D3555" s="61" t="str">
        <f>_xlfn.XLOOKUP(Table134526_79101120212223242526[[#This Row],[Name Surname]],Manpower!$C$4:$C$1048576,Manpower!$B$4:$B$1048576,"")</f>
        <v xml:space="preserve">FAL Transport </v>
      </c>
      <c r="E3555" s="57" t="s">
        <v>225</v>
      </c>
      <c r="F3555" s="12">
        <f>_xlfn.XLOOKUP(Table134526_79101120212223242526[[#This Row],[Name Surname]],Manpower!C:C,Manpower!D:D,)</f>
        <v>124233837</v>
      </c>
      <c r="G3555" s="61" t="str">
        <f>_xlfn.XLOOKUP(Table134526_79101120212223242526[[#This Row],[Name Surname]],Manpower!$C$4:$C$1048576,Manpower!$F$4:$F$1048576,"")</f>
        <v>Trailer Driver</v>
      </c>
      <c r="H3555" s="61" t="str">
        <f>_xlfn.XLOOKUP(Table134526_79101120212223242526[[#This Row],[Name Surname]],Manpower!$C$4:$C$1048576,Manpower!$H$4:$H$1048576,"")</f>
        <v>Sub Contactor</v>
      </c>
      <c r="I3555" s="61" t="str">
        <f>_xlfn.XLOOKUP(Table134526_79101120212223242526[[#This Row],[Name Surname]],Manpower!$C$4:$C$1048576,Manpower!$H$4:$H$1048576,"")</f>
        <v>Sub Contactor</v>
      </c>
      <c r="J3555" s="57" t="s">
        <v>143</v>
      </c>
      <c r="K3555" s="21" t="s">
        <v>26</v>
      </c>
      <c r="L3555" s="57" t="s">
        <v>435</v>
      </c>
      <c r="M3555" s="57" t="s">
        <v>24</v>
      </c>
      <c r="N3555" s="62">
        <v>10</v>
      </c>
      <c r="R3555" s="57" t="s">
        <v>436</v>
      </c>
    </row>
    <row r="3556" spans="1:19" ht="14.4" hidden="1">
      <c r="A3556" s="38">
        <f>IF(C3556="","",MAX($A$1:A3555)+1)</f>
        <v>3259</v>
      </c>
      <c r="B3556" s="66" t="s">
        <v>141</v>
      </c>
      <c r="C3556" s="60">
        <v>46110</v>
      </c>
      <c r="D3556" s="61" t="str">
        <f>_xlfn.XLOOKUP(Table134526_79101120212223242526[[#This Row],[Name Surname]],Manpower!$C$4:$C$1048576,Manpower!$B$4:$B$1048576,"")</f>
        <v>Encogroup</v>
      </c>
      <c r="E3556" s="57" t="s">
        <v>211</v>
      </c>
      <c r="F3556" s="12">
        <f>_xlfn.XLOOKUP(Table134526_79101120212223242526[[#This Row],[Name Surname]],Manpower!C:C,Manpower!D:D,)</f>
        <v>140477664</v>
      </c>
      <c r="G3556" s="61" t="str">
        <f>_xlfn.XLOOKUP(Table134526_79101120212223242526[[#This Row],[Name Surname]],Manpower!$C$4:$C$1048576,Manpower!$F$4:$F$1048576,"")</f>
        <v>Junior HSE Officer</v>
      </c>
      <c r="H3556" s="61" t="str">
        <f>_xlfn.XLOOKUP(Table134526_79101120212223242526[[#This Row],[Name Surname]],Manpower!$C$4:$C$1048576,Manpower!$H$4:$H$1048576,"")</f>
        <v>Manpower</v>
      </c>
      <c r="I3556" s="61" t="str">
        <f>_xlfn.XLOOKUP(Table134526_79101120212223242526[[#This Row],[Name Surname]],Manpower!$C$4:$C$1048576,Manpower!$H$4:$H$1048576,"")</f>
        <v>Manpower</v>
      </c>
      <c r="J3556" s="57" t="s">
        <v>143</v>
      </c>
      <c r="K3556" s="21" t="s">
        <v>26</v>
      </c>
      <c r="L3556" s="57" t="s">
        <v>435</v>
      </c>
      <c r="M3556" s="57" t="s">
        <v>24</v>
      </c>
      <c r="N3556" s="62">
        <v>10</v>
      </c>
      <c r="O3556" s="21" t="s">
        <v>40</v>
      </c>
      <c r="P3556" s="21" t="s">
        <v>42</v>
      </c>
      <c r="Q3556" s="21" t="s">
        <v>42</v>
      </c>
      <c r="R3556" s="57" t="s">
        <v>436</v>
      </c>
    </row>
    <row r="3557" spans="1:19" ht="14.4" hidden="1">
      <c r="A3557" s="38">
        <f>IF(C3557="","",MAX($A$1:A3556)+1)</f>
        <v>3260</v>
      </c>
      <c r="B3557" s="66" t="s">
        <v>141</v>
      </c>
      <c r="C3557" s="60">
        <v>46110</v>
      </c>
      <c r="D3557" s="61" t="str">
        <f>_xlfn.XLOOKUP(Table134526_79101120212223242526[[#This Row],[Name Surname]],Manpower!$C$4:$C$1048576,Manpower!$B$4:$B$1048576,"")</f>
        <v>Encogroup</v>
      </c>
      <c r="E3557" s="57" t="s">
        <v>213</v>
      </c>
      <c r="F3557" s="12">
        <f>_xlfn.XLOOKUP(Table134526_79101120212223242526[[#This Row],[Name Surname]],Manpower!C:C,Manpower!D:D,)</f>
        <v>140846698</v>
      </c>
      <c r="G3557" s="61" t="str">
        <f>_xlfn.XLOOKUP(Table134526_79101120212223242526[[#This Row],[Name Surname]],Manpower!$C$4:$C$1048576,Manpower!$F$4:$F$1048576,"")</f>
        <v>Assistant/Helper</v>
      </c>
      <c r="H3557" s="61" t="str">
        <f>_xlfn.XLOOKUP(Table134526_79101120212223242526[[#This Row],[Name Surname]],Manpower!$C$4:$C$1048576,Manpower!$H$4:$H$1048576,"")</f>
        <v>Manpower</v>
      </c>
      <c r="I3557" s="61" t="str">
        <f>_xlfn.XLOOKUP(Table134526_79101120212223242526[[#This Row],[Name Surname]],Manpower!$C$4:$C$1048576,Manpower!$H$4:$H$1048576,"")</f>
        <v>Manpower</v>
      </c>
      <c r="J3557" s="57" t="s">
        <v>143</v>
      </c>
      <c r="K3557" s="21" t="s">
        <v>26</v>
      </c>
      <c r="L3557" s="57" t="s">
        <v>435</v>
      </c>
      <c r="M3557" s="57" t="s">
        <v>24</v>
      </c>
      <c r="N3557" s="62">
        <v>10</v>
      </c>
      <c r="O3557" s="21" t="s">
        <v>40</v>
      </c>
      <c r="P3557" s="21" t="s">
        <v>42</v>
      </c>
      <c r="Q3557" s="21" t="s">
        <v>42</v>
      </c>
      <c r="R3557" s="57" t="s">
        <v>436</v>
      </c>
    </row>
    <row r="3558" spans="1:19" s="45" customFormat="1" ht="14.4" hidden="1">
      <c r="A3558" s="53">
        <f>IF(C3558="","",MAX($A$1:A3557)+1)</f>
        <v>3261</v>
      </c>
      <c r="B3558" s="54" t="s">
        <v>141</v>
      </c>
      <c r="C3558" s="55">
        <v>46110</v>
      </c>
      <c r="D3558" s="68" t="str">
        <f>_xlfn.XLOOKUP(Table134526_79101120212223242526[[#This Row],[Name Surname]],Manpower!$C$4:$C$1048576,Manpower!$B$4:$B$1048576,"")</f>
        <v>Encogroup</v>
      </c>
      <c r="E3558" s="51" t="s">
        <v>217</v>
      </c>
      <c r="F3558" s="12">
        <f>_xlfn.XLOOKUP(Table134526_79101120212223242526[[#This Row],[Name Surname]],Manpower!C:C,Manpower!D:D,)</f>
        <v>140742177</v>
      </c>
      <c r="G3558" s="68" t="str">
        <f>_xlfn.XLOOKUP(Table134526_79101120212223242526[[#This Row],[Name Surname]],Manpower!$C$4:$C$1048576,Manpower!$F$4:$F$1048576,"")</f>
        <v>Grinder</v>
      </c>
      <c r="H3558" s="68" t="str">
        <f>_xlfn.XLOOKUP(Table134526_79101120212223242526[[#This Row],[Name Surname]],Manpower!$C$4:$C$1048576,Manpower!$H$4:$H$1048576,"")</f>
        <v>Manpower</v>
      </c>
      <c r="I3558" s="68" t="str">
        <f>_xlfn.XLOOKUP(Table134526_79101120212223242526[[#This Row],[Name Surname]],Manpower!$C$4:$C$1048576,Manpower!$H$4:$H$1048576,"")</f>
        <v>Manpower</v>
      </c>
      <c r="J3558" s="51" t="s">
        <v>143</v>
      </c>
      <c r="K3558" s="43" t="s">
        <v>26</v>
      </c>
      <c r="L3558" s="51" t="s">
        <v>435</v>
      </c>
      <c r="M3558" s="51" t="s">
        <v>24</v>
      </c>
      <c r="N3558" s="52">
        <v>10</v>
      </c>
      <c r="O3558" s="43" t="s">
        <v>40</v>
      </c>
      <c r="P3558" s="43" t="s">
        <v>42</v>
      </c>
      <c r="Q3558" s="43" t="s">
        <v>42</v>
      </c>
      <c r="R3558" s="51" t="s">
        <v>436</v>
      </c>
      <c r="S3558" s="43"/>
    </row>
    <row r="3559" spans="1:19" s="45" customFormat="1" ht="14.4" hidden="1">
      <c r="A3559" s="53">
        <f>IF(C3559="","",MAX($A$1:A3558)+1)</f>
        <v>3262</v>
      </c>
      <c r="B3559" s="54" t="s">
        <v>141</v>
      </c>
      <c r="C3559" s="55">
        <v>46110</v>
      </c>
      <c r="D3559" s="48" t="str">
        <f>_xlfn.XLOOKUP(Table134526_79101120212223242526[[#This Row],[Name Surname]],Manpower!$C$4:$C$1048576,Manpower!$B$4:$B$1048576,"")</f>
        <v>Encogroup</v>
      </c>
      <c r="E3559" s="43" t="s">
        <v>168</v>
      </c>
      <c r="F3559" s="12">
        <f>_xlfn.XLOOKUP(Table134526_79101120212223242526[[#This Row],[Name Surname]],Manpower!C:C,Manpower!D:D,)</f>
        <v>137114773</v>
      </c>
      <c r="G3559" s="48" t="str">
        <f>_xlfn.XLOOKUP(Table134526_79101120212223242526[[#This Row],[Name Surname]],Manpower!$C$4:$C$1048576,Manpower!$F$4:$F$1048576,"")</f>
        <v>Rigger</v>
      </c>
      <c r="H3559" s="48" t="str">
        <f>_xlfn.XLOOKUP(Table134526_79101120212223242526[[#This Row],[Name Surname]],Manpower!$C$4:$C$1048576,Manpower!$H$4:$H$1048576,"")</f>
        <v>Manpower</v>
      </c>
      <c r="I3559" s="48" t="str">
        <f>_xlfn.XLOOKUP(Table134526_79101120212223242526[[#This Row],[Name Surname]],Manpower!$C$4:$C$1048576,Manpower!$H$4:$H$1048576,"")</f>
        <v>Manpower</v>
      </c>
      <c r="J3559" s="51" t="s">
        <v>143</v>
      </c>
      <c r="K3559" s="43" t="s">
        <v>26</v>
      </c>
      <c r="L3559" s="51" t="s">
        <v>435</v>
      </c>
      <c r="M3559" s="51" t="s">
        <v>24</v>
      </c>
      <c r="N3559" s="52">
        <v>10</v>
      </c>
      <c r="O3559" s="43" t="s">
        <v>40</v>
      </c>
      <c r="P3559" s="43" t="s">
        <v>42</v>
      </c>
      <c r="Q3559" s="43" t="s">
        <v>42</v>
      </c>
      <c r="R3559" s="51" t="s">
        <v>436</v>
      </c>
      <c r="S3559" s="43"/>
    </row>
    <row r="3560" spans="1:19" ht="14.4" hidden="1">
      <c r="A3560" s="38">
        <f>IF(C3560="","",MAX($A$1:A3558)+1)</f>
        <v>3262</v>
      </c>
      <c r="B3560" s="66" t="s">
        <v>141</v>
      </c>
      <c r="C3560" s="60">
        <v>46110</v>
      </c>
      <c r="D3560" s="61" t="str">
        <f>_xlfn.XLOOKUP(Table134526_79101120212223242526[[#This Row],[Name Surname]],Manpower!$C$4:$C$1048576,Manpower!$B$4:$B$1048576,"")</f>
        <v>Encogroup</v>
      </c>
      <c r="E3560" s="57" t="s">
        <v>188</v>
      </c>
      <c r="F3560" s="12">
        <f>_xlfn.XLOOKUP(Table134526_79101120212223242526[[#This Row],[Name Surname]],Manpower!C:C,Manpower!D:D,)</f>
        <v>140696975</v>
      </c>
      <c r="G3560" s="61" t="str">
        <f>_xlfn.XLOOKUP(Table134526_79101120212223242526[[#This Row],[Name Surname]],Manpower!$C$4:$C$1048576,Manpower!$F$4:$F$1048576,"")</f>
        <v>Assistant/Helper</v>
      </c>
      <c r="H3560" s="61" t="str">
        <f>_xlfn.XLOOKUP(Table134526_79101120212223242526[[#This Row],[Name Surname]],Manpower!$C$4:$C$1048576,Manpower!$H$4:$H$1048576,"")</f>
        <v>Manpower</v>
      </c>
      <c r="I3560" s="61" t="str">
        <f>_xlfn.XLOOKUP(Table134526_79101120212223242526[[#This Row],[Name Surname]],Manpower!$C$4:$C$1048576,Manpower!$H$4:$H$1048576,"")</f>
        <v>Manpower</v>
      </c>
      <c r="J3560" s="57" t="s">
        <v>143</v>
      </c>
      <c r="K3560" s="21" t="s">
        <v>26</v>
      </c>
      <c r="L3560" s="57" t="s">
        <v>435</v>
      </c>
      <c r="M3560" s="57" t="s">
        <v>24</v>
      </c>
      <c r="N3560" s="62">
        <v>10</v>
      </c>
      <c r="O3560" s="21" t="s">
        <v>40</v>
      </c>
      <c r="P3560" s="21" t="s">
        <v>42</v>
      </c>
      <c r="Q3560" s="21" t="s">
        <v>42</v>
      </c>
      <c r="R3560" s="57" t="s">
        <v>436</v>
      </c>
    </row>
    <row r="3561" spans="1:19" ht="14.4" hidden="1">
      <c r="A3561" s="38">
        <f>IF(C3561="","",MAX($A$1:A3560)+1)</f>
        <v>3263</v>
      </c>
      <c r="B3561" s="66" t="s">
        <v>141</v>
      </c>
      <c r="C3561" s="60">
        <v>46110</v>
      </c>
      <c r="D3561" s="61" t="str">
        <f>_xlfn.XLOOKUP(Table134526_79101120212223242526[[#This Row],[Name Surname]],Manpower!$C$4:$C$1048576,Manpower!$B$4:$B$1048576,"")</f>
        <v>Encogroup</v>
      </c>
      <c r="E3561" s="57" t="s">
        <v>204</v>
      </c>
      <c r="F3561" s="12">
        <f>_xlfn.XLOOKUP(Table134526_79101120212223242526[[#This Row],[Name Surname]],Manpower!C:C,Manpower!D:D,)</f>
        <v>140844572</v>
      </c>
      <c r="G3561" s="61" t="str">
        <f>_xlfn.XLOOKUP(Table134526_79101120212223242526[[#This Row],[Name Surname]],Manpower!$C$4:$C$1048576,Manpower!$F$4:$F$1048576,"")</f>
        <v>Assistant/Helper</v>
      </c>
      <c r="H3561" s="61" t="str">
        <f>_xlfn.XLOOKUP(Table134526_79101120212223242526[[#This Row],[Name Surname]],Manpower!$C$4:$C$1048576,Manpower!$H$4:$H$1048576,"")</f>
        <v>Manpower</v>
      </c>
      <c r="I3561" s="61" t="str">
        <f>_xlfn.XLOOKUP(Table134526_79101120212223242526[[#This Row],[Name Surname]],Manpower!$C$4:$C$1048576,Manpower!$H$4:$H$1048576,"")</f>
        <v>Manpower</v>
      </c>
      <c r="J3561" s="57" t="s">
        <v>143</v>
      </c>
      <c r="K3561" s="21" t="s">
        <v>26</v>
      </c>
      <c r="L3561" s="57" t="s">
        <v>435</v>
      </c>
      <c r="M3561" s="57" t="s">
        <v>24</v>
      </c>
      <c r="N3561" s="62">
        <v>10</v>
      </c>
      <c r="O3561" s="21" t="s">
        <v>40</v>
      </c>
      <c r="P3561" s="21" t="s">
        <v>42</v>
      </c>
      <c r="Q3561" s="21" t="s">
        <v>42</v>
      </c>
      <c r="R3561" s="57" t="s">
        <v>436</v>
      </c>
    </row>
    <row r="3562" spans="1:19" ht="14.4">
      <c r="A3562" s="38">
        <f>IF(C3562="","",MAX($A$1:A3561)+1)</f>
        <v>3264</v>
      </c>
      <c r="B3562" s="66" t="s">
        <v>141</v>
      </c>
      <c r="C3562" s="60">
        <v>46110</v>
      </c>
      <c r="D3562" s="61" t="str">
        <f>_xlfn.XLOOKUP(Table134526_79101120212223242526[[#This Row],[Name Surname]],Manpower!$C$4:$C$1048576,Manpower!$B$4:$B$1048576,"")</f>
        <v>Encogroup</v>
      </c>
      <c r="E3562" s="60" t="s">
        <v>219</v>
      </c>
      <c r="F3562" s="12" t="e">
        <f>_xlfn.XLOOKUP(Table134526_79101120212223242526[[#This Row],[Name Surname]],Manpower!C:C,Manpower!D:D,)</f>
        <v>#N/A</v>
      </c>
      <c r="G3562" s="61" t="str">
        <f>_xlfn.XLOOKUP(Table134526_79101120212223242526[[#This Row],[Name Surname]],Manpower!$C$4:$C$1048576,Manpower!$F$4:$F$1048576,"")</f>
        <v>TOWER LIGHT</v>
      </c>
      <c r="H3562" s="61" t="str">
        <f>_xlfn.XLOOKUP(Table134526_79101120212223242526[[#This Row],[Name Surname]],Manpower!$C$4:$C$1048576,Manpower!$H$4:$H$1048576,"")</f>
        <v>Equipment</v>
      </c>
      <c r="I3562" s="61" t="str">
        <f>_xlfn.XLOOKUP(Table134526_79101120212223242526[[#This Row],[Name Surname]],Manpower!$C$4:$C$1048576,Manpower!$H$4:$H$1048576,"")</f>
        <v>Equipment</v>
      </c>
      <c r="J3562" s="57" t="s">
        <v>143</v>
      </c>
      <c r="K3562" s="21" t="s">
        <v>26</v>
      </c>
      <c r="L3562" s="57" t="s">
        <v>435</v>
      </c>
      <c r="M3562" s="57" t="s">
        <v>55</v>
      </c>
      <c r="N3562" s="62">
        <v>10</v>
      </c>
      <c r="R3562" s="57" t="s">
        <v>56</v>
      </c>
    </row>
    <row r="3563" spans="1:19" ht="14.4">
      <c r="A3563" s="38">
        <f>IF(C3563="","",MAX($A$1:A3562)+1)</f>
        <v>3265</v>
      </c>
      <c r="B3563" s="66" t="s">
        <v>141</v>
      </c>
      <c r="C3563" s="60">
        <v>46110</v>
      </c>
      <c r="D3563" s="61" t="str">
        <f>_xlfn.XLOOKUP(Table134526_79101120212223242526[[#This Row],[Name Surname]],Manpower!$C$4:$C$1048576,Manpower!$B$4:$B$1048576,"")</f>
        <v>Encogroup</v>
      </c>
      <c r="E3563" s="60" t="s">
        <v>220</v>
      </c>
      <c r="F3563" s="12" t="e">
        <f>_xlfn.XLOOKUP(Table134526_79101120212223242526[[#This Row],[Name Surname]],Manpower!C:C,Manpower!D:D,)</f>
        <v>#N/A</v>
      </c>
      <c r="G3563" s="61" t="str">
        <f>_xlfn.XLOOKUP(Table134526_79101120212223242526[[#This Row],[Name Surname]],Manpower!$C$4:$C$1048576,Manpower!$F$4:$F$1048576,"")</f>
        <v>TOWER LIGHT</v>
      </c>
      <c r="H3563" s="61" t="str">
        <f>_xlfn.XLOOKUP(Table134526_79101120212223242526[[#This Row],[Name Surname]],Manpower!$C$4:$C$1048576,Manpower!$H$4:$H$1048576,"")</f>
        <v>Equipment</v>
      </c>
      <c r="I3563" s="61" t="str">
        <f>_xlfn.XLOOKUP(Table134526_79101120212223242526[[#This Row],[Name Surname]],Manpower!$C$4:$C$1048576,Manpower!$H$4:$H$1048576,"")</f>
        <v>Equipment</v>
      </c>
      <c r="J3563" s="57" t="s">
        <v>143</v>
      </c>
      <c r="K3563" s="21" t="s">
        <v>26</v>
      </c>
      <c r="L3563" s="57" t="s">
        <v>435</v>
      </c>
      <c r="M3563" s="57" t="s">
        <v>55</v>
      </c>
      <c r="N3563" s="62">
        <v>10</v>
      </c>
      <c r="R3563" s="57" t="s">
        <v>56</v>
      </c>
    </row>
    <row r="3564" spans="1:19" ht="14.4" hidden="1">
      <c r="A3564" s="38">
        <f>IF(C3564="","",MAX($A$1:A3563)+1)</f>
        <v>3266</v>
      </c>
      <c r="B3564" s="66" t="s">
        <v>141</v>
      </c>
      <c r="C3564" s="60">
        <v>46110</v>
      </c>
      <c r="D3564" s="61" t="str">
        <f>_xlfn.XLOOKUP(Table134526_79101120212223242526[[#This Row],[Name Surname]],Manpower!$C$4:$C$1048576,Manpower!$B$4:$B$1048576,"")</f>
        <v>Encogroup</v>
      </c>
      <c r="E3564" s="57" t="s">
        <v>222</v>
      </c>
      <c r="F3564" s="12">
        <f>_xlfn.XLOOKUP(Table134526_79101120212223242526[[#This Row],[Name Surname]],Manpower!C:C,Manpower!D:D,)</f>
        <v>122082863</v>
      </c>
      <c r="G3564" s="61" t="str">
        <f>_xlfn.XLOOKUP(Table134526_79101120212223242526[[#This Row],[Name Surname]],Manpower!$C$4:$C$1048576,Manpower!$F$4:$F$1048576,"")</f>
        <v>Grinder</v>
      </c>
      <c r="H3564" s="61" t="str">
        <f>_xlfn.XLOOKUP(Table134526_79101120212223242526[[#This Row],[Name Surname]],Manpower!$C$4:$C$1048576,Manpower!$H$4:$H$1048576,"")</f>
        <v>Manpower</v>
      </c>
      <c r="I3564" s="61" t="str">
        <f>_xlfn.XLOOKUP(Table134526_79101120212223242526[[#This Row],[Name Surname]],Manpower!$C$4:$C$1048576,Manpower!$H$4:$H$1048576,"")</f>
        <v>Manpower</v>
      </c>
      <c r="J3564" s="57" t="s">
        <v>143</v>
      </c>
      <c r="K3564" s="21" t="s">
        <v>26</v>
      </c>
      <c r="L3564" s="57" t="s">
        <v>435</v>
      </c>
      <c r="M3564" s="57" t="s">
        <v>24</v>
      </c>
      <c r="N3564" s="62">
        <v>10</v>
      </c>
      <c r="O3564" s="21" t="s">
        <v>40</v>
      </c>
      <c r="P3564" s="21" t="s">
        <v>42</v>
      </c>
      <c r="Q3564" s="21" t="s">
        <v>42</v>
      </c>
      <c r="R3564" s="57" t="s">
        <v>436</v>
      </c>
    </row>
    <row r="3565" spans="1:19" ht="14.4" hidden="1">
      <c r="A3565" s="38">
        <f>IF(C3565="","",MAX($A$1:A3564)+1)</f>
        <v>3267</v>
      </c>
      <c r="B3565" s="66" t="s">
        <v>141</v>
      </c>
      <c r="C3565" s="60">
        <v>46110</v>
      </c>
      <c r="D3565" s="61" t="str">
        <f>_xlfn.XLOOKUP(Table134526_79101120212223242526[[#This Row],[Name Surname]],Manpower!$C$4:$C$1048576,Manpower!$B$4:$B$1048576,"")</f>
        <v>Encogroup</v>
      </c>
      <c r="E3565" s="57" t="s">
        <v>223</v>
      </c>
      <c r="F3565" s="12">
        <f>_xlfn.XLOOKUP(Table134526_79101120212223242526[[#This Row],[Name Surname]],Manpower!C:C,Manpower!D:D,)</f>
        <v>140696989</v>
      </c>
      <c r="G3565" s="61" t="str">
        <f>_xlfn.XLOOKUP(Table134526_79101120212223242526[[#This Row],[Name Surname]],Manpower!$C$4:$C$1048576,Manpower!$F$4:$F$1048576,"")</f>
        <v>Assistant/Helper</v>
      </c>
      <c r="H3565" s="61" t="str">
        <f>_xlfn.XLOOKUP(Table134526_79101120212223242526[[#This Row],[Name Surname]],Manpower!$C$4:$C$1048576,Manpower!$H$4:$H$1048576,"")</f>
        <v>Manpower</v>
      </c>
      <c r="I3565" s="61" t="str">
        <f>_xlfn.XLOOKUP(Table134526_79101120212223242526[[#This Row],[Name Surname]],Manpower!$C$4:$C$1048576,Manpower!$H$4:$H$1048576,"")</f>
        <v>Manpower</v>
      </c>
      <c r="J3565" s="57" t="s">
        <v>143</v>
      </c>
      <c r="K3565" s="21" t="s">
        <v>26</v>
      </c>
      <c r="L3565" s="57" t="s">
        <v>435</v>
      </c>
      <c r="M3565" s="57" t="s">
        <v>24</v>
      </c>
      <c r="N3565" s="62">
        <v>10</v>
      </c>
      <c r="O3565" s="21" t="s">
        <v>40</v>
      </c>
      <c r="P3565" s="21" t="s">
        <v>42</v>
      </c>
      <c r="Q3565" s="21" t="s">
        <v>42</v>
      </c>
      <c r="R3565" s="57" t="s">
        <v>436</v>
      </c>
    </row>
    <row r="3566" spans="1:19" ht="14.4" hidden="1">
      <c r="A3566" s="38">
        <f>IF(C3566="","",MAX($A$1:A3565)+1)</f>
        <v>3268</v>
      </c>
      <c r="B3566" s="66" t="s">
        <v>141</v>
      </c>
      <c r="C3566" s="60">
        <v>46110</v>
      </c>
      <c r="D3566" s="61" t="str">
        <f>_xlfn.XLOOKUP(Table134526_79101120212223242526[[#This Row],[Name Surname]],Manpower!$C$4:$C$1048576,Manpower!$B$4:$B$1048576,"")</f>
        <v>Encogroup</v>
      </c>
      <c r="E3566" s="57" t="s">
        <v>218</v>
      </c>
      <c r="F3566" s="12">
        <f>_xlfn.XLOOKUP(Table134526_79101120212223242526[[#This Row],[Name Surname]],Manpower!C:C,Manpower!D:D,)</f>
        <v>116853914</v>
      </c>
      <c r="G3566" s="61" t="str">
        <f>_xlfn.XLOOKUP(Table134526_79101120212223242526[[#This Row],[Name Surname]],Manpower!$C$4:$C$1048576,Manpower!$F$4:$F$1048576,"")</f>
        <v>Electrical Supervisor</v>
      </c>
      <c r="H3566" s="61" t="str">
        <f>_xlfn.XLOOKUP(Table134526_79101120212223242526[[#This Row],[Name Surname]],Manpower!$C$4:$C$1048576,Manpower!$H$4:$H$1048576,"")</f>
        <v>Manpower</v>
      </c>
      <c r="I3566" s="61" t="str">
        <f>_xlfn.XLOOKUP(Table134526_79101120212223242526[[#This Row],[Name Surname]],Manpower!$C$4:$C$1048576,Manpower!$H$4:$H$1048576,"")</f>
        <v>Manpower</v>
      </c>
      <c r="J3566" s="57" t="s">
        <v>143</v>
      </c>
      <c r="K3566" s="21" t="s">
        <v>26</v>
      </c>
      <c r="L3566" s="57" t="s">
        <v>435</v>
      </c>
      <c r="M3566" s="57" t="s">
        <v>24</v>
      </c>
      <c r="N3566" s="62">
        <v>10</v>
      </c>
      <c r="O3566" s="21" t="s">
        <v>40</v>
      </c>
      <c r="P3566" s="21" t="s">
        <v>42</v>
      </c>
      <c r="Q3566" s="21" t="s">
        <v>42</v>
      </c>
      <c r="R3566" s="57" t="s">
        <v>436</v>
      </c>
    </row>
    <row r="3567" spans="1:19" ht="14.4" hidden="1">
      <c r="A3567" s="38">
        <f>IF(C3567="","",MAX($A$1:A3566)+1)</f>
        <v>3269</v>
      </c>
      <c r="B3567" s="66" t="s">
        <v>141</v>
      </c>
      <c r="C3567" s="60">
        <v>46110</v>
      </c>
      <c r="D3567" s="61" t="str">
        <f>_xlfn.XLOOKUP(Table134526_79101120212223242526[[#This Row],[Name Surname]],Manpower!$C$4:$C$1048576,Manpower!$B$4:$B$1048576,"")</f>
        <v>Encogroup</v>
      </c>
      <c r="E3567" s="57" t="s">
        <v>346</v>
      </c>
      <c r="F3567" s="12">
        <f>_xlfn.XLOOKUP(Table134526_79101120212223242526[[#This Row],[Name Surname]],Manpower!C:C,Manpower!D:D,)</f>
        <v>117974933</v>
      </c>
      <c r="G3567" s="61" t="str">
        <f>_xlfn.XLOOKUP(Table134526_79101120212223242526[[#This Row],[Name Surname]],Manpower!$C$4:$C$1048576,Manpower!$F$4:$F$1048576,"")</f>
        <v>Scaffolder</v>
      </c>
      <c r="H3567" s="61" t="str">
        <f>_xlfn.XLOOKUP(Table134526_79101120212223242526[[#This Row],[Name Surname]],Manpower!$C$4:$C$1048576,Manpower!$H$4:$H$1048576,"")</f>
        <v>Manpower</v>
      </c>
      <c r="I3567" s="61" t="str">
        <f>_xlfn.XLOOKUP(Table134526_79101120212223242526[[#This Row],[Name Surname]],Manpower!$C$4:$C$1048576,Manpower!$H$4:$H$1048576,"")</f>
        <v>Manpower</v>
      </c>
      <c r="J3567" s="57" t="s">
        <v>143</v>
      </c>
      <c r="K3567" s="21" t="s">
        <v>26</v>
      </c>
      <c r="L3567" s="57" t="s">
        <v>435</v>
      </c>
      <c r="M3567" s="57" t="s">
        <v>24</v>
      </c>
      <c r="N3567" s="62">
        <v>10</v>
      </c>
      <c r="O3567" s="21" t="s">
        <v>40</v>
      </c>
      <c r="P3567" s="21" t="s">
        <v>42</v>
      </c>
      <c r="Q3567" s="21" t="s">
        <v>42</v>
      </c>
      <c r="R3567" s="57" t="s">
        <v>436</v>
      </c>
    </row>
    <row r="3568" spans="1:19" ht="14.4" hidden="1">
      <c r="A3568" s="38">
        <f>IF(C3568="","",MAX($A$1:A3567)+1)</f>
        <v>3270</v>
      </c>
      <c r="B3568" s="66" t="s">
        <v>141</v>
      </c>
      <c r="C3568" s="60">
        <v>46110</v>
      </c>
      <c r="D3568" s="61" t="str">
        <f>_xlfn.XLOOKUP(Table134526_79101120212223242526[[#This Row],[Name Surname]],Manpower!$C$4:$C$1048576,Manpower!$B$4:$B$1048576,"")</f>
        <v>Encogroup</v>
      </c>
      <c r="E3568" s="57" t="s">
        <v>347</v>
      </c>
      <c r="F3568" s="12">
        <f>_xlfn.XLOOKUP(Table134526_79101120212223242526[[#This Row],[Name Surname]],Manpower!C:C,Manpower!D:D,)</f>
        <v>141502853</v>
      </c>
      <c r="G3568" s="61" t="str">
        <f>_xlfn.XLOOKUP(Table134526_79101120212223242526[[#This Row],[Name Surname]],Manpower!$C$4:$C$1048576,Manpower!$F$4:$F$1048576,"")</f>
        <v>Scaffolder</v>
      </c>
      <c r="H3568" s="61" t="str">
        <f>_xlfn.XLOOKUP(Table134526_79101120212223242526[[#This Row],[Name Surname]],Manpower!$C$4:$C$1048576,Manpower!$H$4:$H$1048576,"")</f>
        <v>Manpower</v>
      </c>
      <c r="I3568" s="61" t="str">
        <f>_xlfn.XLOOKUP(Table134526_79101120212223242526[[#This Row],[Name Surname]],Manpower!$C$4:$C$1048576,Manpower!$H$4:$H$1048576,"")</f>
        <v>Manpower</v>
      </c>
      <c r="J3568" s="57" t="s">
        <v>143</v>
      </c>
      <c r="K3568" s="21" t="s">
        <v>26</v>
      </c>
      <c r="L3568" s="57" t="s">
        <v>435</v>
      </c>
      <c r="M3568" s="57" t="s">
        <v>24</v>
      </c>
      <c r="N3568" s="62">
        <v>10</v>
      </c>
      <c r="O3568" s="21" t="s">
        <v>40</v>
      </c>
      <c r="P3568" s="21" t="s">
        <v>42</v>
      </c>
      <c r="Q3568" s="21" t="s">
        <v>42</v>
      </c>
      <c r="R3568" s="57" t="s">
        <v>436</v>
      </c>
    </row>
    <row r="3569" spans="1:19" ht="14.4" hidden="1">
      <c r="A3569" s="38">
        <f>IF(C3569="","",MAX($A$1:A3568)+1)</f>
        <v>3271</v>
      </c>
      <c r="B3569" s="66" t="s">
        <v>141</v>
      </c>
      <c r="C3569" s="60">
        <v>46110</v>
      </c>
      <c r="D3569" s="28" t="str">
        <f>_xlfn.XLOOKUP(Table134526_79101120212223242526[[#This Row],[Name Surname]],Manpower!$C$4:$C$1048576,Manpower!$B$4:$B$1048576,"")</f>
        <v>Encogroup</v>
      </c>
      <c r="E3569" s="21" t="s">
        <v>186</v>
      </c>
      <c r="F3569" s="12">
        <f>_xlfn.XLOOKUP(Table134526_79101120212223242526[[#This Row],[Name Surname]],Manpower!C:C,Manpower!D:D,)</f>
        <v>140696961</v>
      </c>
      <c r="G3569" s="28" t="str">
        <f>_xlfn.XLOOKUP(Table134526_79101120212223242526[[#This Row],[Name Surname]],Manpower!$C$4:$C$1048576,Manpower!$F$4:$F$1048576,"")</f>
        <v>Assistant/Helper</v>
      </c>
      <c r="H3569" s="28" t="str">
        <f>_xlfn.XLOOKUP(Table134526_79101120212223242526[[#This Row],[Name Surname]],Manpower!$C$4:$C$1048576,Manpower!$H$4:$H$1048576,"")</f>
        <v>Manpower</v>
      </c>
      <c r="I3569" s="28" t="str">
        <f>_xlfn.XLOOKUP(Table134526_79101120212223242526[[#This Row],[Name Surname]],Manpower!$C$4:$C$1048576,Manpower!$H$4:$H$1048576,"")</f>
        <v>Manpower</v>
      </c>
      <c r="J3569" s="57" t="s">
        <v>143</v>
      </c>
      <c r="K3569" s="21" t="s">
        <v>26</v>
      </c>
      <c r="L3569" s="57" t="s">
        <v>435</v>
      </c>
      <c r="M3569" s="57" t="s">
        <v>24</v>
      </c>
      <c r="N3569" s="62">
        <v>10</v>
      </c>
      <c r="O3569" s="21" t="s">
        <v>40</v>
      </c>
      <c r="P3569" s="21" t="s">
        <v>42</v>
      </c>
      <c r="Q3569" s="21" t="s">
        <v>42</v>
      </c>
      <c r="R3569" s="57" t="s">
        <v>436</v>
      </c>
    </row>
    <row r="3570" spans="1:19" ht="14.4" hidden="1">
      <c r="A3570" s="38">
        <f>IF(C3570="","",MAX($A$1:A3569)+1)</f>
        <v>3272</v>
      </c>
      <c r="B3570" s="66" t="s">
        <v>141</v>
      </c>
      <c r="C3570" s="60">
        <v>46110</v>
      </c>
      <c r="D3570" s="28" t="str">
        <f>_xlfn.XLOOKUP(Table134526_79101120212223242526[[#This Row],[Name Surname]],Manpower!$C$4:$C$1048576,Manpower!$B$4:$B$1048576,"")</f>
        <v>Encogroup</v>
      </c>
      <c r="E3570" s="21" t="s">
        <v>385</v>
      </c>
      <c r="F3570" s="12">
        <f>_xlfn.XLOOKUP(Table134526_79101120212223242526[[#This Row],[Name Surname]],Manpower!C:C,Manpower!D:D,)</f>
        <v>141307921</v>
      </c>
      <c r="G3570" s="28" t="str">
        <f>_xlfn.XLOOKUP(Table134526_79101120212223242526[[#This Row],[Name Surname]],Manpower!$C$4:$C$1048576,Manpower!$F$4:$F$1048576,"")</f>
        <v>Mechanical Assistant</v>
      </c>
      <c r="H3570" s="28" t="str">
        <f>_xlfn.XLOOKUP(Table134526_79101120212223242526[[#This Row],[Name Surname]],Manpower!$C$4:$C$1048576,Manpower!$H$4:$H$1048576,"")</f>
        <v>Manpower</v>
      </c>
      <c r="I3570" s="28" t="str">
        <f>_xlfn.XLOOKUP(Table134526_79101120212223242526[[#This Row],[Name Surname]],Manpower!$C$4:$C$1048576,Manpower!$H$4:$H$1048576,"")</f>
        <v>Manpower</v>
      </c>
      <c r="J3570" s="57" t="s">
        <v>143</v>
      </c>
      <c r="K3570" s="21" t="s">
        <v>26</v>
      </c>
      <c r="L3570" s="57" t="s">
        <v>435</v>
      </c>
      <c r="M3570" s="57" t="s">
        <v>24</v>
      </c>
      <c r="N3570" s="62">
        <v>10</v>
      </c>
      <c r="O3570" s="21" t="s">
        <v>40</v>
      </c>
      <c r="P3570" s="21" t="s">
        <v>42</v>
      </c>
      <c r="Q3570" s="21" t="s">
        <v>42</v>
      </c>
      <c r="R3570" s="57" t="s">
        <v>436</v>
      </c>
    </row>
    <row r="3571" spans="1:19" s="45" customFormat="1" ht="14.4" hidden="1">
      <c r="A3571" s="53">
        <f>IF(C3571="","",MAX($A$1:A3569)+1)</f>
        <v>3272</v>
      </c>
      <c r="B3571" s="54" t="s">
        <v>141</v>
      </c>
      <c r="C3571" s="55">
        <v>46110</v>
      </c>
      <c r="D3571" s="48" t="str">
        <f>_xlfn.XLOOKUP(Table134526_79101120212223242526[[#This Row],[Name Surname]],Manpower!$C$4:$C$1048576,Manpower!$B$4:$B$1048576,"")</f>
        <v>Encogroup</v>
      </c>
      <c r="E3571" s="43" t="s">
        <v>384</v>
      </c>
      <c r="F3571" s="12">
        <f>_xlfn.XLOOKUP(Table134526_79101120212223242526[[#This Row],[Name Surname]],Manpower!C:C,Manpower!D:D,)</f>
        <v>141307968</v>
      </c>
      <c r="G3571" s="48" t="str">
        <f>_xlfn.XLOOKUP(Table134526_79101120212223242526[[#This Row],[Name Surname]],Manpower!$C$4:$C$1048576,Manpower!$F$4:$F$1048576,"")</f>
        <v>Mechanical Supervisor</v>
      </c>
      <c r="H3571" s="48" t="str">
        <f>_xlfn.XLOOKUP(Table134526_79101120212223242526[[#This Row],[Name Surname]],Manpower!$C$4:$C$1048576,Manpower!$H$4:$H$1048576,"")</f>
        <v>Manpower</v>
      </c>
      <c r="I3571" s="48" t="str">
        <f>_xlfn.XLOOKUP(Table134526_79101120212223242526[[#This Row],[Name Surname]],Manpower!$C$4:$C$1048576,Manpower!$H$4:$H$1048576,"")</f>
        <v>Manpower</v>
      </c>
      <c r="J3571" s="51" t="s">
        <v>143</v>
      </c>
      <c r="K3571" s="43" t="s">
        <v>26</v>
      </c>
      <c r="L3571" s="51" t="s">
        <v>435</v>
      </c>
      <c r="M3571" s="51" t="s">
        <v>24</v>
      </c>
      <c r="N3571" s="52">
        <v>2</v>
      </c>
      <c r="O3571" s="43" t="s">
        <v>40</v>
      </c>
      <c r="P3571" s="43" t="s">
        <v>42</v>
      </c>
      <c r="Q3571" s="43" t="s">
        <v>42</v>
      </c>
      <c r="R3571" s="51" t="s">
        <v>436</v>
      </c>
      <c r="S3571" s="43"/>
    </row>
    <row r="3572" spans="1:19" s="45" customFormat="1" ht="14.4" hidden="1">
      <c r="A3572" s="53">
        <f>IF(C3572="","",MAX($A$1:A3571)+1)</f>
        <v>3273</v>
      </c>
      <c r="B3572" s="54" t="s">
        <v>141</v>
      </c>
      <c r="C3572" s="55">
        <v>46110</v>
      </c>
      <c r="D3572" s="48" t="str">
        <f>_xlfn.XLOOKUP(Table134526_79101120212223242526[[#This Row],[Name Surname]],Manpower!$C$4:$C$1048576,Manpower!$B$4:$B$1048576,"")</f>
        <v>Encogroup</v>
      </c>
      <c r="E3572" s="43" t="s">
        <v>61</v>
      </c>
      <c r="F3572" s="12">
        <f>_xlfn.XLOOKUP(Table134526_79101120212223242526[[#This Row],[Name Surname]],Manpower!C:C,Manpower!D:D,)</f>
        <v>141169047</v>
      </c>
      <c r="G3572" s="48" t="str">
        <f>_xlfn.XLOOKUP(Table134526_79101120212223242526[[#This Row],[Name Surname]],Manpower!$C$4:$C$1048576,Manpower!$F$4:$F$1048576,"")</f>
        <v>Welder</v>
      </c>
      <c r="H3572" s="48" t="str">
        <f>_xlfn.XLOOKUP(Table134526_79101120212223242526[[#This Row],[Name Surname]],Manpower!$C$4:$C$1048576,Manpower!$H$4:$H$1048576,"")</f>
        <v>Manpower</v>
      </c>
      <c r="I3572" s="48" t="str">
        <f>_xlfn.XLOOKUP(Table134526_79101120212223242526[[#This Row],[Name Surname]],Manpower!$C$4:$C$1048576,Manpower!$H$4:$H$1048576,"")</f>
        <v>Manpower</v>
      </c>
      <c r="J3572" s="51" t="s">
        <v>143</v>
      </c>
      <c r="K3572" s="43" t="s">
        <v>26</v>
      </c>
      <c r="L3572" s="51" t="s">
        <v>435</v>
      </c>
      <c r="M3572" s="51" t="s">
        <v>24</v>
      </c>
      <c r="N3572" s="52">
        <v>2</v>
      </c>
      <c r="O3572" s="43" t="s">
        <v>40</v>
      </c>
      <c r="P3572" s="43" t="s">
        <v>42</v>
      </c>
      <c r="Q3572" s="43" t="s">
        <v>42</v>
      </c>
      <c r="R3572" s="51" t="s">
        <v>436</v>
      </c>
      <c r="S3572" s="43"/>
    </row>
    <row r="3573" spans="1:19" s="45" customFormat="1" ht="14.4" hidden="1">
      <c r="A3573" s="53">
        <f>IF(C3573="","",MAX($A$1:A3569)+1)</f>
        <v>3272</v>
      </c>
      <c r="B3573" s="54" t="s">
        <v>141</v>
      </c>
      <c r="C3573" s="55">
        <v>46110</v>
      </c>
      <c r="D3573" s="48" t="str">
        <f>_xlfn.XLOOKUP(Table134526_79101120212223242526[[#This Row],[Name Surname]],Manpower!$C$4:$C$1048576,Manpower!$B$4:$B$1048576,"")</f>
        <v>Encogroup</v>
      </c>
      <c r="E3573" s="43" t="s">
        <v>383</v>
      </c>
      <c r="F3573" s="12">
        <f>_xlfn.XLOOKUP(Table134526_79101120212223242526[[#This Row],[Name Surname]],Manpower!C:C,Manpower!D:D,)</f>
        <v>71437827</v>
      </c>
      <c r="G3573" s="48" t="str">
        <f>_xlfn.XLOOKUP(Table134526_79101120212223242526[[#This Row],[Name Surname]],Manpower!$C$4:$C$1048576,Manpower!$F$4:$F$1048576,"")</f>
        <v>Electrical  Supervisor</v>
      </c>
      <c r="H3573" s="48" t="str">
        <f>_xlfn.XLOOKUP(Table134526_79101120212223242526[[#This Row],[Name Surname]],Manpower!$C$4:$C$1048576,Manpower!$H$4:$H$1048576,"")</f>
        <v>Manpower</v>
      </c>
      <c r="I3573" s="48" t="str">
        <f>_xlfn.XLOOKUP(Table134526_79101120212223242526[[#This Row],[Name Surname]],Manpower!$C$4:$C$1048576,Manpower!$H$4:$H$1048576,"")</f>
        <v>Manpower</v>
      </c>
      <c r="J3573" s="51" t="s">
        <v>143</v>
      </c>
      <c r="K3573" s="43" t="s">
        <v>26</v>
      </c>
      <c r="L3573" s="51" t="s">
        <v>435</v>
      </c>
      <c r="M3573" s="51" t="s">
        <v>24</v>
      </c>
      <c r="N3573" s="52">
        <v>2</v>
      </c>
      <c r="O3573" s="43" t="s">
        <v>40</v>
      </c>
      <c r="P3573" s="43" t="s">
        <v>42</v>
      </c>
      <c r="Q3573" s="43" t="s">
        <v>42</v>
      </c>
      <c r="R3573" s="51" t="s">
        <v>436</v>
      </c>
      <c r="S3573" s="43"/>
    </row>
    <row r="3574" spans="1:19" s="45" customFormat="1" ht="14.4" hidden="1">
      <c r="A3574" s="53">
        <f>IF(C3574="","",MAX($A$1:A3573)+1)</f>
        <v>3274</v>
      </c>
      <c r="B3574" s="54" t="s">
        <v>141</v>
      </c>
      <c r="C3574" s="55">
        <v>46110</v>
      </c>
      <c r="D3574" s="48" t="str">
        <f>_xlfn.XLOOKUP(Table134526_79101120212223242526[[#This Row],[Name Surname]],Manpower!$C$4:$C$1048576,Manpower!$B$4:$B$1048576,"")</f>
        <v>Encogroup</v>
      </c>
      <c r="E3574" s="43" t="s">
        <v>439</v>
      </c>
      <c r="F3574" s="12">
        <f>_xlfn.XLOOKUP(Table134526_79101120212223242526[[#This Row],[Name Surname]],Manpower!C:C,Manpower!D:D,)</f>
        <v>141365042</v>
      </c>
      <c r="G3574" s="48" t="str">
        <f>_xlfn.XLOOKUP(Table134526_79101120212223242526[[#This Row],[Name Surname]],Manpower!$C$4:$C$1048576,Manpower!$F$4:$F$1048576,"")</f>
        <v>Helper</v>
      </c>
      <c r="H3574" s="48" t="str">
        <f>_xlfn.XLOOKUP(Table134526_79101120212223242526[[#This Row],[Name Surname]],Manpower!$C$4:$C$1048576,Manpower!$H$4:$H$1048576,"")</f>
        <v>Manpower</v>
      </c>
      <c r="I3574" s="48" t="str">
        <f>_xlfn.XLOOKUP(Table134526_79101120212223242526[[#This Row],[Name Surname]],Manpower!$C$4:$C$1048576,Manpower!$H$4:$H$1048576,"")</f>
        <v>Manpower</v>
      </c>
      <c r="J3574" s="51" t="s">
        <v>143</v>
      </c>
      <c r="K3574" s="43" t="s">
        <v>26</v>
      </c>
      <c r="L3574" s="51" t="s">
        <v>435</v>
      </c>
      <c r="M3574" s="51" t="s">
        <v>24</v>
      </c>
      <c r="N3574" s="52">
        <v>10</v>
      </c>
      <c r="O3574" s="43" t="s">
        <v>40</v>
      </c>
      <c r="P3574" s="43" t="s">
        <v>42</v>
      </c>
      <c r="Q3574" s="43" t="s">
        <v>42</v>
      </c>
      <c r="R3574" s="51" t="s">
        <v>436</v>
      </c>
      <c r="S3574" s="43"/>
    </row>
    <row r="3575" spans="1:19" ht="14.4" hidden="1">
      <c r="A3575" s="38">
        <f>IF(C3575="","",MAX($A$1:A3568)+1)</f>
        <v>3271</v>
      </c>
      <c r="B3575" s="66" t="s">
        <v>141</v>
      </c>
      <c r="C3575" s="60">
        <v>46110</v>
      </c>
      <c r="D3575" s="61" t="str">
        <f>_xlfn.XLOOKUP(Table134526_79101120212223242526[[#This Row],[Name Surname]],Manpower!$C$4:$C$1048576,Manpower!$B$4:$B$1048576,"")</f>
        <v>Encogroup</v>
      </c>
      <c r="E3575" s="57" t="s">
        <v>264</v>
      </c>
      <c r="F3575" s="12">
        <f>_xlfn.XLOOKUP(Table134526_79101120212223242526[[#This Row],[Name Surname]],Manpower!C:C,Manpower!D:D,)</f>
        <v>141365061</v>
      </c>
      <c r="G3575" s="61" t="str">
        <f>_xlfn.XLOOKUP(Table134526_79101120212223242526[[#This Row],[Name Surname]],Manpower!$C$4:$C$1048576,Manpower!$F$4:$F$1048576,"")</f>
        <v>Helper</v>
      </c>
      <c r="H3575" s="61" t="str">
        <f>_xlfn.XLOOKUP(Table134526_79101120212223242526[[#This Row],[Name Surname]],Manpower!$C$4:$C$1048576,Manpower!$H$4:$H$1048576,"")</f>
        <v>Manpower</v>
      </c>
      <c r="I3575" s="61" t="str">
        <f>_xlfn.XLOOKUP(Table134526_79101120212223242526[[#This Row],[Name Surname]],Manpower!$C$4:$C$1048576,Manpower!$H$4:$H$1048576,"")</f>
        <v>Manpower</v>
      </c>
      <c r="J3575" s="57" t="s">
        <v>143</v>
      </c>
      <c r="K3575" s="21" t="s">
        <v>26</v>
      </c>
      <c r="L3575" s="57" t="s">
        <v>435</v>
      </c>
      <c r="M3575" s="57" t="s">
        <v>24</v>
      </c>
      <c r="N3575" s="62">
        <v>10</v>
      </c>
      <c r="O3575" s="21" t="s">
        <v>40</v>
      </c>
      <c r="P3575" s="21" t="s">
        <v>42</v>
      </c>
      <c r="Q3575" s="21" t="s">
        <v>42</v>
      </c>
      <c r="R3575" s="57" t="s">
        <v>436</v>
      </c>
    </row>
    <row r="3576" spans="1:19" ht="14.4" hidden="1">
      <c r="A3576" s="38">
        <f>IF(C3576="","",MAX($A$1:A3575)+1)</f>
        <v>3275</v>
      </c>
      <c r="B3576" s="66" t="s">
        <v>141</v>
      </c>
      <c r="C3576" s="60">
        <v>46110</v>
      </c>
      <c r="D3576" s="61" t="str">
        <f>_xlfn.XLOOKUP(Table134526_79101120212223242526[[#This Row],[Name Surname]],Manpower!$C$4:$C$1048576,Manpower!$B$4:$B$1048576,"")</f>
        <v>Encogroup</v>
      </c>
      <c r="E3576" s="57" t="s">
        <v>224</v>
      </c>
      <c r="F3576" s="12">
        <f>_xlfn.XLOOKUP(Table134526_79101120212223242526[[#This Row],[Name Surname]],Manpower!C:C,Manpower!D:D,)</f>
        <v>141365094</v>
      </c>
      <c r="G3576" s="61" t="str">
        <f>_xlfn.XLOOKUP(Table134526_79101120212223242526[[#This Row],[Name Surname]],Manpower!$C$4:$C$1048576,Manpower!$F$4:$F$1048576,"")</f>
        <v>Helper</v>
      </c>
      <c r="H3576" s="61" t="str">
        <f>_xlfn.XLOOKUP(Table134526_79101120212223242526[[#This Row],[Name Surname]],Manpower!$C$4:$C$1048576,Manpower!$H$4:$H$1048576,"")</f>
        <v>Manpower</v>
      </c>
      <c r="I3576" s="61" t="str">
        <f>_xlfn.XLOOKUP(Table134526_79101120212223242526[[#This Row],[Name Surname]],Manpower!$C$4:$C$1048576,Manpower!$H$4:$H$1048576,"")</f>
        <v>Manpower</v>
      </c>
      <c r="J3576" s="57" t="s">
        <v>143</v>
      </c>
      <c r="K3576" s="21" t="s">
        <v>26</v>
      </c>
      <c r="L3576" s="57" t="s">
        <v>435</v>
      </c>
      <c r="M3576" s="57" t="s">
        <v>24</v>
      </c>
      <c r="N3576" s="62">
        <v>10</v>
      </c>
      <c r="O3576" s="21" t="s">
        <v>40</v>
      </c>
      <c r="P3576" s="21" t="s">
        <v>42</v>
      </c>
      <c r="Q3576" s="21" t="s">
        <v>42</v>
      </c>
      <c r="R3576" s="57" t="s">
        <v>436</v>
      </c>
    </row>
    <row r="3577" spans="1:19" ht="14.4" hidden="1">
      <c r="A3577" s="38">
        <f>IF(C3577="","",MAX($A$1:A3576)+1)</f>
        <v>3276</v>
      </c>
      <c r="B3577" s="69" t="s">
        <v>19</v>
      </c>
      <c r="C3577" s="60">
        <v>46111</v>
      </c>
      <c r="D3577" s="61" t="str">
        <f>_xlfn.XLOOKUP(Table134526_79101120212223242526[[#This Row],[Name Surname]],Manpower!$C$4:$C$1048576,Manpower!$B$4:$B$1048576,"")</f>
        <v>Encogroup</v>
      </c>
      <c r="E3577" s="57" t="s">
        <v>30</v>
      </c>
      <c r="F3577" s="12">
        <f>_xlfn.XLOOKUP(Table134526_79101120212223242526[[#This Row],[Name Surname]],Manpower!C:C,Manpower!D:D,)</f>
        <v>116589569</v>
      </c>
      <c r="G3577" s="61" t="str">
        <f>_xlfn.XLOOKUP(Table134526_79101120212223242526[[#This Row],[Name Surname]],Manpower!$C$4:$C$1048576,Manpower!$F$4:$F$1048576,"")</f>
        <v>Mechanical Engineer</v>
      </c>
      <c r="H3577" s="61" t="str">
        <f>_xlfn.XLOOKUP(Table134526_79101120212223242526[[#This Row],[Name Surname]],Manpower!$C$4:$C$1048576,Manpower!$H$4:$H$1048576,"")</f>
        <v>Manpower</v>
      </c>
      <c r="I3577" s="28" t="str">
        <f>_xlfn.XLOOKUP(Table134526_79101120212223242526[[#This Row],[Name Surname]],Manpower!$C$4:$C$1048576,Manpower!$H$4:$H$1048576,"")</f>
        <v>Manpower</v>
      </c>
      <c r="J3577" s="21" t="s">
        <v>21</v>
      </c>
      <c r="K3577" s="57" t="s">
        <v>369</v>
      </c>
      <c r="L3577" s="57" t="s">
        <v>49</v>
      </c>
      <c r="M3577" s="57" t="s">
        <v>55</v>
      </c>
      <c r="N3577" s="62">
        <v>10</v>
      </c>
      <c r="O3577" s="57"/>
      <c r="P3577" s="57"/>
      <c r="Q3577" s="57"/>
      <c r="R3577" s="57" t="s">
        <v>440</v>
      </c>
    </row>
    <row r="3578" spans="1:19" ht="14.4">
      <c r="A3578" s="38">
        <f>IF(C3578="","",MAX($A$1:A3577)+1)</f>
        <v>3277</v>
      </c>
      <c r="B3578" s="69" t="s">
        <v>19</v>
      </c>
      <c r="C3578" s="60">
        <v>46111</v>
      </c>
      <c r="D3578" s="61" t="str">
        <f>_xlfn.XLOOKUP(Table134526_79101120212223242526[[#This Row],[Name Surname]],Manpower!$C$4:$C$1048576,Manpower!$B$4:$B$1048576,"")</f>
        <v>Al Jaber Heavy Lift</v>
      </c>
      <c r="E3578" s="57" t="s">
        <v>371</v>
      </c>
      <c r="F3578" s="12" t="e">
        <f>_xlfn.XLOOKUP(Table134526_79101120212223242526[[#This Row],[Name Surname]],Manpower!C:C,Manpower!D:D,)</f>
        <v>#N/A</v>
      </c>
      <c r="G3578" s="61" t="str">
        <f>_xlfn.XLOOKUP(Table134526_79101120212223242526[[#This Row],[Name Surname]],Manpower!$C$4:$C$1048576,Manpower!$F$4:$F$1048576,"")</f>
        <v>70T Crawler Crane</v>
      </c>
      <c r="H3578" s="61" t="str">
        <f>_xlfn.XLOOKUP(Table134526_79101120212223242526[[#This Row],[Name Surname]],Manpower!$C$4:$C$1048576,Manpower!$H$4:$H$1048576,"")</f>
        <v>Equipment</v>
      </c>
      <c r="I3578" s="28" t="str">
        <f>_xlfn.XLOOKUP(Table134526_79101120212223242526[[#This Row],[Name Surname]],Manpower!$C$4:$C$1048576,Manpower!$H$4:$H$1048576,"")</f>
        <v>Equipment</v>
      </c>
      <c r="J3578" s="21" t="s">
        <v>21</v>
      </c>
      <c r="K3578" s="57" t="s">
        <v>369</v>
      </c>
      <c r="L3578" s="57" t="s">
        <v>49</v>
      </c>
      <c r="M3578" s="57" t="s">
        <v>55</v>
      </c>
      <c r="N3578" s="62">
        <v>10</v>
      </c>
      <c r="O3578" s="57"/>
      <c r="P3578" s="57"/>
      <c r="Q3578" s="57"/>
      <c r="R3578" s="57" t="s">
        <v>440</v>
      </c>
    </row>
    <row r="3579" spans="1:19" s="45" customFormat="1" ht="14.4" hidden="1">
      <c r="A3579" s="53">
        <f>IF(C3579="","",MAX($A$1:A3578)+1)</f>
        <v>3278</v>
      </c>
      <c r="B3579" s="54" t="s">
        <v>19</v>
      </c>
      <c r="C3579" s="55">
        <v>46111</v>
      </c>
      <c r="D3579" s="68" t="str">
        <f>_xlfn.XLOOKUP(Table134526_79101120212223242526[[#This Row],[Name Surname]],Manpower!$C$4:$C$1048576,Manpower!$B$4:$B$1048576,"")</f>
        <v>Al Jaber Heavy Lift</v>
      </c>
      <c r="E3579" s="51" t="s">
        <v>164</v>
      </c>
      <c r="F3579" s="12">
        <f>_xlfn.XLOOKUP(Table134526_79101120212223242526[[#This Row],[Name Surname]],Manpower!C:C,Manpower!D:D,)</f>
        <v>112778626</v>
      </c>
      <c r="G3579" s="68" t="str">
        <f>_xlfn.XLOOKUP(Table134526_79101120212223242526[[#This Row],[Name Surname]],Manpower!$C$4:$C$1048576,Manpower!$F$4:$F$1048576,"")</f>
        <v>Crane Operator-150T Hitachi Crawler</v>
      </c>
      <c r="H3579" s="68" t="str">
        <f>_xlfn.XLOOKUP(Table134526_79101120212223242526[[#This Row],[Name Surname]],Manpower!$C$4:$C$1048576,Manpower!$H$4:$H$1048576,"")</f>
        <v>Manpower</v>
      </c>
      <c r="I3579" s="48" t="str">
        <f>_xlfn.XLOOKUP(Table134526_79101120212223242526[[#This Row],[Name Surname]],Manpower!$C$4:$C$1048576,Manpower!$H$4:$H$1048576,"")</f>
        <v>Manpower</v>
      </c>
      <c r="J3579" s="43" t="s">
        <v>21</v>
      </c>
      <c r="K3579" s="51" t="s">
        <v>369</v>
      </c>
      <c r="L3579" s="51" t="s">
        <v>49</v>
      </c>
      <c r="M3579" s="51" t="s">
        <v>55</v>
      </c>
      <c r="N3579" s="52">
        <v>10</v>
      </c>
      <c r="O3579" s="51"/>
      <c r="P3579" s="51"/>
      <c r="Q3579" s="51"/>
      <c r="R3579" s="51" t="s">
        <v>440</v>
      </c>
      <c r="S3579" s="43"/>
    </row>
    <row r="3580" spans="1:19" ht="14.4">
      <c r="A3580" s="38">
        <f>IF(C3580="","",MAX($A$1:A3579)+1)</f>
        <v>3279</v>
      </c>
      <c r="B3580" s="69" t="s">
        <v>19</v>
      </c>
      <c r="C3580" s="60">
        <v>46111</v>
      </c>
      <c r="D3580" s="61" t="str">
        <f>_xlfn.XLOOKUP(Table134526_79101120212223242526[[#This Row],[Name Surname]],Manpower!$C$4:$C$1048576,Manpower!$B$4:$B$1048576,"")</f>
        <v>Al Jaber Heavy Lift</v>
      </c>
      <c r="E3580" s="57" t="s">
        <v>151</v>
      </c>
      <c r="F3580" s="12" t="e">
        <f>_xlfn.XLOOKUP(Table134526_79101120212223242526[[#This Row],[Name Surname]],Manpower!C:C,Manpower!D:D,)</f>
        <v>#N/A</v>
      </c>
      <c r="G3580" s="61" t="str">
        <f>_xlfn.XLOOKUP(Table134526_79101120212223242526[[#This Row],[Name Surname]],Manpower!$C$4:$C$1048576,Manpower!$F$4:$F$1048576,"")</f>
        <v>150T-Crawler Crane</v>
      </c>
      <c r="H3580" s="61" t="str">
        <f>_xlfn.XLOOKUP(Table134526_79101120212223242526[[#This Row],[Name Surname]],Manpower!$C$4:$C$1048576,Manpower!$H$4:$H$1048576,"")</f>
        <v>Equipment</v>
      </c>
      <c r="I3580" s="28" t="str">
        <f>_xlfn.XLOOKUP(Table134526_79101120212223242526[[#This Row],[Name Surname]],Manpower!$C$4:$C$1048576,Manpower!$H$4:$H$1048576,"")</f>
        <v>Equipment</v>
      </c>
      <c r="J3580" s="21" t="s">
        <v>21</v>
      </c>
      <c r="K3580" s="57" t="s">
        <v>369</v>
      </c>
      <c r="L3580" s="57" t="s">
        <v>49</v>
      </c>
      <c r="M3580" s="57" t="s">
        <v>55</v>
      </c>
      <c r="N3580" s="62">
        <v>10</v>
      </c>
      <c r="O3580" s="57"/>
      <c r="P3580" s="57"/>
      <c r="Q3580" s="57"/>
      <c r="R3580" s="57" t="s">
        <v>440</v>
      </c>
    </row>
    <row r="3581" spans="1:19" s="45" customFormat="1" ht="14.4" hidden="1">
      <c r="A3581" s="53">
        <f>IF(C3581="","",MAX($A$1:A3580)+1)</f>
        <v>3280</v>
      </c>
      <c r="B3581" s="54" t="s">
        <v>19</v>
      </c>
      <c r="C3581" s="55">
        <v>46111</v>
      </c>
      <c r="D3581" s="68" t="str">
        <f>_xlfn.XLOOKUP(Table134526_79101120212223242526[[#This Row],[Name Surname]],Manpower!$C$4:$C$1048576,Manpower!$B$4:$B$1048576,"")</f>
        <v>Al Jaber Heavy Lift</v>
      </c>
      <c r="E3581" s="51" t="s">
        <v>275</v>
      </c>
      <c r="F3581" s="12">
        <f>_xlfn.XLOOKUP(Table134526_79101120212223242526[[#This Row],[Name Surname]],Manpower!C:C,Manpower!D:D,)</f>
        <v>116448869</v>
      </c>
      <c r="G3581" s="68" t="str">
        <f>_xlfn.XLOOKUP(Table134526_79101120212223242526[[#This Row],[Name Surname]],Manpower!$C$4:$C$1048576,Manpower!$F$4:$F$1048576,"")</f>
        <v xml:space="preserve">Crane Operator </v>
      </c>
      <c r="H3581" s="68" t="str">
        <f>_xlfn.XLOOKUP(Table134526_79101120212223242526[[#This Row],[Name Surname]],Manpower!$C$4:$C$1048576,Manpower!$H$4:$H$1048576,"")</f>
        <v>Manpower</v>
      </c>
      <c r="I3581" s="48" t="str">
        <f>_xlfn.XLOOKUP(Table134526_79101120212223242526[[#This Row],[Name Surname]],Manpower!$C$4:$C$1048576,Manpower!$H$4:$H$1048576,"")</f>
        <v>Manpower</v>
      </c>
      <c r="J3581" s="43" t="s">
        <v>21</v>
      </c>
      <c r="K3581" s="51" t="s">
        <v>369</v>
      </c>
      <c r="L3581" s="51" t="s">
        <v>49</v>
      </c>
      <c r="M3581" s="51" t="s">
        <v>55</v>
      </c>
      <c r="N3581" s="52">
        <v>10</v>
      </c>
      <c r="O3581" s="51"/>
      <c r="P3581" s="51"/>
      <c r="Q3581" s="51"/>
      <c r="R3581" s="51" t="s">
        <v>440</v>
      </c>
      <c r="S3581" s="43"/>
    </row>
    <row r="3582" spans="1:19" s="45" customFormat="1" ht="14.4" hidden="1">
      <c r="A3582" s="53">
        <f>IF(C3582="","",MAX($A$1:A3581)+1)</f>
        <v>3281</v>
      </c>
      <c r="B3582" s="54" t="s">
        <v>19</v>
      </c>
      <c r="C3582" s="55">
        <v>46111</v>
      </c>
      <c r="D3582" s="68" t="str">
        <f>_xlfn.XLOOKUP(Table134526_79101120212223242526[[#This Row],[Name Surname]],Manpower!$C$4:$C$1048576,Manpower!$B$4:$B$1048576,"")</f>
        <v>Encogroup</v>
      </c>
      <c r="E3582" s="51" t="s">
        <v>72</v>
      </c>
      <c r="F3582" s="12">
        <f>_xlfn.XLOOKUP(Table134526_79101120212223242526[[#This Row],[Name Surname]],Manpower!C:C,Manpower!D:D,)</f>
        <v>140764706</v>
      </c>
      <c r="G3582" s="68" t="str">
        <f>_xlfn.XLOOKUP(Table134526_79101120212223242526[[#This Row],[Name Surname]],Manpower!$C$4:$C$1048576,Manpower!$F$4:$F$1048576,"")</f>
        <v>Rigger</v>
      </c>
      <c r="H3582" s="68" t="str">
        <f>_xlfn.XLOOKUP(Table134526_79101120212223242526[[#This Row],[Name Surname]],Manpower!$C$4:$C$1048576,Manpower!$H$4:$H$1048576,"")</f>
        <v>Manpower</v>
      </c>
      <c r="I3582" s="48" t="str">
        <f>_xlfn.XLOOKUP(Table134526_79101120212223242526[[#This Row],[Name Surname]],Manpower!$C$4:$C$1048576,Manpower!$H$4:$H$1048576,"")</f>
        <v>Manpower</v>
      </c>
      <c r="J3582" s="43" t="s">
        <v>21</v>
      </c>
      <c r="K3582" s="51" t="s">
        <v>369</v>
      </c>
      <c r="L3582" s="51" t="s">
        <v>49</v>
      </c>
      <c r="M3582" s="51" t="s">
        <v>55</v>
      </c>
      <c r="N3582" s="52">
        <v>5</v>
      </c>
      <c r="O3582" s="51"/>
      <c r="P3582" s="51"/>
      <c r="Q3582" s="51"/>
      <c r="R3582" s="51" t="s">
        <v>440</v>
      </c>
      <c r="S3582" s="43"/>
    </row>
    <row r="3583" spans="1:19" s="45" customFormat="1" ht="14.4" hidden="1">
      <c r="A3583" s="53">
        <f>IF(C3583="","",MAX($A$1:A3582)+1)</f>
        <v>3282</v>
      </c>
      <c r="B3583" s="54" t="s">
        <v>19</v>
      </c>
      <c r="C3583" s="55">
        <v>46111</v>
      </c>
      <c r="D3583" s="68" t="str">
        <f>_xlfn.XLOOKUP(Table134526_79101120212223242526[[#This Row],[Name Surname]],Manpower!$C$4:$C$1048576,Manpower!$B$4:$B$1048576,"")</f>
        <v>Encogroup</v>
      </c>
      <c r="E3583" s="51" t="s">
        <v>29</v>
      </c>
      <c r="F3583" s="12">
        <f>_xlfn.XLOOKUP(Table134526_79101120212223242526[[#This Row],[Name Surname]],Manpower!C:C,Manpower!D:D,)</f>
        <v>127331574</v>
      </c>
      <c r="G3583" s="68" t="str">
        <f>_xlfn.XLOOKUP(Table134526_79101120212223242526[[#This Row],[Name Surname]],Manpower!$C$4:$C$1048576,Manpower!$F$4:$F$1048576,"")</f>
        <v>Permit Receiver</v>
      </c>
      <c r="H3583" s="68" t="str">
        <f>_xlfn.XLOOKUP(Table134526_79101120212223242526[[#This Row],[Name Surname]],Manpower!$C$4:$C$1048576,Manpower!$H$4:$H$1048576,"")</f>
        <v>Manpower</v>
      </c>
      <c r="I3583" s="48" t="str">
        <f>_xlfn.XLOOKUP(Table134526_79101120212223242526[[#This Row],[Name Surname]],Manpower!$C$4:$C$1048576,Manpower!$H$4:$H$1048576,"")</f>
        <v>Manpower</v>
      </c>
      <c r="J3583" s="43" t="s">
        <v>21</v>
      </c>
      <c r="K3583" s="51" t="s">
        <v>369</v>
      </c>
      <c r="L3583" s="51" t="s">
        <v>49</v>
      </c>
      <c r="M3583" s="51" t="s">
        <v>55</v>
      </c>
      <c r="N3583" s="52">
        <v>10</v>
      </c>
      <c r="O3583" s="51"/>
      <c r="P3583" s="51"/>
      <c r="Q3583" s="51"/>
      <c r="R3583" s="51" t="s">
        <v>440</v>
      </c>
      <c r="S3583" s="43"/>
    </row>
    <row r="3584" spans="1:19" ht="14.4" hidden="1">
      <c r="A3584" s="38">
        <f>IF(C3584="","",MAX($A$1:A3583)+1)</f>
        <v>3283</v>
      </c>
      <c r="B3584" s="69" t="s">
        <v>19</v>
      </c>
      <c r="C3584" s="60">
        <v>46111</v>
      </c>
      <c r="D3584" s="61" t="str">
        <f>_xlfn.XLOOKUP(Table134526_79101120212223242526[[#This Row],[Name Surname]],Manpower!$C$4:$C$1048576,Manpower!$B$4:$B$1048576,"")</f>
        <v>Encogroup</v>
      </c>
      <c r="E3584" s="57" t="s">
        <v>31</v>
      </c>
      <c r="F3584" s="12">
        <f>_xlfn.XLOOKUP(Table134526_79101120212223242526[[#This Row],[Name Surname]],Manpower!C:C,Manpower!D:D,)</f>
        <v>99596058</v>
      </c>
      <c r="G3584" s="61" t="str">
        <f>_xlfn.XLOOKUP(Table134526_79101120212223242526[[#This Row],[Name Surname]],Manpower!$C$4:$C$1048576,Manpower!$F$4:$F$1048576,"")</f>
        <v>HSE Officer</v>
      </c>
      <c r="H3584" s="61" t="str">
        <f>_xlfn.XLOOKUP(Table134526_79101120212223242526[[#This Row],[Name Surname]],Manpower!$C$4:$C$1048576,Manpower!$H$4:$H$1048576,"")</f>
        <v>Manpower</v>
      </c>
      <c r="I3584" s="28" t="str">
        <f>_xlfn.XLOOKUP(Table134526_79101120212223242526[[#This Row],[Name Surname]],Manpower!$C$4:$C$1048576,Manpower!$H$4:$H$1048576,"")</f>
        <v>Manpower</v>
      </c>
      <c r="J3584" s="21" t="s">
        <v>21</v>
      </c>
      <c r="K3584" s="57" t="s">
        <v>369</v>
      </c>
      <c r="L3584" s="57" t="s">
        <v>49</v>
      </c>
      <c r="M3584" s="57" t="s">
        <v>55</v>
      </c>
      <c r="N3584" s="62">
        <v>10</v>
      </c>
      <c r="O3584" s="57"/>
      <c r="P3584" s="57"/>
      <c r="Q3584" s="57"/>
      <c r="R3584" s="57" t="s">
        <v>440</v>
      </c>
    </row>
    <row r="3585" spans="1:19" ht="14.4" hidden="1">
      <c r="A3585" s="38">
        <f>IF(C3585="","",MAX($A$1:A3584)+1)</f>
        <v>3284</v>
      </c>
      <c r="B3585" s="69" t="s">
        <v>19</v>
      </c>
      <c r="C3585" s="60">
        <v>46111</v>
      </c>
      <c r="D3585" s="61" t="str">
        <f>_xlfn.XLOOKUP(Table134526_79101120212223242526[[#This Row],[Name Surname]],Manpower!$C$4:$C$1048576,Manpower!$B$4:$B$1048576,"")</f>
        <v>AL Omar International TRAD AND CONT</v>
      </c>
      <c r="E3585" s="57" t="s">
        <v>36</v>
      </c>
      <c r="F3585" s="12">
        <f>_xlfn.XLOOKUP(Table134526_79101120212223242526[[#This Row],[Name Surname]],Manpower!C:C,Manpower!D:D,)</f>
        <v>114929202</v>
      </c>
      <c r="G3585" s="61" t="str">
        <f>_xlfn.XLOOKUP(Table134526_79101120212223242526[[#This Row],[Name Surname]],Manpower!$C$4:$C$1048576,Manpower!$F$4:$F$1048576,"")</f>
        <v>RIgger</v>
      </c>
      <c r="H3585" s="61" t="str">
        <f>_xlfn.XLOOKUP(Table134526_79101120212223242526[[#This Row],[Name Surname]],Manpower!$C$4:$C$1048576,Manpower!$H$4:$H$1048576,"")</f>
        <v>Sub Contactor</v>
      </c>
      <c r="I3585" s="28" t="str">
        <f>_xlfn.XLOOKUP(Table134526_79101120212223242526[[#This Row],[Name Surname]],Manpower!$C$4:$C$1048576,Manpower!$H$4:$H$1048576,"")</f>
        <v>Sub Contactor</v>
      </c>
      <c r="J3585" s="21" t="s">
        <v>21</v>
      </c>
      <c r="K3585" s="57" t="s">
        <v>369</v>
      </c>
      <c r="L3585" s="57" t="s">
        <v>49</v>
      </c>
      <c r="M3585" s="57" t="s">
        <v>55</v>
      </c>
      <c r="N3585" s="62">
        <v>5</v>
      </c>
      <c r="O3585" s="57"/>
      <c r="P3585" s="57"/>
      <c r="Q3585" s="57"/>
      <c r="R3585" s="57" t="s">
        <v>440</v>
      </c>
    </row>
    <row r="3586" spans="1:19" s="45" customFormat="1" ht="14.4" hidden="1">
      <c r="A3586" s="53">
        <f>IF(C3586="","",MAX($A$1:A3585)+1)</f>
        <v>3285</v>
      </c>
      <c r="B3586" s="54" t="s">
        <v>19</v>
      </c>
      <c r="C3586" s="55">
        <v>46111</v>
      </c>
      <c r="D3586" s="48" t="str">
        <f>_xlfn.XLOOKUP(Table134526_79101120212223242526[[#This Row],[Name Surname]],Manpower!$C$4:$C$1048576,Manpower!$B$4:$B$1048576,"")</f>
        <v>AL Omar International TRAD AND CONT</v>
      </c>
      <c r="E3586" s="43" t="s">
        <v>197</v>
      </c>
      <c r="F3586" s="12">
        <f>_xlfn.XLOOKUP(Table134526_79101120212223242526[[#This Row],[Name Surname]],Manpower!C:C,Manpower!D:D,)</f>
        <v>106093463</v>
      </c>
      <c r="G3586" s="48" t="str">
        <f>_xlfn.XLOOKUP(Table134526_79101120212223242526[[#This Row],[Name Surname]],Manpower!$C$4:$C$1048576,Manpower!$F$4:$F$1048576,"")</f>
        <v>RIgger</v>
      </c>
      <c r="H3586" s="48" t="str">
        <f>_xlfn.XLOOKUP(Table134526_79101120212223242526[[#This Row],[Name Surname]],Manpower!$C$4:$C$1048576,Manpower!$H$4:$H$1048576,"")</f>
        <v>Sub Contactor</v>
      </c>
      <c r="I3586" s="48" t="str">
        <f>_xlfn.XLOOKUP(Table134526_79101120212223242526[[#This Row],[Name Surname]],Manpower!$C$4:$C$1048576,Manpower!$H$4:$H$1048576,"")</f>
        <v>Sub Contactor</v>
      </c>
      <c r="J3586" s="43" t="s">
        <v>21</v>
      </c>
      <c r="K3586" s="51" t="s">
        <v>369</v>
      </c>
      <c r="L3586" s="51" t="s">
        <v>49</v>
      </c>
      <c r="M3586" s="51" t="s">
        <v>55</v>
      </c>
      <c r="N3586" s="52">
        <v>3</v>
      </c>
      <c r="O3586" s="43"/>
      <c r="P3586" s="43"/>
      <c r="Q3586" s="43"/>
      <c r="R3586" s="51" t="s">
        <v>440</v>
      </c>
      <c r="S3586" s="43"/>
    </row>
    <row r="3587" spans="1:19" s="45" customFormat="1" ht="14.4" hidden="1">
      <c r="A3587" s="53">
        <f>IF(C3587="","",MAX($A$1:A3585)+1)</f>
        <v>3285</v>
      </c>
      <c r="B3587" s="54" t="s">
        <v>19</v>
      </c>
      <c r="C3587" s="55">
        <v>46111</v>
      </c>
      <c r="D3587" s="48" t="str">
        <f>_xlfn.XLOOKUP(Table134526_79101120212223242526[[#This Row],[Name Surname]],Manpower!$C$4:$C$1048576,Manpower!$B$4:$B$1048576,"")</f>
        <v>Encogroup</v>
      </c>
      <c r="E3587" s="43" t="s">
        <v>37</v>
      </c>
      <c r="F3587" s="12">
        <f>_xlfn.XLOOKUP(Table134526_79101120212223242526[[#This Row],[Name Surname]],Manpower!C:C,Manpower!D:D,)</f>
        <v>140742088</v>
      </c>
      <c r="G3587" s="48" t="str">
        <f>_xlfn.XLOOKUP(Table134526_79101120212223242526[[#This Row],[Name Surname]],Manpower!$C$4:$C$1048576,Manpower!$F$4:$F$1048576,"")</f>
        <v>Fitter/Erector</v>
      </c>
      <c r="H3587" s="48" t="str">
        <f>_xlfn.XLOOKUP(Table134526_79101120212223242526[[#This Row],[Name Surname]],Manpower!$C$4:$C$1048576,Manpower!$H$4:$H$1048576,"")</f>
        <v>Manpower</v>
      </c>
      <c r="I3587" s="48" t="str">
        <f>_xlfn.XLOOKUP(Table134526_79101120212223242526[[#This Row],[Name Surname]],Manpower!$C$4:$C$1048576,Manpower!$H$4:$H$1048576,"")</f>
        <v>Manpower</v>
      </c>
      <c r="J3587" s="43" t="s">
        <v>21</v>
      </c>
      <c r="K3587" s="51" t="s">
        <v>369</v>
      </c>
      <c r="L3587" s="51" t="s">
        <v>49</v>
      </c>
      <c r="M3587" s="51" t="s">
        <v>55</v>
      </c>
      <c r="N3587" s="52">
        <v>5</v>
      </c>
      <c r="O3587" s="43"/>
      <c r="P3587" s="43"/>
      <c r="Q3587" s="43"/>
      <c r="R3587" s="51" t="s">
        <v>440</v>
      </c>
      <c r="S3587" s="43"/>
    </row>
    <row r="3588" spans="1:19" s="45" customFormat="1" ht="14.4" hidden="1">
      <c r="A3588" s="53">
        <f>IF(C3588="","",MAX($A$1:A3585)+1)</f>
        <v>3285</v>
      </c>
      <c r="B3588" s="54" t="s">
        <v>19</v>
      </c>
      <c r="C3588" s="55">
        <v>46111</v>
      </c>
      <c r="D3588" s="48" t="str">
        <f>_xlfn.XLOOKUP(Table134526_79101120212223242526[[#This Row],[Name Surname]],Manpower!$C$4:$C$1048576,Manpower!$B$4:$B$1048576,"")</f>
        <v>Encogroup</v>
      </c>
      <c r="E3588" s="43" t="s">
        <v>67</v>
      </c>
      <c r="F3588" s="12">
        <f>_xlfn.XLOOKUP(Table134526_79101120212223242526[[#This Row],[Name Surname]],Manpower!C:C,Manpower!D:D,)</f>
        <v>122082769</v>
      </c>
      <c r="G3588" s="48" t="str">
        <f>_xlfn.XLOOKUP(Table134526_79101120212223242526[[#This Row],[Name Surname]],Manpower!$C$4:$C$1048576,Manpower!$F$4:$F$1048576,"")</f>
        <v>Grinder</v>
      </c>
      <c r="H3588" s="48" t="str">
        <f>_xlfn.XLOOKUP(Table134526_79101120212223242526[[#This Row],[Name Surname]],Manpower!$C$4:$C$1048576,Manpower!$H$4:$H$1048576,"")</f>
        <v>Manpower</v>
      </c>
      <c r="I3588" s="48" t="str">
        <f>_xlfn.XLOOKUP(Table134526_79101120212223242526[[#This Row],[Name Surname]],Manpower!$C$4:$C$1048576,Manpower!$H$4:$H$1048576,"")</f>
        <v>Manpower</v>
      </c>
      <c r="J3588" s="43" t="s">
        <v>21</v>
      </c>
      <c r="K3588" s="51" t="s">
        <v>369</v>
      </c>
      <c r="L3588" s="51" t="s">
        <v>49</v>
      </c>
      <c r="M3588" s="51" t="s">
        <v>55</v>
      </c>
      <c r="N3588" s="52">
        <v>5</v>
      </c>
      <c r="O3588" s="43"/>
      <c r="P3588" s="43"/>
      <c r="Q3588" s="43"/>
      <c r="R3588" s="51" t="s">
        <v>440</v>
      </c>
      <c r="S3588" s="43"/>
    </row>
    <row r="3589" spans="1:19" s="45" customFormat="1" ht="14.4" hidden="1">
      <c r="A3589" s="53">
        <f>IF(C3589="","",MAX($A$1:A3585)+1)</f>
        <v>3285</v>
      </c>
      <c r="B3589" s="54" t="s">
        <v>19</v>
      </c>
      <c r="C3589" s="55">
        <v>46111</v>
      </c>
      <c r="D3589" s="48" t="str">
        <f>_xlfn.XLOOKUP(Table134526_79101120212223242526[[#This Row],[Name Surname]],Manpower!$C$4:$C$1048576,Manpower!$B$4:$B$1048576,"")</f>
        <v>Al Jaber Heavy Lift</v>
      </c>
      <c r="E3589" s="43" t="s">
        <v>311</v>
      </c>
      <c r="F3589" s="12" t="e">
        <f>_xlfn.XLOOKUP(Table134526_79101120212223242526[[#This Row],[Name Surname]],Manpower!C:C,Manpower!D:D,)</f>
        <v>#N/A</v>
      </c>
      <c r="G3589" s="48" t="str">
        <f>_xlfn.XLOOKUP(Table134526_79101120212223242526[[#This Row],[Name Surname]],Manpower!$C$4:$C$1048576,Manpower!$F$4:$F$1048576,"")</f>
        <v>Technician</v>
      </c>
      <c r="H3589" s="48" t="str">
        <f>_xlfn.XLOOKUP(Table134526_79101120212223242526[[#This Row],[Name Surname]],Manpower!$C$4:$C$1048576,Manpower!$H$4:$H$1048576,"")</f>
        <v>Manpower</v>
      </c>
      <c r="I3589" s="48" t="str">
        <f>_xlfn.XLOOKUP(Table134526_79101120212223242526[[#This Row],[Name Surname]],Manpower!$C$4:$C$1048576,Manpower!$H$4:$H$1048576,"")</f>
        <v>Manpower</v>
      </c>
      <c r="J3589" s="43" t="s">
        <v>21</v>
      </c>
      <c r="K3589" s="51" t="s">
        <v>369</v>
      </c>
      <c r="L3589" s="51" t="s">
        <v>49</v>
      </c>
      <c r="M3589" s="51" t="s">
        <v>55</v>
      </c>
      <c r="N3589" s="52">
        <v>10</v>
      </c>
      <c r="O3589" s="43"/>
      <c r="P3589" s="43"/>
      <c r="Q3589" s="43"/>
      <c r="R3589" s="51" t="s">
        <v>440</v>
      </c>
      <c r="S3589" s="43"/>
    </row>
    <row r="3590" spans="1:19" s="45" customFormat="1" ht="14.4" hidden="1">
      <c r="A3590" s="53">
        <f>IF(C3590="","",MAX($A$1:A3589)+1)</f>
        <v>3286</v>
      </c>
      <c r="B3590" s="54" t="s">
        <v>19</v>
      </c>
      <c r="C3590" s="55">
        <v>46111</v>
      </c>
      <c r="D3590" s="48" t="str">
        <f>_xlfn.XLOOKUP(Table134526_79101120212223242526[[#This Row],[Name Surname]],Manpower!$C$4:$C$1048576,Manpower!$B$4:$B$1048576,"")</f>
        <v>Al Jaber Heavy Lift</v>
      </c>
      <c r="E3590" s="43" t="s">
        <v>276</v>
      </c>
      <c r="F3590" s="12" t="str">
        <f>_xlfn.XLOOKUP(Table134526_79101120212223242526[[#This Row],[Name Surname]],Manpower!C:C,Manpower!D:D,)</f>
        <v>102607563</v>
      </c>
      <c r="G3590" s="48" t="str">
        <f>_xlfn.XLOOKUP(Table134526_79101120212223242526[[#This Row],[Name Surname]],Manpower!$C$4:$C$1048576,Manpower!$F$4:$F$1048576,"")</f>
        <v>Technician</v>
      </c>
      <c r="H3590" s="48" t="str">
        <f>_xlfn.XLOOKUP(Table134526_79101120212223242526[[#This Row],[Name Surname]],Manpower!$C$4:$C$1048576,Manpower!$H$4:$H$1048576,"")</f>
        <v>Manpower</v>
      </c>
      <c r="I3590" s="48" t="str">
        <f>_xlfn.XLOOKUP(Table134526_79101120212223242526[[#This Row],[Name Surname]],Manpower!$C$4:$C$1048576,Manpower!$H$4:$H$1048576,"")</f>
        <v>Manpower</v>
      </c>
      <c r="J3590" s="43" t="s">
        <v>21</v>
      </c>
      <c r="K3590" s="51" t="s">
        <v>369</v>
      </c>
      <c r="L3590" s="51" t="s">
        <v>49</v>
      </c>
      <c r="M3590" s="51" t="s">
        <v>55</v>
      </c>
      <c r="N3590" s="52">
        <v>10</v>
      </c>
      <c r="O3590" s="43"/>
      <c r="P3590" s="43"/>
      <c r="Q3590" s="43"/>
      <c r="R3590" s="51" t="s">
        <v>440</v>
      </c>
      <c r="S3590" s="43"/>
    </row>
    <row r="3591" spans="1:19" s="45" customFormat="1" ht="14.4" hidden="1">
      <c r="A3591" s="53">
        <f>IF(C3591="","",MAX($A$1:A3589)+1)</f>
        <v>3286</v>
      </c>
      <c r="B3591" s="54" t="s">
        <v>19</v>
      </c>
      <c r="C3591" s="55">
        <v>46111</v>
      </c>
      <c r="D3591" s="48" t="str">
        <f>_xlfn.XLOOKUP(Table134526_79101120212223242526[[#This Row],[Name Surname]],Manpower!$C$4:$C$1048576,Manpower!$B$4:$B$1048576,"")</f>
        <v>Bright Light</v>
      </c>
      <c r="E3591" s="43" t="s">
        <v>165</v>
      </c>
      <c r="F3591" s="12">
        <f>_xlfn.XLOOKUP(Table134526_79101120212223242526[[#This Row],[Name Surname]],Manpower!C:C,Manpower!D:D,)</f>
        <v>122771611</v>
      </c>
      <c r="G3591" s="48" t="str">
        <f>_xlfn.XLOOKUP(Table134526_79101120212223242526[[#This Row],[Name Surname]],Manpower!$C$4:$C$1048576,Manpower!$F$4:$F$1048576,"")</f>
        <v>Mechanic</v>
      </c>
      <c r="H3591" s="48" t="str">
        <f>_xlfn.XLOOKUP(Table134526_79101120212223242526[[#This Row],[Name Surname]],Manpower!$C$4:$C$1048576,Manpower!$H$4:$H$1048576,"")</f>
        <v>Sub Contactor</v>
      </c>
      <c r="I3591" s="48" t="str">
        <f>_xlfn.XLOOKUP(Table134526_79101120212223242526[[#This Row],[Name Surname]],Manpower!$C$4:$C$1048576,Manpower!$H$4:$H$1048576,"")</f>
        <v>Sub Contactor</v>
      </c>
      <c r="J3591" s="43" t="s">
        <v>21</v>
      </c>
      <c r="K3591" s="51" t="s">
        <v>369</v>
      </c>
      <c r="L3591" s="51" t="s">
        <v>49</v>
      </c>
      <c r="M3591" s="51" t="s">
        <v>55</v>
      </c>
      <c r="N3591" s="52">
        <v>10</v>
      </c>
      <c r="O3591" s="43"/>
      <c r="P3591" s="43"/>
      <c r="Q3591" s="43"/>
      <c r="R3591" s="51" t="s">
        <v>440</v>
      </c>
      <c r="S3591" s="43"/>
    </row>
    <row r="3592" spans="1:19" s="45" customFormat="1" ht="14.4" hidden="1">
      <c r="A3592" s="53">
        <f>IF(C3592="","",MAX($A$1:A3591)+1)</f>
        <v>3287</v>
      </c>
      <c r="B3592" s="54" t="s">
        <v>19</v>
      </c>
      <c r="C3592" s="55">
        <v>46111</v>
      </c>
      <c r="D3592" s="48" t="str">
        <f>_xlfn.XLOOKUP(Table134526_79101120212223242526[[#This Row],[Name Surname]],Manpower!$C$4:$C$1048576,Manpower!$B$4:$B$1048576,"")</f>
        <v>Bright Light</v>
      </c>
      <c r="E3592" s="43" t="s">
        <v>263</v>
      </c>
      <c r="F3592" s="12">
        <f>_xlfn.XLOOKUP(Table134526_79101120212223242526[[#This Row],[Name Surname]],Manpower!C:C,Manpower!D:D,)</f>
        <v>125287583</v>
      </c>
      <c r="G3592" s="48" t="str">
        <f>_xlfn.XLOOKUP(Table134526_79101120212223242526[[#This Row],[Name Surname]],Manpower!$C$4:$C$1048576,Manpower!$F$4:$F$1048576,"")</f>
        <v>Mechanic</v>
      </c>
      <c r="H3592" s="48" t="str">
        <f>_xlfn.XLOOKUP(Table134526_79101120212223242526[[#This Row],[Name Surname]],Manpower!$C$4:$C$1048576,Manpower!$H$4:$H$1048576,"")</f>
        <v>Sub Contactor</v>
      </c>
      <c r="I3592" s="48" t="str">
        <f>_xlfn.XLOOKUP(Table134526_79101120212223242526[[#This Row],[Name Surname]],Manpower!$C$4:$C$1048576,Manpower!$H$4:$H$1048576,"")</f>
        <v>Sub Contactor</v>
      </c>
      <c r="J3592" s="43" t="s">
        <v>21</v>
      </c>
      <c r="K3592" s="51" t="s">
        <v>369</v>
      </c>
      <c r="L3592" s="51" t="s">
        <v>49</v>
      </c>
      <c r="M3592" s="51" t="s">
        <v>55</v>
      </c>
      <c r="N3592" s="52">
        <v>10</v>
      </c>
      <c r="O3592" s="43"/>
      <c r="P3592" s="43"/>
      <c r="Q3592" s="43"/>
      <c r="R3592" s="51" t="s">
        <v>440</v>
      </c>
      <c r="S3592" s="43"/>
    </row>
    <row r="3593" spans="1:19" s="45" customFormat="1" ht="14.4" hidden="1">
      <c r="A3593" s="53">
        <f>IF(C3593="","",MAX($A$1:A3592)+1)</f>
        <v>3288</v>
      </c>
      <c r="B3593" s="54" t="s">
        <v>19</v>
      </c>
      <c r="C3593" s="55">
        <v>46111</v>
      </c>
      <c r="D3593" s="48" t="str">
        <f>_xlfn.XLOOKUP(Table134526_79101120212223242526[[#This Row],[Name Surname]],Manpower!$C$4:$C$1048576,Manpower!$B$4:$B$1048576,"")</f>
        <v>Encogroup</v>
      </c>
      <c r="E3593" s="43" t="s">
        <v>33</v>
      </c>
      <c r="F3593" s="12">
        <f>_xlfn.XLOOKUP(Table134526_79101120212223242526[[#This Row],[Name Surname]],Manpower!C:C,Manpower!D:D,)</f>
        <v>124565057</v>
      </c>
      <c r="G3593" s="48" t="str">
        <f>_xlfn.XLOOKUP(Table134526_79101120212223242526[[#This Row],[Name Surname]],Manpower!$C$4:$C$1048576,Manpower!$F$4:$F$1048576,"")</f>
        <v>Fitter/Erector</v>
      </c>
      <c r="H3593" s="48" t="str">
        <f>_xlfn.XLOOKUP(Table134526_79101120212223242526[[#This Row],[Name Surname]],Manpower!$C$4:$C$1048576,Manpower!$H$4:$H$1048576,"")</f>
        <v>Manpower</v>
      </c>
      <c r="I3593" s="48" t="str">
        <f>_xlfn.XLOOKUP(Table134526_79101120212223242526[[#This Row],[Name Surname]],Manpower!$C$4:$C$1048576,Manpower!$H$4:$H$1048576,"")</f>
        <v>Manpower</v>
      </c>
      <c r="J3593" s="43" t="s">
        <v>21</v>
      </c>
      <c r="K3593" s="51" t="s">
        <v>369</v>
      </c>
      <c r="L3593" s="51" t="s">
        <v>49</v>
      </c>
      <c r="M3593" s="51" t="s">
        <v>55</v>
      </c>
      <c r="N3593" s="52">
        <v>5</v>
      </c>
      <c r="O3593" s="43"/>
      <c r="P3593" s="43"/>
      <c r="Q3593" s="43"/>
      <c r="R3593" s="51" t="s">
        <v>440</v>
      </c>
      <c r="S3593" s="43"/>
    </row>
    <row r="3594" spans="1:19" s="45" customFormat="1" ht="14.4" hidden="1">
      <c r="A3594" s="53">
        <f>IF(C3594="","",MAX($A$1:A3585)+1)</f>
        <v>3285</v>
      </c>
      <c r="B3594" s="54" t="s">
        <v>19</v>
      </c>
      <c r="C3594" s="55">
        <v>46111</v>
      </c>
      <c r="D3594" s="68" t="str">
        <f>_xlfn.XLOOKUP(Table134526_79101120212223242526[[#This Row],[Name Surname]],Manpower!$C$4:$C$1048576,Manpower!$B$4:$B$1048576,"")</f>
        <v>Encogroup</v>
      </c>
      <c r="E3594" s="51" t="s">
        <v>32</v>
      </c>
      <c r="F3594" s="12">
        <f>_xlfn.XLOOKUP(Table134526_79101120212223242526[[#This Row],[Name Surname]],Manpower!C:C,Manpower!D:D,)</f>
        <v>140697039</v>
      </c>
      <c r="G3594" s="68" t="str">
        <f>_xlfn.XLOOKUP(Table134526_79101120212223242526[[#This Row],[Name Surname]],Manpower!$C$4:$C$1048576,Manpower!$F$4:$F$1048576,"")</f>
        <v>Fitter/Erector</v>
      </c>
      <c r="H3594" s="68" t="str">
        <f>_xlfn.XLOOKUP(Table134526_79101120212223242526[[#This Row],[Name Surname]],Manpower!$C$4:$C$1048576,Manpower!$H$4:$H$1048576,"")</f>
        <v>Manpower</v>
      </c>
      <c r="I3594" s="48" t="str">
        <f>_xlfn.XLOOKUP(Table134526_79101120212223242526[[#This Row],[Name Surname]],Manpower!$C$4:$C$1048576,Manpower!$H$4:$H$1048576,"")</f>
        <v>Manpower</v>
      </c>
      <c r="J3594" s="43" t="s">
        <v>21</v>
      </c>
      <c r="K3594" s="51" t="s">
        <v>369</v>
      </c>
      <c r="L3594" s="51" t="s">
        <v>49</v>
      </c>
      <c r="M3594" s="51" t="s">
        <v>55</v>
      </c>
      <c r="N3594" s="52">
        <v>10</v>
      </c>
      <c r="O3594" s="51"/>
      <c r="P3594" s="51"/>
      <c r="Q3594" s="51"/>
      <c r="R3594" s="51" t="s">
        <v>440</v>
      </c>
      <c r="S3594" s="43"/>
    </row>
    <row r="3595" spans="1:19" s="45" customFormat="1" ht="14.4" hidden="1">
      <c r="A3595" s="53">
        <f>IF(C3595="","",MAX($A$1:A3594)+1)</f>
        <v>3289</v>
      </c>
      <c r="B3595" s="54" t="s">
        <v>19</v>
      </c>
      <c r="C3595" s="55">
        <v>46111</v>
      </c>
      <c r="D3595" s="68" t="str">
        <f>_xlfn.XLOOKUP(Table134526_79101120212223242526[[#This Row],[Name Surname]],Manpower!$C$4:$C$1048576,Manpower!$B$4:$B$1048576,"")</f>
        <v>Encogroup</v>
      </c>
      <c r="E3595" s="51" t="s">
        <v>46</v>
      </c>
      <c r="F3595" s="12">
        <f>_xlfn.XLOOKUP(Table134526_79101120212223242526[[#This Row],[Name Surname]],Manpower!C:C,Manpower!D:D,)</f>
        <v>140844618</v>
      </c>
      <c r="G3595" s="68" t="str">
        <f>_xlfn.XLOOKUP(Table134526_79101120212223242526[[#This Row],[Name Surname]],Manpower!$C$4:$C$1048576,Manpower!$F$4:$F$1048576,"")</f>
        <v>Assistant/Helper</v>
      </c>
      <c r="H3595" s="68" t="str">
        <f>_xlfn.XLOOKUP(Table134526_79101120212223242526[[#This Row],[Name Surname]],Manpower!$C$4:$C$1048576,Manpower!$H$4:$H$1048576,"")</f>
        <v>Manpower</v>
      </c>
      <c r="I3595" s="48" t="str">
        <f>_xlfn.XLOOKUP(Table134526_79101120212223242526[[#This Row],[Name Surname]],Manpower!$C$4:$C$1048576,Manpower!$H$4:$H$1048576,"")</f>
        <v>Manpower</v>
      </c>
      <c r="J3595" s="43" t="s">
        <v>21</v>
      </c>
      <c r="K3595" s="51" t="s">
        <v>369</v>
      </c>
      <c r="L3595" s="51" t="s">
        <v>49</v>
      </c>
      <c r="M3595" s="51" t="s">
        <v>55</v>
      </c>
      <c r="N3595" s="52">
        <v>10</v>
      </c>
      <c r="O3595" s="51"/>
      <c r="P3595" s="51"/>
      <c r="Q3595" s="51"/>
      <c r="R3595" s="51" t="s">
        <v>440</v>
      </c>
      <c r="S3595" s="43"/>
    </row>
    <row r="3596" spans="1:19" ht="14.4" hidden="1">
      <c r="A3596" s="38">
        <f>IF(C3596="","",MAX($A$1:A3595)+1)</f>
        <v>3290</v>
      </c>
      <c r="B3596" s="69" t="s">
        <v>19</v>
      </c>
      <c r="C3596" s="60">
        <v>46111</v>
      </c>
      <c r="D3596" s="28" t="str">
        <f>_xlfn.XLOOKUP(Table134526_79101120212223242526[[#This Row],[Name Surname]],Manpower!$C$4:$C$1048576,Manpower!$B$4:$B$1048576,"")</f>
        <v xml:space="preserve">FAL Transport </v>
      </c>
      <c r="E3596" s="21" t="s">
        <v>225</v>
      </c>
      <c r="F3596" s="12">
        <f>_xlfn.XLOOKUP(Table134526_79101120212223242526[[#This Row],[Name Surname]],Manpower!C:C,Manpower!D:D,)</f>
        <v>124233837</v>
      </c>
      <c r="G3596" s="28" t="str">
        <f>_xlfn.XLOOKUP(Table134526_79101120212223242526[[#This Row],[Name Surname]],Manpower!$C$4:$C$1048576,Manpower!$F$4:$F$1048576,"")</f>
        <v>Trailer Driver</v>
      </c>
      <c r="H3596" s="28" t="str">
        <f>_xlfn.XLOOKUP(Table134526_79101120212223242526[[#This Row],[Name Surname]],Manpower!$C$4:$C$1048576,Manpower!$H$4:$H$1048576,"")</f>
        <v>Sub Contactor</v>
      </c>
      <c r="I3596" s="28" t="str">
        <f>_xlfn.XLOOKUP(Table134526_79101120212223242526[[#This Row],[Name Surname]],Manpower!$C$4:$C$1048576,Manpower!$H$4:$H$1048576,"")</f>
        <v>Sub Contactor</v>
      </c>
      <c r="J3596" s="21" t="s">
        <v>135</v>
      </c>
      <c r="K3596" s="57" t="s">
        <v>369</v>
      </c>
      <c r="L3596" s="57" t="s">
        <v>49</v>
      </c>
      <c r="M3596" s="57" t="s">
        <v>24</v>
      </c>
      <c r="N3596" s="62">
        <v>10</v>
      </c>
      <c r="O3596" s="57" t="s">
        <v>40</v>
      </c>
      <c r="P3596" s="57" t="s">
        <v>41</v>
      </c>
      <c r="Q3596" s="57" t="s">
        <v>42</v>
      </c>
      <c r="R3596" s="57" t="s">
        <v>26</v>
      </c>
    </row>
    <row r="3597" spans="1:19" s="45" customFormat="1" ht="14.4" hidden="1">
      <c r="A3597" s="53">
        <f>IF(C3597="","",MAX($A$1:A3596)+1)</f>
        <v>3291</v>
      </c>
      <c r="B3597" s="54" t="s">
        <v>19</v>
      </c>
      <c r="C3597" s="55">
        <v>46111</v>
      </c>
      <c r="D3597" s="68" t="str">
        <f>_xlfn.XLOOKUP(Table134526_79101120212223242526[[#This Row],[Name Surname]],Manpower!$C$4:$C$1048576,Manpower!$B$4:$B$1048576,"")</f>
        <v>Encogroup</v>
      </c>
      <c r="E3597" s="51" t="s">
        <v>27</v>
      </c>
      <c r="F3597" s="12">
        <f>_xlfn.XLOOKUP(Table134526_79101120212223242526[[#This Row],[Name Surname]],Manpower!C:C,Manpower!D:D,)</f>
        <v>127414586</v>
      </c>
      <c r="G3597" s="68" t="str">
        <f>_xlfn.XLOOKUP(Table134526_79101120212223242526[[#This Row],[Name Surname]],Manpower!$C$4:$C$1048576,Manpower!$F$4:$F$1048576,"")</f>
        <v>Electrician</v>
      </c>
      <c r="H3597" s="68" t="str">
        <f>_xlfn.XLOOKUP(Table134526_79101120212223242526[[#This Row],[Name Surname]],Manpower!$C$4:$C$1048576,Manpower!$H$4:$H$1048576,"")</f>
        <v>Manpower</v>
      </c>
      <c r="I3597" s="48" t="str">
        <f>_xlfn.XLOOKUP(Table134526_79101120212223242526[[#This Row],[Name Surname]],Manpower!$C$4:$C$1048576,Manpower!$H$4:$H$1048576,"")</f>
        <v>Manpower</v>
      </c>
      <c r="J3597" s="43" t="s">
        <v>21</v>
      </c>
      <c r="K3597" s="51" t="s">
        <v>369</v>
      </c>
      <c r="L3597" s="51" t="s">
        <v>49</v>
      </c>
      <c r="M3597" s="51" t="s">
        <v>55</v>
      </c>
      <c r="N3597" s="52">
        <v>10</v>
      </c>
      <c r="O3597" s="51"/>
      <c r="P3597" s="51"/>
      <c r="Q3597" s="51"/>
      <c r="R3597" s="51" t="s">
        <v>440</v>
      </c>
      <c r="S3597" s="43"/>
    </row>
    <row r="3598" spans="1:19" ht="14.4">
      <c r="A3598" s="38">
        <f>IF(C3598="","",MAX($A$1:A3597)+1)</f>
        <v>3292</v>
      </c>
      <c r="B3598" s="54" t="s">
        <v>19</v>
      </c>
      <c r="C3598" s="60">
        <v>46111</v>
      </c>
      <c r="D3598" s="61" t="str">
        <f>_xlfn.XLOOKUP(Table134526_79101120212223242526[[#This Row],[Name Surname]],Manpower!$C$4:$C$1048576,Manpower!$B$4:$B$1048576,"")</f>
        <v>Bright Light</v>
      </c>
      <c r="E3598" s="60" t="s">
        <v>47</v>
      </c>
      <c r="F3598" s="12" t="e">
        <f>_xlfn.XLOOKUP(Table134526_79101120212223242526[[#This Row],[Name Surname]],Manpower!C:C,Manpower!D:D,)</f>
        <v>#N/A</v>
      </c>
      <c r="G3598" s="61" t="str">
        <f>_xlfn.XLOOKUP(Table134526_79101120212223242526[[#This Row],[Name Surname]],Manpower!$C$4:$C$1048576,Manpower!$F$4:$F$1048576,"")</f>
        <v>100T Telescopic Crane</v>
      </c>
      <c r="H3598" s="61" t="str">
        <f>_xlfn.XLOOKUP(Table134526_79101120212223242526[[#This Row],[Name Surname]],Manpower!$C$4:$C$1048576,Manpower!$H$4:$H$1048576,"")</f>
        <v>Equipment</v>
      </c>
      <c r="I3598" s="28" t="str">
        <f>_xlfn.XLOOKUP(Table134526_79101120212223242526[[#This Row],[Name Surname]],Manpower!$C$4:$C$1048576,Manpower!$H$4:$H$1048576,"")</f>
        <v>Equipment</v>
      </c>
      <c r="J3598" s="21" t="s">
        <v>48</v>
      </c>
      <c r="K3598" s="57" t="s">
        <v>26</v>
      </c>
      <c r="L3598" s="57" t="s">
        <v>49</v>
      </c>
      <c r="M3598" s="57" t="s">
        <v>55</v>
      </c>
      <c r="N3598" s="62">
        <v>10</v>
      </c>
      <c r="O3598" s="57"/>
      <c r="P3598" s="57"/>
      <c r="Q3598" s="57"/>
      <c r="R3598" s="57" t="s">
        <v>425</v>
      </c>
    </row>
    <row r="3599" spans="1:19" ht="14.4">
      <c r="A3599" s="38">
        <f>IF(C3599="","",MAX($A$1:A3598)+1)</f>
        <v>3293</v>
      </c>
      <c r="B3599" s="54" t="s">
        <v>19</v>
      </c>
      <c r="C3599" s="60">
        <v>46111</v>
      </c>
      <c r="D3599" s="61" t="str">
        <f>_xlfn.XLOOKUP(Table134526_79101120212223242526[[#This Row],[Name Surname]],Manpower!$C$4:$C$1048576,Manpower!$B$4:$B$1048576,"")</f>
        <v>Bright Light</v>
      </c>
      <c r="E3599" s="57" t="s">
        <v>51</v>
      </c>
      <c r="F3599" s="12" t="e">
        <f>_xlfn.XLOOKUP(Table134526_79101120212223242526[[#This Row],[Name Surname]],Manpower!C:C,Manpower!D:D,)</f>
        <v>#N/A</v>
      </c>
      <c r="G3599" s="61" t="str">
        <f>_xlfn.XLOOKUP(Table134526_79101120212223242526[[#This Row],[Name Surname]],Manpower!$C$4:$C$1048576,Manpower!$F$4:$F$1048576,"")</f>
        <v>150T-Crawler Crane</v>
      </c>
      <c r="H3599" s="61" t="str">
        <f>_xlfn.XLOOKUP(Table134526_79101120212223242526[[#This Row],[Name Surname]],Manpower!$C$4:$C$1048576,Manpower!$H$4:$H$1048576,"")</f>
        <v>Equipment</v>
      </c>
      <c r="I3599" s="28" t="str">
        <f>_xlfn.XLOOKUP(Table134526_79101120212223242526[[#This Row],[Name Surname]],Manpower!$C$4:$C$1048576,Manpower!$H$4:$H$1048576,"")</f>
        <v>Equipment</v>
      </c>
      <c r="J3599" s="21" t="s">
        <v>48</v>
      </c>
      <c r="K3599" s="57" t="s">
        <v>26</v>
      </c>
      <c r="L3599" s="57" t="s">
        <v>49</v>
      </c>
      <c r="M3599" s="57" t="s">
        <v>24</v>
      </c>
      <c r="N3599" s="62">
        <v>10</v>
      </c>
      <c r="O3599" s="57" t="s">
        <v>25</v>
      </c>
      <c r="P3599" s="57" t="s">
        <v>41</v>
      </c>
      <c r="Q3599" s="57" t="s">
        <v>60</v>
      </c>
      <c r="R3599" s="57" t="s">
        <v>441</v>
      </c>
    </row>
    <row r="3600" spans="1:19" ht="14.4">
      <c r="A3600" s="38">
        <f>IF(C3600="","",MAX($A$1:A3599)+1)</f>
        <v>3294</v>
      </c>
      <c r="B3600" s="70" t="s">
        <v>19</v>
      </c>
      <c r="C3600" s="60">
        <v>46111</v>
      </c>
      <c r="D3600" s="61" t="str">
        <f>_xlfn.XLOOKUP(Table134526_79101120212223242526[[#This Row],[Name Surname]],Manpower!$C$4:$C$1048576,Manpower!$B$4:$B$1048576,"")</f>
        <v>Encogroup</v>
      </c>
      <c r="E3600" s="57" t="s">
        <v>54</v>
      </c>
      <c r="F3600" s="12" t="e">
        <f>_xlfn.XLOOKUP(Table134526_79101120212223242526[[#This Row],[Name Surname]],Manpower!C:C,Manpower!D:D,)</f>
        <v>#N/A</v>
      </c>
      <c r="G3600" s="61" t="str">
        <f>_xlfn.XLOOKUP(Table134526_79101120212223242526[[#This Row],[Name Surname]],Manpower!$C$4:$C$1048576,Manpower!$F$4:$F$1048576,"")</f>
        <v>28M-Manlift</v>
      </c>
      <c r="H3600" s="61" t="str">
        <f>_xlfn.XLOOKUP(Table134526_79101120212223242526[[#This Row],[Name Surname]],Manpower!$C$4:$C$1048576,Manpower!$H$4:$H$1048576,"")</f>
        <v>Equipment</v>
      </c>
      <c r="I3600" s="28" t="str">
        <f>_xlfn.XLOOKUP(Table134526_79101120212223242526[[#This Row],[Name Surname]],Manpower!$C$4:$C$1048576,Manpower!$H$4:$H$1048576,"")</f>
        <v>Equipment</v>
      </c>
      <c r="J3600" s="21" t="s">
        <v>48</v>
      </c>
      <c r="K3600" s="57" t="s">
        <v>26</v>
      </c>
      <c r="L3600" s="57" t="s">
        <v>49</v>
      </c>
      <c r="M3600" s="57" t="s">
        <v>24</v>
      </c>
      <c r="N3600" s="62">
        <v>10</v>
      </c>
      <c r="O3600" s="57" t="s">
        <v>25</v>
      </c>
      <c r="P3600" s="57" t="s">
        <v>41</v>
      </c>
      <c r="Q3600" s="57" t="s">
        <v>60</v>
      </c>
      <c r="R3600" s="57" t="s">
        <v>441</v>
      </c>
    </row>
    <row r="3601" spans="1:19" ht="14.4">
      <c r="A3601" s="38">
        <f>IF(C3601="","",MAX($A$1:A3600)+1)</f>
        <v>3295</v>
      </c>
      <c r="B3601" s="70" t="s">
        <v>19</v>
      </c>
      <c r="C3601" s="60">
        <v>46111</v>
      </c>
      <c r="D3601" s="61" t="str">
        <f>_xlfn.XLOOKUP(Table134526_79101120212223242526[[#This Row],[Name Surname]],Manpower!$C$4:$C$1048576,Manpower!$B$4:$B$1048576,"")</f>
        <v>Encogroup</v>
      </c>
      <c r="E3601" s="57" t="s">
        <v>53</v>
      </c>
      <c r="F3601" s="12" t="e">
        <f>_xlfn.XLOOKUP(Table134526_79101120212223242526[[#This Row],[Name Surname]],Manpower!C:C,Manpower!D:D,)</f>
        <v>#N/A</v>
      </c>
      <c r="G3601" s="61" t="str">
        <f>_xlfn.XLOOKUP(Table134526_79101120212223242526[[#This Row],[Name Surname]],Manpower!$C$4:$C$1048576,Manpower!$F$4:$F$1048576,"")</f>
        <v>22M-Manlift</v>
      </c>
      <c r="H3601" s="61" t="str">
        <f>_xlfn.XLOOKUP(Table134526_79101120212223242526[[#This Row],[Name Surname]],Manpower!$C$4:$C$1048576,Manpower!$H$4:$H$1048576,"")</f>
        <v>Equipment</v>
      </c>
      <c r="I3601" s="28" t="str">
        <f>_xlfn.XLOOKUP(Table134526_79101120212223242526[[#This Row],[Name Surname]],Manpower!$C$4:$C$1048576,Manpower!$H$4:$H$1048576,"")</f>
        <v>Equipment</v>
      </c>
      <c r="J3601" s="21" t="s">
        <v>48</v>
      </c>
      <c r="K3601" s="57" t="s">
        <v>26</v>
      </c>
      <c r="L3601" s="57" t="s">
        <v>49</v>
      </c>
      <c r="M3601" s="57" t="s">
        <v>24</v>
      </c>
      <c r="N3601" s="62">
        <v>10</v>
      </c>
      <c r="O3601" s="57" t="s">
        <v>25</v>
      </c>
      <c r="P3601" s="57" t="s">
        <v>41</v>
      </c>
      <c r="Q3601" s="57" t="s">
        <v>60</v>
      </c>
      <c r="R3601" s="57" t="s">
        <v>441</v>
      </c>
    </row>
    <row r="3602" spans="1:19" ht="14.4" hidden="1">
      <c r="A3602" s="38">
        <f>IF(C3602="","",MAX($A$1:A3601)+1)</f>
        <v>3296</v>
      </c>
      <c r="B3602" s="70" t="s">
        <v>19</v>
      </c>
      <c r="C3602" s="60">
        <v>46111</v>
      </c>
      <c r="D3602" s="61" t="str">
        <f>_xlfn.XLOOKUP(Table134526_79101120212223242526[[#This Row],[Name Surname]],Manpower!$C$4:$C$1048576,Manpower!$B$4:$B$1048576,"")</f>
        <v>Encogroup</v>
      </c>
      <c r="E3602" s="57" t="s">
        <v>57</v>
      </c>
      <c r="F3602" s="12">
        <f>_xlfn.XLOOKUP(Table134526_79101120212223242526[[#This Row],[Name Surname]],Manpower!C:C,Manpower!D:D,)</f>
        <v>140693697</v>
      </c>
      <c r="G3602" s="61" t="str">
        <f>_xlfn.XLOOKUP(Table134526_79101120212223242526[[#This Row],[Name Surname]],Manpower!$C$4:$C$1048576,Manpower!$F$4:$F$1048576,"")</f>
        <v>HSE Officer</v>
      </c>
      <c r="H3602" s="61" t="str">
        <f>_xlfn.XLOOKUP(Table134526_79101120212223242526[[#This Row],[Name Surname]],Manpower!$C$4:$C$1048576,Manpower!$H$4:$H$1048576,"")</f>
        <v>Manpower</v>
      </c>
      <c r="I3602" s="28" t="str">
        <f>_xlfn.XLOOKUP(Table134526_79101120212223242526[[#This Row],[Name Surname]],Manpower!$C$4:$C$1048576,Manpower!$H$4:$H$1048576,"")</f>
        <v>Manpower</v>
      </c>
      <c r="J3602" s="21" t="s">
        <v>48</v>
      </c>
      <c r="K3602" s="57" t="s">
        <v>26</v>
      </c>
      <c r="L3602" s="57" t="s">
        <v>49</v>
      </c>
      <c r="M3602" s="57" t="s">
        <v>24</v>
      </c>
      <c r="N3602" s="62">
        <v>10</v>
      </c>
      <c r="O3602" s="57" t="s">
        <v>25</v>
      </c>
      <c r="P3602" s="57" t="s">
        <v>41</v>
      </c>
      <c r="Q3602" s="57" t="s">
        <v>60</v>
      </c>
      <c r="R3602" s="57" t="s">
        <v>441</v>
      </c>
    </row>
    <row r="3603" spans="1:19" s="45" customFormat="1" ht="14.4" hidden="1">
      <c r="A3603" s="53">
        <f>IF(C3603="","",MAX($A$1:A3602)+1)</f>
        <v>3297</v>
      </c>
      <c r="B3603" s="54" t="s">
        <v>19</v>
      </c>
      <c r="C3603" s="55">
        <v>46111</v>
      </c>
      <c r="D3603" s="68" t="str">
        <f>_xlfn.XLOOKUP(Table134526_79101120212223242526[[#This Row],[Name Surname]],Manpower!$C$4:$C$1048576,Manpower!$B$4:$B$1048576,"")</f>
        <v>Encogroup</v>
      </c>
      <c r="E3603" s="51" t="s">
        <v>33</v>
      </c>
      <c r="F3603" s="12">
        <f>_xlfn.XLOOKUP(Table134526_79101120212223242526[[#This Row],[Name Surname]],Manpower!C:C,Manpower!D:D,)</f>
        <v>124565057</v>
      </c>
      <c r="G3603" s="68" t="str">
        <f>_xlfn.XLOOKUP(Table134526_79101120212223242526[[#This Row],[Name Surname]],Manpower!$C$4:$C$1048576,Manpower!$F$4:$F$1048576,"")</f>
        <v>Fitter/Erector</v>
      </c>
      <c r="H3603" s="68" t="str">
        <f>_xlfn.XLOOKUP(Table134526_79101120212223242526[[#This Row],[Name Surname]],Manpower!$C$4:$C$1048576,Manpower!$H$4:$H$1048576,"")</f>
        <v>Manpower</v>
      </c>
      <c r="I3603" s="48" t="str">
        <f>_xlfn.XLOOKUP(Table134526_79101120212223242526[[#This Row],[Name Surname]],Manpower!$C$4:$C$1048576,Manpower!$H$4:$H$1048576,"")</f>
        <v>Manpower</v>
      </c>
      <c r="J3603" s="43" t="s">
        <v>48</v>
      </c>
      <c r="K3603" s="51" t="s">
        <v>26</v>
      </c>
      <c r="L3603" s="51" t="s">
        <v>49</v>
      </c>
      <c r="M3603" s="51" t="s">
        <v>24</v>
      </c>
      <c r="N3603" s="52">
        <v>5</v>
      </c>
      <c r="O3603" s="51" t="s">
        <v>25</v>
      </c>
      <c r="P3603" s="51" t="s">
        <v>41</v>
      </c>
      <c r="Q3603" s="51" t="s">
        <v>60</v>
      </c>
      <c r="R3603" s="51" t="s">
        <v>441</v>
      </c>
      <c r="S3603" s="43"/>
    </row>
    <row r="3604" spans="1:19" s="45" customFormat="1" ht="14.4" hidden="1">
      <c r="A3604" s="53">
        <f>IF(C3604="","",MAX($A$1:A3603)+1)</f>
        <v>3298</v>
      </c>
      <c r="B3604" s="54" t="s">
        <v>19</v>
      </c>
      <c r="C3604" s="55">
        <v>46111</v>
      </c>
      <c r="D3604" s="68" t="str">
        <f>_xlfn.XLOOKUP(Table134526_79101120212223242526[[#This Row],[Name Surname]],Manpower!$C$4:$C$1048576,Manpower!$B$4:$B$1048576,"")</f>
        <v>Encogroup</v>
      </c>
      <c r="E3604" s="51" t="s">
        <v>62</v>
      </c>
      <c r="F3604" s="12">
        <f>_xlfn.XLOOKUP(Table134526_79101120212223242526[[#This Row],[Name Surname]],Manpower!C:C,Manpower!D:D,)</f>
        <v>140844797</v>
      </c>
      <c r="G3604" s="68" t="str">
        <f>_xlfn.XLOOKUP(Table134526_79101120212223242526[[#This Row],[Name Surname]],Manpower!$C$4:$C$1048576,Manpower!$F$4:$F$1048576,"")</f>
        <v>Fitter/Erector</v>
      </c>
      <c r="H3604" s="68" t="str">
        <f>_xlfn.XLOOKUP(Table134526_79101120212223242526[[#This Row],[Name Surname]],Manpower!$C$4:$C$1048576,Manpower!$H$4:$H$1048576,"")</f>
        <v>Manpower</v>
      </c>
      <c r="I3604" s="48" t="str">
        <f>_xlfn.XLOOKUP(Table134526_79101120212223242526[[#This Row],[Name Surname]],Manpower!$C$4:$C$1048576,Manpower!$H$4:$H$1048576,"")</f>
        <v>Manpower</v>
      </c>
      <c r="J3604" s="43" t="s">
        <v>48</v>
      </c>
      <c r="K3604" s="51" t="s">
        <v>26</v>
      </c>
      <c r="L3604" s="51" t="s">
        <v>49</v>
      </c>
      <c r="M3604" s="51" t="s">
        <v>24</v>
      </c>
      <c r="N3604" s="52">
        <v>10</v>
      </c>
      <c r="O3604" s="51" t="s">
        <v>25</v>
      </c>
      <c r="P3604" s="51" t="s">
        <v>41</v>
      </c>
      <c r="Q3604" s="51" t="s">
        <v>60</v>
      </c>
      <c r="R3604" s="51" t="s">
        <v>441</v>
      </c>
      <c r="S3604" s="43"/>
    </row>
    <row r="3605" spans="1:19" ht="14.4">
      <c r="A3605" s="38">
        <f>IF(C3605="","",MAX($A$1:A3604)+1)</f>
        <v>3299</v>
      </c>
      <c r="B3605" s="70" t="s">
        <v>19</v>
      </c>
      <c r="C3605" s="60">
        <v>46111</v>
      </c>
      <c r="D3605" s="64" t="str">
        <f>_xlfn.XLOOKUP(Table134526_79101120212223242526[[#This Row],[Name Surname]],Manpower!$C$4:$C$1048576,Manpower!$B$4:$B$1048576,"")</f>
        <v>Encogroup</v>
      </c>
      <c r="E3605" s="60" t="s">
        <v>63</v>
      </c>
      <c r="F3605" s="12" t="e">
        <f>_xlfn.XLOOKUP(Table134526_79101120212223242526[[#This Row],[Name Surname]],Manpower!C:C,Manpower!D:D,)</f>
        <v>#N/A</v>
      </c>
      <c r="G3605" s="64" t="str">
        <f>_xlfn.XLOOKUP(Table134526_79101120212223242526[[#This Row],[Name Surname]],Manpower!$C$4:$C$1048576,Manpower!$F$4:$F$1048576,"")</f>
        <v>22KVA-Generator</v>
      </c>
      <c r="H3605" s="64" t="str">
        <f>_xlfn.XLOOKUP(Table134526_79101120212223242526[[#This Row],[Name Surname]],Manpower!$C$4:$C$1048576,Manpower!$H$4:$H$1048576,"")</f>
        <v>Equipment</v>
      </c>
      <c r="I3605" s="64" t="str">
        <f>_xlfn.XLOOKUP(Table134526_79101120212223242526[[#This Row],[Name Surname]],Manpower!$C$4:$C$1048576,Manpower!$H$4:$H$1048576,"")</f>
        <v>Equipment</v>
      </c>
      <c r="J3605" s="21" t="s">
        <v>48</v>
      </c>
      <c r="K3605" s="57" t="s">
        <v>26</v>
      </c>
      <c r="L3605" s="57" t="s">
        <v>49</v>
      </c>
      <c r="M3605" s="57" t="s">
        <v>24</v>
      </c>
      <c r="N3605" s="62">
        <v>10</v>
      </c>
      <c r="O3605" s="57" t="s">
        <v>25</v>
      </c>
      <c r="P3605" s="57" t="s">
        <v>41</v>
      </c>
      <c r="Q3605" s="57" t="s">
        <v>60</v>
      </c>
      <c r="R3605" s="57" t="s">
        <v>441</v>
      </c>
    </row>
    <row r="3606" spans="1:19" s="45" customFormat="1" ht="14.4" hidden="1">
      <c r="A3606" s="53">
        <f>IF(C3606="","",MAX($A$1:A3605)+1)</f>
        <v>3300</v>
      </c>
      <c r="B3606" s="54" t="s">
        <v>19</v>
      </c>
      <c r="C3606" s="55">
        <v>46111</v>
      </c>
      <c r="D3606" s="68" t="str">
        <f>_xlfn.XLOOKUP(Table134526_79101120212223242526[[#This Row],[Name Surname]],Manpower!$C$4:$C$1048576,Manpower!$B$4:$B$1048576,"")</f>
        <v>Bright Light</v>
      </c>
      <c r="E3606" s="51" t="s">
        <v>64</v>
      </c>
      <c r="F3606" s="12">
        <f>_xlfn.XLOOKUP(Table134526_79101120212223242526[[#This Row],[Name Surname]],Manpower!C:C,Manpower!D:D,)</f>
        <v>114531608</v>
      </c>
      <c r="G3606" s="68" t="str">
        <f>_xlfn.XLOOKUP(Table134526_79101120212223242526[[#This Row],[Name Surname]],Manpower!$C$4:$C$1048576,Manpower!$F$4:$F$1048576,"")</f>
        <v>Crane Operator-150T Sany Crawler</v>
      </c>
      <c r="H3606" s="68" t="str">
        <f>_xlfn.XLOOKUP(Table134526_79101120212223242526[[#This Row],[Name Surname]],Manpower!$C$4:$C$1048576,Manpower!$H$4:$H$1048576,"")</f>
        <v>Manpower</v>
      </c>
      <c r="I3606" s="48" t="str">
        <f>_xlfn.XLOOKUP(Table134526_79101120212223242526[[#This Row],[Name Surname]],Manpower!$C$4:$C$1048576,Manpower!$H$4:$H$1048576,"")</f>
        <v>Manpower</v>
      </c>
      <c r="J3606" s="43" t="s">
        <v>48</v>
      </c>
      <c r="K3606" s="51" t="s">
        <v>26</v>
      </c>
      <c r="L3606" s="51" t="s">
        <v>49</v>
      </c>
      <c r="M3606" s="51" t="s">
        <v>24</v>
      </c>
      <c r="N3606" s="52">
        <v>10</v>
      </c>
      <c r="O3606" s="51" t="s">
        <v>40</v>
      </c>
      <c r="P3606" s="51" t="s">
        <v>41</v>
      </c>
      <c r="Q3606" s="51" t="s">
        <v>42</v>
      </c>
      <c r="R3606" s="51" t="s">
        <v>441</v>
      </c>
      <c r="S3606" s="43"/>
    </row>
    <row r="3607" spans="1:19" s="45" customFormat="1" ht="14.4" hidden="1">
      <c r="A3607" s="53">
        <f>IF(C3607="","",MAX($A$1:A3606)+1)</f>
        <v>3301</v>
      </c>
      <c r="B3607" s="54" t="s">
        <v>19</v>
      </c>
      <c r="C3607" s="55">
        <v>46111</v>
      </c>
      <c r="D3607" s="68" t="str">
        <f>_xlfn.XLOOKUP(Table134526_79101120212223242526[[#This Row],[Name Surname]],Manpower!$C$4:$C$1048576,Manpower!$B$4:$B$1048576,"")</f>
        <v>Encogroup</v>
      </c>
      <c r="E3607" s="51" t="s">
        <v>67</v>
      </c>
      <c r="F3607" s="12">
        <f>_xlfn.XLOOKUP(Table134526_79101120212223242526[[#This Row],[Name Surname]],Manpower!C:C,Manpower!D:D,)</f>
        <v>122082769</v>
      </c>
      <c r="G3607" s="68" t="str">
        <f>_xlfn.XLOOKUP(Table134526_79101120212223242526[[#This Row],[Name Surname]],Manpower!$C$4:$C$1048576,Manpower!$F$4:$F$1048576,"")</f>
        <v>Grinder</v>
      </c>
      <c r="H3607" s="68" t="str">
        <f>_xlfn.XLOOKUP(Table134526_79101120212223242526[[#This Row],[Name Surname]],Manpower!$C$4:$C$1048576,Manpower!$H$4:$H$1048576,"")</f>
        <v>Manpower</v>
      </c>
      <c r="I3607" s="48" t="str">
        <f>_xlfn.XLOOKUP(Table134526_79101120212223242526[[#This Row],[Name Surname]],Manpower!$C$4:$C$1048576,Manpower!$H$4:$H$1048576,"")</f>
        <v>Manpower</v>
      </c>
      <c r="J3607" s="43" t="s">
        <v>48</v>
      </c>
      <c r="K3607" s="51" t="s">
        <v>26</v>
      </c>
      <c r="L3607" s="51" t="s">
        <v>49</v>
      </c>
      <c r="M3607" s="51" t="s">
        <v>24</v>
      </c>
      <c r="N3607" s="52">
        <v>5</v>
      </c>
      <c r="O3607" s="51" t="s">
        <v>25</v>
      </c>
      <c r="P3607" s="51" t="s">
        <v>41</v>
      </c>
      <c r="Q3607" s="51" t="s">
        <v>60</v>
      </c>
      <c r="R3607" s="51" t="s">
        <v>441</v>
      </c>
      <c r="S3607" s="43"/>
    </row>
    <row r="3608" spans="1:19" s="45" customFormat="1" ht="14.4" hidden="1">
      <c r="A3608" s="53">
        <f>IF(C3608="","",MAX($A$1:A3607)+1)</f>
        <v>3302</v>
      </c>
      <c r="B3608" s="54" t="s">
        <v>19</v>
      </c>
      <c r="C3608" s="55">
        <v>46111</v>
      </c>
      <c r="D3608" s="68" t="str">
        <f>_xlfn.XLOOKUP(Table134526_79101120212223242526[[#This Row],[Name Surname]],Manpower!$C$4:$C$1048576,Manpower!$B$4:$B$1048576,"")</f>
        <v>AL Omar International TRAD AND CONT</v>
      </c>
      <c r="E3608" s="51" t="s">
        <v>66</v>
      </c>
      <c r="F3608" s="12">
        <f>_xlfn.XLOOKUP(Table134526_79101120212223242526[[#This Row],[Name Surname]],Manpower!C:C,Manpower!D:D,)</f>
        <v>115018512</v>
      </c>
      <c r="G3608" s="68" t="str">
        <f>_xlfn.XLOOKUP(Table134526_79101120212223242526[[#This Row],[Name Surname]],Manpower!$C$4:$C$1048576,Manpower!$F$4:$F$1048576,"")</f>
        <v>RIgger</v>
      </c>
      <c r="H3608" s="68" t="str">
        <f>_xlfn.XLOOKUP(Table134526_79101120212223242526[[#This Row],[Name Surname]],Manpower!$C$4:$C$1048576,Manpower!$H$4:$H$1048576,"")</f>
        <v>Sub Contactor</v>
      </c>
      <c r="I3608" s="48" t="str">
        <f>_xlfn.XLOOKUP(Table134526_79101120212223242526[[#This Row],[Name Surname]],Manpower!$C$4:$C$1048576,Manpower!$H$4:$H$1048576,"")</f>
        <v>Sub Contactor</v>
      </c>
      <c r="J3608" s="43" t="s">
        <v>48</v>
      </c>
      <c r="K3608" s="51" t="s">
        <v>26</v>
      </c>
      <c r="L3608" s="51" t="s">
        <v>49</v>
      </c>
      <c r="M3608" s="51" t="s">
        <v>24</v>
      </c>
      <c r="N3608" s="52">
        <v>10</v>
      </c>
      <c r="O3608" s="51" t="s">
        <v>25</v>
      </c>
      <c r="P3608" s="51" t="s">
        <v>41</v>
      </c>
      <c r="Q3608" s="51" t="s">
        <v>60</v>
      </c>
      <c r="R3608" s="51" t="s">
        <v>441</v>
      </c>
      <c r="S3608" s="43"/>
    </row>
    <row r="3609" spans="1:19" ht="14.4" hidden="1">
      <c r="A3609" s="38">
        <f>IF(C3609="","",MAX($A$1:A3608)+1)</f>
        <v>3303</v>
      </c>
      <c r="B3609" s="70" t="s">
        <v>19</v>
      </c>
      <c r="C3609" s="60">
        <v>46111</v>
      </c>
      <c r="D3609" s="61" t="str">
        <f>_xlfn.XLOOKUP(Table134526_79101120212223242526[[#This Row],[Name Surname]],Manpower!$C$4:$C$1048576,Manpower!$B$4:$B$1048576,"")</f>
        <v>AL Omar International TRAD AND CONT</v>
      </c>
      <c r="E3609" s="57" t="s">
        <v>197</v>
      </c>
      <c r="F3609" s="12">
        <f>_xlfn.XLOOKUP(Table134526_79101120212223242526[[#This Row],[Name Surname]],Manpower!C:C,Manpower!D:D,)</f>
        <v>106093463</v>
      </c>
      <c r="G3609" s="61" t="str">
        <f>_xlfn.XLOOKUP(Table134526_79101120212223242526[[#This Row],[Name Surname]],Manpower!$C$4:$C$1048576,Manpower!$F$4:$F$1048576,"")</f>
        <v>RIgger</v>
      </c>
      <c r="H3609" s="61" t="str">
        <f>_xlfn.XLOOKUP(Table134526_79101120212223242526[[#This Row],[Name Surname]],Manpower!$C$4:$C$1048576,Manpower!$H$4:$H$1048576,"")</f>
        <v>Sub Contactor</v>
      </c>
      <c r="I3609" s="28" t="str">
        <f>_xlfn.XLOOKUP(Table134526_79101120212223242526[[#This Row],[Name Surname]],Manpower!$C$4:$C$1048576,Manpower!$H$4:$H$1048576,"")</f>
        <v>Sub Contactor</v>
      </c>
      <c r="J3609" s="21" t="s">
        <v>48</v>
      </c>
      <c r="K3609" s="57" t="s">
        <v>26</v>
      </c>
      <c r="L3609" s="57" t="s">
        <v>49</v>
      </c>
      <c r="M3609" s="57" t="s">
        <v>24</v>
      </c>
      <c r="N3609" s="62">
        <v>5</v>
      </c>
      <c r="O3609" s="57" t="s">
        <v>25</v>
      </c>
      <c r="P3609" s="57" t="s">
        <v>41</v>
      </c>
      <c r="Q3609" s="57" t="s">
        <v>60</v>
      </c>
      <c r="R3609" s="57" t="s">
        <v>441</v>
      </c>
    </row>
    <row r="3610" spans="1:19" s="45" customFormat="1" ht="14.4" hidden="1">
      <c r="A3610" s="53">
        <f>IF(C3610="","",MAX($A$1:A3609)+1)</f>
        <v>3304</v>
      </c>
      <c r="B3610" s="54" t="s">
        <v>19</v>
      </c>
      <c r="C3610" s="55">
        <v>46111</v>
      </c>
      <c r="D3610" s="68" t="str">
        <f>_xlfn.XLOOKUP(Table134526_79101120212223242526[[#This Row],[Name Surname]],Manpower!$C$4:$C$1048576,Manpower!$B$4:$B$1048576,"")</f>
        <v>Encogroup</v>
      </c>
      <c r="E3610" s="51" t="s">
        <v>44</v>
      </c>
      <c r="F3610" s="12">
        <f>_xlfn.XLOOKUP(Table134526_79101120212223242526[[#This Row],[Name Surname]],Manpower!C:C,Manpower!D:D,)</f>
        <v>140806218</v>
      </c>
      <c r="G3610" s="68" t="str">
        <f>_xlfn.XLOOKUP(Table134526_79101120212223242526[[#This Row],[Name Surname]],Manpower!$C$4:$C$1048576,Manpower!$F$4:$F$1048576,"")</f>
        <v>Fitter/Erector</v>
      </c>
      <c r="H3610" s="68" t="str">
        <f>_xlfn.XLOOKUP(Table134526_79101120212223242526[[#This Row],[Name Surname]],Manpower!$C$4:$C$1048576,Manpower!$H$4:$H$1048576,"")</f>
        <v>Manpower</v>
      </c>
      <c r="I3610" s="48" t="str">
        <f>_xlfn.XLOOKUP(Table134526_79101120212223242526[[#This Row],[Name Surname]],Manpower!$C$4:$C$1048576,Manpower!$H$4:$H$1048576,"")</f>
        <v>Manpower</v>
      </c>
      <c r="J3610" s="43" t="s">
        <v>48</v>
      </c>
      <c r="K3610" s="51" t="s">
        <v>26</v>
      </c>
      <c r="L3610" s="51" t="s">
        <v>49</v>
      </c>
      <c r="M3610" s="51" t="s">
        <v>24</v>
      </c>
      <c r="N3610" s="52">
        <v>10</v>
      </c>
      <c r="O3610" s="51" t="s">
        <v>25</v>
      </c>
      <c r="P3610" s="51" t="s">
        <v>41</v>
      </c>
      <c r="Q3610" s="51" t="s">
        <v>60</v>
      </c>
      <c r="R3610" s="51" t="s">
        <v>441</v>
      </c>
      <c r="S3610" s="43"/>
    </row>
    <row r="3611" spans="1:19" s="45" customFormat="1" ht="14.4" hidden="1">
      <c r="A3611" s="53">
        <f>IF(C3611="","",MAX($A$1:A3610)+1)</f>
        <v>3305</v>
      </c>
      <c r="B3611" s="54" t="s">
        <v>19</v>
      </c>
      <c r="C3611" s="55">
        <v>46111</v>
      </c>
      <c r="D3611" s="68" t="str">
        <f>_xlfn.XLOOKUP(Table134526_79101120212223242526[[#This Row],[Name Surname]],Manpower!$C$4:$C$1048576,Manpower!$B$4:$B$1048576,"")</f>
        <v>Encogroup</v>
      </c>
      <c r="E3611" s="51" t="s">
        <v>68</v>
      </c>
      <c r="F3611" s="12">
        <f>_xlfn.XLOOKUP(Table134526_79101120212223242526[[#This Row],[Name Surname]],Manpower!C:C,Manpower!D:D,)</f>
        <v>116915582</v>
      </c>
      <c r="G3611" s="68" t="str">
        <f>_xlfn.XLOOKUP(Table134526_79101120212223242526[[#This Row],[Name Surname]],Manpower!$C$4:$C$1048576,Manpower!$F$4:$F$1048576,"")</f>
        <v>Mechanical Superintendent</v>
      </c>
      <c r="H3611" s="68" t="str">
        <f>_xlfn.XLOOKUP(Table134526_79101120212223242526[[#This Row],[Name Surname]],Manpower!$C$4:$C$1048576,Manpower!$H$4:$H$1048576,"")</f>
        <v>Manpower</v>
      </c>
      <c r="I3611" s="48" t="str">
        <f>_xlfn.XLOOKUP(Table134526_79101120212223242526[[#This Row],[Name Surname]],Manpower!$C$4:$C$1048576,Manpower!$H$4:$H$1048576,"")</f>
        <v>Manpower</v>
      </c>
      <c r="J3611" s="43" t="s">
        <v>48</v>
      </c>
      <c r="K3611" s="51" t="s">
        <v>26</v>
      </c>
      <c r="L3611" s="51" t="s">
        <v>49</v>
      </c>
      <c r="M3611" s="51" t="s">
        <v>24</v>
      </c>
      <c r="N3611" s="52">
        <v>10</v>
      </c>
      <c r="O3611" s="51" t="s">
        <v>25</v>
      </c>
      <c r="P3611" s="51" t="s">
        <v>41</v>
      </c>
      <c r="Q3611" s="51" t="s">
        <v>60</v>
      </c>
      <c r="R3611" s="51" t="s">
        <v>441</v>
      </c>
      <c r="S3611" s="43"/>
    </row>
    <row r="3612" spans="1:19" s="45" customFormat="1" ht="14.4" hidden="1">
      <c r="A3612" s="53">
        <f>IF(C3612="","",MAX($A$1:A3611)+1)</f>
        <v>3306</v>
      </c>
      <c r="B3612" s="54" t="s">
        <v>19</v>
      </c>
      <c r="C3612" s="55">
        <v>46111</v>
      </c>
      <c r="D3612" s="68" t="str">
        <f>_xlfn.XLOOKUP(Table134526_79101120212223242526[[#This Row],[Name Surname]],Manpower!$C$4:$C$1048576,Manpower!$B$4:$B$1048576,"")</f>
        <v>Encogroup</v>
      </c>
      <c r="E3612" s="51" t="s">
        <v>69</v>
      </c>
      <c r="F3612" s="12">
        <f>_xlfn.XLOOKUP(Table134526_79101120212223242526[[#This Row],[Name Surname]],Manpower!C:C,Manpower!D:D,)</f>
        <v>141169071</v>
      </c>
      <c r="G3612" s="68" t="str">
        <f>_xlfn.XLOOKUP(Table134526_79101120212223242526[[#This Row],[Name Surname]],Manpower!$C$4:$C$1048576,Manpower!$F$4:$F$1048576,"")</f>
        <v>Welding Supervisor</v>
      </c>
      <c r="H3612" s="68" t="str">
        <f>_xlfn.XLOOKUP(Table134526_79101120212223242526[[#This Row],[Name Surname]],Manpower!$C$4:$C$1048576,Manpower!$H$4:$H$1048576,"")</f>
        <v>Manpower</v>
      </c>
      <c r="I3612" s="48" t="str">
        <f>_xlfn.XLOOKUP(Table134526_79101120212223242526[[#This Row],[Name Surname]],Manpower!$C$4:$C$1048576,Manpower!$H$4:$H$1048576,"")</f>
        <v>Manpower</v>
      </c>
      <c r="J3612" s="43" t="s">
        <v>48</v>
      </c>
      <c r="K3612" s="51" t="s">
        <v>26</v>
      </c>
      <c r="L3612" s="51" t="s">
        <v>49</v>
      </c>
      <c r="M3612" s="51" t="s">
        <v>24</v>
      </c>
      <c r="N3612" s="52">
        <v>10</v>
      </c>
      <c r="O3612" s="51" t="s">
        <v>25</v>
      </c>
      <c r="P3612" s="51" t="s">
        <v>41</v>
      </c>
      <c r="Q3612" s="51" t="s">
        <v>60</v>
      </c>
      <c r="R3612" s="51" t="s">
        <v>441</v>
      </c>
      <c r="S3612" s="43"/>
    </row>
    <row r="3613" spans="1:19" ht="14.4" hidden="1">
      <c r="A3613" s="38">
        <f>IF(C3613="","",MAX($A$1:A3612)+1)</f>
        <v>3307</v>
      </c>
      <c r="B3613" s="70" t="s">
        <v>19</v>
      </c>
      <c r="C3613" s="60">
        <v>46111</v>
      </c>
      <c r="D3613" s="61" t="str">
        <f>_xlfn.XLOOKUP(Table134526_79101120212223242526[[#This Row],[Name Surname]],Manpower!$C$4:$C$1048576,Manpower!$B$4:$B$1048576,"")</f>
        <v>Encogroup</v>
      </c>
      <c r="E3613" s="57" t="s">
        <v>76</v>
      </c>
      <c r="F3613" s="12">
        <f>_xlfn.XLOOKUP(Table134526_79101120212223242526[[#This Row],[Name Surname]],Manpower!C:C,Manpower!D:D,)</f>
        <v>127859069</v>
      </c>
      <c r="G3613" s="61" t="str">
        <f>_xlfn.XLOOKUP(Table134526_79101120212223242526[[#This Row],[Name Surname]],Manpower!$C$4:$C$1048576,Manpower!$F$4:$F$1048576,"")</f>
        <v>QC Mechanical Engineer</v>
      </c>
      <c r="H3613" s="61" t="str">
        <f>_xlfn.XLOOKUP(Table134526_79101120212223242526[[#This Row],[Name Surname]],Manpower!$C$4:$C$1048576,Manpower!$H$4:$H$1048576,"")</f>
        <v>Manpower</v>
      </c>
      <c r="I3613" s="28" t="str">
        <f>_xlfn.XLOOKUP(Table134526_79101120212223242526[[#This Row],[Name Surname]],Manpower!$C$4:$C$1048576,Manpower!$H$4:$H$1048576,"")</f>
        <v>Manpower</v>
      </c>
      <c r="J3613" s="21" t="s">
        <v>48</v>
      </c>
      <c r="K3613" s="57" t="s">
        <v>26</v>
      </c>
      <c r="L3613" s="57" t="s">
        <v>49</v>
      </c>
      <c r="M3613" s="57" t="s">
        <v>24</v>
      </c>
      <c r="N3613" s="62">
        <v>10</v>
      </c>
      <c r="O3613" s="57" t="s">
        <v>25</v>
      </c>
      <c r="P3613" s="57" t="s">
        <v>41</v>
      </c>
      <c r="Q3613" s="57" t="s">
        <v>60</v>
      </c>
      <c r="R3613" s="57" t="s">
        <v>441</v>
      </c>
    </row>
    <row r="3614" spans="1:19" s="45" customFormat="1" ht="14.4" hidden="1">
      <c r="A3614" s="53">
        <f>IF(C3614="","",MAX($A$1:A3613)+1)</f>
        <v>3308</v>
      </c>
      <c r="B3614" s="54" t="s">
        <v>19</v>
      </c>
      <c r="C3614" s="55">
        <v>46111</v>
      </c>
      <c r="D3614" s="68" t="str">
        <f>_xlfn.XLOOKUP(Table134526_79101120212223242526[[#This Row],[Name Surname]],Manpower!$C$4:$C$1048576,Manpower!$B$4:$B$1048576,"")</f>
        <v>Encogroup</v>
      </c>
      <c r="E3614" s="51" t="s">
        <v>59</v>
      </c>
      <c r="F3614" s="12">
        <f>_xlfn.XLOOKUP(Table134526_79101120212223242526[[#This Row],[Name Surname]],Manpower!C:C,Manpower!D:D,)</f>
        <v>141169085</v>
      </c>
      <c r="G3614" s="68" t="str">
        <f>_xlfn.XLOOKUP(Table134526_79101120212223242526[[#This Row],[Name Surname]],Manpower!$C$4:$C$1048576,Manpower!$F$4:$F$1048576,"")</f>
        <v>Welder</v>
      </c>
      <c r="H3614" s="68" t="str">
        <f>_xlfn.XLOOKUP(Table134526_79101120212223242526[[#This Row],[Name Surname]],Manpower!$C$4:$C$1048576,Manpower!$H$4:$H$1048576,"")</f>
        <v>Manpower</v>
      </c>
      <c r="I3614" s="48" t="str">
        <f>_xlfn.XLOOKUP(Table134526_79101120212223242526[[#This Row],[Name Surname]],Manpower!$C$4:$C$1048576,Manpower!$H$4:$H$1048576,"")</f>
        <v>Manpower</v>
      </c>
      <c r="J3614" s="43" t="s">
        <v>48</v>
      </c>
      <c r="K3614" s="51" t="s">
        <v>26</v>
      </c>
      <c r="L3614" s="51" t="s">
        <v>49</v>
      </c>
      <c r="M3614" s="51" t="s">
        <v>24</v>
      </c>
      <c r="N3614" s="52">
        <v>10</v>
      </c>
      <c r="O3614" s="51" t="s">
        <v>25</v>
      </c>
      <c r="P3614" s="51" t="s">
        <v>41</v>
      </c>
      <c r="Q3614" s="51" t="s">
        <v>60</v>
      </c>
      <c r="R3614" s="51" t="s">
        <v>441</v>
      </c>
      <c r="S3614" s="43"/>
    </row>
    <row r="3615" spans="1:19" s="45" customFormat="1" ht="14.4" hidden="1">
      <c r="A3615" s="53">
        <f>IF(C3615="","",MAX($A$1:A3614)+1)</f>
        <v>3309</v>
      </c>
      <c r="B3615" s="54" t="s">
        <v>19</v>
      </c>
      <c r="C3615" s="55">
        <v>46111</v>
      </c>
      <c r="D3615" s="68" t="str">
        <f>_xlfn.XLOOKUP(Table134526_79101120212223242526[[#This Row],[Name Surname]],Manpower!$C$4:$C$1048576,Manpower!$B$4:$B$1048576,"")</f>
        <v>AL Omar International TRAD AND CONT</v>
      </c>
      <c r="E3615" s="51" t="s">
        <v>36</v>
      </c>
      <c r="F3615" s="12">
        <f>_xlfn.XLOOKUP(Table134526_79101120212223242526[[#This Row],[Name Surname]],Manpower!C:C,Manpower!D:D,)</f>
        <v>114929202</v>
      </c>
      <c r="G3615" s="68" t="str">
        <f>_xlfn.XLOOKUP(Table134526_79101120212223242526[[#This Row],[Name Surname]],Manpower!$C$4:$C$1048576,Manpower!$F$4:$F$1048576,"")</f>
        <v>RIgger</v>
      </c>
      <c r="H3615" s="68" t="str">
        <f>_xlfn.XLOOKUP(Table134526_79101120212223242526[[#This Row],[Name Surname]],Manpower!$C$4:$C$1048576,Manpower!$H$4:$H$1048576,"")</f>
        <v>Sub Contactor</v>
      </c>
      <c r="I3615" s="48" t="str">
        <f>_xlfn.XLOOKUP(Table134526_79101120212223242526[[#This Row],[Name Surname]],Manpower!$C$4:$C$1048576,Manpower!$H$4:$H$1048576,"")</f>
        <v>Sub Contactor</v>
      </c>
      <c r="J3615" s="43" t="s">
        <v>48</v>
      </c>
      <c r="K3615" s="51" t="s">
        <v>26</v>
      </c>
      <c r="L3615" s="51" t="s">
        <v>49</v>
      </c>
      <c r="M3615" s="51" t="s">
        <v>24</v>
      </c>
      <c r="N3615" s="52">
        <v>5</v>
      </c>
      <c r="O3615" s="51" t="s">
        <v>25</v>
      </c>
      <c r="P3615" s="51" t="s">
        <v>41</v>
      </c>
      <c r="Q3615" s="51" t="s">
        <v>60</v>
      </c>
      <c r="R3615" s="51" t="s">
        <v>441</v>
      </c>
      <c r="S3615" s="43"/>
    </row>
    <row r="3616" spans="1:19" s="45" customFormat="1" ht="14.4" hidden="1">
      <c r="A3616" s="53">
        <f>IF(C3616="","",MAX($A$1:A3615)+1)</f>
        <v>3310</v>
      </c>
      <c r="B3616" s="54" t="s">
        <v>19</v>
      </c>
      <c r="C3616" s="55">
        <v>46111</v>
      </c>
      <c r="D3616" s="68" t="str">
        <f>_xlfn.XLOOKUP(Table134526_79101120212223242526[[#This Row],[Name Surname]],Manpower!$C$4:$C$1048576,Manpower!$B$4:$B$1048576,"")</f>
        <v>Encogroup</v>
      </c>
      <c r="E3616" s="51" t="s">
        <v>37</v>
      </c>
      <c r="F3616" s="12">
        <f>_xlfn.XLOOKUP(Table134526_79101120212223242526[[#This Row],[Name Surname]],Manpower!C:C,Manpower!D:D,)</f>
        <v>140742088</v>
      </c>
      <c r="G3616" s="68" t="str">
        <f>_xlfn.XLOOKUP(Table134526_79101120212223242526[[#This Row],[Name Surname]],Manpower!$C$4:$C$1048576,Manpower!$F$4:$F$1048576,"")</f>
        <v>Fitter/Erector</v>
      </c>
      <c r="H3616" s="68" t="str">
        <f>_xlfn.XLOOKUP(Table134526_79101120212223242526[[#This Row],[Name Surname]],Manpower!$C$4:$C$1048576,Manpower!$H$4:$H$1048576,"")</f>
        <v>Manpower</v>
      </c>
      <c r="I3616" s="48" t="str">
        <f>_xlfn.XLOOKUP(Table134526_79101120212223242526[[#This Row],[Name Surname]],Manpower!$C$4:$C$1048576,Manpower!$H$4:$H$1048576,"")</f>
        <v>Manpower</v>
      </c>
      <c r="J3616" s="43" t="s">
        <v>48</v>
      </c>
      <c r="K3616" s="51" t="s">
        <v>26</v>
      </c>
      <c r="L3616" s="51" t="s">
        <v>49</v>
      </c>
      <c r="M3616" s="51" t="s">
        <v>24</v>
      </c>
      <c r="N3616" s="52">
        <v>5</v>
      </c>
      <c r="O3616" s="51" t="s">
        <v>25</v>
      </c>
      <c r="P3616" s="51" t="s">
        <v>41</v>
      </c>
      <c r="Q3616" s="51" t="s">
        <v>60</v>
      </c>
      <c r="R3616" s="51" t="s">
        <v>441</v>
      </c>
      <c r="S3616" s="43"/>
    </row>
    <row r="3617" spans="1:19" ht="14.4" hidden="1">
      <c r="A3617" s="38">
        <f>IF(C3617="","",MAX($A$1:A3616)+1)</f>
        <v>3311</v>
      </c>
      <c r="B3617" s="70" t="s">
        <v>19</v>
      </c>
      <c r="C3617" s="60">
        <v>46111</v>
      </c>
      <c r="D3617" s="61" t="str">
        <f>_xlfn.XLOOKUP(Table134526_79101120212223242526[[#This Row],[Name Surname]],Manpower!$C$4:$C$1048576,Manpower!$B$4:$B$1048576,"")</f>
        <v>Encogroup</v>
      </c>
      <c r="E3617" s="57" t="s">
        <v>32</v>
      </c>
      <c r="F3617" s="12">
        <f>_xlfn.XLOOKUP(Table134526_79101120212223242526[[#This Row],[Name Surname]],Manpower!C:C,Manpower!D:D,)</f>
        <v>140697039</v>
      </c>
      <c r="G3617" s="61" t="str">
        <f>_xlfn.XLOOKUP(Table134526_79101120212223242526[[#This Row],[Name Surname]],Manpower!$C$4:$C$1048576,Manpower!$F$4:$F$1048576,"")</f>
        <v>Fitter/Erector</v>
      </c>
      <c r="H3617" s="61" t="str">
        <f>_xlfn.XLOOKUP(Table134526_79101120212223242526[[#This Row],[Name Surname]],Manpower!$C$4:$C$1048576,Manpower!$H$4:$H$1048576,"")</f>
        <v>Manpower</v>
      </c>
      <c r="I3617" s="28" t="str">
        <f>_xlfn.XLOOKUP(Table134526_79101120212223242526[[#This Row],[Name Surname]],Manpower!$C$4:$C$1048576,Manpower!$H$4:$H$1048576,"")</f>
        <v>Manpower</v>
      </c>
      <c r="J3617" s="21" t="s">
        <v>48</v>
      </c>
      <c r="K3617" s="57" t="s">
        <v>26</v>
      </c>
      <c r="L3617" s="57" t="s">
        <v>49</v>
      </c>
      <c r="M3617" s="57" t="s">
        <v>24</v>
      </c>
      <c r="N3617" s="62">
        <v>10</v>
      </c>
      <c r="O3617" s="57" t="s">
        <v>25</v>
      </c>
      <c r="P3617" s="57" t="s">
        <v>41</v>
      </c>
      <c r="Q3617" s="57" t="s">
        <v>60</v>
      </c>
      <c r="R3617" s="57" t="s">
        <v>441</v>
      </c>
    </row>
    <row r="3618" spans="1:19" s="45" customFormat="1" ht="14.4" hidden="1">
      <c r="A3618" s="53">
        <f>IF(C3618="","",MAX($A$1:A3617)+1)</f>
        <v>3312</v>
      </c>
      <c r="B3618" s="54" t="s">
        <v>19</v>
      </c>
      <c r="C3618" s="55">
        <v>46111</v>
      </c>
      <c r="D3618" s="68" t="str">
        <f>_xlfn.XLOOKUP(Table134526_79101120212223242526[[#This Row],[Name Surname]],Manpower!$C$4:$C$1048576,Manpower!$B$4:$B$1048576,"")</f>
        <v>Encogroup</v>
      </c>
      <c r="E3618" s="51" t="s">
        <v>207</v>
      </c>
      <c r="F3618" s="12">
        <f>_xlfn.XLOOKUP(Table134526_79101120212223242526[[#This Row],[Name Surname]],Manpower!C:C,Manpower!D:D,)</f>
        <v>141359216</v>
      </c>
      <c r="G3618" s="68" t="str">
        <f>_xlfn.XLOOKUP(Table134526_79101120212223242526[[#This Row],[Name Surname]],Manpower!$C$4:$C$1048576,Manpower!$F$4:$F$1048576,"")</f>
        <v>Electrician</v>
      </c>
      <c r="H3618" s="68" t="str">
        <f>_xlfn.XLOOKUP(Table134526_79101120212223242526[[#This Row],[Name Surname]],Manpower!$C$4:$C$1048576,Manpower!$H$4:$H$1048576,"")</f>
        <v>Manpower</v>
      </c>
      <c r="I3618" s="48" t="str">
        <f>_xlfn.XLOOKUP(Table134526_79101120212223242526[[#This Row],[Name Surname]],Manpower!$C$4:$C$1048576,Manpower!$H$4:$H$1048576,"")</f>
        <v>Manpower</v>
      </c>
      <c r="J3618" s="43" t="s">
        <v>48</v>
      </c>
      <c r="K3618" s="51" t="s">
        <v>26</v>
      </c>
      <c r="L3618" s="51" t="s">
        <v>49</v>
      </c>
      <c r="M3618" s="51" t="s">
        <v>24</v>
      </c>
      <c r="N3618" s="52">
        <v>10</v>
      </c>
      <c r="O3618" s="51" t="s">
        <v>25</v>
      </c>
      <c r="P3618" s="51" t="s">
        <v>41</v>
      </c>
      <c r="Q3618" s="51" t="s">
        <v>60</v>
      </c>
      <c r="R3618" s="51" t="s">
        <v>441</v>
      </c>
      <c r="S3618" s="43"/>
    </row>
    <row r="3619" spans="1:19" s="45" customFormat="1" ht="14.4" hidden="1">
      <c r="A3619" s="53">
        <f>IF(C3619="","",MAX($A$1:A3618)+1)</f>
        <v>3313</v>
      </c>
      <c r="B3619" s="54" t="s">
        <v>19</v>
      </c>
      <c r="C3619" s="55">
        <v>46111</v>
      </c>
      <c r="D3619" s="68" t="str">
        <f>_xlfn.XLOOKUP(Table134526_79101120212223242526[[#This Row],[Name Surname]],Manpower!$C$4:$C$1048576,Manpower!$B$4:$B$1048576,"")</f>
        <v>Encogroup</v>
      </c>
      <c r="E3619" s="51" t="s">
        <v>70</v>
      </c>
      <c r="F3619" s="12">
        <f>_xlfn.XLOOKUP(Table134526_79101120212223242526[[#This Row],[Name Surname]],Manpower!C:C,Manpower!D:D,)</f>
        <v>141365126</v>
      </c>
      <c r="G3619" s="68" t="str">
        <f>_xlfn.XLOOKUP(Table134526_79101120212223242526[[#This Row],[Name Surname]],Manpower!$C$4:$C$1048576,Manpower!$F$4:$F$1048576,"")</f>
        <v>Helper</v>
      </c>
      <c r="H3619" s="68" t="str">
        <f>_xlfn.XLOOKUP(Table134526_79101120212223242526[[#This Row],[Name Surname]],Manpower!$C$4:$C$1048576,Manpower!$H$4:$H$1048576,"")</f>
        <v>Manpower</v>
      </c>
      <c r="I3619" s="48" t="str">
        <f>_xlfn.XLOOKUP(Table134526_79101120212223242526[[#This Row],[Name Surname]],Manpower!$C$4:$C$1048576,Manpower!$H$4:$H$1048576,"")</f>
        <v>Manpower</v>
      </c>
      <c r="J3619" s="43" t="s">
        <v>48</v>
      </c>
      <c r="K3619" s="51" t="s">
        <v>26</v>
      </c>
      <c r="L3619" s="51" t="s">
        <v>49</v>
      </c>
      <c r="M3619" s="51" t="s">
        <v>24</v>
      </c>
      <c r="N3619" s="52">
        <v>10</v>
      </c>
      <c r="O3619" s="51" t="s">
        <v>25</v>
      </c>
      <c r="P3619" s="51" t="s">
        <v>41</v>
      </c>
      <c r="Q3619" s="51" t="s">
        <v>60</v>
      </c>
      <c r="R3619" s="51" t="s">
        <v>441</v>
      </c>
      <c r="S3619" s="43"/>
    </row>
    <row r="3620" spans="1:19" s="45" customFormat="1" ht="14.4" hidden="1">
      <c r="A3620" s="53">
        <f>IF(C3620="","",MAX($A$1:A3619)+1)</f>
        <v>3314</v>
      </c>
      <c r="B3620" s="54" t="s">
        <v>19</v>
      </c>
      <c r="C3620" s="55">
        <v>46111</v>
      </c>
      <c r="D3620" s="68" t="str">
        <f>_xlfn.XLOOKUP(Table134526_79101120212223242526[[#This Row],[Name Surname]],Manpower!$C$4:$C$1048576,Manpower!$B$4:$B$1048576,"")</f>
        <v>Bright Light</v>
      </c>
      <c r="E3620" s="51" t="s">
        <v>71</v>
      </c>
      <c r="F3620" s="12">
        <f>_xlfn.XLOOKUP(Table134526_79101120212223242526[[#This Row],[Name Surname]],Manpower!C:C,Manpower!D:D,)</f>
        <v>81379273</v>
      </c>
      <c r="G3620" s="68" t="str">
        <f>_xlfn.XLOOKUP(Table134526_79101120212223242526[[#This Row],[Name Surname]],Manpower!$C$4:$C$1048576,Manpower!$F$4:$F$1048576,"")</f>
        <v>Crane Operator-100T Sany Telescopic</v>
      </c>
      <c r="H3620" s="68" t="str">
        <f>_xlfn.XLOOKUP(Table134526_79101120212223242526[[#This Row],[Name Surname]],Manpower!$C$4:$C$1048576,Manpower!$H$4:$H$1048576,"")</f>
        <v>Manpower</v>
      </c>
      <c r="I3620" s="48" t="str">
        <f>_xlfn.XLOOKUP(Table134526_79101120212223242526[[#This Row],[Name Surname]],Manpower!$C$4:$C$1048576,Manpower!$H$4:$H$1048576,"")</f>
        <v>Manpower</v>
      </c>
      <c r="J3620" s="43" t="s">
        <v>48</v>
      </c>
      <c r="K3620" s="51" t="s">
        <v>26</v>
      </c>
      <c r="L3620" s="51" t="s">
        <v>49</v>
      </c>
      <c r="M3620" s="51" t="s">
        <v>55</v>
      </c>
      <c r="N3620" s="52">
        <v>10</v>
      </c>
      <c r="O3620" s="51"/>
      <c r="P3620" s="51"/>
      <c r="Q3620" s="51"/>
      <c r="R3620" s="51" t="s">
        <v>425</v>
      </c>
      <c r="S3620" s="43"/>
    </row>
    <row r="3621" spans="1:19" s="45" customFormat="1" ht="14.4" hidden="1">
      <c r="A3621" s="53">
        <f>IF(C3621="","",MAX($A$1:A3620)+1)</f>
        <v>3315</v>
      </c>
      <c r="B3621" s="54" t="s">
        <v>19</v>
      </c>
      <c r="C3621" s="55">
        <v>46111</v>
      </c>
      <c r="D3621" s="68" t="str">
        <f>_xlfn.XLOOKUP(Table134526_79101120212223242526[[#This Row],[Name Surname]],Manpower!$C$4:$C$1048576,Manpower!$B$4:$B$1048576,"")</f>
        <v>Encogroup</v>
      </c>
      <c r="E3621" s="51" t="s">
        <v>73</v>
      </c>
      <c r="F3621" s="12">
        <f>_xlfn.XLOOKUP(Table134526_79101120212223242526[[#This Row],[Name Surname]],Manpower!C:C,Manpower!D:D,)</f>
        <v>135325259</v>
      </c>
      <c r="G3621" s="68" t="str">
        <f>_xlfn.XLOOKUP(Table134526_79101120212223242526[[#This Row],[Name Surname]],Manpower!$C$4:$C$1048576,Manpower!$F$4:$F$1048576,"")</f>
        <v>Permit Receiver</v>
      </c>
      <c r="H3621" s="68" t="str">
        <f>_xlfn.XLOOKUP(Table134526_79101120212223242526[[#This Row],[Name Surname]],Manpower!$C$4:$C$1048576,Manpower!$H$4:$H$1048576,"")</f>
        <v>Manpower</v>
      </c>
      <c r="I3621" s="48" t="str">
        <f>_xlfn.XLOOKUP(Table134526_79101120212223242526[[#This Row],[Name Surname]],Manpower!$C$4:$C$1048576,Manpower!$H$4:$H$1048576,"")</f>
        <v>Manpower</v>
      </c>
      <c r="J3621" s="43" t="s">
        <v>48</v>
      </c>
      <c r="K3621" s="51" t="s">
        <v>26</v>
      </c>
      <c r="L3621" s="51" t="s">
        <v>49</v>
      </c>
      <c r="M3621" s="51" t="s">
        <v>24</v>
      </c>
      <c r="N3621" s="52">
        <v>10</v>
      </c>
      <c r="O3621" s="51" t="s">
        <v>25</v>
      </c>
      <c r="P3621" s="51" t="s">
        <v>41</v>
      </c>
      <c r="Q3621" s="51" t="s">
        <v>60</v>
      </c>
      <c r="R3621" s="51" t="s">
        <v>441</v>
      </c>
      <c r="S3621" s="43"/>
    </row>
    <row r="3622" spans="1:19" s="45" customFormat="1" ht="14.4" hidden="1">
      <c r="A3622" s="53">
        <f>IF(C3622="","",MAX($A$1:A3621)+1)</f>
        <v>3316</v>
      </c>
      <c r="B3622" s="54" t="s">
        <v>19</v>
      </c>
      <c r="C3622" s="55">
        <v>46111</v>
      </c>
      <c r="D3622" s="68" t="str">
        <f>_xlfn.XLOOKUP(Table134526_79101120212223242526[[#This Row],[Name Surname]],Manpower!$C$4:$C$1048576,Manpower!$B$4:$B$1048576,"")</f>
        <v>Encogroup</v>
      </c>
      <c r="E3622" s="51" t="s">
        <v>74</v>
      </c>
      <c r="F3622" s="12">
        <f>_xlfn.XLOOKUP(Table134526_79101120212223242526[[#This Row],[Name Surname]],Manpower!C:C,Manpower!D:D,)</f>
        <v>141365089</v>
      </c>
      <c r="G3622" s="68" t="str">
        <f>_xlfn.XLOOKUP(Table134526_79101120212223242526[[#This Row],[Name Surname]],Manpower!$C$4:$C$1048576,Manpower!$F$4:$F$1048576,"")</f>
        <v>Fitter</v>
      </c>
      <c r="H3622" s="68" t="str">
        <f>_xlfn.XLOOKUP(Table134526_79101120212223242526[[#This Row],[Name Surname]],Manpower!$C$4:$C$1048576,Manpower!$H$4:$H$1048576,"")</f>
        <v>Manpower</v>
      </c>
      <c r="I3622" s="48" t="str">
        <f>_xlfn.XLOOKUP(Table134526_79101120212223242526[[#This Row],[Name Surname]],Manpower!$C$4:$C$1048576,Manpower!$H$4:$H$1048576,"")</f>
        <v>Manpower</v>
      </c>
      <c r="J3622" s="43" t="s">
        <v>48</v>
      </c>
      <c r="K3622" s="51" t="s">
        <v>26</v>
      </c>
      <c r="L3622" s="51" t="s">
        <v>49</v>
      </c>
      <c r="M3622" s="51" t="s">
        <v>24</v>
      </c>
      <c r="N3622" s="52">
        <v>10</v>
      </c>
      <c r="O3622" s="51" t="s">
        <v>25</v>
      </c>
      <c r="P3622" s="51" t="s">
        <v>41</v>
      </c>
      <c r="Q3622" s="51" t="s">
        <v>60</v>
      </c>
      <c r="R3622" s="51" t="s">
        <v>441</v>
      </c>
      <c r="S3622" s="43"/>
    </row>
    <row r="3623" spans="1:19" s="45" customFormat="1" ht="14.4" hidden="1">
      <c r="A3623" s="53">
        <f>IF(C3623="","",MAX($A$1:A3622)+1)</f>
        <v>3317</v>
      </c>
      <c r="B3623" s="54" t="s">
        <v>19</v>
      </c>
      <c r="C3623" s="55">
        <v>46111</v>
      </c>
      <c r="D3623" s="48" t="str">
        <f>_xlfn.XLOOKUP(Table134526_79101120212223242526[[#This Row],[Name Surname]],Manpower!$C$4:$C$1048576,Manpower!$B$4:$B$1048576,"")</f>
        <v>Encogroup</v>
      </c>
      <c r="E3623" s="43" t="s">
        <v>102</v>
      </c>
      <c r="F3623" s="12">
        <f>_xlfn.XLOOKUP(Table134526_79101120212223242526[[#This Row],[Name Surname]],Manpower!C:C,Manpower!D:D,)</f>
        <v>141365075</v>
      </c>
      <c r="G3623" s="48" t="str">
        <f>_xlfn.XLOOKUP(Table134526_79101120212223242526[[#This Row],[Name Surname]],Manpower!$C$4:$C$1048576,Manpower!$F$4:$F$1048576,"")</f>
        <v>Helper</v>
      </c>
      <c r="H3623" s="48" t="str">
        <f>_xlfn.XLOOKUP(Table134526_79101120212223242526[[#This Row],[Name Surname]],Manpower!$C$4:$C$1048576,Manpower!$H$4:$H$1048576,"")</f>
        <v>Manpower</v>
      </c>
      <c r="I3623" s="48" t="str">
        <f>_xlfn.XLOOKUP(Table134526_79101120212223242526[[#This Row],[Name Surname]],Manpower!$C$4:$C$1048576,Manpower!$H$4:$H$1048576,"")</f>
        <v>Manpower</v>
      </c>
      <c r="J3623" s="43" t="s">
        <v>48</v>
      </c>
      <c r="K3623" s="51" t="s">
        <v>26</v>
      </c>
      <c r="L3623" s="51" t="s">
        <v>49</v>
      </c>
      <c r="M3623" s="51" t="s">
        <v>24</v>
      </c>
      <c r="N3623" s="52">
        <v>10</v>
      </c>
      <c r="O3623" s="43" t="s">
        <v>236</v>
      </c>
      <c r="P3623" s="43" t="s">
        <v>236</v>
      </c>
      <c r="Q3623" s="43" t="s">
        <v>236</v>
      </c>
      <c r="R3623" s="51" t="s">
        <v>441</v>
      </c>
      <c r="S3623" s="43"/>
    </row>
    <row r="3624" spans="1:19" ht="14.4" hidden="1">
      <c r="A3624" s="38">
        <f>IF(C3624="","",MAX($A$1:A3623)+1)</f>
        <v>3318</v>
      </c>
      <c r="B3624" s="70" t="s">
        <v>19</v>
      </c>
      <c r="C3624" s="60">
        <v>46111</v>
      </c>
      <c r="D3624" s="28" t="str">
        <f>_xlfn.XLOOKUP(Table134526_79101120212223242526[[#This Row],[Name Surname]],Manpower!$C$4:$C$1048576,Manpower!$B$4:$B$1048576,"")</f>
        <v>Bright Light</v>
      </c>
      <c r="E3624" s="21" t="s">
        <v>427</v>
      </c>
      <c r="F3624" s="12">
        <f>_xlfn.XLOOKUP(Table134526_79101120212223242526[[#This Row],[Name Surname]],Manpower!C:C,Manpower!D:D,)</f>
        <v>103199925</v>
      </c>
      <c r="G3624" s="28" t="str">
        <f>_xlfn.XLOOKUP(Table134526_79101120212223242526[[#This Row],[Name Surname]],Manpower!$C$4:$C$1048576,Manpower!$F$4:$F$1048576,"")</f>
        <v>Mechanic</v>
      </c>
      <c r="H3624" s="28" t="str">
        <f>_xlfn.XLOOKUP(Table134526_79101120212223242526[[#This Row],[Name Surname]],Manpower!$C$4:$C$1048576,Manpower!$H$4:$H$1048576,"")</f>
        <v>Sub Contactor</v>
      </c>
      <c r="I3624" s="28" t="str">
        <f>_xlfn.XLOOKUP(Table134526_79101120212223242526[[#This Row],[Name Surname]],Manpower!$C$4:$C$1048576,Manpower!$H$4:$H$1048576,"")</f>
        <v>Sub Contactor</v>
      </c>
      <c r="J3624" s="21" t="s">
        <v>48</v>
      </c>
      <c r="K3624" s="57" t="s">
        <v>26</v>
      </c>
      <c r="L3624" s="57" t="s">
        <v>49</v>
      </c>
      <c r="M3624" s="57" t="s">
        <v>24</v>
      </c>
      <c r="N3624" s="62">
        <v>10</v>
      </c>
      <c r="O3624" s="21" t="s">
        <v>236</v>
      </c>
      <c r="P3624" s="21" t="s">
        <v>236</v>
      </c>
      <c r="Q3624" s="21" t="s">
        <v>236</v>
      </c>
      <c r="R3624" s="57" t="s">
        <v>441</v>
      </c>
    </row>
    <row r="3625" spans="1:19" ht="14.4" hidden="1">
      <c r="A3625" s="38">
        <f>IF(C3625="","",MAX($A$1:A3624)+1)</f>
        <v>3319</v>
      </c>
      <c r="B3625" s="70" t="s">
        <v>19</v>
      </c>
      <c r="C3625" s="60">
        <v>46111</v>
      </c>
      <c r="D3625" s="28" t="str">
        <f>_xlfn.XLOOKUP(Table134526_79101120212223242526[[#This Row],[Name Surname]],Manpower!$C$4:$C$1048576,Manpower!$B$4:$B$1048576,"")</f>
        <v>Bright Light</v>
      </c>
      <c r="E3625" s="21" t="s">
        <v>324</v>
      </c>
      <c r="F3625" s="12">
        <f>_xlfn.XLOOKUP(Table134526_79101120212223242526[[#This Row],[Name Surname]],Manpower!C:C,Manpower!D:D,)</f>
        <v>83935096</v>
      </c>
      <c r="G3625" s="28" t="str">
        <f>_xlfn.XLOOKUP(Table134526_79101120212223242526[[#This Row],[Name Surname]],Manpower!$C$4:$C$1048576,Manpower!$F$4:$F$1048576,"")</f>
        <v>Technician</v>
      </c>
      <c r="H3625" s="28" t="str">
        <f>_xlfn.XLOOKUP(Table134526_79101120212223242526[[#This Row],[Name Surname]],Manpower!$C$4:$C$1048576,Manpower!$H$4:$H$1048576,"")</f>
        <v>Sub Contactor</v>
      </c>
      <c r="I3625" s="28" t="str">
        <f>_xlfn.XLOOKUP(Table134526_79101120212223242526[[#This Row],[Name Surname]],Manpower!$C$4:$C$1048576,Manpower!$H$4:$H$1048576,"")</f>
        <v>Sub Contactor</v>
      </c>
      <c r="J3625" s="21" t="s">
        <v>48</v>
      </c>
      <c r="K3625" s="57" t="s">
        <v>26</v>
      </c>
      <c r="L3625" s="57" t="s">
        <v>49</v>
      </c>
      <c r="M3625" s="57" t="s">
        <v>24</v>
      </c>
      <c r="N3625" s="62">
        <v>10</v>
      </c>
      <c r="O3625" s="21" t="s">
        <v>236</v>
      </c>
      <c r="P3625" s="21" t="s">
        <v>236</v>
      </c>
      <c r="Q3625" s="21" t="s">
        <v>236</v>
      </c>
      <c r="R3625" s="57" t="s">
        <v>441</v>
      </c>
    </row>
    <row r="3626" spans="1:19" s="45" customFormat="1" ht="14.4" hidden="1">
      <c r="A3626" s="72">
        <f>IF(C3626="","",MAX($A$1:A3625)+1)</f>
        <v>3320</v>
      </c>
      <c r="B3626" s="54" t="s">
        <v>19</v>
      </c>
      <c r="C3626" s="55">
        <v>46111</v>
      </c>
      <c r="D3626" s="68" t="str">
        <f>_xlfn.XLOOKUP(Table134526_79101120212223242526[[#This Row],[Name Surname]],Manpower!$C$4:$C$1048576,Manpower!$B$4:$B$1048576,"")</f>
        <v>Encogroup</v>
      </c>
      <c r="E3626" s="51" t="s">
        <v>237</v>
      </c>
      <c r="F3626" s="12">
        <f>_xlfn.XLOOKUP(Table134526_79101120212223242526[[#This Row],[Name Surname]],Manpower!C:C,Manpower!D:D,)</f>
        <v>75199413</v>
      </c>
      <c r="G3626" s="68" t="str">
        <f>_xlfn.XLOOKUP(Table134526_79101120212223242526[[#This Row],[Name Surname]],Manpower!$C$4:$C$1048576,Manpower!$F$4:$F$1048576,"")</f>
        <v>Mechanic</v>
      </c>
      <c r="H3626" s="68" t="str">
        <f>_xlfn.XLOOKUP(Table134526_79101120212223242526[[#This Row],[Name Surname]],Manpower!$C$4:$C$1048576,Manpower!$H$4:$H$1048576,"")</f>
        <v>Manpower</v>
      </c>
      <c r="I3626" s="68" t="str">
        <f>_xlfn.XLOOKUP(Table134526_79101120212223242526[[#This Row],[Name Surname]],Manpower!$C$4:$C$1048576,Manpower!$H$4:$H$1048576,"")</f>
        <v>Manpower</v>
      </c>
      <c r="J3626" s="51" t="s">
        <v>135</v>
      </c>
      <c r="K3626" s="51" t="s">
        <v>26</v>
      </c>
      <c r="L3626" s="51" t="s">
        <v>49</v>
      </c>
      <c r="M3626" s="51" t="s">
        <v>24</v>
      </c>
      <c r="N3626" s="52">
        <v>10</v>
      </c>
      <c r="O3626" s="51" t="s">
        <v>236</v>
      </c>
      <c r="P3626" s="51" t="s">
        <v>236</v>
      </c>
      <c r="Q3626" s="51" t="s">
        <v>236</v>
      </c>
      <c r="R3626" s="51" t="s">
        <v>26</v>
      </c>
      <c r="S3626" s="51"/>
    </row>
    <row r="3627" spans="1:19" s="45" customFormat="1" ht="14.4" hidden="1">
      <c r="A3627" s="53">
        <f>IF(C3627="","",MAX($A$1:A3626)+1)</f>
        <v>3321</v>
      </c>
      <c r="B3627" s="54" t="s">
        <v>19</v>
      </c>
      <c r="C3627" s="55">
        <v>46111</v>
      </c>
      <c r="D3627" s="68" t="str">
        <f>_xlfn.XLOOKUP(Table134526_79101120212223242526[[#This Row],[Name Surname]],Manpower!$C$4:$C$1048576,Manpower!$B$4:$B$1048576,"")</f>
        <v>Encogroup</v>
      </c>
      <c r="E3627" s="51" t="s">
        <v>75</v>
      </c>
      <c r="F3627" s="12">
        <f>_xlfn.XLOOKUP(Table134526_79101120212223242526[[#This Row],[Name Surname]],Manpower!C:C,Manpower!D:D,)</f>
        <v>122179604</v>
      </c>
      <c r="G3627" s="68" t="str">
        <f>_xlfn.XLOOKUP(Table134526_79101120212223242526[[#This Row],[Name Surname]],Manpower!$C$4:$C$1048576,Manpower!$F$4:$F$1048576,"")</f>
        <v>Fitter/Erector</v>
      </c>
      <c r="H3627" s="68" t="str">
        <f>_xlfn.XLOOKUP(Table134526_79101120212223242526[[#This Row],[Name Surname]],Manpower!$C$4:$C$1048576,Manpower!$H$4:$H$1048576,"")</f>
        <v>Manpower</v>
      </c>
      <c r="I3627" s="48" t="str">
        <f>_xlfn.XLOOKUP(Table134526_79101120212223242526[[#This Row],[Name Surname]],Manpower!$C$4:$C$1048576,Manpower!$H$4:$H$1048576,"")</f>
        <v>Manpower</v>
      </c>
      <c r="J3627" s="43" t="s">
        <v>48</v>
      </c>
      <c r="K3627" s="51" t="s">
        <v>26</v>
      </c>
      <c r="L3627" s="51" t="s">
        <v>49</v>
      </c>
      <c r="M3627" s="51" t="s">
        <v>24</v>
      </c>
      <c r="N3627" s="52">
        <v>10</v>
      </c>
      <c r="O3627" s="51" t="s">
        <v>25</v>
      </c>
      <c r="P3627" s="51" t="s">
        <v>41</v>
      </c>
      <c r="Q3627" s="51" t="s">
        <v>60</v>
      </c>
      <c r="R3627" s="51" t="s">
        <v>441</v>
      </c>
      <c r="S3627" s="43"/>
    </row>
    <row r="3628" spans="1:19" s="45" customFormat="1" ht="14.4" hidden="1">
      <c r="A3628" s="53">
        <f>IF(C3628="","",MAX($A$1:A3627)+1)</f>
        <v>3322</v>
      </c>
      <c r="B3628" s="54" t="s">
        <v>19</v>
      </c>
      <c r="C3628" s="55">
        <v>46111</v>
      </c>
      <c r="D3628" s="68" t="str">
        <f>_xlfn.XLOOKUP(Table134526_79101120212223242526[[#This Row],[Name Surname]],Manpower!$C$4:$C$1048576,Manpower!$B$4:$B$1048576,"")</f>
        <v>Encogroup</v>
      </c>
      <c r="E3628" s="51" t="s">
        <v>78</v>
      </c>
      <c r="F3628" s="12">
        <f>_xlfn.XLOOKUP(Table134526_79101120212223242526[[#This Row],[Name Surname]],Manpower!C:C,Manpower!D:D,)</f>
        <v>117255966</v>
      </c>
      <c r="G3628" s="68" t="str">
        <f>_xlfn.XLOOKUP(Table134526_79101120212223242526[[#This Row],[Name Surname]],Manpower!$C$4:$C$1048576,Manpower!$F$4:$F$1048576,"")</f>
        <v>Mechanical Supervisor</v>
      </c>
      <c r="H3628" s="68" t="str">
        <f>_xlfn.XLOOKUP(Table134526_79101120212223242526[[#This Row],[Name Surname]],Manpower!$C$4:$C$1048576,Manpower!$H$4:$H$1048576,"")</f>
        <v>Manpower</v>
      </c>
      <c r="I3628" s="48" t="str">
        <f>_xlfn.XLOOKUP(Table134526_79101120212223242526[[#This Row],[Name Surname]],Manpower!$C$4:$C$1048576,Manpower!$H$4:$H$1048576,"")</f>
        <v>Manpower</v>
      </c>
      <c r="J3628" s="43" t="s">
        <v>48</v>
      </c>
      <c r="K3628" s="51" t="s">
        <v>26</v>
      </c>
      <c r="L3628" s="51" t="s">
        <v>49</v>
      </c>
      <c r="M3628" s="51" t="s">
        <v>24</v>
      </c>
      <c r="N3628" s="52">
        <v>10</v>
      </c>
      <c r="O3628" s="51" t="s">
        <v>25</v>
      </c>
      <c r="P3628" s="51" t="s">
        <v>41</v>
      </c>
      <c r="Q3628" s="51" t="s">
        <v>60</v>
      </c>
      <c r="R3628" s="51" t="s">
        <v>441</v>
      </c>
      <c r="S3628" s="43"/>
    </row>
    <row r="3629" spans="1:19" s="45" customFormat="1" ht="14.4" hidden="1">
      <c r="A3629" s="53">
        <f>IF(C3629="","",MAX($A$1:A3628)+1)</f>
        <v>3323</v>
      </c>
      <c r="B3629" s="54" t="s">
        <v>141</v>
      </c>
      <c r="C3629" s="55">
        <v>46111</v>
      </c>
      <c r="D3629" s="68" t="str">
        <f>_xlfn.XLOOKUP(Table134526_79101120212223242526[[#This Row],[Name Surname]],Manpower!$C$4:$C$1048576,Manpower!$B$4:$B$1048576,"")</f>
        <v>Encogroup</v>
      </c>
      <c r="E3629" s="51" t="s">
        <v>377</v>
      </c>
      <c r="F3629" s="12">
        <f>_xlfn.XLOOKUP(Table134526_79101120212223242526[[#This Row],[Name Surname]],Manpower!C:C,Manpower!D:D,)</f>
        <v>141322485</v>
      </c>
      <c r="G3629" s="68" t="str">
        <f>_xlfn.XLOOKUP(Table134526_79101120212223242526[[#This Row],[Name Surname]],Manpower!$C$4:$C$1048576,Manpower!$F$4:$F$1048576,"")</f>
        <v>Electrical Engineer</v>
      </c>
      <c r="H3629" s="68" t="str">
        <f>_xlfn.XLOOKUP(Table134526_79101120212223242526[[#This Row],[Name Surname]],Manpower!$C$4:$C$1048576,Manpower!$H$4:$H$1048576,"")</f>
        <v>Manpower</v>
      </c>
      <c r="I3629" s="48" t="str">
        <f>_xlfn.XLOOKUP(Table134526_79101120212223242526[[#This Row],[Name Surname]],Manpower!$C$4:$C$1048576,Manpower!$H$4:$H$1048576,"")</f>
        <v>Manpower</v>
      </c>
      <c r="J3629" s="43" t="s">
        <v>378</v>
      </c>
      <c r="K3629" s="51" t="s">
        <v>26</v>
      </c>
      <c r="L3629" s="51" t="s">
        <v>379</v>
      </c>
      <c r="M3629" s="51" t="s">
        <v>24</v>
      </c>
      <c r="N3629" s="52">
        <v>10</v>
      </c>
      <c r="O3629" s="51" t="s">
        <v>28</v>
      </c>
      <c r="P3629" s="51" t="s">
        <v>28</v>
      </c>
      <c r="Q3629" s="51" t="s">
        <v>380</v>
      </c>
      <c r="R3629" s="51" t="s">
        <v>26</v>
      </c>
      <c r="S3629" s="43"/>
    </row>
    <row r="3630" spans="1:19" ht="14.4" hidden="1">
      <c r="A3630" s="38">
        <f>IF(C3630="","",MAX($A$1:A3629)+1)</f>
        <v>3324</v>
      </c>
      <c r="B3630" s="65" t="s">
        <v>141</v>
      </c>
      <c r="C3630" s="60">
        <v>46111</v>
      </c>
      <c r="D3630" s="61" t="str">
        <f>_xlfn.XLOOKUP(Table134526_79101120212223242526[[#This Row],[Name Surname]],Manpower!$C$4:$C$1048576,Manpower!$B$4:$B$1048576,"")</f>
        <v>Encogroup</v>
      </c>
      <c r="E3630" s="57" t="s">
        <v>382</v>
      </c>
      <c r="F3630" s="12">
        <f>_xlfn.XLOOKUP(Table134526_79101120212223242526[[#This Row],[Name Surname]],Manpower!C:C,Manpower!D:D,)</f>
        <v>127414586</v>
      </c>
      <c r="G3630" s="61" t="str">
        <f>_xlfn.XLOOKUP(Table134526_79101120212223242526[[#This Row],[Name Surname]],Manpower!$C$4:$C$1048576,Manpower!$F$4:$F$1048576,"")</f>
        <v>HSE Officer</v>
      </c>
      <c r="H3630" s="61" t="str">
        <f>_xlfn.XLOOKUP(Table134526_79101120212223242526[[#This Row],[Name Surname]],Manpower!$C$4:$C$1048576,Manpower!$H$4:$H$1048576,"")</f>
        <v>Manpower</v>
      </c>
      <c r="I3630" s="28" t="str">
        <f>_xlfn.XLOOKUP(Table134526_79101120212223242526[[#This Row],[Name Surname]],Manpower!$C$4:$C$1048576,Manpower!$H$4:$H$1048576,"")</f>
        <v>Manpower</v>
      </c>
      <c r="J3630" s="21" t="s">
        <v>378</v>
      </c>
      <c r="K3630" s="57" t="s">
        <v>26</v>
      </c>
      <c r="L3630" s="57" t="s">
        <v>379</v>
      </c>
      <c r="M3630" s="57" t="s">
        <v>24</v>
      </c>
      <c r="N3630" s="62">
        <v>10</v>
      </c>
      <c r="O3630" s="57" t="s">
        <v>28</v>
      </c>
      <c r="P3630" s="57" t="s">
        <v>28</v>
      </c>
      <c r="Q3630" s="57" t="s">
        <v>380</v>
      </c>
      <c r="R3630" s="57" t="s">
        <v>26</v>
      </c>
    </row>
    <row r="3631" spans="1:19" s="45" customFormat="1" ht="14.4" hidden="1">
      <c r="A3631" s="53">
        <f>IF(C3631="","",MAX($A$1:A3630)+1)</f>
        <v>3325</v>
      </c>
      <c r="B3631" s="54" t="s">
        <v>141</v>
      </c>
      <c r="C3631" s="55">
        <v>46111</v>
      </c>
      <c r="D3631" s="48" t="str">
        <f>_xlfn.XLOOKUP(Table134526_79101120212223242526[[#This Row],[Name Surname]],Manpower!$C$4:$C$1048576,Manpower!$B$4:$B$1048576,"")</f>
        <v>Encogroup</v>
      </c>
      <c r="E3631" s="43" t="s">
        <v>442</v>
      </c>
      <c r="F3631" s="12">
        <f>_xlfn.XLOOKUP(Table134526_79101120212223242526[[#This Row],[Name Surname]],Manpower!C:C,Manpower!D:D,)</f>
        <v>140841472</v>
      </c>
      <c r="G3631" s="48" t="str">
        <f>_xlfn.XLOOKUP(Table134526_79101120212223242526[[#This Row],[Name Surname]],Manpower!$C$4:$C$1048576,Manpower!$F$4:$F$1048576,"")</f>
        <v>Electrical Superintendent</v>
      </c>
      <c r="H3631" s="48" t="str">
        <f>_xlfn.XLOOKUP(Table134526_79101120212223242526[[#This Row],[Name Surname]],Manpower!$C$4:$C$1048576,Manpower!$H$4:$H$1048576,"")</f>
        <v>Manpower</v>
      </c>
      <c r="I3631" s="48" t="str">
        <f>_xlfn.XLOOKUP(Table134526_79101120212223242526[[#This Row],[Name Surname]],Manpower!$C$4:$C$1048576,Manpower!$H$4:$H$1048576,"")</f>
        <v>Manpower</v>
      </c>
      <c r="J3631" s="43" t="s">
        <v>378</v>
      </c>
      <c r="K3631" s="51" t="s">
        <v>26</v>
      </c>
      <c r="L3631" s="51" t="s">
        <v>379</v>
      </c>
      <c r="M3631" s="51" t="s">
        <v>24</v>
      </c>
      <c r="N3631" s="52">
        <v>10</v>
      </c>
      <c r="O3631" s="51" t="s">
        <v>28</v>
      </c>
      <c r="P3631" s="51" t="s">
        <v>28</v>
      </c>
      <c r="Q3631" s="51" t="s">
        <v>380</v>
      </c>
      <c r="R3631" s="51" t="s">
        <v>26</v>
      </c>
      <c r="S3631" s="43"/>
    </row>
    <row r="3632" spans="1:19" s="45" customFormat="1" ht="14.4" hidden="1">
      <c r="A3632" s="53">
        <f>IF(C3632="","",MAX($A$1:A3630)+1)</f>
        <v>3325</v>
      </c>
      <c r="B3632" s="54" t="s">
        <v>141</v>
      </c>
      <c r="C3632" s="55">
        <v>46111</v>
      </c>
      <c r="D3632" s="68" t="str">
        <f>_xlfn.XLOOKUP(Table134526_79101120212223242526[[#This Row],[Name Surname]],Manpower!$C$4:$C$1048576,Manpower!$B$4:$B$1048576,"")</f>
        <v>Encogroup</v>
      </c>
      <c r="E3632" s="51" t="s">
        <v>383</v>
      </c>
      <c r="F3632" s="12">
        <f>_xlfn.XLOOKUP(Table134526_79101120212223242526[[#This Row],[Name Surname]],Manpower!C:C,Manpower!D:D,)</f>
        <v>71437827</v>
      </c>
      <c r="G3632" s="68" t="str">
        <f>_xlfn.XLOOKUP(Table134526_79101120212223242526[[#This Row],[Name Surname]],Manpower!$C$4:$C$1048576,Manpower!$F$4:$F$1048576,"")</f>
        <v>Electrical  Supervisor</v>
      </c>
      <c r="H3632" s="68" t="str">
        <f>_xlfn.XLOOKUP(Table134526_79101120212223242526[[#This Row],[Name Surname]],Manpower!$C$4:$C$1048576,Manpower!$H$4:$H$1048576,"")</f>
        <v>Manpower</v>
      </c>
      <c r="I3632" s="48" t="str">
        <f>_xlfn.XLOOKUP(Table134526_79101120212223242526[[#This Row],[Name Surname]],Manpower!$C$4:$C$1048576,Manpower!$H$4:$H$1048576,"")</f>
        <v>Manpower</v>
      </c>
      <c r="J3632" s="43" t="s">
        <v>378</v>
      </c>
      <c r="K3632" s="51" t="s">
        <v>26</v>
      </c>
      <c r="L3632" s="51" t="s">
        <v>379</v>
      </c>
      <c r="M3632" s="51" t="s">
        <v>24</v>
      </c>
      <c r="N3632" s="52">
        <v>10</v>
      </c>
      <c r="O3632" s="51" t="s">
        <v>28</v>
      </c>
      <c r="P3632" s="51" t="s">
        <v>28</v>
      </c>
      <c r="Q3632" s="51" t="s">
        <v>380</v>
      </c>
      <c r="R3632" s="51" t="s">
        <v>26</v>
      </c>
      <c r="S3632" s="43"/>
    </row>
    <row r="3633" spans="1:19" s="45" customFormat="1" ht="14.4" hidden="1">
      <c r="A3633" s="53">
        <f>IF(C3633="","",MAX($A$1:A3632)+1)</f>
        <v>3326</v>
      </c>
      <c r="B3633" s="54" t="s">
        <v>141</v>
      </c>
      <c r="C3633" s="55">
        <v>46111</v>
      </c>
      <c r="D3633" s="68" t="str">
        <f>_xlfn.XLOOKUP(Table134526_79101120212223242526[[#This Row],[Name Surname]],Manpower!$C$4:$C$1048576,Manpower!$B$4:$B$1048576,"")</f>
        <v>Encogroup</v>
      </c>
      <c r="E3633" s="51" t="s">
        <v>218</v>
      </c>
      <c r="F3633" s="12">
        <f>_xlfn.XLOOKUP(Table134526_79101120212223242526[[#This Row],[Name Surname]],Manpower!C:C,Manpower!D:D,)</f>
        <v>116853914</v>
      </c>
      <c r="G3633" s="68" t="str">
        <f>_xlfn.XLOOKUP(Table134526_79101120212223242526[[#This Row],[Name Surname]],Manpower!$C$4:$C$1048576,Manpower!$F$4:$F$1048576,"")</f>
        <v>Electrical Supervisor</v>
      </c>
      <c r="H3633" s="68" t="str">
        <f>_xlfn.XLOOKUP(Table134526_79101120212223242526[[#This Row],[Name Surname]],Manpower!$C$4:$C$1048576,Manpower!$H$4:$H$1048576,"")</f>
        <v>Manpower</v>
      </c>
      <c r="I3633" s="48" t="str">
        <f>_xlfn.XLOOKUP(Table134526_79101120212223242526[[#This Row],[Name Surname]],Manpower!$C$4:$C$1048576,Manpower!$H$4:$H$1048576,"")</f>
        <v>Manpower</v>
      </c>
      <c r="J3633" s="43" t="s">
        <v>378</v>
      </c>
      <c r="K3633" s="51" t="s">
        <v>26</v>
      </c>
      <c r="L3633" s="51" t="s">
        <v>379</v>
      </c>
      <c r="M3633" s="51" t="s">
        <v>24</v>
      </c>
      <c r="N3633" s="52">
        <v>10</v>
      </c>
      <c r="O3633" s="51" t="s">
        <v>28</v>
      </c>
      <c r="P3633" s="51" t="s">
        <v>28</v>
      </c>
      <c r="Q3633" s="51" t="s">
        <v>380</v>
      </c>
      <c r="R3633" s="51" t="s">
        <v>26</v>
      </c>
      <c r="S3633" s="43"/>
    </row>
    <row r="3634" spans="1:19" s="45" customFormat="1" ht="14.4" hidden="1">
      <c r="A3634" s="53">
        <f>IF(C3634="","",MAX($A$1:A3633)+1)</f>
        <v>3327</v>
      </c>
      <c r="B3634" s="54" t="s">
        <v>141</v>
      </c>
      <c r="C3634" s="55">
        <v>46111</v>
      </c>
      <c r="D3634" s="68" t="str">
        <f>_xlfn.XLOOKUP(Table134526_79101120212223242526[[#This Row],[Name Surname]],Manpower!$C$4:$C$1048576,Manpower!$B$4:$B$1048576,"")</f>
        <v>Encogroup</v>
      </c>
      <c r="E3634" s="51" t="s">
        <v>384</v>
      </c>
      <c r="F3634" s="12">
        <f>_xlfn.XLOOKUP(Table134526_79101120212223242526[[#This Row],[Name Surname]],Manpower!C:C,Manpower!D:D,)</f>
        <v>141307968</v>
      </c>
      <c r="G3634" s="68" t="str">
        <f>_xlfn.XLOOKUP(Table134526_79101120212223242526[[#This Row],[Name Surname]],Manpower!$C$4:$C$1048576,Manpower!$F$4:$F$1048576,"")</f>
        <v>Mechanical Supervisor</v>
      </c>
      <c r="H3634" s="68" t="str">
        <f>_xlfn.XLOOKUP(Table134526_79101120212223242526[[#This Row],[Name Surname]],Manpower!$C$4:$C$1048576,Manpower!$H$4:$H$1048576,"")</f>
        <v>Manpower</v>
      </c>
      <c r="I3634" s="48" t="str">
        <f>_xlfn.XLOOKUP(Table134526_79101120212223242526[[#This Row],[Name Surname]],Manpower!$C$4:$C$1048576,Manpower!$H$4:$H$1048576,"")</f>
        <v>Manpower</v>
      </c>
      <c r="J3634" s="43" t="s">
        <v>378</v>
      </c>
      <c r="K3634" s="51" t="s">
        <v>26</v>
      </c>
      <c r="L3634" s="51" t="s">
        <v>379</v>
      </c>
      <c r="M3634" s="51" t="s">
        <v>24</v>
      </c>
      <c r="N3634" s="52">
        <v>10</v>
      </c>
      <c r="O3634" s="51" t="s">
        <v>28</v>
      </c>
      <c r="P3634" s="51" t="s">
        <v>28</v>
      </c>
      <c r="Q3634" s="51" t="s">
        <v>380</v>
      </c>
      <c r="R3634" s="51" t="s">
        <v>26</v>
      </c>
      <c r="S3634" s="43"/>
    </row>
    <row r="3635" spans="1:19" s="45" customFormat="1" ht="14.4" hidden="1">
      <c r="A3635" s="53">
        <f>IF(C3635="","",MAX($A$1:A3634)+1)</f>
        <v>3328</v>
      </c>
      <c r="B3635" s="54" t="s">
        <v>141</v>
      </c>
      <c r="C3635" s="55">
        <v>46111</v>
      </c>
      <c r="D3635" s="68" t="str">
        <f>_xlfn.XLOOKUP(Table134526_79101120212223242526[[#This Row],[Name Surname]],Manpower!$C$4:$C$1048576,Manpower!$B$4:$B$1048576,"")</f>
        <v>Encogroup</v>
      </c>
      <c r="E3635" s="51" t="s">
        <v>385</v>
      </c>
      <c r="F3635" s="12">
        <f>_xlfn.XLOOKUP(Table134526_79101120212223242526[[#This Row],[Name Surname]],Manpower!C:C,Manpower!D:D,)</f>
        <v>141307921</v>
      </c>
      <c r="G3635" s="68" t="str">
        <f>_xlfn.XLOOKUP(Table134526_79101120212223242526[[#This Row],[Name Surname]],Manpower!$C$4:$C$1048576,Manpower!$F$4:$F$1048576,"")</f>
        <v>Mechanical Assistant</v>
      </c>
      <c r="H3635" s="68" t="str">
        <f>_xlfn.XLOOKUP(Table134526_79101120212223242526[[#This Row],[Name Surname]],Manpower!$C$4:$C$1048576,Manpower!$H$4:$H$1048576,"")</f>
        <v>Manpower</v>
      </c>
      <c r="I3635" s="48" t="str">
        <f>_xlfn.XLOOKUP(Table134526_79101120212223242526[[#This Row],[Name Surname]],Manpower!$C$4:$C$1048576,Manpower!$H$4:$H$1048576,"")</f>
        <v>Manpower</v>
      </c>
      <c r="J3635" s="43" t="s">
        <v>378</v>
      </c>
      <c r="K3635" s="51" t="s">
        <v>26</v>
      </c>
      <c r="L3635" s="51" t="s">
        <v>379</v>
      </c>
      <c r="M3635" s="51" t="s">
        <v>24</v>
      </c>
      <c r="N3635" s="52">
        <v>10</v>
      </c>
      <c r="O3635" s="51" t="s">
        <v>28</v>
      </c>
      <c r="P3635" s="51" t="s">
        <v>28</v>
      </c>
      <c r="Q3635" s="51" t="s">
        <v>380</v>
      </c>
      <c r="R3635" s="51" t="s">
        <v>26</v>
      </c>
      <c r="S3635" s="43"/>
    </row>
    <row r="3636" spans="1:19" s="45" customFormat="1" ht="14.4" hidden="1">
      <c r="A3636" s="53">
        <f>IF(C3636="","",MAX($A$1:A3635)+1)</f>
        <v>3329</v>
      </c>
      <c r="B3636" s="54" t="s">
        <v>141</v>
      </c>
      <c r="C3636" s="55">
        <v>46111</v>
      </c>
      <c r="D3636" s="68" t="str">
        <f>_xlfn.XLOOKUP(Table134526_79101120212223242526[[#This Row],[Name Surname]],Manpower!$C$4:$C$1048576,Manpower!$B$4:$B$1048576,"")</f>
        <v>Encogroup</v>
      </c>
      <c r="E3636" s="51" t="s">
        <v>61</v>
      </c>
      <c r="F3636" s="12">
        <f>_xlfn.XLOOKUP(Table134526_79101120212223242526[[#This Row],[Name Surname]],Manpower!C:C,Manpower!D:D,)</f>
        <v>141169047</v>
      </c>
      <c r="G3636" s="68" t="str">
        <f>_xlfn.XLOOKUP(Table134526_79101120212223242526[[#This Row],[Name Surname]],Manpower!$C$4:$C$1048576,Manpower!$F$4:$F$1048576,"")</f>
        <v>Welder</v>
      </c>
      <c r="H3636" s="68" t="str">
        <f>_xlfn.XLOOKUP(Table134526_79101120212223242526[[#This Row],[Name Surname]],Manpower!$C$4:$C$1048576,Manpower!$H$4:$H$1048576,"")</f>
        <v>Manpower</v>
      </c>
      <c r="I3636" s="48" t="str">
        <f>_xlfn.XLOOKUP(Table134526_79101120212223242526[[#This Row],[Name Surname]],Manpower!$C$4:$C$1048576,Manpower!$H$4:$H$1048576,"")</f>
        <v>Manpower</v>
      </c>
      <c r="J3636" s="43" t="s">
        <v>378</v>
      </c>
      <c r="K3636" s="51" t="s">
        <v>26</v>
      </c>
      <c r="L3636" s="51" t="s">
        <v>379</v>
      </c>
      <c r="M3636" s="51" t="s">
        <v>24</v>
      </c>
      <c r="N3636" s="52">
        <v>10</v>
      </c>
      <c r="O3636" s="51" t="s">
        <v>28</v>
      </c>
      <c r="P3636" s="51" t="s">
        <v>28</v>
      </c>
      <c r="Q3636" s="51" t="s">
        <v>380</v>
      </c>
      <c r="R3636" s="51" t="s">
        <v>26</v>
      </c>
      <c r="S3636" s="43"/>
    </row>
    <row r="3637" spans="1:19" ht="14.4">
      <c r="A3637" s="38">
        <f>IF(C3637="","",MAX($A$1:A3636)+1)</f>
        <v>3330</v>
      </c>
      <c r="B3637" s="66" t="s">
        <v>141</v>
      </c>
      <c r="C3637" s="60">
        <v>46111</v>
      </c>
      <c r="D3637" s="61" t="str">
        <f>_xlfn.XLOOKUP(Table134526_79101120212223242526[[#This Row],[Name Surname]],Manpower!$C$4:$C$1048576,Manpower!$B$4:$B$1048576,"")</f>
        <v>Encogroup</v>
      </c>
      <c r="E3637" s="57" t="s">
        <v>80</v>
      </c>
      <c r="F3637" s="12" t="e">
        <f>_xlfn.XLOOKUP(Table134526_79101120212223242526[[#This Row],[Name Surname]],Manpower!C:C,Manpower!D:D,)</f>
        <v>#N/A</v>
      </c>
      <c r="G3637" s="61" t="str">
        <f>_xlfn.XLOOKUP(Table134526_79101120212223242526[[#This Row],[Name Surname]],Manpower!$C$4:$C$1048576,Manpower!$F$4:$F$1048576,"")</f>
        <v>22M-Manlift</v>
      </c>
      <c r="H3637" s="61" t="str">
        <f>_xlfn.XLOOKUP(Table134526_79101120212223242526[[#This Row],[Name Surname]],Manpower!$C$4:$C$1048576,Manpower!$H$4:$H$1048576,"")</f>
        <v>Equipment</v>
      </c>
      <c r="I3637" s="28" t="str">
        <f>_xlfn.XLOOKUP(Table134526_79101120212223242526[[#This Row],[Name Surname]],Manpower!$C$4:$C$1048576,Manpower!$H$4:$H$1048576,"")</f>
        <v>Equipment</v>
      </c>
      <c r="J3637" s="21" t="s">
        <v>35</v>
      </c>
      <c r="K3637" s="57" t="s">
        <v>428</v>
      </c>
      <c r="L3637" s="57" t="s">
        <v>82</v>
      </c>
      <c r="M3637" s="57" t="s">
        <v>24</v>
      </c>
      <c r="N3637" s="62">
        <v>10</v>
      </c>
      <c r="O3637" s="21" t="s">
        <v>25</v>
      </c>
      <c r="P3637" s="21" t="s">
        <v>41</v>
      </c>
      <c r="Q3637" s="21" t="s">
        <v>77</v>
      </c>
      <c r="R3637" s="57" t="s">
        <v>443</v>
      </c>
    </row>
    <row r="3638" spans="1:19" ht="14.4">
      <c r="A3638" s="38">
        <f>IF(C3638="","",MAX($A$1:A3637)+1)</f>
        <v>3331</v>
      </c>
      <c r="B3638" s="66" t="s">
        <v>141</v>
      </c>
      <c r="C3638" s="60">
        <v>46111</v>
      </c>
      <c r="D3638" s="61" t="str">
        <f>_xlfn.XLOOKUP(Table134526_79101120212223242526[[#This Row],[Name Surname]],Manpower!$C$4:$C$1048576,Manpower!$B$4:$B$1048576,"")</f>
        <v>Encogroup</v>
      </c>
      <c r="E3638" s="57" t="s">
        <v>84</v>
      </c>
      <c r="F3638" s="12" t="e">
        <f>_xlfn.XLOOKUP(Table134526_79101120212223242526[[#This Row],[Name Surname]],Manpower!C:C,Manpower!D:D,)</f>
        <v>#N/A</v>
      </c>
      <c r="G3638" s="61" t="str">
        <f>_xlfn.XLOOKUP(Table134526_79101120212223242526[[#This Row],[Name Surname]],Manpower!$C$4:$C$1048576,Manpower!$F$4:$F$1048576,"")</f>
        <v>22M-Manlift</v>
      </c>
      <c r="H3638" s="61" t="str">
        <f>_xlfn.XLOOKUP(Table134526_79101120212223242526[[#This Row],[Name Surname]],Manpower!$C$4:$C$1048576,Manpower!$H$4:$H$1048576,"")</f>
        <v>Equipment</v>
      </c>
      <c r="I3638" s="28" t="str">
        <f>_xlfn.XLOOKUP(Table134526_79101120212223242526[[#This Row],[Name Surname]],Manpower!$C$4:$C$1048576,Manpower!$H$4:$H$1048576,"")</f>
        <v>Equipment</v>
      </c>
      <c r="J3638" s="21" t="s">
        <v>35</v>
      </c>
      <c r="K3638" s="57" t="s">
        <v>428</v>
      </c>
      <c r="L3638" s="57" t="s">
        <v>82</v>
      </c>
      <c r="M3638" s="57" t="s">
        <v>24</v>
      </c>
      <c r="N3638" s="62">
        <v>10</v>
      </c>
      <c r="O3638" s="21" t="s">
        <v>25</v>
      </c>
      <c r="P3638" s="21" t="s">
        <v>41</v>
      </c>
      <c r="Q3638" s="21" t="s">
        <v>77</v>
      </c>
      <c r="R3638" s="57" t="s">
        <v>443</v>
      </c>
    </row>
    <row r="3639" spans="1:19" ht="14.4">
      <c r="A3639" s="38">
        <f>IF(C3639="","",MAX($A$1:A3638)+1)</f>
        <v>3332</v>
      </c>
      <c r="B3639" s="66" t="s">
        <v>141</v>
      </c>
      <c r="C3639" s="60">
        <v>46111</v>
      </c>
      <c r="D3639" s="61" t="str">
        <f>_xlfn.XLOOKUP(Table134526_79101120212223242526[[#This Row],[Name Surname]],Manpower!$C$4:$C$1048576,Manpower!$B$4:$B$1048576,"")</f>
        <v>Encogroup</v>
      </c>
      <c r="E3639" s="57" t="s">
        <v>341</v>
      </c>
      <c r="F3639" s="12" t="e">
        <f>_xlfn.XLOOKUP(Table134526_79101120212223242526[[#This Row],[Name Surname]],Manpower!C:C,Manpower!D:D,)</f>
        <v>#N/A</v>
      </c>
      <c r="G3639" s="61" t="str">
        <f>_xlfn.XLOOKUP(Table134526_79101120212223242526[[#This Row],[Name Surname]],Manpower!$C$4:$C$1048576,Manpower!$F$4:$F$1048576,"")</f>
        <v>SCISSOR LIFT</v>
      </c>
      <c r="H3639" s="61" t="str">
        <f>_xlfn.XLOOKUP(Table134526_79101120212223242526[[#This Row],[Name Surname]],Manpower!$C$4:$C$1048576,Manpower!$H$4:$H$1048576,"")</f>
        <v>Equipment</v>
      </c>
      <c r="I3639" s="28" t="str">
        <f>_xlfn.XLOOKUP(Table134526_79101120212223242526[[#This Row],[Name Surname]],Manpower!$C$4:$C$1048576,Manpower!$H$4:$H$1048576,"")</f>
        <v>Equipment</v>
      </c>
      <c r="J3639" s="21" t="s">
        <v>35</v>
      </c>
      <c r="K3639" s="57" t="s">
        <v>428</v>
      </c>
      <c r="L3639" s="57" t="s">
        <v>82</v>
      </c>
      <c r="M3639" s="57" t="s">
        <v>24</v>
      </c>
      <c r="N3639" s="62">
        <v>10</v>
      </c>
      <c r="O3639" s="21" t="s">
        <v>94</v>
      </c>
      <c r="P3639" s="21" t="s">
        <v>94</v>
      </c>
      <c r="Q3639" s="21" t="s">
        <v>94</v>
      </c>
      <c r="R3639" s="57" t="s">
        <v>443</v>
      </c>
    </row>
    <row r="3640" spans="1:19" ht="14.4">
      <c r="A3640" s="38">
        <f>IF(C3640="","",MAX($A$1:A3639)+1)</f>
        <v>3333</v>
      </c>
      <c r="B3640" s="66" t="s">
        <v>141</v>
      </c>
      <c r="C3640" s="60">
        <v>46111</v>
      </c>
      <c r="D3640" s="61" t="str">
        <f>_xlfn.XLOOKUP(Table134526_79101120212223242526[[#This Row],[Name Surname]],Manpower!$C$4:$C$1048576,Manpower!$B$4:$B$1048576,"")</f>
        <v>Nass Group</v>
      </c>
      <c r="E3640" s="57" t="s">
        <v>86</v>
      </c>
      <c r="F3640" s="12" t="e">
        <f>_xlfn.XLOOKUP(Table134526_79101120212223242526[[#This Row],[Name Surname]],Manpower!C:C,Manpower!D:D,)</f>
        <v>#N/A</v>
      </c>
      <c r="G3640" s="61" t="str">
        <f>_xlfn.XLOOKUP(Table134526_79101120212223242526[[#This Row],[Name Surname]],Manpower!$C$4:$C$1048576,Manpower!$F$4:$F$1048576,"")</f>
        <v>70T-Telescopic crane</v>
      </c>
      <c r="H3640" s="61" t="str">
        <f>_xlfn.XLOOKUP(Table134526_79101120212223242526[[#This Row],[Name Surname]],Manpower!$C$4:$C$1048576,Manpower!$H$4:$H$1048576,"")</f>
        <v>Equipment</v>
      </c>
      <c r="I3640" s="28" t="str">
        <f>_xlfn.XLOOKUP(Table134526_79101120212223242526[[#This Row],[Name Surname]],Manpower!$C$4:$C$1048576,Manpower!$H$4:$H$1048576,"")</f>
        <v>Equipment</v>
      </c>
      <c r="J3640" s="21" t="s">
        <v>35</v>
      </c>
      <c r="K3640" s="57" t="s">
        <v>428</v>
      </c>
      <c r="L3640" s="57" t="s">
        <v>82</v>
      </c>
      <c r="M3640" s="57" t="s">
        <v>24</v>
      </c>
      <c r="N3640" s="62">
        <v>10</v>
      </c>
      <c r="O3640" s="21" t="s">
        <v>40</v>
      </c>
      <c r="P3640" s="21" t="s">
        <v>41</v>
      </c>
      <c r="Q3640" s="21" t="s">
        <v>42</v>
      </c>
      <c r="R3640" s="57" t="s">
        <v>443</v>
      </c>
    </row>
    <row r="3641" spans="1:19" s="45" customFormat="1" ht="14.4" hidden="1">
      <c r="A3641" s="53">
        <f>IF(C3641="","",MAX($A$1:A3640)+1)</f>
        <v>3334</v>
      </c>
      <c r="B3641" s="54" t="s">
        <v>141</v>
      </c>
      <c r="C3641" s="55">
        <v>46111</v>
      </c>
      <c r="D3641" s="68" t="str">
        <f>_xlfn.XLOOKUP(Table134526_79101120212223242526[[#This Row],[Name Surname]],Manpower!$C$4:$C$1048576,Manpower!$B$4:$B$1048576,"")</f>
        <v>SARENS NASS</v>
      </c>
      <c r="E3641" s="51" t="s">
        <v>103</v>
      </c>
      <c r="F3641" s="12">
        <f>_xlfn.XLOOKUP(Table134526_79101120212223242526[[#This Row],[Name Surname]],Manpower!C:C,Manpower!D:D,)</f>
        <v>79502392</v>
      </c>
      <c r="G3641" s="68" t="str">
        <f>_xlfn.XLOOKUP(Table134526_79101120212223242526[[#This Row],[Name Surname]],Manpower!$C$4:$C$1048576,Manpower!$F$4:$F$1048576,"")</f>
        <v>Crane Operator- 70T Liebherr Telescopic Crane-01</v>
      </c>
      <c r="H3641" s="68" t="str">
        <f>_xlfn.XLOOKUP(Table134526_79101120212223242526[[#This Row],[Name Surname]],Manpower!$C$4:$C$1048576,Manpower!$H$4:$H$1048576,"")</f>
        <v>Manpower</v>
      </c>
      <c r="I3641" s="48" t="str">
        <f>_xlfn.XLOOKUP(Table134526_79101120212223242526[[#This Row],[Name Surname]],Manpower!$C$4:$C$1048576,Manpower!$H$4:$H$1048576,"")</f>
        <v>Manpower</v>
      </c>
      <c r="J3641" s="43" t="s">
        <v>35</v>
      </c>
      <c r="K3641" s="51" t="s">
        <v>428</v>
      </c>
      <c r="L3641" s="51" t="s">
        <v>82</v>
      </c>
      <c r="M3641" s="51" t="s">
        <v>24</v>
      </c>
      <c r="N3641" s="52">
        <v>10</v>
      </c>
      <c r="O3641" s="43" t="s">
        <v>40</v>
      </c>
      <c r="P3641" s="43" t="s">
        <v>41</v>
      </c>
      <c r="Q3641" s="43" t="s">
        <v>42</v>
      </c>
      <c r="R3641" s="51" t="s">
        <v>443</v>
      </c>
      <c r="S3641" s="43"/>
    </row>
    <row r="3642" spans="1:19" ht="14.4">
      <c r="A3642" s="38">
        <f>IF(C3642="","",MAX($A$1:A3641)+1)</f>
        <v>3335</v>
      </c>
      <c r="B3642" s="66" t="s">
        <v>141</v>
      </c>
      <c r="C3642" s="60">
        <v>46111</v>
      </c>
      <c r="D3642" s="61" t="str">
        <f>_xlfn.XLOOKUP(Table134526_79101120212223242526[[#This Row],[Name Surname]],Manpower!$C$4:$C$1048576,Manpower!$B$4:$B$1048576,"")</f>
        <v>Nass Group</v>
      </c>
      <c r="E3642" s="57" t="s">
        <v>146</v>
      </c>
      <c r="F3642" s="12" t="e">
        <f>_xlfn.XLOOKUP(Table134526_79101120212223242526[[#This Row],[Name Surname]],Manpower!C:C,Manpower!D:D,)</f>
        <v>#N/A</v>
      </c>
      <c r="G3642" s="61" t="str">
        <f>_xlfn.XLOOKUP(Table134526_79101120212223242526[[#This Row],[Name Surname]],Manpower!$C$4:$C$1048576,Manpower!$F$4:$F$1048576,"")</f>
        <v>130T Crawler Crane</v>
      </c>
      <c r="H3642" s="61" t="str">
        <f>_xlfn.XLOOKUP(Table134526_79101120212223242526[[#This Row],[Name Surname]],Manpower!$C$4:$C$1048576,Manpower!$H$4:$H$1048576,"")</f>
        <v>Equipment</v>
      </c>
      <c r="I3642" s="28" t="str">
        <f>_xlfn.XLOOKUP(Table134526_79101120212223242526[[#This Row],[Name Surname]],Manpower!$C$4:$C$1048576,Manpower!$H$4:$H$1048576,"")</f>
        <v>Equipment</v>
      </c>
      <c r="J3642" s="21" t="s">
        <v>35</v>
      </c>
      <c r="K3642" s="57" t="s">
        <v>428</v>
      </c>
      <c r="L3642" s="57" t="s">
        <v>82</v>
      </c>
      <c r="M3642" s="57" t="s">
        <v>24</v>
      </c>
      <c r="N3642" s="62">
        <v>10</v>
      </c>
      <c r="O3642" s="21" t="s">
        <v>40</v>
      </c>
      <c r="P3642" s="21" t="s">
        <v>41</v>
      </c>
      <c r="Q3642" s="21" t="s">
        <v>42</v>
      </c>
      <c r="R3642" s="57" t="s">
        <v>443</v>
      </c>
    </row>
    <row r="3643" spans="1:19" s="45" customFormat="1" ht="14.4" hidden="1">
      <c r="A3643" s="53">
        <f>IF(C3643="","",MAX($A$1:A3642)+1)</f>
        <v>3336</v>
      </c>
      <c r="B3643" s="54" t="s">
        <v>141</v>
      </c>
      <c r="C3643" s="55">
        <v>46111</v>
      </c>
      <c r="D3643" s="68" t="str">
        <f>_xlfn.XLOOKUP(Table134526_79101120212223242526[[#This Row],[Name Surname]],Manpower!$C$4:$C$1048576,Manpower!$B$4:$B$1048576,"")</f>
        <v>SARENS NASS</v>
      </c>
      <c r="E3643" s="51" t="s">
        <v>214</v>
      </c>
      <c r="F3643" s="12">
        <f>_xlfn.XLOOKUP(Table134526_79101120212223242526[[#This Row],[Name Surname]],Manpower!C:C,Manpower!D:D,)</f>
        <v>109957631</v>
      </c>
      <c r="G3643" s="68" t="str">
        <f>_xlfn.XLOOKUP(Table134526_79101120212223242526[[#This Row],[Name Surname]],Manpower!$C$4:$C$1048576,Manpower!$F$4:$F$1048576,"")</f>
        <v>Crane Operator-130T Liebherr Crawler</v>
      </c>
      <c r="H3643" s="68" t="str">
        <f>_xlfn.XLOOKUP(Table134526_79101120212223242526[[#This Row],[Name Surname]],Manpower!$C$4:$C$1048576,Manpower!$H$4:$H$1048576,"")</f>
        <v>Manpower</v>
      </c>
      <c r="I3643" s="48" t="str">
        <f>_xlfn.XLOOKUP(Table134526_79101120212223242526[[#This Row],[Name Surname]],Manpower!$C$4:$C$1048576,Manpower!$H$4:$H$1048576,"")</f>
        <v>Manpower</v>
      </c>
      <c r="J3643" s="43" t="s">
        <v>35</v>
      </c>
      <c r="K3643" s="51" t="s">
        <v>428</v>
      </c>
      <c r="L3643" s="51" t="s">
        <v>82</v>
      </c>
      <c r="M3643" s="51" t="s">
        <v>24</v>
      </c>
      <c r="N3643" s="52">
        <v>10</v>
      </c>
      <c r="O3643" s="43" t="s">
        <v>40</v>
      </c>
      <c r="P3643" s="43" t="s">
        <v>41</v>
      </c>
      <c r="Q3643" s="43" t="s">
        <v>42</v>
      </c>
      <c r="R3643" s="51" t="s">
        <v>443</v>
      </c>
      <c r="S3643" s="43"/>
    </row>
    <row r="3644" spans="1:19" ht="14.4" hidden="1">
      <c r="A3644" s="38">
        <f>IF(C3644="","",MAX($A$1:A3643)+1)</f>
        <v>3337</v>
      </c>
      <c r="B3644" s="66" t="s">
        <v>141</v>
      </c>
      <c r="C3644" s="60">
        <v>46111</v>
      </c>
      <c r="D3644" s="28" t="str">
        <f>_xlfn.XLOOKUP(Table134526_79101120212223242526[[#This Row],[Name Surname]],Manpower!$C$4:$C$1048576,Manpower!$B$4:$B$1048576,"")</f>
        <v>Encogroup</v>
      </c>
      <c r="E3644" s="21" t="s">
        <v>136</v>
      </c>
      <c r="F3644" s="12">
        <f>_xlfn.XLOOKUP(Table134526_79101120212223242526[[#This Row],[Name Surname]],Manpower!C:C,Manpower!D:D,)</f>
        <v>141250908</v>
      </c>
      <c r="G3644" s="28" t="str">
        <f>_xlfn.XLOOKUP(Table134526_79101120212223242526[[#This Row],[Name Surname]],Manpower!$C$4:$C$1048576,Manpower!$F$4:$F$1048576,"")</f>
        <v>Mechanical Engineer</v>
      </c>
      <c r="H3644" s="28" t="str">
        <f>_xlfn.XLOOKUP(Table134526_79101120212223242526[[#This Row],[Name Surname]],Manpower!$C$4:$C$1048576,Manpower!$H$4:$H$1048576,"")</f>
        <v>Manpower</v>
      </c>
      <c r="I3644" s="28" t="str">
        <f>_xlfn.XLOOKUP(Table134526_79101120212223242526[[#This Row],[Name Surname]],Manpower!$C$4:$C$1048576,Manpower!$H$4:$H$1048576,"")</f>
        <v>Manpower</v>
      </c>
      <c r="J3644" s="21" t="s">
        <v>35</v>
      </c>
      <c r="K3644" s="57" t="s">
        <v>428</v>
      </c>
      <c r="L3644" s="57" t="s">
        <v>82</v>
      </c>
      <c r="M3644" s="57" t="s">
        <v>24</v>
      </c>
      <c r="N3644" s="62">
        <v>10</v>
      </c>
      <c r="O3644" s="21" t="s">
        <v>25</v>
      </c>
      <c r="P3644" s="21" t="s">
        <v>60</v>
      </c>
      <c r="Q3644" s="21" t="s">
        <v>60</v>
      </c>
      <c r="R3644" s="57" t="s">
        <v>443</v>
      </c>
    </row>
    <row r="3645" spans="1:19" s="45" customFormat="1" ht="14.4" hidden="1">
      <c r="A3645" s="53">
        <f>IF(C3645="","",MAX($A$1:A3644)+1)</f>
        <v>3338</v>
      </c>
      <c r="B3645" s="54" t="s">
        <v>141</v>
      </c>
      <c r="C3645" s="55">
        <v>46111</v>
      </c>
      <c r="D3645" s="68" t="str">
        <f>_xlfn.XLOOKUP(Table134526_79101120212223242526[[#This Row],[Name Surname]],Manpower!$C$4:$C$1048576,Manpower!$B$4:$B$1048576,"")</f>
        <v>Encogroup</v>
      </c>
      <c r="E3645" s="51" t="s">
        <v>91</v>
      </c>
      <c r="F3645" s="12">
        <f>_xlfn.XLOOKUP(Table134526_79101120212223242526[[#This Row],[Name Surname]],Manpower!C:C,Manpower!D:D,)</f>
        <v>132915855</v>
      </c>
      <c r="G3645" s="68" t="str">
        <f>_xlfn.XLOOKUP(Table134526_79101120212223242526[[#This Row],[Name Surname]],Manpower!$C$4:$C$1048576,Manpower!$F$4:$F$1048576,"")</f>
        <v>Mechanical Supervisor</v>
      </c>
      <c r="H3645" s="68" t="str">
        <f>_xlfn.XLOOKUP(Table134526_79101120212223242526[[#This Row],[Name Surname]],Manpower!$C$4:$C$1048576,Manpower!$H$4:$H$1048576,"")</f>
        <v>Manpower</v>
      </c>
      <c r="I3645" s="48" t="str">
        <f>_xlfn.XLOOKUP(Table134526_79101120212223242526[[#This Row],[Name Surname]],Manpower!$C$4:$C$1048576,Manpower!$H$4:$H$1048576,"")</f>
        <v>Manpower</v>
      </c>
      <c r="J3645" s="43" t="s">
        <v>35</v>
      </c>
      <c r="K3645" s="51" t="s">
        <v>428</v>
      </c>
      <c r="L3645" s="51" t="s">
        <v>82</v>
      </c>
      <c r="M3645" s="51" t="s">
        <v>24</v>
      </c>
      <c r="N3645" s="52">
        <v>10</v>
      </c>
      <c r="O3645" s="43" t="s">
        <v>25</v>
      </c>
      <c r="P3645" s="43" t="s">
        <v>41</v>
      </c>
      <c r="Q3645" s="43" t="s">
        <v>60</v>
      </c>
      <c r="R3645" s="51" t="s">
        <v>443</v>
      </c>
      <c r="S3645" s="43"/>
    </row>
    <row r="3646" spans="1:19" s="45" customFormat="1" ht="14.4" hidden="1">
      <c r="A3646" s="53">
        <f>IF(C3646="","",MAX($A$1:A3645)+1)</f>
        <v>3339</v>
      </c>
      <c r="B3646" s="54" t="s">
        <v>141</v>
      </c>
      <c r="C3646" s="55">
        <v>46111</v>
      </c>
      <c r="D3646" s="68" t="str">
        <f>_xlfn.XLOOKUP(Table134526_79101120212223242526[[#This Row],[Name Surname]],Manpower!$C$4:$C$1048576,Manpower!$B$4:$B$1048576,"")</f>
        <v>Encogroup</v>
      </c>
      <c r="E3646" s="51" t="s">
        <v>97</v>
      </c>
      <c r="F3646" s="12">
        <f>_xlfn.XLOOKUP(Table134526_79101120212223242526[[#This Row],[Name Surname]],Manpower!C:C,Manpower!D:D,)</f>
        <v>141359235</v>
      </c>
      <c r="G3646" s="68" t="str">
        <f>_xlfn.XLOOKUP(Table134526_79101120212223242526[[#This Row],[Name Surname]],Manpower!$C$4:$C$1048576,Manpower!$F$4:$F$1048576,"")</f>
        <v>Fitter</v>
      </c>
      <c r="H3646" s="68" t="str">
        <f>_xlfn.XLOOKUP(Table134526_79101120212223242526[[#This Row],[Name Surname]],Manpower!$C$4:$C$1048576,Manpower!$H$4:$H$1048576,"")</f>
        <v>Manpower</v>
      </c>
      <c r="I3646" s="48" t="str">
        <f>_xlfn.XLOOKUP(Table134526_79101120212223242526[[#This Row],[Name Surname]],Manpower!$C$4:$C$1048576,Manpower!$H$4:$H$1048576,"")</f>
        <v>Manpower</v>
      </c>
      <c r="J3646" s="43" t="s">
        <v>35</v>
      </c>
      <c r="K3646" s="51" t="s">
        <v>428</v>
      </c>
      <c r="L3646" s="51" t="s">
        <v>82</v>
      </c>
      <c r="M3646" s="51" t="s">
        <v>24</v>
      </c>
      <c r="N3646" s="52">
        <v>10</v>
      </c>
      <c r="O3646" s="43" t="s">
        <v>25</v>
      </c>
      <c r="P3646" s="43" t="s">
        <v>41</v>
      </c>
      <c r="Q3646" s="43" t="s">
        <v>77</v>
      </c>
      <c r="R3646" s="51" t="s">
        <v>443</v>
      </c>
      <c r="S3646" s="43"/>
    </row>
    <row r="3647" spans="1:19" s="45" customFormat="1" ht="14.4" hidden="1">
      <c r="A3647" s="53">
        <f>IF(C3647="","",MAX($A$1:A3646)+1)</f>
        <v>3340</v>
      </c>
      <c r="B3647" s="54" t="s">
        <v>141</v>
      </c>
      <c r="C3647" s="55">
        <v>46111</v>
      </c>
      <c r="D3647" s="68" t="str">
        <f>_xlfn.XLOOKUP(Table134526_79101120212223242526[[#This Row],[Name Surname]],Manpower!$C$4:$C$1048576,Manpower!$B$4:$B$1048576,"")</f>
        <v>Encogroup</v>
      </c>
      <c r="E3647" s="51" t="s">
        <v>99</v>
      </c>
      <c r="F3647" s="12">
        <f>_xlfn.XLOOKUP(Table134526_79101120212223242526[[#This Row],[Name Surname]],Manpower!C:C,Manpower!D:D,)</f>
        <v>140697025</v>
      </c>
      <c r="G3647" s="68" t="str">
        <f>_xlfn.XLOOKUP(Table134526_79101120212223242526[[#This Row],[Name Surname]],Manpower!$C$4:$C$1048576,Manpower!$F$4:$F$1048576,"")</f>
        <v>Assistant/Helper</v>
      </c>
      <c r="H3647" s="68" t="str">
        <f>_xlfn.XLOOKUP(Table134526_79101120212223242526[[#This Row],[Name Surname]],Manpower!$C$4:$C$1048576,Manpower!$H$4:$H$1048576,"")</f>
        <v>Manpower</v>
      </c>
      <c r="I3647" s="48" t="str">
        <f>_xlfn.XLOOKUP(Table134526_79101120212223242526[[#This Row],[Name Surname]],Manpower!$C$4:$C$1048576,Manpower!$H$4:$H$1048576,"")</f>
        <v>Manpower</v>
      </c>
      <c r="J3647" s="43" t="s">
        <v>35</v>
      </c>
      <c r="K3647" s="51" t="s">
        <v>430</v>
      </c>
      <c r="L3647" s="51" t="s">
        <v>82</v>
      </c>
      <c r="M3647" s="51" t="s">
        <v>24</v>
      </c>
      <c r="N3647" s="52">
        <v>10</v>
      </c>
      <c r="O3647" s="43" t="s">
        <v>25</v>
      </c>
      <c r="P3647" s="43" t="s">
        <v>41</v>
      </c>
      <c r="Q3647" s="43" t="s">
        <v>60</v>
      </c>
      <c r="R3647" s="51" t="s">
        <v>443</v>
      </c>
      <c r="S3647" s="43"/>
    </row>
    <row r="3648" spans="1:19" s="45" customFormat="1" ht="14.4" hidden="1">
      <c r="A3648" s="53">
        <f>IF(C3648="","",MAX($A$1:A3647)+1)</f>
        <v>3341</v>
      </c>
      <c r="B3648" s="54" t="s">
        <v>141</v>
      </c>
      <c r="C3648" s="55">
        <v>46111</v>
      </c>
      <c r="D3648" s="68" t="str">
        <f>_xlfn.XLOOKUP(Table134526_79101120212223242526[[#This Row],[Name Surname]],Manpower!$C$4:$C$1048576,Manpower!$B$4:$B$1048576,"")</f>
        <v>Encogroup</v>
      </c>
      <c r="E3648" s="51" t="s">
        <v>125</v>
      </c>
      <c r="F3648" s="12">
        <f>_xlfn.XLOOKUP(Table134526_79101120212223242526[[#This Row],[Name Surname]],Manpower!C:C,Manpower!D:D,)</f>
        <v>141169028</v>
      </c>
      <c r="G3648" s="68" t="str">
        <f>_xlfn.XLOOKUP(Table134526_79101120212223242526[[#This Row],[Name Surname]],Manpower!$C$4:$C$1048576,Manpower!$F$4:$F$1048576,"")</f>
        <v>Welder</v>
      </c>
      <c r="H3648" s="68" t="str">
        <f>_xlfn.XLOOKUP(Table134526_79101120212223242526[[#This Row],[Name Surname]],Manpower!$C$4:$C$1048576,Manpower!$H$4:$H$1048576,"")</f>
        <v>Manpower</v>
      </c>
      <c r="I3648" s="48" t="str">
        <f>_xlfn.XLOOKUP(Table134526_79101120212223242526[[#This Row],[Name Surname]],Manpower!$C$4:$C$1048576,Manpower!$H$4:$H$1048576,"")</f>
        <v>Manpower</v>
      </c>
      <c r="J3648" s="43" t="s">
        <v>35</v>
      </c>
      <c r="K3648" s="51" t="s">
        <v>428</v>
      </c>
      <c r="L3648" s="51" t="s">
        <v>82</v>
      </c>
      <c r="M3648" s="51" t="s">
        <v>24</v>
      </c>
      <c r="N3648" s="52">
        <v>10</v>
      </c>
      <c r="O3648" s="43" t="s">
        <v>25</v>
      </c>
      <c r="P3648" s="43" t="s">
        <v>41</v>
      </c>
      <c r="Q3648" s="43" t="s">
        <v>60</v>
      </c>
      <c r="R3648" s="51" t="s">
        <v>443</v>
      </c>
      <c r="S3648" s="43"/>
    </row>
    <row r="3649" spans="1:19" s="45" customFormat="1" ht="14.4" hidden="1">
      <c r="A3649" s="53">
        <f>IF(C3649="","",MAX($A$1:A3648)+1)</f>
        <v>3342</v>
      </c>
      <c r="B3649" s="54" t="s">
        <v>141</v>
      </c>
      <c r="C3649" s="55">
        <v>46111</v>
      </c>
      <c r="D3649" s="68" t="str">
        <f>_xlfn.XLOOKUP(Table134526_79101120212223242526[[#This Row],[Name Surname]],Manpower!$C$4:$C$1048576,Manpower!$B$4:$B$1048576,"")</f>
        <v>Encogroup</v>
      </c>
      <c r="E3649" s="51" t="s">
        <v>101</v>
      </c>
      <c r="F3649" s="12">
        <f>_xlfn.XLOOKUP(Table134526_79101120212223242526[[#This Row],[Name Surname]],Manpower!C:C,Manpower!D:D,)</f>
        <v>141169052</v>
      </c>
      <c r="G3649" s="68" t="str">
        <f>_xlfn.XLOOKUP(Table134526_79101120212223242526[[#This Row],[Name Surname]],Manpower!$C$4:$C$1048576,Manpower!$F$4:$F$1048576,"")</f>
        <v>Welder</v>
      </c>
      <c r="H3649" s="68" t="str">
        <f>_xlfn.XLOOKUP(Table134526_79101120212223242526[[#This Row],[Name Surname]],Manpower!$C$4:$C$1048576,Manpower!$H$4:$H$1048576,"")</f>
        <v>Manpower</v>
      </c>
      <c r="I3649" s="48" t="str">
        <f>_xlfn.XLOOKUP(Table134526_79101120212223242526[[#This Row],[Name Surname]],Manpower!$C$4:$C$1048576,Manpower!$H$4:$H$1048576,"")</f>
        <v>Manpower</v>
      </c>
      <c r="J3649" s="43" t="s">
        <v>35</v>
      </c>
      <c r="K3649" s="51" t="s">
        <v>428</v>
      </c>
      <c r="L3649" s="51" t="s">
        <v>82</v>
      </c>
      <c r="M3649" s="51" t="s">
        <v>24</v>
      </c>
      <c r="N3649" s="52">
        <v>10</v>
      </c>
      <c r="O3649" s="43" t="s">
        <v>25</v>
      </c>
      <c r="P3649" s="43" t="s">
        <v>41</v>
      </c>
      <c r="Q3649" s="43" t="s">
        <v>77</v>
      </c>
      <c r="R3649" s="51" t="s">
        <v>443</v>
      </c>
      <c r="S3649" s="43"/>
    </row>
    <row r="3650" spans="1:19" s="45" customFormat="1" ht="14.4" hidden="1">
      <c r="A3650" s="53">
        <f>IF(C3650="","",MAX($A$1:A3649)+1)</f>
        <v>3343</v>
      </c>
      <c r="B3650" s="54" t="s">
        <v>141</v>
      </c>
      <c r="C3650" s="55">
        <v>46111</v>
      </c>
      <c r="D3650" s="48" t="str">
        <f>_xlfn.XLOOKUP(Table134526_79101120212223242526[[#This Row],[Name Surname]],Manpower!$C$4:$C$1048576,Manpower!$B$4:$B$1048576,"")</f>
        <v>Encogroup</v>
      </c>
      <c r="E3650" s="43" t="s">
        <v>124</v>
      </c>
      <c r="F3650" s="12">
        <f>_xlfn.XLOOKUP(Table134526_79101120212223242526[[#This Row],[Name Surname]],Manpower!C:C,Manpower!D:D,)</f>
        <v>141169033</v>
      </c>
      <c r="G3650" s="48" t="str">
        <f>_xlfn.XLOOKUP(Table134526_79101120212223242526[[#This Row],[Name Surname]],Manpower!$C$4:$C$1048576,Manpower!$F$4:$F$1048576,"")</f>
        <v>Welder</v>
      </c>
      <c r="H3650" s="48" t="str">
        <f>_xlfn.XLOOKUP(Table134526_79101120212223242526[[#This Row],[Name Surname]],Manpower!$C$4:$C$1048576,Manpower!$H$4:$H$1048576,"")</f>
        <v>Manpower</v>
      </c>
      <c r="I3650" s="48" t="str">
        <f>_xlfn.XLOOKUP(Table134526_79101120212223242526[[#This Row],[Name Surname]],Manpower!$C$4:$C$1048576,Manpower!$H$4:$H$1048576,"")</f>
        <v>Manpower</v>
      </c>
      <c r="J3650" s="43" t="s">
        <v>35</v>
      </c>
      <c r="K3650" s="51" t="s">
        <v>428</v>
      </c>
      <c r="L3650" s="51" t="s">
        <v>82</v>
      </c>
      <c r="M3650" s="51" t="s">
        <v>24</v>
      </c>
      <c r="N3650" s="52">
        <v>10</v>
      </c>
      <c r="O3650" s="43" t="s">
        <v>25</v>
      </c>
      <c r="P3650" s="43" t="s">
        <v>41</v>
      </c>
      <c r="Q3650" s="43" t="s">
        <v>77</v>
      </c>
      <c r="R3650" s="51" t="s">
        <v>443</v>
      </c>
      <c r="S3650" s="43"/>
    </row>
    <row r="3651" spans="1:19" s="45" customFormat="1" ht="14.4" hidden="1">
      <c r="A3651" s="53">
        <f>IF(C3651="","",MAX($A$1:A3650)+1)</f>
        <v>3344</v>
      </c>
      <c r="B3651" s="54" t="s">
        <v>141</v>
      </c>
      <c r="C3651" s="55">
        <v>46111</v>
      </c>
      <c r="D3651" s="68" t="str">
        <f>_xlfn.XLOOKUP(Table134526_79101120212223242526[[#This Row],[Name Surname]],Manpower!$C$4:$C$1048576,Manpower!$B$4:$B$1048576,"")</f>
        <v>Encogroup</v>
      </c>
      <c r="E3651" s="51" t="s">
        <v>105</v>
      </c>
      <c r="F3651" s="12">
        <f>_xlfn.XLOOKUP(Table134526_79101120212223242526[[#This Row],[Name Surname]],Manpower!C:C,Manpower!D:D,)</f>
        <v>141358993</v>
      </c>
      <c r="G3651" s="68" t="str">
        <f>_xlfn.XLOOKUP(Table134526_79101120212223242526[[#This Row],[Name Surname]],Manpower!$C$4:$C$1048576,Manpower!$F$4:$F$1048576,"")</f>
        <v>Fitter</v>
      </c>
      <c r="H3651" s="68" t="str">
        <f>_xlfn.XLOOKUP(Table134526_79101120212223242526[[#This Row],[Name Surname]],Manpower!$C$4:$C$1048576,Manpower!$H$4:$H$1048576,"")</f>
        <v>Manpower</v>
      </c>
      <c r="I3651" s="48" t="str">
        <f>_xlfn.XLOOKUP(Table134526_79101120212223242526[[#This Row],[Name Surname]],Manpower!$C$4:$C$1048576,Manpower!$H$4:$H$1048576,"")</f>
        <v>Manpower</v>
      </c>
      <c r="J3651" s="43" t="s">
        <v>35</v>
      </c>
      <c r="K3651" s="51" t="s">
        <v>428</v>
      </c>
      <c r="L3651" s="51" t="s">
        <v>82</v>
      </c>
      <c r="M3651" s="51" t="s">
        <v>24</v>
      </c>
      <c r="N3651" s="52">
        <v>10</v>
      </c>
      <c r="O3651" s="43" t="s">
        <v>25</v>
      </c>
      <c r="P3651" s="43" t="s">
        <v>41</v>
      </c>
      <c r="Q3651" s="43" t="s">
        <v>77</v>
      </c>
      <c r="R3651" s="51" t="s">
        <v>443</v>
      </c>
      <c r="S3651" s="43"/>
    </row>
    <row r="3652" spans="1:19" s="45" customFormat="1" ht="14.4" hidden="1">
      <c r="A3652" s="53">
        <f>IF(C3652="","",MAX($A$1:A3651)+1)</f>
        <v>3345</v>
      </c>
      <c r="B3652" s="54" t="s">
        <v>141</v>
      </c>
      <c r="C3652" s="55">
        <v>46111</v>
      </c>
      <c r="D3652" s="68" t="str">
        <f>_xlfn.XLOOKUP(Table134526_79101120212223242526[[#This Row],[Name Surname]],Manpower!$C$4:$C$1048576,Manpower!$B$4:$B$1048576,"")</f>
        <v>Encogroup</v>
      </c>
      <c r="E3652" s="51" t="s">
        <v>106</v>
      </c>
      <c r="F3652" s="12" t="str">
        <f>_xlfn.XLOOKUP(Table134526_79101120212223242526[[#This Row],[Name Surname]],Manpower!C:C,Manpower!D:D,)</f>
        <v>R3971143</v>
      </c>
      <c r="G3652" s="68" t="str">
        <f>_xlfn.XLOOKUP(Table134526_79101120212223242526[[#This Row],[Name Surname]],Manpower!$C$4:$C$1048576,Manpower!$F$4:$F$1048576,"")</f>
        <v>Mechanical Foreman</v>
      </c>
      <c r="H3652" s="68" t="str">
        <f>_xlfn.XLOOKUP(Table134526_79101120212223242526[[#This Row],[Name Surname]],Manpower!$C$4:$C$1048576,Manpower!$H$4:$H$1048576,"")</f>
        <v>Manpower</v>
      </c>
      <c r="I3652" s="48" t="str">
        <f>_xlfn.XLOOKUP(Table134526_79101120212223242526[[#This Row],[Name Surname]],Manpower!$C$4:$C$1048576,Manpower!$H$4:$H$1048576,"")</f>
        <v>Manpower</v>
      </c>
      <c r="J3652" s="43" t="s">
        <v>35</v>
      </c>
      <c r="K3652" s="51" t="s">
        <v>428</v>
      </c>
      <c r="L3652" s="51" t="s">
        <v>82</v>
      </c>
      <c r="M3652" s="51" t="s">
        <v>24</v>
      </c>
      <c r="N3652" s="52">
        <v>10</v>
      </c>
      <c r="O3652" s="43" t="s">
        <v>25</v>
      </c>
      <c r="P3652" s="43" t="s">
        <v>41</v>
      </c>
      <c r="Q3652" s="43" t="s">
        <v>60</v>
      </c>
      <c r="R3652" s="51" t="s">
        <v>443</v>
      </c>
      <c r="S3652" s="43"/>
    </row>
    <row r="3653" spans="1:19" s="45" customFormat="1" ht="14.4" hidden="1">
      <c r="A3653" s="53">
        <f>IF(C3653="","",MAX($A$1:A3652)+1)</f>
        <v>3346</v>
      </c>
      <c r="B3653" s="54" t="s">
        <v>141</v>
      </c>
      <c r="C3653" s="55">
        <v>46111</v>
      </c>
      <c r="D3653" s="68" t="str">
        <f>_xlfn.XLOOKUP(Table134526_79101120212223242526[[#This Row],[Name Surname]],Manpower!$C$4:$C$1048576,Manpower!$B$4:$B$1048576,"")</f>
        <v>Encogroup</v>
      </c>
      <c r="E3653" s="51" t="s">
        <v>107</v>
      </c>
      <c r="F3653" s="12">
        <f>_xlfn.XLOOKUP(Table134526_79101120212223242526[[#This Row],[Name Surname]],Manpower!C:C,Manpower!D:D,)</f>
        <v>116858297</v>
      </c>
      <c r="G3653" s="68" t="str">
        <f>_xlfn.XLOOKUP(Table134526_79101120212223242526[[#This Row],[Name Surname]],Manpower!$C$4:$C$1048576,Manpower!$F$4:$F$1048576,"")</f>
        <v>Mechanical Superintendent</v>
      </c>
      <c r="H3653" s="68" t="str">
        <f>_xlfn.XLOOKUP(Table134526_79101120212223242526[[#This Row],[Name Surname]],Manpower!$C$4:$C$1048576,Manpower!$H$4:$H$1048576,"")</f>
        <v>Manpower</v>
      </c>
      <c r="I3653" s="48" t="str">
        <f>_xlfn.XLOOKUP(Table134526_79101120212223242526[[#This Row],[Name Surname]],Manpower!$C$4:$C$1048576,Manpower!$H$4:$H$1048576,"")</f>
        <v>Manpower</v>
      </c>
      <c r="J3653" s="43" t="s">
        <v>35</v>
      </c>
      <c r="K3653" s="51" t="s">
        <v>428</v>
      </c>
      <c r="L3653" s="51" t="s">
        <v>82</v>
      </c>
      <c r="M3653" s="51" t="s">
        <v>24</v>
      </c>
      <c r="N3653" s="52">
        <v>10</v>
      </c>
      <c r="O3653" s="43" t="s">
        <v>40</v>
      </c>
      <c r="P3653" s="43" t="s">
        <v>41</v>
      </c>
      <c r="Q3653" s="43" t="s">
        <v>128</v>
      </c>
      <c r="R3653" s="51" t="s">
        <v>443</v>
      </c>
      <c r="S3653" s="43"/>
    </row>
    <row r="3654" spans="1:19" s="45" customFormat="1" ht="14.4" hidden="1">
      <c r="A3654" s="53">
        <f>IF(C3654="","",MAX($A$1:A3653)+1)</f>
        <v>3347</v>
      </c>
      <c r="B3654" s="54" t="s">
        <v>141</v>
      </c>
      <c r="C3654" s="55">
        <v>46111</v>
      </c>
      <c r="D3654" s="68" t="str">
        <f>_xlfn.XLOOKUP(Table134526_79101120212223242526[[#This Row],[Name Surname]],Manpower!$C$4:$C$1048576,Manpower!$B$4:$B$1048576,"")</f>
        <v>Encogroup</v>
      </c>
      <c r="E3654" s="51" t="s">
        <v>126</v>
      </c>
      <c r="F3654" s="12">
        <f>_xlfn.XLOOKUP(Table134526_79101120212223242526[[#This Row],[Name Surname]],Manpower!C:C,Manpower!D:D,)</f>
        <v>140805568</v>
      </c>
      <c r="G3654" s="68" t="str">
        <f>_xlfn.XLOOKUP(Table134526_79101120212223242526[[#This Row],[Name Surname]],Manpower!$C$4:$C$1048576,Manpower!$F$4:$F$1048576,"")</f>
        <v>Assistant/Helper</v>
      </c>
      <c r="H3654" s="68" t="str">
        <f>_xlfn.XLOOKUP(Table134526_79101120212223242526[[#This Row],[Name Surname]],Manpower!$C$4:$C$1048576,Manpower!$H$4:$H$1048576,"")</f>
        <v>Manpower</v>
      </c>
      <c r="I3654" s="48" t="str">
        <f>_xlfn.XLOOKUP(Table134526_79101120212223242526[[#This Row],[Name Surname]],Manpower!$C$4:$C$1048576,Manpower!$H$4:$H$1048576,"")</f>
        <v>Manpower</v>
      </c>
      <c r="J3654" s="43" t="s">
        <v>35</v>
      </c>
      <c r="K3654" s="51" t="s">
        <v>431</v>
      </c>
      <c r="L3654" s="51" t="s">
        <v>82</v>
      </c>
      <c r="M3654" s="51" t="s">
        <v>24</v>
      </c>
      <c r="N3654" s="52">
        <v>10</v>
      </c>
      <c r="O3654" s="43" t="s">
        <v>40</v>
      </c>
      <c r="P3654" s="43" t="s">
        <v>41</v>
      </c>
      <c r="Q3654" s="43" t="s">
        <v>329</v>
      </c>
      <c r="R3654" s="51" t="s">
        <v>443</v>
      </c>
      <c r="S3654" s="43"/>
    </row>
    <row r="3655" spans="1:19" s="45" customFormat="1" ht="14.4" hidden="1">
      <c r="A3655" s="53">
        <f>IF(C3655="","",MAX($A$1:A3654)+1)</f>
        <v>3348</v>
      </c>
      <c r="B3655" s="54" t="s">
        <v>141</v>
      </c>
      <c r="C3655" s="55">
        <v>46111</v>
      </c>
      <c r="D3655" s="68" t="str">
        <f>_xlfn.XLOOKUP(Table134526_79101120212223242526[[#This Row],[Name Surname]],Manpower!$C$4:$C$1048576,Manpower!$B$4:$B$1048576,"")</f>
        <v>Rabwu Ahamal AL Khaleej Trad</v>
      </c>
      <c r="E3655" s="51" t="s">
        <v>131</v>
      </c>
      <c r="F3655" s="12">
        <f>_xlfn.XLOOKUP(Table134526_79101120212223242526[[#This Row],[Name Surname]],Manpower!C:C,Manpower!D:D,)</f>
        <v>131431131</v>
      </c>
      <c r="G3655" s="68" t="str">
        <f>_xlfn.XLOOKUP(Table134526_79101120212223242526[[#This Row],[Name Surname]],Manpower!$C$4:$C$1048576,Manpower!$F$4:$F$1048576,"")</f>
        <v>RIgger</v>
      </c>
      <c r="H3655" s="68" t="str">
        <f>_xlfn.XLOOKUP(Table134526_79101120212223242526[[#This Row],[Name Surname]],Manpower!$C$4:$C$1048576,Manpower!$H$4:$H$1048576,"")</f>
        <v>Sub Contactor</v>
      </c>
      <c r="I3655" s="48" t="str">
        <f>_xlfn.XLOOKUP(Table134526_79101120212223242526[[#This Row],[Name Surname]],Manpower!$C$4:$C$1048576,Manpower!$H$4:$H$1048576,"")</f>
        <v>Sub Contactor</v>
      </c>
      <c r="J3655" s="43" t="s">
        <v>35</v>
      </c>
      <c r="K3655" s="51" t="s">
        <v>428</v>
      </c>
      <c r="L3655" s="51" t="s">
        <v>82</v>
      </c>
      <c r="M3655" s="51" t="s">
        <v>24</v>
      </c>
      <c r="N3655" s="52">
        <v>10</v>
      </c>
      <c r="O3655" s="43" t="s">
        <v>40</v>
      </c>
      <c r="P3655" s="43" t="s">
        <v>41</v>
      </c>
      <c r="Q3655" s="43" t="s">
        <v>42</v>
      </c>
      <c r="R3655" s="51" t="s">
        <v>443</v>
      </c>
      <c r="S3655" s="43"/>
    </row>
    <row r="3656" spans="1:19" s="45" customFormat="1" ht="14.4" hidden="1">
      <c r="A3656" s="53">
        <f>IF(C3656="","",MAX($A$1:A3655)+1)</f>
        <v>3349</v>
      </c>
      <c r="B3656" s="54" t="s">
        <v>141</v>
      </c>
      <c r="C3656" s="55">
        <v>46111</v>
      </c>
      <c r="D3656" s="68" t="str">
        <f>_xlfn.XLOOKUP(Table134526_79101120212223242526[[#This Row],[Name Surname]],Manpower!$C$4:$C$1048576,Manpower!$B$4:$B$1048576,"")</f>
        <v>AL Saif &amp; Al QALLM ENT LLC</v>
      </c>
      <c r="E3656" s="51" t="s">
        <v>130</v>
      </c>
      <c r="F3656" s="12">
        <f>_xlfn.XLOOKUP(Table134526_79101120212223242526[[#This Row],[Name Surname]],Manpower!C:C,Manpower!D:D,)</f>
        <v>76647648</v>
      </c>
      <c r="G3656" s="68" t="str">
        <f>_xlfn.XLOOKUP(Table134526_79101120212223242526[[#This Row],[Name Surname]],Manpower!$C$4:$C$1048576,Manpower!$F$4:$F$1048576,"")</f>
        <v>RIgger</v>
      </c>
      <c r="H3656" s="68" t="str">
        <f>_xlfn.XLOOKUP(Table134526_79101120212223242526[[#This Row],[Name Surname]],Manpower!$C$4:$C$1048576,Manpower!$H$4:$H$1048576,"")</f>
        <v>Sub Contactor</v>
      </c>
      <c r="I3656" s="48" t="str">
        <f>_xlfn.XLOOKUP(Table134526_79101120212223242526[[#This Row],[Name Surname]],Manpower!$C$4:$C$1048576,Manpower!$H$4:$H$1048576,"")</f>
        <v>Sub Contactor</v>
      </c>
      <c r="J3656" s="43" t="s">
        <v>35</v>
      </c>
      <c r="K3656" s="51" t="s">
        <v>428</v>
      </c>
      <c r="L3656" s="51" t="s">
        <v>82</v>
      </c>
      <c r="M3656" s="51" t="s">
        <v>24</v>
      </c>
      <c r="N3656" s="52">
        <v>10</v>
      </c>
      <c r="O3656" s="43" t="s">
        <v>40</v>
      </c>
      <c r="P3656" s="43" t="s">
        <v>41</v>
      </c>
      <c r="Q3656" s="43" t="s">
        <v>42</v>
      </c>
      <c r="R3656" s="51" t="s">
        <v>443</v>
      </c>
      <c r="S3656" s="43"/>
    </row>
    <row r="3657" spans="1:19" s="45" customFormat="1" ht="14.4" hidden="1">
      <c r="A3657" s="53">
        <f>IF(C3657="","",MAX($A$1:A3656)+1)</f>
        <v>3350</v>
      </c>
      <c r="B3657" s="54" t="s">
        <v>141</v>
      </c>
      <c r="C3657" s="55">
        <v>46111</v>
      </c>
      <c r="D3657" s="68" t="str">
        <f>_xlfn.XLOOKUP(Table134526_79101120212223242526[[#This Row],[Name Surname]],Manpower!$C$4:$C$1048576,Manpower!$B$4:$B$1048576,"")</f>
        <v>Encogroup</v>
      </c>
      <c r="E3657" s="51" t="s">
        <v>109</v>
      </c>
      <c r="F3657" s="12">
        <f>_xlfn.XLOOKUP(Table134526_79101120212223242526[[#This Row],[Name Surname]],Manpower!C:C,Manpower!D:D,)</f>
        <v>123805496</v>
      </c>
      <c r="G3657" s="68" t="str">
        <f>_xlfn.XLOOKUP(Table134526_79101120212223242526[[#This Row],[Name Surname]],Manpower!$C$4:$C$1048576,Manpower!$F$4:$F$1048576,"")</f>
        <v>Fitter/Erector</v>
      </c>
      <c r="H3657" s="68" t="str">
        <f>_xlfn.XLOOKUP(Table134526_79101120212223242526[[#This Row],[Name Surname]],Manpower!$C$4:$C$1048576,Manpower!$H$4:$H$1048576,"")</f>
        <v>Manpower</v>
      </c>
      <c r="I3657" s="48" t="str">
        <f>_xlfn.XLOOKUP(Table134526_79101120212223242526[[#This Row],[Name Surname]],Manpower!$C$4:$C$1048576,Manpower!$H$4:$H$1048576,"")</f>
        <v>Manpower</v>
      </c>
      <c r="J3657" s="43" t="s">
        <v>35</v>
      </c>
      <c r="K3657" s="51" t="s">
        <v>428</v>
      </c>
      <c r="L3657" s="51" t="s">
        <v>82</v>
      </c>
      <c r="M3657" s="51" t="s">
        <v>24</v>
      </c>
      <c r="N3657" s="52">
        <v>10</v>
      </c>
      <c r="O3657" s="43" t="s">
        <v>25</v>
      </c>
      <c r="P3657" s="43" t="s">
        <v>41</v>
      </c>
      <c r="Q3657" s="43" t="s">
        <v>60</v>
      </c>
      <c r="R3657" s="51" t="s">
        <v>443</v>
      </c>
      <c r="S3657" s="43"/>
    </row>
    <row r="3658" spans="1:19" ht="14.4" hidden="1">
      <c r="A3658" s="38">
        <f>IF(C3658="","",MAX($A$1:A3657)+1)</f>
        <v>3351</v>
      </c>
      <c r="B3658" s="66" t="s">
        <v>141</v>
      </c>
      <c r="C3658" s="60">
        <v>46111</v>
      </c>
      <c r="D3658" s="61" t="str">
        <f>_xlfn.XLOOKUP(Table134526_79101120212223242526[[#This Row],[Name Surname]],Manpower!$C$4:$C$1048576,Manpower!$B$4:$B$1048576,"")</f>
        <v>Encogroup</v>
      </c>
      <c r="E3658" s="57" t="s">
        <v>110</v>
      </c>
      <c r="F3658" s="12">
        <f>_xlfn.XLOOKUP(Table134526_79101120212223242526[[#This Row],[Name Surname]],Manpower!C:C,Manpower!D:D,)</f>
        <v>136277866</v>
      </c>
      <c r="G3658" s="61" t="str">
        <f>_xlfn.XLOOKUP(Table134526_79101120212223242526[[#This Row],[Name Surname]],Manpower!$C$4:$C$1048576,Manpower!$F$4:$F$1048576,"")</f>
        <v>Permit Receiver</v>
      </c>
      <c r="H3658" s="61" t="str">
        <f>_xlfn.XLOOKUP(Table134526_79101120212223242526[[#This Row],[Name Surname]],Manpower!$C$4:$C$1048576,Manpower!$H$4:$H$1048576,"")</f>
        <v>Manpower</v>
      </c>
      <c r="I3658" s="28" t="str">
        <f>_xlfn.XLOOKUP(Table134526_79101120212223242526[[#This Row],[Name Surname]],Manpower!$C$4:$C$1048576,Manpower!$H$4:$H$1048576,"")</f>
        <v>Manpower</v>
      </c>
      <c r="J3658" s="21" t="s">
        <v>35</v>
      </c>
      <c r="K3658" s="57" t="s">
        <v>428</v>
      </c>
      <c r="L3658" s="57" t="s">
        <v>82</v>
      </c>
      <c r="M3658" s="57" t="s">
        <v>24</v>
      </c>
      <c r="N3658" s="62">
        <v>10</v>
      </c>
      <c r="O3658" s="21" t="s">
        <v>25</v>
      </c>
      <c r="P3658" s="21" t="s">
        <v>41</v>
      </c>
      <c r="Q3658" s="21" t="s">
        <v>60</v>
      </c>
      <c r="R3658" s="57" t="s">
        <v>443</v>
      </c>
    </row>
    <row r="3659" spans="1:19" s="45" customFormat="1" ht="14.4" hidden="1">
      <c r="A3659" s="53">
        <f>IF(C3659="","",MAX($A$1:A3658)+1)</f>
        <v>3352</v>
      </c>
      <c r="B3659" s="54" t="s">
        <v>141</v>
      </c>
      <c r="C3659" s="55">
        <v>46111</v>
      </c>
      <c r="D3659" s="68" t="str">
        <f>_xlfn.XLOOKUP(Table134526_79101120212223242526[[#This Row],[Name Surname]],Manpower!$C$4:$C$1048576,Manpower!$B$4:$B$1048576,"")</f>
        <v>Encogroup</v>
      </c>
      <c r="E3659" s="51" t="s">
        <v>112</v>
      </c>
      <c r="F3659" s="12">
        <f>_xlfn.XLOOKUP(Table134526_79101120212223242526[[#This Row],[Name Surname]],Manpower!C:C,Manpower!D:D,)</f>
        <v>140663253</v>
      </c>
      <c r="G3659" s="68" t="str">
        <f>_xlfn.XLOOKUP(Table134526_79101120212223242526[[#This Row],[Name Surname]],Manpower!$C$4:$C$1048576,Manpower!$F$4:$F$1048576,"")</f>
        <v>Painting Inspector</v>
      </c>
      <c r="H3659" s="68" t="str">
        <f>_xlfn.XLOOKUP(Table134526_79101120212223242526[[#This Row],[Name Surname]],Manpower!$C$4:$C$1048576,Manpower!$H$4:$H$1048576,"")</f>
        <v>Manpower</v>
      </c>
      <c r="I3659" s="48" t="str">
        <f>_xlfn.XLOOKUP(Table134526_79101120212223242526[[#This Row],[Name Surname]],Manpower!$C$4:$C$1048576,Manpower!$H$4:$H$1048576,"")</f>
        <v>Manpower</v>
      </c>
      <c r="J3659" s="43" t="s">
        <v>35</v>
      </c>
      <c r="K3659" s="51" t="s">
        <v>432</v>
      </c>
      <c r="L3659" s="51" t="s">
        <v>82</v>
      </c>
      <c r="M3659" s="51" t="s">
        <v>24</v>
      </c>
      <c r="N3659" s="52">
        <v>10</v>
      </c>
      <c r="O3659" s="43" t="s">
        <v>94</v>
      </c>
      <c r="P3659" s="43" t="s">
        <v>114</v>
      </c>
      <c r="Q3659" s="43" t="s">
        <v>114</v>
      </c>
      <c r="R3659" s="51" t="s">
        <v>26</v>
      </c>
      <c r="S3659" s="43"/>
    </row>
    <row r="3660" spans="1:19" s="45" customFormat="1" ht="14.4" hidden="1">
      <c r="A3660" s="53">
        <f>IF(C3660="","",MAX($A$1:A3659)+1)</f>
        <v>3353</v>
      </c>
      <c r="B3660" s="54" t="s">
        <v>141</v>
      </c>
      <c r="C3660" s="55">
        <v>46111</v>
      </c>
      <c r="D3660" s="68" t="str">
        <f>_xlfn.XLOOKUP(Table134526_79101120212223242526[[#This Row],[Name Surname]],Manpower!$C$4:$C$1048576,Manpower!$B$4:$B$1048576,"")</f>
        <v>Encogroup</v>
      </c>
      <c r="E3660" s="51" t="s">
        <v>118</v>
      </c>
      <c r="F3660" s="12" t="str">
        <f>_xlfn.XLOOKUP(Table134526_79101120212223242526[[#This Row],[Name Surname]],Manpower!C:C,Manpower!D:D,)</f>
        <v>AG111207</v>
      </c>
      <c r="G3660" s="68" t="str">
        <f>_xlfn.XLOOKUP(Table134526_79101120212223242526[[#This Row],[Name Surname]],Manpower!$C$4:$C$1048576,Manpower!$F$4:$F$1048576,"")</f>
        <v>Assistant/Helper</v>
      </c>
      <c r="H3660" s="68" t="str">
        <f>_xlfn.XLOOKUP(Table134526_79101120212223242526[[#This Row],[Name Surname]],Manpower!$C$4:$C$1048576,Manpower!$H$4:$H$1048576,"")</f>
        <v>Manpower</v>
      </c>
      <c r="I3660" s="48" t="str">
        <f>_xlfn.XLOOKUP(Table134526_79101120212223242526[[#This Row],[Name Surname]],Manpower!$C$4:$C$1048576,Manpower!$H$4:$H$1048576,"")</f>
        <v>Manpower</v>
      </c>
      <c r="J3660" s="43" t="s">
        <v>35</v>
      </c>
      <c r="K3660" s="51" t="s">
        <v>432</v>
      </c>
      <c r="L3660" s="51" t="s">
        <v>82</v>
      </c>
      <c r="M3660" s="51" t="s">
        <v>24</v>
      </c>
      <c r="N3660" s="52">
        <v>10</v>
      </c>
      <c r="O3660" s="43" t="s">
        <v>94</v>
      </c>
      <c r="P3660" s="43" t="s">
        <v>114</v>
      </c>
      <c r="Q3660" s="43" t="s">
        <v>114</v>
      </c>
      <c r="R3660" s="51" t="s">
        <v>26</v>
      </c>
      <c r="S3660" s="43"/>
    </row>
    <row r="3661" spans="1:19" s="45" customFormat="1" ht="14.4" hidden="1">
      <c r="A3661" s="53">
        <f>IF(C3661="","",MAX($A$1:A3660)+1)</f>
        <v>3354</v>
      </c>
      <c r="B3661" s="54" t="s">
        <v>141</v>
      </c>
      <c r="C3661" s="55">
        <v>46111</v>
      </c>
      <c r="D3661" s="68" t="str">
        <f>_xlfn.XLOOKUP(Table134526_79101120212223242526[[#This Row],[Name Surname]],Manpower!$C$4:$C$1048576,Manpower!$B$4:$B$1048576,"")</f>
        <v>Encogroup</v>
      </c>
      <c r="E3661" s="51" t="s">
        <v>92</v>
      </c>
      <c r="F3661" s="12">
        <f>_xlfn.XLOOKUP(Table134526_79101120212223242526[[#This Row],[Name Surname]],Manpower!C:C,Manpower!D:D,)</f>
        <v>141377747</v>
      </c>
      <c r="G3661" s="68" t="str">
        <f>_xlfn.XLOOKUP(Table134526_79101120212223242526[[#This Row],[Name Surname]],Manpower!$C$4:$C$1048576,Manpower!$F$4:$F$1048576,"")</f>
        <v>Painter</v>
      </c>
      <c r="H3661" s="68" t="str">
        <f>_xlfn.XLOOKUP(Table134526_79101120212223242526[[#This Row],[Name Surname]],Manpower!$C$4:$C$1048576,Manpower!$H$4:$H$1048576,"")</f>
        <v>Manpower</v>
      </c>
      <c r="I3661" s="48" t="str">
        <f>_xlfn.XLOOKUP(Table134526_79101120212223242526[[#This Row],[Name Surname]],Manpower!$C$4:$C$1048576,Manpower!$H$4:$H$1048576,"")</f>
        <v>Manpower</v>
      </c>
      <c r="J3661" s="43" t="s">
        <v>35</v>
      </c>
      <c r="K3661" s="51" t="s">
        <v>428</v>
      </c>
      <c r="L3661" s="51" t="s">
        <v>82</v>
      </c>
      <c r="M3661" s="51" t="s">
        <v>24</v>
      </c>
      <c r="N3661" s="52">
        <v>10</v>
      </c>
      <c r="O3661" s="43" t="s">
        <v>25</v>
      </c>
      <c r="P3661" s="43" t="s">
        <v>41</v>
      </c>
      <c r="Q3661" s="43" t="s">
        <v>60</v>
      </c>
      <c r="R3661" s="51" t="s">
        <v>443</v>
      </c>
      <c r="S3661" s="43"/>
    </row>
    <row r="3662" spans="1:19" s="45" customFormat="1" ht="14.4" hidden="1">
      <c r="A3662" s="53">
        <f>IF(C3662="","",MAX($A$1:A3661)+1)</f>
        <v>3355</v>
      </c>
      <c r="B3662" s="54" t="s">
        <v>141</v>
      </c>
      <c r="C3662" s="55">
        <v>46111</v>
      </c>
      <c r="D3662" s="68" t="str">
        <f>_xlfn.XLOOKUP(Table134526_79101120212223242526[[#This Row],[Name Surname]],Manpower!$C$4:$C$1048576,Manpower!$B$4:$B$1048576,"")</f>
        <v>Encogroup</v>
      </c>
      <c r="E3662" s="51" t="s">
        <v>173</v>
      </c>
      <c r="F3662" s="12" t="str">
        <f>_xlfn.XLOOKUP(Table134526_79101120212223242526[[#This Row],[Name Surname]],Manpower!C:C,Manpower!D:D,)</f>
        <v>S3549132</v>
      </c>
      <c r="G3662" s="68" t="str">
        <f>_xlfn.XLOOKUP(Table134526_79101120212223242526[[#This Row],[Name Surname]],Manpower!$C$4:$C$1048576,Manpower!$F$4:$F$1048576,"")</f>
        <v>Grinder</v>
      </c>
      <c r="H3662" s="68" t="str">
        <f>_xlfn.XLOOKUP(Table134526_79101120212223242526[[#This Row],[Name Surname]],Manpower!$C$4:$C$1048576,Manpower!$H$4:$H$1048576,"")</f>
        <v>Manpower</v>
      </c>
      <c r="I3662" s="48" t="str">
        <f>_xlfn.XLOOKUP(Table134526_79101120212223242526[[#This Row],[Name Surname]],Manpower!$C$4:$C$1048576,Manpower!$H$4:$H$1048576,"")</f>
        <v>Manpower</v>
      </c>
      <c r="J3662" s="43" t="s">
        <v>35</v>
      </c>
      <c r="K3662" s="51" t="s">
        <v>432</v>
      </c>
      <c r="L3662" s="51" t="s">
        <v>82</v>
      </c>
      <c r="M3662" s="51" t="s">
        <v>24</v>
      </c>
      <c r="N3662" s="52">
        <v>10</v>
      </c>
      <c r="O3662" s="43" t="s">
        <v>94</v>
      </c>
      <c r="P3662" s="43" t="s">
        <v>114</v>
      </c>
      <c r="Q3662" s="43" t="s">
        <v>114</v>
      </c>
      <c r="R3662" s="51" t="s">
        <v>26</v>
      </c>
      <c r="S3662" s="43"/>
    </row>
    <row r="3663" spans="1:19" s="45" customFormat="1" ht="14.4" hidden="1">
      <c r="A3663" s="53">
        <f>IF(C3663="","",MAX($A$1:A3662)+1)</f>
        <v>3356</v>
      </c>
      <c r="B3663" s="54" t="s">
        <v>141</v>
      </c>
      <c r="C3663" s="55">
        <v>46111</v>
      </c>
      <c r="D3663" s="68" t="str">
        <f>_xlfn.XLOOKUP(Table134526_79101120212223242526[[#This Row],[Name Surname]],Manpower!$C$4:$C$1048576,Manpower!$B$4:$B$1048576,"")</f>
        <v>Encogroup</v>
      </c>
      <c r="E3663" s="51" t="s">
        <v>119</v>
      </c>
      <c r="F3663" s="12">
        <f>_xlfn.XLOOKUP(Table134526_79101120212223242526[[#This Row],[Name Surname]],Manpower!C:C,Manpower!D:D,)</f>
        <v>140844778</v>
      </c>
      <c r="G3663" s="68" t="str">
        <f>_xlfn.XLOOKUP(Table134526_79101120212223242526[[#This Row],[Name Surname]],Manpower!$C$4:$C$1048576,Manpower!$F$4:$F$1048576,"")</f>
        <v>Painter</v>
      </c>
      <c r="H3663" s="68" t="str">
        <f>_xlfn.XLOOKUP(Table134526_79101120212223242526[[#This Row],[Name Surname]],Manpower!$C$4:$C$1048576,Manpower!$H$4:$H$1048576,"")</f>
        <v>Manpower</v>
      </c>
      <c r="I3663" s="48" t="str">
        <f>_xlfn.XLOOKUP(Table134526_79101120212223242526[[#This Row],[Name Surname]],Manpower!$C$4:$C$1048576,Manpower!$H$4:$H$1048576,"")</f>
        <v>Manpower</v>
      </c>
      <c r="J3663" s="43" t="s">
        <v>35</v>
      </c>
      <c r="K3663" s="51" t="s">
        <v>432</v>
      </c>
      <c r="L3663" s="51" t="s">
        <v>82</v>
      </c>
      <c r="M3663" s="51" t="s">
        <v>24</v>
      </c>
      <c r="N3663" s="52">
        <v>10</v>
      </c>
      <c r="O3663" s="43" t="s">
        <v>94</v>
      </c>
      <c r="P3663" s="43" t="s">
        <v>114</v>
      </c>
      <c r="Q3663" s="43" t="s">
        <v>114</v>
      </c>
      <c r="R3663" s="51" t="s">
        <v>26</v>
      </c>
      <c r="S3663" s="43"/>
    </row>
    <row r="3664" spans="1:19" s="45" customFormat="1" ht="14.4" hidden="1">
      <c r="A3664" s="53">
        <f>IF(C3664="","",MAX($A$1:A3663)+1)</f>
        <v>3357</v>
      </c>
      <c r="B3664" s="54" t="s">
        <v>141</v>
      </c>
      <c r="C3664" s="55">
        <v>46111</v>
      </c>
      <c r="D3664" s="68" t="str">
        <f>_xlfn.XLOOKUP(Table134526_79101120212223242526[[#This Row],[Name Surname]],Manpower!$C$4:$C$1048576,Manpower!$B$4:$B$1048576,"")</f>
        <v>Encogroup</v>
      </c>
      <c r="E3664" s="51" t="s">
        <v>117</v>
      </c>
      <c r="F3664" s="12">
        <f>_xlfn.XLOOKUP(Table134526_79101120212223242526[[#This Row],[Name Surname]],Manpower!C:C,Manpower!D:D,)</f>
        <v>140844783</v>
      </c>
      <c r="G3664" s="68" t="str">
        <f>_xlfn.XLOOKUP(Table134526_79101120212223242526[[#This Row],[Name Surname]],Manpower!$C$4:$C$1048576,Manpower!$F$4:$F$1048576,"")</f>
        <v>Painter</v>
      </c>
      <c r="H3664" s="68" t="str">
        <f>_xlfn.XLOOKUP(Table134526_79101120212223242526[[#This Row],[Name Surname]],Manpower!$C$4:$C$1048576,Manpower!$H$4:$H$1048576,"")</f>
        <v>Manpower</v>
      </c>
      <c r="I3664" s="48" t="str">
        <f>_xlfn.XLOOKUP(Table134526_79101120212223242526[[#This Row],[Name Surname]],Manpower!$C$4:$C$1048576,Manpower!$H$4:$H$1048576,"")</f>
        <v>Manpower</v>
      </c>
      <c r="J3664" s="43" t="s">
        <v>35</v>
      </c>
      <c r="K3664" s="51" t="s">
        <v>432</v>
      </c>
      <c r="L3664" s="51" t="s">
        <v>82</v>
      </c>
      <c r="M3664" s="51" t="s">
        <v>24</v>
      </c>
      <c r="N3664" s="52">
        <v>10</v>
      </c>
      <c r="O3664" s="43" t="s">
        <v>94</v>
      </c>
      <c r="P3664" s="43" t="s">
        <v>114</v>
      </c>
      <c r="Q3664" s="43" t="s">
        <v>114</v>
      </c>
      <c r="R3664" s="51" t="s">
        <v>26</v>
      </c>
      <c r="S3664" s="43"/>
    </row>
    <row r="3665" spans="1:19" s="45" customFormat="1" ht="14.4" hidden="1">
      <c r="A3665" s="53">
        <f>IF(C3665="","",MAX($A$1:A3664)+1)</f>
        <v>3358</v>
      </c>
      <c r="B3665" s="54" t="s">
        <v>141</v>
      </c>
      <c r="C3665" s="55">
        <v>46111</v>
      </c>
      <c r="D3665" s="68" t="str">
        <f>_xlfn.XLOOKUP(Table134526_79101120212223242526[[#This Row],[Name Surname]],Manpower!$C$4:$C$1048576,Manpower!$B$4:$B$1048576,"")</f>
        <v>Encogroup</v>
      </c>
      <c r="E3665" s="51" t="s">
        <v>209</v>
      </c>
      <c r="F3665" s="12">
        <f>_xlfn.XLOOKUP(Table134526_79101120212223242526[[#This Row],[Name Surname]],Manpower!C:C,Manpower!D:D,)</f>
        <v>141365164</v>
      </c>
      <c r="G3665" s="68" t="str">
        <f>_xlfn.XLOOKUP(Table134526_79101120212223242526[[#This Row],[Name Surname]],Manpower!$C$4:$C$1048576,Manpower!$F$4:$F$1048576,"")</f>
        <v>Helper</v>
      </c>
      <c r="H3665" s="68" t="str">
        <f>_xlfn.XLOOKUP(Table134526_79101120212223242526[[#This Row],[Name Surname]],Manpower!$C$4:$C$1048576,Manpower!$H$4:$H$1048576,"")</f>
        <v>Manpower</v>
      </c>
      <c r="I3665" s="48" t="str">
        <f>_xlfn.XLOOKUP(Table134526_79101120212223242526[[#This Row],[Name Surname]],Manpower!$C$4:$C$1048576,Manpower!$H$4:$H$1048576,"")</f>
        <v>Manpower</v>
      </c>
      <c r="J3665" s="43" t="s">
        <v>35</v>
      </c>
      <c r="K3665" s="51" t="s">
        <v>428</v>
      </c>
      <c r="L3665" s="51" t="s">
        <v>82</v>
      </c>
      <c r="M3665" s="51" t="s">
        <v>24</v>
      </c>
      <c r="N3665" s="52">
        <v>10</v>
      </c>
      <c r="O3665" s="43" t="s">
        <v>25</v>
      </c>
      <c r="P3665" s="43" t="s">
        <v>41</v>
      </c>
      <c r="Q3665" s="43" t="s">
        <v>60</v>
      </c>
      <c r="R3665" s="51" t="s">
        <v>443</v>
      </c>
      <c r="S3665" s="43"/>
    </row>
    <row r="3666" spans="1:19" s="45" customFormat="1" ht="14.4" hidden="1">
      <c r="A3666" s="53">
        <f>IF(C3666="","",MAX($A$1:A3665)+1)</f>
        <v>3359</v>
      </c>
      <c r="B3666" s="54" t="s">
        <v>141</v>
      </c>
      <c r="C3666" s="55">
        <v>46111</v>
      </c>
      <c r="D3666" s="68" t="str">
        <f>_xlfn.XLOOKUP(Table134526_79101120212223242526[[#This Row],[Name Surname]],Manpower!$C$4:$C$1048576,Manpower!$B$4:$B$1048576,"")</f>
        <v>Encogroup</v>
      </c>
      <c r="E3666" s="51" t="s">
        <v>122</v>
      </c>
      <c r="F3666" s="12">
        <f>_xlfn.XLOOKUP(Table134526_79101120212223242526[[#This Row],[Name Surname]],Manpower!C:C,Manpower!D:D,)</f>
        <v>140805554</v>
      </c>
      <c r="G3666" s="68" t="str">
        <f>_xlfn.XLOOKUP(Table134526_79101120212223242526[[#This Row],[Name Surname]],Manpower!$C$4:$C$1048576,Manpower!$F$4:$F$1048576,"")</f>
        <v>Assistant/Helper</v>
      </c>
      <c r="H3666" s="68" t="str">
        <f>_xlfn.XLOOKUP(Table134526_79101120212223242526[[#This Row],[Name Surname]],Manpower!$C$4:$C$1048576,Manpower!$H$4:$H$1048576,"")</f>
        <v>Manpower</v>
      </c>
      <c r="I3666" s="48" t="str">
        <f>_xlfn.XLOOKUP(Table134526_79101120212223242526[[#This Row],[Name Surname]],Manpower!$C$4:$C$1048576,Manpower!$H$4:$H$1048576,"")</f>
        <v>Manpower</v>
      </c>
      <c r="J3666" s="43" t="s">
        <v>35</v>
      </c>
      <c r="K3666" s="51" t="s">
        <v>428</v>
      </c>
      <c r="L3666" s="51" t="s">
        <v>82</v>
      </c>
      <c r="M3666" s="51" t="s">
        <v>24</v>
      </c>
      <c r="N3666" s="52">
        <v>10</v>
      </c>
      <c r="O3666" s="43" t="s">
        <v>25</v>
      </c>
      <c r="P3666" s="43" t="s">
        <v>41</v>
      </c>
      <c r="Q3666" s="43" t="s">
        <v>77</v>
      </c>
      <c r="R3666" s="51" t="s">
        <v>443</v>
      </c>
      <c r="S3666" s="43"/>
    </row>
    <row r="3667" spans="1:19" ht="14.4" hidden="1">
      <c r="A3667" s="38">
        <f>IF(C3667="","",MAX($A$1:A3666)+1)</f>
        <v>3360</v>
      </c>
      <c r="B3667" s="66" t="s">
        <v>141</v>
      </c>
      <c r="C3667" s="60">
        <v>46111</v>
      </c>
      <c r="D3667" s="28" t="str">
        <f>_xlfn.XLOOKUP(Table134526_79101120212223242526[[#This Row],[Name Surname]],Manpower!$C$4:$C$1048576,Manpower!$B$4:$B$1048576,"")</f>
        <v>Encogroup</v>
      </c>
      <c r="E3667" s="21" t="s">
        <v>286</v>
      </c>
      <c r="F3667" s="12">
        <f>_xlfn.XLOOKUP(Table134526_79101120212223242526[[#This Row],[Name Surname]],Manpower!C:C,Manpower!D:D,)</f>
        <v>1487544</v>
      </c>
      <c r="G3667" s="28" t="str">
        <f>_xlfn.XLOOKUP(Table134526_79101120212223242526[[#This Row],[Name Surname]],Manpower!$C$4:$C$1048576,Manpower!$F$4:$F$1048576,"")</f>
        <v>Driver</v>
      </c>
      <c r="H3667" s="28" t="str">
        <f>_xlfn.XLOOKUP(Table134526_79101120212223242526[[#This Row],[Name Surname]],Manpower!$C$4:$C$1048576,Manpower!$H$4:$H$1048576,"")</f>
        <v>Manpower</v>
      </c>
      <c r="I3667" s="28" t="str">
        <f>_xlfn.XLOOKUP(Table134526_79101120212223242526[[#This Row],[Name Surname]],Manpower!$C$4:$C$1048576,Manpower!$H$4:$H$1048576,"")</f>
        <v>Manpower</v>
      </c>
      <c r="J3667" s="21" t="s">
        <v>135</v>
      </c>
      <c r="K3667" s="57" t="s">
        <v>26</v>
      </c>
      <c r="L3667" s="57" t="s">
        <v>82</v>
      </c>
      <c r="M3667" s="57" t="s">
        <v>24</v>
      </c>
      <c r="N3667" s="62">
        <v>10</v>
      </c>
      <c r="O3667" s="21" t="s">
        <v>40</v>
      </c>
      <c r="P3667" s="21" t="s">
        <v>41</v>
      </c>
      <c r="Q3667" s="21" t="s">
        <v>42</v>
      </c>
      <c r="R3667" s="21" t="s">
        <v>26</v>
      </c>
    </row>
    <row r="3668" spans="1:19" ht="14.4" hidden="1">
      <c r="A3668" s="38">
        <f>IF(C3668="","",MAX($A$1:A3667)+1)</f>
        <v>3361</v>
      </c>
      <c r="B3668" s="66" t="s">
        <v>141</v>
      </c>
      <c r="C3668" s="60">
        <v>46111</v>
      </c>
      <c r="D3668" s="28" t="str">
        <f>_xlfn.XLOOKUP(Table134526_79101120212223242526[[#This Row],[Name Surname]],Manpower!$C$4:$C$1048576,Manpower!$B$4:$B$1048576,"")</f>
        <v xml:space="preserve">FAL Transport </v>
      </c>
      <c r="E3668" s="21" t="s">
        <v>225</v>
      </c>
      <c r="F3668" s="12">
        <f>_xlfn.XLOOKUP(Table134526_79101120212223242526[[#This Row],[Name Surname]],Manpower!C:C,Manpower!D:D,)</f>
        <v>124233837</v>
      </c>
      <c r="G3668" s="28" t="str">
        <f>_xlfn.XLOOKUP(Table134526_79101120212223242526[[#This Row],[Name Surname]],Manpower!$C$4:$C$1048576,Manpower!$F$4:$F$1048576,"")</f>
        <v>Trailer Driver</v>
      </c>
      <c r="H3668" s="28" t="str">
        <f>_xlfn.XLOOKUP(Table134526_79101120212223242526[[#This Row],[Name Surname]],Manpower!$C$4:$C$1048576,Manpower!$H$4:$H$1048576,"")</f>
        <v>Sub Contactor</v>
      </c>
      <c r="I3668" s="28" t="str">
        <f>_xlfn.XLOOKUP(Table134526_79101120212223242526[[#This Row],[Name Surname]],Manpower!$C$4:$C$1048576,Manpower!$H$4:$H$1048576,"")</f>
        <v>Sub Contactor</v>
      </c>
      <c r="J3668" s="21" t="s">
        <v>135</v>
      </c>
      <c r="K3668" s="57" t="s">
        <v>26</v>
      </c>
      <c r="L3668" s="57" t="s">
        <v>82</v>
      </c>
      <c r="M3668" s="57" t="s">
        <v>24</v>
      </c>
      <c r="N3668" s="62">
        <v>10</v>
      </c>
      <c r="O3668" s="21" t="s">
        <v>40</v>
      </c>
      <c r="P3668" s="21" t="s">
        <v>41</v>
      </c>
      <c r="Q3668" s="21" t="s">
        <v>42</v>
      </c>
      <c r="R3668" s="21" t="s">
        <v>26</v>
      </c>
    </row>
    <row r="3669" spans="1:19" ht="14.4" hidden="1">
      <c r="A3669" s="38">
        <f>IF(C3669="","",MAX($A$1:A3668)+1)</f>
        <v>3362</v>
      </c>
      <c r="B3669" s="66" t="s">
        <v>141</v>
      </c>
      <c r="C3669" s="60">
        <v>46111</v>
      </c>
      <c r="D3669" s="28" t="str">
        <f>_xlfn.XLOOKUP(Table134526_79101120212223242526[[#This Row],[Name Surname]],Manpower!$C$4:$C$1048576,Manpower!$B$4:$B$1048576,"")</f>
        <v>Encogroup</v>
      </c>
      <c r="E3669" s="21" t="s">
        <v>235</v>
      </c>
      <c r="F3669" s="12">
        <f>_xlfn.XLOOKUP(Table134526_79101120212223242526[[#This Row],[Name Surname]],Manpower!C:C,Manpower!D:D,)</f>
        <v>132423982</v>
      </c>
      <c r="G3669" s="28" t="str">
        <f>_xlfn.XLOOKUP(Table134526_79101120212223242526[[#This Row],[Name Surname]],Manpower!$C$4:$C$1048576,Manpower!$F$4:$F$1048576,"")</f>
        <v>Mechanic Supervisor</v>
      </c>
      <c r="H3669" s="28" t="str">
        <f>_xlfn.XLOOKUP(Table134526_79101120212223242526[[#This Row],[Name Surname]],Manpower!$C$4:$C$1048576,Manpower!$H$4:$H$1048576,"")</f>
        <v>Manpower</v>
      </c>
      <c r="I3669" s="28" t="str">
        <f>_xlfn.XLOOKUP(Table134526_79101120212223242526[[#This Row],[Name Surname]],Manpower!$C$4:$C$1048576,Manpower!$H$4:$H$1048576,"")</f>
        <v>Manpower</v>
      </c>
      <c r="J3669" s="21" t="s">
        <v>135</v>
      </c>
      <c r="K3669" s="57" t="s">
        <v>26</v>
      </c>
      <c r="L3669" s="57" t="s">
        <v>82</v>
      </c>
      <c r="M3669" s="57" t="s">
        <v>24</v>
      </c>
      <c r="N3669" s="62">
        <v>10</v>
      </c>
      <c r="O3669" s="21" t="s">
        <v>236</v>
      </c>
      <c r="P3669" s="21" t="s">
        <v>236</v>
      </c>
      <c r="Q3669" s="21" t="s">
        <v>236</v>
      </c>
      <c r="R3669" s="21" t="s">
        <v>26</v>
      </c>
    </row>
    <row r="3670" spans="1:19" ht="14.4" hidden="1">
      <c r="A3670" s="38">
        <f>IF(C3670="","",MAX($A$1:A3669)+1)</f>
        <v>3363</v>
      </c>
      <c r="B3670" s="66" t="s">
        <v>141</v>
      </c>
      <c r="C3670" s="60">
        <v>46111</v>
      </c>
      <c r="D3670" s="28" t="str">
        <f>_xlfn.XLOOKUP(Table134526_79101120212223242526[[#This Row],[Name Surname]],Manpower!$C$4:$C$1048576,Manpower!$B$4:$B$1048576,"")</f>
        <v>Encogroup</v>
      </c>
      <c r="E3670" s="21" t="s">
        <v>237</v>
      </c>
      <c r="F3670" s="12">
        <f>_xlfn.XLOOKUP(Table134526_79101120212223242526[[#This Row],[Name Surname]],Manpower!C:C,Manpower!D:D,)</f>
        <v>75199413</v>
      </c>
      <c r="G3670" s="28" t="str">
        <f>_xlfn.XLOOKUP(Table134526_79101120212223242526[[#This Row],[Name Surname]],Manpower!$C$4:$C$1048576,Manpower!$F$4:$F$1048576,"")</f>
        <v>Mechanic</v>
      </c>
      <c r="H3670" s="28" t="str">
        <f>_xlfn.XLOOKUP(Table134526_79101120212223242526[[#This Row],[Name Surname]],Manpower!$C$4:$C$1048576,Manpower!$H$4:$H$1048576,"")</f>
        <v>Manpower</v>
      </c>
      <c r="I3670" s="28" t="str">
        <f>_xlfn.XLOOKUP(Table134526_79101120212223242526[[#This Row],[Name Surname]],Manpower!$C$4:$C$1048576,Manpower!$H$4:$H$1048576,"")</f>
        <v>Manpower</v>
      </c>
      <c r="J3670" s="21" t="s">
        <v>135</v>
      </c>
      <c r="K3670" s="57" t="s">
        <v>26</v>
      </c>
      <c r="L3670" s="57" t="s">
        <v>82</v>
      </c>
      <c r="M3670" s="57" t="s">
        <v>24</v>
      </c>
      <c r="N3670" s="62">
        <v>10</v>
      </c>
      <c r="O3670" s="21" t="s">
        <v>236</v>
      </c>
      <c r="P3670" s="21" t="s">
        <v>236</v>
      </c>
      <c r="Q3670" s="21" t="s">
        <v>236</v>
      </c>
      <c r="R3670" s="21" t="s">
        <v>26</v>
      </c>
    </row>
    <row r="3671" spans="1:19" ht="14.4" hidden="1">
      <c r="A3671" s="38">
        <f>IF(C3671="","",MAX($A$1:A3670)+1)</f>
        <v>3364</v>
      </c>
      <c r="B3671" s="66" t="s">
        <v>141</v>
      </c>
      <c r="C3671" s="60">
        <v>46111</v>
      </c>
      <c r="D3671" s="28" t="str">
        <f>_xlfn.XLOOKUP(Table134526_79101120212223242526[[#This Row],[Name Surname]],Manpower!$C$4:$C$1048576,Manpower!$B$4:$B$1048576,"")</f>
        <v>Encogroup</v>
      </c>
      <c r="E3671" s="21" t="s">
        <v>398</v>
      </c>
      <c r="F3671" s="12">
        <f>_xlfn.XLOOKUP(Table134526_79101120212223242526[[#This Row],[Name Surname]],Manpower!C:C,Manpower!D:D,)</f>
        <v>81612139</v>
      </c>
      <c r="G3671" s="28" t="str">
        <f>_xlfn.XLOOKUP(Table134526_79101120212223242526[[#This Row],[Name Surname]],Manpower!$C$4:$C$1048576,Manpower!$F$4:$F$1048576,"")</f>
        <v>Mechanic</v>
      </c>
      <c r="H3671" s="28" t="str">
        <f>_xlfn.XLOOKUP(Table134526_79101120212223242526[[#This Row],[Name Surname]],Manpower!$C$4:$C$1048576,Manpower!$H$4:$H$1048576,"")</f>
        <v>Manpower</v>
      </c>
      <c r="I3671" s="28" t="str">
        <f>_xlfn.XLOOKUP(Table134526_79101120212223242526[[#This Row],[Name Surname]],Manpower!$C$4:$C$1048576,Manpower!$H$4:$H$1048576,"")</f>
        <v>Manpower</v>
      </c>
      <c r="J3671" s="21" t="s">
        <v>135</v>
      </c>
      <c r="K3671" s="57" t="s">
        <v>26</v>
      </c>
      <c r="L3671" s="57" t="s">
        <v>82</v>
      </c>
      <c r="M3671" s="57" t="s">
        <v>24</v>
      </c>
      <c r="N3671" s="62">
        <v>10</v>
      </c>
      <c r="O3671" s="21" t="s">
        <v>236</v>
      </c>
      <c r="P3671" s="21" t="s">
        <v>236</v>
      </c>
      <c r="Q3671" s="21" t="s">
        <v>236</v>
      </c>
      <c r="R3671" s="21" t="s">
        <v>26</v>
      </c>
    </row>
    <row r="3672" spans="1:19" ht="14.4" hidden="1">
      <c r="A3672" s="38">
        <f>IF(C3672="","",MAX($A$1:A3671)+1)</f>
        <v>3365</v>
      </c>
      <c r="B3672" s="66" t="s">
        <v>141</v>
      </c>
      <c r="C3672" s="60">
        <v>46111</v>
      </c>
      <c r="D3672" s="28" t="str">
        <f>_xlfn.XLOOKUP(Table134526_79101120212223242526[[#This Row],[Name Surname]],Manpower!$C$4:$C$1048576,Manpower!$B$4:$B$1048576,"")</f>
        <v>Encogroup</v>
      </c>
      <c r="E3672" s="21" t="s">
        <v>228</v>
      </c>
      <c r="F3672" s="12">
        <f>_xlfn.XLOOKUP(Table134526_79101120212223242526[[#This Row],[Name Surname]],Manpower!C:C,Manpower!D:D,)</f>
        <v>125199963</v>
      </c>
      <c r="G3672" s="28" t="str">
        <f>_xlfn.XLOOKUP(Table134526_79101120212223242526[[#This Row],[Name Surname]],Manpower!$C$4:$C$1048576,Manpower!$F$4:$F$1048576,"")</f>
        <v>Electrician</v>
      </c>
      <c r="H3672" s="28" t="str">
        <f>_xlfn.XLOOKUP(Table134526_79101120212223242526[[#This Row],[Name Surname]],Manpower!$C$4:$C$1048576,Manpower!$H$4:$H$1048576,"")</f>
        <v>Manpower</v>
      </c>
      <c r="I3672" s="28" t="str">
        <f>_xlfn.XLOOKUP(Table134526_79101120212223242526[[#This Row],[Name Surname]],Manpower!$C$4:$C$1048576,Manpower!$H$4:$H$1048576,"")</f>
        <v>Manpower</v>
      </c>
      <c r="J3672" s="21" t="s">
        <v>135</v>
      </c>
      <c r="K3672" s="57" t="s">
        <v>26</v>
      </c>
      <c r="L3672" s="57" t="s">
        <v>82</v>
      </c>
      <c r="M3672" s="57" t="s">
        <v>24</v>
      </c>
      <c r="N3672" s="62">
        <v>10</v>
      </c>
      <c r="O3672" s="21" t="s">
        <v>28</v>
      </c>
      <c r="P3672" s="21" t="s">
        <v>28</v>
      </c>
      <c r="Q3672" s="21" t="s">
        <v>28</v>
      </c>
      <c r="R3672" s="21" t="s">
        <v>26</v>
      </c>
    </row>
    <row r="3673" spans="1:19" ht="14.4" hidden="1">
      <c r="A3673" s="38">
        <f>IF(C3673="","",MAX($A$1:A3672)+1)</f>
        <v>3366</v>
      </c>
      <c r="B3673" s="66" t="s">
        <v>141</v>
      </c>
      <c r="C3673" s="60">
        <v>46111</v>
      </c>
      <c r="D3673" s="28" t="str">
        <f>_xlfn.XLOOKUP(Table134526_79101120212223242526[[#This Row],[Name Surname]],Manpower!$C$4:$C$1048576,Manpower!$B$4:$B$1048576,"")</f>
        <v>Encogroup</v>
      </c>
      <c r="E3673" s="21" t="s">
        <v>433</v>
      </c>
      <c r="F3673" s="12">
        <f>_xlfn.XLOOKUP(Table134526_79101120212223242526[[#This Row],[Name Surname]],Manpower!C:C,Manpower!D:D,)</f>
        <v>117871996</v>
      </c>
      <c r="G3673" s="28" t="str">
        <f>_xlfn.XLOOKUP(Table134526_79101120212223242526[[#This Row],[Name Surname]],Manpower!$C$4:$C$1048576,Manpower!$F$4:$F$1048576,"")</f>
        <v>Electrical  Supervisor</v>
      </c>
      <c r="H3673" s="28" t="str">
        <f>_xlfn.XLOOKUP(Table134526_79101120212223242526[[#This Row],[Name Surname]],Manpower!$C$4:$C$1048576,Manpower!$H$4:$H$1048576,"")</f>
        <v>Manpower</v>
      </c>
      <c r="I3673" s="28" t="str">
        <f>_xlfn.XLOOKUP(Table134526_79101120212223242526[[#This Row],[Name Surname]],Manpower!$C$4:$C$1048576,Manpower!$H$4:$H$1048576,"")</f>
        <v>Manpower</v>
      </c>
      <c r="J3673" s="21" t="s">
        <v>135</v>
      </c>
      <c r="K3673" s="57" t="s">
        <v>26</v>
      </c>
      <c r="L3673" s="57" t="s">
        <v>82</v>
      </c>
      <c r="M3673" s="57" t="s">
        <v>24</v>
      </c>
      <c r="N3673" s="62">
        <v>10</v>
      </c>
      <c r="O3673" s="21" t="s">
        <v>28</v>
      </c>
      <c r="P3673" s="21" t="s">
        <v>28</v>
      </c>
      <c r="Q3673" s="21" t="s">
        <v>28</v>
      </c>
      <c r="R3673" s="21" t="s">
        <v>26</v>
      </c>
    </row>
    <row r="3674" spans="1:19" ht="14.4" hidden="1">
      <c r="A3674" s="38">
        <f>IF(C3674="","",MAX($A$1:A3673)+1)</f>
        <v>3367</v>
      </c>
      <c r="B3674" s="66" t="s">
        <v>141</v>
      </c>
      <c r="C3674" s="60">
        <v>46111</v>
      </c>
      <c r="D3674" s="28" t="str">
        <f>_xlfn.XLOOKUP(Table134526_79101120212223242526[[#This Row],[Name Surname]],Manpower!$C$4:$C$1048576,Manpower!$B$4:$B$1048576,"")</f>
        <v>Encogroup</v>
      </c>
      <c r="E3674" s="21" t="s">
        <v>375</v>
      </c>
      <c r="F3674" s="12">
        <f>_xlfn.XLOOKUP(Table134526_79101120212223242526[[#This Row],[Name Surname]],Manpower!C:C,Manpower!D:D,)</f>
        <v>130805123</v>
      </c>
      <c r="G3674" s="28" t="str">
        <f>_xlfn.XLOOKUP(Table134526_79101120212223242526[[#This Row],[Name Surname]],Manpower!$C$4:$C$1048576,Manpower!$F$4:$F$1048576,"")</f>
        <v>Mechanic</v>
      </c>
      <c r="H3674" s="28" t="str">
        <f>_xlfn.XLOOKUP(Table134526_79101120212223242526[[#This Row],[Name Surname]],Manpower!$C$4:$C$1048576,Manpower!$H$4:$H$1048576,"")</f>
        <v>Manpower</v>
      </c>
      <c r="I3674" s="28" t="str">
        <f>_xlfn.XLOOKUP(Table134526_79101120212223242526[[#This Row],[Name Surname]],Manpower!$C$4:$C$1048576,Manpower!$H$4:$H$1048576,"")</f>
        <v>Manpower</v>
      </c>
      <c r="J3674" s="21" t="s">
        <v>135</v>
      </c>
      <c r="K3674" s="57" t="s">
        <v>26</v>
      </c>
      <c r="L3674" s="57" t="s">
        <v>82</v>
      </c>
      <c r="M3674" s="57" t="s">
        <v>24</v>
      </c>
      <c r="N3674" s="62">
        <v>10</v>
      </c>
      <c r="O3674" s="21" t="s">
        <v>236</v>
      </c>
      <c r="P3674" s="21" t="s">
        <v>236</v>
      </c>
      <c r="Q3674" s="21" t="s">
        <v>236</v>
      </c>
      <c r="R3674" s="21" t="s">
        <v>26</v>
      </c>
    </row>
    <row r="3675" spans="1:19" ht="14.4" hidden="1">
      <c r="A3675" s="38">
        <f>IF(C3675="","",MAX($A$1:A3674)+1)</f>
        <v>3368</v>
      </c>
      <c r="B3675" s="66" t="s">
        <v>141</v>
      </c>
      <c r="C3675" s="60">
        <v>46111</v>
      </c>
      <c r="D3675" s="28" t="str">
        <f>_xlfn.XLOOKUP(Table134526_79101120212223242526[[#This Row],[Name Surname]],Manpower!$C$4:$C$1048576,Manpower!$B$4:$B$1048576,"")</f>
        <v>Encogroup</v>
      </c>
      <c r="E3675" s="21" t="s">
        <v>434</v>
      </c>
      <c r="F3675" s="12">
        <f>_xlfn.XLOOKUP(Table134526_79101120212223242526[[#This Row],[Name Surname]],Manpower!C:C,Manpower!D:D,)</f>
        <v>140623552</v>
      </c>
      <c r="G3675" s="28" t="str">
        <f>_xlfn.XLOOKUP(Table134526_79101120212223242526[[#This Row],[Name Surname]],Manpower!$C$4:$C$1048576,Manpower!$F$4:$F$1048576,"")</f>
        <v>Mechanic</v>
      </c>
      <c r="H3675" s="28" t="str">
        <f>_xlfn.XLOOKUP(Table134526_79101120212223242526[[#This Row],[Name Surname]],Manpower!$C$4:$C$1048576,Manpower!$H$4:$H$1048576,"")</f>
        <v>Manpower</v>
      </c>
      <c r="I3675" s="28" t="str">
        <f>_xlfn.XLOOKUP(Table134526_79101120212223242526[[#This Row],[Name Surname]],Manpower!$C$4:$C$1048576,Manpower!$H$4:$H$1048576,"")</f>
        <v>Manpower</v>
      </c>
      <c r="J3675" s="21" t="s">
        <v>135</v>
      </c>
      <c r="K3675" s="57" t="s">
        <v>26</v>
      </c>
      <c r="L3675" s="57" t="s">
        <v>82</v>
      </c>
      <c r="M3675" s="57" t="s">
        <v>24</v>
      </c>
      <c r="N3675" s="62">
        <v>10</v>
      </c>
      <c r="O3675" s="21" t="s">
        <v>236</v>
      </c>
      <c r="P3675" s="21" t="s">
        <v>236</v>
      </c>
      <c r="Q3675" s="21" t="s">
        <v>236</v>
      </c>
      <c r="R3675" s="21" t="s">
        <v>26</v>
      </c>
    </row>
    <row r="3676" spans="1:19" s="45" customFormat="1" ht="14.4" hidden="1">
      <c r="A3676" s="53">
        <f>IF(C3676="","",MAX($A$1:A3675)+1)</f>
        <v>3369</v>
      </c>
      <c r="B3676" s="54" t="s">
        <v>141</v>
      </c>
      <c r="C3676" s="55">
        <v>46111</v>
      </c>
      <c r="D3676" s="48" t="str">
        <f>_xlfn.XLOOKUP(Table134526_79101120212223242526[[#This Row],[Name Surname]],Manpower!$C$4:$C$1048576,Manpower!$B$4:$B$1048576,"")</f>
        <v>Encogroup</v>
      </c>
      <c r="E3676" s="43" t="s">
        <v>87</v>
      </c>
      <c r="F3676" s="12">
        <f>_xlfn.XLOOKUP(Table134526_79101120212223242526[[#This Row],[Name Surname]],Manpower!C:C,Manpower!D:D,)</f>
        <v>126724428</v>
      </c>
      <c r="G3676" s="48" t="str">
        <f>_xlfn.XLOOKUP(Table134526_79101120212223242526[[#This Row],[Name Surname]],Manpower!$C$4:$C$1048576,Manpower!$F$4:$F$1048576,"")</f>
        <v>Surveyor</v>
      </c>
      <c r="H3676" s="48" t="str">
        <f>_xlfn.XLOOKUP(Table134526_79101120212223242526[[#This Row],[Name Surname]],Manpower!$C$4:$C$1048576,Manpower!$H$4:$H$1048576,"")</f>
        <v>Manpower</v>
      </c>
      <c r="I3676" s="48" t="str">
        <f>_xlfn.XLOOKUP(Table134526_79101120212223242526[[#This Row],[Name Surname]],Manpower!$C$4:$C$1048576,Manpower!$H$4:$H$1048576,"")</f>
        <v>Manpower</v>
      </c>
      <c r="J3676" s="43" t="s">
        <v>35</v>
      </c>
      <c r="K3676" s="51" t="s">
        <v>428</v>
      </c>
      <c r="L3676" s="51" t="s">
        <v>82</v>
      </c>
      <c r="M3676" s="51" t="s">
        <v>24</v>
      </c>
      <c r="N3676" s="52">
        <v>10</v>
      </c>
      <c r="O3676" s="43" t="s">
        <v>89</v>
      </c>
      <c r="P3676" s="43" t="s">
        <v>89</v>
      </c>
      <c r="Q3676" s="43" t="s">
        <v>89</v>
      </c>
      <c r="R3676" s="51" t="s">
        <v>443</v>
      </c>
      <c r="S3676" s="43"/>
    </row>
    <row r="3677" spans="1:19" s="45" customFormat="1" ht="14.4" hidden="1">
      <c r="A3677" s="53">
        <f>IF(C3677="","",MAX($A$1:A3676)+1)</f>
        <v>3370</v>
      </c>
      <c r="B3677" s="54" t="s">
        <v>141</v>
      </c>
      <c r="C3677" s="55">
        <v>46111</v>
      </c>
      <c r="D3677" s="48" t="str">
        <f>_xlfn.XLOOKUP(Table134526_79101120212223242526[[#This Row],[Name Surname]],Manpower!$C$4:$C$1048576,Manpower!$B$4:$B$1048576,"")</f>
        <v>Encogroup</v>
      </c>
      <c r="E3677" s="43" t="s">
        <v>398</v>
      </c>
      <c r="F3677" s="12">
        <f>_xlfn.XLOOKUP(Table134526_79101120212223242526[[#This Row],[Name Surname]],Manpower!C:C,Manpower!D:D,)</f>
        <v>81612139</v>
      </c>
      <c r="G3677" s="48" t="str">
        <f>_xlfn.XLOOKUP(Table134526_79101120212223242526[[#This Row],[Name Surname]],Manpower!$C$4:$C$1048576,Manpower!$F$4:$F$1048576,"")</f>
        <v>Mechanic</v>
      </c>
      <c r="H3677" s="48" t="str">
        <f>_xlfn.XLOOKUP(Table134526_79101120212223242526[[#This Row],[Name Surname]],Manpower!$C$4:$C$1048576,Manpower!$H$4:$H$1048576,"")</f>
        <v>Manpower</v>
      </c>
      <c r="I3677" s="48" t="str">
        <f>_xlfn.XLOOKUP(Table134526_79101120212223242526[[#This Row],[Name Surname]],Manpower!$C$4:$C$1048576,Manpower!$H$4:$H$1048576,"")</f>
        <v>Manpower</v>
      </c>
      <c r="J3677" s="43" t="s">
        <v>35</v>
      </c>
      <c r="K3677" s="51" t="s">
        <v>428</v>
      </c>
      <c r="L3677" s="51" t="s">
        <v>82</v>
      </c>
      <c r="M3677" s="51" t="s">
        <v>24</v>
      </c>
      <c r="N3677" s="52">
        <v>10</v>
      </c>
      <c r="O3677" s="43" t="s">
        <v>236</v>
      </c>
      <c r="P3677" s="43" t="s">
        <v>236</v>
      </c>
      <c r="Q3677" s="43" t="s">
        <v>236</v>
      </c>
      <c r="R3677" s="43" t="s">
        <v>26</v>
      </c>
      <c r="S3677" s="43"/>
    </row>
    <row r="3678" spans="1:19" s="45" customFormat="1" ht="14.4" hidden="1">
      <c r="A3678" s="53">
        <f>IF(C3678="","",MAX($A$1:A3676)+1)</f>
        <v>3370</v>
      </c>
      <c r="B3678" s="54" t="s">
        <v>141</v>
      </c>
      <c r="C3678" s="55">
        <v>46111</v>
      </c>
      <c r="D3678" s="48" t="str">
        <f>_xlfn.XLOOKUP(Table134526_79101120212223242526[[#This Row],[Name Surname]],Manpower!$C$4:$C$1048576,Manpower!$B$4:$B$1048576,"")</f>
        <v>Encogroup</v>
      </c>
      <c r="E3678" s="43" t="s">
        <v>228</v>
      </c>
      <c r="F3678" s="12">
        <f>_xlfn.XLOOKUP(Table134526_79101120212223242526[[#This Row],[Name Surname]],Manpower!C:C,Manpower!D:D,)</f>
        <v>125199963</v>
      </c>
      <c r="G3678" s="48" t="str">
        <f>_xlfn.XLOOKUP(Table134526_79101120212223242526[[#This Row],[Name Surname]],Manpower!$C$4:$C$1048576,Manpower!$F$4:$F$1048576,"")</f>
        <v>Electrician</v>
      </c>
      <c r="H3678" s="48" t="str">
        <f>_xlfn.XLOOKUP(Table134526_79101120212223242526[[#This Row],[Name Surname]],Manpower!$C$4:$C$1048576,Manpower!$H$4:$H$1048576,"")</f>
        <v>Manpower</v>
      </c>
      <c r="I3678" s="48" t="str">
        <f>_xlfn.XLOOKUP(Table134526_79101120212223242526[[#This Row],[Name Surname]],Manpower!$C$4:$C$1048576,Manpower!$H$4:$H$1048576,"")</f>
        <v>Manpower</v>
      </c>
      <c r="J3678" s="43" t="s">
        <v>35</v>
      </c>
      <c r="K3678" s="51" t="s">
        <v>428</v>
      </c>
      <c r="L3678" s="51" t="s">
        <v>82</v>
      </c>
      <c r="M3678" s="51" t="s">
        <v>24</v>
      </c>
      <c r="N3678" s="52">
        <v>10</v>
      </c>
      <c r="O3678" s="43" t="s">
        <v>236</v>
      </c>
      <c r="P3678" s="43" t="s">
        <v>236</v>
      </c>
      <c r="Q3678" s="43" t="s">
        <v>236</v>
      </c>
      <c r="R3678" s="43" t="s">
        <v>26</v>
      </c>
      <c r="S3678" s="43"/>
    </row>
    <row r="3679" spans="1:19" s="45" customFormat="1" ht="14.4" hidden="1">
      <c r="A3679" s="53">
        <f>IF(C3679="","",MAX($A$1:A3676)+1)</f>
        <v>3370</v>
      </c>
      <c r="B3679" s="54" t="s">
        <v>141</v>
      </c>
      <c r="C3679" s="55">
        <v>46111</v>
      </c>
      <c r="D3679" s="48" t="str">
        <f>_xlfn.XLOOKUP(Table134526_79101120212223242526[[#This Row],[Name Surname]],Manpower!$C$4:$C$1048576,Manpower!$B$4:$B$1048576,"")</f>
        <v>Encogroup</v>
      </c>
      <c r="E3679" s="43" t="s">
        <v>34</v>
      </c>
      <c r="F3679" s="12">
        <f>_xlfn.XLOOKUP(Table134526_79101120212223242526[[#This Row],[Name Surname]],Manpower!C:C,Manpower!D:D,)</f>
        <v>141365023</v>
      </c>
      <c r="G3679" s="48" t="str">
        <f>_xlfn.XLOOKUP(Table134526_79101120212223242526[[#This Row],[Name Surname]],Manpower!$C$4:$C$1048576,Manpower!$F$4:$F$1048576,"")</f>
        <v>Grinder</v>
      </c>
      <c r="H3679" s="48" t="str">
        <f>_xlfn.XLOOKUP(Table134526_79101120212223242526[[#This Row],[Name Surname]],Manpower!$C$4:$C$1048576,Manpower!$H$4:$H$1048576,"")</f>
        <v>Manpower</v>
      </c>
      <c r="I3679" s="48" t="str">
        <f>_xlfn.XLOOKUP(Table134526_79101120212223242526[[#This Row],[Name Surname]],Manpower!$C$4:$C$1048576,Manpower!$H$4:$H$1048576,"")</f>
        <v>Manpower</v>
      </c>
      <c r="J3679" s="43" t="s">
        <v>35</v>
      </c>
      <c r="K3679" s="51" t="s">
        <v>428</v>
      </c>
      <c r="L3679" s="51" t="s">
        <v>82</v>
      </c>
      <c r="M3679" s="51" t="s">
        <v>24</v>
      </c>
      <c r="N3679" s="52">
        <v>10</v>
      </c>
      <c r="O3679" s="43" t="s">
        <v>89</v>
      </c>
      <c r="P3679" s="43" t="s">
        <v>89</v>
      </c>
      <c r="Q3679" s="43" t="s">
        <v>89</v>
      </c>
      <c r="R3679" s="51" t="s">
        <v>443</v>
      </c>
      <c r="S3679" s="43"/>
    </row>
    <row r="3680" spans="1:19" ht="14.4" hidden="1">
      <c r="A3680" s="38">
        <f>IF(C3680="","",MAX($A$1:A3679)+1)</f>
        <v>3371</v>
      </c>
      <c r="B3680" s="66" t="s">
        <v>141</v>
      </c>
      <c r="C3680" s="60">
        <v>46111</v>
      </c>
      <c r="D3680" s="61" t="str">
        <f>_xlfn.XLOOKUP(Table134526_79101120212223242526[[#This Row],[Name Surname]],Manpower!$C$4:$C$1048576,Manpower!$B$4:$B$1048576,"")</f>
        <v>AL Saif &amp; Al QALLM ENT LLC</v>
      </c>
      <c r="E3680" s="57" t="s">
        <v>132</v>
      </c>
      <c r="F3680" s="12">
        <f>_xlfn.XLOOKUP(Table134526_79101120212223242526[[#This Row],[Name Surname]],Manpower!C:C,Manpower!D:D,)</f>
        <v>135762195</v>
      </c>
      <c r="G3680" s="61" t="str">
        <f>_xlfn.XLOOKUP(Table134526_79101120212223242526[[#This Row],[Name Surname]],Manpower!$C$4:$C$1048576,Manpower!$F$4:$F$1048576,"")</f>
        <v>HSE Officer</v>
      </c>
      <c r="H3680" s="61" t="str">
        <f>_xlfn.XLOOKUP(Table134526_79101120212223242526[[#This Row],[Name Surname]],Manpower!$C$4:$C$1048576,Manpower!$H$4:$H$1048576,"")</f>
        <v>Sub Contactor</v>
      </c>
      <c r="I3680" s="28" t="str">
        <f>_xlfn.XLOOKUP(Table134526_79101120212223242526[[#This Row],[Name Surname]],Manpower!$C$4:$C$1048576,Manpower!$H$4:$H$1048576,"")</f>
        <v>Sub Contactor</v>
      </c>
      <c r="J3680" s="21" t="s">
        <v>35</v>
      </c>
      <c r="K3680" s="57" t="s">
        <v>428</v>
      </c>
      <c r="L3680" s="57" t="s">
        <v>82</v>
      </c>
      <c r="M3680" s="57" t="s">
        <v>24</v>
      </c>
      <c r="N3680" s="62">
        <v>10</v>
      </c>
      <c r="O3680" s="21" t="s">
        <v>25</v>
      </c>
      <c r="P3680" s="21" t="s">
        <v>41</v>
      </c>
      <c r="Q3680" s="21" t="s">
        <v>60</v>
      </c>
      <c r="R3680" s="57" t="s">
        <v>443</v>
      </c>
    </row>
    <row r="3681" spans="1:19" s="45" customFormat="1" ht="14.4" hidden="1">
      <c r="A3681" s="53">
        <f>IF(C3681="","",MAX($A$1:A3680)+1)</f>
        <v>3372</v>
      </c>
      <c r="B3681" s="54" t="s">
        <v>141</v>
      </c>
      <c r="C3681" s="55">
        <v>46111</v>
      </c>
      <c r="D3681" s="68" t="str">
        <f>_xlfn.XLOOKUP(Table134526_79101120212223242526[[#This Row],[Name Surname]],Manpower!$C$4:$C$1048576,Manpower!$B$4:$B$1048576,"")</f>
        <v>Encogroup</v>
      </c>
      <c r="E3681" s="51" t="s">
        <v>133</v>
      </c>
      <c r="F3681" s="12">
        <f>_xlfn.XLOOKUP(Table134526_79101120212223242526[[#This Row],[Name Surname]],Manpower!C:C,Manpower!D:D,)</f>
        <v>140846684</v>
      </c>
      <c r="G3681" s="68" t="str">
        <f>_xlfn.XLOOKUP(Table134526_79101120212223242526[[#This Row],[Name Surname]],Manpower!$C$4:$C$1048576,Manpower!$F$4:$F$1048576,"")</f>
        <v>Assistant/Helper</v>
      </c>
      <c r="H3681" s="68" t="str">
        <f>_xlfn.XLOOKUP(Table134526_79101120212223242526[[#This Row],[Name Surname]],Manpower!$C$4:$C$1048576,Manpower!$H$4:$H$1048576,"")</f>
        <v>Manpower</v>
      </c>
      <c r="I3681" s="48" t="str">
        <f>_xlfn.XLOOKUP(Table134526_79101120212223242526[[#This Row],[Name Surname]],Manpower!$C$4:$C$1048576,Manpower!$H$4:$H$1048576,"")</f>
        <v>Manpower</v>
      </c>
      <c r="J3681" s="43" t="s">
        <v>35</v>
      </c>
      <c r="K3681" s="51" t="s">
        <v>430</v>
      </c>
      <c r="L3681" s="51" t="s">
        <v>82</v>
      </c>
      <c r="M3681" s="51" t="s">
        <v>24</v>
      </c>
      <c r="N3681" s="52">
        <v>10</v>
      </c>
      <c r="O3681" s="43" t="s">
        <v>25</v>
      </c>
      <c r="P3681" s="43" t="s">
        <v>41</v>
      </c>
      <c r="Q3681" s="43" t="s">
        <v>60</v>
      </c>
      <c r="R3681" s="51" t="s">
        <v>443</v>
      </c>
      <c r="S3681" s="43"/>
    </row>
    <row r="3682" spans="1:19" ht="14.4">
      <c r="A3682" s="38">
        <f>IF(C3682="","",MAX($A$1:A3681)+1)</f>
        <v>3373</v>
      </c>
      <c r="B3682" s="66" t="s">
        <v>141</v>
      </c>
      <c r="C3682" s="60">
        <v>46111</v>
      </c>
      <c r="D3682" s="28" t="str">
        <f>_xlfn.XLOOKUP(Table134526_79101120212223242526[[#This Row],[Name Surname]],Manpower!$C$4:$C$1048576,Manpower!$B$4:$B$1048576,"")</f>
        <v>Encogroup</v>
      </c>
      <c r="E3682" s="21" t="s">
        <v>137</v>
      </c>
      <c r="F3682" s="12" t="e">
        <f>_xlfn.XLOOKUP(Table134526_79101120212223242526[[#This Row],[Name Surname]],Manpower!C:C,Manpower!D:D,)</f>
        <v>#N/A</v>
      </c>
      <c r="G3682" s="28" t="str">
        <f>_xlfn.XLOOKUP(Table134526_79101120212223242526[[#This Row],[Name Surname]],Manpower!$C$4:$C$1048576,Manpower!$F$4:$F$1048576,"")</f>
        <v>55 Seat Bus</v>
      </c>
      <c r="H3682" s="28" t="str">
        <f>_xlfn.XLOOKUP(Table134526_79101120212223242526[[#This Row],[Name Surname]],Manpower!$C$4:$C$1048576,Manpower!$H$4:$H$1048576,"")</f>
        <v>Equipment</v>
      </c>
      <c r="I3682" s="28" t="str">
        <f>_xlfn.XLOOKUP(Table134526_79101120212223242526[[#This Row],[Name Surname]],Manpower!$C$4:$C$1048576,Manpower!$H$4:$H$1048576,"")</f>
        <v>Equipment</v>
      </c>
      <c r="J3682" s="21" t="s">
        <v>35</v>
      </c>
      <c r="K3682" s="57" t="s">
        <v>428</v>
      </c>
      <c r="L3682" s="57" t="s">
        <v>82</v>
      </c>
      <c r="M3682" s="57" t="s">
        <v>24</v>
      </c>
      <c r="N3682" s="62">
        <v>10</v>
      </c>
      <c r="O3682" s="21" t="s">
        <v>138</v>
      </c>
      <c r="P3682" s="21" t="s">
        <v>138</v>
      </c>
      <c r="Q3682" s="21" t="s">
        <v>138</v>
      </c>
      <c r="R3682" s="57" t="s">
        <v>443</v>
      </c>
    </row>
    <row r="3683" spans="1:19" ht="14.4">
      <c r="A3683" s="38">
        <f>IF(C3683="","",MAX($A$1:A3682)+1)</f>
        <v>3374</v>
      </c>
      <c r="B3683" s="66" t="s">
        <v>141</v>
      </c>
      <c r="C3683" s="60">
        <v>46111</v>
      </c>
      <c r="D3683" s="61" t="str">
        <f>_xlfn.XLOOKUP(Table134526_79101120212223242526[[#This Row],[Name Surname]],Manpower!$C$4:$C$1048576,Manpower!$B$4:$B$1048576,"")</f>
        <v>Encogroup</v>
      </c>
      <c r="E3683" s="57" t="s">
        <v>139</v>
      </c>
      <c r="F3683" s="12" t="e">
        <f>_xlfn.XLOOKUP(Table134526_79101120212223242526[[#This Row],[Name Surname]],Manpower!C:C,Manpower!D:D,)</f>
        <v>#N/A</v>
      </c>
      <c r="G3683" s="61" t="str">
        <f>_xlfn.XLOOKUP(Table134526_79101120212223242526[[#This Row],[Name Surname]],Manpower!$C$4:$C$1048576,Manpower!$F$4:$F$1048576,"")</f>
        <v>TOWER LIGHT</v>
      </c>
      <c r="H3683" s="61" t="str">
        <f>_xlfn.XLOOKUP(Table134526_79101120212223242526[[#This Row],[Name Surname]],Manpower!$C$4:$C$1048576,Manpower!$H$4:$H$1048576,"")</f>
        <v>Equipment</v>
      </c>
      <c r="I3683" s="28" t="str">
        <f>_xlfn.XLOOKUP(Table134526_79101120212223242526[[#This Row],[Name Surname]],Manpower!$C$4:$C$1048576,Manpower!$H$4:$H$1048576,"")</f>
        <v>Equipment</v>
      </c>
      <c r="J3683" s="21" t="s">
        <v>35</v>
      </c>
      <c r="K3683" s="57" t="s">
        <v>428</v>
      </c>
      <c r="L3683" s="57" t="s">
        <v>82</v>
      </c>
      <c r="M3683" s="57" t="s">
        <v>24</v>
      </c>
      <c r="N3683" s="62">
        <v>10</v>
      </c>
      <c r="O3683" s="21" t="s">
        <v>140</v>
      </c>
      <c r="P3683" s="21" t="s">
        <v>140</v>
      </c>
      <c r="Q3683" s="21" t="s">
        <v>140</v>
      </c>
      <c r="R3683" s="57" t="s">
        <v>443</v>
      </c>
    </row>
    <row r="3684" spans="1:19" ht="14.4">
      <c r="A3684" s="38">
        <f>IF(C3684="","",MAX($A$1:A3683)+1)</f>
        <v>3375</v>
      </c>
      <c r="B3684" s="66" t="s">
        <v>141</v>
      </c>
      <c r="C3684" s="60">
        <v>46111</v>
      </c>
      <c r="D3684" s="61" t="str">
        <f>_xlfn.XLOOKUP(Table134526_79101120212223242526[[#This Row],[Name Surname]],Manpower!$C$4:$C$1048576,Manpower!$B$4:$B$1048576,"")</f>
        <v>Encogroup</v>
      </c>
      <c r="E3684" s="57" t="s">
        <v>355</v>
      </c>
      <c r="F3684" s="12" t="e">
        <f>_xlfn.XLOOKUP(Table134526_79101120212223242526[[#This Row],[Name Surname]],Manpower!C:C,Manpower!D:D,)</f>
        <v>#N/A</v>
      </c>
      <c r="G3684" s="61" t="str">
        <f>_xlfn.XLOOKUP(Table134526_79101120212223242526[[#This Row],[Name Surname]],Manpower!$C$4:$C$1048576,Manpower!$F$4:$F$1048576,"")</f>
        <v>TOWER LIGHT</v>
      </c>
      <c r="H3684" s="61" t="str">
        <f>_xlfn.XLOOKUP(Table134526_79101120212223242526[[#This Row],[Name Surname]],Manpower!$C$4:$C$1048576,Manpower!$H$4:$H$1048576,"")</f>
        <v>Equipment</v>
      </c>
      <c r="I3684" s="28" t="str">
        <f>_xlfn.XLOOKUP(Table134526_79101120212223242526[[#This Row],[Name Surname]],Manpower!$C$4:$C$1048576,Manpower!$H$4:$H$1048576,"")</f>
        <v>Equipment</v>
      </c>
      <c r="J3684" s="21" t="s">
        <v>35</v>
      </c>
      <c r="K3684" s="57" t="s">
        <v>428</v>
      </c>
      <c r="L3684" s="57" t="s">
        <v>82</v>
      </c>
      <c r="M3684" s="57" t="s">
        <v>24</v>
      </c>
      <c r="N3684" s="62">
        <v>10</v>
      </c>
      <c r="O3684" s="21" t="s">
        <v>140</v>
      </c>
      <c r="P3684" s="21" t="s">
        <v>140</v>
      </c>
      <c r="Q3684" s="21" t="s">
        <v>140</v>
      </c>
      <c r="R3684" s="57" t="s">
        <v>443</v>
      </c>
    </row>
    <row r="3685" spans="1:19" ht="14.4">
      <c r="A3685" s="38">
        <f>IF(C3685="","",MAX($A$1:A3684)+1)</f>
        <v>3376</v>
      </c>
      <c r="B3685" s="66" t="s">
        <v>141</v>
      </c>
      <c r="C3685" s="60">
        <v>46111</v>
      </c>
      <c r="D3685" s="61" t="str">
        <f>_xlfn.XLOOKUP(Table134526_79101120212223242526[[#This Row],[Name Surname]],Manpower!$C$4:$C$1048576,Manpower!$B$4:$B$1048576,"")</f>
        <v>Nass Group</v>
      </c>
      <c r="E3685" s="57" t="s">
        <v>148</v>
      </c>
      <c r="F3685" s="12" t="e">
        <f>_xlfn.XLOOKUP(Table134526_79101120212223242526[[#This Row],[Name Surname]],Manpower!C:C,Manpower!D:D,)</f>
        <v>#N/A</v>
      </c>
      <c r="G3685" s="61" t="str">
        <f>_xlfn.XLOOKUP(Table134526_79101120212223242526[[#This Row],[Name Surname]],Manpower!$C$4:$C$1048576,Manpower!$F$4:$F$1048576,"")</f>
        <v>70T-Telescopic crane</v>
      </c>
      <c r="H3685" s="61" t="str">
        <f>_xlfn.XLOOKUP(Table134526_79101120212223242526[[#This Row],[Name Surname]],Manpower!$C$4:$C$1048576,Manpower!$H$4:$H$1048576,"")</f>
        <v>Equipment</v>
      </c>
      <c r="I3685" s="28" t="str">
        <f>_xlfn.XLOOKUP(Table134526_79101120212223242526[[#This Row],[Name Surname]],Manpower!$C$4:$C$1048576,Manpower!$H$4:$H$1048576,"")</f>
        <v>Equipment</v>
      </c>
      <c r="J3685" s="21" t="s">
        <v>143</v>
      </c>
      <c r="K3685" s="57" t="s">
        <v>26</v>
      </c>
      <c r="L3685" s="57" t="s">
        <v>435</v>
      </c>
      <c r="M3685" s="57" t="s">
        <v>24</v>
      </c>
      <c r="N3685" s="62">
        <v>10</v>
      </c>
      <c r="O3685" s="21" t="s">
        <v>40</v>
      </c>
      <c r="P3685" s="21" t="s">
        <v>42</v>
      </c>
      <c r="Q3685" s="21" t="s">
        <v>42</v>
      </c>
      <c r="R3685" s="57" t="s">
        <v>444</v>
      </c>
    </row>
    <row r="3686" spans="1:19" ht="14.4">
      <c r="A3686" s="38">
        <f>IF(C3686="","",MAX($A$1:A3685)+1)</f>
        <v>3377</v>
      </c>
      <c r="B3686" s="66" t="s">
        <v>141</v>
      </c>
      <c r="C3686" s="60">
        <v>46111</v>
      </c>
      <c r="D3686" s="28" t="str">
        <f>_xlfn.XLOOKUP(Table134526_79101120212223242526[[#This Row],[Name Surname]],Manpower!$C$4:$C$1048576,Manpower!$B$4:$B$1048576,"")</f>
        <v>Riyan Al Khaleej</v>
      </c>
      <c r="E3686" s="21" t="s">
        <v>20</v>
      </c>
      <c r="F3686" s="12" t="e">
        <f>_xlfn.XLOOKUP(Table134526_79101120212223242526[[#This Row],[Name Surname]],Manpower!C:C,Manpower!D:D,)</f>
        <v>#N/A</v>
      </c>
      <c r="G3686" s="28" t="str">
        <f>_xlfn.XLOOKUP(Table134526_79101120212223242526[[#This Row],[Name Surname]],Manpower!$C$4:$C$1048576,Manpower!$F$4:$F$1048576,"")</f>
        <v>100T Telescopic Crane</v>
      </c>
      <c r="H3686" s="28" t="str">
        <f>_xlfn.XLOOKUP(Table134526_79101120212223242526[[#This Row],[Name Surname]],Manpower!$C$4:$C$1048576,Manpower!$H$4:$H$1048576,"")</f>
        <v>Equipment</v>
      </c>
      <c r="I3686" s="28" t="str">
        <f>_xlfn.XLOOKUP(Table134526_79101120212223242526[[#This Row],[Name Surname]],Manpower!$C$4:$C$1048576,Manpower!$H$4:$H$1048576,"")</f>
        <v>Equipment</v>
      </c>
      <c r="J3686" s="21" t="s">
        <v>143</v>
      </c>
      <c r="L3686" s="57" t="s">
        <v>435</v>
      </c>
      <c r="M3686" s="57" t="s">
        <v>24</v>
      </c>
      <c r="N3686" s="62">
        <v>10</v>
      </c>
      <c r="O3686" s="21" t="s">
        <v>40</v>
      </c>
      <c r="P3686" s="21" t="s">
        <v>42</v>
      </c>
      <c r="Q3686" s="21" t="s">
        <v>42</v>
      </c>
      <c r="R3686" s="57" t="s">
        <v>444</v>
      </c>
    </row>
    <row r="3687" spans="1:19" ht="14.4">
      <c r="A3687" s="38">
        <f>IF(C3687="","",MAX($A$1:A3686)+1)</f>
        <v>3378</v>
      </c>
      <c r="B3687" s="66" t="s">
        <v>141</v>
      </c>
      <c r="C3687" s="60">
        <v>46111</v>
      </c>
      <c r="D3687" s="28" t="str">
        <f>_xlfn.XLOOKUP(Table134526_79101120212223242526[[#This Row],[Name Surname]],Manpower!$C$4:$C$1048576,Manpower!$B$4:$B$1048576,"")</f>
        <v>Al Jaber Heavy Lift</v>
      </c>
      <c r="E3687" s="21" t="s">
        <v>437</v>
      </c>
      <c r="F3687" s="12" t="e">
        <f>_xlfn.XLOOKUP(Table134526_79101120212223242526[[#This Row],[Name Surname]],Manpower!C:C,Manpower!D:D,)</f>
        <v>#N/A</v>
      </c>
      <c r="G3687" s="28" t="str">
        <f>_xlfn.XLOOKUP(Table134526_79101120212223242526[[#This Row],[Name Surname]],Manpower!$C$4:$C$1048576,Manpower!$F$4:$F$1048576,"")</f>
        <v>70T Crawler Crane</v>
      </c>
      <c r="H3687" s="28" t="str">
        <f>_xlfn.XLOOKUP(Table134526_79101120212223242526[[#This Row],[Name Surname]],Manpower!$C$4:$C$1048576,Manpower!$H$4:$H$1048576,"")</f>
        <v>Equipment</v>
      </c>
      <c r="I3687" s="28" t="str">
        <f>_xlfn.XLOOKUP(Table134526_79101120212223242526[[#This Row],[Name Surname]],Manpower!$C$4:$C$1048576,Manpower!$H$4:$H$1048576,"")</f>
        <v>Equipment</v>
      </c>
      <c r="J3687" s="21" t="s">
        <v>143</v>
      </c>
      <c r="L3687" s="21" t="s">
        <v>144</v>
      </c>
      <c r="M3687" s="21" t="s">
        <v>55</v>
      </c>
      <c r="N3687" s="29">
        <v>10</v>
      </c>
      <c r="R3687" s="21" t="s">
        <v>438</v>
      </c>
    </row>
    <row r="3688" spans="1:19" s="45" customFormat="1" ht="14.4" hidden="1">
      <c r="A3688" s="53">
        <f>IF(C3688="","",MAX($A$1:A3687)+1)</f>
        <v>3379</v>
      </c>
      <c r="B3688" s="54" t="s">
        <v>141</v>
      </c>
      <c r="C3688" s="55">
        <v>46111</v>
      </c>
      <c r="D3688" s="68" t="str">
        <f>_xlfn.XLOOKUP(Table134526_79101120212223242526[[#This Row],[Name Surname]],Manpower!$C$4:$C$1048576,Manpower!$B$4:$B$1048576,"")</f>
        <v>SARENS NASS</v>
      </c>
      <c r="E3688" s="51" t="s">
        <v>162</v>
      </c>
      <c r="F3688" s="12">
        <f>_xlfn.XLOOKUP(Table134526_79101120212223242526[[#This Row],[Name Surname]],Manpower!C:C,Manpower!D:D,)</f>
        <v>78753612</v>
      </c>
      <c r="G3688" s="68" t="str">
        <f>_xlfn.XLOOKUP(Table134526_79101120212223242526[[#This Row],[Name Surname]],Manpower!$C$4:$C$1048576,Manpower!$F$4:$F$1048576,"")</f>
        <v>Crane Operator- 70T Liebherr Telescopic Crane-02</v>
      </c>
      <c r="H3688" s="68" t="str">
        <f>_xlfn.XLOOKUP(Table134526_79101120212223242526[[#This Row],[Name Surname]],Manpower!$C$4:$C$1048576,Manpower!$H$4:$H$1048576,"")</f>
        <v>Manpower</v>
      </c>
      <c r="I3688" s="48" t="str">
        <f>_xlfn.XLOOKUP(Table134526_79101120212223242526[[#This Row],[Name Surname]],Manpower!$C$4:$C$1048576,Manpower!$H$4:$H$1048576,"")</f>
        <v>Manpower</v>
      </c>
      <c r="J3688" s="43" t="s">
        <v>143</v>
      </c>
      <c r="K3688" s="51" t="s">
        <v>26</v>
      </c>
      <c r="L3688" s="51" t="s">
        <v>435</v>
      </c>
      <c r="M3688" s="51" t="s">
        <v>24</v>
      </c>
      <c r="N3688" s="52">
        <v>10</v>
      </c>
      <c r="O3688" s="43" t="s">
        <v>40</v>
      </c>
      <c r="P3688" s="43" t="s">
        <v>42</v>
      </c>
      <c r="Q3688" s="43" t="s">
        <v>42</v>
      </c>
      <c r="R3688" s="51" t="s">
        <v>444</v>
      </c>
      <c r="S3688" s="43"/>
    </row>
    <row r="3689" spans="1:19" s="45" customFormat="1" ht="14.4" hidden="1">
      <c r="A3689" s="53">
        <f>IF(C3689="","",MAX($A$1:A3688)+1)</f>
        <v>3380</v>
      </c>
      <c r="B3689" s="54" t="s">
        <v>141</v>
      </c>
      <c r="C3689" s="55">
        <v>46111</v>
      </c>
      <c r="D3689" s="48" t="str">
        <f>_xlfn.XLOOKUP(Table134526_79101120212223242526[[#This Row],[Name Surname]],Manpower!$C$4:$C$1048576,Manpower!$B$4:$B$1048576,"")</f>
        <v>Rial Al Khaleej</v>
      </c>
      <c r="E3689" s="43" t="s">
        <v>38</v>
      </c>
      <c r="F3689" s="12">
        <f>_xlfn.XLOOKUP(Table134526_79101120212223242526[[#This Row],[Name Surname]],Manpower!C:C,Manpower!D:D,)</f>
        <v>98845403</v>
      </c>
      <c r="G3689" s="48" t="str">
        <f>_xlfn.XLOOKUP(Table134526_79101120212223242526[[#This Row],[Name Surname]],Manpower!$C$4:$C$1048576,Manpower!$F$4:$F$1048576,"")</f>
        <v>Crane Operator-100T Zoomlion Telescopic</v>
      </c>
      <c r="H3689" s="48" t="str">
        <f>_xlfn.XLOOKUP(Table134526_79101120212223242526[[#This Row],[Name Surname]],Manpower!$C$4:$C$1048576,Manpower!$H$4:$H$1048576,"")</f>
        <v>Manpower</v>
      </c>
      <c r="I3689" s="48" t="str">
        <f>_xlfn.XLOOKUP(Table134526_79101120212223242526[[#This Row],[Name Surname]],Manpower!$C$4:$C$1048576,Manpower!$H$4:$H$1048576,"")</f>
        <v>Manpower</v>
      </c>
      <c r="J3689" s="43" t="s">
        <v>143</v>
      </c>
      <c r="K3689" s="43"/>
      <c r="L3689" s="51" t="s">
        <v>435</v>
      </c>
      <c r="M3689" s="51" t="s">
        <v>24</v>
      </c>
      <c r="N3689" s="52">
        <v>10</v>
      </c>
      <c r="O3689" s="43" t="s">
        <v>40</v>
      </c>
      <c r="P3689" s="43" t="s">
        <v>42</v>
      </c>
      <c r="Q3689" s="43" t="s">
        <v>42</v>
      </c>
      <c r="R3689" s="51" t="s">
        <v>444</v>
      </c>
      <c r="S3689" s="43"/>
    </row>
    <row r="3690" spans="1:19" ht="14.4">
      <c r="A3690" s="38">
        <f>IF(C3690="","",MAX($A$1:A3689)+1)</f>
        <v>3381</v>
      </c>
      <c r="B3690" s="66" t="s">
        <v>141</v>
      </c>
      <c r="C3690" s="60">
        <v>46111</v>
      </c>
      <c r="D3690" s="61" t="str">
        <f>_xlfn.XLOOKUP(Table134526_79101120212223242526[[#This Row],[Name Surname]],Manpower!$C$4:$C$1048576,Manpower!$B$4:$B$1048576,"")</f>
        <v>Encogroup</v>
      </c>
      <c r="E3690" s="57" t="s">
        <v>142</v>
      </c>
      <c r="F3690" s="12" t="e">
        <f>_xlfn.XLOOKUP(Table134526_79101120212223242526[[#This Row],[Name Surname]],Manpower!C:C,Manpower!D:D,)</f>
        <v>#N/A</v>
      </c>
      <c r="G3690" s="61" t="str">
        <f>_xlfn.XLOOKUP(Table134526_79101120212223242526[[#This Row],[Name Surname]],Manpower!$C$4:$C$1048576,Manpower!$F$4:$F$1048576,"")</f>
        <v>13 Seat Bus</v>
      </c>
      <c r="H3690" s="61" t="str">
        <f>_xlfn.XLOOKUP(Table134526_79101120212223242526[[#This Row],[Name Surname]],Manpower!$C$4:$C$1048576,Manpower!$H$4:$H$1048576,"")</f>
        <v>Equipment</v>
      </c>
      <c r="I3690" s="28" t="str">
        <f>_xlfn.XLOOKUP(Table134526_79101120212223242526[[#This Row],[Name Surname]],Manpower!$C$4:$C$1048576,Manpower!$H$4:$H$1048576,"")</f>
        <v>Equipment</v>
      </c>
      <c r="J3690" s="21" t="s">
        <v>143</v>
      </c>
      <c r="K3690" s="57" t="s">
        <v>26</v>
      </c>
      <c r="L3690" s="57" t="s">
        <v>435</v>
      </c>
      <c r="M3690" s="57" t="s">
        <v>24</v>
      </c>
      <c r="N3690" s="62">
        <v>10</v>
      </c>
      <c r="O3690" s="21" t="s">
        <v>40</v>
      </c>
      <c r="P3690" s="21" t="s">
        <v>42</v>
      </c>
      <c r="Q3690" s="21" t="s">
        <v>42</v>
      </c>
      <c r="R3690" s="57" t="s">
        <v>444</v>
      </c>
    </row>
    <row r="3691" spans="1:19" ht="14.4">
      <c r="A3691" s="38">
        <f>IF(C3691="","",MAX($A$1:A3690)+1)</f>
        <v>3382</v>
      </c>
      <c r="B3691" s="66" t="s">
        <v>141</v>
      </c>
      <c r="C3691" s="60">
        <v>46111</v>
      </c>
      <c r="D3691" s="28" t="str">
        <f>_xlfn.XLOOKUP(Table134526_79101120212223242526[[#This Row],[Name Surname]],Manpower!$C$4:$C$1048576,Manpower!$B$4:$B$1048576,"")</f>
        <v>Encogroup</v>
      </c>
      <c r="E3691" s="21" t="s">
        <v>145</v>
      </c>
      <c r="F3691" s="12" t="e">
        <f>_xlfn.XLOOKUP(Table134526_79101120212223242526[[#This Row],[Name Surname]],Manpower!C:C,Manpower!D:D,)</f>
        <v>#N/A</v>
      </c>
      <c r="G3691" s="28" t="str">
        <f>_xlfn.XLOOKUP(Table134526_79101120212223242526[[#This Row],[Name Surname]],Manpower!$C$4:$C$1048576,Manpower!$F$4:$F$1048576,"")</f>
        <v>15 Seat Bus</v>
      </c>
      <c r="H3691" s="28" t="str">
        <f>_xlfn.XLOOKUP(Table134526_79101120212223242526[[#This Row],[Name Surname]],Manpower!$C$4:$C$1048576,Manpower!$H$4:$H$1048576,"")</f>
        <v>Equipment</v>
      </c>
      <c r="I3691" s="28" t="str">
        <f>_xlfn.XLOOKUP(Table134526_79101120212223242526[[#This Row],[Name Surname]],Manpower!$C$4:$C$1048576,Manpower!$H$4:$H$1048576,"")</f>
        <v>Equipment</v>
      </c>
      <c r="J3691" s="21" t="s">
        <v>143</v>
      </c>
      <c r="K3691" s="57" t="s">
        <v>26</v>
      </c>
      <c r="L3691" s="57" t="s">
        <v>435</v>
      </c>
      <c r="M3691" s="57" t="s">
        <v>24</v>
      </c>
      <c r="N3691" s="62">
        <v>10</v>
      </c>
      <c r="O3691" s="21" t="s">
        <v>40</v>
      </c>
      <c r="P3691" s="21" t="s">
        <v>42</v>
      </c>
      <c r="Q3691" s="21" t="s">
        <v>42</v>
      </c>
      <c r="R3691" s="57" t="s">
        <v>444</v>
      </c>
    </row>
    <row r="3692" spans="1:19" ht="14.4">
      <c r="A3692" s="38">
        <f>IF(C3692="","",MAX($A$1:A3691)+1)</f>
        <v>3383</v>
      </c>
      <c r="B3692" s="66" t="s">
        <v>141</v>
      </c>
      <c r="C3692" s="60">
        <v>46111</v>
      </c>
      <c r="D3692" s="28" t="str">
        <f>_xlfn.XLOOKUP(Table134526_79101120212223242526[[#This Row],[Name Surname]],Manpower!$C$4:$C$1048576,Manpower!$B$4:$B$1048576,"")</f>
        <v>Encogroup</v>
      </c>
      <c r="E3692" s="21" t="s">
        <v>445</v>
      </c>
      <c r="F3692" s="12" t="e">
        <f>_xlfn.XLOOKUP(Table134526_79101120212223242526[[#This Row],[Name Surname]],Manpower!C:C,Manpower!D:D,)</f>
        <v>#N/A</v>
      </c>
      <c r="G3692" s="28" t="str">
        <f>_xlfn.XLOOKUP(Table134526_79101120212223242526[[#This Row],[Name Surname]],Manpower!$C$4:$C$1048576,Manpower!$F$4:$F$1048576,"")</f>
        <v>55 Seat Bus</v>
      </c>
      <c r="H3692" s="28" t="str">
        <f>_xlfn.XLOOKUP(Table134526_79101120212223242526[[#This Row],[Name Surname]],Manpower!$C$4:$C$1048576,Manpower!$H$4:$H$1048576,"")</f>
        <v>Equipment</v>
      </c>
      <c r="I3692" s="28" t="str">
        <f>_xlfn.XLOOKUP(Table134526_79101120212223242526[[#This Row],[Name Surname]],Manpower!$C$4:$C$1048576,Manpower!$H$4:$H$1048576,"")</f>
        <v>Equipment</v>
      </c>
      <c r="J3692" s="21" t="s">
        <v>143</v>
      </c>
      <c r="K3692" s="57" t="s">
        <v>26</v>
      </c>
      <c r="L3692" s="57" t="s">
        <v>435</v>
      </c>
      <c r="M3692" s="57" t="s">
        <v>24</v>
      </c>
      <c r="N3692" s="62">
        <v>10</v>
      </c>
      <c r="O3692" s="21" t="s">
        <v>40</v>
      </c>
      <c r="P3692" s="21" t="s">
        <v>42</v>
      </c>
      <c r="Q3692" s="21" t="s">
        <v>42</v>
      </c>
      <c r="R3692" s="57" t="s">
        <v>444</v>
      </c>
    </row>
    <row r="3693" spans="1:19" ht="14.4">
      <c r="A3693" s="38">
        <f>IF(C3693="","",MAX($A$1:A3691)+1)</f>
        <v>3383</v>
      </c>
      <c r="B3693" s="66" t="s">
        <v>141</v>
      </c>
      <c r="C3693" s="60">
        <v>46111</v>
      </c>
      <c r="D3693" s="28" t="str">
        <f>_xlfn.XLOOKUP(Table134526_79101120212223242526[[#This Row],[Name Surname]],Manpower!$C$4:$C$1048576,Manpower!$B$4:$B$1048576,"")</f>
        <v>Encogroup</v>
      </c>
      <c r="E3693" s="21" t="s">
        <v>446</v>
      </c>
      <c r="F3693" s="12" t="e">
        <f>_xlfn.XLOOKUP(Table134526_79101120212223242526[[#This Row],[Name Surname]],Manpower!C:C,Manpower!D:D,)</f>
        <v>#N/A</v>
      </c>
      <c r="G3693" s="28" t="str">
        <f>_xlfn.XLOOKUP(Table134526_79101120212223242526[[#This Row],[Name Surname]],Manpower!$C$4:$C$1048576,Manpower!$F$4:$F$1048576,"")</f>
        <v>FLATBED TRAILER</v>
      </c>
      <c r="H3693" s="28" t="str">
        <f>_xlfn.XLOOKUP(Table134526_79101120212223242526[[#This Row],[Name Surname]],Manpower!$C$4:$C$1048576,Manpower!$H$4:$H$1048576,"")</f>
        <v>Equipment</v>
      </c>
      <c r="I3693" s="28" t="str">
        <f>_xlfn.XLOOKUP(Table134526_79101120212223242526[[#This Row],[Name Surname]],Manpower!$C$4:$C$1048576,Manpower!$H$4:$H$1048576,"")</f>
        <v>Equipment</v>
      </c>
      <c r="J3693" s="21" t="s">
        <v>143</v>
      </c>
      <c r="K3693" s="57" t="s">
        <v>26</v>
      </c>
      <c r="L3693" s="57" t="s">
        <v>435</v>
      </c>
      <c r="M3693" s="57" t="s">
        <v>24</v>
      </c>
      <c r="N3693" s="62">
        <v>10</v>
      </c>
      <c r="O3693" s="21" t="s">
        <v>40</v>
      </c>
      <c r="P3693" s="21" t="s">
        <v>42</v>
      </c>
      <c r="Q3693" s="21" t="s">
        <v>42</v>
      </c>
      <c r="R3693" s="57" t="s">
        <v>444</v>
      </c>
    </row>
    <row r="3694" spans="1:19" ht="14.4">
      <c r="A3694" s="38">
        <f>IF(C3694="","",MAX($A$1:A3691)+1)</f>
        <v>3383</v>
      </c>
      <c r="B3694" s="66" t="s">
        <v>141</v>
      </c>
      <c r="C3694" s="60">
        <v>46111</v>
      </c>
      <c r="D3694" s="28" t="str">
        <f>_xlfn.XLOOKUP(Table134526_79101120212223242526[[#This Row],[Name Surname]],Manpower!$C$4:$C$1048576,Manpower!$B$4:$B$1048576,"")</f>
        <v>Encogroup</v>
      </c>
      <c r="E3694" s="21" t="s">
        <v>447</v>
      </c>
      <c r="F3694" s="12" t="e">
        <f>_xlfn.XLOOKUP(Table134526_79101120212223242526[[#This Row],[Name Surname]],Manpower!C:C,Manpower!D:D,)</f>
        <v>#N/A</v>
      </c>
      <c r="G3694" s="28" t="str">
        <f>_xlfn.XLOOKUP(Table134526_79101120212223242526[[#This Row],[Name Surname]],Manpower!$C$4:$C$1048576,Manpower!$F$4:$F$1048576,"")</f>
        <v>TELEHANDLER</v>
      </c>
      <c r="H3694" s="28" t="str">
        <f>_xlfn.XLOOKUP(Table134526_79101120212223242526[[#This Row],[Name Surname]],Manpower!$C$4:$C$1048576,Manpower!$H$4:$H$1048576,"")</f>
        <v>Equipment</v>
      </c>
      <c r="I3694" s="28" t="str">
        <f>_xlfn.XLOOKUP(Table134526_79101120212223242526[[#This Row],[Name Surname]],Manpower!$C$4:$C$1048576,Manpower!$H$4:$H$1048576,"")</f>
        <v>Equipment</v>
      </c>
      <c r="J3694" s="21" t="s">
        <v>143</v>
      </c>
      <c r="K3694" s="57" t="s">
        <v>26</v>
      </c>
      <c r="L3694" s="57" t="s">
        <v>435</v>
      </c>
      <c r="M3694" s="57" t="s">
        <v>55</v>
      </c>
      <c r="N3694" s="62">
        <v>10</v>
      </c>
      <c r="R3694" s="57" t="s">
        <v>56</v>
      </c>
    </row>
    <row r="3695" spans="1:19" ht="14.4">
      <c r="A3695" s="38">
        <f>IF(C3695="","",MAX($A$1:A3691)+1)</f>
        <v>3383</v>
      </c>
      <c r="B3695" s="66" t="s">
        <v>141</v>
      </c>
      <c r="C3695" s="60">
        <v>46111</v>
      </c>
      <c r="D3695" s="61" t="str">
        <f>_xlfn.XLOOKUP(Table134526_79101120212223242526[[#This Row],[Name Surname]],Manpower!$C$4:$C$1048576,Manpower!$B$4:$B$1048576,"")</f>
        <v>Encogroup</v>
      </c>
      <c r="E3695" s="57" t="s">
        <v>150</v>
      </c>
      <c r="F3695" s="12" t="e">
        <f>_xlfn.XLOOKUP(Table134526_79101120212223242526[[#This Row],[Name Surname]],Manpower!C:C,Manpower!D:D,)</f>
        <v>#N/A</v>
      </c>
      <c r="G3695" s="61" t="str">
        <f>_xlfn.XLOOKUP(Table134526_79101120212223242526[[#This Row],[Name Surname]],Manpower!$C$4:$C$1048576,Manpower!$F$4:$F$1048576,"")</f>
        <v>14T Fork lift</v>
      </c>
      <c r="H3695" s="61" t="str">
        <f>_xlfn.XLOOKUP(Table134526_79101120212223242526[[#This Row],[Name Surname]],Manpower!$C$4:$C$1048576,Manpower!$H$4:$H$1048576,"")</f>
        <v>Equipment</v>
      </c>
      <c r="I3695" s="28" t="str">
        <f>_xlfn.XLOOKUP(Table134526_79101120212223242526[[#This Row],[Name Surname]],Manpower!$C$4:$C$1048576,Manpower!$H$4:$H$1048576,"")</f>
        <v>Equipment</v>
      </c>
      <c r="J3695" s="21" t="s">
        <v>143</v>
      </c>
      <c r="K3695" s="57" t="s">
        <v>26</v>
      </c>
      <c r="L3695" s="57" t="s">
        <v>435</v>
      </c>
      <c r="M3695" s="57" t="s">
        <v>24</v>
      </c>
      <c r="N3695" s="62">
        <v>10</v>
      </c>
      <c r="O3695" s="21" t="s">
        <v>40</v>
      </c>
      <c r="P3695" s="21" t="s">
        <v>42</v>
      </c>
      <c r="Q3695" s="21" t="s">
        <v>42</v>
      </c>
      <c r="R3695" s="57" t="s">
        <v>444</v>
      </c>
    </row>
    <row r="3696" spans="1:19" ht="14.4">
      <c r="A3696" s="38">
        <f>IF(C3696="","",MAX($A$1:A3695)+1)</f>
        <v>3384</v>
      </c>
      <c r="B3696" s="66" t="s">
        <v>141</v>
      </c>
      <c r="C3696" s="60">
        <v>46111</v>
      </c>
      <c r="D3696" s="61" t="str">
        <f>_xlfn.XLOOKUP(Table134526_79101120212223242526[[#This Row],[Name Surname]],Manpower!$C$4:$C$1048576,Manpower!$B$4:$B$1048576,"")</f>
        <v>Encogroup</v>
      </c>
      <c r="E3696" s="57" t="s">
        <v>153</v>
      </c>
      <c r="F3696" s="12" t="e">
        <f>_xlfn.XLOOKUP(Table134526_79101120212223242526[[#This Row],[Name Surname]],Manpower!C:C,Manpower!D:D,)</f>
        <v>#N/A</v>
      </c>
      <c r="G3696" s="61" t="str">
        <f>_xlfn.XLOOKUP(Table134526_79101120212223242526[[#This Row],[Name Surname]],Manpower!$C$4:$C$1048576,Manpower!$F$4:$F$1048576,"")</f>
        <v>22 Seat Bus</v>
      </c>
      <c r="H3696" s="61" t="str">
        <f>_xlfn.XLOOKUP(Table134526_79101120212223242526[[#This Row],[Name Surname]],Manpower!$C$4:$C$1048576,Manpower!$H$4:$H$1048576,"")</f>
        <v>Equipment</v>
      </c>
      <c r="I3696" s="28" t="str">
        <f>_xlfn.XLOOKUP(Table134526_79101120212223242526[[#This Row],[Name Surname]],Manpower!$C$4:$C$1048576,Manpower!$H$4:$H$1048576,"")</f>
        <v>Equipment</v>
      </c>
      <c r="J3696" s="21" t="s">
        <v>143</v>
      </c>
      <c r="K3696" s="57" t="s">
        <v>26</v>
      </c>
      <c r="L3696" s="57" t="s">
        <v>435</v>
      </c>
      <c r="M3696" s="57" t="s">
        <v>24</v>
      </c>
      <c r="N3696" s="62">
        <v>10</v>
      </c>
      <c r="O3696" s="21" t="s">
        <v>40</v>
      </c>
      <c r="P3696" s="21" t="s">
        <v>42</v>
      </c>
      <c r="Q3696" s="21" t="s">
        <v>42</v>
      </c>
      <c r="R3696" s="57" t="s">
        <v>444</v>
      </c>
    </row>
    <row r="3697" spans="1:19" ht="14.4">
      <c r="A3697" s="38">
        <f>IF(C3697="","",MAX($A$1:A3696)+1)</f>
        <v>3385</v>
      </c>
      <c r="B3697" s="66" t="s">
        <v>141</v>
      </c>
      <c r="C3697" s="60">
        <v>46111</v>
      </c>
      <c r="D3697" s="61" t="str">
        <f>_xlfn.XLOOKUP(Table134526_79101120212223242526[[#This Row],[Name Surname]],Manpower!$C$4:$C$1048576,Manpower!$B$4:$B$1048576,"")</f>
        <v>Encogroup</v>
      </c>
      <c r="E3697" s="57" t="s">
        <v>154</v>
      </c>
      <c r="F3697" s="12" t="e">
        <f>_xlfn.XLOOKUP(Table134526_79101120212223242526[[#This Row],[Name Surname]],Manpower!C:C,Manpower!D:D,)</f>
        <v>#N/A</v>
      </c>
      <c r="G3697" s="61" t="str">
        <f>_xlfn.XLOOKUP(Table134526_79101120212223242526[[#This Row],[Name Surname]],Manpower!$C$4:$C$1048576,Manpower!$F$4:$F$1048576,"")</f>
        <v>22 Seat Bus</v>
      </c>
      <c r="H3697" s="61" t="str">
        <f>_xlfn.XLOOKUP(Table134526_79101120212223242526[[#This Row],[Name Surname]],Manpower!$C$4:$C$1048576,Manpower!$H$4:$H$1048576,"")</f>
        <v>Equipment</v>
      </c>
      <c r="I3697" s="28" t="str">
        <f>_xlfn.XLOOKUP(Table134526_79101120212223242526[[#This Row],[Name Surname]],Manpower!$C$4:$C$1048576,Manpower!$H$4:$H$1048576,"")</f>
        <v>Equipment</v>
      </c>
      <c r="J3697" s="21" t="s">
        <v>143</v>
      </c>
      <c r="K3697" s="57" t="s">
        <v>26</v>
      </c>
      <c r="L3697" s="57" t="s">
        <v>435</v>
      </c>
      <c r="M3697" s="57" t="s">
        <v>24</v>
      </c>
      <c r="N3697" s="62">
        <v>10</v>
      </c>
      <c r="O3697" s="21" t="s">
        <v>40</v>
      </c>
      <c r="P3697" s="21" t="s">
        <v>42</v>
      </c>
      <c r="Q3697" s="21" t="s">
        <v>42</v>
      </c>
      <c r="R3697" s="57" t="s">
        <v>444</v>
      </c>
    </row>
    <row r="3698" spans="1:19" ht="14.4">
      <c r="A3698" s="38">
        <f>IF(C3698="","",MAX($A$1:A3697)+1)</f>
        <v>3386</v>
      </c>
      <c r="B3698" s="66" t="s">
        <v>141</v>
      </c>
      <c r="C3698" s="60">
        <v>46111</v>
      </c>
      <c r="D3698" s="61" t="str">
        <f>_xlfn.XLOOKUP(Table134526_79101120212223242526[[#This Row],[Name Surname]],Manpower!$C$4:$C$1048576,Manpower!$B$4:$B$1048576,"")</f>
        <v>Encogroup</v>
      </c>
      <c r="E3698" s="57" t="s">
        <v>155</v>
      </c>
      <c r="F3698" s="12" t="e">
        <f>_xlfn.XLOOKUP(Table134526_79101120212223242526[[#This Row],[Name Surname]],Manpower!C:C,Manpower!D:D,)</f>
        <v>#N/A</v>
      </c>
      <c r="G3698" s="61" t="str">
        <f>_xlfn.XLOOKUP(Table134526_79101120212223242526[[#This Row],[Name Surname]],Manpower!$C$4:$C$1048576,Manpower!$F$4:$F$1048576,"")</f>
        <v>300 KVA Generator</v>
      </c>
      <c r="H3698" s="61" t="str">
        <f>_xlfn.XLOOKUP(Table134526_79101120212223242526[[#This Row],[Name Surname]],Manpower!$C$4:$C$1048576,Manpower!$H$4:$H$1048576,"")</f>
        <v>Equipment</v>
      </c>
      <c r="I3698" s="28" t="str">
        <f>_xlfn.XLOOKUP(Table134526_79101120212223242526[[#This Row],[Name Surname]],Manpower!$C$4:$C$1048576,Manpower!$H$4:$H$1048576,"")</f>
        <v>Equipment</v>
      </c>
      <c r="J3698" s="21" t="s">
        <v>143</v>
      </c>
      <c r="K3698" s="57" t="s">
        <v>26</v>
      </c>
      <c r="L3698" s="57" t="s">
        <v>435</v>
      </c>
      <c r="M3698" s="57" t="s">
        <v>24</v>
      </c>
      <c r="N3698" s="62">
        <v>10</v>
      </c>
      <c r="O3698" s="21" t="s">
        <v>40</v>
      </c>
      <c r="P3698" s="21" t="s">
        <v>42</v>
      </c>
      <c r="Q3698" s="21" t="s">
        <v>42</v>
      </c>
      <c r="R3698" s="57" t="s">
        <v>444</v>
      </c>
    </row>
    <row r="3699" spans="1:19" ht="14.4">
      <c r="A3699" s="38">
        <f>IF(C3699="","",MAX($A$1:A3698)+1)</f>
        <v>3387</v>
      </c>
      <c r="B3699" s="66" t="s">
        <v>141</v>
      </c>
      <c r="C3699" s="60">
        <v>46111</v>
      </c>
      <c r="D3699" s="61" t="str">
        <f>_xlfn.XLOOKUP(Table134526_79101120212223242526[[#This Row],[Name Surname]],Manpower!$C$4:$C$1048576,Manpower!$B$4:$B$1048576,"")</f>
        <v>Encogroup</v>
      </c>
      <c r="E3699" s="23" t="s">
        <v>156</v>
      </c>
      <c r="F3699" s="12" t="e">
        <f>_xlfn.XLOOKUP(Table134526_79101120212223242526[[#This Row],[Name Surname]],Manpower!C:C,Manpower!D:D,)</f>
        <v>#N/A</v>
      </c>
      <c r="G3699" s="61" t="str">
        <f>_xlfn.XLOOKUP(Table134526_79101120212223242526[[#This Row],[Name Surname]],Manpower!$C$4:$C$1048576,Manpower!$F$4:$F$1048576,"")</f>
        <v>35 KVA Generator</v>
      </c>
      <c r="H3699" s="61" t="str">
        <f>_xlfn.XLOOKUP(Table134526_79101120212223242526[[#This Row],[Name Surname]],Manpower!$C$4:$C$1048576,Manpower!$H$4:$H$1048576,"")</f>
        <v>Equipment</v>
      </c>
      <c r="I3699" s="28" t="str">
        <f>_xlfn.XLOOKUP(Table134526_79101120212223242526[[#This Row],[Name Surname]],Manpower!$C$4:$C$1048576,Manpower!$H$4:$H$1048576,"")</f>
        <v>Equipment</v>
      </c>
      <c r="J3699" s="21" t="s">
        <v>143</v>
      </c>
      <c r="K3699" s="57" t="s">
        <v>26</v>
      </c>
      <c r="L3699" s="57" t="s">
        <v>435</v>
      </c>
      <c r="M3699" s="57" t="s">
        <v>55</v>
      </c>
      <c r="N3699" s="62">
        <v>10</v>
      </c>
      <c r="O3699" s="21" t="s">
        <v>40</v>
      </c>
      <c r="P3699" s="21" t="s">
        <v>42</v>
      </c>
      <c r="Q3699" s="21" t="s">
        <v>42</v>
      </c>
      <c r="R3699" s="57" t="s">
        <v>56</v>
      </c>
    </row>
    <row r="3700" spans="1:19" s="45" customFormat="1" ht="14.4" hidden="1">
      <c r="A3700" s="53">
        <f>IF(C3700="","",MAX($A$1:A3699)+1)</f>
        <v>3388</v>
      </c>
      <c r="B3700" s="54" t="s">
        <v>141</v>
      </c>
      <c r="C3700" s="55">
        <v>46111</v>
      </c>
      <c r="D3700" s="68" t="str">
        <f>_xlfn.XLOOKUP(Table134526_79101120212223242526[[#This Row],[Name Surname]],Manpower!$C$4:$C$1048576,Manpower!$B$4:$B$1048576,"")</f>
        <v>Encogroup</v>
      </c>
      <c r="E3700" s="51" t="s">
        <v>157</v>
      </c>
      <c r="F3700" s="12">
        <f>_xlfn.XLOOKUP(Table134526_79101120212223242526[[#This Row],[Name Surname]],Manpower!C:C,Manpower!D:D,)</f>
        <v>140742144</v>
      </c>
      <c r="G3700" s="68" t="str">
        <f>_xlfn.XLOOKUP(Table134526_79101120212223242526[[#This Row],[Name Surname]],Manpower!$C$4:$C$1048576,Manpower!$F$4:$F$1048576,"")</f>
        <v>Assistant/Helper</v>
      </c>
      <c r="H3700" s="68" t="str">
        <f>_xlfn.XLOOKUP(Table134526_79101120212223242526[[#This Row],[Name Surname]],Manpower!$C$4:$C$1048576,Manpower!$H$4:$H$1048576,"")</f>
        <v>Manpower</v>
      </c>
      <c r="I3700" s="48" t="str">
        <f>_xlfn.XLOOKUP(Table134526_79101120212223242526[[#This Row],[Name Surname]],Manpower!$C$4:$C$1048576,Manpower!$H$4:$H$1048576,"")</f>
        <v>Manpower</v>
      </c>
      <c r="J3700" s="43" t="s">
        <v>143</v>
      </c>
      <c r="K3700" s="51" t="s">
        <v>26</v>
      </c>
      <c r="L3700" s="51" t="s">
        <v>435</v>
      </c>
      <c r="M3700" s="51" t="s">
        <v>24</v>
      </c>
      <c r="N3700" s="52">
        <v>10</v>
      </c>
      <c r="O3700" s="43" t="s">
        <v>40</v>
      </c>
      <c r="P3700" s="43" t="s">
        <v>42</v>
      </c>
      <c r="Q3700" s="43" t="s">
        <v>42</v>
      </c>
      <c r="R3700" s="51" t="s">
        <v>444</v>
      </c>
      <c r="S3700" s="43"/>
    </row>
    <row r="3701" spans="1:19" s="45" customFormat="1" ht="14.4" hidden="1">
      <c r="A3701" s="53">
        <f>IF(C3701="","",MAX($A$1:A3700)+1)</f>
        <v>3389</v>
      </c>
      <c r="B3701" s="54" t="s">
        <v>141</v>
      </c>
      <c r="C3701" s="55">
        <v>46111</v>
      </c>
      <c r="D3701" s="68" t="str">
        <f>_xlfn.XLOOKUP(Table134526_79101120212223242526[[#This Row],[Name Surname]],Manpower!$C$4:$C$1048576,Manpower!$B$4:$B$1048576,"")</f>
        <v>Encogroup</v>
      </c>
      <c r="E3701" s="51" t="s">
        <v>166</v>
      </c>
      <c r="F3701" s="12" t="str">
        <f>_xlfn.XLOOKUP(Table134526_79101120212223242526[[#This Row],[Name Surname]],Manpower!C:C,Manpower!D:D,)</f>
        <v>U4181508</v>
      </c>
      <c r="G3701" s="68" t="str">
        <f>_xlfn.XLOOKUP(Table134526_79101120212223242526[[#This Row],[Name Surname]],Manpower!$C$4:$C$1048576,Manpower!$F$4:$F$1048576,"")</f>
        <v>Welder</v>
      </c>
      <c r="H3701" s="68" t="str">
        <f>_xlfn.XLOOKUP(Table134526_79101120212223242526[[#This Row],[Name Surname]],Manpower!$C$4:$C$1048576,Manpower!$H$4:$H$1048576,"")</f>
        <v>Manpower</v>
      </c>
      <c r="I3701" s="48" t="str">
        <f>_xlfn.XLOOKUP(Table134526_79101120212223242526[[#This Row],[Name Surname]],Manpower!$C$4:$C$1048576,Manpower!$H$4:$H$1048576,"")</f>
        <v>Manpower</v>
      </c>
      <c r="J3701" s="43" t="s">
        <v>143</v>
      </c>
      <c r="K3701" s="51" t="s">
        <v>26</v>
      </c>
      <c r="L3701" s="51" t="s">
        <v>435</v>
      </c>
      <c r="M3701" s="51" t="s">
        <v>24</v>
      </c>
      <c r="N3701" s="52">
        <v>10</v>
      </c>
      <c r="O3701" s="43" t="s">
        <v>40</v>
      </c>
      <c r="P3701" s="43" t="s">
        <v>42</v>
      </c>
      <c r="Q3701" s="43" t="s">
        <v>42</v>
      </c>
      <c r="R3701" s="51" t="s">
        <v>444</v>
      </c>
      <c r="S3701" s="43"/>
    </row>
    <row r="3702" spans="1:19" s="45" customFormat="1" ht="14.4" hidden="1">
      <c r="A3702" s="53">
        <f>IF(C3702="","",MAX($A$1:A3701)+1)</f>
        <v>3390</v>
      </c>
      <c r="B3702" s="54" t="s">
        <v>141</v>
      </c>
      <c r="C3702" s="55">
        <v>46111</v>
      </c>
      <c r="D3702" s="68" t="str">
        <f>_xlfn.XLOOKUP(Table134526_79101120212223242526[[#This Row],[Name Surname]],Manpower!$C$4:$C$1048576,Manpower!$B$4:$B$1048576,"")</f>
        <v>Encogroup</v>
      </c>
      <c r="E3702" s="51" t="s">
        <v>167</v>
      </c>
      <c r="F3702" s="12">
        <f>_xlfn.XLOOKUP(Table134526_79101120212223242526[[#This Row],[Name Surname]],Manpower!C:C,Manpower!D:D,)</f>
        <v>125440631</v>
      </c>
      <c r="G3702" s="68" t="str">
        <f>_xlfn.XLOOKUP(Table134526_79101120212223242526[[#This Row],[Name Surname]],Manpower!$C$4:$C$1048576,Manpower!$F$4:$F$1048576,"")</f>
        <v>Rigger</v>
      </c>
      <c r="H3702" s="68" t="str">
        <f>_xlfn.XLOOKUP(Table134526_79101120212223242526[[#This Row],[Name Surname]],Manpower!$C$4:$C$1048576,Manpower!$H$4:$H$1048576,"")</f>
        <v>Manpower</v>
      </c>
      <c r="I3702" s="48" t="str">
        <f>_xlfn.XLOOKUP(Table134526_79101120212223242526[[#This Row],[Name Surname]],Manpower!$C$4:$C$1048576,Manpower!$H$4:$H$1048576,"")</f>
        <v>Manpower</v>
      </c>
      <c r="J3702" s="43" t="s">
        <v>143</v>
      </c>
      <c r="K3702" s="51" t="s">
        <v>26</v>
      </c>
      <c r="L3702" s="51" t="s">
        <v>435</v>
      </c>
      <c r="M3702" s="51" t="s">
        <v>24</v>
      </c>
      <c r="N3702" s="52">
        <v>10</v>
      </c>
      <c r="O3702" s="43" t="s">
        <v>40</v>
      </c>
      <c r="P3702" s="43" t="s">
        <v>42</v>
      </c>
      <c r="Q3702" s="43" t="s">
        <v>42</v>
      </c>
      <c r="R3702" s="51" t="s">
        <v>444</v>
      </c>
      <c r="S3702" s="43"/>
    </row>
    <row r="3703" spans="1:19" ht="14.4" hidden="1">
      <c r="A3703" s="38">
        <f>IF(C3703="","",MAX($A$1:A3702)+1)</f>
        <v>3391</v>
      </c>
      <c r="B3703" s="66" t="s">
        <v>141</v>
      </c>
      <c r="C3703" s="60">
        <v>46111</v>
      </c>
      <c r="D3703" s="61" t="str">
        <f>_xlfn.XLOOKUP(Table134526_79101120212223242526[[#This Row],[Name Surname]],Manpower!$C$4:$C$1048576,Manpower!$B$4:$B$1048576,"")</f>
        <v>AL Omar International TRAD AND CONT</v>
      </c>
      <c r="E3703" s="57" t="s">
        <v>169</v>
      </c>
      <c r="F3703" s="12">
        <f>_xlfn.XLOOKUP(Table134526_79101120212223242526[[#This Row],[Name Surname]],Manpower!C:C,Manpower!D:D,)</f>
        <v>115731078</v>
      </c>
      <c r="G3703" s="61" t="str">
        <f>_xlfn.XLOOKUP(Table134526_79101120212223242526[[#This Row],[Name Surname]],Manpower!$C$4:$C$1048576,Manpower!$F$4:$F$1048576,"")</f>
        <v>Scaffolder</v>
      </c>
      <c r="H3703" s="61" t="str">
        <f>_xlfn.XLOOKUP(Table134526_79101120212223242526[[#This Row],[Name Surname]],Manpower!$C$4:$C$1048576,Manpower!$H$4:$H$1048576,"")</f>
        <v>Sub Contactor</v>
      </c>
      <c r="I3703" s="28" t="str">
        <f>_xlfn.XLOOKUP(Table134526_79101120212223242526[[#This Row],[Name Surname]],Manpower!$C$4:$C$1048576,Manpower!$H$4:$H$1048576,"")</f>
        <v>Sub Contactor</v>
      </c>
      <c r="J3703" s="21" t="s">
        <v>143</v>
      </c>
      <c r="K3703" s="57" t="s">
        <v>26</v>
      </c>
      <c r="L3703" s="57" t="s">
        <v>170</v>
      </c>
      <c r="M3703" s="57" t="s">
        <v>24</v>
      </c>
      <c r="N3703" s="62">
        <v>10</v>
      </c>
      <c r="O3703" s="57" t="s">
        <v>40</v>
      </c>
      <c r="P3703" s="57" t="s">
        <v>128</v>
      </c>
      <c r="Q3703" s="57" t="s">
        <v>128</v>
      </c>
      <c r="R3703" s="57" t="s">
        <v>26</v>
      </c>
    </row>
    <row r="3704" spans="1:19" s="45" customFormat="1" ht="14.4" hidden="1">
      <c r="A3704" s="53">
        <f>IF(C3704="","",MAX($A$1:A3703)+1)</f>
        <v>3392</v>
      </c>
      <c r="B3704" s="54" t="s">
        <v>141</v>
      </c>
      <c r="C3704" s="55">
        <v>46111</v>
      </c>
      <c r="D3704" s="68" t="str">
        <f>_xlfn.XLOOKUP(Table134526_79101120212223242526[[#This Row],[Name Surname]],Manpower!$C$4:$C$1048576,Manpower!$B$4:$B$1048576,"")</f>
        <v>Encogroup</v>
      </c>
      <c r="E3704" s="51" t="s">
        <v>172</v>
      </c>
      <c r="F3704" s="12">
        <f>_xlfn.XLOOKUP(Table134526_79101120212223242526[[#This Row],[Name Surname]],Manpower!C:C,Manpower!D:D,)</f>
        <v>140764355</v>
      </c>
      <c r="G3704" s="68" t="str">
        <f>_xlfn.XLOOKUP(Table134526_79101120212223242526[[#This Row],[Name Surname]],Manpower!$C$4:$C$1048576,Manpower!$F$4:$F$1048576,"")</f>
        <v>Fitter/Erector</v>
      </c>
      <c r="H3704" s="68" t="str">
        <f>_xlfn.XLOOKUP(Table134526_79101120212223242526[[#This Row],[Name Surname]],Manpower!$C$4:$C$1048576,Manpower!$H$4:$H$1048576,"")</f>
        <v>Manpower</v>
      </c>
      <c r="I3704" s="48" t="str">
        <f>_xlfn.XLOOKUP(Table134526_79101120212223242526[[#This Row],[Name Surname]],Manpower!$C$4:$C$1048576,Manpower!$H$4:$H$1048576,"")</f>
        <v>Manpower</v>
      </c>
      <c r="J3704" s="43" t="s">
        <v>143</v>
      </c>
      <c r="K3704" s="51" t="s">
        <v>26</v>
      </c>
      <c r="L3704" s="51" t="s">
        <v>435</v>
      </c>
      <c r="M3704" s="51" t="s">
        <v>24</v>
      </c>
      <c r="N3704" s="52">
        <v>10</v>
      </c>
      <c r="O3704" s="43" t="s">
        <v>40</v>
      </c>
      <c r="P3704" s="43" t="s">
        <v>42</v>
      </c>
      <c r="Q3704" s="43" t="s">
        <v>42</v>
      </c>
      <c r="R3704" s="51" t="s">
        <v>444</v>
      </c>
      <c r="S3704" s="43"/>
    </row>
    <row r="3705" spans="1:19" ht="14.4" hidden="1">
      <c r="A3705" s="38">
        <f>IF(C3705="","",MAX($A$1:A3704)+1)</f>
        <v>3393</v>
      </c>
      <c r="B3705" s="66" t="s">
        <v>141</v>
      </c>
      <c r="C3705" s="60">
        <v>46111</v>
      </c>
      <c r="D3705" s="61" t="str">
        <f>_xlfn.XLOOKUP(Table134526_79101120212223242526[[#This Row],[Name Surname]],Manpower!$C$4:$C$1048576,Manpower!$B$4:$B$1048576,"")</f>
        <v>Encogroup</v>
      </c>
      <c r="E3705" s="51" t="s">
        <v>175</v>
      </c>
      <c r="F3705" s="12">
        <f>_xlfn.XLOOKUP(Table134526_79101120212223242526[[#This Row],[Name Surname]],Manpower!C:C,Manpower!D:D,)</f>
        <v>140742125</v>
      </c>
      <c r="G3705" s="61" t="str">
        <f>_xlfn.XLOOKUP(Table134526_79101120212223242526[[#This Row],[Name Surname]],Manpower!$C$4:$C$1048576,Manpower!$F$4:$F$1048576,"")</f>
        <v>Assistant/Helper</v>
      </c>
      <c r="H3705" s="61" t="str">
        <f>_xlfn.XLOOKUP(Table134526_79101120212223242526[[#This Row],[Name Surname]],Manpower!$C$4:$C$1048576,Manpower!$H$4:$H$1048576,"")</f>
        <v>Manpower</v>
      </c>
      <c r="I3705" s="28" t="str">
        <f>_xlfn.XLOOKUP(Table134526_79101120212223242526[[#This Row],[Name Surname]],Manpower!$C$4:$C$1048576,Manpower!$H$4:$H$1048576,"")</f>
        <v>Manpower</v>
      </c>
      <c r="J3705" s="21" t="s">
        <v>143</v>
      </c>
      <c r="K3705" s="57" t="s">
        <v>26</v>
      </c>
      <c r="L3705" s="57" t="s">
        <v>435</v>
      </c>
      <c r="M3705" s="57" t="s">
        <v>24</v>
      </c>
      <c r="N3705" s="62">
        <v>10</v>
      </c>
      <c r="O3705" s="21" t="s">
        <v>40</v>
      </c>
      <c r="P3705" s="21" t="s">
        <v>42</v>
      </c>
      <c r="Q3705" s="21" t="s">
        <v>42</v>
      </c>
      <c r="R3705" s="57" t="s">
        <v>444</v>
      </c>
    </row>
    <row r="3706" spans="1:19" ht="14.4" hidden="1">
      <c r="A3706" s="38">
        <f>IF(C3706="","",MAX($A$1:A3705)+1)</f>
        <v>3394</v>
      </c>
      <c r="B3706" s="66" t="s">
        <v>141</v>
      </c>
      <c r="C3706" s="60">
        <v>46111</v>
      </c>
      <c r="D3706" s="61" t="str">
        <f>_xlfn.XLOOKUP(Table134526_79101120212223242526[[#This Row],[Name Surname]],Manpower!$C$4:$C$1048576,Manpower!$B$4:$B$1048576,"")</f>
        <v>Encogroup</v>
      </c>
      <c r="E3706" s="57" t="s">
        <v>228</v>
      </c>
      <c r="F3706" s="12">
        <f>_xlfn.XLOOKUP(Table134526_79101120212223242526[[#This Row],[Name Surname]],Manpower!C:C,Manpower!D:D,)</f>
        <v>125199963</v>
      </c>
      <c r="G3706" s="61" t="str">
        <f>_xlfn.XLOOKUP(Table134526_79101120212223242526[[#This Row],[Name Surname]],Manpower!$C$4:$C$1048576,Manpower!$F$4:$F$1048576,"")</f>
        <v>Electrician</v>
      </c>
      <c r="H3706" s="61" t="str">
        <f>_xlfn.XLOOKUP(Table134526_79101120212223242526[[#This Row],[Name Surname]],Manpower!$C$4:$C$1048576,Manpower!$H$4:$H$1048576,"")</f>
        <v>Manpower</v>
      </c>
      <c r="I3706" s="28" t="str">
        <f>_xlfn.XLOOKUP(Table134526_79101120212223242526[[#This Row],[Name Surname]],Manpower!$C$4:$C$1048576,Manpower!$H$4:$H$1048576,"")</f>
        <v>Manpower</v>
      </c>
      <c r="J3706" s="21" t="s">
        <v>143</v>
      </c>
      <c r="K3706" s="57" t="s">
        <v>26</v>
      </c>
      <c r="L3706" s="57" t="s">
        <v>435</v>
      </c>
      <c r="M3706" s="57" t="s">
        <v>24</v>
      </c>
      <c r="N3706" s="62">
        <v>10</v>
      </c>
      <c r="O3706" s="21" t="s">
        <v>40</v>
      </c>
      <c r="P3706" s="21" t="s">
        <v>42</v>
      </c>
      <c r="Q3706" s="21" t="s">
        <v>42</v>
      </c>
      <c r="R3706" s="57" t="s">
        <v>444</v>
      </c>
    </row>
    <row r="3707" spans="1:19" ht="14.4" hidden="1">
      <c r="A3707" s="38">
        <f>IF(C3707="","",MAX($A$1:A3706)+1)</f>
        <v>3395</v>
      </c>
      <c r="B3707" s="66" t="s">
        <v>141</v>
      </c>
      <c r="C3707" s="60">
        <v>46111</v>
      </c>
      <c r="D3707" s="61" t="str">
        <f>_xlfn.XLOOKUP(Table134526_79101120212223242526[[#This Row],[Name Surname]],Manpower!$C$4:$C$1048576,Manpower!$B$4:$B$1048576,"")</f>
        <v>Encogroup</v>
      </c>
      <c r="E3707" s="57" t="s">
        <v>119</v>
      </c>
      <c r="F3707" s="12">
        <f>_xlfn.XLOOKUP(Table134526_79101120212223242526[[#This Row],[Name Surname]],Manpower!C:C,Manpower!D:D,)</f>
        <v>140844778</v>
      </c>
      <c r="G3707" s="61" t="str">
        <f>_xlfn.XLOOKUP(Table134526_79101120212223242526[[#This Row],[Name Surname]],Manpower!$C$4:$C$1048576,Manpower!$F$4:$F$1048576,"")</f>
        <v>Painter</v>
      </c>
      <c r="H3707" s="61" t="str">
        <f>_xlfn.XLOOKUP(Table134526_79101120212223242526[[#This Row],[Name Surname]],Manpower!$C$4:$C$1048576,Manpower!$H$4:$H$1048576,"")</f>
        <v>Manpower</v>
      </c>
      <c r="I3707" s="28" t="str">
        <f>_xlfn.XLOOKUP(Table134526_79101120212223242526[[#This Row],[Name Surname]],Manpower!$C$4:$C$1048576,Manpower!$H$4:$H$1048576,"")</f>
        <v>Manpower</v>
      </c>
      <c r="J3707" s="21" t="s">
        <v>143</v>
      </c>
      <c r="K3707" s="57" t="s">
        <v>26</v>
      </c>
      <c r="L3707" s="57" t="s">
        <v>435</v>
      </c>
      <c r="M3707" s="57" t="s">
        <v>24</v>
      </c>
      <c r="N3707" s="62">
        <v>10</v>
      </c>
      <c r="O3707" s="21" t="s">
        <v>40</v>
      </c>
      <c r="P3707" s="21" t="s">
        <v>42</v>
      </c>
      <c r="Q3707" s="21" t="s">
        <v>42</v>
      </c>
      <c r="R3707" s="57" t="s">
        <v>444</v>
      </c>
    </row>
    <row r="3708" spans="1:19" ht="14.4" hidden="1">
      <c r="A3708" s="38">
        <f>IF(C3708="","",MAX($A$1:A3707)+1)</f>
        <v>3396</v>
      </c>
      <c r="B3708" s="66" t="s">
        <v>141</v>
      </c>
      <c r="C3708" s="60">
        <v>46111</v>
      </c>
      <c r="D3708" s="61" t="str">
        <f>_xlfn.XLOOKUP(Table134526_79101120212223242526[[#This Row],[Name Surname]],Manpower!$C$4:$C$1048576,Manpower!$B$4:$B$1048576,"")</f>
        <v>Encogroup</v>
      </c>
      <c r="E3708" s="57" t="s">
        <v>117</v>
      </c>
      <c r="F3708" s="12">
        <f>_xlfn.XLOOKUP(Table134526_79101120212223242526[[#This Row],[Name Surname]],Manpower!C:C,Manpower!D:D,)</f>
        <v>140844783</v>
      </c>
      <c r="G3708" s="61" t="str">
        <f>_xlfn.XLOOKUP(Table134526_79101120212223242526[[#This Row],[Name Surname]],Manpower!$C$4:$C$1048576,Manpower!$F$4:$F$1048576,"")</f>
        <v>Painter</v>
      </c>
      <c r="H3708" s="61" t="str">
        <f>_xlfn.XLOOKUP(Table134526_79101120212223242526[[#This Row],[Name Surname]],Manpower!$C$4:$C$1048576,Manpower!$H$4:$H$1048576,"")</f>
        <v>Manpower</v>
      </c>
      <c r="I3708" s="28" t="str">
        <f>_xlfn.XLOOKUP(Table134526_79101120212223242526[[#This Row],[Name Surname]],Manpower!$C$4:$C$1048576,Manpower!$H$4:$H$1048576,"")</f>
        <v>Manpower</v>
      </c>
      <c r="J3708" s="21" t="s">
        <v>143</v>
      </c>
      <c r="K3708" s="57" t="s">
        <v>26</v>
      </c>
      <c r="L3708" s="57" t="s">
        <v>435</v>
      </c>
      <c r="M3708" s="57" t="s">
        <v>24</v>
      </c>
      <c r="N3708" s="62">
        <v>10</v>
      </c>
      <c r="O3708" s="21" t="s">
        <v>40</v>
      </c>
      <c r="P3708" s="21" t="s">
        <v>42</v>
      </c>
      <c r="Q3708" s="21" t="s">
        <v>42</v>
      </c>
      <c r="R3708" s="57" t="s">
        <v>444</v>
      </c>
    </row>
    <row r="3709" spans="1:19" s="45" customFormat="1" ht="14.4" hidden="1">
      <c r="A3709" s="53">
        <f>IF(C3709="","",MAX($A$1:A3708)+1)</f>
        <v>3397</v>
      </c>
      <c r="B3709" s="54" t="s">
        <v>141</v>
      </c>
      <c r="C3709" s="55">
        <v>46111</v>
      </c>
      <c r="D3709" s="68" t="str">
        <f>_xlfn.XLOOKUP(Table134526_79101120212223242526[[#This Row],[Name Surname]],Manpower!$C$4:$C$1048576,Manpower!$B$4:$B$1048576,"")</f>
        <v>Encogroup</v>
      </c>
      <c r="E3709" s="51" t="s">
        <v>176</v>
      </c>
      <c r="F3709" s="12">
        <f>_xlfn.XLOOKUP(Table134526_79101120212223242526[[#This Row],[Name Surname]],Manpower!C:C,Manpower!D:D,)</f>
        <v>124398279</v>
      </c>
      <c r="G3709" s="68" t="str">
        <f>_xlfn.XLOOKUP(Table134526_79101120212223242526[[#This Row],[Name Surname]],Manpower!$C$4:$C$1048576,Manpower!$F$4:$F$1048576,"")</f>
        <v>Permit Receiver</v>
      </c>
      <c r="H3709" s="68" t="str">
        <f>_xlfn.XLOOKUP(Table134526_79101120212223242526[[#This Row],[Name Surname]],Manpower!$C$4:$C$1048576,Manpower!$H$4:$H$1048576,"")</f>
        <v>Manpower</v>
      </c>
      <c r="I3709" s="48" t="str">
        <f>_xlfn.XLOOKUP(Table134526_79101120212223242526[[#This Row],[Name Surname]],Manpower!$C$4:$C$1048576,Manpower!$H$4:$H$1048576,"")</f>
        <v>Manpower</v>
      </c>
      <c r="J3709" s="43" t="s">
        <v>143</v>
      </c>
      <c r="K3709" s="51" t="s">
        <v>26</v>
      </c>
      <c r="L3709" s="51" t="s">
        <v>435</v>
      </c>
      <c r="M3709" s="51" t="s">
        <v>24</v>
      </c>
      <c r="N3709" s="52">
        <v>10</v>
      </c>
      <c r="O3709" s="43" t="s">
        <v>40</v>
      </c>
      <c r="P3709" s="43" t="s">
        <v>42</v>
      </c>
      <c r="Q3709" s="43" t="s">
        <v>42</v>
      </c>
      <c r="R3709" s="51" t="s">
        <v>444</v>
      </c>
      <c r="S3709" s="43"/>
    </row>
    <row r="3710" spans="1:19" s="45" customFormat="1" ht="14.4" hidden="1">
      <c r="A3710" s="53">
        <f>IF(C3710="","",MAX($A$1:A3709)+1)</f>
        <v>3398</v>
      </c>
      <c r="B3710" s="54" t="s">
        <v>141</v>
      </c>
      <c r="C3710" s="55">
        <v>46111</v>
      </c>
      <c r="D3710" s="48" t="str">
        <f>_xlfn.XLOOKUP(Table134526_79101120212223242526[[#This Row],[Name Surname]],Manpower!$C$4:$C$1048576,Manpower!$B$4:$B$1048576,"")</f>
        <v>Encogroup</v>
      </c>
      <c r="E3710" s="43" t="s">
        <v>404</v>
      </c>
      <c r="F3710" s="12">
        <f>_xlfn.XLOOKUP(Table134526_79101120212223242526[[#This Row],[Name Surname]],Manpower!C:C,Manpower!D:D,)</f>
        <v>118882687</v>
      </c>
      <c r="G3710" s="48" t="str">
        <f>_xlfn.XLOOKUP(Table134526_79101120212223242526[[#This Row],[Name Surname]],Manpower!$C$4:$C$1048576,Manpower!$F$4:$F$1048576,"")</f>
        <v>Permit Reciver</v>
      </c>
      <c r="H3710" s="48" t="str">
        <f>_xlfn.XLOOKUP(Table134526_79101120212223242526[[#This Row],[Name Surname]],Manpower!$C$4:$C$1048576,Manpower!$H$4:$H$1048576,"")</f>
        <v>Manpower</v>
      </c>
      <c r="I3710" s="48" t="str">
        <f>_xlfn.XLOOKUP(Table134526_79101120212223242526[[#This Row],[Name Surname]],Manpower!$C$4:$C$1048576,Manpower!$H$4:$H$1048576,"")</f>
        <v>Manpower</v>
      </c>
      <c r="J3710" s="43" t="s">
        <v>143</v>
      </c>
      <c r="K3710" s="51" t="s">
        <v>26</v>
      </c>
      <c r="L3710" s="51" t="s">
        <v>435</v>
      </c>
      <c r="M3710" s="51" t="s">
        <v>24</v>
      </c>
      <c r="N3710" s="52">
        <v>10</v>
      </c>
      <c r="O3710" s="43" t="s">
        <v>40</v>
      </c>
      <c r="P3710" s="43" t="s">
        <v>42</v>
      </c>
      <c r="Q3710" s="43" t="s">
        <v>42</v>
      </c>
      <c r="R3710" s="51" t="s">
        <v>444</v>
      </c>
      <c r="S3710" s="43"/>
    </row>
    <row r="3711" spans="1:19" s="45" customFormat="1" ht="14.4" hidden="1">
      <c r="A3711" s="53">
        <f>IF(C3711="","",MAX($A$1:A3709)+1)</f>
        <v>3398</v>
      </c>
      <c r="B3711" s="54" t="s">
        <v>141</v>
      </c>
      <c r="C3711" s="55">
        <v>46111</v>
      </c>
      <c r="D3711" s="68" t="str">
        <f>_xlfn.XLOOKUP(Table134526_79101120212223242526[[#This Row],[Name Surname]],Manpower!$C$4:$C$1048576,Manpower!$B$4:$B$1048576,"")</f>
        <v>Encogroup</v>
      </c>
      <c r="E3711" s="51" t="s">
        <v>177</v>
      </c>
      <c r="F3711" s="12">
        <f>_xlfn.XLOOKUP(Table134526_79101120212223242526[[#This Row],[Name Surname]],Manpower!C:C,Manpower!D:D,)</f>
        <v>140809004</v>
      </c>
      <c r="G3711" s="68" t="str">
        <f>_xlfn.XLOOKUP(Table134526_79101120212223242526[[#This Row],[Name Surname]],Manpower!$C$4:$C$1048576,Manpower!$F$4:$F$1048576,"")</f>
        <v>Fitter/Erector</v>
      </c>
      <c r="H3711" s="68" t="str">
        <f>_xlfn.XLOOKUP(Table134526_79101120212223242526[[#This Row],[Name Surname]],Manpower!$C$4:$C$1048576,Manpower!$H$4:$H$1048576,"")</f>
        <v>Manpower</v>
      </c>
      <c r="I3711" s="48" t="str">
        <f>_xlfn.XLOOKUP(Table134526_79101120212223242526[[#This Row],[Name Surname]],Manpower!$C$4:$C$1048576,Manpower!$H$4:$H$1048576,"")</f>
        <v>Manpower</v>
      </c>
      <c r="J3711" s="43" t="s">
        <v>143</v>
      </c>
      <c r="K3711" s="51" t="s">
        <v>26</v>
      </c>
      <c r="L3711" s="51" t="s">
        <v>435</v>
      </c>
      <c r="M3711" s="51" t="s">
        <v>24</v>
      </c>
      <c r="N3711" s="52">
        <v>10</v>
      </c>
      <c r="O3711" s="43" t="s">
        <v>40</v>
      </c>
      <c r="P3711" s="43" t="s">
        <v>42</v>
      </c>
      <c r="Q3711" s="43" t="s">
        <v>42</v>
      </c>
      <c r="R3711" s="51" t="s">
        <v>444</v>
      </c>
      <c r="S3711" s="43"/>
    </row>
    <row r="3712" spans="1:19" ht="14.4" hidden="1">
      <c r="A3712" s="38">
        <f>IF(C3712="","",MAX($A$1:A3711)+1)</f>
        <v>3399</v>
      </c>
      <c r="B3712" s="66" t="s">
        <v>141</v>
      </c>
      <c r="C3712" s="60">
        <v>46111</v>
      </c>
      <c r="D3712" s="61" t="str">
        <f>_xlfn.XLOOKUP(Table134526_79101120212223242526[[#This Row],[Name Surname]],Manpower!$C$4:$C$1048576,Manpower!$B$4:$B$1048576,"")</f>
        <v>Encogroup</v>
      </c>
      <c r="E3712" s="51" t="s">
        <v>178</v>
      </c>
      <c r="F3712" s="12">
        <f>_xlfn.XLOOKUP(Table134526_79101120212223242526[[#This Row],[Name Surname]],Manpower!C:C,Manpower!D:D,)</f>
        <v>140683436</v>
      </c>
      <c r="G3712" s="61" t="str">
        <f>_xlfn.XLOOKUP(Table134526_79101120212223242526[[#This Row],[Name Surname]],Manpower!$C$4:$C$1048576,Manpower!$F$4:$F$1048576,"")</f>
        <v>Scaffolder</v>
      </c>
      <c r="H3712" s="61" t="str">
        <f>_xlfn.XLOOKUP(Table134526_79101120212223242526[[#This Row],[Name Surname]],Manpower!$C$4:$C$1048576,Manpower!$H$4:$H$1048576,"")</f>
        <v>Manpower</v>
      </c>
      <c r="I3712" s="28" t="str">
        <f>_xlfn.XLOOKUP(Table134526_79101120212223242526[[#This Row],[Name Surname]],Manpower!$C$4:$C$1048576,Manpower!$H$4:$H$1048576,"")</f>
        <v>Manpower</v>
      </c>
      <c r="J3712" s="21" t="s">
        <v>143</v>
      </c>
      <c r="K3712" s="57" t="s">
        <v>26</v>
      </c>
      <c r="L3712" s="57" t="s">
        <v>435</v>
      </c>
      <c r="M3712" s="57" t="s">
        <v>24</v>
      </c>
      <c r="N3712" s="62">
        <v>10</v>
      </c>
      <c r="O3712" s="21" t="s">
        <v>40</v>
      </c>
      <c r="P3712" s="21" t="s">
        <v>42</v>
      </c>
      <c r="Q3712" s="21" t="s">
        <v>42</v>
      </c>
      <c r="R3712" s="57" t="s">
        <v>444</v>
      </c>
    </row>
    <row r="3713" spans="1:19" ht="14.4">
      <c r="A3713" s="38">
        <f>IF(C3713="","",MAX($A$1:A3712)+1)</f>
        <v>3400</v>
      </c>
      <c r="B3713" s="66" t="s">
        <v>141</v>
      </c>
      <c r="C3713" s="60">
        <v>46111</v>
      </c>
      <c r="D3713" s="61" t="str">
        <f>_xlfn.XLOOKUP(Table134526_79101120212223242526[[#This Row],[Name Surname]],Manpower!$C$4:$C$1048576,Manpower!$B$4:$B$1048576,"")</f>
        <v>Encogroup</v>
      </c>
      <c r="E3713" s="60" t="s">
        <v>179</v>
      </c>
      <c r="F3713" s="12" t="e">
        <f>_xlfn.XLOOKUP(Table134526_79101120212223242526[[#This Row],[Name Surname]],Manpower!C:C,Manpower!D:D,)</f>
        <v>#N/A</v>
      </c>
      <c r="G3713" s="61" t="str">
        <f>_xlfn.XLOOKUP(Table134526_79101120212223242526[[#This Row],[Name Surname]],Manpower!$C$4:$C$1048576,Manpower!$F$4:$F$1048576,"")</f>
        <v>7T-HIAB</v>
      </c>
      <c r="H3713" s="61" t="str">
        <f>_xlfn.XLOOKUP(Table134526_79101120212223242526[[#This Row],[Name Surname]],Manpower!$C$4:$C$1048576,Manpower!$H$4:$H$1048576,"")</f>
        <v>Equipment</v>
      </c>
      <c r="I3713" s="28" t="str">
        <f>_xlfn.XLOOKUP(Table134526_79101120212223242526[[#This Row],[Name Surname]],Manpower!$C$4:$C$1048576,Manpower!$H$4:$H$1048576,"")</f>
        <v>Equipment</v>
      </c>
      <c r="J3713" s="21" t="s">
        <v>143</v>
      </c>
      <c r="K3713" s="57" t="s">
        <v>26</v>
      </c>
      <c r="L3713" s="57" t="s">
        <v>435</v>
      </c>
      <c r="M3713" s="57" t="s">
        <v>24</v>
      </c>
      <c r="N3713" s="62">
        <v>10</v>
      </c>
      <c r="O3713" s="57"/>
      <c r="P3713" s="57"/>
      <c r="Q3713" s="57"/>
      <c r="R3713" s="57" t="s">
        <v>444</v>
      </c>
    </row>
    <row r="3714" spans="1:19" ht="14.4" hidden="1">
      <c r="A3714" s="38">
        <f>IF(C3714="","",MAX($A$1:A3713)+1)</f>
        <v>3401</v>
      </c>
      <c r="B3714" s="66" t="s">
        <v>141</v>
      </c>
      <c r="C3714" s="60">
        <v>46111</v>
      </c>
      <c r="D3714" s="61" t="str">
        <f>_xlfn.XLOOKUP(Table134526_79101120212223242526[[#This Row],[Name Surname]],Manpower!$C$4:$C$1048576,Manpower!$B$4:$B$1048576,"")</f>
        <v>Encogroup</v>
      </c>
      <c r="E3714" s="57" t="s">
        <v>180</v>
      </c>
      <c r="F3714" s="12">
        <f>_xlfn.XLOOKUP(Table134526_79101120212223242526[[#This Row],[Name Surname]],Manpower!C:C,Manpower!D:D,)</f>
        <v>9138415</v>
      </c>
      <c r="G3714" s="61" t="str">
        <f>_xlfn.XLOOKUP(Table134526_79101120212223242526[[#This Row],[Name Surname]],Manpower!$C$4:$C$1048576,Manpower!$F$4:$F$1048576,"")</f>
        <v>HIAB Driver</v>
      </c>
      <c r="H3714" s="61" t="str">
        <f>_xlfn.XLOOKUP(Table134526_79101120212223242526[[#This Row],[Name Surname]],Manpower!$C$4:$C$1048576,Manpower!$H$4:$H$1048576,"")</f>
        <v>Manpower</v>
      </c>
      <c r="I3714" s="28" t="str">
        <f>_xlfn.XLOOKUP(Table134526_79101120212223242526[[#This Row],[Name Surname]],Manpower!$C$4:$C$1048576,Manpower!$H$4:$H$1048576,"")</f>
        <v>Manpower</v>
      </c>
      <c r="J3714" s="21" t="s">
        <v>143</v>
      </c>
      <c r="K3714" s="57" t="s">
        <v>26</v>
      </c>
      <c r="L3714" s="57" t="s">
        <v>435</v>
      </c>
      <c r="M3714" s="57" t="s">
        <v>24</v>
      </c>
      <c r="N3714" s="62">
        <v>10</v>
      </c>
      <c r="O3714" s="21" t="s">
        <v>40</v>
      </c>
      <c r="P3714" s="21" t="s">
        <v>42</v>
      </c>
      <c r="Q3714" s="21" t="s">
        <v>42</v>
      </c>
      <c r="R3714" s="57" t="s">
        <v>444</v>
      </c>
    </row>
    <row r="3715" spans="1:19" s="45" customFormat="1" ht="14.4" hidden="1">
      <c r="A3715" s="53">
        <f>IF(C3715="","",MAX($A$1:A3714)+1)</f>
        <v>3402</v>
      </c>
      <c r="B3715" s="54" t="s">
        <v>141</v>
      </c>
      <c r="C3715" s="55">
        <v>46111</v>
      </c>
      <c r="D3715" s="68" t="str">
        <f>_xlfn.XLOOKUP(Table134526_79101120212223242526[[#This Row],[Name Surname]],Manpower!$C$4:$C$1048576,Manpower!$B$4:$B$1048576,"")</f>
        <v>Encogroup</v>
      </c>
      <c r="E3715" s="51" t="s">
        <v>184</v>
      </c>
      <c r="F3715" s="12">
        <f>_xlfn.XLOOKUP(Table134526_79101120212223242526[[#This Row],[Name Surname]],Manpower!C:C,Manpower!D:D,)</f>
        <v>140844759</v>
      </c>
      <c r="G3715" s="68" t="str">
        <f>_xlfn.XLOOKUP(Table134526_79101120212223242526[[#This Row],[Name Surname]],Manpower!$C$4:$C$1048576,Manpower!$F$4:$F$1048576,"")</f>
        <v>Welder</v>
      </c>
      <c r="H3715" s="68" t="str">
        <f>_xlfn.XLOOKUP(Table134526_79101120212223242526[[#This Row],[Name Surname]],Manpower!$C$4:$C$1048576,Manpower!$H$4:$H$1048576,"")</f>
        <v>Manpower</v>
      </c>
      <c r="I3715" s="48" t="str">
        <f>_xlfn.XLOOKUP(Table134526_79101120212223242526[[#This Row],[Name Surname]],Manpower!$C$4:$C$1048576,Manpower!$H$4:$H$1048576,"")</f>
        <v>Manpower</v>
      </c>
      <c r="J3715" s="43" t="s">
        <v>143</v>
      </c>
      <c r="K3715" s="51" t="s">
        <v>26</v>
      </c>
      <c r="L3715" s="51" t="s">
        <v>435</v>
      </c>
      <c r="M3715" s="51" t="s">
        <v>24</v>
      </c>
      <c r="N3715" s="52">
        <v>10</v>
      </c>
      <c r="O3715" s="43" t="s">
        <v>40</v>
      </c>
      <c r="P3715" s="43" t="s">
        <v>42</v>
      </c>
      <c r="Q3715" s="43" t="s">
        <v>42</v>
      </c>
      <c r="R3715" s="51" t="s">
        <v>444</v>
      </c>
      <c r="S3715" s="43"/>
    </row>
    <row r="3716" spans="1:19" s="45" customFormat="1" ht="14.4" hidden="1">
      <c r="A3716" s="53">
        <f>IF(C3716="","",MAX($A$1:A3715)+1)</f>
        <v>3403</v>
      </c>
      <c r="B3716" s="54" t="s">
        <v>141</v>
      </c>
      <c r="C3716" s="55">
        <v>46111</v>
      </c>
      <c r="D3716" s="68" t="str">
        <f>_xlfn.XLOOKUP(Table134526_79101120212223242526[[#This Row],[Name Surname]],Manpower!$C$4:$C$1048576,Manpower!$B$4:$B$1048576,"")</f>
        <v>Encogroup</v>
      </c>
      <c r="E3716" s="51" t="s">
        <v>185</v>
      </c>
      <c r="F3716" s="12">
        <f>_xlfn.XLOOKUP(Table134526_79101120212223242526[[#This Row],[Name Surname]],Manpower!C:C,Manpower!D:D,)</f>
        <v>140848828</v>
      </c>
      <c r="G3716" s="68" t="str">
        <f>_xlfn.XLOOKUP(Table134526_79101120212223242526[[#This Row],[Name Surname]],Manpower!$C$4:$C$1048576,Manpower!$F$4:$F$1048576,"")</f>
        <v>Pipe Fitter</v>
      </c>
      <c r="H3716" s="68" t="str">
        <f>_xlfn.XLOOKUP(Table134526_79101120212223242526[[#This Row],[Name Surname]],Manpower!$C$4:$C$1048576,Manpower!$H$4:$H$1048576,"")</f>
        <v>Manpower</v>
      </c>
      <c r="I3716" s="48" t="str">
        <f>_xlfn.XLOOKUP(Table134526_79101120212223242526[[#This Row],[Name Surname]],Manpower!$C$4:$C$1048576,Manpower!$H$4:$H$1048576,"")</f>
        <v>Manpower</v>
      </c>
      <c r="J3716" s="43" t="s">
        <v>143</v>
      </c>
      <c r="K3716" s="51" t="s">
        <v>26</v>
      </c>
      <c r="L3716" s="51" t="s">
        <v>435</v>
      </c>
      <c r="M3716" s="51" t="s">
        <v>24</v>
      </c>
      <c r="N3716" s="52">
        <v>10</v>
      </c>
      <c r="O3716" s="43" t="s">
        <v>40</v>
      </c>
      <c r="P3716" s="43" t="s">
        <v>42</v>
      </c>
      <c r="Q3716" s="43" t="s">
        <v>42</v>
      </c>
      <c r="R3716" s="51" t="s">
        <v>444</v>
      </c>
      <c r="S3716" s="43"/>
    </row>
    <row r="3717" spans="1:19" ht="14.4" hidden="1">
      <c r="A3717" s="38">
        <f>IF(C3717="","",MAX($A$1:A3716)+1)</f>
        <v>3404</v>
      </c>
      <c r="B3717" s="66" t="s">
        <v>141</v>
      </c>
      <c r="C3717" s="60">
        <v>46111</v>
      </c>
      <c r="D3717" s="61" t="str">
        <f>_xlfn.XLOOKUP(Table134526_79101120212223242526[[#This Row],[Name Surname]],Manpower!$C$4:$C$1048576,Manpower!$B$4:$B$1048576,"")</f>
        <v>AL Omar International TRAD AND CONT</v>
      </c>
      <c r="E3717" s="57" t="s">
        <v>212</v>
      </c>
      <c r="F3717" s="12">
        <f>_xlfn.XLOOKUP(Table134526_79101120212223242526[[#This Row],[Name Surname]],Manpower!C:C,Manpower!D:D,)</f>
        <v>116676257</v>
      </c>
      <c r="G3717" s="61" t="str">
        <f>_xlfn.XLOOKUP(Table134526_79101120212223242526[[#This Row],[Name Surname]],Manpower!$C$4:$C$1048576,Manpower!$F$4:$F$1048576,"")</f>
        <v>Scaffolder</v>
      </c>
      <c r="H3717" s="61" t="str">
        <f>_xlfn.XLOOKUP(Table134526_79101120212223242526[[#This Row],[Name Surname]],Manpower!$C$4:$C$1048576,Manpower!$H$4:$H$1048576,"")</f>
        <v>Sub Contactor</v>
      </c>
      <c r="I3717" s="28" t="str">
        <f>_xlfn.XLOOKUP(Table134526_79101120212223242526[[#This Row],[Name Surname]],Manpower!$C$4:$C$1048576,Manpower!$H$4:$H$1048576,"")</f>
        <v>Sub Contactor</v>
      </c>
      <c r="J3717" s="21" t="s">
        <v>143</v>
      </c>
      <c r="K3717" s="57" t="s">
        <v>26</v>
      </c>
      <c r="L3717" s="57" t="s">
        <v>170</v>
      </c>
      <c r="M3717" s="57" t="s">
        <v>24</v>
      </c>
      <c r="N3717" s="62">
        <v>10</v>
      </c>
      <c r="O3717" s="57" t="s">
        <v>40</v>
      </c>
      <c r="P3717" s="57" t="s">
        <v>128</v>
      </c>
      <c r="Q3717" s="57" t="s">
        <v>128</v>
      </c>
      <c r="R3717" s="57" t="s">
        <v>26</v>
      </c>
    </row>
    <row r="3718" spans="1:19" s="45" customFormat="1" ht="14.4" hidden="1">
      <c r="A3718" s="53">
        <f>IF(C3718="","",MAX($A$1:A3717)+1)</f>
        <v>3405</v>
      </c>
      <c r="B3718" s="54" t="s">
        <v>141</v>
      </c>
      <c r="C3718" s="55">
        <v>46111</v>
      </c>
      <c r="D3718" s="68" t="str">
        <f>_xlfn.XLOOKUP(Table134526_79101120212223242526[[#This Row],[Name Surname]],Manpower!$C$4:$C$1048576,Manpower!$B$4:$B$1048576,"")</f>
        <v>Encogroup</v>
      </c>
      <c r="E3718" s="51" t="s">
        <v>184</v>
      </c>
      <c r="F3718" s="12">
        <f>_xlfn.XLOOKUP(Table134526_79101120212223242526[[#This Row],[Name Surname]],Manpower!C:C,Manpower!D:D,)</f>
        <v>140844759</v>
      </c>
      <c r="G3718" s="68" t="str">
        <f>_xlfn.XLOOKUP(Table134526_79101120212223242526[[#This Row],[Name Surname]],Manpower!$C$4:$C$1048576,Manpower!$F$4:$F$1048576,"")</f>
        <v>Welder</v>
      </c>
      <c r="H3718" s="68" t="str">
        <f>_xlfn.XLOOKUP(Table134526_79101120212223242526[[#This Row],[Name Surname]],Manpower!$C$4:$C$1048576,Manpower!$H$4:$H$1048576,"")</f>
        <v>Manpower</v>
      </c>
      <c r="I3718" s="48" t="str">
        <f>_xlfn.XLOOKUP(Table134526_79101120212223242526[[#This Row],[Name Surname]],Manpower!$C$4:$C$1048576,Manpower!$H$4:$H$1048576,"")</f>
        <v>Manpower</v>
      </c>
      <c r="J3718" s="43" t="s">
        <v>143</v>
      </c>
      <c r="K3718" s="51" t="s">
        <v>26</v>
      </c>
      <c r="L3718" s="51" t="s">
        <v>170</v>
      </c>
      <c r="M3718" s="51" t="s">
        <v>24</v>
      </c>
      <c r="N3718" s="52">
        <v>10</v>
      </c>
      <c r="O3718" s="51" t="s">
        <v>40</v>
      </c>
      <c r="P3718" s="51" t="s">
        <v>128</v>
      </c>
      <c r="Q3718" s="51" t="s">
        <v>128</v>
      </c>
      <c r="R3718" s="51" t="s">
        <v>26</v>
      </c>
      <c r="S3718" s="43"/>
    </row>
    <row r="3719" spans="1:19" ht="14.4" hidden="1">
      <c r="A3719" s="38">
        <f>IF(C3719="","",MAX($A$1:A3718)+1)</f>
        <v>3406</v>
      </c>
      <c r="B3719" s="66" t="s">
        <v>141</v>
      </c>
      <c r="C3719" s="60">
        <v>46111</v>
      </c>
      <c r="D3719" s="61" t="str">
        <f>_xlfn.XLOOKUP(Table134526_79101120212223242526[[#This Row],[Name Surname]],Manpower!$C$4:$C$1048576,Manpower!$B$4:$B$1048576,"")</f>
        <v>Encogroup</v>
      </c>
      <c r="E3719" s="57" t="s">
        <v>422</v>
      </c>
      <c r="F3719" s="12">
        <f>_xlfn.XLOOKUP(Table134526_79101120212223242526[[#This Row],[Name Surname]],Manpower!C:C,Manpower!D:D,)</f>
        <v>121668462</v>
      </c>
      <c r="G3719" s="61" t="str">
        <f>_xlfn.XLOOKUP(Table134526_79101120212223242526[[#This Row],[Name Surname]],Manpower!$C$4:$C$1048576,Manpower!$F$4:$F$1048576,"")</f>
        <v>Site Manager</v>
      </c>
      <c r="H3719" s="61" t="str">
        <f>_xlfn.XLOOKUP(Table134526_79101120212223242526[[#This Row],[Name Surname]],Manpower!$C$4:$C$1048576,Manpower!$H$4:$H$1048576,"")</f>
        <v>Manpower</v>
      </c>
      <c r="I3719" s="28" t="str">
        <f>_xlfn.XLOOKUP(Table134526_79101120212223242526[[#This Row],[Name Surname]],Manpower!$C$4:$C$1048576,Manpower!$H$4:$H$1048576,"")</f>
        <v>Manpower</v>
      </c>
      <c r="J3719" s="21" t="s">
        <v>143</v>
      </c>
      <c r="K3719" s="57" t="s">
        <v>26</v>
      </c>
      <c r="L3719" s="57" t="s">
        <v>435</v>
      </c>
      <c r="M3719" s="57" t="s">
        <v>24</v>
      </c>
      <c r="N3719" s="62">
        <v>10</v>
      </c>
      <c r="O3719" s="21" t="s">
        <v>40</v>
      </c>
      <c r="P3719" s="21" t="s">
        <v>42</v>
      </c>
      <c r="Q3719" s="21" t="s">
        <v>42</v>
      </c>
      <c r="R3719" s="57" t="s">
        <v>444</v>
      </c>
    </row>
    <row r="3720" spans="1:19" ht="14.4" hidden="1">
      <c r="A3720" s="38">
        <f>IF(C3720="","",MAX($A$1:A3719)+1)</f>
        <v>3407</v>
      </c>
      <c r="B3720" s="66" t="s">
        <v>141</v>
      </c>
      <c r="C3720" s="60">
        <v>46111</v>
      </c>
      <c r="D3720" s="61" t="str">
        <f>_xlfn.XLOOKUP(Table134526_79101120212223242526[[#This Row],[Name Surname]],Manpower!$C$4:$C$1048576,Manpower!$B$4:$B$1048576,"")</f>
        <v>Encogroup</v>
      </c>
      <c r="E3720" s="57" t="s">
        <v>423</v>
      </c>
      <c r="F3720" s="12">
        <f>_xlfn.XLOOKUP(Table134526_79101120212223242526[[#This Row],[Name Surname]],Manpower!C:C,Manpower!D:D,)</f>
        <v>141253376</v>
      </c>
      <c r="G3720" s="61" t="str">
        <f>_xlfn.XLOOKUP(Table134526_79101120212223242526[[#This Row],[Name Surname]],Manpower!$C$4:$C$1048576,Manpower!$F$4:$F$1048576,"")</f>
        <v>Store Keeper</v>
      </c>
      <c r="H3720" s="61" t="str">
        <f>_xlfn.XLOOKUP(Table134526_79101120212223242526[[#This Row],[Name Surname]],Manpower!$C$4:$C$1048576,Manpower!$H$4:$H$1048576,"")</f>
        <v>Manpower</v>
      </c>
      <c r="I3720" s="28" t="str">
        <f>_xlfn.XLOOKUP(Table134526_79101120212223242526[[#This Row],[Name Surname]],Manpower!$C$4:$C$1048576,Manpower!$H$4:$H$1048576,"")</f>
        <v>Manpower</v>
      </c>
      <c r="J3720" s="21" t="s">
        <v>143</v>
      </c>
      <c r="K3720" s="57" t="s">
        <v>26</v>
      </c>
      <c r="L3720" s="57" t="s">
        <v>435</v>
      </c>
      <c r="M3720" s="57" t="s">
        <v>24</v>
      </c>
      <c r="N3720" s="62">
        <v>10</v>
      </c>
      <c r="O3720" s="21" t="s">
        <v>40</v>
      </c>
      <c r="P3720" s="21" t="s">
        <v>42</v>
      </c>
      <c r="Q3720" s="21" t="s">
        <v>42</v>
      </c>
      <c r="R3720" s="57" t="s">
        <v>444</v>
      </c>
    </row>
    <row r="3721" spans="1:19" ht="14.4" hidden="1">
      <c r="A3721" s="38">
        <f>IF(C3721="","",MAX($A$1:A3720)+1)</f>
        <v>3408</v>
      </c>
      <c r="B3721" s="66" t="s">
        <v>141</v>
      </c>
      <c r="C3721" s="60">
        <v>46111</v>
      </c>
      <c r="D3721" s="61" t="str">
        <f>_xlfn.XLOOKUP(Table134526_79101120212223242526[[#This Row],[Name Surname]],Manpower!$C$4:$C$1048576,Manpower!$B$4:$B$1048576,"")</f>
        <v>Encogroup</v>
      </c>
      <c r="E3721" s="57" t="s">
        <v>238</v>
      </c>
      <c r="F3721" s="12">
        <f>_xlfn.XLOOKUP(Table134526_79101120212223242526[[#This Row],[Name Surname]],Manpower!C:C,Manpower!D:D,)</f>
        <v>19753414</v>
      </c>
      <c r="G3721" s="61" t="str">
        <f>_xlfn.XLOOKUP(Table134526_79101120212223242526[[#This Row],[Name Surname]],Manpower!$C$4:$C$1048576,Manpower!$F$4:$F$1048576,"")</f>
        <v>Bus Driver</v>
      </c>
      <c r="H3721" s="61" t="str">
        <f>_xlfn.XLOOKUP(Table134526_79101120212223242526[[#This Row],[Name Surname]],Manpower!$C$4:$C$1048576,Manpower!$H$4:$H$1048576,"")</f>
        <v>Manpower</v>
      </c>
      <c r="I3721" s="28" t="str">
        <f>_xlfn.XLOOKUP(Table134526_79101120212223242526[[#This Row],[Name Surname]],Manpower!$C$4:$C$1048576,Manpower!$H$4:$H$1048576,"")</f>
        <v>Manpower</v>
      </c>
      <c r="J3721" s="21" t="s">
        <v>143</v>
      </c>
      <c r="K3721" s="57" t="s">
        <v>26</v>
      </c>
      <c r="L3721" s="57" t="s">
        <v>435</v>
      </c>
      <c r="M3721" s="57" t="s">
        <v>24</v>
      </c>
      <c r="N3721" s="62">
        <v>10</v>
      </c>
      <c r="O3721" s="21" t="s">
        <v>40</v>
      </c>
      <c r="P3721" s="21" t="s">
        <v>42</v>
      </c>
      <c r="Q3721" s="21" t="s">
        <v>42</v>
      </c>
      <c r="R3721" s="57" t="s">
        <v>444</v>
      </c>
    </row>
    <row r="3722" spans="1:19" s="45" customFormat="1" ht="14.4" hidden="1">
      <c r="A3722" s="53">
        <f>IF(C3722="","",MAX($A$1:A3721)+1)</f>
        <v>3409</v>
      </c>
      <c r="B3722" s="54" t="s">
        <v>141</v>
      </c>
      <c r="C3722" s="55">
        <v>46111</v>
      </c>
      <c r="D3722" s="68" t="str">
        <f>_xlfn.XLOOKUP(Table134526_79101120212223242526[[#This Row],[Name Surname]],Manpower!$C$4:$C$1048576,Manpower!$B$4:$B$1048576,"")</f>
        <v>Encogroup</v>
      </c>
      <c r="E3722" s="51" t="s">
        <v>187</v>
      </c>
      <c r="F3722" s="12">
        <f>_xlfn.XLOOKUP(Table134526_79101120212223242526[[#This Row],[Name Surname]],Manpower!C:C,Manpower!D:D,)</f>
        <v>140623599</v>
      </c>
      <c r="G3722" s="68" t="str">
        <f>_xlfn.XLOOKUP(Table134526_79101120212223242526[[#This Row],[Name Surname]],Manpower!$C$4:$C$1048576,Manpower!$F$4:$F$1048576,"")</f>
        <v>Mechanical Supervisor</v>
      </c>
      <c r="H3722" s="68" t="str">
        <f>_xlfn.XLOOKUP(Table134526_79101120212223242526[[#This Row],[Name Surname]],Manpower!$C$4:$C$1048576,Manpower!$H$4:$H$1048576,"")</f>
        <v>Manpower</v>
      </c>
      <c r="I3722" s="48" t="str">
        <f>_xlfn.XLOOKUP(Table134526_79101120212223242526[[#This Row],[Name Surname]],Manpower!$C$4:$C$1048576,Manpower!$H$4:$H$1048576,"")</f>
        <v>Manpower</v>
      </c>
      <c r="J3722" s="43" t="s">
        <v>143</v>
      </c>
      <c r="K3722" s="51" t="s">
        <v>26</v>
      </c>
      <c r="L3722" s="51" t="s">
        <v>435</v>
      </c>
      <c r="M3722" s="51" t="s">
        <v>24</v>
      </c>
      <c r="N3722" s="52">
        <v>10</v>
      </c>
      <c r="O3722" s="43" t="s">
        <v>40</v>
      </c>
      <c r="P3722" s="43" t="s">
        <v>42</v>
      </c>
      <c r="Q3722" s="43" t="s">
        <v>42</v>
      </c>
      <c r="R3722" s="51" t="s">
        <v>444</v>
      </c>
      <c r="S3722" s="43"/>
    </row>
    <row r="3723" spans="1:19" ht="14.4" hidden="1">
      <c r="A3723" s="38">
        <f>IF(C3723="","",MAX($A$1:A3722)+1)</f>
        <v>3410</v>
      </c>
      <c r="B3723" s="66" t="s">
        <v>141</v>
      </c>
      <c r="C3723" s="60">
        <v>46111</v>
      </c>
      <c r="D3723" s="61" t="str">
        <f>_xlfn.XLOOKUP(Table134526_79101120212223242526[[#This Row],[Name Surname]],Manpower!$C$4:$C$1048576,Manpower!$B$4:$B$1048576,"")</f>
        <v>Encogroup</v>
      </c>
      <c r="E3723" s="57" t="s">
        <v>189</v>
      </c>
      <c r="F3723" s="12">
        <f>_xlfn.XLOOKUP(Table134526_79101120212223242526[[#This Row],[Name Surname]],Manpower!C:C,Manpower!D:D,)</f>
        <v>121937785</v>
      </c>
      <c r="G3723" s="61" t="str">
        <f>_xlfn.XLOOKUP(Table134526_79101120212223242526[[#This Row],[Name Surname]],Manpower!$C$4:$C$1048576,Manpower!$F$4:$F$1048576,"")</f>
        <v>Scaffolding Inspector</v>
      </c>
      <c r="H3723" s="61" t="str">
        <f>_xlfn.XLOOKUP(Table134526_79101120212223242526[[#This Row],[Name Surname]],Manpower!$C$4:$C$1048576,Manpower!$H$4:$H$1048576,"")</f>
        <v>Manpower</v>
      </c>
      <c r="I3723" s="28" t="str">
        <f>_xlfn.XLOOKUP(Table134526_79101120212223242526[[#This Row],[Name Surname]],Manpower!$C$4:$C$1048576,Manpower!$H$4:$H$1048576,"")</f>
        <v>Manpower</v>
      </c>
      <c r="J3723" s="21" t="s">
        <v>143</v>
      </c>
      <c r="K3723" s="57" t="s">
        <v>26</v>
      </c>
      <c r="L3723" s="57" t="s">
        <v>435</v>
      </c>
      <c r="M3723" s="57" t="s">
        <v>24</v>
      </c>
      <c r="N3723" s="62">
        <v>10</v>
      </c>
      <c r="O3723" s="21" t="s">
        <v>40</v>
      </c>
      <c r="P3723" s="21" t="s">
        <v>42</v>
      </c>
      <c r="Q3723" s="21" t="s">
        <v>42</v>
      </c>
      <c r="R3723" s="57" t="s">
        <v>444</v>
      </c>
    </row>
    <row r="3724" spans="1:19" ht="14.4" hidden="1">
      <c r="A3724" s="38">
        <f>IF(C3724="","",MAX($A$1:A3723)+1)</f>
        <v>3411</v>
      </c>
      <c r="B3724" s="66" t="s">
        <v>141</v>
      </c>
      <c r="C3724" s="60">
        <v>46111</v>
      </c>
      <c r="D3724" s="61" t="str">
        <f>_xlfn.XLOOKUP(Table134526_79101120212223242526[[#This Row],[Name Surname]],Manpower!$C$4:$C$1048576,Manpower!$B$4:$B$1048576,"")</f>
        <v>AL Omar International TRAD AND CONT</v>
      </c>
      <c r="E3724" s="57" t="s">
        <v>193</v>
      </c>
      <c r="F3724" s="12">
        <f>_xlfn.XLOOKUP(Table134526_79101120212223242526[[#This Row],[Name Surname]],Manpower!C:C,Manpower!D:D,)</f>
        <v>105813698</v>
      </c>
      <c r="G3724" s="61" t="str">
        <f>_xlfn.XLOOKUP(Table134526_79101120212223242526[[#This Row],[Name Surname]],Manpower!$C$4:$C$1048576,Manpower!$F$4:$F$1048576,"")</f>
        <v>Scaffolding Inspector</v>
      </c>
      <c r="H3724" s="61" t="str">
        <f>_xlfn.XLOOKUP(Table134526_79101120212223242526[[#This Row],[Name Surname]],Manpower!$C$4:$C$1048576,Manpower!$H$4:$H$1048576,"")</f>
        <v>Sub Contactor</v>
      </c>
      <c r="I3724" s="28" t="str">
        <f>_xlfn.XLOOKUP(Table134526_79101120212223242526[[#This Row],[Name Surname]],Manpower!$C$4:$C$1048576,Manpower!$H$4:$H$1048576,"")</f>
        <v>Sub Contactor</v>
      </c>
      <c r="J3724" s="21" t="s">
        <v>143</v>
      </c>
      <c r="K3724" s="57" t="s">
        <v>26</v>
      </c>
      <c r="L3724" s="57" t="s">
        <v>170</v>
      </c>
      <c r="M3724" s="57" t="s">
        <v>24</v>
      </c>
      <c r="N3724" s="62">
        <v>10</v>
      </c>
      <c r="O3724" s="57" t="s">
        <v>40</v>
      </c>
      <c r="P3724" s="57" t="s">
        <v>128</v>
      </c>
      <c r="Q3724" s="57" t="s">
        <v>128</v>
      </c>
      <c r="R3724" s="57" t="s">
        <v>26</v>
      </c>
    </row>
    <row r="3725" spans="1:19" s="45" customFormat="1" ht="14.4" hidden="1">
      <c r="A3725" s="53">
        <f>IF(C3725="","",MAX($A$1:A3724)+1)</f>
        <v>3412</v>
      </c>
      <c r="B3725" s="54" t="s">
        <v>141</v>
      </c>
      <c r="C3725" s="55">
        <v>46111</v>
      </c>
      <c r="D3725" s="68" t="str">
        <f>_xlfn.XLOOKUP(Table134526_79101120212223242526[[#This Row],[Name Surname]],Manpower!$C$4:$C$1048576,Manpower!$B$4:$B$1048576,"")</f>
        <v>AL Saif &amp; Al QALLM ENT LLC</v>
      </c>
      <c r="E3725" s="51" t="s">
        <v>194</v>
      </c>
      <c r="F3725" s="12">
        <f>_xlfn.XLOOKUP(Table134526_79101120212223242526[[#This Row],[Name Surname]],Manpower!C:C,Manpower!D:D,)</f>
        <v>135340657</v>
      </c>
      <c r="G3725" s="68" t="str">
        <f>_xlfn.XLOOKUP(Table134526_79101120212223242526[[#This Row],[Name Surname]],Manpower!$C$4:$C$1048576,Manpower!$F$4:$F$1048576,"")</f>
        <v>Forklift Operator</v>
      </c>
      <c r="H3725" s="68" t="str">
        <f>_xlfn.XLOOKUP(Table134526_79101120212223242526[[#This Row],[Name Surname]],Manpower!$C$4:$C$1048576,Manpower!$H$4:$H$1048576,"")</f>
        <v>Sub Contactor</v>
      </c>
      <c r="I3725" s="48" t="str">
        <f>_xlfn.XLOOKUP(Table134526_79101120212223242526[[#This Row],[Name Surname]],Manpower!$C$4:$C$1048576,Manpower!$H$4:$H$1048576,"")</f>
        <v>Sub Contactor</v>
      </c>
      <c r="J3725" s="43" t="s">
        <v>143</v>
      </c>
      <c r="K3725" s="51" t="s">
        <v>26</v>
      </c>
      <c r="L3725" s="51" t="s">
        <v>435</v>
      </c>
      <c r="M3725" s="51" t="s">
        <v>24</v>
      </c>
      <c r="N3725" s="52">
        <v>10</v>
      </c>
      <c r="O3725" s="51"/>
      <c r="P3725" s="51"/>
      <c r="Q3725" s="51"/>
      <c r="R3725" s="51" t="s">
        <v>444</v>
      </c>
      <c r="S3725" s="43"/>
    </row>
    <row r="3726" spans="1:19" s="45" customFormat="1" ht="14.4" hidden="1">
      <c r="A3726" s="53">
        <f>IF(C3726="","",MAX($A$1:A3725)+1)</f>
        <v>3413</v>
      </c>
      <c r="B3726" s="54" t="s">
        <v>141</v>
      </c>
      <c r="C3726" s="55">
        <v>46111</v>
      </c>
      <c r="D3726" s="68" t="str">
        <f>_xlfn.XLOOKUP(Table134526_79101120212223242526[[#This Row],[Name Surname]],Manpower!$C$4:$C$1048576,Manpower!$B$4:$B$1048576,"")</f>
        <v>Encogroup</v>
      </c>
      <c r="E3726" s="51" t="s">
        <v>196</v>
      </c>
      <c r="F3726" s="12">
        <f>_xlfn.XLOOKUP(Table134526_79101120212223242526[[#This Row],[Name Surname]],Manpower!C:C,Manpower!D:D,)</f>
        <v>140844586</v>
      </c>
      <c r="G3726" s="68" t="str">
        <f>_xlfn.XLOOKUP(Table134526_79101120212223242526[[#This Row],[Name Surname]],Manpower!$C$4:$C$1048576,Manpower!$F$4:$F$1048576,"")</f>
        <v>Assistant/Helper</v>
      </c>
      <c r="H3726" s="68" t="str">
        <f>_xlfn.XLOOKUP(Table134526_79101120212223242526[[#This Row],[Name Surname]],Manpower!$C$4:$C$1048576,Manpower!$H$4:$H$1048576,"")</f>
        <v>Manpower</v>
      </c>
      <c r="I3726" s="48" t="str">
        <f>_xlfn.XLOOKUP(Table134526_79101120212223242526[[#This Row],[Name Surname]],Manpower!$C$4:$C$1048576,Manpower!$H$4:$H$1048576,"")</f>
        <v>Manpower</v>
      </c>
      <c r="J3726" s="43" t="s">
        <v>143</v>
      </c>
      <c r="K3726" s="51" t="s">
        <v>26</v>
      </c>
      <c r="L3726" s="51" t="s">
        <v>170</v>
      </c>
      <c r="M3726" s="51" t="s">
        <v>24</v>
      </c>
      <c r="N3726" s="52">
        <v>10</v>
      </c>
      <c r="O3726" s="51" t="s">
        <v>40</v>
      </c>
      <c r="P3726" s="51" t="s">
        <v>128</v>
      </c>
      <c r="Q3726" s="51" t="s">
        <v>128</v>
      </c>
      <c r="R3726" s="51" t="s">
        <v>26</v>
      </c>
      <c r="S3726" s="43"/>
    </row>
    <row r="3727" spans="1:19" ht="14.4" hidden="1">
      <c r="A3727" s="38">
        <f>IF(C3727="","",MAX($A$1:A3726)+1)</f>
        <v>3414</v>
      </c>
      <c r="B3727" s="66" t="s">
        <v>141</v>
      </c>
      <c r="C3727" s="60">
        <v>46111</v>
      </c>
      <c r="D3727" s="61" t="str">
        <f>_xlfn.XLOOKUP(Table134526_79101120212223242526[[#This Row],[Name Surname]],Manpower!$C$4:$C$1048576,Manpower!$B$4:$B$1048576,"")</f>
        <v>AL Omar International Tarde&amp;Contracting SPC</v>
      </c>
      <c r="E3727" s="57" t="s">
        <v>221</v>
      </c>
      <c r="F3727" s="12">
        <f>_xlfn.XLOOKUP(Table134526_79101120212223242526[[#This Row],[Name Surname]],Manpower!C:C,Manpower!D:D,)</f>
        <v>115122635</v>
      </c>
      <c r="G3727" s="61" t="str">
        <f>_xlfn.XLOOKUP(Table134526_79101120212223242526[[#This Row],[Name Surname]],Manpower!$C$4:$C$1048576,Manpower!$F$4:$F$1048576,"")</f>
        <v>Scaffolder</v>
      </c>
      <c r="H3727" s="61" t="str">
        <f>_xlfn.XLOOKUP(Table134526_79101120212223242526[[#This Row],[Name Surname]],Manpower!$C$4:$C$1048576,Manpower!$H$4:$H$1048576,"")</f>
        <v>Sub Contactor</v>
      </c>
      <c r="I3727" s="28" t="str">
        <f>_xlfn.XLOOKUP(Table134526_79101120212223242526[[#This Row],[Name Surname]],Manpower!$C$4:$C$1048576,Manpower!$H$4:$H$1048576,"")</f>
        <v>Sub Contactor</v>
      </c>
      <c r="J3727" s="21" t="s">
        <v>143</v>
      </c>
      <c r="K3727" s="57" t="s">
        <v>26</v>
      </c>
      <c r="L3727" s="57" t="s">
        <v>170</v>
      </c>
      <c r="M3727" s="57" t="s">
        <v>24</v>
      </c>
      <c r="N3727" s="62">
        <v>10</v>
      </c>
      <c r="O3727" s="57" t="s">
        <v>40</v>
      </c>
      <c r="P3727" s="57" t="s">
        <v>128</v>
      </c>
      <c r="Q3727" s="57" t="s">
        <v>128</v>
      </c>
      <c r="R3727" s="57" t="s">
        <v>26</v>
      </c>
    </row>
    <row r="3728" spans="1:19" ht="14.4" hidden="1">
      <c r="A3728" s="38">
        <f>IF(C3728="","",MAX($A$1:A3727)+1)</f>
        <v>3415</v>
      </c>
      <c r="B3728" s="66" t="s">
        <v>141</v>
      </c>
      <c r="C3728" s="60">
        <v>46111</v>
      </c>
      <c r="D3728" s="61" t="str">
        <f>_xlfn.XLOOKUP(Table134526_79101120212223242526[[#This Row],[Name Surname]],Manpower!$C$4:$C$1048576,Manpower!$B$4:$B$1048576,"")</f>
        <v>Encogroup</v>
      </c>
      <c r="E3728" s="57" t="s">
        <v>183</v>
      </c>
      <c r="F3728" s="12">
        <f>_xlfn.XLOOKUP(Table134526_79101120212223242526[[#This Row],[Name Surname]],Manpower!C:C,Manpower!D:D,)</f>
        <v>141359024</v>
      </c>
      <c r="G3728" s="61" t="str">
        <f>_xlfn.XLOOKUP(Table134526_79101120212223242526[[#This Row],[Name Surname]],Manpower!$C$4:$C$1048576,Manpower!$F$4:$F$1048576,"")</f>
        <v>Hydraulic Mechanic</v>
      </c>
      <c r="H3728" s="61" t="str">
        <f>_xlfn.XLOOKUP(Table134526_79101120212223242526[[#This Row],[Name Surname]],Manpower!$C$4:$C$1048576,Manpower!$H$4:$H$1048576,"")</f>
        <v>Manpower</v>
      </c>
      <c r="I3728" s="28" t="str">
        <f>_xlfn.XLOOKUP(Table134526_79101120212223242526[[#This Row],[Name Surname]],Manpower!$C$4:$C$1048576,Manpower!$H$4:$H$1048576,"")</f>
        <v>Manpower</v>
      </c>
      <c r="J3728" s="21" t="s">
        <v>143</v>
      </c>
      <c r="K3728" s="57" t="s">
        <v>26</v>
      </c>
      <c r="L3728" s="57" t="s">
        <v>170</v>
      </c>
      <c r="M3728" s="57" t="s">
        <v>24</v>
      </c>
      <c r="N3728" s="62">
        <v>10</v>
      </c>
      <c r="O3728" s="57" t="s">
        <v>40</v>
      </c>
      <c r="P3728" s="57" t="s">
        <v>128</v>
      </c>
      <c r="Q3728" s="57" t="s">
        <v>128</v>
      </c>
      <c r="R3728" s="57" t="s">
        <v>26</v>
      </c>
    </row>
    <row r="3729" spans="1:19" ht="14.4">
      <c r="A3729" s="38">
        <f>IF(C3729="","",MAX($A$1:A3728)+1)</f>
        <v>3416</v>
      </c>
      <c r="B3729" s="66" t="s">
        <v>141</v>
      </c>
      <c r="C3729" s="60">
        <v>46111</v>
      </c>
      <c r="D3729" s="61" t="str">
        <f>_xlfn.XLOOKUP(Table134526_79101120212223242526[[#This Row],[Name Surname]],Manpower!$C$4:$C$1048576,Manpower!$B$4:$B$1048576,"")</f>
        <v>Al Asrah Al Mumayaza Trad</v>
      </c>
      <c r="E3729" s="57" t="s">
        <v>198</v>
      </c>
      <c r="F3729" s="12" t="e">
        <f>_xlfn.XLOOKUP(Table134526_79101120212223242526[[#This Row],[Name Surname]],Manpower!C:C,Manpower!D:D,)</f>
        <v>#N/A</v>
      </c>
      <c r="G3729" s="61" t="str">
        <f>_xlfn.XLOOKUP(Table134526_79101120212223242526[[#This Row],[Name Surname]],Manpower!$C$4:$C$1048576,Manpower!$F$4:$F$1048576,"")</f>
        <v>PICK-UP</v>
      </c>
      <c r="H3729" s="61" t="str">
        <f>_xlfn.XLOOKUP(Table134526_79101120212223242526[[#This Row],[Name Surname]],Manpower!$C$4:$C$1048576,Manpower!$H$4:$H$1048576,"")</f>
        <v>Equipment</v>
      </c>
      <c r="I3729" s="28" t="str">
        <f>_xlfn.XLOOKUP(Table134526_79101120212223242526[[#This Row],[Name Surname]],Manpower!$C$4:$C$1048576,Manpower!$H$4:$H$1048576,"")</f>
        <v>Equipment</v>
      </c>
      <c r="J3729" s="21" t="s">
        <v>143</v>
      </c>
      <c r="K3729" s="57" t="s">
        <v>26</v>
      </c>
      <c r="L3729" s="57" t="s">
        <v>435</v>
      </c>
      <c r="M3729" s="57" t="s">
        <v>24</v>
      </c>
      <c r="N3729" s="62">
        <v>10</v>
      </c>
      <c r="O3729" s="57"/>
      <c r="P3729" s="57"/>
      <c r="Q3729" s="57"/>
      <c r="R3729" s="57" t="s">
        <v>444</v>
      </c>
    </row>
    <row r="3730" spans="1:19" ht="14.4">
      <c r="A3730" s="38">
        <f>IF(C3730="","",MAX($A$1:A3729)+1)</f>
        <v>3417</v>
      </c>
      <c r="B3730" s="66" t="s">
        <v>141</v>
      </c>
      <c r="C3730" s="60">
        <v>46111</v>
      </c>
      <c r="D3730" s="61" t="str">
        <f>_xlfn.XLOOKUP(Table134526_79101120212223242526[[#This Row],[Name Surname]],Manpower!$C$4:$C$1048576,Manpower!$B$4:$B$1048576,"")</f>
        <v>Al Asrah Al Mumayaza Trad</v>
      </c>
      <c r="E3730" s="57" t="s">
        <v>199</v>
      </c>
      <c r="F3730" s="12" t="e">
        <f>_xlfn.XLOOKUP(Table134526_79101120212223242526[[#This Row],[Name Surname]],Manpower!C:C,Manpower!D:D,)</f>
        <v>#N/A</v>
      </c>
      <c r="G3730" s="61" t="str">
        <f>_xlfn.XLOOKUP(Table134526_79101120212223242526[[#This Row],[Name Surname]],Manpower!$C$4:$C$1048576,Manpower!$F$4:$F$1048576,"")</f>
        <v>PICK-UP</v>
      </c>
      <c r="H3730" s="61" t="str">
        <f>_xlfn.XLOOKUP(Table134526_79101120212223242526[[#This Row],[Name Surname]],Manpower!$C$4:$C$1048576,Manpower!$H$4:$H$1048576,"")</f>
        <v>Equipment</v>
      </c>
      <c r="I3730" s="28" t="str">
        <f>_xlfn.XLOOKUP(Table134526_79101120212223242526[[#This Row],[Name Surname]],Manpower!$C$4:$C$1048576,Manpower!$H$4:$H$1048576,"")</f>
        <v>Equipment</v>
      </c>
      <c r="J3730" s="21" t="s">
        <v>143</v>
      </c>
      <c r="K3730" s="57" t="s">
        <v>26</v>
      </c>
      <c r="L3730" s="57" t="s">
        <v>435</v>
      </c>
      <c r="M3730" s="57" t="s">
        <v>24</v>
      </c>
      <c r="N3730" s="62">
        <v>10</v>
      </c>
      <c r="O3730" s="57"/>
      <c r="P3730" s="57"/>
      <c r="Q3730" s="57"/>
      <c r="R3730" s="57" t="s">
        <v>444</v>
      </c>
    </row>
    <row r="3731" spans="1:19" ht="14.4">
      <c r="A3731" s="38">
        <f>IF(C3731="","",MAX($A$1:A3730)+1)</f>
        <v>3418</v>
      </c>
      <c r="B3731" s="66" t="s">
        <v>141</v>
      </c>
      <c r="C3731" s="60">
        <v>46111</v>
      </c>
      <c r="D3731" s="61" t="str">
        <f>_xlfn.XLOOKUP(Table134526_79101120212223242526[[#This Row],[Name Surname]],Manpower!$C$4:$C$1048576,Manpower!$B$4:$B$1048576,"")</f>
        <v>Al Asrah Al Mumayaza Trad</v>
      </c>
      <c r="E3731" s="57" t="s">
        <v>200</v>
      </c>
      <c r="F3731" s="12" t="e">
        <f>_xlfn.XLOOKUP(Table134526_79101120212223242526[[#This Row],[Name Surname]],Manpower!C:C,Manpower!D:D,)</f>
        <v>#N/A</v>
      </c>
      <c r="G3731" s="61" t="str">
        <f>_xlfn.XLOOKUP(Table134526_79101120212223242526[[#This Row],[Name Surname]],Manpower!$C$4:$C$1048576,Manpower!$F$4:$F$1048576,"")</f>
        <v>PICK-UP</v>
      </c>
      <c r="H3731" s="61" t="str">
        <f>_xlfn.XLOOKUP(Table134526_79101120212223242526[[#This Row],[Name Surname]],Manpower!$C$4:$C$1048576,Manpower!$H$4:$H$1048576,"")</f>
        <v>Equipment</v>
      </c>
      <c r="I3731" s="28" t="str">
        <f>_xlfn.XLOOKUP(Table134526_79101120212223242526[[#This Row],[Name Surname]],Manpower!$C$4:$C$1048576,Manpower!$H$4:$H$1048576,"")</f>
        <v>Equipment</v>
      </c>
      <c r="J3731" s="21" t="s">
        <v>143</v>
      </c>
      <c r="K3731" s="57" t="s">
        <v>26</v>
      </c>
      <c r="L3731" s="57" t="s">
        <v>435</v>
      </c>
      <c r="M3731" s="57" t="s">
        <v>24</v>
      </c>
      <c r="N3731" s="62">
        <v>10</v>
      </c>
      <c r="O3731" s="57"/>
      <c r="P3731" s="57"/>
      <c r="Q3731" s="57"/>
      <c r="R3731" s="57" t="s">
        <v>444</v>
      </c>
    </row>
    <row r="3732" spans="1:19" ht="14.4">
      <c r="A3732" s="38">
        <f>IF(C3732="","",MAX($A$1:A3731)+1)</f>
        <v>3419</v>
      </c>
      <c r="B3732" s="66" t="s">
        <v>141</v>
      </c>
      <c r="C3732" s="60">
        <v>46111</v>
      </c>
      <c r="D3732" s="61" t="str">
        <f>_xlfn.XLOOKUP(Table134526_79101120212223242526[[#This Row],[Name Surname]],Manpower!$C$4:$C$1048576,Manpower!$B$4:$B$1048576,"")</f>
        <v>Al Asrah Al Mumayaza Trad</v>
      </c>
      <c r="E3732" s="57" t="s">
        <v>201</v>
      </c>
      <c r="F3732" s="12" t="e">
        <f>_xlfn.XLOOKUP(Table134526_79101120212223242526[[#This Row],[Name Surname]],Manpower!C:C,Manpower!D:D,)</f>
        <v>#N/A</v>
      </c>
      <c r="G3732" s="61" t="str">
        <f>_xlfn.XLOOKUP(Table134526_79101120212223242526[[#This Row],[Name Surname]],Manpower!$C$4:$C$1048576,Manpower!$F$4:$F$1048576,"")</f>
        <v>PICK-UP</v>
      </c>
      <c r="H3732" s="61" t="str">
        <f>_xlfn.XLOOKUP(Table134526_79101120212223242526[[#This Row],[Name Surname]],Manpower!$C$4:$C$1048576,Manpower!$H$4:$H$1048576,"")</f>
        <v>Equipment</v>
      </c>
      <c r="I3732" s="28" t="str">
        <f>_xlfn.XLOOKUP(Table134526_79101120212223242526[[#This Row],[Name Surname]],Manpower!$C$4:$C$1048576,Manpower!$H$4:$H$1048576,"")</f>
        <v>Equipment</v>
      </c>
      <c r="J3732" s="21" t="s">
        <v>143</v>
      </c>
      <c r="K3732" s="57" t="s">
        <v>26</v>
      </c>
      <c r="L3732" s="57" t="s">
        <v>435</v>
      </c>
      <c r="M3732" s="57" t="s">
        <v>24</v>
      </c>
      <c r="N3732" s="62">
        <v>10</v>
      </c>
      <c r="O3732" s="57"/>
      <c r="P3732" s="57"/>
      <c r="Q3732" s="57"/>
      <c r="R3732" s="57" t="s">
        <v>444</v>
      </c>
    </row>
    <row r="3733" spans="1:19" s="45" customFormat="1" ht="14.4" hidden="1">
      <c r="A3733" s="53">
        <f>IF(C3733="","",MAX($A$1:A3732)+1)</f>
        <v>3420</v>
      </c>
      <c r="B3733" s="54" t="s">
        <v>141</v>
      </c>
      <c r="C3733" s="55">
        <v>46111</v>
      </c>
      <c r="D3733" s="68" t="str">
        <f>_xlfn.XLOOKUP(Table134526_79101120212223242526[[#This Row],[Name Surname]],Manpower!$C$4:$C$1048576,Manpower!$B$4:$B$1048576,"")</f>
        <v>Encogroup</v>
      </c>
      <c r="E3733" s="51" t="s">
        <v>202</v>
      </c>
      <c r="F3733" s="12">
        <f>_xlfn.XLOOKUP(Table134526_79101120212223242526[[#This Row],[Name Surname]],Manpower!C:C,Manpower!D:D,)</f>
        <v>140805592</v>
      </c>
      <c r="G3733" s="68" t="str">
        <f>_xlfn.XLOOKUP(Table134526_79101120212223242526[[#This Row],[Name Surname]],Manpower!$C$4:$C$1048576,Manpower!$F$4:$F$1048576,"")</f>
        <v>Assistant/Helper</v>
      </c>
      <c r="H3733" s="68" t="str">
        <f>_xlfn.XLOOKUP(Table134526_79101120212223242526[[#This Row],[Name Surname]],Manpower!$C$4:$C$1048576,Manpower!$H$4:$H$1048576,"")</f>
        <v>Manpower</v>
      </c>
      <c r="I3733" s="48" t="str">
        <f>_xlfn.XLOOKUP(Table134526_79101120212223242526[[#This Row],[Name Surname]],Manpower!$C$4:$C$1048576,Manpower!$H$4:$H$1048576,"")</f>
        <v>Manpower</v>
      </c>
      <c r="J3733" s="43" t="s">
        <v>143</v>
      </c>
      <c r="K3733" s="51" t="s">
        <v>26</v>
      </c>
      <c r="L3733" s="51" t="s">
        <v>435</v>
      </c>
      <c r="M3733" s="51" t="s">
        <v>24</v>
      </c>
      <c r="N3733" s="52">
        <v>10</v>
      </c>
      <c r="O3733" s="43" t="s">
        <v>40</v>
      </c>
      <c r="P3733" s="43" t="s">
        <v>42</v>
      </c>
      <c r="Q3733" s="43" t="s">
        <v>42</v>
      </c>
      <c r="R3733" s="51" t="s">
        <v>444</v>
      </c>
      <c r="S3733" s="43"/>
    </row>
    <row r="3734" spans="1:19" s="45" customFormat="1" ht="14.4" hidden="1">
      <c r="A3734" s="53">
        <f>IF(C3734="","",MAX($A$1:A3733)+1)</f>
        <v>3421</v>
      </c>
      <c r="B3734" s="54" t="s">
        <v>141</v>
      </c>
      <c r="C3734" s="55">
        <v>46111</v>
      </c>
      <c r="D3734" s="68" t="str">
        <f>_xlfn.XLOOKUP(Table134526_79101120212223242526[[#This Row],[Name Surname]],Manpower!$C$4:$C$1048576,Manpower!$B$4:$B$1048576,"")</f>
        <v>Encogroup</v>
      </c>
      <c r="E3734" s="51" t="s">
        <v>203</v>
      </c>
      <c r="F3734" s="12">
        <f>_xlfn.XLOOKUP(Table134526_79101120212223242526[[#This Row],[Name Surname]],Manpower!C:C,Manpower!D:D,)</f>
        <v>140683371</v>
      </c>
      <c r="G3734" s="68" t="str">
        <f>_xlfn.XLOOKUP(Table134526_79101120212223242526[[#This Row],[Name Surname]],Manpower!$C$4:$C$1048576,Manpower!$F$4:$F$1048576,"")</f>
        <v>Rigger</v>
      </c>
      <c r="H3734" s="68" t="str">
        <f>_xlfn.XLOOKUP(Table134526_79101120212223242526[[#This Row],[Name Surname]],Manpower!$C$4:$C$1048576,Manpower!$H$4:$H$1048576,"")</f>
        <v>Manpower</v>
      </c>
      <c r="I3734" s="48" t="str">
        <f>_xlfn.XLOOKUP(Table134526_79101120212223242526[[#This Row],[Name Surname]],Manpower!$C$4:$C$1048576,Manpower!$H$4:$H$1048576,"")</f>
        <v>Manpower</v>
      </c>
      <c r="J3734" s="43" t="s">
        <v>143</v>
      </c>
      <c r="K3734" s="51" t="s">
        <v>26</v>
      </c>
      <c r="L3734" s="51" t="s">
        <v>435</v>
      </c>
      <c r="M3734" s="51" t="s">
        <v>24</v>
      </c>
      <c r="N3734" s="52">
        <v>10</v>
      </c>
      <c r="O3734" s="43" t="s">
        <v>40</v>
      </c>
      <c r="P3734" s="43" t="s">
        <v>42</v>
      </c>
      <c r="Q3734" s="43" t="s">
        <v>42</v>
      </c>
      <c r="R3734" s="51" t="s">
        <v>444</v>
      </c>
      <c r="S3734" s="43"/>
    </row>
    <row r="3735" spans="1:19" s="45" customFormat="1" ht="14.4" hidden="1">
      <c r="A3735" s="53">
        <f>IF(C3735="","",MAX($A$1:A3734)+1)</f>
        <v>3422</v>
      </c>
      <c r="B3735" s="54" t="s">
        <v>141</v>
      </c>
      <c r="C3735" s="55">
        <v>46111</v>
      </c>
      <c r="D3735" s="68" t="str">
        <f>_xlfn.XLOOKUP(Table134526_79101120212223242526[[#This Row],[Name Surname]],Manpower!$C$4:$C$1048576,Manpower!$B$4:$B$1048576,"")</f>
        <v>Encogroup</v>
      </c>
      <c r="E3735" s="51" t="s">
        <v>206</v>
      </c>
      <c r="F3735" s="12">
        <f>_xlfn.XLOOKUP(Table134526_79101120212223242526[[#This Row],[Name Surname]],Manpower!C:C,Manpower!D:D,)</f>
        <v>140844848</v>
      </c>
      <c r="G3735" s="68" t="str">
        <f>_xlfn.XLOOKUP(Table134526_79101120212223242526[[#This Row],[Name Surname]],Manpower!$C$4:$C$1048576,Manpower!$F$4:$F$1048576,"")</f>
        <v>Assistant/Helper</v>
      </c>
      <c r="H3735" s="68" t="str">
        <f>_xlfn.XLOOKUP(Table134526_79101120212223242526[[#This Row],[Name Surname]],Manpower!$C$4:$C$1048576,Manpower!$H$4:$H$1048576,"")</f>
        <v>Manpower</v>
      </c>
      <c r="I3735" s="48" t="str">
        <f>_xlfn.XLOOKUP(Table134526_79101120212223242526[[#This Row],[Name Surname]],Manpower!$C$4:$C$1048576,Manpower!$H$4:$H$1048576,"")</f>
        <v>Manpower</v>
      </c>
      <c r="J3735" s="43" t="s">
        <v>143</v>
      </c>
      <c r="K3735" s="51" t="s">
        <v>26</v>
      </c>
      <c r="L3735" s="51" t="s">
        <v>435</v>
      </c>
      <c r="M3735" s="51" t="s">
        <v>24</v>
      </c>
      <c r="N3735" s="52">
        <v>10</v>
      </c>
      <c r="O3735" s="43" t="s">
        <v>40</v>
      </c>
      <c r="P3735" s="43" t="s">
        <v>42</v>
      </c>
      <c r="Q3735" s="43" t="s">
        <v>42</v>
      </c>
      <c r="R3735" s="51" t="s">
        <v>444</v>
      </c>
      <c r="S3735" s="43"/>
    </row>
    <row r="3736" spans="1:19" s="45" customFormat="1" ht="14.4" hidden="1">
      <c r="A3736" s="53">
        <f>IF(C3736="","",MAX($A$1:A3735)+1)</f>
        <v>3423</v>
      </c>
      <c r="B3736" s="54" t="s">
        <v>141</v>
      </c>
      <c r="C3736" s="55">
        <v>46111</v>
      </c>
      <c r="D3736" s="68" t="str">
        <f>_xlfn.XLOOKUP(Table134526_79101120212223242526[[#This Row],[Name Surname]],Manpower!$C$4:$C$1048576,Manpower!$B$4:$B$1048576,"")</f>
        <v>Encogroup</v>
      </c>
      <c r="E3736" s="51" t="s">
        <v>208</v>
      </c>
      <c r="F3736" s="12">
        <f>_xlfn.XLOOKUP(Table134526_79101120212223242526[[#This Row],[Name Surname]],Manpower!C:C,Manpower!D:D,)</f>
        <v>140683399</v>
      </c>
      <c r="G3736" s="68" t="str">
        <f>_xlfn.XLOOKUP(Table134526_79101120212223242526[[#This Row],[Name Surname]],Manpower!$C$4:$C$1048576,Manpower!$F$4:$F$1048576,"")</f>
        <v>Rigger</v>
      </c>
      <c r="H3736" s="68" t="str">
        <f>_xlfn.XLOOKUP(Table134526_79101120212223242526[[#This Row],[Name Surname]],Manpower!$C$4:$C$1048576,Manpower!$H$4:$H$1048576,"")</f>
        <v>Manpower</v>
      </c>
      <c r="I3736" s="48" t="str">
        <f>_xlfn.XLOOKUP(Table134526_79101120212223242526[[#This Row],[Name Surname]],Manpower!$C$4:$C$1048576,Manpower!$H$4:$H$1048576,"")</f>
        <v>Manpower</v>
      </c>
      <c r="J3736" s="43" t="s">
        <v>143</v>
      </c>
      <c r="K3736" s="51" t="s">
        <v>26</v>
      </c>
      <c r="L3736" s="51" t="s">
        <v>435</v>
      </c>
      <c r="M3736" s="51" t="s">
        <v>24</v>
      </c>
      <c r="N3736" s="52">
        <v>10</v>
      </c>
      <c r="O3736" s="43" t="s">
        <v>40</v>
      </c>
      <c r="P3736" s="43" t="s">
        <v>42</v>
      </c>
      <c r="Q3736" s="43" t="s">
        <v>42</v>
      </c>
      <c r="R3736" s="51" t="s">
        <v>444</v>
      </c>
      <c r="S3736" s="43"/>
    </row>
    <row r="3737" spans="1:19" ht="14.4">
      <c r="A3737" s="38">
        <f>IF(C3737="","",MAX($A$1:A3736)+1)</f>
        <v>3424</v>
      </c>
      <c r="B3737" s="66" t="s">
        <v>141</v>
      </c>
      <c r="C3737" s="60">
        <v>46111</v>
      </c>
      <c r="D3737" s="61" t="str">
        <f>_xlfn.XLOOKUP(Table134526_79101120212223242526[[#This Row],[Name Surname]],Manpower!$C$4:$C$1048576,Manpower!$B$4:$B$1048576,"")</f>
        <v>Encogroup</v>
      </c>
      <c r="E3737" s="57" t="s">
        <v>341</v>
      </c>
      <c r="F3737" s="12" t="e">
        <f>_xlfn.XLOOKUP(Table134526_79101120212223242526[[#This Row],[Name Surname]],Manpower!C:C,Manpower!D:D,)</f>
        <v>#N/A</v>
      </c>
      <c r="G3737" s="61" t="str">
        <f>_xlfn.XLOOKUP(Table134526_79101120212223242526[[#This Row],[Name Surname]],Manpower!$C$4:$C$1048576,Manpower!$F$4:$F$1048576,"")</f>
        <v>SCISSOR LIFT</v>
      </c>
      <c r="H3737" s="61" t="str">
        <f>_xlfn.XLOOKUP(Table134526_79101120212223242526[[#This Row],[Name Surname]],Manpower!$C$4:$C$1048576,Manpower!$H$4:$H$1048576,"")</f>
        <v>Equipment</v>
      </c>
      <c r="I3737" s="28" t="str">
        <f>_xlfn.XLOOKUP(Table134526_79101120212223242526[[#This Row],[Name Surname]],Manpower!$C$4:$C$1048576,Manpower!$H$4:$H$1048576,"")</f>
        <v>Equipment</v>
      </c>
      <c r="J3737" s="21" t="s">
        <v>143</v>
      </c>
      <c r="K3737" s="57" t="s">
        <v>26</v>
      </c>
      <c r="L3737" s="57" t="s">
        <v>435</v>
      </c>
      <c r="M3737" s="57" t="s">
        <v>55</v>
      </c>
      <c r="N3737" s="62">
        <v>10</v>
      </c>
      <c r="O3737" s="57"/>
      <c r="P3737" s="57"/>
      <c r="Q3737" s="57"/>
      <c r="R3737" s="57" t="s">
        <v>56</v>
      </c>
    </row>
    <row r="3738" spans="1:19" ht="14.4">
      <c r="A3738" s="38">
        <f>IF(C3738="","",MAX($A$1:A3737)+1)</f>
        <v>3425</v>
      </c>
      <c r="B3738" s="66" t="s">
        <v>141</v>
      </c>
      <c r="C3738" s="60">
        <v>46111</v>
      </c>
      <c r="D3738" s="61" t="str">
        <f>_xlfn.XLOOKUP(Table134526_79101120212223242526[[#This Row],[Name Surname]],Manpower!$C$4:$C$1048576,Manpower!$B$4:$B$1048576,"")</f>
        <v>Encogroup</v>
      </c>
      <c r="E3738" s="57" t="s">
        <v>342</v>
      </c>
      <c r="F3738" s="12" t="e">
        <f>_xlfn.XLOOKUP(Table134526_79101120212223242526[[#This Row],[Name Surname]],Manpower!C:C,Manpower!D:D,)</f>
        <v>#N/A</v>
      </c>
      <c r="G3738" s="61" t="str">
        <f>_xlfn.XLOOKUP(Table134526_79101120212223242526[[#This Row],[Name Surname]],Manpower!$C$4:$C$1048576,Manpower!$F$4:$F$1048576,"")</f>
        <v>SCISSOR LIFT</v>
      </c>
      <c r="H3738" s="61" t="str">
        <f>_xlfn.XLOOKUP(Table134526_79101120212223242526[[#This Row],[Name Surname]],Manpower!$C$4:$C$1048576,Manpower!$H$4:$H$1048576,"")</f>
        <v>Equipment</v>
      </c>
      <c r="I3738" s="28" t="str">
        <f>_xlfn.XLOOKUP(Table134526_79101120212223242526[[#This Row],[Name Surname]],Manpower!$C$4:$C$1048576,Manpower!$H$4:$H$1048576,"")</f>
        <v>Equipment</v>
      </c>
      <c r="J3738" s="21" t="s">
        <v>143</v>
      </c>
      <c r="K3738" s="57" t="s">
        <v>26</v>
      </c>
      <c r="L3738" s="57" t="s">
        <v>435</v>
      </c>
      <c r="M3738" s="57" t="s">
        <v>55</v>
      </c>
      <c r="N3738" s="62">
        <v>10</v>
      </c>
      <c r="O3738" s="57"/>
      <c r="P3738" s="57"/>
      <c r="Q3738" s="57"/>
      <c r="R3738" s="57" t="s">
        <v>56</v>
      </c>
    </row>
    <row r="3739" spans="1:19" ht="14.4">
      <c r="A3739" s="38">
        <f>IF(C3739="","",MAX($A$1:A3738)+1)</f>
        <v>3426</v>
      </c>
      <c r="B3739" s="66" t="s">
        <v>141</v>
      </c>
      <c r="C3739" s="60">
        <v>46111</v>
      </c>
      <c r="D3739" s="61" t="str">
        <f>_xlfn.XLOOKUP(Table134526_79101120212223242526[[#This Row],[Name Surname]],Manpower!$C$4:$C$1048576,Manpower!$B$4:$B$1048576,"")</f>
        <v>Encogroup</v>
      </c>
      <c r="E3739" s="57" t="s">
        <v>362</v>
      </c>
      <c r="F3739" s="12" t="e">
        <f>_xlfn.XLOOKUP(Table134526_79101120212223242526[[#This Row],[Name Surname]],Manpower!C:C,Manpower!D:D,)</f>
        <v>#N/A</v>
      </c>
      <c r="G3739" s="61" t="str">
        <f>_xlfn.XLOOKUP(Table134526_79101120212223242526[[#This Row],[Name Surname]],Manpower!$C$4:$C$1048576,Manpower!$F$4:$F$1048576,"")</f>
        <v>Trailer</v>
      </c>
      <c r="H3739" s="61" t="str">
        <f>_xlfn.XLOOKUP(Table134526_79101120212223242526[[#This Row],[Name Surname]],Manpower!$C$4:$C$1048576,Manpower!$H$4:$H$1048576,"")</f>
        <v>Equipment</v>
      </c>
      <c r="I3739" s="28" t="str">
        <f>_xlfn.XLOOKUP(Table134526_79101120212223242526[[#This Row],[Name Surname]],Manpower!$C$4:$C$1048576,Manpower!$H$4:$H$1048576,"")</f>
        <v>Equipment</v>
      </c>
      <c r="J3739" s="21" t="s">
        <v>143</v>
      </c>
      <c r="K3739" s="57" t="s">
        <v>26</v>
      </c>
      <c r="L3739" s="57" t="s">
        <v>435</v>
      </c>
      <c r="M3739" s="57" t="s">
        <v>24</v>
      </c>
      <c r="N3739" s="62">
        <v>10</v>
      </c>
      <c r="O3739" s="57"/>
      <c r="P3739" s="57"/>
      <c r="Q3739" s="57"/>
      <c r="R3739" s="57" t="s">
        <v>444</v>
      </c>
    </row>
    <row r="3740" spans="1:19" ht="14.4" hidden="1">
      <c r="A3740" s="38">
        <f>IF(C3740="","",MAX($A$1:A3739)+1)</f>
        <v>3427</v>
      </c>
      <c r="B3740" s="66" t="s">
        <v>141</v>
      </c>
      <c r="C3740" s="60">
        <v>46111</v>
      </c>
      <c r="D3740" s="61" t="str">
        <f>_xlfn.XLOOKUP(Table134526_79101120212223242526[[#This Row],[Name Surname]],Manpower!$C$4:$C$1048576,Manpower!$B$4:$B$1048576,"")</f>
        <v>Encogroup</v>
      </c>
      <c r="E3740" s="57" t="s">
        <v>363</v>
      </c>
      <c r="F3740" s="12">
        <f>_xlfn.XLOOKUP(Table134526_79101120212223242526[[#This Row],[Name Surname]],Manpower!C:C,Manpower!D:D,)</f>
        <v>7065269</v>
      </c>
      <c r="G3740" s="61" t="str">
        <f>_xlfn.XLOOKUP(Table134526_79101120212223242526[[#This Row],[Name Surname]],Manpower!$C$4:$C$1048576,Manpower!$F$4:$F$1048576,"")</f>
        <v>Lowbed Trailer Driver</v>
      </c>
      <c r="H3740" s="61" t="str">
        <f>_xlfn.XLOOKUP(Table134526_79101120212223242526[[#This Row],[Name Surname]],Manpower!$C$4:$C$1048576,Manpower!$H$4:$H$1048576,"")</f>
        <v>Manpower</v>
      </c>
      <c r="I3740" s="28" t="str">
        <f>_xlfn.XLOOKUP(Table134526_79101120212223242526[[#This Row],[Name Surname]],Manpower!$C$4:$C$1048576,Manpower!$H$4:$H$1048576,"")</f>
        <v>Manpower</v>
      </c>
      <c r="J3740" s="21" t="s">
        <v>143</v>
      </c>
      <c r="K3740" s="57" t="s">
        <v>26</v>
      </c>
      <c r="L3740" s="57" t="s">
        <v>435</v>
      </c>
      <c r="M3740" s="57" t="s">
        <v>24</v>
      </c>
      <c r="N3740" s="62">
        <v>10</v>
      </c>
      <c r="O3740" s="21" t="s">
        <v>40</v>
      </c>
      <c r="P3740" s="21" t="s">
        <v>42</v>
      </c>
      <c r="Q3740" s="21" t="s">
        <v>42</v>
      </c>
      <c r="R3740" s="57" t="s">
        <v>444</v>
      </c>
    </row>
    <row r="3741" spans="1:19" ht="14.4">
      <c r="A3741" s="38">
        <f>IF(C3741="","",MAX($A$1:A3740)+1)</f>
        <v>3428</v>
      </c>
      <c r="B3741" s="66" t="s">
        <v>141</v>
      </c>
      <c r="C3741" s="60">
        <v>46111</v>
      </c>
      <c r="D3741" s="61" t="str">
        <f>_xlfn.XLOOKUP(Table134526_79101120212223242526[[#This Row],[Name Surname]],Manpower!$C$4:$C$1048576,Manpower!$B$4:$B$1048576,"")</f>
        <v>Bright Light</v>
      </c>
      <c r="E3741" s="57" t="s">
        <v>210</v>
      </c>
      <c r="F3741" s="12" t="e">
        <f>_xlfn.XLOOKUP(Table134526_79101120212223242526[[#This Row],[Name Surname]],Manpower!C:C,Manpower!D:D,)</f>
        <v>#N/A</v>
      </c>
      <c r="G3741" s="61" t="str">
        <f>_xlfn.XLOOKUP(Table134526_79101120212223242526[[#This Row],[Name Surname]],Manpower!$C$4:$C$1048576,Manpower!$F$4:$F$1048576,"")</f>
        <v>Trailer</v>
      </c>
      <c r="H3741" s="61" t="str">
        <f>_xlfn.XLOOKUP(Table134526_79101120212223242526[[#This Row],[Name Surname]],Manpower!$C$4:$C$1048576,Manpower!$H$4:$H$1048576,"")</f>
        <v>Equipment</v>
      </c>
      <c r="I3741" s="28" t="str">
        <f>_xlfn.XLOOKUP(Table134526_79101120212223242526[[#This Row],[Name Surname]],Manpower!$C$4:$C$1048576,Manpower!$H$4:$H$1048576,"")</f>
        <v>Equipment</v>
      </c>
      <c r="J3741" s="21" t="s">
        <v>143</v>
      </c>
      <c r="K3741" s="57" t="s">
        <v>26</v>
      </c>
      <c r="L3741" s="57" t="s">
        <v>435</v>
      </c>
      <c r="M3741" s="57" t="s">
        <v>24</v>
      </c>
      <c r="N3741" s="62">
        <v>10</v>
      </c>
      <c r="O3741" s="57"/>
      <c r="P3741" s="57"/>
      <c r="Q3741" s="57"/>
      <c r="R3741" s="57" t="s">
        <v>444</v>
      </c>
    </row>
    <row r="3742" spans="1:19" s="45" customFormat="1" ht="14.4" hidden="1">
      <c r="A3742" s="53">
        <f>IF(C3742="","",MAX($A$1:A3741)+1)</f>
        <v>3429</v>
      </c>
      <c r="B3742" s="54" t="s">
        <v>141</v>
      </c>
      <c r="C3742" s="55">
        <v>46111</v>
      </c>
      <c r="D3742" s="68" t="str">
        <f>_xlfn.XLOOKUP(Table134526_79101120212223242526[[#This Row],[Name Surname]],Manpower!$C$4:$C$1048576,Manpower!$B$4:$B$1048576,"")</f>
        <v xml:space="preserve">FAL Transport </v>
      </c>
      <c r="E3742" s="51" t="s">
        <v>225</v>
      </c>
      <c r="F3742" s="12">
        <f>_xlfn.XLOOKUP(Table134526_79101120212223242526[[#This Row],[Name Surname]],Manpower!C:C,Manpower!D:D,)</f>
        <v>124233837</v>
      </c>
      <c r="G3742" s="68" t="str">
        <f>_xlfn.XLOOKUP(Table134526_79101120212223242526[[#This Row],[Name Surname]],Manpower!$C$4:$C$1048576,Manpower!$F$4:$F$1048576,"")</f>
        <v>Trailer Driver</v>
      </c>
      <c r="H3742" s="68" t="str">
        <f>_xlfn.XLOOKUP(Table134526_79101120212223242526[[#This Row],[Name Surname]],Manpower!$C$4:$C$1048576,Manpower!$H$4:$H$1048576,"")</f>
        <v>Sub Contactor</v>
      </c>
      <c r="I3742" s="68" t="str">
        <f>_xlfn.XLOOKUP(Table134526_79101120212223242526[[#This Row],[Name Surname]],Manpower!$C$4:$C$1048576,Manpower!$H$4:$H$1048576,"")</f>
        <v>Sub Contactor</v>
      </c>
      <c r="J3742" s="51" t="s">
        <v>143</v>
      </c>
      <c r="K3742" s="43" t="s">
        <v>26</v>
      </c>
      <c r="L3742" s="51" t="s">
        <v>435</v>
      </c>
      <c r="M3742" s="51" t="s">
        <v>24</v>
      </c>
      <c r="N3742" s="52">
        <v>10</v>
      </c>
      <c r="O3742" s="43"/>
      <c r="P3742" s="43"/>
      <c r="Q3742" s="43"/>
      <c r="R3742" s="51" t="s">
        <v>444</v>
      </c>
      <c r="S3742" s="43"/>
    </row>
    <row r="3743" spans="1:19" ht="14.4" hidden="1">
      <c r="A3743" s="38">
        <f>IF(C3743="","",MAX($A$1:A3742)+1)</f>
        <v>3430</v>
      </c>
      <c r="B3743" s="66" t="s">
        <v>141</v>
      </c>
      <c r="C3743" s="60">
        <v>46111</v>
      </c>
      <c r="D3743" s="61" t="str">
        <f>_xlfn.XLOOKUP(Table134526_79101120212223242526[[#This Row],[Name Surname]],Manpower!$C$4:$C$1048576,Manpower!$B$4:$B$1048576,"")</f>
        <v>Encogroup</v>
      </c>
      <c r="E3743" s="57" t="s">
        <v>211</v>
      </c>
      <c r="F3743" s="12">
        <f>_xlfn.XLOOKUP(Table134526_79101120212223242526[[#This Row],[Name Surname]],Manpower!C:C,Manpower!D:D,)</f>
        <v>140477664</v>
      </c>
      <c r="G3743" s="61" t="str">
        <f>_xlfn.XLOOKUP(Table134526_79101120212223242526[[#This Row],[Name Surname]],Manpower!$C$4:$C$1048576,Manpower!$F$4:$F$1048576,"")</f>
        <v>Junior HSE Officer</v>
      </c>
      <c r="H3743" s="61" t="str">
        <f>_xlfn.XLOOKUP(Table134526_79101120212223242526[[#This Row],[Name Surname]],Manpower!$C$4:$C$1048576,Manpower!$H$4:$H$1048576,"")</f>
        <v>Manpower</v>
      </c>
      <c r="I3743" s="61" t="str">
        <f>_xlfn.XLOOKUP(Table134526_79101120212223242526[[#This Row],[Name Surname]],Manpower!$C$4:$C$1048576,Manpower!$H$4:$H$1048576,"")</f>
        <v>Manpower</v>
      </c>
      <c r="J3743" s="57" t="s">
        <v>143</v>
      </c>
      <c r="K3743" s="21" t="s">
        <v>26</v>
      </c>
      <c r="L3743" s="57" t="s">
        <v>435</v>
      </c>
      <c r="M3743" s="57" t="s">
        <v>24</v>
      </c>
      <c r="N3743" s="62">
        <v>10</v>
      </c>
      <c r="O3743" s="21" t="s">
        <v>40</v>
      </c>
      <c r="P3743" s="21" t="s">
        <v>42</v>
      </c>
      <c r="Q3743" s="21" t="s">
        <v>42</v>
      </c>
      <c r="R3743" s="57" t="s">
        <v>444</v>
      </c>
    </row>
    <row r="3744" spans="1:19" s="45" customFormat="1" ht="14.4" hidden="1">
      <c r="A3744" s="53">
        <f>IF(C3744="","",MAX($A$1:A3743)+1)</f>
        <v>3431</v>
      </c>
      <c r="B3744" s="54" t="s">
        <v>141</v>
      </c>
      <c r="C3744" s="55">
        <v>46111</v>
      </c>
      <c r="D3744" s="68" t="str">
        <f>_xlfn.XLOOKUP(Table134526_79101120212223242526[[#This Row],[Name Surname]],Manpower!$C$4:$C$1048576,Manpower!$B$4:$B$1048576,"")</f>
        <v>Encogroup</v>
      </c>
      <c r="E3744" s="51" t="s">
        <v>213</v>
      </c>
      <c r="F3744" s="12">
        <f>_xlfn.XLOOKUP(Table134526_79101120212223242526[[#This Row],[Name Surname]],Manpower!C:C,Manpower!D:D,)</f>
        <v>140846698</v>
      </c>
      <c r="G3744" s="68" t="str">
        <f>_xlfn.XLOOKUP(Table134526_79101120212223242526[[#This Row],[Name Surname]],Manpower!$C$4:$C$1048576,Manpower!$F$4:$F$1048576,"")</f>
        <v>Assistant/Helper</v>
      </c>
      <c r="H3744" s="68" t="str">
        <f>_xlfn.XLOOKUP(Table134526_79101120212223242526[[#This Row],[Name Surname]],Manpower!$C$4:$C$1048576,Manpower!$H$4:$H$1048576,"")</f>
        <v>Manpower</v>
      </c>
      <c r="I3744" s="68" t="str">
        <f>_xlfn.XLOOKUP(Table134526_79101120212223242526[[#This Row],[Name Surname]],Manpower!$C$4:$C$1048576,Manpower!$H$4:$H$1048576,"")</f>
        <v>Manpower</v>
      </c>
      <c r="J3744" s="51" t="s">
        <v>143</v>
      </c>
      <c r="K3744" s="43" t="s">
        <v>26</v>
      </c>
      <c r="L3744" s="51" t="s">
        <v>435</v>
      </c>
      <c r="M3744" s="51" t="s">
        <v>24</v>
      </c>
      <c r="N3744" s="52">
        <v>10</v>
      </c>
      <c r="O3744" s="43" t="s">
        <v>40</v>
      </c>
      <c r="P3744" s="43" t="s">
        <v>42</v>
      </c>
      <c r="Q3744" s="43" t="s">
        <v>42</v>
      </c>
      <c r="R3744" s="51" t="s">
        <v>444</v>
      </c>
      <c r="S3744" s="43"/>
    </row>
    <row r="3745" spans="1:19" s="45" customFormat="1" ht="14.4" hidden="1">
      <c r="A3745" s="53">
        <f>IF(C3745="","",MAX($A$1:A3744)+1)</f>
        <v>3432</v>
      </c>
      <c r="B3745" s="54" t="s">
        <v>141</v>
      </c>
      <c r="C3745" s="55">
        <v>46111</v>
      </c>
      <c r="D3745" s="68" t="str">
        <f>_xlfn.XLOOKUP(Table134526_79101120212223242526[[#This Row],[Name Surname]],Manpower!$C$4:$C$1048576,Manpower!$B$4:$B$1048576,"")</f>
        <v>Encogroup</v>
      </c>
      <c r="E3745" s="51" t="s">
        <v>217</v>
      </c>
      <c r="F3745" s="12">
        <f>_xlfn.XLOOKUP(Table134526_79101120212223242526[[#This Row],[Name Surname]],Manpower!C:C,Manpower!D:D,)</f>
        <v>140742177</v>
      </c>
      <c r="G3745" s="68" t="str">
        <f>_xlfn.XLOOKUP(Table134526_79101120212223242526[[#This Row],[Name Surname]],Manpower!$C$4:$C$1048576,Manpower!$F$4:$F$1048576,"")</f>
        <v>Grinder</v>
      </c>
      <c r="H3745" s="68" t="str">
        <f>_xlfn.XLOOKUP(Table134526_79101120212223242526[[#This Row],[Name Surname]],Manpower!$C$4:$C$1048576,Manpower!$H$4:$H$1048576,"")</f>
        <v>Manpower</v>
      </c>
      <c r="I3745" s="68" t="str">
        <f>_xlfn.XLOOKUP(Table134526_79101120212223242526[[#This Row],[Name Surname]],Manpower!$C$4:$C$1048576,Manpower!$H$4:$H$1048576,"")</f>
        <v>Manpower</v>
      </c>
      <c r="J3745" s="51" t="s">
        <v>143</v>
      </c>
      <c r="K3745" s="43" t="s">
        <v>26</v>
      </c>
      <c r="L3745" s="51" t="s">
        <v>435</v>
      </c>
      <c r="M3745" s="51" t="s">
        <v>24</v>
      </c>
      <c r="N3745" s="52">
        <v>10</v>
      </c>
      <c r="O3745" s="43" t="s">
        <v>40</v>
      </c>
      <c r="P3745" s="43" t="s">
        <v>42</v>
      </c>
      <c r="Q3745" s="43" t="s">
        <v>42</v>
      </c>
      <c r="R3745" s="51" t="s">
        <v>444</v>
      </c>
      <c r="S3745" s="43"/>
    </row>
    <row r="3746" spans="1:19" s="45" customFormat="1" ht="14.4" hidden="1">
      <c r="A3746" s="53">
        <f>IF(C3746="","",MAX($A$1:A3745)+1)</f>
        <v>3433</v>
      </c>
      <c r="B3746" s="54" t="s">
        <v>141</v>
      </c>
      <c r="C3746" s="55">
        <v>46111</v>
      </c>
      <c r="D3746" s="48" t="str">
        <f>_xlfn.XLOOKUP(Table134526_79101120212223242526[[#This Row],[Name Surname]],Manpower!$C$4:$C$1048576,Manpower!$B$4:$B$1048576,"")</f>
        <v>Encogroup</v>
      </c>
      <c r="E3746" s="43" t="s">
        <v>72</v>
      </c>
      <c r="F3746" s="12">
        <f>_xlfn.XLOOKUP(Table134526_79101120212223242526[[#This Row],[Name Surname]],Manpower!C:C,Manpower!D:D,)</f>
        <v>140764706</v>
      </c>
      <c r="G3746" s="48" t="str">
        <f>_xlfn.XLOOKUP(Table134526_79101120212223242526[[#This Row],[Name Surname]],Manpower!$C$4:$C$1048576,Manpower!$F$4:$F$1048576,"")</f>
        <v>Rigger</v>
      </c>
      <c r="H3746" s="48" t="str">
        <f>_xlfn.XLOOKUP(Table134526_79101120212223242526[[#This Row],[Name Surname]],Manpower!$C$4:$C$1048576,Manpower!$H$4:$H$1048576,"")</f>
        <v>Manpower</v>
      </c>
      <c r="I3746" s="48" t="str">
        <f>_xlfn.XLOOKUP(Table134526_79101120212223242526[[#This Row],[Name Surname]],Manpower!$C$4:$C$1048576,Manpower!$H$4:$H$1048576,"")</f>
        <v>Manpower</v>
      </c>
      <c r="J3746" s="51" t="s">
        <v>143</v>
      </c>
      <c r="K3746" s="43" t="s">
        <v>26</v>
      </c>
      <c r="L3746" s="51" t="s">
        <v>435</v>
      </c>
      <c r="M3746" s="51" t="s">
        <v>24</v>
      </c>
      <c r="N3746" s="52">
        <v>5</v>
      </c>
      <c r="O3746" s="43" t="s">
        <v>40</v>
      </c>
      <c r="P3746" s="43" t="s">
        <v>42</v>
      </c>
      <c r="Q3746" s="43" t="s">
        <v>42</v>
      </c>
      <c r="R3746" s="51" t="s">
        <v>444</v>
      </c>
      <c r="S3746" s="43"/>
    </row>
    <row r="3747" spans="1:19" s="45" customFormat="1" ht="14.4" hidden="1">
      <c r="A3747" s="53">
        <f>IF(C3747="","",MAX($A$1:A3746)+1)</f>
        <v>3434</v>
      </c>
      <c r="B3747" s="54" t="s">
        <v>141</v>
      </c>
      <c r="C3747" s="55">
        <v>46111</v>
      </c>
      <c r="D3747" s="48" t="str">
        <f>_xlfn.XLOOKUP(Table134526_79101120212223242526[[#This Row],[Name Surname]],Manpower!$C$4:$C$1048576,Manpower!$B$4:$B$1048576,"")</f>
        <v>Encogroup</v>
      </c>
      <c r="E3747" s="43" t="s">
        <v>306</v>
      </c>
      <c r="F3747" s="12" t="str">
        <f>_xlfn.XLOOKUP(Table134526_79101120212223242526[[#This Row],[Name Surname]],Manpower!C:C,Manpower!D:D,)</f>
        <v>100398391</v>
      </c>
      <c r="G3747" s="48" t="str">
        <f>_xlfn.XLOOKUP(Table134526_79101120212223242526[[#This Row],[Name Surname]],Manpower!$C$4:$C$1048576,Manpower!$F$4:$F$1048576,"")</f>
        <v>DuqmTrailer Driver</v>
      </c>
      <c r="H3747" s="48" t="str">
        <f>_xlfn.XLOOKUP(Table134526_79101120212223242526[[#This Row],[Name Surname]],Manpower!$C$4:$C$1048576,Manpower!$H$4:$H$1048576,"")</f>
        <v>Manpower</v>
      </c>
      <c r="I3747" s="48" t="str">
        <f>_xlfn.XLOOKUP(Table134526_79101120212223242526[[#This Row],[Name Surname]],Manpower!$C$4:$C$1048576,Manpower!$H$4:$H$1048576,"")</f>
        <v>Manpower</v>
      </c>
      <c r="J3747" s="51" t="s">
        <v>143</v>
      </c>
      <c r="K3747" s="43" t="s">
        <v>26</v>
      </c>
      <c r="L3747" s="51" t="s">
        <v>435</v>
      </c>
      <c r="M3747" s="51" t="s">
        <v>24</v>
      </c>
      <c r="N3747" s="52">
        <v>5</v>
      </c>
      <c r="O3747" s="43" t="s">
        <v>40</v>
      </c>
      <c r="P3747" s="43" t="s">
        <v>42</v>
      </c>
      <c r="Q3747" s="43" t="s">
        <v>42</v>
      </c>
      <c r="R3747" s="51" t="s">
        <v>448</v>
      </c>
      <c r="S3747" s="43"/>
    </row>
    <row r="3748" spans="1:19" s="45" customFormat="1" ht="14.4" hidden="1">
      <c r="A3748" s="53">
        <f>IF(C3748="","",MAX($A$1:A3747)+1)</f>
        <v>3435</v>
      </c>
      <c r="B3748" s="54" t="s">
        <v>141</v>
      </c>
      <c r="C3748" s="55">
        <v>46111</v>
      </c>
      <c r="D3748" s="48" t="str">
        <f>_xlfn.XLOOKUP(Table134526_79101120212223242526[[#This Row],[Name Surname]],Manpower!$C$4:$C$1048576,Manpower!$B$4:$B$1048576,"")</f>
        <v>Encogroup</v>
      </c>
      <c r="E3748" s="43" t="s">
        <v>168</v>
      </c>
      <c r="F3748" s="12">
        <f>_xlfn.XLOOKUP(Table134526_79101120212223242526[[#This Row],[Name Surname]],Manpower!C:C,Manpower!D:D,)</f>
        <v>137114773</v>
      </c>
      <c r="G3748" s="48" t="str">
        <f>_xlfn.XLOOKUP(Table134526_79101120212223242526[[#This Row],[Name Surname]],Manpower!$C$4:$C$1048576,Manpower!$F$4:$F$1048576,"")</f>
        <v>Rigger</v>
      </c>
      <c r="H3748" s="48" t="str">
        <f>_xlfn.XLOOKUP(Table134526_79101120212223242526[[#This Row],[Name Surname]],Manpower!$C$4:$C$1048576,Manpower!$H$4:$H$1048576,"")</f>
        <v>Manpower</v>
      </c>
      <c r="I3748" s="48" t="str">
        <f>_xlfn.XLOOKUP(Table134526_79101120212223242526[[#This Row],[Name Surname]],Manpower!$C$4:$C$1048576,Manpower!$H$4:$H$1048576,"")</f>
        <v>Manpower</v>
      </c>
      <c r="J3748" s="51" t="s">
        <v>143</v>
      </c>
      <c r="K3748" s="43" t="s">
        <v>26</v>
      </c>
      <c r="L3748" s="51" t="s">
        <v>435</v>
      </c>
      <c r="M3748" s="51" t="s">
        <v>24</v>
      </c>
      <c r="N3748" s="52">
        <v>10</v>
      </c>
      <c r="O3748" s="43" t="s">
        <v>40</v>
      </c>
      <c r="P3748" s="43" t="s">
        <v>42</v>
      </c>
      <c r="Q3748" s="43" t="s">
        <v>42</v>
      </c>
      <c r="R3748" s="51" t="s">
        <v>444</v>
      </c>
      <c r="S3748" s="43"/>
    </row>
    <row r="3749" spans="1:19" s="45" customFormat="1" ht="14.4" hidden="1">
      <c r="A3749" s="53">
        <f>IF(C3749="","",MAX($A$1:A3745)+1)</f>
        <v>3433</v>
      </c>
      <c r="B3749" s="54" t="s">
        <v>141</v>
      </c>
      <c r="C3749" s="55">
        <v>46111</v>
      </c>
      <c r="D3749" s="68" t="str">
        <f>_xlfn.XLOOKUP(Table134526_79101120212223242526[[#This Row],[Name Surname]],Manpower!$C$4:$C$1048576,Manpower!$B$4:$B$1048576,"")</f>
        <v>Encogroup</v>
      </c>
      <c r="E3749" s="51" t="s">
        <v>188</v>
      </c>
      <c r="F3749" s="12">
        <f>_xlfn.XLOOKUP(Table134526_79101120212223242526[[#This Row],[Name Surname]],Manpower!C:C,Manpower!D:D,)</f>
        <v>140696975</v>
      </c>
      <c r="G3749" s="68" t="str">
        <f>_xlfn.XLOOKUP(Table134526_79101120212223242526[[#This Row],[Name Surname]],Manpower!$C$4:$C$1048576,Manpower!$F$4:$F$1048576,"")</f>
        <v>Assistant/Helper</v>
      </c>
      <c r="H3749" s="68" t="str">
        <f>_xlfn.XLOOKUP(Table134526_79101120212223242526[[#This Row],[Name Surname]],Manpower!$C$4:$C$1048576,Manpower!$H$4:$H$1048576,"")</f>
        <v>Manpower</v>
      </c>
      <c r="I3749" s="68" t="str">
        <f>_xlfn.XLOOKUP(Table134526_79101120212223242526[[#This Row],[Name Surname]],Manpower!$C$4:$C$1048576,Manpower!$H$4:$H$1048576,"")</f>
        <v>Manpower</v>
      </c>
      <c r="J3749" s="51" t="s">
        <v>143</v>
      </c>
      <c r="K3749" s="43" t="s">
        <v>26</v>
      </c>
      <c r="L3749" s="51" t="s">
        <v>435</v>
      </c>
      <c r="M3749" s="51" t="s">
        <v>24</v>
      </c>
      <c r="N3749" s="52">
        <v>10</v>
      </c>
      <c r="O3749" s="43" t="s">
        <v>40</v>
      </c>
      <c r="P3749" s="43" t="s">
        <v>42</v>
      </c>
      <c r="Q3749" s="43" t="s">
        <v>42</v>
      </c>
      <c r="R3749" s="51" t="s">
        <v>444</v>
      </c>
      <c r="S3749" s="43"/>
    </row>
    <row r="3750" spans="1:19" s="45" customFormat="1" ht="14.4" hidden="1">
      <c r="A3750" s="53">
        <f>IF(C3750="","",MAX($A$1:A3749)+1)</f>
        <v>3436</v>
      </c>
      <c r="B3750" s="54" t="s">
        <v>141</v>
      </c>
      <c r="C3750" s="55">
        <v>46111</v>
      </c>
      <c r="D3750" s="68" t="str">
        <f>_xlfn.XLOOKUP(Table134526_79101120212223242526[[#This Row],[Name Surname]],Manpower!$C$4:$C$1048576,Manpower!$B$4:$B$1048576,"")</f>
        <v>Encogroup</v>
      </c>
      <c r="E3750" s="51" t="s">
        <v>204</v>
      </c>
      <c r="F3750" s="12">
        <f>_xlfn.XLOOKUP(Table134526_79101120212223242526[[#This Row],[Name Surname]],Manpower!C:C,Manpower!D:D,)</f>
        <v>140844572</v>
      </c>
      <c r="G3750" s="68" t="str">
        <f>_xlfn.XLOOKUP(Table134526_79101120212223242526[[#This Row],[Name Surname]],Manpower!$C$4:$C$1048576,Manpower!$F$4:$F$1048576,"")</f>
        <v>Assistant/Helper</v>
      </c>
      <c r="H3750" s="68" t="str">
        <f>_xlfn.XLOOKUP(Table134526_79101120212223242526[[#This Row],[Name Surname]],Manpower!$C$4:$C$1048576,Manpower!$H$4:$H$1048576,"")</f>
        <v>Manpower</v>
      </c>
      <c r="I3750" s="68" t="str">
        <f>_xlfn.XLOOKUP(Table134526_79101120212223242526[[#This Row],[Name Surname]],Manpower!$C$4:$C$1048576,Manpower!$H$4:$H$1048576,"")</f>
        <v>Manpower</v>
      </c>
      <c r="J3750" s="51" t="s">
        <v>143</v>
      </c>
      <c r="K3750" s="43" t="s">
        <v>26</v>
      </c>
      <c r="L3750" s="51" t="s">
        <v>435</v>
      </c>
      <c r="M3750" s="51" t="s">
        <v>24</v>
      </c>
      <c r="N3750" s="52">
        <v>10</v>
      </c>
      <c r="O3750" s="43" t="s">
        <v>40</v>
      </c>
      <c r="P3750" s="43" t="s">
        <v>42</v>
      </c>
      <c r="Q3750" s="43" t="s">
        <v>42</v>
      </c>
      <c r="R3750" s="51" t="s">
        <v>444</v>
      </c>
      <c r="S3750" s="43"/>
    </row>
    <row r="3751" spans="1:19" ht="14.4">
      <c r="A3751" s="38">
        <f>IF(C3751="","",MAX($A$1:A3750)+1)</f>
        <v>3437</v>
      </c>
      <c r="B3751" s="66" t="s">
        <v>141</v>
      </c>
      <c r="C3751" s="60">
        <v>46111</v>
      </c>
      <c r="D3751" s="61" t="str">
        <f>_xlfn.XLOOKUP(Table134526_79101120212223242526[[#This Row],[Name Surname]],Manpower!$C$4:$C$1048576,Manpower!$B$4:$B$1048576,"")</f>
        <v>Encogroup</v>
      </c>
      <c r="E3751" s="60" t="s">
        <v>219</v>
      </c>
      <c r="F3751" s="12" t="e">
        <f>_xlfn.XLOOKUP(Table134526_79101120212223242526[[#This Row],[Name Surname]],Manpower!C:C,Manpower!D:D,)</f>
        <v>#N/A</v>
      </c>
      <c r="G3751" s="61" t="str">
        <f>_xlfn.XLOOKUP(Table134526_79101120212223242526[[#This Row],[Name Surname]],Manpower!$C$4:$C$1048576,Manpower!$F$4:$F$1048576,"")</f>
        <v>TOWER LIGHT</v>
      </c>
      <c r="H3751" s="61" t="str">
        <f>_xlfn.XLOOKUP(Table134526_79101120212223242526[[#This Row],[Name Surname]],Manpower!$C$4:$C$1048576,Manpower!$H$4:$H$1048576,"")</f>
        <v>Equipment</v>
      </c>
      <c r="I3751" s="61" t="str">
        <f>_xlfn.XLOOKUP(Table134526_79101120212223242526[[#This Row],[Name Surname]],Manpower!$C$4:$C$1048576,Manpower!$H$4:$H$1048576,"")</f>
        <v>Equipment</v>
      </c>
      <c r="J3751" s="57" t="s">
        <v>143</v>
      </c>
      <c r="K3751" s="21" t="s">
        <v>26</v>
      </c>
      <c r="L3751" s="57" t="s">
        <v>435</v>
      </c>
      <c r="M3751" s="57" t="s">
        <v>55</v>
      </c>
      <c r="N3751" s="62">
        <v>10</v>
      </c>
      <c r="R3751" s="57" t="s">
        <v>56</v>
      </c>
    </row>
    <row r="3752" spans="1:19" ht="14.4">
      <c r="A3752" s="38">
        <f>IF(C3752="","",MAX($A$1:A3751)+1)</f>
        <v>3438</v>
      </c>
      <c r="B3752" s="66" t="s">
        <v>141</v>
      </c>
      <c r="C3752" s="60">
        <v>46111</v>
      </c>
      <c r="D3752" s="61" t="str">
        <f>_xlfn.XLOOKUP(Table134526_79101120212223242526[[#This Row],[Name Surname]],Manpower!$C$4:$C$1048576,Manpower!$B$4:$B$1048576,"")</f>
        <v>Encogroup</v>
      </c>
      <c r="E3752" s="60" t="s">
        <v>220</v>
      </c>
      <c r="F3752" s="12" t="e">
        <f>_xlfn.XLOOKUP(Table134526_79101120212223242526[[#This Row],[Name Surname]],Manpower!C:C,Manpower!D:D,)</f>
        <v>#N/A</v>
      </c>
      <c r="G3752" s="61" t="str">
        <f>_xlfn.XLOOKUP(Table134526_79101120212223242526[[#This Row],[Name Surname]],Manpower!$C$4:$C$1048576,Manpower!$F$4:$F$1048576,"")</f>
        <v>TOWER LIGHT</v>
      </c>
      <c r="H3752" s="61" t="str">
        <f>_xlfn.XLOOKUP(Table134526_79101120212223242526[[#This Row],[Name Surname]],Manpower!$C$4:$C$1048576,Manpower!$H$4:$H$1048576,"")</f>
        <v>Equipment</v>
      </c>
      <c r="I3752" s="61" t="str">
        <f>_xlfn.XLOOKUP(Table134526_79101120212223242526[[#This Row],[Name Surname]],Manpower!$C$4:$C$1048576,Manpower!$H$4:$H$1048576,"")</f>
        <v>Equipment</v>
      </c>
      <c r="J3752" s="57" t="s">
        <v>143</v>
      </c>
      <c r="K3752" s="21" t="s">
        <v>26</v>
      </c>
      <c r="L3752" s="57" t="s">
        <v>435</v>
      </c>
      <c r="M3752" s="57" t="s">
        <v>55</v>
      </c>
      <c r="N3752" s="62">
        <v>10</v>
      </c>
      <c r="R3752" s="57" t="s">
        <v>56</v>
      </c>
    </row>
    <row r="3753" spans="1:19" s="45" customFormat="1" ht="14.4" hidden="1">
      <c r="A3753" s="53">
        <f>IF(C3753="","",MAX($A$1:A3752)+1)</f>
        <v>3439</v>
      </c>
      <c r="B3753" s="54" t="s">
        <v>141</v>
      </c>
      <c r="C3753" s="55">
        <v>46111</v>
      </c>
      <c r="D3753" s="48" t="str">
        <f>_xlfn.XLOOKUP(Table134526_79101120212223242526[[#This Row],[Name Surname]],Manpower!$C$4:$C$1048576,Manpower!$B$4:$B$1048576,"")</f>
        <v>AL Omar International TRAD AND CONT</v>
      </c>
      <c r="E3753" s="41" t="s">
        <v>197</v>
      </c>
      <c r="F3753" s="12">
        <f>_xlfn.XLOOKUP(Table134526_79101120212223242526[[#This Row],[Name Surname]],Manpower!C:C,Manpower!D:D,)</f>
        <v>106093463</v>
      </c>
      <c r="G3753" s="48" t="str">
        <f>_xlfn.XLOOKUP(Table134526_79101120212223242526[[#This Row],[Name Surname]],Manpower!$C$4:$C$1048576,Manpower!$F$4:$F$1048576,"")</f>
        <v>RIgger</v>
      </c>
      <c r="H3753" s="48" t="str">
        <f>_xlfn.XLOOKUP(Table134526_79101120212223242526[[#This Row],[Name Surname]],Manpower!$C$4:$C$1048576,Manpower!$H$4:$H$1048576,"")</f>
        <v>Sub Contactor</v>
      </c>
      <c r="I3753" s="48" t="str">
        <f>_xlfn.XLOOKUP(Table134526_79101120212223242526[[#This Row],[Name Surname]],Manpower!$C$4:$C$1048576,Manpower!$H$4:$H$1048576,"")</f>
        <v>Sub Contactor</v>
      </c>
      <c r="J3753" s="51" t="s">
        <v>143</v>
      </c>
      <c r="K3753" s="43" t="s">
        <v>26</v>
      </c>
      <c r="L3753" s="51" t="s">
        <v>435</v>
      </c>
      <c r="M3753" s="51" t="s">
        <v>24</v>
      </c>
      <c r="N3753" s="52">
        <v>2</v>
      </c>
      <c r="O3753" s="43" t="s">
        <v>40</v>
      </c>
      <c r="P3753" s="43" t="s">
        <v>42</v>
      </c>
      <c r="Q3753" s="43" t="s">
        <v>42</v>
      </c>
      <c r="R3753" s="51" t="s">
        <v>444</v>
      </c>
      <c r="S3753" s="43"/>
    </row>
    <row r="3754" spans="1:19" ht="14.4" hidden="1">
      <c r="A3754" s="38">
        <f>IF(C3754="","",MAX($A$1:A3752)+1)</f>
        <v>3439</v>
      </c>
      <c r="B3754" s="66" t="s">
        <v>141</v>
      </c>
      <c r="C3754" s="60">
        <v>46111</v>
      </c>
      <c r="D3754" s="61" t="str">
        <f>_xlfn.XLOOKUP(Table134526_79101120212223242526[[#This Row],[Name Surname]],Manpower!$C$4:$C$1048576,Manpower!$B$4:$B$1048576,"")</f>
        <v>Encogroup</v>
      </c>
      <c r="E3754" s="57" t="s">
        <v>222</v>
      </c>
      <c r="F3754" s="12">
        <f>_xlfn.XLOOKUP(Table134526_79101120212223242526[[#This Row],[Name Surname]],Manpower!C:C,Manpower!D:D,)</f>
        <v>122082863</v>
      </c>
      <c r="G3754" s="61" t="str">
        <f>_xlfn.XLOOKUP(Table134526_79101120212223242526[[#This Row],[Name Surname]],Manpower!$C$4:$C$1048576,Manpower!$F$4:$F$1048576,"")</f>
        <v>Grinder</v>
      </c>
      <c r="H3754" s="61" t="str">
        <f>_xlfn.XLOOKUP(Table134526_79101120212223242526[[#This Row],[Name Surname]],Manpower!$C$4:$C$1048576,Manpower!$H$4:$H$1048576,"")</f>
        <v>Manpower</v>
      </c>
      <c r="I3754" s="61" t="str">
        <f>_xlfn.XLOOKUP(Table134526_79101120212223242526[[#This Row],[Name Surname]],Manpower!$C$4:$C$1048576,Manpower!$H$4:$H$1048576,"")</f>
        <v>Manpower</v>
      </c>
      <c r="J3754" s="57" t="s">
        <v>143</v>
      </c>
      <c r="K3754" s="21" t="s">
        <v>26</v>
      </c>
      <c r="L3754" s="57" t="s">
        <v>435</v>
      </c>
      <c r="M3754" s="57" t="s">
        <v>24</v>
      </c>
      <c r="N3754" s="62">
        <v>10</v>
      </c>
      <c r="O3754" s="21" t="s">
        <v>40</v>
      </c>
      <c r="P3754" s="21" t="s">
        <v>42</v>
      </c>
      <c r="Q3754" s="21" t="s">
        <v>42</v>
      </c>
      <c r="R3754" s="57" t="s">
        <v>444</v>
      </c>
    </row>
    <row r="3755" spans="1:19" s="45" customFormat="1" ht="14.4" hidden="1">
      <c r="A3755" s="53">
        <f>IF(C3755="","",MAX($A$1:A3754)+1)</f>
        <v>3440</v>
      </c>
      <c r="B3755" s="54" t="s">
        <v>141</v>
      </c>
      <c r="C3755" s="55">
        <v>46111</v>
      </c>
      <c r="D3755" s="48" t="str">
        <f>_xlfn.XLOOKUP(Table134526_79101120212223242526[[#This Row],[Name Surname]],Manpower!$C$4:$C$1048576,Manpower!$B$4:$B$1048576,"")</f>
        <v>Encogroup</v>
      </c>
      <c r="E3755" s="43" t="s">
        <v>237</v>
      </c>
      <c r="F3755" s="12">
        <f>_xlfn.XLOOKUP(Table134526_79101120212223242526[[#This Row],[Name Surname]],Manpower!C:C,Manpower!D:D,)</f>
        <v>75199413</v>
      </c>
      <c r="G3755" s="48" t="str">
        <f>_xlfn.XLOOKUP(Table134526_79101120212223242526[[#This Row],[Name Surname]],Manpower!$C$4:$C$1048576,Manpower!$F$4:$F$1048576,"")</f>
        <v>Mechanic</v>
      </c>
      <c r="H3755" s="48" t="str">
        <f>_xlfn.XLOOKUP(Table134526_79101120212223242526[[#This Row],[Name Surname]],Manpower!$C$4:$C$1048576,Manpower!$H$4:$H$1048576,"")</f>
        <v>Manpower</v>
      </c>
      <c r="I3755" s="48" t="str">
        <f>_xlfn.XLOOKUP(Table134526_79101120212223242526[[#This Row],[Name Surname]],Manpower!$C$4:$C$1048576,Manpower!$H$4:$H$1048576,"")</f>
        <v>Manpower</v>
      </c>
      <c r="J3755" s="43" t="s">
        <v>135</v>
      </c>
      <c r="K3755" s="43" t="s">
        <v>26</v>
      </c>
      <c r="L3755" s="51" t="s">
        <v>435</v>
      </c>
      <c r="M3755" s="51" t="s">
        <v>24</v>
      </c>
      <c r="N3755" s="52">
        <v>10</v>
      </c>
      <c r="O3755" s="43" t="s">
        <v>236</v>
      </c>
      <c r="P3755" s="43" t="s">
        <v>236</v>
      </c>
      <c r="Q3755" s="43" t="s">
        <v>236</v>
      </c>
      <c r="R3755" s="43" t="s">
        <v>26</v>
      </c>
      <c r="S3755" s="43"/>
    </row>
    <row r="3756" spans="1:19" s="45" customFormat="1" ht="14.4" hidden="1">
      <c r="A3756" s="53">
        <f>IF(C3756="","",MAX($A$1:A3754)+1)</f>
        <v>3440</v>
      </c>
      <c r="B3756" s="54" t="s">
        <v>141</v>
      </c>
      <c r="C3756" s="55">
        <v>46111</v>
      </c>
      <c r="D3756" s="68" t="str">
        <f>_xlfn.XLOOKUP(Table134526_79101120212223242526[[#This Row],[Name Surname]],Manpower!$C$4:$C$1048576,Manpower!$B$4:$B$1048576,"")</f>
        <v>Encogroup</v>
      </c>
      <c r="E3756" s="51" t="s">
        <v>223</v>
      </c>
      <c r="F3756" s="12">
        <f>_xlfn.XLOOKUP(Table134526_79101120212223242526[[#This Row],[Name Surname]],Manpower!C:C,Manpower!D:D,)</f>
        <v>140696989</v>
      </c>
      <c r="G3756" s="68" t="str">
        <f>_xlfn.XLOOKUP(Table134526_79101120212223242526[[#This Row],[Name Surname]],Manpower!$C$4:$C$1048576,Manpower!$F$4:$F$1048576,"")</f>
        <v>Assistant/Helper</v>
      </c>
      <c r="H3756" s="68" t="str">
        <f>_xlfn.XLOOKUP(Table134526_79101120212223242526[[#This Row],[Name Surname]],Manpower!$C$4:$C$1048576,Manpower!$H$4:$H$1048576,"")</f>
        <v>Manpower</v>
      </c>
      <c r="I3756" s="68" t="str">
        <f>_xlfn.XLOOKUP(Table134526_79101120212223242526[[#This Row],[Name Surname]],Manpower!$C$4:$C$1048576,Manpower!$H$4:$H$1048576,"")</f>
        <v>Manpower</v>
      </c>
      <c r="J3756" s="51" t="s">
        <v>143</v>
      </c>
      <c r="K3756" s="43" t="s">
        <v>26</v>
      </c>
      <c r="L3756" s="51" t="s">
        <v>435</v>
      </c>
      <c r="M3756" s="51" t="s">
        <v>24</v>
      </c>
      <c r="N3756" s="52">
        <v>10</v>
      </c>
      <c r="O3756" s="43" t="s">
        <v>40</v>
      </c>
      <c r="P3756" s="43" t="s">
        <v>42</v>
      </c>
      <c r="Q3756" s="43" t="s">
        <v>42</v>
      </c>
      <c r="R3756" s="51" t="s">
        <v>444</v>
      </c>
      <c r="S3756" s="43"/>
    </row>
    <row r="3757" spans="1:19" ht="14.4" hidden="1">
      <c r="A3757" s="38">
        <f>IF(C3757="","",MAX($A$1:A3756)+1)</f>
        <v>3441</v>
      </c>
      <c r="B3757" s="70" t="s">
        <v>141</v>
      </c>
      <c r="C3757" s="60">
        <v>46111</v>
      </c>
      <c r="D3757" s="61" t="str">
        <f>_xlfn.XLOOKUP(Table134526_79101120212223242526[[#This Row],[Name Surname]],Manpower!$C$4:$C$1048576,Manpower!$B$4:$B$1048576,"")</f>
        <v>Encogroup</v>
      </c>
      <c r="E3757" s="57" t="s">
        <v>218</v>
      </c>
      <c r="F3757" s="12">
        <f>_xlfn.XLOOKUP(Table134526_79101120212223242526[[#This Row],[Name Surname]],Manpower!C:C,Manpower!D:D,)</f>
        <v>116853914</v>
      </c>
      <c r="G3757" s="61" t="str">
        <f>_xlfn.XLOOKUP(Table134526_79101120212223242526[[#This Row],[Name Surname]],Manpower!$C$4:$C$1048576,Manpower!$F$4:$F$1048576,"")</f>
        <v>Electrical Supervisor</v>
      </c>
      <c r="H3757" s="61" t="str">
        <f>_xlfn.XLOOKUP(Table134526_79101120212223242526[[#This Row],[Name Surname]],Manpower!$C$4:$C$1048576,Manpower!$H$4:$H$1048576,"")</f>
        <v>Manpower</v>
      </c>
      <c r="I3757" s="61" t="str">
        <f>_xlfn.XLOOKUP(Table134526_79101120212223242526[[#This Row],[Name Surname]],Manpower!$C$4:$C$1048576,Manpower!$H$4:$H$1048576,"")</f>
        <v>Manpower</v>
      </c>
      <c r="J3757" s="57" t="s">
        <v>143</v>
      </c>
      <c r="K3757" s="21" t="s">
        <v>26</v>
      </c>
      <c r="L3757" s="57" t="s">
        <v>435</v>
      </c>
      <c r="M3757" s="57" t="s">
        <v>24</v>
      </c>
      <c r="N3757" s="62">
        <v>10</v>
      </c>
      <c r="O3757" s="21" t="s">
        <v>40</v>
      </c>
      <c r="P3757" s="21" t="s">
        <v>42</v>
      </c>
      <c r="Q3757" s="21" t="s">
        <v>42</v>
      </c>
      <c r="R3757" s="57" t="s">
        <v>444</v>
      </c>
    </row>
    <row r="3758" spans="1:19" s="45" customFormat="1" ht="14.4" hidden="1">
      <c r="A3758" s="53">
        <f>IF(C3758="","",MAX($A$1:A3757)+1)</f>
        <v>3442</v>
      </c>
      <c r="B3758" s="54" t="s">
        <v>141</v>
      </c>
      <c r="C3758" s="55">
        <v>46111</v>
      </c>
      <c r="D3758" s="68" t="str">
        <f>_xlfn.XLOOKUP(Table134526_79101120212223242526[[#This Row],[Name Surname]],Manpower!$C$4:$C$1048576,Manpower!$B$4:$B$1048576,"")</f>
        <v>Encogroup</v>
      </c>
      <c r="E3758" s="51" t="s">
        <v>346</v>
      </c>
      <c r="F3758" s="12">
        <f>_xlfn.XLOOKUP(Table134526_79101120212223242526[[#This Row],[Name Surname]],Manpower!C:C,Manpower!D:D,)</f>
        <v>117974933</v>
      </c>
      <c r="G3758" s="68" t="str">
        <f>_xlfn.XLOOKUP(Table134526_79101120212223242526[[#This Row],[Name Surname]],Manpower!$C$4:$C$1048576,Manpower!$F$4:$F$1048576,"")</f>
        <v>Scaffolder</v>
      </c>
      <c r="H3758" s="68" t="str">
        <f>_xlfn.XLOOKUP(Table134526_79101120212223242526[[#This Row],[Name Surname]],Manpower!$C$4:$C$1048576,Manpower!$H$4:$H$1048576,"")</f>
        <v>Manpower</v>
      </c>
      <c r="I3758" s="68" t="str">
        <f>_xlfn.XLOOKUP(Table134526_79101120212223242526[[#This Row],[Name Surname]],Manpower!$C$4:$C$1048576,Manpower!$H$4:$H$1048576,"")</f>
        <v>Manpower</v>
      </c>
      <c r="J3758" s="51" t="s">
        <v>143</v>
      </c>
      <c r="K3758" s="43" t="s">
        <v>26</v>
      </c>
      <c r="L3758" s="51" t="s">
        <v>435</v>
      </c>
      <c r="M3758" s="51" t="s">
        <v>24</v>
      </c>
      <c r="N3758" s="52">
        <v>10</v>
      </c>
      <c r="O3758" s="43" t="s">
        <v>40</v>
      </c>
      <c r="P3758" s="43" t="s">
        <v>42</v>
      </c>
      <c r="Q3758" s="43" t="s">
        <v>42</v>
      </c>
      <c r="R3758" s="51" t="s">
        <v>444</v>
      </c>
      <c r="S3758" s="43"/>
    </row>
    <row r="3759" spans="1:19" ht="14.4" hidden="1">
      <c r="A3759" s="38">
        <f>IF(C3759="","",MAX($A$1:A3758)+1)</f>
        <v>3443</v>
      </c>
      <c r="B3759" s="66" t="s">
        <v>141</v>
      </c>
      <c r="C3759" s="60">
        <v>46111</v>
      </c>
      <c r="D3759" s="61" t="str">
        <f>_xlfn.XLOOKUP(Table134526_79101120212223242526[[#This Row],[Name Surname]],Manpower!$C$4:$C$1048576,Manpower!$B$4:$B$1048576,"")</f>
        <v>Encogroup</v>
      </c>
      <c r="E3759" s="57" t="s">
        <v>347</v>
      </c>
      <c r="F3759" s="12">
        <f>_xlfn.XLOOKUP(Table134526_79101120212223242526[[#This Row],[Name Surname]],Manpower!C:C,Manpower!D:D,)</f>
        <v>141502853</v>
      </c>
      <c r="G3759" s="61" t="str">
        <f>_xlfn.XLOOKUP(Table134526_79101120212223242526[[#This Row],[Name Surname]],Manpower!$C$4:$C$1048576,Manpower!$F$4:$F$1048576,"")</f>
        <v>Scaffolder</v>
      </c>
      <c r="H3759" s="61" t="str">
        <f>_xlfn.XLOOKUP(Table134526_79101120212223242526[[#This Row],[Name Surname]],Manpower!$C$4:$C$1048576,Manpower!$H$4:$H$1048576,"")</f>
        <v>Manpower</v>
      </c>
      <c r="I3759" s="61" t="str">
        <f>_xlfn.XLOOKUP(Table134526_79101120212223242526[[#This Row],[Name Surname]],Manpower!$C$4:$C$1048576,Manpower!$H$4:$H$1048576,"")</f>
        <v>Manpower</v>
      </c>
      <c r="J3759" s="57" t="s">
        <v>143</v>
      </c>
      <c r="K3759" s="21" t="s">
        <v>26</v>
      </c>
      <c r="L3759" s="57" t="s">
        <v>435</v>
      </c>
      <c r="M3759" s="57" t="s">
        <v>24</v>
      </c>
      <c r="N3759" s="62">
        <v>10</v>
      </c>
      <c r="O3759" s="21" t="s">
        <v>40</v>
      </c>
      <c r="P3759" s="21" t="s">
        <v>42</v>
      </c>
      <c r="Q3759" s="21" t="s">
        <v>42</v>
      </c>
      <c r="R3759" s="57" t="s">
        <v>444</v>
      </c>
    </row>
    <row r="3760" spans="1:19" s="45" customFormat="1" ht="14.4" hidden="1">
      <c r="A3760" s="53">
        <f>IF(C3760="","",MAX($A$1:A3759)+1)</f>
        <v>3444</v>
      </c>
      <c r="B3760" s="54" t="s">
        <v>141</v>
      </c>
      <c r="C3760" s="55">
        <v>46111</v>
      </c>
      <c r="D3760" s="48" t="str">
        <f>_xlfn.XLOOKUP(Table134526_79101120212223242526[[#This Row],[Name Surname]],Manpower!$C$4:$C$1048576,Manpower!$B$4:$B$1048576,"")</f>
        <v>Encogroup</v>
      </c>
      <c r="E3760" s="43" t="s">
        <v>186</v>
      </c>
      <c r="F3760" s="12">
        <f>_xlfn.XLOOKUP(Table134526_79101120212223242526[[#This Row],[Name Surname]],Manpower!C:C,Manpower!D:D,)</f>
        <v>140696961</v>
      </c>
      <c r="G3760" s="48" t="str">
        <f>_xlfn.XLOOKUP(Table134526_79101120212223242526[[#This Row],[Name Surname]],Manpower!$C$4:$C$1048576,Manpower!$F$4:$F$1048576,"")</f>
        <v>Assistant/Helper</v>
      </c>
      <c r="H3760" s="48" t="str">
        <f>_xlfn.XLOOKUP(Table134526_79101120212223242526[[#This Row],[Name Surname]],Manpower!$C$4:$C$1048576,Manpower!$H$4:$H$1048576,"")</f>
        <v>Manpower</v>
      </c>
      <c r="I3760" s="48" t="str">
        <f>_xlfn.XLOOKUP(Table134526_79101120212223242526[[#This Row],[Name Surname]],Manpower!$C$4:$C$1048576,Manpower!$H$4:$H$1048576,"")</f>
        <v>Manpower</v>
      </c>
      <c r="J3760" s="51" t="s">
        <v>143</v>
      </c>
      <c r="K3760" s="43" t="s">
        <v>26</v>
      </c>
      <c r="L3760" s="51" t="s">
        <v>435</v>
      </c>
      <c r="M3760" s="51" t="s">
        <v>24</v>
      </c>
      <c r="N3760" s="52">
        <v>10</v>
      </c>
      <c r="O3760" s="43" t="s">
        <v>40</v>
      </c>
      <c r="P3760" s="43" t="s">
        <v>42</v>
      </c>
      <c r="Q3760" s="43" t="s">
        <v>42</v>
      </c>
      <c r="R3760" s="51" t="s">
        <v>444</v>
      </c>
      <c r="S3760" s="43"/>
    </row>
    <row r="3761" spans="1:19" ht="14.4" hidden="1">
      <c r="A3761" s="38">
        <f>IF(C3761="","",MAX($A$1:A3760)+1)</f>
        <v>3445</v>
      </c>
      <c r="B3761" s="66" t="s">
        <v>141</v>
      </c>
      <c r="C3761" s="60">
        <v>46111</v>
      </c>
      <c r="D3761" s="28" t="str">
        <f>_xlfn.XLOOKUP(Table134526_79101120212223242526[[#This Row],[Name Surname]],Manpower!$C$4:$C$1048576,Manpower!$B$4:$B$1048576,"")</f>
        <v>Encogroup</v>
      </c>
      <c r="E3761" s="21" t="s">
        <v>385</v>
      </c>
      <c r="F3761" s="12">
        <f>_xlfn.XLOOKUP(Table134526_79101120212223242526[[#This Row],[Name Surname]],Manpower!C:C,Manpower!D:D,)</f>
        <v>141307921</v>
      </c>
      <c r="G3761" s="28" t="str">
        <f>_xlfn.XLOOKUP(Table134526_79101120212223242526[[#This Row],[Name Surname]],Manpower!$C$4:$C$1048576,Manpower!$F$4:$F$1048576,"")</f>
        <v>Mechanical Assistant</v>
      </c>
      <c r="H3761" s="28" t="str">
        <f>_xlfn.XLOOKUP(Table134526_79101120212223242526[[#This Row],[Name Surname]],Manpower!$C$4:$C$1048576,Manpower!$H$4:$H$1048576,"")</f>
        <v>Manpower</v>
      </c>
      <c r="I3761" s="28" t="str">
        <f>_xlfn.XLOOKUP(Table134526_79101120212223242526[[#This Row],[Name Surname]],Manpower!$C$4:$C$1048576,Manpower!$H$4:$H$1048576,"")</f>
        <v>Manpower</v>
      </c>
      <c r="J3761" s="57" t="s">
        <v>143</v>
      </c>
      <c r="K3761" s="21" t="s">
        <v>26</v>
      </c>
      <c r="L3761" s="57" t="s">
        <v>435</v>
      </c>
      <c r="M3761" s="57" t="s">
        <v>24</v>
      </c>
      <c r="N3761" s="62">
        <v>10</v>
      </c>
      <c r="O3761" s="21" t="s">
        <v>40</v>
      </c>
      <c r="P3761" s="21" t="s">
        <v>42</v>
      </c>
      <c r="Q3761" s="21" t="s">
        <v>42</v>
      </c>
      <c r="R3761" s="57" t="s">
        <v>444</v>
      </c>
    </row>
    <row r="3762" spans="1:19" ht="14.4" hidden="1">
      <c r="A3762" s="38">
        <f>IF(C3762="","",MAX($A$1:A3761)+1)</f>
        <v>3446</v>
      </c>
      <c r="B3762" s="66" t="s">
        <v>141</v>
      </c>
      <c r="C3762" s="60">
        <v>46111</v>
      </c>
      <c r="D3762" s="28" t="str">
        <f>_xlfn.XLOOKUP(Table134526_79101120212223242526[[#This Row],[Name Surname]],Manpower!$C$4:$C$1048576,Manpower!$B$4:$B$1048576,"")</f>
        <v>Encogroup</v>
      </c>
      <c r="E3762" s="21" t="s">
        <v>384</v>
      </c>
      <c r="F3762" s="12">
        <f>_xlfn.XLOOKUP(Table134526_79101120212223242526[[#This Row],[Name Surname]],Manpower!C:C,Manpower!D:D,)</f>
        <v>141307968</v>
      </c>
      <c r="G3762" s="28" t="str">
        <f>_xlfn.XLOOKUP(Table134526_79101120212223242526[[#This Row],[Name Surname]],Manpower!$C$4:$C$1048576,Manpower!$F$4:$F$1048576,"")</f>
        <v>Mechanical Supervisor</v>
      </c>
      <c r="H3762" s="28" t="str">
        <f>_xlfn.XLOOKUP(Table134526_79101120212223242526[[#This Row],[Name Surname]],Manpower!$C$4:$C$1048576,Manpower!$H$4:$H$1048576,"")</f>
        <v>Manpower</v>
      </c>
      <c r="I3762" s="28" t="str">
        <f>_xlfn.XLOOKUP(Table134526_79101120212223242526[[#This Row],[Name Surname]],Manpower!$C$4:$C$1048576,Manpower!$H$4:$H$1048576,"")</f>
        <v>Manpower</v>
      </c>
      <c r="J3762" s="57" t="s">
        <v>143</v>
      </c>
      <c r="K3762" s="21" t="s">
        <v>26</v>
      </c>
      <c r="L3762" s="57" t="s">
        <v>435</v>
      </c>
      <c r="M3762" s="57" t="s">
        <v>24</v>
      </c>
      <c r="N3762" s="62">
        <v>10</v>
      </c>
      <c r="O3762" s="21" t="s">
        <v>40</v>
      </c>
      <c r="P3762" s="21" t="s">
        <v>42</v>
      </c>
      <c r="Q3762" s="21" t="s">
        <v>42</v>
      </c>
      <c r="R3762" s="57" t="s">
        <v>444</v>
      </c>
    </row>
    <row r="3763" spans="1:19" ht="14.4" hidden="1">
      <c r="A3763" s="38">
        <f>IF(C3763="","",MAX($A$1:A3762)+1)</f>
        <v>3447</v>
      </c>
      <c r="B3763" s="66" t="s">
        <v>141</v>
      </c>
      <c r="C3763" s="60">
        <v>46111</v>
      </c>
      <c r="D3763" s="28" t="str">
        <f>_xlfn.XLOOKUP(Table134526_79101120212223242526[[#This Row],[Name Surname]],Manpower!$C$4:$C$1048576,Manpower!$B$4:$B$1048576,"")</f>
        <v>Encogroup</v>
      </c>
      <c r="E3763" s="21" t="s">
        <v>61</v>
      </c>
      <c r="F3763" s="12">
        <f>_xlfn.XLOOKUP(Table134526_79101120212223242526[[#This Row],[Name Surname]],Manpower!C:C,Manpower!D:D,)</f>
        <v>141169047</v>
      </c>
      <c r="G3763" s="28" t="str">
        <f>_xlfn.XLOOKUP(Table134526_79101120212223242526[[#This Row],[Name Surname]],Manpower!$C$4:$C$1048576,Manpower!$F$4:$F$1048576,"")</f>
        <v>Welder</v>
      </c>
      <c r="H3763" s="28" t="str">
        <f>_xlfn.XLOOKUP(Table134526_79101120212223242526[[#This Row],[Name Surname]],Manpower!$C$4:$C$1048576,Manpower!$H$4:$H$1048576,"")</f>
        <v>Manpower</v>
      </c>
      <c r="I3763" s="28" t="str">
        <f>_xlfn.XLOOKUP(Table134526_79101120212223242526[[#This Row],[Name Surname]],Manpower!$C$4:$C$1048576,Manpower!$H$4:$H$1048576,"")</f>
        <v>Manpower</v>
      </c>
      <c r="J3763" s="57" t="s">
        <v>143</v>
      </c>
      <c r="K3763" s="21" t="s">
        <v>26</v>
      </c>
      <c r="L3763" s="57" t="s">
        <v>435</v>
      </c>
      <c r="M3763" s="57" t="s">
        <v>24</v>
      </c>
      <c r="N3763" s="62">
        <v>10</v>
      </c>
      <c r="O3763" s="21" t="s">
        <v>40</v>
      </c>
      <c r="P3763" s="21" t="s">
        <v>42</v>
      </c>
      <c r="Q3763" s="21" t="s">
        <v>42</v>
      </c>
      <c r="R3763" s="57" t="s">
        <v>444</v>
      </c>
    </row>
    <row r="3764" spans="1:19" s="45" customFormat="1" ht="14.4" hidden="1">
      <c r="A3764" s="53">
        <f>IF(C3764="","",MAX($A$1:A3763)+1)</f>
        <v>3448</v>
      </c>
      <c r="B3764" s="54" t="s">
        <v>141</v>
      </c>
      <c r="C3764" s="55">
        <v>46111</v>
      </c>
      <c r="D3764" s="48" t="str">
        <f>_xlfn.XLOOKUP(Table134526_79101120212223242526[[#This Row],[Name Surname]],Manpower!$C$4:$C$1048576,Manpower!$B$4:$B$1048576,"")</f>
        <v>Encogroup</v>
      </c>
      <c r="E3764" s="43" t="s">
        <v>383</v>
      </c>
      <c r="F3764" s="12">
        <f>_xlfn.XLOOKUP(Table134526_79101120212223242526[[#This Row],[Name Surname]],Manpower!C:C,Manpower!D:D,)</f>
        <v>71437827</v>
      </c>
      <c r="G3764" s="48" t="str">
        <f>_xlfn.XLOOKUP(Table134526_79101120212223242526[[#This Row],[Name Surname]],Manpower!$C$4:$C$1048576,Manpower!$F$4:$F$1048576,"")</f>
        <v>Electrical  Supervisor</v>
      </c>
      <c r="H3764" s="48" t="str">
        <f>_xlfn.XLOOKUP(Table134526_79101120212223242526[[#This Row],[Name Surname]],Manpower!$C$4:$C$1048576,Manpower!$H$4:$H$1048576,"")</f>
        <v>Manpower</v>
      </c>
      <c r="I3764" s="48" t="str">
        <f>_xlfn.XLOOKUP(Table134526_79101120212223242526[[#This Row],[Name Surname]],Manpower!$C$4:$C$1048576,Manpower!$H$4:$H$1048576,"")</f>
        <v>Manpower</v>
      </c>
      <c r="J3764" s="51" t="s">
        <v>143</v>
      </c>
      <c r="K3764" s="43" t="s">
        <v>26</v>
      </c>
      <c r="L3764" s="51" t="s">
        <v>435</v>
      </c>
      <c r="M3764" s="51" t="s">
        <v>24</v>
      </c>
      <c r="N3764" s="52">
        <v>10</v>
      </c>
      <c r="O3764" s="43" t="s">
        <v>40</v>
      </c>
      <c r="P3764" s="43" t="s">
        <v>42</v>
      </c>
      <c r="Q3764" s="43" t="s">
        <v>42</v>
      </c>
      <c r="R3764" s="51" t="s">
        <v>444</v>
      </c>
      <c r="S3764" s="43"/>
    </row>
    <row r="3765" spans="1:19" ht="14.4" hidden="1">
      <c r="A3765" s="38">
        <f>IF(C3765="","",MAX($A$1:A3764)+1)</f>
        <v>3449</v>
      </c>
      <c r="B3765" s="66" t="s">
        <v>141</v>
      </c>
      <c r="C3765" s="60">
        <v>46111</v>
      </c>
      <c r="D3765" s="28" t="str">
        <f>_xlfn.XLOOKUP(Table134526_79101120212223242526[[#This Row],[Name Surname]],Manpower!$C$4:$C$1048576,Manpower!$B$4:$B$1048576,"")</f>
        <v xml:space="preserve">AL Omar International </v>
      </c>
      <c r="E3765" s="21" t="s">
        <v>190</v>
      </c>
      <c r="F3765" s="12">
        <f>_xlfn.XLOOKUP(Table134526_79101120212223242526[[#This Row],[Name Surname]],Manpower!C:C,Manpower!D:D,)</f>
        <v>85812175</v>
      </c>
      <c r="G3765" s="28" t="str">
        <f>_xlfn.XLOOKUP(Table134526_79101120212223242526[[#This Row],[Name Surname]],Manpower!$C$4:$C$1048576,Manpower!$F$4:$F$1048576,"")</f>
        <v>Scaffolding Supervisor</v>
      </c>
      <c r="H3765" s="28" t="str">
        <f>_xlfn.XLOOKUP(Table134526_79101120212223242526[[#This Row],[Name Surname]],Manpower!$C$4:$C$1048576,Manpower!$H$4:$H$1048576,"")</f>
        <v>Sub Contactor</v>
      </c>
      <c r="I3765" s="28" t="str">
        <f>_xlfn.XLOOKUP(Table134526_79101120212223242526[[#This Row],[Name Surname]],Manpower!$C$4:$C$1048576,Manpower!$H$4:$H$1048576,"")</f>
        <v>Sub Contactor</v>
      </c>
      <c r="J3765" s="57" t="s">
        <v>143</v>
      </c>
      <c r="K3765" s="21" t="s">
        <v>26</v>
      </c>
      <c r="L3765" s="57" t="s">
        <v>435</v>
      </c>
      <c r="M3765" s="57" t="s">
        <v>24</v>
      </c>
      <c r="N3765" s="62">
        <v>10</v>
      </c>
      <c r="O3765" s="21" t="s">
        <v>40</v>
      </c>
      <c r="P3765" s="21" t="s">
        <v>42</v>
      </c>
      <c r="Q3765" s="21" t="s">
        <v>42</v>
      </c>
      <c r="R3765" s="57" t="s">
        <v>444</v>
      </c>
    </row>
    <row r="3766" spans="1:19" s="45" customFormat="1" ht="14.4" hidden="1">
      <c r="A3766" s="53">
        <f>IF(C3766="","",MAX($A$1:A3765)+1)</f>
        <v>3450</v>
      </c>
      <c r="B3766" s="54" t="s">
        <v>141</v>
      </c>
      <c r="C3766" s="55">
        <v>46111</v>
      </c>
      <c r="D3766" s="48" t="str">
        <f>_xlfn.XLOOKUP(Table134526_79101120212223242526[[#This Row],[Name Surname]],Manpower!$C$4:$C$1048576,Manpower!$B$4:$B$1048576,"")</f>
        <v>Encogroup</v>
      </c>
      <c r="E3766" s="43" t="s">
        <v>439</v>
      </c>
      <c r="F3766" s="12">
        <f>_xlfn.XLOOKUP(Table134526_79101120212223242526[[#This Row],[Name Surname]],Manpower!C:C,Manpower!D:D,)</f>
        <v>141365042</v>
      </c>
      <c r="G3766" s="48" t="str">
        <f>_xlfn.XLOOKUP(Table134526_79101120212223242526[[#This Row],[Name Surname]],Manpower!$C$4:$C$1048576,Manpower!$F$4:$F$1048576,"")</f>
        <v>Helper</v>
      </c>
      <c r="H3766" s="48" t="str">
        <f>_xlfn.XLOOKUP(Table134526_79101120212223242526[[#This Row],[Name Surname]],Manpower!$C$4:$C$1048576,Manpower!$H$4:$H$1048576,"")</f>
        <v>Manpower</v>
      </c>
      <c r="I3766" s="48" t="str">
        <f>_xlfn.XLOOKUP(Table134526_79101120212223242526[[#This Row],[Name Surname]],Manpower!$C$4:$C$1048576,Manpower!$H$4:$H$1048576,"")</f>
        <v>Manpower</v>
      </c>
      <c r="J3766" s="51" t="s">
        <v>143</v>
      </c>
      <c r="K3766" s="43" t="s">
        <v>26</v>
      </c>
      <c r="L3766" s="51" t="s">
        <v>435</v>
      </c>
      <c r="M3766" s="51" t="s">
        <v>24</v>
      </c>
      <c r="N3766" s="52">
        <v>10</v>
      </c>
      <c r="O3766" s="43" t="s">
        <v>40</v>
      </c>
      <c r="P3766" s="43" t="s">
        <v>42</v>
      </c>
      <c r="Q3766" s="43" t="s">
        <v>42</v>
      </c>
      <c r="R3766" s="51" t="s">
        <v>444</v>
      </c>
      <c r="S3766" s="43"/>
    </row>
    <row r="3767" spans="1:19" ht="14.4" hidden="1">
      <c r="A3767" s="38">
        <f>IF(C3767="","",MAX($A$1:A3766)+1)</f>
        <v>3451</v>
      </c>
      <c r="B3767" s="66" t="s">
        <v>141</v>
      </c>
      <c r="C3767" s="60">
        <v>46111</v>
      </c>
      <c r="D3767" s="61" t="str">
        <f>_xlfn.XLOOKUP(Table134526_79101120212223242526[[#This Row],[Name Surname]],Manpower!$C$4:$C$1048576,Manpower!$B$4:$B$1048576,"")</f>
        <v>Encogroup</v>
      </c>
      <c r="E3767" s="57" t="s">
        <v>264</v>
      </c>
      <c r="F3767" s="12">
        <f>_xlfn.XLOOKUP(Table134526_79101120212223242526[[#This Row],[Name Surname]],Manpower!C:C,Manpower!D:D,)</f>
        <v>141365061</v>
      </c>
      <c r="G3767" s="61" t="str">
        <f>_xlfn.XLOOKUP(Table134526_79101120212223242526[[#This Row],[Name Surname]],Manpower!$C$4:$C$1048576,Manpower!$F$4:$F$1048576,"")</f>
        <v>Helper</v>
      </c>
      <c r="H3767" s="61" t="str">
        <f>_xlfn.XLOOKUP(Table134526_79101120212223242526[[#This Row],[Name Surname]],Manpower!$C$4:$C$1048576,Manpower!$H$4:$H$1048576,"")</f>
        <v>Manpower</v>
      </c>
      <c r="I3767" s="61" t="str">
        <f>_xlfn.XLOOKUP(Table134526_79101120212223242526[[#This Row],[Name Surname]],Manpower!$C$4:$C$1048576,Manpower!$H$4:$H$1048576,"")</f>
        <v>Manpower</v>
      </c>
      <c r="J3767" s="57" t="s">
        <v>143</v>
      </c>
      <c r="K3767" s="21" t="s">
        <v>26</v>
      </c>
      <c r="L3767" s="57" t="s">
        <v>435</v>
      </c>
      <c r="M3767" s="57" t="s">
        <v>24</v>
      </c>
      <c r="N3767" s="62">
        <v>10</v>
      </c>
      <c r="O3767" s="21" t="s">
        <v>40</v>
      </c>
      <c r="P3767" s="21" t="s">
        <v>42</v>
      </c>
      <c r="Q3767" s="21" t="s">
        <v>42</v>
      </c>
      <c r="R3767" s="57" t="s">
        <v>444</v>
      </c>
    </row>
    <row r="3768" spans="1:19" s="45" customFormat="1" ht="14.4" hidden="1">
      <c r="A3768" s="53">
        <f>IF(C3768="","",MAX($A$1:A3767)+1)</f>
        <v>3452</v>
      </c>
      <c r="B3768" s="54" t="s">
        <v>141</v>
      </c>
      <c r="C3768" s="55">
        <v>46111</v>
      </c>
      <c r="D3768" s="68" t="str">
        <f>_xlfn.XLOOKUP(Table134526_79101120212223242526[[#This Row],[Name Surname]],Manpower!$C$4:$C$1048576,Manpower!$B$4:$B$1048576,"")</f>
        <v>Encogroup</v>
      </c>
      <c r="E3768" s="51" t="s">
        <v>224</v>
      </c>
      <c r="F3768" s="12">
        <f>_xlfn.XLOOKUP(Table134526_79101120212223242526[[#This Row],[Name Surname]],Manpower!C:C,Manpower!D:D,)</f>
        <v>141365094</v>
      </c>
      <c r="G3768" s="68" t="str">
        <f>_xlfn.XLOOKUP(Table134526_79101120212223242526[[#This Row],[Name Surname]],Manpower!$C$4:$C$1048576,Manpower!$F$4:$F$1048576,"")</f>
        <v>Helper</v>
      </c>
      <c r="H3768" s="68" t="str">
        <f>_xlfn.XLOOKUP(Table134526_79101120212223242526[[#This Row],[Name Surname]],Manpower!$C$4:$C$1048576,Manpower!$H$4:$H$1048576,"")</f>
        <v>Manpower</v>
      </c>
      <c r="I3768" s="68" t="str">
        <f>_xlfn.XLOOKUP(Table134526_79101120212223242526[[#This Row],[Name Surname]],Manpower!$C$4:$C$1048576,Manpower!$H$4:$H$1048576,"")</f>
        <v>Manpower</v>
      </c>
      <c r="J3768" s="51" t="s">
        <v>143</v>
      </c>
      <c r="K3768" s="43" t="s">
        <v>26</v>
      </c>
      <c r="L3768" s="51" t="s">
        <v>435</v>
      </c>
      <c r="M3768" s="51" t="s">
        <v>24</v>
      </c>
      <c r="N3768" s="52">
        <v>10</v>
      </c>
      <c r="O3768" s="43" t="s">
        <v>40</v>
      </c>
      <c r="P3768" s="43" t="s">
        <v>42</v>
      </c>
      <c r="Q3768" s="43" t="s">
        <v>42</v>
      </c>
      <c r="R3768" s="51" t="s">
        <v>444</v>
      </c>
      <c r="S3768" s="43"/>
    </row>
    <row r="3769" spans="1:19" ht="14.4" hidden="1">
      <c r="A3769" s="38">
        <f>IF(C3769="","",MAX($A$1:A3768)+1)</f>
        <v>3453</v>
      </c>
      <c r="B3769" s="69" t="s">
        <v>19</v>
      </c>
      <c r="C3769" s="60">
        <v>46112</v>
      </c>
      <c r="D3769" s="61" t="str">
        <f>_xlfn.XLOOKUP(Table134526_79101120212223242526[[#This Row],[Name Surname]],Manpower!$C$4:$C$1048576,Manpower!$B$4:$B$1048576,"")</f>
        <v>Encogroup</v>
      </c>
      <c r="E3769" s="57" t="s">
        <v>30</v>
      </c>
      <c r="F3769" s="12">
        <f>_xlfn.XLOOKUP(Table134526_79101120212223242526[[#This Row],[Name Surname]],Manpower!C:C,Manpower!D:D,)</f>
        <v>116589569</v>
      </c>
      <c r="G3769" s="61" t="str">
        <f>_xlfn.XLOOKUP(Table134526_79101120212223242526[[#This Row],[Name Surname]],Manpower!$C$4:$C$1048576,Manpower!$F$4:$F$1048576,"")</f>
        <v>Mechanical Engineer</v>
      </c>
      <c r="H3769" s="61" t="str">
        <f>_xlfn.XLOOKUP(Table134526_79101120212223242526[[#This Row],[Name Surname]],Manpower!$C$4:$C$1048576,Manpower!$H$4:$H$1048576,"")</f>
        <v>Manpower</v>
      </c>
      <c r="I3769" s="28" t="str">
        <f>_xlfn.XLOOKUP(Table134526_79101120212223242526[[#This Row],[Name Surname]],Manpower!$C$4:$C$1048576,Manpower!$H$4:$H$1048576,"")</f>
        <v>Manpower</v>
      </c>
      <c r="J3769" s="21" t="s">
        <v>21</v>
      </c>
      <c r="K3769" s="57" t="s">
        <v>369</v>
      </c>
      <c r="L3769" s="57" t="s">
        <v>49</v>
      </c>
      <c r="M3769" s="57" t="s">
        <v>55</v>
      </c>
      <c r="N3769" s="62">
        <v>10</v>
      </c>
      <c r="O3769" s="57"/>
      <c r="P3769" s="57"/>
      <c r="Q3769" s="57"/>
      <c r="R3769" s="57" t="s">
        <v>449</v>
      </c>
    </row>
    <row r="3770" spans="1:19" ht="14.4">
      <c r="A3770" s="38">
        <f>IF(C3770="","",MAX($A$1:A3769)+1)</f>
        <v>3454</v>
      </c>
      <c r="B3770" s="69" t="s">
        <v>19</v>
      </c>
      <c r="C3770" s="60">
        <v>46112</v>
      </c>
      <c r="D3770" s="61" t="str">
        <f>_xlfn.XLOOKUP(Table134526_79101120212223242526[[#This Row],[Name Surname]],Manpower!$C$4:$C$1048576,Manpower!$B$4:$B$1048576,"")</f>
        <v>Al Jaber Heavy Lift</v>
      </c>
      <c r="E3770" s="57" t="s">
        <v>371</v>
      </c>
      <c r="F3770" s="12" t="e">
        <f>_xlfn.XLOOKUP(Table134526_79101120212223242526[[#This Row],[Name Surname]],Manpower!C:C,Manpower!D:D,)</f>
        <v>#N/A</v>
      </c>
      <c r="G3770" s="61" t="str">
        <f>_xlfn.XLOOKUP(Table134526_79101120212223242526[[#This Row],[Name Surname]],Manpower!$C$4:$C$1048576,Manpower!$F$4:$F$1048576,"")</f>
        <v>70T Crawler Crane</v>
      </c>
      <c r="H3770" s="61" t="str">
        <f>_xlfn.XLOOKUP(Table134526_79101120212223242526[[#This Row],[Name Surname]],Manpower!$C$4:$C$1048576,Manpower!$H$4:$H$1048576,"")</f>
        <v>Equipment</v>
      </c>
      <c r="I3770" s="28" t="str">
        <f>_xlfn.XLOOKUP(Table134526_79101120212223242526[[#This Row],[Name Surname]],Manpower!$C$4:$C$1048576,Manpower!$H$4:$H$1048576,"")</f>
        <v>Equipment</v>
      </c>
      <c r="J3770" s="21" t="s">
        <v>21</v>
      </c>
      <c r="K3770" s="57" t="s">
        <v>369</v>
      </c>
      <c r="L3770" s="57" t="s">
        <v>49</v>
      </c>
      <c r="M3770" s="57" t="s">
        <v>55</v>
      </c>
      <c r="N3770" s="62">
        <v>10</v>
      </c>
      <c r="O3770" s="57"/>
      <c r="P3770" s="57"/>
      <c r="Q3770" s="57"/>
      <c r="R3770" s="57" t="s">
        <v>449</v>
      </c>
    </row>
    <row r="3771" spans="1:19" s="45" customFormat="1" ht="14.4" hidden="1">
      <c r="A3771" s="53">
        <f>IF(C3771="","",MAX($A$1:A3770)+1)</f>
        <v>3455</v>
      </c>
      <c r="B3771" s="54" t="s">
        <v>19</v>
      </c>
      <c r="C3771" s="55">
        <v>46112</v>
      </c>
      <c r="D3771" s="68" t="str">
        <f>_xlfn.XLOOKUP(Table134526_79101120212223242526[[#This Row],[Name Surname]],Manpower!$C$4:$C$1048576,Manpower!$B$4:$B$1048576,"")</f>
        <v>Al Jaber Heavy Lift</v>
      </c>
      <c r="E3771" s="51" t="s">
        <v>164</v>
      </c>
      <c r="F3771" s="12">
        <f>_xlfn.XLOOKUP(Table134526_79101120212223242526[[#This Row],[Name Surname]],Manpower!C:C,Manpower!D:D,)</f>
        <v>112778626</v>
      </c>
      <c r="G3771" s="68" t="str">
        <f>_xlfn.XLOOKUP(Table134526_79101120212223242526[[#This Row],[Name Surname]],Manpower!$C$4:$C$1048576,Manpower!$F$4:$F$1048576,"")</f>
        <v>Crane Operator-150T Hitachi Crawler</v>
      </c>
      <c r="H3771" s="68" t="str">
        <f>_xlfn.XLOOKUP(Table134526_79101120212223242526[[#This Row],[Name Surname]],Manpower!$C$4:$C$1048576,Manpower!$H$4:$H$1048576,"")</f>
        <v>Manpower</v>
      </c>
      <c r="I3771" s="48" t="str">
        <f>_xlfn.XLOOKUP(Table134526_79101120212223242526[[#This Row],[Name Surname]],Manpower!$C$4:$C$1048576,Manpower!$H$4:$H$1048576,"")</f>
        <v>Manpower</v>
      </c>
      <c r="J3771" s="43" t="s">
        <v>21</v>
      </c>
      <c r="K3771" s="51" t="s">
        <v>369</v>
      </c>
      <c r="L3771" s="51" t="s">
        <v>49</v>
      </c>
      <c r="M3771" s="51" t="s">
        <v>55</v>
      </c>
      <c r="N3771" s="52">
        <v>10</v>
      </c>
      <c r="O3771" s="51"/>
      <c r="P3771" s="51"/>
      <c r="Q3771" s="51"/>
      <c r="R3771" s="51" t="s">
        <v>449</v>
      </c>
      <c r="S3771" s="43"/>
    </row>
    <row r="3772" spans="1:19" ht="14.4">
      <c r="A3772" s="38">
        <f>IF(C3772="","",MAX($A$1:A3771)+1)</f>
        <v>3456</v>
      </c>
      <c r="B3772" s="69" t="s">
        <v>19</v>
      </c>
      <c r="C3772" s="60">
        <v>46112</v>
      </c>
      <c r="D3772" s="61" t="str">
        <f>_xlfn.XLOOKUP(Table134526_79101120212223242526[[#This Row],[Name Surname]],Manpower!$C$4:$C$1048576,Manpower!$B$4:$B$1048576,"")</f>
        <v>Al Jaber Heavy Lift</v>
      </c>
      <c r="E3772" s="57" t="s">
        <v>151</v>
      </c>
      <c r="F3772" s="12" t="e">
        <f>_xlfn.XLOOKUP(Table134526_79101120212223242526[[#This Row],[Name Surname]],Manpower!C:C,Manpower!D:D,)</f>
        <v>#N/A</v>
      </c>
      <c r="G3772" s="61" t="str">
        <f>_xlfn.XLOOKUP(Table134526_79101120212223242526[[#This Row],[Name Surname]],Manpower!$C$4:$C$1048576,Manpower!$F$4:$F$1048576,"")</f>
        <v>150T-Crawler Crane</v>
      </c>
      <c r="H3772" s="61" t="str">
        <f>_xlfn.XLOOKUP(Table134526_79101120212223242526[[#This Row],[Name Surname]],Manpower!$C$4:$C$1048576,Manpower!$H$4:$H$1048576,"")</f>
        <v>Equipment</v>
      </c>
      <c r="I3772" s="28" t="str">
        <f>_xlfn.XLOOKUP(Table134526_79101120212223242526[[#This Row],[Name Surname]],Manpower!$C$4:$C$1048576,Manpower!$H$4:$H$1048576,"")</f>
        <v>Equipment</v>
      </c>
      <c r="J3772" s="21" t="s">
        <v>21</v>
      </c>
      <c r="K3772" s="57" t="s">
        <v>369</v>
      </c>
      <c r="L3772" s="57" t="s">
        <v>49</v>
      </c>
      <c r="M3772" s="57" t="s">
        <v>55</v>
      </c>
      <c r="N3772" s="62">
        <v>10</v>
      </c>
      <c r="O3772" s="57"/>
      <c r="P3772" s="57"/>
      <c r="Q3772" s="57"/>
      <c r="R3772" s="57" t="s">
        <v>449</v>
      </c>
    </row>
    <row r="3773" spans="1:19" s="45" customFormat="1" ht="14.4" hidden="1">
      <c r="A3773" s="53">
        <f>IF(C3773="","",MAX($A$1:A3772)+1)</f>
        <v>3457</v>
      </c>
      <c r="B3773" s="54" t="s">
        <v>19</v>
      </c>
      <c r="C3773" s="55">
        <v>46112</v>
      </c>
      <c r="D3773" s="68" t="str">
        <f>_xlfn.XLOOKUP(Table134526_79101120212223242526[[#This Row],[Name Surname]],Manpower!$C$4:$C$1048576,Manpower!$B$4:$B$1048576,"")</f>
        <v>Al Jaber Heavy Lift</v>
      </c>
      <c r="E3773" s="51" t="s">
        <v>275</v>
      </c>
      <c r="F3773" s="12">
        <f>_xlfn.XLOOKUP(Table134526_79101120212223242526[[#This Row],[Name Surname]],Manpower!C:C,Manpower!D:D,)</f>
        <v>116448869</v>
      </c>
      <c r="G3773" s="68" t="str">
        <f>_xlfn.XLOOKUP(Table134526_79101120212223242526[[#This Row],[Name Surname]],Manpower!$C$4:$C$1048576,Manpower!$F$4:$F$1048576,"")</f>
        <v xml:space="preserve">Crane Operator </v>
      </c>
      <c r="H3773" s="68" t="str">
        <f>_xlfn.XLOOKUP(Table134526_79101120212223242526[[#This Row],[Name Surname]],Manpower!$C$4:$C$1048576,Manpower!$H$4:$H$1048576,"")</f>
        <v>Manpower</v>
      </c>
      <c r="I3773" s="48" t="str">
        <f>_xlfn.XLOOKUP(Table134526_79101120212223242526[[#This Row],[Name Surname]],Manpower!$C$4:$C$1048576,Manpower!$H$4:$H$1048576,"")</f>
        <v>Manpower</v>
      </c>
      <c r="J3773" s="43" t="s">
        <v>21</v>
      </c>
      <c r="K3773" s="51" t="s">
        <v>369</v>
      </c>
      <c r="L3773" s="51" t="s">
        <v>49</v>
      </c>
      <c r="M3773" s="51" t="s">
        <v>55</v>
      </c>
      <c r="N3773" s="52">
        <v>10</v>
      </c>
      <c r="O3773" s="51"/>
      <c r="P3773" s="51"/>
      <c r="Q3773" s="51"/>
      <c r="R3773" s="51" t="s">
        <v>449</v>
      </c>
      <c r="S3773" s="43"/>
    </row>
    <row r="3774" spans="1:19" s="45" customFormat="1" ht="15" hidden="1" customHeight="1">
      <c r="A3774" s="53">
        <f>IF(C3774="","",MAX($A$1:A3773)+1)</f>
        <v>3458</v>
      </c>
      <c r="B3774" s="54" t="s">
        <v>19</v>
      </c>
      <c r="C3774" s="55">
        <v>46112</v>
      </c>
      <c r="D3774" s="68" t="str">
        <f>_xlfn.XLOOKUP(Table134526_79101120212223242526[[#This Row],[Name Surname]],Manpower!$C$4:$C$1048576,Manpower!$B$4:$B$1048576,"")</f>
        <v>Encogroup</v>
      </c>
      <c r="E3774" s="51" t="s">
        <v>72</v>
      </c>
      <c r="F3774" s="12">
        <f>_xlfn.XLOOKUP(Table134526_79101120212223242526[[#This Row],[Name Surname]],Manpower!C:C,Manpower!D:D,)</f>
        <v>140764706</v>
      </c>
      <c r="G3774" s="68" t="str">
        <f>_xlfn.XLOOKUP(Table134526_79101120212223242526[[#This Row],[Name Surname]],Manpower!$C$4:$C$1048576,Manpower!$F$4:$F$1048576,"")</f>
        <v>Rigger</v>
      </c>
      <c r="H3774" s="68" t="str">
        <f>_xlfn.XLOOKUP(Table134526_79101120212223242526[[#This Row],[Name Surname]],Manpower!$C$4:$C$1048576,Manpower!$H$4:$H$1048576,"")</f>
        <v>Manpower</v>
      </c>
      <c r="I3774" s="48" t="str">
        <f>_xlfn.XLOOKUP(Table134526_79101120212223242526[[#This Row],[Name Surname]],Manpower!$C$4:$C$1048576,Manpower!$H$4:$H$1048576,"")</f>
        <v>Manpower</v>
      </c>
      <c r="J3774" s="43" t="s">
        <v>21</v>
      </c>
      <c r="K3774" s="51" t="s">
        <v>369</v>
      </c>
      <c r="L3774" s="51" t="s">
        <v>49</v>
      </c>
      <c r="M3774" s="51" t="s">
        <v>55</v>
      </c>
      <c r="N3774" s="52">
        <v>10</v>
      </c>
      <c r="O3774" s="51"/>
      <c r="P3774" s="51"/>
      <c r="Q3774" s="51"/>
      <c r="R3774" s="51" t="s">
        <v>449</v>
      </c>
      <c r="S3774" s="43"/>
    </row>
    <row r="3775" spans="1:19" s="45" customFormat="1" ht="14.4" hidden="1">
      <c r="A3775" s="53">
        <f>IF(C3775="","",MAX($A$1:A3774)+1)</f>
        <v>3459</v>
      </c>
      <c r="B3775" s="54" t="s">
        <v>19</v>
      </c>
      <c r="C3775" s="55">
        <v>46112</v>
      </c>
      <c r="D3775" s="48" t="str">
        <f>_xlfn.XLOOKUP(Table134526_79101120212223242526[[#This Row],[Name Surname]],Manpower!$C$4:$C$1048576,Manpower!$B$4:$B$1048576,"")</f>
        <v>AL Omar International TRAD AND CONT</v>
      </c>
      <c r="E3775" s="43" t="s">
        <v>197</v>
      </c>
      <c r="F3775" s="12">
        <f>_xlfn.XLOOKUP(Table134526_79101120212223242526[[#This Row],[Name Surname]],Manpower!C:C,Manpower!D:D,)</f>
        <v>106093463</v>
      </c>
      <c r="G3775" s="48" t="str">
        <f>_xlfn.XLOOKUP(Table134526_79101120212223242526[[#This Row],[Name Surname]],Manpower!$C$4:$C$1048576,Manpower!$F$4:$F$1048576,"")</f>
        <v>RIgger</v>
      </c>
      <c r="H3775" s="48" t="str">
        <f>_xlfn.XLOOKUP(Table134526_79101120212223242526[[#This Row],[Name Surname]],Manpower!$C$4:$C$1048576,Manpower!$H$4:$H$1048576,"")</f>
        <v>Sub Contactor</v>
      </c>
      <c r="I3775" s="48" t="str">
        <f>_xlfn.XLOOKUP(Table134526_79101120212223242526[[#This Row],[Name Surname]],Manpower!$C$4:$C$1048576,Manpower!$H$4:$H$1048576,"")</f>
        <v>Sub Contactor</v>
      </c>
      <c r="J3775" s="43" t="s">
        <v>21</v>
      </c>
      <c r="K3775" s="51" t="s">
        <v>369</v>
      </c>
      <c r="L3775" s="51" t="s">
        <v>49</v>
      </c>
      <c r="M3775" s="51" t="s">
        <v>55</v>
      </c>
      <c r="N3775" s="52">
        <v>3</v>
      </c>
      <c r="O3775" s="43"/>
      <c r="P3775" s="43"/>
      <c r="Q3775" s="43"/>
      <c r="R3775" s="51" t="s">
        <v>449</v>
      </c>
      <c r="S3775" s="43"/>
    </row>
    <row r="3776" spans="1:19" s="45" customFormat="1" ht="14.4" hidden="1">
      <c r="A3776" s="53">
        <f>IF(C3776="","",MAX($A$1:A3775)+1)</f>
        <v>3460</v>
      </c>
      <c r="B3776" s="54" t="s">
        <v>19</v>
      </c>
      <c r="C3776" s="55">
        <v>46112</v>
      </c>
      <c r="D3776" s="48" t="str">
        <f>_xlfn.XLOOKUP(Table134526_79101120212223242526[[#This Row],[Name Surname]],Manpower!$C$4:$C$1048576,Manpower!$B$4:$B$1048576,"")</f>
        <v>Encogroup</v>
      </c>
      <c r="E3776" s="43" t="s">
        <v>37</v>
      </c>
      <c r="F3776" s="12">
        <f>_xlfn.XLOOKUP(Table134526_79101120212223242526[[#This Row],[Name Surname]],Manpower!C:C,Manpower!D:D,)</f>
        <v>140742088</v>
      </c>
      <c r="G3776" s="48" t="str">
        <f>_xlfn.XLOOKUP(Table134526_79101120212223242526[[#This Row],[Name Surname]],Manpower!$C$4:$C$1048576,Manpower!$F$4:$F$1048576,"")</f>
        <v>Fitter/Erector</v>
      </c>
      <c r="H3776" s="48" t="str">
        <f>_xlfn.XLOOKUP(Table134526_79101120212223242526[[#This Row],[Name Surname]],Manpower!$C$4:$C$1048576,Manpower!$H$4:$H$1048576,"")</f>
        <v>Manpower</v>
      </c>
      <c r="I3776" s="48" t="str">
        <f>_xlfn.XLOOKUP(Table134526_79101120212223242526[[#This Row],[Name Surname]],Manpower!$C$4:$C$1048576,Manpower!$H$4:$H$1048576,"")</f>
        <v>Manpower</v>
      </c>
      <c r="J3776" s="43" t="s">
        <v>21</v>
      </c>
      <c r="K3776" s="51" t="s">
        <v>369</v>
      </c>
      <c r="L3776" s="51" t="s">
        <v>49</v>
      </c>
      <c r="M3776" s="51" t="s">
        <v>55</v>
      </c>
      <c r="N3776" s="52">
        <v>5</v>
      </c>
      <c r="O3776" s="43"/>
      <c r="P3776" s="43"/>
      <c r="Q3776" s="43"/>
      <c r="R3776" s="51" t="s">
        <v>449</v>
      </c>
      <c r="S3776" s="43"/>
    </row>
    <row r="3777" spans="1:19" s="45" customFormat="1" ht="14.4" hidden="1">
      <c r="A3777" s="53">
        <f>IF(C3777="","",MAX($A$1:A3776)+1)</f>
        <v>3461</v>
      </c>
      <c r="B3777" s="54" t="s">
        <v>19</v>
      </c>
      <c r="C3777" s="55">
        <v>46112</v>
      </c>
      <c r="D3777" s="48" t="str">
        <f>_xlfn.XLOOKUP(Table134526_79101120212223242526[[#This Row],[Name Surname]],Manpower!$C$4:$C$1048576,Manpower!$B$4:$B$1048576,"")</f>
        <v>Encogroup</v>
      </c>
      <c r="E3777" s="43" t="s">
        <v>67</v>
      </c>
      <c r="F3777" s="12">
        <f>_xlfn.XLOOKUP(Table134526_79101120212223242526[[#This Row],[Name Surname]],Manpower!C:C,Manpower!D:D,)</f>
        <v>122082769</v>
      </c>
      <c r="G3777" s="48" t="str">
        <f>_xlfn.XLOOKUP(Table134526_79101120212223242526[[#This Row],[Name Surname]],Manpower!$C$4:$C$1048576,Manpower!$F$4:$F$1048576,"")</f>
        <v>Grinder</v>
      </c>
      <c r="H3777" s="48" t="str">
        <f>_xlfn.XLOOKUP(Table134526_79101120212223242526[[#This Row],[Name Surname]],Manpower!$C$4:$C$1048576,Manpower!$H$4:$H$1048576,"")</f>
        <v>Manpower</v>
      </c>
      <c r="I3777" s="48" t="str">
        <f>_xlfn.XLOOKUP(Table134526_79101120212223242526[[#This Row],[Name Surname]],Manpower!$C$4:$C$1048576,Manpower!$H$4:$H$1048576,"")</f>
        <v>Manpower</v>
      </c>
      <c r="J3777" s="43" t="s">
        <v>21</v>
      </c>
      <c r="K3777" s="51" t="s">
        <v>369</v>
      </c>
      <c r="L3777" s="51" t="s">
        <v>49</v>
      </c>
      <c r="M3777" s="51" t="s">
        <v>55</v>
      </c>
      <c r="N3777" s="52">
        <v>10</v>
      </c>
      <c r="O3777" s="43"/>
      <c r="P3777" s="43"/>
      <c r="Q3777" s="43"/>
      <c r="R3777" s="51" t="s">
        <v>449</v>
      </c>
      <c r="S3777" s="43"/>
    </row>
    <row r="3778" spans="1:19" s="45" customFormat="1" ht="14.4" hidden="1">
      <c r="A3778" s="53">
        <f>IF(C3778="","",MAX($A$1:A3774)+1)</f>
        <v>3459</v>
      </c>
      <c r="B3778" s="54" t="s">
        <v>19</v>
      </c>
      <c r="C3778" s="55">
        <v>46112</v>
      </c>
      <c r="D3778" s="48" t="str">
        <f>_xlfn.XLOOKUP(Table134526_79101120212223242526[[#This Row],[Name Surname]],Manpower!$C$4:$C$1048576,Manpower!$B$4:$B$1048576,"")</f>
        <v>Al Jaber Heavy Lift</v>
      </c>
      <c r="E3778" s="43" t="s">
        <v>311</v>
      </c>
      <c r="F3778" s="12" t="e">
        <f>_xlfn.XLOOKUP(Table134526_79101120212223242526[[#This Row],[Name Surname]],Manpower!C:C,Manpower!D:D,)</f>
        <v>#N/A</v>
      </c>
      <c r="G3778" s="48" t="str">
        <f>_xlfn.XLOOKUP(Table134526_79101120212223242526[[#This Row],[Name Surname]],Manpower!$C$4:$C$1048576,Manpower!$F$4:$F$1048576,"")</f>
        <v>Technician</v>
      </c>
      <c r="H3778" s="48" t="str">
        <f>_xlfn.XLOOKUP(Table134526_79101120212223242526[[#This Row],[Name Surname]],Manpower!$C$4:$C$1048576,Manpower!$H$4:$H$1048576,"")</f>
        <v>Manpower</v>
      </c>
      <c r="I3778" s="48" t="str">
        <f>_xlfn.XLOOKUP(Table134526_79101120212223242526[[#This Row],[Name Surname]],Manpower!$C$4:$C$1048576,Manpower!$H$4:$H$1048576,"")</f>
        <v>Manpower</v>
      </c>
      <c r="J3778" s="43" t="s">
        <v>21</v>
      </c>
      <c r="K3778" s="51" t="s">
        <v>369</v>
      </c>
      <c r="L3778" s="51" t="s">
        <v>49</v>
      </c>
      <c r="M3778" s="51" t="s">
        <v>55</v>
      </c>
      <c r="N3778" s="52">
        <v>10</v>
      </c>
      <c r="O3778" s="43"/>
      <c r="P3778" s="43"/>
      <c r="Q3778" s="43"/>
      <c r="R3778" s="51" t="s">
        <v>449</v>
      </c>
      <c r="S3778" s="43"/>
    </row>
    <row r="3779" spans="1:19" s="45" customFormat="1" ht="14.4" hidden="1">
      <c r="A3779" s="53">
        <f>IF(C3779="","",MAX($A$1:A3778)+1)</f>
        <v>3462</v>
      </c>
      <c r="B3779" s="54" t="s">
        <v>19</v>
      </c>
      <c r="C3779" s="55">
        <v>46112</v>
      </c>
      <c r="D3779" s="48" t="str">
        <f>_xlfn.XLOOKUP(Table134526_79101120212223242526[[#This Row],[Name Surname]],Manpower!$C$4:$C$1048576,Manpower!$B$4:$B$1048576,"")</f>
        <v>Al Jaber Heavy Lift</v>
      </c>
      <c r="E3779" s="43" t="s">
        <v>276</v>
      </c>
      <c r="F3779" s="12" t="str">
        <f>_xlfn.XLOOKUP(Table134526_79101120212223242526[[#This Row],[Name Surname]],Manpower!C:C,Manpower!D:D,)</f>
        <v>102607563</v>
      </c>
      <c r="G3779" s="48" t="str">
        <f>_xlfn.XLOOKUP(Table134526_79101120212223242526[[#This Row],[Name Surname]],Manpower!$C$4:$C$1048576,Manpower!$F$4:$F$1048576,"")</f>
        <v>Technician</v>
      </c>
      <c r="H3779" s="48" t="str">
        <f>_xlfn.XLOOKUP(Table134526_79101120212223242526[[#This Row],[Name Surname]],Manpower!$C$4:$C$1048576,Manpower!$H$4:$H$1048576,"")</f>
        <v>Manpower</v>
      </c>
      <c r="I3779" s="48" t="str">
        <f>_xlfn.XLOOKUP(Table134526_79101120212223242526[[#This Row],[Name Surname]],Manpower!$C$4:$C$1048576,Manpower!$H$4:$H$1048576,"")</f>
        <v>Manpower</v>
      </c>
      <c r="J3779" s="43" t="s">
        <v>21</v>
      </c>
      <c r="K3779" s="51" t="s">
        <v>369</v>
      </c>
      <c r="L3779" s="51" t="s">
        <v>49</v>
      </c>
      <c r="M3779" s="51" t="s">
        <v>55</v>
      </c>
      <c r="N3779" s="52">
        <v>10</v>
      </c>
      <c r="O3779" s="43"/>
      <c r="P3779" s="43"/>
      <c r="Q3779" s="43"/>
      <c r="R3779" s="51" t="s">
        <v>449</v>
      </c>
      <c r="S3779" s="43"/>
    </row>
    <row r="3780" spans="1:19" s="45" customFormat="1" ht="13.95" hidden="1" customHeight="1">
      <c r="A3780" s="53">
        <f>IF(C3780="","",MAX($A$1:A3774)+1)</f>
        <v>3459</v>
      </c>
      <c r="B3780" s="54" t="s">
        <v>19</v>
      </c>
      <c r="C3780" s="55">
        <v>46112</v>
      </c>
      <c r="D3780" s="48" t="str">
        <f>_xlfn.XLOOKUP(Table134526_79101120212223242526[[#This Row],[Name Surname]],Manpower!$C$4:$C$1048576,Manpower!$B$4:$B$1048576,"")</f>
        <v>Bright Light</v>
      </c>
      <c r="E3780" s="43" t="s">
        <v>165</v>
      </c>
      <c r="F3780" s="12">
        <f>_xlfn.XLOOKUP(Table134526_79101120212223242526[[#This Row],[Name Surname]],Manpower!C:C,Manpower!D:D,)</f>
        <v>122771611</v>
      </c>
      <c r="G3780" s="48" t="str">
        <f>_xlfn.XLOOKUP(Table134526_79101120212223242526[[#This Row],[Name Surname]],Manpower!$C$4:$C$1048576,Manpower!$F$4:$F$1048576,"")</f>
        <v>Mechanic</v>
      </c>
      <c r="H3780" s="48" t="str">
        <f>_xlfn.XLOOKUP(Table134526_79101120212223242526[[#This Row],[Name Surname]],Manpower!$C$4:$C$1048576,Manpower!$H$4:$H$1048576,"")</f>
        <v>Sub Contactor</v>
      </c>
      <c r="I3780" s="48" t="str">
        <f>_xlfn.XLOOKUP(Table134526_79101120212223242526[[#This Row],[Name Surname]],Manpower!$C$4:$C$1048576,Manpower!$H$4:$H$1048576,"")</f>
        <v>Sub Contactor</v>
      </c>
      <c r="J3780" s="43" t="s">
        <v>21</v>
      </c>
      <c r="K3780" s="51" t="s">
        <v>369</v>
      </c>
      <c r="L3780" s="51" t="s">
        <v>49</v>
      </c>
      <c r="M3780" s="51" t="s">
        <v>55</v>
      </c>
      <c r="N3780" s="52">
        <v>10</v>
      </c>
      <c r="O3780" s="43"/>
      <c r="P3780" s="43"/>
      <c r="Q3780" s="43"/>
      <c r="R3780" s="51" t="s">
        <v>449</v>
      </c>
      <c r="S3780" s="43"/>
    </row>
    <row r="3781" spans="1:19" s="45" customFormat="1" ht="14.4" hidden="1">
      <c r="A3781" s="53">
        <f>IF(C3781="","",MAX($A$1:A3774)+1)</f>
        <v>3459</v>
      </c>
      <c r="B3781" s="54" t="s">
        <v>19</v>
      </c>
      <c r="C3781" s="55">
        <v>46112</v>
      </c>
      <c r="D3781" s="48" t="str">
        <f>_xlfn.XLOOKUP(Table134526_79101120212223242526[[#This Row],[Name Surname]],Manpower!$C$4:$C$1048576,Manpower!$B$4:$B$1048576,"")</f>
        <v>Bright Light</v>
      </c>
      <c r="E3781" s="43" t="s">
        <v>263</v>
      </c>
      <c r="F3781" s="12">
        <f>_xlfn.XLOOKUP(Table134526_79101120212223242526[[#This Row],[Name Surname]],Manpower!C:C,Manpower!D:D,)</f>
        <v>125287583</v>
      </c>
      <c r="G3781" s="48" t="str">
        <f>_xlfn.XLOOKUP(Table134526_79101120212223242526[[#This Row],[Name Surname]],Manpower!$C$4:$C$1048576,Manpower!$F$4:$F$1048576,"")</f>
        <v>Mechanic</v>
      </c>
      <c r="H3781" s="48" t="str">
        <f>_xlfn.XLOOKUP(Table134526_79101120212223242526[[#This Row],[Name Surname]],Manpower!$C$4:$C$1048576,Manpower!$H$4:$H$1048576,"")</f>
        <v>Sub Contactor</v>
      </c>
      <c r="I3781" s="48" t="str">
        <f>_xlfn.XLOOKUP(Table134526_79101120212223242526[[#This Row],[Name Surname]],Manpower!$C$4:$C$1048576,Manpower!$H$4:$H$1048576,"")</f>
        <v>Sub Contactor</v>
      </c>
      <c r="J3781" s="43" t="s">
        <v>21</v>
      </c>
      <c r="K3781" s="51" t="s">
        <v>369</v>
      </c>
      <c r="L3781" s="51" t="s">
        <v>49</v>
      </c>
      <c r="M3781" s="51" t="s">
        <v>55</v>
      </c>
      <c r="N3781" s="52">
        <v>10</v>
      </c>
      <c r="O3781" s="43"/>
      <c r="P3781" s="43"/>
      <c r="Q3781" s="43"/>
      <c r="R3781" s="51" t="s">
        <v>449</v>
      </c>
      <c r="S3781" s="43"/>
    </row>
    <row r="3782" spans="1:19" s="45" customFormat="1" ht="14.4" hidden="1">
      <c r="A3782" s="53">
        <f>IF(C3782="","",MAX($A$1:A3774)+1)</f>
        <v>3459</v>
      </c>
      <c r="B3782" s="54" t="s">
        <v>19</v>
      </c>
      <c r="C3782" s="55">
        <v>46112</v>
      </c>
      <c r="D3782" s="48" t="str">
        <f>_xlfn.XLOOKUP(Table134526_79101120212223242526[[#This Row],[Name Surname]],Manpower!$C$4:$C$1048576,Manpower!$B$4:$B$1048576,"")</f>
        <v>Encogroup</v>
      </c>
      <c r="E3782" s="43" t="s">
        <v>32</v>
      </c>
      <c r="F3782" s="12">
        <f>_xlfn.XLOOKUP(Table134526_79101120212223242526[[#This Row],[Name Surname]],Manpower!C:C,Manpower!D:D,)</f>
        <v>140697039</v>
      </c>
      <c r="G3782" s="48" t="str">
        <f>_xlfn.XLOOKUP(Table134526_79101120212223242526[[#This Row],[Name Surname]],Manpower!$C$4:$C$1048576,Manpower!$F$4:$F$1048576,"")</f>
        <v>Fitter/Erector</v>
      </c>
      <c r="H3782" s="48" t="str">
        <f>_xlfn.XLOOKUP(Table134526_79101120212223242526[[#This Row],[Name Surname]],Manpower!$C$4:$C$1048576,Manpower!$H$4:$H$1048576,"")</f>
        <v>Manpower</v>
      </c>
      <c r="I3782" s="48" t="str">
        <f>_xlfn.XLOOKUP(Table134526_79101120212223242526[[#This Row],[Name Surname]],Manpower!$C$4:$C$1048576,Manpower!$H$4:$H$1048576,"")</f>
        <v>Manpower</v>
      </c>
      <c r="J3782" s="43" t="s">
        <v>21</v>
      </c>
      <c r="K3782" s="51" t="s">
        <v>369</v>
      </c>
      <c r="L3782" s="51" t="s">
        <v>49</v>
      </c>
      <c r="M3782" s="51" t="s">
        <v>55</v>
      </c>
      <c r="N3782" s="52">
        <v>5</v>
      </c>
      <c r="O3782" s="43"/>
      <c r="P3782" s="43"/>
      <c r="Q3782" s="43"/>
      <c r="R3782" s="51" t="s">
        <v>449</v>
      </c>
      <c r="S3782" s="43"/>
    </row>
    <row r="3783" spans="1:19" s="45" customFormat="1" ht="14.4" hidden="1">
      <c r="A3783" s="53">
        <f>IF(C3783="","",MAX($A$1:A3782)+1)</f>
        <v>3463</v>
      </c>
      <c r="B3783" s="54" t="s">
        <v>19</v>
      </c>
      <c r="C3783" s="55">
        <v>46112</v>
      </c>
      <c r="D3783" s="48" t="str">
        <f>_xlfn.XLOOKUP(Table134526_79101120212223242526[[#This Row],[Name Surname]],Manpower!$C$4:$C$1048576,Manpower!$B$4:$B$1048576,"")</f>
        <v>Al Jaber Heavy Lift</v>
      </c>
      <c r="E3783" s="43" t="s">
        <v>310</v>
      </c>
      <c r="F3783" s="12">
        <f>_xlfn.XLOOKUP(Table134526_79101120212223242526[[#This Row],[Name Surname]],Manpower!C:C,Manpower!D:D,)</f>
        <v>113787454</v>
      </c>
      <c r="G3783" s="48" t="str">
        <f>_xlfn.XLOOKUP(Table134526_79101120212223242526[[#This Row],[Name Surname]],Manpower!$C$4:$C$1048576,Manpower!$F$4:$F$1048576,"")</f>
        <v>Crane Operator- 70T Crawler Crane- 02</v>
      </c>
      <c r="H3783" s="48" t="str">
        <f>_xlfn.XLOOKUP(Table134526_79101120212223242526[[#This Row],[Name Surname]],Manpower!$C$4:$C$1048576,Manpower!$H$4:$H$1048576,"")</f>
        <v>Manpower</v>
      </c>
      <c r="I3783" s="48" t="str">
        <f>_xlfn.XLOOKUP(Table134526_79101120212223242526[[#This Row],[Name Surname]],Manpower!$C$4:$C$1048576,Manpower!$H$4:$H$1048576,"")</f>
        <v>Manpower</v>
      </c>
      <c r="J3783" s="43" t="s">
        <v>21</v>
      </c>
      <c r="K3783" s="51" t="s">
        <v>369</v>
      </c>
      <c r="L3783" s="51" t="s">
        <v>49</v>
      </c>
      <c r="M3783" s="51" t="s">
        <v>55</v>
      </c>
      <c r="N3783" s="52">
        <v>10</v>
      </c>
      <c r="O3783" s="43"/>
      <c r="P3783" s="43"/>
      <c r="Q3783" s="43"/>
      <c r="R3783" s="51" t="s">
        <v>449</v>
      </c>
      <c r="S3783" s="43"/>
    </row>
    <row r="3784" spans="1:19" s="45" customFormat="1" ht="14.4" hidden="1">
      <c r="A3784" s="53">
        <f>IF(C3784="","",MAX($A$1:A3774)+1)</f>
        <v>3459</v>
      </c>
      <c r="B3784" s="54" t="s">
        <v>19</v>
      </c>
      <c r="C3784" s="55">
        <v>46112</v>
      </c>
      <c r="D3784" s="68" t="str">
        <f>_xlfn.XLOOKUP(Table134526_79101120212223242526[[#This Row],[Name Surname]],Manpower!$C$4:$C$1048576,Manpower!$B$4:$B$1048576,"")</f>
        <v>Encogroup</v>
      </c>
      <c r="E3784" s="51" t="s">
        <v>29</v>
      </c>
      <c r="F3784" s="12">
        <f>_xlfn.XLOOKUP(Table134526_79101120212223242526[[#This Row],[Name Surname]],Manpower!C:C,Manpower!D:D,)</f>
        <v>127331574</v>
      </c>
      <c r="G3784" s="68" t="str">
        <f>_xlfn.XLOOKUP(Table134526_79101120212223242526[[#This Row],[Name Surname]],Manpower!$C$4:$C$1048576,Manpower!$F$4:$F$1048576,"")</f>
        <v>Permit Receiver</v>
      </c>
      <c r="H3784" s="68" t="str">
        <f>_xlfn.XLOOKUP(Table134526_79101120212223242526[[#This Row],[Name Surname]],Manpower!$C$4:$C$1048576,Manpower!$H$4:$H$1048576,"")</f>
        <v>Manpower</v>
      </c>
      <c r="I3784" s="48" t="str">
        <f>_xlfn.XLOOKUP(Table134526_79101120212223242526[[#This Row],[Name Surname]],Manpower!$C$4:$C$1048576,Manpower!$H$4:$H$1048576,"")</f>
        <v>Manpower</v>
      </c>
      <c r="J3784" s="43" t="s">
        <v>21</v>
      </c>
      <c r="K3784" s="51" t="s">
        <v>369</v>
      </c>
      <c r="L3784" s="51" t="s">
        <v>49</v>
      </c>
      <c r="M3784" s="51" t="s">
        <v>55</v>
      </c>
      <c r="N3784" s="52">
        <v>10</v>
      </c>
      <c r="O3784" s="51"/>
      <c r="P3784" s="51"/>
      <c r="Q3784" s="51"/>
      <c r="R3784" s="51" t="s">
        <v>449</v>
      </c>
      <c r="S3784" s="43"/>
    </row>
    <row r="3785" spans="1:19" ht="14.4" hidden="1">
      <c r="A3785" s="38">
        <f>IF(C3785="","",MAX($A$1:A3784)+1)</f>
        <v>3464</v>
      </c>
      <c r="B3785" s="69" t="s">
        <v>19</v>
      </c>
      <c r="C3785" s="60">
        <v>46112</v>
      </c>
      <c r="D3785" s="61" t="str">
        <f>_xlfn.XLOOKUP(Table134526_79101120212223242526[[#This Row],[Name Surname]],Manpower!$C$4:$C$1048576,Manpower!$B$4:$B$1048576,"")</f>
        <v>Encogroup</v>
      </c>
      <c r="E3785" s="57" t="s">
        <v>31</v>
      </c>
      <c r="F3785" s="12">
        <f>_xlfn.XLOOKUP(Table134526_79101120212223242526[[#This Row],[Name Surname]],Manpower!C:C,Manpower!D:D,)</f>
        <v>99596058</v>
      </c>
      <c r="G3785" s="61" t="str">
        <f>_xlfn.XLOOKUP(Table134526_79101120212223242526[[#This Row],[Name Surname]],Manpower!$C$4:$C$1048576,Manpower!$F$4:$F$1048576,"")</f>
        <v>HSE Officer</v>
      </c>
      <c r="H3785" s="61" t="str">
        <f>_xlfn.XLOOKUP(Table134526_79101120212223242526[[#This Row],[Name Surname]],Manpower!$C$4:$C$1048576,Manpower!$H$4:$H$1048576,"")</f>
        <v>Manpower</v>
      </c>
      <c r="I3785" s="28" t="str">
        <f>_xlfn.XLOOKUP(Table134526_79101120212223242526[[#This Row],[Name Surname]],Manpower!$C$4:$C$1048576,Manpower!$H$4:$H$1048576,"")</f>
        <v>Manpower</v>
      </c>
      <c r="J3785" s="21" t="s">
        <v>21</v>
      </c>
      <c r="K3785" s="57" t="s">
        <v>369</v>
      </c>
      <c r="L3785" s="57" t="s">
        <v>49</v>
      </c>
      <c r="M3785" s="57" t="s">
        <v>55</v>
      </c>
      <c r="N3785" s="62">
        <v>10</v>
      </c>
      <c r="O3785" s="57"/>
      <c r="P3785" s="57"/>
      <c r="Q3785" s="57"/>
      <c r="R3785" s="57" t="s">
        <v>449</v>
      </c>
    </row>
    <row r="3786" spans="1:19" ht="14.4" hidden="1">
      <c r="A3786" s="38">
        <f>IF(C3786="","",MAX($A$1:A3785)+1)</f>
        <v>3465</v>
      </c>
      <c r="B3786" s="69" t="s">
        <v>19</v>
      </c>
      <c r="C3786" s="60">
        <v>46112</v>
      </c>
      <c r="D3786" s="61" t="str">
        <f>_xlfn.XLOOKUP(Table134526_79101120212223242526[[#This Row],[Name Surname]],Manpower!$C$4:$C$1048576,Manpower!$B$4:$B$1048576,"")</f>
        <v>AL Omar International TRAD AND CONT</v>
      </c>
      <c r="E3786" s="57" t="s">
        <v>36</v>
      </c>
      <c r="F3786" s="12">
        <f>_xlfn.XLOOKUP(Table134526_79101120212223242526[[#This Row],[Name Surname]],Manpower!C:C,Manpower!D:D,)</f>
        <v>114929202</v>
      </c>
      <c r="G3786" s="61" t="str">
        <f>_xlfn.XLOOKUP(Table134526_79101120212223242526[[#This Row],[Name Surname]],Manpower!$C$4:$C$1048576,Manpower!$F$4:$F$1048576,"")</f>
        <v>RIgger</v>
      </c>
      <c r="H3786" s="61" t="str">
        <f>_xlfn.XLOOKUP(Table134526_79101120212223242526[[#This Row],[Name Surname]],Manpower!$C$4:$C$1048576,Manpower!$H$4:$H$1048576,"")</f>
        <v>Sub Contactor</v>
      </c>
      <c r="I3786" s="28" t="str">
        <f>_xlfn.XLOOKUP(Table134526_79101120212223242526[[#This Row],[Name Surname]],Manpower!$C$4:$C$1048576,Manpower!$H$4:$H$1048576,"")</f>
        <v>Sub Contactor</v>
      </c>
      <c r="J3786" s="21" t="s">
        <v>21</v>
      </c>
      <c r="K3786" s="57" t="s">
        <v>369</v>
      </c>
      <c r="L3786" s="57" t="s">
        <v>49</v>
      </c>
      <c r="M3786" s="57" t="s">
        <v>55</v>
      </c>
      <c r="N3786" s="62">
        <v>5</v>
      </c>
      <c r="O3786" s="57"/>
      <c r="P3786" s="57"/>
      <c r="Q3786" s="57"/>
      <c r="R3786" s="57" t="s">
        <v>449</v>
      </c>
    </row>
    <row r="3787" spans="1:19" s="45" customFormat="1" ht="14.4" hidden="1">
      <c r="A3787" s="53">
        <f>IF(C3787="","",MAX($A$1:A3786)+1)</f>
        <v>3466</v>
      </c>
      <c r="B3787" s="54" t="s">
        <v>19</v>
      </c>
      <c r="C3787" s="55">
        <v>46112</v>
      </c>
      <c r="D3787" s="68" t="str">
        <f>_xlfn.XLOOKUP(Table134526_79101120212223242526[[#This Row],[Name Surname]],Manpower!$C$4:$C$1048576,Manpower!$B$4:$B$1048576,"")</f>
        <v>Encogroup</v>
      </c>
      <c r="E3787" s="51" t="s">
        <v>46</v>
      </c>
      <c r="F3787" s="12">
        <f>_xlfn.XLOOKUP(Table134526_79101120212223242526[[#This Row],[Name Surname]],Manpower!C:C,Manpower!D:D,)</f>
        <v>140844618</v>
      </c>
      <c r="G3787" s="68" t="str">
        <f>_xlfn.XLOOKUP(Table134526_79101120212223242526[[#This Row],[Name Surname]],Manpower!$C$4:$C$1048576,Manpower!$F$4:$F$1048576,"")</f>
        <v>Assistant/Helper</v>
      </c>
      <c r="H3787" s="68" t="str">
        <f>_xlfn.XLOOKUP(Table134526_79101120212223242526[[#This Row],[Name Surname]],Manpower!$C$4:$C$1048576,Manpower!$H$4:$H$1048576,"")</f>
        <v>Manpower</v>
      </c>
      <c r="I3787" s="48" t="str">
        <f>_xlfn.XLOOKUP(Table134526_79101120212223242526[[#This Row],[Name Surname]],Manpower!$C$4:$C$1048576,Manpower!$H$4:$H$1048576,"")</f>
        <v>Manpower</v>
      </c>
      <c r="J3787" s="43" t="s">
        <v>21</v>
      </c>
      <c r="K3787" s="51" t="s">
        <v>369</v>
      </c>
      <c r="L3787" s="51" t="s">
        <v>49</v>
      </c>
      <c r="M3787" s="51" t="s">
        <v>55</v>
      </c>
      <c r="N3787" s="52">
        <v>10</v>
      </c>
      <c r="O3787" s="51"/>
      <c r="P3787" s="51"/>
      <c r="Q3787" s="51"/>
      <c r="R3787" s="51" t="s">
        <v>449</v>
      </c>
      <c r="S3787" s="43"/>
    </row>
    <row r="3788" spans="1:19" ht="14.4" hidden="1">
      <c r="A3788" s="38">
        <f>IF(C3788="","",MAX($A$1:A3787)+1)</f>
        <v>3467</v>
      </c>
      <c r="B3788" s="69" t="s">
        <v>19</v>
      </c>
      <c r="C3788" s="60">
        <v>46112</v>
      </c>
      <c r="D3788" s="28" t="str">
        <f>_xlfn.XLOOKUP(Table134526_79101120212223242526[[#This Row],[Name Surname]],Manpower!$C$4:$C$1048576,Manpower!$B$4:$B$1048576,"")</f>
        <v xml:space="preserve">FAL Transport </v>
      </c>
      <c r="E3788" s="21" t="s">
        <v>225</v>
      </c>
      <c r="F3788" s="12">
        <f>_xlfn.XLOOKUP(Table134526_79101120212223242526[[#This Row],[Name Surname]],Manpower!C:C,Manpower!D:D,)</f>
        <v>124233837</v>
      </c>
      <c r="G3788" s="28" t="str">
        <f>_xlfn.XLOOKUP(Table134526_79101120212223242526[[#This Row],[Name Surname]],Manpower!$C$4:$C$1048576,Manpower!$F$4:$F$1048576,"")</f>
        <v>Trailer Driver</v>
      </c>
      <c r="H3788" s="28" t="str">
        <f>_xlfn.XLOOKUP(Table134526_79101120212223242526[[#This Row],[Name Surname]],Manpower!$C$4:$C$1048576,Manpower!$H$4:$H$1048576,"")</f>
        <v>Sub Contactor</v>
      </c>
      <c r="I3788" s="28" t="str">
        <f>_xlfn.XLOOKUP(Table134526_79101120212223242526[[#This Row],[Name Surname]],Manpower!$C$4:$C$1048576,Manpower!$H$4:$H$1048576,"")</f>
        <v>Sub Contactor</v>
      </c>
      <c r="J3788" s="21" t="s">
        <v>135</v>
      </c>
      <c r="K3788" s="57" t="s">
        <v>369</v>
      </c>
      <c r="L3788" s="57" t="s">
        <v>49</v>
      </c>
      <c r="M3788" s="57" t="s">
        <v>24</v>
      </c>
      <c r="N3788" s="62">
        <v>10</v>
      </c>
      <c r="O3788" s="57" t="s">
        <v>40</v>
      </c>
      <c r="P3788" s="57" t="s">
        <v>41</v>
      </c>
      <c r="Q3788" s="57" t="s">
        <v>42</v>
      </c>
      <c r="R3788" s="57" t="s">
        <v>26</v>
      </c>
    </row>
    <row r="3789" spans="1:19" s="45" customFormat="1" ht="14.4" hidden="1">
      <c r="A3789" s="53">
        <f>IF(C3789="","",MAX($A$1:A3788)+1)</f>
        <v>3468</v>
      </c>
      <c r="B3789" s="54" t="s">
        <v>19</v>
      </c>
      <c r="C3789" s="55">
        <v>46112</v>
      </c>
      <c r="D3789" s="68" t="str">
        <f>_xlfn.XLOOKUP(Table134526_79101120212223242526[[#This Row],[Name Surname]],Manpower!$C$4:$C$1048576,Manpower!$B$4:$B$1048576,"")</f>
        <v>Encogroup</v>
      </c>
      <c r="E3789" s="51" t="s">
        <v>27</v>
      </c>
      <c r="F3789" s="12">
        <f>_xlfn.XLOOKUP(Table134526_79101120212223242526[[#This Row],[Name Surname]],Manpower!C:C,Manpower!D:D,)</f>
        <v>127414586</v>
      </c>
      <c r="G3789" s="68" t="str">
        <f>_xlfn.XLOOKUP(Table134526_79101120212223242526[[#This Row],[Name Surname]],Manpower!$C$4:$C$1048576,Manpower!$F$4:$F$1048576,"")</f>
        <v>Electrician</v>
      </c>
      <c r="H3789" s="68" t="str">
        <f>_xlfn.XLOOKUP(Table134526_79101120212223242526[[#This Row],[Name Surname]],Manpower!$C$4:$C$1048576,Manpower!$H$4:$H$1048576,"")</f>
        <v>Manpower</v>
      </c>
      <c r="I3789" s="48" t="str">
        <f>_xlfn.XLOOKUP(Table134526_79101120212223242526[[#This Row],[Name Surname]],Manpower!$C$4:$C$1048576,Manpower!$H$4:$H$1048576,"")</f>
        <v>Manpower</v>
      </c>
      <c r="J3789" s="43" t="s">
        <v>21</v>
      </c>
      <c r="K3789" s="51" t="s">
        <v>369</v>
      </c>
      <c r="L3789" s="51" t="s">
        <v>49</v>
      </c>
      <c r="M3789" s="51" t="s">
        <v>55</v>
      </c>
      <c r="N3789" s="52">
        <v>5</v>
      </c>
      <c r="O3789" s="51"/>
      <c r="P3789" s="51"/>
      <c r="Q3789" s="51"/>
      <c r="R3789" s="51" t="s">
        <v>449</v>
      </c>
      <c r="S3789" s="43"/>
    </row>
    <row r="3790" spans="1:19" ht="14.4">
      <c r="A3790" s="38">
        <f>IF(C3790="","",MAX($A$1:A3789)+1)</f>
        <v>3469</v>
      </c>
      <c r="B3790" s="70" t="s">
        <v>19</v>
      </c>
      <c r="C3790" s="60">
        <v>46112</v>
      </c>
      <c r="D3790" s="61" t="str">
        <f>_xlfn.XLOOKUP(Table134526_79101120212223242526[[#This Row],[Name Surname]],Manpower!$C$4:$C$1048576,Manpower!$B$4:$B$1048576,"")</f>
        <v>Bright Light</v>
      </c>
      <c r="E3790" s="60" t="s">
        <v>47</v>
      </c>
      <c r="F3790" s="12" t="e">
        <f>_xlfn.XLOOKUP(Table134526_79101120212223242526[[#This Row],[Name Surname]],Manpower!C:C,Manpower!D:D,)</f>
        <v>#N/A</v>
      </c>
      <c r="G3790" s="61" t="str">
        <f>_xlfn.XLOOKUP(Table134526_79101120212223242526[[#This Row],[Name Surname]],Manpower!$C$4:$C$1048576,Manpower!$F$4:$F$1048576,"")</f>
        <v>100T Telescopic Crane</v>
      </c>
      <c r="H3790" s="61" t="str">
        <f>_xlfn.XLOOKUP(Table134526_79101120212223242526[[#This Row],[Name Surname]],Manpower!$C$4:$C$1048576,Manpower!$H$4:$H$1048576,"")</f>
        <v>Equipment</v>
      </c>
      <c r="I3790" s="28" t="str">
        <f>_xlfn.XLOOKUP(Table134526_79101120212223242526[[#This Row],[Name Surname]],Manpower!$C$4:$C$1048576,Manpower!$H$4:$H$1048576,"")</f>
        <v>Equipment</v>
      </c>
      <c r="J3790" s="21" t="s">
        <v>48</v>
      </c>
      <c r="K3790" s="57" t="s">
        <v>26</v>
      </c>
      <c r="L3790" s="57" t="s">
        <v>49</v>
      </c>
      <c r="M3790" s="57" t="s">
        <v>55</v>
      </c>
      <c r="N3790" s="62">
        <v>10</v>
      </c>
      <c r="O3790" s="57"/>
      <c r="P3790" s="57"/>
      <c r="Q3790" s="57"/>
      <c r="R3790" s="57" t="s">
        <v>425</v>
      </c>
    </row>
    <row r="3791" spans="1:19" ht="14.4">
      <c r="A3791" s="38">
        <f>IF(C3791="","",MAX($A$1:A3790)+1)</f>
        <v>3470</v>
      </c>
      <c r="B3791" s="70" t="s">
        <v>19</v>
      </c>
      <c r="C3791" s="60">
        <v>46112</v>
      </c>
      <c r="D3791" s="61" t="str">
        <f>_xlfn.XLOOKUP(Table134526_79101120212223242526[[#This Row],[Name Surname]],Manpower!$C$4:$C$1048576,Manpower!$B$4:$B$1048576,"")</f>
        <v>Bright Light</v>
      </c>
      <c r="E3791" s="57" t="s">
        <v>51</v>
      </c>
      <c r="F3791" s="12" t="e">
        <f>_xlfn.XLOOKUP(Table134526_79101120212223242526[[#This Row],[Name Surname]],Manpower!C:C,Manpower!D:D,)</f>
        <v>#N/A</v>
      </c>
      <c r="G3791" s="61" t="str">
        <f>_xlfn.XLOOKUP(Table134526_79101120212223242526[[#This Row],[Name Surname]],Manpower!$C$4:$C$1048576,Manpower!$F$4:$F$1048576,"")</f>
        <v>150T-Crawler Crane</v>
      </c>
      <c r="H3791" s="61" t="str">
        <f>_xlfn.XLOOKUP(Table134526_79101120212223242526[[#This Row],[Name Surname]],Manpower!$C$4:$C$1048576,Manpower!$H$4:$H$1048576,"")</f>
        <v>Equipment</v>
      </c>
      <c r="I3791" s="28" t="str">
        <f>_xlfn.XLOOKUP(Table134526_79101120212223242526[[#This Row],[Name Surname]],Manpower!$C$4:$C$1048576,Manpower!$H$4:$H$1048576,"")</f>
        <v>Equipment</v>
      </c>
      <c r="J3791" s="21" t="s">
        <v>48</v>
      </c>
      <c r="K3791" s="57" t="s">
        <v>26</v>
      </c>
      <c r="L3791" s="57" t="s">
        <v>49</v>
      </c>
      <c r="M3791" s="57" t="s">
        <v>24</v>
      </c>
      <c r="N3791" s="62">
        <v>10</v>
      </c>
      <c r="O3791" s="57" t="s">
        <v>25</v>
      </c>
      <c r="P3791" s="57" t="s">
        <v>41</v>
      </c>
      <c r="Q3791" s="57" t="s">
        <v>60</v>
      </c>
      <c r="R3791" s="57" t="s">
        <v>450</v>
      </c>
    </row>
    <row r="3792" spans="1:19" ht="14.4">
      <c r="A3792" s="38">
        <f>IF(C3792="","",MAX($A$1:A3791)+1)</f>
        <v>3471</v>
      </c>
      <c r="B3792" s="70" t="s">
        <v>19</v>
      </c>
      <c r="C3792" s="60">
        <v>46112</v>
      </c>
      <c r="D3792" s="61" t="str">
        <f>_xlfn.XLOOKUP(Table134526_79101120212223242526[[#This Row],[Name Surname]],Manpower!$C$4:$C$1048576,Manpower!$B$4:$B$1048576,"")</f>
        <v>Encogroup</v>
      </c>
      <c r="E3792" s="57" t="s">
        <v>54</v>
      </c>
      <c r="F3792" s="12" t="e">
        <f>_xlfn.XLOOKUP(Table134526_79101120212223242526[[#This Row],[Name Surname]],Manpower!C:C,Manpower!D:D,)</f>
        <v>#N/A</v>
      </c>
      <c r="G3792" s="61" t="str">
        <f>_xlfn.XLOOKUP(Table134526_79101120212223242526[[#This Row],[Name Surname]],Manpower!$C$4:$C$1048576,Manpower!$F$4:$F$1048576,"")</f>
        <v>28M-Manlift</v>
      </c>
      <c r="H3792" s="61" t="str">
        <f>_xlfn.XLOOKUP(Table134526_79101120212223242526[[#This Row],[Name Surname]],Manpower!$C$4:$C$1048576,Manpower!$H$4:$H$1048576,"")</f>
        <v>Equipment</v>
      </c>
      <c r="I3792" s="28" t="str">
        <f>_xlfn.XLOOKUP(Table134526_79101120212223242526[[#This Row],[Name Surname]],Manpower!$C$4:$C$1048576,Manpower!$H$4:$H$1048576,"")</f>
        <v>Equipment</v>
      </c>
      <c r="J3792" s="21" t="s">
        <v>48</v>
      </c>
      <c r="K3792" s="57" t="s">
        <v>26</v>
      </c>
      <c r="L3792" s="57" t="s">
        <v>49</v>
      </c>
      <c r="M3792" s="57" t="s">
        <v>24</v>
      </c>
      <c r="N3792" s="62">
        <v>10</v>
      </c>
      <c r="O3792" s="57" t="s">
        <v>25</v>
      </c>
      <c r="P3792" s="57" t="s">
        <v>41</v>
      </c>
      <c r="Q3792" s="57" t="s">
        <v>60</v>
      </c>
      <c r="R3792" s="57" t="s">
        <v>450</v>
      </c>
    </row>
    <row r="3793" spans="1:19" ht="14.4">
      <c r="A3793" s="38">
        <f>IF(C3793="","",MAX($A$1:A3792)+1)</f>
        <v>3472</v>
      </c>
      <c r="B3793" s="70" t="s">
        <v>19</v>
      </c>
      <c r="C3793" s="60">
        <v>46112</v>
      </c>
      <c r="D3793" s="61" t="str">
        <f>_xlfn.XLOOKUP(Table134526_79101120212223242526[[#This Row],[Name Surname]],Manpower!$C$4:$C$1048576,Manpower!$B$4:$B$1048576,"")</f>
        <v>Encogroup</v>
      </c>
      <c r="E3793" s="57" t="s">
        <v>53</v>
      </c>
      <c r="F3793" s="12" t="e">
        <f>_xlfn.XLOOKUP(Table134526_79101120212223242526[[#This Row],[Name Surname]],Manpower!C:C,Manpower!D:D,)</f>
        <v>#N/A</v>
      </c>
      <c r="G3793" s="61" t="str">
        <f>_xlfn.XLOOKUP(Table134526_79101120212223242526[[#This Row],[Name Surname]],Manpower!$C$4:$C$1048576,Manpower!$F$4:$F$1048576,"")</f>
        <v>22M-Manlift</v>
      </c>
      <c r="H3793" s="61" t="str">
        <f>_xlfn.XLOOKUP(Table134526_79101120212223242526[[#This Row],[Name Surname]],Manpower!$C$4:$C$1048576,Manpower!$H$4:$H$1048576,"")</f>
        <v>Equipment</v>
      </c>
      <c r="I3793" s="28" t="str">
        <f>_xlfn.XLOOKUP(Table134526_79101120212223242526[[#This Row],[Name Surname]],Manpower!$C$4:$C$1048576,Manpower!$H$4:$H$1048576,"")</f>
        <v>Equipment</v>
      </c>
      <c r="J3793" s="21" t="s">
        <v>48</v>
      </c>
      <c r="K3793" s="57" t="s">
        <v>26</v>
      </c>
      <c r="L3793" s="57" t="s">
        <v>49</v>
      </c>
      <c r="M3793" s="57" t="s">
        <v>24</v>
      </c>
      <c r="N3793" s="62">
        <v>10</v>
      </c>
      <c r="O3793" s="57" t="s">
        <v>25</v>
      </c>
      <c r="P3793" s="57" t="s">
        <v>41</v>
      </c>
      <c r="Q3793" s="57" t="s">
        <v>60</v>
      </c>
      <c r="R3793" s="57" t="s">
        <v>450</v>
      </c>
    </row>
    <row r="3794" spans="1:19" ht="14.4" hidden="1">
      <c r="A3794" s="38">
        <f>IF(C3794="","",MAX($A$1:A3793)+1)</f>
        <v>3473</v>
      </c>
      <c r="B3794" s="70" t="s">
        <v>19</v>
      </c>
      <c r="C3794" s="60">
        <v>46112</v>
      </c>
      <c r="D3794" s="61" t="str">
        <f>_xlfn.XLOOKUP(Table134526_79101120212223242526[[#This Row],[Name Surname]],Manpower!$C$4:$C$1048576,Manpower!$B$4:$B$1048576,"")</f>
        <v>Encogroup</v>
      </c>
      <c r="E3794" s="57" t="s">
        <v>57</v>
      </c>
      <c r="F3794" s="12">
        <f>_xlfn.XLOOKUP(Table134526_79101120212223242526[[#This Row],[Name Surname]],Manpower!C:C,Manpower!D:D,)</f>
        <v>140693697</v>
      </c>
      <c r="G3794" s="61" t="str">
        <f>_xlfn.XLOOKUP(Table134526_79101120212223242526[[#This Row],[Name Surname]],Manpower!$C$4:$C$1048576,Manpower!$F$4:$F$1048576,"")</f>
        <v>HSE Officer</v>
      </c>
      <c r="H3794" s="61" t="str">
        <f>_xlfn.XLOOKUP(Table134526_79101120212223242526[[#This Row],[Name Surname]],Manpower!$C$4:$C$1048576,Manpower!$H$4:$H$1048576,"")</f>
        <v>Manpower</v>
      </c>
      <c r="I3794" s="28" t="str">
        <f>_xlfn.XLOOKUP(Table134526_79101120212223242526[[#This Row],[Name Surname]],Manpower!$C$4:$C$1048576,Manpower!$H$4:$H$1048576,"")</f>
        <v>Manpower</v>
      </c>
      <c r="J3794" s="21" t="s">
        <v>48</v>
      </c>
      <c r="K3794" s="57" t="s">
        <v>26</v>
      </c>
      <c r="L3794" s="57" t="s">
        <v>49</v>
      </c>
      <c r="M3794" s="57" t="s">
        <v>24</v>
      </c>
      <c r="N3794" s="62">
        <v>10</v>
      </c>
      <c r="O3794" s="57" t="s">
        <v>25</v>
      </c>
      <c r="P3794" s="57" t="s">
        <v>41</v>
      </c>
      <c r="Q3794" s="57" t="s">
        <v>60</v>
      </c>
      <c r="R3794" s="57" t="s">
        <v>450</v>
      </c>
    </row>
    <row r="3795" spans="1:19" s="45" customFormat="1" ht="14.4" hidden="1">
      <c r="A3795" s="53">
        <f>IF(C3795="","",MAX($A$1:A3794)+1)</f>
        <v>3474</v>
      </c>
      <c r="B3795" s="54" t="s">
        <v>19</v>
      </c>
      <c r="C3795" s="55">
        <v>46112</v>
      </c>
      <c r="D3795" s="68" t="str">
        <f>_xlfn.XLOOKUP(Table134526_79101120212223242526[[#This Row],[Name Surname]],Manpower!$C$4:$C$1048576,Manpower!$B$4:$B$1048576,"")</f>
        <v>Encogroup</v>
      </c>
      <c r="E3795" s="51" t="s">
        <v>33</v>
      </c>
      <c r="F3795" s="12">
        <f>_xlfn.XLOOKUP(Table134526_79101120212223242526[[#This Row],[Name Surname]],Manpower!C:C,Manpower!D:D,)</f>
        <v>124565057</v>
      </c>
      <c r="G3795" s="68" t="str">
        <f>_xlfn.XLOOKUP(Table134526_79101120212223242526[[#This Row],[Name Surname]],Manpower!$C$4:$C$1048576,Manpower!$F$4:$F$1048576,"")</f>
        <v>Fitter/Erector</v>
      </c>
      <c r="H3795" s="68" t="str">
        <f>_xlfn.XLOOKUP(Table134526_79101120212223242526[[#This Row],[Name Surname]],Manpower!$C$4:$C$1048576,Manpower!$H$4:$H$1048576,"")</f>
        <v>Manpower</v>
      </c>
      <c r="I3795" s="48" t="str">
        <f>_xlfn.XLOOKUP(Table134526_79101120212223242526[[#This Row],[Name Surname]],Manpower!$C$4:$C$1048576,Manpower!$H$4:$H$1048576,"")</f>
        <v>Manpower</v>
      </c>
      <c r="J3795" s="43" t="s">
        <v>48</v>
      </c>
      <c r="K3795" s="51" t="s">
        <v>26</v>
      </c>
      <c r="L3795" s="51" t="s">
        <v>49</v>
      </c>
      <c r="M3795" s="51" t="s">
        <v>24</v>
      </c>
      <c r="N3795" s="52">
        <v>10</v>
      </c>
      <c r="O3795" s="51" t="s">
        <v>25</v>
      </c>
      <c r="P3795" s="51" t="s">
        <v>41</v>
      </c>
      <c r="Q3795" s="51" t="s">
        <v>60</v>
      </c>
      <c r="R3795" s="51" t="s">
        <v>450</v>
      </c>
      <c r="S3795" s="43"/>
    </row>
    <row r="3796" spans="1:19" s="45" customFormat="1" ht="14.4" hidden="1">
      <c r="A3796" s="53">
        <f>IF(C3796="","",MAX($A$1:A3795)+1)</f>
        <v>3475</v>
      </c>
      <c r="B3796" s="54" t="s">
        <v>19</v>
      </c>
      <c r="C3796" s="55">
        <v>46112</v>
      </c>
      <c r="D3796" s="68" t="str">
        <f>_xlfn.XLOOKUP(Table134526_79101120212223242526[[#This Row],[Name Surname]],Manpower!$C$4:$C$1048576,Manpower!$B$4:$B$1048576,"")</f>
        <v>Encogroup</v>
      </c>
      <c r="E3796" s="51" t="s">
        <v>62</v>
      </c>
      <c r="F3796" s="12">
        <f>_xlfn.XLOOKUP(Table134526_79101120212223242526[[#This Row],[Name Surname]],Manpower!C:C,Manpower!D:D,)</f>
        <v>140844797</v>
      </c>
      <c r="G3796" s="68" t="str">
        <f>_xlfn.XLOOKUP(Table134526_79101120212223242526[[#This Row],[Name Surname]],Manpower!$C$4:$C$1048576,Manpower!$F$4:$F$1048576,"")</f>
        <v>Fitter/Erector</v>
      </c>
      <c r="H3796" s="68" t="str">
        <f>_xlfn.XLOOKUP(Table134526_79101120212223242526[[#This Row],[Name Surname]],Manpower!$C$4:$C$1048576,Manpower!$H$4:$H$1048576,"")</f>
        <v>Manpower</v>
      </c>
      <c r="I3796" s="48" t="str">
        <f>_xlfn.XLOOKUP(Table134526_79101120212223242526[[#This Row],[Name Surname]],Manpower!$C$4:$C$1048576,Manpower!$H$4:$H$1048576,"")</f>
        <v>Manpower</v>
      </c>
      <c r="J3796" s="43" t="s">
        <v>48</v>
      </c>
      <c r="K3796" s="51" t="s">
        <v>26</v>
      </c>
      <c r="L3796" s="51" t="s">
        <v>49</v>
      </c>
      <c r="M3796" s="51" t="s">
        <v>24</v>
      </c>
      <c r="N3796" s="52">
        <v>10</v>
      </c>
      <c r="O3796" s="51" t="s">
        <v>25</v>
      </c>
      <c r="P3796" s="51" t="s">
        <v>41</v>
      </c>
      <c r="Q3796" s="51" t="s">
        <v>60</v>
      </c>
      <c r="R3796" s="51" t="s">
        <v>450</v>
      </c>
      <c r="S3796" s="43"/>
    </row>
    <row r="3797" spans="1:19" ht="14.4">
      <c r="A3797" s="38">
        <f>IF(C3797="","",MAX($A$1:A3796)+1)</f>
        <v>3476</v>
      </c>
      <c r="B3797" s="70" t="s">
        <v>19</v>
      </c>
      <c r="C3797" s="60">
        <v>46112</v>
      </c>
      <c r="D3797" s="64" t="str">
        <f>_xlfn.XLOOKUP(Table134526_79101120212223242526[[#This Row],[Name Surname]],Manpower!$C$4:$C$1048576,Manpower!$B$4:$B$1048576,"")</f>
        <v>Encogroup</v>
      </c>
      <c r="E3797" s="60" t="s">
        <v>63</v>
      </c>
      <c r="F3797" s="12" t="e">
        <f>_xlfn.XLOOKUP(Table134526_79101120212223242526[[#This Row],[Name Surname]],Manpower!C:C,Manpower!D:D,)</f>
        <v>#N/A</v>
      </c>
      <c r="G3797" s="64" t="str">
        <f>_xlfn.XLOOKUP(Table134526_79101120212223242526[[#This Row],[Name Surname]],Manpower!$C$4:$C$1048576,Manpower!$F$4:$F$1048576,"")</f>
        <v>22KVA-Generator</v>
      </c>
      <c r="H3797" s="64" t="str">
        <f>_xlfn.XLOOKUP(Table134526_79101120212223242526[[#This Row],[Name Surname]],Manpower!$C$4:$C$1048576,Manpower!$H$4:$H$1048576,"")</f>
        <v>Equipment</v>
      </c>
      <c r="I3797" s="64" t="str">
        <f>_xlfn.XLOOKUP(Table134526_79101120212223242526[[#This Row],[Name Surname]],Manpower!$C$4:$C$1048576,Manpower!$H$4:$H$1048576,"")</f>
        <v>Equipment</v>
      </c>
      <c r="J3797" s="21" t="s">
        <v>48</v>
      </c>
      <c r="K3797" s="57" t="s">
        <v>26</v>
      </c>
      <c r="L3797" s="57" t="s">
        <v>49</v>
      </c>
      <c r="M3797" s="57" t="s">
        <v>24</v>
      </c>
      <c r="N3797" s="62">
        <v>10</v>
      </c>
      <c r="O3797" s="57" t="s">
        <v>25</v>
      </c>
      <c r="P3797" s="57" t="s">
        <v>41</v>
      </c>
      <c r="Q3797" s="57" t="s">
        <v>60</v>
      </c>
      <c r="R3797" s="57" t="s">
        <v>450</v>
      </c>
    </row>
    <row r="3798" spans="1:19" s="45" customFormat="1" ht="14.4" hidden="1">
      <c r="A3798" s="53">
        <f>IF(C3798="","",MAX($A$1:A3797)+1)</f>
        <v>3477</v>
      </c>
      <c r="B3798" s="54" t="s">
        <v>19</v>
      </c>
      <c r="C3798" s="55">
        <v>46112</v>
      </c>
      <c r="D3798" s="68" t="str">
        <f>_xlfn.XLOOKUP(Table134526_79101120212223242526[[#This Row],[Name Surname]],Manpower!$C$4:$C$1048576,Manpower!$B$4:$B$1048576,"")</f>
        <v>Bright Light</v>
      </c>
      <c r="E3798" s="51" t="s">
        <v>64</v>
      </c>
      <c r="F3798" s="12">
        <f>_xlfn.XLOOKUP(Table134526_79101120212223242526[[#This Row],[Name Surname]],Manpower!C:C,Manpower!D:D,)</f>
        <v>114531608</v>
      </c>
      <c r="G3798" s="68" t="str">
        <f>_xlfn.XLOOKUP(Table134526_79101120212223242526[[#This Row],[Name Surname]],Manpower!$C$4:$C$1048576,Manpower!$F$4:$F$1048576,"")</f>
        <v>Crane Operator-150T Sany Crawler</v>
      </c>
      <c r="H3798" s="68" t="str">
        <f>_xlfn.XLOOKUP(Table134526_79101120212223242526[[#This Row],[Name Surname]],Manpower!$C$4:$C$1048576,Manpower!$H$4:$H$1048576,"")</f>
        <v>Manpower</v>
      </c>
      <c r="I3798" s="48" t="str">
        <f>_xlfn.XLOOKUP(Table134526_79101120212223242526[[#This Row],[Name Surname]],Manpower!$C$4:$C$1048576,Manpower!$H$4:$H$1048576,"")</f>
        <v>Manpower</v>
      </c>
      <c r="J3798" s="43" t="s">
        <v>48</v>
      </c>
      <c r="K3798" s="51" t="s">
        <v>26</v>
      </c>
      <c r="L3798" s="51" t="s">
        <v>49</v>
      </c>
      <c r="M3798" s="51" t="s">
        <v>24</v>
      </c>
      <c r="N3798" s="52">
        <v>10</v>
      </c>
      <c r="O3798" s="51" t="s">
        <v>40</v>
      </c>
      <c r="P3798" s="51" t="s">
        <v>41</v>
      </c>
      <c r="Q3798" s="51" t="s">
        <v>42</v>
      </c>
      <c r="R3798" s="51" t="s">
        <v>450</v>
      </c>
      <c r="S3798" s="43"/>
    </row>
    <row r="3799" spans="1:19" s="45" customFormat="1" ht="14.4" hidden="1">
      <c r="A3799" s="53">
        <f>IF(C3799="","",MAX($A$1:A3798)+1)</f>
        <v>3478</v>
      </c>
      <c r="B3799" s="54" t="s">
        <v>19</v>
      </c>
      <c r="C3799" s="55">
        <v>46112</v>
      </c>
      <c r="D3799" s="68" t="str">
        <f>_xlfn.XLOOKUP(Table134526_79101120212223242526[[#This Row],[Name Surname]],Manpower!$C$4:$C$1048576,Manpower!$B$4:$B$1048576,"")</f>
        <v>Encogroup</v>
      </c>
      <c r="E3799" s="51" t="s">
        <v>67</v>
      </c>
      <c r="F3799" s="12">
        <f>_xlfn.XLOOKUP(Table134526_79101120212223242526[[#This Row],[Name Surname]],Manpower!C:C,Manpower!D:D,)</f>
        <v>122082769</v>
      </c>
      <c r="G3799" s="68" t="str">
        <f>_xlfn.XLOOKUP(Table134526_79101120212223242526[[#This Row],[Name Surname]],Manpower!$C$4:$C$1048576,Manpower!$F$4:$F$1048576,"")</f>
        <v>Grinder</v>
      </c>
      <c r="H3799" s="68" t="str">
        <f>_xlfn.XLOOKUP(Table134526_79101120212223242526[[#This Row],[Name Surname]],Manpower!$C$4:$C$1048576,Manpower!$H$4:$H$1048576,"")</f>
        <v>Manpower</v>
      </c>
      <c r="I3799" s="48" t="str">
        <f>_xlfn.XLOOKUP(Table134526_79101120212223242526[[#This Row],[Name Surname]],Manpower!$C$4:$C$1048576,Manpower!$H$4:$H$1048576,"")</f>
        <v>Manpower</v>
      </c>
      <c r="J3799" s="43" t="s">
        <v>48</v>
      </c>
      <c r="K3799" s="51" t="s">
        <v>26</v>
      </c>
      <c r="L3799" s="51" t="s">
        <v>49</v>
      </c>
      <c r="M3799" s="51" t="s">
        <v>24</v>
      </c>
      <c r="N3799" s="52">
        <v>10</v>
      </c>
      <c r="O3799" s="51" t="s">
        <v>25</v>
      </c>
      <c r="P3799" s="51" t="s">
        <v>41</v>
      </c>
      <c r="Q3799" s="51" t="s">
        <v>60</v>
      </c>
      <c r="R3799" s="51" t="s">
        <v>450</v>
      </c>
      <c r="S3799" s="43"/>
    </row>
    <row r="3800" spans="1:19" s="45" customFormat="1" ht="14.4" hidden="1">
      <c r="A3800" s="53">
        <f>IF(C3800="","",MAX($A$1:A3799)+1)</f>
        <v>3479</v>
      </c>
      <c r="B3800" s="54" t="s">
        <v>19</v>
      </c>
      <c r="C3800" s="55">
        <v>46112</v>
      </c>
      <c r="D3800" s="68" t="str">
        <f>_xlfn.XLOOKUP(Table134526_79101120212223242526[[#This Row],[Name Surname]],Manpower!$C$4:$C$1048576,Manpower!$B$4:$B$1048576,"")</f>
        <v>AL Omar International TRAD AND CONT</v>
      </c>
      <c r="E3800" s="51" t="s">
        <v>66</v>
      </c>
      <c r="F3800" s="12">
        <f>_xlfn.XLOOKUP(Table134526_79101120212223242526[[#This Row],[Name Surname]],Manpower!C:C,Manpower!D:D,)</f>
        <v>115018512</v>
      </c>
      <c r="G3800" s="68" t="str">
        <f>_xlfn.XLOOKUP(Table134526_79101120212223242526[[#This Row],[Name Surname]],Manpower!$C$4:$C$1048576,Manpower!$F$4:$F$1048576,"")</f>
        <v>RIgger</v>
      </c>
      <c r="H3800" s="68" t="str">
        <f>_xlfn.XLOOKUP(Table134526_79101120212223242526[[#This Row],[Name Surname]],Manpower!$C$4:$C$1048576,Manpower!$H$4:$H$1048576,"")</f>
        <v>Sub Contactor</v>
      </c>
      <c r="I3800" s="48" t="str">
        <f>_xlfn.XLOOKUP(Table134526_79101120212223242526[[#This Row],[Name Surname]],Manpower!$C$4:$C$1048576,Manpower!$H$4:$H$1048576,"")</f>
        <v>Sub Contactor</v>
      </c>
      <c r="J3800" s="43" t="s">
        <v>48</v>
      </c>
      <c r="K3800" s="51" t="s">
        <v>26</v>
      </c>
      <c r="L3800" s="51" t="s">
        <v>49</v>
      </c>
      <c r="M3800" s="51" t="s">
        <v>24</v>
      </c>
      <c r="N3800" s="52">
        <v>10</v>
      </c>
      <c r="O3800" s="51" t="s">
        <v>25</v>
      </c>
      <c r="P3800" s="51" t="s">
        <v>41</v>
      </c>
      <c r="Q3800" s="51" t="s">
        <v>60</v>
      </c>
      <c r="R3800" s="51" t="s">
        <v>450</v>
      </c>
      <c r="S3800" s="43"/>
    </row>
    <row r="3801" spans="1:19" ht="14.4" hidden="1">
      <c r="A3801" s="38">
        <f>IF(C3801="","",MAX($A$1:A3800)+1)</f>
        <v>3480</v>
      </c>
      <c r="B3801" s="70" t="s">
        <v>19</v>
      </c>
      <c r="C3801" s="60">
        <v>46112</v>
      </c>
      <c r="D3801" s="61" t="str">
        <f>_xlfn.XLOOKUP(Table134526_79101120212223242526[[#This Row],[Name Surname]],Manpower!$C$4:$C$1048576,Manpower!$B$4:$B$1048576,"")</f>
        <v>AL Omar International TRAD AND CONT</v>
      </c>
      <c r="E3801" s="57" t="s">
        <v>197</v>
      </c>
      <c r="F3801" s="12">
        <f>_xlfn.XLOOKUP(Table134526_79101120212223242526[[#This Row],[Name Surname]],Manpower!C:C,Manpower!D:D,)</f>
        <v>106093463</v>
      </c>
      <c r="G3801" s="61" t="str">
        <f>_xlfn.XLOOKUP(Table134526_79101120212223242526[[#This Row],[Name Surname]],Manpower!$C$4:$C$1048576,Manpower!$F$4:$F$1048576,"")</f>
        <v>RIgger</v>
      </c>
      <c r="H3801" s="61" t="str">
        <f>_xlfn.XLOOKUP(Table134526_79101120212223242526[[#This Row],[Name Surname]],Manpower!$C$4:$C$1048576,Manpower!$H$4:$H$1048576,"")</f>
        <v>Sub Contactor</v>
      </c>
      <c r="I3801" s="28" t="str">
        <f>_xlfn.XLOOKUP(Table134526_79101120212223242526[[#This Row],[Name Surname]],Manpower!$C$4:$C$1048576,Manpower!$H$4:$H$1048576,"")</f>
        <v>Sub Contactor</v>
      </c>
      <c r="J3801" s="21" t="s">
        <v>48</v>
      </c>
      <c r="K3801" s="57" t="s">
        <v>26</v>
      </c>
      <c r="L3801" s="57" t="s">
        <v>49</v>
      </c>
      <c r="M3801" s="57" t="s">
        <v>24</v>
      </c>
      <c r="N3801" s="62">
        <v>2</v>
      </c>
      <c r="O3801" s="57" t="s">
        <v>25</v>
      </c>
      <c r="P3801" s="57" t="s">
        <v>41</v>
      </c>
      <c r="Q3801" s="57" t="s">
        <v>60</v>
      </c>
      <c r="R3801" s="57" t="s">
        <v>450</v>
      </c>
    </row>
    <row r="3802" spans="1:19" s="45" customFormat="1" ht="14.4" hidden="1">
      <c r="A3802" s="53">
        <f>IF(C3802="","",MAX($A$1:A3801)+1)</f>
        <v>3481</v>
      </c>
      <c r="B3802" s="54" t="s">
        <v>19</v>
      </c>
      <c r="C3802" s="55">
        <v>46112</v>
      </c>
      <c r="D3802" s="68" t="str">
        <f>_xlfn.XLOOKUP(Table134526_79101120212223242526[[#This Row],[Name Surname]],Manpower!$C$4:$C$1048576,Manpower!$B$4:$B$1048576,"")</f>
        <v>Encogroup</v>
      </c>
      <c r="E3802" s="51" t="s">
        <v>44</v>
      </c>
      <c r="F3802" s="12">
        <f>_xlfn.XLOOKUP(Table134526_79101120212223242526[[#This Row],[Name Surname]],Manpower!C:C,Manpower!D:D,)</f>
        <v>140806218</v>
      </c>
      <c r="G3802" s="68" t="str">
        <f>_xlfn.XLOOKUP(Table134526_79101120212223242526[[#This Row],[Name Surname]],Manpower!$C$4:$C$1048576,Manpower!$F$4:$F$1048576,"")</f>
        <v>Fitter/Erector</v>
      </c>
      <c r="H3802" s="68" t="str">
        <f>_xlfn.XLOOKUP(Table134526_79101120212223242526[[#This Row],[Name Surname]],Manpower!$C$4:$C$1048576,Manpower!$H$4:$H$1048576,"")</f>
        <v>Manpower</v>
      </c>
      <c r="I3802" s="48" t="str">
        <f>_xlfn.XLOOKUP(Table134526_79101120212223242526[[#This Row],[Name Surname]],Manpower!$C$4:$C$1048576,Manpower!$H$4:$H$1048576,"")</f>
        <v>Manpower</v>
      </c>
      <c r="J3802" s="43" t="s">
        <v>48</v>
      </c>
      <c r="K3802" s="51" t="s">
        <v>26</v>
      </c>
      <c r="L3802" s="51" t="s">
        <v>49</v>
      </c>
      <c r="M3802" s="51" t="s">
        <v>24</v>
      </c>
      <c r="N3802" s="52">
        <v>10</v>
      </c>
      <c r="O3802" s="51" t="s">
        <v>25</v>
      </c>
      <c r="P3802" s="51" t="s">
        <v>41</v>
      </c>
      <c r="Q3802" s="51" t="s">
        <v>60</v>
      </c>
      <c r="R3802" s="51" t="s">
        <v>450</v>
      </c>
      <c r="S3802" s="43"/>
    </row>
    <row r="3803" spans="1:19" ht="14.4" hidden="1">
      <c r="A3803" s="38">
        <f>IF(C3803="","",MAX($A$1:A3802)+1)</f>
        <v>3482</v>
      </c>
      <c r="B3803" s="70" t="s">
        <v>19</v>
      </c>
      <c r="C3803" s="60">
        <v>46112</v>
      </c>
      <c r="D3803" s="61" t="str">
        <f>_xlfn.XLOOKUP(Table134526_79101120212223242526[[#This Row],[Name Surname]],Manpower!$C$4:$C$1048576,Manpower!$B$4:$B$1048576,"")</f>
        <v>Encogroup</v>
      </c>
      <c r="E3803" s="57" t="s">
        <v>68</v>
      </c>
      <c r="F3803" s="12">
        <f>_xlfn.XLOOKUP(Table134526_79101120212223242526[[#This Row],[Name Surname]],Manpower!C:C,Manpower!D:D,)</f>
        <v>116915582</v>
      </c>
      <c r="G3803" s="61" t="str">
        <f>_xlfn.XLOOKUP(Table134526_79101120212223242526[[#This Row],[Name Surname]],Manpower!$C$4:$C$1048576,Manpower!$F$4:$F$1048576,"")</f>
        <v>Mechanical Superintendent</v>
      </c>
      <c r="H3803" s="61" t="str">
        <f>_xlfn.XLOOKUP(Table134526_79101120212223242526[[#This Row],[Name Surname]],Manpower!$C$4:$C$1048576,Manpower!$H$4:$H$1048576,"")</f>
        <v>Manpower</v>
      </c>
      <c r="I3803" s="28" t="str">
        <f>_xlfn.XLOOKUP(Table134526_79101120212223242526[[#This Row],[Name Surname]],Manpower!$C$4:$C$1048576,Manpower!$H$4:$H$1048576,"")</f>
        <v>Manpower</v>
      </c>
      <c r="J3803" s="21" t="s">
        <v>48</v>
      </c>
      <c r="K3803" s="57" t="s">
        <v>26</v>
      </c>
      <c r="L3803" s="57" t="s">
        <v>49</v>
      </c>
      <c r="M3803" s="57" t="s">
        <v>24</v>
      </c>
      <c r="N3803" s="62">
        <v>10</v>
      </c>
      <c r="O3803" s="57" t="s">
        <v>25</v>
      </c>
      <c r="P3803" s="57" t="s">
        <v>41</v>
      </c>
      <c r="Q3803" s="57" t="s">
        <v>60</v>
      </c>
      <c r="R3803" s="57" t="s">
        <v>450</v>
      </c>
    </row>
    <row r="3804" spans="1:19" s="45" customFormat="1" ht="14.4" hidden="1">
      <c r="A3804" s="53">
        <f>IF(C3804="","",MAX($A$1:A3803)+1)</f>
        <v>3483</v>
      </c>
      <c r="B3804" s="54" t="s">
        <v>19</v>
      </c>
      <c r="C3804" s="55">
        <v>46112</v>
      </c>
      <c r="D3804" s="68" t="str">
        <f>_xlfn.XLOOKUP(Table134526_79101120212223242526[[#This Row],[Name Surname]],Manpower!$C$4:$C$1048576,Manpower!$B$4:$B$1048576,"")</f>
        <v>Encogroup</v>
      </c>
      <c r="E3804" s="51" t="s">
        <v>69</v>
      </c>
      <c r="F3804" s="12">
        <f>_xlfn.XLOOKUP(Table134526_79101120212223242526[[#This Row],[Name Surname]],Manpower!C:C,Manpower!D:D,)</f>
        <v>141169071</v>
      </c>
      <c r="G3804" s="68" t="str">
        <f>_xlfn.XLOOKUP(Table134526_79101120212223242526[[#This Row],[Name Surname]],Manpower!$C$4:$C$1048576,Manpower!$F$4:$F$1048576,"")</f>
        <v>Welding Supervisor</v>
      </c>
      <c r="H3804" s="68" t="str">
        <f>_xlfn.XLOOKUP(Table134526_79101120212223242526[[#This Row],[Name Surname]],Manpower!$C$4:$C$1048576,Manpower!$H$4:$H$1048576,"")</f>
        <v>Manpower</v>
      </c>
      <c r="I3804" s="48" t="str">
        <f>_xlfn.XLOOKUP(Table134526_79101120212223242526[[#This Row],[Name Surname]],Manpower!$C$4:$C$1048576,Manpower!$H$4:$H$1048576,"")</f>
        <v>Manpower</v>
      </c>
      <c r="J3804" s="43" t="s">
        <v>48</v>
      </c>
      <c r="K3804" s="51" t="s">
        <v>26</v>
      </c>
      <c r="L3804" s="51" t="s">
        <v>49</v>
      </c>
      <c r="M3804" s="51" t="s">
        <v>24</v>
      </c>
      <c r="N3804" s="52">
        <v>10</v>
      </c>
      <c r="O3804" s="51" t="s">
        <v>25</v>
      </c>
      <c r="P3804" s="51" t="s">
        <v>41</v>
      </c>
      <c r="Q3804" s="51" t="s">
        <v>60</v>
      </c>
      <c r="R3804" s="51" t="s">
        <v>450</v>
      </c>
      <c r="S3804" s="43"/>
    </row>
    <row r="3805" spans="1:19" ht="14.4" hidden="1">
      <c r="A3805" s="38">
        <f>IF(C3805="","",MAX($A$1:A3804)+1)</f>
        <v>3484</v>
      </c>
      <c r="B3805" s="70" t="s">
        <v>19</v>
      </c>
      <c r="C3805" s="60">
        <v>46112</v>
      </c>
      <c r="D3805" s="61" t="str">
        <f>_xlfn.XLOOKUP(Table134526_79101120212223242526[[#This Row],[Name Surname]],Manpower!$C$4:$C$1048576,Manpower!$B$4:$B$1048576,"")</f>
        <v>Encogroup</v>
      </c>
      <c r="E3805" s="57" t="s">
        <v>76</v>
      </c>
      <c r="F3805" s="12">
        <f>_xlfn.XLOOKUP(Table134526_79101120212223242526[[#This Row],[Name Surname]],Manpower!C:C,Manpower!D:D,)</f>
        <v>127859069</v>
      </c>
      <c r="G3805" s="61" t="str">
        <f>_xlfn.XLOOKUP(Table134526_79101120212223242526[[#This Row],[Name Surname]],Manpower!$C$4:$C$1048576,Manpower!$F$4:$F$1048576,"")</f>
        <v>QC Mechanical Engineer</v>
      </c>
      <c r="H3805" s="61" t="str">
        <f>_xlfn.XLOOKUP(Table134526_79101120212223242526[[#This Row],[Name Surname]],Manpower!$C$4:$C$1048576,Manpower!$H$4:$H$1048576,"")</f>
        <v>Manpower</v>
      </c>
      <c r="I3805" s="28" t="str">
        <f>_xlfn.XLOOKUP(Table134526_79101120212223242526[[#This Row],[Name Surname]],Manpower!$C$4:$C$1048576,Manpower!$H$4:$H$1048576,"")</f>
        <v>Manpower</v>
      </c>
      <c r="J3805" s="21" t="s">
        <v>48</v>
      </c>
      <c r="K3805" s="57" t="s">
        <v>26</v>
      </c>
      <c r="L3805" s="57" t="s">
        <v>49</v>
      </c>
      <c r="M3805" s="57" t="s">
        <v>24</v>
      </c>
      <c r="N3805" s="62">
        <v>10</v>
      </c>
      <c r="O3805" s="57" t="s">
        <v>25</v>
      </c>
      <c r="P3805" s="57" t="s">
        <v>41</v>
      </c>
      <c r="Q3805" s="57" t="s">
        <v>60</v>
      </c>
      <c r="R3805" s="57" t="s">
        <v>450</v>
      </c>
    </row>
    <row r="3806" spans="1:19" s="45" customFormat="1" ht="14.4" hidden="1">
      <c r="A3806" s="53">
        <f>IF(C3806="","",MAX($A$1:A3805)+1)</f>
        <v>3485</v>
      </c>
      <c r="B3806" s="54" t="s">
        <v>19</v>
      </c>
      <c r="C3806" s="55">
        <v>46112</v>
      </c>
      <c r="D3806" s="68" t="str">
        <f>_xlfn.XLOOKUP(Table134526_79101120212223242526[[#This Row],[Name Surname]],Manpower!$C$4:$C$1048576,Manpower!$B$4:$B$1048576,"")</f>
        <v>Encogroup</v>
      </c>
      <c r="E3806" s="51" t="s">
        <v>59</v>
      </c>
      <c r="F3806" s="12">
        <f>_xlfn.XLOOKUP(Table134526_79101120212223242526[[#This Row],[Name Surname]],Manpower!C:C,Manpower!D:D,)</f>
        <v>141169085</v>
      </c>
      <c r="G3806" s="68" t="str">
        <f>_xlfn.XLOOKUP(Table134526_79101120212223242526[[#This Row],[Name Surname]],Manpower!$C$4:$C$1048576,Manpower!$F$4:$F$1048576,"")</f>
        <v>Welder</v>
      </c>
      <c r="H3806" s="68" t="str">
        <f>_xlfn.XLOOKUP(Table134526_79101120212223242526[[#This Row],[Name Surname]],Manpower!$C$4:$C$1048576,Manpower!$H$4:$H$1048576,"")</f>
        <v>Manpower</v>
      </c>
      <c r="I3806" s="48" t="str">
        <f>_xlfn.XLOOKUP(Table134526_79101120212223242526[[#This Row],[Name Surname]],Manpower!$C$4:$C$1048576,Manpower!$H$4:$H$1048576,"")</f>
        <v>Manpower</v>
      </c>
      <c r="J3806" s="43" t="s">
        <v>48</v>
      </c>
      <c r="K3806" s="51" t="s">
        <v>26</v>
      </c>
      <c r="L3806" s="51" t="s">
        <v>49</v>
      </c>
      <c r="M3806" s="51" t="s">
        <v>24</v>
      </c>
      <c r="N3806" s="52">
        <v>10</v>
      </c>
      <c r="O3806" s="51" t="s">
        <v>25</v>
      </c>
      <c r="P3806" s="51" t="s">
        <v>41</v>
      </c>
      <c r="Q3806" s="51" t="s">
        <v>60</v>
      </c>
      <c r="R3806" s="51" t="s">
        <v>450</v>
      </c>
      <c r="S3806" s="43"/>
    </row>
    <row r="3807" spans="1:19" s="45" customFormat="1" ht="14.4" hidden="1">
      <c r="A3807" s="53">
        <f>IF(C3807="","",MAX($A$1:A3806)+1)</f>
        <v>3486</v>
      </c>
      <c r="B3807" s="54" t="s">
        <v>19</v>
      </c>
      <c r="C3807" s="55">
        <v>46112</v>
      </c>
      <c r="D3807" s="68" t="str">
        <f>_xlfn.XLOOKUP(Table134526_79101120212223242526[[#This Row],[Name Surname]],Manpower!$C$4:$C$1048576,Manpower!$B$4:$B$1048576,"")</f>
        <v>AL Omar International TRAD AND CONT</v>
      </c>
      <c r="E3807" s="51" t="s">
        <v>36</v>
      </c>
      <c r="F3807" s="12">
        <f>_xlfn.XLOOKUP(Table134526_79101120212223242526[[#This Row],[Name Surname]],Manpower!C:C,Manpower!D:D,)</f>
        <v>114929202</v>
      </c>
      <c r="G3807" s="68" t="str">
        <f>_xlfn.XLOOKUP(Table134526_79101120212223242526[[#This Row],[Name Surname]],Manpower!$C$4:$C$1048576,Manpower!$F$4:$F$1048576,"")</f>
        <v>RIgger</v>
      </c>
      <c r="H3807" s="68" t="str">
        <f>_xlfn.XLOOKUP(Table134526_79101120212223242526[[#This Row],[Name Surname]],Manpower!$C$4:$C$1048576,Manpower!$H$4:$H$1048576,"")</f>
        <v>Sub Contactor</v>
      </c>
      <c r="I3807" s="48" t="str">
        <f>_xlfn.XLOOKUP(Table134526_79101120212223242526[[#This Row],[Name Surname]],Manpower!$C$4:$C$1048576,Manpower!$H$4:$H$1048576,"")</f>
        <v>Sub Contactor</v>
      </c>
      <c r="J3807" s="43" t="s">
        <v>48</v>
      </c>
      <c r="K3807" s="51" t="s">
        <v>26</v>
      </c>
      <c r="L3807" s="51" t="s">
        <v>49</v>
      </c>
      <c r="M3807" s="51" t="s">
        <v>24</v>
      </c>
      <c r="N3807" s="52">
        <v>5</v>
      </c>
      <c r="O3807" s="51" t="s">
        <v>25</v>
      </c>
      <c r="P3807" s="51" t="s">
        <v>41</v>
      </c>
      <c r="Q3807" s="51" t="s">
        <v>60</v>
      </c>
      <c r="R3807" s="51" t="s">
        <v>450</v>
      </c>
      <c r="S3807" s="43"/>
    </row>
    <row r="3808" spans="1:19" ht="14.4" hidden="1">
      <c r="A3808" s="38">
        <f>IF(C3808="","",MAX($A$1:A3807)+1)</f>
        <v>3487</v>
      </c>
      <c r="B3808" s="70" t="s">
        <v>19</v>
      </c>
      <c r="C3808" s="60">
        <v>46112</v>
      </c>
      <c r="D3808" s="61" t="str">
        <f>_xlfn.XLOOKUP(Table134526_79101120212223242526[[#This Row],[Name Surname]],Manpower!$C$4:$C$1048576,Manpower!$B$4:$B$1048576,"")</f>
        <v>Encogroup</v>
      </c>
      <c r="E3808" s="57" t="s">
        <v>37</v>
      </c>
      <c r="F3808" s="12">
        <f>_xlfn.XLOOKUP(Table134526_79101120212223242526[[#This Row],[Name Surname]],Manpower!C:C,Manpower!D:D,)</f>
        <v>140742088</v>
      </c>
      <c r="G3808" s="61" t="str">
        <f>_xlfn.XLOOKUP(Table134526_79101120212223242526[[#This Row],[Name Surname]],Manpower!$C$4:$C$1048576,Manpower!$F$4:$F$1048576,"")</f>
        <v>Fitter/Erector</v>
      </c>
      <c r="H3808" s="61" t="str">
        <f>_xlfn.XLOOKUP(Table134526_79101120212223242526[[#This Row],[Name Surname]],Manpower!$C$4:$C$1048576,Manpower!$H$4:$H$1048576,"")</f>
        <v>Manpower</v>
      </c>
      <c r="I3808" s="28" t="str">
        <f>_xlfn.XLOOKUP(Table134526_79101120212223242526[[#This Row],[Name Surname]],Manpower!$C$4:$C$1048576,Manpower!$H$4:$H$1048576,"")</f>
        <v>Manpower</v>
      </c>
      <c r="J3808" s="21" t="s">
        <v>48</v>
      </c>
      <c r="K3808" s="57" t="s">
        <v>26</v>
      </c>
      <c r="L3808" s="57" t="s">
        <v>49</v>
      </c>
      <c r="M3808" s="57" t="s">
        <v>24</v>
      </c>
      <c r="N3808" s="62">
        <v>5</v>
      </c>
      <c r="O3808" s="57" t="s">
        <v>25</v>
      </c>
      <c r="P3808" s="57" t="s">
        <v>41</v>
      </c>
      <c r="Q3808" s="57" t="s">
        <v>60</v>
      </c>
      <c r="R3808" s="57" t="s">
        <v>450</v>
      </c>
    </row>
    <row r="3809" spans="1:19" ht="14.4" hidden="1">
      <c r="A3809" s="38">
        <f>IF(C3809="","",MAX($A$1:A3808)+1)</f>
        <v>3488</v>
      </c>
      <c r="B3809" s="70" t="s">
        <v>19</v>
      </c>
      <c r="C3809" s="60">
        <v>46112</v>
      </c>
      <c r="D3809" s="61" t="str">
        <f>_xlfn.XLOOKUP(Table134526_79101120212223242526[[#This Row],[Name Surname]],Manpower!$C$4:$C$1048576,Manpower!$B$4:$B$1048576,"")</f>
        <v>Encogroup</v>
      </c>
      <c r="E3809" s="57" t="s">
        <v>32</v>
      </c>
      <c r="F3809" s="12">
        <f>_xlfn.XLOOKUP(Table134526_79101120212223242526[[#This Row],[Name Surname]],Manpower!C:C,Manpower!D:D,)</f>
        <v>140697039</v>
      </c>
      <c r="G3809" s="61" t="str">
        <f>_xlfn.XLOOKUP(Table134526_79101120212223242526[[#This Row],[Name Surname]],Manpower!$C$4:$C$1048576,Manpower!$F$4:$F$1048576,"")</f>
        <v>Fitter/Erector</v>
      </c>
      <c r="H3809" s="61" t="str">
        <f>_xlfn.XLOOKUP(Table134526_79101120212223242526[[#This Row],[Name Surname]],Manpower!$C$4:$C$1048576,Manpower!$H$4:$H$1048576,"")</f>
        <v>Manpower</v>
      </c>
      <c r="I3809" s="28" t="str">
        <f>_xlfn.XLOOKUP(Table134526_79101120212223242526[[#This Row],[Name Surname]],Manpower!$C$4:$C$1048576,Manpower!$H$4:$H$1048576,"")</f>
        <v>Manpower</v>
      </c>
      <c r="J3809" s="21" t="s">
        <v>48</v>
      </c>
      <c r="K3809" s="57" t="s">
        <v>26</v>
      </c>
      <c r="L3809" s="57" t="s">
        <v>49</v>
      </c>
      <c r="M3809" s="57" t="s">
        <v>24</v>
      </c>
      <c r="N3809" s="62">
        <v>5</v>
      </c>
      <c r="O3809" s="57" t="s">
        <v>25</v>
      </c>
      <c r="P3809" s="57" t="s">
        <v>41</v>
      </c>
      <c r="Q3809" s="57" t="s">
        <v>60</v>
      </c>
      <c r="R3809" s="57" t="s">
        <v>450</v>
      </c>
    </row>
    <row r="3810" spans="1:19" s="45" customFormat="1" ht="14.4" hidden="1">
      <c r="A3810" s="53">
        <f>IF(C3810="","",MAX($A$1:A3809)+1)</f>
        <v>3489</v>
      </c>
      <c r="B3810" s="54" t="s">
        <v>19</v>
      </c>
      <c r="C3810" s="55">
        <v>46112</v>
      </c>
      <c r="D3810" s="68" t="str">
        <f>_xlfn.XLOOKUP(Table134526_79101120212223242526[[#This Row],[Name Surname]],Manpower!$C$4:$C$1048576,Manpower!$B$4:$B$1048576,"")</f>
        <v>Encogroup</v>
      </c>
      <c r="E3810" s="51" t="s">
        <v>207</v>
      </c>
      <c r="F3810" s="12">
        <f>_xlfn.XLOOKUP(Table134526_79101120212223242526[[#This Row],[Name Surname]],Manpower!C:C,Manpower!D:D,)</f>
        <v>141359216</v>
      </c>
      <c r="G3810" s="68" t="str">
        <f>_xlfn.XLOOKUP(Table134526_79101120212223242526[[#This Row],[Name Surname]],Manpower!$C$4:$C$1048576,Manpower!$F$4:$F$1048576,"")</f>
        <v>Electrician</v>
      </c>
      <c r="H3810" s="68" t="str">
        <f>_xlfn.XLOOKUP(Table134526_79101120212223242526[[#This Row],[Name Surname]],Manpower!$C$4:$C$1048576,Manpower!$H$4:$H$1048576,"")</f>
        <v>Manpower</v>
      </c>
      <c r="I3810" s="48" t="str">
        <f>_xlfn.XLOOKUP(Table134526_79101120212223242526[[#This Row],[Name Surname]],Manpower!$C$4:$C$1048576,Manpower!$H$4:$H$1048576,"")</f>
        <v>Manpower</v>
      </c>
      <c r="J3810" s="43" t="s">
        <v>48</v>
      </c>
      <c r="K3810" s="51" t="s">
        <v>26</v>
      </c>
      <c r="L3810" s="51" t="s">
        <v>49</v>
      </c>
      <c r="M3810" s="51" t="s">
        <v>24</v>
      </c>
      <c r="N3810" s="52">
        <v>10</v>
      </c>
      <c r="O3810" s="51" t="s">
        <v>25</v>
      </c>
      <c r="P3810" s="51" t="s">
        <v>41</v>
      </c>
      <c r="Q3810" s="51" t="s">
        <v>60</v>
      </c>
      <c r="R3810" s="51" t="s">
        <v>450</v>
      </c>
      <c r="S3810" s="43"/>
    </row>
    <row r="3811" spans="1:19" s="45" customFormat="1" ht="14.4" hidden="1">
      <c r="A3811" s="53">
        <f>IF(C3811="","",MAX($A$1:A3810)+1)</f>
        <v>3490</v>
      </c>
      <c r="B3811" s="54" t="s">
        <v>19</v>
      </c>
      <c r="C3811" s="55">
        <v>46112</v>
      </c>
      <c r="D3811" s="68" t="str">
        <f>_xlfn.XLOOKUP(Table134526_79101120212223242526[[#This Row],[Name Surname]],Manpower!$C$4:$C$1048576,Manpower!$B$4:$B$1048576,"")</f>
        <v>Encogroup</v>
      </c>
      <c r="E3811" s="51" t="s">
        <v>70</v>
      </c>
      <c r="F3811" s="12">
        <f>_xlfn.XLOOKUP(Table134526_79101120212223242526[[#This Row],[Name Surname]],Manpower!C:C,Manpower!D:D,)</f>
        <v>141365126</v>
      </c>
      <c r="G3811" s="68" t="str">
        <f>_xlfn.XLOOKUP(Table134526_79101120212223242526[[#This Row],[Name Surname]],Manpower!$C$4:$C$1048576,Manpower!$F$4:$F$1048576,"")</f>
        <v>Helper</v>
      </c>
      <c r="H3811" s="68" t="str">
        <f>_xlfn.XLOOKUP(Table134526_79101120212223242526[[#This Row],[Name Surname]],Manpower!$C$4:$C$1048576,Manpower!$H$4:$H$1048576,"")</f>
        <v>Manpower</v>
      </c>
      <c r="I3811" s="48" t="str">
        <f>_xlfn.XLOOKUP(Table134526_79101120212223242526[[#This Row],[Name Surname]],Manpower!$C$4:$C$1048576,Manpower!$H$4:$H$1048576,"")</f>
        <v>Manpower</v>
      </c>
      <c r="J3811" s="43" t="s">
        <v>48</v>
      </c>
      <c r="K3811" s="51" t="s">
        <v>26</v>
      </c>
      <c r="L3811" s="51" t="s">
        <v>49</v>
      </c>
      <c r="M3811" s="51" t="s">
        <v>24</v>
      </c>
      <c r="N3811" s="52">
        <v>10</v>
      </c>
      <c r="O3811" s="51" t="s">
        <v>25</v>
      </c>
      <c r="P3811" s="51" t="s">
        <v>41</v>
      </c>
      <c r="Q3811" s="51" t="s">
        <v>60</v>
      </c>
      <c r="R3811" s="51" t="s">
        <v>450</v>
      </c>
      <c r="S3811" s="43"/>
    </row>
    <row r="3812" spans="1:19" s="45" customFormat="1" ht="14.4" hidden="1">
      <c r="A3812" s="53">
        <f>IF(C3812="","",MAX($A$1:A3811)+1)</f>
        <v>3491</v>
      </c>
      <c r="B3812" s="54" t="s">
        <v>19</v>
      </c>
      <c r="C3812" s="55">
        <v>46112</v>
      </c>
      <c r="D3812" s="68" t="str">
        <f>_xlfn.XLOOKUP(Table134526_79101120212223242526[[#This Row],[Name Surname]],Manpower!$C$4:$C$1048576,Manpower!$B$4:$B$1048576,"")</f>
        <v>Bright Light</v>
      </c>
      <c r="E3812" s="51" t="s">
        <v>71</v>
      </c>
      <c r="F3812" s="12">
        <f>_xlfn.XLOOKUP(Table134526_79101120212223242526[[#This Row],[Name Surname]],Manpower!C:C,Manpower!D:D,)</f>
        <v>81379273</v>
      </c>
      <c r="G3812" s="68" t="str">
        <f>_xlfn.XLOOKUP(Table134526_79101120212223242526[[#This Row],[Name Surname]],Manpower!$C$4:$C$1048576,Manpower!$F$4:$F$1048576,"")</f>
        <v>Crane Operator-100T Sany Telescopic</v>
      </c>
      <c r="H3812" s="68" t="str">
        <f>_xlfn.XLOOKUP(Table134526_79101120212223242526[[#This Row],[Name Surname]],Manpower!$C$4:$C$1048576,Manpower!$H$4:$H$1048576,"")</f>
        <v>Manpower</v>
      </c>
      <c r="I3812" s="48" t="str">
        <f>_xlfn.XLOOKUP(Table134526_79101120212223242526[[#This Row],[Name Surname]],Manpower!$C$4:$C$1048576,Manpower!$H$4:$H$1048576,"")</f>
        <v>Manpower</v>
      </c>
      <c r="J3812" s="43" t="s">
        <v>48</v>
      </c>
      <c r="K3812" s="51" t="s">
        <v>26</v>
      </c>
      <c r="L3812" s="51" t="s">
        <v>49</v>
      </c>
      <c r="M3812" s="51" t="s">
        <v>55</v>
      </c>
      <c r="N3812" s="52">
        <v>10</v>
      </c>
      <c r="O3812" s="51"/>
      <c r="P3812" s="51"/>
      <c r="Q3812" s="51"/>
      <c r="R3812" s="51" t="s">
        <v>425</v>
      </c>
      <c r="S3812" s="43"/>
    </row>
    <row r="3813" spans="1:19" s="45" customFormat="1" ht="14.4" hidden="1">
      <c r="A3813" s="53">
        <f>IF(C3813="","",MAX($A$1:A3812)+1)</f>
        <v>3492</v>
      </c>
      <c r="B3813" s="54" t="s">
        <v>19</v>
      </c>
      <c r="C3813" s="55">
        <v>46112</v>
      </c>
      <c r="D3813" s="68" t="str">
        <f>_xlfn.XLOOKUP(Table134526_79101120212223242526[[#This Row],[Name Surname]],Manpower!$C$4:$C$1048576,Manpower!$B$4:$B$1048576,"")</f>
        <v>Encogroup</v>
      </c>
      <c r="E3813" s="51" t="s">
        <v>73</v>
      </c>
      <c r="F3813" s="12">
        <f>_xlfn.XLOOKUP(Table134526_79101120212223242526[[#This Row],[Name Surname]],Manpower!C:C,Manpower!D:D,)</f>
        <v>135325259</v>
      </c>
      <c r="G3813" s="68" t="str">
        <f>_xlfn.XLOOKUP(Table134526_79101120212223242526[[#This Row],[Name Surname]],Manpower!$C$4:$C$1048576,Manpower!$F$4:$F$1048576,"")</f>
        <v>Permit Receiver</v>
      </c>
      <c r="H3813" s="68" t="str">
        <f>_xlfn.XLOOKUP(Table134526_79101120212223242526[[#This Row],[Name Surname]],Manpower!$C$4:$C$1048576,Manpower!$H$4:$H$1048576,"")</f>
        <v>Manpower</v>
      </c>
      <c r="I3813" s="48" t="str">
        <f>_xlfn.XLOOKUP(Table134526_79101120212223242526[[#This Row],[Name Surname]],Manpower!$C$4:$C$1048576,Manpower!$H$4:$H$1048576,"")</f>
        <v>Manpower</v>
      </c>
      <c r="J3813" s="43" t="s">
        <v>48</v>
      </c>
      <c r="K3813" s="51" t="s">
        <v>26</v>
      </c>
      <c r="L3813" s="51" t="s">
        <v>49</v>
      </c>
      <c r="M3813" s="51" t="s">
        <v>24</v>
      </c>
      <c r="N3813" s="52">
        <v>10</v>
      </c>
      <c r="O3813" s="51" t="s">
        <v>25</v>
      </c>
      <c r="P3813" s="51" t="s">
        <v>41</v>
      </c>
      <c r="Q3813" s="51" t="s">
        <v>60</v>
      </c>
      <c r="R3813" s="51" t="s">
        <v>450</v>
      </c>
      <c r="S3813" s="43"/>
    </row>
    <row r="3814" spans="1:19" s="45" customFormat="1" ht="14.4" hidden="1">
      <c r="A3814" s="53">
        <f>IF(C3814="","",MAX($A$1:A3813)+1)</f>
        <v>3493</v>
      </c>
      <c r="B3814" s="54" t="s">
        <v>19</v>
      </c>
      <c r="C3814" s="55">
        <v>46112</v>
      </c>
      <c r="D3814" s="68" t="str">
        <f>_xlfn.XLOOKUP(Table134526_79101120212223242526[[#This Row],[Name Surname]],Manpower!$C$4:$C$1048576,Manpower!$B$4:$B$1048576,"")</f>
        <v>Encogroup</v>
      </c>
      <c r="E3814" s="51" t="s">
        <v>74</v>
      </c>
      <c r="F3814" s="12">
        <f>_xlfn.XLOOKUP(Table134526_79101120212223242526[[#This Row],[Name Surname]],Manpower!C:C,Manpower!D:D,)</f>
        <v>141365089</v>
      </c>
      <c r="G3814" s="68" t="str">
        <f>_xlfn.XLOOKUP(Table134526_79101120212223242526[[#This Row],[Name Surname]],Manpower!$C$4:$C$1048576,Manpower!$F$4:$F$1048576,"")</f>
        <v>Fitter</v>
      </c>
      <c r="H3814" s="68" t="str">
        <f>_xlfn.XLOOKUP(Table134526_79101120212223242526[[#This Row],[Name Surname]],Manpower!$C$4:$C$1048576,Manpower!$H$4:$H$1048576,"")</f>
        <v>Manpower</v>
      </c>
      <c r="I3814" s="48" t="str">
        <f>_xlfn.XLOOKUP(Table134526_79101120212223242526[[#This Row],[Name Surname]],Manpower!$C$4:$C$1048576,Manpower!$H$4:$H$1048576,"")</f>
        <v>Manpower</v>
      </c>
      <c r="J3814" s="43" t="s">
        <v>48</v>
      </c>
      <c r="K3814" s="51" t="s">
        <v>26</v>
      </c>
      <c r="L3814" s="51" t="s">
        <v>49</v>
      </c>
      <c r="M3814" s="51" t="s">
        <v>24</v>
      </c>
      <c r="N3814" s="52">
        <v>10</v>
      </c>
      <c r="O3814" s="51" t="s">
        <v>25</v>
      </c>
      <c r="P3814" s="51" t="s">
        <v>41</v>
      </c>
      <c r="Q3814" s="51" t="s">
        <v>60</v>
      </c>
      <c r="R3814" s="51" t="s">
        <v>450</v>
      </c>
      <c r="S3814" s="43"/>
    </row>
    <row r="3815" spans="1:19" s="45" customFormat="1" ht="14.4" hidden="1">
      <c r="A3815" s="53">
        <f>IF(C3815="","",MAX($A$1:A3814)+1)</f>
        <v>3494</v>
      </c>
      <c r="B3815" s="54" t="s">
        <v>19</v>
      </c>
      <c r="C3815" s="55">
        <v>46112</v>
      </c>
      <c r="D3815" s="48" t="str">
        <f>_xlfn.XLOOKUP(Table134526_79101120212223242526[[#This Row],[Name Surname]],Manpower!$C$4:$C$1048576,Manpower!$B$4:$B$1048576,"")</f>
        <v>Encogroup</v>
      </c>
      <c r="E3815" s="43" t="s">
        <v>102</v>
      </c>
      <c r="F3815" s="12">
        <f>_xlfn.XLOOKUP(Table134526_79101120212223242526[[#This Row],[Name Surname]],Manpower!C:C,Manpower!D:D,)</f>
        <v>141365075</v>
      </c>
      <c r="G3815" s="48" t="str">
        <f>_xlfn.XLOOKUP(Table134526_79101120212223242526[[#This Row],[Name Surname]],Manpower!$C$4:$C$1048576,Manpower!$F$4:$F$1048576,"")</f>
        <v>Helper</v>
      </c>
      <c r="H3815" s="48" t="str">
        <f>_xlfn.XLOOKUP(Table134526_79101120212223242526[[#This Row],[Name Surname]],Manpower!$C$4:$C$1048576,Manpower!$H$4:$H$1048576,"")</f>
        <v>Manpower</v>
      </c>
      <c r="I3815" s="48" t="str">
        <f>_xlfn.XLOOKUP(Table134526_79101120212223242526[[#This Row],[Name Surname]],Manpower!$C$4:$C$1048576,Manpower!$H$4:$H$1048576,"")</f>
        <v>Manpower</v>
      </c>
      <c r="J3815" s="43" t="s">
        <v>48</v>
      </c>
      <c r="K3815" s="51" t="s">
        <v>26</v>
      </c>
      <c r="L3815" s="51" t="s">
        <v>49</v>
      </c>
      <c r="M3815" s="51" t="s">
        <v>24</v>
      </c>
      <c r="N3815" s="52">
        <v>10</v>
      </c>
      <c r="O3815" s="43" t="s">
        <v>236</v>
      </c>
      <c r="P3815" s="43" t="s">
        <v>236</v>
      </c>
      <c r="Q3815" s="43" t="s">
        <v>236</v>
      </c>
      <c r="R3815" s="51" t="s">
        <v>450</v>
      </c>
      <c r="S3815" s="43"/>
    </row>
    <row r="3816" spans="1:19" ht="14.4" hidden="1">
      <c r="A3816" s="38">
        <f>IF(C3816="","",MAX($A$1:A3815)+1)</f>
        <v>3495</v>
      </c>
      <c r="B3816" s="70" t="s">
        <v>19</v>
      </c>
      <c r="C3816" s="60">
        <v>46112</v>
      </c>
      <c r="D3816" s="28" t="str">
        <f>_xlfn.XLOOKUP(Table134526_79101120212223242526[[#This Row],[Name Surname]],Manpower!$C$4:$C$1048576,Manpower!$B$4:$B$1048576,"")</f>
        <v>Bright Light</v>
      </c>
      <c r="E3816" s="21" t="s">
        <v>427</v>
      </c>
      <c r="F3816" s="12">
        <f>_xlfn.XLOOKUP(Table134526_79101120212223242526[[#This Row],[Name Surname]],Manpower!C:C,Manpower!D:D,)</f>
        <v>103199925</v>
      </c>
      <c r="G3816" s="28" t="str">
        <f>_xlfn.XLOOKUP(Table134526_79101120212223242526[[#This Row],[Name Surname]],Manpower!$C$4:$C$1048576,Manpower!$F$4:$F$1048576,"")</f>
        <v>Mechanic</v>
      </c>
      <c r="H3816" s="28" t="str">
        <f>_xlfn.XLOOKUP(Table134526_79101120212223242526[[#This Row],[Name Surname]],Manpower!$C$4:$C$1048576,Manpower!$H$4:$H$1048576,"")</f>
        <v>Sub Contactor</v>
      </c>
      <c r="I3816" s="28" t="str">
        <f>_xlfn.XLOOKUP(Table134526_79101120212223242526[[#This Row],[Name Surname]],Manpower!$C$4:$C$1048576,Manpower!$H$4:$H$1048576,"")</f>
        <v>Sub Contactor</v>
      </c>
      <c r="J3816" s="21" t="s">
        <v>48</v>
      </c>
      <c r="K3816" s="57" t="s">
        <v>26</v>
      </c>
      <c r="L3816" s="57" t="s">
        <v>49</v>
      </c>
      <c r="M3816" s="57" t="s">
        <v>24</v>
      </c>
      <c r="N3816" s="62">
        <v>10</v>
      </c>
      <c r="O3816" s="21" t="s">
        <v>236</v>
      </c>
      <c r="P3816" s="21" t="s">
        <v>236</v>
      </c>
      <c r="Q3816" s="21" t="s">
        <v>236</v>
      </c>
      <c r="R3816" s="57" t="s">
        <v>450</v>
      </c>
    </row>
    <row r="3817" spans="1:19" ht="14.4" hidden="1">
      <c r="A3817" s="38">
        <f>IF(C3817="","",MAX($A$1:A3816)+1)</f>
        <v>3496</v>
      </c>
      <c r="B3817" s="70" t="s">
        <v>19</v>
      </c>
      <c r="C3817" s="60">
        <v>46112</v>
      </c>
      <c r="D3817" s="28" t="str">
        <f>_xlfn.XLOOKUP(Table134526_79101120212223242526[[#This Row],[Name Surname]],Manpower!$C$4:$C$1048576,Manpower!$B$4:$B$1048576,"")</f>
        <v>Bright Light</v>
      </c>
      <c r="E3817" s="21" t="s">
        <v>324</v>
      </c>
      <c r="F3817" s="12">
        <f>_xlfn.XLOOKUP(Table134526_79101120212223242526[[#This Row],[Name Surname]],Manpower!C:C,Manpower!D:D,)</f>
        <v>83935096</v>
      </c>
      <c r="G3817" s="28" t="str">
        <f>_xlfn.XLOOKUP(Table134526_79101120212223242526[[#This Row],[Name Surname]],Manpower!$C$4:$C$1048576,Manpower!$F$4:$F$1048576,"")</f>
        <v>Technician</v>
      </c>
      <c r="H3817" s="28" t="str">
        <f>_xlfn.XLOOKUP(Table134526_79101120212223242526[[#This Row],[Name Surname]],Manpower!$C$4:$C$1048576,Manpower!$H$4:$H$1048576,"")</f>
        <v>Sub Contactor</v>
      </c>
      <c r="I3817" s="28" t="str">
        <f>_xlfn.XLOOKUP(Table134526_79101120212223242526[[#This Row],[Name Surname]],Manpower!$C$4:$C$1048576,Manpower!$H$4:$H$1048576,"")</f>
        <v>Sub Contactor</v>
      </c>
      <c r="J3817" s="21" t="s">
        <v>48</v>
      </c>
      <c r="K3817" s="57" t="s">
        <v>26</v>
      </c>
      <c r="L3817" s="57" t="s">
        <v>49</v>
      </c>
      <c r="M3817" s="57" t="s">
        <v>24</v>
      </c>
      <c r="N3817" s="62">
        <v>10</v>
      </c>
      <c r="O3817" s="21" t="s">
        <v>236</v>
      </c>
      <c r="P3817" s="21" t="s">
        <v>236</v>
      </c>
      <c r="Q3817" s="21" t="s">
        <v>236</v>
      </c>
      <c r="R3817" s="57" t="s">
        <v>450</v>
      </c>
    </row>
    <row r="3818" spans="1:19" s="45" customFormat="1" ht="14.4" hidden="1">
      <c r="A3818" s="53">
        <f>IF(C3818="","",MAX($A$1:A3817)+1)</f>
        <v>3497</v>
      </c>
      <c r="B3818" s="54" t="s">
        <v>19</v>
      </c>
      <c r="C3818" s="55">
        <v>46112</v>
      </c>
      <c r="D3818" s="48" t="str">
        <f>_xlfn.XLOOKUP(Table134526_79101120212223242526[[#This Row],[Name Surname]],Manpower!$C$4:$C$1048576,Manpower!$B$4:$B$1048576,"")</f>
        <v>Encogroup</v>
      </c>
      <c r="E3818" s="43" t="s">
        <v>237</v>
      </c>
      <c r="F3818" s="12">
        <f>_xlfn.XLOOKUP(Table134526_79101120212223242526[[#This Row],[Name Surname]],Manpower!C:C,Manpower!D:D,)</f>
        <v>75199413</v>
      </c>
      <c r="G3818" s="48" t="str">
        <f>_xlfn.XLOOKUP(Table134526_79101120212223242526[[#This Row],[Name Surname]],Manpower!$C$4:$C$1048576,Manpower!$F$4:$F$1048576,"")</f>
        <v>Mechanic</v>
      </c>
      <c r="H3818" s="48" t="str">
        <f>_xlfn.XLOOKUP(Table134526_79101120212223242526[[#This Row],[Name Surname]],Manpower!$C$4:$C$1048576,Manpower!$H$4:$H$1048576,"")</f>
        <v>Manpower</v>
      </c>
      <c r="I3818" s="48" t="str">
        <f>_xlfn.XLOOKUP(Table134526_79101120212223242526[[#This Row],[Name Surname]],Manpower!$C$4:$C$1048576,Manpower!$H$4:$H$1048576,"")</f>
        <v>Manpower</v>
      </c>
      <c r="J3818" s="43" t="s">
        <v>135</v>
      </c>
      <c r="K3818" s="51" t="s">
        <v>26</v>
      </c>
      <c r="L3818" s="51" t="s">
        <v>49</v>
      </c>
      <c r="M3818" s="51" t="s">
        <v>24</v>
      </c>
      <c r="N3818" s="52">
        <v>10</v>
      </c>
      <c r="O3818" s="43" t="s">
        <v>236</v>
      </c>
      <c r="P3818" s="43" t="s">
        <v>236</v>
      </c>
      <c r="Q3818" s="43" t="s">
        <v>236</v>
      </c>
      <c r="R3818" s="43" t="s">
        <v>26</v>
      </c>
      <c r="S3818" s="43"/>
    </row>
    <row r="3819" spans="1:19" s="45" customFormat="1" ht="14.4" hidden="1">
      <c r="A3819" s="53">
        <f>IF(C3819="","",MAX($A$1:A3818)+1)</f>
        <v>3498</v>
      </c>
      <c r="B3819" s="54" t="s">
        <v>19</v>
      </c>
      <c r="C3819" s="55">
        <v>46112</v>
      </c>
      <c r="D3819" s="68" t="str">
        <f>_xlfn.XLOOKUP(Table134526_79101120212223242526[[#This Row],[Name Surname]],Manpower!$C$4:$C$1048576,Manpower!$B$4:$B$1048576,"")</f>
        <v>Encogroup</v>
      </c>
      <c r="E3819" s="51" t="s">
        <v>75</v>
      </c>
      <c r="F3819" s="12">
        <f>_xlfn.XLOOKUP(Table134526_79101120212223242526[[#This Row],[Name Surname]],Manpower!C:C,Manpower!D:D,)</f>
        <v>122179604</v>
      </c>
      <c r="G3819" s="68" t="str">
        <f>_xlfn.XLOOKUP(Table134526_79101120212223242526[[#This Row],[Name Surname]],Manpower!$C$4:$C$1048576,Manpower!$F$4:$F$1048576,"")</f>
        <v>Fitter/Erector</v>
      </c>
      <c r="H3819" s="68" t="str">
        <f>_xlfn.XLOOKUP(Table134526_79101120212223242526[[#This Row],[Name Surname]],Manpower!$C$4:$C$1048576,Manpower!$H$4:$H$1048576,"")</f>
        <v>Manpower</v>
      </c>
      <c r="I3819" s="48" t="str">
        <f>_xlfn.XLOOKUP(Table134526_79101120212223242526[[#This Row],[Name Surname]],Manpower!$C$4:$C$1048576,Manpower!$H$4:$H$1048576,"")</f>
        <v>Manpower</v>
      </c>
      <c r="J3819" s="43" t="s">
        <v>48</v>
      </c>
      <c r="K3819" s="51" t="s">
        <v>26</v>
      </c>
      <c r="L3819" s="51" t="s">
        <v>49</v>
      </c>
      <c r="M3819" s="51" t="s">
        <v>24</v>
      </c>
      <c r="N3819" s="52">
        <v>10</v>
      </c>
      <c r="O3819" s="51" t="s">
        <v>25</v>
      </c>
      <c r="P3819" s="51" t="s">
        <v>41</v>
      </c>
      <c r="Q3819" s="51" t="s">
        <v>60</v>
      </c>
      <c r="R3819" s="51" t="s">
        <v>450</v>
      </c>
      <c r="S3819" s="43"/>
    </row>
    <row r="3820" spans="1:19" s="45" customFormat="1" ht="14.4" hidden="1">
      <c r="A3820" s="53">
        <f>IF(C3820="","",MAX($A$1:A3819)+1)</f>
        <v>3499</v>
      </c>
      <c r="B3820" s="54" t="s">
        <v>19</v>
      </c>
      <c r="C3820" s="55">
        <v>46112</v>
      </c>
      <c r="D3820" s="68" t="str">
        <f>_xlfn.XLOOKUP(Table134526_79101120212223242526[[#This Row],[Name Surname]],Manpower!$C$4:$C$1048576,Manpower!$B$4:$B$1048576,"")</f>
        <v>Encogroup</v>
      </c>
      <c r="E3820" s="51" t="s">
        <v>78</v>
      </c>
      <c r="F3820" s="12">
        <f>_xlfn.XLOOKUP(Table134526_79101120212223242526[[#This Row],[Name Surname]],Manpower!C:C,Manpower!D:D,)</f>
        <v>117255966</v>
      </c>
      <c r="G3820" s="68" t="str">
        <f>_xlfn.XLOOKUP(Table134526_79101120212223242526[[#This Row],[Name Surname]],Manpower!$C$4:$C$1048576,Manpower!$F$4:$F$1048576,"")</f>
        <v>Mechanical Supervisor</v>
      </c>
      <c r="H3820" s="68" t="str">
        <f>_xlfn.XLOOKUP(Table134526_79101120212223242526[[#This Row],[Name Surname]],Manpower!$C$4:$C$1048576,Manpower!$H$4:$H$1048576,"")</f>
        <v>Manpower</v>
      </c>
      <c r="I3820" s="48" t="str">
        <f>_xlfn.XLOOKUP(Table134526_79101120212223242526[[#This Row],[Name Surname]],Manpower!$C$4:$C$1048576,Manpower!$H$4:$H$1048576,"")</f>
        <v>Manpower</v>
      </c>
      <c r="J3820" s="43" t="s">
        <v>48</v>
      </c>
      <c r="K3820" s="51" t="s">
        <v>26</v>
      </c>
      <c r="L3820" s="51" t="s">
        <v>49</v>
      </c>
      <c r="M3820" s="51" t="s">
        <v>24</v>
      </c>
      <c r="N3820" s="52">
        <v>10</v>
      </c>
      <c r="O3820" s="51" t="s">
        <v>25</v>
      </c>
      <c r="P3820" s="51" t="s">
        <v>41</v>
      </c>
      <c r="Q3820" s="51" t="s">
        <v>60</v>
      </c>
      <c r="R3820" s="51" t="s">
        <v>450</v>
      </c>
      <c r="S3820" s="43"/>
    </row>
    <row r="3821" spans="1:19" ht="14.4" hidden="1">
      <c r="A3821" s="38">
        <f>IF(C3821="","",MAX($A$1:A3820)+1)</f>
        <v>3500</v>
      </c>
      <c r="B3821" s="65" t="s">
        <v>141</v>
      </c>
      <c r="C3821" s="60">
        <v>46112</v>
      </c>
      <c r="D3821" s="61" t="str">
        <f>_xlfn.XLOOKUP(Table134526_79101120212223242526[[#This Row],[Name Surname]],Manpower!$C$4:$C$1048576,Manpower!$B$4:$B$1048576,"")</f>
        <v>Encogroup</v>
      </c>
      <c r="E3821" s="57" t="s">
        <v>377</v>
      </c>
      <c r="F3821" s="12">
        <f>_xlfn.XLOOKUP(Table134526_79101120212223242526[[#This Row],[Name Surname]],Manpower!C:C,Manpower!D:D,)</f>
        <v>141322485</v>
      </c>
      <c r="G3821" s="61" t="str">
        <f>_xlfn.XLOOKUP(Table134526_79101120212223242526[[#This Row],[Name Surname]],Manpower!$C$4:$C$1048576,Manpower!$F$4:$F$1048576,"")</f>
        <v>Electrical Engineer</v>
      </c>
      <c r="H3821" s="61" t="str">
        <f>_xlfn.XLOOKUP(Table134526_79101120212223242526[[#This Row],[Name Surname]],Manpower!$C$4:$C$1048576,Manpower!$H$4:$H$1048576,"")</f>
        <v>Manpower</v>
      </c>
      <c r="I3821" s="28" t="str">
        <f>_xlfn.XLOOKUP(Table134526_79101120212223242526[[#This Row],[Name Surname]],Manpower!$C$4:$C$1048576,Manpower!$H$4:$H$1048576,"")</f>
        <v>Manpower</v>
      </c>
      <c r="J3821" s="21" t="s">
        <v>378</v>
      </c>
      <c r="K3821" s="57" t="s">
        <v>26</v>
      </c>
      <c r="L3821" s="57" t="s">
        <v>379</v>
      </c>
      <c r="M3821" s="57" t="s">
        <v>24</v>
      </c>
      <c r="N3821" s="62">
        <v>10</v>
      </c>
      <c r="O3821" s="57" t="s">
        <v>28</v>
      </c>
      <c r="P3821" s="57" t="s">
        <v>28</v>
      </c>
      <c r="Q3821" s="57" t="s">
        <v>380</v>
      </c>
      <c r="R3821" s="57" t="s">
        <v>26</v>
      </c>
    </row>
    <row r="3822" spans="1:19" ht="14.4" hidden="1">
      <c r="A3822" s="38">
        <f>IF(C3822="","",MAX($A$1:A3821)+1)</f>
        <v>3501</v>
      </c>
      <c r="B3822" s="65" t="s">
        <v>141</v>
      </c>
      <c r="C3822" s="60">
        <v>46112</v>
      </c>
      <c r="D3822" s="61" t="str">
        <f>_xlfn.XLOOKUP(Table134526_79101120212223242526[[#This Row],[Name Surname]],Manpower!$C$4:$C$1048576,Manpower!$B$4:$B$1048576,"")</f>
        <v>Encogroup</v>
      </c>
      <c r="E3822" s="57" t="s">
        <v>382</v>
      </c>
      <c r="F3822" s="12">
        <f>_xlfn.XLOOKUP(Table134526_79101120212223242526[[#This Row],[Name Surname]],Manpower!C:C,Manpower!D:D,)</f>
        <v>127414586</v>
      </c>
      <c r="G3822" s="61" t="str">
        <f>_xlfn.XLOOKUP(Table134526_79101120212223242526[[#This Row],[Name Surname]],Manpower!$C$4:$C$1048576,Manpower!$F$4:$F$1048576,"")</f>
        <v>HSE Officer</v>
      </c>
      <c r="H3822" s="61" t="str">
        <f>_xlfn.XLOOKUP(Table134526_79101120212223242526[[#This Row],[Name Surname]],Manpower!$C$4:$C$1048576,Manpower!$H$4:$H$1048576,"")</f>
        <v>Manpower</v>
      </c>
      <c r="I3822" s="28" t="str">
        <f>_xlfn.XLOOKUP(Table134526_79101120212223242526[[#This Row],[Name Surname]],Manpower!$C$4:$C$1048576,Manpower!$H$4:$H$1048576,"")</f>
        <v>Manpower</v>
      </c>
      <c r="J3822" s="21" t="s">
        <v>378</v>
      </c>
      <c r="K3822" s="57" t="s">
        <v>26</v>
      </c>
      <c r="L3822" s="57" t="s">
        <v>379</v>
      </c>
      <c r="M3822" s="57" t="s">
        <v>24</v>
      </c>
      <c r="N3822" s="62">
        <v>10</v>
      </c>
      <c r="O3822" s="57" t="s">
        <v>28</v>
      </c>
      <c r="P3822" s="57" t="s">
        <v>28</v>
      </c>
      <c r="Q3822" s="57" t="s">
        <v>380</v>
      </c>
      <c r="R3822" s="57" t="s">
        <v>26</v>
      </c>
    </row>
    <row r="3823" spans="1:19" s="45" customFormat="1" ht="14.4" hidden="1">
      <c r="A3823" s="53">
        <f>IF(C3823="","",MAX($A$1:A3822)+1)</f>
        <v>3502</v>
      </c>
      <c r="B3823" s="54" t="s">
        <v>141</v>
      </c>
      <c r="C3823" s="55">
        <v>46112</v>
      </c>
      <c r="D3823" s="48" t="str">
        <f>_xlfn.XLOOKUP(Table134526_79101120212223242526[[#This Row],[Name Surname]],Manpower!$C$4:$C$1048576,Manpower!$B$4:$B$1048576,"")</f>
        <v>Encogroup</v>
      </c>
      <c r="E3823" s="43" t="s">
        <v>442</v>
      </c>
      <c r="F3823" s="12">
        <f>_xlfn.XLOOKUP(Table134526_79101120212223242526[[#This Row],[Name Surname]],Manpower!C:C,Manpower!D:D,)</f>
        <v>140841472</v>
      </c>
      <c r="G3823" s="48" t="str">
        <f>_xlfn.XLOOKUP(Table134526_79101120212223242526[[#This Row],[Name Surname]],Manpower!$C$4:$C$1048576,Manpower!$F$4:$F$1048576,"")</f>
        <v>Electrical Superintendent</v>
      </c>
      <c r="H3823" s="48" t="str">
        <f>_xlfn.XLOOKUP(Table134526_79101120212223242526[[#This Row],[Name Surname]],Manpower!$C$4:$C$1048576,Manpower!$H$4:$H$1048576,"")</f>
        <v>Manpower</v>
      </c>
      <c r="I3823" s="48" t="str">
        <f>_xlfn.XLOOKUP(Table134526_79101120212223242526[[#This Row],[Name Surname]],Manpower!$C$4:$C$1048576,Manpower!$H$4:$H$1048576,"")</f>
        <v>Manpower</v>
      </c>
      <c r="J3823" s="43" t="s">
        <v>378</v>
      </c>
      <c r="K3823" s="51" t="s">
        <v>26</v>
      </c>
      <c r="L3823" s="51" t="s">
        <v>379</v>
      </c>
      <c r="M3823" s="51" t="s">
        <v>24</v>
      </c>
      <c r="N3823" s="52">
        <v>10</v>
      </c>
      <c r="O3823" s="51" t="s">
        <v>28</v>
      </c>
      <c r="P3823" s="51" t="s">
        <v>28</v>
      </c>
      <c r="Q3823" s="51" t="s">
        <v>380</v>
      </c>
      <c r="R3823" s="51" t="s">
        <v>26</v>
      </c>
      <c r="S3823" s="43"/>
    </row>
    <row r="3824" spans="1:19" s="45" customFormat="1" ht="14.4" hidden="1">
      <c r="A3824" s="53">
        <f>IF(C3824="","",MAX($A$1:A3823)+1)</f>
        <v>3503</v>
      </c>
      <c r="B3824" s="54" t="s">
        <v>141</v>
      </c>
      <c r="C3824" s="55">
        <v>46112</v>
      </c>
      <c r="D3824" s="48" t="str">
        <f>_xlfn.XLOOKUP(Table134526_79101120212223242526[[#This Row],[Name Surname]],Manpower!$C$4:$C$1048576,Manpower!$B$4:$B$1048576,"")</f>
        <v>Encogroup</v>
      </c>
      <c r="E3824" s="43" t="s">
        <v>451</v>
      </c>
      <c r="F3824" s="12">
        <f>_xlfn.XLOOKUP(Table134526_79101120212223242526[[#This Row],[Name Surname]],Manpower!C:C,Manpower!D:D,)</f>
        <v>121594839</v>
      </c>
      <c r="G3824" s="48" t="str">
        <f>_xlfn.XLOOKUP(Table134526_79101120212223242526[[#This Row],[Name Surname]],Manpower!$C$4:$C$1048576,Manpower!$F$4:$F$1048576,"")</f>
        <v>Electrical Engineer</v>
      </c>
      <c r="H3824" s="48" t="str">
        <f>_xlfn.XLOOKUP(Table134526_79101120212223242526[[#This Row],[Name Surname]],Manpower!$C$4:$C$1048576,Manpower!$H$4:$H$1048576,"")</f>
        <v>Manpower</v>
      </c>
      <c r="I3824" s="48" t="str">
        <f>_xlfn.XLOOKUP(Table134526_79101120212223242526[[#This Row],[Name Surname]],Manpower!$C$4:$C$1048576,Manpower!$H$4:$H$1048576,"")</f>
        <v>Manpower</v>
      </c>
      <c r="J3824" s="43" t="s">
        <v>378</v>
      </c>
      <c r="K3824" s="51" t="s">
        <v>26</v>
      </c>
      <c r="L3824" s="51" t="s">
        <v>379</v>
      </c>
      <c r="M3824" s="51" t="s">
        <v>24</v>
      </c>
      <c r="N3824" s="52">
        <v>10</v>
      </c>
      <c r="O3824" s="51" t="s">
        <v>28</v>
      </c>
      <c r="P3824" s="51" t="s">
        <v>28</v>
      </c>
      <c r="Q3824" s="51" t="s">
        <v>380</v>
      </c>
      <c r="R3824" s="51" t="s">
        <v>26</v>
      </c>
      <c r="S3824" s="43"/>
    </row>
    <row r="3825" spans="1:19" s="45" customFormat="1" ht="14.4" hidden="1">
      <c r="A3825" s="53">
        <f>IF(C3825="","",MAX($A$1:A3822)+1)</f>
        <v>3502</v>
      </c>
      <c r="B3825" s="54" t="s">
        <v>141</v>
      </c>
      <c r="C3825" s="55">
        <v>46112</v>
      </c>
      <c r="D3825" s="68" t="str">
        <f>_xlfn.XLOOKUP(Table134526_79101120212223242526[[#This Row],[Name Surname]],Manpower!$C$4:$C$1048576,Manpower!$B$4:$B$1048576,"")</f>
        <v>Encogroup</v>
      </c>
      <c r="E3825" s="51" t="s">
        <v>383</v>
      </c>
      <c r="F3825" s="12">
        <f>_xlfn.XLOOKUP(Table134526_79101120212223242526[[#This Row],[Name Surname]],Manpower!C:C,Manpower!D:D,)</f>
        <v>71437827</v>
      </c>
      <c r="G3825" s="68" t="str">
        <f>_xlfn.XLOOKUP(Table134526_79101120212223242526[[#This Row],[Name Surname]],Manpower!$C$4:$C$1048576,Manpower!$F$4:$F$1048576,"")</f>
        <v>Electrical  Supervisor</v>
      </c>
      <c r="H3825" s="68" t="str">
        <f>_xlfn.XLOOKUP(Table134526_79101120212223242526[[#This Row],[Name Surname]],Manpower!$C$4:$C$1048576,Manpower!$H$4:$H$1048576,"")</f>
        <v>Manpower</v>
      </c>
      <c r="I3825" s="48" t="str">
        <f>_xlfn.XLOOKUP(Table134526_79101120212223242526[[#This Row],[Name Surname]],Manpower!$C$4:$C$1048576,Manpower!$H$4:$H$1048576,"")</f>
        <v>Manpower</v>
      </c>
      <c r="J3825" s="43" t="s">
        <v>378</v>
      </c>
      <c r="K3825" s="51" t="s">
        <v>26</v>
      </c>
      <c r="L3825" s="51" t="s">
        <v>379</v>
      </c>
      <c r="M3825" s="51" t="s">
        <v>24</v>
      </c>
      <c r="N3825" s="52">
        <v>10</v>
      </c>
      <c r="O3825" s="51" t="s">
        <v>28</v>
      </c>
      <c r="P3825" s="51" t="s">
        <v>28</v>
      </c>
      <c r="Q3825" s="51" t="s">
        <v>380</v>
      </c>
      <c r="R3825" s="51" t="s">
        <v>26</v>
      </c>
      <c r="S3825" s="43"/>
    </row>
    <row r="3826" spans="1:19" s="45" customFormat="1" ht="14.4" hidden="1">
      <c r="A3826" s="53">
        <f>IF(C3826="","",MAX($A$1:A3825)+1)</f>
        <v>3504</v>
      </c>
      <c r="B3826" s="54" t="s">
        <v>141</v>
      </c>
      <c r="C3826" s="55">
        <v>46112</v>
      </c>
      <c r="D3826" s="68" t="str">
        <f>_xlfn.XLOOKUP(Table134526_79101120212223242526[[#This Row],[Name Surname]],Manpower!$C$4:$C$1048576,Manpower!$B$4:$B$1048576,"")</f>
        <v>Encogroup</v>
      </c>
      <c r="E3826" s="51" t="s">
        <v>218</v>
      </c>
      <c r="F3826" s="12">
        <f>_xlfn.XLOOKUP(Table134526_79101120212223242526[[#This Row],[Name Surname]],Manpower!C:C,Manpower!D:D,)</f>
        <v>116853914</v>
      </c>
      <c r="G3826" s="68" t="str">
        <f>_xlfn.XLOOKUP(Table134526_79101120212223242526[[#This Row],[Name Surname]],Manpower!$C$4:$C$1048576,Manpower!$F$4:$F$1048576,"")</f>
        <v>Electrical Supervisor</v>
      </c>
      <c r="H3826" s="68" t="str">
        <f>_xlfn.XLOOKUP(Table134526_79101120212223242526[[#This Row],[Name Surname]],Manpower!$C$4:$C$1048576,Manpower!$H$4:$H$1048576,"")</f>
        <v>Manpower</v>
      </c>
      <c r="I3826" s="48" t="str">
        <f>_xlfn.XLOOKUP(Table134526_79101120212223242526[[#This Row],[Name Surname]],Manpower!$C$4:$C$1048576,Manpower!$H$4:$H$1048576,"")</f>
        <v>Manpower</v>
      </c>
      <c r="J3826" s="43" t="s">
        <v>378</v>
      </c>
      <c r="K3826" s="51" t="s">
        <v>26</v>
      </c>
      <c r="L3826" s="51" t="s">
        <v>379</v>
      </c>
      <c r="M3826" s="51" t="s">
        <v>24</v>
      </c>
      <c r="N3826" s="52">
        <v>10</v>
      </c>
      <c r="O3826" s="51" t="s">
        <v>28</v>
      </c>
      <c r="P3826" s="51" t="s">
        <v>28</v>
      </c>
      <c r="Q3826" s="51" t="s">
        <v>380</v>
      </c>
      <c r="R3826" s="51" t="s">
        <v>26</v>
      </c>
      <c r="S3826" s="43"/>
    </row>
    <row r="3827" spans="1:19" s="45" customFormat="1" ht="14.4" hidden="1">
      <c r="A3827" s="53">
        <f>IF(C3827="","",MAX($A$1:A3826)+1)</f>
        <v>3505</v>
      </c>
      <c r="B3827" s="54" t="s">
        <v>141</v>
      </c>
      <c r="C3827" s="55">
        <v>46112</v>
      </c>
      <c r="D3827" s="68" t="str">
        <f>_xlfn.XLOOKUP(Table134526_79101120212223242526[[#This Row],[Name Surname]],Manpower!$C$4:$C$1048576,Manpower!$B$4:$B$1048576,"")</f>
        <v>Encogroup</v>
      </c>
      <c r="E3827" s="51" t="s">
        <v>384</v>
      </c>
      <c r="F3827" s="12">
        <f>_xlfn.XLOOKUP(Table134526_79101120212223242526[[#This Row],[Name Surname]],Manpower!C:C,Manpower!D:D,)</f>
        <v>141307968</v>
      </c>
      <c r="G3827" s="68" t="str">
        <f>_xlfn.XLOOKUP(Table134526_79101120212223242526[[#This Row],[Name Surname]],Manpower!$C$4:$C$1048576,Manpower!$F$4:$F$1048576,"")</f>
        <v>Mechanical Supervisor</v>
      </c>
      <c r="H3827" s="68" t="str">
        <f>_xlfn.XLOOKUP(Table134526_79101120212223242526[[#This Row],[Name Surname]],Manpower!$C$4:$C$1048576,Manpower!$H$4:$H$1048576,"")</f>
        <v>Manpower</v>
      </c>
      <c r="I3827" s="48" t="str">
        <f>_xlfn.XLOOKUP(Table134526_79101120212223242526[[#This Row],[Name Surname]],Manpower!$C$4:$C$1048576,Manpower!$H$4:$H$1048576,"")</f>
        <v>Manpower</v>
      </c>
      <c r="J3827" s="43" t="s">
        <v>378</v>
      </c>
      <c r="K3827" s="51" t="s">
        <v>26</v>
      </c>
      <c r="L3827" s="51" t="s">
        <v>379</v>
      </c>
      <c r="M3827" s="51" t="s">
        <v>24</v>
      </c>
      <c r="N3827" s="52">
        <v>10</v>
      </c>
      <c r="O3827" s="51" t="s">
        <v>28</v>
      </c>
      <c r="P3827" s="51" t="s">
        <v>28</v>
      </c>
      <c r="Q3827" s="51" t="s">
        <v>380</v>
      </c>
      <c r="R3827" s="51" t="s">
        <v>26</v>
      </c>
      <c r="S3827" s="43"/>
    </row>
    <row r="3828" spans="1:19" s="45" customFormat="1" ht="14.4" hidden="1">
      <c r="A3828" s="53">
        <f>IF(C3828="","",MAX($A$1:A3827)+1)</f>
        <v>3506</v>
      </c>
      <c r="B3828" s="54" t="s">
        <v>141</v>
      </c>
      <c r="C3828" s="55">
        <v>46112</v>
      </c>
      <c r="D3828" s="68" t="str">
        <f>_xlfn.XLOOKUP(Table134526_79101120212223242526[[#This Row],[Name Surname]],Manpower!$C$4:$C$1048576,Manpower!$B$4:$B$1048576,"")</f>
        <v>Encogroup</v>
      </c>
      <c r="E3828" s="51" t="s">
        <v>385</v>
      </c>
      <c r="F3828" s="12">
        <f>_xlfn.XLOOKUP(Table134526_79101120212223242526[[#This Row],[Name Surname]],Manpower!C:C,Manpower!D:D,)</f>
        <v>141307921</v>
      </c>
      <c r="G3828" s="68" t="str">
        <f>_xlfn.XLOOKUP(Table134526_79101120212223242526[[#This Row],[Name Surname]],Manpower!$C$4:$C$1048576,Manpower!$F$4:$F$1048576,"")</f>
        <v>Mechanical Assistant</v>
      </c>
      <c r="H3828" s="68" t="str">
        <f>_xlfn.XLOOKUP(Table134526_79101120212223242526[[#This Row],[Name Surname]],Manpower!$C$4:$C$1048576,Manpower!$H$4:$H$1048576,"")</f>
        <v>Manpower</v>
      </c>
      <c r="I3828" s="48" t="str">
        <f>_xlfn.XLOOKUP(Table134526_79101120212223242526[[#This Row],[Name Surname]],Manpower!$C$4:$C$1048576,Manpower!$H$4:$H$1048576,"")</f>
        <v>Manpower</v>
      </c>
      <c r="J3828" s="43" t="s">
        <v>378</v>
      </c>
      <c r="K3828" s="51" t="s">
        <v>26</v>
      </c>
      <c r="L3828" s="51" t="s">
        <v>379</v>
      </c>
      <c r="M3828" s="51" t="s">
        <v>24</v>
      </c>
      <c r="N3828" s="52">
        <v>10</v>
      </c>
      <c r="O3828" s="51" t="s">
        <v>28</v>
      </c>
      <c r="P3828" s="51" t="s">
        <v>28</v>
      </c>
      <c r="Q3828" s="51" t="s">
        <v>380</v>
      </c>
      <c r="R3828" s="51" t="s">
        <v>26</v>
      </c>
      <c r="S3828" s="43"/>
    </row>
    <row r="3829" spans="1:19" s="45" customFormat="1" ht="14.4" hidden="1">
      <c r="A3829" s="53">
        <f>IF(C3829="","",MAX($A$1:A3828)+1)</f>
        <v>3507</v>
      </c>
      <c r="B3829" s="54" t="s">
        <v>141</v>
      </c>
      <c r="C3829" s="55">
        <v>46112</v>
      </c>
      <c r="D3829" s="48" t="str">
        <f>_xlfn.XLOOKUP(Table134526_79101120212223242526[[#This Row],[Name Surname]],Manpower!$C$4:$C$1048576,Manpower!$B$4:$B$1048576,"")</f>
        <v>Encogroup</v>
      </c>
      <c r="E3829" s="43" t="s">
        <v>27</v>
      </c>
      <c r="F3829" s="12">
        <f>_xlfn.XLOOKUP(Table134526_79101120212223242526[[#This Row],[Name Surname]],Manpower!C:C,Manpower!D:D,)</f>
        <v>127414586</v>
      </c>
      <c r="G3829" s="48" t="str">
        <f>_xlfn.XLOOKUP(Table134526_79101120212223242526[[#This Row],[Name Surname]],Manpower!$C$4:$C$1048576,Manpower!$F$4:$F$1048576,"")</f>
        <v>Electrician</v>
      </c>
      <c r="H3829" s="48" t="str">
        <f>_xlfn.XLOOKUP(Table134526_79101120212223242526[[#This Row],[Name Surname]],Manpower!$C$4:$C$1048576,Manpower!$H$4:$H$1048576,"")</f>
        <v>Manpower</v>
      </c>
      <c r="I3829" s="48" t="str">
        <f>_xlfn.XLOOKUP(Table134526_79101120212223242526[[#This Row],[Name Surname]],Manpower!$C$4:$C$1048576,Manpower!$H$4:$H$1048576,"")</f>
        <v>Manpower</v>
      </c>
      <c r="J3829" s="43" t="s">
        <v>378</v>
      </c>
      <c r="K3829" s="51" t="s">
        <v>26</v>
      </c>
      <c r="L3829" s="51" t="s">
        <v>379</v>
      </c>
      <c r="M3829" s="51" t="s">
        <v>24</v>
      </c>
      <c r="N3829" s="52">
        <v>5</v>
      </c>
      <c r="O3829" s="51" t="s">
        <v>28</v>
      </c>
      <c r="P3829" s="51" t="s">
        <v>28</v>
      </c>
      <c r="Q3829" s="51" t="s">
        <v>380</v>
      </c>
      <c r="R3829" s="51" t="s">
        <v>26</v>
      </c>
      <c r="S3829" s="43"/>
    </row>
    <row r="3830" spans="1:19" s="45" customFormat="1" ht="14.4" hidden="1">
      <c r="A3830" s="53">
        <f>IF(C3830="","",MAX($A$1:A3828)+1)</f>
        <v>3507</v>
      </c>
      <c r="B3830" s="54" t="s">
        <v>141</v>
      </c>
      <c r="C3830" s="55">
        <v>46112</v>
      </c>
      <c r="D3830" s="68" t="str">
        <f>_xlfn.XLOOKUP(Table134526_79101120212223242526[[#This Row],[Name Surname]],Manpower!$C$4:$C$1048576,Manpower!$B$4:$B$1048576,"")</f>
        <v>Encogroup</v>
      </c>
      <c r="E3830" s="51" t="s">
        <v>61</v>
      </c>
      <c r="F3830" s="12">
        <f>_xlfn.XLOOKUP(Table134526_79101120212223242526[[#This Row],[Name Surname]],Manpower!C:C,Manpower!D:D,)</f>
        <v>141169047</v>
      </c>
      <c r="G3830" s="68" t="str">
        <f>_xlfn.XLOOKUP(Table134526_79101120212223242526[[#This Row],[Name Surname]],Manpower!$C$4:$C$1048576,Manpower!$F$4:$F$1048576,"")</f>
        <v>Welder</v>
      </c>
      <c r="H3830" s="68" t="str">
        <f>_xlfn.XLOOKUP(Table134526_79101120212223242526[[#This Row],[Name Surname]],Manpower!$C$4:$C$1048576,Manpower!$H$4:$H$1048576,"")</f>
        <v>Manpower</v>
      </c>
      <c r="I3830" s="48" t="str">
        <f>_xlfn.XLOOKUP(Table134526_79101120212223242526[[#This Row],[Name Surname]],Manpower!$C$4:$C$1048576,Manpower!$H$4:$H$1048576,"")</f>
        <v>Manpower</v>
      </c>
      <c r="J3830" s="43" t="s">
        <v>378</v>
      </c>
      <c r="K3830" s="51" t="s">
        <v>26</v>
      </c>
      <c r="L3830" s="51" t="s">
        <v>379</v>
      </c>
      <c r="M3830" s="51" t="s">
        <v>24</v>
      </c>
      <c r="N3830" s="52">
        <v>10</v>
      </c>
      <c r="O3830" s="51" t="s">
        <v>28</v>
      </c>
      <c r="P3830" s="51" t="s">
        <v>28</v>
      </c>
      <c r="Q3830" s="51" t="s">
        <v>380</v>
      </c>
      <c r="R3830" s="51" t="s">
        <v>26</v>
      </c>
      <c r="S3830" s="43"/>
    </row>
    <row r="3831" spans="1:19" ht="14.4">
      <c r="A3831" s="38">
        <f>IF(C3831="","",MAX($A$1:A3830)+1)</f>
        <v>3508</v>
      </c>
      <c r="B3831" s="66" t="s">
        <v>141</v>
      </c>
      <c r="C3831" s="60">
        <v>46112</v>
      </c>
      <c r="D3831" s="61" t="str">
        <f>_xlfn.XLOOKUP(Table134526_79101120212223242526[[#This Row],[Name Surname]],Manpower!$C$4:$C$1048576,Manpower!$B$4:$B$1048576,"")</f>
        <v>Encogroup</v>
      </c>
      <c r="E3831" s="57" t="s">
        <v>80</v>
      </c>
      <c r="F3831" s="12" t="e">
        <f>_xlfn.XLOOKUP(Table134526_79101120212223242526[[#This Row],[Name Surname]],Manpower!C:C,Manpower!D:D,)</f>
        <v>#N/A</v>
      </c>
      <c r="G3831" s="61" t="str">
        <f>_xlfn.XLOOKUP(Table134526_79101120212223242526[[#This Row],[Name Surname]],Manpower!$C$4:$C$1048576,Manpower!$F$4:$F$1048576,"")</f>
        <v>22M-Manlift</v>
      </c>
      <c r="H3831" s="61" t="str">
        <f>_xlfn.XLOOKUP(Table134526_79101120212223242526[[#This Row],[Name Surname]],Manpower!$C$4:$C$1048576,Manpower!$H$4:$H$1048576,"")</f>
        <v>Equipment</v>
      </c>
      <c r="I3831" s="28" t="str">
        <f>_xlfn.XLOOKUP(Table134526_79101120212223242526[[#This Row],[Name Surname]],Manpower!$C$4:$C$1048576,Manpower!$H$4:$H$1048576,"")</f>
        <v>Equipment</v>
      </c>
      <c r="J3831" s="21" t="s">
        <v>35</v>
      </c>
      <c r="K3831" s="57" t="s">
        <v>428</v>
      </c>
      <c r="L3831" s="57" t="s">
        <v>82</v>
      </c>
      <c r="M3831" s="57" t="s">
        <v>24</v>
      </c>
      <c r="N3831" s="62">
        <v>10</v>
      </c>
      <c r="O3831" s="21" t="s">
        <v>25</v>
      </c>
      <c r="P3831" s="21" t="s">
        <v>41</v>
      </c>
      <c r="Q3831" s="21" t="s">
        <v>77</v>
      </c>
      <c r="R3831" s="57" t="s">
        <v>452</v>
      </c>
    </row>
    <row r="3832" spans="1:19" ht="14.4">
      <c r="A3832" s="38">
        <f>IF(C3832="","",MAX($A$1:A3831)+1)</f>
        <v>3509</v>
      </c>
      <c r="B3832" s="66" t="s">
        <v>141</v>
      </c>
      <c r="C3832" s="60">
        <v>46112</v>
      </c>
      <c r="D3832" s="61" t="str">
        <f>_xlfn.XLOOKUP(Table134526_79101120212223242526[[#This Row],[Name Surname]],Manpower!$C$4:$C$1048576,Manpower!$B$4:$B$1048576,"")</f>
        <v>Encogroup</v>
      </c>
      <c r="E3832" s="57" t="s">
        <v>84</v>
      </c>
      <c r="F3832" s="12" t="e">
        <f>_xlfn.XLOOKUP(Table134526_79101120212223242526[[#This Row],[Name Surname]],Manpower!C:C,Manpower!D:D,)</f>
        <v>#N/A</v>
      </c>
      <c r="G3832" s="61" t="str">
        <f>_xlfn.XLOOKUP(Table134526_79101120212223242526[[#This Row],[Name Surname]],Manpower!$C$4:$C$1048576,Manpower!$F$4:$F$1048576,"")</f>
        <v>22M-Manlift</v>
      </c>
      <c r="H3832" s="61" t="str">
        <f>_xlfn.XLOOKUP(Table134526_79101120212223242526[[#This Row],[Name Surname]],Manpower!$C$4:$C$1048576,Manpower!$H$4:$H$1048576,"")</f>
        <v>Equipment</v>
      </c>
      <c r="I3832" s="28" t="str">
        <f>_xlfn.XLOOKUP(Table134526_79101120212223242526[[#This Row],[Name Surname]],Manpower!$C$4:$C$1048576,Manpower!$H$4:$H$1048576,"")</f>
        <v>Equipment</v>
      </c>
      <c r="J3832" s="21" t="s">
        <v>35</v>
      </c>
      <c r="K3832" s="57" t="s">
        <v>428</v>
      </c>
      <c r="L3832" s="57" t="s">
        <v>82</v>
      </c>
      <c r="M3832" s="57" t="s">
        <v>24</v>
      </c>
      <c r="N3832" s="62">
        <v>10</v>
      </c>
      <c r="O3832" s="21" t="s">
        <v>25</v>
      </c>
      <c r="P3832" s="21" t="s">
        <v>41</v>
      </c>
      <c r="Q3832" s="21" t="s">
        <v>77</v>
      </c>
      <c r="R3832" s="57" t="s">
        <v>452</v>
      </c>
    </row>
    <row r="3833" spans="1:19" ht="14.4">
      <c r="A3833" s="38">
        <f>IF(C3833="","",MAX($A$1:A3832)+1)</f>
        <v>3510</v>
      </c>
      <c r="B3833" s="66" t="s">
        <v>141</v>
      </c>
      <c r="C3833" s="60">
        <v>46112</v>
      </c>
      <c r="D3833" s="61" t="str">
        <f>_xlfn.XLOOKUP(Table134526_79101120212223242526[[#This Row],[Name Surname]],Manpower!$C$4:$C$1048576,Manpower!$B$4:$B$1048576,"")</f>
        <v>Encogroup</v>
      </c>
      <c r="E3833" s="57" t="s">
        <v>341</v>
      </c>
      <c r="F3833" s="12" t="e">
        <f>_xlfn.XLOOKUP(Table134526_79101120212223242526[[#This Row],[Name Surname]],Manpower!C:C,Manpower!D:D,)</f>
        <v>#N/A</v>
      </c>
      <c r="G3833" s="61" t="str">
        <f>_xlfn.XLOOKUP(Table134526_79101120212223242526[[#This Row],[Name Surname]],Manpower!$C$4:$C$1048576,Manpower!$F$4:$F$1048576,"")</f>
        <v>SCISSOR LIFT</v>
      </c>
      <c r="H3833" s="61" t="str">
        <f>_xlfn.XLOOKUP(Table134526_79101120212223242526[[#This Row],[Name Surname]],Manpower!$C$4:$C$1048576,Manpower!$H$4:$H$1048576,"")</f>
        <v>Equipment</v>
      </c>
      <c r="I3833" s="28" t="str">
        <f>_xlfn.XLOOKUP(Table134526_79101120212223242526[[#This Row],[Name Surname]],Manpower!$C$4:$C$1048576,Manpower!$H$4:$H$1048576,"")</f>
        <v>Equipment</v>
      </c>
      <c r="J3833" s="21" t="s">
        <v>35</v>
      </c>
      <c r="K3833" s="57" t="s">
        <v>428</v>
      </c>
      <c r="L3833" s="57" t="s">
        <v>82</v>
      </c>
      <c r="M3833" s="57" t="s">
        <v>24</v>
      </c>
      <c r="N3833" s="62">
        <v>10</v>
      </c>
      <c r="O3833" s="21" t="s">
        <v>94</v>
      </c>
      <c r="P3833" s="21" t="s">
        <v>94</v>
      </c>
      <c r="Q3833" s="21" t="s">
        <v>94</v>
      </c>
      <c r="R3833" s="57" t="s">
        <v>452</v>
      </c>
    </row>
    <row r="3834" spans="1:19" ht="14.4">
      <c r="A3834" s="38">
        <f>IF(C3834="","",MAX($A$1:A3833)+1)</f>
        <v>3511</v>
      </c>
      <c r="B3834" s="66" t="s">
        <v>141</v>
      </c>
      <c r="C3834" s="60">
        <v>46112</v>
      </c>
      <c r="D3834" s="61" t="str">
        <f>_xlfn.XLOOKUP(Table134526_79101120212223242526[[#This Row],[Name Surname]],Manpower!$C$4:$C$1048576,Manpower!$B$4:$B$1048576,"")</f>
        <v>Nass Group</v>
      </c>
      <c r="E3834" s="57" t="s">
        <v>86</v>
      </c>
      <c r="F3834" s="12" t="e">
        <f>_xlfn.XLOOKUP(Table134526_79101120212223242526[[#This Row],[Name Surname]],Manpower!C:C,Manpower!D:D,)</f>
        <v>#N/A</v>
      </c>
      <c r="G3834" s="61" t="str">
        <f>_xlfn.XLOOKUP(Table134526_79101120212223242526[[#This Row],[Name Surname]],Manpower!$C$4:$C$1048576,Manpower!$F$4:$F$1048576,"")</f>
        <v>70T-Telescopic crane</v>
      </c>
      <c r="H3834" s="61" t="str">
        <f>_xlfn.XLOOKUP(Table134526_79101120212223242526[[#This Row],[Name Surname]],Manpower!$C$4:$C$1048576,Manpower!$H$4:$H$1048576,"")</f>
        <v>Equipment</v>
      </c>
      <c r="I3834" s="28" t="str">
        <f>_xlfn.XLOOKUP(Table134526_79101120212223242526[[#This Row],[Name Surname]],Manpower!$C$4:$C$1048576,Manpower!$H$4:$H$1048576,"")</f>
        <v>Equipment</v>
      </c>
      <c r="J3834" s="21" t="s">
        <v>35</v>
      </c>
      <c r="K3834" s="57" t="s">
        <v>428</v>
      </c>
      <c r="L3834" s="57" t="s">
        <v>82</v>
      </c>
      <c r="M3834" s="57" t="s">
        <v>24</v>
      </c>
      <c r="N3834" s="62">
        <v>10</v>
      </c>
      <c r="O3834" s="21" t="s">
        <v>40</v>
      </c>
      <c r="P3834" s="21" t="s">
        <v>41</v>
      </c>
      <c r="Q3834" s="21" t="s">
        <v>42</v>
      </c>
      <c r="R3834" s="57" t="s">
        <v>452</v>
      </c>
    </row>
    <row r="3835" spans="1:19" s="45" customFormat="1" ht="14.4" hidden="1">
      <c r="A3835" s="53">
        <f>IF(C3835="","",MAX($A$1:A3834)+1)</f>
        <v>3512</v>
      </c>
      <c r="B3835" s="54" t="s">
        <v>141</v>
      </c>
      <c r="C3835" s="55">
        <v>46112</v>
      </c>
      <c r="D3835" s="68" t="str">
        <f>_xlfn.XLOOKUP(Table134526_79101120212223242526[[#This Row],[Name Surname]],Manpower!$C$4:$C$1048576,Manpower!$B$4:$B$1048576,"")</f>
        <v>SARENS NASS</v>
      </c>
      <c r="E3835" s="51" t="s">
        <v>103</v>
      </c>
      <c r="F3835" s="12">
        <f>_xlfn.XLOOKUP(Table134526_79101120212223242526[[#This Row],[Name Surname]],Manpower!C:C,Manpower!D:D,)</f>
        <v>79502392</v>
      </c>
      <c r="G3835" s="68" t="str">
        <f>_xlfn.XLOOKUP(Table134526_79101120212223242526[[#This Row],[Name Surname]],Manpower!$C$4:$C$1048576,Manpower!$F$4:$F$1048576,"")</f>
        <v>Crane Operator- 70T Liebherr Telescopic Crane-01</v>
      </c>
      <c r="H3835" s="68" t="str">
        <f>_xlfn.XLOOKUP(Table134526_79101120212223242526[[#This Row],[Name Surname]],Manpower!$C$4:$C$1048576,Manpower!$H$4:$H$1048576,"")</f>
        <v>Manpower</v>
      </c>
      <c r="I3835" s="48" t="str">
        <f>_xlfn.XLOOKUP(Table134526_79101120212223242526[[#This Row],[Name Surname]],Manpower!$C$4:$C$1048576,Manpower!$H$4:$H$1048576,"")</f>
        <v>Manpower</v>
      </c>
      <c r="J3835" s="43" t="s">
        <v>35</v>
      </c>
      <c r="K3835" s="51" t="s">
        <v>428</v>
      </c>
      <c r="L3835" s="51" t="s">
        <v>82</v>
      </c>
      <c r="M3835" s="51" t="s">
        <v>24</v>
      </c>
      <c r="N3835" s="52">
        <v>10</v>
      </c>
      <c r="O3835" s="43" t="s">
        <v>40</v>
      </c>
      <c r="P3835" s="43" t="s">
        <v>41</v>
      </c>
      <c r="Q3835" s="43" t="s">
        <v>42</v>
      </c>
      <c r="R3835" s="51" t="s">
        <v>452</v>
      </c>
      <c r="S3835" s="43"/>
    </row>
    <row r="3836" spans="1:19" ht="14.4">
      <c r="A3836" s="38">
        <f>IF(C3836="","",MAX($A$1:A3835)+1)</f>
        <v>3513</v>
      </c>
      <c r="B3836" s="66" t="s">
        <v>141</v>
      </c>
      <c r="C3836" s="60">
        <v>46112</v>
      </c>
      <c r="D3836" s="61" t="str">
        <f>_xlfn.XLOOKUP(Table134526_79101120212223242526[[#This Row],[Name Surname]],Manpower!$C$4:$C$1048576,Manpower!$B$4:$B$1048576,"")</f>
        <v>Nass Group</v>
      </c>
      <c r="E3836" s="57" t="s">
        <v>146</v>
      </c>
      <c r="F3836" s="12" t="e">
        <f>_xlfn.XLOOKUP(Table134526_79101120212223242526[[#This Row],[Name Surname]],Manpower!C:C,Manpower!D:D,)</f>
        <v>#N/A</v>
      </c>
      <c r="G3836" s="61" t="str">
        <f>_xlfn.XLOOKUP(Table134526_79101120212223242526[[#This Row],[Name Surname]],Manpower!$C$4:$C$1048576,Manpower!$F$4:$F$1048576,"")</f>
        <v>130T Crawler Crane</v>
      </c>
      <c r="H3836" s="61" t="str">
        <f>_xlfn.XLOOKUP(Table134526_79101120212223242526[[#This Row],[Name Surname]],Manpower!$C$4:$C$1048576,Manpower!$H$4:$H$1048576,"")</f>
        <v>Equipment</v>
      </c>
      <c r="I3836" s="28" t="str">
        <f>_xlfn.XLOOKUP(Table134526_79101120212223242526[[#This Row],[Name Surname]],Manpower!$C$4:$C$1048576,Manpower!$H$4:$H$1048576,"")</f>
        <v>Equipment</v>
      </c>
      <c r="J3836" s="21" t="s">
        <v>35</v>
      </c>
      <c r="K3836" s="57" t="s">
        <v>428</v>
      </c>
      <c r="L3836" s="57" t="s">
        <v>82</v>
      </c>
      <c r="M3836" s="57" t="s">
        <v>24</v>
      </c>
      <c r="N3836" s="62">
        <v>10</v>
      </c>
      <c r="O3836" s="21" t="s">
        <v>40</v>
      </c>
      <c r="P3836" s="21" t="s">
        <v>41</v>
      </c>
      <c r="Q3836" s="21" t="s">
        <v>42</v>
      </c>
      <c r="R3836" s="57" t="s">
        <v>452</v>
      </c>
    </row>
    <row r="3837" spans="1:19" s="45" customFormat="1" ht="14.4" hidden="1">
      <c r="A3837" s="53">
        <f>IF(C3837="","",MAX($A$1:A3836)+1)</f>
        <v>3514</v>
      </c>
      <c r="B3837" s="54" t="s">
        <v>141</v>
      </c>
      <c r="C3837" s="55">
        <v>46112</v>
      </c>
      <c r="D3837" s="68" t="str">
        <f>_xlfn.XLOOKUP(Table134526_79101120212223242526[[#This Row],[Name Surname]],Manpower!$C$4:$C$1048576,Manpower!$B$4:$B$1048576,"")</f>
        <v>SARENS NASS</v>
      </c>
      <c r="E3837" s="51" t="s">
        <v>214</v>
      </c>
      <c r="F3837" s="12">
        <f>_xlfn.XLOOKUP(Table134526_79101120212223242526[[#This Row],[Name Surname]],Manpower!C:C,Manpower!D:D,)</f>
        <v>109957631</v>
      </c>
      <c r="G3837" s="68" t="str">
        <f>_xlfn.XLOOKUP(Table134526_79101120212223242526[[#This Row],[Name Surname]],Manpower!$C$4:$C$1048576,Manpower!$F$4:$F$1048576,"")</f>
        <v>Crane Operator-130T Liebherr Crawler</v>
      </c>
      <c r="H3837" s="68" t="str">
        <f>_xlfn.XLOOKUP(Table134526_79101120212223242526[[#This Row],[Name Surname]],Manpower!$C$4:$C$1048576,Manpower!$H$4:$H$1048576,"")</f>
        <v>Manpower</v>
      </c>
      <c r="I3837" s="48" t="str">
        <f>_xlfn.XLOOKUP(Table134526_79101120212223242526[[#This Row],[Name Surname]],Manpower!$C$4:$C$1048576,Manpower!$H$4:$H$1048576,"")</f>
        <v>Manpower</v>
      </c>
      <c r="J3837" s="43" t="s">
        <v>35</v>
      </c>
      <c r="K3837" s="51" t="s">
        <v>428</v>
      </c>
      <c r="L3837" s="51" t="s">
        <v>82</v>
      </c>
      <c r="M3837" s="51" t="s">
        <v>24</v>
      </c>
      <c r="N3837" s="52">
        <v>10</v>
      </c>
      <c r="O3837" s="43" t="s">
        <v>40</v>
      </c>
      <c r="P3837" s="43" t="s">
        <v>41</v>
      </c>
      <c r="Q3837" s="43" t="s">
        <v>42</v>
      </c>
      <c r="R3837" s="51" t="s">
        <v>452</v>
      </c>
      <c r="S3837" s="43"/>
    </row>
    <row r="3838" spans="1:19" s="45" customFormat="1" ht="14.4" hidden="1">
      <c r="A3838" s="53">
        <f>IF(C3838="","",MAX($A$1:A3837)+1)</f>
        <v>3515</v>
      </c>
      <c r="B3838" s="54" t="s">
        <v>141</v>
      </c>
      <c r="C3838" s="55">
        <v>46112</v>
      </c>
      <c r="D3838" s="48" t="str">
        <f>_xlfn.XLOOKUP(Table134526_79101120212223242526[[#This Row],[Name Surname]],Manpower!$C$4:$C$1048576,Manpower!$B$4:$B$1048576,"")</f>
        <v>Encogroup</v>
      </c>
      <c r="E3838" s="43" t="s">
        <v>136</v>
      </c>
      <c r="F3838" s="12">
        <f>_xlfn.XLOOKUP(Table134526_79101120212223242526[[#This Row],[Name Surname]],Manpower!C:C,Manpower!D:D,)</f>
        <v>141250908</v>
      </c>
      <c r="G3838" s="48" t="str">
        <f>_xlfn.XLOOKUP(Table134526_79101120212223242526[[#This Row],[Name Surname]],Manpower!$C$4:$C$1048576,Manpower!$F$4:$F$1048576,"")</f>
        <v>Mechanical Engineer</v>
      </c>
      <c r="H3838" s="48" t="str">
        <f>_xlfn.XLOOKUP(Table134526_79101120212223242526[[#This Row],[Name Surname]],Manpower!$C$4:$C$1048576,Manpower!$H$4:$H$1048576,"")</f>
        <v>Manpower</v>
      </c>
      <c r="I3838" s="48" t="str">
        <f>_xlfn.XLOOKUP(Table134526_79101120212223242526[[#This Row],[Name Surname]],Manpower!$C$4:$C$1048576,Manpower!$H$4:$H$1048576,"")</f>
        <v>Manpower</v>
      </c>
      <c r="J3838" s="43" t="s">
        <v>35</v>
      </c>
      <c r="K3838" s="51" t="s">
        <v>428</v>
      </c>
      <c r="L3838" s="51" t="s">
        <v>82</v>
      </c>
      <c r="M3838" s="51" t="s">
        <v>24</v>
      </c>
      <c r="N3838" s="52">
        <v>10</v>
      </c>
      <c r="O3838" s="43" t="s">
        <v>25</v>
      </c>
      <c r="P3838" s="43" t="s">
        <v>60</v>
      </c>
      <c r="Q3838" s="43" t="s">
        <v>60</v>
      </c>
      <c r="R3838" s="51" t="s">
        <v>452</v>
      </c>
      <c r="S3838" s="43"/>
    </row>
    <row r="3839" spans="1:19" s="45" customFormat="1" ht="14.4" hidden="1">
      <c r="A3839" s="53">
        <f>IF(C3839="","",MAX($A$1:A3838)+1)</f>
        <v>3516</v>
      </c>
      <c r="B3839" s="54" t="s">
        <v>141</v>
      </c>
      <c r="C3839" s="55">
        <v>46112</v>
      </c>
      <c r="D3839" s="68" t="str">
        <f>_xlfn.XLOOKUP(Table134526_79101120212223242526[[#This Row],[Name Surname]],Manpower!$C$4:$C$1048576,Manpower!$B$4:$B$1048576,"")</f>
        <v>Encogroup</v>
      </c>
      <c r="E3839" s="51" t="s">
        <v>91</v>
      </c>
      <c r="F3839" s="12">
        <f>_xlfn.XLOOKUP(Table134526_79101120212223242526[[#This Row],[Name Surname]],Manpower!C:C,Manpower!D:D,)</f>
        <v>132915855</v>
      </c>
      <c r="G3839" s="68" t="str">
        <f>_xlfn.XLOOKUP(Table134526_79101120212223242526[[#This Row],[Name Surname]],Manpower!$C$4:$C$1048576,Manpower!$F$4:$F$1048576,"")</f>
        <v>Mechanical Supervisor</v>
      </c>
      <c r="H3839" s="68" t="str">
        <f>_xlfn.XLOOKUP(Table134526_79101120212223242526[[#This Row],[Name Surname]],Manpower!$C$4:$C$1048576,Manpower!$H$4:$H$1048576,"")</f>
        <v>Manpower</v>
      </c>
      <c r="I3839" s="48" t="str">
        <f>_xlfn.XLOOKUP(Table134526_79101120212223242526[[#This Row],[Name Surname]],Manpower!$C$4:$C$1048576,Manpower!$H$4:$H$1048576,"")</f>
        <v>Manpower</v>
      </c>
      <c r="J3839" s="43" t="s">
        <v>35</v>
      </c>
      <c r="K3839" s="51" t="s">
        <v>428</v>
      </c>
      <c r="L3839" s="51" t="s">
        <v>82</v>
      </c>
      <c r="M3839" s="51" t="s">
        <v>24</v>
      </c>
      <c r="N3839" s="52">
        <v>10</v>
      </c>
      <c r="O3839" s="43" t="s">
        <v>25</v>
      </c>
      <c r="P3839" s="43" t="s">
        <v>41</v>
      </c>
      <c r="Q3839" s="43" t="s">
        <v>60</v>
      </c>
      <c r="R3839" s="51" t="s">
        <v>452</v>
      </c>
      <c r="S3839" s="43"/>
    </row>
    <row r="3840" spans="1:19" s="45" customFormat="1" ht="14.4" hidden="1">
      <c r="A3840" s="53">
        <f>IF(C3840="","",MAX($A$1:A3839)+1)</f>
        <v>3517</v>
      </c>
      <c r="B3840" s="54" t="s">
        <v>141</v>
      </c>
      <c r="C3840" s="55">
        <v>46112</v>
      </c>
      <c r="D3840" s="68" t="str">
        <f>_xlfn.XLOOKUP(Table134526_79101120212223242526[[#This Row],[Name Surname]],Manpower!$C$4:$C$1048576,Manpower!$B$4:$B$1048576,"")</f>
        <v>Encogroup</v>
      </c>
      <c r="E3840" s="51" t="s">
        <v>97</v>
      </c>
      <c r="F3840" s="12">
        <f>_xlfn.XLOOKUP(Table134526_79101120212223242526[[#This Row],[Name Surname]],Manpower!C:C,Manpower!D:D,)</f>
        <v>141359235</v>
      </c>
      <c r="G3840" s="68" t="str">
        <f>_xlfn.XLOOKUP(Table134526_79101120212223242526[[#This Row],[Name Surname]],Manpower!$C$4:$C$1048576,Manpower!$F$4:$F$1048576,"")</f>
        <v>Fitter</v>
      </c>
      <c r="H3840" s="68" t="str">
        <f>_xlfn.XLOOKUP(Table134526_79101120212223242526[[#This Row],[Name Surname]],Manpower!$C$4:$C$1048576,Manpower!$H$4:$H$1048576,"")</f>
        <v>Manpower</v>
      </c>
      <c r="I3840" s="48" t="str">
        <f>_xlfn.XLOOKUP(Table134526_79101120212223242526[[#This Row],[Name Surname]],Manpower!$C$4:$C$1048576,Manpower!$H$4:$H$1048576,"")</f>
        <v>Manpower</v>
      </c>
      <c r="J3840" s="43" t="s">
        <v>35</v>
      </c>
      <c r="K3840" s="51" t="s">
        <v>428</v>
      </c>
      <c r="L3840" s="51" t="s">
        <v>82</v>
      </c>
      <c r="M3840" s="51" t="s">
        <v>24</v>
      </c>
      <c r="N3840" s="52">
        <v>10</v>
      </c>
      <c r="O3840" s="43" t="s">
        <v>25</v>
      </c>
      <c r="P3840" s="43" t="s">
        <v>41</v>
      </c>
      <c r="Q3840" s="43" t="s">
        <v>77</v>
      </c>
      <c r="R3840" s="51" t="s">
        <v>452</v>
      </c>
      <c r="S3840" s="43"/>
    </row>
    <row r="3841" spans="1:19" s="45" customFormat="1" ht="14.4" hidden="1">
      <c r="A3841" s="53">
        <f>IF(C3841="","",MAX($A$1:A3840)+1)</f>
        <v>3518</v>
      </c>
      <c r="B3841" s="54" t="s">
        <v>141</v>
      </c>
      <c r="C3841" s="55">
        <v>46112</v>
      </c>
      <c r="D3841" s="68" t="str">
        <f>_xlfn.XLOOKUP(Table134526_79101120212223242526[[#This Row],[Name Surname]],Manpower!$C$4:$C$1048576,Manpower!$B$4:$B$1048576,"")</f>
        <v>Encogroup</v>
      </c>
      <c r="E3841" s="51" t="s">
        <v>99</v>
      </c>
      <c r="F3841" s="12">
        <f>_xlfn.XLOOKUP(Table134526_79101120212223242526[[#This Row],[Name Surname]],Manpower!C:C,Manpower!D:D,)</f>
        <v>140697025</v>
      </c>
      <c r="G3841" s="68" t="str">
        <f>_xlfn.XLOOKUP(Table134526_79101120212223242526[[#This Row],[Name Surname]],Manpower!$C$4:$C$1048576,Manpower!$F$4:$F$1048576,"")</f>
        <v>Assistant/Helper</v>
      </c>
      <c r="H3841" s="68" t="str">
        <f>_xlfn.XLOOKUP(Table134526_79101120212223242526[[#This Row],[Name Surname]],Manpower!$C$4:$C$1048576,Manpower!$H$4:$H$1048576,"")</f>
        <v>Manpower</v>
      </c>
      <c r="I3841" s="48" t="str">
        <f>_xlfn.XLOOKUP(Table134526_79101120212223242526[[#This Row],[Name Surname]],Manpower!$C$4:$C$1048576,Manpower!$H$4:$H$1048576,"")</f>
        <v>Manpower</v>
      </c>
      <c r="J3841" s="43" t="s">
        <v>35</v>
      </c>
      <c r="K3841" s="51" t="s">
        <v>430</v>
      </c>
      <c r="L3841" s="51" t="s">
        <v>82</v>
      </c>
      <c r="M3841" s="51" t="s">
        <v>24</v>
      </c>
      <c r="N3841" s="52">
        <v>10</v>
      </c>
      <c r="O3841" s="43" t="s">
        <v>25</v>
      </c>
      <c r="P3841" s="43" t="s">
        <v>41</v>
      </c>
      <c r="Q3841" s="43" t="s">
        <v>60</v>
      </c>
      <c r="R3841" s="51" t="s">
        <v>452</v>
      </c>
      <c r="S3841" s="43"/>
    </row>
    <row r="3842" spans="1:19" s="45" customFormat="1" ht="14.4" hidden="1">
      <c r="A3842" s="53">
        <f>IF(C3842="","",MAX($A$1:A3841)+1)</f>
        <v>3519</v>
      </c>
      <c r="B3842" s="54" t="s">
        <v>141</v>
      </c>
      <c r="C3842" s="55">
        <v>46112</v>
      </c>
      <c r="D3842" s="68" t="str">
        <f>_xlfn.XLOOKUP(Table134526_79101120212223242526[[#This Row],[Name Surname]],Manpower!$C$4:$C$1048576,Manpower!$B$4:$B$1048576,"")</f>
        <v>Encogroup</v>
      </c>
      <c r="E3842" s="51" t="s">
        <v>125</v>
      </c>
      <c r="F3842" s="12">
        <f>_xlfn.XLOOKUP(Table134526_79101120212223242526[[#This Row],[Name Surname]],Manpower!C:C,Manpower!D:D,)</f>
        <v>141169028</v>
      </c>
      <c r="G3842" s="68" t="str">
        <f>_xlfn.XLOOKUP(Table134526_79101120212223242526[[#This Row],[Name Surname]],Manpower!$C$4:$C$1048576,Manpower!$F$4:$F$1048576,"")</f>
        <v>Welder</v>
      </c>
      <c r="H3842" s="68" t="str">
        <f>_xlfn.XLOOKUP(Table134526_79101120212223242526[[#This Row],[Name Surname]],Manpower!$C$4:$C$1048576,Manpower!$H$4:$H$1048576,"")</f>
        <v>Manpower</v>
      </c>
      <c r="I3842" s="48" t="str">
        <f>_xlfn.XLOOKUP(Table134526_79101120212223242526[[#This Row],[Name Surname]],Manpower!$C$4:$C$1048576,Manpower!$H$4:$H$1048576,"")</f>
        <v>Manpower</v>
      </c>
      <c r="J3842" s="43" t="s">
        <v>35</v>
      </c>
      <c r="K3842" s="51" t="s">
        <v>428</v>
      </c>
      <c r="L3842" s="51" t="s">
        <v>82</v>
      </c>
      <c r="M3842" s="51" t="s">
        <v>24</v>
      </c>
      <c r="N3842" s="52">
        <v>10</v>
      </c>
      <c r="O3842" s="43" t="s">
        <v>25</v>
      </c>
      <c r="P3842" s="43" t="s">
        <v>41</v>
      </c>
      <c r="Q3842" s="43" t="s">
        <v>60</v>
      </c>
      <c r="R3842" s="51" t="s">
        <v>452</v>
      </c>
      <c r="S3842" s="43"/>
    </row>
    <row r="3843" spans="1:19" s="45" customFormat="1" ht="14.4" hidden="1">
      <c r="A3843" s="53">
        <f>IF(C3843="","",MAX($A$1:A3842)+1)</f>
        <v>3520</v>
      </c>
      <c r="B3843" s="54" t="s">
        <v>141</v>
      </c>
      <c r="C3843" s="55">
        <v>46112</v>
      </c>
      <c r="D3843" s="68" t="str">
        <f>_xlfn.XLOOKUP(Table134526_79101120212223242526[[#This Row],[Name Surname]],Manpower!$C$4:$C$1048576,Manpower!$B$4:$B$1048576,"")</f>
        <v>Encogroup</v>
      </c>
      <c r="E3843" s="51" t="s">
        <v>101</v>
      </c>
      <c r="F3843" s="12">
        <f>_xlfn.XLOOKUP(Table134526_79101120212223242526[[#This Row],[Name Surname]],Manpower!C:C,Manpower!D:D,)</f>
        <v>141169052</v>
      </c>
      <c r="G3843" s="68" t="str">
        <f>_xlfn.XLOOKUP(Table134526_79101120212223242526[[#This Row],[Name Surname]],Manpower!$C$4:$C$1048576,Manpower!$F$4:$F$1048576,"")</f>
        <v>Welder</v>
      </c>
      <c r="H3843" s="68" t="str">
        <f>_xlfn.XLOOKUP(Table134526_79101120212223242526[[#This Row],[Name Surname]],Manpower!$C$4:$C$1048576,Manpower!$H$4:$H$1048576,"")</f>
        <v>Manpower</v>
      </c>
      <c r="I3843" s="48" t="str">
        <f>_xlfn.XLOOKUP(Table134526_79101120212223242526[[#This Row],[Name Surname]],Manpower!$C$4:$C$1048576,Manpower!$H$4:$H$1048576,"")</f>
        <v>Manpower</v>
      </c>
      <c r="J3843" s="43" t="s">
        <v>35</v>
      </c>
      <c r="K3843" s="51" t="s">
        <v>428</v>
      </c>
      <c r="L3843" s="51" t="s">
        <v>82</v>
      </c>
      <c r="M3843" s="51" t="s">
        <v>24</v>
      </c>
      <c r="N3843" s="52">
        <v>10</v>
      </c>
      <c r="O3843" s="43" t="s">
        <v>25</v>
      </c>
      <c r="P3843" s="43" t="s">
        <v>41</v>
      </c>
      <c r="Q3843" s="43" t="s">
        <v>77</v>
      </c>
      <c r="R3843" s="51" t="s">
        <v>452</v>
      </c>
      <c r="S3843" s="43"/>
    </row>
    <row r="3844" spans="1:19" s="45" customFormat="1" ht="14.4" hidden="1">
      <c r="A3844" s="53">
        <f>IF(C3844="","",MAX($A$1:A3843)+1)</f>
        <v>3521</v>
      </c>
      <c r="B3844" s="54" t="s">
        <v>141</v>
      </c>
      <c r="C3844" s="55">
        <v>46112</v>
      </c>
      <c r="D3844" s="48" t="str">
        <f>_xlfn.XLOOKUP(Table134526_79101120212223242526[[#This Row],[Name Surname]],Manpower!$C$4:$C$1048576,Manpower!$B$4:$B$1048576,"")</f>
        <v>Encogroup</v>
      </c>
      <c r="E3844" s="43" t="s">
        <v>124</v>
      </c>
      <c r="F3844" s="12">
        <f>_xlfn.XLOOKUP(Table134526_79101120212223242526[[#This Row],[Name Surname]],Manpower!C:C,Manpower!D:D,)</f>
        <v>141169033</v>
      </c>
      <c r="G3844" s="48" t="str">
        <f>_xlfn.XLOOKUP(Table134526_79101120212223242526[[#This Row],[Name Surname]],Manpower!$C$4:$C$1048576,Manpower!$F$4:$F$1048576,"")</f>
        <v>Welder</v>
      </c>
      <c r="H3844" s="48" t="str">
        <f>_xlfn.XLOOKUP(Table134526_79101120212223242526[[#This Row],[Name Surname]],Manpower!$C$4:$C$1048576,Manpower!$H$4:$H$1048576,"")</f>
        <v>Manpower</v>
      </c>
      <c r="I3844" s="48" t="str">
        <f>_xlfn.XLOOKUP(Table134526_79101120212223242526[[#This Row],[Name Surname]],Manpower!$C$4:$C$1048576,Manpower!$H$4:$H$1048576,"")</f>
        <v>Manpower</v>
      </c>
      <c r="J3844" s="43" t="s">
        <v>35</v>
      </c>
      <c r="K3844" s="51" t="s">
        <v>428</v>
      </c>
      <c r="L3844" s="51" t="s">
        <v>82</v>
      </c>
      <c r="M3844" s="51" t="s">
        <v>24</v>
      </c>
      <c r="N3844" s="52">
        <v>10</v>
      </c>
      <c r="O3844" s="43" t="s">
        <v>25</v>
      </c>
      <c r="P3844" s="43" t="s">
        <v>41</v>
      </c>
      <c r="Q3844" s="43" t="s">
        <v>77</v>
      </c>
      <c r="R3844" s="51" t="s">
        <v>452</v>
      </c>
      <c r="S3844" s="43"/>
    </row>
    <row r="3845" spans="1:19" s="45" customFormat="1" ht="14.4" hidden="1">
      <c r="A3845" s="53">
        <f>IF(C3845="","",MAX($A$1:A3844)+1)</f>
        <v>3522</v>
      </c>
      <c r="B3845" s="54" t="s">
        <v>141</v>
      </c>
      <c r="C3845" s="55">
        <v>46112</v>
      </c>
      <c r="D3845" s="68" t="str">
        <f>_xlfn.XLOOKUP(Table134526_79101120212223242526[[#This Row],[Name Surname]],Manpower!$C$4:$C$1048576,Manpower!$B$4:$B$1048576,"")</f>
        <v>Encogroup</v>
      </c>
      <c r="E3845" s="51" t="s">
        <v>105</v>
      </c>
      <c r="F3845" s="12">
        <f>_xlfn.XLOOKUP(Table134526_79101120212223242526[[#This Row],[Name Surname]],Manpower!C:C,Manpower!D:D,)</f>
        <v>141358993</v>
      </c>
      <c r="G3845" s="68" t="str">
        <f>_xlfn.XLOOKUP(Table134526_79101120212223242526[[#This Row],[Name Surname]],Manpower!$C$4:$C$1048576,Manpower!$F$4:$F$1048576,"")</f>
        <v>Fitter</v>
      </c>
      <c r="H3845" s="68" t="str">
        <f>_xlfn.XLOOKUP(Table134526_79101120212223242526[[#This Row],[Name Surname]],Manpower!$C$4:$C$1048576,Manpower!$H$4:$H$1048576,"")</f>
        <v>Manpower</v>
      </c>
      <c r="I3845" s="48" t="str">
        <f>_xlfn.XLOOKUP(Table134526_79101120212223242526[[#This Row],[Name Surname]],Manpower!$C$4:$C$1048576,Manpower!$H$4:$H$1048576,"")</f>
        <v>Manpower</v>
      </c>
      <c r="J3845" s="43" t="s">
        <v>35</v>
      </c>
      <c r="K3845" s="51" t="s">
        <v>428</v>
      </c>
      <c r="L3845" s="51" t="s">
        <v>82</v>
      </c>
      <c r="M3845" s="51" t="s">
        <v>24</v>
      </c>
      <c r="N3845" s="52">
        <v>10</v>
      </c>
      <c r="O3845" s="43" t="s">
        <v>25</v>
      </c>
      <c r="P3845" s="43" t="s">
        <v>41</v>
      </c>
      <c r="Q3845" s="43" t="s">
        <v>77</v>
      </c>
      <c r="R3845" s="51" t="s">
        <v>452</v>
      </c>
      <c r="S3845" s="43"/>
    </row>
    <row r="3846" spans="1:19" s="45" customFormat="1" ht="14.4" hidden="1">
      <c r="A3846" s="53">
        <f>IF(C3846="","",MAX($A$1:A3845)+1)</f>
        <v>3523</v>
      </c>
      <c r="B3846" s="54" t="s">
        <v>141</v>
      </c>
      <c r="C3846" s="55">
        <v>46112</v>
      </c>
      <c r="D3846" s="68" t="str">
        <f>_xlfn.XLOOKUP(Table134526_79101120212223242526[[#This Row],[Name Surname]],Manpower!$C$4:$C$1048576,Manpower!$B$4:$B$1048576,"")</f>
        <v>Encogroup</v>
      </c>
      <c r="E3846" s="51" t="s">
        <v>106</v>
      </c>
      <c r="F3846" s="12" t="str">
        <f>_xlfn.XLOOKUP(Table134526_79101120212223242526[[#This Row],[Name Surname]],Manpower!C:C,Manpower!D:D,)</f>
        <v>R3971143</v>
      </c>
      <c r="G3846" s="68" t="str">
        <f>_xlfn.XLOOKUP(Table134526_79101120212223242526[[#This Row],[Name Surname]],Manpower!$C$4:$C$1048576,Manpower!$F$4:$F$1048576,"")</f>
        <v>Mechanical Foreman</v>
      </c>
      <c r="H3846" s="68" t="str">
        <f>_xlfn.XLOOKUP(Table134526_79101120212223242526[[#This Row],[Name Surname]],Manpower!$C$4:$C$1048576,Manpower!$H$4:$H$1048576,"")</f>
        <v>Manpower</v>
      </c>
      <c r="I3846" s="48" t="str">
        <f>_xlfn.XLOOKUP(Table134526_79101120212223242526[[#This Row],[Name Surname]],Manpower!$C$4:$C$1048576,Manpower!$H$4:$H$1048576,"")</f>
        <v>Manpower</v>
      </c>
      <c r="J3846" s="43" t="s">
        <v>35</v>
      </c>
      <c r="K3846" s="51" t="s">
        <v>428</v>
      </c>
      <c r="L3846" s="51" t="s">
        <v>82</v>
      </c>
      <c r="M3846" s="51" t="s">
        <v>24</v>
      </c>
      <c r="N3846" s="52">
        <v>10</v>
      </c>
      <c r="O3846" s="43" t="s">
        <v>25</v>
      </c>
      <c r="P3846" s="43" t="s">
        <v>41</v>
      </c>
      <c r="Q3846" s="43" t="s">
        <v>60</v>
      </c>
      <c r="R3846" s="51" t="s">
        <v>452</v>
      </c>
      <c r="S3846" s="43"/>
    </row>
    <row r="3847" spans="1:19" s="45" customFormat="1" ht="14.4" hidden="1">
      <c r="A3847" s="53">
        <f>IF(C3847="","",MAX($A$1:A3846)+1)</f>
        <v>3524</v>
      </c>
      <c r="B3847" s="54" t="s">
        <v>141</v>
      </c>
      <c r="C3847" s="55">
        <v>46112</v>
      </c>
      <c r="D3847" s="68" t="str">
        <f>_xlfn.XLOOKUP(Table134526_79101120212223242526[[#This Row],[Name Surname]],Manpower!$C$4:$C$1048576,Manpower!$B$4:$B$1048576,"")</f>
        <v>Encogroup</v>
      </c>
      <c r="E3847" s="51" t="s">
        <v>107</v>
      </c>
      <c r="F3847" s="12">
        <f>_xlfn.XLOOKUP(Table134526_79101120212223242526[[#This Row],[Name Surname]],Manpower!C:C,Manpower!D:D,)</f>
        <v>116858297</v>
      </c>
      <c r="G3847" s="68" t="str">
        <f>_xlfn.XLOOKUP(Table134526_79101120212223242526[[#This Row],[Name Surname]],Manpower!$C$4:$C$1048576,Manpower!$F$4:$F$1048576,"")</f>
        <v>Mechanical Superintendent</v>
      </c>
      <c r="H3847" s="68" t="str">
        <f>_xlfn.XLOOKUP(Table134526_79101120212223242526[[#This Row],[Name Surname]],Manpower!$C$4:$C$1048576,Manpower!$H$4:$H$1048576,"")</f>
        <v>Manpower</v>
      </c>
      <c r="I3847" s="48" t="str">
        <f>_xlfn.XLOOKUP(Table134526_79101120212223242526[[#This Row],[Name Surname]],Manpower!$C$4:$C$1048576,Manpower!$H$4:$H$1048576,"")</f>
        <v>Manpower</v>
      </c>
      <c r="J3847" s="43" t="s">
        <v>35</v>
      </c>
      <c r="K3847" s="51" t="s">
        <v>428</v>
      </c>
      <c r="L3847" s="51" t="s">
        <v>82</v>
      </c>
      <c r="M3847" s="51" t="s">
        <v>24</v>
      </c>
      <c r="N3847" s="52">
        <v>10</v>
      </c>
      <c r="O3847" s="43" t="s">
        <v>40</v>
      </c>
      <c r="P3847" s="43" t="s">
        <v>41</v>
      </c>
      <c r="Q3847" s="43" t="s">
        <v>128</v>
      </c>
      <c r="R3847" s="51" t="s">
        <v>452</v>
      </c>
      <c r="S3847" s="43"/>
    </row>
    <row r="3848" spans="1:19" ht="14.4" hidden="1">
      <c r="A3848" s="38">
        <f>IF(C3848="","",MAX($A$1:A3847)+1)</f>
        <v>3525</v>
      </c>
      <c r="B3848" s="66" t="s">
        <v>141</v>
      </c>
      <c r="C3848" s="60">
        <v>46112</v>
      </c>
      <c r="D3848" s="61" t="str">
        <f>_xlfn.XLOOKUP(Table134526_79101120212223242526[[#This Row],[Name Surname]],Manpower!$C$4:$C$1048576,Manpower!$B$4:$B$1048576,"")</f>
        <v>Encogroup</v>
      </c>
      <c r="E3848" s="57" t="s">
        <v>126</v>
      </c>
      <c r="F3848" s="12">
        <f>_xlfn.XLOOKUP(Table134526_79101120212223242526[[#This Row],[Name Surname]],Manpower!C:C,Manpower!D:D,)</f>
        <v>140805568</v>
      </c>
      <c r="G3848" s="61" t="str">
        <f>_xlfn.XLOOKUP(Table134526_79101120212223242526[[#This Row],[Name Surname]],Manpower!$C$4:$C$1048576,Manpower!$F$4:$F$1048576,"")</f>
        <v>Assistant/Helper</v>
      </c>
      <c r="H3848" s="61" t="str">
        <f>_xlfn.XLOOKUP(Table134526_79101120212223242526[[#This Row],[Name Surname]],Manpower!$C$4:$C$1048576,Manpower!$H$4:$H$1048576,"")</f>
        <v>Manpower</v>
      </c>
      <c r="I3848" s="28" t="str">
        <f>_xlfn.XLOOKUP(Table134526_79101120212223242526[[#This Row],[Name Surname]],Manpower!$C$4:$C$1048576,Manpower!$H$4:$H$1048576,"")</f>
        <v>Manpower</v>
      </c>
      <c r="J3848" s="21" t="s">
        <v>35</v>
      </c>
      <c r="K3848" s="57" t="s">
        <v>431</v>
      </c>
      <c r="L3848" s="57" t="s">
        <v>82</v>
      </c>
      <c r="M3848" s="57" t="s">
        <v>24</v>
      </c>
      <c r="N3848" s="62">
        <v>10</v>
      </c>
      <c r="O3848" s="21" t="s">
        <v>40</v>
      </c>
      <c r="P3848" s="21" t="s">
        <v>41</v>
      </c>
      <c r="Q3848" s="21" t="s">
        <v>329</v>
      </c>
      <c r="R3848" s="57" t="s">
        <v>452</v>
      </c>
    </row>
    <row r="3849" spans="1:19" s="45" customFormat="1" ht="14.4" hidden="1">
      <c r="A3849" s="53">
        <f>IF(C3849="","",MAX($A$1:A3848)+1)</f>
        <v>3526</v>
      </c>
      <c r="B3849" s="54" t="s">
        <v>141</v>
      </c>
      <c r="C3849" s="55">
        <v>46112</v>
      </c>
      <c r="D3849" s="68" t="str">
        <f>_xlfn.XLOOKUP(Table134526_79101120212223242526[[#This Row],[Name Surname]],Manpower!$C$4:$C$1048576,Manpower!$B$4:$B$1048576,"")</f>
        <v>Rabwu Ahamal AL Khaleej Trad</v>
      </c>
      <c r="E3849" s="51" t="s">
        <v>131</v>
      </c>
      <c r="F3849" s="12">
        <f>_xlfn.XLOOKUP(Table134526_79101120212223242526[[#This Row],[Name Surname]],Manpower!C:C,Manpower!D:D,)</f>
        <v>131431131</v>
      </c>
      <c r="G3849" s="68" t="str">
        <f>_xlfn.XLOOKUP(Table134526_79101120212223242526[[#This Row],[Name Surname]],Manpower!$C$4:$C$1048576,Manpower!$F$4:$F$1048576,"")</f>
        <v>RIgger</v>
      </c>
      <c r="H3849" s="68" t="str">
        <f>_xlfn.XLOOKUP(Table134526_79101120212223242526[[#This Row],[Name Surname]],Manpower!$C$4:$C$1048576,Manpower!$H$4:$H$1048576,"")</f>
        <v>Sub Contactor</v>
      </c>
      <c r="I3849" s="48" t="str">
        <f>_xlfn.XLOOKUP(Table134526_79101120212223242526[[#This Row],[Name Surname]],Manpower!$C$4:$C$1048576,Manpower!$H$4:$H$1048576,"")</f>
        <v>Sub Contactor</v>
      </c>
      <c r="J3849" s="43" t="s">
        <v>35</v>
      </c>
      <c r="K3849" s="51" t="s">
        <v>428</v>
      </c>
      <c r="L3849" s="51" t="s">
        <v>82</v>
      </c>
      <c r="M3849" s="51" t="s">
        <v>24</v>
      </c>
      <c r="N3849" s="52">
        <v>10</v>
      </c>
      <c r="O3849" s="43" t="s">
        <v>40</v>
      </c>
      <c r="P3849" s="43" t="s">
        <v>41</v>
      </c>
      <c r="Q3849" s="43" t="s">
        <v>42</v>
      </c>
      <c r="R3849" s="51" t="s">
        <v>452</v>
      </c>
      <c r="S3849" s="43"/>
    </row>
    <row r="3850" spans="1:19" s="45" customFormat="1" ht="14.4" hidden="1">
      <c r="A3850" s="53">
        <f>IF(C3850="","",MAX($A$1:A3849)+1)</f>
        <v>3527</v>
      </c>
      <c r="B3850" s="54" t="s">
        <v>141</v>
      </c>
      <c r="C3850" s="55">
        <v>46112</v>
      </c>
      <c r="D3850" s="68" t="str">
        <f>_xlfn.XLOOKUP(Table134526_79101120212223242526[[#This Row],[Name Surname]],Manpower!$C$4:$C$1048576,Manpower!$B$4:$B$1048576,"")</f>
        <v>AL Saif &amp; Al QALLM ENT LLC</v>
      </c>
      <c r="E3850" s="51" t="s">
        <v>130</v>
      </c>
      <c r="F3850" s="12">
        <f>_xlfn.XLOOKUP(Table134526_79101120212223242526[[#This Row],[Name Surname]],Manpower!C:C,Manpower!D:D,)</f>
        <v>76647648</v>
      </c>
      <c r="G3850" s="68" t="str">
        <f>_xlfn.XLOOKUP(Table134526_79101120212223242526[[#This Row],[Name Surname]],Manpower!$C$4:$C$1048576,Manpower!$F$4:$F$1048576,"")</f>
        <v>RIgger</v>
      </c>
      <c r="H3850" s="68" t="str">
        <f>_xlfn.XLOOKUP(Table134526_79101120212223242526[[#This Row],[Name Surname]],Manpower!$C$4:$C$1048576,Manpower!$H$4:$H$1048576,"")</f>
        <v>Sub Contactor</v>
      </c>
      <c r="I3850" s="48" t="str">
        <f>_xlfn.XLOOKUP(Table134526_79101120212223242526[[#This Row],[Name Surname]],Manpower!$C$4:$C$1048576,Manpower!$H$4:$H$1048576,"")</f>
        <v>Sub Contactor</v>
      </c>
      <c r="J3850" s="43" t="s">
        <v>35</v>
      </c>
      <c r="K3850" s="51" t="s">
        <v>428</v>
      </c>
      <c r="L3850" s="51" t="s">
        <v>82</v>
      </c>
      <c r="M3850" s="51" t="s">
        <v>24</v>
      </c>
      <c r="N3850" s="52">
        <v>10</v>
      </c>
      <c r="O3850" s="43" t="s">
        <v>40</v>
      </c>
      <c r="P3850" s="43" t="s">
        <v>41</v>
      </c>
      <c r="Q3850" s="43" t="s">
        <v>42</v>
      </c>
      <c r="R3850" s="51" t="s">
        <v>452</v>
      </c>
      <c r="S3850" s="43"/>
    </row>
    <row r="3851" spans="1:19" s="45" customFormat="1" ht="14.4" hidden="1">
      <c r="A3851" s="53">
        <f>IF(C3851="","",MAX($A$1:A3850)+1)</f>
        <v>3528</v>
      </c>
      <c r="B3851" s="54" t="s">
        <v>141</v>
      </c>
      <c r="C3851" s="55">
        <v>46112</v>
      </c>
      <c r="D3851" s="68" t="str">
        <f>_xlfn.XLOOKUP(Table134526_79101120212223242526[[#This Row],[Name Surname]],Manpower!$C$4:$C$1048576,Manpower!$B$4:$B$1048576,"")</f>
        <v>Encogroup</v>
      </c>
      <c r="E3851" s="51" t="s">
        <v>109</v>
      </c>
      <c r="F3851" s="12">
        <f>_xlfn.XLOOKUP(Table134526_79101120212223242526[[#This Row],[Name Surname]],Manpower!C:C,Manpower!D:D,)</f>
        <v>123805496</v>
      </c>
      <c r="G3851" s="68" t="str">
        <f>_xlfn.XLOOKUP(Table134526_79101120212223242526[[#This Row],[Name Surname]],Manpower!$C$4:$C$1048576,Manpower!$F$4:$F$1048576,"")</f>
        <v>Fitter/Erector</v>
      </c>
      <c r="H3851" s="68" t="str">
        <f>_xlfn.XLOOKUP(Table134526_79101120212223242526[[#This Row],[Name Surname]],Manpower!$C$4:$C$1048576,Manpower!$H$4:$H$1048576,"")</f>
        <v>Manpower</v>
      </c>
      <c r="I3851" s="48" t="str">
        <f>_xlfn.XLOOKUP(Table134526_79101120212223242526[[#This Row],[Name Surname]],Manpower!$C$4:$C$1048576,Manpower!$H$4:$H$1048576,"")</f>
        <v>Manpower</v>
      </c>
      <c r="J3851" s="43" t="s">
        <v>35</v>
      </c>
      <c r="K3851" s="51" t="s">
        <v>428</v>
      </c>
      <c r="L3851" s="51" t="s">
        <v>82</v>
      </c>
      <c r="M3851" s="51" t="s">
        <v>24</v>
      </c>
      <c r="N3851" s="52">
        <v>10</v>
      </c>
      <c r="O3851" s="43" t="s">
        <v>25</v>
      </c>
      <c r="P3851" s="43" t="s">
        <v>41</v>
      </c>
      <c r="Q3851" s="43" t="s">
        <v>60</v>
      </c>
      <c r="R3851" s="51" t="s">
        <v>452</v>
      </c>
      <c r="S3851" s="43"/>
    </row>
    <row r="3852" spans="1:19" ht="14.4" hidden="1">
      <c r="A3852" s="38">
        <f>IF(C3852="","",MAX($A$1:A3851)+1)</f>
        <v>3529</v>
      </c>
      <c r="B3852" s="66" t="s">
        <v>141</v>
      </c>
      <c r="C3852" s="60">
        <v>46112</v>
      </c>
      <c r="D3852" s="61" t="str">
        <f>_xlfn.XLOOKUP(Table134526_79101120212223242526[[#This Row],[Name Surname]],Manpower!$C$4:$C$1048576,Manpower!$B$4:$B$1048576,"")</f>
        <v>Encogroup</v>
      </c>
      <c r="E3852" s="57" t="s">
        <v>110</v>
      </c>
      <c r="F3852" s="12">
        <f>_xlfn.XLOOKUP(Table134526_79101120212223242526[[#This Row],[Name Surname]],Manpower!C:C,Manpower!D:D,)</f>
        <v>136277866</v>
      </c>
      <c r="G3852" s="61" t="str">
        <f>_xlfn.XLOOKUP(Table134526_79101120212223242526[[#This Row],[Name Surname]],Manpower!$C$4:$C$1048576,Manpower!$F$4:$F$1048576,"")</f>
        <v>Permit Receiver</v>
      </c>
      <c r="H3852" s="61" t="str">
        <f>_xlfn.XLOOKUP(Table134526_79101120212223242526[[#This Row],[Name Surname]],Manpower!$C$4:$C$1048576,Manpower!$H$4:$H$1048576,"")</f>
        <v>Manpower</v>
      </c>
      <c r="I3852" s="28" t="str">
        <f>_xlfn.XLOOKUP(Table134526_79101120212223242526[[#This Row],[Name Surname]],Manpower!$C$4:$C$1048576,Manpower!$H$4:$H$1048576,"")</f>
        <v>Manpower</v>
      </c>
      <c r="J3852" s="21" t="s">
        <v>35</v>
      </c>
      <c r="K3852" s="57" t="s">
        <v>428</v>
      </c>
      <c r="L3852" s="57" t="s">
        <v>82</v>
      </c>
      <c r="M3852" s="57" t="s">
        <v>24</v>
      </c>
      <c r="N3852" s="62">
        <v>10</v>
      </c>
      <c r="O3852" s="21" t="s">
        <v>25</v>
      </c>
      <c r="P3852" s="21" t="s">
        <v>41</v>
      </c>
      <c r="Q3852" s="21" t="s">
        <v>60</v>
      </c>
      <c r="R3852" s="57" t="s">
        <v>452</v>
      </c>
    </row>
    <row r="3853" spans="1:19" ht="14.4" hidden="1">
      <c r="A3853" s="38">
        <f>IF(C3853="","",MAX($A$1:A3852)+1)</f>
        <v>3530</v>
      </c>
      <c r="B3853" s="66" t="s">
        <v>141</v>
      </c>
      <c r="C3853" s="60">
        <v>46112</v>
      </c>
      <c r="D3853" s="61" t="str">
        <f>_xlfn.XLOOKUP(Table134526_79101120212223242526[[#This Row],[Name Surname]],Manpower!$C$4:$C$1048576,Manpower!$B$4:$B$1048576,"")</f>
        <v>Encogroup</v>
      </c>
      <c r="E3853" s="57" t="s">
        <v>112</v>
      </c>
      <c r="F3853" s="12">
        <f>_xlfn.XLOOKUP(Table134526_79101120212223242526[[#This Row],[Name Surname]],Manpower!C:C,Manpower!D:D,)</f>
        <v>140663253</v>
      </c>
      <c r="G3853" s="61" t="str">
        <f>_xlfn.XLOOKUP(Table134526_79101120212223242526[[#This Row],[Name Surname]],Manpower!$C$4:$C$1048576,Manpower!$F$4:$F$1048576,"")</f>
        <v>Painting Inspector</v>
      </c>
      <c r="H3853" s="61" t="str">
        <f>_xlfn.XLOOKUP(Table134526_79101120212223242526[[#This Row],[Name Surname]],Manpower!$C$4:$C$1048576,Manpower!$H$4:$H$1048576,"")</f>
        <v>Manpower</v>
      </c>
      <c r="I3853" s="28" t="str">
        <f>_xlfn.XLOOKUP(Table134526_79101120212223242526[[#This Row],[Name Surname]],Manpower!$C$4:$C$1048576,Manpower!$H$4:$H$1048576,"")</f>
        <v>Manpower</v>
      </c>
      <c r="J3853" s="21" t="s">
        <v>35</v>
      </c>
      <c r="K3853" s="57" t="s">
        <v>432</v>
      </c>
      <c r="L3853" s="57" t="s">
        <v>82</v>
      </c>
      <c r="M3853" s="57" t="s">
        <v>24</v>
      </c>
      <c r="N3853" s="62">
        <v>10</v>
      </c>
      <c r="O3853" s="21" t="s">
        <v>94</v>
      </c>
      <c r="P3853" s="21" t="s">
        <v>114</v>
      </c>
      <c r="Q3853" s="21" t="s">
        <v>114</v>
      </c>
      <c r="R3853" s="57" t="s">
        <v>26</v>
      </c>
    </row>
    <row r="3854" spans="1:19" s="45" customFormat="1" ht="14.4" hidden="1">
      <c r="A3854" s="53">
        <f>IF(C3854="","",MAX($A$1:A3853)+1)</f>
        <v>3531</v>
      </c>
      <c r="B3854" s="54" t="s">
        <v>141</v>
      </c>
      <c r="C3854" s="55">
        <v>46112</v>
      </c>
      <c r="D3854" s="68" t="str">
        <f>_xlfn.XLOOKUP(Table134526_79101120212223242526[[#This Row],[Name Surname]],Manpower!$C$4:$C$1048576,Manpower!$B$4:$B$1048576,"")</f>
        <v>Encogroup</v>
      </c>
      <c r="E3854" s="51" t="s">
        <v>118</v>
      </c>
      <c r="F3854" s="12" t="str">
        <f>_xlfn.XLOOKUP(Table134526_79101120212223242526[[#This Row],[Name Surname]],Manpower!C:C,Manpower!D:D,)</f>
        <v>AG111207</v>
      </c>
      <c r="G3854" s="68" t="str">
        <f>_xlfn.XLOOKUP(Table134526_79101120212223242526[[#This Row],[Name Surname]],Manpower!$C$4:$C$1048576,Manpower!$F$4:$F$1048576,"")</f>
        <v>Assistant/Helper</v>
      </c>
      <c r="H3854" s="68" t="str">
        <f>_xlfn.XLOOKUP(Table134526_79101120212223242526[[#This Row],[Name Surname]],Manpower!$C$4:$C$1048576,Manpower!$H$4:$H$1048576,"")</f>
        <v>Manpower</v>
      </c>
      <c r="I3854" s="48" t="str">
        <f>_xlfn.XLOOKUP(Table134526_79101120212223242526[[#This Row],[Name Surname]],Manpower!$C$4:$C$1048576,Manpower!$H$4:$H$1048576,"")</f>
        <v>Manpower</v>
      </c>
      <c r="J3854" s="43" t="s">
        <v>35</v>
      </c>
      <c r="K3854" s="51" t="s">
        <v>432</v>
      </c>
      <c r="L3854" s="51" t="s">
        <v>82</v>
      </c>
      <c r="M3854" s="51" t="s">
        <v>24</v>
      </c>
      <c r="N3854" s="52">
        <v>10</v>
      </c>
      <c r="O3854" s="43" t="s">
        <v>94</v>
      </c>
      <c r="P3854" s="43" t="s">
        <v>114</v>
      </c>
      <c r="Q3854" s="43" t="s">
        <v>114</v>
      </c>
      <c r="R3854" s="51" t="s">
        <v>26</v>
      </c>
      <c r="S3854" s="43"/>
    </row>
    <row r="3855" spans="1:19" s="45" customFormat="1" ht="14.4" hidden="1">
      <c r="A3855" s="53">
        <f>IF(C3855="","",MAX($A$1:A3854)+1)</f>
        <v>3532</v>
      </c>
      <c r="B3855" s="54" t="s">
        <v>141</v>
      </c>
      <c r="C3855" s="55">
        <v>46112</v>
      </c>
      <c r="D3855" s="68" t="str">
        <f>_xlfn.XLOOKUP(Table134526_79101120212223242526[[#This Row],[Name Surname]],Manpower!$C$4:$C$1048576,Manpower!$B$4:$B$1048576,"")</f>
        <v>Encogroup</v>
      </c>
      <c r="E3855" s="51" t="s">
        <v>92</v>
      </c>
      <c r="F3855" s="12">
        <f>_xlfn.XLOOKUP(Table134526_79101120212223242526[[#This Row],[Name Surname]],Manpower!C:C,Manpower!D:D,)</f>
        <v>141377747</v>
      </c>
      <c r="G3855" s="68" t="str">
        <f>_xlfn.XLOOKUP(Table134526_79101120212223242526[[#This Row],[Name Surname]],Manpower!$C$4:$C$1048576,Manpower!$F$4:$F$1048576,"")</f>
        <v>Painter</v>
      </c>
      <c r="H3855" s="68" t="str">
        <f>_xlfn.XLOOKUP(Table134526_79101120212223242526[[#This Row],[Name Surname]],Manpower!$C$4:$C$1048576,Manpower!$H$4:$H$1048576,"")</f>
        <v>Manpower</v>
      </c>
      <c r="I3855" s="48" t="str">
        <f>_xlfn.XLOOKUP(Table134526_79101120212223242526[[#This Row],[Name Surname]],Manpower!$C$4:$C$1048576,Manpower!$H$4:$H$1048576,"")</f>
        <v>Manpower</v>
      </c>
      <c r="J3855" s="43" t="s">
        <v>35</v>
      </c>
      <c r="K3855" s="51" t="s">
        <v>428</v>
      </c>
      <c r="L3855" s="51" t="s">
        <v>82</v>
      </c>
      <c r="M3855" s="51" t="s">
        <v>24</v>
      </c>
      <c r="N3855" s="52">
        <v>10</v>
      </c>
      <c r="O3855" s="43" t="s">
        <v>25</v>
      </c>
      <c r="P3855" s="43" t="s">
        <v>41</v>
      </c>
      <c r="Q3855" s="43" t="s">
        <v>60</v>
      </c>
      <c r="R3855" s="51" t="s">
        <v>452</v>
      </c>
      <c r="S3855" s="43"/>
    </row>
    <row r="3856" spans="1:19" s="45" customFormat="1" ht="14.4" hidden="1">
      <c r="A3856" s="53">
        <f>IF(C3856="","",MAX($A$1:A3855)+1)</f>
        <v>3533</v>
      </c>
      <c r="B3856" s="54" t="s">
        <v>141</v>
      </c>
      <c r="C3856" s="55">
        <v>46112</v>
      </c>
      <c r="D3856" s="68" t="str">
        <f>_xlfn.XLOOKUP(Table134526_79101120212223242526[[#This Row],[Name Surname]],Manpower!$C$4:$C$1048576,Manpower!$B$4:$B$1048576,"")</f>
        <v>Encogroup</v>
      </c>
      <c r="E3856" s="51" t="s">
        <v>173</v>
      </c>
      <c r="F3856" s="12" t="str">
        <f>_xlfn.XLOOKUP(Table134526_79101120212223242526[[#This Row],[Name Surname]],Manpower!C:C,Manpower!D:D,)</f>
        <v>S3549132</v>
      </c>
      <c r="G3856" s="68" t="str">
        <f>_xlfn.XLOOKUP(Table134526_79101120212223242526[[#This Row],[Name Surname]],Manpower!$C$4:$C$1048576,Manpower!$F$4:$F$1048576,"")</f>
        <v>Grinder</v>
      </c>
      <c r="H3856" s="68" t="str">
        <f>_xlfn.XLOOKUP(Table134526_79101120212223242526[[#This Row],[Name Surname]],Manpower!$C$4:$C$1048576,Manpower!$H$4:$H$1048576,"")</f>
        <v>Manpower</v>
      </c>
      <c r="I3856" s="48" t="str">
        <f>_xlfn.XLOOKUP(Table134526_79101120212223242526[[#This Row],[Name Surname]],Manpower!$C$4:$C$1048576,Manpower!$H$4:$H$1048576,"")</f>
        <v>Manpower</v>
      </c>
      <c r="J3856" s="43" t="s">
        <v>35</v>
      </c>
      <c r="K3856" s="51" t="s">
        <v>432</v>
      </c>
      <c r="L3856" s="51" t="s">
        <v>82</v>
      </c>
      <c r="M3856" s="51" t="s">
        <v>24</v>
      </c>
      <c r="N3856" s="52">
        <v>10</v>
      </c>
      <c r="O3856" s="43" t="s">
        <v>94</v>
      </c>
      <c r="P3856" s="43" t="s">
        <v>114</v>
      </c>
      <c r="Q3856" s="43" t="s">
        <v>114</v>
      </c>
      <c r="R3856" s="51" t="s">
        <v>26</v>
      </c>
      <c r="S3856" s="43"/>
    </row>
    <row r="3857" spans="1:19" s="45" customFormat="1" ht="14.4" hidden="1">
      <c r="A3857" s="53">
        <f>IF(C3857="","",MAX($A$1:A3856)+1)</f>
        <v>3534</v>
      </c>
      <c r="B3857" s="54" t="s">
        <v>141</v>
      </c>
      <c r="C3857" s="55">
        <v>46112</v>
      </c>
      <c r="D3857" s="68" t="str">
        <f>_xlfn.XLOOKUP(Table134526_79101120212223242526[[#This Row],[Name Surname]],Manpower!$C$4:$C$1048576,Manpower!$B$4:$B$1048576,"")</f>
        <v>Encogroup</v>
      </c>
      <c r="E3857" s="51" t="s">
        <v>119</v>
      </c>
      <c r="F3857" s="12">
        <f>_xlfn.XLOOKUP(Table134526_79101120212223242526[[#This Row],[Name Surname]],Manpower!C:C,Manpower!D:D,)</f>
        <v>140844778</v>
      </c>
      <c r="G3857" s="68" t="str">
        <f>_xlfn.XLOOKUP(Table134526_79101120212223242526[[#This Row],[Name Surname]],Manpower!$C$4:$C$1048576,Manpower!$F$4:$F$1048576,"")</f>
        <v>Painter</v>
      </c>
      <c r="H3857" s="68" t="str">
        <f>_xlfn.XLOOKUP(Table134526_79101120212223242526[[#This Row],[Name Surname]],Manpower!$C$4:$C$1048576,Manpower!$H$4:$H$1048576,"")</f>
        <v>Manpower</v>
      </c>
      <c r="I3857" s="48" t="str">
        <f>_xlfn.XLOOKUP(Table134526_79101120212223242526[[#This Row],[Name Surname]],Manpower!$C$4:$C$1048576,Manpower!$H$4:$H$1048576,"")</f>
        <v>Manpower</v>
      </c>
      <c r="J3857" s="43" t="s">
        <v>35</v>
      </c>
      <c r="K3857" s="51" t="s">
        <v>432</v>
      </c>
      <c r="L3857" s="51" t="s">
        <v>82</v>
      </c>
      <c r="M3857" s="51" t="s">
        <v>24</v>
      </c>
      <c r="N3857" s="52">
        <v>10</v>
      </c>
      <c r="O3857" s="43" t="s">
        <v>94</v>
      </c>
      <c r="P3857" s="43" t="s">
        <v>114</v>
      </c>
      <c r="Q3857" s="43" t="s">
        <v>114</v>
      </c>
      <c r="R3857" s="51" t="s">
        <v>26</v>
      </c>
      <c r="S3857" s="43"/>
    </row>
    <row r="3858" spans="1:19" s="45" customFormat="1" ht="14.4" hidden="1">
      <c r="A3858" s="53">
        <f>IF(C3858="","",MAX($A$1:A3857)+1)</f>
        <v>3535</v>
      </c>
      <c r="B3858" s="54" t="s">
        <v>141</v>
      </c>
      <c r="C3858" s="55">
        <v>46112</v>
      </c>
      <c r="D3858" s="68" t="str">
        <f>_xlfn.XLOOKUP(Table134526_79101120212223242526[[#This Row],[Name Surname]],Manpower!$C$4:$C$1048576,Manpower!$B$4:$B$1048576,"")</f>
        <v>Encogroup</v>
      </c>
      <c r="E3858" s="51" t="s">
        <v>117</v>
      </c>
      <c r="F3858" s="12">
        <f>_xlfn.XLOOKUP(Table134526_79101120212223242526[[#This Row],[Name Surname]],Manpower!C:C,Manpower!D:D,)</f>
        <v>140844783</v>
      </c>
      <c r="G3858" s="68" t="str">
        <f>_xlfn.XLOOKUP(Table134526_79101120212223242526[[#This Row],[Name Surname]],Manpower!$C$4:$C$1048576,Manpower!$F$4:$F$1048576,"")</f>
        <v>Painter</v>
      </c>
      <c r="H3858" s="68" t="str">
        <f>_xlfn.XLOOKUP(Table134526_79101120212223242526[[#This Row],[Name Surname]],Manpower!$C$4:$C$1048576,Manpower!$H$4:$H$1048576,"")</f>
        <v>Manpower</v>
      </c>
      <c r="I3858" s="48" t="str">
        <f>_xlfn.XLOOKUP(Table134526_79101120212223242526[[#This Row],[Name Surname]],Manpower!$C$4:$C$1048576,Manpower!$H$4:$H$1048576,"")</f>
        <v>Manpower</v>
      </c>
      <c r="J3858" s="43" t="s">
        <v>35</v>
      </c>
      <c r="K3858" s="51" t="s">
        <v>432</v>
      </c>
      <c r="L3858" s="51" t="s">
        <v>82</v>
      </c>
      <c r="M3858" s="51" t="s">
        <v>24</v>
      </c>
      <c r="N3858" s="52">
        <v>10</v>
      </c>
      <c r="O3858" s="43" t="s">
        <v>94</v>
      </c>
      <c r="P3858" s="43" t="s">
        <v>114</v>
      </c>
      <c r="Q3858" s="43" t="s">
        <v>114</v>
      </c>
      <c r="R3858" s="51" t="s">
        <v>26</v>
      </c>
      <c r="S3858" s="43"/>
    </row>
    <row r="3859" spans="1:19" s="45" customFormat="1" ht="14.4" hidden="1">
      <c r="A3859" s="53">
        <f>IF(C3859="","",MAX($A$1:A3858)+1)</f>
        <v>3536</v>
      </c>
      <c r="B3859" s="54" t="s">
        <v>141</v>
      </c>
      <c r="C3859" s="55">
        <v>46112</v>
      </c>
      <c r="D3859" s="68" t="str">
        <f>_xlfn.XLOOKUP(Table134526_79101120212223242526[[#This Row],[Name Surname]],Manpower!$C$4:$C$1048576,Manpower!$B$4:$B$1048576,"")</f>
        <v>Encogroup</v>
      </c>
      <c r="E3859" s="51" t="s">
        <v>209</v>
      </c>
      <c r="F3859" s="12">
        <f>_xlfn.XLOOKUP(Table134526_79101120212223242526[[#This Row],[Name Surname]],Manpower!C:C,Manpower!D:D,)</f>
        <v>141365164</v>
      </c>
      <c r="G3859" s="68" t="str">
        <f>_xlfn.XLOOKUP(Table134526_79101120212223242526[[#This Row],[Name Surname]],Manpower!$C$4:$C$1048576,Manpower!$F$4:$F$1048576,"")</f>
        <v>Helper</v>
      </c>
      <c r="H3859" s="68" t="str">
        <f>_xlfn.XLOOKUP(Table134526_79101120212223242526[[#This Row],[Name Surname]],Manpower!$C$4:$C$1048576,Manpower!$H$4:$H$1048576,"")</f>
        <v>Manpower</v>
      </c>
      <c r="I3859" s="48" t="str">
        <f>_xlfn.XLOOKUP(Table134526_79101120212223242526[[#This Row],[Name Surname]],Manpower!$C$4:$C$1048576,Manpower!$H$4:$H$1048576,"")</f>
        <v>Manpower</v>
      </c>
      <c r="J3859" s="43" t="s">
        <v>35</v>
      </c>
      <c r="K3859" s="51" t="s">
        <v>428</v>
      </c>
      <c r="L3859" s="51" t="s">
        <v>82</v>
      </c>
      <c r="M3859" s="51" t="s">
        <v>24</v>
      </c>
      <c r="N3859" s="52">
        <v>10</v>
      </c>
      <c r="O3859" s="43" t="s">
        <v>25</v>
      </c>
      <c r="P3859" s="43" t="s">
        <v>41</v>
      </c>
      <c r="Q3859" s="43" t="s">
        <v>60</v>
      </c>
      <c r="R3859" s="51" t="s">
        <v>452</v>
      </c>
      <c r="S3859" s="43"/>
    </row>
    <row r="3860" spans="1:19" s="45" customFormat="1" ht="14.4" hidden="1">
      <c r="A3860" s="53">
        <f>IF(C3860="","",MAX($A$1:A3859)+1)</f>
        <v>3537</v>
      </c>
      <c r="B3860" s="54" t="s">
        <v>141</v>
      </c>
      <c r="C3860" s="55">
        <v>46112</v>
      </c>
      <c r="D3860" s="68" t="str">
        <f>_xlfn.XLOOKUP(Table134526_79101120212223242526[[#This Row],[Name Surname]],Manpower!$C$4:$C$1048576,Manpower!$B$4:$B$1048576,"")</f>
        <v>Encogroup</v>
      </c>
      <c r="E3860" s="51" t="s">
        <v>122</v>
      </c>
      <c r="F3860" s="12">
        <f>_xlfn.XLOOKUP(Table134526_79101120212223242526[[#This Row],[Name Surname]],Manpower!C:C,Manpower!D:D,)</f>
        <v>140805554</v>
      </c>
      <c r="G3860" s="68" t="str">
        <f>_xlfn.XLOOKUP(Table134526_79101120212223242526[[#This Row],[Name Surname]],Manpower!$C$4:$C$1048576,Manpower!$F$4:$F$1048576,"")</f>
        <v>Assistant/Helper</v>
      </c>
      <c r="H3860" s="68" t="str">
        <f>_xlfn.XLOOKUP(Table134526_79101120212223242526[[#This Row],[Name Surname]],Manpower!$C$4:$C$1048576,Manpower!$H$4:$H$1048576,"")</f>
        <v>Manpower</v>
      </c>
      <c r="I3860" s="48" t="str">
        <f>_xlfn.XLOOKUP(Table134526_79101120212223242526[[#This Row],[Name Surname]],Manpower!$C$4:$C$1048576,Manpower!$H$4:$H$1048576,"")</f>
        <v>Manpower</v>
      </c>
      <c r="J3860" s="43" t="s">
        <v>35</v>
      </c>
      <c r="K3860" s="51" t="s">
        <v>428</v>
      </c>
      <c r="L3860" s="51" t="s">
        <v>82</v>
      </c>
      <c r="M3860" s="51" t="s">
        <v>24</v>
      </c>
      <c r="N3860" s="52">
        <v>10</v>
      </c>
      <c r="O3860" s="43" t="s">
        <v>25</v>
      </c>
      <c r="P3860" s="43" t="s">
        <v>41</v>
      </c>
      <c r="Q3860" s="43" t="s">
        <v>77</v>
      </c>
      <c r="R3860" s="51" t="s">
        <v>452</v>
      </c>
      <c r="S3860" s="43"/>
    </row>
    <row r="3861" spans="1:19" ht="14.4" hidden="1">
      <c r="A3861" s="38">
        <f>IF(C3861="","",MAX($A$1:A3860)+1)</f>
        <v>3538</v>
      </c>
      <c r="B3861" s="66" t="s">
        <v>141</v>
      </c>
      <c r="C3861" s="60">
        <v>46112</v>
      </c>
      <c r="D3861" s="28" t="str">
        <f>_xlfn.XLOOKUP(Table134526_79101120212223242526[[#This Row],[Name Surname]],Manpower!$C$4:$C$1048576,Manpower!$B$4:$B$1048576,"")</f>
        <v>Encogroup</v>
      </c>
      <c r="E3861" s="21" t="s">
        <v>286</v>
      </c>
      <c r="F3861" s="12">
        <f>_xlfn.XLOOKUP(Table134526_79101120212223242526[[#This Row],[Name Surname]],Manpower!C:C,Manpower!D:D,)</f>
        <v>1487544</v>
      </c>
      <c r="G3861" s="28" t="str">
        <f>_xlfn.XLOOKUP(Table134526_79101120212223242526[[#This Row],[Name Surname]],Manpower!$C$4:$C$1048576,Manpower!$F$4:$F$1048576,"")</f>
        <v>Driver</v>
      </c>
      <c r="H3861" s="28" t="str">
        <f>_xlfn.XLOOKUP(Table134526_79101120212223242526[[#This Row],[Name Surname]],Manpower!$C$4:$C$1048576,Manpower!$H$4:$H$1048576,"")</f>
        <v>Manpower</v>
      </c>
      <c r="I3861" s="28" t="str">
        <f>_xlfn.XLOOKUP(Table134526_79101120212223242526[[#This Row],[Name Surname]],Manpower!$C$4:$C$1048576,Manpower!$H$4:$H$1048576,"")</f>
        <v>Manpower</v>
      </c>
      <c r="J3861" s="21" t="s">
        <v>135</v>
      </c>
      <c r="K3861" s="57" t="s">
        <v>26</v>
      </c>
      <c r="L3861" s="57" t="s">
        <v>82</v>
      </c>
      <c r="M3861" s="57" t="s">
        <v>24</v>
      </c>
      <c r="N3861" s="62">
        <v>10</v>
      </c>
      <c r="O3861" s="21" t="s">
        <v>40</v>
      </c>
      <c r="P3861" s="21" t="s">
        <v>41</v>
      </c>
      <c r="Q3861" s="21" t="s">
        <v>42</v>
      </c>
      <c r="R3861" s="21" t="s">
        <v>26</v>
      </c>
    </row>
    <row r="3862" spans="1:19" ht="14.4" hidden="1">
      <c r="A3862" s="38">
        <f>IF(C3862="","",MAX($A$1:A3861)+1)</f>
        <v>3539</v>
      </c>
      <c r="B3862" s="66" t="s">
        <v>141</v>
      </c>
      <c r="C3862" s="60">
        <v>46112</v>
      </c>
      <c r="D3862" s="28" t="str">
        <f>_xlfn.XLOOKUP(Table134526_79101120212223242526[[#This Row],[Name Surname]],Manpower!$C$4:$C$1048576,Manpower!$B$4:$B$1048576,"")</f>
        <v xml:space="preserve">FAL Transport </v>
      </c>
      <c r="E3862" s="21" t="s">
        <v>225</v>
      </c>
      <c r="F3862" s="12">
        <f>_xlfn.XLOOKUP(Table134526_79101120212223242526[[#This Row],[Name Surname]],Manpower!C:C,Manpower!D:D,)</f>
        <v>124233837</v>
      </c>
      <c r="G3862" s="28" t="str">
        <f>_xlfn.XLOOKUP(Table134526_79101120212223242526[[#This Row],[Name Surname]],Manpower!$C$4:$C$1048576,Manpower!$F$4:$F$1048576,"")</f>
        <v>Trailer Driver</v>
      </c>
      <c r="H3862" s="28" t="str">
        <f>_xlfn.XLOOKUP(Table134526_79101120212223242526[[#This Row],[Name Surname]],Manpower!$C$4:$C$1048576,Manpower!$H$4:$H$1048576,"")</f>
        <v>Sub Contactor</v>
      </c>
      <c r="I3862" s="28" t="str">
        <f>_xlfn.XLOOKUP(Table134526_79101120212223242526[[#This Row],[Name Surname]],Manpower!$C$4:$C$1048576,Manpower!$H$4:$H$1048576,"")</f>
        <v>Sub Contactor</v>
      </c>
      <c r="J3862" s="21" t="s">
        <v>135</v>
      </c>
      <c r="K3862" s="57" t="s">
        <v>26</v>
      </c>
      <c r="L3862" s="57" t="s">
        <v>82</v>
      </c>
      <c r="M3862" s="57" t="s">
        <v>24</v>
      </c>
      <c r="N3862" s="62">
        <v>10</v>
      </c>
      <c r="O3862" s="21" t="s">
        <v>40</v>
      </c>
      <c r="P3862" s="21" t="s">
        <v>41</v>
      </c>
      <c r="Q3862" s="21" t="s">
        <v>42</v>
      </c>
      <c r="R3862" s="21" t="s">
        <v>26</v>
      </c>
    </row>
    <row r="3863" spans="1:19" ht="14.4" hidden="1">
      <c r="A3863" s="38">
        <f>IF(C3863="","",MAX($A$1:A3862)+1)</f>
        <v>3540</v>
      </c>
      <c r="B3863" s="66" t="s">
        <v>141</v>
      </c>
      <c r="C3863" s="60">
        <v>46112</v>
      </c>
      <c r="D3863" s="28" t="str">
        <f>_xlfn.XLOOKUP(Table134526_79101120212223242526[[#This Row],[Name Surname]],Manpower!$C$4:$C$1048576,Manpower!$B$4:$B$1048576,"")</f>
        <v>Encogroup</v>
      </c>
      <c r="E3863" s="21" t="s">
        <v>235</v>
      </c>
      <c r="F3863" s="12">
        <f>_xlfn.XLOOKUP(Table134526_79101120212223242526[[#This Row],[Name Surname]],Manpower!C:C,Manpower!D:D,)</f>
        <v>132423982</v>
      </c>
      <c r="G3863" s="28" t="str">
        <f>_xlfn.XLOOKUP(Table134526_79101120212223242526[[#This Row],[Name Surname]],Manpower!$C$4:$C$1048576,Manpower!$F$4:$F$1048576,"")</f>
        <v>Mechanic Supervisor</v>
      </c>
      <c r="H3863" s="28" t="str">
        <f>_xlfn.XLOOKUP(Table134526_79101120212223242526[[#This Row],[Name Surname]],Manpower!$C$4:$C$1048576,Manpower!$H$4:$H$1048576,"")</f>
        <v>Manpower</v>
      </c>
      <c r="I3863" s="28" t="str">
        <f>_xlfn.XLOOKUP(Table134526_79101120212223242526[[#This Row],[Name Surname]],Manpower!$C$4:$C$1048576,Manpower!$H$4:$H$1048576,"")</f>
        <v>Manpower</v>
      </c>
      <c r="J3863" s="21" t="s">
        <v>135</v>
      </c>
      <c r="K3863" s="57" t="s">
        <v>26</v>
      </c>
      <c r="L3863" s="57" t="s">
        <v>82</v>
      </c>
      <c r="M3863" s="57" t="s">
        <v>24</v>
      </c>
      <c r="N3863" s="62">
        <v>10</v>
      </c>
      <c r="O3863" s="21" t="s">
        <v>236</v>
      </c>
      <c r="P3863" s="21" t="s">
        <v>236</v>
      </c>
      <c r="Q3863" s="21" t="s">
        <v>236</v>
      </c>
      <c r="R3863" s="21" t="s">
        <v>26</v>
      </c>
    </row>
    <row r="3864" spans="1:19" ht="14.4" hidden="1">
      <c r="A3864" s="38">
        <f>IF(C3864="","",MAX($A$1:A3863)+1)</f>
        <v>3541</v>
      </c>
      <c r="B3864" s="66" t="s">
        <v>141</v>
      </c>
      <c r="C3864" s="60">
        <v>46112</v>
      </c>
      <c r="D3864" s="28" t="str">
        <f>_xlfn.XLOOKUP(Table134526_79101120212223242526[[#This Row],[Name Surname]],Manpower!$C$4:$C$1048576,Manpower!$B$4:$B$1048576,"")</f>
        <v>Encogroup</v>
      </c>
      <c r="E3864" s="21" t="s">
        <v>237</v>
      </c>
      <c r="F3864" s="12">
        <f>_xlfn.XLOOKUP(Table134526_79101120212223242526[[#This Row],[Name Surname]],Manpower!C:C,Manpower!D:D,)</f>
        <v>75199413</v>
      </c>
      <c r="G3864" s="28" t="str">
        <f>_xlfn.XLOOKUP(Table134526_79101120212223242526[[#This Row],[Name Surname]],Manpower!$C$4:$C$1048576,Manpower!$F$4:$F$1048576,"")</f>
        <v>Mechanic</v>
      </c>
      <c r="H3864" s="28" t="str">
        <f>_xlfn.XLOOKUP(Table134526_79101120212223242526[[#This Row],[Name Surname]],Manpower!$C$4:$C$1048576,Manpower!$H$4:$H$1048576,"")</f>
        <v>Manpower</v>
      </c>
      <c r="I3864" s="28" t="str">
        <f>_xlfn.XLOOKUP(Table134526_79101120212223242526[[#This Row],[Name Surname]],Manpower!$C$4:$C$1048576,Manpower!$H$4:$H$1048576,"")</f>
        <v>Manpower</v>
      </c>
      <c r="J3864" s="21" t="s">
        <v>135</v>
      </c>
      <c r="K3864" s="57" t="s">
        <v>26</v>
      </c>
      <c r="L3864" s="57" t="s">
        <v>82</v>
      </c>
      <c r="M3864" s="57" t="s">
        <v>24</v>
      </c>
      <c r="N3864" s="62">
        <v>10</v>
      </c>
      <c r="O3864" s="21" t="s">
        <v>236</v>
      </c>
      <c r="P3864" s="21" t="s">
        <v>236</v>
      </c>
      <c r="Q3864" s="21" t="s">
        <v>236</v>
      </c>
      <c r="R3864" s="21" t="s">
        <v>26</v>
      </c>
    </row>
    <row r="3865" spans="1:19" ht="14.4" hidden="1">
      <c r="A3865" s="38">
        <f>IF(C3865="","",MAX($A$1:A3864)+1)</f>
        <v>3542</v>
      </c>
      <c r="B3865" s="66" t="s">
        <v>141</v>
      </c>
      <c r="C3865" s="60">
        <v>46112</v>
      </c>
      <c r="D3865" s="28" t="str">
        <f>_xlfn.XLOOKUP(Table134526_79101120212223242526[[#This Row],[Name Surname]],Manpower!$C$4:$C$1048576,Manpower!$B$4:$B$1048576,"")</f>
        <v>Encogroup</v>
      </c>
      <c r="E3865" s="21" t="s">
        <v>398</v>
      </c>
      <c r="F3865" s="12">
        <f>_xlfn.XLOOKUP(Table134526_79101120212223242526[[#This Row],[Name Surname]],Manpower!C:C,Manpower!D:D,)</f>
        <v>81612139</v>
      </c>
      <c r="G3865" s="28" t="str">
        <f>_xlfn.XLOOKUP(Table134526_79101120212223242526[[#This Row],[Name Surname]],Manpower!$C$4:$C$1048576,Manpower!$F$4:$F$1048576,"")</f>
        <v>Mechanic</v>
      </c>
      <c r="H3865" s="28" t="str">
        <f>_xlfn.XLOOKUP(Table134526_79101120212223242526[[#This Row],[Name Surname]],Manpower!$C$4:$C$1048576,Manpower!$H$4:$H$1048576,"")</f>
        <v>Manpower</v>
      </c>
      <c r="I3865" s="28" t="str">
        <f>_xlfn.XLOOKUP(Table134526_79101120212223242526[[#This Row],[Name Surname]],Manpower!$C$4:$C$1048576,Manpower!$H$4:$H$1048576,"")</f>
        <v>Manpower</v>
      </c>
      <c r="J3865" s="21" t="s">
        <v>135</v>
      </c>
      <c r="K3865" s="57" t="s">
        <v>26</v>
      </c>
      <c r="L3865" s="57" t="s">
        <v>82</v>
      </c>
      <c r="M3865" s="57" t="s">
        <v>24</v>
      </c>
      <c r="N3865" s="62">
        <v>10</v>
      </c>
      <c r="O3865" s="21" t="s">
        <v>236</v>
      </c>
      <c r="P3865" s="21" t="s">
        <v>236</v>
      </c>
      <c r="Q3865" s="21" t="s">
        <v>236</v>
      </c>
      <c r="R3865" s="21" t="s">
        <v>26</v>
      </c>
    </row>
    <row r="3866" spans="1:19" ht="14.4" hidden="1">
      <c r="A3866" s="38">
        <f>IF(C3866="","",MAX($A$1:A3865)+1)</f>
        <v>3543</v>
      </c>
      <c r="B3866" s="66" t="s">
        <v>141</v>
      </c>
      <c r="C3866" s="60">
        <v>46112</v>
      </c>
      <c r="D3866" s="28" t="str">
        <f>_xlfn.XLOOKUP(Table134526_79101120212223242526[[#This Row],[Name Surname]],Manpower!$C$4:$C$1048576,Manpower!$B$4:$B$1048576,"")</f>
        <v>Encogroup</v>
      </c>
      <c r="E3866" s="21" t="s">
        <v>228</v>
      </c>
      <c r="F3866" s="12">
        <f>_xlfn.XLOOKUP(Table134526_79101120212223242526[[#This Row],[Name Surname]],Manpower!C:C,Manpower!D:D,)</f>
        <v>125199963</v>
      </c>
      <c r="G3866" s="28" t="str">
        <f>_xlfn.XLOOKUP(Table134526_79101120212223242526[[#This Row],[Name Surname]],Manpower!$C$4:$C$1048576,Manpower!$F$4:$F$1048576,"")</f>
        <v>Electrician</v>
      </c>
      <c r="H3866" s="28" t="str">
        <f>_xlfn.XLOOKUP(Table134526_79101120212223242526[[#This Row],[Name Surname]],Manpower!$C$4:$C$1048576,Manpower!$H$4:$H$1048576,"")</f>
        <v>Manpower</v>
      </c>
      <c r="I3866" s="28" t="str">
        <f>_xlfn.XLOOKUP(Table134526_79101120212223242526[[#This Row],[Name Surname]],Manpower!$C$4:$C$1048576,Manpower!$H$4:$H$1048576,"")</f>
        <v>Manpower</v>
      </c>
      <c r="J3866" s="21" t="s">
        <v>135</v>
      </c>
      <c r="K3866" s="57" t="s">
        <v>26</v>
      </c>
      <c r="L3866" s="57" t="s">
        <v>82</v>
      </c>
      <c r="M3866" s="57" t="s">
        <v>24</v>
      </c>
      <c r="N3866" s="62">
        <v>10</v>
      </c>
      <c r="O3866" s="21" t="s">
        <v>28</v>
      </c>
      <c r="P3866" s="21" t="s">
        <v>28</v>
      </c>
      <c r="Q3866" s="21" t="s">
        <v>28</v>
      </c>
      <c r="R3866" s="21" t="s">
        <v>26</v>
      </c>
    </row>
    <row r="3867" spans="1:19" ht="14.4" hidden="1">
      <c r="A3867" s="38">
        <f>IF(C3867="","",MAX($A$1:A3866)+1)</f>
        <v>3544</v>
      </c>
      <c r="B3867" s="66" t="s">
        <v>141</v>
      </c>
      <c r="C3867" s="60">
        <v>46112</v>
      </c>
      <c r="D3867" s="28" t="str">
        <f>_xlfn.XLOOKUP(Table134526_79101120212223242526[[#This Row],[Name Surname]],Manpower!$C$4:$C$1048576,Manpower!$B$4:$B$1048576,"")</f>
        <v>Encogroup</v>
      </c>
      <c r="E3867" s="21" t="s">
        <v>433</v>
      </c>
      <c r="F3867" s="12">
        <f>_xlfn.XLOOKUP(Table134526_79101120212223242526[[#This Row],[Name Surname]],Manpower!C:C,Manpower!D:D,)</f>
        <v>117871996</v>
      </c>
      <c r="G3867" s="28" t="str">
        <f>_xlfn.XLOOKUP(Table134526_79101120212223242526[[#This Row],[Name Surname]],Manpower!$C$4:$C$1048576,Manpower!$F$4:$F$1048576,"")</f>
        <v>Electrical  Supervisor</v>
      </c>
      <c r="H3867" s="28" t="str">
        <f>_xlfn.XLOOKUP(Table134526_79101120212223242526[[#This Row],[Name Surname]],Manpower!$C$4:$C$1048576,Manpower!$H$4:$H$1048576,"")</f>
        <v>Manpower</v>
      </c>
      <c r="I3867" s="28" t="str">
        <f>_xlfn.XLOOKUP(Table134526_79101120212223242526[[#This Row],[Name Surname]],Manpower!$C$4:$C$1048576,Manpower!$H$4:$H$1048576,"")</f>
        <v>Manpower</v>
      </c>
      <c r="J3867" s="21" t="s">
        <v>135</v>
      </c>
      <c r="K3867" s="57" t="s">
        <v>26</v>
      </c>
      <c r="L3867" s="57" t="s">
        <v>82</v>
      </c>
      <c r="M3867" s="57" t="s">
        <v>24</v>
      </c>
      <c r="N3867" s="62">
        <v>10</v>
      </c>
      <c r="O3867" s="21" t="s">
        <v>28</v>
      </c>
      <c r="P3867" s="21" t="s">
        <v>28</v>
      </c>
      <c r="Q3867" s="21" t="s">
        <v>28</v>
      </c>
      <c r="R3867" s="21" t="s">
        <v>26</v>
      </c>
    </row>
    <row r="3868" spans="1:19" ht="14.4" hidden="1">
      <c r="A3868" s="38">
        <f>IF(C3868="","",MAX($A$1:A3867)+1)</f>
        <v>3545</v>
      </c>
      <c r="B3868" s="66" t="s">
        <v>141</v>
      </c>
      <c r="C3868" s="60">
        <v>46112</v>
      </c>
      <c r="D3868" s="28" t="str">
        <f>_xlfn.XLOOKUP(Table134526_79101120212223242526[[#This Row],[Name Surname]],Manpower!$C$4:$C$1048576,Manpower!$B$4:$B$1048576,"")</f>
        <v>Encogroup</v>
      </c>
      <c r="E3868" s="21" t="s">
        <v>375</v>
      </c>
      <c r="F3868" s="12">
        <f>_xlfn.XLOOKUP(Table134526_79101120212223242526[[#This Row],[Name Surname]],Manpower!C:C,Manpower!D:D,)</f>
        <v>130805123</v>
      </c>
      <c r="G3868" s="28" t="str">
        <f>_xlfn.XLOOKUP(Table134526_79101120212223242526[[#This Row],[Name Surname]],Manpower!$C$4:$C$1048576,Manpower!$F$4:$F$1048576,"")</f>
        <v>Mechanic</v>
      </c>
      <c r="H3868" s="28" t="str">
        <f>_xlfn.XLOOKUP(Table134526_79101120212223242526[[#This Row],[Name Surname]],Manpower!$C$4:$C$1048576,Manpower!$H$4:$H$1048576,"")</f>
        <v>Manpower</v>
      </c>
      <c r="I3868" s="28" t="str">
        <f>_xlfn.XLOOKUP(Table134526_79101120212223242526[[#This Row],[Name Surname]],Manpower!$C$4:$C$1048576,Manpower!$H$4:$H$1048576,"")</f>
        <v>Manpower</v>
      </c>
      <c r="J3868" s="21" t="s">
        <v>135</v>
      </c>
      <c r="K3868" s="57" t="s">
        <v>26</v>
      </c>
      <c r="L3868" s="57" t="s">
        <v>82</v>
      </c>
      <c r="M3868" s="57" t="s">
        <v>24</v>
      </c>
      <c r="N3868" s="62">
        <v>10</v>
      </c>
      <c r="O3868" s="21" t="s">
        <v>236</v>
      </c>
      <c r="P3868" s="21" t="s">
        <v>236</v>
      </c>
      <c r="Q3868" s="21" t="s">
        <v>236</v>
      </c>
      <c r="R3868" s="21" t="s">
        <v>26</v>
      </c>
    </row>
    <row r="3869" spans="1:19" ht="14.4" hidden="1">
      <c r="A3869" s="38">
        <f>IF(C3869="","",MAX($A$1:A3868)+1)</f>
        <v>3546</v>
      </c>
      <c r="B3869" s="66" t="s">
        <v>141</v>
      </c>
      <c r="C3869" s="60">
        <v>46112</v>
      </c>
      <c r="D3869" s="28" t="str">
        <f>_xlfn.XLOOKUP(Table134526_79101120212223242526[[#This Row],[Name Surname]],Manpower!$C$4:$C$1048576,Manpower!$B$4:$B$1048576,"")</f>
        <v>Encogroup</v>
      </c>
      <c r="E3869" s="21" t="s">
        <v>434</v>
      </c>
      <c r="F3869" s="12">
        <f>_xlfn.XLOOKUP(Table134526_79101120212223242526[[#This Row],[Name Surname]],Manpower!C:C,Manpower!D:D,)</f>
        <v>140623552</v>
      </c>
      <c r="G3869" s="28" t="str">
        <f>_xlfn.XLOOKUP(Table134526_79101120212223242526[[#This Row],[Name Surname]],Manpower!$C$4:$C$1048576,Manpower!$F$4:$F$1048576,"")</f>
        <v>Mechanic</v>
      </c>
      <c r="H3869" s="28" t="str">
        <f>_xlfn.XLOOKUP(Table134526_79101120212223242526[[#This Row],[Name Surname]],Manpower!$C$4:$C$1048576,Manpower!$H$4:$H$1048576,"")</f>
        <v>Manpower</v>
      </c>
      <c r="I3869" s="28" t="str">
        <f>_xlfn.XLOOKUP(Table134526_79101120212223242526[[#This Row],[Name Surname]],Manpower!$C$4:$C$1048576,Manpower!$H$4:$H$1048576,"")</f>
        <v>Manpower</v>
      </c>
      <c r="J3869" s="21" t="s">
        <v>135</v>
      </c>
      <c r="K3869" s="57" t="s">
        <v>26</v>
      </c>
      <c r="L3869" s="57" t="s">
        <v>82</v>
      </c>
      <c r="M3869" s="57" t="s">
        <v>24</v>
      </c>
      <c r="N3869" s="62">
        <v>10</v>
      </c>
      <c r="O3869" s="21" t="s">
        <v>236</v>
      </c>
      <c r="P3869" s="21" t="s">
        <v>236</v>
      </c>
      <c r="Q3869" s="21" t="s">
        <v>236</v>
      </c>
      <c r="R3869" s="21" t="s">
        <v>26</v>
      </c>
    </row>
    <row r="3870" spans="1:19" s="45" customFormat="1" ht="14.4" hidden="1">
      <c r="A3870" s="53">
        <f>IF(C3870="","",MAX($A$1:A3869)+1)</f>
        <v>3547</v>
      </c>
      <c r="B3870" s="54" t="s">
        <v>141</v>
      </c>
      <c r="C3870" s="55">
        <v>46112</v>
      </c>
      <c r="D3870" s="48" t="str">
        <f>_xlfn.XLOOKUP(Table134526_79101120212223242526[[#This Row],[Name Surname]],Manpower!$C$4:$C$1048576,Manpower!$B$4:$B$1048576,"")</f>
        <v>Encogroup</v>
      </c>
      <c r="E3870" s="43" t="s">
        <v>87</v>
      </c>
      <c r="F3870" s="12">
        <f>_xlfn.XLOOKUP(Table134526_79101120212223242526[[#This Row],[Name Surname]],Manpower!C:C,Manpower!D:D,)</f>
        <v>126724428</v>
      </c>
      <c r="G3870" s="48" t="str">
        <f>_xlfn.XLOOKUP(Table134526_79101120212223242526[[#This Row],[Name Surname]],Manpower!$C$4:$C$1048576,Manpower!$F$4:$F$1048576,"")</f>
        <v>Surveyor</v>
      </c>
      <c r="H3870" s="48" t="str">
        <f>_xlfn.XLOOKUP(Table134526_79101120212223242526[[#This Row],[Name Surname]],Manpower!$C$4:$C$1048576,Manpower!$H$4:$H$1048576,"")</f>
        <v>Manpower</v>
      </c>
      <c r="I3870" s="48" t="str">
        <f>_xlfn.XLOOKUP(Table134526_79101120212223242526[[#This Row],[Name Surname]],Manpower!$C$4:$C$1048576,Manpower!$H$4:$H$1048576,"")</f>
        <v>Manpower</v>
      </c>
      <c r="J3870" s="43" t="s">
        <v>35</v>
      </c>
      <c r="K3870" s="51" t="s">
        <v>428</v>
      </c>
      <c r="L3870" s="51" t="s">
        <v>82</v>
      </c>
      <c r="M3870" s="51" t="s">
        <v>24</v>
      </c>
      <c r="N3870" s="52">
        <v>10</v>
      </c>
      <c r="O3870" s="43" t="s">
        <v>89</v>
      </c>
      <c r="P3870" s="43" t="s">
        <v>89</v>
      </c>
      <c r="Q3870" s="43" t="s">
        <v>89</v>
      </c>
      <c r="R3870" s="51" t="s">
        <v>452</v>
      </c>
      <c r="S3870" s="43"/>
    </row>
    <row r="3871" spans="1:19" s="45" customFormat="1" ht="14.4" hidden="1">
      <c r="A3871" s="53">
        <f>IF(C3871="","",MAX($A$1:A3870)+1)</f>
        <v>3548</v>
      </c>
      <c r="B3871" s="54" t="s">
        <v>141</v>
      </c>
      <c r="C3871" s="55">
        <v>46112</v>
      </c>
      <c r="D3871" s="48" t="str">
        <f>_xlfn.XLOOKUP(Table134526_79101120212223242526[[#This Row],[Name Surname]],Manpower!$C$4:$C$1048576,Manpower!$B$4:$B$1048576,"")</f>
        <v>Encogroup</v>
      </c>
      <c r="E3871" s="43" t="s">
        <v>264</v>
      </c>
      <c r="F3871" s="12">
        <f>_xlfn.XLOOKUP(Table134526_79101120212223242526[[#This Row],[Name Surname]],Manpower!C:C,Manpower!D:D,)</f>
        <v>141365061</v>
      </c>
      <c r="G3871" s="48" t="str">
        <f>_xlfn.XLOOKUP(Table134526_79101120212223242526[[#This Row],[Name Surname]],Manpower!$C$4:$C$1048576,Manpower!$F$4:$F$1048576,"")</f>
        <v>Helper</v>
      </c>
      <c r="H3871" s="48" t="str">
        <f>_xlfn.XLOOKUP(Table134526_79101120212223242526[[#This Row],[Name Surname]],Manpower!$C$4:$C$1048576,Manpower!$H$4:$H$1048576,"")</f>
        <v>Manpower</v>
      </c>
      <c r="I3871" s="48" t="str">
        <f>_xlfn.XLOOKUP(Table134526_79101120212223242526[[#This Row],[Name Surname]],Manpower!$C$4:$C$1048576,Manpower!$H$4:$H$1048576,"")</f>
        <v>Manpower</v>
      </c>
      <c r="J3871" s="43" t="s">
        <v>35</v>
      </c>
      <c r="K3871" s="51" t="s">
        <v>428</v>
      </c>
      <c r="L3871" s="51" t="s">
        <v>82</v>
      </c>
      <c r="M3871" s="51" t="s">
        <v>24</v>
      </c>
      <c r="N3871" s="52">
        <v>10</v>
      </c>
      <c r="O3871" s="43" t="s">
        <v>25</v>
      </c>
      <c r="P3871" s="43" t="s">
        <v>41</v>
      </c>
      <c r="Q3871" s="43" t="s">
        <v>60</v>
      </c>
      <c r="R3871" s="51" t="s">
        <v>452</v>
      </c>
      <c r="S3871" s="43"/>
    </row>
    <row r="3872" spans="1:19" s="45" customFormat="1" ht="14.4" hidden="1">
      <c r="A3872" s="53">
        <f>IF(C3872="","",MAX($A$1:A3870)+1)</f>
        <v>3548</v>
      </c>
      <c r="B3872" s="54" t="s">
        <v>141</v>
      </c>
      <c r="C3872" s="55">
        <v>46112</v>
      </c>
      <c r="D3872" s="48" t="str">
        <f>_xlfn.XLOOKUP(Table134526_79101120212223242526[[#This Row],[Name Surname]],Manpower!$C$4:$C$1048576,Manpower!$B$4:$B$1048576,"")</f>
        <v>Encogroup</v>
      </c>
      <c r="E3872" s="43" t="s">
        <v>398</v>
      </c>
      <c r="F3872" s="12">
        <f>_xlfn.XLOOKUP(Table134526_79101120212223242526[[#This Row],[Name Surname]],Manpower!C:C,Manpower!D:D,)</f>
        <v>81612139</v>
      </c>
      <c r="G3872" s="48" t="str">
        <f>_xlfn.XLOOKUP(Table134526_79101120212223242526[[#This Row],[Name Surname]],Manpower!$C$4:$C$1048576,Manpower!$F$4:$F$1048576,"")</f>
        <v>Mechanic</v>
      </c>
      <c r="H3872" s="48" t="str">
        <f>_xlfn.XLOOKUP(Table134526_79101120212223242526[[#This Row],[Name Surname]],Manpower!$C$4:$C$1048576,Manpower!$H$4:$H$1048576,"")</f>
        <v>Manpower</v>
      </c>
      <c r="I3872" s="48" t="str">
        <f>_xlfn.XLOOKUP(Table134526_79101120212223242526[[#This Row],[Name Surname]],Manpower!$C$4:$C$1048576,Manpower!$H$4:$H$1048576,"")</f>
        <v>Manpower</v>
      </c>
      <c r="J3872" s="43" t="s">
        <v>35</v>
      </c>
      <c r="K3872" s="51" t="s">
        <v>428</v>
      </c>
      <c r="L3872" s="51" t="s">
        <v>82</v>
      </c>
      <c r="M3872" s="51" t="s">
        <v>24</v>
      </c>
      <c r="N3872" s="52">
        <v>10</v>
      </c>
      <c r="O3872" s="43" t="s">
        <v>236</v>
      </c>
      <c r="P3872" s="43" t="s">
        <v>236</v>
      </c>
      <c r="Q3872" s="43" t="s">
        <v>236</v>
      </c>
      <c r="R3872" s="43" t="s">
        <v>26</v>
      </c>
      <c r="S3872" s="43"/>
    </row>
    <row r="3873" spans="1:19" s="45" customFormat="1" ht="14.4" hidden="1">
      <c r="A3873" s="53">
        <f>IF(C3873="","",MAX($A$1:A3870)+1)</f>
        <v>3548</v>
      </c>
      <c r="B3873" s="54" t="s">
        <v>141</v>
      </c>
      <c r="C3873" s="55">
        <v>46112</v>
      </c>
      <c r="D3873" s="48" t="str">
        <f>_xlfn.XLOOKUP(Table134526_79101120212223242526[[#This Row],[Name Surname]],Manpower!$C$4:$C$1048576,Manpower!$B$4:$B$1048576,"")</f>
        <v>Encogroup</v>
      </c>
      <c r="E3873" s="43" t="s">
        <v>228</v>
      </c>
      <c r="F3873" s="12">
        <f>_xlfn.XLOOKUP(Table134526_79101120212223242526[[#This Row],[Name Surname]],Manpower!C:C,Manpower!D:D,)</f>
        <v>125199963</v>
      </c>
      <c r="G3873" s="48" t="str">
        <f>_xlfn.XLOOKUP(Table134526_79101120212223242526[[#This Row],[Name Surname]],Manpower!$C$4:$C$1048576,Manpower!$F$4:$F$1048576,"")</f>
        <v>Electrician</v>
      </c>
      <c r="H3873" s="48" t="str">
        <f>_xlfn.XLOOKUP(Table134526_79101120212223242526[[#This Row],[Name Surname]],Manpower!$C$4:$C$1048576,Manpower!$H$4:$H$1048576,"")</f>
        <v>Manpower</v>
      </c>
      <c r="I3873" s="48" t="str">
        <f>_xlfn.XLOOKUP(Table134526_79101120212223242526[[#This Row],[Name Surname]],Manpower!$C$4:$C$1048576,Manpower!$H$4:$H$1048576,"")</f>
        <v>Manpower</v>
      </c>
      <c r="J3873" s="43" t="s">
        <v>35</v>
      </c>
      <c r="K3873" s="51" t="s">
        <v>428</v>
      </c>
      <c r="L3873" s="51" t="s">
        <v>82</v>
      </c>
      <c r="M3873" s="51" t="s">
        <v>24</v>
      </c>
      <c r="N3873" s="52">
        <v>10</v>
      </c>
      <c r="O3873" s="43" t="s">
        <v>236</v>
      </c>
      <c r="P3873" s="43" t="s">
        <v>236</v>
      </c>
      <c r="Q3873" s="43" t="s">
        <v>236</v>
      </c>
      <c r="R3873" s="43" t="s">
        <v>26</v>
      </c>
      <c r="S3873" s="43"/>
    </row>
    <row r="3874" spans="1:19" s="45" customFormat="1" ht="14.4" hidden="1">
      <c r="A3874" s="53">
        <f>IF(C3874="","",MAX($A$1:A3870)+1)</f>
        <v>3548</v>
      </c>
      <c r="B3874" s="54" t="s">
        <v>141</v>
      </c>
      <c r="C3874" s="55">
        <v>46112</v>
      </c>
      <c r="D3874" s="48" t="str">
        <f>_xlfn.XLOOKUP(Table134526_79101120212223242526[[#This Row],[Name Surname]],Manpower!$C$4:$C$1048576,Manpower!$B$4:$B$1048576,"")</f>
        <v>Encogroup</v>
      </c>
      <c r="E3874" s="43" t="s">
        <v>286</v>
      </c>
      <c r="F3874" s="12">
        <f>_xlfn.XLOOKUP(Table134526_79101120212223242526[[#This Row],[Name Surname]],Manpower!C:C,Manpower!D:D,)</f>
        <v>1487544</v>
      </c>
      <c r="G3874" s="48" t="str">
        <f>_xlfn.XLOOKUP(Table134526_79101120212223242526[[#This Row],[Name Surname]],Manpower!$C$4:$C$1048576,Manpower!$F$4:$F$1048576,"")</f>
        <v>Driver</v>
      </c>
      <c r="H3874" s="48" t="str">
        <f>_xlfn.XLOOKUP(Table134526_79101120212223242526[[#This Row],[Name Surname]],Manpower!$C$4:$C$1048576,Manpower!$H$4:$H$1048576,"")</f>
        <v>Manpower</v>
      </c>
      <c r="I3874" s="48" t="str">
        <f>_xlfn.XLOOKUP(Table134526_79101120212223242526[[#This Row],[Name Surname]],Manpower!$C$4:$C$1048576,Manpower!$H$4:$H$1048576,"")</f>
        <v>Manpower</v>
      </c>
      <c r="J3874" s="43" t="s">
        <v>135</v>
      </c>
      <c r="K3874" s="51" t="s">
        <v>428</v>
      </c>
      <c r="L3874" s="51" t="s">
        <v>82</v>
      </c>
      <c r="M3874" s="51" t="s">
        <v>24</v>
      </c>
      <c r="N3874" s="52">
        <v>10</v>
      </c>
      <c r="O3874" s="43" t="s">
        <v>138</v>
      </c>
      <c r="P3874" s="43" t="s">
        <v>138</v>
      </c>
      <c r="Q3874" s="43" t="s">
        <v>138</v>
      </c>
      <c r="R3874" s="51" t="s">
        <v>452</v>
      </c>
      <c r="S3874" s="43"/>
    </row>
    <row r="3875" spans="1:19" s="45" customFormat="1" ht="14.4" hidden="1">
      <c r="A3875" s="53">
        <f>IF(C3875="","",MAX($A$1:A3870)+1)</f>
        <v>3548</v>
      </c>
      <c r="B3875" s="54" t="s">
        <v>141</v>
      </c>
      <c r="C3875" s="55">
        <v>46112</v>
      </c>
      <c r="D3875" s="48" t="str">
        <f>_xlfn.XLOOKUP(Table134526_79101120212223242526[[#This Row],[Name Surname]],Manpower!$C$4:$C$1048576,Manpower!$B$4:$B$1048576,"")</f>
        <v>Encogroup</v>
      </c>
      <c r="E3875" s="43" t="s">
        <v>34</v>
      </c>
      <c r="F3875" s="12">
        <f>_xlfn.XLOOKUP(Table134526_79101120212223242526[[#This Row],[Name Surname]],Manpower!C:C,Manpower!D:D,)</f>
        <v>141365023</v>
      </c>
      <c r="G3875" s="48" t="str">
        <f>_xlfn.XLOOKUP(Table134526_79101120212223242526[[#This Row],[Name Surname]],Manpower!$C$4:$C$1048576,Manpower!$F$4:$F$1048576,"")</f>
        <v>Grinder</v>
      </c>
      <c r="H3875" s="48" t="str">
        <f>_xlfn.XLOOKUP(Table134526_79101120212223242526[[#This Row],[Name Surname]],Manpower!$C$4:$C$1048576,Manpower!$H$4:$H$1048576,"")</f>
        <v>Manpower</v>
      </c>
      <c r="I3875" s="48" t="str">
        <f>_xlfn.XLOOKUP(Table134526_79101120212223242526[[#This Row],[Name Surname]],Manpower!$C$4:$C$1048576,Manpower!$H$4:$H$1048576,"")</f>
        <v>Manpower</v>
      </c>
      <c r="J3875" s="43" t="s">
        <v>35</v>
      </c>
      <c r="K3875" s="51" t="s">
        <v>428</v>
      </c>
      <c r="L3875" s="51" t="s">
        <v>82</v>
      </c>
      <c r="M3875" s="51" t="s">
        <v>24</v>
      </c>
      <c r="N3875" s="52">
        <v>10</v>
      </c>
      <c r="O3875" s="43" t="s">
        <v>89</v>
      </c>
      <c r="P3875" s="43" t="s">
        <v>89</v>
      </c>
      <c r="Q3875" s="43" t="s">
        <v>89</v>
      </c>
      <c r="R3875" s="51" t="s">
        <v>452</v>
      </c>
      <c r="S3875" s="43"/>
    </row>
    <row r="3876" spans="1:19" ht="14.4" hidden="1">
      <c r="A3876" s="38">
        <f>IF(C3876="","",MAX($A$1:A3875)+1)</f>
        <v>3549</v>
      </c>
      <c r="B3876" s="66" t="s">
        <v>141</v>
      </c>
      <c r="C3876" s="60">
        <v>46112</v>
      </c>
      <c r="D3876" s="61" t="str">
        <f>_xlfn.XLOOKUP(Table134526_79101120212223242526[[#This Row],[Name Surname]],Manpower!$C$4:$C$1048576,Manpower!$B$4:$B$1048576,"")</f>
        <v>AL Saif &amp; Al QALLM ENT LLC</v>
      </c>
      <c r="E3876" s="57" t="s">
        <v>132</v>
      </c>
      <c r="F3876" s="12">
        <f>_xlfn.XLOOKUP(Table134526_79101120212223242526[[#This Row],[Name Surname]],Manpower!C:C,Manpower!D:D,)</f>
        <v>135762195</v>
      </c>
      <c r="G3876" s="61" t="str">
        <f>_xlfn.XLOOKUP(Table134526_79101120212223242526[[#This Row],[Name Surname]],Manpower!$C$4:$C$1048576,Manpower!$F$4:$F$1048576,"")</f>
        <v>HSE Officer</v>
      </c>
      <c r="H3876" s="61" t="str">
        <f>_xlfn.XLOOKUP(Table134526_79101120212223242526[[#This Row],[Name Surname]],Manpower!$C$4:$C$1048576,Manpower!$H$4:$H$1048576,"")</f>
        <v>Sub Contactor</v>
      </c>
      <c r="I3876" s="28" t="str">
        <f>_xlfn.XLOOKUP(Table134526_79101120212223242526[[#This Row],[Name Surname]],Manpower!$C$4:$C$1048576,Manpower!$H$4:$H$1048576,"")</f>
        <v>Sub Contactor</v>
      </c>
      <c r="J3876" s="21" t="s">
        <v>35</v>
      </c>
      <c r="K3876" s="57" t="s">
        <v>428</v>
      </c>
      <c r="L3876" s="57" t="s">
        <v>82</v>
      </c>
      <c r="M3876" s="57" t="s">
        <v>24</v>
      </c>
      <c r="N3876" s="62">
        <v>10</v>
      </c>
      <c r="O3876" s="21" t="s">
        <v>25</v>
      </c>
      <c r="P3876" s="21" t="s">
        <v>41</v>
      </c>
      <c r="Q3876" s="21" t="s">
        <v>60</v>
      </c>
      <c r="R3876" s="57" t="s">
        <v>452</v>
      </c>
    </row>
    <row r="3877" spans="1:19" s="45" customFormat="1" ht="14.4" hidden="1">
      <c r="A3877" s="53">
        <f>IF(C3877="","",MAX($A$1:A3876)+1)</f>
        <v>3550</v>
      </c>
      <c r="B3877" s="54" t="s">
        <v>141</v>
      </c>
      <c r="C3877" s="55">
        <v>46112</v>
      </c>
      <c r="D3877" s="68" t="str">
        <f>_xlfn.XLOOKUP(Table134526_79101120212223242526[[#This Row],[Name Surname]],Manpower!$C$4:$C$1048576,Manpower!$B$4:$B$1048576,"")</f>
        <v>Encogroup</v>
      </c>
      <c r="E3877" s="51" t="s">
        <v>133</v>
      </c>
      <c r="F3877" s="12">
        <f>_xlfn.XLOOKUP(Table134526_79101120212223242526[[#This Row],[Name Surname]],Manpower!C:C,Manpower!D:D,)</f>
        <v>140846684</v>
      </c>
      <c r="G3877" s="68" t="str">
        <f>_xlfn.XLOOKUP(Table134526_79101120212223242526[[#This Row],[Name Surname]],Manpower!$C$4:$C$1048576,Manpower!$F$4:$F$1048576,"")</f>
        <v>Assistant/Helper</v>
      </c>
      <c r="H3877" s="68" t="str">
        <f>_xlfn.XLOOKUP(Table134526_79101120212223242526[[#This Row],[Name Surname]],Manpower!$C$4:$C$1048576,Manpower!$H$4:$H$1048576,"")</f>
        <v>Manpower</v>
      </c>
      <c r="I3877" s="48" t="str">
        <f>_xlfn.XLOOKUP(Table134526_79101120212223242526[[#This Row],[Name Surname]],Manpower!$C$4:$C$1048576,Manpower!$H$4:$H$1048576,"")</f>
        <v>Manpower</v>
      </c>
      <c r="J3877" s="43" t="s">
        <v>35</v>
      </c>
      <c r="K3877" s="51" t="s">
        <v>430</v>
      </c>
      <c r="L3877" s="51" t="s">
        <v>82</v>
      </c>
      <c r="M3877" s="51" t="s">
        <v>24</v>
      </c>
      <c r="N3877" s="52">
        <v>10</v>
      </c>
      <c r="O3877" s="43" t="s">
        <v>25</v>
      </c>
      <c r="P3877" s="43" t="s">
        <v>41</v>
      </c>
      <c r="Q3877" s="43" t="s">
        <v>60</v>
      </c>
      <c r="R3877" s="51" t="s">
        <v>452</v>
      </c>
      <c r="S3877" s="43"/>
    </row>
    <row r="3878" spans="1:19" ht="14.4">
      <c r="A3878" s="38">
        <f>IF(C3878="","",MAX($A$1:A3877)+1)</f>
        <v>3551</v>
      </c>
      <c r="B3878" s="66" t="s">
        <v>141</v>
      </c>
      <c r="C3878" s="60">
        <v>46112</v>
      </c>
      <c r="D3878" s="28" t="str">
        <f>_xlfn.XLOOKUP(Table134526_79101120212223242526[[#This Row],[Name Surname]],Manpower!$C$4:$C$1048576,Manpower!$B$4:$B$1048576,"")</f>
        <v>Encogroup</v>
      </c>
      <c r="E3878" s="21" t="s">
        <v>137</v>
      </c>
      <c r="F3878" s="12" t="e">
        <f>_xlfn.XLOOKUP(Table134526_79101120212223242526[[#This Row],[Name Surname]],Manpower!C:C,Manpower!D:D,)</f>
        <v>#N/A</v>
      </c>
      <c r="G3878" s="28" t="str">
        <f>_xlfn.XLOOKUP(Table134526_79101120212223242526[[#This Row],[Name Surname]],Manpower!$C$4:$C$1048576,Manpower!$F$4:$F$1048576,"")</f>
        <v>55 Seat Bus</v>
      </c>
      <c r="H3878" s="28" t="str">
        <f>_xlfn.XLOOKUP(Table134526_79101120212223242526[[#This Row],[Name Surname]],Manpower!$C$4:$C$1048576,Manpower!$H$4:$H$1048576,"")</f>
        <v>Equipment</v>
      </c>
      <c r="I3878" s="28" t="str">
        <f>_xlfn.XLOOKUP(Table134526_79101120212223242526[[#This Row],[Name Surname]],Manpower!$C$4:$C$1048576,Manpower!$H$4:$H$1048576,"")</f>
        <v>Equipment</v>
      </c>
      <c r="J3878" s="21" t="s">
        <v>35</v>
      </c>
      <c r="K3878" s="57" t="s">
        <v>428</v>
      </c>
      <c r="L3878" s="57" t="s">
        <v>82</v>
      </c>
      <c r="M3878" s="57" t="s">
        <v>24</v>
      </c>
      <c r="N3878" s="62">
        <v>10</v>
      </c>
      <c r="O3878" s="21" t="s">
        <v>138</v>
      </c>
      <c r="P3878" s="21" t="s">
        <v>138</v>
      </c>
      <c r="Q3878" s="21" t="s">
        <v>138</v>
      </c>
      <c r="R3878" s="57" t="s">
        <v>452</v>
      </c>
    </row>
    <row r="3879" spans="1:19" ht="14.4">
      <c r="A3879" s="38">
        <f>IF(C3879="","",MAX($A$1:A3878)+1)</f>
        <v>3552</v>
      </c>
      <c r="B3879" s="66" t="s">
        <v>141</v>
      </c>
      <c r="C3879" s="60">
        <v>46112</v>
      </c>
      <c r="D3879" s="61" t="str">
        <f>_xlfn.XLOOKUP(Table134526_79101120212223242526[[#This Row],[Name Surname]],Manpower!$C$4:$C$1048576,Manpower!$B$4:$B$1048576,"")</f>
        <v>Encogroup</v>
      </c>
      <c r="E3879" s="57" t="s">
        <v>139</v>
      </c>
      <c r="F3879" s="12" t="e">
        <f>_xlfn.XLOOKUP(Table134526_79101120212223242526[[#This Row],[Name Surname]],Manpower!C:C,Manpower!D:D,)</f>
        <v>#N/A</v>
      </c>
      <c r="G3879" s="61" t="str">
        <f>_xlfn.XLOOKUP(Table134526_79101120212223242526[[#This Row],[Name Surname]],Manpower!$C$4:$C$1048576,Manpower!$F$4:$F$1048576,"")</f>
        <v>TOWER LIGHT</v>
      </c>
      <c r="H3879" s="61" t="str">
        <f>_xlfn.XLOOKUP(Table134526_79101120212223242526[[#This Row],[Name Surname]],Manpower!$C$4:$C$1048576,Manpower!$H$4:$H$1048576,"")</f>
        <v>Equipment</v>
      </c>
      <c r="I3879" s="28" t="str">
        <f>_xlfn.XLOOKUP(Table134526_79101120212223242526[[#This Row],[Name Surname]],Manpower!$C$4:$C$1048576,Manpower!$H$4:$H$1048576,"")</f>
        <v>Equipment</v>
      </c>
      <c r="J3879" s="21" t="s">
        <v>35</v>
      </c>
      <c r="K3879" s="57" t="s">
        <v>428</v>
      </c>
      <c r="L3879" s="57" t="s">
        <v>82</v>
      </c>
      <c r="M3879" s="57" t="s">
        <v>24</v>
      </c>
      <c r="N3879" s="62">
        <v>10</v>
      </c>
      <c r="O3879" s="21" t="s">
        <v>140</v>
      </c>
      <c r="P3879" s="21" t="s">
        <v>140</v>
      </c>
      <c r="Q3879" s="21" t="s">
        <v>140</v>
      </c>
      <c r="R3879" s="57" t="s">
        <v>452</v>
      </c>
    </row>
    <row r="3880" spans="1:19" ht="14.4">
      <c r="A3880" s="38">
        <f>IF(C3880="","",MAX($A$1:A3879)+1)</f>
        <v>3553</v>
      </c>
      <c r="B3880" s="66" t="s">
        <v>141</v>
      </c>
      <c r="C3880" s="60">
        <v>46112</v>
      </c>
      <c r="D3880" s="61" t="str">
        <f>_xlfn.XLOOKUP(Table134526_79101120212223242526[[#This Row],[Name Surname]],Manpower!$C$4:$C$1048576,Manpower!$B$4:$B$1048576,"")</f>
        <v>Encogroup</v>
      </c>
      <c r="E3880" s="57" t="s">
        <v>355</v>
      </c>
      <c r="F3880" s="12" t="e">
        <f>_xlfn.XLOOKUP(Table134526_79101120212223242526[[#This Row],[Name Surname]],Manpower!C:C,Manpower!D:D,)</f>
        <v>#N/A</v>
      </c>
      <c r="G3880" s="61" t="str">
        <f>_xlfn.XLOOKUP(Table134526_79101120212223242526[[#This Row],[Name Surname]],Manpower!$C$4:$C$1048576,Manpower!$F$4:$F$1048576,"")</f>
        <v>TOWER LIGHT</v>
      </c>
      <c r="H3880" s="61" t="str">
        <f>_xlfn.XLOOKUP(Table134526_79101120212223242526[[#This Row],[Name Surname]],Manpower!$C$4:$C$1048576,Manpower!$H$4:$H$1048576,"")</f>
        <v>Equipment</v>
      </c>
      <c r="I3880" s="28" t="str">
        <f>_xlfn.XLOOKUP(Table134526_79101120212223242526[[#This Row],[Name Surname]],Manpower!$C$4:$C$1048576,Manpower!$H$4:$H$1048576,"")</f>
        <v>Equipment</v>
      </c>
      <c r="J3880" s="21" t="s">
        <v>35</v>
      </c>
      <c r="K3880" s="57" t="s">
        <v>428</v>
      </c>
      <c r="L3880" s="57" t="s">
        <v>82</v>
      </c>
      <c r="M3880" s="57" t="s">
        <v>24</v>
      </c>
      <c r="N3880" s="62">
        <v>10</v>
      </c>
      <c r="O3880" s="21" t="s">
        <v>140</v>
      </c>
      <c r="P3880" s="21" t="s">
        <v>140</v>
      </c>
      <c r="Q3880" s="21" t="s">
        <v>140</v>
      </c>
      <c r="R3880" s="57" t="s">
        <v>452</v>
      </c>
    </row>
    <row r="3881" spans="1:19" ht="14.4">
      <c r="A3881" s="38">
        <f>IF(C3881="","",MAX($A$1:A3880)+1)</f>
        <v>3554</v>
      </c>
      <c r="B3881" s="66" t="s">
        <v>141</v>
      </c>
      <c r="C3881" s="60">
        <v>46112</v>
      </c>
      <c r="D3881" s="61" t="str">
        <f>_xlfn.XLOOKUP(Table134526_79101120212223242526[[#This Row],[Name Surname]],Manpower!$C$4:$C$1048576,Manpower!$B$4:$B$1048576,"")</f>
        <v>Nass Group</v>
      </c>
      <c r="E3881" s="57" t="s">
        <v>148</v>
      </c>
      <c r="F3881" s="12" t="e">
        <f>_xlfn.XLOOKUP(Table134526_79101120212223242526[[#This Row],[Name Surname]],Manpower!C:C,Manpower!D:D,)</f>
        <v>#N/A</v>
      </c>
      <c r="G3881" s="61" t="str">
        <f>_xlfn.XLOOKUP(Table134526_79101120212223242526[[#This Row],[Name Surname]],Manpower!$C$4:$C$1048576,Manpower!$F$4:$F$1048576,"")</f>
        <v>70T-Telescopic crane</v>
      </c>
      <c r="H3881" s="61" t="str">
        <f>_xlfn.XLOOKUP(Table134526_79101120212223242526[[#This Row],[Name Surname]],Manpower!$C$4:$C$1048576,Manpower!$H$4:$H$1048576,"")</f>
        <v>Equipment</v>
      </c>
      <c r="I3881" s="28" t="str">
        <f>_xlfn.XLOOKUP(Table134526_79101120212223242526[[#This Row],[Name Surname]],Manpower!$C$4:$C$1048576,Manpower!$H$4:$H$1048576,"")</f>
        <v>Equipment</v>
      </c>
      <c r="J3881" s="21" t="s">
        <v>143</v>
      </c>
      <c r="K3881" s="57" t="s">
        <v>26</v>
      </c>
      <c r="L3881" s="57" t="s">
        <v>435</v>
      </c>
      <c r="M3881" s="57" t="s">
        <v>24</v>
      </c>
      <c r="N3881" s="62">
        <v>10</v>
      </c>
      <c r="O3881" s="21" t="s">
        <v>40</v>
      </c>
      <c r="P3881" s="21" t="s">
        <v>42</v>
      </c>
      <c r="Q3881" s="21" t="s">
        <v>42</v>
      </c>
      <c r="R3881" s="57" t="s">
        <v>453</v>
      </c>
    </row>
    <row r="3882" spans="1:19" ht="14.4">
      <c r="A3882" s="38">
        <f>IF(C3882="","",MAX($A$1:A3881)+1)</f>
        <v>3555</v>
      </c>
      <c r="B3882" s="66" t="s">
        <v>141</v>
      </c>
      <c r="C3882" s="60">
        <v>46112</v>
      </c>
      <c r="D3882" s="28" t="str">
        <f>_xlfn.XLOOKUP(Table134526_79101120212223242526[[#This Row],[Name Surname]],Manpower!$C$4:$C$1048576,Manpower!$B$4:$B$1048576,"")</f>
        <v>Riyan Al Khaleej</v>
      </c>
      <c r="E3882" s="21" t="s">
        <v>20</v>
      </c>
      <c r="F3882" s="12" t="e">
        <f>_xlfn.XLOOKUP(Table134526_79101120212223242526[[#This Row],[Name Surname]],Manpower!C:C,Manpower!D:D,)</f>
        <v>#N/A</v>
      </c>
      <c r="G3882" s="28" t="str">
        <f>_xlfn.XLOOKUP(Table134526_79101120212223242526[[#This Row],[Name Surname]],Manpower!$C$4:$C$1048576,Manpower!$F$4:$F$1048576,"")</f>
        <v>100T Telescopic Crane</v>
      </c>
      <c r="H3882" s="28" t="str">
        <f>_xlfn.XLOOKUP(Table134526_79101120212223242526[[#This Row],[Name Surname]],Manpower!$C$4:$C$1048576,Manpower!$H$4:$H$1048576,"")</f>
        <v>Equipment</v>
      </c>
      <c r="I3882" s="28" t="str">
        <f>_xlfn.XLOOKUP(Table134526_79101120212223242526[[#This Row],[Name Surname]],Manpower!$C$4:$C$1048576,Manpower!$H$4:$H$1048576,"")</f>
        <v>Equipment</v>
      </c>
      <c r="J3882" s="21" t="s">
        <v>143</v>
      </c>
      <c r="L3882" s="57" t="s">
        <v>435</v>
      </c>
      <c r="M3882" s="57" t="s">
        <v>24</v>
      </c>
      <c r="N3882" s="62">
        <v>10</v>
      </c>
      <c r="O3882" s="21" t="s">
        <v>40</v>
      </c>
      <c r="P3882" s="21" t="s">
        <v>42</v>
      </c>
      <c r="Q3882" s="21" t="s">
        <v>42</v>
      </c>
      <c r="R3882" s="57" t="s">
        <v>453</v>
      </c>
    </row>
    <row r="3883" spans="1:19" ht="14.4">
      <c r="A3883" s="38">
        <f>IF(C3883="","",MAX($A$1:A3882)+1)</f>
        <v>3556</v>
      </c>
      <c r="B3883" s="66" t="s">
        <v>141</v>
      </c>
      <c r="C3883" s="60">
        <v>46112</v>
      </c>
      <c r="D3883" s="28" t="str">
        <f>_xlfn.XLOOKUP(Table134526_79101120212223242526[[#This Row],[Name Surname]],Manpower!$C$4:$C$1048576,Manpower!$B$4:$B$1048576,"")</f>
        <v>Al Jaber Heavy Lift</v>
      </c>
      <c r="E3883" s="21" t="s">
        <v>437</v>
      </c>
      <c r="F3883" s="12" t="e">
        <f>_xlfn.XLOOKUP(Table134526_79101120212223242526[[#This Row],[Name Surname]],Manpower!C:C,Manpower!D:D,)</f>
        <v>#N/A</v>
      </c>
      <c r="G3883" s="28" t="str">
        <f>_xlfn.XLOOKUP(Table134526_79101120212223242526[[#This Row],[Name Surname]],Manpower!$C$4:$C$1048576,Manpower!$F$4:$F$1048576,"")</f>
        <v>70T Crawler Crane</v>
      </c>
      <c r="H3883" s="28" t="str">
        <f>_xlfn.XLOOKUP(Table134526_79101120212223242526[[#This Row],[Name Surname]],Manpower!$C$4:$C$1048576,Manpower!$H$4:$H$1048576,"")</f>
        <v>Equipment</v>
      </c>
      <c r="I3883" s="28" t="str">
        <f>_xlfn.XLOOKUP(Table134526_79101120212223242526[[#This Row],[Name Surname]],Manpower!$C$4:$C$1048576,Manpower!$H$4:$H$1048576,"")</f>
        <v>Equipment</v>
      </c>
      <c r="J3883" s="21" t="s">
        <v>143</v>
      </c>
      <c r="L3883" s="21" t="s">
        <v>144</v>
      </c>
      <c r="M3883" s="21" t="s">
        <v>55</v>
      </c>
      <c r="N3883" s="29">
        <v>10</v>
      </c>
      <c r="R3883" s="21" t="s">
        <v>438</v>
      </c>
    </row>
    <row r="3884" spans="1:19" ht="14.4" hidden="1">
      <c r="A3884" s="38">
        <f>IF(C3884="","",MAX($A$1:A3883)+1)</f>
        <v>3557</v>
      </c>
      <c r="B3884" s="66" t="s">
        <v>141</v>
      </c>
      <c r="C3884" s="60">
        <v>46112</v>
      </c>
      <c r="D3884" s="61" t="str">
        <f>_xlfn.XLOOKUP(Table134526_79101120212223242526[[#This Row],[Name Surname]],Manpower!$C$4:$C$1048576,Manpower!$B$4:$B$1048576,"")</f>
        <v>SARENS NASS</v>
      </c>
      <c r="E3884" s="57" t="s">
        <v>162</v>
      </c>
      <c r="F3884" s="12">
        <f>_xlfn.XLOOKUP(Table134526_79101120212223242526[[#This Row],[Name Surname]],Manpower!C:C,Manpower!D:D,)</f>
        <v>78753612</v>
      </c>
      <c r="G3884" s="61" t="str">
        <f>_xlfn.XLOOKUP(Table134526_79101120212223242526[[#This Row],[Name Surname]],Manpower!$C$4:$C$1048576,Manpower!$F$4:$F$1048576,"")</f>
        <v>Crane Operator- 70T Liebherr Telescopic Crane-02</v>
      </c>
      <c r="H3884" s="61" t="str">
        <f>_xlfn.XLOOKUP(Table134526_79101120212223242526[[#This Row],[Name Surname]],Manpower!$C$4:$C$1048576,Manpower!$H$4:$H$1048576,"")</f>
        <v>Manpower</v>
      </c>
      <c r="I3884" s="28" t="str">
        <f>_xlfn.XLOOKUP(Table134526_79101120212223242526[[#This Row],[Name Surname]],Manpower!$C$4:$C$1048576,Manpower!$H$4:$H$1048576,"")</f>
        <v>Manpower</v>
      </c>
      <c r="J3884" s="21" t="s">
        <v>143</v>
      </c>
      <c r="K3884" s="57" t="s">
        <v>26</v>
      </c>
      <c r="L3884" s="57" t="s">
        <v>435</v>
      </c>
      <c r="M3884" s="57" t="s">
        <v>24</v>
      </c>
      <c r="N3884" s="62">
        <v>10</v>
      </c>
      <c r="O3884" s="21" t="s">
        <v>40</v>
      </c>
      <c r="P3884" s="21" t="s">
        <v>42</v>
      </c>
      <c r="Q3884" s="21" t="s">
        <v>42</v>
      </c>
      <c r="R3884" s="57" t="s">
        <v>453</v>
      </c>
    </row>
    <row r="3885" spans="1:19" s="45" customFormat="1" ht="14.4" hidden="1">
      <c r="A3885" s="53">
        <f>IF(C3885="","",MAX($A$1:A3884)+1)</f>
        <v>3558</v>
      </c>
      <c r="B3885" s="54" t="s">
        <v>141</v>
      </c>
      <c r="C3885" s="55">
        <v>46112</v>
      </c>
      <c r="D3885" s="48" t="str">
        <f>_xlfn.XLOOKUP(Table134526_79101120212223242526[[#This Row],[Name Surname]],Manpower!$C$4:$C$1048576,Manpower!$B$4:$B$1048576,"")</f>
        <v>Rial Al Khaleej</v>
      </c>
      <c r="E3885" s="43" t="s">
        <v>38</v>
      </c>
      <c r="F3885" s="12">
        <f>_xlfn.XLOOKUP(Table134526_79101120212223242526[[#This Row],[Name Surname]],Manpower!C:C,Manpower!D:D,)</f>
        <v>98845403</v>
      </c>
      <c r="G3885" s="48" t="str">
        <f>_xlfn.XLOOKUP(Table134526_79101120212223242526[[#This Row],[Name Surname]],Manpower!$C$4:$C$1048576,Manpower!$F$4:$F$1048576,"")</f>
        <v>Crane Operator-100T Zoomlion Telescopic</v>
      </c>
      <c r="H3885" s="48" t="str">
        <f>_xlfn.XLOOKUP(Table134526_79101120212223242526[[#This Row],[Name Surname]],Manpower!$C$4:$C$1048576,Manpower!$H$4:$H$1048576,"")</f>
        <v>Manpower</v>
      </c>
      <c r="I3885" s="48" t="str">
        <f>_xlfn.XLOOKUP(Table134526_79101120212223242526[[#This Row],[Name Surname]],Manpower!$C$4:$C$1048576,Manpower!$H$4:$H$1048576,"")</f>
        <v>Manpower</v>
      </c>
      <c r="J3885" s="43" t="s">
        <v>143</v>
      </c>
      <c r="K3885" s="43"/>
      <c r="L3885" s="51" t="s">
        <v>435</v>
      </c>
      <c r="M3885" s="51" t="s">
        <v>24</v>
      </c>
      <c r="N3885" s="52">
        <v>10</v>
      </c>
      <c r="O3885" s="43" t="s">
        <v>40</v>
      </c>
      <c r="P3885" s="43" t="s">
        <v>42</v>
      </c>
      <c r="Q3885" s="43" t="s">
        <v>42</v>
      </c>
      <c r="R3885" s="51" t="s">
        <v>453</v>
      </c>
      <c r="S3885" s="43"/>
    </row>
    <row r="3886" spans="1:19" ht="14.4">
      <c r="A3886" s="38">
        <f>IF(C3886="","",MAX($A$1:A3885)+1)</f>
        <v>3559</v>
      </c>
      <c r="B3886" s="70" t="s">
        <v>141</v>
      </c>
      <c r="C3886" s="60">
        <v>46112</v>
      </c>
      <c r="D3886" s="28" t="str">
        <f>_xlfn.XLOOKUP(Table134526_79101120212223242526[[#This Row],[Name Surname]],Manpower!$C$4:$C$1048576,Manpower!$B$4:$B$1048576,"")</f>
        <v>Encogroup</v>
      </c>
      <c r="E3886" s="21" t="s">
        <v>445</v>
      </c>
      <c r="F3886" s="12" t="e">
        <f>_xlfn.XLOOKUP(Table134526_79101120212223242526[[#This Row],[Name Surname]],Manpower!C:C,Manpower!D:D,)</f>
        <v>#N/A</v>
      </c>
      <c r="G3886" s="28" t="str">
        <f>_xlfn.XLOOKUP(Table134526_79101120212223242526[[#This Row],[Name Surname]],Manpower!$C$4:$C$1048576,Manpower!$F$4:$F$1048576,"")</f>
        <v>55 Seat Bus</v>
      </c>
      <c r="H3886" s="28" t="str">
        <f>_xlfn.XLOOKUP(Table134526_79101120212223242526[[#This Row],[Name Surname]],Manpower!$C$4:$C$1048576,Manpower!$H$4:$H$1048576,"")</f>
        <v>Equipment</v>
      </c>
      <c r="I3886" s="28" t="str">
        <f>_xlfn.XLOOKUP(Table134526_79101120212223242526[[#This Row],[Name Surname]],Manpower!$C$4:$C$1048576,Manpower!$H$4:$H$1048576,"")</f>
        <v>Equipment</v>
      </c>
      <c r="J3886" s="21" t="s">
        <v>143</v>
      </c>
      <c r="K3886" s="57" t="s">
        <v>26</v>
      </c>
      <c r="L3886" s="57" t="s">
        <v>435</v>
      </c>
      <c r="M3886" s="57" t="s">
        <v>24</v>
      </c>
      <c r="N3886" s="62">
        <v>10</v>
      </c>
      <c r="O3886" s="21" t="s">
        <v>40</v>
      </c>
      <c r="P3886" s="21" t="s">
        <v>42</v>
      </c>
      <c r="Q3886" s="21" t="s">
        <v>42</v>
      </c>
      <c r="R3886" s="57" t="s">
        <v>444</v>
      </c>
    </row>
    <row r="3887" spans="1:19" ht="14.4">
      <c r="A3887" s="38">
        <f>IF(C3887="","",MAX($A$1:A3885)+1)</f>
        <v>3559</v>
      </c>
      <c r="B3887" s="70" t="s">
        <v>141</v>
      </c>
      <c r="C3887" s="60">
        <v>46112</v>
      </c>
      <c r="D3887" s="28" t="str">
        <f>_xlfn.XLOOKUP(Table134526_79101120212223242526[[#This Row],[Name Surname]],Manpower!$C$4:$C$1048576,Manpower!$B$4:$B$1048576,"")</f>
        <v>Encogroup</v>
      </c>
      <c r="E3887" s="21" t="s">
        <v>446</v>
      </c>
      <c r="F3887" s="12" t="e">
        <f>_xlfn.XLOOKUP(Table134526_79101120212223242526[[#This Row],[Name Surname]],Manpower!C:C,Manpower!D:D,)</f>
        <v>#N/A</v>
      </c>
      <c r="G3887" s="28" t="str">
        <f>_xlfn.XLOOKUP(Table134526_79101120212223242526[[#This Row],[Name Surname]],Manpower!$C$4:$C$1048576,Manpower!$F$4:$F$1048576,"")</f>
        <v>FLATBED TRAILER</v>
      </c>
      <c r="H3887" s="28" t="str">
        <f>_xlfn.XLOOKUP(Table134526_79101120212223242526[[#This Row],[Name Surname]],Manpower!$C$4:$C$1048576,Manpower!$H$4:$H$1048576,"")</f>
        <v>Equipment</v>
      </c>
      <c r="I3887" s="28" t="str">
        <f>_xlfn.XLOOKUP(Table134526_79101120212223242526[[#This Row],[Name Surname]],Manpower!$C$4:$C$1048576,Manpower!$H$4:$H$1048576,"")</f>
        <v>Equipment</v>
      </c>
      <c r="J3887" s="21" t="s">
        <v>143</v>
      </c>
      <c r="K3887" s="57" t="s">
        <v>26</v>
      </c>
      <c r="L3887" s="57" t="s">
        <v>435</v>
      </c>
      <c r="M3887" s="57" t="s">
        <v>24</v>
      </c>
      <c r="N3887" s="62">
        <v>10</v>
      </c>
      <c r="O3887" s="21" t="s">
        <v>40</v>
      </c>
      <c r="P3887" s="21" t="s">
        <v>42</v>
      </c>
      <c r="Q3887" s="21" t="s">
        <v>42</v>
      </c>
      <c r="R3887" s="57" t="s">
        <v>444</v>
      </c>
    </row>
    <row r="3888" spans="1:19" ht="14.4">
      <c r="A3888" s="38">
        <f>IF(C3888="","",MAX($A$1:A3885)+1)</f>
        <v>3559</v>
      </c>
      <c r="B3888" s="70" t="s">
        <v>141</v>
      </c>
      <c r="C3888" s="60">
        <v>46112</v>
      </c>
      <c r="D3888" s="28" t="str">
        <f>_xlfn.XLOOKUP(Table134526_79101120212223242526[[#This Row],[Name Surname]],Manpower!$C$4:$C$1048576,Manpower!$B$4:$B$1048576,"")</f>
        <v>Encogroup</v>
      </c>
      <c r="E3888" s="21" t="s">
        <v>447</v>
      </c>
      <c r="F3888" s="12" t="e">
        <f>_xlfn.XLOOKUP(Table134526_79101120212223242526[[#This Row],[Name Surname]],Manpower!C:C,Manpower!D:D,)</f>
        <v>#N/A</v>
      </c>
      <c r="G3888" s="28" t="str">
        <f>_xlfn.XLOOKUP(Table134526_79101120212223242526[[#This Row],[Name Surname]],Manpower!$C$4:$C$1048576,Manpower!$F$4:$F$1048576,"")</f>
        <v>TELEHANDLER</v>
      </c>
      <c r="H3888" s="28" t="str">
        <f>_xlfn.XLOOKUP(Table134526_79101120212223242526[[#This Row],[Name Surname]],Manpower!$C$4:$C$1048576,Manpower!$H$4:$H$1048576,"")</f>
        <v>Equipment</v>
      </c>
      <c r="I3888" s="28" t="str">
        <f>_xlfn.XLOOKUP(Table134526_79101120212223242526[[#This Row],[Name Surname]],Manpower!$C$4:$C$1048576,Manpower!$H$4:$H$1048576,"")</f>
        <v>Equipment</v>
      </c>
      <c r="J3888" s="21" t="s">
        <v>143</v>
      </c>
      <c r="K3888" s="57" t="s">
        <v>26</v>
      </c>
      <c r="L3888" s="57" t="s">
        <v>435</v>
      </c>
      <c r="M3888" s="57" t="s">
        <v>55</v>
      </c>
      <c r="N3888" s="62">
        <v>10</v>
      </c>
      <c r="R3888" s="57" t="s">
        <v>56</v>
      </c>
    </row>
    <row r="3889" spans="1:19" ht="14.4">
      <c r="A3889" s="38">
        <f>IF(C3889="","",MAX($A$1:A3885)+1)</f>
        <v>3559</v>
      </c>
      <c r="B3889" s="66" t="s">
        <v>141</v>
      </c>
      <c r="C3889" s="60">
        <v>46112</v>
      </c>
      <c r="D3889" s="61" t="str">
        <f>_xlfn.XLOOKUP(Table134526_79101120212223242526[[#This Row],[Name Surname]],Manpower!$C$4:$C$1048576,Manpower!$B$4:$B$1048576,"")</f>
        <v>Encogroup</v>
      </c>
      <c r="E3889" s="57" t="s">
        <v>142</v>
      </c>
      <c r="F3889" s="12" t="e">
        <f>_xlfn.XLOOKUP(Table134526_79101120212223242526[[#This Row],[Name Surname]],Manpower!C:C,Manpower!D:D,)</f>
        <v>#N/A</v>
      </c>
      <c r="G3889" s="61" t="str">
        <f>_xlfn.XLOOKUP(Table134526_79101120212223242526[[#This Row],[Name Surname]],Manpower!$C$4:$C$1048576,Manpower!$F$4:$F$1048576,"")</f>
        <v>13 Seat Bus</v>
      </c>
      <c r="H3889" s="61" t="str">
        <f>_xlfn.XLOOKUP(Table134526_79101120212223242526[[#This Row],[Name Surname]],Manpower!$C$4:$C$1048576,Manpower!$H$4:$H$1048576,"")</f>
        <v>Equipment</v>
      </c>
      <c r="I3889" s="28" t="str">
        <f>_xlfn.XLOOKUP(Table134526_79101120212223242526[[#This Row],[Name Surname]],Manpower!$C$4:$C$1048576,Manpower!$H$4:$H$1048576,"")</f>
        <v>Equipment</v>
      </c>
      <c r="J3889" s="21" t="s">
        <v>143</v>
      </c>
      <c r="K3889" s="57" t="s">
        <v>26</v>
      </c>
      <c r="L3889" s="57" t="s">
        <v>435</v>
      </c>
      <c r="M3889" s="57" t="s">
        <v>24</v>
      </c>
      <c r="N3889" s="62">
        <v>10</v>
      </c>
      <c r="O3889" s="21" t="s">
        <v>40</v>
      </c>
      <c r="P3889" s="21" t="s">
        <v>42</v>
      </c>
      <c r="Q3889" s="21" t="s">
        <v>42</v>
      </c>
      <c r="R3889" s="57" t="s">
        <v>453</v>
      </c>
    </row>
    <row r="3890" spans="1:19" ht="14.4">
      <c r="A3890" s="38">
        <f>IF(C3890="","",MAX($A$1:A3889)+1)</f>
        <v>3560</v>
      </c>
      <c r="B3890" s="66" t="s">
        <v>141</v>
      </c>
      <c r="C3890" s="60">
        <v>46112</v>
      </c>
      <c r="D3890" s="28" t="str">
        <f>_xlfn.XLOOKUP(Table134526_79101120212223242526[[#This Row],[Name Surname]],Manpower!$C$4:$C$1048576,Manpower!$B$4:$B$1048576,"")</f>
        <v>Encogroup</v>
      </c>
      <c r="E3890" s="21" t="s">
        <v>145</v>
      </c>
      <c r="F3890" s="12" t="e">
        <f>_xlfn.XLOOKUP(Table134526_79101120212223242526[[#This Row],[Name Surname]],Manpower!C:C,Manpower!D:D,)</f>
        <v>#N/A</v>
      </c>
      <c r="G3890" s="28" t="str">
        <f>_xlfn.XLOOKUP(Table134526_79101120212223242526[[#This Row],[Name Surname]],Manpower!$C$4:$C$1048576,Manpower!$F$4:$F$1048576,"")</f>
        <v>15 Seat Bus</v>
      </c>
      <c r="H3890" s="28" t="str">
        <f>_xlfn.XLOOKUP(Table134526_79101120212223242526[[#This Row],[Name Surname]],Manpower!$C$4:$C$1048576,Manpower!$H$4:$H$1048576,"")</f>
        <v>Equipment</v>
      </c>
      <c r="I3890" s="28" t="str">
        <f>_xlfn.XLOOKUP(Table134526_79101120212223242526[[#This Row],[Name Surname]],Manpower!$C$4:$C$1048576,Manpower!$H$4:$H$1048576,"")</f>
        <v>Equipment</v>
      </c>
      <c r="J3890" s="21" t="s">
        <v>143</v>
      </c>
      <c r="K3890" s="57" t="s">
        <v>26</v>
      </c>
      <c r="L3890" s="57" t="s">
        <v>435</v>
      </c>
      <c r="M3890" s="57" t="s">
        <v>24</v>
      </c>
      <c r="N3890" s="62">
        <v>10</v>
      </c>
      <c r="O3890" s="21" t="s">
        <v>40</v>
      </c>
      <c r="P3890" s="21" t="s">
        <v>42</v>
      </c>
      <c r="Q3890" s="21" t="s">
        <v>42</v>
      </c>
      <c r="R3890" s="57" t="s">
        <v>453</v>
      </c>
    </row>
    <row r="3891" spans="1:19" ht="14.4">
      <c r="A3891" s="38">
        <f>IF(C3891="","",MAX($A$1:A3890)+1)</f>
        <v>3561</v>
      </c>
      <c r="B3891" s="66" t="s">
        <v>141</v>
      </c>
      <c r="C3891" s="60">
        <v>46112</v>
      </c>
      <c r="D3891" s="61" t="str">
        <f>_xlfn.XLOOKUP(Table134526_79101120212223242526[[#This Row],[Name Surname]],Manpower!$C$4:$C$1048576,Manpower!$B$4:$B$1048576,"")</f>
        <v>Encogroup</v>
      </c>
      <c r="E3891" s="57" t="s">
        <v>150</v>
      </c>
      <c r="F3891" s="12" t="e">
        <f>_xlfn.XLOOKUP(Table134526_79101120212223242526[[#This Row],[Name Surname]],Manpower!C:C,Manpower!D:D,)</f>
        <v>#N/A</v>
      </c>
      <c r="G3891" s="61" t="str">
        <f>_xlfn.XLOOKUP(Table134526_79101120212223242526[[#This Row],[Name Surname]],Manpower!$C$4:$C$1048576,Manpower!$F$4:$F$1048576,"")</f>
        <v>14T Fork lift</v>
      </c>
      <c r="H3891" s="61" t="str">
        <f>_xlfn.XLOOKUP(Table134526_79101120212223242526[[#This Row],[Name Surname]],Manpower!$C$4:$C$1048576,Manpower!$H$4:$H$1048576,"")</f>
        <v>Equipment</v>
      </c>
      <c r="I3891" s="28" t="str">
        <f>_xlfn.XLOOKUP(Table134526_79101120212223242526[[#This Row],[Name Surname]],Manpower!$C$4:$C$1048576,Manpower!$H$4:$H$1048576,"")</f>
        <v>Equipment</v>
      </c>
      <c r="J3891" s="21" t="s">
        <v>143</v>
      </c>
      <c r="K3891" s="57" t="s">
        <v>26</v>
      </c>
      <c r="L3891" s="57" t="s">
        <v>435</v>
      </c>
      <c r="M3891" s="57" t="s">
        <v>24</v>
      </c>
      <c r="N3891" s="62">
        <v>10</v>
      </c>
      <c r="O3891" s="21" t="s">
        <v>40</v>
      </c>
      <c r="P3891" s="21" t="s">
        <v>42</v>
      </c>
      <c r="Q3891" s="21" t="s">
        <v>42</v>
      </c>
      <c r="R3891" s="57" t="s">
        <v>453</v>
      </c>
    </row>
    <row r="3892" spans="1:19" ht="14.4">
      <c r="A3892" s="38">
        <f>IF(C3892="","",MAX($A$1:A3891)+1)</f>
        <v>3562</v>
      </c>
      <c r="B3892" s="66" t="s">
        <v>141</v>
      </c>
      <c r="C3892" s="60">
        <v>46112</v>
      </c>
      <c r="D3892" s="61" t="str">
        <f>_xlfn.XLOOKUP(Table134526_79101120212223242526[[#This Row],[Name Surname]],Manpower!$C$4:$C$1048576,Manpower!$B$4:$B$1048576,"")</f>
        <v>Encogroup</v>
      </c>
      <c r="E3892" s="57" t="s">
        <v>153</v>
      </c>
      <c r="F3892" s="12" t="e">
        <f>_xlfn.XLOOKUP(Table134526_79101120212223242526[[#This Row],[Name Surname]],Manpower!C:C,Manpower!D:D,)</f>
        <v>#N/A</v>
      </c>
      <c r="G3892" s="61" t="str">
        <f>_xlfn.XLOOKUP(Table134526_79101120212223242526[[#This Row],[Name Surname]],Manpower!$C$4:$C$1048576,Manpower!$F$4:$F$1048576,"")</f>
        <v>22 Seat Bus</v>
      </c>
      <c r="H3892" s="61" t="str">
        <f>_xlfn.XLOOKUP(Table134526_79101120212223242526[[#This Row],[Name Surname]],Manpower!$C$4:$C$1048576,Manpower!$H$4:$H$1048576,"")</f>
        <v>Equipment</v>
      </c>
      <c r="I3892" s="28" t="str">
        <f>_xlfn.XLOOKUP(Table134526_79101120212223242526[[#This Row],[Name Surname]],Manpower!$C$4:$C$1048576,Manpower!$H$4:$H$1048576,"")</f>
        <v>Equipment</v>
      </c>
      <c r="J3892" s="21" t="s">
        <v>143</v>
      </c>
      <c r="K3892" s="57" t="s">
        <v>26</v>
      </c>
      <c r="L3892" s="57" t="s">
        <v>435</v>
      </c>
      <c r="M3892" s="57" t="s">
        <v>24</v>
      </c>
      <c r="N3892" s="62">
        <v>10</v>
      </c>
      <c r="O3892" s="21" t="s">
        <v>40</v>
      </c>
      <c r="P3892" s="21" t="s">
        <v>42</v>
      </c>
      <c r="Q3892" s="21" t="s">
        <v>42</v>
      </c>
      <c r="R3892" s="57" t="s">
        <v>453</v>
      </c>
    </row>
    <row r="3893" spans="1:19" ht="14.4">
      <c r="A3893" s="38">
        <f>IF(C3893="","",MAX($A$1:A3892)+1)</f>
        <v>3563</v>
      </c>
      <c r="B3893" s="66" t="s">
        <v>141</v>
      </c>
      <c r="C3893" s="60">
        <v>46112</v>
      </c>
      <c r="D3893" s="61" t="str">
        <f>_xlfn.XLOOKUP(Table134526_79101120212223242526[[#This Row],[Name Surname]],Manpower!$C$4:$C$1048576,Manpower!$B$4:$B$1048576,"")</f>
        <v>Encogroup</v>
      </c>
      <c r="E3893" s="57" t="s">
        <v>154</v>
      </c>
      <c r="F3893" s="12" t="e">
        <f>_xlfn.XLOOKUP(Table134526_79101120212223242526[[#This Row],[Name Surname]],Manpower!C:C,Manpower!D:D,)</f>
        <v>#N/A</v>
      </c>
      <c r="G3893" s="61" t="str">
        <f>_xlfn.XLOOKUP(Table134526_79101120212223242526[[#This Row],[Name Surname]],Manpower!$C$4:$C$1048576,Manpower!$F$4:$F$1048576,"")</f>
        <v>22 Seat Bus</v>
      </c>
      <c r="H3893" s="61" t="str">
        <f>_xlfn.XLOOKUP(Table134526_79101120212223242526[[#This Row],[Name Surname]],Manpower!$C$4:$C$1048576,Manpower!$H$4:$H$1048576,"")</f>
        <v>Equipment</v>
      </c>
      <c r="I3893" s="28" t="str">
        <f>_xlfn.XLOOKUP(Table134526_79101120212223242526[[#This Row],[Name Surname]],Manpower!$C$4:$C$1048576,Manpower!$H$4:$H$1048576,"")</f>
        <v>Equipment</v>
      </c>
      <c r="J3893" s="21" t="s">
        <v>143</v>
      </c>
      <c r="K3893" s="57" t="s">
        <v>26</v>
      </c>
      <c r="L3893" s="57" t="s">
        <v>435</v>
      </c>
      <c r="M3893" s="57" t="s">
        <v>24</v>
      </c>
      <c r="N3893" s="62">
        <v>10</v>
      </c>
      <c r="O3893" s="21" t="s">
        <v>40</v>
      </c>
      <c r="P3893" s="21" t="s">
        <v>42</v>
      </c>
      <c r="Q3893" s="21" t="s">
        <v>42</v>
      </c>
      <c r="R3893" s="57" t="s">
        <v>453</v>
      </c>
    </row>
    <row r="3894" spans="1:19" ht="14.4">
      <c r="A3894" s="38">
        <f>IF(C3894="","",MAX($A$1:A3893)+1)</f>
        <v>3564</v>
      </c>
      <c r="B3894" s="66" t="s">
        <v>141</v>
      </c>
      <c r="C3894" s="60">
        <v>46112</v>
      </c>
      <c r="D3894" s="61" t="str">
        <f>_xlfn.XLOOKUP(Table134526_79101120212223242526[[#This Row],[Name Surname]],Manpower!$C$4:$C$1048576,Manpower!$B$4:$B$1048576,"")</f>
        <v>Encogroup</v>
      </c>
      <c r="E3894" s="57" t="s">
        <v>155</v>
      </c>
      <c r="F3894" s="12" t="e">
        <f>_xlfn.XLOOKUP(Table134526_79101120212223242526[[#This Row],[Name Surname]],Manpower!C:C,Manpower!D:D,)</f>
        <v>#N/A</v>
      </c>
      <c r="G3894" s="61" t="str">
        <f>_xlfn.XLOOKUP(Table134526_79101120212223242526[[#This Row],[Name Surname]],Manpower!$C$4:$C$1048576,Manpower!$F$4:$F$1048576,"")</f>
        <v>300 KVA Generator</v>
      </c>
      <c r="H3894" s="61" t="str">
        <f>_xlfn.XLOOKUP(Table134526_79101120212223242526[[#This Row],[Name Surname]],Manpower!$C$4:$C$1048576,Manpower!$H$4:$H$1048576,"")</f>
        <v>Equipment</v>
      </c>
      <c r="I3894" s="28" t="str">
        <f>_xlfn.XLOOKUP(Table134526_79101120212223242526[[#This Row],[Name Surname]],Manpower!$C$4:$C$1048576,Manpower!$H$4:$H$1048576,"")</f>
        <v>Equipment</v>
      </c>
      <c r="J3894" s="21" t="s">
        <v>143</v>
      </c>
      <c r="K3894" s="57" t="s">
        <v>26</v>
      </c>
      <c r="L3894" s="57" t="s">
        <v>435</v>
      </c>
      <c r="M3894" s="57" t="s">
        <v>24</v>
      </c>
      <c r="N3894" s="62">
        <v>10</v>
      </c>
      <c r="O3894" s="21" t="s">
        <v>40</v>
      </c>
      <c r="P3894" s="21" t="s">
        <v>42</v>
      </c>
      <c r="Q3894" s="21" t="s">
        <v>42</v>
      </c>
      <c r="R3894" s="57" t="s">
        <v>453</v>
      </c>
    </row>
    <row r="3895" spans="1:19" ht="14.4">
      <c r="A3895" s="38">
        <f>IF(C3895="","",MAX($A$1:A3894)+1)</f>
        <v>3565</v>
      </c>
      <c r="B3895" s="66" t="s">
        <v>141</v>
      </c>
      <c r="C3895" s="60">
        <v>46112</v>
      </c>
      <c r="D3895" s="61" t="str">
        <f>_xlfn.XLOOKUP(Table134526_79101120212223242526[[#This Row],[Name Surname]],Manpower!$C$4:$C$1048576,Manpower!$B$4:$B$1048576,"")</f>
        <v>Encogroup</v>
      </c>
      <c r="E3895" s="23" t="s">
        <v>156</v>
      </c>
      <c r="F3895" s="12" t="e">
        <f>_xlfn.XLOOKUP(Table134526_79101120212223242526[[#This Row],[Name Surname]],Manpower!C:C,Manpower!D:D,)</f>
        <v>#N/A</v>
      </c>
      <c r="G3895" s="61" t="str">
        <f>_xlfn.XLOOKUP(Table134526_79101120212223242526[[#This Row],[Name Surname]],Manpower!$C$4:$C$1048576,Manpower!$F$4:$F$1048576,"")</f>
        <v>35 KVA Generator</v>
      </c>
      <c r="H3895" s="61" t="str">
        <f>_xlfn.XLOOKUP(Table134526_79101120212223242526[[#This Row],[Name Surname]],Manpower!$C$4:$C$1048576,Manpower!$H$4:$H$1048576,"")</f>
        <v>Equipment</v>
      </c>
      <c r="I3895" s="28" t="str">
        <f>_xlfn.XLOOKUP(Table134526_79101120212223242526[[#This Row],[Name Surname]],Manpower!$C$4:$C$1048576,Manpower!$H$4:$H$1048576,"")</f>
        <v>Equipment</v>
      </c>
      <c r="J3895" s="21" t="s">
        <v>143</v>
      </c>
      <c r="K3895" s="57" t="s">
        <v>26</v>
      </c>
      <c r="L3895" s="57" t="s">
        <v>435</v>
      </c>
      <c r="M3895" s="57" t="s">
        <v>55</v>
      </c>
      <c r="N3895" s="62">
        <v>10</v>
      </c>
      <c r="O3895" s="21" t="s">
        <v>40</v>
      </c>
      <c r="P3895" s="21" t="s">
        <v>42</v>
      </c>
      <c r="Q3895" s="21" t="s">
        <v>42</v>
      </c>
      <c r="R3895" s="57" t="s">
        <v>56</v>
      </c>
    </row>
    <row r="3896" spans="1:19" s="45" customFormat="1" ht="14.4" hidden="1">
      <c r="A3896" s="53">
        <f>IF(C3896="","",MAX($A$1:A3895)+1)</f>
        <v>3566</v>
      </c>
      <c r="B3896" s="54" t="s">
        <v>141</v>
      </c>
      <c r="C3896" s="55">
        <v>46112</v>
      </c>
      <c r="D3896" s="68" t="str">
        <f>_xlfn.XLOOKUP(Table134526_79101120212223242526[[#This Row],[Name Surname]],Manpower!$C$4:$C$1048576,Manpower!$B$4:$B$1048576,"")</f>
        <v>Encogroup</v>
      </c>
      <c r="E3896" s="51" t="s">
        <v>157</v>
      </c>
      <c r="F3896" s="12">
        <f>_xlfn.XLOOKUP(Table134526_79101120212223242526[[#This Row],[Name Surname]],Manpower!C:C,Manpower!D:D,)</f>
        <v>140742144</v>
      </c>
      <c r="G3896" s="68" t="str">
        <f>_xlfn.XLOOKUP(Table134526_79101120212223242526[[#This Row],[Name Surname]],Manpower!$C$4:$C$1048576,Manpower!$F$4:$F$1048576,"")</f>
        <v>Assistant/Helper</v>
      </c>
      <c r="H3896" s="68" t="str">
        <f>_xlfn.XLOOKUP(Table134526_79101120212223242526[[#This Row],[Name Surname]],Manpower!$C$4:$C$1048576,Manpower!$H$4:$H$1048576,"")</f>
        <v>Manpower</v>
      </c>
      <c r="I3896" s="48" t="str">
        <f>_xlfn.XLOOKUP(Table134526_79101120212223242526[[#This Row],[Name Surname]],Manpower!$C$4:$C$1048576,Manpower!$H$4:$H$1048576,"")</f>
        <v>Manpower</v>
      </c>
      <c r="J3896" s="43" t="s">
        <v>143</v>
      </c>
      <c r="K3896" s="51" t="s">
        <v>26</v>
      </c>
      <c r="L3896" s="51" t="s">
        <v>435</v>
      </c>
      <c r="M3896" s="51" t="s">
        <v>24</v>
      </c>
      <c r="N3896" s="52">
        <v>10</v>
      </c>
      <c r="O3896" s="43" t="s">
        <v>40</v>
      </c>
      <c r="P3896" s="43" t="s">
        <v>42</v>
      </c>
      <c r="Q3896" s="43" t="s">
        <v>42</v>
      </c>
      <c r="R3896" s="51" t="s">
        <v>453</v>
      </c>
      <c r="S3896" s="43"/>
    </row>
    <row r="3897" spans="1:19" s="45" customFormat="1" ht="14.4" hidden="1">
      <c r="A3897" s="53">
        <f>IF(C3897="","",MAX($A$1:A3896)+1)</f>
        <v>3567</v>
      </c>
      <c r="B3897" s="54" t="s">
        <v>141</v>
      </c>
      <c r="C3897" s="55">
        <v>46112</v>
      </c>
      <c r="D3897" s="68" t="str">
        <f>_xlfn.XLOOKUP(Table134526_79101120212223242526[[#This Row],[Name Surname]],Manpower!$C$4:$C$1048576,Manpower!$B$4:$B$1048576,"")</f>
        <v>Encogroup</v>
      </c>
      <c r="E3897" s="51" t="s">
        <v>166</v>
      </c>
      <c r="F3897" s="12" t="str">
        <f>_xlfn.XLOOKUP(Table134526_79101120212223242526[[#This Row],[Name Surname]],Manpower!C:C,Manpower!D:D,)</f>
        <v>U4181508</v>
      </c>
      <c r="G3897" s="68" t="str">
        <f>_xlfn.XLOOKUP(Table134526_79101120212223242526[[#This Row],[Name Surname]],Manpower!$C$4:$C$1048576,Manpower!$F$4:$F$1048576,"")</f>
        <v>Welder</v>
      </c>
      <c r="H3897" s="68" t="str">
        <f>_xlfn.XLOOKUP(Table134526_79101120212223242526[[#This Row],[Name Surname]],Manpower!$C$4:$C$1048576,Manpower!$H$4:$H$1048576,"")</f>
        <v>Manpower</v>
      </c>
      <c r="I3897" s="48" t="str">
        <f>_xlfn.XLOOKUP(Table134526_79101120212223242526[[#This Row],[Name Surname]],Manpower!$C$4:$C$1048576,Manpower!$H$4:$H$1048576,"")</f>
        <v>Manpower</v>
      </c>
      <c r="J3897" s="43" t="s">
        <v>143</v>
      </c>
      <c r="K3897" s="51" t="s">
        <v>26</v>
      </c>
      <c r="L3897" s="51" t="s">
        <v>435</v>
      </c>
      <c r="M3897" s="51" t="s">
        <v>24</v>
      </c>
      <c r="N3897" s="52">
        <v>10</v>
      </c>
      <c r="O3897" s="43" t="s">
        <v>40</v>
      </c>
      <c r="P3897" s="43" t="s">
        <v>42</v>
      </c>
      <c r="Q3897" s="43" t="s">
        <v>42</v>
      </c>
      <c r="R3897" s="51" t="s">
        <v>453</v>
      </c>
      <c r="S3897" s="43"/>
    </row>
    <row r="3898" spans="1:19" s="45" customFormat="1" ht="14.4" hidden="1">
      <c r="A3898" s="53">
        <f>IF(C3898="","",MAX($A$1:A3897)+1)</f>
        <v>3568</v>
      </c>
      <c r="B3898" s="54" t="s">
        <v>141</v>
      </c>
      <c r="C3898" s="55">
        <v>46112</v>
      </c>
      <c r="D3898" s="68" t="str">
        <f>_xlfn.XLOOKUP(Table134526_79101120212223242526[[#This Row],[Name Surname]],Manpower!$C$4:$C$1048576,Manpower!$B$4:$B$1048576,"")</f>
        <v>Encogroup</v>
      </c>
      <c r="E3898" s="51" t="s">
        <v>167</v>
      </c>
      <c r="F3898" s="12">
        <f>_xlfn.XLOOKUP(Table134526_79101120212223242526[[#This Row],[Name Surname]],Manpower!C:C,Manpower!D:D,)</f>
        <v>125440631</v>
      </c>
      <c r="G3898" s="68" t="str">
        <f>_xlfn.XLOOKUP(Table134526_79101120212223242526[[#This Row],[Name Surname]],Manpower!$C$4:$C$1048576,Manpower!$F$4:$F$1048576,"")</f>
        <v>Rigger</v>
      </c>
      <c r="H3898" s="68" t="str">
        <f>_xlfn.XLOOKUP(Table134526_79101120212223242526[[#This Row],[Name Surname]],Manpower!$C$4:$C$1048576,Manpower!$H$4:$H$1048576,"")</f>
        <v>Manpower</v>
      </c>
      <c r="I3898" s="48" t="str">
        <f>_xlfn.XLOOKUP(Table134526_79101120212223242526[[#This Row],[Name Surname]],Manpower!$C$4:$C$1048576,Manpower!$H$4:$H$1048576,"")</f>
        <v>Manpower</v>
      </c>
      <c r="J3898" s="43" t="s">
        <v>143</v>
      </c>
      <c r="K3898" s="51" t="s">
        <v>26</v>
      </c>
      <c r="L3898" s="51" t="s">
        <v>435</v>
      </c>
      <c r="M3898" s="51" t="s">
        <v>24</v>
      </c>
      <c r="N3898" s="52">
        <v>10</v>
      </c>
      <c r="O3898" s="43" t="s">
        <v>40</v>
      </c>
      <c r="P3898" s="43" t="s">
        <v>42</v>
      </c>
      <c r="Q3898" s="43" t="s">
        <v>42</v>
      </c>
      <c r="R3898" s="51" t="s">
        <v>453</v>
      </c>
      <c r="S3898" s="43"/>
    </row>
    <row r="3899" spans="1:19" ht="14.4" hidden="1">
      <c r="A3899" s="38">
        <f>IF(C3899="","",MAX($A$1:A3898)+1)</f>
        <v>3569</v>
      </c>
      <c r="B3899" s="66" t="s">
        <v>141</v>
      </c>
      <c r="C3899" s="60">
        <v>46112</v>
      </c>
      <c r="D3899" s="61" t="str">
        <f>_xlfn.XLOOKUP(Table134526_79101120212223242526[[#This Row],[Name Surname]],Manpower!$C$4:$C$1048576,Manpower!$B$4:$B$1048576,"")</f>
        <v>AL Omar International TRAD AND CONT</v>
      </c>
      <c r="E3899" s="57" t="s">
        <v>169</v>
      </c>
      <c r="F3899" s="12">
        <f>_xlfn.XLOOKUP(Table134526_79101120212223242526[[#This Row],[Name Surname]],Manpower!C:C,Manpower!D:D,)</f>
        <v>115731078</v>
      </c>
      <c r="G3899" s="61" t="str">
        <f>_xlfn.XLOOKUP(Table134526_79101120212223242526[[#This Row],[Name Surname]],Manpower!$C$4:$C$1048576,Manpower!$F$4:$F$1048576,"")</f>
        <v>Scaffolder</v>
      </c>
      <c r="H3899" s="61" t="str">
        <f>_xlfn.XLOOKUP(Table134526_79101120212223242526[[#This Row],[Name Surname]],Manpower!$C$4:$C$1048576,Manpower!$H$4:$H$1048576,"")</f>
        <v>Sub Contactor</v>
      </c>
      <c r="I3899" s="28" t="str">
        <f>_xlfn.XLOOKUP(Table134526_79101120212223242526[[#This Row],[Name Surname]],Manpower!$C$4:$C$1048576,Manpower!$H$4:$H$1048576,"")</f>
        <v>Sub Contactor</v>
      </c>
      <c r="J3899" s="21" t="s">
        <v>143</v>
      </c>
      <c r="K3899" s="57" t="s">
        <v>26</v>
      </c>
      <c r="L3899" s="57" t="s">
        <v>170</v>
      </c>
      <c r="M3899" s="57" t="s">
        <v>24</v>
      </c>
      <c r="N3899" s="62">
        <v>10</v>
      </c>
      <c r="O3899" s="57" t="s">
        <v>40</v>
      </c>
      <c r="P3899" s="57" t="s">
        <v>128</v>
      </c>
      <c r="Q3899" s="57" t="s">
        <v>128</v>
      </c>
      <c r="R3899" s="57" t="s">
        <v>26</v>
      </c>
    </row>
    <row r="3900" spans="1:19" s="45" customFormat="1" ht="14.4" hidden="1">
      <c r="A3900" s="53">
        <f>IF(C3900="","",MAX($A$1:A3899)+1)</f>
        <v>3570</v>
      </c>
      <c r="B3900" s="54" t="s">
        <v>141</v>
      </c>
      <c r="C3900" s="55">
        <v>46112</v>
      </c>
      <c r="D3900" s="68" t="str">
        <f>_xlfn.XLOOKUP(Table134526_79101120212223242526[[#This Row],[Name Surname]],Manpower!$C$4:$C$1048576,Manpower!$B$4:$B$1048576,"")</f>
        <v>Encogroup</v>
      </c>
      <c r="E3900" s="51" t="s">
        <v>172</v>
      </c>
      <c r="F3900" s="12">
        <f>_xlfn.XLOOKUP(Table134526_79101120212223242526[[#This Row],[Name Surname]],Manpower!C:C,Manpower!D:D,)</f>
        <v>140764355</v>
      </c>
      <c r="G3900" s="68" t="str">
        <f>_xlfn.XLOOKUP(Table134526_79101120212223242526[[#This Row],[Name Surname]],Manpower!$C$4:$C$1048576,Manpower!$F$4:$F$1048576,"")</f>
        <v>Fitter/Erector</v>
      </c>
      <c r="H3900" s="68" t="str">
        <f>_xlfn.XLOOKUP(Table134526_79101120212223242526[[#This Row],[Name Surname]],Manpower!$C$4:$C$1048576,Manpower!$H$4:$H$1048576,"")</f>
        <v>Manpower</v>
      </c>
      <c r="I3900" s="48" t="str">
        <f>_xlfn.XLOOKUP(Table134526_79101120212223242526[[#This Row],[Name Surname]],Manpower!$C$4:$C$1048576,Manpower!$H$4:$H$1048576,"")</f>
        <v>Manpower</v>
      </c>
      <c r="J3900" s="43" t="s">
        <v>143</v>
      </c>
      <c r="K3900" s="51" t="s">
        <v>26</v>
      </c>
      <c r="L3900" s="51" t="s">
        <v>435</v>
      </c>
      <c r="M3900" s="51" t="s">
        <v>24</v>
      </c>
      <c r="N3900" s="52">
        <v>10</v>
      </c>
      <c r="O3900" s="43" t="s">
        <v>40</v>
      </c>
      <c r="P3900" s="43" t="s">
        <v>42</v>
      </c>
      <c r="Q3900" s="43" t="s">
        <v>42</v>
      </c>
      <c r="R3900" s="51" t="s">
        <v>453</v>
      </c>
      <c r="S3900" s="43"/>
    </row>
    <row r="3901" spans="1:19" s="45" customFormat="1" ht="14.4" hidden="1">
      <c r="A3901" s="53">
        <f>IF(C3901="","",MAX($A$1:A3900)+1)</f>
        <v>3571</v>
      </c>
      <c r="B3901" s="54" t="s">
        <v>141</v>
      </c>
      <c r="C3901" s="55">
        <v>46112</v>
      </c>
      <c r="D3901" s="68" t="str">
        <f>_xlfn.XLOOKUP(Table134526_79101120212223242526[[#This Row],[Name Surname]],Manpower!$C$4:$C$1048576,Manpower!$B$4:$B$1048576,"")</f>
        <v>Encogroup</v>
      </c>
      <c r="E3901" s="51" t="s">
        <v>175</v>
      </c>
      <c r="F3901" s="12">
        <f>_xlfn.XLOOKUP(Table134526_79101120212223242526[[#This Row],[Name Surname]],Manpower!C:C,Manpower!D:D,)</f>
        <v>140742125</v>
      </c>
      <c r="G3901" s="68" t="str">
        <f>_xlfn.XLOOKUP(Table134526_79101120212223242526[[#This Row],[Name Surname]],Manpower!$C$4:$C$1048576,Manpower!$F$4:$F$1048576,"")</f>
        <v>Assistant/Helper</v>
      </c>
      <c r="H3901" s="68" t="str">
        <f>_xlfn.XLOOKUP(Table134526_79101120212223242526[[#This Row],[Name Surname]],Manpower!$C$4:$C$1048576,Manpower!$H$4:$H$1048576,"")</f>
        <v>Manpower</v>
      </c>
      <c r="I3901" s="48" t="str">
        <f>_xlfn.XLOOKUP(Table134526_79101120212223242526[[#This Row],[Name Surname]],Manpower!$C$4:$C$1048576,Manpower!$H$4:$H$1048576,"")</f>
        <v>Manpower</v>
      </c>
      <c r="J3901" s="43" t="s">
        <v>143</v>
      </c>
      <c r="K3901" s="51" t="s">
        <v>26</v>
      </c>
      <c r="L3901" s="51" t="s">
        <v>435</v>
      </c>
      <c r="M3901" s="51" t="s">
        <v>24</v>
      </c>
      <c r="N3901" s="52">
        <v>10</v>
      </c>
      <c r="O3901" s="43" t="s">
        <v>40</v>
      </c>
      <c r="P3901" s="43" t="s">
        <v>42</v>
      </c>
      <c r="Q3901" s="43" t="s">
        <v>42</v>
      </c>
      <c r="R3901" s="51" t="s">
        <v>453</v>
      </c>
      <c r="S3901" s="43"/>
    </row>
    <row r="3902" spans="1:19" ht="14.4" hidden="1">
      <c r="A3902" s="38">
        <f>IF(C3902="","",MAX($A$1:A3901)+1)</f>
        <v>3572</v>
      </c>
      <c r="B3902" s="66" t="s">
        <v>141</v>
      </c>
      <c r="C3902" s="60">
        <v>46112</v>
      </c>
      <c r="D3902" s="61" t="str">
        <f>_xlfn.XLOOKUP(Table134526_79101120212223242526[[#This Row],[Name Surname]],Manpower!$C$4:$C$1048576,Manpower!$B$4:$B$1048576,"")</f>
        <v>Encogroup</v>
      </c>
      <c r="E3902" s="57" t="s">
        <v>228</v>
      </c>
      <c r="F3902" s="12">
        <f>_xlfn.XLOOKUP(Table134526_79101120212223242526[[#This Row],[Name Surname]],Manpower!C:C,Manpower!D:D,)</f>
        <v>125199963</v>
      </c>
      <c r="G3902" s="61" t="str">
        <f>_xlfn.XLOOKUP(Table134526_79101120212223242526[[#This Row],[Name Surname]],Manpower!$C$4:$C$1048576,Manpower!$F$4:$F$1048576,"")</f>
        <v>Electrician</v>
      </c>
      <c r="H3902" s="61" t="str">
        <f>_xlfn.XLOOKUP(Table134526_79101120212223242526[[#This Row],[Name Surname]],Manpower!$C$4:$C$1048576,Manpower!$H$4:$H$1048576,"")</f>
        <v>Manpower</v>
      </c>
      <c r="I3902" s="28" t="str">
        <f>_xlfn.XLOOKUP(Table134526_79101120212223242526[[#This Row],[Name Surname]],Manpower!$C$4:$C$1048576,Manpower!$H$4:$H$1048576,"")</f>
        <v>Manpower</v>
      </c>
      <c r="J3902" s="21" t="s">
        <v>143</v>
      </c>
      <c r="K3902" s="57" t="s">
        <v>26</v>
      </c>
      <c r="L3902" s="57" t="s">
        <v>435</v>
      </c>
      <c r="M3902" s="57" t="s">
        <v>24</v>
      </c>
      <c r="N3902" s="62">
        <v>10</v>
      </c>
      <c r="O3902" s="21" t="s">
        <v>40</v>
      </c>
      <c r="P3902" s="21" t="s">
        <v>42</v>
      </c>
      <c r="Q3902" s="21" t="s">
        <v>42</v>
      </c>
      <c r="R3902" s="57" t="s">
        <v>453</v>
      </c>
    </row>
    <row r="3903" spans="1:19" ht="14.4" hidden="1">
      <c r="A3903" s="38">
        <f>IF(C3903="","",MAX($A$1:A3902)+1)</f>
        <v>3573</v>
      </c>
      <c r="B3903" s="66" t="s">
        <v>141</v>
      </c>
      <c r="C3903" s="60">
        <v>46112</v>
      </c>
      <c r="D3903" s="61" t="str">
        <f>_xlfn.XLOOKUP(Table134526_79101120212223242526[[#This Row],[Name Surname]],Manpower!$C$4:$C$1048576,Manpower!$B$4:$B$1048576,"")</f>
        <v>Encogroup</v>
      </c>
      <c r="E3903" s="57" t="s">
        <v>119</v>
      </c>
      <c r="F3903" s="12">
        <f>_xlfn.XLOOKUP(Table134526_79101120212223242526[[#This Row],[Name Surname]],Manpower!C:C,Manpower!D:D,)</f>
        <v>140844778</v>
      </c>
      <c r="G3903" s="61" t="str">
        <f>_xlfn.XLOOKUP(Table134526_79101120212223242526[[#This Row],[Name Surname]],Manpower!$C$4:$C$1048576,Manpower!$F$4:$F$1048576,"")</f>
        <v>Painter</v>
      </c>
      <c r="H3903" s="61" t="str">
        <f>_xlfn.XLOOKUP(Table134526_79101120212223242526[[#This Row],[Name Surname]],Manpower!$C$4:$C$1048576,Manpower!$H$4:$H$1048576,"")</f>
        <v>Manpower</v>
      </c>
      <c r="I3903" s="28" t="str">
        <f>_xlfn.XLOOKUP(Table134526_79101120212223242526[[#This Row],[Name Surname]],Manpower!$C$4:$C$1048576,Manpower!$H$4:$H$1048576,"")</f>
        <v>Manpower</v>
      </c>
      <c r="J3903" s="21" t="s">
        <v>143</v>
      </c>
      <c r="K3903" s="57" t="s">
        <v>26</v>
      </c>
      <c r="L3903" s="57" t="s">
        <v>435</v>
      </c>
      <c r="M3903" s="57" t="s">
        <v>24</v>
      </c>
      <c r="N3903" s="62">
        <v>10</v>
      </c>
      <c r="O3903" s="21" t="s">
        <v>40</v>
      </c>
      <c r="P3903" s="21" t="s">
        <v>42</v>
      </c>
      <c r="Q3903" s="21" t="s">
        <v>42</v>
      </c>
      <c r="R3903" s="57" t="s">
        <v>453</v>
      </c>
    </row>
    <row r="3904" spans="1:19" ht="14.4" hidden="1">
      <c r="A3904" s="38">
        <f>IF(C3904="","",MAX($A$1:A3903)+1)</f>
        <v>3574</v>
      </c>
      <c r="B3904" s="66" t="s">
        <v>141</v>
      </c>
      <c r="C3904" s="60">
        <v>46112</v>
      </c>
      <c r="D3904" s="61" t="str">
        <f>_xlfn.XLOOKUP(Table134526_79101120212223242526[[#This Row],[Name Surname]],Manpower!$C$4:$C$1048576,Manpower!$B$4:$B$1048576,"")</f>
        <v>Encogroup</v>
      </c>
      <c r="E3904" s="57" t="s">
        <v>117</v>
      </c>
      <c r="F3904" s="12">
        <f>_xlfn.XLOOKUP(Table134526_79101120212223242526[[#This Row],[Name Surname]],Manpower!C:C,Manpower!D:D,)</f>
        <v>140844783</v>
      </c>
      <c r="G3904" s="61" t="str">
        <f>_xlfn.XLOOKUP(Table134526_79101120212223242526[[#This Row],[Name Surname]],Manpower!$C$4:$C$1048576,Manpower!$F$4:$F$1048576,"")</f>
        <v>Painter</v>
      </c>
      <c r="H3904" s="61" t="str">
        <f>_xlfn.XLOOKUP(Table134526_79101120212223242526[[#This Row],[Name Surname]],Manpower!$C$4:$C$1048576,Manpower!$H$4:$H$1048576,"")</f>
        <v>Manpower</v>
      </c>
      <c r="I3904" s="28" t="str">
        <f>_xlfn.XLOOKUP(Table134526_79101120212223242526[[#This Row],[Name Surname]],Manpower!$C$4:$C$1048576,Manpower!$H$4:$H$1048576,"")</f>
        <v>Manpower</v>
      </c>
      <c r="J3904" s="21" t="s">
        <v>143</v>
      </c>
      <c r="K3904" s="57" t="s">
        <v>26</v>
      </c>
      <c r="L3904" s="57" t="s">
        <v>435</v>
      </c>
      <c r="M3904" s="57" t="s">
        <v>24</v>
      </c>
      <c r="N3904" s="62">
        <v>10</v>
      </c>
      <c r="O3904" s="21" t="s">
        <v>40</v>
      </c>
      <c r="P3904" s="21" t="s">
        <v>42</v>
      </c>
      <c r="Q3904" s="21" t="s">
        <v>42</v>
      </c>
      <c r="R3904" s="57" t="s">
        <v>453</v>
      </c>
    </row>
    <row r="3905" spans="1:19" s="45" customFormat="1" ht="14.4" hidden="1">
      <c r="A3905" s="53">
        <f>IF(C3905="","",MAX($A$1:A3904)+1)</f>
        <v>3575</v>
      </c>
      <c r="B3905" s="54" t="s">
        <v>141</v>
      </c>
      <c r="C3905" s="55">
        <v>46112</v>
      </c>
      <c r="D3905" s="68" t="str">
        <f>_xlfn.XLOOKUP(Table134526_79101120212223242526[[#This Row],[Name Surname]],Manpower!$C$4:$C$1048576,Manpower!$B$4:$B$1048576,"")</f>
        <v>Encogroup</v>
      </c>
      <c r="E3905" s="51" t="s">
        <v>176</v>
      </c>
      <c r="F3905" s="12">
        <f>_xlfn.XLOOKUP(Table134526_79101120212223242526[[#This Row],[Name Surname]],Manpower!C:C,Manpower!D:D,)</f>
        <v>124398279</v>
      </c>
      <c r="G3905" s="68" t="str">
        <f>_xlfn.XLOOKUP(Table134526_79101120212223242526[[#This Row],[Name Surname]],Manpower!$C$4:$C$1048576,Manpower!$F$4:$F$1048576,"")</f>
        <v>Permit Receiver</v>
      </c>
      <c r="H3905" s="68" t="str">
        <f>_xlfn.XLOOKUP(Table134526_79101120212223242526[[#This Row],[Name Surname]],Manpower!$C$4:$C$1048576,Manpower!$H$4:$H$1048576,"")</f>
        <v>Manpower</v>
      </c>
      <c r="I3905" s="48" t="str">
        <f>_xlfn.XLOOKUP(Table134526_79101120212223242526[[#This Row],[Name Surname]],Manpower!$C$4:$C$1048576,Manpower!$H$4:$H$1048576,"")</f>
        <v>Manpower</v>
      </c>
      <c r="J3905" s="43" t="s">
        <v>143</v>
      </c>
      <c r="K3905" s="51" t="s">
        <v>26</v>
      </c>
      <c r="L3905" s="51" t="s">
        <v>435</v>
      </c>
      <c r="M3905" s="51" t="s">
        <v>24</v>
      </c>
      <c r="N3905" s="52">
        <v>10</v>
      </c>
      <c r="O3905" s="43" t="s">
        <v>40</v>
      </c>
      <c r="P3905" s="43" t="s">
        <v>42</v>
      </c>
      <c r="Q3905" s="43" t="s">
        <v>42</v>
      </c>
      <c r="R3905" s="51" t="s">
        <v>453</v>
      </c>
      <c r="S3905" s="43"/>
    </row>
    <row r="3906" spans="1:19" s="45" customFormat="1" ht="14.4" hidden="1">
      <c r="A3906" s="53">
        <f>IF(C3906="","",MAX($A$1:A3905)+1)</f>
        <v>3576</v>
      </c>
      <c r="B3906" s="54" t="s">
        <v>141</v>
      </c>
      <c r="C3906" s="55">
        <v>46112</v>
      </c>
      <c r="D3906" s="48" t="str">
        <f>_xlfn.XLOOKUP(Table134526_79101120212223242526[[#This Row],[Name Surname]],Manpower!$C$4:$C$1048576,Manpower!$B$4:$B$1048576,"")</f>
        <v>Encogroup</v>
      </c>
      <c r="E3906" s="43" t="s">
        <v>404</v>
      </c>
      <c r="F3906" s="12">
        <f>_xlfn.XLOOKUP(Table134526_79101120212223242526[[#This Row],[Name Surname]],Manpower!C:C,Manpower!D:D,)</f>
        <v>118882687</v>
      </c>
      <c r="G3906" s="48" t="str">
        <f>_xlfn.XLOOKUP(Table134526_79101120212223242526[[#This Row],[Name Surname]],Manpower!$C$4:$C$1048576,Manpower!$F$4:$F$1048576,"")</f>
        <v>Permit Reciver</v>
      </c>
      <c r="H3906" s="48" t="str">
        <f>_xlfn.XLOOKUP(Table134526_79101120212223242526[[#This Row],[Name Surname]],Manpower!$C$4:$C$1048576,Manpower!$H$4:$H$1048576,"")</f>
        <v>Manpower</v>
      </c>
      <c r="I3906" s="48" t="str">
        <f>_xlfn.XLOOKUP(Table134526_79101120212223242526[[#This Row],[Name Surname]],Manpower!$C$4:$C$1048576,Manpower!$H$4:$H$1048576,"")</f>
        <v>Manpower</v>
      </c>
      <c r="J3906" s="43" t="s">
        <v>143</v>
      </c>
      <c r="K3906" s="51" t="s">
        <v>26</v>
      </c>
      <c r="L3906" s="51" t="s">
        <v>435</v>
      </c>
      <c r="M3906" s="51" t="s">
        <v>24</v>
      </c>
      <c r="N3906" s="52">
        <v>10</v>
      </c>
      <c r="O3906" s="43" t="s">
        <v>40</v>
      </c>
      <c r="P3906" s="43" t="s">
        <v>42</v>
      </c>
      <c r="Q3906" s="43" t="s">
        <v>42</v>
      </c>
      <c r="R3906" s="51" t="s">
        <v>453</v>
      </c>
      <c r="S3906" s="43"/>
    </row>
    <row r="3907" spans="1:19" s="45" customFormat="1" ht="14.4" hidden="1">
      <c r="A3907" s="53">
        <f>IF(C3907="","",MAX($A$1:A3905)+1)</f>
        <v>3576</v>
      </c>
      <c r="B3907" s="54" t="s">
        <v>141</v>
      </c>
      <c r="C3907" s="55">
        <v>46112</v>
      </c>
      <c r="D3907" s="68" t="str">
        <f>_xlfn.XLOOKUP(Table134526_79101120212223242526[[#This Row],[Name Surname]],Manpower!$C$4:$C$1048576,Manpower!$B$4:$B$1048576,"")</f>
        <v>Encogroup</v>
      </c>
      <c r="E3907" s="51" t="s">
        <v>177</v>
      </c>
      <c r="F3907" s="12">
        <f>_xlfn.XLOOKUP(Table134526_79101120212223242526[[#This Row],[Name Surname]],Manpower!C:C,Manpower!D:D,)</f>
        <v>140809004</v>
      </c>
      <c r="G3907" s="68" t="str">
        <f>_xlfn.XLOOKUP(Table134526_79101120212223242526[[#This Row],[Name Surname]],Manpower!$C$4:$C$1048576,Manpower!$F$4:$F$1048576,"")</f>
        <v>Fitter/Erector</v>
      </c>
      <c r="H3907" s="68" t="str">
        <f>_xlfn.XLOOKUP(Table134526_79101120212223242526[[#This Row],[Name Surname]],Manpower!$C$4:$C$1048576,Manpower!$H$4:$H$1048576,"")</f>
        <v>Manpower</v>
      </c>
      <c r="I3907" s="48" t="str">
        <f>_xlfn.XLOOKUP(Table134526_79101120212223242526[[#This Row],[Name Surname]],Manpower!$C$4:$C$1048576,Manpower!$H$4:$H$1048576,"")</f>
        <v>Manpower</v>
      </c>
      <c r="J3907" s="43" t="s">
        <v>143</v>
      </c>
      <c r="K3907" s="51" t="s">
        <v>26</v>
      </c>
      <c r="L3907" s="51" t="s">
        <v>435</v>
      </c>
      <c r="M3907" s="51" t="s">
        <v>24</v>
      </c>
      <c r="N3907" s="52">
        <v>10</v>
      </c>
      <c r="O3907" s="43" t="s">
        <v>40</v>
      </c>
      <c r="P3907" s="43" t="s">
        <v>42</v>
      </c>
      <c r="Q3907" s="43" t="s">
        <v>42</v>
      </c>
      <c r="R3907" s="51" t="s">
        <v>453</v>
      </c>
      <c r="S3907" s="43"/>
    </row>
    <row r="3908" spans="1:19" s="45" customFormat="1" ht="14.4" hidden="1">
      <c r="A3908" s="53">
        <f>IF(C3908="","",MAX($A$1:A3907)+1)</f>
        <v>3577</v>
      </c>
      <c r="B3908" s="54" t="s">
        <v>141</v>
      </c>
      <c r="C3908" s="55">
        <v>46112</v>
      </c>
      <c r="D3908" s="68" t="str">
        <f>_xlfn.XLOOKUP(Table134526_79101120212223242526[[#This Row],[Name Surname]],Manpower!$C$4:$C$1048576,Manpower!$B$4:$B$1048576,"")</f>
        <v>Encogroup</v>
      </c>
      <c r="E3908" s="51" t="s">
        <v>178</v>
      </c>
      <c r="F3908" s="12">
        <f>_xlfn.XLOOKUP(Table134526_79101120212223242526[[#This Row],[Name Surname]],Manpower!C:C,Manpower!D:D,)</f>
        <v>140683436</v>
      </c>
      <c r="G3908" s="68" t="str">
        <f>_xlfn.XLOOKUP(Table134526_79101120212223242526[[#This Row],[Name Surname]],Manpower!$C$4:$C$1048576,Manpower!$F$4:$F$1048576,"")</f>
        <v>Scaffolder</v>
      </c>
      <c r="H3908" s="68" t="str">
        <f>_xlfn.XLOOKUP(Table134526_79101120212223242526[[#This Row],[Name Surname]],Manpower!$C$4:$C$1048576,Manpower!$H$4:$H$1048576,"")</f>
        <v>Manpower</v>
      </c>
      <c r="I3908" s="48" t="str">
        <f>_xlfn.XLOOKUP(Table134526_79101120212223242526[[#This Row],[Name Surname]],Manpower!$C$4:$C$1048576,Manpower!$H$4:$H$1048576,"")</f>
        <v>Manpower</v>
      </c>
      <c r="J3908" s="43" t="s">
        <v>143</v>
      </c>
      <c r="K3908" s="51" t="s">
        <v>26</v>
      </c>
      <c r="L3908" s="51" t="s">
        <v>435</v>
      </c>
      <c r="M3908" s="51" t="s">
        <v>24</v>
      </c>
      <c r="N3908" s="52">
        <v>10</v>
      </c>
      <c r="O3908" s="43" t="s">
        <v>40</v>
      </c>
      <c r="P3908" s="43" t="s">
        <v>42</v>
      </c>
      <c r="Q3908" s="43" t="s">
        <v>42</v>
      </c>
      <c r="R3908" s="51" t="s">
        <v>453</v>
      </c>
      <c r="S3908" s="43"/>
    </row>
    <row r="3909" spans="1:19" ht="14.4">
      <c r="A3909" s="38">
        <f>IF(C3909="","",MAX($A$1:A3908)+1)</f>
        <v>3578</v>
      </c>
      <c r="B3909" s="66" t="s">
        <v>141</v>
      </c>
      <c r="C3909" s="60">
        <v>46112</v>
      </c>
      <c r="D3909" s="61" t="str">
        <f>_xlfn.XLOOKUP(Table134526_79101120212223242526[[#This Row],[Name Surname]],Manpower!$C$4:$C$1048576,Manpower!$B$4:$B$1048576,"")</f>
        <v>Encogroup</v>
      </c>
      <c r="E3909" s="60" t="s">
        <v>179</v>
      </c>
      <c r="F3909" s="12" t="e">
        <f>_xlfn.XLOOKUP(Table134526_79101120212223242526[[#This Row],[Name Surname]],Manpower!C:C,Manpower!D:D,)</f>
        <v>#N/A</v>
      </c>
      <c r="G3909" s="61" t="str">
        <f>_xlfn.XLOOKUP(Table134526_79101120212223242526[[#This Row],[Name Surname]],Manpower!$C$4:$C$1048576,Manpower!$F$4:$F$1048576,"")</f>
        <v>7T-HIAB</v>
      </c>
      <c r="H3909" s="61" t="str">
        <f>_xlfn.XLOOKUP(Table134526_79101120212223242526[[#This Row],[Name Surname]],Manpower!$C$4:$C$1048576,Manpower!$H$4:$H$1048576,"")</f>
        <v>Equipment</v>
      </c>
      <c r="I3909" s="28" t="str">
        <f>_xlfn.XLOOKUP(Table134526_79101120212223242526[[#This Row],[Name Surname]],Manpower!$C$4:$C$1048576,Manpower!$H$4:$H$1048576,"")</f>
        <v>Equipment</v>
      </c>
      <c r="J3909" s="21" t="s">
        <v>143</v>
      </c>
      <c r="K3909" s="57" t="s">
        <v>26</v>
      </c>
      <c r="L3909" s="57" t="s">
        <v>435</v>
      </c>
      <c r="M3909" s="57" t="s">
        <v>24</v>
      </c>
      <c r="N3909" s="62">
        <v>10</v>
      </c>
      <c r="O3909" s="57"/>
      <c r="P3909" s="57"/>
      <c r="Q3909" s="57"/>
      <c r="R3909" s="57" t="s">
        <v>453</v>
      </c>
    </row>
    <row r="3910" spans="1:19" ht="14.4" hidden="1">
      <c r="A3910" s="38">
        <f>IF(C3910="","",MAX($A$1:A3909)+1)</f>
        <v>3579</v>
      </c>
      <c r="B3910" s="66" t="s">
        <v>141</v>
      </c>
      <c r="C3910" s="60">
        <v>46112</v>
      </c>
      <c r="D3910" s="61" t="str">
        <f>_xlfn.XLOOKUP(Table134526_79101120212223242526[[#This Row],[Name Surname]],Manpower!$C$4:$C$1048576,Manpower!$B$4:$B$1048576,"")</f>
        <v>Encogroup</v>
      </c>
      <c r="E3910" s="57" t="s">
        <v>180</v>
      </c>
      <c r="F3910" s="12">
        <f>_xlfn.XLOOKUP(Table134526_79101120212223242526[[#This Row],[Name Surname]],Manpower!C:C,Manpower!D:D,)</f>
        <v>9138415</v>
      </c>
      <c r="G3910" s="61" t="str">
        <f>_xlfn.XLOOKUP(Table134526_79101120212223242526[[#This Row],[Name Surname]],Manpower!$C$4:$C$1048576,Manpower!$F$4:$F$1048576,"")</f>
        <v>HIAB Driver</v>
      </c>
      <c r="H3910" s="61" t="str">
        <f>_xlfn.XLOOKUP(Table134526_79101120212223242526[[#This Row],[Name Surname]],Manpower!$C$4:$C$1048576,Manpower!$H$4:$H$1048576,"")</f>
        <v>Manpower</v>
      </c>
      <c r="I3910" s="28" t="str">
        <f>_xlfn.XLOOKUP(Table134526_79101120212223242526[[#This Row],[Name Surname]],Manpower!$C$4:$C$1048576,Manpower!$H$4:$H$1048576,"")</f>
        <v>Manpower</v>
      </c>
      <c r="J3910" s="21" t="s">
        <v>143</v>
      </c>
      <c r="K3910" s="57" t="s">
        <v>26</v>
      </c>
      <c r="L3910" s="57" t="s">
        <v>435</v>
      </c>
      <c r="M3910" s="57" t="s">
        <v>24</v>
      </c>
      <c r="N3910" s="62">
        <v>10</v>
      </c>
      <c r="O3910" s="21" t="s">
        <v>40</v>
      </c>
      <c r="P3910" s="21" t="s">
        <v>42</v>
      </c>
      <c r="Q3910" s="21" t="s">
        <v>42</v>
      </c>
      <c r="R3910" s="57" t="s">
        <v>453</v>
      </c>
    </row>
    <row r="3911" spans="1:19" s="45" customFormat="1" ht="14.4" hidden="1">
      <c r="A3911" s="53">
        <f>IF(C3911="","",MAX($A$1:A3910)+1)</f>
        <v>3580</v>
      </c>
      <c r="B3911" s="54" t="s">
        <v>141</v>
      </c>
      <c r="C3911" s="55">
        <v>46112</v>
      </c>
      <c r="D3911" s="68" t="str">
        <f>_xlfn.XLOOKUP(Table134526_79101120212223242526[[#This Row],[Name Surname]],Manpower!$C$4:$C$1048576,Manpower!$B$4:$B$1048576,"")</f>
        <v>Encogroup</v>
      </c>
      <c r="E3911" s="51" t="s">
        <v>184</v>
      </c>
      <c r="F3911" s="12">
        <f>_xlfn.XLOOKUP(Table134526_79101120212223242526[[#This Row],[Name Surname]],Manpower!C:C,Manpower!D:D,)</f>
        <v>140844759</v>
      </c>
      <c r="G3911" s="68" t="str">
        <f>_xlfn.XLOOKUP(Table134526_79101120212223242526[[#This Row],[Name Surname]],Manpower!$C$4:$C$1048576,Manpower!$F$4:$F$1048576,"")</f>
        <v>Welder</v>
      </c>
      <c r="H3911" s="68" t="str">
        <f>_xlfn.XLOOKUP(Table134526_79101120212223242526[[#This Row],[Name Surname]],Manpower!$C$4:$C$1048576,Manpower!$H$4:$H$1048576,"")</f>
        <v>Manpower</v>
      </c>
      <c r="I3911" s="48" t="str">
        <f>_xlfn.XLOOKUP(Table134526_79101120212223242526[[#This Row],[Name Surname]],Manpower!$C$4:$C$1048576,Manpower!$H$4:$H$1048576,"")</f>
        <v>Manpower</v>
      </c>
      <c r="J3911" s="43" t="s">
        <v>143</v>
      </c>
      <c r="K3911" s="51" t="s">
        <v>26</v>
      </c>
      <c r="L3911" s="51" t="s">
        <v>435</v>
      </c>
      <c r="M3911" s="51" t="s">
        <v>24</v>
      </c>
      <c r="N3911" s="52">
        <v>10</v>
      </c>
      <c r="O3911" s="43" t="s">
        <v>40</v>
      </c>
      <c r="P3911" s="43" t="s">
        <v>42</v>
      </c>
      <c r="Q3911" s="43" t="s">
        <v>42</v>
      </c>
      <c r="R3911" s="51" t="s">
        <v>453</v>
      </c>
      <c r="S3911" s="43"/>
    </row>
    <row r="3912" spans="1:19" s="45" customFormat="1" ht="14.4" hidden="1">
      <c r="A3912" s="53">
        <f>IF(C3912="","",MAX($A$1:A3911)+1)</f>
        <v>3581</v>
      </c>
      <c r="B3912" s="54" t="s">
        <v>141</v>
      </c>
      <c r="C3912" s="55">
        <v>46112</v>
      </c>
      <c r="D3912" s="68" t="str">
        <f>_xlfn.XLOOKUP(Table134526_79101120212223242526[[#This Row],[Name Surname]],Manpower!$C$4:$C$1048576,Manpower!$B$4:$B$1048576,"")</f>
        <v>Encogroup</v>
      </c>
      <c r="E3912" s="51" t="s">
        <v>185</v>
      </c>
      <c r="F3912" s="12">
        <f>_xlfn.XLOOKUP(Table134526_79101120212223242526[[#This Row],[Name Surname]],Manpower!C:C,Manpower!D:D,)</f>
        <v>140848828</v>
      </c>
      <c r="G3912" s="68" t="str">
        <f>_xlfn.XLOOKUP(Table134526_79101120212223242526[[#This Row],[Name Surname]],Manpower!$C$4:$C$1048576,Manpower!$F$4:$F$1048576,"")</f>
        <v>Pipe Fitter</v>
      </c>
      <c r="H3912" s="68" t="str">
        <f>_xlfn.XLOOKUP(Table134526_79101120212223242526[[#This Row],[Name Surname]],Manpower!$C$4:$C$1048576,Manpower!$H$4:$H$1048576,"")</f>
        <v>Manpower</v>
      </c>
      <c r="I3912" s="48" t="str">
        <f>_xlfn.XLOOKUP(Table134526_79101120212223242526[[#This Row],[Name Surname]],Manpower!$C$4:$C$1048576,Manpower!$H$4:$H$1048576,"")</f>
        <v>Manpower</v>
      </c>
      <c r="J3912" s="43" t="s">
        <v>143</v>
      </c>
      <c r="K3912" s="51" t="s">
        <v>26</v>
      </c>
      <c r="L3912" s="51" t="s">
        <v>435</v>
      </c>
      <c r="M3912" s="51" t="s">
        <v>24</v>
      </c>
      <c r="N3912" s="52">
        <v>10</v>
      </c>
      <c r="O3912" s="43" t="s">
        <v>40</v>
      </c>
      <c r="P3912" s="43" t="s">
        <v>42</v>
      </c>
      <c r="Q3912" s="43" t="s">
        <v>42</v>
      </c>
      <c r="R3912" s="51" t="s">
        <v>453</v>
      </c>
      <c r="S3912" s="43"/>
    </row>
    <row r="3913" spans="1:19" ht="14.4" hidden="1">
      <c r="A3913" s="38">
        <f>IF(C3913="","",MAX($A$1:A3912)+1)</f>
        <v>3582</v>
      </c>
      <c r="B3913" s="66" t="s">
        <v>141</v>
      </c>
      <c r="C3913" s="60">
        <v>46112</v>
      </c>
      <c r="D3913" s="61" t="str">
        <f>_xlfn.XLOOKUP(Table134526_79101120212223242526[[#This Row],[Name Surname]],Manpower!$C$4:$C$1048576,Manpower!$B$4:$B$1048576,"")</f>
        <v>AL Omar International TRAD AND CONT</v>
      </c>
      <c r="E3913" s="57" t="s">
        <v>212</v>
      </c>
      <c r="F3913" s="12">
        <f>_xlfn.XLOOKUP(Table134526_79101120212223242526[[#This Row],[Name Surname]],Manpower!C:C,Manpower!D:D,)</f>
        <v>116676257</v>
      </c>
      <c r="G3913" s="61" t="str">
        <f>_xlfn.XLOOKUP(Table134526_79101120212223242526[[#This Row],[Name Surname]],Manpower!$C$4:$C$1048576,Manpower!$F$4:$F$1048576,"")</f>
        <v>Scaffolder</v>
      </c>
      <c r="H3913" s="61" t="str">
        <f>_xlfn.XLOOKUP(Table134526_79101120212223242526[[#This Row],[Name Surname]],Manpower!$C$4:$C$1048576,Manpower!$H$4:$H$1048576,"")</f>
        <v>Sub Contactor</v>
      </c>
      <c r="I3913" s="28" t="str">
        <f>_xlfn.XLOOKUP(Table134526_79101120212223242526[[#This Row],[Name Surname]],Manpower!$C$4:$C$1048576,Manpower!$H$4:$H$1048576,"")</f>
        <v>Sub Contactor</v>
      </c>
      <c r="J3913" s="21" t="s">
        <v>143</v>
      </c>
      <c r="K3913" s="57" t="s">
        <v>26</v>
      </c>
      <c r="L3913" s="57" t="s">
        <v>170</v>
      </c>
      <c r="M3913" s="57" t="s">
        <v>24</v>
      </c>
      <c r="N3913" s="62">
        <v>10</v>
      </c>
      <c r="O3913" s="57" t="s">
        <v>40</v>
      </c>
      <c r="P3913" s="57" t="s">
        <v>128</v>
      </c>
      <c r="Q3913" s="57" t="s">
        <v>128</v>
      </c>
      <c r="R3913" s="57" t="s">
        <v>26</v>
      </c>
    </row>
    <row r="3914" spans="1:19" s="45" customFormat="1" ht="14.4" hidden="1">
      <c r="A3914" s="53">
        <f>IF(C3914="","",MAX($A$1:A3913)+1)</f>
        <v>3583</v>
      </c>
      <c r="B3914" s="54" t="s">
        <v>141</v>
      </c>
      <c r="C3914" s="55">
        <v>46112</v>
      </c>
      <c r="D3914" s="68" t="str">
        <f>_xlfn.XLOOKUP(Table134526_79101120212223242526[[#This Row],[Name Surname]],Manpower!$C$4:$C$1048576,Manpower!$B$4:$B$1048576,"")</f>
        <v>Encogroup</v>
      </c>
      <c r="E3914" s="51" t="s">
        <v>184</v>
      </c>
      <c r="F3914" s="12">
        <f>_xlfn.XLOOKUP(Table134526_79101120212223242526[[#This Row],[Name Surname]],Manpower!C:C,Manpower!D:D,)</f>
        <v>140844759</v>
      </c>
      <c r="G3914" s="68" t="str">
        <f>_xlfn.XLOOKUP(Table134526_79101120212223242526[[#This Row],[Name Surname]],Manpower!$C$4:$C$1048576,Manpower!$F$4:$F$1048576,"")</f>
        <v>Welder</v>
      </c>
      <c r="H3914" s="68" t="str">
        <f>_xlfn.XLOOKUP(Table134526_79101120212223242526[[#This Row],[Name Surname]],Manpower!$C$4:$C$1048576,Manpower!$H$4:$H$1048576,"")</f>
        <v>Manpower</v>
      </c>
      <c r="I3914" s="48" t="str">
        <f>_xlfn.XLOOKUP(Table134526_79101120212223242526[[#This Row],[Name Surname]],Manpower!$C$4:$C$1048576,Manpower!$H$4:$H$1048576,"")</f>
        <v>Manpower</v>
      </c>
      <c r="J3914" s="43" t="s">
        <v>143</v>
      </c>
      <c r="K3914" s="51" t="s">
        <v>26</v>
      </c>
      <c r="L3914" s="51" t="s">
        <v>170</v>
      </c>
      <c r="M3914" s="51" t="s">
        <v>24</v>
      </c>
      <c r="N3914" s="52">
        <v>10</v>
      </c>
      <c r="O3914" s="51" t="s">
        <v>40</v>
      </c>
      <c r="P3914" s="51" t="s">
        <v>128</v>
      </c>
      <c r="Q3914" s="51" t="s">
        <v>128</v>
      </c>
      <c r="R3914" s="51" t="s">
        <v>26</v>
      </c>
      <c r="S3914" s="43"/>
    </row>
    <row r="3915" spans="1:19" ht="14.4" hidden="1">
      <c r="A3915" s="38">
        <f>IF(C3915="","",MAX($A$1:A3914)+1)</f>
        <v>3584</v>
      </c>
      <c r="B3915" s="66" t="s">
        <v>141</v>
      </c>
      <c r="C3915" s="60">
        <v>46112</v>
      </c>
      <c r="D3915" s="61" t="str">
        <f>_xlfn.XLOOKUP(Table134526_79101120212223242526[[#This Row],[Name Surname]],Manpower!$C$4:$C$1048576,Manpower!$B$4:$B$1048576,"")</f>
        <v>Encogroup</v>
      </c>
      <c r="E3915" s="57" t="s">
        <v>422</v>
      </c>
      <c r="F3915" s="12">
        <f>_xlfn.XLOOKUP(Table134526_79101120212223242526[[#This Row],[Name Surname]],Manpower!C:C,Manpower!D:D,)</f>
        <v>121668462</v>
      </c>
      <c r="G3915" s="61" t="str">
        <f>_xlfn.XLOOKUP(Table134526_79101120212223242526[[#This Row],[Name Surname]],Manpower!$C$4:$C$1048576,Manpower!$F$4:$F$1048576,"")</f>
        <v>Site Manager</v>
      </c>
      <c r="H3915" s="61" t="str">
        <f>_xlfn.XLOOKUP(Table134526_79101120212223242526[[#This Row],[Name Surname]],Manpower!$C$4:$C$1048576,Manpower!$H$4:$H$1048576,"")</f>
        <v>Manpower</v>
      </c>
      <c r="I3915" s="28" t="str">
        <f>_xlfn.XLOOKUP(Table134526_79101120212223242526[[#This Row],[Name Surname]],Manpower!$C$4:$C$1048576,Manpower!$H$4:$H$1048576,"")</f>
        <v>Manpower</v>
      </c>
      <c r="J3915" s="21" t="s">
        <v>143</v>
      </c>
      <c r="K3915" s="57" t="s">
        <v>26</v>
      </c>
      <c r="L3915" s="57" t="s">
        <v>435</v>
      </c>
      <c r="M3915" s="57" t="s">
        <v>24</v>
      </c>
      <c r="N3915" s="62">
        <v>10</v>
      </c>
      <c r="O3915" s="21" t="s">
        <v>40</v>
      </c>
      <c r="P3915" s="21" t="s">
        <v>42</v>
      </c>
      <c r="Q3915" s="21" t="s">
        <v>42</v>
      </c>
      <c r="R3915" s="57" t="s">
        <v>453</v>
      </c>
    </row>
    <row r="3916" spans="1:19" ht="14.4" hidden="1">
      <c r="A3916" s="38">
        <f>IF(C3916="","",MAX($A$1:A3915)+1)</f>
        <v>3585</v>
      </c>
      <c r="B3916" s="66" t="s">
        <v>141</v>
      </c>
      <c r="C3916" s="60">
        <v>46112</v>
      </c>
      <c r="D3916" s="61" t="str">
        <f>_xlfn.XLOOKUP(Table134526_79101120212223242526[[#This Row],[Name Surname]],Manpower!$C$4:$C$1048576,Manpower!$B$4:$B$1048576,"")</f>
        <v>Encogroup</v>
      </c>
      <c r="E3916" s="57" t="s">
        <v>423</v>
      </c>
      <c r="F3916" s="12">
        <f>_xlfn.XLOOKUP(Table134526_79101120212223242526[[#This Row],[Name Surname]],Manpower!C:C,Manpower!D:D,)</f>
        <v>141253376</v>
      </c>
      <c r="G3916" s="61" t="str">
        <f>_xlfn.XLOOKUP(Table134526_79101120212223242526[[#This Row],[Name Surname]],Manpower!$C$4:$C$1048576,Manpower!$F$4:$F$1048576,"")</f>
        <v>Store Keeper</v>
      </c>
      <c r="H3916" s="61" t="str">
        <f>_xlfn.XLOOKUP(Table134526_79101120212223242526[[#This Row],[Name Surname]],Manpower!$C$4:$C$1048576,Manpower!$H$4:$H$1048576,"")</f>
        <v>Manpower</v>
      </c>
      <c r="I3916" s="28" t="str">
        <f>_xlfn.XLOOKUP(Table134526_79101120212223242526[[#This Row],[Name Surname]],Manpower!$C$4:$C$1048576,Manpower!$H$4:$H$1048576,"")</f>
        <v>Manpower</v>
      </c>
      <c r="J3916" s="21" t="s">
        <v>143</v>
      </c>
      <c r="K3916" s="57" t="s">
        <v>26</v>
      </c>
      <c r="L3916" s="57" t="s">
        <v>435</v>
      </c>
      <c r="M3916" s="57" t="s">
        <v>24</v>
      </c>
      <c r="N3916" s="62">
        <v>10</v>
      </c>
      <c r="O3916" s="21" t="s">
        <v>40</v>
      </c>
      <c r="P3916" s="21" t="s">
        <v>42</v>
      </c>
      <c r="Q3916" s="21" t="s">
        <v>42</v>
      </c>
      <c r="R3916" s="57" t="s">
        <v>453</v>
      </c>
    </row>
    <row r="3917" spans="1:19" s="45" customFormat="1" ht="14.4" hidden="1">
      <c r="A3917" s="53">
        <f>IF(C3917="","",MAX($A$1:A3916)+1)</f>
        <v>3586</v>
      </c>
      <c r="B3917" s="54" t="s">
        <v>141</v>
      </c>
      <c r="C3917" s="55">
        <v>46112</v>
      </c>
      <c r="D3917" s="48" t="str">
        <f>_xlfn.XLOOKUP(Table134526_79101120212223242526[[#This Row],[Name Surname]],Manpower!$C$4:$C$1048576,Manpower!$B$4:$B$1048576,"")</f>
        <v>Encogroup</v>
      </c>
      <c r="E3917" s="43" t="s">
        <v>237</v>
      </c>
      <c r="F3917" s="12">
        <f>_xlfn.XLOOKUP(Table134526_79101120212223242526[[#This Row],[Name Surname]],Manpower!C:C,Manpower!D:D,)</f>
        <v>75199413</v>
      </c>
      <c r="G3917" s="48" t="str">
        <f>_xlfn.XLOOKUP(Table134526_79101120212223242526[[#This Row],[Name Surname]],Manpower!$C$4:$C$1048576,Manpower!$F$4:$F$1048576,"")</f>
        <v>Mechanic</v>
      </c>
      <c r="H3917" s="48" t="str">
        <f>_xlfn.XLOOKUP(Table134526_79101120212223242526[[#This Row],[Name Surname]],Manpower!$C$4:$C$1048576,Manpower!$H$4:$H$1048576,"")</f>
        <v>Manpower</v>
      </c>
      <c r="I3917" s="48" t="str">
        <f>_xlfn.XLOOKUP(Table134526_79101120212223242526[[#This Row],[Name Surname]],Manpower!$C$4:$C$1048576,Manpower!$H$4:$H$1048576,"")</f>
        <v>Manpower</v>
      </c>
      <c r="J3917" s="43" t="s">
        <v>135</v>
      </c>
      <c r="K3917" s="43" t="s">
        <v>26</v>
      </c>
      <c r="L3917" s="51" t="s">
        <v>435</v>
      </c>
      <c r="M3917" s="51" t="s">
        <v>24</v>
      </c>
      <c r="N3917" s="52">
        <v>10</v>
      </c>
      <c r="O3917" s="43" t="s">
        <v>236</v>
      </c>
      <c r="P3917" s="43" t="s">
        <v>236</v>
      </c>
      <c r="Q3917" s="43" t="s">
        <v>236</v>
      </c>
      <c r="R3917" s="43" t="s">
        <v>26</v>
      </c>
      <c r="S3917" s="43"/>
    </row>
    <row r="3918" spans="1:19" ht="14.4" hidden="1">
      <c r="A3918" s="38">
        <f>IF(C3918="","",MAX($A$1:A3916)+1)</f>
        <v>3586</v>
      </c>
      <c r="B3918" s="66" t="s">
        <v>141</v>
      </c>
      <c r="C3918" s="60">
        <v>46112</v>
      </c>
      <c r="D3918" s="61" t="str">
        <f>_xlfn.XLOOKUP(Table134526_79101120212223242526[[#This Row],[Name Surname]],Manpower!$C$4:$C$1048576,Manpower!$B$4:$B$1048576,"")</f>
        <v>Encogroup</v>
      </c>
      <c r="E3918" s="57" t="s">
        <v>238</v>
      </c>
      <c r="F3918" s="12">
        <f>_xlfn.XLOOKUP(Table134526_79101120212223242526[[#This Row],[Name Surname]],Manpower!C:C,Manpower!D:D,)</f>
        <v>19753414</v>
      </c>
      <c r="G3918" s="61" t="str">
        <f>_xlfn.XLOOKUP(Table134526_79101120212223242526[[#This Row],[Name Surname]],Manpower!$C$4:$C$1048576,Manpower!$F$4:$F$1048576,"")</f>
        <v>Bus Driver</v>
      </c>
      <c r="H3918" s="61" t="str">
        <f>_xlfn.XLOOKUP(Table134526_79101120212223242526[[#This Row],[Name Surname]],Manpower!$C$4:$C$1048576,Manpower!$H$4:$H$1048576,"")</f>
        <v>Manpower</v>
      </c>
      <c r="I3918" s="28" t="str">
        <f>_xlfn.XLOOKUP(Table134526_79101120212223242526[[#This Row],[Name Surname]],Manpower!$C$4:$C$1048576,Manpower!$H$4:$H$1048576,"")</f>
        <v>Manpower</v>
      </c>
      <c r="J3918" s="21" t="s">
        <v>143</v>
      </c>
      <c r="K3918" s="57" t="s">
        <v>26</v>
      </c>
      <c r="L3918" s="57" t="s">
        <v>435</v>
      </c>
      <c r="M3918" s="57" t="s">
        <v>24</v>
      </c>
      <c r="N3918" s="62">
        <v>10</v>
      </c>
      <c r="O3918" s="21" t="s">
        <v>40</v>
      </c>
      <c r="P3918" s="21" t="s">
        <v>42</v>
      </c>
      <c r="Q3918" s="21" t="s">
        <v>42</v>
      </c>
      <c r="R3918" s="57" t="s">
        <v>453</v>
      </c>
    </row>
    <row r="3919" spans="1:19" ht="14.4" hidden="1">
      <c r="A3919" s="38">
        <f>IF(C3919="","",MAX($A$1:A3918)+1)</f>
        <v>3587</v>
      </c>
      <c r="B3919" s="66" t="s">
        <v>141</v>
      </c>
      <c r="C3919" s="60">
        <v>46112</v>
      </c>
      <c r="D3919" s="61" t="str">
        <f>_xlfn.XLOOKUP(Table134526_79101120212223242526[[#This Row],[Name Surname]],Manpower!$C$4:$C$1048576,Manpower!$B$4:$B$1048576,"")</f>
        <v>Encogroup</v>
      </c>
      <c r="E3919" s="57" t="s">
        <v>187</v>
      </c>
      <c r="F3919" s="12">
        <f>_xlfn.XLOOKUP(Table134526_79101120212223242526[[#This Row],[Name Surname]],Manpower!C:C,Manpower!D:D,)</f>
        <v>140623599</v>
      </c>
      <c r="G3919" s="61" t="str">
        <f>_xlfn.XLOOKUP(Table134526_79101120212223242526[[#This Row],[Name Surname]],Manpower!$C$4:$C$1048576,Manpower!$F$4:$F$1048576,"")</f>
        <v>Mechanical Supervisor</v>
      </c>
      <c r="H3919" s="61" t="str">
        <f>_xlfn.XLOOKUP(Table134526_79101120212223242526[[#This Row],[Name Surname]],Manpower!$C$4:$C$1048576,Manpower!$H$4:$H$1048576,"")</f>
        <v>Manpower</v>
      </c>
      <c r="I3919" s="28" t="str">
        <f>_xlfn.XLOOKUP(Table134526_79101120212223242526[[#This Row],[Name Surname]],Manpower!$C$4:$C$1048576,Manpower!$H$4:$H$1048576,"")</f>
        <v>Manpower</v>
      </c>
      <c r="J3919" s="21" t="s">
        <v>143</v>
      </c>
      <c r="K3919" s="57" t="s">
        <v>26</v>
      </c>
      <c r="L3919" s="57" t="s">
        <v>435</v>
      </c>
      <c r="M3919" s="57" t="s">
        <v>24</v>
      </c>
      <c r="N3919" s="62">
        <v>10</v>
      </c>
      <c r="O3919" s="21" t="s">
        <v>40</v>
      </c>
      <c r="P3919" s="21" t="s">
        <v>42</v>
      </c>
      <c r="Q3919" s="21" t="s">
        <v>42</v>
      </c>
      <c r="R3919" s="57" t="s">
        <v>453</v>
      </c>
    </row>
    <row r="3920" spans="1:19" ht="14.4" hidden="1">
      <c r="A3920" s="38">
        <f>IF(C3920="","",MAX($A$1:A3919)+1)</f>
        <v>3588</v>
      </c>
      <c r="B3920" s="66" t="s">
        <v>141</v>
      </c>
      <c r="C3920" s="60">
        <v>46112</v>
      </c>
      <c r="D3920" s="61" t="str">
        <f>_xlfn.XLOOKUP(Table134526_79101120212223242526[[#This Row],[Name Surname]],Manpower!$C$4:$C$1048576,Manpower!$B$4:$B$1048576,"")</f>
        <v>Encogroup</v>
      </c>
      <c r="E3920" s="57" t="s">
        <v>189</v>
      </c>
      <c r="F3920" s="12">
        <f>_xlfn.XLOOKUP(Table134526_79101120212223242526[[#This Row],[Name Surname]],Manpower!C:C,Manpower!D:D,)</f>
        <v>121937785</v>
      </c>
      <c r="G3920" s="61" t="str">
        <f>_xlfn.XLOOKUP(Table134526_79101120212223242526[[#This Row],[Name Surname]],Manpower!$C$4:$C$1048576,Manpower!$F$4:$F$1048576,"")</f>
        <v>Scaffolding Inspector</v>
      </c>
      <c r="H3920" s="61" t="str">
        <f>_xlfn.XLOOKUP(Table134526_79101120212223242526[[#This Row],[Name Surname]],Manpower!$C$4:$C$1048576,Manpower!$H$4:$H$1048576,"")</f>
        <v>Manpower</v>
      </c>
      <c r="I3920" s="28" t="str">
        <f>_xlfn.XLOOKUP(Table134526_79101120212223242526[[#This Row],[Name Surname]],Manpower!$C$4:$C$1048576,Manpower!$H$4:$H$1048576,"")</f>
        <v>Manpower</v>
      </c>
      <c r="J3920" s="21" t="s">
        <v>143</v>
      </c>
      <c r="K3920" s="57" t="s">
        <v>26</v>
      </c>
      <c r="L3920" s="57" t="s">
        <v>435</v>
      </c>
      <c r="M3920" s="57" t="s">
        <v>24</v>
      </c>
      <c r="N3920" s="62">
        <v>10</v>
      </c>
      <c r="O3920" s="21" t="s">
        <v>40</v>
      </c>
      <c r="P3920" s="21" t="s">
        <v>42</v>
      </c>
      <c r="Q3920" s="21" t="s">
        <v>42</v>
      </c>
      <c r="R3920" s="57" t="s">
        <v>453</v>
      </c>
    </row>
    <row r="3921" spans="1:19" s="45" customFormat="1" ht="14.4" hidden="1">
      <c r="A3921" s="53">
        <f>IF(C3921="","",MAX($A$1:A3920)+1)</f>
        <v>3589</v>
      </c>
      <c r="B3921" s="54" t="s">
        <v>141</v>
      </c>
      <c r="C3921" s="55">
        <v>46112</v>
      </c>
      <c r="D3921" s="48" t="str">
        <f>_xlfn.XLOOKUP(Table134526_79101120212223242526[[#This Row],[Name Surname]],Manpower!$C$4:$C$1048576,Manpower!$B$4:$B$1048576,"")</f>
        <v xml:space="preserve">AL Omar International </v>
      </c>
      <c r="E3921" s="43" t="s">
        <v>190</v>
      </c>
      <c r="F3921" s="12">
        <f>_xlfn.XLOOKUP(Table134526_79101120212223242526[[#This Row],[Name Surname]],Manpower!C:C,Manpower!D:D,)</f>
        <v>85812175</v>
      </c>
      <c r="G3921" s="48" t="str">
        <f>_xlfn.XLOOKUP(Table134526_79101120212223242526[[#This Row],[Name Surname]],Manpower!$C$4:$C$1048576,Manpower!$F$4:$F$1048576,"")</f>
        <v>Scaffolding Supervisor</v>
      </c>
      <c r="H3921" s="48" t="str">
        <f>_xlfn.XLOOKUP(Table134526_79101120212223242526[[#This Row],[Name Surname]],Manpower!$C$4:$C$1048576,Manpower!$H$4:$H$1048576,"")</f>
        <v>Sub Contactor</v>
      </c>
      <c r="I3921" s="48" t="str">
        <f>_xlfn.XLOOKUP(Table134526_79101120212223242526[[#This Row],[Name Surname]],Manpower!$C$4:$C$1048576,Manpower!$H$4:$H$1048576,"")</f>
        <v>Sub Contactor</v>
      </c>
      <c r="J3921" s="43" t="s">
        <v>143</v>
      </c>
      <c r="K3921" s="51" t="s">
        <v>26</v>
      </c>
      <c r="L3921" s="51" t="s">
        <v>435</v>
      </c>
      <c r="M3921" s="51" t="s">
        <v>24</v>
      </c>
      <c r="N3921" s="52">
        <v>10</v>
      </c>
      <c r="O3921" s="43" t="s">
        <v>40</v>
      </c>
      <c r="P3921" s="43" t="s">
        <v>42</v>
      </c>
      <c r="Q3921" s="43" t="s">
        <v>42</v>
      </c>
      <c r="R3921" s="51" t="s">
        <v>453</v>
      </c>
      <c r="S3921" s="43"/>
    </row>
    <row r="3922" spans="1:19" ht="14.4" hidden="1">
      <c r="A3922" s="38">
        <f>IF(C3922="","",MAX($A$1:A3920)+1)</f>
        <v>3589</v>
      </c>
      <c r="B3922" s="66" t="s">
        <v>141</v>
      </c>
      <c r="C3922" s="60">
        <v>46112</v>
      </c>
      <c r="D3922" s="61" t="str">
        <f>_xlfn.XLOOKUP(Table134526_79101120212223242526[[#This Row],[Name Surname]],Manpower!$C$4:$C$1048576,Manpower!$B$4:$B$1048576,"")</f>
        <v>AL Omar International TRAD AND CONT</v>
      </c>
      <c r="E3922" s="57" t="s">
        <v>193</v>
      </c>
      <c r="F3922" s="12">
        <f>_xlfn.XLOOKUP(Table134526_79101120212223242526[[#This Row],[Name Surname]],Manpower!C:C,Manpower!D:D,)</f>
        <v>105813698</v>
      </c>
      <c r="G3922" s="61" t="str">
        <f>_xlfn.XLOOKUP(Table134526_79101120212223242526[[#This Row],[Name Surname]],Manpower!$C$4:$C$1048576,Manpower!$F$4:$F$1048576,"")</f>
        <v>Scaffolding Inspector</v>
      </c>
      <c r="H3922" s="61" t="str">
        <f>_xlfn.XLOOKUP(Table134526_79101120212223242526[[#This Row],[Name Surname]],Manpower!$C$4:$C$1048576,Manpower!$H$4:$H$1048576,"")</f>
        <v>Sub Contactor</v>
      </c>
      <c r="I3922" s="28" t="str">
        <f>_xlfn.XLOOKUP(Table134526_79101120212223242526[[#This Row],[Name Surname]],Manpower!$C$4:$C$1048576,Manpower!$H$4:$H$1048576,"")</f>
        <v>Sub Contactor</v>
      </c>
      <c r="J3922" s="21" t="s">
        <v>143</v>
      </c>
      <c r="K3922" s="57" t="s">
        <v>26</v>
      </c>
      <c r="L3922" s="57" t="s">
        <v>170</v>
      </c>
      <c r="M3922" s="57" t="s">
        <v>24</v>
      </c>
      <c r="N3922" s="62">
        <v>10</v>
      </c>
      <c r="O3922" s="57" t="s">
        <v>40</v>
      </c>
      <c r="P3922" s="57" t="s">
        <v>128</v>
      </c>
      <c r="Q3922" s="57" t="s">
        <v>128</v>
      </c>
      <c r="R3922" s="57" t="s">
        <v>26</v>
      </c>
    </row>
    <row r="3923" spans="1:19" s="45" customFormat="1" ht="14.4" hidden="1">
      <c r="A3923" s="53">
        <f>IF(C3923="","",MAX($A$1:A3922)+1)</f>
        <v>3590</v>
      </c>
      <c r="B3923" s="54" t="s">
        <v>141</v>
      </c>
      <c r="C3923" s="55">
        <v>46112</v>
      </c>
      <c r="D3923" s="68" t="str">
        <f>_xlfn.XLOOKUP(Table134526_79101120212223242526[[#This Row],[Name Surname]],Manpower!$C$4:$C$1048576,Manpower!$B$4:$B$1048576,"")</f>
        <v>AL Saif &amp; Al QALLM ENT LLC</v>
      </c>
      <c r="E3923" s="51" t="s">
        <v>194</v>
      </c>
      <c r="F3923" s="12">
        <f>_xlfn.XLOOKUP(Table134526_79101120212223242526[[#This Row],[Name Surname]],Manpower!C:C,Manpower!D:D,)</f>
        <v>135340657</v>
      </c>
      <c r="G3923" s="68" t="str">
        <f>_xlfn.XLOOKUP(Table134526_79101120212223242526[[#This Row],[Name Surname]],Manpower!$C$4:$C$1048576,Manpower!$F$4:$F$1048576,"")</f>
        <v>Forklift Operator</v>
      </c>
      <c r="H3923" s="68" t="str">
        <f>_xlfn.XLOOKUP(Table134526_79101120212223242526[[#This Row],[Name Surname]],Manpower!$C$4:$C$1048576,Manpower!$H$4:$H$1048576,"")</f>
        <v>Sub Contactor</v>
      </c>
      <c r="I3923" s="48" t="str">
        <f>_xlfn.XLOOKUP(Table134526_79101120212223242526[[#This Row],[Name Surname]],Manpower!$C$4:$C$1048576,Manpower!$H$4:$H$1048576,"")</f>
        <v>Sub Contactor</v>
      </c>
      <c r="J3923" s="43" t="s">
        <v>143</v>
      </c>
      <c r="K3923" s="51" t="s">
        <v>26</v>
      </c>
      <c r="L3923" s="51" t="s">
        <v>435</v>
      </c>
      <c r="M3923" s="51" t="s">
        <v>24</v>
      </c>
      <c r="N3923" s="52">
        <v>10</v>
      </c>
      <c r="O3923" s="51"/>
      <c r="P3923" s="51"/>
      <c r="Q3923" s="51"/>
      <c r="R3923" s="51" t="s">
        <v>453</v>
      </c>
      <c r="S3923" s="43"/>
    </row>
    <row r="3924" spans="1:19" s="45" customFormat="1" ht="14.4" hidden="1">
      <c r="A3924" s="53">
        <f>IF(C3924="","",MAX($A$1:A3923)+1)</f>
        <v>3591</v>
      </c>
      <c r="B3924" s="54" t="s">
        <v>141</v>
      </c>
      <c r="C3924" s="55">
        <v>46112</v>
      </c>
      <c r="D3924" s="68" t="str">
        <f>_xlfn.XLOOKUP(Table134526_79101120212223242526[[#This Row],[Name Surname]],Manpower!$C$4:$C$1048576,Manpower!$B$4:$B$1048576,"")</f>
        <v>Encogroup</v>
      </c>
      <c r="E3924" s="51" t="s">
        <v>196</v>
      </c>
      <c r="F3924" s="12">
        <f>_xlfn.XLOOKUP(Table134526_79101120212223242526[[#This Row],[Name Surname]],Manpower!C:C,Manpower!D:D,)</f>
        <v>140844586</v>
      </c>
      <c r="G3924" s="68" t="str">
        <f>_xlfn.XLOOKUP(Table134526_79101120212223242526[[#This Row],[Name Surname]],Manpower!$C$4:$C$1048576,Manpower!$F$4:$F$1048576,"")</f>
        <v>Assistant/Helper</v>
      </c>
      <c r="H3924" s="68" t="str">
        <f>_xlfn.XLOOKUP(Table134526_79101120212223242526[[#This Row],[Name Surname]],Manpower!$C$4:$C$1048576,Manpower!$H$4:$H$1048576,"")</f>
        <v>Manpower</v>
      </c>
      <c r="I3924" s="48" t="str">
        <f>_xlfn.XLOOKUP(Table134526_79101120212223242526[[#This Row],[Name Surname]],Manpower!$C$4:$C$1048576,Manpower!$H$4:$H$1048576,"")</f>
        <v>Manpower</v>
      </c>
      <c r="J3924" s="43" t="s">
        <v>143</v>
      </c>
      <c r="K3924" s="51" t="s">
        <v>26</v>
      </c>
      <c r="L3924" s="51" t="s">
        <v>170</v>
      </c>
      <c r="M3924" s="51" t="s">
        <v>24</v>
      </c>
      <c r="N3924" s="52">
        <v>10</v>
      </c>
      <c r="O3924" s="51" t="s">
        <v>40</v>
      </c>
      <c r="P3924" s="51" t="s">
        <v>128</v>
      </c>
      <c r="Q3924" s="51" t="s">
        <v>128</v>
      </c>
      <c r="R3924" s="51" t="s">
        <v>26</v>
      </c>
      <c r="S3924" s="43"/>
    </row>
    <row r="3925" spans="1:19" ht="14.4" hidden="1">
      <c r="A3925" s="38">
        <f>IF(C3925="","",MAX($A$1:A3924)+1)</f>
        <v>3592</v>
      </c>
      <c r="B3925" s="66" t="s">
        <v>141</v>
      </c>
      <c r="C3925" s="60">
        <v>46112</v>
      </c>
      <c r="D3925" s="61" t="str">
        <f>_xlfn.XLOOKUP(Table134526_79101120212223242526[[#This Row],[Name Surname]],Manpower!$C$4:$C$1048576,Manpower!$B$4:$B$1048576,"")</f>
        <v>AL Omar International Tarde&amp;Contracting SPC</v>
      </c>
      <c r="E3925" s="57" t="s">
        <v>221</v>
      </c>
      <c r="F3925" s="12">
        <f>_xlfn.XLOOKUP(Table134526_79101120212223242526[[#This Row],[Name Surname]],Manpower!C:C,Manpower!D:D,)</f>
        <v>115122635</v>
      </c>
      <c r="G3925" s="61" t="str">
        <f>_xlfn.XLOOKUP(Table134526_79101120212223242526[[#This Row],[Name Surname]],Manpower!$C$4:$C$1048576,Manpower!$F$4:$F$1048576,"")</f>
        <v>Scaffolder</v>
      </c>
      <c r="H3925" s="61" t="str">
        <f>_xlfn.XLOOKUP(Table134526_79101120212223242526[[#This Row],[Name Surname]],Manpower!$C$4:$C$1048576,Manpower!$H$4:$H$1048576,"")</f>
        <v>Sub Contactor</v>
      </c>
      <c r="I3925" s="28" t="str">
        <f>_xlfn.XLOOKUP(Table134526_79101120212223242526[[#This Row],[Name Surname]],Manpower!$C$4:$C$1048576,Manpower!$H$4:$H$1048576,"")</f>
        <v>Sub Contactor</v>
      </c>
      <c r="J3925" s="21" t="s">
        <v>143</v>
      </c>
      <c r="K3925" s="57" t="s">
        <v>26</v>
      </c>
      <c r="L3925" s="57" t="s">
        <v>170</v>
      </c>
      <c r="M3925" s="57" t="s">
        <v>24</v>
      </c>
      <c r="N3925" s="62">
        <v>10</v>
      </c>
      <c r="O3925" s="57" t="s">
        <v>40</v>
      </c>
      <c r="P3925" s="57" t="s">
        <v>128</v>
      </c>
      <c r="Q3925" s="57" t="s">
        <v>128</v>
      </c>
      <c r="R3925" s="57" t="s">
        <v>26</v>
      </c>
    </row>
    <row r="3926" spans="1:19" s="45" customFormat="1" ht="14.4" hidden="1">
      <c r="A3926" s="53">
        <f>IF(C3926="","",MAX($A$1:A3925)+1)</f>
        <v>3593</v>
      </c>
      <c r="B3926" s="54" t="s">
        <v>141</v>
      </c>
      <c r="C3926" s="55">
        <v>46112</v>
      </c>
      <c r="D3926" s="68" t="str">
        <f>_xlfn.XLOOKUP(Table134526_79101120212223242526[[#This Row],[Name Surname]],Manpower!$C$4:$C$1048576,Manpower!$B$4:$B$1048576,"")</f>
        <v>Encogroup</v>
      </c>
      <c r="E3926" s="51" t="s">
        <v>183</v>
      </c>
      <c r="F3926" s="12">
        <f>_xlfn.XLOOKUP(Table134526_79101120212223242526[[#This Row],[Name Surname]],Manpower!C:C,Manpower!D:D,)</f>
        <v>141359024</v>
      </c>
      <c r="G3926" s="68" t="str">
        <f>_xlfn.XLOOKUP(Table134526_79101120212223242526[[#This Row],[Name Surname]],Manpower!$C$4:$C$1048576,Manpower!$F$4:$F$1048576,"")</f>
        <v>Hydraulic Mechanic</v>
      </c>
      <c r="H3926" s="68" t="str">
        <f>_xlfn.XLOOKUP(Table134526_79101120212223242526[[#This Row],[Name Surname]],Manpower!$C$4:$C$1048576,Manpower!$H$4:$H$1048576,"")</f>
        <v>Manpower</v>
      </c>
      <c r="I3926" s="48" t="str">
        <f>_xlfn.XLOOKUP(Table134526_79101120212223242526[[#This Row],[Name Surname]],Manpower!$C$4:$C$1048576,Manpower!$H$4:$H$1048576,"")</f>
        <v>Manpower</v>
      </c>
      <c r="J3926" s="43" t="s">
        <v>143</v>
      </c>
      <c r="K3926" s="51" t="s">
        <v>26</v>
      </c>
      <c r="L3926" s="51" t="s">
        <v>170</v>
      </c>
      <c r="M3926" s="51" t="s">
        <v>24</v>
      </c>
      <c r="N3926" s="52">
        <v>10</v>
      </c>
      <c r="O3926" s="51" t="s">
        <v>40</v>
      </c>
      <c r="P3926" s="51" t="s">
        <v>128</v>
      </c>
      <c r="Q3926" s="51" t="s">
        <v>128</v>
      </c>
      <c r="R3926" s="51" t="s">
        <v>26</v>
      </c>
      <c r="S3926" s="43"/>
    </row>
    <row r="3927" spans="1:19" ht="14.4">
      <c r="A3927" s="38">
        <f>IF(C3927="","",MAX($A$1:A3926)+1)</f>
        <v>3594</v>
      </c>
      <c r="B3927" s="66" t="s">
        <v>141</v>
      </c>
      <c r="C3927" s="60">
        <v>46112</v>
      </c>
      <c r="D3927" s="61" t="str">
        <f>_xlfn.XLOOKUP(Table134526_79101120212223242526[[#This Row],[Name Surname]],Manpower!$C$4:$C$1048576,Manpower!$B$4:$B$1048576,"")</f>
        <v>Al Asrah Al Mumayaza Trad</v>
      </c>
      <c r="E3927" s="57" t="s">
        <v>198</v>
      </c>
      <c r="F3927" s="12" t="e">
        <f>_xlfn.XLOOKUP(Table134526_79101120212223242526[[#This Row],[Name Surname]],Manpower!C:C,Manpower!D:D,)</f>
        <v>#N/A</v>
      </c>
      <c r="G3927" s="61" t="str">
        <f>_xlfn.XLOOKUP(Table134526_79101120212223242526[[#This Row],[Name Surname]],Manpower!$C$4:$C$1048576,Manpower!$F$4:$F$1048576,"")</f>
        <v>PICK-UP</v>
      </c>
      <c r="H3927" s="61" t="str">
        <f>_xlfn.XLOOKUP(Table134526_79101120212223242526[[#This Row],[Name Surname]],Manpower!$C$4:$C$1048576,Manpower!$H$4:$H$1048576,"")</f>
        <v>Equipment</v>
      </c>
      <c r="I3927" s="28" t="str">
        <f>_xlfn.XLOOKUP(Table134526_79101120212223242526[[#This Row],[Name Surname]],Manpower!$C$4:$C$1048576,Manpower!$H$4:$H$1048576,"")</f>
        <v>Equipment</v>
      </c>
      <c r="J3927" s="21" t="s">
        <v>143</v>
      </c>
      <c r="K3927" s="57" t="s">
        <v>26</v>
      </c>
      <c r="L3927" s="57" t="s">
        <v>435</v>
      </c>
      <c r="M3927" s="57" t="s">
        <v>24</v>
      </c>
      <c r="N3927" s="62">
        <v>10</v>
      </c>
      <c r="O3927" s="57"/>
      <c r="P3927" s="57"/>
      <c r="Q3927" s="57"/>
      <c r="R3927" s="57" t="s">
        <v>453</v>
      </c>
    </row>
    <row r="3928" spans="1:19" ht="14.4">
      <c r="A3928" s="38">
        <f>IF(C3928="","",MAX($A$1:A3927)+1)</f>
        <v>3595</v>
      </c>
      <c r="B3928" s="66" t="s">
        <v>141</v>
      </c>
      <c r="C3928" s="60">
        <v>46112</v>
      </c>
      <c r="D3928" s="61" t="str">
        <f>_xlfn.XLOOKUP(Table134526_79101120212223242526[[#This Row],[Name Surname]],Manpower!$C$4:$C$1048576,Manpower!$B$4:$B$1048576,"")</f>
        <v>Al Asrah Al Mumayaza Trad</v>
      </c>
      <c r="E3928" s="57" t="s">
        <v>199</v>
      </c>
      <c r="F3928" s="12" t="e">
        <f>_xlfn.XLOOKUP(Table134526_79101120212223242526[[#This Row],[Name Surname]],Manpower!C:C,Manpower!D:D,)</f>
        <v>#N/A</v>
      </c>
      <c r="G3928" s="61" t="str">
        <f>_xlfn.XLOOKUP(Table134526_79101120212223242526[[#This Row],[Name Surname]],Manpower!$C$4:$C$1048576,Manpower!$F$4:$F$1048576,"")</f>
        <v>PICK-UP</v>
      </c>
      <c r="H3928" s="61" t="str">
        <f>_xlfn.XLOOKUP(Table134526_79101120212223242526[[#This Row],[Name Surname]],Manpower!$C$4:$C$1048576,Manpower!$H$4:$H$1048576,"")</f>
        <v>Equipment</v>
      </c>
      <c r="I3928" s="28" t="str">
        <f>_xlfn.XLOOKUP(Table134526_79101120212223242526[[#This Row],[Name Surname]],Manpower!$C$4:$C$1048576,Manpower!$H$4:$H$1048576,"")</f>
        <v>Equipment</v>
      </c>
      <c r="J3928" s="21" t="s">
        <v>143</v>
      </c>
      <c r="K3928" s="57" t="s">
        <v>26</v>
      </c>
      <c r="L3928" s="57" t="s">
        <v>435</v>
      </c>
      <c r="M3928" s="57" t="s">
        <v>24</v>
      </c>
      <c r="N3928" s="62">
        <v>10</v>
      </c>
      <c r="O3928" s="57"/>
      <c r="P3928" s="57"/>
      <c r="Q3928" s="57"/>
      <c r="R3928" s="57" t="s">
        <v>453</v>
      </c>
    </row>
    <row r="3929" spans="1:19" ht="14.4">
      <c r="A3929" s="38">
        <f>IF(C3929="","",MAX($A$1:A3928)+1)</f>
        <v>3596</v>
      </c>
      <c r="B3929" s="66" t="s">
        <v>141</v>
      </c>
      <c r="C3929" s="60">
        <v>46112</v>
      </c>
      <c r="D3929" s="61" t="str">
        <f>_xlfn.XLOOKUP(Table134526_79101120212223242526[[#This Row],[Name Surname]],Manpower!$C$4:$C$1048576,Manpower!$B$4:$B$1048576,"")</f>
        <v>Al Asrah Al Mumayaza Trad</v>
      </c>
      <c r="E3929" s="57" t="s">
        <v>200</v>
      </c>
      <c r="F3929" s="12" t="e">
        <f>_xlfn.XLOOKUP(Table134526_79101120212223242526[[#This Row],[Name Surname]],Manpower!C:C,Manpower!D:D,)</f>
        <v>#N/A</v>
      </c>
      <c r="G3929" s="61" t="str">
        <f>_xlfn.XLOOKUP(Table134526_79101120212223242526[[#This Row],[Name Surname]],Manpower!$C$4:$C$1048576,Manpower!$F$4:$F$1048576,"")</f>
        <v>PICK-UP</v>
      </c>
      <c r="H3929" s="61" t="str">
        <f>_xlfn.XLOOKUP(Table134526_79101120212223242526[[#This Row],[Name Surname]],Manpower!$C$4:$C$1048576,Manpower!$H$4:$H$1048576,"")</f>
        <v>Equipment</v>
      </c>
      <c r="I3929" s="28" t="str">
        <f>_xlfn.XLOOKUP(Table134526_79101120212223242526[[#This Row],[Name Surname]],Manpower!$C$4:$C$1048576,Manpower!$H$4:$H$1048576,"")</f>
        <v>Equipment</v>
      </c>
      <c r="J3929" s="21" t="s">
        <v>143</v>
      </c>
      <c r="K3929" s="57" t="s">
        <v>26</v>
      </c>
      <c r="L3929" s="57" t="s">
        <v>435</v>
      </c>
      <c r="M3929" s="57" t="s">
        <v>24</v>
      </c>
      <c r="N3929" s="62">
        <v>10</v>
      </c>
      <c r="O3929" s="57"/>
      <c r="P3929" s="57"/>
      <c r="Q3929" s="57"/>
      <c r="R3929" s="57" t="s">
        <v>453</v>
      </c>
    </row>
    <row r="3930" spans="1:19" ht="14.4">
      <c r="A3930" s="38">
        <f>IF(C3930="","",MAX($A$1:A3929)+1)</f>
        <v>3597</v>
      </c>
      <c r="B3930" s="66" t="s">
        <v>141</v>
      </c>
      <c r="C3930" s="60">
        <v>46112</v>
      </c>
      <c r="D3930" s="61" t="str">
        <f>_xlfn.XLOOKUP(Table134526_79101120212223242526[[#This Row],[Name Surname]],Manpower!$C$4:$C$1048576,Manpower!$B$4:$B$1048576,"")</f>
        <v>Al Asrah Al Mumayaza Trad</v>
      </c>
      <c r="E3930" s="57" t="s">
        <v>201</v>
      </c>
      <c r="F3930" s="12" t="e">
        <f>_xlfn.XLOOKUP(Table134526_79101120212223242526[[#This Row],[Name Surname]],Manpower!C:C,Manpower!D:D,)</f>
        <v>#N/A</v>
      </c>
      <c r="G3930" s="61" t="str">
        <f>_xlfn.XLOOKUP(Table134526_79101120212223242526[[#This Row],[Name Surname]],Manpower!$C$4:$C$1048576,Manpower!$F$4:$F$1048576,"")</f>
        <v>PICK-UP</v>
      </c>
      <c r="H3930" s="61" t="str">
        <f>_xlfn.XLOOKUP(Table134526_79101120212223242526[[#This Row],[Name Surname]],Manpower!$C$4:$C$1048576,Manpower!$H$4:$H$1048576,"")</f>
        <v>Equipment</v>
      </c>
      <c r="I3930" s="28" t="str">
        <f>_xlfn.XLOOKUP(Table134526_79101120212223242526[[#This Row],[Name Surname]],Manpower!$C$4:$C$1048576,Manpower!$H$4:$H$1048576,"")</f>
        <v>Equipment</v>
      </c>
      <c r="J3930" s="21" t="s">
        <v>143</v>
      </c>
      <c r="K3930" s="57" t="s">
        <v>26</v>
      </c>
      <c r="L3930" s="57" t="s">
        <v>435</v>
      </c>
      <c r="M3930" s="57" t="s">
        <v>24</v>
      </c>
      <c r="N3930" s="62">
        <v>10</v>
      </c>
      <c r="O3930" s="57"/>
      <c r="P3930" s="57"/>
      <c r="Q3930" s="57"/>
      <c r="R3930" s="57" t="s">
        <v>453</v>
      </c>
    </row>
    <row r="3931" spans="1:19" s="45" customFormat="1" ht="14.4" hidden="1">
      <c r="A3931" s="53">
        <f>IF(C3931="","",MAX($A$1:A3930)+1)</f>
        <v>3598</v>
      </c>
      <c r="B3931" s="54" t="s">
        <v>141</v>
      </c>
      <c r="C3931" s="55">
        <v>46112</v>
      </c>
      <c r="D3931" s="68" t="str">
        <f>_xlfn.XLOOKUP(Table134526_79101120212223242526[[#This Row],[Name Surname]],Manpower!$C$4:$C$1048576,Manpower!$B$4:$B$1048576,"")</f>
        <v>Encogroup</v>
      </c>
      <c r="E3931" s="51" t="s">
        <v>202</v>
      </c>
      <c r="F3931" s="12">
        <f>_xlfn.XLOOKUP(Table134526_79101120212223242526[[#This Row],[Name Surname]],Manpower!C:C,Manpower!D:D,)</f>
        <v>140805592</v>
      </c>
      <c r="G3931" s="68" t="str">
        <f>_xlfn.XLOOKUP(Table134526_79101120212223242526[[#This Row],[Name Surname]],Manpower!$C$4:$C$1048576,Manpower!$F$4:$F$1048576,"")</f>
        <v>Assistant/Helper</v>
      </c>
      <c r="H3931" s="68" t="str">
        <f>_xlfn.XLOOKUP(Table134526_79101120212223242526[[#This Row],[Name Surname]],Manpower!$C$4:$C$1048576,Manpower!$H$4:$H$1048576,"")</f>
        <v>Manpower</v>
      </c>
      <c r="I3931" s="48" t="str">
        <f>_xlfn.XLOOKUP(Table134526_79101120212223242526[[#This Row],[Name Surname]],Manpower!$C$4:$C$1048576,Manpower!$H$4:$H$1048576,"")</f>
        <v>Manpower</v>
      </c>
      <c r="J3931" s="43" t="s">
        <v>143</v>
      </c>
      <c r="K3931" s="51" t="s">
        <v>26</v>
      </c>
      <c r="L3931" s="51" t="s">
        <v>435</v>
      </c>
      <c r="M3931" s="51" t="s">
        <v>24</v>
      </c>
      <c r="N3931" s="52">
        <v>10</v>
      </c>
      <c r="O3931" s="43" t="s">
        <v>40</v>
      </c>
      <c r="P3931" s="43" t="s">
        <v>42</v>
      </c>
      <c r="Q3931" s="43" t="s">
        <v>42</v>
      </c>
      <c r="R3931" s="51" t="s">
        <v>453</v>
      </c>
      <c r="S3931" s="43"/>
    </row>
    <row r="3932" spans="1:19" s="45" customFormat="1" ht="14.4" hidden="1">
      <c r="A3932" s="53">
        <f>IF(C3932="","",MAX($A$1:A3931)+1)</f>
        <v>3599</v>
      </c>
      <c r="B3932" s="54" t="s">
        <v>141</v>
      </c>
      <c r="C3932" s="55">
        <v>46112</v>
      </c>
      <c r="D3932" s="68" t="str">
        <f>_xlfn.XLOOKUP(Table134526_79101120212223242526[[#This Row],[Name Surname]],Manpower!$C$4:$C$1048576,Manpower!$B$4:$B$1048576,"")</f>
        <v>Encogroup</v>
      </c>
      <c r="E3932" s="51" t="s">
        <v>203</v>
      </c>
      <c r="F3932" s="12">
        <f>_xlfn.XLOOKUP(Table134526_79101120212223242526[[#This Row],[Name Surname]],Manpower!C:C,Manpower!D:D,)</f>
        <v>140683371</v>
      </c>
      <c r="G3932" s="68" t="str">
        <f>_xlfn.XLOOKUP(Table134526_79101120212223242526[[#This Row],[Name Surname]],Manpower!$C$4:$C$1048576,Manpower!$F$4:$F$1048576,"")</f>
        <v>Rigger</v>
      </c>
      <c r="H3932" s="68" t="str">
        <f>_xlfn.XLOOKUP(Table134526_79101120212223242526[[#This Row],[Name Surname]],Manpower!$C$4:$C$1048576,Manpower!$H$4:$H$1048576,"")</f>
        <v>Manpower</v>
      </c>
      <c r="I3932" s="48" t="str">
        <f>_xlfn.XLOOKUP(Table134526_79101120212223242526[[#This Row],[Name Surname]],Manpower!$C$4:$C$1048576,Manpower!$H$4:$H$1048576,"")</f>
        <v>Manpower</v>
      </c>
      <c r="J3932" s="43" t="s">
        <v>143</v>
      </c>
      <c r="K3932" s="51" t="s">
        <v>26</v>
      </c>
      <c r="L3932" s="51" t="s">
        <v>435</v>
      </c>
      <c r="M3932" s="51" t="s">
        <v>24</v>
      </c>
      <c r="N3932" s="52">
        <v>10</v>
      </c>
      <c r="O3932" s="43" t="s">
        <v>40</v>
      </c>
      <c r="P3932" s="43" t="s">
        <v>42</v>
      </c>
      <c r="Q3932" s="43" t="s">
        <v>42</v>
      </c>
      <c r="R3932" s="51" t="s">
        <v>453</v>
      </c>
      <c r="S3932" s="43"/>
    </row>
    <row r="3933" spans="1:19" s="45" customFormat="1" ht="14.4" hidden="1">
      <c r="A3933" s="53">
        <f>IF(C3933="","",MAX($A$1:A3932)+1)</f>
        <v>3600</v>
      </c>
      <c r="B3933" s="54" t="s">
        <v>141</v>
      </c>
      <c r="C3933" s="55">
        <v>46112</v>
      </c>
      <c r="D3933" s="48" t="str">
        <f>_xlfn.XLOOKUP(Table134526_79101120212223242526[[#This Row],[Name Surname]],Manpower!$C$4:$C$1048576,Manpower!$B$4:$B$1048576,"")</f>
        <v>AL Omar International TRAD AND CONT</v>
      </c>
      <c r="E3933" s="43" t="s">
        <v>197</v>
      </c>
      <c r="F3933" s="12">
        <f>_xlfn.XLOOKUP(Table134526_79101120212223242526[[#This Row],[Name Surname]],Manpower!C:C,Manpower!D:D,)</f>
        <v>106093463</v>
      </c>
      <c r="G3933" s="48" t="str">
        <f>_xlfn.XLOOKUP(Table134526_79101120212223242526[[#This Row],[Name Surname]],Manpower!$C$4:$C$1048576,Manpower!$F$4:$F$1048576,"")</f>
        <v>RIgger</v>
      </c>
      <c r="H3933" s="48" t="str">
        <f>_xlfn.XLOOKUP(Table134526_79101120212223242526[[#This Row],[Name Surname]],Manpower!$C$4:$C$1048576,Manpower!$H$4:$H$1048576,"")</f>
        <v>Sub Contactor</v>
      </c>
      <c r="I3933" s="48" t="str">
        <f>_xlfn.XLOOKUP(Table134526_79101120212223242526[[#This Row],[Name Surname]],Manpower!$C$4:$C$1048576,Manpower!$H$4:$H$1048576,"")</f>
        <v>Sub Contactor</v>
      </c>
      <c r="J3933" s="43" t="s">
        <v>143</v>
      </c>
      <c r="K3933" s="51" t="s">
        <v>26</v>
      </c>
      <c r="L3933" s="51" t="s">
        <v>435</v>
      </c>
      <c r="M3933" s="51" t="s">
        <v>24</v>
      </c>
      <c r="N3933" s="52">
        <v>5</v>
      </c>
      <c r="O3933" s="43" t="s">
        <v>40</v>
      </c>
      <c r="P3933" s="43" t="s">
        <v>42</v>
      </c>
      <c r="Q3933" s="43" t="s">
        <v>42</v>
      </c>
      <c r="R3933" s="51" t="s">
        <v>454</v>
      </c>
      <c r="S3933" s="43"/>
    </row>
    <row r="3934" spans="1:19" s="45" customFormat="1" ht="14.4" hidden="1">
      <c r="A3934" s="53">
        <f>IF(C3934="","",MAX($A$1:A3933)+1)</f>
        <v>3601</v>
      </c>
      <c r="B3934" s="54" t="s">
        <v>141</v>
      </c>
      <c r="C3934" s="55">
        <v>46112</v>
      </c>
      <c r="D3934" s="48" t="str">
        <f>_xlfn.XLOOKUP(Table134526_79101120212223242526[[#This Row],[Name Surname]],Manpower!$C$4:$C$1048576,Manpower!$B$4:$B$1048576,"")</f>
        <v>Al Jaber Heavy Lift</v>
      </c>
      <c r="E3934" s="43" t="s">
        <v>310</v>
      </c>
      <c r="F3934" s="12">
        <f>_xlfn.XLOOKUP(Table134526_79101120212223242526[[#This Row],[Name Surname]],Manpower!C:C,Manpower!D:D,)</f>
        <v>113787454</v>
      </c>
      <c r="G3934" s="48" t="str">
        <f>_xlfn.XLOOKUP(Table134526_79101120212223242526[[#This Row],[Name Surname]],Manpower!$C$4:$C$1048576,Manpower!$F$4:$F$1048576,"")</f>
        <v>Crane Operator- 70T Crawler Crane- 02</v>
      </c>
      <c r="H3934" s="48" t="str">
        <f>_xlfn.XLOOKUP(Table134526_79101120212223242526[[#This Row],[Name Surname]],Manpower!$C$4:$C$1048576,Manpower!$H$4:$H$1048576,"")</f>
        <v>Manpower</v>
      </c>
      <c r="I3934" s="48" t="str">
        <f>_xlfn.XLOOKUP(Table134526_79101120212223242526[[#This Row],[Name Surname]],Manpower!$C$4:$C$1048576,Manpower!$H$4:$H$1048576,"")</f>
        <v>Manpower</v>
      </c>
      <c r="J3934" s="43" t="s">
        <v>143</v>
      </c>
      <c r="K3934" s="51" t="s">
        <v>26</v>
      </c>
      <c r="L3934" s="51" t="s">
        <v>435</v>
      </c>
      <c r="M3934" s="51" t="s">
        <v>24</v>
      </c>
      <c r="N3934" s="52">
        <v>10</v>
      </c>
      <c r="O3934" s="43" t="s">
        <v>40</v>
      </c>
      <c r="P3934" s="43" t="s">
        <v>42</v>
      </c>
      <c r="Q3934" s="43" t="s">
        <v>42</v>
      </c>
      <c r="R3934" s="51" t="s">
        <v>454</v>
      </c>
      <c r="S3934" s="43"/>
    </row>
    <row r="3935" spans="1:19" s="45" customFormat="1" ht="14.4" hidden="1">
      <c r="A3935" s="53">
        <f>IF(C3935="","",MAX($A$1:A3934)+1)</f>
        <v>3602</v>
      </c>
      <c r="B3935" s="54" t="s">
        <v>141</v>
      </c>
      <c r="C3935" s="55">
        <v>46112</v>
      </c>
      <c r="D3935" s="48" t="str">
        <f>_xlfn.XLOOKUP(Table134526_79101120212223242526[[#This Row],[Name Surname]],Manpower!$C$4:$C$1048576,Manpower!$B$4:$B$1048576,"")</f>
        <v>Al Jaber Heavy Lift</v>
      </c>
      <c r="E3935" s="43" t="s">
        <v>276</v>
      </c>
      <c r="F3935" s="12" t="str">
        <f>_xlfn.XLOOKUP(Table134526_79101120212223242526[[#This Row],[Name Surname]],Manpower!C:C,Manpower!D:D,)</f>
        <v>102607563</v>
      </c>
      <c r="G3935" s="48" t="str">
        <f>_xlfn.XLOOKUP(Table134526_79101120212223242526[[#This Row],[Name Surname]],Manpower!$C$4:$C$1048576,Manpower!$F$4:$F$1048576,"")</f>
        <v>Technician</v>
      </c>
      <c r="H3935" s="48" t="str">
        <f>_xlfn.XLOOKUP(Table134526_79101120212223242526[[#This Row],[Name Surname]],Manpower!$C$4:$C$1048576,Manpower!$H$4:$H$1048576,"")</f>
        <v>Manpower</v>
      </c>
      <c r="I3935" s="48" t="str">
        <f>_xlfn.XLOOKUP(Table134526_79101120212223242526[[#This Row],[Name Surname]],Manpower!$C$4:$C$1048576,Manpower!$H$4:$H$1048576,"")</f>
        <v>Manpower</v>
      </c>
      <c r="J3935" s="43" t="s">
        <v>143</v>
      </c>
      <c r="K3935" s="51" t="s">
        <v>26</v>
      </c>
      <c r="L3935" s="51" t="s">
        <v>435</v>
      </c>
      <c r="M3935" s="51" t="s">
        <v>24</v>
      </c>
      <c r="N3935" s="52">
        <v>10</v>
      </c>
      <c r="O3935" s="43" t="s">
        <v>40</v>
      </c>
      <c r="P3935" s="43" t="s">
        <v>42</v>
      </c>
      <c r="Q3935" s="43" t="s">
        <v>42</v>
      </c>
      <c r="R3935" s="51" t="s">
        <v>454</v>
      </c>
      <c r="S3935" s="43"/>
    </row>
    <row r="3936" spans="1:19" s="45" customFormat="1" ht="14.4" hidden="1">
      <c r="A3936" s="53">
        <f>IF(C3936="","",MAX($A$1:A3935)+1)</f>
        <v>3603</v>
      </c>
      <c r="B3936" s="54" t="s">
        <v>141</v>
      </c>
      <c r="C3936" s="55">
        <v>46112</v>
      </c>
      <c r="D3936" s="48" t="str">
        <f>_xlfn.XLOOKUP(Table134526_79101120212223242526[[#This Row],[Name Surname]],Manpower!$C$4:$C$1048576,Manpower!$B$4:$B$1048576,"")</f>
        <v>Bright Light</v>
      </c>
      <c r="E3936" s="43" t="s">
        <v>165</v>
      </c>
      <c r="F3936" s="12">
        <f>_xlfn.XLOOKUP(Table134526_79101120212223242526[[#This Row],[Name Surname]],Manpower!C:C,Manpower!D:D,)</f>
        <v>122771611</v>
      </c>
      <c r="G3936" s="48" t="str">
        <f>_xlfn.XLOOKUP(Table134526_79101120212223242526[[#This Row],[Name Surname]],Manpower!$C$4:$C$1048576,Manpower!$F$4:$F$1048576,"")</f>
        <v>Mechanic</v>
      </c>
      <c r="H3936" s="48" t="str">
        <f>_xlfn.XLOOKUP(Table134526_79101120212223242526[[#This Row],[Name Surname]],Manpower!$C$4:$C$1048576,Manpower!$H$4:$H$1048576,"")</f>
        <v>Sub Contactor</v>
      </c>
      <c r="I3936" s="48" t="str">
        <f>_xlfn.XLOOKUP(Table134526_79101120212223242526[[#This Row],[Name Surname]],Manpower!$C$4:$C$1048576,Manpower!$H$4:$H$1048576,"")</f>
        <v>Sub Contactor</v>
      </c>
      <c r="J3936" s="43" t="s">
        <v>143</v>
      </c>
      <c r="K3936" s="51" t="s">
        <v>26</v>
      </c>
      <c r="L3936" s="51" t="s">
        <v>435</v>
      </c>
      <c r="M3936" s="51" t="s">
        <v>24</v>
      </c>
      <c r="N3936" s="52">
        <v>10</v>
      </c>
      <c r="O3936" s="43" t="s">
        <v>40</v>
      </c>
      <c r="P3936" s="43" t="s">
        <v>42</v>
      </c>
      <c r="Q3936" s="43" t="s">
        <v>42</v>
      </c>
      <c r="R3936" s="51" t="s">
        <v>454</v>
      </c>
      <c r="S3936" s="43"/>
    </row>
    <row r="3937" spans="1:19" s="45" customFormat="1" ht="16.2" hidden="1" customHeight="1">
      <c r="A3937" s="53">
        <f>IF(C3937="","",MAX($A$1:A3933)+1)</f>
        <v>3601</v>
      </c>
      <c r="B3937" s="54" t="s">
        <v>141</v>
      </c>
      <c r="C3937" s="55">
        <v>46112</v>
      </c>
      <c r="D3937" s="48" t="str">
        <f>_xlfn.XLOOKUP(Table134526_79101120212223242526[[#This Row],[Name Surname]],Manpower!$C$4:$C$1048576,Manpower!$B$4:$B$1048576,"")</f>
        <v>Bright Light</v>
      </c>
      <c r="E3937" s="43" t="s">
        <v>263</v>
      </c>
      <c r="F3937" s="12">
        <f>_xlfn.XLOOKUP(Table134526_79101120212223242526[[#This Row],[Name Surname]],Manpower!C:C,Manpower!D:D,)</f>
        <v>125287583</v>
      </c>
      <c r="G3937" s="48" t="str">
        <f>_xlfn.XLOOKUP(Table134526_79101120212223242526[[#This Row],[Name Surname]],Manpower!$C$4:$C$1048576,Manpower!$F$4:$F$1048576,"")</f>
        <v>Mechanic</v>
      </c>
      <c r="H3937" s="48" t="str">
        <f>_xlfn.XLOOKUP(Table134526_79101120212223242526[[#This Row],[Name Surname]],Manpower!$C$4:$C$1048576,Manpower!$H$4:$H$1048576,"")</f>
        <v>Sub Contactor</v>
      </c>
      <c r="I3937" s="48" t="str">
        <f>_xlfn.XLOOKUP(Table134526_79101120212223242526[[#This Row],[Name Surname]],Manpower!$C$4:$C$1048576,Manpower!$H$4:$H$1048576,"")</f>
        <v>Sub Contactor</v>
      </c>
      <c r="J3937" s="43" t="s">
        <v>143</v>
      </c>
      <c r="K3937" s="51" t="s">
        <v>26</v>
      </c>
      <c r="L3937" s="51" t="s">
        <v>435</v>
      </c>
      <c r="M3937" s="51" t="s">
        <v>24</v>
      </c>
      <c r="N3937" s="52">
        <v>10</v>
      </c>
      <c r="O3937" s="43" t="s">
        <v>40</v>
      </c>
      <c r="P3937" s="43" t="s">
        <v>42</v>
      </c>
      <c r="Q3937" s="43" t="s">
        <v>42</v>
      </c>
      <c r="R3937" s="51" t="s">
        <v>454</v>
      </c>
      <c r="S3937" s="43"/>
    </row>
    <row r="3938" spans="1:19" s="45" customFormat="1" ht="14.4" hidden="1">
      <c r="A3938" s="53">
        <f>IF(C3938="","",MAX($A$1:A3933)+1)</f>
        <v>3601</v>
      </c>
      <c r="B3938" s="54" t="s">
        <v>141</v>
      </c>
      <c r="C3938" s="55">
        <v>46112</v>
      </c>
      <c r="D3938" s="48" t="str">
        <f>_xlfn.XLOOKUP(Table134526_79101120212223242526[[#This Row],[Name Surname]],Manpower!$C$4:$C$1048576,Manpower!$B$4:$B$1048576,"")</f>
        <v>Al Jaber Heavy Lift</v>
      </c>
      <c r="E3938" s="43" t="s">
        <v>361</v>
      </c>
      <c r="F3938" s="12" t="e">
        <f>_xlfn.XLOOKUP(Table134526_79101120212223242526[[#This Row],[Name Surname]],Manpower!C:C,Manpower!D:D,)</f>
        <v>#N/A</v>
      </c>
      <c r="G3938" s="48" t="str">
        <f>_xlfn.XLOOKUP(Table134526_79101120212223242526[[#This Row],[Name Surname]],Manpower!$C$4:$C$1048576,Manpower!$F$4:$F$1048576,"")</f>
        <v>Technician</v>
      </c>
      <c r="H3938" s="48" t="str">
        <f>_xlfn.XLOOKUP(Table134526_79101120212223242526[[#This Row],[Name Surname]],Manpower!$C$4:$C$1048576,Manpower!$H$4:$H$1048576,"")</f>
        <v>Manpower</v>
      </c>
      <c r="I3938" s="48" t="str">
        <f>_xlfn.XLOOKUP(Table134526_79101120212223242526[[#This Row],[Name Surname]],Manpower!$C$4:$C$1048576,Manpower!$H$4:$H$1048576,"")</f>
        <v>Manpower</v>
      </c>
      <c r="J3938" s="43" t="s">
        <v>143</v>
      </c>
      <c r="K3938" s="51" t="s">
        <v>26</v>
      </c>
      <c r="L3938" s="51" t="s">
        <v>435</v>
      </c>
      <c r="M3938" s="51" t="s">
        <v>24</v>
      </c>
      <c r="N3938" s="52">
        <v>10</v>
      </c>
      <c r="O3938" s="43" t="s">
        <v>40</v>
      </c>
      <c r="P3938" s="43" t="s">
        <v>42</v>
      </c>
      <c r="Q3938" s="43" t="s">
        <v>42</v>
      </c>
      <c r="R3938" s="51" t="s">
        <v>454</v>
      </c>
      <c r="S3938" s="43"/>
    </row>
    <row r="3939" spans="1:19" s="45" customFormat="1" ht="14.4" hidden="1">
      <c r="A3939" s="53">
        <f>IF(C3939="","",MAX($A$1:A3938)+1)</f>
        <v>3604</v>
      </c>
      <c r="B3939" s="54" t="s">
        <v>141</v>
      </c>
      <c r="C3939" s="55">
        <v>46112</v>
      </c>
      <c r="D3939" s="48" t="str">
        <f>_xlfn.XLOOKUP(Table134526_79101120212223242526[[#This Row],[Name Surname]],Manpower!$C$4:$C$1048576,Manpower!$B$4:$B$1048576,"")</f>
        <v>Encogroup</v>
      </c>
      <c r="E3939" s="43" t="s">
        <v>306</v>
      </c>
      <c r="F3939" s="12" t="str">
        <f>_xlfn.XLOOKUP(Table134526_79101120212223242526[[#This Row],[Name Surname]],Manpower!C:C,Manpower!D:D,)</f>
        <v>100398391</v>
      </c>
      <c r="G3939" s="48" t="str">
        <f>_xlfn.XLOOKUP(Table134526_79101120212223242526[[#This Row],[Name Surname]],Manpower!$C$4:$C$1048576,Manpower!$F$4:$F$1048576,"")</f>
        <v>DuqmTrailer Driver</v>
      </c>
      <c r="H3939" s="48" t="str">
        <f>_xlfn.XLOOKUP(Table134526_79101120212223242526[[#This Row],[Name Surname]],Manpower!$C$4:$C$1048576,Manpower!$H$4:$H$1048576,"")</f>
        <v>Manpower</v>
      </c>
      <c r="I3939" s="48" t="str">
        <f>_xlfn.XLOOKUP(Table134526_79101120212223242526[[#This Row],[Name Surname]],Manpower!$C$4:$C$1048576,Manpower!$H$4:$H$1048576,"")</f>
        <v>Manpower</v>
      </c>
      <c r="J3939" s="43" t="s">
        <v>143</v>
      </c>
      <c r="K3939" s="51" t="s">
        <v>26</v>
      </c>
      <c r="L3939" s="51" t="s">
        <v>435</v>
      </c>
      <c r="M3939" s="51" t="s">
        <v>24</v>
      </c>
      <c r="N3939" s="52">
        <v>10</v>
      </c>
      <c r="O3939" s="43" t="s">
        <v>40</v>
      </c>
      <c r="P3939" s="43" t="s">
        <v>42</v>
      </c>
      <c r="Q3939" s="43" t="s">
        <v>42</v>
      </c>
      <c r="R3939" s="51" t="s">
        <v>455</v>
      </c>
      <c r="S3939" s="43"/>
    </row>
    <row r="3940" spans="1:19" s="45" customFormat="1" ht="14.4" hidden="1">
      <c r="A3940" s="53">
        <f>IF(C3940="","",MAX($A$1:A3939)+1)</f>
        <v>3605</v>
      </c>
      <c r="B3940" s="54" t="s">
        <v>141</v>
      </c>
      <c r="C3940" s="55">
        <v>46112</v>
      </c>
      <c r="D3940" s="48" t="str">
        <f>_xlfn.XLOOKUP(Table134526_79101120212223242526[[#This Row],[Name Surname]],Manpower!$C$4:$C$1048576,Manpower!$B$4:$B$1048576,"")</f>
        <v>Encogroup</v>
      </c>
      <c r="E3940" s="43" t="s">
        <v>168</v>
      </c>
      <c r="F3940" s="12">
        <f>_xlfn.XLOOKUP(Table134526_79101120212223242526[[#This Row],[Name Surname]],Manpower!C:C,Manpower!D:D,)</f>
        <v>137114773</v>
      </c>
      <c r="G3940" s="48" t="str">
        <f>_xlfn.XLOOKUP(Table134526_79101120212223242526[[#This Row],[Name Surname]],Manpower!$C$4:$C$1048576,Manpower!$F$4:$F$1048576,"")</f>
        <v>Rigger</v>
      </c>
      <c r="H3940" s="48" t="str">
        <f>_xlfn.XLOOKUP(Table134526_79101120212223242526[[#This Row],[Name Surname]],Manpower!$C$4:$C$1048576,Manpower!$H$4:$H$1048576,"")</f>
        <v>Manpower</v>
      </c>
      <c r="I3940" s="48" t="str">
        <f>_xlfn.XLOOKUP(Table134526_79101120212223242526[[#This Row],[Name Surname]],Manpower!$C$4:$C$1048576,Manpower!$H$4:$H$1048576,"")</f>
        <v>Manpower</v>
      </c>
      <c r="J3940" s="43" t="s">
        <v>143</v>
      </c>
      <c r="K3940" s="51" t="s">
        <v>26</v>
      </c>
      <c r="L3940" s="51" t="s">
        <v>435</v>
      </c>
      <c r="M3940" s="51" t="s">
        <v>24</v>
      </c>
      <c r="N3940" s="52">
        <v>10</v>
      </c>
      <c r="O3940" s="43" t="s">
        <v>40</v>
      </c>
      <c r="P3940" s="43" t="s">
        <v>42</v>
      </c>
      <c r="Q3940" s="43" t="s">
        <v>42</v>
      </c>
      <c r="R3940" s="51" t="s">
        <v>453</v>
      </c>
      <c r="S3940" s="43"/>
    </row>
    <row r="3941" spans="1:19" s="45" customFormat="1" ht="14.4" hidden="1">
      <c r="A3941" s="53">
        <f>IF(C3941="","",MAX($A$1:A3932)+1)</f>
        <v>3600</v>
      </c>
      <c r="B3941" s="54" t="s">
        <v>141</v>
      </c>
      <c r="C3941" s="55">
        <v>46112</v>
      </c>
      <c r="D3941" s="68" t="str">
        <f>_xlfn.XLOOKUP(Table134526_79101120212223242526[[#This Row],[Name Surname]],Manpower!$C$4:$C$1048576,Manpower!$B$4:$B$1048576,"")</f>
        <v>Encogroup</v>
      </c>
      <c r="E3941" s="51" t="s">
        <v>206</v>
      </c>
      <c r="F3941" s="12">
        <f>_xlfn.XLOOKUP(Table134526_79101120212223242526[[#This Row],[Name Surname]],Manpower!C:C,Manpower!D:D,)</f>
        <v>140844848</v>
      </c>
      <c r="G3941" s="68" t="str">
        <f>_xlfn.XLOOKUP(Table134526_79101120212223242526[[#This Row],[Name Surname]],Manpower!$C$4:$C$1048576,Manpower!$F$4:$F$1048576,"")</f>
        <v>Assistant/Helper</v>
      </c>
      <c r="H3941" s="68" t="str">
        <f>_xlfn.XLOOKUP(Table134526_79101120212223242526[[#This Row],[Name Surname]],Manpower!$C$4:$C$1048576,Manpower!$H$4:$H$1048576,"")</f>
        <v>Manpower</v>
      </c>
      <c r="I3941" s="48" t="str">
        <f>_xlfn.XLOOKUP(Table134526_79101120212223242526[[#This Row],[Name Surname]],Manpower!$C$4:$C$1048576,Manpower!$H$4:$H$1048576,"")</f>
        <v>Manpower</v>
      </c>
      <c r="J3941" s="43" t="s">
        <v>143</v>
      </c>
      <c r="K3941" s="51" t="s">
        <v>26</v>
      </c>
      <c r="L3941" s="51" t="s">
        <v>435</v>
      </c>
      <c r="M3941" s="51" t="s">
        <v>24</v>
      </c>
      <c r="N3941" s="52">
        <v>10</v>
      </c>
      <c r="O3941" s="43" t="s">
        <v>40</v>
      </c>
      <c r="P3941" s="43" t="s">
        <v>42</v>
      </c>
      <c r="Q3941" s="43" t="s">
        <v>42</v>
      </c>
      <c r="R3941" s="51" t="s">
        <v>453</v>
      </c>
      <c r="S3941" s="43"/>
    </row>
    <row r="3942" spans="1:19" s="45" customFormat="1" ht="14.4" hidden="1">
      <c r="A3942" s="53">
        <f>IF(C3942="","",MAX($A$1:A3941)+1)</f>
        <v>3606</v>
      </c>
      <c r="B3942" s="54" t="s">
        <v>141</v>
      </c>
      <c r="C3942" s="55">
        <v>46112</v>
      </c>
      <c r="D3942" s="68" t="str">
        <f>_xlfn.XLOOKUP(Table134526_79101120212223242526[[#This Row],[Name Surname]],Manpower!$C$4:$C$1048576,Manpower!$B$4:$B$1048576,"")</f>
        <v>Encogroup</v>
      </c>
      <c r="E3942" s="51" t="s">
        <v>208</v>
      </c>
      <c r="F3942" s="12">
        <f>_xlfn.XLOOKUP(Table134526_79101120212223242526[[#This Row],[Name Surname]],Manpower!C:C,Manpower!D:D,)</f>
        <v>140683399</v>
      </c>
      <c r="G3942" s="68" t="str">
        <f>_xlfn.XLOOKUP(Table134526_79101120212223242526[[#This Row],[Name Surname]],Manpower!$C$4:$C$1048576,Manpower!$F$4:$F$1048576,"")</f>
        <v>Rigger</v>
      </c>
      <c r="H3942" s="68" t="str">
        <f>_xlfn.XLOOKUP(Table134526_79101120212223242526[[#This Row],[Name Surname]],Manpower!$C$4:$C$1048576,Manpower!$H$4:$H$1048576,"")</f>
        <v>Manpower</v>
      </c>
      <c r="I3942" s="48" t="str">
        <f>_xlfn.XLOOKUP(Table134526_79101120212223242526[[#This Row],[Name Surname]],Manpower!$C$4:$C$1048576,Manpower!$H$4:$H$1048576,"")</f>
        <v>Manpower</v>
      </c>
      <c r="J3942" s="43" t="s">
        <v>143</v>
      </c>
      <c r="K3942" s="51" t="s">
        <v>26</v>
      </c>
      <c r="L3942" s="51" t="s">
        <v>435</v>
      </c>
      <c r="M3942" s="51" t="s">
        <v>24</v>
      </c>
      <c r="N3942" s="52">
        <v>10</v>
      </c>
      <c r="O3942" s="43" t="s">
        <v>40</v>
      </c>
      <c r="P3942" s="43" t="s">
        <v>42</v>
      </c>
      <c r="Q3942" s="43" t="s">
        <v>42</v>
      </c>
      <c r="R3942" s="51" t="s">
        <v>453</v>
      </c>
      <c r="S3942" s="43"/>
    </row>
    <row r="3943" spans="1:19" ht="14.4">
      <c r="A3943" s="38">
        <f>IF(C3943="","",MAX($A$1:A3942)+1)</f>
        <v>3607</v>
      </c>
      <c r="B3943" s="66" t="s">
        <v>141</v>
      </c>
      <c r="C3943" s="60">
        <v>46112</v>
      </c>
      <c r="D3943" s="61" t="str">
        <f>_xlfn.XLOOKUP(Table134526_79101120212223242526[[#This Row],[Name Surname]],Manpower!$C$4:$C$1048576,Manpower!$B$4:$B$1048576,"")</f>
        <v>Encogroup</v>
      </c>
      <c r="E3943" s="57" t="s">
        <v>341</v>
      </c>
      <c r="F3943" s="12" t="e">
        <f>_xlfn.XLOOKUP(Table134526_79101120212223242526[[#This Row],[Name Surname]],Manpower!C:C,Manpower!D:D,)</f>
        <v>#N/A</v>
      </c>
      <c r="G3943" s="61" t="str">
        <f>_xlfn.XLOOKUP(Table134526_79101120212223242526[[#This Row],[Name Surname]],Manpower!$C$4:$C$1048576,Manpower!$F$4:$F$1048576,"")</f>
        <v>SCISSOR LIFT</v>
      </c>
      <c r="H3943" s="61" t="str">
        <f>_xlfn.XLOOKUP(Table134526_79101120212223242526[[#This Row],[Name Surname]],Manpower!$C$4:$C$1048576,Manpower!$H$4:$H$1048576,"")</f>
        <v>Equipment</v>
      </c>
      <c r="I3943" s="28" t="str">
        <f>_xlfn.XLOOKUP(Table134526_79101120212223242526[[#This Row],[Name Surname]],Manpower!$C$4:$C$1048576,Manpower!$H$4:$H$1048576,"")</f>
        <v>Equipment</v>
      </c>
      <c r="J3943" s="21" t="s">
        <v>143</v>
      </c>
      <c r="K3943" s="57" t="s">
        <v>26</v>
      </c>
      <c r="L3943" s="57" t="s">
        <v>435</v>
      </c>
      <c r="M3943" s="57" t="s">
        <v>55</v>
      </c>
      <c r="N3943" s="62">
        <v>10</v>
      </c>
      <c r="O3943" s="57"/>
      <c r="P3943" s="57"/>
      <c r="Q3943" s="57"/>
      <c r="R3943" s="57" t="s">
        <v>56</v>
      </c>
    </row>
    <row r="3944" spans="1:19" ht="14.4">
      <c r="A3944" s="38">
        <f>IF(C3944="","",MAX($A$1:A3943)+1)</f>
        <v>3608</v>
      </c>
      <c r="B3944" s="66" t="s">
        <v>141</v>
      </c>
      <c r="C3944" s="60">
        <v>46112</v>
      </c>
      <c r="D3944" s="61" t="str">
        <f>_xlfn.XLOOKUP(Table134526_79101120212223242526[[#This Row],[Name Surname]],Manpower!$C$4:$C$1048576,Manpower!$B$4:$B$1048576,"")</f>
        <v>Encogroup</v>
      </c>
      <c r="E3944" s="57" t="s">
        <v>342</v>
      </c>
      <c r="F3944" s="12" t="e">
        <f>_xlfn.XLOOKUP(Table134526_79101120212223242526[[#This Row],[Name Surname]],Manpower!C:C,Manpower!D:D,)</f>
        <v>#N/A</v>
      </c>
      <c r="G3944" s="61" t="str">
        <f>_xlfn.XLOOKUP(Table134526_79101120212223242526[[#This Row],[Name Surname]],Manpower!$C$4:$C$1048576,Manpower!$F$4:$F$1048576,"")</f>
        <v>SCISSOR LIFT</v>
      </c>
      <c r="H3944" s="61" t="str">
        <f>_xlfn.XLOOKUP(Table134526_79101120212223242526[[#This Row],[Name Surname]],Manpower!$C$4:$C$1048576,Manpower!$H$4:$H$1048576,"")</f>
        <v>Equipment</v>
      </c>
      <c r="I3944" s="28" t="str">
        <f>_xlfn.XLOOKUP(Table134526_79101120212223242526[[#This Row],[Name Surname]],Manpower!$C$4:$C$1048576,Manpower!$H$4:$H$1048576,"")</f>
        <v>Equipment</v>
      </c>
      <c r="J3944" s="21" t="s">
        <v>143</v>
      </c>
      <c r="K3944" s="57" t="s">
        <v>26</v>
      </c>
      <c r="L3944" s="57" t="s">
        <v>435</v>
      </c>
      <c r="M3944" s="57" t="s">
        <v>55</v>
      </c>
      <c r="N3944" s="62">
        <v>10</v>
      </c>
      <c r="O3944" s="57"/>
      <c r="P3944" s="57"/>
      <c r="Q3944" s="57"/>
      <c r="R3944" s="57" t="s">
        <v>56</v>
      </c>
    </row>
    <row r="3945" spans="1:19" ht="14.4">
      <c r="A3945" s="38">
        <f>IF(C3945="","",MAX($A$1:A3944)+1)</f>
        <v>3609</v>
      </c>
      <c r="B3945" s="66" t="s">
        <v>141</v>
      </c>
      <c r="C3945" s="60">
        <v>46112</v>
      </c>
      <c r="D3945" s="61" t="str">
        <f>_xlfn.XLOOKUP(Table134526_79101120212223242526[[#This Row],[Name Surname]],Manpower!$C$4:$C$1048576,Manpower!$B$4:$B$1048576,"")</f>
        <v>Encogroup</v>
      </c>
      <c r="E3945" s="57" t="s">
        <v>362</v>
      </c>
      <c r="F3945" s="12" t="e">
        <f>_xlfn.XLOOKUP(Table134526_79101120212223242526[[#This Row],[Name Surname]],Manpower!C:C,Manpower!D:D,)</f>
        <v>#N/A</v>
      </c>
      <c r="G3945" s="61" t="str">
        <f>_xlfn.XLOOKUP(Table134526_79101120212223242526[[#This Row],[Name Surname]],Manpower!$C$4:$C$1048576,Manpower!$F$4:$F$1048576,"")</f>
        <v>Trailer</v>
      </c>
      <c r="H3945" s="61" t="str">
        <f>_xlfn.XLOOKUP(Table134526_79101120212223242526[[#This Row],[Name Surname]],Manpower!$C$4:$C$1048576,Manpower!$H$4:$H$1048576,"")</f>
        <v>Equipment</v>
      </c>
      <c r="I3945" s="28" t="str">
        <f>_xlfn.XLOOKUP(Table134526_79101120212223242526[[#This Row],[Name Surname]],Manpower!$C$4:$C$1048576,Manpower!$H$4:$H$1048576,"")</f>
        <v>Equipment</v>
      </c>
      <c r="J3945" s="21" t="s">
        <v>143</v>
      </c>
      <c r="K3945" s="57" t="s">
        <v>26</v>
      </c>
      <c r="L3945" s="57" t="s">
        <v>435</v>
      </c>
      <c r="M3945" s="57" t="s">
        <v>24</v>
      </c>
      <c r="N3945" s="62">
        <v>10</v>
      </c>
      <c r="O3945" s="57"/>
      <c r="P3945" s="57"/>
      <c r="Q3945" s="57"/>
      <c r="R3945" s="57" t="s">
        <v>453</v>
      </c>
    </row>
    <row r="3946" spans="1:19" s="45" customFormat="1" ht="14.4" hidden="1">
      <c r="A3946" s="53">
        <f>IF(C3946="","",MAX($A$1:A3945)+1)</f>
        <v>3610</v>
      </c>
      <c r="B3946" s="54" t="s">
        <v>141</v>
      </c>
      <c r="C3946" s="55">
        <v>46112</v>
      </c>
      <c r="D3946" s="68" t="str">
        <f>_xlfn.XLOOKUP(Table134526_79101120212223242526[[#This Row],[Name Surname]],Manpower!$C$4:$C$1048576,Manpower!$B$4:$B$1048576,"")</f>
        <v>Encogroup</v>
      </c>
      <c r="E3946" s="51" t="s">
        <v>363</v>
      </c>
      <c r="F3946" s="12">
        <f>_xlfn.XLOOKUP(Table134526_79101120212223242526[[#This Row],[Name Surname]],Manpower!C:C,Manpower!D:D,)</f>
        <v>7065269</v>
      </c>
      <c r="G3946" s="68" t="str">
        <f>_xlfn.XLOOKUP(Table134526_79101120212223242526[[#This Row],[Name Surname]],Manpower!$C$4:$C$1048576,Manpower!$F$4:$F$1048576,"")</f>
        <v>Lowbed Trailer Driver</v>
      </c>
      <c r="H3946" s="68" t="str">
        <f>_xlfn.XLOOKUP(Table134526_79101120212223242526[[#This Row],[Name Surname]],Manpower!$C$4:$C$1048576,Manpower!$H$4:$H$1048576,"")</f>
        <v>Manpower</v>
      </c>
      <c r="I3946" s="48" t="str">
        <f>_xlfn.XLOOKUP(Table134526_79101120212223242526[[#This Row],[Name Surname]],Manpower!$C$4:$C$1048576,Manpower!$H$4:$H$1048576,"")</f>
        <v>Manpower</v>
      </c>
      <c r="J3946" s="43" t="s">
        <v>143</v>
      </c>
      <c r="K3946" s="51" t="s">
        <v>26</v>
      </c>
      <c r="L3946" s="51" t="s">
        <v>435</v>
      </c>
      <c r="M3946" s="51" t="s">
        <v>24</v>
      </c>
      <c r="N3946" s="52">
        <v>10</v>
      </c>
      <c r="O3946" s="43" t="s">
        <v>40</v>
      </c>
      <c r="P3946" s="43" t="s">
        <v>42</v>
      </c>
      <c r="Q3946" s="43" t="s">
        <v>42</v>
      </c>
      <c r="R3946" s="51" t="s">
        <v>453</v>
      </c>
      <c r="S3946" s="43"/>
    </row>
    <row r="3947" spans="1:19" ht="14.4">
      <c r="A3947" s="38">
        <f>IF(C3947="","",MAX($A$1:A3946)+1)</f>
        <v>3611</v>
      </c>
      <c r="B3947" s="66" t="s">
        <v>141</v>
      </c>
      <c r="C3947" s="60">
        <v>46112</v>
      </c>
      <c r="D3947" s="61" t="str">
        <f>_xlfn.XLOOKUP(Table134526_79101120212223242526[[#This Row],[Name Surname]],Manpower!$C$4:$C$1048576,Manpower!$B$4:$B$1048576,"")</f>
        <v>Bright Light</v>
      </c>
      <c r="E3947" s="57" t="s">
        <v>210</v>
      </c>
      <c r="F3947" s="12" t="e">
        <f>_xlfn.XLOOKUP(Table134526_79101120212223242526[[#This Row],[Name Surname]],Manpower!C:C,Manpower!D:D,)</f>
        <v>#N/A</v>
      </c>
      <c r="G3947" s="61" t="str">
        <f>_xlfn.XLOOKUP(Table134526_79101120212223242526[[#This Row],[Name Surname]],Manpower!$C$4:$C$1048576,Manpower!$F$4:$F$1048576,"")</f>
        <v>Trailer</v>
      </c>
      <c r="H3947" s="61" t="str">
        <f>_xlfn.XLOOKUP(Table134526_79101120212223242526[[#This Row],[Name Surname]],Manpower!$C$4:$C$1048576,Manpower!$H$4:$H$1048576,"")</f>
        <v>Equipment</v>
      </c>
      <c r="I3947" s="28" t="str">
        <f>_xlfn.XLOOKUP(Table134526_79101120212223242526[[#This Row],[Name Surname]],Manpower!$C$4:$C$1048576,Manpower!$H$4:$H$1048576,"")</f>
        <v>Equipment</v>
      </c>
      <c r="J3947" s="21" t="s">
        <v>143</v>
      </c>
      <c r="K3947" s="57" t="s">
        <v>26</v>
      </c>
      <c r="L3947" s="57" t="s">
        <v>435</v>
      </c>
      <c r="M3947" s="57" t="s">
        <v>24</v>
      </c>
      <c r="N3947" s="62">
        <v>10</v>
      </c>
      <c r="O3947" s="57"/>
      <c r="P3947" s="57"/>
      <c r="Q3947" s="57"/>
      <c r="R3947" s="57" t="s">
        <v>453</v>
      </c>
    </row>
    <row r="3948" spans="1:19" s="45" customFormat="1" ht="14.4" hidden="1">
      <c r="A3948" s="53">
        <f>IF(C3948="","",MAX($A$1:A3947)+1)</f>
        <v>3612</v>
      </c>
      <c r="B3948" s="54" t="s">
        <v>141</v>
      </c>
      <c r="C3948" s="55">
        <v>46112</v>
      </c>
      <c r="D3948" s="68" t="str">
        <f>_xlfn.XLOOKUP(Table134526_79101120212223242526[[#This Row],[Name Surname]],Manpower!$C$4:$C$1048576,Manpower!$B$4:$B$1048576,"")</f>
        <v xml:space="preserve">FAL Transport </v>
      </c>
      <c r="E3948" s="51" t="s">
        <v>225</v>
      </c>
      <c r="F3948" s="12">
        <f>_xlfn.XLOOKUP(Table134526_79101120212223242526[[#This Row],[Name Surname]],Manpower!C:C,Manpower!D:D,)</f>
        <v>124233837</v>
      </c>
      <c r="G3948" s="68" t="str">
        <f>_xlfn.XLOOKUP(Table134526_79101120212223242526[[#This Row],[Name Surname]],Manpower!$C$4:$C$1048576,Manpower!$F$4:$F$1048576,"")</f>
        <v>Trailer Driver</v>
      </c>
      <c r="H3948" s="68" t="str">
        <f>_xlfn.XLOOKUP(Table134526_79101120212223242526[[#This Row],[Name Surname]],Manpower!$C$4:$C$1048576,Manpower!$H$4:$H$1048576,"")</f>
        <v>Sub Contactor</v>
      </c>
      <c r="I3948" s="68" t="str">
        <f>_xlfn.XLOOKUP(Table134526_79101120212223242526[[#This Row],[Name Surname]],Manpower!$C$4:$C$1048576,Manpower!$H$4:$H$1048576,"")</f>
        <v>Sub Contactor</v>
      </c>
      <c r="J3948" s="51" t="s">
        <v>143</v>
      </c>
      <c r="K3948" s="43" t="s">
        <v>26</v>
      </c>
      <c r="L3948" s="51" t="s">
        <v>435</v>
      </c>
      <c r="M3948" s="51" t="s">
        <v>24</v>
      </c>
      <c r="N3948" s="52">
        <v>10</v>
      </c>
      <c r="O3948" s="43"/>
      <c r="P3948" s="43"/>
      <c r="Q3948" s="43"/>
      <c r="R3948" s="51" t="s">
        <v>453</v>
      </c>
      <c r="S3948" s="43"/>
    </row>
    <row r="3949" spans="1:19" ht="14.4" hidden="1">
      <c r="A3949" s="38">
        <f>IF(C3949="","",MAX($A$1:A3948)+1)</f>
        <v>3613</v>
      </c>
      <c r="B3949" s="66" t="s">
        <v>141</v>
      </c>
      <c r="C3949" s="60">
        <v>46112</v>
      </c>
      <c r="D3949" s="61" t="str">
        <f>_xlfn.XLOOKUP(Table134526_79101120212223242526[[#This Row],[Name Surname]],Manpower!$C$4:$C$1048576,Manpower!$B$4:$B$1048576,"")</f>
        <v>Encogroup</v>
      </c>
      <c r="E3949" s="57" t="s">
        <v>211</v>
      </c>
      <c r="F3949" s="12">
        <f>_xlfn.XLOOKUP(Table134526_79101120212223242526[[#This Row],[Name Surname]],Manpower!C:C,Manpower!D:D,)</f>
        <v>140477664</v>
      </c>
      <c r="G3949" s="61" t="str">
        <f>_xlfn.XLOOKUP(Table134526_79101120212223242526[[#This Row],[Name Surname]],Manpower!$C$4:$C$1048576,Manpower!$F$4:$F$1048576,"")</f>
        <v>Junior HSE Officer</v>
      </c>
      <c r="H3949" s="61" t="str">
        <f>_xlfn.XLOOKUP(Table134526_79101120212223242526[[#This Row],[Name Surname]],Manpower!$C$4:$C$1048576,Manpower!$H$4:$H$1048576,"")</f>
        <v>Manpower</v>
      </c>
      <c r="I3949" s="61" t="str">
        <f>_xlfn.XLOOKUP(Table134526_79101120212223242526[[#This Row],[Name Surname]],Manpower!$C$4:$C$1048576,Manpower!$H$4:$H$1048576,"")</f>
        <v>Manpower</v>
      </c>
      <c r="J3949" s="57" t="s">
        <v>143</v>
      </c>
      <c r="K3949" s="21" t="s">
        <v>26</v>
      </c>
      <c r="L3949" s="57" t="s">
        <v>435</v>
      </c>
      <c r="M3949" s="57" t="s">
        <v>24</v>
      </c>
      <c r="N3949" s="62">
        <v>10</v>
      </c>
      <c r="O3949" s="21" t="s">
        <v>40</v>
      </c>
      <c r="P3949" s="21" t="s">
        <v>42</v>
      </c>
      <c r="Q3949" s="21" t="s">
        <v>42</v>
      </c>
      <c r="R3949" s="57" t="s">
        <v>453</v>
      </c>
    </row>
    <row r="3950" spans="1:19" s="45" customFormat="1" ht="14.4" hidden="1">
      <c r="A3950" s="53">
        <f>IF(C3950="","",MAX($A$1:A3949)+1)</f>
        <v>3614</v>
      </c>
      <c r="B3950" s="54" t="s">
        <v>141</v>
      </c>
      <c r="C3950" s="55">
        <v>46112</v>
      </c>
      <c r="D3950" s="68" t="str">
        <f>_xlfn.XLOOKUP(Table134526_79101120212223242526[[#This Row],[Name Surname]],Manpower!$C$4:$C$1048576,Manpower!$B$4:$B$1048576,"")</f>
        <v>Encogroup</v>
      </c>
      <c r="E3950" s="51" t="s">
        <v>213</v>
      </c>
      <c r="F3950" s="12">
        <f>_xlfn.XLOOKUP(Table134526_79101120212223242526[[#This Row],[Name Surname]],Manpower!C:C,Manpower!D:D,)</f>
        <v>140846698</v>
      </c>
      <c r="G3950" s="68" t="str">
        <f>_xlfn.XLOOKUP(Table134526_79101120212223242526[[#This Row],[Name Surname]],Manpower!$C$4:$C$1048576,Manpower!$F$4:$F$1048576,"")</f>
        <v>Assistant/Helper</v>
      </c>
      <c r="H3950" s="68" t="str">
        <f>_xlfn.XLOOKUP(Table134526_79101120212223242526[[#This Row],[Name Surname]],Manpower!$C$4:$C$1048576,Manpower!$H$4:$H$1048576,"")</f>
        <v>Manpower</v>
      </c>
      <c r="I3950" s="68" t="str">
        <f>_xlfn.XLOOKUP(Table134526_79101120212223242526[[#This Row],[Name Surname]],Manpower!$C$4:$C$1048576,Manpower!$H$4:$H$1048576,"")</f>
        <v>Manpower</v>
      </c>
      <c r="J3950" s="51" t="s">
        <v>143</v>
      </c>
      <c r="K3950" s="43" t="s">
        <v>26</v>
      </c>
      <c r="L3950" s="51" t="s">
        <v>435</v>
      </c>
      <c r="M3950" s="51" t="s">
        <v>24</v>
      </c>
      <c r="N3950" s="52">
        <v>10</v>
      </c>
      <c r="O3950" s="43" t="s">
        <v>40</v>
      </c>
      <c r="P3950" s="43" t="s">
        <v>42</v>
      </c>
      <c r="Q3950" s="43" t="s">
        <v>42</v>
      </c>
      <c r="R3950" s="51" t="s">
        <v>453</v>
      </c>
      <c r="S3950" s="43"/>
    </row>
    <row r="3951" spans="1:19" s="45" customFormat="1" ht="14.4" hidden="1">
      <c r="A3951" s="53">
        <f>IF(C3951="","",MAX($A$1:A3950)+1)</f>
        <v>3615</v>
      </c>
      <c r="B3951" s="54" t="s">
        <v>141</v>
      </c>
      <c r="C3951" s="55">
        <v>46112</v>
      </c>
      <c r="D3951" s="68" t="str">
        <f>_xlfn.XLOOKUP(Table134526_79101120212223242526[[#This Row],[Name Surname]],Manpower!$C$4:$C$1048576,Manpower!$B$4:$B$1048576,"")</f>
        <v>Encogroup</v>
      </c>
      <c r="E3951" s="51" t="s">
        <v>217</v>
      </c>
      <c r="F3951" s="12">
        <f>_xlfn.XLOOKUP(Table134526_79101120212223242526[[#This Row],[Name Surname]],Manpower!C:C,Manpower!D:D,)</f>
        <v>140742177</v>
      </c>
      <c r="G3951" s="68" t="str">
        <f>_xlfn.XLOOKUP(Table134526_79101120212223242526[[#This Row],[Name Surname]],Manpower!$C$4:$C$1048576,Manpower!$F$4:$F$1048576,"")</f>
        <v>Grinder</v>
      </c>
      <c r="H3951" s="68" t="str">
        <f>_xlfn.XLOOKUP(Table134526_79101120212223242526[[#This Row],[Name Surname]],Manpower!$C$4:$C$1048576,Manpower!$H$4:$H$1048576,"")</f>
        <v>Manpower</v>
      </c>
      <c r="I3951" s="68" t="str">
        <f>_xlfn.XLOOKUP(Table134526_79101120212223242526[[#This Row],[Name Surname]],Manpower!$C$4:$C$1048576,Manpower!$H$4:$H$1048576,"")</f>
        <v>Manpower</v>
      </c>
      <c r="J3951" s="51" t="s">
        <v>143</v>
      </c>
      <c r="K3951" s="43" t="s">
        <v>26</v>
      </c>
      <c r="L3951" s="51" t="s">
        <v>435</v>
      </c>
      <c r="M3951" s="51" t="s">
        <v>24</v>
      </c>
      <c r="N3951" s="52">
        <v>10</v>
      </c>
      <c r="O3951" s="43" t="s">
        <v>40</v>
      </c>
      <c r="P3951" s="43" t="s">
        <v>42</v>
      </c>
      <c r="Q3951" s="43" t="s">
        <v>42</v>
      </c>
      <c r="R3951" s="51" t="s">
        <v>453</v>
      </c>
      <c r="S3951" s="43"/>
    </row>
    <row r="3952" spans="1:19" s="45" customFormat="1" ht="14.4" hidden="1">
      <c r="A3952" s="53">
        <f>IF(C3952="","",MAX($A$1:A3951)+1)</f>
        <v>3616</v>
      </c>
      <c r="B3952" s="54" t="s">
        <v>141</v>
      </c>
      <c r="C3952" s="55">
        <v>46112</v>
      </c>
      <c r="D3952" s="68" t="str">
        <f>_xlfn.XLOOKUP(Table134526_79101120212223242526[[#This Row],[Name Surname]],Manpower!$C$4:$C$1048576,Manpower!$B$4:$B$1048576,"")</f>
        <v>Encogroup</v>
      </c>
      <c r="E3952" s="51" t="s">
        <v>188</v>
      </c>
      <c r="F3952" s="12">
        <f>_xlfn.XLOOKUP(Table134526_79101120212223242526[[#This Row],[Name Surname]],Manpower!C:C,Manpower!D:D,)</f>
        <v>140696975</v>
      </c>
      <c r="G3952" s="68" t="str">
        <f>_xlfn.XLOOKUP(Table134526_79101120212223242526[[#This Row],[Name Surname]],Manpower!$C$4:$C$1048576,Manpower!$F$4:$F$1048576,"")</f>
        <v>Assistant/Helper</v>
      </c>
      <c r="H3952" s="68" t="str">
        <f>_xlfn.XLOOKUP(Table134526_79101120212223242526[[#This Row],[Name Surname]],Manpower!$C$4:$C$1048576,Manpower!$H$4:$H$1048576,"")</f>
        <v>Manpower</v>
      </c>
      <c r="I3952" s="68" t="str">
        <f>_xlfn.XLOOKUP(Table134526_79101120212223242526[[#This Row],[Name Surname]],Manpower!$C$4:$C$1048576,Manpower!$H$4:$H$1048576,"")</f>
        <v>Manpower</v>
      </c>
      <c r="J3952" s="51" t="s">
        <v>143</v>
      </c>
      <c r="K3952" s="43" t="s">
        <v>26</v>
      </c>
      <c r="L3952" s="51" t="s">
        <v>435</v>
      </c>
      <c r="M3952" s="51" t="s">
        <v>24</v>
      </c>
      <c r="N3952" s="52">
        <v>10</v>
      </c>
      <c r="O3952" s="43" t="s">
        <v>40</v>
      </c>
      <c r="P3952" s="43" t="s">
        <v>42</v>
      </c>
      <c r="Q3952" s="43" t="s">
        <v>42</v>
      </c>
      <c r="R3952" s="51" t="s">
        <v>453</v>
      </c>
      <c r="S3952" s="43"/>
    </row>
    <row r="3953" spans="1:19" s="45" customFormat="1" ht="14.4" hidden="1">
      <c r="A3953" s="53">
        <f>IF(C3953="","",MAX($A$1:A3952)+1)</f>
        <v>3617</v>
      </c>
      <c r="B3953" s="54" t="s">
        <v>141</v>
      </c>
      <c r="C3953" s="55">
        <v>46112</v>
      </c>
      <c r="D3953" s="68" t="str">
        <f>_xlfn.XLOOKUP(Table134526_79101120212223242526[[#This Row],[Name Surname]],Manpower!$C$4:$C$1048576,Manpower!$B$4:$B$1048576,"")</f>
        <v>Encogroup</v>
      </c>
      <c r="E3953" s="51" t="s">
        <v>204</v>
      </c>
      <c r="F3953" s="12">
        <f>_xlfn.XLOOKUP(Table134526_79101120212223242526[[#This Row],[Name Surname]],Manpower!C:C,Manpower!D:D,)</f>
        <v>140844572</v>
      </c>
      <c r="G3953" s="68" t="str">
        <f>_xlfn.XLOOKUP(Table134526_79101120212223242526[[#This Row],[Name Surname]],Manpower!$C$4:$C$1048576,Manpower!$F$4:$F$1048576,"")</f>
        <v>Assistant/Helper</v>
      </c>
      <c r="H3953" s="68" t="str">
        <f>_xlfn.XLOOKUP(Table134526_79101120212223242526[[#This Row],[Name Surname]],Manpower!$C$4:$C$1048576,Manpower!$H$4:$H$1048576,"")</f>
        <v>Manpower</v>
      </c>
      <c r="I3953" s="68" t="str">
        <f>_xlfn.XLOOKUP(Table134526_79101120212223242526[[#This Row],[Name Surname]],Manpower!$C$4:$C$1048576,Manpower!$H$4:$H$1048576,"")</f>
        <v>Manpower</v>
      </c>
      <c r="J3953" s="51" t="s">
        <v>143</v>
      </c>
      <c r="K3953" s="43" t="s">
        <v>26</v>
      </c>
      <c r="L3953" s="51" t="s">
        <v>435</v>
      </c>
      <c r="M3953" s="51" t="s">
        <v>24</v>
      </c>
      <c r="N3953" s="52">
        <v>10</v>
      </c>
      <c r="O3953" s="43" t="s">
        <v>40</v>
      </c>
      <c r="P3953" s="43" t="s">
        <v>42</v>
      </c>
      <c r="Q3953" s="43" t="s">
        <v>42</v>
      </c>
      <c r="R3953" s="51" t="s">
        <v>453</v>
      </c>
      <c r="S3953" s="43"/>
    </row>
    <row r="3954" spans="1:19" ht="14.4">
      <c r="A3954" s="38">
        <f ca="1">IF(C3954="","",MAX($A$1:A3970)+1)</f>
        <v>0</v>
      </c>
      <c r="B3954" s="66" t="s">
        <v>141</v>
      </c>
      <c r="C3954" s="60">
        <v>46112</v>
      </c>
      <c r="D3954" s="61" t="str">
        <f>_xlfn.XLOOKUP(Table134526_79101120212223242526[[#This Row],[Name Surname]],Manpower!$C$4:$C$1048576,Manpower!$B$4:$B$1048576,"")</f>
        <v>Encogroup</v>
      </c>
      <c r="E3954" s="60" t="s">
        <v>219</v>
      </c>
      <c r="F3954" s="12" t="e">
        <f>_xlfn.XLOOKUP(Table134526_79101120212223242526[[#This Row],[Name Surname]],Manpower!C:C,Manpower!D:D,)</f>
        <v>#N/A</v>
      </c>
      <c r="G3954" s="61" t="str">
        <f>_xlfn.XLOOKUP(Table134526_79101120212223242526[[#This Row],[Name Surname]],Manpower!$C$4:$C$1048576,Manpower!$F$4:$F$1048576,"")</f>
        <v>TOWER LIGHT</v>
      </c>
      <c r="H3954" s="61" t="str">
        <f>_xlfn.XLOOKUP(Table134526_79101120212223242526[[#This Row],[Name Surname]],Manpower!$C$4:$C$1048576,Manpower!$H$4:$H$1048576,"")</f>
        <v>Equipment</v>
      </c>
      <c r="I3954" s="61" t="str">
        <f>_xlfn.XLOOKUP(Table134526_79101120212223242526[[#This Row],[Name Surname]],Manpower!$C$4:$C$1048576,Manpower!$H$4:$H$1048576,"")</f>
        <v>Equipment</v>
      </c>
      <c r="J3954" s="57" t="s">
        <v>143</v>
      </c>
      <c r="K3954" s="21" t="s">
        <v>26</v>
      </c>
      <c r="L3954" s="57" t="s">
        <v>435</v>
      </c>
      <c r="M3954" s="57" t="s">
        <v>55</v>
      </c>
      <c r="N3954" s="62">
        <v>10</v>
      </c>
      <c r="R3954" s="57" t="s">
        <v>56</v>
      </c>
    </row>
    <row r="3955" spans="1:19" ht="14.4">
      <c r="A3955" s="38">
        <f ca="1">IF(C3955="","",MAX($A$1:A3954)+1)</f>
        <v>0</v>
      </c>
      <c r="B3955" s="66" t="s">
        <v>141</v>
      </c>
      <c r="C3955" s="60">
        <v>46112</v>
      </c>
      <c r="D3955" s="61" t="str">
        <f>_xlfn.XLOOKUP(Table134526_79101120212223242526[[#This Row],[Name Surname]],Manpower!$C$4:$C$1048576,Manpower!$B$4:$B$1048576,"")</f>
        <v>Encogroup</v>
      </c>
      <c r="E3955" s="60" t="s">
        <v>220</v>
      </c>
      <c r="F3955" s="12" t="e">
        <f>_xlfn.XLOOKUP(Table134526_79101120212223242526[[#This Row],[Name Surname]],Manpower!C:C,Manpower!D:D,)</f>
        <v>#N/A</v>
      </c>
      <c r="G3955" s="61" t="str">
        <f>_xlfn.XLOOKUP(Table134526_79101120212223242526[[#This Row],[Name Surname]],Manpower!$C$4:$C$1048576,Manpower!$F$4:$F$1048576,"")</f>
        <v>TOWER LIGHT</v>
      </c>
      <c r="H3955" s="61" t="str">
        <f>_xlfn.XLOOKUP(Table134526_79101120212223242526[[#This Row],[Name Surname]],Manpower!$C$4:$C$1048576,Manpower!$H$4:$H$1048576,"")</f>
        <v>Equipment</v>
      </c>
      <c r="I3955" s="61" t="str">
        <f>_xlfn.XLOOKUP(Table134526_79101120212223242526[[#This Row],[Name Surname]],Manpower!$C$4:$C$1048576,Manpower!$H$4:$H$1048576,"")</f>
        <v>Equipment</v>
      </c>
      <c r="J3955" s="57" t="s">
        <v>143</v>
      </c>
      <c r="K3955" s="21" t="s">
        <v>26</v>
      </c>
      <c r="L3955" s="57" t="s">
        <v>435</v>
      </c>
      <c r="M3955" s="57" t="s">
        <v>55</v>
      </c>
      <c r="N3955" s="62">
        <v>10</v>
      </c>
      <c r="R3955" s="57" t="s">
        <v>56</v>
      </c>
    </row>
    <row r="3956" spans="1:19" ht="14.4" hidden="1">
      <c r="A3956" s="38">
        <f ca="1">IF(C3956="","",MAX($A$1:A3955)+1)</f>
        <v>0</v>
      </c>
      <c r="B3956" s="66" t="s">
        <v>141</v>
      </c>
      <c r="C3956" s="60">
        <v>46112</v>
      </c>
      <c r="D3956" s="61" t="str">
        <f>_xlfn.XLOOKUP(Table134526_79101120212223242526[[#This Row],[Name Surname]],Manpower!$C$4:$C$1048576,Manpower!$B$4:$B$1048576,"")</f>
        <v>Encogroup</v>
      </c>
      <c r="E3956" s="57" t="s">
        <v>222</v>
      </c>
      <c r="F3956" s="12">
        <f>_xlfn.XLOOKUP(Table134526_79101120212223242526[[#This Row],[Name Surname]],Manpower!C:C,Manpower!D:D,)</f>
        <v>122082863</v>
      </c>
      <c r="G3956" s="61" t="str">
        <f>_xlfn.XLOOKUP(Table134526_79101120212223242526[[#This Row],[Name Surname]],Manpower!$C$4:$C$1048576,Manpower!$F$4:$F$1048576,"")</f>
        <v>Grinder</v>
      </c>
      <c r="H3956" s="61" t="str">
        <f>_xlfn.XLOOKUP(Table134526_79101120212223242526[[#This Row],[Name Surname]],Manpower!$C$4:$C$1048576,Manpower!$H$4:$H$1048576,"")</f>
        <v>Manpower</v>
      </c>
      <c r="I3956" s="61" t="str">
        <f>_xlfn.XLOOKUP(Table134526_79101120212223242526[[#This Row],[Name Surname]],Manpower!$C$4:$C$1048576,Manpower!$H$4:$H$1048576,"")</f>
        <v>Manpower</v>
      </c>
      <c r="J3956" s="57" t="s">
        <v>143</v>
      </c>
      <c r="K3956" s="21" t="s">
        <v>26</v>
      </c>
      <c r="L3956" s="57" t="s">
        <v>435</v>
      </c>
      <c r="M3956" s="57" t="s">
        <v>24</v>
      </c>
      <c r="N3956" s="62">
        <v>10</v>
      </c>
      <c r="O3956" s="21" t="s">
        <v>40</v>
      </c>
      <c r="P3956" s="21" t="s">
        <v>42</v>
      </c>
      <c r="Q3956" s="21" t="s">
        <v>42</v>
      </c>
      <c r="R3956" s="57" t="s">
        <v>453</v>
      </c>
    </row>
    <row r="3957" spans="1:19" s="45" customFormat="1" ht="14.4" hidden="1">
      <c r="A3957" s="53">
        <f ca="1">IF(C3957="","",MAX($A$1:A3956)+1)</f>
        <v>0</v>
      </c>
      <c r="B3957" s="54" t="s">
        <v>141</v>
      </c>
      <c r="C3957" s="55">
        <v>46112</v>
      </c>
      <c r="D3957" s="68" t="str">
        <f>_xlfn.XLOOKUP(Table134526_79101120212223242526[[#This Row],[Name Surname]],Manpower!$C$4:$C$1048576,Manpower!$B$4:$B$1048576,"")</f>
        <v>Encogroup</v>
      </c>
      <c r="E3957" s="51" t="s">
        <v>223</v>
      </c>
      <c r="F3957" s="12">
        <f>_xlfn.XLOOKUP(Table134526_79101120212223242526[[#This Row],[Name Surname]],Manpower!C:C,Manpower!D:D,)</f>
        <v>140696989</v>
      </c>
      <c r="G3957" s="68" t="str">
        <f>_xlfn.XLOOKUP(Table134526_79101120212223242526[[#This Row],[Name Surname]],Manpower!$C$4:$C$1048576,Manpower!$F$4:$F$1048576,"")</f>
        <v>Assistant/Helper</v>
      </c>
      <c r="H3957" s="68" t="str">
        <f>_xlfn.XLOOKUP(Table134526_79101120212223242526[[#This Row],[Name Surname]],Manpower!$C$4:$C$1048576,Manpower!$H$4:$H$1048576,"")</f>
        <v>Manpower</v>
      </c>
      <c r="I3957" s="68" t="str">
        <f>_xlfn.XLOOKUP(Table134526_79101120212223242526[[#This Row],[Name Surname]],Manpower!$C$4:$C$1048576,Manpower!$H$4:$H$1048576,"")</f>
        <v>Manpower</v>
      </c>
      <c r="J3957" s="51" t="s">
        <v>143</v>
      </c>
      <c r="K3957" s="43" t="s">
        <v>26</v>
      </c>
      <c r="L3957" s="51" t="s">
        <v>435</v>
      </c>
      <c r="M3957" s="51" t="s">
        <v>24</v>
      </c>
      <c r="N3957" s="52">
        <v>10</v>
      </c>
      <c r="O3957" s="43" t="s">
        <v>40</v>
      </c>
      <c r="P3957" s="43" t="s">
        <v>42</v>
      </c>
      <c r="Q3957" s="43" t="s">
        <v>42</v>
      </c>
      <c r="R3957" s="51" t="s">
        <v>453</v>
      </c>
      <c r="S3957" s="43"/>
    </row>
    <row r="3958" spans="1:19" ht="14.4" hidden="1">
      <c r="A3958" s="38">
        <f ca="1">IF(C3958="","",MAX($A$1:A3957)+1)</f>
        <v>0</v>
      </c>
      <c r="B3958" s="66" t="s">
        <v>141</v>
      </c>
      <c r="C3958" s="60">
        <v>46112</v>
      </c>
      <c r="D3958" s="61" t="str">
        <f>_xlfn.XLOOKUP(Table134526_79101120212223242526[[#This Row],[Name Surname]],Manpower!$C$4:$C$1048576,Manpower!$B$4:$B$1048576,"")</f>
        <v>Encogroup</v>
      </c>
      <c r="E3958" s="57" t="s">
        <v>218</v>
      </c>
      <c r="F3958" s="12">
        <f>_xlfn.XLOOKUP(Table134526_79101120212223242526[[#This Row],[Name Surname]],Manpower!C:C,Manpower!D:D,)</f>
        <v>116853914</v>
      </c>
      <c r="G3958" s="61" t="str">
        <f>_xlfn.XLOOKUP(Table134526_79101120212223242526[[#This Row],[Name Surname]],Manpower!$C$4:$C$1048576,Manpower!$F$4:$F$1048576,"")</f>
        <v>Electrical Supervisor</v>
      </c>
      <c r="H3958" s="61" t="str">
        <f>_xlfn.XLOOKUP(Table134526_79101120212223242526[[#This Row],[Name Surname]],Manpower!$C$4:$C$1048576,Manpower!$H$4:$H$1048576,"")</f>
        <v>Manpower</v>
      </c>
      <c r="I3958" s="61" t="str">
        <f>_xlfn.XLOOKUP(Table134526_79101120212223242526[[#This Row],[Name Surname]],Manpower!$C$4:$C$1048576,Manpower!$H$4:$H$1048576,"")</f>
        <v>Manpower</v>
      </c>
      <c r="J3958" s="57" t="s">
        <v>143</v>
      </c>
      <c r="K3958" s="21" t="s">
        <v>26</v>
      </c>
      <c r="L3958" s="57" t="s">
        <v>435</v>
      </c>
      <c r="M3958" s="57" t="s">
        <v>24</v>
      </c>
      <c r="N3958" s="62">
        <v>10</v>
      </c>
      <c r="O3958" s="21" t="s">
        <v>40</v>
      </c>
      <c r="P3958" s="21" t="s">
        <v>42</v>
      </c>
      <c r="Q3958" s="21" t="s">
        <v>42</v>
      </c>
      <c r="R3958" s="57" t="s">
        <v>453</v>
      </c>
    </row>
    <row r="3959" spans="1:19" s="45" customFormat="1" ht="14.4" hidden="1">
      <c r="A3959" s="53">
        <f ca="1">IF(C3959="","",MAX($A$1:A3958)+1)</f>
        <v>0</v>
      </c>
      <c r="B3959" s="54" t="s">
        <v>141</v>
      </c>
      <c r="C3959" s="55">
        <v>46112</v>
      </c>
      <c r="D3959" s="68" t="str">
        <f>_xlfn.XLOOKUP(Table134526_79101120212223242526[[#This Row],[Name Surname]],Manpower!$C$4:$C$1048576,Manpower!$B$4:$B$1048576,"")</f>
        <v>Encogroup</v>
      </c>
      <c r="E3959" s="51" t="s">
        <v>346</v>
      </c>
      <c r="F3959" s="12">
        <f>_xlfn.XLOOKUP(Table134526_79101120212223242526[[#This Row],[Name Surname]],Manpower!C:C,Manpower!D:D,)</f>
        <v>117974933</v>
      </c>
      <c r="G3959" s="68" t="str">
        <f>_xlfn.XLOOKUP(Table134526_79101120212223242526[[#This Row],[Name Surname]],Manpower!$C$4:$C$1048576,Manpower!$F$4:$F$1048576,"")</f>
        <v>Scaffolder</v>
      </c>
      <c r="H3959" s="68" t="str">
        <f>_xlfn.XLOOKUP(Table134526_79101120212223242526[[#This Row],[Name Surname]],Manpower!$C$4:$C$1048576,Manpower!$H$4:$H$1048576,"")</f>
        <v>Manpower</v>
      </c>
      <c r="I3959" s="68" t="str">
        <f>_xlfn.XLOOKUP(Table134526_79101120212223242526[[#This Row],[Name Surname]],Manpower!$C$4:$C$1048576,Manpower!$H$4:$H$1048576,"")</f>
        <v>Manpower</v>
      </c>
      <c r="J3959" s="51" t="s">
        <v>143</v>
      </c>
      <c r="K3959" s="43" t="s">
        <v>26</v>
      </c>
      <c r="L3959" s="51" t="s">
        <v>435</v>
      </c>
      <c r="M3959" s="51" t="s">
        <v>24</v>
      </c>
      <c r="N3959" s="52">
        <v>10</v>
      </c>
      <c r="O3959" s="43" t="s">
        <v>40</v>
      </c>
      <c r="P3959" s="43" t="s">
        <v>42</v>
      </c>
      <c r="Q3959" s="43" t="s">
        <v>42</v>
      </c>
      <c r="R3959" s="51" t="s">
        <v>453</v>
      </c>
      <c r="S3959" s="43"/>
    </row>
    <row r="3960" spans="1:19" ht="14.4" hidden="1">
      <c r="A3960" s="38">
        <f ca="1">IF(C3960="","",MAX($A$1:A3959)+1)</f>
        <v>0</v>
      </c>
      <c r="B3960" s="66" t="s">
        <v>141</v>
      </c>
      <c r="C3960" s="60">
        <v>46112</v>
      </c>
      <c r="D3960" s="61" t="str">
        <f>_xlfn.XLOOKUP(Table134526_79101120212223242526[[#This Row],[Name Surname]],Manpower!$C$4:$C$1048576,Manpower!$B$4:$B$1048576,"")</f>
        <v>Encogroup</v>
      </c>
      <c r="E3960" s="57" t="s">
        <v>347</v>
      </c>
      <c r="F3960" s="12">
        <f>_xlfn.XLOOKUP(Table134526_79101120212223242526[[#This Row],[Name Surname]],Manpower!C:C,Manpower!D:D,)</f>
        <v>141502853</v>
      </c>
      <c r="G3960" s="61" t="str">
        <f>_xlfn.XLOOKUP(Table134526_79101120212223242526[[#This Row],[Name Surname]],Manpower!$C$4:$C$1048576,Manpower!$F$4:$F$1048576,"")</f>
        <v>Scaffolder</v>
      </c>
      <c r="H3960" s="61" t="str">
        <f>_xlfn.XLOOKUP(Table134526_79101120212223242526[[#This Row],[Name Surname]],Manpower!$C$4:$C$1048576,Manpower!$H$4:$H$1048576,"")</f>
        <v>Manpower</v>
      </c>
      <c r="I3960" s="61" t="str">
        <f>_xlfn.XLOOKUP(Table134526_79101120212223242526[[#This Row],[Name Surname]],Manpower!$C$4:$C$1048576,Manpower!$H$4:$H$1048576,"")</f>
        <v>Manpower</v>
      </c>
      <c r="J3960" s="57" t="s">
        <v>143</v>
      </c>
      <c r="K3960" s="21" t="s">
        <v>26</v>
      </c>
      <c r="L3960" s="57" t="s">
        <v>435</v>
      </c>
      <c r="M3960" s="57" t="s">
        <v>24</v>
      </c>
      <c r="N3960" s="62">
        <v>10</v>
      </c>
      <c r="O3960" s="21" t="s">
        <v>40</v>
      </c>
      <c r="P3960" s="21" t="s">
        <v>42</v>
      </c>
      <c r="Q3960" s="21" t="s">
        <v>42</v>
      </c>
      <c r="R3960" s="57" t="s">
        <v>453</v>
      </c>
    </row>
    <row r="3961" spans="1:19" s="45" customFormat="1" ht="14.4" hidden="1">
      <c r="A3961" s="53">
        <f ca="1">IF(C3961="","",MAX($A$1:A3960)+1)</f>
        <v>0</v>
      </c>
      <c r="B3961" s="54" t="s">
        <v>141</v>
      </c>
      <c r="C3961" s="55">
        <v>46112</v>
      </c>
      <c r="D3961" s="48" t="str">
        <f>_xlfn.XLOOKUP(Table134526_79101120212223242526[[#This Row],[Name Surname]],Manpower!$C$4:$C$1048576,Manpower!$B$4:$B$1048576,"")</f>
        <v>Encogroup</v>
      </c>
      <c r="E3961" s="43" t="s">
        <v>186</v>
      </c>
      <c r="F3961" s="12">
        <f>_xlfn.XLOOKUP(Table134526_79101120212223242526[[#This Row],[Name Surname]],Manpower!C:C,Manpower!D:D,)</f>
        <v>140696961</v>
      </c>
      <c r="G3961" s="48" t="str">
        <f>_xlfn.XLOOKUP(Table134526_79101120212223242526[[#This Row],[Name Surname]],Manpower!$C$4:$C$1048576,Manpower!$F$4:$F$1048576,"")</f>
        <v>Assistant/Helper</v>
      </c>
      <c r="H3961" s="48" t="str">
        <f>_xlfn.XLOOKUP(Table134526_79101120212223242526[[#This Row],[Name Surname]],Manpower!$C$4:$C$1048576,Manpower!$H$4:$H$1048576,"")</f>
        <v>Manpower</v>
      </c>
      <c r="I3961" s="48" t="str">
        <f>_xlfn.XLOOKUP(Table134526_79101120212223242526[[#This Row],[Name Surname]],Manpower!$C$4:$C$1048576,Manpower!$H$4:$H$1048576,"")</f>
        <v>Manpower</v>
      </c>
      <c r="J3961" s="51" t="s">
        <v>143</v>
      </c>
      <c r="K3961" s="43" t="s">
        <v>26</v>
      </c>
      <c r="L3961" s="51" t="s">
        <v>435</v>
      </c>
      <c r="M3961" s="51" t="s">
        <v>24</v>
      </c>
      <c r="N3961" s="52">
        <v>10</v>
      </c>
      <c r="O3961" s="43" t="s">
        <v>40</v>
      </c>
      <c r="P3961" s="43" t="s">
        <v>42</v>
      </c>
      <c r="Q3961" s="43" t="s">
        <v>42</v>
      </c>
      <c r="R3961" s="51" t="s">
        <v>453</v>
      </c>
      <c r="S3961" s="43"/>
    </row>
    <row r="3962" spans="1:19" ht="14.4" hidden="1">
      <c r="A3962" s="38">
        <f ca="1">IF(C3962="","",MAX($A$1:A3961)+1)</f>
        <v>0</v>
      </c>
      <c r="B3962" s="66" t="s">
        <v>141</v>
      </c>
      <c r="C3962" s="60">
        <v>46112</v>
      </c>
      <c r="D3962" s="28" t="str">
        <f>_xlfn.XLOOKUP(Table134526_79101120212223242526[[#This Row],[Name Surname]],Manpower!$C$4:$C$1048576,Manpower!$B$4:$B$1048576,"")</f>
        <v>Encogroup</v>
      </c>
      <c r="E3962" s="21" t="s">
        <v>385</v>
      </c>
      <c r="F3962" s="12">
        <f>_xlfn.XLOOKUP(Table134526_79101120212223242526[[#This Row],[Name Surname]],Manpower!C:C,Manpower!D:D,)</f>
        <v>141307921</v>
      </c>
      <c r="G3962" s="28" t="str">
        <f>_xlfn.XLOOKUP(Table134526_79101120212223242526[[#This Row],[Name Surname]],Manpower!$C$4:$C$1048576,Manpower!$F$4:$F$1048576,"")</f>
        <v>Mechanical Assistant</v>
      </c>
      <c r="H3962" s="28" t="str">
        <f>_xlfn.XLOOKUP(Table134526_79101120212223242526[[#This Row],[Name Surname]],Manpower!$C$4:$C$1048576,Manpower!$H$4:$H$1048576,"")</f>
        <v>Manpower</v>
      </c>
      <c r="I3962" s="28" t="str">
        <f>_xlfn.XLOOKUP(Table134526_79101120212223242526[[#This Row],[Name Surname]],Manpower!$C$4:$C$1048576,Manpower!$H$4:$H$1048576,"")</f>
        <v>Manpower</v>
      </c>
      <c r="J3962" s="57" t="s">
        <v>143</v>
      </c>
      <c r="K3962" s="21" t="s">
        <v>26</v>
      </c>
      <c r="L3962" s="57" t="s">
        <v>435</v>
      </c>
      <c r="M3962" s="57" t="s">
        <v>24</v>
      </c>
      <c r="N3962" s="62">
        <v>10</v>
      </c>
      <c r="O3962" s="21" t="s">
        <v>40</v>
      </c>
      <c r="P3962" s="21" t="s">
        <v>42</v>
      </c>
      <c r="Q3962" s="21" t="s">
        <v>42</v>
      </c>
      <c r="R3962" s="57" t="s">
        <v>453</v>
      </c>
    </row>
    <row r="3963" spans="1:19" ht="14.4" hidden="1">
      <c r="A3963" s="38">
        <f ca="1">IF(C3963="","",MAX($A$1:A3962)+1)</f>
        <v>0</v>
      </c>
      <c r="B3963" s="66" t="s">
        <v>141</v>
      </c>
      <c r="C3963" s="60">
        <v>46112</v>
      </c>
      <c r="D3963" s="28" t="str">
        <f>_xlfn.XLOOKUP(Table134526_79101120212223242526[[#This Row],[Name Surname]],Manpower!$C$4:$C$1048576,Manpower!$B$4:$B$1048576,"")</f>
        <v>Encogroup</v>
      </c>
      <c r="E3963" s="21" t="s">
        <v>384</v>
      </c>
      <c r="F3963" s="12">
        <f>_xlfn.XLOOKUP(Table134526_79101120212223242526[[#This Row],[Name Surname]],Manpower!C:C,Manpower!D:D,)</f>
        <v>141307968</v>
      </c>
      <c r="G3963" s="28" t="str">
        <f>_xlfn.XLOOKUP(Table134526_79101120212223242526[[#This Row],[Name Surname]],Manpower!$C$4:$C$1048576,Manpower!$F$4:$F$1048576,"")</f>
        <v>Mechanical Supervisor</v>
      </c>
      <c r="H3963" s="28" t="str">
        <f>_xlfn.XLOOKUP(Table134526_79101120212223242526[[#This Row],[Name Surname]],Manpower!$C$4:$C$1048576,Manpower!$H$4:$H$1048576,"")</f>
        <v>Manpower</v>
      </c>
      <c r="I3963" s="28" t="str">
        <f>_xlfn.XLOOKUP(Table134526_79101120212223242526[[#This Row],[Name Surname]],Manpower!$C$4:$C$1048576,Manpower!$H$4:$H$1048576,"")</f>
        <v>Manpower</v>
      </c>
      <c r="J3963" s="57" t="s">
        <v>143</v>
      </c>
      <c r="K3963" s="21" t="s">
        <v>26</v>
      </c>
      <c r="L3963" s="57" t="s">
        <v>435</v>
      </c>
      <c r="M3963" s="57" t="s">
        <v>24</v>
      </c>
      <c r="N3963" s="62">
        <v>10</v>
      </c>
      <c r="O3963" s="21" t="s">
        <v>40</v>
      </c>
      <c r="P3963" s="21" t="s">
        <v>42</v>
      </c>
      <c r="Q3963" s="21" t="s">
        <v>42</v>
      </c>
      <c r="R3963" s="57" t="s">
        <v>453</v>
      </c>
    </row>
    <row r="3964" spans="1:19" ht="14.4" hidden="1">
      <c r="A3964" s="38">
        <f ca="1">IF(C3964="","",MAX($A$1:A3963)+1)</f>
        <v>0</v>
      </c>
      <c r="B3964" s="66" t="s">
        <v>141</v>
      </c>
      <c r="C3964" s="60">
        <v>46112</v>
      </c>
      <c r="D3964" s="28" t="str">
        <f>_xlfn.XLOOKUP(Table134526_79101120212223242526[[#This Row],[Name Surname]],Manpower!$C$4:$C$1048576,Manpower!$B$4:$B$1048576,"")</f>
        <v>Encogroup</v>
      </c>
      <c r="E3964" s="21" t="s">
        <v>61</v>
      </c>
      <c r="F3964" s="12">
        <f>_xlfn.XLOOKUP(Table134526_79101120212223242526[[#This Row],[Name Surname]],Manpower!C:C,Manpower!D:D,)</f>
        <v>141169047</v>
      </c>
      <c r="G3964" s="28" t="str">
        <f>_xlfn.XLOOKUP(Table134526_79101120212223242526[[#This Row],[Name Surname]],Manpower!$C$4:$C$1048576,Manpower!$F$4:$F$1048576,"")</f>
        <v>Welder</v>
      </c>
      <c r="H3964" s="28" t="str">
        <f>_xlfn.XLOOKUP(Table134526_79101120212223242526[[#This Row],[Name Surname]],Manpower!$C$4:$C$1048576,Manpower!$H$4:$H$1048576,"")</f>
        <v>Manpower</v>
      </c>
      <c r="I3964" s="28" t="str">
        <f>_xlfn.XLOOKUP(Table134526_79101120212223242526[[#This Row],[Name Surname]],Manpower!$C$4:$C$1048576,Manpower!$H$4:$H$1048576,"")</f>
        <v>Manpower</v>
      </c>
      <c r="J3964" s="57" t="s">
        <v>143</v>
      </c>
      <c r="K3964" s="21" t="s">
        <v>26</v>
      </c>
      <c r="L3964" s="57" t="s">
        <v>435</v>
      </c>
      <c r="M3964" s="57" t="s">
        <v>24</v>
      </c>
      <c r="N3964" s="62">
        <v>10</v>
      </c>
      <c r="O3964" s="21" t="s">
        <v>40</v>
      </c>
      <c r="P3964" s="21" t="s">
        <v>42</v>
      </c>
      <c r="Q3964" s="21" t="s">
        <v>42</v>
      </c>
      <c r="R3964" s="57" t="s">
        <v>453</v>
      </c>
    </row>
    <row r="3965" spans="1:19" ht="14.4" hidden="1">
      <c r="A3965" s="38">
        <f ca="1">IF(C3965="","",MAX($A$1:A3964)+1)</f>
        <v>0</v>
      </c>
      <c r="B3965" s="66" t="s">
        <v>141</v>
      </c>
      <c r="C3965" s="60">
        <v>46112</v>
      </c>
      <c r="D3965" s="28" t="str">
        <f>_xlfn.XLOOKUP(Table134526_79101120212223242526[[#This Row],[Name Surname]],Manpower!$C$4:$C$1048576,Manpower!$B$4:$B$1048576,"")</f>
        <v>Encogroup</v>
      </c>
      <c r="E3965" s="21" t="s">
        <v>383</v>
      </c>
      <c r="F3965" s="12">
        <f>_xlfn.XLOOKUP(Table134526_79101120212223242526[[#This Row],[Name Surname]],Manpower!C:C,Manpower!D:D,)</f>
        <v>71437827</v>
      </c>
      <c r="G3965" s="28" t="str">
        <f>_xlfn.XLOOKUP(Table134526_79101120212223242526[[#This Row],[Name Surname]],Manpower!$C$4:$C$1048576,Manpower!$F$4:$F$1048576,"")</f>
        <v>Electrical  Supervisor</v>
      </c>
      <c r="H3965" s="28" t="str">
        <f>_xlfn.XLOOKUP(Table134526_79101120212223242526[[#This Row],[Name Surname]],Manpower!$C$4:$C$1048576,Manpower!$H$4:$H$1048576,"")</f>
        <v>Manpower</v>
      </c>
      <c r="I3965" s="28" t="str">
        <f>_xlfn.XLOOKUP(Table134526_79101120212223242526[[#This Row],[Name Surname]],Manpower!$C$4:$C$1048576,Manpower!$H$4:$H$1048576,"")</f>
        <v>Manpower</v>
      </c>
      <c r="J3965" s="57" t="s">
        <v>143</v>
      </c>
      <c r="K3965" s="21" t="s">
        <v>26</v>
      </c>
      <c r="L3965" s="57" t="s">
        <v>435</v>
      </c>
      <c r="M3965" s="57" t="s">
        <v>24</v>
      </c>
      <c r="N3965" s="62">
        <v>10</v>
      </c>
      <c r="O3965" s="21" t="s">
        <v>40</v>
      </c>
      <c r="P3965" s="21" t="s">
        <v>42</v>
      </c>
      <c r="Q3965" s="21" t="s">
        <v>42</v>
      </c>
      <c r="R3965" s="57" t="s">
        <v>453</v>
      </c>
    </row>
    <row r="3966" spans="1:19" ht="14.4" hidden="1">
      <c r="A3966" s="38">
        <f ca="1">IF(C3966="","",MAX($A$1:A3965)+1)</f>
        <v>0</v>
      </c>
      <c r="B3966" s="66" t="s">
        <v>141</v>
      </c>
      <c r="C3966" s="60">
        <v>46112</v>
      </c>
      <c r="D3966" s="28" t="str">
        <f>_xlfn.XLOOKUP(Table134526_79101120212223242526[[#This Row],[Name Surname]],Manpower!$C$4:$C$1048576,Manpower!$B$4:$B$1048576,"")</f>
        <v xml:space="preserve">AL Omar International </v>
      </c>
      <c r="E3966" s="21" t="s">
        <v>190</v>
      </c>
      <c r="F3966" s="12">
        <f>_xlfn.XLOOKUP(Table134526_79101120212223242526[[#This Row],[Name Surname]],Manpower!C:C,Manpower!D:D,)</f>
        <v>85812175</v>
      </c>
      <c r="G3966" s="28" t="str">
        <f>_xlfn.XLOOKUP(Table134526_79101120212223242526[[#This Row],[Name Surname]],Manpower!$C$4:$C$1048576,Manpower!$F$4:$F$1048576,"")</f>
        <v>Scaffolding Supervisor</v>
      </c>
      <c r="H3966" s="28" t="str">
        <f>_xlfn.XLOOKUP(Table134526_79101120212223242526[[#This Row],[Name Surname]],Manpower!$C$4:$C$1048576,Manpower!$H$4:$H$1048576,"")</f>
        <v>Sub Contactor</v>
      </c>
      <c r="I3966" s="28" t="str">
        <f>_xlfn.XLOOKUP(Table134526_79101120212223242526[[#This Row],[Name Surname]],Manpower!$C$4:$C$1048576,Manpower!$H$4:$H$1048576,"")</f>
        <v>Sub Contactor</v>
      </c>
      <c r="J3966" s="57" t="s">
        <v>143</v>
      </c>
      <c r="K3966" s="21" t="s">
        <v>26</v>
      </c>
      <c r="L3966" s="57" t="s">
        <v>435</v>
      </c>
      <c r="M3966" s="57" t="s">
        <v>24</v>
      </c>
      <c r="N3966" s="62">
        <v>10</v>
      </c>
      <c r="O3966" s="21" t="s">
        <v>40</v>
      </c>
      <c r="P3966" s="21" t="s">
        <v>42</v>
      </c>
      <c r="Q3966" s="21" t="s">
        <v>42</v>
      </c>
      <c r="R3966" s="57" t="s">
        <v>453</v>
      </c>
    </row>
    <row r="3967" spans="1:19" s="45" customFormat="1" ht="14.4" hidden="1">
      <c r="A3967" s="53">
        <f ca="1">IF(C3967="","",MAX($A$1:A3966)+1)</f>
        <v>0</v>
      </c>
      <c r="B3967" s="54" t="s">
        <v>141</v>
      </c>
      <c r="C3967" s="55">
        <v>46112</v>
      </c>
      <c r="D3967" s="48" t="str">
        <f>_xlfn.XLOOKUP(Table134526_79101120212223242526[[#This Row],[Name Surname]],Manpower!$C$4:$C$1048576,Manpower!$B$4:$B$1048576,"")</f>
        <v>Encogroup</v>
      </c>
      <c r="E3967" s="43" t="s">
        <v>439</v>
      </c>
      <c r="F3967" s="12">
        <f>_xlfn.XLOOKUP(Table134526_79101120212223242526[[#This Row],[Name Surname]],Manpower!C:C,Manpower!D:D,)</f>
        <v>141365042</v>
      </c>
      <c r="G3967" s="48" t="str">
        <f>_xlfn.XLOOKUP(Table134526_79101120212223242526[[#This Row],[Name Surname]],Manpower!$C$4:$C$1048576,Manpower!$F$4:$F$1048576,"")</f>
        <v>Helper</v>
      </c>
      <c r="H3967" s="48" t="str">
        <f>_xlfn.XLOOKUP(Table134526_79101120212223242526[[#This Row],[Name Surname]],Manpower!$C$4:$C$1048576,Manpower!$H$4:$H$1048576,"")</f>
        <v>Manpower</v>
      </c>
      <c r="I3967" s="48" t="str">
        <f>_xlfn.XLOOKUP(Table134526_79101120212223242526[[#This Row],[Name Surname]],Manpower!$C$4:$C$1048576,Manpower!$H$4:$H$1048576,"")</f>
        <v>Manpower</v>
      </c>
      <c r="J3967" s="51" t="s">
        <v>143</v>
      </c>
      <c r="K3967" s="43" t="s">
        <v>26</v>
      </c>
      <c r="L3967" s="51" t="s">
        <v>435</v>
      </c>
      <c r="M3967" s="51" t="s">
        <v>24</v>
      </c>
      <c r="N3967" s="52">
        <v>10</v>
      </c>
      <c r="O3967" s="43" t="s">
        <v>40</v>
      </c>
      <c r="P3967" s="43" t="s">
        <v>42</v>
      </c>
      <c r="Q3967" s="43" t="s">
        <v>42</v>
      </c>
      <c r="R3967" s="51" t="s">
        <v>453</v>
      </c>
      <c r="S3967" s="43"/>
    </row>
    <row r="3968" spans="1:19" ht="14.4" hidden="1">
      <c r="A3968" s="38">
        <f ca="1">IF(C3968="","",MAX($A$1:A3967)+1)</f>
        <v>0</v>
      </c>
      <c r="B3968" s="66" t="s">
        <v>141</v>
      </c>
      <c r="C3968" s="60">
        <v>46112</v>
      </c>
      <c r="D3968" s="61" t="str">
        <f>_xlfn.XLOOKUP(Table134526_79101120212223242526[[#This Row],[Name Surname]],Manpower!$C$4:$C$1048576,Manpower!$B$4:$B$1048576,"")</f>
        <v>Encogroup</v>
      </c>
      <c r="E3968" s="57" t="s">
        <v>264</v>
      </c>
      <c r="F3968" s="12">
        <f>_xlfn.XLOOKUP(Table134526_79101120212223242526[[#This Row],[Name Surname]],Manpower!C:C,Manpower!D:D,)</f>
        <v>141365061</v>
      </c>
      <c r="G3968" s="61" t="str">
        <f>_xlfn.XLOOKUP(Table134526_79101120212223242526[[#This Row],[Name Surname]],Manpower!$C$4:$C$1048576,Manpower!$F$4:$F$1048576,"")</f>
        <v>Helper</v>
      </c>
      <c r="H3968" s="61" t="str">
        <f>_xlfn.XLOOKUP(Table134526_79101120212223242526[[#This Row],[Name Surname]],Manpower!$C$4:$C$1048576,Manpower!$H$4:$H$1048576,"")</f>
        <v>Manpower</v>
      </c>
      <c r="I3968" s="61" t="str">
        <f>_xlfn.XLOOKUP(Table134526_79101120212223242526[[#This Row],[Name Surname]],Manpower!$C$4:$C$1048576,Manpower!$H$4:$H$1048576,"")</f>
        <v>Manpower</v>
      </c>
      <c r="J3968" s="57" t="s">
        <v>143</v>
      </c>
      <c r="K3968" s="21" t="s">
        <v>26</v>
      </c>
      <c r="L3968" s="57" t="s">
        <v>435</v>
      </c>
      <c r="M3968" s="57" t="s">
        <v>24</v>
      </c>
      <c r="N3968" s="62">
        <v>10</v>
      </c>
      <c r="O3968" s="21" t="s">
        <v>40</v>
      </c>
      <c r="P3968" s="21" t="s">
        <v>42</v>
      </c>
      <c r="Q3968" s="21" t="s">
        <v>42</v>
      </c>
      <c r="R3968" s="57" t="s">
        <v>453</v>
      </c>
    </row>
    <row r="3969" spans="1:19" s="45" customFormat="1" ht="14.4" hidden="1">
      <c r="A3969" s="53" t="str">
        <f ca="1">IF(C3969="","",MAX($A$1:A3968)+1)</f>
        <v/>
      </c>
      <c r="B3969" s="54" t="s">
        <v>141</v>
      </c>
      <c r="C3969" s="55">
        <v>46112</v>
      </c>
      <c r="D3969" s="48" t="str">
        <f>_xlfn.XLOOKUP(Table134526_79101120212223242526[[#This Row],[Name Surname]],Manpower!$C$4:$C$1048576,Manpower!$B$4:$B$1048576,"")</f>
        <v>Encogroup</v>
      </c>
      <c r="E3969" s="43" t="s">
        <v>456</v>
      </c>
      <c r="F3969" s="12">
        <f>_xlfn.XLOOKUP(Table134526_79101120212223242526[[#This Row],[Name Surname]],Manpower!C:C,Manpower!D:D,)</f>
        <v>141365131</v>
      </c>
      <c r="G3969" s="48" t="str">
        <f>_xlfn.XLOOKUP(Table134526_79101120212223242526[[#This Row],[Name Surname]],Manpower!$C$4:$C$1048576,Manpower!$F$4:$F$1048576,"")</f>
        <v>Painter</v>
      </c>
      <c r="H3969" s="48" t="str">
        <f>_xlfn.XLOOKUP(Table134526_79101120212223242526[[#This Row],[Name Surname]],Manpower!$C$4:$C$1048576,Manpower!$H$4:$H$1048576,"")</f>
        <v>Manpower</v>
      </c>
      <c r="I3969" s="48" t="str">
        <f>_xlfn.XLOOKUP(Table134526_79101120212223242526[[#This Row],[Name Surname]],Manpower!$C$4:$C$1048576,Manpower!$H$4:$H$1048576,"")</f>
        <v>Manpower</v>
      </c>
      <c r="J3969" s="51" t="s">
        <v>143</v>
      </c>
      <c r="K3969" s="43" t="s">
        <v>26</v>
      </c>
      <c r="L3969" s="51" t="s">
        <v>435</v>
      </c>
      <c r="M3969" s="51" t="s">
        <v>24</v>
      </c>
      <c r="N3969" s="52">
        <v>10</v>
      </c>
      <c r="O3969" s="43" t="s">
        <v>40</v>
      </c>
      <c r="P3969" s="43" t="s">
        <v>42</v>
      </c>
      <c r="Q3969" s="43" t="s">
        <v>42</v>
      </c>
      <c r="R3969" s="51" t="s">
        <v>453</v>
      </c>
      <c r="S3969" s="43"/>
    </row>
    <row r="3970" spans="1:19" s="45" customFormat="1" ht="14.4" hidden="1">
      <c r="A3970" s="53">
        <f ca="1">IF(C3970="","",MAX($A$1:A3968)+1)</f>
        <v>0</v>
      </c>
      <c r="B3970" s="54" t="s">
        <v>141</v>
      </c>
      <c r="C3970" s="55">
        <v>46112</v>
      </c>
      <c r="D3970" s="68" t="str">
        <f>_xlfn.XLOOKUP(Table134526_79101120212223242526[[#This Row],[Name Surname]],Manpower!$C$4:$C$1048576,Manpower!$B$4:$B$1048576,"")</f>
        <v>Encogroup</v>
      </c>
      <c r="E3970" s="51" t="s">
        <v>224</v>
      </c>
      <c r="F3970" s="12">
        <f>_xlfn.XLOOKUP(Table134526_79101120212223242526[[#This Row],[Name Surname]],Manpower!C:C,Manpower!D:D,)</f>
        <v>141365094</v>
      </c>
      <c r="G3970" s="68" t="str">
        <f>_xlfn.XLOOKUP(Table134526_79101120212223242526[[#This Row],[Name Surname]],Manpower!$C$4:$C$1048576,Manpower!$F$4:$F$1048576,"")</f>
        <v>Helper</v>
      </c>
      <c r="H3970" s="68" t="str">
        <f>_xlfn.XLOOKUP(Table134526_79101120212223242526[[#This Row],[Name Surname]],Manpower!$C$4:$C$1048576,Manpower!$H$4:$H$1048576,"")</f>
        <v>Manpower</v>
      </c>
      <c r="I3970" s="68" t="str">
        <f>_xlfn.XLOOKUP(Table134526_79101120212223242526[[#This Row],[Name Surname]],Manpower!$C$4:$C$1048576,Manpower!$H$4:$H$1048576,"")</f>
        <v>Manpower</v>
      </c>
      <c r="J3970" s="51" t="s">
        <v>143</v>
      </c>
      <c r="K3970" s="43" t="s">
        <v>26</v>
      </c>
      <c r="L3970" s="51" t="s">
        <v>435</v>
      </c>
      <c r="M3970" s="51" t="s">
        <v>24</v>
      </c>
      <c r="N3970" s="52">
        <v>10</v>
      </c>
      <c r="O3970" s="43" t="s">
        <v>40</v>
      </c>
      <c r="P3970" s="43" t="s">
        <v>42</v>
      </c>
      <c r="Q3970" s="43" t="s">
        <v>42</v>
      </c>
      <c r="R3970" s="51" t="s">
        <v>453</v>
      </c>
      <c r="S3970" s="43"/>
    </row>
  </sheetData>
  <sheetProtection autoFilter="0"/>
  <conditionalFormatting sqref="A2:A3970">
    <cfRule type="expression" dxfId="74" priority="139">
      <formula>$M2="Idle"</formula>
    </cfRule>
  </conditionalFormatting>
  <conditionalFormatting sqref="E2:E421 E434 E443 E492 E494 E502 E516 E552:E553 E573 E582 E630 E640 E654 E689:E690 E710 E719 E767 E777 E791 E826:E827 E847 E857 E909 E919 E932 E966:E967 E975:E1049 E1051:E1114 E1131 E1139 E1188:E1189 E1200 E1211 E1245:E1246 E1279 E1287 E1338:E1339 E1352 E1363 E1401:E1402 E1435 E1442 E1491:E1492 E1502 E1513 E1547:E1548 E1577 E1584 E1625:E1626 E1636 E1647 E1680:E1681 E1714 E1722 E1775:E1776 E1786 E1797 E1829:E1830 E1862 E1870 E1927:E1928 E1940 E1951 E1980:E1981 E1996 E2004 E2067:E2068 E2082 E2093 E2125:E2126 E2158 E2165 E2229 E2244 E2285:E2286 E2312 E2319 E2387 E2402 E2435:E2436 E2464 E2471 E2545 E2559 E2593:E2594 E2620 E2627 E2712 E2726 E2766:E2767 E2796 E2804 E2883 E2897 E2932:E2933 E2961 E2968 E3032 E3044 E3061 E3096:E3100 E3121 E3128 E3198 E3212 E3244:E3245 E3266 E3273 E3344 E3358 E3393:E3394 E3416 E3423 E3512 E3525 E3562:E3563 E3598 E3605 E3699 E3713 E3751:E3753 E3790 E3797 E3895 E3909 E3954:E3955">
    <cfRule type="expression" dxfId="73" priority="135">
      <formula>COUNTIFS($C:$C,$C2,$E:$E,$E2)&gt;1</formula>
    </cfRule>
  </conditionalFormatting>
  <conditionalFormatting sqref="N2:N146 N149:N282 N284 N325 N332 N334 N338 N342 N352 N378:N379 N406:N420 N422:N442 N444:N559 N561:N581 N583:N696 N698:N718 N720:N819 N833:N834 N857 N890:N891 N893:N895 N908 N957 N975 N1033 N1046:N1047 N1094 N1115 N1174 N1188 N1237 N1324 N1338 N1344 N1389 N1475:N1479 N1491 N1496 N1538 N1647:N1648 N1672 N1689 N1757:N1759 N1820 N1909:N1914 N1927 N1973 N2051 N2067 N2118 N2205 N2216 N2275:N2279 N2361 N2374 N2425 N2428:N2429 N2532 N2586 N2699 N2755 N3087 N3236 N3385 N3553 N3740 N3946">
    <cfRule type="expression" dxfId="72" priority="138">
      <formula>SUMIFS($O:$O,$C:$C,$C2,$E:$E,$E2)&gt;12</formula>
    </cfRule>
  </conditionalFormatting>
  <dataValidations count="7">
    <dataValidation type="list" allowBlank="1" showInputMessage="1" showErrorMessage="1" sqref="Q146 Q3640:Q3668 Q2066 Q103 Q96 Q106 Q121 Q124 Q129:Q131 Q143 Q3378:Q3388 Q281 Q162 Q165:Q166 Q240 Q243 Q251 Q258 Q261 Q266:Q267 Q278 Q148:Q149 Q2847:Q2869 Q172:Q193 Q959 Q1071 Q1084 Q1067:Q1068 Q1077:Q1082 Q1073:Q1075 Q1020:Q1024 Q1106:Q1109 Q1060:Q1064 Q883 Q1093:Q1096 Q1212 Q1225:Q1226 Q1208:Q1209 Q1218:Q1223 Q1202:Q1205 Q1026:Q1031 Q1236:Q1238 Q3871 Q1214:Q1216 Q1364 Q1378:Q1379 Q1360:Q1361 Q1370:Q1376 Q1354:Q1357 Q1388:Q1390 Q1404:Q1405 Q2098:Q2103 Q865 Q3769:Q3814 Q874 Q1164:Q1170 Q1366:Q1368 Q1514 Q1527:Q1528 Q1510:Q1511 Q1520:Q1525 Q1504:Q1507 Q1537:Q1539 Q1549:Q1551 Q1496 Q26 Q975:Q993 Q1033:Q1045 Q198:Q216 Q1140:Q1156 Q1686:Q1718 Q1159:Q1162 Q12 Q15:Q16 Q834 Q844 Q847:Q848 Q858 Q1288:Q1320 Q1252:Q1283 Q1193:Q1194 Q1553:Q1580 Q1343:Q1347 Q1638:Q1639 Q1650:Q1652 Q1648 Q1662 Q1654 Q1644:Q1645 Q1659 Q1641 Q1671 Q1673 Q1683:Q1684 Q1630 Q1047 Q1809:Q1810 Q1794:Q1795 Q1802:Q1807 Q1788:Q1791 Q1819:Q1821 Q1831:Q1832 Q1780 Q1111:Q1135 Q1798:Q1800 Q1962:Q1963 Q1948:Q1949 Q1942:Q1945 Q1972:Q1974 Q1982:Q1983 Q1933 Q1952:Q1954 Q940:Q943 Q1977 Q1979 Q1516:Q1518 Q112:Q116 Q133 Q924 Q935 Q1173:Q1175 Q1968:Q1970 Q1815:Q1817 Q1667:Q1669 Q1533:Q1535 Q1384:Q1386 Q1231:Q1234 Q1089:Q1091 Q1956:Q1960 Q1585:Q1625 Q2090:Q2091 Q2084:Q2087 Q2117:Q2119 Q3627:Q3638 Q2073 Q2069:Q2070 Q2122 Q1986:Q2000 Q1248:Q1249 Q2113:Q2115 Q2094:Q2096 Q2105:Q2108 Q2233:Q2236 Q2219:Q2220 Q2282 Q2268:Q2270 Q2437 Q3577:Q3622 Q2239:Q2242 Q2287 Q2391:Q2394 Q2424:Q2428 Q2430 Q2377:Q2378 Q2432 Q2420:Q2422 Q2397:Q2400 Q2577:Q2583 Q1914:Q1926 Q1759:Q1760 Q1478 Q2595 Q2548:Q2551 Q2588 Q2403:Q2415 Q2590 Q2245:Q2263 Q2554:Q2557 Q2535:Q2538 Q2768 Q2715:Q2718 Q2763 Q957 Q2721:Q2724 Q2930 Q2702:Q2705 Q2726:Q2738 Q2018:Q2038 Q2934 Q2886:Q2889 Q2928 Q2585:Q2586 Q2892:Q2895 Q2320:Q2373 Q2560:Q2572 Q3053:Q3059 Q3047:Q3050 Q3095 Q2897:Q2911 Q3212:Q3224 Q3099:Q3101 Q3190:Q3191 Q3246 Q3201:Q3204 Q3241 Q3207:Q3210 Q3251:Q3272 Q2670:Q2671 Q22:Q24 Q995:Q996 Q1137:Q1138 Q1285:Q1286 Q1440:Q1441 Q1582:Q1583 Q1720:Q1721 Q1868:Q1869 Q2002:Q2003 Q1835:Q1866 Q2293:Q2318 Q2137:Q2164 Q2636:Q2667 Q2816:Q2839 Q3106:Q3127 Q3129:Q3187 Q28:Q53 Q3336:Q3337 Q3395 Q3347:Q3350 Q3390 Q3353:Q3356 Q2272:Q2280 T2876 Q2916:Q2926 Q3080:Q3090 Q3229:Q3239 Q78:Q80 Q58:Q76 Q1327:Q1337 Q1177:Q1187 Q1006:Q1017 Q1480:Q1490 Q1443:Q1475 Q1764:Q1774 Q1871:Q1910 Q2040:Q2063 Q2480:Q2531 Q2676:Q2698 Q2842:Q2843 Q2601:Q2626 Q2845 Q3022:Q3030 Q1323:Q1325 Q3358:Q3373 Q3537:Q3541 Q3525 Q3529:Q3530 Q3446:Q3456 Q3554:Q3555 Q3516 Q3550:Q3552 Q3496:Q3497 Q2981:Q3016 Q3458:Q3486 Q3724:Q3728 Q3713 Q3717:Q3718 Q3819:Q3832 Q3741:Q3742 Q3703 Q3737:Q3739 Q3680:Q3681 Q998:Q1003 Q1723:Q1728 Q2005:Q2015 Q2166:Q2215 Q2472:Q2476 Q2628:Q2632 Q2805:Q2814 Q2774:Q2788 Q2969:Q2978 Q3274:Q3333 Q3834:Q3862 Q3400:Q3441 Q3922:Q3926 Q3909 Q3913:Q3914 Q3876:Q3877 Q3947:Q3948 Q3899 Q3943:Q3945 Q2443:Q2470 Q2791:Q2803 Q1407:Q1438 Q1731:Q1755 Q2939:Q2967 Q2873:Q2876 Q2743:Q2758 Q3034:Q3037 Q3061:Q3075 Q3092 Q2127:Q2128" xr:uid="{F1C19A2C-B430-4408-B386-6DC5FE84B7F2}">
      <formula1>INDIRECT(SUBSTITUTE(O12," ",""))</formula1>
    </dataValidation>
    <dataValidation type="list" allowBlank="1" showInputMessage="1" showErrorMessage="1" sqref="P43 P1978:Q1978 O109:Q110 P3378:P3389 P104:Q105 P46:P47 P107:Q108 P218:Q239 P22:P23 P183 P148:P149 O246:Q247 P165:P166 P241:Q242 P186:P187 P244:Q245 P199:P207 P100:Q102 P1100:Q1102 Q1065:Q1066 P1020:P1021 Q1069 Q1059 Q1110 P959 Q1072 P1071:P1084 P1092:Q1092 Q1076 Q1083 P1033:P1037 P1099 P1051:P1054 P1057:Q1057 P1059:P1069 P3856:P3858 P1242:Q1244 Q1206:Q1207 Q1210 Q1201 Q1251 Q1213 Q1224 P1235:Q1235 Q1217 P3918:Q3921 P1241 P1327:P1330 P1199:Q1199 P1093:P1097 P1212:P1226 P1236:P1239 P1105:P1114 P1398:Q1400 Q1358:Q1359 P1307:P1308 Q1362 Q1353 Q1406 Q1365 Q1377 P1387:Q1387 Q1369 P1159 P1351:Q1351 P1201:P1210 P1364:P1379 P1388:P1391 P1342:P1348 P1397 Q1508:Q1509 P1463:P1464 Q1512 Q1503 Q1515 Q1526 P1536:Q1536 Q1519 P1497:P1498 P1501:Q1501 P1353:P1362 P1514:P1528 P1537:P1540 P1393:P1394 P1174 P71:P76 P1495 P1544 P1545:Q1546 P1503:P1512 Q1552 P1651:P1654 Q1642:Q1643 P1601:P1602 Q1646 Q1640 Q1637 Q1649 P1648:P1649 Q1660 P1671 P1670:Q1670 Q1653 P1631:P1632 P1635:Q1635 P1637:P1646 P1659:P1660 P1662 P1673:P1674 P1613:P1617 P1629 P1677 P1678:Q1679 P1682:P1689 Q1685 Q1792:Q1793 P1744:P1745 Q1796 Q1787 Q1808 P1818:Q1818 Q1801 P1781:P1782 P1785:Q1785 P1549:P1556 P1819:P1822 P1915:P1919 P1779 P1826 P1827:Q1828 Q1833:Q1834 P1831:P1838 P1798:P1810 Q1946:Q1947 P1897:P1898 Q1950 Q1941 Q1961 P1971:Q1971 Q1955 P1931:P1932 P1939:Q1939 P1787:P1796 P1972:P1975 P1934:P1936 P1979 Q1984:Q1985 P1982:P1989 P3095 Q97:Q99 P106 P112:P116 P133 P924 P935 P940:P943 P1941:P1950 P1759:P1760 P1968:P1970 P1815:P1817 P1667:P1669 P1533:P1535 P1384:P1386 P1231:P1234 P1089:P1091 P1952:P1963 Q2088:Q2089 P2040:P2041 Q2092 Q2083 Q2104 P2116:Q2116 Q2097 P2117:P2120 P2074:P2076 P2069:P2070 P2123:Q2124 P2083:P2092 P1480:P1483 P2113:P2115 Q2129:Q2136 P2205:P2208 Q2243 Q2232 P2271:Q2271 Q2288:Q2292 P2228:Q2228 P2272:P2281 P2223:P2225 P2219:P2220 P2283:Q2284 P1403:P1410 P2268:P2270 P1250:Q1250 P2194 P2232:P2243 Q2237:Q2238 P2287:P2295 Q2401 Q2390 P2424:P2428 P2423:Q2423 P2386:Q2386 P2430:P2431 P2381:P2383 P2377:P2378 P2433:Q2434 P2420:P2422 P2350 P2390:P2401 Q2395:Q2396 P2361:P2366 P2702:P2705 P2079:Q2079 Q2558 Q2547 P2584:Q2584 Q2596:Q2600 P2544:Q2544 P2588:P2589 P2403:P2415 P2591:Q2592 P2245:P2263 P2512 P2547:P2558 Q2552:Q2553 P2522:P2527 P2541 P2595:P2602 P2535:P2538 Q2725 Q2714 Q2769:Q2773 P2764:Q2765 P131 P2676 P2577:P2583 Q2719:Q2720 P2689:P2694 P2708 P2768:P2775 P2714:P2738 Q2896 Q2885 P2585:P2586 P2847 Q2890:Q2891 P2879 P2560:P2572 P2931:Q2931 P2860:P2866 P2934:P2941 Q3060 Q3046 P2743:P2762 P3002 Q3051:Q3052 P3040 P2885:P2911 P3099:P3107 P2055:P2057 Q3102:Q3105 Q3205:Q3206 P3246:P3252 P3212:P3224 P3163 Q3200 P3194 P3242:Q3243 P3190:P3191 P3177:P3183 P3211:Q3211 P3200:P3210 Q3247:Q3250 Q3351:Q3352 P3395:P3401 P3022:P3027 P3309 Q3346 P3340 P3391:Q3392 P3336:P3337 P3323:P3329 P3357:Q3357 P3346:P3356 Q3396:Q3399 P957 S2876 P2916:P2927 P3080:P3092 P3229:P3240 P61:P68 P210:P216 P59 P1324 P1177:P1180 P1475 P1764:P1767 P1909 P2051:P2053 P3016 P3358:P3373 P3046:P3075 P3516 P3554:P3555 P3553:Q3553 P3477:P3478 P3517:Q3524 P3531:Q3536 P3462 P3525 P3526:Q3528 P3529:P3530 P3537:P3541 P3546:Q3549 P3550:P3552 P3501:Q3515 P3480:P3482 P3719:Q3723 P3703 P3741:P3742 P3740:Q3740 P78:P99 P3659:P3660 P3564:Q3576 P3704:Q3712 P3644 P3713 P3714:Q3716 P3717:P3718 P3724:P3728 P3733:Q3736 P3737:P3739 P2127:P2139 P3662:P3664 P3931:Q3942 P3899 P3947:P3948 P3946:Q3946 P3900:Q3908 P3853:P3854 P3743:Q3750 P3949:Q3953 P3838 P3909 P3910:Q3912 P3913:P3914 P3922:P3926 P3956:Q3970 P3943:P3945 P3685:Q3702 P1192:P1196 Q2935:Q2938 P2929:Q2929 P2873:P2876 P3756:Q3768 P3034:P3037 P3556:Q3561 P3093:Q3094 Q81:Q95 P3753:Q3754 P3915:Q3916 P1247:P1249 P1251:P1257 P2437:P2445 Q2438:Q2442 P2094:P2108 P3881:Q3898" xr:uid="{60A6C83E-2D57-4C02-A43E-50ED824CE73D}">
      <formula1>INDIRECT(SUBSTITUTE(N22," ",""))</formula1>
    </dataValidation>
    <dataValidation type="list" allowBlank="1" showInputMessage="1" showErrorMessage="1" sqref="M92:M98 M112 M108:M109 M2375:M2381 M134 M142 M2:M4 M50:M52 M115:M117 M1783:M1828 M1053 M1193:M1195 M1349:M1400 M54:M58 M1496:M1497 M857 M1780:M1781 M1933:M1934 M1189:M1191 M1403:M1490 M2077:M2124 M1197:M1244 M1055:M1102 M918:M919 M2384:M2434 M1048:M1050 M2127:M2215 M1937:M1979 M2533:M2592 M1492:M1494 M1339:M1341 M86:M90 M1928:M1930 M2068:M2074 M2217:M2223 M2226:M2284 M148:M833 M6:M28 M60 M1105:M1187 M1343:M1347 M1982:M2066 M2287:M2373 M1247:M1337 M891:M892 M1831:M1926 M1499:M1546 M1549:M1778 M975:M1045 M2595:M2931 M2437:M2531 M2934:M3970" xr:uid="{3B4F895C-D156-4343-A468-336E028B475C}">
      <formula1>"Day,Night,Idle"</formula1>
    </dataValidation>
    <dataValidation type="whole" allowBlank="1" showInputMessage="1" showErrorMessage="1" sqref="N338 N1538 N1672 N1820 N1757:N1759 N1033 N1324 N1046:N1047 N1174 N1496 N378:N379 N957 N1094 N1237 N1389 N1647:N1648 N284 N833:N834 N1689 N975 N1115 N444:N559 N406:N420 N1973 N1909:N1914 N2699 N334 N342 N325 N2361 N2118 N2051 N332 N3385 N422:N442 N352 N698:N718 N2205 N2275:N2279 N561:N581 N149:N282 N857 N3740 N2425 N2428:N2429 N2586 N2755 N3087 N3236 N720:N819 N583:N696 N1344 N1188 N1338 N908 N1491 N1927 N2067 N2216 N2374 N2532 N1475:N1479 N890:N891 N893:N895 N3553 N3946 N2:N146" xr:uid="{991F26EC-2DBA-468E-A9D5-684B80011476}">
      <formula1>0</formula1>
      <formula2>12</formula2>
    </dataValidation>
    <dataValidation type="list" allowBlank="1" showDropDown="1" showInputMessage="1" showErrorMessage="1" sqref="I2" xr:uid="{E6284C37-7FD3-45BF-9432-E3FE83E24098}">
      <formula1>"Manpower,Equipment"</formula1>
    </dataValidation>
    <dataValidation type="list" allowBlank="1" showInputMessage="1" showErrorMessage="1" sqref="H1584:I1584 H307 H443 H582 H719 H857 H997 H1139 H1287 H3273:I3273 H1442 H1722 H1870:I1870 H2004:I2004 H2165:I2165 H2319:I2319 H2471:I2471 H2627:I2627 H2804:I2804 H2968:I2968 H3128:I3128 H3423:I3423 H3605:I3605 H3797:I3797 I1690:I1780 I3:I1496 H2:H282" xr:uid="{53923416-E890-42D9-B91E-8F82A2246160}">
      <formula1>"Manpower,Equipment"</formula1>
    </dataValidation>
    <dataValidation type="date" operator="greaterThan" allowBlank="1" showInputMessage="1" showErrorMessage="1" sqref="C3128 C1139 C1287 C1442 C1584 C1722 C1870 C2004 C2165 C2319 C2471 C2627 C2804 C2968 C2:C1114" xr:uid="{55BD463E-AB07-4D48-93D6-B7ACB55719E0}">
      <formula1>45980</formula1>
    </dataValidation>
  </dataValidations>
  <pageMargins left="0.7" right="0.7" top="0.75" bottom="0.75" header="0.3" footer="0.3"/>
  <pageSetup orientation="portrait"/>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D6671E39-E576-4AFD-BD05-41DA30975AB1}">
          <x14:formula1>
            <xm:f>Tasks!$A:$A</xm:f>
          </x14:formula1>
          <xm:sqref>P117:Q120 P139:Q139 O993:O1019 O144:Q145 O146 P122:Q123 P2672:Q2675 O883 O3192:Q3193 O1055:Q1056 O1058:Q1058 O1053 O959 O1099:O1102 P1188:Q1189 P1070:Q1070 P1085:Q1088 O1049:Q1050 O1197:Q1198 O1200:Q1200 O1193:O1195 O1241:O1244 P1211:Q1211 P1227:Q1230 P1338:Q1339 O1190:Q1191 O1349:Q1350 O1352:Q1352 O491:Q491 O1396:O1400 P1363:Q1363 P1380:Q1383 O975:O991 O3395:O3461 O865 O1393:O1394 P1491:Q1492 O1340:Q1341 O1499:Q1500 O1502:Q1502 O1542:O1546 P1513:Q1513 P1529:Q1532 O719 P3669:Q3678 O874 O1025:O1048 P54:Q57 O1496:O1497 O908:Q908 O834 O844 O847:O848 O857:O858 P1176:Q1176 P1626:Q1626 O1493:Q1494 O1633:Q1634 O1636:Q1636 O1676:O1679 P1647:Q1647 P1663:Q1666 P1672:Q1672 O1630:O1631 O1606:O1626 P1775:Q1776 O1627:Q1628 O1783:Q1784 O1786:Q1786 P1797:Q1797 P1811:Q1814 O1780:O1781 O1549:O1600 O1343:O1347 O147:Q147 P1927:Q1928 O1777:Q1778 O1937:Q1938 O1940:Q1940 P1951:Q1951 P1964:Q1967 O1933:O1934 P1172:Q1172 O111:Q111 O924 O935 O940:O943 O1477:Q1477 O1637:O1674 O1787:O1822 P132:Q132 O1929:Q1930 O2077:Q2078 P2093:Q2093 P2109:Q2112 O2073:O2074 O1105:O1158 P2067:Q2068 O2069:P2070 O2071:Q2072 O2226:Q2227 O2080:Q2082 P2244:Q2244 P2264:Q2267 P2216:Q2218 O2219:P2220 O2195 O1914:O1928 O2381 P3294:P3300 O2223 O2221:Q2222 O2384:Q2385 O2229:Q2231 P2402:Q2402 P2416:Q2419 P2374:Q2376 O2377:P2378 O1982:O2039 O2351 O2387:Q2389 O2199:O2218 P2039:Q2039 O1762:Q1762 O2541 O2379:Q2380 O2542:Q2543 P2559:Q2559 P2573:Q2576 P2532:Q2534 O2545:Q2546 O2535:P2538 O2355:O2376 O2708 O2539:Q2540 P2739:Q2742 P2699:Q2701 O2934:O3001 O2702:P2705 P2499:P2504 O2709:Q2713 O2516:O2534 O2879 O2706:Q2707 P2912:Q2915 P2870:Q2872 O1824:O1828 O2880:Q2884 P2064:Q2065 O2681:O2701 P2655:P2660 O3099:O3162 O3040 O2877:Q2878 P3076:Q3079 O3041:Q3045 P2846:Q2846 O3190:P3191 O3194 O3338:Q3339 P3225:Q3228 P3188:Q3189 O3169:O3189 O3195:Q3199 P2826:P2832 P2988:P2994 P2815:Q2815 P3148:P3154 P3031:Q3033 O170 O307 O443 O582 O3336:P3337 O3340 O3038:Q3039 P3374:Q3377 P3334:Q3335 O3315:O3335 O3341:Q3345 P2429:Q2429 O957 O1059:O1097 O1201:O1239 O1353:O1391 O1503:O1540 O1941:O1979 O3564:O3643 O891:Q892 O2390:O2434 P2587:Q2587 S2876 O2547:O2592 O2885:O2931 O2260:O2284 O3200:O3243 P77:Q77 O217:Q217 O457:Q457 O2852:O2872 P1048:Q1048 P1046:Q1046 P1326:Q1326 O1326:O1339 O1312:O1324 O1176:O1189 O1163:O1174 P1476:Q1476 P1479:Q1479 O1479:O1492 O1468:O1476 P1756:Q1758 P1763:Q1763 P1761:Q1761 O1749:O1761 O1763:O1776 P1911:Q1912 O1902:O1912 O1913:Q1913 O2045:O2053 O2055:O2068 P2668:Q2669 O1247:O1306 O2844:O2846 P2840:Q2841 P2844:Q2844 O3008:O3033 P3017:R3019 P3021:R3021 P3020:Q3020 P1321:Q1322 O3346:O3392 O3480:O3482 P3542:Q3545 O3485:O3495 O3498:Q3500 P3442:Q3445 P3448:P3454 P2979:Q2980 P3457:Q3457 O3468:O3478 P3487:Q3495 O2714:O2765 O3662:O3664 P3729:Q3732 O3682:Q3684 P3623:Q3626 O3753:O3837 P3639:Q3639 O3650:O3660 P1004:Q1005 P1729:Q1730 P2016:Q2017 O1831:O1896 P2477:Q2479 P2633:Q2635 O2595:O2675 O2768:O2841 O3246:O3308 O2127:O2193 O3856:O3858 P3927:Q3930 O3956:O3970 O3878:Q3880 P3815:Q3818 O3046:O3095 P3833:Q3833 O3844:O3854 O2083:O2124 P1703 O2287:O2349 P2789:Q2790 O1403:O1462 O1682:O1743 P3917:Q3917 O2232:O2253 O2254:P2259 O2873:P2876 P3755:Q3755 O3034:P3037 O3501:O3561 P3863:Q3870 O3861:O3870 O3872:Q3875 O3679:Q3679 O3667:O3678 O112:O143 O2:O108 O3685:O3750 O2437:O2511 P3821:P3830 P3629:P3636 O3881:O3953</xm:sqref>
        </x14:dataValidation>
        <x14:dataValidation type="list" allowBlank="1" showInputMessage="1" showErrorMessage="1" xr:uid="{071DB51C-AC6C-4B7D-B271-8D502C004601}">
          <x14:formula1>
            <xm:f>Tasks!$E:$E</xm:f>
          </x14:formula1>
          <xm:sqref>P58 P1468:P1474 P146 P3667:P3668 P69:P70 P103 Q1722 Q1934 P121 P124 P129:P130 P143 Q2804 P44:P45 Q17:Q21 P3844:P3852 Q994 Q1018:Q1019 Q3273 Q1025 Q1032 Q1053 P1542:P1543 Q1136 Q1157:Q1158 Q1163 Q1171 P1038:P1045 P857:Q857 Q1284 P1181:P1187 P2845 Q1287 P874 Q27 P1396 Q1439 P1331:P1337 P1047 Q997 P1026:P1032 P883 P1496 Q2:Q11 Q13:Q14 P48:P53 P1731:P1743 P1704:P1728 Q1497 Q1195 Q1139 P1606:P1612 P1676 Q1581 P1618:P1625 P1630 Q1631 Q1442 P1173 P3577:P3622 Q1719 P1484:P1490 P1780 Q1781 Q1584 P1902:P1908 P1976 Q1867 P1768:P1774 P1933 P2073 Q2074 P2121 Q2001 P1920:P1926 Q1870 Q2223 P2209:P2215 P2195 Q2004 Q2381 P2351 Q2165 P2355:P2360 P2199:P2204 P2045:P2050 Q2541 P2516:P2521 P2367:P2373 Q2708 P2505:P2511 P2528:P2531 P2681:P2688 Q2879 P2852:P2859 P2695:P2698 P2066 Q3040 P3008:P3015 P2867:P2869 Q2627 Q3194 P3169:P3176 P3184:P3187 Q2319 Q2471 P2670:P2671 P2995:P3001 Q2968 P3155:P3162 P2:P21 Q25 P170:Q170 P307:Q307 P443:Q443 P582:Q582 P719:Q719 P1115:P1158 P975:P991 P24:P42 P1006:P1019 P1557:P1600 P1411:P1462 P1914 P2018:P2038 P2480:P2498 P2636:P2654 P2816:P2825 P3108:P3147 Q3128 Q3340 P3315:P3322 P3330:P3333 P3301:P3308 P2942:P2978 P3028:P3030 P60 P1164:P1171 P1749:P1755 P1910 P2058:P2063 P2661:P2667 P2833:P2839 P1323 P1312:P1320 P3455:P3456 P3446:P3447 P3458:P3461 P2981:P2987 P3468:P3476 P3485:P3486 P3637:P3638 P3627:P3628 P3640:P3643 P3769:P3814 P3650:P3658 P993:P1003 P1258:P1306 P1990:P2015 P1839:P1896 P2140:P2193 P2603:P2632 P2776:P2788 P3253:P3293 P3861:P3862 P3831:P3832 P3819:P3820 P3834:P3837 P3402:P3441 P2296:P2349 P1690:P1702 P2446:P2476 P2791:P2814 P1824:P1825</xm:sqref>
        </x14:dataValidation>
        <x14:dataValidation type="list" allowBlank="1" showInputMessage="1" showErrorMessage="1" xr:uid="{C61CA1D7-4CA0-4D98-9A54-AADE5121C37E}">
          <x14:formula1>
            <xm:f>Tasks!$N$2:$N$1048576</xm:f>
          </x14:formula1>
          <xm:sqref>L3106:L3199 L2293:L2389 L90:L98 L100:L101 L103:L104 L2715:L2718 L106:L108 L119:L127 L129 L110:L117 L140:L144 L2137:L2231 L230:L236 L239:L240 L242:L243 L245:L247 L249:L256 L258:L266 L268 L270:L275 L277:L281 L364:L370 L373:L374 L376:L377 L379:L381 L383:L390 L392:L400 L402 L404:L409 L411:L415 L417:L420 L504:L510 L513:L514 L516:L517 L519:L521 L523:L530 L532:L540 L542 L2930 L552:L556 L146:L228 L642:L648 L651:L652 L654:L655 L657:L659 L661:L668 L670:L678 L680 L682:L687 L689:L693 L558:L586 L779:L785 L788:L789 L791:L792 L794:L796 L798:L805 L807:L815 L817 L819:L824 L826:L830 L929:L930 L932:L933 L921:L926 L935:L937 L946:L953 L939:L944 L966:L970 L596:L640 L955:L962 L1067:L1068 L1070:L1071 L1060:L1064 L1073:L1075 L1084:L1091 L1077:L1082 L1103:L1107 L695:L777 L1093:L1099 L1208:L1209 L1211:L1212 L1202:L1205 L1214:L1216 L1218:L1223 L1236:L1241 L2098:L2103 L2601:L2713 L1225:L1234 L1360:L1361 L1363:L1364 L1354:L1357 L1366:L1368 L1370:L1376 L1111:L1200 L1401:L1405 L544:L550 L1378:L1386 L1510:L1511 L1513:L1514 L1504:L1507 L1516:L1518 L1520:L1525 L1407:L1502 L1527:L1535 L1638:L1641 L1644:L1645 L1647:L1648 L1650:L1652 L1654:L1659 L1661:L1669 L1671:L1677 L1680:L1684 L283:L362 L1547:L1551 L1794:L1795 L1797:L1800 L1788:L1791 L1802:L1807 L3061:L3092 L1829:L1832 L1809:L1817 L1948:L1949 L1951:L1954 L1942:L1945 L1956:L1960 L1972:L1977 L1962:L1970 L1979:L1983 L1553:L1636 L2090:L2091 L2084:L2087 L2093:L2096 L1245:L1249 L2117:L2122 L2125:L2128 L832:L919 L2105:L2115 L2239:L2242 L2233:L2236 L2285:L2287 L1763:L1786 L1819:L1826 L2397:L2400 L2391:L2394 L2272:L2282 L2435:L2437 L2402:L2422 L2554:L2557 L3212:L3241 L2593:L2595 L2585:L2590 L2244:L2270 L2721:L2724 L2548:L2551 L2766:L2768 L1252:L1352 L2886:L2889 L2774:L2884 L2892:L2895 L2932:L2934 L1986:L2082 L3047:L3050 L3244:L3246 L2897:L2928 L3201:L3204 L3095:L3101 L3207:L3210 L3251:L3345 L3393:L3395 L3347:L3350 L2424:L2432 L3353:L3356 L2559:L2583 L1388:L1397 L2:L88 L3358:L3390 L1835:L1940 L2443:L2546 L1537:L1544 L1686:L1761 L972:L1058 L422:L502 L3053:L3059 L2726:L2763 L2939:L3045 L131:L138 L3400:L3970</xm:sqref>
        </x14:dataValidation>
        <x14:dataValidation type="list" allowBlank="1" showInputMessage="1" showErrorMessage="1" xr:uid="{C70F9E3C-1779-4D98-B9AE-A9B82CD03B4A}">
          <x14:formula1>
            <xm:f>Manpower!$C$4:$C$1048576</xm:f>
          </x14:formula1>
          <xm:sqref>E2:E148 E1113 E364 E220 E1050 E356 E413:E414 E1103:E1104 E277:E278 E242 E1070 E1046:E1048 E298 E217:E218 E989 E161 E307 E997 E170 E352 E986 E1004:E1006 E1058 E228 E421:E974 E1115:E3970 E285</xm:sqref>
        </x14:dataValidation>
        <x14:dataValidation type="list" allowBlank="1" showInputMessage="1" showErrorMessage="1" xr:uid="{049938D5-10B1-41A8-9B18-3800DEE9199F}">
          <x14:formula1>
            <xm:f>Tasks!$M$2:$M$1048576</xm:f>
          </x14:formula1>
          <xm:sqref>J2:J3970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7"/>
  <sheetViews>
    <sheetView topLeftCell="D1" workbookViewId="0">
      <selection activeCell="N19" sqref="N19"/>
    </sheetView>
  </sheetViews>
  <sheetFormatPr defaultColWidth="9" defaultRowHeight="14.4"/>
  <cols>
    <col min="1" max="1" width="24.109375" customWidth="1"/>
    <col min="2" max="2" width="28.44140625" customWidth="1"/>
    <col min="3" max="3" width="31.109375" customWidth="1"/>
    <col min="4" max="5" width="29.109375" customWidth="1"/>
    <col min="6" max="6" width="25.109375" customWidth="1"/>
    <col min="7" max="7" width="26" customWidth="1"/>
    <col min="8" max="8" width="26.88671875" customWidth="1"/>
    <col min="9" max="9" width="27.88671875" customWidth="1"/>
    <col min="10" max="10" width="16.88671875" customWidth="1"/>
    <col min="11" max="11" width="21.44140625" customWidth="1"/>
    <col min="13" max="13" width="18.33203125" bestFit="1" customWidth="1"/>
    <col min="14" max="14" width="18.6640625" customWidth="1"/>
    <col min="15" max="15" width="24.109375" customWidth="1"/>
  </cols>
  <sheetData>
    <row r="1" spans="1:15">
      <c r="A1" s="8" t="s">
        <v>205</v>
      </c>
      <c r="B1" s="8" t="s">
        <v>205</v>
      </c>
      <c r="C1" s="159" t="s">
        <v>457</v>
      </c>
      <c r="D1" s="8" t="s">
        <v>25</v>
      </c>
      <c r="E1" s="8"/>
      <c r="F1" s="8" t="s">
        <v>458</v>
      </c>
      <c r="G1" s="8" t="s">
        <v>159</v>
      </c>
      <c r="H1" s="8" t="s">
        <v>28</v>
      </c>
      <c r="I1" s="8" t="s">
        <v>459</v>
      </c>
      <c r="J1" s="8" t="s">
        <v>94</v>
      </c>
      <c r="K1" s="8" t="s">
        <v>460</v>
      </c>
      <c r="M1" s="10" t="s">
        <v>461</v>
      </c>
      <c r="N1" s="10" t="s">
        <v>11</v>
      </c>
      <c r="O1" s="11"/>
    </row>
    <row r="2" spans="1:15">
      <c r="A2" s="8" t="s">
        <v>40</v>
      </c>
      <c r="B2" s="8" t="s">
        <v>462</v>
      </c>
      <c r="C2" s="8" t="s">
        <v>42</v>
      </c>
      <c r="D2" s="8" t="s">
        <v>60</v>
      </c>
      <c r="E2" s="8" t="s">
        <v>41</v>
      </c>
      <c r="F2" s="8" t="s">
        <v>463</v>
      </c>
      <c r="G2" s="8" t="s">
        <v>464</v>
      </c>
      <c r="H2" s="8" t="s">
        <v>380</v>
      </c>
      <c r="I2" s="8" t="s">
        <v>465</v>
      </c>
      <c r="J2" s="8" t="s">
        <v>95</v>
      </c>
      <c r="K2" s="8" t="s">
        <v>466</v>
      </c>
      <c r="M2" t="s">
        <v>48</v>
      </c>
      <c r="N2" t="s">
        <v>49</v>
      </c>
      <c r="O2" s="8"/>
    </row>
    <row r="3" spans="1:15">
      <c r="A3" s="8" t="s">
        <v>25</v>
      </c>
      <c r="B3" s="8" t="s">
        <v>467</v>
      </c>
      <c r="C3" s="8" t="s">
        <v>468</v>
      </c>
      <c r="D3" s="8" t="s">
        <v>469</v>
      </c>
      <c r="E3" s="8" t="s">
        <v>470</v>
      </c>
      <c r="F3" s="8" t="s">
        <v>471</v>
      </c>
      <c r="G3" s="8" t="s">
        <v>472</v>
      </c>
      <c r="H3" s="8" t="s">
        <v>473</v>
      </c>
      <c r="I3" s="8" t="s">
        <v>474</v>
      </c>
      <c r="J3" s="8" t="s">
        <v>475</v>
      </c>
      <c r="K3" s="8" t="s">
        <v>476</v>
      </c>
      <c r="M3" t="s">
        <v>21</v>
      </c>
      <c r="N3" t="s">
        <v>477</v>
      </c>
      <c r="O3" s="8"/>
    </row>
    <row r="4" spans="1:15">
      <c r="A4" s="8" t="s">
        <v>458</v>
      </c>
      <c r="B4" s="8" t="s">
        <v>478</v>
      </c>
      <c r="C4" s="8" t="s">
        <v>479</v>
      </c>
      <c r="D4" s="8" t="s">
        <v>480</v>
      </c>
      <c r="E4" s="8" t="s">
        <v>22</v>
      </c>
      <c r="F4" s="8" t="s">
        <v>481</v>
      </c>
      <c r="G4" s="8" t="s">
        <v>160</v>
      </c>
      <c r="H4" s="8" t="s">
        <v>482</v>
      </c>
      <c r="I4" s="8" t="s">
        <v>483</v>
      </c>
      <c r="J4" s="8" t="s">
        <v>114</v>
      </c>
      <c r="K4" s="8" t="s">
        <v>484</v>
      </c>
      <c r="M4" t="s">
        <v>143</v>
      </c>
      <c r="N4" t="s">
        <v>485</v>
      </c>
      <c r="O4" s="8"/>
    </row>
    <row r="5" spans="1:15">
      <c r="A5" s="8" t="s">
        <v>159</v>
      </c>
      <c r="B5" s="8" t="s">
        <v>261</v>
      </c>
      <c r="C5" s="8" t="s">
        <v>128</v>
      </c>
      <c r="D5" s="8" t="s">
        <v>486</v>
      </c>
      <c r="E5" s="8"/>
      <c r="F5" s="8" t="s">
        <v>487</v>
      </c>
      <c r="G5" s="8" t="s">
        <v>488</v>
      </c>
      <c r="H5" s="8" t="s">
        <v>489</v>
      </c>
      <c r="I5" s="8" t="s">
        <v>490</v>
      </c>
      <c r="J5" s="8" t="s">
        <v>491</v>
      </c>
      <c r="K5" s="8" t="s">
        <v>492</v>
      </c>
      <c r="M5" t="s">
        <v>35</v>
      </c>
      <c r="N5" t="s">
        <v>493</v>
      </c>
      <c r="O5" s="8"/>
    </row>
    <row r="6" spans="1:15">
      <c r="A6" s="8" t="s">
        <v>28</v>
      </c>
      <c r="B6" s="8" t="s">
        <v>494</v>
      </c>
      <c r="C6" s="8" t="s">
        <v>329</v>
      </c>
      <c r="D6" s="8" t="s">
        <v>495</v>
      </c>
      <c r="E6" s="8"/>
      <c r="F6" s="8" t="s">
        <v>496</v>
      </c>
      <c r="G6" s="8" t="s">
        <v>497</v>
      </c>
      <c r="H6" s="8" t="s">
        <v>58</v>
      </c>
      <c r="I6" s="8" t="s">
        <v>498</v>
      </c>
      <c r="J6" s="8" t="s">
        <v>499</v>
      </c>
      <c r="K6" s="8" t="s">
        <v>500</v>
      </c>
      <c r="M6" t="s">
        <v>501</v>
      </c>
      <c r="N6" t="s">
        <v>502</v>
      </c>
      <c r="O6" s="8"/>
    </row>
    <row r="7" spans="1:15">
      <c r="A7" s="8" t="s">
        <v>459</v>
      </c>
      <c r="B7" s="8" t="s">
        <v>503</v>
      </c>
      <c r="C7" s="159" t="s">
        <v>236</v>
      </c>
      <c r="D7" s="8" t="s">
        <v>504</v>
      </c>
      <c r="E7" s="8"/>
      <c r="F7" s="8"/>
      <c r="G7" s="8" t="s">
        <v>505</v>
      </c>
      <c r="H7" s="8" t="s">
        <v>506</v>
      </c>
      <c r="I7" s="8" t="s">
        <v>507</v>
      </c>
      <c r="J7" s="8"/>
      <c r="K7" s="8"/>
      <c r="M7" t="s">
        <v>158</v>
      </c>
      <c r="N7" t="s">
        <v>508</v>
      </c>
      <c r="O7" s="8"/>
    </row>
    <row r="8" spans="1:15">
      <c r="A8" s="8" t="s">
        <v>94</v>
      </c>
      <c r="B8" s="8"/>
      <c r="C8" s="8"/>
      <c r="D8" s="8" t="s">
        <v>509</v>
      </c>
      <c r="E8" s="8"/>
      <c r="F8" s="8"/>
      <c r="G8" s="8"/>
      <c r="H8" s="8" t="s">
        <v>510</v>
      </c>
      <c r="I8" s="8"/>
      <c r="J8" s="8"/>
      <c r="K8" s="8"/>
      <c r="M8" t="s">
        <v>511</v>
      </c>
      <c r="N8" t="s">
        <v>82</v>
      </c>
      <c r="O8" s="8"/>
    </row>
    <row r="9" spans="1:15">
      <c r="A9" s="8" t="s">
        <v>460</v>
      </c>
      <c r="B9" s="8"/>
      <c r="C9" s="8"/>
      <c r="D9" s="8" t="s">
        <v>512</v>
      </c>
      <c r="E9" s="8"/>
      <c r="F9" s="8"/>
      <c r="G9" s="8"/>
      <c r="H9" s="8"/>
      <c r="I9" s="8"/>
      <c r="J9" s="8"/>
      <c r="K9" s="8"/>
      <c r="M9" s="160" t="s">
        <v>378</v>
      </c>
      <c r="N9" t="s">
        <v>513</v>
      </c>
      <c r="O9" s="8"/>
    </row>
    <row r="10" spans="1:15">
      <c r="A10" s="9" t="s">
        <v>514</v>
      </c>
      <c r="B10" s="8"/>
      <c r="C10" s="8"/>
      <c r="D10" s="8" t="s">
        <v>515</v>
      </c>
      <c r="E10" s="8"/>
      <c r="F10" s="8"/>
      <c r="G10" s="8"/>
      <c r="H10" s="8"/>
      <c r="I10" s="8"/>
      <c r="J10" s="8"/>
      <c r="K10" s="8"/>
      <c r="M10" t="s">
        <v>135</v>
      </c>
      <c r="N10" t="s">
        <v>516</v>
      </c>
      <c r="O10" s="8"/>
    </row>
    <row r="11" spans="1:15">
      <c r="A11" t="s">
        <v>138</v>
      </c>
      <c r="B11" s="8"/>
      <c r="C11" s="8"/>
      <c r="D11" s="8" t="s">
        <v>517</v>
      </c>
      <c r="E11" s="8"/>
      <c r="F11" s="8"/>
      <c r="G11" s="8"/>
      <c r="H11" s="8"/>
      <c r="I11" s="8"/>
      <c r="J11" s="8"/>
      <c r="K11" s="8"/>
      <c r="N11" t="s">
        <v>23</v>
      </c>
    </row>
    <row r="12" spans="1:15">
      <c r="A12" s="8" t="s">
        <v>89</v>
      </c>
      <c r="B12" s="8"/>
      <c r="C12" s="8"/>
      <c r="D12" s="8" t="s">
        <v>77</v>
      </c>
      <c r="E12" s="8"/>
      <c r="F12" s="8"/>
      <c r="G12" s="8"/>
      <c r="H12" s="8"/>
      <c r="I12" s="8"/>
      <c r="J12" s="8"/>
      <c r="K12" s="8"/>
      <c r="N12" s="160" t="s">
        <v>144</v>
      </c>
    </row>
    <row r="13" spans="1:15">
      <c r="A13" s="160" t="s">
        <v>140</v>
      </c>
      <c r="B13" s="8"/>
      <c r="C13" s="8"/>
      <c r="D13" s="8" t="s">
        <v>518</v>
      </c>
      <c r="E13" s="8"/>
      <c r="F13" s="8"/>
      <c r="G13" s="8"/>
      <c r="H13" s="8"/>
      <c r="I13" s="8"/>
      <c r="J13" s="8"/>
      <c r="K13" s="8"/>
      <c r="N13" s="160" t="s">
        <v>170</v>
      </c>
    </row>
    <row r="14" spans="1:15">
      <c r="A14" s="159" t="s">
        <v>236</v>
      </c>
      <c r="D14" s="8" t="s">
        <v>519</v>
      </c>
      <c r="E14" s="8"/>
      <c r="N14" s="160" t="s">
        <v>379</v>
      </c>
    </row>
    <row r="15" spans="1:15">
      <c r="A15" s="160" t="s">
        <v>249</v>
      </c>
      <c r="D15" s="8" t="s">
        <v>520</v>
      </c>
      <c r="E15" s="8"/>
      <c r="N15" s="160" t="s">
        <v>435</v>
      </c>
    </row>
    <row r="16" spans="1:15">
      <c r="D16" s="159" t="s">
        <v>236</v>
      </c>
      <c r="E16" s="8"/>
      <c r="N16" s="160" t="s">
        <v>521</v>
      </c>
    </row>
    <row r="17" spans="4:14">
      <c r="D17" s="160" t="s">
        <v>249</v>
      </c>
      <c r="E17" s="8"/>
      <c r="N17" s="160" t="s">
        <v>359</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H302"/>
  <sheetViews>
    <sheetView topLeftCell="A242" zoomScale="160" zoomScaleNormal="160" workbookViewId="0">
      <selection activeCell="K268" sqref="K268"/>
    </sheetView>
  </sheetViews>
  <sheetFormatPr defaultColWidth="8.88671875" defaultRowHeight="14.25" customHeight="1"/>
  <cols>
    <col min="1" max="1" width="8.88671875" style="1" customWidth="1"/>
    <col min="2" max="2" width="10.44140625" style="1" customWidth="1"/>
    <col min="3" max="3" width="39.44140625" style="2" customWidth="1"/>
    <col min="4" max="4" width="10.21875" style="2" bestFit="1" customWidth="1"/>
    <col min="5" max="5" width="14.44140625" style="1" customWidth="1"/>
    <col min="6" max="6" width="35.77734375" style="1" customWidth="1"/>
    <col min="7" max="7" width="11.21875" style="34" customWidth="1"/>
    <col min="8" max="8" width="17.77734375" style="34" bestFit="1" customWidth="1"/>
    <col min="9" max="16384" width="8.88671875" style="1"/>
  </cols>
  <sheetData>
    <row r="1" spans="1:8" ht="47.1" customHeight="1"/>
    <row r="2" spans="1:8" ht="15" customHeight="1" thickBot="1">
      <c r="F2" s="1" t="s">
        <v>522</v>
      </c>
    </row>
    <row r="3" spans="1:8" ht="14.4" thickBot="1">
      <c r="A3" s="3" t="s">
        <v>523</v>
      </c>
      <c r="B3" s="4" t="s">
        <v>524</v>
      </c>
      <c r="C3" s="5" t="s">
        <v>525</v>
      </c>
      <c r="D3" s="5"/>
      <c r="E3" s="4" t="s">
        <v>526</v>
      </c>
      <c r="F3" s="6" t="s">
        <v>527</v>
      </c>
      <c r="G3" s="6" t="s">
        <v>528</v>
      </c>
      <c r="H3" s="6" t="s">
        <v>8</v>
      </c>
    </row>
    <row r="4" spans="1:8" ht="14.4">
      <c r="A4" s="77">
        <v>1</v>
      </c>
      <c r="B4" s="78" t="s">
        <v>529</v>
      </c>
      <c r="C4" s="79" t="s">
        <v>530</v>
      </c>
      <c r="D4" s="79">
        <f>_xlfn.XLOOKUP(C4,'April 2026'!A:A,'April 2026'!B:B)</f>
        <v>121598538</v>
      </c>
      <c r="E4" s="78" t="s">
        <v>531</v>
      </c>
      <c r="F4" s="80" t="s">
        <v>532</v>
      </c>
      <c r="G4" s="7" t="s">
        <v>533</v>
      </c>
      <c r="H4" s="7" t="s">
        <v>39</v>
      </c>
    </row>
    <row r="5" spans="1:8" ht="14.4">
      <c r="A5" s="77">
        <v>2</v>
      </c>
      <c r="B5" s="78" t="s">
        <v>529</v>
      </c>
      <c r="C5" s="79" t="s">
        <v>422</v>
      </c>
      <c r="D5" s="79">
        <f>_xlfn.XLOOKUP(C5,'April 2026'!A:A,'April 2026'!B:B)</f>
        <v>121668462</v>
      </c>
      <c r="E5" s="78" t="s">
        <v>531</v>
      </c>
      <c r="F5" s="80" t="s">
        <v>534</v>
      </c>
      <c r="G5" s="7" t="s">
        <v>533</v>
      </c>
      <c r="H5" s="7" t="s">
        <v>39</v>
      </c>
    </row>
    <row r="6" spans="1:8" ht="14.4">
      <c r="A6" s="77">
        <v>3</v>
      </c>
      <c r="B6" s="78" t="s">
        <v>529</v>
      </c>
      <c r="C6" s="79" t="s">
        <v>535</v>
      </c>
      <c r="D6" s="79">
        <f>_xlfn.XLOOKUP(C6,'April 2026'!A:A,'April 2026'!B:B)</f>
        <v>122370101</v>
      </c>
      <c r="E6" s="78" t="s">
        <v>531</v>
      </c>
      <c r="F6" s="80" t="s">
        <v>536</v>
      </c>
      <c r="G6" s="7" t="s">
        <v>533</v>
      </c>
      <c r="H6" s="7" t="s">
        <v>39</v>
      </c>
    </row>
    <row r="7" spans="1:8" ht="14.4">
      <c r="A7" s="77">
        <v>4</v>
      </c>
      <c r="B7" s="78" t="s">
        <v>529</v>
      </c>
      <c r="C7" s="79" t="s">
        <v>537</v>
      </c>
      <c r="D7" s="79">
        <f>_xlfn.XLOOKUP(C7,'April 2026'!A:A,'April 2026'!B:B)</f>
        <v>123541357</v>
      </c>
      <c r="E7" s="78" t="s">
        <v>531</v>
      </c>
      <c r="F7" s="80" t="s">
        <v>538</v>
      </c>
      <c r="G7" s="7" t="s">
        <v>533</v>
      </c>
      <c r="H7" s="7" t="s">
        <v>39</v>
      </c>
    </row>
    <row r="8" spans="1:8" ht="14.4">
      <c r="A8" s="77">
        <v>5</v>
      </c>
      <c r="B8" s="78" t="s">
        <v>529</v>
      </c>
      <c r="C8" s="79" t="s">
        <v>539</v>
      </c>
      <c r="D8" s="79">
        <f>_xlfn.XLOOKUP(C8,'April 2026'!A:A,'April 2026'!B:B)</f>
        <v>122045765</v>
      </c>
      <c r="E8" s="78" t="s">
        <v>531</v>
      </c>
      <c r="F8" s="80" t="s">
        <v>540</v>
      </c>
      <c r="G8" s="7" t="s">
        <v>533</v>
      </c>
      <c r="H8" s="7" t="s">
        <v>39</v>
      </c>
    </row>
    <row r="9" spans="1:8" ht="14.4">
      <c r="A9" s="77">
        <v>14</v>
      </c>
      <c r="B9" s="78" t="s">
        <v>529</v>
      </c>
      <c r="C9" s="79" t="s">
        <v>541</v>
      </c>
      <c r="D9" s="79">
        <f>_xlfn.XLOOKUP(C9,'April 2026'!A:A,'April 2026'!B:B)</f>
        <v>27637114</v>
      </c>
      <c r="E9" s="78" t="s">
        <v>542</v>
      </c>
      <c r="F9" s="80" t="s">
        <v>285</v>
      </c>
      <c r="G9" s="7" t="s">
        <v>533</v>
      </c>
      <c r="H9" s="7" t="s">
        <v>39</v>
      </c>
    </row>
    <row r="10" spans="1:8" ht="14.4">
      <c r="A10" s="77">
        <v>7</v>
      </c>
      <c r="B10" s="78" t="s">
        <v>529</v>
      </c>
      <c r="C10" s="79" t="s">
        <v>543</v>
      </c>
      <c r="D10" s="79">
        <f>_xlfn.XLOOKUP(C10,'April 2026'!A:A,'April 2026'!B:B)</f>
        <v>127387473</v>
      </c>
      <c r="E10" s="78" t="s">
        <v>531</v>
      </c>
      <c r="F10" s="80" t="s">
        <v>544</v>
      </c>
      <c r="G10" s="7" t="s">
        <v>533</v>
      </c>
      <c r="H10" s="7" t="s">
        <v>39</v>
      </c>
    </row>
    <row r="11" spans="1:8" ht="14.4">
      <c r="A11" s="77">
        <v>8</v>
      </c>
      <c r="B11" s="78" t="s">
        <v>529</v>
      </c>
      <c r="C11" s="79" t="s">
        <v>545</v>
      </c>
      <c r="D11" s="79">
        <f>_xlfn.XLOOKUP(C11,'April 2026'!A:A,'April 2026'!B:B)</f>
        <v>116894252</v>
      </c>
      <c r="E11" s="78" t="s">
        <v>531</v>
      </c>
      <c r="F11" s="80" t="s">
        <v>546</v>
      </c>
      <c r="G11" s="7" t="s">
        <v>533</v>
      </c>
      <c r="H11" s="7" t="s">
        <v>39</v>
      </c>
    </row>
    <row r="12" spans="1:8" ht="14.4">
      <c r="A12" s="77">
        <v>9</v>
      </c>
      <c r="B12" s="78" t="s">
        <v>529</v>
      </c>
      <c r="C12" s="79" t="s">
        <v>278</v>
      </c>
      <c r="D12" s="79">
        <f>_xlfn.XLOOKUP(C12,'April 2026'!A:A,'April 2026'!B:B)</f>
        <v>137098196</v>
      </c>
      <c r="E12" s="78" t="s">
        <v>547</v>
      </c>
      <c r="F12" s="80" t="s">
        <v>548</v>
      </c>
      <c r="G12" s="7" t="s">
        <v>533</v>
      </c>
      <c r="H12" s="7" t="s">
        <v>39</v>
      </c>
    </row>
    <row r="13" spans="1:8" ht="14.4">
      <c r="A13" s="77">
        <v>17</v>
      </c>
      <c r="B13" s="78" t="s">
        <v>529</v>
      </c>
      <c r="C13" s="79" t="s">
        <v>549</v>
      </c>
      <c r="D13" s="79" t="str">
        <f>_xlfn.XLOOKUP(C13,'April 2026'!A:A,'April 2026'!B:B)</f>
        <v>123487214</v>
      </c>
      <c r="E13" s="78" t="s">
        <v>547</v>
      </c>
      <c r="F13" s="80" t="s">
        <v>550</v>
      </c>
      <c r="G13" s="7" t="s">
        <v>551</v>
      </c>
      <c r="H13" s="7" t="s">
        <v>39</v>
      </c>
    </row>
    <row r="14" spans="1:8" ht="15.6">
      <c r="A14" s="77">
        <v>239</v>
      </c>
      <c r="B14" s="78" t="s">
        <v>552</v>
      </c>
      <c r="C14" s="73" t="s">
        <v>250</v>
      </c>
      <c r="D14" s="79" t="str">
        <f>_xlfn.XLOOKUP(C14,'April 2026'!A:A,'April 2026'!B:B)</f>
        <v>Not Required</v>
      </c>
      <c r="E14" s="78"/>
      <c r="F14" s="80" t="s">
        <v>553</v>
      </c>
      <c r="G14" s="7" t="s">
        <v>554</v>
      </c>
      <c r="H14" s="7" t="s">
        <v>39</v>
      </c>
    </row>
    <row r="15" spans="1:8" ht="14.4">
      <c r="A15" s="77">
        <v>12</v>
      </c>
      <c r="B15" s="78" t="s">
        <v>529</v>
      </c>
      <c r="C15" s="79" t="s">
        <v>555</v>
      </c>
      <c r="D15" s="79">
        <f>_xlfn.XLOOKUP(C15,'April 2026'!A:A,'April 2026'!B:B)</f>
        <v>123472431</v>
      </c>
      <c r="E15" s="78" t="s">
        <v>547</v>
      </c>
      <c r="F15" s="80" t="s">
        <v>556</v>
      </c>
      <c r="G15" s="7" t="s">
        <v>533</v>
      </c>
      <c r="H15" s="7" t="s">
        <v>39</v>
      </c>
    </row>
    <row r="16" spans="1:8" ht="14.4">
      <c r="A16" s="77">
        <v>13</v>
      </c>
      <c r="B16" s="78" t="s">
        <v>529</v>
      </c>
      <c r="C16" s="79" t="s">
        <v>557</v>
      </c>
      <c r="D16" s="79">
        <f>_xlfn.XLOOKUP(C16,'April 2026'!A:A,'April 2026'!B:B)</f>
        <v>12782421</v>
      </c>
      <c r="E16" s="78" t="s">
        <v>542</v>
      </c>
      <c r="F16" s="80" t="s">
        <v>558</v>
      </c>
      <c r="G16" s="7" t="s">
        <v>533</v>
      </c>
      <c r="H16" s="7" t="s">
        <v>39</v>
      </c>
    </row>
    <row r="17" spans="1:8" ht="14.4">
      <c r="A17" s="77">
        <v>219</v>
      </c>
      <c r="B17" s="78" t="s">
        <v>529</v>
      </c>
      <c r="C17" s="79" t="s">
        <v>166</v>
      </c>
      <c r="D17" s="79" t="str">
        <f>_xlfn.XLOOKUP(C17,'April 2026'!A:A,'April 2026'!B:B)</f>
        <v>U4181508</v>
      </c>
      <c r="E17" s="78"/>
      <c r="F17" s="80" t="s">
        <v>559</v>
      </c>
      <c r="G17" s="7" t="s">
        <v>551</v>
      </c>
      <c r="H17" s="7" t="s">
        <v>39</v>
      </c>
    </row>
    <row r="18" spans="1:8" ht="14.4">
      <c r="A18" s="77">
        <v>85</v>
      </c>
      <c r="B18" s="78" t="s">
        <v>529</v>
      </c>
      <c r="C18" s="79" t="s">
        <v>299</v>
      </c>
      <c r="D18" s="79">
        <f>_xlfn.XLOOKUP(C18,'April 2026'!A:A,'April 2026'!B:B)</f>
        <v>140849254</v>
      </c>
      <c r="E18" s="78" t="s">
        <v>560</v>
      </c>
      <c r="F18" s="80" t="s">
        <v>561</v>
      </c>
      <c r="G18" s="7" t="s">
        <v>533</v>
      </c>
      <c r="H18" s="7" t="s">
        <v>39</v>
      </c>
    </row>
    <row r="19" spans="1:8" ht="14.4">
      <c r="A19" s="77">
        <v>16</v>
      </c>
      <c r="B19" s="78" t="s">
        <v>529</v>
      </c>
      <c r="C19" s="79" t="s">
        <v>67</v>
      </c>
      <c r="D19" s="79">
        <f>_xlfn.XLOOKUP(C19,'April 2026'!A:A,'April 2026'!B:B)</f>
        <v>122082769</v>
      </c>
      <c r="E19" s="78" t="s">
        <v>547</v>
      </c>
      <c r="F19" s="80" t="s">
        <v>562</v>
      </c>
      <c r="G19" s="7" t="s">
        <v>551</v>
      </c>
      <c r="H19" s="7" t="s">
        <v>39</v>
      </c>
    </row>
    <row r="20" spans="1:8" ht="14.4">
      <c r="A20" s="77">
        <v>58</v>
      </c>
      <c r="B20" s="78" t="s">
        <v>529</v>
      </c>
      <c r="C20" s="79" t="s">
        <v>563</v>
      </c>
      <c r="D20" s="79" t="str">
        <f>_xlfn.XLOOKUP(C20,'April 2026'!A:A,'April 2026'!B:B)</f>
        <v>123039392</v>
      </c>
      <c r="E20" s="78" t="s">
        <v>547</v>
      </c>
      <c r="F20" s="80" t="s">
        <v>564</v>
      </c>
      <c r="G20" s="7" t="s">
        <v>551</v>
      </c>
      <c r="H20" s="7" t="s">
        <v>39</v>
      </c>
    </row>
    <row r="21" spans="1:8" ht="14.4">
      <c r="A21" s="77">
        <v>10</v>
      </c>
      <c r="B21" s="78" t="s">
        <v>529</v>
      </c>
      <c r="C21" s="79" t="s">
        <v>565</v>
      </c>
      <c r="D21" s="79">
        <f>_xlfn.XLOOKUP(C21,'April 2026'!A:A,'April 2026'!B:B)</f>
        <v>118833981</v>
      </c>
      <c r="E21" s="78" t="s">
        <v>547</v>
      </c>
      <c r="F21" s="80" t="s">
        <v>566</v>
      </c>
      <c r="G21" s="7" t="s">
        <v>533</v>
      </c>
      <c r="H21" s="7" t="s">
        <v>39</v>
      </c>
    </row>
    <row r="22" spans="1:8" ht="14.4">
      <c r="A22" s="77">
        <v>19</v>
      </c>
      <c r="B22" s="78" t="s">
        <v>529</v>
      </c>
      <c r="C22" s="79" t="s">
        <v>167</v>
      </c>
      <c r="D22" s="79">
        <f>_xlfn.XLOOKUP(C22,'April 2026'!A:A,'April 2026'!B:B)</f>
        <v>125440631</v>
      </c>
      <c r="E22" s="78" t="s">
        <v>567</v>
      </c>
      <c r="F22" s="80" t="s">
        <v>568</v>
      </c>
      <c r="G22" s="7" t="s">
        <v>551</v>
      </c>
      <c r="H22" s="7" t="s">
        <v>39</v>
      </c>
    </row>
    <row r="23" spans="1:8" ht="14.4">
      <c r="A23" s="77">
        <v>20</v>
      </c>
      <c r="B23" s="78" t="s">
        <v>529</v>
      </c>
      <c r="C23" s="79" t="s">
        <v>78</v>
      </c>
      <c r="D23" s="79">
        <f>_xlfn.XLOOKUP(C23,'April 2026'!A:A,'April 2026'!B:B)</f>
        <v>117255966</v>
      </c>
      <c r="E23" s="78" t="s">
        <v>569</v>
      </c>
      <c r="F23" s="80" t="s">
        <v>570</v>
      </c>
      <c r="G23" s="7" t="s">
        <v>551</v>
      </c>
      <c r="H23" s="7" t="s">
        <v>39</v>
      </c>
    </row>
    <row r="24" spans="1:8" ht="14.4">
      <c r="A24" s="77">
        <v>128</v>
      </c>
      <c r="B24" s="78" t="s">
        <v>529</v>
      </c>
      <c r="C24" s="79" t="s">
        <v>27</v>
      </c>
      <c r="D24" s="79">
        <f>_xlfn.XLOOKUP(C24,'April 2026'!A:A,'April 2026'!B:B)</f>
        <v>127414586</v>
      </c>
      <c r="E24" s="78" t="s">
        <v>547</v>
      </c>
      <c r="F24" s="80" t="s">
        <v>571</v>
      </c>
      <c r="G24" s="7" t="s">
        <v>551</v>
      </c>
      <c r="H24" s="7" t="s">
        <v>39</v>
      </c>
    </row>
    <row r="25" spans="1:8" ht="14.4">
      <c r="A25" s="77">
        <v>31</v>
      </c>
      <c r="B25" s="78" t="s">
        <v>529</v>
      </c>
      <c r="C25" s="79" t="s">
        <v>572</v>
      </c>
      <c r="D25" s="79" t="str">
        <f>_xlfn.XLOOKUP(C25,'April 2026'!A:A,'April 2026'!B:B)</f>
        <v>124346519</v>
      </c>
      <c r="E25" s="78" t="s">
        <v>531</v>
      </c>
      <c r="F25" s="80" t="s">
        <v>573</v>
      </c>
      <c r="G25" s="7" t="s">
        <v>551</v>
      </c>
      <c r="H25" s="7" t="s">
        <v>39</v>
      </c>
    </row>
    <row r="26" spans="1:8" ht="14.4">
      <c r="A26" s="77">
        <v>110</v>
      </c>
      <c r="B26" s="78" t="s">
        <v>529</v>
      </c>
      <c r="C26" s="79" t="s">
        <v>574</v>
      </c>
      <c r="D26" s="79">
        <f>_xlfn.XLOOKUP(C26,'April 2026'!A:A,'April 2026'!B:B)</f>
        <v>15290981</v>
      </c>
      <c r="E26" s="78" t="s">
        <v>542</v>
      </c>
      <c r="F26" s="80" t="s">
        <v>285</v>
      </c>
      <c r="G26" s="7" t="s">
        <v>533</v>
      </c>
      <c r="H26" s="7" t="s">
        <v>39</v>
      </c>
    </row>
    <row r="27" spans="1:8" ht="14.4">
      <c r="A27" s="77">
        <v>24</v>
      </c>
      <c r="B27" s="78" t="s">
        <v>529</v>
      </c>
      <c r="C27" s="79" t="s">
        <v>575</v>
      </c>
      <c r="D27" s="79">
        <f>_xlfn.XLOOKUP(C27,'April 2026'!A:A,'April 2026'!B:B)</f>
        <v>120892366</v>
      </c>
      <c r="E27" s="78" t="s">
        <v>547</v>
      </c>
      <c r="F27" s="80" t="s">
        <v>576</v>
      </c>
      <c r="G27" s="7" t="s">
        <v>533</v>
      </c>
      <c r="H27" s="7" t="s">
        <v>39</v>
      </c>
    </row>
    <row r="28" spans="1:8" ht="14.4">
      <c r="A28" s="77">
        <v>32</v>
      </c>
      <c r="B28" s="78" t="s">
        <v>529</v>
      </c>
      <c r="C28" s="79" t="s">
        <v>577</v>
      </c>
      <c r="D28" s="79">
        <f>_xlfn.XLOOKUP(C28,'April 2026'!A:A,'April 2026'!B:B)</f>
        <v>28065391</v>
      </c>
      <c r="E28" s="78" t="s">
        <v>542</v>
      </c>
      <c r="F28" s="80" t="s">
        <v>285</v>
      </c>
      <c r="G28" s="7" t="s">
        <v>533</v>
      </c>
      <c r="H28" s="7" t="s">
        <v>39</v>
      </c>
    </row>
    <row r="29" spans="1:8" ht="14.4">
      <c r="A29" s="77">
        <v>26</v>
      </c>
      <c r="B29" s="78" t="s">
        <v>529</v>
      </c>
      <c r="C29" s="79" t="s">
        <v>168</v>
      </c>
      <c r="D29" s="79">
        <f>_xlfn.XLOOKUP(C29,'April 2026'!A:A,'April 2026'!B:B)</f>
        <v>137114773</v>
      </c>
      <c r="E29" s="78" t="s">
        <v>547</v>
      </c>
      <c r="F29" s="80" t="s">
        <v>568</v>
      </c>
      <c r="G29" s="7" t="s">
        <v>551</v>
      </c>
      <c r="H29" s="7" t="s">
        <v>39</v>
      </c>
    </row>
    <row r="30" spans="1:8" ht="14.4">
      <c r="A30" s="77">
        <v>27</v>
      </c>
      <c r="B30" s="78" t="s">
        <v>529</v>
      </c>
      <c r="C30" s="79" t="s">
        <v>203</v>
      </c>
      <c r="D30" s="79">
        <f>_xlfn.XLOOKUP(C30,'April 2026'!A:A,'April 2026'!B:B)</f>
        <v>140683371</v>
      </c>
      <c r="E30" s="78" t="s">
        <v>547</v>
      </c>
      <c r="F30" s="80" t="s">
        <v>568</v>
      </c>
      <c r="G30" s="7" t="s">
        <v>551</v>
      </c>
      <c r="H30" s="7" t="s">
        <v>39</v>
      </c>
    </row>
    <row r="31" spans="1:8" ht="14.4">
      <c r="A31" s="77">
        <v>28</v>
      </c>
      <c r="B31" s="78" t="s">
        <v>529</v>
      </c>
      <c r="C31" s="79" t="s">
        <v>208</v>
      </c>
      <c r="D31" s="79">
        <f>_xlfn.XLOOKUP(C31,'April 2026'!A:A,'April 2026'!B:B)</f>
        <v>140683399</v>
      </c>
      <c r="E31" s="78" t="s">
        <v>547</v>
      </c>
      <c r="F31" s="80" t="s">
        <v>568</v>
      </c>
      <c r="G31" s="7" t="s">
        <v>551</v>
      </c>
      <c r="H31" s="7" t="s">
        <v>39</v>
      </c>
    </row>
    <row r="32" spans="1:8" ht="14.4">
      <c r="A32" s="77">
        <v>29</v>
      </c>
      <c r="B32" s="78" t="s">
        <v>529</v>
      </c>
      <c r="C32" s="79" t="s">
        <v>178</v>
      </c>
      <c r="D32" s="79">
        <f>_xlfn.XLOOKUP(C32,'April 2026'!A:A,'April 2026'!B:B)</f>
        <v>140683436</v>
      </c>
      <c r="E32" s="78" t="s">
        <v>547</v>
      </c>
      <c r="F32" s="80" t="s">
        <v>578</v>
      </c>
      <c r="G32" s="7" t="s">
        <v>551</v>
      </c>
      <c r="H32" s="7" t="s">
        <v>39</v>
      </c>
    </row>
    <row r="33" spans="1:8" ht="14.4">
      <c r="A33" s="77">
        <v>122</v>
      </c>
      <c r="B33" s="78" t="s">
        <v>529</v>
      </c>
      <c r="C33" s="79" t="s">
        <v>579</v>
      </c>
      <c r="D33" s="79" t="str">
        <f>_xlfn.XLOOKUP(C33,'April 2026'!A:A,'April 2026'!B:B)</f>
        <v>122179637</v>
      </c>
      <c r="E33" s="78" t="s">
        <v>580</v>
      </c>
      <c r="F33" s="80" t="s">
        <v>570</v>
      </c>
      <c r="G33" s="7" t="s">
        <v>551</v>
      </c>
      <c r="H33" s="7" t="s">
        <v>39</v>
      </c>
    </row>
    <row r="34" spans="1:8" ht="14.4">
      <c r="A34" s="77">
        <v>59</v>
      </c>
      <c r="B34" s="78" t="s">
        <v>529</v>
      </c>
      <c r="C34" s="79" t="s">
        <v>173</v>
      </c>
      <c r="D34" s="79" t="str">
        <f>_xlfn.XLOOKUP(C34,'April 2026'!A:A,'April 2026'!B:B)</f>
        <v>S3549132</v>
      </c>
      <c r="E34" s="78" t="s">
        <v>547</v>
      </c>
      <c r="F34" s="80" t="s">
        <v>562</v>
      </c>
      <c r="G34" s="7" t="s">
        <v>551</v>
      </c>
      <c r="H34" s="7" t="s">
        <v>39</v>
      </c>
    </row>
    <row r="35" spans="1:8" ht="14.4">
      <c r="A35" s="77">
        <v>134</v>
      </c>
      <c r="B35" s="78" t="s">
        <v>529</v>
      </c>
      <c r="C35" s="79" t="s">
        <v>581</v>
      </c>
      <c r="D35" s="79" t="str">
        <f>_xlfn.XLOOKUP(C35,'April 2026'!A:A,'April 2026'!B:B)</f>
        <v>141177603</v>
      </c>
      <c r="E35" s="78" t="s">
        <v>547</v>
      </c>
      <c r="F35" s="80" t="s">
        <v>43</v>
      </c>
      <c r="G35" s="7" t="s">
        <v>554</v>
      </c>
      <c r="H35" s="7" t="s">
        <v>39</v>
      </c>
    </row>
    <row r="36" spans="1:8" ht="14.4">
      <c r="A36" s="77">
        <v>86</v>
      </c>
      <c r="B36" s="78" t="s">
        <v>529</v>
      </c>
      <c r="C36" s="79" t="s">
        <v>582</v>
      </c>
      <c r="D36" s="79" t="str">
        <f>_xlfn.XLOOKUP(C36,'April 2026'!A:A,'April 2026'!B:B)</f>
        <v>140848833</v>
      </c>
      <c r="E36" s="78" t="s">
        <v>547</v>
      </c>
      <c r="F36" s="80" t="s">
        <v>559</v>
      </c>
      <c r="G36" s="7" t="s">
        <v>551</v>
      </c>
      <c r="H36" s="7" t="s">
        <v>39</v>
      </c>
    </row>
    <row r="37" spans="1:8" ht="14.4">
      <c r="A37" s="77">
        <v>34</v>
      </c>
      <c r="B37" s="78" t="s">
        <v>529</v>
      </c>
      <c r="C37" s="79" t="s">
        <v>99</v>
      </c>
      <c r="D37" s="79">
        <f>_xlfn.XLOOKUP(C37,'April 2026'!A:A,'April 2026'!B:B)</f>
        <v>140697025</v>
      </c>
      <c r="E37" s="78" t="s">
        <v>547</v>
      </c>
      <c r="F37" s="80" t="s">
        <v>583</v>
      </c>
      <c r="G37" s="7" t="s">
        <v>551</v>
      </c>
      <c r="H37" s="7" t="s">
        <v>39</v>
      </c>
    </row>
    <row r="38" spans="1:8" ht="14.4">
      <c r="A38" s="77">
        <v>35</v>
      </c>
      <c r="B38" s="78" t="s">
        <v>529</v>
      </c>
      <c r="C38" s="79" t="s">
        <v>188</v>
      </c>
      <c r="D38" s="79">
        <f>_xlfn.XLOOKUP(C38,'April 2026'!A:A,'April 2026'!B:B)</f>
        <v>140696975</v>
      </c>
      <c r="E38" s="78" t="s">
        <v>547</v>
      </c>
      <c r="F38" s="80" t="s">
        <v>583</v>
      </c>
      <c r="G38" s="7" t="s">
        <v>551</v>
      </c>
      <c r="H38" s="7" t="s">
        <v>39</v>
      </c>
    </row>
    <row r="39" spans="1:8" ht="14.4">
      <c r="A39" s="77">
        <v>36</v>
      </c>
      <c r="B39" s="78" t="s">
        <v>529</v>
      </c>
      <c r="C39" s="79" t="s">
        <v>186</v>
      </c>
      <c r="D39" s="79">
        <f>_xlfn.XLOOKUP(C39,'April 2026'!A:A,'April 2026'!B:B)</f>
        <v>140696961</v>
      </c>
      <c r="E39" s="78" t="s">
        <v>547</v>
      </c>
      <c r="F39" s="80" t="s">
        <v>583</v>
      </c>
      <c r="G39" s="7" t="s">
        <v>551</v>
      </c>
      <c r="H39" s="7" t="s">
        <v>39</v>
      </c>
    </row>
    <row r="40" spans="1:8" ht="14.4">
      <c r="A40" s="77">
        <v>37</v>
      </c>
      <c r="B40" s="78" t="s">
        <v>529</v>
      </c>
      <c r="C40" s="79" t="s">
        <v>223</v>
      </c>
      <c r="D40" s="79">
        <f>_xlfn.XLOOKUP(C40,'April 2026'!A:A,'April 2026'!B:B)</f>
        <v>140696989</v>
      </c>
      <c r="E40" s="78" t="s">
        <v>547</v>
      </c>
      <c r="F40" s="80" t="s">
        <v>583</v>
      </c>
      <c r="G40" s="7" t="s">
        <v>551</v>
      </c>
      <c r="H40" s="7" t="s">
        <v>39</v>
      </c>
    </row>
    <row r="41" spans="1:8" ht="14.4">
      <c r="A41" s="77">
        <v>38</v>
      </c>
      <c r="B41" s="78" t="s">
        <v>529</v>
      </c>
      <c r="C41" s="79" t="s">
        <v>32</v>
      </c>
      <c r="D41" s="79">
        <f>_xlfn.XLOOKUP(C41,'April 2026'!A:A,'April 2026'!B:B)</f>
        <v>140697039</v>
      </c>
      <c r="E41" s="78" t="s">
        <v>547</v>
      </c>
      <c r="F41" s="80" t="s">
        <v>564</v>
      </c>
      <c r="G41" s="7" t="s">
        <v>551</v>
      </c>
      <c r="H41" s="7" t="s">
        <v>39</v>
      </c>
    </row>
    <row r="42" spans="1:8" ht="14.4">
      <c r="A42" s="77">
        <v>39</v>
      </c>
      <c r="B42" s="78" t="s">
        <v>529</v>
      </c>
      <c r="C42" s="79" t="s">
        <v>376</v>
      </c>
      <c r="D42" s="79">
        <f>_xlfn.XLOOKUP(C42,'April 2026'!A:A,'April 2026'!B:B)</f>
        <v>140696356</v>
      </c>
      <c r="E42" s="78" t="s">
        <v>547</v>
      </c>
      <c r="F42" s="80" t="s">
        <v>544</v>
      </c>
      <c r="G42" s="7" t="s">
        <v>533</v>
      </c>
      <c r="H42" s="7" t="s">
        <v>39</v>
      </c>
    </row>
    <row r="43" spans="1:8" ht="14.4">
      <c r="A43" s="77">
        <v>40</v>
      </c>
      <c r="B43" s="78" t="s">
        <v>529</v>
      </c>
      <c r="C43" s="79" t="s">
        <v>584</v>
      </c>
      <c r="D43" s="79">
        <f>_xlfn.XLOOKUP(C43,'April 2026'!A:A,'April 2026'!B:B)</f>
        <v>23659394</v>
      </c>
      <c r="E43" s="78" t="s">
        <v>542</v>
      </c>
      <c r="F43" s="80" t="s">
        <v>585</v>
      </c>
      <c r="G43" s="7" t="s">
        <v>533</v>
      </c>
      <c r="H43" s="7" t="s">
        <v>39</v>
      </c>
    </row>
    <row r="44" spans="1:8" ht="14.4">
      <c r="A44" s="77">
        <v>71</v>
      </c>
      <c r="B44" s="78" t="s">
        <v>529</v>
      </c>
      <c r="C44" s="79" t="s">
        <v>228</v>
      </c>
      <c r="D44" s="79">
        <f>_xlfn.XLOOKUP(C44,'April 2026'!A:A,'April 2026'!B:B)</f>
        <v>125199963</v>
      </c>
      <c r="E44" s="78" t="s">
        <v>547</v>
      </c>
      <c r="F44" s="80" t="s">
        <v>571</v>
      </c>
      <c r="G44" s="7" t="s">
        <v>551</v>
      </c>
      <c r="H44" s="7" t="s">
        <v>39</v>
      </c>
    </row>
    <row r="45" spans="1:8" ht="14.4">
      <c r="A45" s="77">
        <v>42</v>
      </c>
      <c r="B45" s="78" t="s">
        <v>529</v>
      </c>
      <c r="C45" s="79" t="s">
        <v>586</v>
      </c>
      <c r="D45" s="79">
        <f>_xlfn.XLOOKUP(C45,'April 2026'!A:A,'April 2026'!B:B)</f>
        <v>118041216</v>
      </c>
      <c r="E45" s="78" t="s">
        <v>531</v>
      </c>
      <c r="F45" s="80" t="s">
        <v>587</v>
      </c>
      <c r="G45" s="7" t="s">
        <v>533</v>
      </c>
      <c r="H45" s="7" t="s">
        <v>39</v>
      </c>
    </row>
    <row r="46" spans="1:8" ht="14.4">
      <c r="A46" s="77">
        <v>43</v>
      </c>
      <c r="B46" s="78" t="s">
        <v>529</v>
      </c>
      <c r="C46" s="79" t="s">
        <v>75</v>
      </c>
      <c r="D46" s="79">
        <f>_xlfn.XLOOKUP(C46,'April 2026'!A:A,'April 2026'!B:B)</f>
        <v>122179604</v>
      </c>
      <c r="E46" s="78" t="s">
        <v>547</v>
      </c>
      <c r="F46" s="80" t="s">
        <v>564</v>
      </c>
      <c r="G46" s="7" t="s">
        <v>551</v>
      </c>
      <c r="H46" s="7" t="s">
        <v>39</v>
      </c>
    </row>
    <row r="47" spans="1:8" ht="14.4">
      <c r="A47" s="77">
        <v>44</v>
      </c>
      <c r="B47" s="78" t="s">
        <v>529</v>
      </c>
      <c r="C47" s="79" t="s">
        <v>588</v>
      </c>
      <c r="D47" s="79">
        <f>_xlfn.XLOOKUP(C47,'April 2026'!A:A,'April 2026'!B:B)</f>
        <v>14246361</v>
      </c>
      <c r="E47" s="78" t="s">
        <v>542</v>
      </c>
      <c r="F47" s="80" t="s">
        <v>589</v>
      </c>
      <c r="G47" s="7" t="s">
        <v>533</v>
      </c>
      <c r="H47" s="7" t="s">
        <v>39</v>
      </c>
    </row>
    <row r="48" spans="1:8" ht="14.4">
      <c r="A48" s="77">
        <v>45</v>
      </c>
      <c r="B48" s="78" t="s">
        <v>529</v>
      </c>
      <c r="C48" s="79" t="s">
        <v>590</v>
      </c>
      <c r="D48" s="79">
        <f>_xlfn.XLOOKUP(C48,'April 2026'!A:A,'April 2026'!B:B)</f>
        <v>11196769</v>
      </c>
      <c r="E48" s="78" t="s">
        <v>542</v>
      </c>
      <c r="F48" s="80" t="s">
        <v>591</v>
      </c>
      <c r="G48" s="7" t="s">
        <v>533</v>
      </c>
      <c r="H48" s="7" t="s">
        <v>39</v>
      </c>
    </row>
    <row r="49" spans="1:8" ht="14.4">
      <c r="A49" s="77">
        <v>23</v>
      </c>
      <c r="B49" s="78" t="s">
        <v>529</v>
      </c>
      <c r="C49" s="79" t="s">
        <v>271</v>
      </c>
      <c r="D49" s="79">
        <f>_xlfn.XLOOKUP(C49,'April 2026'!A:A,'April 2026'!B:B)</f>
        <v>140645388</v>
      </c>
      <c r="E49" s="78" t="s">
        <v>547</v>
      </c>
      <c r="F49" s="80" t="s">
        <v>270</v>
      </c>
      <c r="G49" s="7" t="s">
        <v>533</v>
      </c>
      <c r="H49" s="7" t="s">
        <v>39</v>
      </c>
    </row>
    <row r="50" spans="1:8" ht="15.6">
      <c r="A50" s="77">
        <v>242</v>
      </c>
      <c r="B50" s="78" t="s">
        <v>592</v>
      </c>
      <c r="C50" s="73" t="s">
        <v>276</v>
      </c>
      <c r="D50" s="79" t="str">
        <f>_xlfn.XLOOKUP(C50,'April 2026'!A:A,'April 2026'!B:B)</f>
        <v>102607563</v>
      </c>
      <c r="E50" s="78"/>
      <c r="F50" s="80" t="s">
        <v>593</v>
      </c>
      <c r="G50" s="7" t="s">
        <v>554</v>
      </c>
      <c r="H50" s="7" t="s">
        <v>39</v>
      </c>
    </row>
    <row r="51" spans="1:8" ht="14.4">
      <c r="A51" s="77">
        <v>48</v>
      </c>
      <c r="B51" s="78" t="s">
        <v>529</v>
      </c>
      <c r="C51" s="79" t="s">
        <v>87</v>
      </c>
      <c r="D51" s="79">
        <f>_xlfn.XLOOKUP(C51,'April 2026'!A:A,'April 2026'!B:B)</f>
        <v>126724428</v>
      </c>
      <c r="E51" s="78" t="s">
        <v>567</v>
      </c>
      <c r="F51" s="80" t="s">
        <v>594</v>
      </c>
      <c r="G51" s="7" t="s">
        <v>533</v>
      </c>
      <c r="H51" s="7" t="s">
        <v>39</v>
      </c>
    </row>
    <row r="52" spans="1:8" ht="14.4">
      <c r="A52" s="77">
        <v>49</v>
      </c>
      <c r="B52" s="78" t="s">
        <v>529</v>
      </c>
      <c r="C52" s="79" t="s">
        <v>222</v>
      </c>
      <c r="D52" s="79">
        <f>_xlfn.XLOOKUP(C52,'April 2026'!A:A,'April 2026'!B:B)</f>
        <v>122082863</v>
      </c>
      <c r="E52" s="78" t="s">
        <v>547</v>
      </c>
      <c r="F52" s="80" t="s">
        <v>562</v>
      </c>
      <c r="G52" s="7" t="s">
        <v>551</v>
      </c>
      <c r="H52" s="7" t="s">
        <v>39</v>
      </c>
    </row>
    <row r="53" spans="1:8" ht="14.4">
      <c r="A53" s="77">
        <v>50</v>
      </c>
      <c r="B53" s="78" t="s">
        <v>529</v>
      </c>
      <c r="C53" s="79" t="s">
        <v>157</v>
      </c>
      <c r="D53" s="79">
        <f>_xlfn.XLOOKUP(C53,'April 2026'!A:A,'April 2026'!B:B)</f>
        <v>140742144</v>
      </c>
      <c r="E53" s="78" t="s">
        <v>547</v>
      </c>
      <c r="F53" s="80" t="s">
        <v>583</v>
      </c>
      <c r="G53" s="7" t="s">
        <v>551</v>
      </c>
      <c r="H53" s="7" t="s">
        <v>39</v>
      </c>
    </row>
    <row r="54" spans="1:8" ht="14.4">
      <c r="A54" s="77">
        <v>51</v>
      </c>
      <c r="B54" s="78" t="s">
        <v>529</v>
      </c>
      <c r="C54" s="79" t="s">
        <v>37</v>
      </c>
      <c r="D54" s="79">
        <f>_xlfn.XLOOKUP(C54,'April 2026'!A:A,'April 2026'!B:B)</f>
        <v>140742088</v>
      </c>
      <c r="E54" s="78" t="s">
        <v>547</v>
      </c>
      <c r="F54" s="80" t="s">
        <v>564</v>
      </c>
      <c r="G54" s="7" t="s">
        <v>551</v>
      </c>
      <c r="H54" s="7" t="s">
        <v>39</v>
      </c>
    </row>
    <row r="55" spans="1:8" ht="14.4">
      <c r="A55" s="77">
        <v>52</v>
      </c>
      <c r="B55" s="78" t="s">
        <v>529</v>
      </c>
      <c r="C55" s="79" t="s">
        <v>175</v>
      </c>
      <c r="D55" s="79">
        <f>_xlfn.XLOOKUP(C55,'April 2026'!A:A,'April 2026'!B:B)</f>
        <v>140742125</v>
      </c>
      <c r="E55" s="78" t="s">
        <v>547</v>
      </c>
      <c r="F55" s="80" t="s">
        <v>583</v>
      </c>
      <c r="G55" s="7" t="s">
        <v>551</v>
      </c>
      <c r="H55" s="7" t="s">
        <v>39</v>
      </c>
    </row>
    <row r="56" spans="1:8" ht="14.4">
      <c r="A56" s="77">
        <v>6</v>
      </c>
      <c r="B56" s="78" t="s">
        <v>529</v>
      </c>
      <c r="C56" s="79" t="s">
        <v>595</v>
      </c>
      <c r="D56" s="79" t="str">
        <f>_xlfn.XLOOKUP(C56,'April 2026'!A:A,'April 2026'!B:B)</f>
        <v>121820536</v>
      </c>
      <c r="E56" s="78" t="s">
        <v>531</v>
      </c>
      <c r="F56" s="80" t="s">
        <v>596</v>
      </c>
      <c r="G56" s="7" t="s">
        <v>533</v>
      </c>
      <c r="H56" s="7" t="s">
        <v>39</v>
      </c>
    </row>
    <row r="57" spans="1:8" ht="14.4">
      <c r="A57" s="77">
        <v>95</v>
      </c>
      <c r="B57" s="78" t="s">
        <v>529</v>
      </c>
      <c r="C57" s="79" t="s">
        <v>176</v>
      </c>
      <c r="D57" s="79">
        <f>_xlfn.XLOOKUP(C57,'April 2026'!A:A,'April 2026'!B:B)</f>
        <v>124398279</v>
      </c>
      <c r="E57" s="78" t="s">
        <v>567</v>
      </c>
      <c r="F57" s="80" t="s">
        <v>597</v>
      </c>
      <c r="G57" s="7" t="s">
        <v>533</v>
      </c>
      <c r="H57" s="7" t="s">
        <v>39</v>
      </c>
    </row>
    <row r="58" spans="1:8" ht="14.4">
      <c r="A58" s="77">
        <v>55</v>
      </c>
      <c r="B58" s="78" t="s">
        <v>529</v>
      </c>
      <c r="C58" s="79" t="s">
        <v>217</v>
      </c>
      <c r="D58" s="79">
        <f>_xlfn.XLOOKUP(C58,'April 2026'!A:A,'April 2026'!B:B)</f>
        <v>140742177</v>
      </c>
      <c r="E58" s="78" t="s">
        <v>547</v>
      </c>
      <c r="F58" s="80" t="s">
        <v>562</v>
      </c>
      <c r="G58" s="7" t="s">
        <v>551</v>
      </c>
      <c r="H58" s="7" t="s">
        <v>39</v>
      </c>
    </row>
    <row r="59" spans="1:8" ht="14.4">
      <c r="A59" s="77">
        <v>133</v>
      </c>
      <c r="B59" s="78" t="s">
        <v>529</v>
      </c>
      <c r="C59" s="79" t="s">
        <v>598</v>
      </c>
      <c r="D59" s="79">
        <f>_xlfn.XLOOKUP(C59,'April 2026'!A:A,'April 2026'!B:B)</f>
        <v>86971535</v>
      </c>
      <c r="E59" s="78" t="s">
        <v>547</v>
      </c>
      <c r="F59" s="80" t="s">
        <v>43</v>
      </c>
      <c r="G59" s="7" t="s">
        <v>554</v>
      </c>
      <c r="H59" s="7" t="s">
        <v>39</v>
      </c>
    </row>
    <row r="60" spans="1:8" ht="14.4">
      <c r="A60" s="77">
        <v>70</v>
      </c>
      <c r="B60" s="78" t="s">
        <v>529</v>
      </c>
      <c r="C60" s="79" t="s">
        <v>177</v>
      </c>
      <c r="D60" s="79">
        <f>_xlfn.XLOOKUP(C60,'April 2026'!A:A,'April 2026'!B:B)</f>
        <v>140809004</v>
      </c>
      <c r="E60" s="78" t="s">
        <v>547</v>
      </c>
      <c r="F60" s="80" t="s">
        <v>564</v>
      </c>
      <c r="G60" s="7" t="s">
        <v>551</v>
      </c>
      <c r="H60" s="7" t="s">
        <v>39</v>
      </c>
    </row>
    <row r="61" spans="1:8" ht="14.4">
      <c r="A61" s="77">
        <v>57</v>
      </c>
      <c r="B61" s="78" t="s">
        <v>529</v>
      </c>
      <c r="C61" s="79" t="s">
        <v>599</v>
      </c>
      <c r="D61" s="79" t="str">
        <f>_xlfn.XLOOKUP(C61,'April 2026'!A:A,'April 2026'!B:B)</f>
        <v>X6330749</v>
      </c>
      <c r="E61" s="78" t="s">
        <v>547</v>
      </c>
      <c r="F61" s="80" t="s">
        <v>559</v>
      </c>
      <c r="G61" s="7" t="s">
        <v>551</v>
      </c>
      <c r="H61" s="7" t="s">
        <v>39</v>
      </c>
    </row>
    <row r="62" spans="1:8" ht="14.4">
      <c r="A62" s="77">
        <v>111</v>
      </c>
      <c r="B62" s="78" t="s">
        <v>529</v>
      </c>
      <c r="C62" s="79" t="s">
        <v>180</v>
      </c>
      <c r="D62" s="79">
        <f>_xlfn.XLOOKUP(C62,'April 2026'!A:A,'April 2026'!B:B)</f>
        <v>9138415</v>
      </c>
      <c r="E62" s="78" t="s">
        <v>542</v>
      </c>
      <c r="F62" s="80" t="s">
        <v>600</v>
      </c>
      <c r="G62" s="7" t="s">
        <v>554</v>
      </c>
      <c r="H62" s="7" t="s">
        <v>39</v>
      </c>
    </row>
    <row r="63" spans="1:8" ht="14.4">
      <c r="A63" s="77">
        <v>60</v>
      </c>
      <c r="B63" s="78" t="s">
        <v>529</v>
      </c>
      <c r="C63" s="79" t="s">
        <v>601</v>
      </c>
      <c r="D63" s="79">
        <f>_xlfn.XLOOKUP(C63,'April 2026'!A:A,'April 2026'!B:B)</f>
        <v>103717582</v>
      </c>
      <c r="E63" s="78" t="s">
        <v>547</v>
      </c>
      <c r="F63" s="80" t="s">
        <v>602</v>
      </c>
      <c r="G63" s="7" t="s">
        <v>533</v>
      </c>
      <c r="H63" s="7" t="s">
        <v>39</v>
      </c>
    </row>
    <row r="64" spans="1:8" ht="14.4">
      <c r="A64" s="77">
        <v>61</v>
      </c>
      <c r="B64" s="78" t="s">
        <v>529</v>
      </c>
      <c r="C64" s="79" t="s">
        <v>172</v>
      </c>
      <c r="D64" s="79">
        <f>_xlfn.XLOOKUP(C64,'April 2026'!A:A,'April 2026'!B:B)</f>
        <v>140764355</v>
      </c>
      <c r="E64" s="78" t="s">
        <v>547</v>
      </c>
      <c r="F64" s="80" t="s">
        <v>564</v>
      </c>
      <c r="G64" s="7" t="s">
        <v>551</v>
      </c>
      <c r="H64" s="7" t="s">
        <v>39</v>
      </c>
    </row>
    <row r="65" spans="1:8" ht="14.4">
      <c r="A65" s="77">
        <v>62</v>
      </c>
      <c r="B65" s="78" t="s">
        <v>529</v>
      </c>
      <c r="C65" s="79" t="s">
        <v>72</v>
      </c>
      <c r="D65" s="79">
        <f>_xlfn.XLOOKUP(C65,'April 2026'!A:A,'April 2026'!B:B)</f>
        <v>140764706</v>
      </c>
      <c r="E65" s="78" t="s">
        <v>547</v>
      </c>
      <c r="F65" s="80" t="s">
        <v>568</v>
      </c>
      <c r="G65" s="7" t="s">
        <v>551</v>
      </c>
      <c r="H65" s="7" t="s">
        <v>39</v>
      </c>
    </row>
    <row r="66" spans="1:8" ht="14.4">
      <c r="A66" s="77">
        <v>63</v>
      </c>
      <c r="B66" s="78" t="s">
        <v>529</v>
      </c>
      <c r="C66" s="79" t="s">
        <v>603</v>
      </c>
      <c r="D66" s="79">
        <f>_xlfn.XLOOKUP(C66,'April 2026'!A:A,'April 2026'!B:B)</f>
        <v>19255078</v>
      </c>
      <c r="E66" s="78" t="s">
        <v>542</v>
      </c>
      <c r="F66" s="80" t="s">
        <v>285</v>
      </c>
      <c r="G66" s="7" t="s">
        <v>533</v>
      </c>
      <c r="H66" s="7" t="s">
        <v>39</v>
      </c>
    </row>
    <row r="67" spans="1:8" ht="14.4">
      <c r="A67" s="77">
        <v>64</v>
      </c>
      <c r="B67" s="78" t="s">
        <v>529</v>
      </c>
      <c r="C67" s="79" t="s">
        <v>115</v>
      </c>
      <c r="D67" s="79">
        <f>_xlfn.XLOOKUP(C67,'April 2026'!A:A,'April 2026'!B:B)</f>
        <v>140796986</v>
      </c>
      <c r="E67" s="78" t="s">
        <v>547</v>
      </c>
      <c r="F67" s="80" t="s">
        <v>604</v>
      </c>
      <c r="G67" s="7" t="s">
        <v>533</v>
      </c>
      <c r="H67" s="7" t="s">
        <v>39</v>
      </c>
    </row>
    <row r="68" spans="1:8" ht="14.4">
      <c r="A68" s="77">
        <v>65</v>
      </c>
      <c r="B68" s="78" t="s">
        <v>529</v>
      </c>
      <c r="C68" s="79" t="s">
        <v>122</v>
      </c>
      <c r="D68" s="79">
        <f>_xlfn.XLOOKUP(C68,'April 2026'!A:A,'April 2026'!B:B)</f>
        <v>140805554</v>
      </c>
      <c r="E68" s="78" t="s">
        <v>547</v>
      </c>
      <c r="F68" s="80" t="s">
        <v>583</v>
      </c>
      <c r="G68" s="7" t="s">
        <v>551</v>
      </c>
      <c r="H68" s="7" t="s">
        <v>39</v>
      </c>
    </row>
    <row r="69" spans="1:8" ht="14.4">
      <c r="A69" s="77">
        <v>66</v>
      </c>
      <c r="B69" s="78" t="s">
        <v>529</v>
      </c>
      <c r="C69" s="79" t="s">
        <v>126</v>
      </c>
      <c r="D69" s="79">
        <f>_xlfn.XLOOKUP(C69,'April 2026'!A:A,'April 2026'!B:B)</f>
        <v>140805568</v>
      </c>
      <c r="E69" s="78" t="s">
        <v>547</v>
      </c>
      <c r="F69" s="80" t="s">
        <v>583</v>
      </c>
      <c r="G69" s="7" t="s">
        <v>551</v>
      </c>
      <c r="H69" s="7" t="s">
        <v>39</v>
      </c>
    </row>
    <row r="70" spans="1:8" ht="14.4">
      <c r="A70" s="77">
        <v>109</v>
      </c>
      <c r="B70" s="78" t="s">
        <v>529</v>
      </c>
      <c r="C70" s="79" t="s">
        <v>605</v>
      </c>
      <c r="D70" s="79" t="str">
        <f>_xlfn.XLOOKUP(C70,'April 2026'!A:A,'April 2026'!B:B)</f>
        <v>140954262</v>
      </c>
      <c r="E70" s="78" t="s">
        <v>547</v>
      </c>
      <c r="F70" s="80" t="s">
        <v>606</v>
      </c>
      <c r="G70" s="7" t="s">
        <v>533</v>
      </c>
      <c r="H70" s="7" t="s">
        <v>39</v>
      </c>
    </row>
    <row r="71" spans="1:8" ht="14.4">
      <c r="A71" s="77">
        <v>68</v>
      </c>
      <c r="B71" s="78" t="s">
        <v>529</v>
      </c>
      <c r="C71" s="79" t="s">
        <v>44</v>
      </c>
      <c r="D71" s="79">
        <f>_xlfn.XLOOKUP(C71,'April 2026'!A:A,'April 2026'!B:B)</f>
        <v>140806218</v>
      </c>
      <c r="E71" s="78" t="s">
        <v>547</v>
      </c>
      <c r="F71" s="80" t="s">
        <v>564</v>
      </c>
      <c r="G71" s="7" t="s">
        <v>551</v>
      </c>
      <c r="H71" s="7" t="s">
        <v>39</v>
      </c>
    </row>
    <row r="72" spans="1:8" ht="14.4">
      <c r="A72" s="77">
        <v>153</v>
      </c>
      <c r="B72" s="78" t="s">
        <v>529</v>
      </c>
      <c r="C72" s="79" t="s">
        <v>607</v>
      </c>
      <c r="D72" s="79" t="e">
        <f>_xlfn.XLOOKUP(C72,'April 2026'!A:A,'April 2026'!B:B)</f>
        <v>#N/A</v>
      </c>
      <c r="E72" s="78" t="s">
        <v>547</v>
      </c>
      <c r="F72" s="80" t="s">
        <v>608</v>
      </c>
      <c r="G72" s="7" t="s">
        <v>533</v>
      </c>
      <c r="H72" s="7" t="s">
        <v>39</v>
      </c>
    </row>
    <row r="73" spans="1:8" ht="14.4">
      <c r="A73" s="77">
        <v>129</v>
      </c>
      <c r="B73" s="78" t="s">
        <v>529</v>
      </c>
      <c r="C73" s="79" t="s">
        <v>106</v>
      </c>
      <c r="D73" s="79" t="str">
        <f>_xlfn.XLOOKUP(C73,'April 2026'!A:A,'April 2026'!B:B)</f>
        <v>R3971143</v>
      </c>
      <c r="E73" s="78" t="s">
        <v>547</v>
      </c>
      <c r="F73" s="80" t="s">
        <v>573</v>
      </c>
      <c r="G73" s="7" t="s">
        <v>551</v>
      </c>
      <c r="H73" s="7" t="s">
        <v>39</v>
      </c>
    </row>
    <row r="74" spans="1:8" ht="14.4">
      <c r="A74" s="77">
        <v>41</v>
      </c>
      <c r="B74" s="78" t="s">
        <v>529</v>
      </c>
      <c r="C74" s="79" t="s">
        <v>609</v>
      </c>
      <c r="D74" s="79">
        <f>_xlfn.XLOOKUP(C74,'April 2026'!A:A,'April 2026'!B:B)</f>
        <v>140694441</v>
      </c>
      <c r="E74" s="78" t="s">
        <v>610</v>
      </c>
      <c r="F74" s="80" t="s">
        <v>611</v>
      </c>
      <c r="G74" s="7" t="s">
        <v>533</v>
      </c>
      <c r="H74" s="7" t="s">
        <v>39</v>
      </c>
    </row>
    <row r="75" spans="1:8" ht="14.4">
      <c r="A75" s="77">
        <v>72</v>
      </c>
      <c r="B75" s="78" t="s">
        <v>529</v>
      </c>
      <c r="C75" s="79" t="s">
        <v>218</v>
      </c>
      <c r="D75" s="79">
        <f>_xlfn.XLOOKUP(C75,'April 2026'!A:A,'April 2026'!B:B)</f>
        <v>116853914</v>
      </c>
      <c r="E75" s="78" t="s">
        <v>580</v>
      </c>
      <c r="F75" s="80" t="s">
        <v>612</v>
      </c>
      <c r="G75" s="7" t="s">
        <v>551</v>
      </c>
      <c r="H75" s="7" t="s">
        <v>39</v>
      </c>
    </row>
    <row r="76" spans="1:8" ht="14.4">
      <c r="A76" s="77">
        <v>87</v>
      </c>
      <c r="B76" s="78" t="s">
        <v>529</v>
      </c>
      <c r="C76" s="79" t="s">
        <v>118</v>
      </c>
      <c r="D76" s="79" t="str">
        <f>_xlfn.XLOOKUP(C76,'April 2026'!A:A,'April 2026'!B:B)</f>
        <v>AG111207</v>
      </c>
      <c r="E76" s="78" t="s">
        <v>547</v>
      </c>
      <c r="F76" s="80" t="s">
        <v>583</v>
      </c>
      <c r="G76" s="7" t="s">
        <v>551</v>
      </c>
      <c r="H76" s="7" t="s">
        <v>39</v>
      </c>
    </row>
    <row r="77" spans="1:8" ht="14.4">
      <c r="A77" s="77">
        <v>78</v>
      </c>
      <c r="B77" s="78" t="s">
        <v>529</v>
      </c>
      <c r="C77" s="79" t="s">
        <v>119</v>
      </c>
      <c r="D77" s="79">
        <f>_xlfn.XLOOKUP(C77,'April 2026'!A:A,'April 2026'!B:B)</f>
        <v>140844778</v>
      </c>
      <c r="E77" s="78" t="s">
        <v>547</v>
      </c>
      <c r="F77" s="80" t="s">
        <v>613</v>
      </c>
      <c r="G77" s="7" t="s">
        <v>551</v>
      </c>
      <c r="H77" s="7" t="s">
        <v>39</v>
      </c>
    </row>
    <row r="78" spans="1:8" ht="14.4">
      <c r="A78" s="77">
        <v>75</v>
      </c>
      <c r="B78" s="78" t="s">
        <v>529</v>
      </c>
      <c r="C78" s="79" t="s">
        <v>442</v>
      </c>
      <c r="D78" s="79">
        <f>_xlfn.XLOOKUP(C78,'April 2026'!A:A,'April 2026'!B:B)</f>
        <v>140841472</v>
      </c>
      <c r="E78" s="78" t="s">
        <v>531</v>
      </c>
      <c r="F78" s="80" t="s">
        <v>614</v>
      </c>
      <c r="G78" s="7" t="s">
        <v>533</v>
      </c>
      <c r="H78" s="7" t="s">
        <v>39</v>
      </c>
    </row>
    <row r="79" spans="1:8" ht="14.4">
      <c r="A79" s="77">
        <v>76</v>
      </c>
      <c r="B79" s="78" t="s">
        <v>529</v>
      </c>
      <c r="C79" s="79" t="s">
        <v>33</v>
      </c>
      <c r="D79" s="79">
        <f>_xlfn.XLOOKUP(C79,'April 2026'!A:A,'April 2026'!B:B)</f>
        <v>124565057</v>
      </c>
      <c r="E79" s="78" t="s">
        <v>547</v>
      </c>
      <c r="F79" s="80" t="s">
        <v>564</v>
      </c>
      <c r="G79" s="7" t="s">
        <v>551</v>
      </c>
      <c r="H79" s="7" t="s">
        <v>39</v>
      </c>
    </row>
    <row r="80" spans="1:8" ht="14.4">
      <c r="A80" s="77">
        <v>77</v>
      </c>
      <c r="B80" s="78" t="s">
        <v>529</v>
      </c>
      <c r="C80" s="79" t="s">
        <v>117</v>
      </c>
      <c r="D80" s="79">
        <f>_xlfn.XLOOKUP(C80,'April 2026'!A:A,'April 2026'!B:B)</f>
        <v>140844783</v>
      </c>
      <c r="E80" s="78" t="s">
        <v>547</v>
      </c>
      <c r="F80" s="80" t="s">
        <v>613</v>
      </c>
      <c r="G80" s="7" t="s">
        <v>551</v>
      </c>
      <c r="H80" s="7" t="s">
        <v>39</v>
      </c>
    </row>
    <row r="81" spans="1:8" ht="14.4">
      <c r="A81" s="77">
        <v>151</v>
      </c>
      <c r="B81" s="78" t="s">
        <v>529</v>
      </c>
      <c r="C81" s="79" t="s">
        <v>385</v>
      </c>
      <c r="D81" s="79">
        <f>_xlfn.XLOOKUP(C81,'April 2026'!A:A,'April 2026'!B:B)</f>
        <v>141307921</v>
      </c>
      <c r="E81" s="78" t="s">
        <v>615</v>
      </c>
      <c r="F81" s="80" t="s">
        <v>616</v>
      </c>
      <c r="G81" s="7" t="s">
        <v>533</v>
      </c>
      <c r="H81" s="7" t="s">
        <v>39</v>
      </c>
    </row>
    <row r="82" spans="1:8" ht="14.4">
      <c r="A82" s="77">
        <v>79</v>
      </c>
      <c r="B82" s="78" t="s">
        <v>529</v>
      </c>
      <c r="C82" s="79" t="s">
        <v>62</v>
      </c>
      <c r="D82" s="79">
        <f>_xlfn.XLOOKUP(C82,'April 2026'!A:A,'April 2026'!B:B)</f>
        <v>140844797</v>
      </c>
      <c r="E82" s="78" t="s">
        <v>547</v>
      </c>
      <c r="F82" s="80" t="s">
        <v>564</v>
      </c>
      <c r="G82" s="7" t="s">
        <v>551</v>
      </c>
      <c r="H82" s="7" t="s">
        <v>39</v>
      </c>
    </row>
    <row r="83" spans="1:8" ht="14.4">
      <c r="A83" s="77">
        <v>80</v>
      </c>
      <c r="B83" s="78" t="s">
        <v>529</v>
      </c>
      <c r="C83" s="79" t="s">
        <v>206</v>
      </c>
      <c r="D83" s="79">
        <f>_xlfn.XLOOKUP(C83,'April 2026'!A:A,'April 2026'!B:B)</f>
        <v>140844848</v>
      </c>
      <c r="E83" s="78" t="s">
        <v>547</v>
      </c>
      <c r="F83" s="80" t="s">
        <v>583</v>
      </c>
      <c r="G83" s="7" t="s">
        <v>551</v>
      </c>
      <c r="H83" s="7" t="s">
        <v>39</v>
      </c>
    </row>
    <row r="84" spans="1:8" ht="14.4">
      <c r="A84" s="77">
        <v>81</v>
      </c>
      <c r="B84" s="78" t="s">
        <v>529</v>
      </c>
      <c r="C84" s="79" t="s">
        <v>184</v>
      </c>
      <c r="D84" s="79">
        <f>_xlfn.XLOOKUP(C84,'April 2026'!A:A,'April 2026'!B:B)</f>
        <v>140844759</v>
      </c>
      <c r="E84" s="78" t="s">
        <v>547</v>
      </c>
      <c r="F84" s="80" t="s">
        <v>559</v>
      </c>
      <c r="G84" s="7" t="s">
        <v>551</v>
      </c>
      <c r="H84" s="7" t="s">
        <v>39</v>
      </c>
    </row>
    <row r="85" spans="1:8" ht="14.4">
      <c r="A85" s="77">
        <v>82</v>
      </c>
      <c r="B85" s="78" t="s">
        <v>529</v>
      </c>
      <c r="C85" s="79" t="s">
        <v>46</v>
      </c>
      <c r="D85" s="79">
        <f>_xlfn.XLOOKUP(C85,'April 2026'!A:A,'April 2026'!B:B)</f>
        <v>140844618</v>
      </c>
      <c r="E85" s="78" t="s">
        <v>547</v>
      </c>
      <c r="F85" s="80" t="s">
        <v>583</v>
      </c>
      <c r="G85" s="7" t="s">
        <v>551</v>
      </c>
      <c r="H85" s="7" t="s">
        <v>39</v>
      </c>
    </row>
    <row r="86" spans="1:8" ht="14.4">
      <c r="A86" s="77">
        <v>83</v>
      </c>
      <c r="B86" s="78" t="s">
        <v>529</v>
      </c>
      <c r="C86" s="79" t="s">
        <v>204</v>
      </c>
      <c r="D86" s="79">
        <f>_xlfn.XLOOKUP(C86,'April 2026'!A:A,'April 2026'!B:B)</f>
        <v>140844572</v>
      </c>
      <c r="E86" s="78" t="s">
        <v>547</v>
      </c>
      <c r="F86" s="80" t="s">
        <v>583</v>
      </c>
      <c r="G86" s="7" t="s">
        <v>551</v>
      </c>
      <c r="H86" s="7" t="s">
        <v>39</v>
      </c>
    </row>
    <row r="87" spans="1:8" ht="14.4">
      <c r="A87" s="77">
        <v>84</v>
      </c>
      <c r="B87" s="78" t="s">
        <v>529</v>
      </c>
      <c r="C87" s="79" t="s">
        <v>196</v>
      </c>
      <c r="D87" s="79">
        <f>_xlfn.XLOOKUP(C87,'April 2026'!A:A,'April 2026'!B:B)</f>
        <v>140844586</v>
      </c>
      <c r="E87" s="78" t="s">
        <v>547</v>
      </c>
      <c r="F87" s="80" t="s">
        <v>583</v>
      </c>
      <c r="G87" s="7" t="s">
        <v>551</v>
      </c>
      <c r="H87" s="7" t="s">
        <v>39</v>
      </c>
    </row>
    <row r="88" spans="1:8" ht="14.4">
      <c r="A88" s="77">
        <v>21</v>
      </c>
      <c r="B88" s="78" t="s">
        <v>529</v>
      </c>
      <c r="C88" s="79" t="s">
        <v>187</v>
      </c>
      <c r="D88" s="79">
        <f>_xlfn.XLOOKUP(C88,'April 2026'!A:A,'April 2026'!B:B)</f>
        <v>140623599</v>
      </c>
      <c r="E88" s="78" t="s">
        <v>531</v>
      </c>
      <c r="F88" s="80" t="s">
        <v>570</v>
      </c>
      <c r="G88" s="7" t="s">
        <v>551</v>
      </c>
      <c r="H88" s="7" t="s">
        <v>39</v>
      </c>
    </row>
    <row r="89" spans="1:8" ht="14.4">
      <c r="A89" s="77">
        <v>121</v>
      </c>
      <c r="B89" s="78" t="s">
        <v>529</v>
      </c>
      <c r="C89" s="79" t="s">
        <v>107</v>
      </c>
      <c r="D89" s="79">
        <f>_xlfn.XLOOKUP(C89,'April 2026'!A:A,'April 2026'!B:B)</f>
        <v>116858297</v>
      </c>
      <c r="E89" s="78" t="s">
        <v>531</v>
      </c>
      <c r="F89" s="80" t="s">
        <v>617</v>
      </c>
      <c r="G89" s="7" t="s">
        <v>533</v>
      </c>
      <c r="H89" s="7" t="s">
        <v>39</v>
      </c>
    </row>
    <row r="90" spans="1:8" ht="14.4">
      <c r="A90" s="77">
        <v>25</v>
      </c>
      <c r="B90" s="78" t="s">
        <v>529</v>
      </c>
      <c r="C90" s="79" t="s">
        <v>112</v>
      </c>
      <c r="D90" s="79">
        <f>_xlfn.XLOOKUP(C90,'April 2026'!A:A,'April 2026'!B:B)</f>
        <v>140663253</v>
      </c>
      <c r="E90" s="78" t="s">
        <v>547</v>
      </c>
      <c r="F90" s="80" t="s">
        <v>618</v>
      </c>
      <c r="G90" s="7" t="s">
        <v>533</v>
      </c>
      <c r="H90" s="7" t="s">
        <v>39</v>
      </c>
    </row>
    <row r="91" spans="1:8" ht="14.4">
      <c r="A91" s="77">
        <v>88</v>
      </c>
      <c r="B91" s="78" t="s">
        <v>529</v>
      </c>
      <c r="C91" s="79" t="s">
        <v>133</v>
      </c>
      <c r="D91" s="79">
        <f>_xlfn.XLOOKUP(C91,'April 2026'!A:A,'April 2026'!B:B)</f>
        <v>140846684</v>
      </c>
      <c r="E91" s="78" t="s">
        <v>547</v>
      </c>
      <c r="F91" s="80" t="s">
        <v>583</v>
      </c>
      <c r="G91" s="7" t="s">
        <v>551</v>
      </c>
      <c r="H91" s="7" t="s">
        <v>39</v>
      </c>
    </row>
    <row r="92" spans="1:8" ht="15.6">
      <c r="A92" s="77">
        <v>245</v>
      </c>
      <c r="B92" s="78" t="s">
        <v>619</v>
      </c>
      <c r="C92" s="73" t="s">
        <v>318</v>
      </c>
      <c r="D92" s="79" t="e">
        <f>_xlfn.XLOOKUP(C92,'April 2026'!A:A,'April 2026'!B:B)</f>
        <v>#N/A</v>
      </c>
      <c r="E92" s="78"/>
      <c r="F92" s="80" t="s">
        <v>285</v>
      </c>
      <c r="G92" s="7" t="s">
        <v>554</v>
      </c>
      <c r="H92" s="7" t="s">
        <v>39</v>
      </c>
    </row>
    <row r="93" spans="1:8" ht="14.4">
      <c r="A93" s="77">
        <v>90</v>
      </c>
      <c r="B93" s="78" t="s">
        <v>529</v>
      </c>
      <c r="C93" s="79" t="s">
        <v>185</v>
      </c>
      <c r="D93" s="79">
        <f>_xlfn.XLOOKUP(C93,'April 2026'!A:A,'April 2026'!B:B)</f>
        <v>140848828</v>
      </c>
      <c r="E93" s="78" t="s">
        <v>547</v>
      </c>
      <c r="F93" s="80" t="s">
        <v>620</v>
      </c>
      <c r="G93" s="7" t="s">
        <v>551</v>
      </c>
      <c r="H93" s="7" t="s">
        <v>39</v>
      </c>
    </row>
    <row r="94" spans="1:8" ht="14.4">
      <c r="A94" s="77">
        <v>91</v>
      </c>
      <c r="B94" s="78" t="s">
        <v>529</v>
      </c>
      <c r="C94" s="79" t="s">
        <v>76</v>
      </c>
      <c r="D94" s="79">
        <f>_xlfn.XLOOKUP(C94,'April 2026'!A:A,'April 2026'!B:B)</f>
        <v>127859069</v>
      </c>
      <c r="E94" s="78" t="s">
        <v>547</v>
      </c>
      <c r="F94" s="80" t="s">
        <v>621</v>
      </c>
      <c r="G94" s="7" t="s">
        <v>533</v>
      </c>
      <c r="H94" s="7" t="s">
        <v>39</v>
      </c>
    </row>
    <row r="95" spans="1:8" ht="14.4">
      <c r="A95" s="77">
        <v>47</v>
      </c>
      <c r="B95" s="78" t="s">
        <v>529</v>
      </c>
      <c r="C95" s="79" t="s">
        <v>189</v>
      </c>
      <c r="D95" s="79">
        <f>_xlfn.XLOOKUP(C95,'April 2026'!A:A,'April 2026'!B:B)</f>
        <v>121937785</v>
      </c>
      <c r="E95" s="78" t="s">
        <v>567</v>
      </c>
      <c r="F95" s="80" t="s">
        <v>622</v>
      </c>
      <c r="G95" s="7" t="s">
        <v>551</v>
      </c>
      <c r="H95" s="7" t="s">
        <v>39</v>
      </c>
    </row>
    <row r="96" spans="1:8" ht="14.4">
      <c r="A96" s="77">
        <v>93</v>
      </c>
      <c r="B96" s="78" t="s">
        <v>529</v>
      </c>
      <c r="C96" s="79" t="s">
        <v>623</v>
      </c>
      <c r="D96" s="79">
        <f>_xlfn.XLOOKUP(C96,'April 2026'!A:A,'April 2026'!B:B)</f>
        <v>140859482</v>
      </c>
      <c r="E96" s="78" t="s">
        <v>547</v>
      </c>
      <c r="F96" s="80" t="s">
        <v>624</v>
      </c>
      <c r="G96" s="7" t="s">
        <v>533</v>
      </c>
      <c r="H96" s="7" t="s">
        <v>39</v>
      </c>
    </row>
    <row r="97" spans="1:8" ht="14.4">
      <c r="A97" s="77">
        <v>231</v>
      </c>
      <c r="B97" s="78" t="s">
        <v>592</v>
      </c>
      <c r="C97" s="82" t="s">
        <v>275</v>
      </c>
      <c r="D97" s="79">
        <f>_xlfn.XLOOKUP(C97,'April 2026'!A:A,'April 2026'!B:B)</f>
        <v>116448869</v>
      </c>
      <c r="E97" s="78"/>
      <c r="F97" s="83" t="s">
        <v>625</v>
      </c>
      <c r="G97" s="7" t="s">
        <v>554</v>
      </c>
      <c r="H97" s="7" t="s">
        <v>39</v>
      </c>
    </row>
    <row r="98" spans="1:8" ht="15.6">
      <c r="A98" s="77">
        <v>241</v>
      </c>
      <c r="B98" s="78" t="s">
        <v>592</v>
      </c>
      <c r="C98" s="73" t="s">
        <v>310</v>
      </c>
      <c r="D98" s="79">
        <f>_xlfn.XLOOKUP(C98,'April 2026'!A:A,'April 2026'!B:B)</f>
        <v>113787454</v>
      </c>
      <c r="E98" s="78"/>
      <c r="F98" s="80" t="s">
        <v>626</v>
      </c>
      <c r="G98" s="7" t="s">
        <v>554</v>
      </c>
      <c r="H98" s="7" t="s">
        <v>39</v>
      </c>
    </row>
    <row r="99" spans="1:8" ht="14.4">
      <c r="A99" s="77">
        <v>96</v>
      </c>
      <c r="B99" s="78" t="s">
        <v>529</v>
      </c>
      <c r="C99" s="79" t="s">
        <v>73</v>
      </c>
      <c r="D99" s="79">
        <f>_xlfn.XLOOKUP(C99,'April 2026'!A:A,'April 2026'!B:B)</f>
        <v>135325259</v>
      </c>
      <c r="E99" s="78" t="s">
        <v>567</v>
      </c>
      <c r="F99" s="80" t="s">
        <v>597</v>
      </c>
      <c r="G99" s="7" t="s">
        <v>533</v>
      </c>
      <c r="H99" s="7" t="s">
        <v>39</v>
      </c>
    </row>
    <row r="100" spans="1:8" ht="14.4">
      <c r="A100" s="77">
        <v>97</v>
      </c>
      <c r="B100" s="78" t="s">
        <v>529</v>
      </c>
      <c r="C100" s="79" t="s">
        <v>110</v>
      </c>
      <c r="D100" s="79">
        <f>_xlfn.XLOOKUP(C100,'April 2026'!A:A,'April 2026'!B:B)</f>
        <v>136277866</v>
      </c>
      <c r="E100" s="78" t="s">
        <v>567</v>
      </c>
      <c r="F100" s="80" t="s">
        <v>597</v>
      </c>
      <c r="G100" s="7" t="s">
        <v>533</v>
      </c>
      <c r="H100" s="7" t="s">
        <v>39</v>
      </c>
    </row>
    <row r="101" spans="1:8" ht="14.4">
      <c r="A101" s="77">
        <v>98</v>
      </c>
      <c r="B101" s="78" t="s">
        <v>529</v>
      </c>
      <c r="C101" s="79" t="s">
        <v>627</v>
      </c>
      <c r="D101" s="79">
        <f>_xlfn.XLOOKUP(C101,'April 2026'!A:A,'April 2026'!B:B)</f>
        <v>15485532</v>
      </c>
      <c r="E101" s="78" t="s">
        <v>542</v>
      </c>
      <c r="F101" s="80" t="s">
        <v>285</v>
      </c>
      <c r="G101" s="7" t="s">
        <v>533</v>
      </c>
      <c r="H101" s="7" t="s">
        <v>39</v>
      </c>
    </row>
    <row r="102" spans="1:8" ht="14.4">
      <c r="A102" s="77">
        <v>228</v>
      </c>
      <c r="B102" s="83" t="s">
        <v>628</v>
      </c>
      <c r="C102" s="82" t="s">
        <v>266</v>
      </c>
      <c r="D102" s="79">
        <f>_xlfn.XLOOKUP(C102,'April 2026'!A:A,'April 2026'!B:B)</f>
        <v>14552941</v>
      </c>
      <c r="E102" s="78"/>
      <c r="F102" s="80" t="s">
        <v>629</v>
      </c>
      <c r="G102" s="7" t="s">
        <v>554</v>
      </c>
      <c r="H102" s="7" t="s">
        <v>39</v>
      </c>
    </row>
    <row r="103" spans="1:8" ht="14.4">
      <c r="A103" s="77">
        <v>100</v>
      </c>
      <c r="B103" s="78" t="s">
        <v>529</v>
      </c>
      <c r="C103" s="79" t="s">
        <v>630</v>
      </c>
      <c r="D103" s="79">
        <f>_xlfn.XLOOKUP(C103,'April 2026'!A:A,'April 2026'!B:B)</f>
        <v>12441043</v>
      </c>
      <c r="E103" s="78" t="s">
        <v>542</v>
      </c>
      <c r="F103" s="80" t="s">
        <v>631</v>
      </c>
      <c r="G103" s="7" t="s">
        <v>533</v>
      </c>
      <c r="H103" s="7" t="s">
        <v>39</v>
      </c>
    </row>
    <row r="104" spans="1:8" ht="14.4">
      <c r="A104" s="77">
        <v>101</v>
      </c>
      <c r="B104" s="78" t="s">
        <v>529</v>
      </c>
      <c r="C104" s="79" t="s">
        <v>238</v>
      </c>
      <c r="D104" s="79">
        <f>_xlfn.XLOOKUP(C104,'April 2026'!A:A,'April 2026'!B:B)</f>
        <v>19753414</v>
      </c>
      <c r="E104" s="78" t="s">
        <v>542</v>
      </c>
      <c r="F104" s="80" t="s">
        <v>632</v>
      </c>
      <c r="G104" s="7" t="s">
        <v>533</v>
      </c>
      <c r="H104" s="7" t="s">
        <v>39</v>
      </c>
    </row>
    <row r="105" spans="1:8" ht="14.4">
      <c r="A105" s="77">
        <v>102</v>
      </c>
      <c r="B105" s="78" t="s">
        <v>529</v>
      </c>
      <c r="C105" s="79" t="s">
        <v>633</v>
      </c>
      <c r="D105" s="79">
        <f>_xlfn.XLOOKUP(C105,'April 2026'!A:A,'April 2026'!B:B)</f>
        <v>19110768</v>
      </c>
      <c r="E105" s="78" t="s">
        <v>542</v>
      </c>
      <c r="F105" s="80" t="s">
        <v>285</v>
      </c>
      <c r="G105" s="7" t="s">
        <v>533</v>
      </c>
      <c r="H105" s="7" t="s">
        <v>39</v>
      </c>
    </row>
    <row r="106" spans="1:8" ht="14.4">
      <c r="A106" s="77">
        <v>103</v>
      </c>
      <c r="B106" s="78" t="s">
        <v>529</v>
      </c>
      <c r="C106" s="79" t="s">
        <v>634</v>
      </c>
      <c r="D106" s="79">
        <f>_xlfn.XLOOKUP(C106,'April 2026'!A:A,'April 2026'!B:B)</f>
        <v>141246094</v>
      </c>
      <c r="E106" s="78" t="s">
        <v>531</v>
      </c>
      <c r="F106" s="80" t="s">
        <v>635</v>
      </c>
      <c r="G106" s="7" t="s">
        <v>533</v>
      </c>
      <c r="H106" s="7" t="s">
        <v>39</v>
      </c>
    </row>
    <row r="107" spans="1:8" ht="14.4">
      <c r="A107" s="77">
        <v>104</v>
      </c>
      <c r="B107" s="78" t="s">
        <v>529</v>
      </c>
      <c r="C107" s="79" t="s">
        <v>636</v>
      </c>
      <c r="D107" s="79">
        <f>_xlfn.XLOOKUP(C107,'April 2026'!A:A,'April 2026'!B:B)</f>
        <v>10612625</v>
      </c>
      <c r="E107" s="78" t="s">
        <v>542</v>
      </c>
      <c r="F107" s="80" t="s">
        <v>637</v>
      </c>
      <c r="G107" s="7" t="s">
        <v>533</v>
      </c>
      <c r="H107" s="7" t="s">
        <v>39</v>
      </c>
    </row>
    <row r="108" spans="1:8" ht="14.4">
      <c r="A108" s="77">
        <v>105</v>
      </c>
      <c r="B108" s="78" t="s">
        <v>529</v>
      </c>
      <c r="C108" s="79" t="s">
        <v>109</v>
      </c>
      <c r="D108" s="79">
        <f>_xlfn.XLOOKUP(C108,'April 2026'!A:A,'April 2026'!B:B)</f>
        <v>123805496</v>
      </c>
      <c r="E108" s="78" t="s">
        <v>638</v>
      </c>
      <c r="F108" s="80" t="s">
        <v>564</v>
      </c>
      <c r="G108" s="7" t="s">
        <v>551</v>
      </c>
      <c r="H108" s="7" t="s">
        <v>39</v>
      </c>
    </row>
    <row r="109" spans="1:8" ht="14.4">
      <c r="A109" s="77">
        <v>106</v>
      </c>
      <c r="B109" s="78" t="s">
        <v>639</v>
      </c>
      <c r="C109" s="79" t="s">
        <v>36</v>
      </c>
      <c r="D109" s="79">
        <f>_xlfn.XLOOKUP(C109,'April 2026'!A:A,'April 2026'!B:B)</f>
        <v>114929202</v>
      </c>
      <c r="E109" s="78" t="s">
        <v>638</v>
      </c>
      <c r="F109" s="80" t="s">
        <v>640</v>
      </c>
      <c r="G109" s="7" t="s">
        <v>551</v>
      </c>
      <c r="H109" s="7" t="s">
        <v>641</v>
      </c>
    </row>
    <row r="110" spans="1:8" ht="14.4">
      <c r="A110" s="77">
        <v>107</v>
      </c>
      <c r="B110" s="78" t="s">
        <v>639</v>
      </c>
      <c r="C110" s="79" t="s">
        <v>197</v>
      </c>
      <c r="D110" s="79">
        <f>_xlfn.XLOOKUP(C110,'April 2026'!A:A,'April 2026'!B:B)</f>
        <v>106093463</v>
      </c>
      <c r="E110" s="78" t="s">
        <v>638</v>
      </c>
      <c r="F110" s="80" t="s">
        <v>640</v>
      </c>
      <c r="G110" s="7" t="s">
        <v>551</v>
      </c>
      <c r="H110" s="7" t="s">
        <v>641</v>
      </c>
    </row>
    <row r="111" spans="1:8" ht="14.4">
      <c r="A111" s="77">
        <v>108</v>
      </c>
      <c r="B111" s="78" t="s">
        <v>639</v>
      </c>
      <c r="C111" s="79" t="s">
        <v>66</v>
      </c>
      <c r="D111" s="79">
        <f>_xlfn.XLOOKUP(C111,'April 2026'!A:A,'April 2026'!B:B)</f>
        <v>115018512</v>
      </c>
      <c r="E111" s="78" t="s">
        <v>638</v>
      </c>
      <c r="F111" s="80" t="s">
        <v>640</v>
      </c>
      <c r="G111" s="7" t="s">
        <v>551</v>
      </c>
      <c r="H111" s="7" t="s">
        <v>641</v>
      </c>
    </row>
    <row r="112" spans="1:8" ht="14.4">
      <c r="A112" s="77">
        <v>147</v>
      </c>
      <c r="B112" s="78" t="s">
        <v>529</v>
      </c>
      <c r="C112" s="79" t="s">
        <v>642</v>
      </c>
      <c r="D112" s="79" t="e">
        <f>_xlfn.XLOOKUP(C112,'April 2026'!A:A,'April 2026'!B:B)</f>
        <v>#N/A</v>
      </c>
      <c r="E112" s="78" t="s">
        <v>531</v>
      </c>
      <c r="F112" s="80" t="s">
        <v>643</v>
      </c>
      <c r="G112" s="7" t="s">
        <v>551</v>
      </c>
      <c r="H112" s="7" t="s">
        <v>39</v>
      </c>
    </row>
    <row r="113" spans="1:8" ht="14.4">
      <c r="A113" s="77">
        <v>18</v>
      </c>
      <c r="B113" s="78" t="s">
        <v>529</v>
      </c>
      <c r="C113" s="79" t="s">
        <v>644</v>
      </c>
      <c r="D113" s="79" t="str">
        <f>_xlfn.XLOOKUP(C113,'April 2026'!A:A,'April 2026'!B:B)</f>
        <v>125440626</v>
      </c>
      <c r="E113" s="78" t="s">
        <v>567</v>
      </c>
      <c r="F113" s="80" t="s">
        <v>564</v>
      </c>
      <c r="G113" s="7" t="s">
        <v>551</v>
      </c>
      <c r="H113" s="7" t="s">
        <v>39</v>
      </c>
    </row>
    <row r="114" spans="1:8" ht="14.4">
      <c r="A114" s="77">
        <v>15</v>
      </c>
      <c r="B114" s="78" t="s">
        <v>529</v>
      </c>
      <c r="C114" s="79" t="s">
        <v>645</v>
      </c>
      <c r="D114" s="79" t="str">
        <f>_xlfn.XLOOKUP(C114,'April 2026'!A:A,'April 2026'!B:B)</f>
        <v>122179642</v>
      </c>
      <c r="E114" s="78" t="s">
        <v>567</v>
      </c>
      <c r="F114" s="80" t="s">
        <v>562</v>
      </c>
      <c r="G114" s="7" t="s">
        <v>551</v>
      </c>
      <c r="H114" s="7" t="s">
        <v>39</v>
      </c>
    </row>
    <row r="115" spans="1:8" ht="14.4">
      <c r="A115" s="77">
        <v>112</v>
      </c>
      <c r="B115" s="78" t="s">
        <v>529</v>
      </c>
      <c r="C115" s="79" t="s">
        <v>57</v>
      </c>
      <c r="D115" s="79">
        <f>_xlfn.XLOOKUP(C115,'April 2026'!A:A,'April 2026'!B:B)</f>
        <v>140693697</v>
      </c>
      <c r="E115" s="78" t="s">
        <v>547</v>
      </c>
      <c r="F115" s="80" t="s">
        <v>576</v>
      </c>
      <c r="G115" s="7" t="s">
        <v>533</v>
      </c>
      <c r="H115" s="7" t="s">
        <v>39</v>
      </c>
    </row>
    <row r="116" spans="1:8" ht="14.4">
      <c r="A116" s="77">
        <v>113</v>
      </c>
      <c r="B116" s="78" t="s">
        <v>529</v>
      </c>
      <c r="C116" s="79" t="s">
        <v>69</v>
      </c>
      <c r="D116" s="79">
        <f>_xlfn.XLOOKUP(C116,'April 2026'!A:A,'April 2026'!B:B)</f>
        <v>141169071</v>
      </c>
      <c r="E116" s="78" t="s">
        <v>569</v>
      </c>
      <c r="F116" s="80" t="s">
        <v>646</v>
      </c>
      <c r="G116" s="7" t="s">
        <v>551</v>
      </c>
      <c r="H116" s="7" t="s">
        <v>39</v>
      </c>
    </row>
    <row r="117" spans="1:8" ht="14.4">
      <c r="A117" s="77">
        <v>114</v>
      </c>
      <c r="B117" s="78" t="s">
        <v>529</v>
      </c>
      <c r="C117" s="79" t="s">
        <v>61</v>
      </c>
      <c r="D117" s="79">
        <f>_xlfn.XLOOKUP(C117,'April 2026'!A:A,'April 2026'!B:B)</f>
        <v>141169047</v>
      </c>
      <c r="E117" s="78" t="s">
        <v>569</v>
      </c>
      <c r="F117" s="80" t="s">
        <v>559</v>
      </c>
      <c r="G117" s="7" t="s">
        <v>551</v>
      </c>
      <c r="H117" s="7" t="s">
        <v>39</v>
      </c>
    </row>
    <row r="118" spans="1:8" ht="14.4">
      <c r="A118" s="77">
        <v>115</v>
      </c>
      <c r="B118" s="78" t="s">
        <v>529</v>
      </c>
      <c r="C118" s="79" t="s">
        <v>124</v>
      </c>
      <c r="D118" s="79">
        <f>_xlfn.XLOOKUP(C118,'April 2026'!A:A,'April 2026'!B:B)</f>
        <v>141169033</v>
      </c>
      <c r="E118" s="78" t="s">
        <v>569</v>
      </c>
      <c r="F118" s="80" t="s">
        <v>559</v>
      </c>
      <c r="G118" s="7" t="s">
        <v>551</v>
      </c>
      <c r="H118" s="7" t="s">
        <v>39</v>
      </c>
    </row>
    <row r="119" spans="1:8" ht="14.4">
      <c r="A119" s="77">
        <v>116</v>
      </c>
      <c r="B119" s="78" t="s">
        <v>529</v>
      </c>
      <c r="C119" s="79" t="s">
        <v>125</v>
      </c>
      <c r="D119" s="79">
        <f>_xlfn.XLOOKUP(C119,'April 2026'!A:A,'April 2026'!B:B)</f>
        <v>141169028</v>
      </c>
      <c r="E119" s="78" t="s">
        <v>569</v>
      </c>
      <c r="F119" s="80" t="s">
        <v>559</v>
      </c>
      <c r="G119" s="7" t="s">
        <v>551</v>
      </c>
      <c r="H119" s="7" t="s">
        <v>39</v>
      </c>
    </row>
    <row r="120" spans="1:8" ht="14.4">
      <c r="A120" s="77">
        <v>117</v>
      </c>
      <c r="B120" s="78" t="s">
        <v>529</v>
      </c>
      <c r="C120" s="79" t="s">
        <v>101</v>
      </c>
      <c r="D120" s="79">
        <f>_xlfn.XLOOKUP(C120,'April 2026'!A:A,'April 2026'!B:B)</f>
        <v>141169052</v>
      </c>
      <c r="E120" s="78" t="s">
        <v>569</v>
      </c>
      <c r="F120" s="80" t="s">
        <v>559</v>
      </c>
      <c r="G120" s="7" t="s">
        <v>551</v>
      </c>
      <c r="H120" s="7" t="s">
        <v>39</v>
      </c>
    </row>
    <row r="121" spans="1:8" ht="14.4">
      <c r="A121" s="77">
        <v>118</v>
      </c>
      <c r="B121" s="78" t="s">
        <v>529</v>
      </c>
      <c r="C121" s="79" t="s">
        <v>59</v>
      </c>
      <c r="D121" s="79">
        <f>_xlfn.XLOOKUP(C121,'April 2026'!A:A,'April 2026'!B:B)</f>
        <v>141169085</v>
      </c>
      <c r="E121" s="78" t="s">
        <v>569</v>
      </c>
      <c r="F121" s="80" t="s">
        <v>559</v>
      </c>
      <c r="G121" s="7" t="s">
        <v>551</v>
      </c>
      <c r="H121" s="7" t="s">
        <v>39</v>
      </c>
    </row>
    <row r="122" spans="1:8" ht="14.4">
      <c r="A122" s="77">
        <v>119</v>
      </c>
      <c r="B122" s="78" t="s">
        <v>529</v>
      </c>
      <c r="C122" s="79" t="s">
        <v>647</v>
      </c>
      <c r="D122" s="79">
        <f>_xlfn.XLOOKUP(C122,'April 2026'!A:A,'April 2026'!B:B)</f>
        <v>140995321</v>
      </c>
      <c r="E122" s="78" t="s">
        <v>547</v>
      </c>
      <c r="F122" s="80" t="s">
        <v>648</v>
      </c>
      <c r="G122" s="7" t="s">
        <v>533</v>
      </c>
      <c r="H122" s="7" t="s">
        <v>39</v>
      </c>
    </row>
    <row r="123" spans="1:8" ht="14.4">
      <c r="A123" s="77">
        <v>120</v>
      </c>
      <c r="B123" s="78" t="s">
        <v>529</v>
      </c>
      <c r="C123" s="79" t="s">
        <v>134</v>
      </c>
      <c r="D123" s="79">
        <f>_xlfn.XLOOKUP(C123,'April 2026'!A:A,'April 2026'!B:B)</f>
        <v>18114443</v>
      </c>
      <c r="E123" s="78" t="s">
        <v>542</v>
      </c>
      <c r="F123" s="80" t="s">
        <v>285</v>
      </c>
      <c r="G123" s="7" t="s">
        <v>533</v>
      </c>
      <c r="H123" s="7" t="s">
        <v>39</v>
      </c>
    </row>
    <row r="124" spans="1:8" ht="14.4">
      <c r="A124" s="77">
        <v>22</v>
      </c>
      <c r="B124" s="78" t="s">
        <v>529</v>
      </c>
      <c r="C124" s="79" t="s">
        <v>649</v>
      </c>
      <c r="D124" s="79">
        <f>_xlfn.XLOOKUP(C124,'April 2026'!A:A,'April 2026'!B:B)</f>
        <v>12825038</v>
      </c>
      <c r="E124" s="78" t="s">
        <v>542</v>
      </c>
      <c r="F124" s="80" t="s">
        <v>558</v>
      </c>
      <c r="G124" s="7" t="s">
        <v>533</v>
      </c>
      <c r="H124" s="7" t="s">
        <v>39</v>
      </c>
    </row>
    <row r="125" spans="1:8" ht="14.4">
      <c r="A125" s="77">
        <v>131</v>
      </c>
      <c r="B125" s="78" t="s">
        <v>529</v>
      </c>
      <c r="C125" s="79" t="s">
        <v>650</v>
      </c>
      <c r="D125" s="79" t="e">
        <f>_xlfn.XLOOKUP(C125,'April 2026'!A:A,'April 2026'!B:B)</f>
        <v>#N/A</v>
      </c>
      <c r="E125" s="78" t="s">
        <v>542</v>
      </c>
      <c r="F125" s="80" t="s">
        <v>651</v>
      </c>
      <c r="G125" s="7" t="s">
        <v>533</v>
      </c>
      <c r="H125" s="7" t="s">
        <v>39</v>
      </c>
    </row>
    <row r="126" spans="1:8" ht="14.4">
      <c r="A126" s="77">
        <v>123</v>
      </c>
      <c r="B126" s="78" t="s">
        <v>529</v>
      </c>
      <c r="C126" s="79" t="s">
        <v>235</v>
      </c>
      <c r="D126" s="79">
        <f>_xlfn.XLOOKUP(C126,'April 2026'!A:A,'April 2026'!B:B)</f>
        <v>132423982</v>
      </c>
      <c r="E126" s="78" t="s">
        <v>547</v>
      </c>
      <c r="F126" s="80" t="s">
        <v>652</v>
      </c>
      <c r="G126" s="7" t="s">
        <v>551</v>
      </c>
      <c r="H126" s="7" t="s">
        <v>39</v>
      </c>
    </row>
    <row r="127" spans="1:8" ht="14.4">
      <c r="A127" s="77">
        <v>124</v>
      </c>
      <c r="B127" s="78" t="s">
        <v>653</v>
      </c>
      <c r="C127" s="79" t="s">
        <v>132</v>
      </c>
      <c r="D127" s="79">
        <f>_xlfn.XLOOKUP(C127,'April 2026'!A:A,'April 2026'!B:B)</f>
        <v>135762195</v>
      </c>
      <c r="E127" s="78" t="s">
        <v>567</v>
      </c>
      <c r="F127" s="80" t="s">
        <v>576</v>
      </c>
      <c r="G127" s="7" t="s">
        <v>533</v>
      </c>
      <c r="H127" s="7" t="s">
        <v>641</v>
      </c>
    </row>
    <row r="128" spans="1:8" ht="14.4">
      <c r="A128" s="77">
        <v>125</v>
      </c>
      <c r="B128" s="78" t="s">
        <v>529</v>
      </c>
      <c r="C128" s="79" t="s">
        <v>654</v>
      </c>
      <c r="D128" s="79">
        <f>_xlfn.XLOOKUP(C128,'April 2026'!A:A,'April 2026'!B:B)</f>
        <v>83070339</v>
      </c>
      <c r="E128" s="78" t="s">
        <v>547</v>
      </c>
      <c r="F128" s="80" t="s">
        <v>655</v>
      </c>
      <c r="G128" s="7" t="s">
        <v>533</v>
      </c>
      <c r="H128" s="7" t="s">
        <v>39</v>
      </c>
    </row>
    <row r="129" spans="1:8" ht="14.4">
      <c r="A129" s="77">
        <v>126</v>
      </c>
      <c r="B129" s="78" t="s">
        <v>656</v>
      </c>
      <c r="C129" s="79" t="s">
        <v>131</v>
      </c>
      <c r="D129" s="79">
        <f>_xlfn.XLOOKUP(C129,'April 2026'!A:A,'April 2026'!B:B)</f>
        <v>131431131</v>
      </c>
      <c r="E129" s="78" t="s">
        <v>567</v>
      </c>
      <c r="F129" s="80" t="s">
        <v>640</v>
      </c>
      <c r="G129" s="7" t="s">
        <v>551</v>
      </c>
      <c r="H129" s="7" t="s">
        <v>641</v>
      </c>
    </row>
    <row r="130" spans="1:8" ht="14.4">
      <c r="A130" s="77">
        <v>127</v>
      </c>
      <c r="B130" s="78" t="s">
        <v>529</v>
      </c>
      <c r="C130" s="79" t="s">
        <v>97</v>
      </c>
      <c r="D130" s="79">
        <f>_xlfn.XLOOKUP(C130,'April 2026'!A:A,'April 2026'!B:B)</f>
        <v>141359235</v>
      </c>
      <c r="E130" s="78" t="s">
        <v>547</v>
      </c>
      <c r="F130" s="80" t="s">
        <v>657</v>
      </c>
      <c r="G130" s="7" t="s">
        <v>551</v>
      </c>
      <c r="H130" s="7" t="s">
        <v>39</v>
      </c>
    </row>
    <row r="131" spans="1:8" ht="14.4">
      <c r="A131" s="77">
        <v>67</v>
      </c>
      <c r="B131" s="78" t="s">
        <v>529</v>
      </c>
      <c r="C131" s="79" t="s">
        <v>202</v>
      </c>
      <c r="D131" s="79">
        <f>_xlfn.XLOOKUP(C131,'April 2026'!A:A,'April 2026'!B:B)</f>
        <v>140805592</v>
      </c>
      <c r="E131" s="78" t="s">
        <v>547</v>
      </c>
      <c r="F131" s="80" t="s">
        <v>583</v>
      </c>
      <c r="G131" s="7" t="s">
        <v>551</v>
      </c>
      <c r="H131" s="7" t="s">
        <v>39</v>
      </c>
    </row>
    <row r="132" spans="1:8" ht="14.4">
      <c r="A132" s="77">
        <v>73</v>
      </c>
      <c r="B132" s="78" t="s">
        <v>529</v>
      </c>
      <c r="C132" s="79" t="s">
        <v>658</v>
      </c>
      <c r="D132" s="79" t="str">
        <f>_xlfn.XLOOKUP(C132,'April 2026'!A:A,'April 2026'!B:B)</f>
        <v>122274652</v>
      </c>
      <c r="E132" s="78" t="s">
        <v>547</v>
      </c>
      <c r="F132" s="80" t="s">
        <v>559</v>
      </c>
      <c r="G132" s="7" t="s">
        <v>551</v>
      </c>
      <c r="H132" s="7" t="s">
        <v>39</v>
      </c>
    </row>
    <row r="133" spans="1:8" ht="14.4">
      <c r="A133" s="77">
        <v>130</v>
      </c>
      <c r="B133" s="78" t="s">
        <v>639</v>
      </c>
      <c r="C133" s="79" t="s">
        <v>193</v>
      </c>
      <c r="D133" s="79">
        <f>_xlfn.XLOOKUP(C133,'April 2026'!A:A,'April 2026'!B:B)</f>
        <v>105813698</v>
      </c>
      <c r="E133" s="78" t="s">
        <v>638</v>
      </c>
      <c r="F133" s="80" t="s">
        <v>622</v>
      </c>
      <c r="G133" s="7" t="s">
        <v>533</v>
      </c>
      <c r="H133" s="7" t="s">
        <v>641</v>
      </c>
    </row>
    <row r="134" spans="1:8" ht="14.4">
      <c r="A134" s="77">
        <v>53</v>
      </c>
      <c r="B134" s="78" t="s">
        <v>529</v>
      </c>
      <c r="C134" s="79" t="s">
        <v>659</v>
      </c>
      <c r="D134" s="79" t="str">
        <f>_xlfn.XLOOKUP(C134,'April 2026'!A:A,'April 2026'!B:B)</f>
        <v>117020738</v>
      </c>
      <c r="E134" s="78" t="s">
        <v>547</v>
      </c>
      <c r="F134" s="80" t="s">
        <v>564</v>
      </c>
      <c r="G134" s="7" t="s">
        <v>551</v>
      </c>
      <c r="H134" s="7" t="s">
        <v>39</v>
      </c>
    </row>
    <row r="135" spans="1:8" ht="14.4">
      <c r="A135" s="77">
        <v>132</v>
      </c>
      <c r="B135" s="78" t="s">
        <v>653</v>
      </c>
      <c r="C135" s="79" t="s">
        <v>65</v>
      </c>
      <c r="D135" s="79">
        <f>_xlfn.XLOOKUP(C135,'April 2026'!A:A,'April 2026'!B:B)</f>
        <v>108478006</v>
      </c>
      <c r="E135" s="78" t="s">
        <v>638</v>
      </c>
      <c r="F135" s="80" t="s">
        <v>640</v>
      </c>
      <c r="G135" s="7" t="s">
        <v>551</v>
      </c>
      <c r="H135" s="7" t="s">
        <v>641</v>
      </c>
    </row>
    <row r="136" spans="1:8" ht="14.4">
      <c r="A136" s="77">
        <v>56</v>
      </c>
      <c r="B136" s="78" t="s">
        <v>529</v>
      </c>
      <c r="C136" s="79" t="s">
        <v>660</v>
      </c>
      <c r="D136" s="79" t="str">
        <f>_xlfn.XLOOKUP(C136,'April 2026'!A:A,'April 2026'!B:B)</f>
        <v>122015438</v>
      </c>
      <c r="E136" s="78" t="s">
        <v>547</v>
      </c>
      <c r="F136" s="80" t="s">
        <v>661</v>
      </c>
      <c r="G136" s="7" t="s">
        <v>551</v>
      </c>
      <c r="H136" s="7" t="s">
        <v>39</v>
      </c>
    </row>
    <row r="137" spans="1:8" ht="14.4">
      <c r="A137" s="77">
        <v>74</v>
      </c>
      <c r="B137" s="78" t="s">
        <v>529</v>
      </c>
      <c r="C137" s="79" t="s">
        <v>68</v>
      </c>
      <c r="D137" s="79">
        <f>_xlfn.XLOOKUP(C137,'April 2026'!A:A,'April 2026'!B:B)</f>
        <v>116915582</v>
      </c>
      <c r="E137" s="78" t="s">
        <v>531</v>
      </c>
      <c r="F137" s="80" t="s">
        <v>617</v>
      </c>
      <c r="G137" s="7" t="s">
        <v>533</v>
      </c>
      <c r="H137" s="7" t="s">
        <v>39</v>
      </c>
    </row>
    <row r="138" spans="1:8" ht="14.4">
      <c r="A138" s="77">
        <v>135</v>
      </c>
      <c r="B138" s="78" t="s">
        <v>529</v>
      </c>
      <c r="C138" s="79" t="s">
        <v>662</v>
      </c>
      <c r="D138" s="79">
        <f>_xlfn.XLOOKUP(C138,'April 2026'!A:A,'April 2026'!B:B)</f>
        <v>141179467</v>
      </c>
      <c r="E138" s="78" t="s">
        <v>547</v>
      </c>
      <c r="F138" s="80" t="s">
        <v>43</v>
      </c>
      <c r="G138" s="7" t="s">
        <v>554</v>
      </c>
      <c r="H138" s="7" t="s">
        <v>39</v>
      </c>
    </row>
    <row r="139" spans="1:8" ht="14.4">
      <c r="A139" s="77">
        <v>136</v>
      </c>
      <c r="B139" s="78" t="s">
        <v>639</v>
      </c>
      <c r="C139" s="79" t="s">
        <v>192</v>
      </c>
      <c r="D139" s="79">
        <f>_xlfn.XLOOKUP(C139,'April 2026'!A:A,'April 2026'!B:B)</f>
        <v>96409155</v>
      </c>
      <c r="E139" s="78" t="s">
        <v>638</v>
      </c>
      <c r="F139" s="80" t="s">
        <v>578</v>
      </c>
      <c r="G139" s="7" t="s">
        <v>551</v>
      </c>
      <c r="H139" s="7" t="s">
        <v>641</v>
      </c>
    </row>
    <row r="140" spans="1:8" ht="14.4">
      <c r="A140" s="77">
        <v>137</v>
      </c>
      <c r="B140" s="78" t="s">
        <v>653</v>
      </c>
      <c r="C140" s="79" t="s">
        <v>130</v>
      </c>
      <c r="D140" s="79">
        <f>_xlfn.XLOOKUP(C140,'April 2026'!A:A,'April 2026'!B:B)</f>
        <v>76647648</v>
      </c>
      <c r="E140" s="78" t="s">
        <v>567</v>
      </c>
      <c r="F140" s="80" t="s">
        <v>640</v>
      </c>
      <c r="G140" s="7" t="s">
        <v>551</v>
      </c>
      <c r="H140" s="7" t="s">
        <v>641</v>
      </c>
    </row>
    <row r="141" spans="1:8" ht="14.4">
      <c r="A141" s="77">
        <v>138</v>
      </c>
      <c r="B141" s="78" t="s">
        <v>529</v>
      </c>
      <c r="C141" s="79" t="s">
        <v>663</v>
      </c>
      <c r="D141" s="79">
        <f>_xlfn.XLOOKUP(C141,'April 2026'!A:A,'April 2026'!B:B)</f>
        <v>8125926</v>
      </c>
      <c r="E141" s="78" t="s">
        <v>542</v>
      </c>
      <c r="F141" s="80" t="s">
        <v>285</v>
      </c>
      <c r="G141" s="7" t="s">
        <v>533</v>
      </c>
      <c r="H141" s="7" t="s">
        <v>39</v>
      </c>
    </row>
    <row r="142" spans="1:8" ht="14.4">
      <c r="A142" s="77">
        <v>139</v>
      </c>
      <c r="B142" s="78" t="s">
        <v>639</v>
      </c>
      <c r="C142" s="79" t="s">
        <v>212</v>
      </c>
      <c r="D142" s="79">
        <f>_xlfn.XLOOKUP(C142,'April 2026'!A:A,'April 2026'!B:B)</f>
        <v>116676257</v>
      </c>
      <c r="E142" s="78" t="s">
        <v>638</v>
      </c>
      <c r="F142" s="80" t="s">
        <v>578</v>
      </c>
      <c r="G142" s="7" t="s">
        <v>551</v>
      </c>
      <c r="H142" s="7" t="s">
        <v>641</v>
      </c>
    </row>
    <row r="143" spans="1:8" ht="14.4">
      <c r="A143" s="77">
        <v>140</v>
      </c>
      <c r="B143" s="78" t="s">
        <v>653</v>
      </c>
      <c r="C143" s="79" t="s">
        <v>194</v>
      </c>
      <c r="D143" s="79">
        <f>_xlfn.XLOOKUP(C143,'April 2026'!A:A,'April 2026'!B:B)</f>
        <v>135340657</v>
      </c>
      <c r="E143" s="78" t="s">
        <v>567</v>
      </c>
      <c r="F143" s="80" t="s">
        <v>664</v>
      </c>
      <c r="G143" s="7" t="s">
        <v>554</v>
      </c>
      <c r="H143" s="7" t="s">
        <v>641</v>
      </c>
    </row>
    <row r="144" spans="1:8" ht="14.4">
      <c r="A144" s="77">
        <v>141</v>
      </c>
      <c r="B144" s="78" t="s">
        <v>639</v>
      </c>
      <c r="C144" s="79" t="s">
        <v>169</v>
      </c>
      <c r="D144" s="79">
        <f>_xlfn.XLOOKUP(C144,'April 2026'!A:A,'April 2026'!B:B)</f>
        <v>115731078</v>
      </c>
      <c r="E144" s="78" t="s">
        <v>638</v>
      </c>
      <c r="F144" s="80" t="s">
        <v>578</v>
      </c>
      <c r="G144" s="7" t="s">
        <v>551</v>
      </c>
      <c r="H144" s="7" t="s">
        <v>641</v>
      </c>
    </row>
    <row r="145" spans="1:8" ht="14.4">
      <c r="A145" s="77">
        <v>142</v>
      </c>
      <c r="B145" s="78" t="s">
        <v>529</v>
      </c>
      <c r="C145" s="79" t="s">
        <v>665</v>
      </c>
      <c r="D145" s="79">
        <f>_xlfn.XLOOKUP(C145,'April 2026'!A:A,'April 2026'!B:B)</f>
        <v>141228922</v>
      </c>
      <c r="E145" s="78" t="s">
        <v>547</v>
      </c>
      <c r="F145" s="80" t="s">
        <v>666</v>
      </c>
      <c r="G145" s="7" t="s">
        <v>533</v>
      </c>
      <c r="H145" s="7" t="s">
        <v>39</v>
      </c>
    </row>
    <row r="146" spans="1:8" ht="14.4">
      <c r="A146" s="77">
        <v>143</v>
      </c>
      <c r="B146" s="78" t="s">
        <v>529</v>
      </c>
      <c r="C146" s="79" t="s">
        <v>136</v>
      </c>
      <c r="D146" s="79">
        <f>_xlfn.XLOOKUP(C146,'April 2026'!A:A,'April 2026'!B:B)</f>
        <v>141250908</v>
      </c>
      <c r="E146" s="78" t="s">
        <v>547</v>
      </c>
      <c r="F146" s="80" t="s">
        <v>635</v>
      </c>
      <c r="G146" s="7" t="s">
        <v>533</v>
      </c>
      <c r="H146" s="7" t="s">
        <v>39</v>
      </c>
    </row>
    <row r="147" spans="1:8" ht="14.4">
      <c r="A147" s="77">
        <v>144</v>
      </c>
      <c r="B147" s="78" t="s">
        <v>529</v>
      </c>
      <c r="C147" s="79" t="s">
        <v>423</v>
      </c>
      <c r="D147" s="79">
        <f>_xlfn.XLOOKUP(C147,'April 2026'!A:A,'April 2026'!B:B)</f>
        <v>141253376</v>
      </c>
      <c r="E147" s="78" t="s">
        <v>547</v>
      </c>
      <c r="F147" s="80" t="s">
        <v>667</v>
      </c>
      <c r="G147" s="7" t="s">
        <v>533</v>
      </c>
      <c r="H147" s="7" t="s">
        <v>39</v>
      </c>
    </row>
    <row r="148" spans="1:8" ht="14.4">
      <c r="A148" s="77">
        <v>145</v>
      </c>
      <c r="B148" s="78" t="s">
        <v>639</v>
      </c>
      <c r="C148" s="79" t="s">
        <v>191</v>
      </c>
      <c r="D148" s="79">
        <f>_xlfn.XLOOKUP(C148,'April 2026'!A:A,'April 2026'!B:B)</f>
        <v>95335424</v>
      </c>
      <c r="E148" s="78" t="s">
        <v>638</v>
      </c>
      <c r="F148" s="80" t="s">
        <v>578</v>
      </c>
      <c r="G148" s="7" t="s">
        <v>551</v>
      </c>
      <c r="H148" s="7" t="s">
        <v>641</v>
      </c>
    </row>
    <row r="149" spans="1:8" ht="14.4">
      <c r="A149" s="77">
        <v>146</v>
      </c>
      <c r="B149" s="78" t="s">
        <v>529</v>
      </c>
      <c r="C149" s="79" t="s">
        <v>668</v>
      </c>
      <c r="D149" s="79">
        <f>_xlfn.XLOOKUP(C149,'April 2026'!A:A,'April 2026'!B:B)</f>
        <v>71257815</v>
      </c>
      <c r="E149" s="78" t="s">
        <v>531</v>
      </c>
      <c r="F149" s="80" t="s">
        <v>669</v>
      </c>
      <c r="G149" s="7" t="s">
        <v>551</v>
      </c>
      <c r="H149" s="7" t="s">
        <v>39</v>
      </c>
    </row>
    <row r="150" spans="1:8" ht="15.6">
      <c r="A150" s="77">
        <v>238</v>
      </c>
      <c r="B150" s="78" t="s">
        <v>552</v>
      </c>
      <c r="C150" s="73" t="s">
        <v>248</v>
      </c>
      <c r="D150" s="79" t="e">
        <f>_xlfn.XLOOKUP(C150,'April 2026'!A:A,'April 2026'!B:B)</f>
        <v>#N/A</v>
      </c>
      <c r="E150" s="78"/>
      <c r="F150" s="80" t="s">
        <v>553</v>
      </c>
      <c r="G150" s="7" t="s">
        <v>554</v>
      </c>
      <c r="H150" s="7" t="s">
        <v>39</v>
      </c>
    </row>
    <row r="151" spans="1:8" ht="14.4">
      <c r="A151" s="77">
        <v>99</v>
      </c>
      <c r="B151" s="78" t="s">
        <v>529</v>
      </c>
      <c r="C151" s="79" t="s">
        <v>670</v>
      </c>
      <c r="D151" s="79">
        <f>_xlfn.XLOOKUP(C151,'April 2026'!A:A,'April 2026'!B:B)</f>
        <v>14915995</v>
      </c>
      <c r="E151" s="78" t="s">
        <v>542</v>
      </c>
      <c r="F151" s="80" t="s">
        <v>671</v>
      </c>
      <c r="G151" s="7" t="s">
        <v>533</v>
      </c>
      <c r="H151" s="7" t="s">
        <v>39</v>
      </c>
    </row>
    <row r="152" spans="1:8" ht="14.4">
      <c r="A152" s="77">
        <v>149</v>
      </c>
      <c r="B152" s="78" t="s">
        <v>529</v>
      </c>
      <c r="C152" s="79" t="s">
        <v>91</v>
      </c>
      <c r="D152" s="79">
        <f>_xlfn.XLOOKUP(C152,'April 2026'!A:A,'April 2026'!B:B)</f>
        <v>132915855</v>
      </c>
      <c r="E152" s="78" t="s">
        <v>531</v>
      </c>
      <c r="F152" s="80" t="s">
        <v>570</v>
      </c>
      <c r="G152" s="7" t="s">
        <v>551</v>
      </c>
      <c r="H152" s="7" t="s">
        <v>39</v>
      </c>
    </row>
    <row r="153" spans="1:8" ht="14.4">
      <c r="A153" s="77">
        <v>150</v>
      </c>
      <c r="B153" s="78" t="s">
        <v>529</v>
      </c>
      <c r="C153" s="79" t="s">
        <v>30</v>
      </c>
      <c r="D153" s="79">
        <f>_xlfn.XLOOKUP(C153,'April 2026'!A:A,'April 2026'!B:B)</f>
        <v>116589569</v>
      </c>
      <c r="E153" s="78" t="s">
        <v>547</v>
      </c>
      <c r="F153" s="80" t="s">
        <v>635</v>
      </c>
      <c r="G153" s="7" t="s">
        <v>533</v>
      </c>
      <c r="H153" s="7" t="s">
        <v>39</v>
      </c>
    </row>
    <row r="154" spans="1:8" ht="14.4">
      <c r="A154" s="77">
        <v>11</v>
      </c>
      <c r="B154" s="78" t="s">
        <v>529</v>
      </c>
      <c r="C154" s="79" t="s">
        <v>211</v>
      </c>
      <c r="D154" s="79">
        <f>_xlfn.XLOOKUP(C154,'April 2026'!A:A,'April 2026'!B:B)</f>
        <v>140477664</v>
      </c>
      <c r="E154" s="78" t="s">
        <v>547</v>
      </c>
      <c r="F154" s="80" t="s">
        <v>637</v>
      </c>
      <c r="G154" s="7" t="s">
        <v>533</v>
      </c>
      <c r="H154" s="7" t="s">
        <v>39</v>
      </c>
    </row>
    <row r="155" spans="1:8" ht="14.4">
      <c r="A155" s="77">
        <v>152</v>
      </c>
      <c r="B155" s="78" t="s">
        <v>529</v>
      </c>
      <c r="C155" s="79" t="s">
        <v>384</v>
      </c>
      <c r="D155" s="79">
        <f>_xlfn.XLOOKUP(C155,'April 2026'!A:A,'April 2026'!B:B)</f>
        <v>141307968</v>
      </c>
      <c r="E155" s="78" t="s">
        <v>615</v>
      </c>
      <c r="F155" s="80" t="s">
        <v>570</v>
      </c>
      <c r="G155" s="7" t="s">
        <v>551</v>
      </c>
      <c r="H155" s="7" t="s">
        <v>39</v>
      </c>
    </row>
    <row r="156" spans="1:8" ht="14.4">
      <c r="A156" s="77">
        <v>148</v>
      </c>
      <c r="B156" s="78" t="s">
        <v>529</v>
      </c>
      <c r="C156" s="79" t="s">
        <v>672</v>
      </c>
      <c r="D156" s="79">
        <f>_xlfn.XLOOKUP(C156,'April 2026'!A:A,'April 2026'!B:B)</f>
        <v>141505123</v>
      </c>
      <c r="E156" s="78" t="s">
        <v>531</v>
      </c>
      <c r="F156" s="80" t="s">
        <v>635</v>
      </c>
      <c r="G156" s="7" t="s">
        <v>533</v>
      </c>
      <c r="H156" s="7" t="s">
        <v>39</v>
      </c>
    </row>
    <row r="157" spans="1:8" ht="14.4">
      <c r="A157" s="77">
        <v>154</v>
      </c>
      <c r="B157" s="78" t="s">
        <v>529</v>
      </c>
      <c r="C157" s="79" t="s">
        <v>31</v>
      </c>
      <c r="D157" s="79">
        <f>_xlfn.XLOOKUP(C157,'April 2026'!A:A,'April 2026'!B:B)</f>
        <v>99596058</v>
      </c>
      <c r="E157" s="78" t="s">
        <v>547</v>
      </c>
      <c r="F157" s="80" t="s">
        <v>576</v>
      </c>
      <c r="G157" s="7" t="s">
        <v>533</v>
      </c>
      <c r="H157" s="7" t="s">
        <v>39</v>
      </c>
    </row>
    <row r="158" spans="1:8" ht="14.4">
      <c r="A158" s="77">
        <v>155</v>
      </c>
      <c r="B158" s="78" t="s">
        <v>529</v>
      </c>
      <c r="C158" s="79" t="s">
        <v>323</v>
      </c>
      <c r="D158" s="79">
        <f>_xlfn.XLOOKUP(C158,'April 2026'!A:A,'April 2026'!B:B)</f>
        <v>141322471</v>
      </c>
      <c r="E158" s="78" t="s">
        <v>547</v>
      </c>
      <c r="F158" s="80" t="s">
        <v>606</v>
      </c>
      <c r="G158" s="7" t="s">
        <v>533</v>
      </c>
      <c r="H158" s="7" t="s">
        <v>39</v>
      </c>
    </row>
    <row r="159" spans="1:8" ht="14.4">
      <c r="A159" s="77">
        <v>156</v>
      </c>
      <c r="B159" s="78" t="s">
        <v>529</v>
      </c>
      <c r="C159" s="79" t="s">
        <v>377</v>
      </c>
      <c r="D159" s="79">
        <f>_xlfn.XLOOKUP(C159,'April 2026'!A:A,'April 2026'!B:B)</f>
        <v>141322485</v>
      </c>
      <c r="E159" s="78" t="s">
        <v>547</v>
      </c>
      <c r="F159" s="80" t="s">
        <v>673</v>
      </c>
      <c r="G159" s="7" t="s">
        <v>533</v>
      </c>
      <c r="H159" s="7" t="s">
        <v>39</v>
      </c>
    </row>
    <row r="160" spans="1:8" ht="14.4">
      <c r="A160" s="77">
        <v>157</v>
      </c>
      <c r="B160" s="78" t="s">
        <v>639</v>
      </c>
      <c r="C160" s="79" t="s">
        <v>674</v>
      </c>
      <c r="D160" s="79" t="str">
        <f>_xlfn.XLOOKUP(C160,'April 2026'!A:A,'April 2026'!B:B)</f>
        <v>85813175</v>
      </c>
      <c r="E160" s="78" t="s">
        <v>638</v>
      </c>
      <c r="F160" s="80" t="s">
        <v>675</v>
      </c>
      <c r="G160" s="7" t="s">
        <v>551</v>
      </c>
      <c r="H160" s="7" t="s">
        <v>641</v>
      </c>
    </row>
    <row r="161" spans="1:8" ht="14.4">
      <c r="A161" s="77">
        <v>158</v>
      </c>
      <c r="B161" s="78" t="s">
        <v>529</v>
      </c>
      <c r="C161" s="79" t="s">
        <v>676</v>
      </c>
      <c r="D161" s="79">
        <f>_xlfn.XLOOKUP(C161,'April 2026'!A:A,'April 2026'!B:B)</f>
        <v>99112308</v>
      </c>
      <c r="E161" s="78" t="s">
        <v>547</v>
      </c>
      <c r="F161" s="80" t="s">
        <v>677</v>
      </c>
      <c r="G161" s="7" t="s">
        <v>533</v>
      </c>
      <c r="H161" s="7" t="s">
        <v>39</v>
      </c>
    </row>
    <row r="162" spans="1:8" ht="14.4">
      <c r="A162" s="77">
        <v>159</v>
      </c>
      <c r="B162" s="78" t="s">
        <v>529</v>
      </c>
      <c r="C162" s="79" t="s">
        <v>678</v>
      </c>
      <c r="D162" s="79">
        <f>_xlfn.XLOOKUP(C162,'April 2026'!A:A,'April 2026'!B:B)</f>
        <v>141358988</v>
      </c>
      <c r="E162" s="78" t="s">
        <v>531</v>
      </c>
      <c r="F162" s="80" t="s">
        <v>679</v>
      </c>
      <c r="G162" s="7" t="s">
        <v>551</v>
      </c>
      <c r="H162" s="7" t="s">
        <v>39</v>
      </c>
    </row>
    <row r="163" spans="1:8" ht="14.4">
      <c r="A163" s="77">
        <v>160</v>
      </c>
      <c r="B163" s="78" t="s">
        <v>529</v>
      </c>
      <c r="C163" s="79" t="s">
        <v>105</v>
      </c>
      <c r="D163" s="79">
        <f>_xlfn.XLOOKUP(C163,'April 2026'!A:A,'April 2026'!B:B)</f>
        <v>141358993</v>
      </c>
      <c r="E163" s="78" t="s">
        <v>531</v>
      </c>
      <c r="F163" s="80" t="s">
        <v>657</v>
      </c>
      <c r="G163" s="7" t="s">
        <v>551</v>
      </c>
      <c r="H163" s="7" t="s">
        <v>39</v>
      </c>
    </row>
    <row r="164" spans="1:8" ht="14.4">
      <c r="A164" s="77">
        <v>161</v>
      </c>
      <c r="B164" s="78" t="s">
        <v>529</v>
      </c>
      <c r="C164" s="79" t="s">
        <v>183</v>
      </c>
      <c r="D164" s="79">
        <f>_xlfn.XLOOKUP(C164,'April 2026'!A:A,'April 2026'!B:B)</f>
        <v>141359024</v>
      </c>
      <c r="E164" s="78" t="s">
        <v>531</v>
      </c>
      <c r="F164" s="80" t="s">
        <v>679</v>
      </c>
      <c r="G164" s="7" t="s">
        <v>551</v>
      </c>
      <c r="H164" s="7" t="s">
        <v>39</v>
      </c>
    </row>
    <row r="165" spans="1:8" ht="14.4">
      <c r="A165" s="77">
        <v>162</v>
      </c>
      <c r="B165" s="78" t="s">
        <v>529</v>
      </c>
      <c r="C165" s="79" t="s">
        <v>97</v>
      </c>
      <c r="D165" s="79">
        <f>_xlfn.XLOOKUP(C165,'April 2026'!A:A,'April 2026'!B:B)</f>
        <v>141359235</v>
      </c>
      <c r="E165" s="78" t="s">
        <v>547</v>
      </c>
      <c r="F165" s="80" t="s">
        <v>559</v>
      </c>
      <c r="G165" s="7" t="s">
        <v>551</v>
      </c>
      <c r="H165" s="7" t="s">
        <v>39</v>
      </c>
    </row>
    <row r="166" spans="1:8" ht="14.4">
      <c r="A166" s="77">
        <v>163</v>
      </c>
      <c r="B166" s="78" t="s">
        <v>529</v>
      </c>
      <c r="C166" s="79" t="s">
        <v>207</v>
      </c>
      <c r="D166" s="79">
        <f>_xlfn.XLOOKUP(C166,'April 2026'!A:A,'April 2026'!B:B)</f>
        <v>141359216</v>
      </c>
      <c r="E166" s="78" t="s">
        <v>547</v>
      </c>
      <c r="F166" s="80" t="s">
        <v>571</v>
      </c>
      <c r="G166" s="7" t="s">
        <v>551</v>
      </c>
      <c r="H166" s="7" t="s">
        <v>39</v>
      </c>
    </row>
    <row r="167" spans="1:8" ht="14.4">
      <c r="A167" s="77">
        <v>164</v>
      </c>
      <c r="B167" s="78" t="s">
        <v>529</v>
      </c>
      <c r="C167" s="79" t="s">
        <v>74</v>
      </c>
      <c r="D167" s="79">
        <f>_xlfn.XLOOKUP(C167,'April 2026'!A:A,'April 2026'!B:B)</f>
        <v>141365089</v>
      </c>
      <c r="E167" s="78" t="s">
        <v>547</v>
      </c>
      <c r="F167" s="80" t="s">
        <v>657</v>
      </c>
      <c r="G167" s="7" t="s">
        <v>551</v>
      </c>
      <c r="H167" s="7" t="s">
        <v>39</v>
      </c>
    </row>
    <row r="168" spans="1:8" ht="14.4">
      <c r="A168" s="77">
        <v>165</v>
      </c>
      <c r="B168" s="78" t="s">
        <v>529</v>
      </c>
      <c r="C168" s="79" t="s">
        <v>34</v>
      </c>
      <c r="D168" s="79">
        <f>_xlfn.XLOOKUP(C168,'April 2026'!A:A,'April 2026'!B:B)</f>
        <v>141365023</v>
      </c>
      <c r="E168" s="78" t="s">
        <v>547</v>
      </c>
      <c r="F168" s="80" t="s">
        <v>562</v>
      </c>
      <c r="G168" s="7" t="s">
        <v>551</v>
      </c>
      <c r="H168" s="7" t="s">
        <v>39</v>
      </c>
    </row>
    <row r="169" spans="1:8" ht="14.4">
      <c r="A169" s="77">
        <v>166</v>
      </c>
      <c r="B169" s="78" t="s">
        <v>529</v>
      </c>
      <c r="C169" s="79" t="s">
        <v>224</v>
      </c>
      <c r="D169" s="79">
        <f>_xlfn.XLOOKUP(C169,'April 2026'!A:A,'April 2026'!B:B)</f>
        <v>141365094</v>
      </c>
      <c r="E169" s="78" t="s">
        <v>547</v>
      </c>
      <c r="F169" s="80" t="s">
        <v>680</v>
      </c>
      <c r="G169" s="7" t="s">
        <v>551</v>
      </c>
      <c r="H169" s="7" t="s">
        <v>39</v>
      </c>
    </row>
    <row r="170" spans="1:8" ht="14.4">
      <c r="A170" s="77">
        <v>167</v>
      </c>
      <c r="B170" s="78" t="s">
        <v>529</v>
      </c>
      <c r="C170" s="79" t="s">
        <v>70</v>
      </c>
      <c r="D170" s="79">
        <f>_xlfn.XLOOKUP(C170,'April 2026'!A:A,'April 2026'!B:B)</f>
        <v>141365126</v>
      </c>
      <c r="E170" s="78" t="s">
        <v>547</v>
      </c>
      <c r="F170" s="80" t="s">
        <v>680</v>
      </c>
      <c r="G170" s="7" t="s">
        <v>551</v>
      </c>
      <c r="H170" s="7" t="s">
        <v>39</v>
      </c>
    </row>
    <row r="171" spans="1:8" ht="14.4">
      <c r="A171" s="77">
        <v>168</v>
      </c>
      <c r="B171" s="78" t="s">
        <v>529</v>
      </c>
      <c r="C171" s="79" t="s">
        <v>439</v>
      </c>
      <c r="D171" s="79">
        <f>_xlfn.XLOOKUP(C171,'April 2026'!A:A,'April 2026'!B:B)</f>
        <v>141365042</v>
      </c>
      <c r="E171" s="78" t="s">
        <v>547</v>
      </c>
      <c r="F171" s="80" t="s">
        <v>680</v>
      </c>
      <c r="G171" s="7" t="s">
        <v>551</v>
      </c>
      <c r="H171" s="7" t="s">
        <v>39</v>
      </c>
    </row>
    <row r="172" spans="1:8" ht="14.4">
      <c r="A172" s="77">
        <v>169</v>
      </c>
      <c r="B172" s="78" t="s">
        <v>529</v>
      </c>
      <c r="C172" s="79" t="s">
        <v>209</v>
      </c>
      <c r="D172" s="79">
        <f>_xlfn.XLOOKUP(C172,'April 2026'!A:A,'April 2026'!B:B)</f>
        <v>141365164</v>
      </c>
      <c r="E172" s="78" t="s">
        <v>547</v>
      </c>
      <c r="F172" s="80" t="s">
        <v>680</v>
      </c>
      <c r="G172" s="7" t="s">
        <v>551</v>
      </c>
      <c r="H172" s="7" t="s">
        <v>39</v>
      </c>
    </row>
    <row r="173" spans="1:8" ht="14.4">
      <c r="A173" s="77">
        <v>170</v>
      </c>
      <c r="B173" s="78" t="s">
        <v>529</v>
      </c>
      <c r="C173" s="79" t="s">
        <v>264</v>
      </c>
      <c r="D173" s="79">
        <f>_xlfn.XLOOKUP(C173,'April 2026'!A:A,'April 2026'!B:B)</f>
        <v>141365061</v>
      </c>
      <c r="E173" s="78" t="s">
        <v>547</v>
      </c>
      <c r="F173" s="80" t="s">
        <v>680</v>
      </c>
      <c r="G173" s="7" t="s">
        <v>551</v>
      </c>
      <c r="H173" s="7" t="s">
        <v>39</v>
      </c>
    </row>
    <row r="174" spans="1:8" ht="14.4">
      <c r="A174" s="77">
        <v>171</v>
      </c>
      <c r="B174" s="78" t="s">
        <v>529</v>
      </c>
      <c r="C174" s="79" t="s">
        <v>102</v>
      </c>
      <c r="D174" s="79">
        <f>_xlfn.XLOOKUP(C174,'April 2026'!A:A,'April 2026'!B:B)</f>
        <v>141365075</v>
      </c>
      <c r="E174" s="78" t="s">
        <v>547</v>
      </c>
      <c r="F174" s="80" t="s">
        <v>680</v>
      </c>
      <c r="G174" s="7" t="s">
        <v>551</v>
      </c>
      <c r="H174" s="7" t="s">
        <v>39</v>
      </c>
    </row>
    <row r="175" spans="1:8" ht="14.4">
      <c r="A175" s="77">
        <v>172</v>
      </c>
      <c r="B175" s="78" t="s">
        <v>529</v>
      </c>
      <c r="C175" s="79" t="s">
        <v>120</v>
      </c>
      <c r="D175" s="79">
        <f>_xlfn.XLOOKUP(C175,'April 2026'!A:A,'April 2026'!B:B)</f>
        <v>141365037</v>
      </c>
      <c r="E175" s="78" t="s">
        <v>547</v>
      </c>
      <c r="F175" s="80" t="s">
        <v>613</v>
      </c>
      <c r="G175" s="7" t="s">
        <v>551</v>
      </c>
      <c r="H175" s="7" t="s">
        <v>39</v>
      </c>
    </row>
    <row r="176" spans="1:8" ht="14.4">
      <c r="A176" s="77">
        <v>173</v>
      </c>
      <c r="B176" s="78" t="s">
        <v>529</v>
      </c>
      <c r="C176" s="79" t="s">
        <v>456</v>
      </c>
      <c r="D176" s="79">
        <f>_xlfn.XLOOKUP(C176,'April 2026'!A:A,'April 2026'!B:B)</f>
        <v>141365131</v>
      </c>
      <c r="E176" s="78" t="s">
        <v>547</v>
      </c>
      <c r="F176" s="80" t="s">
        <v>613</v>
      </c>
      <c r="G176" s="7" t="s">
        <v>551</v>
      </c>
      <c r="H176" s="7" t="s">
        <v>39</v>
      </c>
    </row>
    <row r="177" spans="1:8" ht="14.4">
      <c r="A177" s="77">
        <v>174</v>
      </c>
      <c r="B177" s="78" t="s">
        <v>529</v>
      </c>
      <c r="C177" s="79" t="s">
        <v>681</v>
      </c>
      <c r="D177" s="79">
        <f>_xlfn.XLOOKUP(C177,'April 2026'!A:A,'April 2026'!B:B)</f>
        <v>141365056</v>
      </c>
      <c r="E177" s="78" t="s">
        <v>547</v>
      </c>
      <c r="F177" s="80" t="s">
        <v>657</v>
      </c>
      <c r="G177" s="7" t="s">
        <v>551</v>
      </c>
      <c r="H177" s="7" t="s">
        <v>39</v>
      </c>
    </row>
    <row r="178" spans="1:8" ht="14.4">
      <c r="A178" s="77">
        <v>175</v>
      </c>
      <c r="B178" s="78" t="s">
        <v>529</v>
      </c>
      <c r="C178" s="79" t="s">
        <v>29</v>
      </c>
      <c r="D178" s="79">
        <f>_xlfn.XLOOKUP(C178,'April 2026'!A:A,'April 2026'!B:B)</f>
        <v>127331574</v>
      </c>
      <c r="E178" s="78" t="s">
        <v>567</v>
      </c>
      <c r="F178" s="80" t="s">
        <v>597</v>
      </c>
      <c r="G178" s="7" t="s">
        <v>533</v>
      </c>
      <c r="H178" s="7" t="s">
        <v>39</v>
      </c>
    </row>
    <row r="179" spans="1:8" ht="14.4">
      <c r="A179" s="77">
        <v>176</v>
      </c>
      <c r="B179" s="78" t="s">
        <v>529</v>
      </c>
      <c r="C179" s="79" t="s">
        <v>111</v>
      </c>
      <c r="D179" s="79">
        <f>_xlfn.XLOOKUP(C179,'April 2026'!A:A,'April 2026'!B:B)</f>
        <v>120653364</v>
      </c>
      <c r="E179" s="78" t="s">
        <v>567</v>
      </c>
      <c r="F179" s="80" t="s">
        <v>594</v>
      </c>
      <c r="G179" s="7" t="s">
        <v>533</v>
      </c>
      <c r="H179" s="7" t="s">
        <v>39</v>
      </c>
    </row>
    <row r="180" spans="1:8" ht="14.4">
      <c r="A180" s="77">
        <v>94</v>
      </c>
      <c r="B180" s="78" t="s">
        <v>529</v>
      </c>
      <c r="C180" s="79" t="s">
        <v>682</v>
      </c>
      <c r="D180" s="79" t="e">
        <f>_xlfn.XLOOKUP(C180,'April 2026'!A:A,'April 2026'!B:B)</f>
        <v>#N/A</v>
      </c>
      <c r="E180" s="78" t="s">
        <v>542</v>
      </c>
      <c r="F180" s="80" t="s">
        <v>285</v>
      </c>
      <c r="G180" s="7" t="s">
        <v>533</v>
      </c>
      <c r="H180" s="7" t="s">
        <v>39</v>
      </c>
    </row>
    <row r="181" spans="1:8" ht="14.4">
      <c r="A181" s="77">
        <v>178</v>
      </c>
      <c r="B181" s="78" t="s">
        <v>529</v>
      </c>
      <c r="C181" s="79" t="s">
        <v>92</v>
      </c>
      <c r="D181" s="79">
        <f>_xlfn.XLOOKUP(C181,'April 2026'!A:A,'April 2026'!B:B)</f>
        <v>141377747</v>
      </c>
      <c r="E181" s="78" t="s">
        <v>547</v>
      </c>
      <c r="F181" s="80" t="s">
        <v>613</v>
      </c>
      <c r="G181" s="7" t="s">
        <v>551</v>
      </c>
      <c r="H181" s="7" t="s">
        <v>39</v>
      </c>
    </row>
    <row r="182" spans="1:8" ht="14.4">
      <c r="A182" s="77">
        <v>179</v>
      </c>
      <c r="B182" s="78" t="s">
        <v>529</v>
      </c>
      <c r="C182" s="79" t="s">
        <v>683</v>
      </c>
      <c r="D182" s="79">
        <f>_xlfn.XLOOKUP(C182,'April 2026'!A:A,'April 2026'!B:B)</f>
        <v>141377771</v>
      </c>
      <c r="E182" s="78" t="s">
        <v>547</v>
      </c>
      <c r="F182" s="80" t="s">
        <v>613</v>
      </c>
      <c r="G182" s="7" t="s">
        <v>551</v>
      </c>
      <c r="H182" s="7" t="s">
        <v>39</v>
      </c>
    </row>
    <row r="183" spans="1:8" ht="14.4">
      <c r="A183" s="77">
        <v>180</v>
      </c>
      <c r="B183" s="78" t="s">
        <v>529</v>
      </c>
      <c r="C183" s="79" t="s">
        <v>684</v>
      </c>
      <c r="D183" s="79">
        <f>_xlfn.XLOOKUP(C183,'April 2026'!A:A,'April 2026'!B:B)</f>
        <v>141377714</v>
      </c>
      <c r="E183" s="78" t="s">
        <v>547</v>
      </c>
      <c r="F183" s="80" t="s">
        <v>613</v>
      </c>
      <c r="G183" s="7" t="s">
        <v>551</v>
      </c>
      <c r="H183" s="7" t="s">
        <v>39</v>
      </c>
    </row>
    <row r="184" spans="1:8" ht="14.4">
      <c r="A184" s="77">
        <v>181</v>
      </c>
      <c r="B184" s="78" t="s">
        <v>529</v>
      </c>
      <c r="C184" s="79" t="s">
        <v>685</v>
      </c>
      <c r="D184" s="79">
        <f>_xlfn.XLOOKUP(C184,'April 2026'!A:A,'April 2026'!B:B)</f>
        <v>141377752</v>
      </c>
      <c r="E184" s="78" t="s">
        <v>547</v>
      </c>
      <c r="F184" s="80" t="s">
        <v>568</v>
      </c>
      <c r="G184" s="7" t="s">
        <v>551</v>
      </c>
      <c r="H184" s="7" t="s">
        <v>39</v>
      </c>
    </row>
    <row r="185" spans="1:8" ht="14.4">
      <c r="A185" s="77">
        <v>182</v>
      </c>
      <c r="B185" s="78" t="s">
        <v>529</v>
      </c>
      <c r="C185" s="79" t="s">
        <v>686</v>
      </c>
      <c r="D185" s="79">
        <f>_xlfn.XLOOKUP(C185,'April 2026'!A:A,'April 2026'!B:B)</f>
        <v>141381507</v>
      </c>
      <c r="E185" s="78" t="s">
        <v>547</v>
      </c>
      <c r="F185" s="80" t="s">
        <v>687</v>
      </c>
      <c r="G185" s="7" t="s">
        <v>533</v>
      </c>
      <c r="H185" s="7" t="s">
        <v>39</v>
      </c>
    </row>
    <row r="186" spans="1:8" ht="14.4">
      <c r="A186" s="77">
        <v>183</v>
      </c>
      <c r="B186" s="78" t="s">
        <v>529</v>
      </c>
      <c r="C186" s="79" t="s">
        <v>451</v>
      </c>
      <c r="D186" s="79">
        <f>_xlfn.XLOOKUP(C186,'April 2026'!A:A,'April 2026'!B:B)</f>
        <v>121594839</v>
      </c>
      <c r="E186" s="78" t="s">
        <v>531</v>
      </c>
      <c r="F186" s="80" t="s">
        <v>673</v>
      </c>
      <c r="G186" s="7" t="s">
        <v>533</v>
      </c>
      <c r="H186" s="7" t="s">
        <v>39</v>
      </c>
    </row>
    <row r="187" spans="1:8" ht="14.4">
      <c r="A187" s="77">
        <v>184</v>
      </c>
      <c r="B187" s="78" t="s">
        <v>529</v>
      </c>
      <c r="C187" s="79" t="s">
        <v>688</v>
      </c>
      <c r="D187" s="79">
        <f>_xlfn.XLOOKUP(C187,'April 2026'!A:A,'April 2026'!B:B)</f>
        <v>141402153</v>
      </c>
      <c r="E187" s="78" t="s">
        <v>547</v>
      </c>
      <c r="F187" s="80" t="s">
        <v>664</v>
      </c>
      <c r="G187" s="7" t="s">
        <v>533</v>
      </c>
      <c r="H187" s="7" t="s">
        <v>39</v>
      </c>
    </row>
    <row r="188" spans="1:8" ht="14.4">
      <c r="A188" s="77">
        <v>185</v>
      </c>
      <c r="B188" s="78" t="s">
        <v>529</v>
      </c>
      <c r="C188" s="79" t="s">
        <v>286</v>
      </c>
      <c r="D188" s="79">
        <f>_xlfn.XLOOKUP(C188,'April 2026'!A:A,'April 2026'!B:B)</f>
        <v>1487544</v>
      </c>
      <c r="E188" s="78" t="s">
        <v>542</v>
      </c>
      <c r="F188" s="80" t="s">
        <v>285</v>
      </c>
      <c r="G188" s="7" t="s">
        <v>533</v>
      </c>
      <c r="H188" s="7" t="s">
        <v>39</v>
      </c>
    </row>
    <row r="189" spans="1:8" ht="14.4">
      <c r="A189" s="77">
        <v>186</v>
      </c>
      <c r="B189" s="78" t="s">
        <v>628</v>
      </c>
      <c r="C189" s="79" t="s">
        <v>214</v>
      </c>
      <c r="D189" s="79">
        <f>_xlfn.XLOOKUP(C189,'April 2026'!A:A,'April 2026'!B:B)</f>
        <v>109957631</v>
      </c>
      <c r="E189" s="78"/>
      <c r="F189" s="80" t="s">
        <v>689</v>
      </c>
      <c r="G189" s="34" t="s">
        <v>554</v>
      </c>
      <c r="H189" s="7" t="s">
        <v>39</v>
      </c>
    </row>
    <row r="190" spans="1:8" ht="14.4">
      <c r="A190" s="77">
        <v>187</v>
      </c>
      <c r="B190" s="78" t="s">
        <v>592</v>
      </c>
      <c r="C190" s="79" t="s">
        <v>164</v>
      </c>
      <c r="D190" s="79">
        <f>_xlfn.XLOOKUP(C190,'April 2026'!A:A,'April 2026'!B:B)</f>
        <v>112778626</v>
      </c>
      <c r="E190" s="78"/>
      <c r="F190" s="80" t="s">
        <v>690</v>
      </c>
      <c r="G190" s="34" t="s">
        <v>554</v>
      </c>
      <c r="H190" s="7" t="s">
        <v>39</v>
      </c>
    </row>
    <row r="191" spans="1:8" ht="14.4">
      <c r="A191" s="77">
        <v>188</v>
      </c>
      <c r="B191" s="78" t="s">
        <v>691</v>
      </c>
      <c r="C191" s="79" t="s">
        <v>692</v>
      </c>
      <c r="D191" s="79" t="str">
        <f>_xlfn.XLOOKUP(C191,'April 2026'!A:A,'April 2026'!B:B)</f>
        <v>96405686</v>
      </c>
      <c r="E191" s="78"/>
      <c r="F191" s="80" t="s">
        <v>680</v>
      </c>
      <c r="G191" s="7" t="s">
        <v>551</v>
      </c>
      <c r="H191" s="7" t="s">
        <v>641</v>
      </c>
    </row>
    <row r="192" spans="1:8" ht="14.4">
      <c r="A192" s="77">
        <v>189</v>
      </c>
      <c r="B192" s="78" t="s">
        <v>693</v>
      </c>
      <c r="C192" s="79" t="s">
        <v>38</v>
      </c>
      <c r="D192" s="79">
        <f>_xlfn.XLOOKUP(C192,'April 2026'!A:A,'April 2026'!B:B)</f>
        <v>98845403</v>
      </c>
      <c r="E192" s="78"/>
      <c r="F192" s="80" t="s">
        <v>694</v>
      </c>
      <c r="G192" s="7" t="s">
        <v>554</v>
      </c>
      <c r="H192" s="7" t="s">
        <v>39</v>
      </c>
    </row>
    <row r="193" spans="1:8" ht="14.4">
      <c r="A193" s="77">
        <v>190</v>
      </c>
      <c r="B193" s="78" t="s">
        <v>691</v>
      </c>
      <c r="C193" s="79" t="s">
        <v>695</v>
      </c>
      <c r="D193" s="79" t="str">
        <f>_xlfn.XLOOKUP(C193,'April 2026'!A:A,'April 2026'!B:B)</f>
        <v>-</v>
      </c>
      <c r="E193" s="78"/>
      <c r="F193" s="80" t="s">
        <v>680</v>
      </c>
      <c r="G193" s="7" t="s">
        <v>551</v>
      </c>
      <c r="H193" s="7" t="s">
        <v>641</v>
      </c>
    </row>
    <row r="194" spans="1:8" ht="14.4">
      <c r="A194" s="77">
        <v>191</v>
      </c>
      <c r="B194" s="78" t="s">
        <v>691</v>
      </c>
      <c r="C194" s="79" t="s">
        <v>182</v>
      </c>
      <c r="D194" s="79">
        <f>_xlfn.XLOOKUP(C194,'April 2026'!A:A,'April 2026'!B:B)</f>
        <v>78785394</v>
      </c>
      <c r="E194" s="78"/>
      <c r="F194" s="80" t="s">
        <v>680</v>
      </c>
      <c r="G194" s="7" t="s">
        <v>551</v>
      </c>
      <c r="H194" s="7" t="s">
        <v>641</v>
      </c>
    </row>
    <row r="195" spans="1:8" ht="14.4">
      <c r="A195" s="77">
        <v>192</v>
      </c>
      <c r="B195" s="78" t="s">
        <v>691</v>
      </c>
      <c r="C195" s="79" t="s">
        <v>696</v>
      </c>
      <c r="D195" s="79" t="str">
        <f>_xlfn.XLOOKUP(C195,'April 2026'!A:A,'April 2026'!B:B)</f>
        <v>71345102</v>
      </c>
      <c r="E195" s="78"/>
      <c r="F195" s="80" t="s">
        <v>697</v>
      </c>
      <c r="G195" s="7" t="s">
        <v>551</v>
      </c>
      <c r="H195" s="7" t="s">
        <v>641</v>
      </c>
    </row>
    <row r="196" spans="1:8" ht="14.4">
      <c r="A196" s="77">
        <v>193</v>
      </c>
      <c r="B196" s="78" t="s">
        <v>698</v>
      </c>
      <c r="C196" s="79" t="s">
        <v>699</v>
      </c>
      <c r="D196" s="79">
        <f>_xlfn.XLOOKUP(C196,'April 2026'!A:A,'April 2026'!B:B)</f>
        <v>123805496</v>
      </c>
      <c r="E196" s="78"/>
      <c r="F196" s="80" t="s">
        <v>700</v>
      </c>
      <c r="G196" s="7" t="s">
        <v>554</v>
      </c>
      <c r="H196" s="7" t="s">
        <v>641</v>
      </c>
    </row>
    <row r="197" spans="1:8" ht="14.4">
      <c r="A197" s="77">
        <v>194</v>
      </c>
      <c r="B197" s="78" t="s">
        <v>701</v>
      </c>
      <c r="C197" s="79" t="s">
        <v>702</v>
      </c>
      <c r="D197" s="79">
        <f>_xlfn.XLOOKUP(C197,'April 2026'!A:A,'April 2026'!B:B)</f>
        <v>115018512</v>
      </c>
      <c r="E197" s="78"/>
      <c r="F197" s="80" t="s">
        <v>568</v>
      </c>
      <c r="G197" s="7" t="s">
        <v>551</v>
      </c>
      <c r="H197" s="7" t="s">
        <v>641</v>
      </c>
    </row>
    <row r="198" spans="1:8" ht="14.4">
      <c r="A198" s="77">
        <v>195</v>
      </c>
      <c r="B198" s="78" t="s">
        <v>701</v>
      </c>
      <c r="C198" s="79" t="s">
        <v>197</v>
      </c>
      <c r="D198" s="79">
        <f>_xlfn.XLOOKUP(C198,'April 2026'!A:A,'April 2026'!B:B)</f>
        <v>106093463</v>
      </c>
      <c r="E198" s="78"/>
      <c r="F198" s="80" t="s">
        <v>703</v>
      </c>
      <c r="G198" s="7" t="s">
        <v>551</v>
      </c>
      <c r="H198" s="7" t="s">
        <v>641</v>
      </c>
    </row>
    <row r="199" spans="1:8" ht="14.4">
      <c r="A199" s="77">
        <v>196</v>
      </c>
      <c r="B199" s="78" t="s">
        <v>628</v>
      </c>
      <c r="C199" s="79" t="s">
        <v>103</v>
      </c>
      <c r="D199" s="79">
        <f>_xlfn.XLOOKUP(C199,'April 2026'!A:A,'April 2026'!B:B)</f>
        <v>79502392</v>
      </c>
      <c r="E199" s="78"/>
      <c r="F199" s="80" t="s">
        <v>704</v>
      </c>
      <c r="G199" s="7" t="s">
        <v>554</v>
      </c>
      <c r="H199" s="7" t="s">
        <v>39</v>
      </c>
    </row>
    <row r="200" spans="1:8" ht="14.4">
      <c r="A200" s="77">
        <v>197</v>
      </c>
      <c r="B200" s="78" t="s">
        <v>701</v>
      </c>
      <c r="C200" s="79" t="s">
        <v>36</v>
      </c>
      <c r="D200" s="79">
        <f>_xlfn.XLOOKUP(C200,'April 2026'!A:A,'April 2026'!B:B)</f>
        <v>114929202</v>
      </c>
      <c r="E200" s="78"/>
      <c r="F200" s="80" t="s">
        <v>568</v>
      </c>
      <c r="G200" s="7" t="s">
        <v>551</v>
      </c>
      <c r="H200" s="7" t="s">
        <v>641</v>
      </c>
    </row>
    <row r="201" spans="1:8" ht="14.4">
      <c r="A201" s="77">
        <v>198</v>
      </c>
      <c r="B201" s="78" t="s">
        <v>691</v>
      </c>
      <c r="C201" s="79" t="s">
        <v>705</v>
      </c>
      <c r="D201" s="79" t="str">
        <f>_xlfn.XLOOKUP(C201,'April 2026'!A:A,'April 2026'!B:B)</f>
        <v>113484195</v>
      </c>
      <c r="E201" s="78"/>
      <c r="F201" s="80" t="s">
        <v>706</v>
      </c>
      <c r="G201" s="7" t="s">
        <v>551</v>
      </c>
      <c r="H201" s="7" t="s">
        <v>641</v>
      </c>
    </row>
    <row r="202" spans="1:8" ht="14.4">
      <c r="A202" s="77">
        <v>199</v>
      </c>
      <c r="B202" s="78" t="s">
        <v>707</v>
      </c>
      <c r="C202" s="79" t="s">
        <v>71</v>
      </c>
      <c r="D202" s="79">
        <f>_xlfn.XLOOKUP(C202,'April 2026'!A:A,'April 2026'!B:B)</f>
        <v>81379273</v>
      </c>
      <c r="E202" s="78"/>
      <c r="F202" s="80" t="s">
        <v>708</v>
      </c>
      <c r="G202" s="7" t="s">
        <v>554</v>
      </c>
      <c r="H202" s="7" t="s">
        <v>39</v>
      </c>
    </row>
    <row r="203" spans="1:8" ht="14.4">
      <c r="A203" s="77">
        <v>200</v>
      </c>
      <c r="B203" s="78" t="s">
        <v>709</v>
      </c>
      <c r="C203" s="79" t="s">
        <v>225</v>
      </c>
      <c r="D203" s="79">
        <f>_xlfn.XLOOKUP(C203,'April 2026'!A:A,'April 2026'!B:B)</f>
        <v>124233837</v>
      </c>
      <c r="E203" s="78"/>
      <c r="F203" s="80" t="s">
        <v>651</v>
      </c>
      <c r="G203" s="7" t="s">
        <v>554</v>
      </c>
      <c r="H203" s="7" t="s">
        <v>641</v>
      </c>
    </row>
    <row r="204" spans="1:8" ht="14.4">
      <c r="A204" s="77">
        <v>201</v>
      </c>
      <c r="B204" s="78" t="s">
        <v>656</v>
      </c>
      <c r="C204" s="79" t="s">
        <v>131</v>
      </c>
      <c r="D204" s="79">
        <f>_xlfn.XLOOKUP(C204,'April 2026'!A:A,'April 2026'!B:B)</f>
        <v>131431131</v>
      </c>
      <c r="E204" s="78"/>
      <c r="F204" s="80" t="s">
        <v>568</v>
      </c>
      <c r="G204" s="7" t="s">
        <v>551</v>
      </c>
      <c r="H204" s="7" t="s">
        <v>641</v>
      </c>
    </row>
    <row r="205" spans="1:8" ht="14.4">
      <c r="A205" s="77">
        <v>202</v>
      </c>
      <c r="B205" s="78" t="s">
        <v>710</v>
      </c>
      <c r="C205" s="79" t="s">
        <v>193</v>
      </c>
      <c r="D205" s="79">
        <f>_xlfn.XLOOKUP(C205,'April 2026'!A:A,'April 2026'!B:B)</f>
        <v>105813698</v>
      </c>
      <c r="E205" s="78"/>
      <c r="F205" s="80" t="s">
        <v>622</v>
      </c>
      <c r="G205" s="7" t="s">
        <v>533</v>
      </c>
      <c r="H205" s="7" t="s">
        <v>641</v>
      </c>
    </row>
    <row r="206" spans="1:8" ht="14.4">
      <c r="A206" s="77">
        <v>203</v>
      </c>
      <c r="B206" s="78" t="s">
        <v>653</v>
      </c>
      <c r="C206" s="79" t="s">
        <v>132</v>
      </c>
      <c r="D206" s="79">
        <f>_xlfn.XLOOKUP(C206,'April 2026'!A:A,'April 2026'!B:B)</f>
        <v>135762195</v>
      </c>
      <c r="E206" s="78"/>
      <c r="F206" s="80" t="s">
        <v>576</v>
      </c>
      <c r="G206" s="7" t="s">
        <v>533</v>
      </c>
      <c r="H206" s="7" t="s">
        <v>641</v>
      </c>
    </row>
    <row r="207" spans="1:8" ht="14.4">
      <c r="A207" s="77">
        <v>204</v>
      </c>
      <c r="B207" s="78" t="s">
        <v>653</v>
      </c>
      <c r="C207" s="79" t="s">
        <v>65</v>
      </c>
      <c r="D207" s="79">
        <f>_xlfn.XLOOKUP(C207,'April 2026'!A:A,'April 2026'!B:B)</f>
        <v>108478006</v>
      </c>
      <c r="E207" s="78"/>
      <c r="F207" s="80" t="s">
        <v>568</v>
      </c>
      <c r="G207" s="7" t="s">
        <v>551</v>
      </c>
      <c r="H207" s="7" t="s">
        <v>641</v>
      </c>
    </row>
    <row r="208" spans="1:8" ht="14.4">
      <c r="A208" s="77">
        <v>205</v>
      </c>
      <c r="B208" s="78" t="s">
        <v>710</v>
      </c>
      <c r="C208" s="79" t="s">
        <v>192</v>
      </c>
      <c r="D208" s="79">
        <f>_xlfn.XLOOKUP(C208,'April 2026'!A:A,'April 2026'!B:B)</f>
        <v>96409155</v>
      </c>
      <c r="E208" s="78"/>
      <c r="F208" s="80" t="s">
        <v>578</v>
      </c>
      <c r="G208" s="7" t="s">
        <v>551</v>
      </c>
      <c r="H208" s="7" t="s">
        <v>641</v>
      </c>
    </row>
    <row r="209" spans="1:8" ht="14.4">
      <c r="A209" s="77">
        <v>206</v>
      </c>
      <c r="B209" s="78" t="s">
        <v>653</v>
      </c>
      <c r="C209" s="79" t="s">
        <v>711</v>
      </c>
      <c r="D209" s="79">
        <f>_xlfn.XLOOKUP(C209,'April 2026'!A:A,'April 2026'!B:B)</f>
        <v>76647648</v>
      </c>
      <c r="E209" s="78"/>
      <c r="F209" s="80" t="s">
        <v>568</v>
      </c>
      <c r="G209" s="7" t="s">
        <v>551</v>
      </c>
      <c r="H209" s="7" t="s">
        <v>641</v>
      </c>
    </row>
    <row r="210" spans="1:8" ht="14.4">
      <c r="A210" s="77">
        <v>207</v>
      </c>
      <c r="B210" s="78" t="s">
        <v>653</v>
      </c>
      <c r="C210" s="79" t="s">
        <v>194</v>
      </c>
      <c r="D210" s="79">
        <f>_xlfn.XLOOKUP(C210,'April 2026'!A:A,'April 2026'!B:B)</f>
        <v>135340657</v>
      </c>
      <c r="E210" s="78"/>
      <c r="F210" s="80" t="s">
        <v>712</v>
      </c>
      <c r="G210" s="7" t="s">
        <v>554</v>
      </c>
      <c r="H210" s="7" t="s">
        <v>641</v>
      </c>
    </row>
    <row r="211" spans="1:8" ht="14.4">
      <c r="A211" s="77">
        <v>208</v>
      </c>
      <c r="B211" s="78" t="s">
        <v>710</v>
      </c>
      <c r="C211" s="79" t="s">
        <v>212</v>
      </c>
      <c r="D211" s="79">
        <f>_xlfn.XLOOKUP(C211,'April 2026'!A:A,'April 2026'!B:B)</f>
        <v>116676257</v>
      </c>
      <c r="E211" s="78"/>
      <c r="F211" s="80" t="s">
        <v>578</v>
      </c>
      <c r="G211" s="7" t="s">
        <v>551</v>
      </c>
      <c r="H211" s="7" t="s">
        <v>641</v>
      </c>
    </row>
    <row r="212" spans="1:8" ht="14.4">
      <c r="A212" s="77">
        <v>209</v>
      </c>
      <c r="B212" s="78" t="s">
        <v>701</v>
      </c>
      <c r="C212" s="79" t="s">
        <v>169</v>
      </c>
      <c r="D212" s="79">
        <f>_xlfn.XLOOKUP(C212,'April 2026'!A:A,'April 2026'!B:B)</f>
        <v>115731078</v>
      </c>
      <c r="E212" s="78"/>
      <c r="F212" s="80" t="s">
        <v>578</v>
      </c>
      <c r="G212" s="7" t="s">
        <v>551</v>
      </c>
      <c r="H212" s="7" t="s">
        <v>641</v>
      </c>
    </row>
    <row r="213" spans="1:8" ht="14.4">
      <c r="A213" s="77">
        <v>210</v>
      </c>
      <c r="B213" s="78" t="s">
        <v>713</v>
      </c>
      <c r="C213" s="79" t="s">
        <v>215</v>
      </c>
      <c r="D213" s="79" t="str">
        <f>_xlfn.XLOOKUP(C213,'April 2026'!A:A,'April 2026'!B:B)</f>
        <v>112346941</v>
      </c>
      <c r="E213" s="78"/>
      <c r="F213" s="80" t="s">
        <v>568</v>
      </c>
      <c r="G213" s="7" t="s">
        <v>551</v>
      </c>
      <c r="H213" s="7" t="s">
        <v>641</v>
      </c>
    </row>
    <row r="214" spans="1:8" ht="14.4">
      <c r="A214" s="77">
        <v>211</v>
      </c>
      <c r="B214" s="78" t="s">
        <v>713</v>
      </c>
      <c r="C214" s="79" t="s">
        <v>293</v>
      </c>
      <c r="D214" s="79" t="str">
        <f>_xlfn.XLOOKUP(C214,'April 2026'!A:A,'April 2026'!B:B)</f>
        <v>12284034</v>
      </c>
      <c r="E214" s="78"/>
      <c r="F214" s="80" t="s">
        <v>568</v>
      </c>
      <c r="G214" s="7" t="s">
        <v>551</v>
      </c>
      <c r="H214" s="7" t="s">
        <v>641</v>
      </c>
    </row>
    <row r="215" spans="1:8" ht="14.4">
      <c r="A215" s="77">
        <v>212</v>
      </c>
      <c r="B215" s="78" t="s">
        <v>713</v>
      </c>
      <c r="C215" s="79" t="s">
        <v>216</v>
      </c>
      <c r="D215" s="79" t="str">
        <f>_xlfn.XLOOKUP(C215,'April 2026'!A:A,'April 2026'!B:B)</f>
        <v>77873529</v>
      </c>
      <c r="E215" s="78"/>
      <c r="F215" s="80" t="s">
        <v>287</v>
      </c>
      <c r="G215" s="7" t="s">
        <v>551</v>
      </c>
      <c r="H215" s="7" t="s">
        <v>641</v>
      </c>
    </row>
    <row r="216" spans="1:8" ht="14.4">
      <c r="A216" s="77">
        <v>213</v>
      </c>
      <c r="B216" s="78" t="s">
        <v>701</v>
      </c>
      <c r="C216" s="79" t="s">
        <v>191</v>
      </c>
      <c r="D216" s="79">
        <f>_xlfn.XLOOKUP(C216,'April 2026'!A:A,'April 2026'!B:B)</f>
        <v>95335424</v>
      </c>
      <c r="E216" s="78"/>
      <c r="F216" s="80" t="s">
        <v>578</v>
      </c>
      <c r="G216" s="7" t="s">
        <v>551</v>
      </c>
      <c r="H216" s="7" t="s">
        <v>641</v>
      </c>
    </row>
    <row r="217" spans="1:8" ht="14.4">
      <c r="A217" s="77">
        <v>214</v>
      </c>
      <c r="B217" s="78" t="s">
        <v>710</v>
      </c>
      <c r="C217" s="79" t="s">
        <v>190</v>
      </c>
      <c r="D217" s="79">
        <f>_xlfn.XLOOKUP(C217,'April 2026'!A:A,'April 2026'!B:B)</f>
        <v>85812175</v>
      </c>
      <c r="E217" s="78"/>
      <c r="F217" s="80" t="s">
        <v>675</v>
      </c>
      <c r="G217" s="7" t="s">
        <v>551</v>
      </c>
      <c r="H217" s="7" t="s">
        <v>641</v>
      </c>
    </row>
    <row r="218" spans="1:8" ht="14.4">
      <c r="A218" s="77">
        <v>215</v>
      </c>
      <c r="B218" s="78" t="s">
        <v>707</v>
      </c>
      <c r="C218" s="79" t="s">
        <v>324</v>
      </c>
      <c r="D218" s="79">
        <f>_xlfn.XLOOKUP(C218,'April 2026'!A:A,'April 2026'!B:B)</f>
        <v>83935096</v>
      </c>
      <c r="E218" s="78"/>
      <c r="F218" s="80" t="s">
        <v>593</v>
      </c>
      <c r="G218" s="7" t="s">
        <v>551</v>
      </c>
      <c r="H218" s="7" t="s">
        <v>641</v>
      </c>
    </row>
    <row r="219" spans="1:8" ht="14.4">
      <c r="A219" s="77"/>
      <c r="B219" s="78" t="s">
        <v>707</v>
      </c>
      <c r="C219" s="79" t="s">
        <v>325</v>
      </c>
      <c r="D219" s="79" t="e">
        <f>_xlfn.XLOOKUP(C219,'April 2026'!A:A,'April 2026'!B:B)</f>
        <v>#N/A</v>
      </c>
      <c r="E219" s="78"/>
      <c r="F219" s="80" t="s">
        <v>593</v>
      </c>
      <c r="G219" s="7" t="s">
        <v>551</v>
      </c>
      <c r="H219" s="7" t="s">
        <v>641</v>
      </c>
    </row>
    <row r="220" spans="1:8" ht="14.4">
      <c r="A220" s="77">
        <v>216</v>
      </c>
      <c r="B220" s="78" t="s">
        <v>707</v>
      </c>
      <c r="C220" s="79" t="s">
        <v>427</v>
      </c>
      <c r="D220" s="79">
        <f>_xlfn.XLOOKUP(C220,'April 2026'!A:A,'April 2026'!B:B)</f>
        <v>103199925</v>
      </c>
      <c r="E220" s="78"/>
      <c r="F220" s="80" t="s">
        <v>287</v>
      </c>
      <c r="G220" s="7" t="s">
        <v>551</v>
      </c>
      <c r="H220" s="7" t="s">
        <v>641</v>
      </c>
    </row>
    <row r="221" spans="1:8" ht="14.4">
      <c r="A221" s="77">
        <v>217</v>
      </c>
      <c r="B221" s="78" t="s">
        <v>707</v>
      </c>
      <c r="C221" s="79" t="s">
        <v>64</v>
      </c>
      <c r="D221" s="79">
        <f>_xlfn.XLOOKUP(C221,'April 2026'!A:A,'April 2026'!B:B)</f>
        <v>114531608</v>
      </c>
      <c r="E221" s="78"/>
      <c r="F221" s="80" t="s">
        <v>714</v>
      </c>
      <c r="G221" s="7" t="s">
        <v>554</v>
      </c>
      <c r="H221" s="7" t="s">
        <v>39</v>
      </c>
    </row>
    <row r="222" spans="1:8" ht="14.4">
      <c r="A222" s="77">
        <v>218</v>
      </c>
      <c r="B222" s="78" t="s">
        <v>529</v>
      </c>
      <c r="C222" s="79" t="s">
        <v>105</v>
      </c>
      <c r="D222" s="79">
        <f>_xlfn.XLOOKUP(C222,'April 2026'!A:A,'April 2026'!B:B)</f>
        <v>141358993</v>
      </c>
      <c r="E222" s="78"/>
      <c r="F222" s="80" t="s">
        <v>679</v>
      </c>
      <c r="G222" s="7" t="s">
        <v>551</v>
      </c>
      <c r="H222" s="7" t="s">
        <v>39</v>
      </c>
    </row>
    <row r="223" spans="1:8" ht="14.4">
      <c r="A223" s="77">
        <v>89</v>
      </c>
      <c r="B223" s="78" t="s">
        <v>529</v>
      </c>
      <c r="C223" s="79" t="s">
        <v>213</v>
      </c>
      <c r="D223" s="79">
        <f>_xlfn.XLOOKUP(C223,'April 2026'!A:A,'April 2026'!B:B)</f>
        <v>140846698</v>
      </c>
      <c r="E223" s="78" t="s">
        <v>547</v>
      </c>
      <c r="F223" s="80" t="s">
        <v>583</v>
      </c>
      <c r="G223" s="7" t="s">
        <v>551</v>
      </c>
      <c r="H223" s="7" t="s">
        <v>39</v>
      </c>
    </row>
    <row r="224" spans="1:8" ht="14.4">
      <c r="A224" s="77">
        <v>220</v>
      </c>
      <c r="B224" s="78" t="s">
        <v>529</v>
      </c>
      <c r="C224" s="79" t="s">
        <v>715</v>
      </c>
      <c r="D224" s="79">
        <f>_xlfn.XLOOKUP(C224,'April 2026'!A:A,'April 2026'!B:B)</f>
        <v>117207568</v>
      </c>
      <c r="E224" s="78"/>
      <c r="F224" s="80" t="s">
        <v>571</v>
      </c>
      <c r="G224" s="7" t="s">
        <v>551</v>
      </c>
      <c r="H224" s="7" t="s">
        <v>39</v>
      </c>
    </row>
    <row r="225" spans="1:8" ht="14.4">
      <c r="A225" s="77">
        <v>221</v>
      </c>
      <c r="B225" s="78" t="s">
        <v>529</v>
      </c>
      <c r="C225" s="79" t="s">
        <v>716</v>
      </c>
      <c r="D225" s="79">
        <f>_xlfn.XLOOKUP(C225,'April 2026'!A:A,'April 2026'!B:B)</f>
        <v>112952143</v>
      </c>
      <c r="E225" s="78"/>
      <c r="F225" s="80" t="s">
        <v>717</v>
      </c>
      <c r="G225" s="7" t="s">
        <v>533</v>
      </c>
      <c r="H225" s="7" t="s">
        <v>39</v>
      </c>
    </row>
    <row r="226" spans="1:8" ht="14.4">
      <c r="A226" s="77">
        <v>222</v>
      </c>
      <c r="B226" s="78" t="s">
        <v>529</v>
      </c>
      <c r="C226" s="79" t="s">
        <v>116</v>
      </c>
      <c r="D226" s="79">
        <f>_xlfn.XLOOKUP(C226,'April 2026'!A:A,'April 2026'!B:B)</f>
        <v>140844604</v>
      </c>
      <c r="E226" s="78"/>
      <c r="F226" s="80" t="s">
        <v>613</v>
      </c>
      <c r="G226" s="7" t="s">
        <v>551</v>
      </c>
      <c r="H226" s="7" t="s">
        <v>39</v>
      </c>
    </row>
    <row r="227" spans="1:8" ht="14.4">
      <c r="A227" s="77">
        <v>223</v>
      </c>
      <c r="B227" s="78" t="s">
        <v>628</v>
      </c>
      <c r="C227" s="79" t="s">
        <v>162</v>
      </c>
      <c r="D227" s="79">
        <f>_xlfn.XLOOKUP(C227,'April 2026'!A:A,'April 2026'!B:B)</f>
        <v>78753612</v>
      </c>
      <c r="E227" s="78"/>
      <c r="F227" s="80" t="s">
        <v>718</v>
      </c>
      <c r="G227" s="7" t="s">
        <v>554</v>
      </c>
      <c r="H227" s="7" t="s">
        <v>39</v>
      </c>
    </row>
    <row r="228" spans="1:8" ht="14.4">
      <c r="A228" s="77">
        <v>224</v>
      </c>
      <c r="B228" s="78" t="s">
        <v>707</v>
      </c>
      <c r="C228" s="161" t="s">
        <v>165</v>
      </c>
      <c r="D228" s="79">
        <f>_xlfn.XLOOKUP(C228,'April 2026'!A:A,'April 2026'!B:B)</f>
        <v>122771611</v>
      </c>
      <c r="E228" s="78"/>
      <c r="F228" s="80" t="s">
        <v>287</v>
      </c>
      <c r="G228" s="7" t="s">
        <v>551</v>
      </c>
      <c r="H228" s="7" t="s">
        <v>641</v>
      </c>
    </row>
    <row r="229" spans="1:8" ht="14.4">
      <c r="A229" s="77">
        <v>225</v>
      </c>
      <c r="B229" s="78" t="s">
        <v>707</v>
      </c>
      <c r="C229" s="161" t="s">
        <v>263</v>
      </c>
      <c r="D229" s="79">
        <f>_xlfn.XLOOKUP(C229,'April 2026'!A:A,'April 2026'!B:B)</f>
        <v>125287583</v>
      </c>
      <c r="E229" s="78"/>
      <c r="F229" s="80" t="s">
        <v>287</v>
      </c>
      <c r="G229" s="7" t="s">
        <v>551</v>
      </c>
      <c r="H229" s="7" t="s">
        <v>641</v>
      </c>
    </row>
    <row r="230" spans="1:8" ht="14.4">
      <c r="A230" s="77">
        <v>226</v>
      </c>
      <c r="B230" s="81" t="s">
        <v>719</v>
      </c>
      <c r="C230" s="82" t="s">
        <v>221</v>
      </c>
      <c r="D230" s="79">
        <f>_xlfn.XLOOKUP(C230,'April 2026'!A:A,'April 2026'!B:B)</f>
        <v>115122635</v>
      </c>
      <c r="E230" s="78"/>
      <c r="F230" s="80" t="s">
        <v>578</v>
      </c>
      <c r="G230" s="7" t="s">
        <v>551</v>
      </c>
      <c r="H230" s="7" t="s">
        <v>641</v>
      </c>
    </row>
    <row r="231" spans="1:8" ht="14.4">
      <c r="A231" s="77">
        <v>227</v>
      </c>
      <c r="B231" s="78" t="s">
        <v>529</v>
      </c>
      <c r="C231" s="82" t="s">
        <v>237</v>
      </c>
      <c r="D231" s="79">
        <f>_xlfn.XLOOKUP(C231,'April 2026'!A:A,'April 2026'!B:B)</f>
        <v>75199413</v>
      </c>
      <c r="E231" s="78"/>
      <c r="F231" s="80" t="s">
        <v>287</v>
      </c>
      <c r="G231" s="7" t="s">
        <v>551</v>
      </c>
      <c r="H231" s="7" t="s">
        <v>39</v>
      </c>
    </row>
    <row r="232" spans="1:8" ht="14.4">
      <c r="A232" s="77">
        <v>30</v>
      </c>
      <c r="B232" s="78" t="s">
        <v>529</v>
      </c>
      <c r="C232" s="95" t="s">
        <v>720</v>
      </c>
      <c r="D232" s="79" t="str">
        <f>_xlfn.XLOOKUP(C232,'April 2026'!A:A,'April 2026'!B:B)</f>
        <v>P6050502</v>
      </c>
      <c r="E232" s="78" t="s">
        <v>547</v>
      </c>
      <c r="F232" s="80" t="s">
        <v>559</v>
      </c>
      <c r="G232" s="7" t="s">
        <v>551</v>
      </c>
      <c r="H232" s="7" t="s">
        <v>39</v>
      </c>
    </row>
    <row r="233" spans="1:8" ht="14.4">
      <c r="A233" s="77">
        <v>229</v>
      </c>
      <c r="B233" s="78" t="s">
        <v>529</v>
      </c>
      <c r="C233" s="82" t="s">
        <v>346</v>
      </c>
      <c r="D233" s="79">
        <f>_xlfn.XLOOKUP(C233,'April 2026'!A:A,'April 2026'!B:B)</f>
        <v>117974933</v>
      </c>
      <c r="E233" s="78"/>
      <c r="F233" s="83" t="s">
        <v>578</v>
      </c>
      <c r="G233" s="7" t="s">
        <v>551</v>
      </c>
      <c r="H233" s="7" t="s">
        <v>39</v>
      </c>
    </row>
    <row r="234" spans="1:8" ht="14.4">
      <c r="A234" s="77">
        <v>230</v>
      </c>
      <c r="B234" s="78" t="s">
        <v>529</v>
      </c>
      <c r="C234" s="82" t="s">
        <v>347</v>
      </c>
      <c r="D234" s="79">
        <f>_xlfn.XLOOKUP(C234,'April 2026'!A:A,'April 2026'!B:B)</f>
        <v>141502853</v>
      </c>
      <c r="E234" s="78"/>
      <c r="F234" s="83" t="s">
        <v>578</v>
      </c>
      <c r="G234" s="7" t="s">
        <v>551</v>
      </c>
      <c r="H234" s="7" t="s">
        <v>39</v>
      </c>
    </row>
    <row r="235" spans="1:8" ht="14.4">
      <c r="A235" s="77">
        <v>46</v>
      </c>
      <c r="B235" s="78" t="s">
        <v>529</v>
      </c>
      <c r="C235" s="79" t="s">
        <v>721</v>
      </c>
      <c r="D235" s="79">
        <f>_xlfn.XLOOKUP(C235,'April 2026'!A:A,'April 2026'!B:B)</f>
        <v>12637107</v>
      </c>
      <c r="E235" s="78" t="s">
        <v>542</v>
      </c>
      <c r="F235" s="80" t="s">
        <v>589</v>
      </c>
      <c r="G235" s="7" t="s">
        <v>533</v>
      </c>
      <c r="H235" s="7" t="s">
        <v>39</v>
      </c>
    </row>
    <row r="236" spans="1:8" ht="14.4">
      <c r="A236" s="77">
        <v>232</v>
      </c>
      <c r="B236" s="78" t="s">
        <v>529</v>
      </c>
      <c r="C236" s="39" t="s">
        <v>382</v>
      </c>
      <c r="D236" s="79">
        <f>_xlfn.XLOOKUP(C236,'April 2026'!A:A,'April 2026'!B:B)</f>
        <v>127414586</v>
      </c>
      <c r="E236" s="78"/>
      <c r="F236" s="162" t="s">
        <v>576</v>
      </c>
      <c r="G236" s="7" t="s">
        <v>533</v>
      </c>
      <c r="H236" s="7" t="s">
        <v>39</v>
      </c>
    </row>
    <row r="237" spans="1:8" ht="14.4">
      <c r="A237" s="77">
        <v>233</v>
      </c>
      <c r="B237" s="78" t="s">
        <v>529</v>
      </c>
      <c r="C237" s="40" t="s">
        <v>383</v>
      </c>
      <c r="D237" s="79">
        <f>_xlfn.XLOOKUP(C237,'April 2026'!A:A,'April 2026'!B:B)</f>
        <v>71437827</v>
      </c>
      <c r="E237" s="78"/>
      <c r="F237" s="162" t="s">
        <v>722</v>
      </c>
      <c r="G237" s="7" t="s">
        <v>533</v>
      </c>
      <c r="H237" s="7" t="s">
        <v>39</v>
      </c>
    </row>
    <row r="238" spans="1:8" ht="14.4">
      <c r="A238" s="77">
        <v>234</v>
      </c>
      <c r="B238" s="78" t="s">
        <v>529</v>
      </c>
      <c r="C238" s="82" t="s">
        <v>723</v>
      </c>
      <c r="D238" s="79">
        <f>_xlfn.XLOOKUP(C238,'April 2026'!A:A,'April 2026'!B:B)</f>
        <v>7065269</v>
      </c>
      <c r="E238" s="78"/>
      <c r="F238" s="162" t="s">
        <v>724</v>
      </c>
      <c r="G238" s="7" t="s">
        <v>533</v>
      </c>
      <c r="H238" s="7" t="s">
        <v>39</v>
      </c>
    </row>
    <row r="239" spans="1:8" ht="14.4">
      <c r="A239" s="77">
        <v>235</v>
      </c>
      <c r="B239" s="84" t="s">
        <v>529</v>
      </c>
      <c r="C239" s="82" t="s">
        <v>433</v>
      </c>
      <c r="D239" s="79">
        <f>_xlfn.XLOOKUP(C239,'April 2026'!A:A,'April 2026'!B:B)</f>
        <v>117871996</v>
      </c>
      <c r="E239" s="78"/>
      <c r="F239" s="162" t="s">
        <v>722</v>
      </c>
      <c r="G239" s="7" t="s">
        <v>533</v>
      </c>
      <c r="H239" s="7" t="s">
        <v>39</v>
      </c>
    </row>
    <row r="240" spans="1:8" ht="15.6">
      <c r="A240" s="77">
        <v>236</v>
      </c>
      <c r="B240" s="78" t="s">
        <v>529</v>
      </c>
      <c r="C240" s="73" t="s">
        <v>398</v>
      </c>
      <c r="D240" s="79">
        <f>_xlfn.XLOOKUP(C240,'April 2026'!A:A,'April 2026'!B:B)</f>
        <v>81612139</v>
      </c>
      <c r="E240" s="78"/>
      <c r="F240" s="80" t="s">
        <v>287</v>
      </c>
      <c r="G240" s="7" t="s">
        <v>551</v>
      </c>
      <c r="H240" s="7" t="s">
        <v>39</v>
      </c>
    </row>
    <row r="241" spans="1:8" ht="15.6">
      <c r="A241" s="77">
        <v>237</v>
      </c>
      <c r="B241" s="78" t="s">
        <v>529</v>
      </c>
      <c r="C241" s="73" t="s">
        <v>375</v>
      </c>
      <c r="D241" s="79">
        <f>_xlfn.XLOOKUP(C241,'April 2026'!A:A,'April 2026'!B:B)</f>
        <v>130805123</v>
      </c>
      <c r="E241" s="78"/>
      <c r="F241" s="80" t="s">
        <v>287</v>
      </c>
      <c r="G241" s="7" t="s">
        <v>551</v>
      </c>
      <c r="H241" s="7" t="s">
        <v>39</v>
      </c>
    </row>
    <row r="242" spans="1:8" ht="15.6">
      <c r="A242" s="77">
        <v>246</v>
      </c>
      <c r="B242" s="78" t="s">
        <v>592</v>
      </c>
      <c r="C242" s="73" t="s">
        <v>361</v>
      </c>
      <c r="D242" s="79" t="e">
        <f>_xlfn.XLOOKUP(C242,'April 2026'!A:A,'April 2026'!B:B)</f>
        <v>#N/A</v>
      </c>
      <c r="E242" s="78"/>
      <c r="F242" s="80" t="s">
        <v>593</v>
      </c>
      <c r="G242" s="7" t="s">
        <v>554</v>
      </c>
      <c r="H242" s="7" t="s">
        <v>39</v>
      </c>
    </row>
    <row r="243" spans="1:8" ht="15.6">
      <c r="A243" s="77">
        <v>243</v>
      </c>
      <c r="B243" s="78" t="s">
        <v>592</v>
      </c>
      <c r="C243" s="73" t="s">
        <v>311</v>
      </c>
      <c r="D243" s="79" t="e">
        <f>_xlfn.XLOOKUP(C243,'April 2026'!A:A,'April 2026'!B:B)</f>
        <v>#N/A</v>
      </c>
      <c r="E243" s="78"/>
      <c r="F243" s="80" t="s">
        <v>593</v>
      </c>
      <c r="G243" s="7" t="s">
        <v>554</v>
      </c>
      <c r="H243" s="7" t="s">
        <v>39</v>
      </c>
    </row>
    <row r="244" spans="1:8" ht="15.6">
      <c r="A244" s="77">
        <v>240</v>
      </c>
      <c r="B244" s="78" t="s">
        <v>529</v>
      </c>
      <c r="C244" s="73" t="s">
        <v>434</v>
      </c>
      <c r="D244" s="79">
        <f>_xlfn.XLOOKUP(C244,'April 2026'!A:A,'April 2026'!B:B)</f>
        <v>140623552</v>
      </c>
      <c r="E244" s="78"/>
      <c r="F244" s="80" t="s">
        <v>287</v>
      </c>
      <c r="G244" s="7" t="s">
        <v>551</v>
      </c>
      <c r="H244" s="7" t="s">
        <v>39</v>
      </c>
    </row>
    <row r="245" spans="1:8" ht="14.4">
      <c r="A245" s="77">
        <v>69</v>
      </c>
      <c r="B245" s="78" t="s">
        <v>529</v>
      </c>
      <c r="C245" s="79" t="s">
        <v>725</v>
      </c>
      <c r="D245" s="79" t="str">
        <f>_xlfn.XLOOKUP(C245,'April 2026'!A:A,'April 2026'!B:B)</f>
        <v>140806191</v>
      </c>
      <c r="E245" s="78" t="s">
        <v>547</v>
      </c>
      <c r="F245" s="80" t="s">
        <v>559</v>
      </c>
      <c r="G245" s="7" t="s">
        <v>551</v>
      </c>
      <c r="H245" s="7" t="s">
        <v>39</v>
      </c>
    </row>
    <row r="246" spans="1:8" ht="14.4">
      <c r="A246" s="77">
        <v>54</v>
      </c>
      <c r="B246" s="78" t="s">
        <v>529</v>
      </c>
      <c r="C246" s="79" t="s">
        <v>726</v>
      </c>
      <c r="D246" s="79" t="str">
        <f>_xlfn.XLOOKUP(C246,'April 2026'!A:A,'April 2026'!B:B)</f>
        <v>S8474313</v>
      </c>
      <c r="E246" s="78" t="s">
        <v>547</v>
      </c>
      <c r="F246" s="80" t="s">
        <v>583</v>
      </c>
      <c r="G246" s="7" t="s">
        <v>551</v>
      </c>
      <c r="H246" s="7" t="s">
        <v>39</v>
      </c>
    </row>
    <row r="247" spans="1:8" ht="14.4">
      <c r="A247" s="77">
        <v>177</v>
      </c>
      <c r="B247" s="78" t="s">
        <v>529</v>
      </c>
      <c r="C247" s="79" t="s">
        <v>121</v>
      </c>
      <c r="D247" s="79">
        <f>_xlfn.XLOOKUP(C247,'April 2026'!A:A,'April 2026'!B:B)</f>
        <v>141377709</v>
      </c>
      <c r="E247" s="78" t="s">
        <v>547</v>
      </c>
      <c r="F247" s="80" t="s">
        <v>680</v>
      </c>
      <c r="G247" s="7" t="s">
        <v>551</v>
      </c>
      <c r="H247" s="7" t="s">
        <v>39</v>
      </c>
    </row>
    <row r="248" spans="1:8" ht="15.6">
      <c r="A248" s="77">
        <v>244</v>
      </c>
      <c r="B248" s="78" t="s">
        <v>529</v>
      </c>
      <c r="C248" s="73" t="s">
        <v>306</v>
      </c>
      <c r="D248" s="79" t="str">
        <f>_xlfn.XLOOKUP(C248,'April 2026'!A:A,'April 2026'!B:B)</f>
        <v>100398391</v>
      </c>
      <c r="E248" s="78"/>
      <c r="F248" s="80" t="s">
        <v>727</v>
      </c>
      <c r="G248" s="7" t="s">
        <v>39</v>
      </c>
      <c r="H248" s="7" t="s">
        <v>39</v>
      </c>
    </row>
    <row r="249" spans="1:8" ht="15.6">
      <c r="A249" s="85">
        <v>250</v>
      </c>
      <c r="B249" s="86" t="s">
        <v>728</v>
      </c>
      <c r="C249" s="73" t="s">
        <v>418</v>
      </c>
      <c r="D249" s="79" t="e">
        <f>_xlfn.XLOOKUP(C249,'April 2026'!A:A,'April 2026'!B:B)</f>
        <v>#N/A</v>
      </c>
      <c r="E249" s="86"/>
      <c r="F249" s="87" t="s">
        <v>729</v>
      </c>
      <c r="G249" s="7" t="s">
        <v>554</v>
      </c>
      <c r="H249" s="7" t="s">
        <v>39</v>
      </c>
    </row>
    <row r="250" spans="1:8" ht="14.4">
      <c r="A250" s="77">
        <v>92</v>
      </c>
      <c r="B250" s="78" t="s">
        <v>529</v>
      </c>
      <c r="C250" s="79" t="s">
        <v>730</v>
      </c>
      <c r="D250" s="79" t="str">
        <f>_xlfn.XLOOKUP(C250,'April 2026'!A:A,'April 2026'!B:B)</f>
        <v>84357232</v>
      </c>
      <c r="E250" s="78" t="s">
        <v>547</v>
      </c>
      <c r="F250" s="80" t="s">
        <v>568</v>
      </c>
      <c r="G250" s="7" t="s">
        <v>551</v>
      </c>
      <c r="H250" s="7" t="s">
        <v>39</v>
      </c>
    </row>
    <row r="251" spans="1:8" s="75" customFormat="1" ht="15.6">
      <c r="A251" s="85">
        <v>247</v>
      </c>
      <c r="B251" s="86" t="s">
        <v>529</v>
      </c>
      <c r="C251" s="73" t="s">
        <v>404</v>
      </c>
      <c r="D251" s="79">
        <f>_xlfn.XLOOKUP(C251,'April 2026'!A:A,'April 2026'!B:B)</f>
        <v>118882687</v>
      </c>
      <c r="E251" s="86"/>
      <c r="F251" s="76" t="s">
        <v>731</v>
      </c>
      <c r="G251" s="74" t="s">
        <v>533</v>
      </c>
      <c r="H251" s="74" t="s">
        <v>39</v>
      </c>
    </row>
    <row r="252" spans="1:8" s="75" customFormat="1" ht="15.6">
      <c r="A252" s="77">
        <v>248</v>
      </c>
      <c r="B252" s="86" t="s">
        <v>728</v>
      </c>
      <c r="C252" s="73" t="s">
        <v>417</v>
      </c>
      <c r="D252" s="79" t="str">
        <f>_xlfn.XLOOKUP(C252,'April 2026'!A:A,'April 2026'!B:B)</f>
        <v>not required</v>
      </c>
      <c r="E252" s="86"/>
      <c r="F252" s="87" t="s">
        <v>729</v>
      </c>
      <c r="G252" s="87" t="s">
        <v>729</v>
      </c>
      <c r="H252" s="87" t="s">
        <v>729</v>
      </c>
    </row>
    <row r="253" spans="1:8" s="75" customFormat="1" ht="15.6">
      <c r="A253" s="77">
        <v>249</v>
      </c>
      <c r="B253" s="86" t="s">
        <v>732</v>
      </c>
      <c r="C253" s="73" t="s">
        <v>345</v>
      </c>
      <c r="D253" s="79" t="str">
        <f>_xlfn.XLOOKUP(C253,'April 2026'!A:A,'April 2026'!B:B)</f>
        <v>100398391</v>
      </c>
      <c r="E253" s="86"/>
      <c r="F253" s="87" t="s">
        <v>729</v>
      </c>
      <c r="G253" s="87" t="s">
        <v>729</v>
      </c>
      <c r="H253" s="87" t="s">
        <v>729</v>
      </c>
    </row>
    <row r="254" spans="1:8" s="75" customFormat="1" ht="15.6">
      <c r="A254" s="77">
        <v>33</v>
      </c>
      <c r="B254" s="78" t="s">
        <v>529</v>
      </c>
      <c r="C254" s="79" t="s">
        <v>733</v>
      </c>
      <c r="D254" s="79" t="str">
        <f>_xlfn.XLOOKUP(C254,'April 2026'!A:A,'April 2026'!B:B)</f>
        <v>123039387</v>
      </c>
      <c r="E254" s="78" t="s">
        <v>547</v>
      </c>
      <c r="F254" s="80" t="s">
        <v>564</v>
      </c>
      <c r="G254" s="7" t="s">
        <v>551</v>
      </c>
      <c r="H254" s="7" t="s">
        <v>39</v>
      </c>
    </row>
    <row r="255" spans="1:8" ht="15.6">
      <c r="A255" s="77">
        <v>251</v>
      </c>
      <c r="B255" s="78" t="s">
        <v>592</v>
      </c>
      <c r="C255" s="88" t="s">
        <v>371</v>
      </c>
      <c r="D255" s="79" t="e">
        <f>_xlfn.XLOOKUP(C255,'April 2026'!A:A,'April 2026'!B:B)</f>
        <v>#N/A</v>
      </c>
      <c r="E255" s="78"/>
      <c r="F255" s="87" t="s">
        <v>734</v>
      </c>
      <c r="G255" s="7" t="s">
        <v>735</v>
      </c>
      <c r="H255" s="7" t="s">
        <v>735</v>
      </c>
    </row>
    <row r="256" spans="1:8" ht="15.6">
      <c r="A256" s="77">
        <v>252</v>
      </c>
      <c r="B256" s="78" t="s">
        <v>592</v>
      </c>
      <c r="C256" s="88" t="s">
        <v>437</v>
      </c>
      <c r="D256" s="79" t="e">
        <f>_xlfn.XLOOKUP(C256,'April 2026'!A:A,'April 2026'!B:B)</f>
        <v>#N/A</v>
      </c>
      <c r="E256" s="78"/>
      <c r="F256" s="87" t="s">
        <v>734</v>
      </c>
      <c r="G256" s="7" t="s">
        <v>735</v>
      </c>
      <c r="H256" s="7" t="s">
        <v>735</v>
      </c>
    </row>
    <row r="257" spans="1:8" ht="15.6">
      <c r="A257" s="85">
        <v>253</v>
      </c>
      <c r="B257" s="78" t="s">
        <v>707</v>
      </c>
      <c r="C257" s="89" t="s">
        <v>47</v>
      </c>
      <c r="D257" s="79" t="e">
        <f>_xlfn.XLOOKUP(C257,'April 2026'!A:A,'April 2026'!B:B)</f>
        <v>#N/A</v>
      </c>
      <c r="E257" s="78"/>
      <c r="F257" s="80" t="s">
        <v>736</v>
      </c>
      <c r="G257" s="7" t="s">
        <v>735</v>
      </c>
      <c r="H257" s="7" t="s">
        <v>735</v>
      </c>
    </row>
    <row r="258" spans="1:8" ht="14.4">
      <c r="A258" s="77">
        <v>254</v>
      </c>
      <c r="B258" s="78" t="s">
        <v>737</v>
      </c>
      <c r="C258" s="89" t="s">
        <v>20</v>
      </c>
      <c r="D258" s="79" t="e">
        <f>_xlfn.XLOOKUP(C258,'April 2026'!A:A,'April 2026'!B:B)</f>
        <v>#N/A</v>
      </c>
      <c r="E258" s="78"/>
      <c r="F258" s="80" t="s">
        <v>736</v>
      </c>
      <c r="G258" s="7" t="s">
        <v>735</v>
      </c>
      <c r="H258" s="7" t="s">
        <v>735</v>
      </c>
    </row>
    <row r="259" spans="1:8" ht="14.4">
      <c r="A259" s="77">
        <v>255</v>
      </c>
      <c r="B259" s="78" t="s">
        <v>738</v>
      </c>
      <c r="C259" s="89" t="s">
        <v>148</v>
      </c>
      <c r="D259" s="79" t="e">
        <f>_xlfn.XLOOKUP(C259,'April 2026'!A:A,'April 2026'!B:B)</f>
        <v>#N/A</v>
      </c>
      <c r="E259" s="78"/>
      <c r="F259" s="80" t="s">
        <v>739</v>
      </c>
      <c r="G259" s="7" t="s">
        <v>735</v>
      </c>
      <c r="H259" s="7" t="s">
        <v>735</v>
      </c>
    </row>
    <row r="260" spans="1:8" ht="15.6">
      <c r="A260" s="85">
        <v>256</v>
      </c>
      <c r="B260" s="78" t="s">
        <v>529</v>
      </c>
      <c r="C260" s="79" t="s">
        <v>740</v>
      </c>
      <c r="D260" s="79" t="e">
        <f>_xlfn.XLOOKUP(C260,'April 2026'!A:A,'April 2026'!B:B)</f>
        <v>#N/A</v>
      </c>
      <c r="E260" s="78"/>
      <c r="F260" s="80" t="s">
        <v>741</v>
      </c>
      <c r="G260" s="7" t="s">
        <v>735</v>
      </c>
      <c r="H260" s="7" t="s">
        <v>735</v>
      </c>
    </row>
    <row r="261" spans="1:8" ht="14.4">
      <c r="A261" s="77">
        <v>257</v>
      </c>
      <c r="B261" s="78" t="s">
        <v>529</v>
      </c>
      <c r="C261" s="79" t="s">
        <v>142</v>
      </c>
      <c r="D261" s="79" t="e">
        <f>_xlfn.XLOOKUP(C261,'April 2026'!A:A,'April 2026'!B:B)</f>
        <v>#N/A</v>
      </c>
      <c r="E261" s="78"/>
      <c r="F261" s="80" t="s">
        <v>742</v>
      </c>
      <c r="G261" s="7" t="s">
        <v>735</v>
      </c>
      <c r="H261" s="7" t="s">
        <v>735</v>
      </c>
    </row>
    <row r="262" spans="1:8" ht="14.4">
      <c r="A262" s="77">
        <v>258</v>
      </c>
      <c r="B262" s="78" t="s">
        <v>738</v>
      </c>
      <c r="C262" s="89" t="s">
        <v>146</v>
      </c>
      <c r="D262" s="79" t="e">
        <f>_xlfn.XLOOKUP(C262,'April 2026'!A:A,'April 2026'!B:B)</f>
        <v>#N/A</v>
      </c>
      <c r="E262" s="78"/>
      <c r="F262" s="80" t="s">
        <v>743</v>
      </c>
      <c r="G262" s="7" t="s">
        <v>735</v>
      </c>
      <c r="H262" s="7" t="s">
        <v>735</v>
      </c>
    </row>
    <row r="263" spans="1:8" ht="15.6">
      <c r="A263" s="85">
        <v>259</v>
      </c>
      <c r="B263" s="78" t="s">
        <v>529</v>
      </c>
      <c r="C263" s="79" t="s">
        <v>150</v>
      </c>
      <c r="D263" s="79" t="e">
        <f>_xlfn.XLOOKUP(C263,'April 2026'!A:A,'April 2026'!B:B)</f>
        <v>#N/A</v>
      </c>
      <c r="E263" s="78"/>
      <c r="F263" s="80" t="s">
        <v>744</v>
      </c>
      <c r="G263" s="7" t="s">
        <v>735</v>
      </c>
      <c r="H263" s="7" t="s">
        <v>735</v>
      </c>
    </row>
    <row r="264" spans="1:8" ht="14.4">
      <c r="A264" s="77">
        <v>260</v>
      </c>
      <c r="B264" s="78" t="s">
        <v>529</v>
      </c>
      <c r="C264" s="79" t="s">
        <v>145</v>
      </c>
      <c r="D264" s="79" t="e">
        <f>_xlfn.XLOOKUP(C264,'April 2026'!A:A,'April 2026'!B:B)</f>
        <v>#N/A</v>
      </c>
      <c r="E264" s="78"/>
      <c r="F264" s="80" t="s">
        <v>745</v>
      </c>
      <c r="G264" s="7" t="s">
        <v>735</v>
      </c>
      <c r="H264" s="7" t="s">
        <v>735</v>
      </c>
    </row>
    <row r="265" spans="1:8" ht="14.4">
      <c r="A265" s="77">
        <v>261</v>
      </c>
      <c r="B265" s="78" t="s">
        <v>592</v>
      </c>
      <c r="C265" s="89" t="s">
        <v>151</v>
      </c>
      <c r="D265" s="79" t="e">
        <f>_xlfn.XLOOKUP(C265,'April 2026'!A:A,'April 2026'!B:B)</f>
        <v>#N/A</v>
      </c>
      <c r="E265" s="78"/>
      <c r="F265" s="80" t="s">
        <v>746</v>
      </c>
      <c r="G265" s="7" t="s">
        <v>735</v>
      </c>
      <c r="H265" s="7" t="s">
        <v>735</v>
      </c>
    </row>
    <row r="266" spans="1:8" ht="15.6">
      <c r="A266" s="85">
        <v>262</v>
      </c>
      <c r="B266" s="78" t="s">
        <v>707</v>
      </c>
      <c r="C266" s="89" t="s">
        <v>51</v>
      </c>
      <c r="D266" s="79" t="e">
        <f>_xlfn.XLOOKUP(C266,'April 2026'!A:A,'April 2026'!B:B)</f>
        <v>#N/A</v>
      </c>
      <c r="E266" s="78"/>
      <c r="F266" s="80" t="s">
        <v>746</v>
      </c>
      <c r="G266" s="7" t="s">
        <v>735</v>
      </c>
      <c r="H266" s="7" t="s">
        <v>735</v>
      </c>
    </row>
    <row r="267" spans="1:8" ht="14.4">
      <c r="A267" s="77">
        <v>263</v>
      </c>
      <c r="B267" s="78" t="s">
        <v>529</v>
      </c>
      <c r="C267" s="79" t="s">
        <v>137</v>
      </c>
      <c r="D267" s="79" t="e">
        <f>_xlfn.XLOOKUP(C267,'April 2026'!A:A,'April 2026'!B:B)</f>
        <v>#N/A</v>
      </c>
      <c r="E267" s="78"/>
      <c r="F267" s="80" t="s">
        <v>747</v>
      </c>
      <c r="G267" s="7" t="s">
        <v>735</v>
      </c>
      <c r="H267" s="7" t="s">
        <v>735</v>
      </c>
    </row>
    <row r="268" spans="1:8" ht="14.4">
      <c r="A268" s="77">
        <v>264</v>
      </c>
      <c r="B268" s="78" t="s">
        <v>529</v>
      </c>
      <c r="C268" s="79" t="s">
        <v>445</v>
      </c>
      <c r="D268" s="79" t="e">
        <f>_xlfn.XLOOKUP(C268,'April 2026'!A:A,'April 2026'!B:B)</f>
        <v>#N/A</v>
      </c>
      <c r="E268" s="78"/>
      <c r="F268" s="80" t="s">
        <v>747</v>
      </c>
      <c r="G268" s="7" t="s">
        <v>735</v>
      </c>
      <c r="H268" s="7" t="s">
        <v>735</v>
      </c>
    </row>
    <row r="269" spans="1:8" ht="15.6">
      <c r="A269" s="85">
        <v>265</v>
      </c>
      <c r="B269" s="78" t="s">
        <v>529</v>
      </c>
      <c r="C269" s="79" t="s">
        <v>153</v>
      </c>
      <c r="D269" s="79" t="e">
        <f>_xlfn.XLOOKUP(C269,'April 2026'!A:A,'April 2026'!B:B)</f>
        <v>#N/A</v>
      </c>
      <c r="E269" s="78"/>
      <c r="F269" s="80" t="s">
        <v>748</v>
      </c>
      <c r="G269" s="7" t="s">
        <v>735</v>
      </c>
      <c r="H269" s="7" t="s">
        <v>735</v>
      </c>
    </row>
    <row r="270" spans="1:8" ht="14.4">
      <c r="A270" s="77">
        <v>266</v>
      </c>
      <c r="B270" s="78" t="s">
        <v>529</v>
      </c>
      <c r="C270" s="79" t="s">
        <v>749</v>
      </c>
      <c r="D270" s="79" t="e">
        <f>_xlfn.XLOOKUP(C270,'April 2026'!A:A,'April 2026'!B:B)</f>
        <v>#N/A</v>
      </c>
      <c r="E270" s="78"/>
      <c r="F270" s="80" t="s">
        <v>748</v>
      </c>
      <c r="G270" s="7" t="s">
        <v>735</v>
      </c>
      <c r="H270" s="7" t="s">
        <v>735</v>
      </c>
    </row>
    <row r="271" spans="1:8" ht="14.4">
      <c r="A271" s="77">
        <v>267</v>
      </c>
      <c r="B271" s="78" t="s">
        <v>529</v>
      </c>
      <c r="C271" s="79" t="s">
        <v>154</v>
      </c>
      <c r="D271" s="79" t="e">
        <f>_xlfn.XLOOKUP(C271,'April 2026'!A:A,'April 2026'!B:B)</f>
        <v>#N/A</v>
      </c>
      <c r="E271" s="78"/>
      <c r="F271" s="80" t="s">
        <v>748</v>
      </c>
      <c r="G271" s="7" t="s">
        <v>735</v>
      </c>
      <c r="H271" s="7" t="s">
        <v>735</v>
      </c>
    </row>
    <row r="272" spans="1:8" ht="15.6">
      <c r="A272" s="85">
        <v>268</v>
      </c>
      <c r="B272" s="78" t="s">
        <v>529</v>
      </c>
      <c r="C272" s="79" t="s">
        <v>63</v>
      </c>
      <c r="D272" s="79" t="e">
        <f>_xlfn.XLOOKUP(C272,'April 2026'!A:A,'April 2026'!B:B)</f>
        <v>#N/A</v>
      </c>
      <c r="E272" s="78"/>
      <c r="F272" s="80" t="s">
        <v>750</v>
      </c>
      <c r="G272" s="7" t="s">
        <v>735</v>
      </c>
      <c r="H272" s="7" t="s">
        <v>735</v>
      </c>
    </row>
    <row r="273" spans="1:8" ht="14.4">
      <c r="A273" s="77">
        <v>269</v>
      </c>
      <c r="B273" s="78" t="s">
        <v>529</v>
      </c>
      <c r="C273" s="79" t="s">
        <v>80</v>
      </c>
      <c r="D273" s="79" t="e">
        <f>_xlfn.XLOOKUP(C273,'April 2026'!A:A,'April 2026'!B:B)</f>
        <v>#N/A</v>
      </c>
      <c r="E273" s="78"/>
      <c r="F273" s="80" t="s">
        <v>751</v>
      </c>
      <c r="G273" s="7" t="s">
        <v>735</v>
      </c>
      <c r="H273" s="7" t="s">
        <v>735</v>
      </c>
    </row>
    <row r="274" spans="1:8" ht="14.4">
      <c r="A274" s="77">
        <v>270</v>
      </c>
      <c r="B274" s="78" t="s">
        <v>529</v>
      </c>
      <c r="C274" s="79" t="s">
        <v>84</v>
      </c>
      <c r="D274" s="79" t="e">
        <f>_xlfn.XLOOKUP(C274,'April 2026'!A:A,'April 2026'!B:B)</f>
        <v>#N/A</v>
      </c>
      <c r="E274" s="78"/>
      <c r="F274" s="80" t="s">
        <v>751</v>
      </c>
      <c r="G274" s="7" t="s">
        <v>735</v>
      </c>
      <c r="H274" s="7" t="s">
        <v>735</v>
      </c>
    </row>
    <row r="275" spans="1:8" ht="15.6">
      <c r="A275" s="85">
        <v>271</v>
      </c>
      <c r="B275" s="78" t="s">
        <v>529</v>
      </c>
      <c r="C275" s="79" t="s">
        <v>53</v>
      </c>
      <c r="D275" s="79" t="e">
        <f>_xlfn.XLOOKUP(C275,'April 2026'!A:A,'April 2026'!B:B)</f>
        <v>#N/A</v>
      </c>
      <c r="E275" s="78"/>
      <c r="F275" s="80" t="s">
        <v>751</v>
      </c>
      <c r="G275" s="7" t="s">
        <v>735</v>
      </c>
      <c r="H275" s="7" t="s">
        <v>735</v>
      </c>
    </row>
    <row r="276" spans="1:8" ht="14.4">
      <c r="A276" s="77">
        <v>272</v>
      </c>
      <c r="B276" s="78" t="s">
        <v>529</v>
      </c>
      <c r="C276" s="79" t="s">
        <v>54</v>
      </c>
      <c r="D276" s="79" t="e">
        <f>_xlfn.XLOOKUP(C276,'April 2026'!A:A,'April 2026'!B:B)</f>
        <v>#N/A</v>
      </c>
      <c r="E276" s="78"/>
      <c r="F276" s="80" t="s">
        <v>752</v>
      </c>
      <c r="G276" s="7" t="s">
        <v>735</v>
      </c>
      <c r="H276" s="7" t="s">
        <v>735</v>
      </c>
    </row>
    <row r="277" spans="1:8" ht="14.4">
      <c r="A277" s="77">
        <v>273</v>
      </c>
      <c r="B277" s="78" t="s">
        <v>529</v>
      </c>
      <c r="C277" s="79" t="s">
        <v>155</v>
      </c>
      <c r="D277" s="79" t="e">
        <f>_xlfn.XLOOKUP(C277,'April 2026'!A:A,'April 2026'!B:B)</f>
        <v>#N/A</v>
      </c>
      <c r="E277" s="78"/>
      <c r="F277" s="80" t="s">
        <v>753</v>
      </c>
      <c r="G277" s="7" t="s">
        <v>735</v>
      </c>
      <c r="H277" s="7" t="s">
        <v>735</v>
      </c>
    </row>
    <row r="278" spans="1:8" ht="15.6">
      <c r="A278" s="85">
        <v>274</v>
      </c>
      <c r="B278" s="78" t="s">
        <v>529</v>
      </c>
      <c r="C278" s="79" t="s">
        <v>156</v>
      </c>
      <c r="D278" s="79" t="e">
        <f>_xlfn.XLOOKUP(C278,'April 2026'!A:A,'April 2026'!B:B)</f>
        <v>#N/A</v>
      </c>
      <c r="E278" s="78"/>
      <c r="F278" s="80" t="s">
        <v>754</v>
      </c>
      <c r="G278" s="7" t="s">
        <v>735</v>
      </c>
      <c r="H278" s="7" t="s">
        <v>735</v>
      </c>
    </row>
    <row r="279" spans="1:8" ht="14.4">
      <c r="A279" s="77">
        <v>275</v>
      </c>
      <c r="B279" s="78" t="s">
        <v>529</v>
      </c>
      <c r="C279" s="79" t="s">
        <v>755</v>
      </c>
      <c r="D279" s="79" t="e">
        <f>_xlfn.XLOOKUP(C279,'April 2026'!A:A,'April 2026'!B:B)</f>
        <v>#N/A</v>
      </c>
      <c r="E279" s="78"/>
      <c r="F279" s="80" t="s">
        <v>756</v>
      </c>
      <c r="G279" s="7" t="s">
        <v>735</v>
      </c>
      <c r="H279" s="7" t="s">
        <v>735</v>
      </c>
    </row>
    <row r="280" spans="1:8" ht="14.4">
      <c r="A280" s="77">
        <v>276</v>
      </c>
      <c r="B280" s="78" t="s">
        <v>529</v>
      </c>
      <c r="C280" s="79" t="s">
        <v>63</v>
      </c>
      <c r="D280" s="79" t="e">
        <f>_xlfn.XLOOKUP(C280,'April 2026'!A:A,'April 2026'!B:B)</f>
        <v>#N/A</v>
      </c>
      <c r="E280" s="78"/>
      <c r="F280" s="80" t="s">
        <v>757</v>
      </c>
      <c r="G280" s="7" t="s">
        <v>735</v>
      </c>
      <c r="H280" s="7" t="s">
        <v>735</v>
      </c>
    </row>
    <row r="281" spans="1:8" ht="15.6">
      <c r="A281" s="85">
        <v>277</v>
      </c>
      <c r="B281" s="78" t="s">
        <v>529</v>
      </c>
      <c r="C281" s="79" t="s">
        <v>758</v>
      </c>
      <c r="D281" s="79" t="e">
        <f>_xlfn.XLOOKUP(C281,'April 2026'!A:A,'April 2026'!B:B)</f>
        <v>#N/A</v>
      </c>
      <c r="E281" s="78"/>
      <c r="F281" s="80" t="s">
        <v>759</v>
      </c>
      <c r="G281" s="7" t="s">
        <v>735</v>
      </c>
      <c r="H281" s="7" t="s">
        <v>735</v>
      </c>
    </row>
    <row r="282" spans="1:8" ht="14.4">
      <c r="A282" s="77">
        <v>278</v>
      </c>
      <c r="B282" s="78" t="s">
        <v>529</v>
      </c>
      <c r="C282" s="79" t="s">
        <v>447</v>
      </c>
      <c r="D282" s="79" t="e">
        <f>_xlfn.XLOOKUP(C282,'April 2026'!A:A,'April 2026'!B:B)</f>
        <v>#N/A</v>
      </c>
      <c r="E282" s="78"/>
      <c r="F282" s="80" t="s">
        <v>760</v>
      </c>
      <c r="G282" s="7" t="s">
        <v>735</v>
      </c>
      <c r="H282" s="7" t="s">
        <v>735</v>
      </c>
    </row>
    <row r="283" spans="1:8" ht="14.4">
      <c r="A283" s="77">
        <v>279</v>
      </c>
      <c r="B283" s="78" t="s">
        <v>738</v>
      </c>
      <c r="C283" s="89" t="s">
        <v>86</v>
      </c>
      <c r="D283" s="79" t="e">
        <f>_xlfn.XLOOKUP(C283,'April 2026'!A:A,'April 2026'!B:B)</f>
        <v>#N/A</v>
      </c>
      <c r="E283" s="78"/>
      <c r="F283" s="80" t="s">
        <v>739</v>
      </c>
      <c r="G283" s="7" t="s">
        <v>735</v>
      </c>
      <c r="H283" s="7" t="s">
        <v>735</v>
      </c>
    </row>
    <row r="284" spans="1:8" ht="15.6">
      <c r="A284" s="85">
        <v>280</v>
      </c>
      <c r="B284" s="78" t="s">
        <v>529</v>
      </c>
      <c r="C284" s="79" t="s">
        <v>761</v>
      </c>
      <c r="D284" s="79" t="e">
        <f>_xlfn.XLOOKUP(C284,'April 2026'!A:A,'April 2026'!B:B)</f>
        <v>#N/A</v>
      </c>
      <c r="E284" s="78"/>
      <c r="F284" s="80" t="s">
        <v>762</v>
      </c>
      <c r="G284" s="7" t="s">
        <v>735</v>
      </c>
      <c r="H284" s="7" t="s">
        <v>735</v>
      </c>
    </row>
    <row r="285" spans="1:8" ht="14.4">
      <c r="A285" s="77">
        <v>281</v>
      </c>
      <c r="B285" s="78" t="s">
        <v>529</v>
      </c>
      <c r="C285" s="79" t="s">
        <v>763</v>
      </c>
      <c r="D285" s="79" t="e">
        <f>_xlfn.XLOOKUP(C285,'April 2026'!A:A,'April 2026'!B:B)</f>
        <v>#N/A</v>
      </c>
      <c r="E285" s="78"/>
      <c r="F285" s="80" t="s">
        <v>764</v>
      </c>
      <c r="G285" s="7" t="s">
        <v>735</v>
      </c>
      <c r="H285" s="7" t="s">
        <v>735</v>
      </c>
    </row>
    <row r="286" spans="1:8" ht="14.4">
      <c r="A286" s="77">
        <v>282</v>
      </c>
      <c r="B286" s="78" t="s">
        <v>707</v>
      </c>
      <c r="C286" s="79" t="s">
        <v>210</v>
      </c>
      <c r="D286" s="79" t="e">
        <f>_xlfn.XLOOKUP(C286,'April 2026'!A:A,'April 2026'!B:B)</f>
        <v>#N/A</v>
      </c>
      <c r="E286" s="78"/>
      <c r="F286" s="80" t="s">
        <v>765</v>
      </c>
      <c r="G286" s="7" t="s">
        <v>735</v>
      </c>
      <c r="H286" s="7" t="s">
        <v>735</v>
      </c>
    </row>
    <row r="287" spans="1:8" ht="15.6">
      <c r="A287" s="85">
        <v>283</v>
      </c>
      <c r="B287" s="78" t="s">
        <v>529</v>
      </c>
      <c r="C287" s="79" t="s">
        <v>179</v>
      </c>
      <c r="D287" s="79" t="e">
        <f>_xlfn.XLOOKUP(C287,'April 2026'!A:A,'April 2026'!B:B)</f>
        <v>#N/A</v>
      </c>
      <c r="E287" s="78"/>
      <c r="F287" s="80" t="s">
        <v>766</v>
      </c>
      <c r="G287" s="7" t="s">
        <v>735</v>
      </c>
      <c r="H287" s="7" t="s">
        <v>735</v>
      </c>
    </row>
    <row r="288" spans="1:8" ht="14.4">
      <c r="A288" s="77">
        <v>284</v>
      </c>
      <c r="B288" s="78" t="s">
        <v>529</v>
      </c>
      <c r="C288" s="79" t="s">
        <v>446</v>
      </c>
      <c r="D288" s="79" t="e">
        <f>_xlfn.XLOOKUP(C288,'April 2026'!A:A,'April 2026'!B:B)</f>
        <v>#N/A</v>
      </c>
      <c r="E288" s="78"/>
      <c r="F288" s="90" t="s">
        <v>446</v>
      </c>
      <c r="G288" s="7" t="s">
        <v>735</v>
      </c>
      <c r="H288" s="7" t="s">
        <v>735</v>
      </c>
    </row>
    <row r="289" spans="1:8" ht="14.4">
      <c r="A289" s="77">
        <v>285</v>
      </c>
      <c r="B289" s="78" t="s">
        <v>529</v>
      </c>
      <c r="C289" s="79" t="s">
        <v>362</v>
      </c>
      <c r="D289" s="79" t="e">
        <f>_xlfn.XLOOKUP(C289,'April 2026'!A:A,'April 2026'!B:B)</f>
        <v>#N/A</v>
      </c>
      <c r="E289" s="78"/>
      <c r="F289" s="80" t="s">
        <v>765</v>
      </c>
      <c r="G289" s="7" t="s">
        <v>735</v>
      </c>
      <c r="H289" s="7" t="s">
        <v>735</v>
      </c>
    </row>
    <row r="290" spans="1:8" ht="15.6">
      <c r="A290" s="85">
        <v>286</v>
      </c>
      <c r="B290" s="78" t="s">
        <v>767</v>
      </c>
      <c r="C290" s="79" t="s">
        <v>198</v>
      </c>
      <c r="D290" s="79" t="e">
        <f>_xlfn.XLOOKUP(C290,'April 2026'!A:A,'April 2026'!B:B)</f>
        <v>#N/A</v>
      </c>
      <c r="E290" s="78"/>
      <c r="F290" s="80" t="s">
        <v>768</v>
      </c>
      <c r="G290" s="7" t="s">
        <v>735</v>
      </c>
      <c r="H290" s="7" t="s">
        <v>735</v>
      </c>
    </row>
    <row r="291" spans="1:8" ht="14.4">
      <c r="A291" s="77">
        <v>287</v>
      </c>
      <c r="B291" s="78" t="s">
        <v>767</v>
      </c>
      <c r="C291" s="79" t="s">
        <v>199</v>
      </c>
      <c r="D291" s="79" t="e">
        <f>_xlfn.XLOOKUP(C291,'April 2026'!A:A,'April 2026'!B:B)</f>
        <v>#N/A</v>
      </c>
      <c r="E291" s="78"/>
      <c r="F291" s="80" t="s">
        <v>768</v>
      </c>
      <c r="G291" s="7" t="s">
        <v>735</v>
      </c>
      <c r="H291" s="7" t="s">
        <v>735</v>
      </c>
    </row>
    <row r="292" spans="1:8" ht="14.4">
      <c r="A292" s="77">
        <v>288</v>
      </c>
      <c r="B292" s="78" t="s">
        <v>767</v>
      </c>
      <c r="C292" s="79" t="s">
        <v>200</v>
      </c>
      <c r="D292" s="79" t="e">
        <f>_xlfn.XLOOKUP(C292,'April 2026'!A:A,'April 2026'!B:B)</f>
        <v>#N/A</v>
      </c>
      <c r="E292" s="78"/>
      <c r="F292" s="80" t="s">
        <v>768</v>
      </c>
      <c r="G292" s="7" t="s">
        <v>735</v>
      </c>
      <c r="H292" s="7" t="s">
        <v>735</v>
      </c>
    </row>
    <row r="293" spans="1:8" ht="15.6">
      <c r="A293" s="85">
        <v>289</v>
      </c>
      <c r="B293" s="78" t="s">
        <v>767</v>
      </c>
      <c r="C293" s="79" t="s">
        <v>201</v>
      </c>
      <c r="D293" s="79" t="e">
        <f>_xlfn.XLOOKUP(C293,'April 2026'!A:A,'April 2026'!B:B)</f>
        <v>#N/A</v>
      </c>
      <c r="E293" s="78"/>
      <c r="F293" s="80" t="s">
        <v>768</v>
      </c>
      <c r="G293" s="7" t="s">
        <v>735</v>
      </c>
      <c r="H293" s="7" t="s">
        <v>735</v>
      </c>
    </row>
    <row r="294" spans="1:8" ht="14.4">
      <c r="A294" s="77">
        <v>290</v>
      </c>
      <c r="B294" s="78" t="s">
        <v>529</v>
      </c>
      <c r="C294" s="79" t="s">
        <v>341</v>
      </c>
      <c r="D294" s="79" t="e">
        <f>_xlfn.XLOOKUP(C294,'April 2026'!A:A,'April 2026'!B:B)</f>
        <v>#N/A</v>
      </c>
      <c r="E294" s="78"/>
      <c r="F294" s="80" t="s">
        <v>769</v>
      </c>
      <c r="G294" s="7" t="s">
        <v>735</v>
      </c>
      <c r="H294" s="7" t="s">
        <v>735</v>
      </c>
    </row>
    <row r="295" spans="1:8" ht="14.4">
      <c r="A295" s="77">
        <v>291</v>
      </c>
      <c r="B295" s="78" t="s">
        <v>529</v>
      </c>
      <c r="C295" s="79" t="s">
        <v>342</v>
      </c>
      <c r="D295" s="79" t="e">
        <f>_xlfn.XLOOKUP(C295,'April 2026'!A:A,'April 2026'!B:B)</f>
        <v>#N/A</v>
      </c>
      <c r="E295" s="78"/>
      <c r="F295" s="80" t="s">
        <v>769</v>
      </c>
      <c r="G295" s="7" t="s">
        <v>735</v>
      </c>
      <c r="H295" s="7" t="s">
        <v>735</v>
      </c>
    </row>
    <row r="296" spans="1:8" ht="15.6">
      <c r="A296" s="85">
        <v>292</v>
      </c>
      <c r="B296" s="78" t="s">
        <v>529</v>
      </c>
      <c r="C296" s="79" t="s">
        <v>770</v>
      </c>
      <c r="D296" s="79" t="e">
        <f>_xlfn.XLOOKUP(C296,'April 2026'!A:A,'April 2026'!B:B)</f>
        <v>#N/A</v>
      </c>
      <c r="E296" s="78"/>
      <c r="F296" s="80" t="s">
        <v>769</v>
      </c>
      <c r="G296" s="7" t="s">
        <v>735</v>
      </c>
      <c r="H296" s="7" t="s">
        <v>735</v>
      </c>
    </row>
    <row r="297" spans="1:8" ht="14.4">
      <c r="A297" s="77">
        <v>293</v>
      </c>
      <c r="B297" s="78" t="s">
        <v>529</v>
      </c>
      <c r="C297" s="79" t="s">
        <v>771</v>
      </c>
      <c r="D297" s="79" t="e">
        <f>_xlfn.XLOOKUP(C297,'April 2026'!A:A,'April 2026'!B:B)</f>
        <v>#N/A</v>
      </c>
      <c r="E297" s="78"/>
      <c r="F297" s="80" t="s">
        <v>769</v>
      </c>
      <c r="G297" s="7" t="s">
        <v>735</v>
      </c>
      <c r="H297" s="7" t="s">
        <v>735</v>
      </c>
    </row>
    <row r="298" spans="1:8" ht="14.4">
      <c r="A298" s="77">
        <v>294</v>
      </c>
      <c r="B298" s="78" t="s">
        <v>529</v>
      </c>
      <c r="C298" s="79" t="s">
        <v>219</v>
      </c>
      <c r="D298" s="79" t="e">
        <f>_xlfn.XLOOKUP(C298,'April 2026'!A:A,'April 2026'!B:B)</f>
        <v>#N/A</v>
      </c>
      <c r="E298" s="78"/>
      <c r="F298" s="80" t="s">
        <v>772</v>
      </c>
      <c r="G298" s="7" t="s">
        <v>735</v>
      </c>
      <c r="H298" s="7" t="s">
        <v>735</v>
      </c>
    </row>
    <row r="299" spans="1:8" ht="15.6">
      <c r="A299" s="85">
        <v>295</v>
      </c>
      <c r="B299" s="78" t="s">
        <v>529</v>
      </c>
      <c r="C299" s="79" t="s">
        <v>220</v>
      </c>
      <c r="D299" s="79" t="e">
        <f>_xlfn.XLOOKUP(C299,'April 2026'!A:A,'April 2026'!B:B)</f>
        <v>#N/A</v>
      </c>
      <c r="E299" s="78"/>
      <c r="F299" s="80" t="s">
        <v>772</v>
      </c>
      <c r="G299" s="7" t="s">
        <v>735</v>
      </c>
      <c r="H299" s="7" t="s">
        <v>735</v>
      </c>
    </row>
    <row r="300" spans="1:8" ht="14.4">
      <c r="A300" s="77">
        <v>296</v>
      </c>
      <c r="B300" s="78" t="s">
        <v>529</v>
      </c>
      <c r="C300" s="79" t="s">
        <v>773</v>
      </c>
      <c r="D300" s="79" t="e">
        <f>_xlfn.XLOOKUP(C300,'April 2026'!A:A,'April 2026'!B:B)</f>
        <v>#N/A</v>
      </c>
      <c r="E300" s="78"/>
      <c r="F300" s="80" t="s">
        <v>772</v>
      </c>
      <c r="G300" s="7" t="s">
        <v>735</v>
      </c>
      <c r="H300" s="7" t="s">
        <v>735</v>
      </c>
    </row>
    <row r="301" spans="1:8" ht="14.4">
      <c r="A301" s="77">
        <v>297</v>
      </c>
      <c r="B301" s="78" t="s">
        <v>529</v>
      </c>
      <c r="C301" s="79" t="s">
        <v>139</v>
      </c>
      <c r="D301" s="79" t="e">
        <f>_xlfn.XLOOKUP(C301,'April 2026'!A:A,'April 2026'!B:B)</f>
        <v>#N/A</v>
      </c>
      <c r="E301" s="78"/>
      <c r="F301" s="80" t="s">
        <v>772</v>
      </c>
      <c r="G301" s="7" t="s">
        <v>735</v>
      </c>
      <c r="H301" s="7" t="s">
        <v>735</v>
      </c>
    </row>
    <row r="302" spans="1:8" ht="15.6">
      <c r="A302" s="85">
        <v>298</v>
      </c>
      <c r="B302" s="78" t="s">
        <v>529</v>
      </c>
      <c r="C302" s="79" t="s">
        <v>355</v>
      </c>
      <c r="D302" s="79" t="e">
        <f>_xlfn.XLOOKUP(C302,'April 2026'!A:A,'April 2026'!B:B)</f>
        <v>#N/A</v>
      </c>
      <c r="E302" s="78"/>
      <c r="F302" s="80" t="s">
        <v>772</v>
      </c>
      <c r="G302" s="7" t="s">
        <v>735</v>
      </c>
      <c r="H302" s="7" t="s">
        <v>735</v>
      </c>
    </row>
  </sheetData>
  <autoFilter ref="A3:H302" xr:uid="{00000000-0009-0000-0000-000009000000}">
    <filterColumn colId="3">
      <filters>
        <filter val="#N/A"/>
        <filter val="0"/>
        <filter val="Not Required"/>
      </filters>
    </filterColumn>
    <filterColumn colId="7">
      <filters>
        <filter val="DRIVER"/>
        <filter val="Manpower"/>
        <filter val="Sub Contactor"/>
      </filters>
    </filterColumn>
  </autoFilter>
  <phoneticPr fontId="16" type="noConversion"/>
  <conditionalFormatting sqref="A1:G3 H1:XFD246 A4:B6 B7:B229 A7:A302 B231 B233:B302 H298:XFD1048576 A303:G1048576 E4:G232 F219:H219 G233:H246 E233:E256 G247:XFD251 I252:XFD253 G254:XFD256 E257:XFD287 E288 G288:XFD288 E289:XFD297 E298:G302">
    <cfRule type="cellIs" dxfId="71" priority="584" operator="equal">
      <formula>"TZ"</formula>
    </cfRule>
    <cfRule type="cellIs" dxfId="70" priority="585" operator="equal">
      <formula>"TZ"</formula>
    </cfRule>
  </conditionalFormatting>
  <conditionalFormatting sqref="A1:XFD3 A4:B6 B7:B229 A7:A302 B231 B233:B302 A303:XFD1048576">
    <cfRule type="cellIs" dxfId="69" priority="583" operator="equal">
      <formula>"TZ"</formula>
    </cfRule>
  </conditionalFormatting>
  <conditionalFormatting sqref="A303:XFD1048576 A1:XFD3 A4:B6 B7:B229 A7:A302 B231 B233:B302">
    <cfRule type="cellIs" dxfId="68" priority="582" operator="equal">
      <formula>"TZ"</formula>
    </cfRule>
  </conditionalFormatting>
  <conditionalFormatting sqref="B3:B229 B231 G233:H251 B233:B302 G254:H256 F257:H287 G288:H288 F289:H302">
    <cfRule type="containsText" dxfId="67" priority="135" operator="containsText" text="FRI">
      <formula>NOT(ISERROR(SEARCH("FRI",B3)))</formula>
    </cfRule>
  </conditionalFormatting>
  <conditionalFormatting sqref="C228:C229">
    <cfRule type="expression" dxfId="66" priority="33">
      <formula>COUNTIFS($C:$C,$C228,$F:$F,$F228)&gt;1</formula>
    </cfRule>
  </conditionalFormatting>
  <conditionalFormatting sqref="C3:D3">
    <cfRule type="containsText" dxfId="65" priority="557" operator="containsText" text="FRI">
      <formula>NOT(ISERROR(SEARCH("FRI",C3)))</formula>
    </cfRule>
  </conditionalFormatting>
  <conditionalFormatting sqref="E305">
    <cfRule type="containsText" dxfId="64" priority="13" operator="containsText" text="FRI">
      <formula>NOT(ISERROR(SEARCH("FRI",E305)))</formula>
    </cfRule>
    <cfRule type="cellIs" dxfId="63" priority="14" operator="equal">
      <formula>"TZ"</formula>
    </cfRule>
    <cfRule type="cellIs" dxfId="62" priority="15" operator="equal">
      <formula>"TZ"</formula>
    </cfRule>
  </conditionalFormatting>
  <conditionalFormatting sqref="E4:XFD232 G233:XFD251 E233:E256 I252:XFD253 G254:XFD256 E257:XFD287 E288 G288:XFD288 E289:XFD302">
    <cfRule type="cellIs" dxfId="61" priority="292" operator="equal">
      <formula>"TZ"</formula>
    </cfRule>
    <cfRule type="cellIs" dxfId="60" priority="293" operator="equal">
      <formula>"TZ"</formula>
    </cfRule>
  </conditionalFormatting>
  <conditionalFormatting sqref="F236:F239">
    <cfRule type="containsText" dxfId="59" priority="7" operator="containsText" text="FRI">
      <formula>NOT(ISERROR(SEARCH("FRI",F236)))</formula>
    </cfRule>
  </conditionalFormatting>
  <conditionalFormatting sqref="F240:F250">
    <cfRule type="containsText" dxfId="58" priority="2" operator="containsText" text="FRI">
      <formula>NOT(ISERROR(SEARCH("FRI",F240)))</formula>
    </cfRule>
    <cfRule type="cellIs" dxfId="57" priority="3" operator="equal">
      <formula>"TZ"</formula>
    </cfRule>
    <cfRule type="cellIs" dxfId="56" priority="4" operator="equal">
      <formula>"TZ"</formula>
    </cfRule>
    <cfRule type="cellIs" dxfId="55" priority="5" operator="equal">
      <formula>"TZ"</formula>
    </cfRule>
    <cfRule type="cellIs" dxfId="54" priority="6" operator="equal">
      <formula>"TZ"</formula>
    </cfRule>
  </conditionalFormatting>
  <conditionalFormatting sqref="F3:H232">
    <cfRule type="containsText" dxfId="53" priority="32" operator="containsText" text="FRI">
      <formula>NOT(ISERROR(SEARCH("FRI",F3)))</formula>
    </cfRule>
  </conditionalFormatting>
  <conditionalFormatting sqref="G259">
    <cfRule type="containsText" dxfId="52" priority="27" operator="containsText" text="FRI">
      <formula>NOT(ISERROR(SEARCH("FRI",G259)))</formula>
    </cfRule>
  </conditionalFormatting>
  <conditionalFormatting sqref="G265:G268">
    <cfRule type="containsText" dxfId="51" priority="10" operator="containsText" text="FRI">
      <formula>NOT(ISERROR(SEARCH("FRI",G265)))</formula>
    </cfRule>
  </conditionalFormatting>
  <conditionalFormatting sqref="G289:G297">
    <cfRule type="containsText" dxfId="50" priority="29" operator="containsText" text="FRI">
      <formula>NOT(ISERROR(SEARCH("FRI",G289)))</formula>
    </cfRule>
  </conditionalFormatting>
  <conditionalFormatting sqref="H235 H245">
    <cfRule type="containsText" dxfId="49" priority="1" operator="containsText" text="FRI">
      <formula>NOT(ISERROR(SEARCH("FRI",H235)))</formula>
    </cfRule>
  </conditionalFormatting>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CCBCE-B44F-427D-B83F-DA67974F909F}">
  <sheetPr filterMode="1"/>
  <dimension ref="A1:WZY359"/>
  <sheetViews>
    <sheetView zoomScale="145" zoomScaleNormal="145" workbookViewId="0">
      <selection activeCell="C103" sqref="C103"/>
    </sheetView>
  </sheetViews>
  <sheetFormatPr defaultColWidth="15.77734375" defaultRowHeight="12.75" customHeight="1"/>
  <cols>
    <col min="1" max="1" width="38.88671875" style="138" bestFit="1" customWidth="1"/>
    <col min="2" max="2" width="10.44140625" style="94" bestFit="1" customWidth="1"/>
    <col min="3" max="3" width="27.21875" style="93" bestFit="1" customWidth="1"/>
    <col min="4" max="16248" width="15.77734375" style="91"/>
    <col min="16249" max="16249" width="1.77734375" style="91" bestFit="1" customWidth="1"/>
    <col min="16250" max="16384" width="8" style="91" customWidth="1"/>
  </cols>
  <sheetData>
    <row r="1" spans="1:216 16249:16249" ht="15" customHeight="1">
      <c r="A1" s="137" t="s">
        <v>525</v>
      </c>
      <c r="B1" s="96" t="s">
        <v>774</v>
      </c>
      <c r="C1" s="96" t="s">
        <v>775</v>
      </c>
      <c r="WZY1" s="91">
        <f>SUBTOTAL(9,D1:WZX1)</f>
        <v>0</v>
      </c>
    </row>
    <row r="2" spans="1:216 16249:16249" ht="14.4" hidden="1">
      <c r="A2" s="96" t="s">
        <v>776</v>
      </c>
      <c r="B2" s="96">
        <v>12704175</v>
      </c>
      <c r="C2" s="96" t="s">
        <v>777</v>
      </c>
    </row>
    <row r="3" spans="1:216 16249:16249" ht="14.4" hidden="1">
      <c r="A3" s="97" t="s">
        <v>541</v>
      </c>
      <c r="B3" s="96">
        <v>27637114</v>
      </c>
      <c r="C3" s="96" t="s">
        <v>585</v>
      </c>
      <c r="D3" s="92"/>
    </row>
    <row r="4" spans="1:216 16249:16249" s="93" customFormat="1" ht="13.2" hidden="1" customHeight="1">
      <c r="A4" s="96" t="s">
        <v>363</v>
      </c>
      <c r="B4" s="96">
        <v>7065269</v>
      </c>
      <c r="C4" s="96" t="s">
        <v>724</v>
      </c>
      <c r="D4" s="91"/>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row>
    <row r="5" spans="1:216 16249:16249" s="93" customFormat="1" ht="13.2" hidden="1" customHeight="1">
      <c r="A5" s="96" t="s">
        <v>778</v>
      </c>
      <c r="B5" s="96">
        <v>140545152</v>
      </c>
      <c r="C5" s="96" t="s">
        <v>613</v>
      </c>
      <c r="D5" s="91"/>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2"/>
      <c r="BM5" s="92"/>
      <c r="BN5" s="92"/>
      <c r="BO5" s="92"/>
      <c r="BP5" s="92"/>
      <c r="BQ5" s="92"/>
      <c r="BR5" s="92"/>
      <c r="BS5" s="92"/>
      <c r="BT5" s="92"/>
      <c r="BU5" s="92"/>
      <c r="BV5" s="92"/>
      <c r="BW5" s="92"/>
      <c r="BX5" s="92"/>
      <c r="BY5" s="92"/>
      <c r="BZ5" s="92"/>
      <c r="CA5" s="92"/>
      <c r="CB5" s="92"/>
      <c r="CC5" s="92"/>
      <c r="CD5" s="92"/>
      <c r="CE5" s="92"/>
      <c r="CF5" s="92"/>
      <c r="CG5" s="92"/>
      <c r="CH5" s="92"/>
      <c r="CI5" s="92"/>
      <c r="CJ5" s="92"/>
      <c r="CK5" s="92"/>
      <c r="CL5" s="92"/>
      <c r="CM5" s="92"/>
      <c r="CN5" s="92"/>
      <c r="CO5" s="92"/>
      <c r="CP5" s="92"/>
      <c r="CQ5" s="92"/>
      <c r="CR5" s="92"/>
      <c r="CS5" s="92"/>
      <c r="CT5" s="92"/>
      <c r="CU5" s="92"/>
      <c r="CV5" s="92"/>
      <c r="CW5" s="92"/>
      <c r="CX5" s="92"/>
      <c r="CY5" s="92"/>
      <c r="CZ5" s="92"/>
      <c r="DA5" s="92"/>
      <c r="DB5" s="92"/>
      <c r="DC5" s="92"/>
      <c r="DD5" s="92"/>
      <c r="DE5" s="92"/>
      <c r="DF5" s="92"/>
      <c r="DG5" s="92"/>
      <c r="DH5" s="92"/>
      <c r="DI5" s="92"/>
      <c r="DJ5" s="92"/>
      <c r="DK5" s="92"/>
      <c r="DL5" s="92"/>
      <c r="DM5" s="92"/>
      <c r="DN5" s="92"/>
      <c r="DO5" s="92"/>
      <c r="DP5" s="92"/>
      <c r="DQ5" s="92"/>
      <c r="DR5" s="92"/>
      <c r="DS5" s="92"/>
      <c r="DT5" s="92"/>
      <c r="DU5" s="92"/>
      <c r="DV5" s="92"/>
      <c r="DW5" s="92"/>
      <c r="DX5" s="92"/>
      <c r="DY5" s="92"/>
      <c r="DZ5" s="92"/>
      <c r="EA5" s="92"/>
      <c r="EB5" s="92"/>
      <c r="EC5" s="92"/>
      <c r="ED5" s="92"/>
      <c r="EE5" s="92"/>
      <c r="EF5" s="92"/>
      <c r="EG5" s="92"/>
      <c r="EH5" s="92"/>
      <c r="EI5" s="92"/>
      <c r="EJ5" s="92"/>
      <c r="EK5" s="92"/>
      <c r="EL5" s="92"/>
      <c r="EM5" s="92"/>
      <c r="EN5" s="92"/>
      <c r="EO5" s="92"/>
      <c r="EP5" s="92"/>
      <c r="EQ5" s="92"/>
      <c r="ER5" s="92"/>
      <c r="ES5" s="92"/>
      <c r="ET5" s="92"/>
      <c r="EU5" s="92"/>
      <c r="EV5" s="92"/>
      <c r="EW5" s="92"/>
      <c r="EX5" s="92"/>
      <c r="EY5" s="92"/>
      <c r="EZ5" s="92"/>
      <c r="FA5" s="92"/>
      <c r="FB5" s="92"/>
      <c r="FC5" s="92"/>
      <c r="FD5" s="92"/>
      <c r="FE5" s="92"/>
      <c r="FF5" s="92"/>
      <c r="FG5" s="92"/>
      <c r="FH5" s="92"/>
      <c r="FI5" s="92"/>
      <c r="FJ5" s="92"/>
      <c r="FK5" s="92"/>
      <c r="FL5" s="92"/>
      <c r="FM5" s="92"/>
      <c r="FN5" s="92"/>
      <c r="FO5" s="92"/>
      <c r="FP5" s="92"/>
      <c r="FQ5" s="92"/>
      <c r="FR5" s="92"/>
      <c r="FS5" s="92"/>
      <c r="FT5" s="92"/>
      <c r="FU5" s="92"/>
      <c r="FV5" s="92"/>
      <c r="FW5" s="92"/>
      <c r="FX5" s="92"/>
      <c r="FY5" s="92"/>
      <c r="FZ5" s="92"/>
      <c r="GA5" s="92"/>
      <c r="GB5" s="92"/>
      <c r="GC5" s="92"/>
      <c r="GD5" s="92"/>
      <c r="GE5" s="92"/>
      <c r="GF5" s="92"/>
      <c r="GG5" s="92"/>
      <c r="GH5" s="92"/>
      <c r="GI5" s="92"/>
      <c r="GJ5" s="92"/>
      <c r="GK5" s="92"/>
      <c r="GL5" s="92"/>
      <c r="GM5" s="92"/>
      <c r="GN5" s="92"/>
      <c r="GO5" s="92"/>
      <c r="GP5" s="92"/>
      <c r="GQ5" s="92"/>
      <c r="GR5" s="92"/>
      <c r="GS5" s="92"/>
      <c r="GT5" s="92"/>
      <c r="GU5" s="92"/>
      <c r="GV5" s="92"/>
      <c r="GW5" s="92"/>
      <c r="GX5" s="92"/>
      <c r="GY5" s="92"/>
      <c r="GZ5" s="92"/>
      <c r="HA5" s="92"/>
      <c r="HB5" s="92"/>
      <c r="HC5" s="92"/>
      <c r="HD5" s="92"/>
      <c r="HE5" s="92"/>
      <c r="HF5" s="92"/>
      <c r="HG5" s="92"/>
      <c r="HH5" s="92"/>
    </row>
    <row r="6" spans="1:216 16249:16249" s="93" customFormat="1" ht="13.2" hidden="1" customHeight="1">
      <c r="A6" s="96" t="s">
        <v>157</v>
      </c>
      <c r="B6" s="96">
        <v>140742144</v>
      </c>
      <c r="C6" s="96" t="s">
        <v>680</v>
      </c>
      <c r="D6" s="91"/>
      <c r="E6" s="92"/>
      <c r="F6" s="92"/>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c r="DM6" s="92"/>
      <c r="DN6" s="92"/>
      <c r="DO6" s="92"/>
      <c r="DP6" s="92"/>
      <c r="DQ6" s="92"/>
      <c r="DR6" s="92"/>
      <c r="DS6" s="92"/>
      <c r="DT6" s="92"/>
      <c r="DU6" s="92"/>
      <c r="DV6" s="92"/>
      <c r="DW6" s="92"/>
      <c r="DX6" s="92"/>
      <c r="DY6" s="92"/>
      <c r="DZ6" s="92"/>
      <c r="EA6" s="92"/>
      <c r="EB6" s="92"/>
      <c r="EC6" s="92"/>
      <c r="ED6" s="92"/>
      <c r="EE6" s="92"/>
      <c r="EF6" s="92"/>
      <c r="EG6" s="92"/>
      <c r="EH6" s="92"/>
      <c r="EI6" s="92"/>
      <c r="EJ6" s="92"/>
      <c r="EK6" s="92"/>
      <c r="EL6" s="92"/>
      <c r="EM6" s="92"/>
      <c r="EN6" s="92"/>
      <c r="EO6" s="92"/>
      <c r="EP6" s="92"/>
      <c r="EQ6" s="92"/>
      <c r="ER6" s="92"/>
      <c r="ES6" s="92"/>
      <c r="ET6" s="92"/>
      <c r="EU6" s="92"/>
      <c r="EV6" s="92"/>
      <c r="EW6" s="92"/>
      <c r="EX6" s="92"/>
      <c r="EY6" s="92"/>
      <c r="EZ6" s="92"/>
      <c r="FA6" s="92"/>
      <c r="FB6" s="92"/>
      <c r="FC6" s="92"/>
      <c r="FD6" s="92"/>
      <c r="FE6" s="92"/>
      <c r="FF6" s="92"/>
      <c r="FG6" s="92"/>
      <c r="FH6" s="92"/>
      <c r="FI6" s="92"/>
      <c r="FJ6" s="92"/>
      <c r="FK6" s="92"/>
      <c r="FL6" s="92"/>
      <c r="FM6" s="92"/>
      <c r="FN6" s="92"/>
      <c r="FO6" s="92"/>
      <c r="FP6" s="92"/>
      <c r="FQ6" s="92"/>
      <c r="FR6" s="92"/>
      <c r="FS6" s="92"/>
      <c r="FT6" s="92"/>
      <c r="FU6" s="92"/>
      <c r="FV6" s="92"/>
      <c r="FW6" s="92"/>
      <c r="FX6" s="92"/>
      <c r="FY6" s="92"/>
      <c r="FZ6" s="92"/>
      <c r="GA6" s="92"/>
      <c r="GB6" s="92"/>
      <c r="GC6" s="92"/>
      <c r="GD6" s="92"/>
      <c r="GE6" s="92"/>
      <c r="GF6" s="92"/>
      <c r="GG6" s="92"/>
      <c r="GH6" s="92"/>
      <c r="GI6" s="92"/>
      <c r="GJ6" s="92"/>
      <c r="GK6" s="92"/>
      <c r="GL6" s="92"/>
      <c r="GM6" s="92"/>
      <c r="GN6" s="92"/>
      <c r="GO6" s="92"/>
      <c r="GP6" s="92"/>
      <c r="GQ6" s="92"/>
      <c r="GR6" s="92"/>
      <c r="GS6" s="92"/>
      <c r="GT6" s="92"/>
      <c r="GU6" s="92"/>
      <c r="GV6" s="92"/>
      <c r="GW6" s="92"/>
      <c r="GX6" s="92"/>
      <c r="GY6" s="92"/>
      <c r="GZ6" s="92"/>
      <c r="HA6" s="92"/>
      <c r="HB6" s="92"/>
      <c r="HC6" s="92"/>
      <c r="HD6" s="92"/>
      <c r="HE6" s="92"/>
      <c r="HF6" s="92"/>
      <c r="HG6" s="92"/>
      <c r="HH6" s="92"/>
    </row>
    <row r="7" spans="1:216 16249:16249" s="93" customFormat="1" ht="13.2" hidden="1" customHeight="1">
      <c r="A7" s="96" t="s">
        <v>164</v>
      </c>
      <c r="B7" s="96">
        <v>112778626</v>
      </c>
      <c r="C7" s="96" t="s">
        <v>779</v>
      </c>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92"/>
      <c r="CQ7" s="92"/>
      <c r="CR7" s="92"/>
      <c r="CS7" s="92"/>
      <c r="CT7" s="92"/>
      <c r="CU7" s="92"/>
      <c r="CV7" s="92"/>
      <c r="CW7" s="92"/>
      <c r="CX7" s="92"/>
      <c r="CY7" s="92"/>
      <c r="CZ7" s="92"/>
      <c r="DA7" s="92"/>
      <c r="DB7" s="92"/>
      <c r="DC7" s="92"/>
      <c r="DD7" s="92"/>
      <c r="DE7" s="92"/>
      <c r="DF7" s="92"/>
      <c r="DG7" s="92"/>
      <c r="DH7" s="92"/>
      <c r="DI7" s="92"/>
      <c r="DJ7" s="92"/>
      <c r="DK7" s="92"/>
      <c r="DL7" s="92"/>
      <c r="DM7" s="92"/>
      <c r="DN7" s="92"/>
      <c r="DO7" s="92"/>
      <c r="DP7" s="92"/>
      <c r="DQ7" s="92"/>
      <c r="DR7" s="92"/>
      <c r="DS7" s="92"/>
      <c r="DT7" s="92"/>
      <c r="DU7" s="92"/>
      <c r="DV7" s="92"/>
      <c r="DW7" s="92"/>
      <c r="DX7" s="92"/>
      <c r="DY7" s="92"/>
      <c r="DZ7" s="92"/>
      <c r="EA7" s="92"/>
      <c r="EB7" s="92"/>
      <c r="EC7" s="92"/>
      <c r="ED7" s="92"/>
      <c r="EE7" s="92"/>
      <c r="EF7" s="92"/>
      <c r="EG7" s="92"/>
      <c r="EH7" s="92"/>
      <c r="EI7" s="92"/>
      <c r="EJ7" s="92"/>
      <c r="EK7" s="92"/>
      <c r="EL7" s="92"/>
      <c r="EM7" s="92"/>
      <c r="EN7" s="92"/>
      <c r="EO7" s="92"/>
      <c r="EP7" s="92"/>
      <c r="EQ7" s="92"/>
      <c r="ER7" s="92"/>
      <c r="ES7" s="92"/>
      <c r="ET7" s="92"/>
      <c r="EU7" s="92"/>
      <c r="EV7" s="92"/>
      <c r="EW7" s="92"/>
      <c r="EX7" s="92"/>
      <c r="EY7" s="92"/>
      <c r="EZ7" s="92"/>
      <c r="FA7" s="92"/>
      <c r="FB7" s="92"/>
      <c r="FC7" s="92"/>
      <c r="FD7" s="92"/>
      <c r="FE7" s="92"/>
      <c r="FF7" s="92"/>
      <c r="FG7" s="92"/>
      <c r="FH7" s="92"/>
      <c r="FI7" s="92"/>
      <c r="FJ7" s="92"/>
      <c r="FK7" s="92"/>
      <c r="FL7" s="92"/>
      <c r="FM7" s="92"/>
      <c r="FN7" s="92"/>
      <c r="FO7" s="92"/>
      <c r="FP7" s="92"/>
      <c r="FQ7" s="92"/>
      <c r="FR7" s="92"/>
      <c r="FS7" s="92"/>
      <c r="FT7" s="92"/>
      <c r="FU7" s="92"/>
      <c r="FV7" s="92"/>
      <c r="FW7" s="92"/>
      <c r="FX7" s="92"/>
      <c r="FY7" s="92"/>
      <c r="FZ7" s="92"/>
      <c r="GA7" s="92"/>
      <c r="GB7" s="92"/>
      <c r="GC7" s="92"/>
      <c r="GD7" s="92"/>
      <c r="GE7" s="92"/>
      <c r="GF7" s="92"/>
      <c r="GG7" s="92"/>
      <c r="GH7" s="92"/>
      <c r="GI7" s="92"/>
      <c r="GJ7" s="92"/>
      <c r="GK7" s="92"/>
      <c r="GL7" s="92"/>
      <c r="GM7" s="92"/>
      <c r="GN7" s="92"/>
      <c r="GO7" s="92"/>
      <c r="GP7" s="92"/>
      <c r="GQ7" s="92"/>
      <c r="GR7" s="92"/>
      <c r="GS7" s="92"/>
      <c r="GT7" s="92"/>
      <c r="GU7" s="92"/>
      <c r="GV7" s="92"/>
      <c r="GW7" s="92"/>
      <c r="GX7" s="92"/>
      <c r="GY7" s="92"/>
      <c r="GZ7" s="92"/>
      <c r="HA7" s="92"/>
      <c r="HB7" s="92"/>
      <c r="HC7" s="92"/>
      <c r="HD7" s="92"/>
      <c r="HE7" s="92"/>
      <c r="HF7" s="92"/>
      <c r="HG7" s="92"/>
      <c r="HH7" s="92"/>
    </row>
    <row r="8" spans="1:216 16249:16249" s="93" customFormat="1" ht="13.2" hidden="1" customHeight="1">
      <c r="A8" s="97" t="s">
        <v>549</v>
      </c>
      <c r="B8" s="98" t="s">
        <v>780</v>
      </c>
      <c r="C8" s="99"/>
      <c r="D8" s="91"/>
      <c r="E8" s="92"/>
      <c r="F8" s="92"/>
      <c r="G8" s="92"/>
      <c r="H8" s="92"/>
      <c r="I8" s="92"/>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2"/>
      <c r="BK8" s="92"/>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92"/>
      <c r="DP8" s="92"/>
      <c r="DQ8" s="92"/>
      <c r="DR8" s="92"/>
      <c r="DS8" s="92"/>
      <c r="DT8" s="92"/>
      <c r="DU8" s="92"/>
      <c r="DV8" s="92"/>
      <c r="DW8" s="92"/>
      <c r="DX8" s="92"/>
      <c r="DY8" s="92"/>
      <c r="DZ8" s="92"/>
      <c r="EA8" s="92"/>
      <c r="EB8" s="92"/>
      <c r="EC8" s="92"/>
      <c r="ED8" s="92"/>
      <c r="EE8" s="92"/>
      <c r="EF8" s="92"/>
      <c r="EG8" s="92"/>
      <c r="EH8" s="92"/>
      <c r="EI8" s="92"/>
      <c r="EJ8" s="92"/>
      <c r="EK8" s="92"/>
      <c r="EL8" s="92"/>
      <c r="EM8" s="92"/>
      <c r="EN8" s="92"/>
      <c r="EO8" s="92"/>
      <c r="EP8" s="92"/>
      <c r="EQ8" s="92"/>
      <c r="ER8" s="92"/>
      <c r="ES8" s="92"/>
      <c r="ET8" s="92"/>
      <c r="EU8" s="92"/>
      <c r="EV8" s="92"/>
      <c r="EW8" s="92"/>
      <c r="EX8" s="92"/>
      <c r="EY8" s="92"/>
      <c r="EZ8" s="92"/>
      <c r="FA8" s="92"/>
      <c r="FB8" s="92"/>
      <c r="FC8" s="92"/>
      <c r="FD8" s="92"/>
      <c r="FE8" s="92"/>
      <c r="FF8" s="92"/>
      <c r="FG8" s="92"/>
      <c r="FH8" s="92"/>
      <c r="FI8" s="92"/>
      <c r="FJ8" s="92"/>
      <c r="FK8" s="92"/>
      <c r="FL8" s="92"/>
      <c r="FM8" s="92"/>
      <c r="FN8" s="92"/>
      <c r="FO8" s="92"/>
      <c r="FP8" s="92"/>
      <c r="FQ8" s="92"/>
      <c r="FR8" s="92"/>
      <c r="FS8" s="92"/>
      <c r="FT8" s="92"/>
      <c r="FU8" s="92"/>
      <c r="FV8" s="92"/>
      <c r="FW8" s="92"/>
      <c r="FX8" s="92"/>
      <c r="FY8" s="92"/>
      <c r="FZ8" s="92"/>
      <c r="GA8" s="92"/>
      <c r="GB8" s="92"/>
      <c r="GC8" s="92"/>
      <c r="GD8" s="92"/>
      <c r="GE8" s="92"/>
      <c r="GF8" s="92"/>
      <c r="GG8" s="92"/>
      <c r="GH8" s="92"/>
      <c r="GI8" s="92"/>
      <c r="GJ8" s="92"/>
      <c r="GK8" s="92"/>
      <c r="GL8" s="92"/>
      <c r="GM8" s="92"/>
      <c r="GN8" s="92"/>
      <c r="GO8" s="92"/>
      <c r="GP8" s="92"/>
      <c r="GQ8" s="92"/>
      <c r="GR8" s="92"/>
      <c r="GS8" s="92"/>
      <c r="GT8" s="92"/>
      <c r="GU8" s="92"/>
      <c r="GV8" s="92"/>
      <c r="GW8" s="92"/>
      <c r="GX8" s="92"/>
      <c r="GY8" s="92"/>
      <c r="GZ8" s="92"/>
      <c r="HA8" s="92"/>
      <c r="HB8" s="92"/>
      <c r="HC8" s="92"/>
      <c r="HD8" s="92"/>
      <c r="HE8" s="92"/>
      <c r="HF8" s="92"/>
      <c r="HG8" s="92"/>
      <c r="HH8" s="92"/>
    </row>
    <row r="9" spans="1:216 16249:16249" s="93" customFormat="1" ht="13.2" hidden="1" customHeight="1">
      <c r="A9" s="96" t="s">
        <v>781</v>
      </c>
      <c r="B9" s="96">
        <v>141793239</v>
      </c>
      <c r="C9" s="96" t="s">
        <v>782</v>
      </c>
      <c r="D9" s="91"/>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2"/>
      <c r="CE9" s="92"/>
      <c r="CF9" s="92"/>
      <c r="CG9" s="92"/>
      <c r="CH9" s="92"/>
      <c r="CI9" s="92"/>
      <c r="CJ9" s="92"/>
      <c r="CK9" s="92"/>
      <c r="CL9" s="92"/>
      <c r="CM9" s="92"/>
      <c r="CN9" s="92"/>
      <c r="CO9" s="92"/>
      <c r="CP9" s="92"/>
      <c r="CQ9" s="92"/>
      <c r="CR9" s="92"/>
      <c r="CS9" s="92"/>
      <c r="CT9" s="92"/>
      <c r="CU9" s="92"/>
      <c r="CV9" s="92"/>
      <c r="CW9" s="92"/>
      <c r="CX9" s="92"/>
      <c r="CY9" s="92"/>
      <c r="CZ9" s="92"/>
      <c r="DA9" s="92"/>
      <c r="DB9" s="92"/>
      <c r="DC9" s="92"/>
      <c r="DD9" s="92"/>
      <c r="DE9" s="92"/>
      <c r="DF9" s="92"/>
      <c r="DG9" s="92"/>
      <c r="DH9" s="92"/>
      <c r="DI9" s="92"/>
      <c r="DJ9" s="92"/>
      <c r="DK9" s="92"/>
      <c r="DL9" s="92"/>
      <c r="DM9" s="92"/>
      <c r="DN9" s="92"/>
      <c r="DO9" s="92"/>
      <c r="DP9" s="92"/>
      <c r="DQ9" s="92"/>
      <c r="DR9" s="92"/>
      <c r="DS9" s="92"/>
      <c r="DT9" s="92"/>
      <c r="DU9" s="92"/>
      <c r="DV9" s="92"/>
      <c r="DW9" s="92"/>
      <c r="DX9" s="92"/>
      <c r="DY9" s="92"/>
      <c r="DZ9" s="92"/>
      <c r="EA9" s="92"/>
      <c r="EB9" s="92"/>
      <c r="EC9" s="92"/>
      <c r="ED9" s="92"/>
      <c r="EE9" s="92"/>
      <c r="EF9" s="92"/>
      <c r="EG9" s="92"/>
      <c r="EH9" s="92"/>
      <c r="EI9" s="92"/>
      <c r="EJ9" s="92"/>
      <c r="EK9" s="92"/>
      <c r="EL9" s="92"/>
      <c r="EM9" s="92"/>
      <c r="EN9" s="92"/>
      <c r="EO9" s="92"/>
      <c r="EP9" s="92"/>
      <c r="EQ9" s="92"/>
      <c r="ER9" s="92"/>
      <c r="ES9" s="92"/>
      <c r="ET9" s="92"/>
      <c r="EU9" s="92"/>
      <c r="EV9" s="92"/>
      <c r="EW9" s="92"/>
      <c r="EX9" s="92"/>
      <c r="EY9" s="92"/>
      <c r="EZ9" s="92"/>
      <c r="FA9" s="92"/>
      <c r="FB9" s="92"/>
      <c r="FC9" s="92"/>
      <c r="FD9" s="92"/>
      <c r="FE9" s="92"/>
      <c r="FF9" s="92"/>
      <c r="FG9" s="92"/>
      <c r="FH9" s="92"/>
      <c r="FI9" s="92"/>
      <c r="FJ9" s="92"/>
      <c r="FK9" s="92"/>
      <c r="FL9" s="92"/>
      <c r="FM9" s="92"/>
      <c r="FN9" s="92"/>
      <c r="FO9" s="92"/>
      <c r="FP9" s="92"/>
      <c r="FQ9" s="92"/>
      <c r="FR9" s="92"/>
      <c r="FS9" s="92"/>
      <c r="FT9" s="92"/>
      <c r="FU9" s="92"/>
      <c r="FV9" s="92"/>
      <c r="FW9" s="92"/>
      <c r="FX9" s="92"/>
      <c r="FY9" s="92"/>
      <c r="FZ9" s="92"/>
      <c r="GA9" s="92"/>
      <c r="GB9" s="92"/>
      <c r="GC9" s="92"/>
      <c r="GD9" s="92"/>
      <c r="GE9" s="92"/>
      <c r="GF9" s="92"/>
      <c r="GG9" s="92"/>
      <c r="GH9" s="92"/>
      <c r="GI9" s="92"/>
      <c r="GJ9" s="92"/>
      <c r="GK9" s="92"/>
      <c r="GL9" s="92"/>
      <c r="GM9" s="92"/>
      <c r="GN9" s="92"/>
      <c r="GO9" s="92"/>
      <c r="GP9" s="92"/>
      <c r="GQ9" s="92"/>
      <c r="GR9" s="92"/>
      <c r="GS9" s="92"/>
      <c r="GT9" s="92"/>
      <c r="GU9" s="92"/>
      <c r="GV9" s="92"/>
      <c r="GW9" s="92"/>
      <c r="GX9" s="92"/>
      <c r="GY9" s="92"/>
      <c r="GZ9" s="92"/>
      <c r="HA9" s="92"/>
      <c r="HB9" s="92"/>
      <c r="HC9" s="92"/>
      <c r="HD9" s="92"/>
      <c r="HE9" s="92"/>
      <c r="HF9" s="92"/>
      <c r="HG9" s="92"/>
      <c r="HH9" s="92"/>
    </row>
    <row r="10" spans="1:216 16249:16249" s="93" customFormat="1" ht="13.2" hidden="1" customHeight="1">
      <c r="A10" s="100" t="s">
        <v>250</v>
      </c>
      <c r="B10" s="98" t="s">
        <v>783</v>
      </c>
      <c r="C10" s="99"/>
      <c r="D10" s="91"/>
      <c r="E10" s="92"/>
      <c r="F10" s="92"/>
      <c r="G10" s="92"/>
      <c r="H10" s="92"/>
      <c r="I10" s="92"/>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c r="BP10" s="92"/>
      <c r="BQ10" s="92"/>
      <c r="BR10" s="92"/>
      <c r="BS10" s="92"/>
      <c r="BT10" s="92"/>
      <c r="BU10" s="92"/>
      <c r="BV10" s="92"/>
      <c r="BW10" s="92"/>
      <c r="BX10" s="92"/>
      <c r="BY10" s="92"/>
      <c r="BZ10" s="92"/>
      <c r="CA10" s="92"/>
      <c r="CB10" s="92"/>
      <c r="CC10" s="92"/>
      <c r="CD10" s="92"/>
      <c r="CE10" s="92"/>
      <c r="CF10" s="92"/>
      <c r="CG10" s="92"/>
      <c r="CH10" s="92"/>
      <c r="CI10" s="92"/>
      <c r="CJ10" s="92"/>
      <c r="CK10" s="92"/>
      <c r="CL10" s="92"/>
      <c r="CM10" s="92"/>
      <c r="CN10" s="92"/>
      <c r="CO10" s="92"/>
      <c r="CP10" s="92"/>
      <c r="CQ10" s="92"/>
      <c r="CR10" s="92"/>
      <c r="CS10" s="92"/>
      <c r="CT10" s="92"/>
      <c r="CU10" s="92"/>
      <c r="CV10" s="92"/>
      <c r="CW10" s="92"/>
      <c r="CX10" s="92"/>
      <c r="CY10" s="92"/>
      <c r="CZ10" s="92"/>
      <c r="DA10" s="92"/>
      <c r="DB10" s="92"/>
      <c r="DC10" s="92"/>
      <c r="DD10" s="92"/>
      <c r="DE10" s="92"/>
      <c r="DF10" s="92"/>
      <c r="DG10" s="92"/>
      <c r="DH10" s="92"/>
      <c r="DI10" s="92"/>
      <c r="DJ10" s="92"/>
      <c r="DK10" s="92"/>
      <c r="DL10" s="92"/>
      <c r="DM10" s="92"/>
      <c r="DN10" s="92"/>
      <c r="DO10" s="92"/>
      <c r="DP10" s="92"/>
      <c r="DQ10" s="92"/>
      <c r="DR10" s="92"/>
      <c r="DS10" s="92"/>
      <c r="DT10" s="92"/>
      <c r="DU10" s="92"/>
      <c r="DV10" s="92"/>
      <c r="DW10" s="92"/>
      <c r="DX10" s="92"/>
      <c r="DY10" s="92"/>
      <c r="DZ10" s="92"/>
      <c r="EA10" s="92"/>
      <c r="EB10" s="92"/>
      <c r="EC10" s="92"/>
      <c r="ED10" s="92"/>
      <c r="EE10" s="92"/>
      <c r="EF10" s="92"/>
      <c r="EG10" s="92"/>
      <c r="EH10" s="92"/>
      <c r="EI10" s="92"/>
      <c r="EJ10" s="92"/>
      <c r="EK10" s="92"/>
      <c r="EL10" s="92"/>
      <c r="EM10" s="92"/>
      <c r="EN10" s="92"/>
      <c r="EO10" s="92"/>
      <c r="EP10" s="92"/>
      <c r="EQ10" s="92"/>
      <c r="ER10" s="92"/>
      <c r="ES10" s="92"/>
      <c r="ET10" s="92"/>
      <c r="EU10" s="92"/>
      <c r="EV10" s="92"/>
      <c r="EW10" s="92"/>
      <c r="EX10" s="92"/>
      <c r="EY10" s="92"/>
      <c r="EZ10" s="92"/>
      <c r="FA10" s="92"/>
      <c r="FB10" s="92"/>
      <c r="FC10" s="92"/>
      <c r="FD10" s="92"/>
      <c r="FE10" s="92"/>
      <c r="FF10" s="92"/>
      <c r="FG10" s="92"/>
      <c r="FH10" s="92"/>
      <c r="FI10" s="92"/>
      <c r="FJ10" s="92"/>
      <c r="FK10" s="92"/>
      <c r="FL10" s="92"/>
      <c r="FM10" s="92"/>
      <c r="FN10" s="92"/>
      <c r="FO10" s="92"/>
      <c r="FP10" s="92"/>
      <c r="FQ10" s="92"/>
      <c r="FR10" s="92"/>
      <c r="FS10" s="92"/>
      <c r="FT10" s="92"/>
      <c r="FU10" s="92"/>
      <c r="FV10" s="92"/>
      <c r="FW10" s="92"/>
      <c r="FX10" s="92"/>
      <c r="FY10" s="92"/>
      <c r="FZ10" s="92"/>
      <c r="GA10" s="92"/>
      <c r="GB10" s="92"/>
      <c r="GC10" s="92"/>
      <c r="GD10" s="92"/>
      <c r="GE10" s="92"/>
      <c r="GF10" s="92"/>
      <c r="GG10" s="92"/>
      <c r="GH10" s="92"/>
      <c r="GI10" s="92"/>
      <c r="GJ10" s="92"/>
      <c r="GK10" s="92"/>
      <c r="GL10" s="92"/>
      <c r="GM10" s="92"/>
      <c r="GN10" s="92"/>
      <c r="GO10" s="92"/>
      <c r="GP10" s="92"/>
      <c r="GQ10" s="92"/>
      <c r="GR10" s="92"/>
      <c r="GS10" s="92"/>
      <c r="GT10" s="92"/>
      <c r="GU10" s="92"/>
      <c r="GV10" s="92"/>
      <c r="GW10" s="92"/>
      <c r="GX10" s="92"/>
      <c r="GY10" s="92"/>
      <c r="GZ10" s="92"/>
      <c r="HA10" s="92"/>
      <c r="HB10" s="92"/>
      <c r="HC10" s="92"/>
      <c r="HD10" s="92"/>
      <c r="HE10" s="92"/>
      <c r="HF10" s="92"/>
      <c r="HG10" s="92"/>
      <c r="HH10" s="92"/>
    </row>
    <row r="11" spans="1:216 16249:16249" s="93" customFormat="1" ht="14.4" hidden="1">
      <c r="A11" s="96" t="s">
        <v>87</v>
      </c>
      <c r="B11" s="96">
        <v>126724428</v>
      </c>
      <c r="C11" s="96" t="s">
        <v>594</v>
      </c>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1"/>
      <c r="CT11" s="91"/>
      <c r="CU11" s="91"/>
      <c r="CV11" s="91"/>
      <c r="CW11" s="91"/>
      <c r="CX11" s="91"/>
      <c r="CY11" s="91"/>
      <c r="CZ11" s="91"/>
      <c r="DA11" s="91"/>
      <c r="DB11" s="91"/>
      <c r="DC11" s="91"/>
      <c r="DD11" s="91"/>
      <c r="DE11" s="91"/>
      <c r="DF11" s="91"/>
      <c r="DG11" s="91"/>
      <c r="DH11" s="91"/>
      <c r="DI11" s="91"/>
      <c r="DJ11" s="91"/>
      <c r="DK11" s="91"/>
      <c r="DL11" s="91"/>
      <c r="DM11" s="91"/>
      <c r="DN11" s="91"/>
      <c r="DO11" s="91"/>
      <c r="DP11" s="91"/>
      <c r="DQ11" s="91"/>
      <c r="DR11" s="91"/>
      <c r="DS11" s="91"/>
      <c r="DT11" s="91"/>
      <c r="DU11" s="91"/>
      <c r="DV11" s="91"/>
      <c r="DW11" s="91"/>
      <c r="DX11" s="91"/>
      <c r="DY11" s="91"/>
      <c r="DZ11" s="91"/>
      <c r="EA11" s="91"/>
      <c r="EB11" s="91"/>
      <c r="EC11" s="91"/>
      <c r="ED11" s="91"/>
      <c r="EE11" s="91"/>
      <c r="EF11" s="91"/>
      <c r="EG11" s="91"/>
      <c r="EH11" s="91"/>
      <c r="EI11" s="91"/>
      <c r="EJ11" s="91"/>
      <c r="EK11" s="91"/>
      <c r="EL11" s="91"/>
      <c r="EM11" s="91"/>
      <c r="EN11" s="91"/>
      <c r="EO11" s="91"/>
      <c r="EP11" s="91"/>
      <c r="EQ11" s="91"/>
      <c r="ER11" s="91"/>
      <c r="ES11" s="91"/>
      <c r="ET11" s="91"/>
      <c r="EU11" s="91"/>
      <c r="EV11" s="91"/>
      <c r="EW11" s="91"/>
      <c r="EX11" s="91"/>
      <c r="EY11" s="91"/>
      <c r="EZ11" s="91"/>
      <c r="FA11" s="91"/>
      <c r="FB11" s="91"/>
      <c r="FC11" s="91"/>
      <c r="FD11" s="91"/>
      <c r="FE11" s="91"/>
      <c r="FF11" s="91"/>
      <c r="FG11" s="91"/>
      <c r="FH11" s="91"/>
      <c r="FI11" s="91"/>
      <c r="FJ11" s="91"/>
      <c r="FK11" s="91"/>
      <c r="FL11" s="91"/>
      <c r="FM11" s="91"/>
      <c r="FN11" s="91"/>
      <c r="FO11" s="91"/>
      <c r="FP11" s="91"/>
      <c r="FQ11" s="91"/>
      <c r="FR11" s="91"/>
      <c r="FS11" s="91"/>
      <c r="FT11" s="91"/>
      <c r="FU11" s="91"/>
      <c r="FV11" s="91"/>
      <c r="FW11" s="91"/>
      <c r="FX11" s="91"/>
      <c r="FY11" s="91"/>
      <c r="FZ11" s="91"/>
      <c r="GA11" s="91"/>
      <c r="GB11" s="91"/>
      <c r="GC11" s="91"/>
      <c r="GD11" s="91"/>
      <c r="GE11" s="91"/>
      <c r="GF11" s="91"/>
      <c r="GG11" s="91"/>
      <c r="GH11" s="91"/>
      <c r="GI11" s="91"/>
      <c r="GJ11" s="91"/>
      <c r="GK11" s="91"/>
      <c r="GL11" s="91"/>
      <c r="GM11" s="91"/>
      <c r="GN11" s="91"/>
      <c r="GO11" s="91"/>
      <c r="GP11" s="91"/>
      <c r="GQ11" s="91"/>
      <c r="GR11" s="91"/>
      <c r="GS11" s="91"/>
      <c r="GT11" s="91"/>
      <c r="GU11" s="91"/>
      <c r="GV11" s="91"/>
      <c r="GW11" s="91"/>
      <c r="GX11" s="91"/>
      <c r="GY11" s="91"/>
      <c r="GZ11" s="91"/>
      <c r="HA11" s="91"/>
      <c r="HB11" s="91"/>
      <c r="HC11" s="91"/>
      <c r="HD11" s="91"/>
      <c r="HE11" s="91"/>
      <c r="HF11" s="91"/>
      <c r="HG11" s="91"/>
      <c r="HH11" s="91"/>
    </row>
    <row r="12" spans="1:216 16249:16249" ht="14.4" hidden="1">
      <c r="A12" s="96" t="s">
        <v>91</v>
      </c>
      <c r="B12" s="96">
        <v>132915855</v>
      </c>
      <c r="C12" s="96" t="s">
        <v>570</v>
      </c>
    </row>
    <row r="13" spans="1:216 16249:16249" s="93" customFormat="1" ht="13.2" hidden="1" customHeight="1">
      <c r="A13" s="96" t="s">
        <v>784</v>
      </c>
      <c r="B13" s="96">
        <v>19753414</v>
      </c>
      <c r="C13" s="96" t="s">
        <v>632</v>
      </c>
      <c r="D13" s="91"/>
      <c r="E13" s="92"/>
      <c r="F13" s="92"/>
      <c r="G13" s="92"/>
      <c r="H13" s="92"/>
      <c r="I13" s="92"/>
      <c r="J13" s="92"/>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c r="DA13" s="92"/>
      <c r="DB13" s="92"/>
      <c r="DC13" s="92"/>
      <c r="DD13" s="92"/>
      <c r="DE13" s="92"/>
      <c r="DF13" s="92"/>
      <c r="DG13" s="92"/>
      <c r="DH13" s="92"/>
      <c r="DI13" s="92"/>
      <c r="DJ13" s="92"/>
      <c r="DK13" s="92"/>
      <c r="DL13" s="92"/>
      <c r="DM13" s="92"/>
      <c r="DN13" s="92"/>
      <c r="DO13" s="92"/>
      <c r="DP13" s="92"/>
      <c r="DQ13" s="92"/>
      <c r="DR13" s="92"/>
      <c r="DS13" s="92"/>
      <c r="DT13" s="92"/>
      <c r="DU13" s="92"/>
      <c r="DV13" s="92"/>
      <c r="DW13" s="92"/>
      <c r="DX13" s="92"/>
      <c r="DY13" s="92"/>
      <c r="DZ13" s="92"/>
      <c r="EA13" s="92"/>
      <c r="EB13" s="92"/>
      <c r="EC13" s="92"/>
      <c r="ED13" s="92"/>
      <c r="EE13" s="92"/>
      <c r="EF13" s="92"/>
      <c r="EG13" s="92"/>
      <c r="EH13" s="92"/>
      <c r="EI13" s="92"/>
      <c r="EJ13" s="92"/>
      <c r="EK13" s="92"/>
      <c r="EL13" s="92"/>
      <c r="EM13" s="92"/>
      <c r="EN13" s="92"/>
      <c r="EO13" s="92"/>
      <c r="EP13" s="92"/>
      <c r="EQ13" s="92"/>
      <c r="ER13" s="92"/>
      <c r="ES13" s="92"/>
      <c r="ET13" s="92"/>
      <c r="EU13" s="92"/>
      <c r="EV13" s="92"/>
      <c r="EW13" s="92"/>
      <c r="EX13" s="92"/>
      <c r="EY13" s="92"/>
      <c r="EZ13" s="92"/>
      <c r="FA13" s="92"/>
      <c r="FB13" s="92"/>
      <c r="FC13" s="92"/>
      <c r="FD13" s="92"/>
      <c r="FE13" s="92"/>
      <c r="FF13" s="92"/>
      <c r="FG13" s="92"/>
      <c r="FH13" s="92"/>
      <c r="FI13" s="92"/>
      <c r="FJ13" s="92"/>
      <c r="FK13" s="92"/>
      <c r="FL13" s="92"/>
      <c r="FM13" s="92"/>
      <c r="FN13" s="92"/>
      <c r="FO13" s="92"/>
      <c r="FP13" s="92"/>
      <c r="FQ13" s="92"/>
      <c r="FR13" s="92"/>
      <c r="FS13" s="92"/>
      <c r="FT13" s="92"/>
      <c r="FU13" s="92"/>
      <c r="FV13" s="92"/>
      <c r="FW13" s="92"/>
      <c r="FX13" s="92"/>
      <c r="FY13" s="92"/>
      <c r="FZ13" s="92"/>
      <c r="GA13" s="92"/>
      <c r="GB13" s="92"/>
      <c r="GC13" s="92"/>
      <c r="GD13" s="92"/>
      <c r="GE13" s="92"/>
      <c r="GF13" s="92"/>
      <c r="GG13" s="92"/>
      <c r="GH13" s="92"/>
      <c r="GI13" s="92"/>
      <c r="GJ13" s="92"/>
      <c r="GK13" s="92"/>
      <c r="GL13" s="92"/>
      <c r="GM13" s="92"/>
      <c r="GN13" s="92"/>
      <c r="GO13" s="92"/>
      <c r="GP13" s="92"/>
      <c r="GQ13" s="92"/>
      <c r="GR13" s="92"/>
      <c r="GS13" s="92"/>
      <c r="GT13" s="92"/>
      <c r="GU13" s="92"/>
      <c r="GV13" s="92"/>
      <c r="GW13" s="92"/>
      <c r="GX13" s="92"/>
      <c r="GY13" s="92"/>
      <c r="GZ13" s="92"/>
      <c r="HA13" s="92"/>
      <c r="HB13" s="92"/>
      <c r="HC13" s="92"/>
      <c r="HD13" s="92"/>
      <c r="HE13" s="92"/>
      <c r="HF13" s="92"/>
      <c r="HG13" s="92"/>
      <c r="HH13" s="92"/>
    </row>
    <row r="14" spans="1:216 16249:16249" s="93" customFormat="1" ht="13.2" hidden="1" customHeight="1">
      <c r="A14" s="96" t="s">
        <v>785</v>
      </c>
      <c r="B14" s="96" t="s">
        <v>786</v>
      </c>
      <c r="C14" s="96" t="s">
        <v>550</v>
      </c>
      <c r="D14" s="91"/>
      <c r="E14" s="92"/>
      <c r="F14" s="92"/>
      <c r="G14" s="92"/>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c r="DA14" s="92"/>
      <c r="DB14" s="92"/>
      <c r="DC14" s="92"/>
      <c r="DD14" s="92"/>
      <c r="DE14" s="92"/>
      <c r="DF14" s="92"/>
      <c r="DG14" s="92"/>
      <c r="DH14" s="92"/>
      <c r="DI14" s="92"/>
      <c r="DJ14" s="92"/>
      <c r="DK14" s="92"/>
      <c r="DL14" s="92"/>
      <c r="DM14" s="92"/>
      <c r="DN14" s="92"/>
      <c r="DO14" s="92"/>
      <c r="DP14" s="92"/>
      <c r="DQ14" s="92"/>
      <c r="DR14" s="92"/>
      <c r="DS14" s="92"/>
      <c r="DT14" s="92"/>
      <c r="DU14" s="92"/>
      <c r="DV14" s="92"/>
      <c r="DW14" s="92"/>
      <c r="DX14" s="92"/>
      <c r="DY14" s="92"/>
      <c r="DZ14" s="92"/>
      <c r="EA14" s="92"/>
      <c r="EB14" s="92"/>
      <c r="EC14" s="92"/>
      <c r="ED14" s="92"/>
      <c r="EE14" s="92"/>
      <c r="EF14" s="92"/>
      <c r="EG14" s="92"/>
      <c r="EH14" s="92"/>
      <c r="EI14" s="92"/>
      <c r="EJ14" s="92"/>
      <c r="EK14" s="92"/>
      <c r="EL14" s="92"/>
      <c r="EM14" s="92"/>
      <c r="EN14" s="92"/>
      <c r="EO14" s="92"/>
      <c r="EP14" s="92"/>
      <c r="EQ14" s="92"/>
      <c r="ER14" s="92"/>
      <c r="ES14" s="92"/>
      <c r="ET14" s="92"/>
      <c r="EU14" s="92"/>
      <c r="EV14" s="92"/>
      <c r="EW14" s="92"/>
      <c r="EX14" s="92"/>
      <c r="EY14" s="92"/>
      <c r="EZ14" s="92"/>
      <c r="FA14" s="92"/>
      <c r="FB14" s="92"/>
      <c r="FC14" s="92"/>
      <c r="FD14" s="92"/>
      <c r="FE14" s="92"/>
      <c r="FF14" s="92"/>
      <c r="FG14" s="92"/>
      <c r="FH14" s="92"/>
      <c r="FI14" s="92"/>
      <c r="FJ14" s="92"/>
      <c r="FK14" s="92"/>
      <c r="FL14" s="92"/>
      <c r="FM14" s="92"/>
      <c r="FN14" s="92"/>
      <c r="FO14" s="92"/>
      <c r="FP14" s="92"/>
      <c r="FQ14" s="92"/>
      <c r="FR14" s="92"/>
      <c r="FS14" s="92"/>
      <c r="FT14" s="92"/>
      <c r="FU14" s="92"/>
      <c r="FV14" s="92"/>
      <c r="FW14" s="92"/>
      <c r="FX14" s="92"/>
      <c r="FY14" s="92"/>
      <c r="FZ14" s="92"/>
      <c r="GA14" s="92"/>
      <c r="GB14" s="92"/>
      <c r="GC14" s="92"/>
      <c r="GD14" s="92"/>
      <c r="GE14" s="92"/>
      <c r="GF14" s="92"/>
      <c r="GG14" s="92"/>
      <c r="GH14" s="92"/>
      <c r="GI14" s="92"/>
      <c r="GJ14" s="92"/>
      <c r="GK14" s="92"/>
      <c r="GL14" s="92"/>
      <c r="GM14" s="92"/>
      <c r="GN14" s="92"/>
      <c r="GO14" s="92"/>
      <c r="GP14" s="92"/>
      <c r="GQ14" s="92"/>
      <c r="GR14" s="92"/>
      <c r="GS14" s="92"/>
      <c r="GT14" s="92"/>
      <c r="GU14" s="92"/>
      <c r="GV14" s="92"/>
      <c r="GW14" s="92"/>
      <c r="GX14" s="92"/>
      <c r="GY14" s="92"/>
      <c r="GZ14" s="92"/>
      <c r="HA14" s="92"/>
      <c r="HB14" s="92"/>
      <c r="HC14" s="92"/>
      <c r="HD14" s="92"/>
      <c r="HE14" s="92"/>
      <c r="HF14" s="92"/>
      <c r="HG14" s="92"/>
      <c r="HH14" s="92"/>
    </row>
    <row r="15" spans="1:216 16249:16249" s="93" customFormat="1" ht="13.2" hidden="1" customHeight="1">
      <c r="A15" s="96" t="s">
        <v>92</v>
      </c>
      <c r="B15" s="96">
        <v>141377747</v>
      </c>
      <c r="C15" s="96" t="s">
        <v>613</v>
      </c>
      <c r="D15" s="91"/>
      <c r="E15" s="92"/>
      <c r="F15" s="92"/>
      <c r="G15" s="92"/>
      <c r="H15" s="92"/>
      <c r="I15" s="92"/>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c r="DA15" s="92"/>
      <c r="DB15" s="92"/>
      <c r="DC15" s="92"/>
      <c r="DD15" s="92"/>
      <c r="DE15" s="92"/>
      <c r="DF15" s="92"/>
      <c r="DG15" s="92"/>
      <c r="DH15" s="92"/>
      <c r="DI15" s="92"/>
      <c r="DJ15" s="92"/>
      <c r="DK15" s="92"/>
      <c r="DL15" s="92"/>
      <c r="DM15" s="92"/>
      <c r="DN15" s="92"/>
      <c r="DO15" s="92"/>
      <c r="DP15" s="92"/>
      <c r="DQ15" s="92"/>
      <c r="DR15" s="92"/>
      <c r="DS15" s="92"/>
      <c r="DT15" s="92"/>
      <c r="DU15" s="92"/>
      <c r="DV15" s="92"/>
      <c r="DW15" s="92"/>
      <c r="DX15" s="92"/>
      <c r="DY15" s="92"/>
      <c r="DZ15" s="92"/>
      <c r="EA15" s="92"/>
      <c r="EB15" s="92"/>
      <c r="EC15" s="92"/>
      <c r="ED15" s="92"/>
      <c r="EE15" s="92"/>
      <c r="EF15" s="92"/>
      <c r="EG15" s="92"/>
      <c r="EH15" s="92"/>
      <c r="EI15" s="92"/>
      <c r="EJ15" s="92"/>
      <c r="EK15" s="92"/>
      <c r="EL15" s="92"/>
      <c r="EM15" s="92"/>
      <c r="EN15" s="92"/>
      <c r="EO15" s="92"/>
      <c r="EP15" s="92"/>
      <c r="EQ15" s="92"/>
      <c r="ER15" s="92"/>
      <c r="ES15" s="92"/>
      <c r="ET15" s="92"/>
      <c r="EU15" s="92"/>
      <c r="EV15" s="92"/>
      <c r="EW15" s="92"/>
      <c r="EX15" s="92"/>
      <c r="EY15" s="92"/>
      <c r="EZ15" s="92"/>
      <c r="FA15" s="92"/>
      <c r="FB15" s="92"/>
      <c r="FC15" s="92"/>
      <c r="FD15" s="92"/>
      <c r="FE15" s="92"/>
      <c r="FF15" s="92"/>
      <c r="FG15" s="92"/>
      <c r="FH15" s="92"/>
      <c r="FI15" s="92"/>
      <c r="FJ15" s="92"/>
      <c r="FK15" s="92"/>
      <c r="FL15" s="92"/>
      <c r="FM15" s="92"/>
      <c r="FN15" s="92"/>
      <c r="FO15" s="92"/>
      <c r="FP15" s="92"/>
      <c r="FQ15" s="92"/>
      <c r="FR15" s="92"/>
      <c r="FS15" s="92"/>
      <c r="FT15" s="92"/>
      <c r="FU15" s="92"/>
      <c r="FV15" s="92"/>
      <c r="FW15" s="92"/>
      <c r="FX15" s="92"/>
      <c r="FY15" s="92"/>
      <c r="FZ15" s="92"/>
      <c r="GA15" s="92"/>
      <c r="GB15" s="92"/>
      <c r="GC15" s="92"/>
      <c r="GD15" s="92"/>
      <c r="GE15" s="92"/>
      <c r="GF15" s="92"/>
      <c r="GG15" s="92"/>
      <c r="GH15" s="92"/>
      <c r="GI15" s="92"/>
      <c r="GJ15" s="92"/>
      <c r="GK15" s="92"/>
      <c r="GL15" s="92"/>
      <c r="GM15" s="92"/>
      <c r="GN15" s="92"/>
      <c r="GO15" s="92"/>
      <c r="GP15" s="92"/>
      <c r="GQ15" s="92"/>
      <c r="GR15" s="92"/>
      <c r="GS15" s="92"/>
      <c r="GT15" s="92"/>
      <c r="GU15" s="92"/>
      <c r="GV15" s="92"/>
      <c r="GW15" s="92"/>
      <c r="GX15" s="92"/>
      <c r="GY15" s="92"/>
      <c r="GZ15" s="92"/>
      <c r="HA15" s="92"/>
      <c r="HB15" s="92"/>
      <c r="HC15" s="92"/>
      <c r="HD15" s="92"/>
      <c r="HE15" s="92"/>
      <c r="HF15" s="92"/>
      <c r="HG15" s="92"/>
      <c r="HH15" s="92"/>
    </row>
    <row r="16" spans="1:216 16249:16249" s="93" customFormat="1" ht="13.2" hidden="1" customHeight="1">
      <c r="A16" s="96" t="s">
        <v>57</v>
      </c>
      <c r="B16" s="96">
        <v>140693697</v>
      </c>
      <c r="C16" s="96" t="s">
        <v>576</v>
      </c>
      <c r="D16" s="91"/>
      <c r="E16" s="92"/>
      <c r="F16" s="92"/>
      <c r="G16" s="92"/>
      <c r="H16" s="92"/>
      <c r="I16" s="92"/>
      <c r="J16" s="92"/>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c r="DA16" s="92"/>
      <c r="DB16" s="92"/>
      <c r="DC16" s="92"/>
      <c r="DD16" s="92"/>
      <c r="DE16" s="92"/>
      <c r="DF16" s="92"/>
      <c r="DG16" s="92"/>
      <c r="DH16" s="92"/>
      <c r="DI16" s="92"/>
      <c r="DJ16" s="92"/>
      <c r="DK16" s="92"/>
      <c r="DL16" s="92"/>
      <c r="DM16" s="92"/>
      <c r="DN16" s="92"/>
      <c r="DO16" s="92"/>
      <c r="DP16" s="92"/>
      <c r="DQ16" s="92"/>
      <c r="DR16" s="92"/>
      <c r="DS16" s="92"/>
      <c r="DT16" s="92"/>
      <c r="DU16" s="92"/>
      <c r="DV16" s="92"/>
      <c r="DW16" s="92"/>
      <c r="DX16" s="92"/>
      <c r="DY16" s="92"/>
      <c r="DZ16" s="92"/>
      <c r="EA16" s="92"/>
      <c r="EB16" s="92"/>
      <c r="EC16" s="92"/>
      <c r="ED16" s="92"/>
      <c r="EE16" s="92"/>
      <c r="EF16" s="92"/>
      <c r="EG16" s="92"/>
      <c r="EH16" s="92"/>
      <c r="EI16" s="92"/>
      <c r="EJ16" s="92"/>
      <c r="EK16" s="92"/>
      <c r="EL16" s="92"/>
      <c r="EM16" s="92"/>
      <c r="EN16" s="92"/>
      <c r="EO16" s="92"/>
      <c r="EP16" s="92"/>
      <c r="EQ16" s="92"/>
      <c r="ER16" s="92"/>
      <c r="ES16" s="92"/>
      <c r="ET16" s="92"/>
      <c r="EU16" s="92"/>
      <c r="EV16" s="92"/>
      <c r="EW16" s="92"/>
      <c r="EX16" s="92"/>
      <c r="EY16" s="92"/>
      <c r="EZ16" s="92"/>
      <c r="FA16" s="92"/>
      <c r="FB16" s="92"/>
      <c r="FC16" s="92"/>
      <c r="FD16" s="92"/>
      <c r="FE16" s="92"/>
      <c r="FF16" s="92"/>
      <c r="FG16" s="92"/>
      <c r="FH16" s="92"/>
      <c r="FI16" s="92"/>
      <c r="FJ16" s="92"/>
      <c r="FK16" s="92"/>
      <c r="FL16" s="92"/>
      <c r="FM16" s="92"/>
      <c r="FN16" s="92"/>
      <c r="FO16" s="92"/>
      <c r="FP16" s="92"/>
      <c r="FQ16" s="92"/>
      <c r="FR16" s="92"/>
      <c r="FS16" s="92"/>
      <c r="FT16" s="92"/>
      <c r="FU16" s="92"/>
      <c r="FV16" s="92"/>
      <c r="FW16" s="92"/>
      <c r="FX16" s="92"/>
      <c r="FY16" s="92"/>
      <c r="FZ16" s="92"/>
      <c r="GA16" s="92"/>
      <c r="GB16" s="92"/>
      <c r="GC16" s="92"/>
      <c r="GD16" s="92"/>
      <c r="GE16" s="92"/>
      <c r="GF16" s="92"/>
      <c r="GG16" s="92"/>
      <c r="GH16" s="92"/>
      <c r="GI16" s="92"/>
      <c r="GJ16" s="92"/>
      <c r="GK16" s="92"/>
      <c r="GL16" s="92"/>
      <c r="GM16" s="92"/>
      <c r="GN16" s="92"/>
      <c r="GO16" s="92"/>
      <c r="GP16" s="92"/>
      <c r="GQ16" s="92"/>
      <c r="GR16" s="92"/>
      <c r="GS16" s="92"/>
      <c r="GT16" s="92"/>
      <c r="GU16" s="92"/>
      <c r="GV16" s="92"/>
      <c r="GW16" s="92"/>
      <c r="GX16" s="92"/>
      <c r="GY16" s="92"/>
      <c r="GZ16" s="92"/>
      <c r="HA16" s="92"/>
      <c r="HB16" s="92"/>
      <c r="HC16" s="92"/>
      <c r="HD16" s="92"/>
      <c r="HE16" s="92"/>
      <c r="HF16" s="92"/>
      <c r="HG16" s="92"/>
      <c r="HH16" s="92"/>
    </row>
    <row r="17" spans="1:216" s="93" customFormat="1" ht="13.2" hidden="1" customHeight="1">
      <c r="A17" s="96" t="s">
        <v>97</v>
      </c>
      <c r="B17" s="101">
        <v>141359235</v>
      </c>
      <c r="C17" s="96" t="s">
        <v>559</v>
      </c>
      <c r="D17" s="91"/>
      <c r="E17" s="92"/>
      <c r="F17" s="92"/>
      <c r="G17" s="92"/>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c r="DA17" s="92"/>
      <c r="DB17" s="92"/>
      <c r="DC17" s="92"/>
      <c r="DD17" s="92"/>
      <c r="DE17" s="92"/>
      <c r="DF17" s="92"/>
      <c r="DG17" s="92"/>
      <c r="DH17" s="92"/>
      <c r="DI17" s="92"/>
      <c r="DJ17" s="92"/>
      <c r="DK17" s="92"/>
      <c r="DL17" s="92"/>
      <c r="DM17" s="92"/>
      <c r="DN17" s="92"/>
      <c r="DO17" s="92"/>
      <c r="DP17" s="92"/>
      <c r="DQ17" s="92"/>
      <c r="DR17" s="92"/>
      <c r="DS17" s="92"/>
      <c r="DT17" s="92"/>
      <c r="DU17" s="92"/>
      <c r="DV17" s="92"/>
      <c r="DW17" s="92"/>
      <c r="DX17" s="92"/>
      <c r="DY17" s="92"/>
      <c r="DZ17" s="92"/>
      <c r="EA17" s="92"/>
      <c r="EB17" s="92"/>
      <c r="EC17" s="92"/>
      <c r="ED17" s="92"/>
      <c r="EE17" s="92"/>
      <c r="EF17" s="92"/>
      <c r="EG17" s="92"/>
      <c r="EH17" s="92"/>
      <c r="EI17" s="92"/>
      <c r="EJ17" s="92"/>
      <c r="EK17" s="92"/>
      <c r="EL17" s="92"/>
      <c r="EM17" s="92"/>
      <c r="EN17" s="92"/>
      <c r="EO17" s="92"/>
      <c r="EP17" s="92"/>
      <c r="EQ17" s="92"/>
      <c r="ER17" s="92"/>
      <c r="ES17" s="92"/>
      <c r="ET17" s="92"/>
      <c r="EU17" s="92"/>
      <c r="EV17" s="92"/>
      <c r="EW17" s="92"/>
      <c r="EX17" s="92"/>
      <c r="EY17" s="92"/>
      <c r="EZ17" s="92"/>
      <c r="FA17" s="92"/>
      <c r="FB17" s="92"/>
      <c r="FC17" s="92"/>
      <c r="FD17" s="92"/>
      <c r="FE17" s="92"/>
      <c r="FF17" s="92"/>
      <c r="FG17" s="92"/>
      <c r="FH17" s="92"/>
      <c r="FI17" s="92"/>
      <c r="FJ17" s="92"/>
      <c r="FK17" s="92"/>
      <c r="FL17" s="92"/>
      <c r="FM17" s="92"/>
      <c r="FN17" s="92"/>
      <c r="FO17" s="92"/>
      <c r="FP17" s="92"/>
      <c r="FQ17" s="92"/>
      <c r="FR17" s="92"/>
      <c r="FS17" s="92"/>
      <c r="FT17" s="92"/>
      <c r="FU17" s="92"/>
      <c r="FV17" s="92"/>
      <c r="FW17" s="92"/>
      <c r="FX17" s="92"/>
      <c r="FY17" s="92"/>
      <c r="FZ17" s="92"/>
      <c r="GA17" s="92"/>
      <c r="GB17" s="92"/>
      <c r="GC17" s="92"/>
      <c r="GD17" s="92"/>
      <c r="GE17" s="92"/>
      <c r="GF17" s="92"/>
      <c r="GG17" s="92"/>
      <c r="GH17" s="92"/>
      <c r="GI17" s="92"/>
      <c r="GJ17" s="92"/>
      <c r="GK17" s="92"/>
      <c r="GL17" s="92"/>
      <c r="GM17" s="92"/>
      <c r="GN17" s="92"/>
      <c r="GO17" s="92"/>
      <c r="GP17" s="92"/>
      <c r="GQ17" s="92"/>
      <c r="GR17" s="92"/>
      <c r="GS17" s="92"/>
      <c r="GT17" s="92"/>
      <c r="GU17" s="92"/>
      <c r="GV17" s="92"/>
      <c r="GW17" s="92"/>
      <c r="GX17" s="92"/>
      <c r="GY17" s="92"/>
      <c r="GZ17" s="92"/>
      <c r="HA17" s="92"/>
      <c r="HB17" s="92"/>
      <c r="HC17" s="92"/>
      <c r="HD17" s="92"/>
      <c r="HE17" s="92"/>
      <c r="HF17" s="92"/>
      <c r="HG17" s="92"/>
      <c r="HH17" s="92"/>
    </row>
    <row r="18" spans="1:216" s="93" customFormat="1" ht="13.2" hidden="1" customHeight="1">
      <c r="A18" s="96" t="s">
        <v>97</v>
      </c>
      <c r="B18" s="96">
        <v>122179745</v>
      </c>
      <c r="C18" s="96" t="s">
        <v>657</v>
      </c>
      <c r="D18" s="92"/>
      <c r="E18" s="92"/>
      <c r="F18" s="92"/>
      <c r="G18" s="92"/>
      <c r="H18" s="92"/>
      <c r="I18" s="92"/>
      <c r="J18" s="92"/>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c r="DA18" s="92"/>
      <c r="DB18" s="92"/>
      <c r="DC18" s="92"/>
      <c r="DD18" s="92"/>
      <c r="DE18" s="92"/>
      <c r="DF18" s="92"/>
      <c r="DG18" s="92"/>
      <c r="DH18" s="92"/>
      <c r="DI18" s="92"/>
      <c r="DJ18" s="92"/>
      <c r="DK18" s="92"/>
      <c r="DL18" s="92"/>
      <c r="DM18" s="92"/>
      <c r="DN18" s="92"/>
      <c r="DO18" s="92"/>
      <c r="DP18" s="92"/>
      <c r="DQ18" s="92"/>
      <c r="DR18" s="92"/>
      <c r="DS18" s="92"/>
      <c r="DT18" s="92"/>
      <c r="DU18" s="92"/>
      <c r="DV18" s="92"/>
      <c r="DW18" s="92"/>
      <c r="DX18" s="92"/>
      <c r="DY18" s="92"/>
      <c r="DZ18" s="92"/>
      <c r="EA18" s="92"/>
      <c r="EB18" s="92"/>
      <c r="EC18" s="92"/>
      <c r="ED18" s="92"/>
      <c r="EE18" s="92"/>
      <c r="EF18" s="92"/>
      <c r="EG18" s="92"/>
      <c r="EH18" s="92"/>
      <c r="EI18" s="92"/>
      <c r="EJ18" s="92"/>
      <c r="EK18" s="92"/>
      <c r="EL18" s="92"/>
      <c r="EM18" s="92"/>
      <c r="EN18" s="92"/>
      <c r="EO18" s="92"/>
      <c r="EP18" s="92"/>
      <c r="EQ18" s="92"/>
      <c r="ER18" s="92"/>
      <c r="ES18" s="92"/>
      <c r="ET18" s="92"/>
      <c r="EU18" s="92"/>
      <c r="EV18" s="92"/>
      <c r="EW18" s="92"/>
      <c r="EX18" s="92"/>
      <c r="EY18" s="92"/>
      <c r="EZ18" s="92"/>
      <c r="FA18" s="92"/>
      <c r="FB18" s="92"/>
      <c r="FC18" s="92"/>
      <c r="FD18" s="92"/>
      <c r="FE18" s="92"/>
      <c r="FF18" s="92"/>
      <c r="FG18" s="92"/>
      <c r="FH18" s="92"/>
      <c r="FI18" s="92"/>
      <c r="FJ18" s="92"/>
      <c r="FK18" s="92"/>
      <c r="FL18" s="92"/>
      <c r="FM18" s="92"/>
      <c r="FN18" s="92"/>
      <c r="FO18" s="92"/>
      <c r="FP18" s="92"/>
      <c r="FQ18" s="92"/>
      <c r="FR18" s="92"/>
      <c r="FS18" s="92"/>
      <c r="FT18" s="92"/>
      <c r="FU18" s="92"/>
      <c r="FV18" s="92"/>
      <c r="FW18" s="92"/>
      <c r="FX18" s="92"/>
      <c r="FY18" s="92"/>
      <c r="FZ18" s="92"/>
      <c r="GA18" s="92"/>
      <c r="GB18" s="92"/>
      <c r="GC18" s="92"/>
      <c r="GD18" s="92"/>
      <c r="GE18" s="92"/>
      <c r="GF18" s="92"/>
      <c r="GG18" s="92"/>
      <c r="GH18" s="92"/>
      <c r="GI18" s="92"/>
      <c r="GJ18" s="92"/>
      <c r="GK18" s="92"/>
      <c r="GL18" s="92"/>
      <c r="GM18" s="92"/>
      <c r="GN18" s="92"/>
      <c r="GO18" s="92"/>
      <c r="GP18" s="92"/>
      <c r="GQ18" s="92"/>
      <c r="GR18" s="92"/>
      <c r="GS18" s="92"/>
      <c r="GT18" s="92"/>
      <c r="GU18" s="92"/>
      <c r="GV18" s="92"/>
      <c r="GW18" s="92"/>
      <c r="GX18" s="92"/>
      <c r="GY18" s="92"/>
      <c r="GZ18" s="92"/>
      <c r="HA18" s="92"/>
      <c r="HB18" s="92"/>
      <c r="HC18" s="92"/>
      <c r="HD18" s="92"/>
      <c r="HE18" s="92"/>
      <c r="HF18" s="92"/>
      <c r="HG18" s="92"/>
      <c r="HH18" s="92"/>
    </row>
    <row r="19" spans="1:216" s="93" customFormat="1" ht="13.2" hidden="1" customHeight="1">
      <c r="A19" s="97" t="s">
        <v>166</v>
      </c>
      <c r="B19" s="98" t="s">
        <v>787</v>
      </c>
      <c r="C19" s="99"/>
      <c r="D19" s="91"/>
      <c r="E19" s="92"/>
      <c r="F19" s="92"/>
      <c r="G19" s="92"/>
      <c r="H19" s="92"/>
      <c r="I19" s="92"/>
      <c r="J19" s="92"/>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c r="DA19" s="92"/>
      <c r="DB19" s="92"/>
      <c r="DC19" s="92"/>
      <c r="DD19" s="92"/>
      <c r="DE19" s="92"/>
      <c r="DF19" s="92"/>
      <c r="DG19" s="92"/>
      <c r="DH19" s="92"/>
      <c r="DI19" s="92"/>
      <c r="DJ19" s="92"/>
      <c r="DK19" s="92"/>
      <c r="DL19" s="92"/>
      <c r="DM19" s="92"/>
      <c r="DN19" s="92"/>
      <c r="DO19" s="92"/>
      <c r="DP19" s="92"/>
      <c r="DQ19" s="92"/>
      <c r="DR19" s="92"/>
      <c r="DS19" s="92"/>
      <c r="DT19" s="92"/>
      <c r="DU19" s="92"/>
      <c r="DV19" s="92"/>
      <c r="DW19" s="92"/>
      <c r="DX19" s="92"/>
      <c r="DY19" s="92"/>
      <c r="DZ19" s="92"/>
      <c r="EA19" s="92"/>
      <c r="EB19" s="92"/>
      <c r="EC19" s="92"/>
      <c r="ED19" s="92"/>
      <c r="EE19" s="92"/>
      <c r="EF19" s="92"/>
      <c r="EG19" s="92"/>
      <c r="EH19" s="92"/>
      <c r="EI19" s="92"/>
      <c r="EJ19" s="92"/>
      <c r="EK19" s="92"/>
      <c r="EL19" s="92"/>
      <c r="EM19" s="92"/>
      <c r="EN19" s="92"/>
      <c r="EO19" s="92"/>
      <c r="EP19" s="92"/>
      <c r="EQ19" s="92"/>
      <c r="ER19" s="92"/>
      <c r="ES19" s="92"/>
      <c r="ET19" s="92"/>
      <c r="EU19" s="92"/>
      <c r="EV19" s="92"/>
      <c r="EW19" s="92"/>
      <c r="EX19" s="92"/>
      <c r="EY19" s="92"/>
      <c r="EZ19" s="92"/>
      <c r="FA19" s="92"/>
      <c r="FB19" s="92"/>
      <c r="FC19" s="92"/>
      <c r="FD19" s="92"/>
      <c r="FE19" s="92"/>
      <c r="FF19" s="92"/>
      <c r="FG19" s="92"/>
      <c r="FH19" s="92"/>
      <c r="FI19" s="92"/>
      <c r="FJ19" s="92"/>
      <c r="FK19" s="92"/>
      <c r="FL19" s="92"/>
      <c r="FM19" s="92"/>
      <c r="FN19" s="92"/>
      <c r="FO19" s="92"/>
      <c r="FP19" s="92"/>
      <c r="FQ19" s="92"/>
      <c r="FR19" s="92"/>
      <c r="FS19" s="92"/>
      <c r="FT19" s="92"/>
      <c r="FU19" s="92"/>
      <c r="FV19" s="92"/>
      <c r="FW19" s="92"/>
      <c r="FX19" s="92"/>
      <c r="FY19" s="92"/>
      <c r="FZ19" s="92"/>
      <c r="GA19" s="92"/>
      <c r="GB19" s="92"/>
      <c r="GC19" s="92"/>
      <c r="GD19" s="92"/>
      <c r="GE19" s="92"/>
      <c r="GF19" s="92"/>
      <c r="GG19" s="92"/>
      <c r="GH19" s="92"/>
      <c r="GI19" s="92"/>
      <c r="GJ19" s="92"/>
      <c r="GK19" s="92"/>
      <c r="GL19" s="92"/>
      <c r="GM19" s="92"/>
      <c r="GN19" s="92"/>
      <c r="GO19" s="92"/>
      <c r="GP19" s="92"/>
      <c r="GQ19" s="92"/>
      <c r="GR19" s="92"/>
      <c r="GS19" s="92"/>
      <c r="GT19" s="92"/>
      <c r="GU19" s="92"/>
      <c r="GV19" s="92"/>
      <c r="GW19" s="92"/>
      <c r="GX19" s="92"/>
      <c r="GY19" s="92"/>
      <c r="GZ19" s="92"/>
      <c r="HA19" s="92"/>
      <c r="HB19" s="92"/>
      <c r="HC19" s="92"/>
      <c r="HD19" s="92"/>
      <c r="HE19" s="92"/>
      <c r="HF19" s="92"/>
      <c r="HG19" s="92"/>
      <c r="HH19" s="92"/>
    </row>
    <row r="20" spans="1:216" s="93" customFormat="1" ht="13.2" hidden="1" customHeight="1">
      <c r="A20" s="96" t="s">
        <v>788</v>
      </c>
      <c r="B20" s="96">
        <v>126825676</v>
      </c>
      <c r="C20" s="96" t="s">
        <v>657</v>
      </c>
      <c r="D20" s="91"/>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c r="DA20" s="92"/>
      <c r="DB20" s="92"/>
      <c r="DC20" s="92"/>
      <c r="DD20" s="92"/>
      <c r="DE20" s="92"/>
      <c r="DF20" s="92"/>
      <c r="DG20" s="92"/>
      <c r="DH20" s="92"/>
      <c r="DI20" s="92"/>
      <c r="DJ20" s="92"/>
      <c r="DK20" s="92"/>
      <c r="DL20" s="92"/>
      <c r="DM20" s="92"/>
      <c r="DN20" s="92"/>
      <c r="DO20" s="92"/>
      <c r="DP20" s="92"/>
      <c r="DQ20" s="92"/>
      <c r="DR20" s="92"/>
      <c r="DS20" s="92"/>
      <c r="DT20" s="92"/>
      <c r="DU20" s="92"/>
      <c r="DV20" s="92"/>
      <c r="DW20" s="92"/>
      <c r="DX20" s="92"/>
      <c r="DY20" s="92"/>
      <c r="DZ20" s="92"/>
      <c r="EA20" s="92"/>
      <c r="EB20" s="92"/>
      <c r="EC20" s="92"/>
      <c r="ED20" s="92"/>
      <c r="EE20" s="92"/>
      <c r="EF20" s="92"/>
      <c r="EG20" s="92"/>
      <c r="EH20" s="92"/>
      <c r="EI20" s="92"/>
      <c r="EJ20" s="92"/>
      <c r="EK20" s="92"/>
      <c r="EL20" s="92"/>
      <c r="EM20" s="92"/>
      <c r="EN20" s="92"/>
      <c r="EO20" s="92"/>
      <c r="EP20" s="92"/>
      <c r="EQ20" s="92"/>
      <c r="ER20" s="92"/>
      <c r="ES20" s="92"/>
      <c r="ET20" s="92"/>
      <c r="EU20" s="92"/>
      <c r="EV20" s="92"/>
      <c r="EW20" s="92"/>
      <c r="EX20" s="92"/>
      <c r="EY20" s="92"/>
      <c r="EZ20" s="92"/>
      <c r="FA20" s="92"/>
      <c r="FB20" s="92"/>
      <c r="FC20" s="92"/>
      <c r="FD20" s="92"/>
      <c r="FE20" s="92"/>
      <c r="FF20" s="92"/>
      <c r="FG20" s="92"/>
      <c r="FH20" s="92"/>
      <c r="FI20" s="92"/>
      <c r="FJ20" s="92"/>
      <c r="FK20" s="92"/>
      <c r="FL20" s="92"/>
      <c r="FM20" s="92"/>
      <c r="FN20" s="92"/>
      <c r="FO20" s="92"/>
      <c r="FP20" s="92"/>
      <c r="FQ20" s="92"/>
      <c r="FR20" s="92"/>
      <c r="FS20" s="92"/>
      <c r="FT20" s="92"/>
      <c r="FU20" s="92"/>
      <c r="FV20" s="92"/>
      <c r="FW20" s="92"/>
      <c r="FX20" s="92"/>
      <c r="FY20" s="92"/>
      <c r="FZ20" s="92"/>
      <c r="GA20" s="92"/>
      <c r="GB20" s="92"/>
      <c r="GC20" s="92"/>
      <c r="GD20" s="92"/>
      <c r="GE20" s="92"/>
      <c r="GF20" s="92"/>
      <c r="GG20" s="92"/>
      <c r="GH20" s="92"/>
      <c r="GI20" s="92"/>
      <c r="GJ20" s="92"/>
      <c r="GK20" s="92"/>
      <c r="GL20" s="92"/>
      <c r="GM20" s="92"/>
      <c r="GN20" s="92"/>
      <c r="GO20" s="92"/>
      <c r="GP20" s="92"/>
      <c r="GQ20" s="92"/>
      <c r="GR20" s="92"/>
      <c r="GS20" s="92"/>
      <c r="GT20" s="92"/>
      <c r="GU20" s="92"/>
      <c r="GV20" s="92"/>
      <c r="GW20" s="92"/>
      <c r="GX20" s="92"/>
      <c r="GY20" s="92"/>
      <c r="GZ20" s="92"/>
      <c r="HA20" s="92"/>
      <c r="HB20" s="92"/>
      <c r="HC20" s="92"/>
      <c r="HD20" s="92"/>
      <c r="HE20" s="92"/>
      <c r="HF20" s="92"/>
      <c r="HG20" s="92"/>
      <c r="HH20" s="92"/>
    </row>
    <row r="21" spans="1:216" s="93" customFormat="1" ht="13.2" hidden="1" customHeight="1">
      <c r="A21" s="96" t="s">
        <v>789</v>
      </c>
      <c r="B21" s="96">
        <v>89442153</v>
      </c>
      <c r="C21" s="96" t="s">
        <v>657</v>
      </c>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c r="DA21" s="92"/>
      <c r="DB21" s="92"/>
      <c r="DC21" s="92"/>
      <c r="DD21" s="92"/>
      <c r="DE21" s="92"/>
      <c r="DF21" s="92"/>
      <c r="DG21" s="92"/>
      <c r="DH21" s="92"/>
      <c r="DI21" s="92"/>
      <c r="DJ21" s="92"/>
      <c r="DK21" s="92"/>
      <c r="DL21" s="92"/>
      <c r="DM21" s="92"/>
      <c r="DN21" s="92"/>
      <c r="DO21" s="92"/>
      <c r="DP21" s="92"/>
      <c r="DQ21" s="92"/>
      <c r="DR21" s="92"/>
      <c r="DS21" s="92"/>
      <c r="DT21" s="92"/>
      <c r="DU21" s="92"/>
      <c r="DV21" s="92"/>
      <c r="DW21" s="92"/>
      <c r="DX21" s="92"/>
      <c r="DY21" s="92"/>
      <c r="DZ21" s="92"/>
      <c r="EA21" s="92"/>
      <c r="EB21" s="92"/>
      <c r="EC21" s="92"/>
      <c r="ED21" s="92"/>
      <c r="EE21" s="92"/>
      <c r="EF21" s="92"/>
      <c r="EG21" s="92"/>
      <c r="EH21" s="92"/>
      <c r="EI21" s="92"/>
      <c r="EJ21" s="92"/>
      <c r="EK21" s="92"/>
      <c r="EL21" s="92"/>
      <c r="EM21" s="92"/>
      <c r="EN21" s="92"/>
      <c r="EO21" s="92"/>
      <c r="EP21" s="92"/>
      <c r="EQ21" s="92"/>
      <c r="ER21" s="92"/>
      <c r="ES21" s="92"/>
      <c r="ET21" s="92"/>
      <c r="EU21" s="92"/>
      <c r="EV21" s="92"/>
      <c r="EW21" s="92"/>
      <c r="EX21" s="92"/>
      <c r="EY21" s="92"/>
      <c r="EZ21" s="92"/>
      <c r="FA21" s="92"/>
      <c r="FB21" s="92"/>
      <c r="FC21" s="92"/>
      <c r="FD21" s="92"/>
      <c r="FE21" s="92"/>
      <c r="FF21" s="92"/>
      <c r="FG21" s="92"/>
      <c r="FH21" s="92"/>
      <c r="FI21" s="92"/>
      <c r="FJ21" s="92"/>
      <c r="FK21" s="92"/>
      <c r="FL21" s="92"/>
      <c r="FM21" s="92"/>
      <c r="FN21" s="92"/>
      <c r="FO21" s="92"/>
      <c r="FP21" s="92"/>
      <c r="FQ21" s="92"/>
      <c r="FR21" s="92"/>
      <c r="FS21" s="92"/>
      <c r="FT21" s="92"/>
      <c r="FU21" s="92"/>
      <c r="FV21" s="92"/>
      <c r="FW21" s="92"/>
      <c r="FX21" s="92"/>
      <c r="FY21" s="92"/>
      <c r="FZ21" s="92"/>
      <c r="GA21" s="92"/>
      <c r="GB21" s="92"/>
      <c r="GC21" s="92"/>
      <c r="GD21" s="92"/>
      <c r="GE21" s="92"/>
      <c r="GF21" s="92"/>
      <c r="GG21" s="92"/>
      <c r="GH21" s="92"/>
      <c r="GI21" s="92"/>
      <c r="GJ21" s="92"/>
      <c r="GK21" s="92"/>
      <c r="GL21" s="92"/>
      <c r="GM21" s="92"/>
      <c r="GN21" s="92"/>
      <c r="GO21" s="92"/>
      <c r="GP21" s="92"/>
      <c r="GQ21" s="92"/>
      <c r="GR21" s="92"/>
      <c r="GS21" s="92"/>
      <c r="GT21" s="92"/>
      <c r="GU21" s="92"/>
      <c r="GV21" s="92"/>
      <c r="GW21" s="92"/>
      <c r="GX21" s="92"/>
      <c r="GY21" s="92"/>
      <c r="GZ21" s="92"/>
      <c r="HA21" s="92"/>
      <c r="HB21" s="92"/>
      <c r="HC21" s="92"/>
      <c r="HD21" s="92"/>
      <c r="HE21" s="92"/>
      <c r="HF21" s="92"/>
      <c r="HG21" s="92"/>
      <c r="HH21" s="92"/>
    </row>
    <row r="22" spans="1:216" s="93" customFormat="1" ht="13.2" hidden="1" customHeight="1">
      <c r="A22" s="96" t="s">
        <v>790</v>
      </c>
      <c r="B22" s="96">
        <v>98021462</v>
      </c>
      <c r="C22" s="96" t="s">
        <v>573</v>
      </c>
      <c r="D22" s="92"/>
      <c r="E22" s="92"/>
      <c r="F22" s="92"/>
      <c r="G22" s="92"/>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c r="DA22" s="92"/>
      <c r="DB22" s="92"/>
      <c r="DC22" s="92"/>
      <c r="DD22" s="92"/>
      <c r="DE22" s="92"/>
      <c r="DF22" s="92"/>
      <c r="DG22" s="92"/>
      <c r="DH22" s="92"/>
      <c r="DI22" s="92"/>
      <c r="DJ22" s="92"/>
      <c r="DK22" s="92"/>
      <c r="DL22" s="92"/>
      <c r="DM22" s="92"/>
      <c r="DN22" s="92"/>
      <c r="DO22" s="92"/>
      <c r="DP22" s="92"/>
      <c r="DQ22" s="92"/>
      <c r="DR22" s="92"/>
      <c r="DS22" s="92"/>
      <c r="DT22" s="92"/>
      <c r="DU22" s="92"/>
      <c r="DV22" s="92"/>
      <c r="DW22" s="92"/>
      <c r="DX22" s="92"/>
      <c r="DY22" s="92"/>
      <c r="DZ22" s="92"/>
      <c r="EA22" s="92"/>
      <c r="EB22" s="92"/>
      <c r="EC22" s="92"/>
      <c r="ED22" s="92"/>
      <c r="EE22" s="92"/>
      <c r="EF22" s="92"/>
      <c r="EG22" s="92"/>
      <c r="EH22" s="92"/>
      <c r="EI22" s="92"/>
      <c r="EJ22" s="92"/>
      <c r="EK22" s="92"/>
      <c r="EL22" s="92"/>
      <c r="EM22" s="92"/>
      <c r="EN22" s="92"/>
      <c r="EO22" s="92"/>
      <c r="EP22" s="92"/>
      <c r="EQ22" s="92"/>
      <c r="ER22" s="92"/>
      <c r="ES22" s="92"/>
      <c r="ET22" s="92"/>
      <c r="EU22" s="92"/>
      <c r="EV22" s="92"/>
      <c r="EW22" s="92"/>
      <c r="EX22" s="92"/>
      <c r="EY22" s="92"/>
      <c r="EZ22" s="92"/>
      <c r="FA22" s="92"/>
      <c r="FB22" s="92"/>
      <c r="FC22" s="92"/>
      <c r="FD22" s="92"/>
      <c r="FE22" s="92"/>
      <c r="FF22" s="92"/>
      <c r="FG22" s="92"/>
      <c r="FH22" s="92"/>
      <c r="FI22" s="92"/>
      <c r="FJ22" s="92"/>
      <c r="FK22" s="92"/>
      <c r="FL22" s="92"/>
      <c r="FM22" s="92"/>
      <c r="FN22" s="92"/>
      <c r="FO22" s="92"/>
      <c r="FP22" s="92"/>
      <c r="FQ22" s="92"/>
      <c r="FR22" s="92"/>
      <c r="FS22" s="92"/>
      <c r="FT22" s="92"/>
      <c r="FU22" s="92"/>
      <c r="FV22" s="92"/>
      <c r="FW22" s="92"/>
      <c r="FX22" s="92"/>
      <c r="FY22" s="92"/>
      <c r="FZ22" s="92"/>
      <c r="GA22" s="92"/>
      <c r="GB22" s="92"/>
      <c r="GC22" s="92"/>
      <c r="GD22" s="92"/>
      <c r="GE22" s="92"/>
      <c r="GF22" s="92"/>
      <c r="GG22" s="92"/>
      <c r="GH22" s="92"/>
      <c r="GI22" s="92"/>
      <c r="GJ22" s="92"/>
      <c r="GK22" s="92"/>
      <c r="GL22" s="92"/>
      <c r="GM22" s="92"/>
      <c r="GN22" s="92"/>
      <c r="GO22" s="92"/>
      <c r="GP22" s="92"/>
      <c r="GQ22" s="92"/>
      <c r="GR22" s="92"/>
      <c r="GS22" s="92"/>
      <c r="GT22" s="92"/>
      <c r="GU22" s="92"/>
      <c r="GV22" s="92"/>
      <c r="GW22" s="92"/>
      <c r="GX22" s="92"/>
      <c r="GY22" s="92"/>
      <c r="GZ22" s="92"/>
      <c r="HA22" s="92"/>
      <c r="HB22" s="92"/>
      <c r="HC22" s="92"/>
      <c r="HD22" s="92"/>
      <c r="HE22" s="92"/>
      <c r="HF22" s="92"/>
      <c r="HG22" s="92"/>
      <c r="HH22" s="92"/>
    </row>
    <row r="23" spans="1:216" ht="14.4" hidden="1">
      <c r="A23" s="96" t="s">
        <v>791</v>
      </c>
      <c r="B23" s="96">
        <v>128486351</v>
      </c>
      <c r="C23" s="96" t="s">
        <v>680</v>
      </c>
    </row>
    <row r="24" spans="1:216" ht="13.2" hidden="1" customHeight="1">
      <c r="A24" s="102" t="s">
        <v>345</v>
      </c>
      <c r="B24" s="98" t="s">
        <v>792</v>
      </c>
      <c r="C24" s="99"/>
      <c r="E24" s="92"/>
      <c r="F24" s="92"/>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c r="DA24" s="92"/>
      <c r="DB24" s="92"/>
      <c r="DC24" s="92"/>
      <c r="DD24" s="92"/>
      <c r="DE24" s="92"/>
      <c r="DF24" s="92"/>
      <c r="DG24" s="92"/>
      <c r="DH24" s="92"/>
      <c r="DI24" s="92"/>
      <c r="DJ24" s="92"/>
      <c r="DK24" s="92"/>
      <c r="DL24" s="92"/>
      <c r="DM24" s="92"/>
      <c r="DN24" s="92"/>
      <c r="DO24" s="92"/>
      <c r="DP24" s="92"/>
      <c r="DQ24" s="92"/>
      <c r="DR24" s="92"/>
      <c r="DS24" s="92"/>
      <c r="DT24" s="92"/>
      <c r="DU24" s="92"/>
      <c r="DV24" s="92"/>
      <c r="DW24" s="92"/>
      <c r="DX24" s="92"/>
      <c r="DY24" s="92"/>
      <c r="DZ24" s="92"/>
      <c r="EA24" s="92"/>
      <c r="EB24" s="92"/>
      <c r="EC24" s="92"/>
      <c r="ED24" s="92"/>
      <c r="EE24" s="92"/>
      <c r="EF24" s="92"/>
      <c r="EG24" s="92"/>
      <c r="EH24" s="92"/>
      <c r="EI24" s="92"/>
      <c r="EJ24" s="92"/>
      <c r="EK24" s="92"/>
      <c r="EL24" s="92"/>
      <c r="EM24" s="92"/>
      <c r="EN24" s="92"/>
      <c r="EO24" s="92"/>
      <c r="EP24" s="92"/>
      <c r="EQ24" s="92"/>
      <c r="ER24" s="92"/>
      <c r="ES24" s="92"/>
      <c r="ET24" s="92"/>
      <c r="EU24" s="92"/>
      <c r="EV24" s="92"/>
      <c r="EW24" s="92"/>
      <c r="EX24" s="92"/>
      <c r="EY24" s="92"/>
      <c r="EZ24" s="92"/>
      <c r="FA24" s="92"/>
      <c r="FB24" s="92"/>
      <c r="FC24" s="92"/>
      <c r="FD24" s="92"/>
      <c r="FE24" s="92"/>
      <c r="FF24" s="92"/>
      <c r="FG24" s="92"/>
      <c r="FH24" s="92"/>
      <c r="FI24" s="92"/>
      <c r="FJ24" s="92"/>
      <c r="FK24" s="92"/>
      <c r="FL24" s="92"/>
      <c r="FM24" s="92"/>
      <c r="FN24" s="92"/>
      <c r="FO24" s="92"/>
      <c r="FP24" s="92"/>
      <c r="FQ24" s="92"/>
      <c r="FR24" s="92"/>
      <c r="FS24" s="92"/>
      <c r="FT24" s="92"/>
      <c r="FU24" s="92"/>
      <c r="FV24" s="92"/>
      <c r="FW24" s="92"/>
      <c r="FX24" s="92"/>
      <c r="FY24" s="92"/>
      <c r="FZ24" s="92"/>
      <c r="GA24" s="92"/>
      <c r="GB24" s="92"/>
      <c r="GC24" s="92"/>
      <c r="GD24" s="92"/>
      <c r="GE24" s="92"/>
      <c r="GF24" s="92"/>
      <c r="GG24" s="92"/>
      <c r="GH24" s="92"/>
      <c r="GI24" s="92"/>
      <c r="GJ24" s="92"/>
      <c r="GK24" s="92"/>
      <c r="GL24" s="92"/>
      <c r="GM24" s="92"/>
      <c r="GN24" s="92"/>
      <c r="GO24" s="92"/>
      <c r="GP24" s="92"/>
      <c r="GQ24" s="92"/>
      <c r="GR24" s="92"/>
      <c r="GS24" s="92"/>
      <c r="GT24" s="92"/>
      <c r="GU24" s="92"/>
      <c r="GV24" s="92"/>
      <c r="GW24" s="92"/>
      <c r="GX24" s="92"/>
      <c r="GY24" s="92"/>
      <c r="GZ24" s="92"/>
      <c r="HA24" s="92"/>
      <c r="HB24" s="92"/>
      <c r="HC24" s="92"/>
      <c r="HD24" s="92"/>
      <c r="HE24" s="92"/>
      <c r="HF24" s="92"/>
      <c r="HG24" s="92"/>
      <c r="HH24" s="92"/>
    </row>
    <row r="25" spans="1:216" ht="14.4" hidden="1">
      <c r="A25" s="97" t="s">
        <v>299</v>
      </c>
      <c r="B25" s="96">
        <v>140849254</v>
      </c>
      <c r="C25" s="96" t="s">
        <v>561</v>
      </c>
    </row>
    <row r="26" spans="1:216" s="93" customFormat="1" ht="13.2" hidden="1" customHeight="1">
      <c r="A26" s="96" t="s">
        <v>630</v>
      </c>
      <c r="B26" s="96">
        <v>12441043</v>
      </c>
      <c r="C26" s="96" t="s">
        <v>631</v>
      </c>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c r="DA26" s="92"/>
      <c r="DB26" s="92"/>
      <c r="DC26" s="92"/>
      <c r="DD26" s="92"/>
      <c r="DE26" s="92"/>
      <c r="DF26" s="92"/>
      <c r="DG26" s="92"/>
      <c r="DH26" s="92"/>
      <c r="DI26" s="92"/>
      <c r="DJ26" s="92"/>
      <c r="DK26" s="92"/>
      <c r="DL26" s="92"/>
      <c r="DM26" s="92"/>
      <c r="DN26" s="92"/>
      <c r="DO26" s="92"/>
      <c r="DP26" s="92"/>
      <c r="DQ26" s="92"/>
      <c r="DR26" s="92"/>
      <c r="DS26" s="92"/>
      <c r="DT26" s="92"/>
      <c r="DU26" s="92"/>
      <c r="DV26" s="92"/>
      <c r="DW26" s="92"/>
      <c r="DX26" s="92"/>
      <c r="DY26" s="92"/>
      <c r="DZ26" s="92"/>
      <c r="EA26" s="92"/>
      <c r="EB26" s="92"/>
      <c r="EC26" s="92"/>
      <c r="ED26" s="92"/>
      <c r="EE26" s="92"/>
      <c r="EF26" s="92"/>
      <c r="EG26" s="92"/>
      <c r="EH26" s="92"/>
      <c r="EI26" s="92"/>
      <c r="EJ26" s="92"/>
      <c r="EK26" s="92"/>
      <c r="EL26" s="92"/>
      <c r="EM26" s="92"/>
      <c r="EN26" s="92"/>
      <c r="EO26" s="92"/>
      <c r="EP26" s="92"/>
      <c r="EQ26" s="92"/>
      <c r="ER26" s="92"/>
      <c r="ES26" s="92"/>
      <c r="ET26" s="92"/>
      <c r="EU26" s="92"/>
      <c r="EV26" s="92"/>
      <c r="EW26" s="92"/>
      <c r="EX26" s="92"/>
      <c r="EY26" s="92"/>
      <c r="EZ26" s="92"/>
      <c r="FA26" s="92"/>
      <c r="FB26" s="92"/>
      <c r="FC26" s="92"/>
      <c r="FD26" s="92"/>
      <c r="FE26" s="92"/>
      <c r="FF26" s="92"/>
      <c r="FG26" s="92"/>
      <c r="FH26" s="92"/>
      <c r="FI26" s="92"/>
      <c r="FJ26" s="92"/>
      <c r="FK26" s="92"/>
      <c r="FL26" s="92"/>
      <c r="FM26" s="92"/>
      <c r="FN26" s="92"/>
      <c r="FO26" s="92"/>
      <c r="FP26" s="92"/>
      <c r="FQ26" s="92"/>
      <c r="FR26" s="92"/>
      <c r="FS26" s="92"/>
      <c r="FT26" s="92"/>
      <c r="FU26" s="92"/>
      <c r="FV26" s="92"/>
      <c r="FW26" s="92"/>
      <c r="FX26" s="92"/>
      <c r="FY26" s="92"/>
      <c r="FZ26" s="92"/>
      <c r="GA26" s="92"/>
      <c r="GB26" s="92"/>
      <c r="GC26" s="92"/>
      <c r="GD26" s="92"/>
      <c r="GE26" s="92"/>
      <c r="GF26" s="92"/>
      <c r="GG26" s="92"/>
      <c r="GH26" s="92"/>
      <c r="GI26" s="92"/>
      <c r="GJ26" s="92"/>
      <c r="GK26" s="92"/>
      <c r="GL26" s="92"/>
      <c r="GM26" s="92"/>
      <c r="GN26" s="92"/>
      <c r="GO26" s="92"/>
      <c r="GP26" s="92"/>
      <c r="GQ26" s="92"/>
      <c r="GR26" s="92"/>
      <c r="GS26" s="92"/>
      <c r="GT26" s="92"/>
      <c r="GU26" s="92"/>
      <c r="GV26" s="92"/>
      <c r="GW26" s="92"/>
      <c r="GX26" s="92"/>
      <c r="GY26" s="92"/>
      <c r="GZ26" s="92"/>
      <c r="HA26" s="92"/>
      <c r="HB26" s="92"/>
      <c r="HC26" s="92"/>
      <c r="HD26" s="92"/>
      <c r="HE26" s="92"/>
      <c r="HF26" s="92"/>
      <c r="HG26" s="92"/>
      <c r="HH26" s="92"/>
    </row>
    <row r="27" spans="1:216" ht="14.4" hidden="1">
      <c r="A27" s="96" t="s">
        <v>377</v>
      </c>
      <c r="B27" s="96">
        <v>141322485</v>
      </c>
      <c r="C27" s="96" t="s">
        <v>673</v>
      </c>
    </row>
    <row r="28" spans="1:216" ht="14.4" hidden="1">
      <c r="A28" s="96" t="s">
        <v>793</v>
      </c>
      <c r="B28" s="96">
        <v>131662411</v>
      </c>
      <c r="C28" s="96" t="s">
        <v>680</v>
      </c>
    </row>
    <row r="29" spans="1:216" ht="14.4" hidden="1">
      <c r="A29" s="96" t="s">
        <v>167</v>
      </c>
      <c r="B29" s="96">
        <v>125440631</v>
      </c>
      <c r="C29" s="96" t="s">
        <v>568</v>
      </c>
    </row>
    <row r="30" spans="1:216" ht="14.4" hidden="1">
      <c r="A30" s="96" t="s">
        <v>117</v>
      </c>
      <c r="B30" s="96">
        <v>140844783</v>
      </c>
      <c r="C30" s="96" t="s">
        <v>613</v>
      </c>
    </row>
    <row r="31" spans="1:216" s="93" customFormat="1" ht="13.2" hidden="1" customHeight="1">
      <c r="A31" s="96" t="s">
        <v>794</v>
      </c>
      <c r="B31" s="96">
        <v>14496555</v>
      </c>
      <c r="C31" s="96" t="s">
        <v>558</v>
      </c>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c r="BW31" s="92"/>
      <c r="BX31" s="92"/>
      <c r="BY31" s="92"/>
      <c r="BZ31" s="92"/>
      <c r="CA31" s="92"/>
      <c r="CB31" s="92"/>
      <c r="CC31" s="92"/>
      <c r="CD31" s="92"/>
      <c r="CE31" s="92"/>
      <c r="CF31" s="92"/>
      <c r="CG31" s="92"/>
      <c r="CH31" s="92"/>
      <c r="CI31" s="92"/>
      <c r="CJ31" s="92"/>
      <c r="CK31" s="92"/>
      <c r="CL31" s="92"/>
      <c r="CM31" s="92"/>
      <c r="CN31" s="92"/>
      <c r="CO31" s="92"/>
      <c r="CP31" s="92"/>
      <c r="CQ31" s="92"/>
      <c r="CR31" s="92"/>
      <c r="CS31" s="92"/>
      <c r="CT31" s="92"/>
      <c r="CU31" s="92"/>
      <c r="CV31" s="92"/>
      <c r="CW31" s="92"/>
      <c r="CX31" s="92"/>
      <c r="CY31" s="92"/>
      <c r="CZ31" s="92"/>
      <c r="DA31" s="92"/>
      <c r="DB31" s="92"/>
      <c r="DC31" s="92"/>
      <c r="DD31" s="92"/>
      <c r="DE31" s="92"/>
      <c r="DF31" s="92"/>
      <c r="DG31" s="92"/>
      <c r="DH31" s="92"/>
      <c r="DI31" s="92"/>
      <c r="DJ31" s="92"/>
      <c r="DK31" s="92"/>
      <c r="DL31" s="92"/>
      <c r="DM31" s="92"/>
      <c r="DN31" s="92"/>
      <c r="DO31" s="92"/>
      <c r="DP31" s="92"/>
      <c r="DQ31" s="92"/>
      <c r="DR31" s="92"/>
      <c r="DS31" s="92"/>
      <c r="DT31" s="92"/>
      <c r="DU31" s="92"/>
      <c r="DV31" s="92"/>
      <c r="DW31" s="92"/>
      <c r="DX31" s="92"/>
      <c r="DY31" s="92"/>
      <c r="DZ31" s="92"/>
      <c r="EA31" s="92"/>
      <c r="EB31" s="92"/>
      <c r="EC31" s="92"/>
      <c r="ED31" s="92"/>
      <c r="EE31" s="92"/>
      <c r="EF31" s="92"/>
      <c r="EG31" s="92"/>
      <c r="EH31" s="92"/>
      <c r="EI31" s="92"/>
      <c r="EJ31" s="92"/>
      <c r="EK31" s="92"/>
      <c r="EL31" s="92"/>
      <c r="EM31" s="92"/>
      <c r="EN31" s="92"/>
      <c r="EO31" s="92"/>
      <c r="EP31" s="92"/>
      <c r="EQ31" s="92"/>
      <c r="ER31" s="92"/>
      <c r="ES31" s="92"/>
      <c r="ET31" s="92"/>
      <c r="EU31" s="92"/>
      <c r="EV31" s="92"/>
      <c r="EW31" s="92"/>
      <c r="EX31" s="92"/>
      <c r="EY31" s="92"/>
      <c r="EZ31" s="92"/>
      <c r="FA31" s="92"/>
      <c r="FB31" s="92"/>
      <c r="FC31" s="92"/>
      <c r="FD31" s="92"/>
      <c r="FE31" s="92"/>
      <c r="FF31" s="92"/>
      <c r="FG31" s="92"/>
      <c r="FH31" s="92"/>
      <c r="FI31" s="92"/>
      <c r="FJ31" s="92"/>
      <c r="FK31" s="92"/>
      <c r="FL31" s="92"/>
      <c r="FM31" s="92"/>
      <c r="FN31" s="92"/>
      <c r="FO31" s="92"/>
      <c r="FP31" s="92"/>
      <c r="FQ31" s="92"/>
      <c r="FR31" s="92"/>
      <c r="FS31" s="92"/>
      <c r="FT31" s="92"/>
      <c r="FU31" s="92"/>
      <c r="FV31" s="92"/>
      <c r="FW31" s="92"/>
      <c r="FX31" s="92"/>
      <c r="FY31" s="92"/>
      <c r="FZ31" s="92"/>
      <c r="GA31" s="92"/>
      <c r="GB31" s="92"/>
      <c r="GC31" s="92"/>
      <c r="GD31" s="92"/>
      <c r="GE31" s="92"/>
      <c r="GF31" s="92"/>
      <c r="GG31" s="92"/>
      <c r="GH31" s="92"/>
      <c r="GI31" s="92"/>
      <c r="GJ31" s="92"/>
      <c r="GK31" s="92"/>
      <c r="GL31" s="92"/>
      <c r="GM31" s="92"/>
      <c r="GN31" s="92"/>
      <c r="GO31" s="92"/>
      <c r="GP31" s="92"/>
      <c r="GQ31" s="92"/>
      <c r="GR31" s="92"/>
      <c r="GS31" s="92"/>
      <c r="GT31" s="92"/>
      <c r="GU31" s="92"/>
      <c r="GV31" s="92"/>
      <c r="GW31" s="92"/>
      <c r="GX31" s="92"/>
      <c r="GY31" s="92"/>
      <c r="GZ31" s="92"/>
      <c r="HA31" s="92"/>
      <c r="HB31" s="92"/>
      <c r="HC31" s="92"/>
      <c r="HD31" s="92"/>
      <c r="HE31" s="92"/>
      <c r="HF31" s="92"/>
      <c r="HG31" s="92"/>
      <c r="HH31" s="92"/>
    </row>
    <row r="32" spans="1:216" ht="14.4" hidden="1">
      <c r="A32" s="96" t="s">
        <v>636</v>
      </c>
      <c r="B32" s="96">
        <v>10612625</v>
      </c>
      <c r="C32" s="96" t="s">
        <v>637</v>
      </c>
      <c r="D32" s="92"/>
    </row>
    <row r="33" spans="1:216" s="93" customFormat="1" ht="13.2" hidden="1" customHeight="1">
      <c r="A33" s="96" t="s">
        <v>398</v>
      </c>
      <c r="B33" s="101">
        <v>81612139</v>
      </c>
      <c r="C33" s="96" t="s">
        <v>287</v>
      </c>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92"/>
      <c r="BV33" s="92"/>
      <c r="BW33" s="92"/>
      <c r="BX33" s="92"/>
      <c r="BY33" s="92"/>
      <c r="BZ33" s="92"/>
      <c r="CA33" s="92"/>
      <c r="CB33" s="92"/>
      <c r="CC33" s="92"/>
      <c r="CD33" s="92"/>
      <c r="CE33" s="92"/>
      <c r="CF33" s="92"/>
      <c r="CG33" s="92"/>
      <c r="CH33" s="92"/>
      <c r="CI33" s="92"/>
      <c r="CJ33" s="92"/>
      <c r="CK33" s="92"/>
      <c r="CL33" s="92"/>
      <c r="CM33" s="92"/>
      <c r="CN33" s="92"/>
      <c r="CO33" s="92"/>
      <c r="CP33" s="92"/>
      <c r="CQ33" s="92"/>
      <c r="CR33" s="92"/>
      <c r="CS33" s="92"/>
      <c r="CT33" s="92"/>
      <c r="CU33" s="92"/>
      <c r="CV33" s="92"/>
      <c r="CW33" s="92"/>
      <c r="CX33" s="92"/>
      <c r="CY33" s="92"/>
      <c r="CZ33" s="92"/>
      <c r="DA33" s="92"/>
      <c r="DB33" s="92"/>
      <c r="DC33" s="92"/>
      <c r="DD33" s="92"/>
      <c r="DE33" s="92"/>
      <c r="DF33" s="92"/>
      <c r="DG33" s="92"/>
      <c r="DH33" s="92"/>
      <c r="DI33" s="92"/>
      <c r="DJ33" s="92"/>
      <c r="DK33" s="92"/>
      <c r="DL33" s="92"/>
      <c r="DM33" s="92"/>
      <c r="DN33" s="92"/>
      <c r="DO33" s="92"/>
      <c r="DP33" s="92"/>
      <c r="DQ33" s="92"/>
      <c r="DR33" s="92"/>
      <c r="DS33" s="92"/>
      <c r="DT33" s="92"/>
      <c r="DU33" s="92"/>
      <c r="DV33" s="92"/>
      <c r="DW33" s="92"/>
      <c r="DX33" s="92"/>
      <c r="DY33" s="92"/>
      <c r="DZ33" s="92"/>
      <c r="EA33" s="92"/>
      <c r="EB33" s="92"/>
      <c r="EC33" s="92"/>
      <c r="ED33" s="92"/>
      <c r="EE33" s="92"/>
      <c r="EF33" s="92"/>
      <c r="EG33" s="92"/>
      <c r="EH33" s="92"/>
      <c r="EI33" s="92"/>
      <c r="EJ33" s="92"/>
      <c r="EK33" s="92"/>
      <c r="EL33" s="92"/>
      <c r="EM33" s="92"/>
      <c r="EN33" s="92"/>
      <c r="EO33" s="92"/>
      <c r="EP33" s="92"/>
      <c r="EQ33" s="92"/>
      <c r="ER33" s="92"/>
      <c r="ES33" s="92"/>
      <c r="ET33" s="92"/>
      <c r="EU33" s="92"/>
      <c r="EV33" s="92"/>
      <c r="EW33" s="92"/>
      <c r="EX33" s="92"/>
      <c r="EY33" s="92"/>
      <c r="EZ33" s="92"/>
      <c r="FA33" s="92"/>
      <c r="FB33" s="92"/>
      <c r="FC33" s="92"/>
      <c r="FD33" s="92"/>
      <c r="FE33" s="92"/>
      <c r="FF33" s="92"/>
      <c r="FG33" s="92"/>
      <c r="FH33" s="92"/>
      <c r="FI33" s="92"/>
      <c r="FJ33" s="92"/>
      <c r="FK33" s="92"/>
      <c r="FL33" s="92"/>
      <c r="FM33" s="92"/>
      <c r="FN33" s="92"/>
      <c r="FO33" s="92"/>
      <c r="FP33" s="92"/>
      <c r="FQ33" s="92"/>
      <c r="FR33" s="92"/>
      <c r="FS33" s="92"/>
      <c r="FT33" s="92"/>
      <c r="FU33" s="92"/>
      <c r="FV33" s="92"/>
      <c r="FW33" s="92"/>
      <c r="FX33" s="92"/>
      <c r="FY33" s="92"/>
      <c r="FZ33" s="92"/>
      <c r="GA33" s="92"/>
      <c r="GB33" s="92"/>
      <c r="GC33" s="92"/>
      <c r="GD33" s="92"/>
      <c r="GE33" s="92"/>
      <c r="GF33" s="92"/>
      <c r="GG33" s="92"/>
      <c r="GH33" s="92"/>
      <c r="GI33" s="92"/>
      <c r="GJ33" s="92"/>
      <c r="GK33" s="92"/>
      <c r="GL33" s="92"/>
      <c r="GM33" s="92"/>
      <c r="GN33" s="92"/>
      <c r="GO33" s="92"/>
      <c r="GP33" s="92"/>
      <c r="GQ33" s="92"/>
      <c r="GR33" s="92"/>
      <c r="GS33" s="92"/>
      <c r="GT33" s="92"/>
      <c r="GU33" s="92"/>
      <c r="GV33" s="92"/>
      <c r="GW33" s="92"/>
      <c r="GX33" s="92"/>
      <c r="GY33" s="92"/>
      <c r="GZ33" s="92"/>
      <c r="HA33" s="92"/>
      <c r="HB33" s="92"/>
      <c r="HC33" s="92"/>
      <c r="HD33" s="92"/>
      <c r="HE33" s="92"/>
      <c r="HF33" s="92"/>
      <c r="HG33" s="92"/>
      <c r="HH33" s="92"/>
    </row>
    <row r="34" spans="1:216" ht="14.4" hidden="1">
      <c r="A34" s="96" t="s">
        <v>423</v>
      </c>
      <c r="B34" s="101">
        <v>141253376</v>
      </c>
      <c r="C34" s="96" t="s">
        <v>667</v>
      </c>
    </row>
    <row r="35" spans="1:216" ht="14.4" hidden="1">
      <c r="A35" s="96" t="s">
        <v>795</v>
      </c>
      <c r="B35" s="96" t="s">
        <v>796</v>
      </c>
      <c r="C35" s="96" t="s">
        <v>550</v>
      </c>
    </row>
    <row r="36" spans="1:216" ht="14.4" hidden="1">
      <c r="A36" s="96" t="s">
        <v>797</v>
      </c>
      <c r="B36" s="96">
        <v>141818413</v>
      </c>
      <c r="C36" s="96" t="s">
        <v>657</v>
      </c>
    </row>
    <row r="37" spans="1:216" ht="14.4" hidden="1">
      <c r="A37" s="96" t="s">
        <v>169</v>
      </c>
      <c r="B37" s="96">
        <v>115731078</v>
      </c>
      <c r="C37" s="96" t="s">
        <v>578</v>
      </c>
      <c r="D37" s="92"/>
    </row>
    <row r="38" spans="1:216" ht="14.4" hidden="1">
      <c r="A38" s="96" t="s">
        <v>798</v>
      </c>
      <c r="B38" s="96">
        <v>128954904</v>
      </c>
      <c r="C38" s="96" t="s">
        <v>799</v>
      </c>
    </row>
    <row r="39" spans="1:216" ht="10.95" hidden="1" customHeight="1">
      <c r="A39" s="97" t="s">
        <v>563</v>
      </c>
      <c r="B39" s="96" t="s">
        <v>800</v>
      </c>
      <c r="C39" s="99"/>
    </row>
    <row r="40" spans="1:216" s="93" customFormat="1" ht="13.2" hidden="1" customHeight="1">
      <c r="A40" s="96" t="s">
        <v>172</v>
      </c>
      <c r="B40" s="96">
        <v>140764355</v>
      </c>
      <c r="C40" s="96" t="s">
        <v>564</v>
      </c>
      <c r="D40" s="91"/>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c r="CA40" s="92"/>
      <c r="CB40" s="92"/>
      <c r="CC40" s="92"/>
      <c r="CD40" s="92"/>
      <c r="CE40" s="92"/>
      <c r="CF40" s="92"/>
      <c r="CG40" s="92"/>
      <c r="CH40" s="92"/>
      <c r="CI40" s="92"/>
      <c r="CJ40" s="92"/>
      <c r="CK40" s="92"/>
      <c r="CL40" s="92"/>
      <c r="CM40" s="92"/>
      <c r="CN40" s="92"/>
      <c r="CO40" s="92"/>
      <c r="CP40" s="92"/>
      <c r="CQ40" s="92"/>
      <c r="CR40" s="92"/>
      <c r="CS40" s="92"/>
      <c r="CT40" s="92"/>
      <c r="CU40" s="92"/>
      <c r="CV40" s="92"/>
      <c r="CW40" s="92"/>
      <c r="CX40" s="92"/>
      <c r="CY40" s="92"/>
      <c r="CZ40" s="92"/>
      <c r="DA40" s="92"/>
      <c r="DB40" s="92"/>
      <c r="DC40" s="92"/>
      <c r="DD40" s="92"/>
      <c r="DE40" s="92"/>
      <c r="DF40" s="92"/>
      <c r="DG40" s="92"/>
      <c r="DH40" s="92"/>
      <c r="DI40" s="92"/>
      <c r="DJ40" s="92"/>
      <c r="DK40" s="92"/>
      <c r="DL40" s="92"/>
      <c r="DM40" s="92"/>
      <c r="DN40" s="92"/>
      <c r="DO40" s="92"/>
      <c r="DP40" s="92"/>
      <c r="DQ40" s="92"/>
      <c r="DR40" s="92"/>
      <c r="DS40" s="92"/>
      <c r="DT40" s="92"/>
      <c r="DU40" s="92"/>
      <c r="DV40" s="92"/>
      <c r="DW40" s="92"/>
      <c r="DX40" s="92"/>
      <c r="DY40" s="92"/>
      <c r="DZ40" s="92"/>
      <c r="EA40" s="92"/>
      <c r="EB40" s="92"/>
      <c r="EC40" s="92"/>
      <c r="ED40" s="92"/>
      <c r="EE40" s="92"/>
      <c r="EF40" s="92"/>
      <c r="EG40" s="92"/>
      <c r="EH40" s="92"/>
      <c r="EI40" s="92"/>
      <c r="EJ40" s="92"/>
      <c r="EK40" s="92"/>
      <c r="EL40" s="92"/>
      <c r="EM40" s="92"/>
      <c r="EN40" s="92"/>
      <c r="EO40" s="92"/>
      <c r="EP40" s="92"/>
      <c r="EQ40" s="92"/>
      <c r="ER40" s="92"/>
      <c r="ES40" s="92"/>
      <c r="ET40" s="92"/>
      <c r="EU40" s="92"/>
      <c r="EV40" s="92"/>
      <c r="EW40" s="92"/>
      <c r="EX40" s="92"/>
      <c r="EY40" s="92"/>
      <c r="EZ40" s="92"/>
      <c r="FA40" s="92"/>
      <c r="FB40" s="92"/>
      <c r="FC40" s="92"/>
      <c r="FD40" s="92"/>
      <c r="FE40" s="92"/>
      <c r="FF40" s="92"/>
      <c r="FG40" s="92"/>
      <c r="FH40" s="92"/>
      <c r="FI40" s="92"/>
      <c r="FJ40" s="92"/>
      <c r="FK40" s="92"/>
      <c r="FL40" s="92"/>
      <c r="FM40" s="92"/>
      <c r="FN40" s="92"/>
      <c r="FO40" s="92"/>
      <c r="FP40" s="92"/>
      <c r="FQ40" s="92"/>
      <c r="FR40" s="92"/>
      <c r="FS40" s="92"/>
      <c r="FT40" s="92"/>
      <c r="FU40" s="92"/>
      <c r="FV40" s="92"/>
      <c r="FW40" s="92"/>
      <c r="FX40" s="92"/>
      <c r="FY40" s="92"/>
      <c r="FZ40" s="92"/>
      <c r="GA40" s="92"/>
      <c r="GB40" s="92"/>
      <c r="GC40" s="92"/>
      <c r="GD40" s="92"/>
      <c r="GE40" s="92"/>
      <c r="GF40" s="92"/>
      <c r="GG40" s="92"/>
      <c r="GH40" s="92"/>
      <c r="GI40" s="92"/>
      <c r="GJ40" s="92"/>
      <c r="GK40" s="92"/>
      <c r="GL40" s="92"/>
      <c r="GM40" s="92"/>
      <c r="GN40" s="92"/>
      <c r="GO40" s="92"/>
      <c r="GP40" s="92"/>
      <c r="GQ40" s="92"/>
      <c r="GR40" s="92"/>
      <c r="GS40" s="92"/>
      <c r="GT40" s="92"/>
      <c r="GU40" s="92"/>
      <c r="GV40" s="92"/>
      <c r="GW40" s="92"/>
      <c r="GX40" s="92"/>
      <c r="GY40" s="92"/>
      <c r="GZ40" s="92"/>
      <c r="HA40" s="92"/>
      <c r="HB40" s="92"/>
      <c r="HC40" s="92"/>
      <c r="HD40" s="92"/>
      <c r="HE40" s="92"/>
      <c r="HF40" s="92"/>
      <c r="HG40" s="92"/>
      <c r="HH40" s="92"/>
    </row>
    <row r="41" spans="1:216" s="93" customFormat="1" ht="13.2" hidden="1" customHeight="1">
      <c r="A41" s="96" t="s">
        <v>801</v>
      </c>
      <c r="B41" s="96">
        <v>85213329</v>
      </c>
      <c r="C41" s="96" t="s">
        <v>571</v>
      </c>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c r="CA41" s="92"/>
      <c r="CB41" s="92"/>
      <c r="CC41" s="92"/>
      <c r="CD41" s="92"/>
      <c r="CE41" s="92"/>
      <c r="CF41" s="92"/>
      <c r="CG41" s="92"/>
      <c r="CH41" s="92"/>
      <c r="CI41" s="92"/>
      <c r="CJ41" s="92"/>
      <c r="CK41" s="92"/>
      <c r="CL41" s="92"/>
      <c r="CM41" s="92"/>
      <c r="CN41" s="92"/>
      <c r="CO41" s="92"/>
      <c r="CP41" s="92"/>
      <c r="CQ41" s="92"/>
      <c r="CR41" s="92"/>
      <c r="CS41" s="92"/>
      <c r="CT41" s="92"/>
      <c r="CU41" s="92"/>
      <c r="CV41" s="92"/>
      <c r="CW41" s="92"/>
      <c r="CX41" s="92"/>
      <c r="CY41" s="92"/>
      <c r="CZ41" s="92"/>
      <c r="DA41" s="92"/>
      <c r="DB41" s="92"/>
      <c r="DC41" s="92"/>
      <c r="DD41" s="92"/>
      <c r="DE41" s="92"/>
      <c r="DF41" s="92"/>
      <c r="DG41" s="92"/>
      <c r="DH41" s="92"/>
      <c r="DI41" s="92"/>
      <c r="DJ41" s="92"/>
      <c r="DK41" s="92"/>
      <c r="DL41" s="92"/>
      <c r="DM41" s="92"/>
      <c r="DN41" s="92"/>
      <c r="DO41" s="92"/>
      <c r="DP41" s="92"/>
      <c r="DQ41" s="92"/>
      <c r="DR41" s="92"/>
      <c r="DS41" s="92"/>
      <c r="DT41" s="92"/>
      <c r="DU41" s="92"/>
      <c r="DV41" s="92"/>
      <c r="DW41" s="92"/>
      <c r="DX41" s="92"/>
      <c r="DY41" s="92"/>
      <c r="DZ41" s="92"/>
      <c r="EA41" s="92"/>
      <c r="EB41" s="92"/>
      <c r="EC41" s="92"/>
      <c r="ED41" s="92"/>
      <c r="EE41" s="92"/>
      <c r="EF41" s="92"/>
      <c r="EG41" s="92"/>
      <c r="EH41" s="92"/>
      <c r="EI41" s="92"/>
      <c r="EJ41" s="92"/>
      <c r="EK41" s="92"/>
      <c r="EL41" s="92"/>
      <c r="EM41" s="92"/>
      <c r="EN41" s="92"/>
      <c r="EO41" s="92"/>
      <c r="EP41" s="92"/>
      <c r="EQ41" s="92"/>
      <c r="ER41" s="92"/>
      <c r="ES41" s="92"/>
      <c r="ET41" s="92"/>
      <c r="EU41" s="92"/>
      <c r="EV41" s="92"/>
      <c r="EW41" s="92"/>
      <c r="EX41" s="92"/>
      <c r="EY41" s="92"/>
      <c r="EZ41" s="92"/>
      <c r="FA41" s="92"/>
      <c r="FB41" s="92"/>
      <c r="FC41" s="92"/>
      <c r="FD41" s="92"/>
      <c r="FE41" s="92"/>
      <c r="FF41" s="92"/>
      <c r="FG41" s="92"/>
      <c r="FH41" s="92"/>
      <c r="FI41" s="92"/>
      <c r="FJ41" s="92"/>
      <c r="FK41" s="92"/>
      <c r="FL41" s="92"/>
      <c r="FM41" s="92"/>
      <c r="FN41" s="92"/>
      <c r="FO41" s="92"/>
      <c r="FP41" s="92"/>
      <c r="FQ41" s="92"/>
      <c r="FR41" s="92"/>
      <c r="FS41" s="92"/>
      <c r="FT41" s="92"/>
      <c r="FU41" s="92"/>
      <c r="FV41" s="92"/>
      <c r="FW41" s="92"/>
      <c r="FX41" s="92"/>
      <c r="FY41" s="92"/>
      <c r="FZ41" s="92"/>
      <c r="GA41" s="92"/>
      <c r="GB41" s="92"/>
      <c r="GC41" s="92"/>
      <c r="GD41" s="92"/>
      <c r="GE41" s="92"/>
      <c r="GF41" s="92"/>
      <c r="GG41" s="92"/>
      <c r="GH41" s="92"/>
      <c r="GI41" s="92"/>
      <c r="GJ41" s="92"/>
      <c r="GK41" s="92"/>
      <c r="GL41" s="92"/>
      <c r="GM41" s="92"/>
      <c r="GN41" s="92"/>
      <c r="GO41" s="92"/>
      <c r="GP41" s="92"/>
      <c r="GQ41" s="92"/>
      <c r="GR41" s="92"/>
      <c r="GS41" s="92"/>
      <c r="GT41" s="92"/>
      <c r="GU41" s="92"/>
      <c r="GV41" s="92"/>
      <c r="GW41" s="92"/>
      <c r="GX41" s="92"/>
      <c r="GY41" s="92"/>
      <c r="GZ41" s="92"/>
      <c r="HA41" s="92"/>
      <c r="HB41" s="92"/>
      <c r="HC41" s="92"/>
      <c r="HD41" s="92"/>
      <c r="HE41" s="92"/>
      <c r="HF41" s="92"/>
      <c r="HG41" s="92"/>
      <c r="HH41" s="92"/>
    </row>
    <row r="42" spans="1:216" s="93" customFormat="1" ht="13.2" hidden="1" customHeight="1">
      <c r="A42" s="96" t="s">
        <v>76</v>
      </c>
      <c r="B42" s="96">
        <v>127859069</v>
      </c>
      <c r="C42" s="96" t="s">
        <v>621</v>
      </c>
      <c r="D42" s="91"/>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c r="CD42" s="92"/>
      <c r="CE42" s="92"/>
      <c r="CF42" s="92"/>
      <c r="CG42" s="92"/>
      <c r="CH42" s="92"/>
      <c r="CI42" s="92"/>
      <c r="CJ42" s="92"/>
      <c r="CK42" s="92"/>
      <c r="CL42" s="92"/>
      <c r="CM42" s="92"/>
      <c r="CN42" s="92"/>
      <c r="CO42" s="92"/>
      <c r="CP42" s="92"/>
      <c r="CQ42" s="92"/>
      <c r="CR42" s="92"/>
      <c r="CS42" s="92"/>
      <c r="CT42" s="92"/>
      <c r="CU42" s="92"/>
      <c r="CV42" s="92"/>
      <c r="CW42" s="92"/>
      <c r="CX42" s="92"/>
      <c r="CY42" s="92"/>
      <c r="CZ42" s="92"/>
      <c r="DA42" s="92"/>
      <c r="DB42" s="92"/>
      <c r="DC42" s="92"/>
      <c r="DD42" s="92"/>
      <c r="DE42" s="92"/>
      <c r="DF42" s="92"/>
      <c r="DG42" s="92"/>
      <c r="DH42" s="92"/>
      <c r="DI42" s="92"/>
      <c r="DJ42" s="92"/>
      <c r="DK42" s="92"/>
      <c r="DL42" s="92"/>
      <c r="DM42" s="92"/>
      <c r="DN42" s="92"/>
      <c r="DO42" s="92"/>
      <c r="DP42" s="92"/>
      <c r="DQ42" s="92"/>
      <c r="DR42" s="92"/>
      <c r="DS42" s="92"/>
      <c r="DT42" s="92"/>
      <c r="DU42" s="92"/>
      <c r="DV42" s="92"/>
      <c r="DW42" s="92"/>
      <c r="DX42" s="92"/>
      <c r="DY42" s="92"/>
      <c r="DZ42" s="92"/>
      <c r="EA42" s="92"/>
      <c r="EB42" s="92"/>
      <c r="EC42" s="92"/>
      <c r="ED42" s="92"/>
      <c r="EE42" s="92"/>
      <c r="EF42" s="92"/>
      <c r="EG42" s="92"/>
      <c r="EH42" s="92"/>
      <c r="EI42" s="92"/>
      <c r="EJ42" s="92"/>
      <c r="EK42" s="92"/>
      <c r="EL42" s="92"/>
      <c r="EM42" s="92"/>
      <c r="EN42" s="92"/>
      <c r="EO42" s="92"/>
      <c r="EP42" s="92"/>
      <c r="EQ42" s="92"/>
      <c r="ER42" s="92"/>
      <c r="ES42" s="92"/>
      <c r="ET42" s="92"/>
      <c r="EU42" s="92"/>
      <c r="EV42" s="92"/>
      <c r="EW42" s="92"/>
      <c r="EX42" s="92"/>
      <c r="EY42" s="92"/>
      <c r="EZ42" s="92"/>
      <c r="FA42" s="92"/>
      <c r="FB42" s="92"/>
      <c r="FC42" s="92"/>
      <c r="FD42" s="92"/>
      <c r="FE42" s="92"/>
      <c r="FF42" s="92"/>
      <c r="FG42" s="92"/>
      <c r="FH42" s="92"/>
      <c r="FI42" s="92"/>
      <c r="FJ42" s="92"/>
      <c r="FK42" s="92"/>
      <c r="FL42" s="92"/>
      <c r="FM42" s="92"/>
      <c r="FN42" s="92"/>
      <c r="FO42" s="92"/>
      <c r="FP42" s="92"/>
      <c r="FQ42" s="92"/>
      <c r="FR42" s="92"/>
      <c r="FS42" s="92"/>
      <c r="FT42" s="92"/>
      <c r="FU42" s="92"/>
      <c r="FV42" s="92"/>
      <c r="FW42" s="92"/>
      <c r="FX42" s="92"/>
      <c r="FY42" s="92"/>
      <c r="FZ42" s="92"/>
      <c r="GA42" s="92"/>
      <c r="GB42" s="92"/>
      <c r="GC42" s="92"/>
      <c r="GD42" s="92"/>
      <c r="GE42" s="92"/>
      <c r="GF42" s="92"/>
      <c r="GG42" s="92"/>
      <c r="GH42" s="92"/>
      <c r="GI42" s="92"/>
      <c r="GJ42" s="92"/>
      <c r="GK42" s="92"/>
      <c r="GL42" s="92"/>
      <c r="GM42" s="92"/>
      <c r="GN42" s="92"/>
      <c r="GO42" s="92"/>
      <c r="GP42" s="92"/>
      <c r="GQ42" s="92"/>
      <c r="GR42" s="92"/>
      <c r="GS42" s="92"/>
      <c r="GT42" s="92"/>
      <c r="GU42" s="92"/>
      <c r="GV42" s="92"/>
      <c r="GW42" s="92"/>
      <c r="GX42" s="92"/>
      <c r="GY42" s="92"/>
      <c r="GZ42" s="92"/>
      <c r="HA42" s="92"/>
      <c r="HB42" s="92"/>
      <c r="HC42" s="92"/>
      <c r="HD42" s="92"/>
      <c r="HE42" s="92"/>
      <c r="HF42" s="92"/>
      <c r="HG42" s="92"/>
      <c r="HH42" s="92"/>
    </row>
    <row r="43" spans="1:216" s="93" customFormat="1" ht="13.2" hidden="1" customHeight="1">
      <c r="A43" s="97" t="s">
        <v>565</v>
      </c>
      <c r="B43" s="96">
        <v>118833981</v>
      </c>
      <c r="C43" s="96" t="s">
        <v>566</v>
      </c>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92"/>
      <c r="CG43" s="92"/>
      <c r="CH43" s="92"/>
      <c r="CI43" s="92"/>
      <c r="CJ43" s="92"/>
      <c r="CK43" s="92"/>
      <c r="CL43" s="92"/>
      <c r="CM43" s="92"/>
      <c r="CN43" s="92"/>
      <c r="CO43" s="92"/>
      <c r="CP43" s="92"/>
      <c r="CQ43" s="92"/>
      <c r="CR43" s="92"/>
      <c r="CS43" s="92"/>
      <c r="CT43" s="92"/>
      <c r="CU43" s="92"/>
      <c r="CV43" s="92"/>
      <c r="CW43" s="92"/>
      <c r="CX43" s="92"/>
      <c r="CY43" s="92"/>
      <c r="CZ43" s="92"/>
      <c r="DA43" s="92"/>
      <c r="DB43" s="92"/>
      <c r="DC43" s="92"/>
      <c r="DD43" s="92"/>
      <c r="DE43" s="92"/>
      <c r="DF43" s="92"/>
      <c r="DG43" s="92"/>
      <c r="DH43" s="92"/>
      <c r="DI43" s="92"/>
      <c r="DJ43" s="92"/>
      <c r="DK43" s="92"/>
      <c r="DL43" s="92"/>
      <c r="DM43" s="92"/>
      <c r="DN43" s="92"/>
      <c r="DO43" s="92"/>
      <c r="DP43" s="92"/>
      <c r="DQ43" s="92"/>
      <c r="DR43" s="92"/>
      <c r="DS43" s="92"/>
      <c r="DT43" s="92"/>
      <c r="DU43" s="92"/>
      <c r="DV43" s="92"/>
      <c r="DW43" s="92"/>
      <c r="DX43" s="92"/>
      <c r="DY43" s="92"/>
      <c r="DZ43" s="92"/>
      <c r="EA43" s="92"/>
      <c r="EB43" s="92"/>
      <c r="EC43" s="92"/>
      <c r="ED43" s="92"/>
      <c r="EE43" s="92"/>
      <c r="EF43" s="92"/>
      <c r="EG43" s="92"/>
      <c r="EH43" s="92"/>
      <c r="EI43" s="92"/>
      <c r="EJ43" s="92"/>
      <c r="EK43" s="92"/>
      <c r="EL43" s="92"/>
      <c r="EM43" s="92"/>
      <c r="EN43" s="92"/>
      <c r="EO43" s="92"/>
      <c r="EP43" s="92"/>
      <c r="EQ43" s="92"/>
      <c r="ER43" s="92"/>
      <c r="ES43" s="92"/>
      <c r="ET43" s="92"/>
      <c r="EU43" s="92"/>
      <c r="EV43" s="92"/>
      <c r="EW43" s="92"/>
      <c r="EX43" s="92"/>
      <c r="EY43" s="92"/>
      <c r="EZ43" s="92"/>
      <c r="FA43" s="92"/>
      <c r="FB43" s="92"/>
      <c r="FC43" s="92"/>
      <c r="FD43" s="92"/>
      <c r="FE43" s="92"/>
      <c r="FF43" s="92"/>
      <c r="FG43" s="92"/>
      <c r="FH43" s="92"/>
      <c r="FI43" s="92"/>
      <c r="FJ43" s="92"/>
      <c r="FK43" s="92"/>
      <c r="FL43" s="92"/>
      <c r="FM43" s="92"/>
      <c r="FN43" s="92"/>
      <c r="FO43" s="92"/>
      <c r="FP43" s="92"/>
      <c r="FQ43" s="92"/>
      <c r="FR43" s="92"/>
      <c r="FS43" s="92"/>
      <c r="FT43" s="92"/>
      <c r="FU43" s="92"/>
      <c r="FV43" s="92"/>
      <c r="FW43" s="92"/>
      <c r="FX43" s="92"/>
      <c r="FY43" s="92"/>
      <c r="FZ43" s="92"/>
      <c r="GA43" s="92"/>
      <c r="GB43" s="92"/>
      <c r="GC43" s="92"/>
      <c r="GD43" s="92"/>
      <c r="GE43" s="92"/>
      <c r="GF43" s="92"/>
      <c r="GG43" s="92"/>
      <c r="GH43" s="92"/>
      <c r="GI43" s="92"/>
      <c r="GJ43" s="92"/>
      <c r="GK43" s="92"/>
      <c r="GL43" s="92"/>
      <c r="GM43" s="92"/>
      <c r="GN43" s="92"/>
      <c r="GO43" s="92"/>
      <c r="GP43" s="92"/>
      <c r="GQ43" s="92"/>
      <c r="GR43" s="92"/>
      <c r="GS43" s="92"/>
      <c r="GT43" s="92"/>
      <c r="GU43" s="92"/>
      <c r="GV43" s="92"/>
      <c r="GW43" s="92"/>
      <c r="GX43" s="92"/>
      <c r="GY43" s="92"/>
      <c r="GZ43" s="92"/>
      <c r="HA43" s="92"/>
      <c r="HB43" s="92"/>
      <c r="HC43" s="92"/>
      <c r="HD43" s="92"/>
      <c r="HE43" s="92"/>
      <c r="HF43" s="92"/>
      <c r="HG43" s="92"/>
      <c r="HH43" s="92"/>
    </row>
    <row r="44" spans="1:216" s="93" customFormat="1" ht="13.2" hidden="1" customHeight="1">
      <c r="A44" s="96" t="s">
        <v>802</v>
      </c>
      <c r="B44" s="96">
        <v>125199977</v>
      </c>
      <c r="C44" s="96" t="s">
        <v>571</v>
      </c>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c r="CD44" s="92"/>
      <c r="CE44" s="92"/>
      <c r="CF44" s="92"/>
      <c r="CG44" s="92"/>
      <c r="CH44" s="92"/>
      <c r="CI44" s="92"/>
      <c r="CJ44" s="92"/>
      <c r="CK44" s="92"/>
      <c r="CL44" s="92"/>
      <c r="CM44" s="92"/>
      <c r="CN44" s="92"/>
      <c r="CO44" s="92"/>
      <c r="CP44" s="92"/>
      <c r="CQ44" s="92"/>
      <c r="CR44" s="92"/>
      <c r="CS44" s="92"/>
      <c r="CT44" s="92"/>
      <c r="CU44" s="92"/>
      <c r="CV44" s="92"/>
      <c r="CW44" s="92"/>
      <c r="CX44" s="92"/>
      <c r="CY44" s="92"/>
      <c r="CZ44" s="92"/>
      <c r="DA44" s="92"/>
      <c r="DB44" s="92"/>
      <c r="DC44" s="92"/>
      <c r="DD44" s="92"/>
      <c r="DE44" s="92"/>
      <c r="DF44" s="92"/>
      <c r="DG44" s="92"/>
      <c r="DH44" s="92"/>
      <c r="DI44" s="92"/>
      <c r="DJ44" s="92"/>
      <c r="DK44" s="92"/>
      <c r="DL44" s="92"/>
      <c r="DM44" s="92"/>
      <c r="DN44" s="92"/>
      <c r="DO44" s="92"/>
      <c r="DP44" s="92"/>
      <c r="DQ44" s="92"/>
      <c r="DR44" s="92"/>
      <c r="DS44" s="92"/>
      <c r="DT44" s="92"/>
      <c r="DU44" s="92"/>
      <c r="DV44" s="92"/>
      <c r="DW44" s="92"/>
      <c r="DX44" s="92"/>
      <c r="DY44" s="92"/>
      <c r="DZ44" s="92"/>
      <c r="EA44" s="92"/>
      <c r="EB44" s="92"/>
      <c r="EC44" s="92"/>
      <c r="ED44" s="92"/>
      <c r="EE44" s="92"/>
      <c r="EF44" s="92"/>
      <c r="EG44" s="92"/>
      <c r="EH44" s="92"/>
      <c r="EI44" s="92"/>
      <c r="EJ44" s="92"/>
      <c r="EK44" s="92"/>
      <c r="EL44" s="92"/>
      <c r="EM44" s="92"/>
      <c r="EN44" s="92"/>
      <c r="EO44" s="92"/>
      <c r="EP44" s="92"/>
      <c r="EQ44" s="92"/>
      <c r="ER44" s="92"/>
      <c r="ES44" s="92"/>
      <c r="ET44" s="92"/>
      <c r="EU44" s="92"/>
      <c r="EV44" s="92"/>
      <c r="EW44" s="92"/>
      <c r="EX44" s="92"/>
      <c r="EY44" s="92"/>
      <c r="EZ44" s="92"/>
      <c r="FA44" s="92"/>
      <c r="FB44" s="92"/>
      <c r="FC44" s="92"/>
      <c r="FD44" s="92"/>
      <c r="FE44" s="92"/>
      <c r="FF44" s="92"/>
      <c r="FG44" s="92"/>
      <c r="FH44" s="92"/>
      <c r="FI44" s="92"/>
      <c r="FJ44" s="92"/>
      <c r="FK44" s="92"/>
      <c r="FL44" s="92"/>
      <c r="FM44" s="92"/>
      <c r="FN44" s="92"/>
      <c r="FO44" s="92"/>
      <c r="FP44" s="92"/>
      <c r="FQ44" s="92"/>
      <c r="FR44" s="92"/>
      <c r="FS44" s="92"/>
      <c r="FT44" s="92"/>
      <c r="FU44" s="92"/>
      <c r="FV44" s="92"/>
      <c r="FW44" s="92"/>
      <c r="FX44" s="92"/>
      <c r="FY44" s="92"/>
      <c r="FZ44" s="92"/>
      <c r="GA44" s="92"/>
      <c r="GB44" s="92"/>
      <c r="GC44" s="92"/>
      <c r="GD44" s="92"/>
      <c r="GE44" s="92"/>
      <c r="GF44" s="92"/>
      <c r="GG44" s="92"/>
      <c r="GH44" s="92"/>
      <c r="GI44" s="92"/>
      <c r="GJ44" s="92"/>
      <c r="GK44" s="92"/>
      <c r="GL44" s="92"/>
      <c r="GM44" s="92"/>
      <c r="GN44" s="92"/>
      <c r="GO44" s="92"/>
      <c r="GP44" s="92"/>
      <c r="GQ44" s="92"/>
      <c r="GR44" s="92"/>
      <c r="GS44" s="92"/>
      <c r="GT44" s="92"/>
      <c r="GU44" s="92"/>
      <c r="GV44" s="92"/>
      <c r="GW44" s="92"/>
      <c r="GX44" s="92"/>
      <c r="GY44" s="92"/>
      <c r="GZ44" s="92"/>
      <c r="HA44" s="92"/>
      <c r="HB44" s="92"/>
      <c r="HC44" s="92"/>
      <c r="HD44" s="92"/>
      <c r="HE44" s="92"/>
      <c r="HF44" s="92"/>
      <c r="HG44" s="92"/>
      <c r="HH44" s="92"/>
    </row>
    <row r="45" spans="1:216" s="93" customFormat="1" ht="15" customHeight="1">
      <c r="A45" s="142" t="s">
        <v>382</v>
      </c>
      <c r="B45" s="139">
        <v>127414586</v>
      </c>
      <c r="C45" s="139" t="s">
        <v>576</v>
      </c>
      <c r="D45" s="91"/>
      <c r="E45" s="92"/>
      <c r="F45" s="92"/>
      <c r="G45" s="92" t="e">
        <f>_xlfn.XLOOKUP(A103,#REF!,#REF!)</f>
        <v>#REF!</v>
      </c>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92"/>
      <c r="CE45" s="92"/>
      <c r="CF45" s="92"/>
      <c r="CG45" s="92"/>
      <c r="CH45" s="92"/>
      <c r="CI45" s="92"/>
      <c r="CJ45" s="92"/>
      <c r="CK45" s="92"/>
      <c r="CL45" s="92"/>
      <c r="CM45" s="92"/>
      <c r="CN45" s="92"/>
      <c r="CO45" s="92"/>
      <c r="CP45" s="92"/>
      <c r="CQ45" s="92"/>
      <c r="CR45" s="92"/>
      <c r="CS45" s="92"/>
      <c r="CT45" s="92"/>
      <c r="CU45" s="92"/>
      <c r="CV45" s="92"/>
      <c r="CW45" s="92"/>
      <c r="CX45" s="92"/>
      <c r="CY45" s="92"/>
      <c r="CZ45" s="92"/>
      <c r="DA45" s="92"/>
      <c r="DB45" s="92"/>
      <c r="DC45" s="92"/>
      <c r="DD45" s="92"/>
      <c r="DE45" s="92"/>
      <c r="DF45" s="92"/>
      <c r="DG45" s="92"/>
      <c r="DH45" s="92"/>
      <c r="DI45" s="92"/>
      <c r="DJ45" s="92"/>
      <c r="DK45" s="92"/>
      <c r="DL45" s="92"/>
      <c r="DM45" s="92"/>
      <c r="DN45" s="92"/>
      <c r="DO45" s="92"/>
      <c r="DP45" s="92"/>
      <c r="DQ45" s="92"/>
      <c r="DR45" s="92"/>
      <c r="DS45" s="92"/>
      <c r="DT45" s="92"/>
      <c r="DU45" s="92"/>
      <c r="DV45" s="92"/>
      <c r="DW45" s="92"/>
      <c r="DX45" s="92"/>
      <c r="DY45" s="92"/>
      <c r="DZ45" s="92"/>
      <c r="EA45" s="92"/>
      <c r="EB45" s="92"/>
      <c r="EC45" s="92"/>
      <c r="ED45" s="92"/>
      <c r="EE45" s="92"/>
      <c r="EF45" s="92"/>
      <c r="EG45" s="92"/>
      <c r="EH45" s="92"/>
      <c r="EI45" s="92"/>
      <c r="EJ45" s="92"/>
      <c r="EK45" s="92"/>
      <c r="EL45" s="92"/>
      <c r="EM45" s="92"/>
      <c r="EN45" s="92"/>
      <c r="EO45" s="92"/>
      <c r="EP45" s="92"/>
      <c r="EQ45" s="92"/>
      <c r="ER45" s="92"/>
      <c r="ES45" s="92"/>
      <c r="ET45" s="92"/>
      <c r="EU45" s="92"/>
      <c r="EV45" s="92"/>
      <c r="EW45" s="92"/>
      <c r="EX45" s="92"/>
      <c r="EY45" s="92"/>
      <c r="EZ45" s="92"/>
      <c r="FA45" s="92"/>
      <c r="FB45" s="92"/>
      <c r="FC45" s="92"/>
      <c r="FD45" s="92"/>
      <c r="FE45" s="92"/>
      <c r="FF45" s="92"/>
      <c r="FG45" s="92"/>
      <c r="FH45" s="92"/>
      <c r="FI45" s="92"/>
      <c r="FJ45" s="92"/>
      <c r="FK45" s="92"/>
      <c r="FL45" s="92"/>
      <c r="FM45" s="92"/>
      <c r="FN45" s="92"/>
      <c r="FO45" s="92"/>
      <c r="FP45" s="92"/>
      <c r="FQ45" s="92"/>
      <c r="FR45" s="92"/>
      <c r="FS45" s="92"/>
      <c r="FT45" s="92"/>
      <c r="FU45" s="92"/>
      <c r="FV45" s="92"/>
      <c r="FW45" s="92"/>
      <c r="FX45" s="92"/>
      <c r="FY45" s="92"/>
      <c r="FZ45" s="92"/>
      <c r="GA45" s="92"/>
      <c r="GB45" s="92"/>
      <c r="GC45" s="92"/>
      <c r="GD45" s="92"/>
      <c r="GE45" s="92"/>
      <c r="GF45" s="92"/>
      <c r="GG45" s="92"/>
      <c r="GH45" s="92"/>
      <c r="GI45" s="92"/>
      <c r="GJ45" s="92"/>
      <c r="GK45" s="92"/>
      <c r="GL45" s="92"/>
      <c r="GM45" s="92"/>
      <c r="GN45" s="92"/>
      <c r="GO45" s="92"/>
      <c r="GP45" s="92"/>
      <c r="GQ45" s="92"/>
      <c r="GR45" s="92"/>
      <c r="GS45" s="92"/>
      <c r="GT45" s="92"/>
      <c r="GU45" s="92"/>
      <c r="GV45" s="92"/>
      <c r="GW45" s="92"/>
      <c r="GX45" s="92"/>
      <c r="GY45" s="92"/>
      <c r="GZ45" s="92"/>
      <c r="HA45" s="92"/>
      <c r="HB45" s="92"/>
      <c r="HC45" s="92"/>
      <c r="HD45" s="92"/>
      <c r="HE45" s="92"/>
      <c r="HF45" s="92"/>
      <c r="HG45" s="92"/>
      <c r="HH45" s="92"/>
    </row>
    <row r="46" spans="1:216" ht="14.4" hidden="1">
      <c r="A46" s="97" t="s">
        <v>27</v>
      </c>
      <c r="B46" s="96">
        <v>127414586</v>
      </c>
      <c r="C46" s="96" t="s">
        <v>576</v>
      </c>
    </row>
    <row r="47" spans="1:216" ht="14.4" hidden="1">
      <c r="A47" s="96" t="s">
        <v>29</v>
      </c>
      <c r="B47" s="96">
        <v>127331574</v>
      </c>
      <c r="C47" s="96" t="s">
        <v>597</v>
      </c>
    </row>
    <row r="48" spans="1:216" s="93" customFormat="1" ht="13.2" hidden="1" customHeight="1">
      <c r="A48" s="100" t="s">
        <v>417</v>
      </c>
      <c r="B48" s="96" t="s">
        <v>803</v>
      </c>
      <c r="C48" s="99"/>
      <c r="D48" s="91"/>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c r="CA48" s="92"/>
      <c r="CB48" s="92"/>
      <c r="CC48" s="92"/>
      <c r="CD48" s="92"/>
      <c r="CE48" s="92"/>
      <c r="CF48" s="92"/>
      <c r="CG48" s="92"/>
      <c r="CH48" s="92"/>
      <c r="CI48" s="92"/>
      <c r="CJ48" s="92"/>
      <c r="CK48" s="92"/>
      <c r="CL48" s="92"/>
      <c r="CM48" s="92"/>
      <c r="CN48" s="92"/>
      <c r="CO48" s="92"/>
      <c r="CP48" s="92"/>
      <c r="CQ48" s="92"/>
      <c r="CR48" s="92"/>
      <c r="CS48" s="92"/>
      <c r="CT48" s="92"/>
      <c r="CU48" s="92"/>
      <c r="CV48" s="92"/>
      <c r="CW48" s="92"/>
      <c r="CX48" s="92"/>
      <c r="CY48" s="92"/>
      <c r="CZ48" s="92"/>
      <c r="DA48" s="92"/>
      <c r="DB48" s="92"/>
      <c r="DC48" s="92"/>
      <c r="DD48" s="92"/>
      <c r="DE48" s="92"/>
      <c r="DF48" s="92"/>
      <c r="DG48" s="92"/>
      <c r="DH48" s="92"/>
      <c r="DI48" s="92"/>
      <c r="DJ48" s="92"/>
      <c r="DK48" s="92"/>
      <c r="DL48" s="92"/>
      <c r="DM48" s="92"/>
      <c r="DN48" s="92"/>
      <c r="DO48" s="92"/>
      <c r="DP48" s="92"/>
      <c r="DQ48" s="92"/>
      <c r="DR48" s="92"/>
      <c r="DS48" s="92"/>
      <c r="DT48" s="92"/>
      <c r="DU48" s="92"/>
      <c r="DV48" s="92"/>
      <c r="DW48" s="92"/>
      <c r="DX48" s="92"/>
      <c r="DY48" s="92"/>
      <c r="DZ48" s="92"/>
      <c r="EA48" s="92"/>
      <c r="EB48" s="92"/>
      <c r="EC48" s="92"/>
      <c r="ED48" s="92"/>
      <c r="EE48" s="92"/>
      <c r="EF48" s="92"/>
      <c r="EG48" s="92"/>
      <c r="EH48" s="92"/>
      <c r="EI48" s="92"/>
      <c r="EJ48" s="92"/>
      <c r="EK48" s="92"/>
      <c r="EL48" s="92"/>
      <c r="EM48" s="92"/>
      <c r="EN48" s="92"/>
      <c r="EO48" s="92"/>
      <c r="EP48" s="92"/>
      <c r="EQ48" s="92"/>
      <c r="ER48" s="92"/>
      <c r="ES48" s="92"/>
      <c r="ET48" s="92"/>
      <c r="EU48" s="92"/>
      <c r="EV48" s="92"/>
      <c r="EW48" s="92"/>
      <c r="EX48" s="92"/>
      <c r="EY48" s="92"/>
      <c r="EZ48" s="92"/>
      <c r="FA48" s="92"/>
      <c r="FB48" s="92"/>
      <c r="FC48" s="92"/>
      <c r="FD48" s="92"/>
      <c r="FE48" s="92"/>
      <c r="FF48" s="92"/>
      <c r="FG48" s="92"/>
      <c r="FH48" s="92"/>
      <c r="FI48" s="92"/>
      <c r="FJ48" s="92"/>
      <c r="FK48" s="92"/>
      <c r="FL48" s="92"/>
      <c r="FM48" s="92"/>
      <c r="FN48" s="92"/>
      <c r="FO48" s="92"/>
      <c r="FP48" s="92"/>
      <c r="FQ48" s="92"/>
      <c r="FR48" s="92"/>
      <c r="FS48" s="92"/>
      <c r="FT48" s="92"/>
      <c r="FU48" s="92"/>
      <c r="FV48" s="92"/>
      <c r="FW48" s="92"/>
      <c r="FX48" s="92"/>
      <c r="FY48" s="92"/>
      <c r="FZ48" s="92"/>
      <c r="GA48" s="92"/>
      <c r="GB48" s="92"/>
      <c r="GC48" s="92"/>
      <c r="GD48" s="92"/>
      <c r="GE48" s="92"/>
      <c r="GF48" s="92"/>
      <c r="GG48" s="92"/>
      <c r="GH48" s="92"/>
      <c r="GI48" s="92"/>
      <c r="GJ48" s="92"/>
      <c r="GK48" s="92"/>
      <c r="GL48" s="92"/>
      <c r="GM48" s="92"/>
      <c r="GN48" s="92"/>
      <c r="GO48" s="92"/>
      <c r="GP48" s="92"/>
      <c r="GQ48" s="92"/>
      <c r="GR48" s="92"/>
      <c r="GS48" s="92"/>
      <c r="GT48" s="92"/>
      <c r="GU48" s="92"/>
      <c r="GV48" s="92"/>
      <c r="GW48" s="92"/>
      <c r="GX48" s="92"/>
      <c r="GY48" s="92"/>
      <c r="GZ48" s="92"/>
      <c r="HA48" s="92"/>
      <c r="HB48" s="92"/>
      <c r="HC48" s="92"/>
      <c r="HD48" s="92"/>
      <c r="HE48" s="92"/>
      <c r="HF48" s="92"/>
      <c r="HG48" s="92"/>
      <c r="HH48" s="92"/>
    </row>
    <row r="49" spans="1:216" s="93" customFormat="1" ht="13.2" hidden="1" customHeight="1">
      <c r="A49" s="97" t="s">
        <v>572</v>
      </c>
      <c r="B49" s="96" t="s">
        <v>804</v>
      </c>
      <c r="C49" s="99"/>
      <c r="D49" s="91"/>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c r="BR49" s="92"/>
      <c r="BS49" s="92"/>
      <c r="BT49" s="92"/>
      <c r="BU49" s="92"/>
      <c r="BV49" s="92"/>
      <c r="BW49" s="92"/>
      <c r="BX49" s="92"/>
      <c r="BY49" s="92"/>
      <c r="BZ49" s="92"/>
      <c r="CA49" s="92"/>
      <c r="CB49" s="92"/>
      <c r="CC49" s="92"/>
      <c r="CD49" s="92"/>
      <c r="CE49" s="92"/>
      <c r="CF49" s="92"/>
      <c r="CG49" s="92"/>
      <c r="CH49" s="92"/>
      <c r="CI49" s="92"/>
      <c r="CJ49" s="92"/>
      <c r="CK49" s="92"/>
      <c r="CL49" s="92"/>
      <c r="CM49" s="92"/>
      <c r="CN49" s="92"/>
      <c r="CO49" s="92"/>
      <c r="CP49" s="92"/>
      <c r="CQ49" s="92"/>
      <c r="CR49" s="92"/>
      <c r="CS49" s="92"/>
      <c r="CT49" s="92"/>
      <c r="CU49" s="92"/>
      <c r="CV49" s="92"/>
      <c r="CW49" s="92"/>
      <c r="CX49" s="92"/>
      <c r="CY49" s="92"/>
      <c r="CZ49" s="92"/>
      <c r="DA49" s="92"/>
      <c r="DB49" s="92"/>
      <c r="DC49" s="92"/>
      <c r="DD49" s="92"/>
      <c r="DE49" s="92"/>
      <c r="DF49" s="92"/>
      <c r="DG49" s="92"/>
      <c r="DH49" s="92"/>
      <c r="DI49" s="92"/>
      <c r="DJ49" s="92"/>
      <c r="DK49" s="92"/>
      <c r="DL49" s="92"/>
      <c r="DM49" s="92"/>
      <c r="DN49" s="92"/>
      <c r="DO49" s="92"/>
      <c r="DP49" s="92"/>
      <c r="DQ49" s="92"/>
      <c r="DR49" s="92"/>
      <c r="DS49" s="92"/>
      <c r="DT49" s="92"/>
      <c r="DU49" s="92"/>
      <c r="DV49" s="92"/>
      <c r="DW49" s="92"/>
      <c r="DX49" s="92"/>
      <c r="DY49" s="92"/>
      <c r="DZ49" s="92"/>
      <c r="EA49" s="92"/>
      <c r="EB49" s="92"/>
      <c r="EC49" s="92"/>
      <c r="ED49" s="92"/>
      <c r="EE49" s="92"/>
      <c r="EF49" s="92"/>
      <c r="EG49" s="92"/>
      <c r="EH49" s="92"/>
      <c r="EI49" s="92"/>
      <c r="EJ49" s="92"/>
      <c r="EK49" s="92"/>
      <c r="EL49" s="92"/>
      <c r="EM49" s="92"/>
      <c r="EN49" s="92"/>
      <c r="EO49" s="92"/>
      <c r="EP49" s="92"/>
      <c r="EQ49" s="92"/>
      <c r="ER49" s="92"/>
      <c r="ES49" s="92"/>
      <c r="ET49" s="92"/>
      <c r="EU49" s="92"/>
      <c r="EV49" s="92"/>
      <c r="EW49" s="92"/>
      <c r="EX49" s="92"/>
      <c r="EY49" s="92"/>
      <c r="EZ49" s="92"/>
      <c r="FA49" s="92"/>
      <c r="FB49" s="92"/>
      <c r="FC49" s="92"/>
      <c r="FD49" s="92"/>
      <c r="FE49" s="92"/>
      <c r="FF49" s="92"/>
      <c r="FG49" s="92"/>
      <c r="FH49" s="92"/>
      <c r="FI49" s="92"/>
      <c r="FJ49" s="92"/>
      <c r="FK49" s="92"/>
      <c r="FL49" s="92"/>
      <c r="FM49" s="92"/>
      <c r="FN49" s="92"/>
      <c r="FO49" s="92"/>
      <c r="FP49" s="92"/>
      <c r="FQ49" s="92"/>
      <c r="FR49" s="92"/>
      <c r="FS49" s="92"/>
      <c r="FT49" s="92"/>
      <c r="FU49" s="92"/>
      <c r="FV49" s="92"/>
      <c r="FW49" s="92"/>
      <c r="FX49" s="92"/>
      <c r="FY49" s="92"/>
      <c r="FZ49" s="92"/>
      <c r="GA49" s="92"/>
      <c r="GB49" s="92"/>
      <c r="GC49" s="92"/>
      <c r="GD49" s="92"/>
      <c r="GE49" s="92"/>
      <c r="GF49" s="92"/>
      <c r="GG49" s="92"/>
      <c r="GH49" s="92"/>
      <c r="GI49" s="92"/>
      <c r="GJ49" s="92"/>
      <c r="GK49" s="92"/>
      <c r="GL49" s="92"/>
      <c r="GM49" s="92"/>
      <c r="GN49" s="92"/>
      <c r="GO49" s="92"/>
      <c r="GP49" s="92"/>
      <c r="GQ49" s="92"/>
      <c r="GR49" s="92"/>
      <c r="GS49" s="92"/>
      <c r="GT49" s="92"/>
      <c r="GU49" s="92"/>
      <c r="GV49" s="92"/>
      <c r="GW49" s="92"/>
      <c r="GX49" s="92"/>
      <c r="GY49" s="92"/>
      <c r="GZ49" s="92"/>
      <c r="HA49" s="92"/>
      <c r="HB49" s="92"/>
      <c r="HC49" s="92"/>
      <c r="HD49" s="92"/>
      <c r="HE49" s="92"/>
      <c r="HF49" s="92"/>
      <c r="HG49" s="92"/>
      <c r="HH49" s="92"/>
    </row>
    <row r="50" spans="1:216" s="93" customFormat="1" ht="13.2" hidden="1" customHeight="1">
      <c r="A50" s="97" t="s">
        <v>574</v>
      </c>
      <c r="B50" s="96">
        <v>15290981</v>
      </c>
      <c r="C50" s="96" t="s">
        <v>285</v>
      </c>
      <c r="D50" s="91"/>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c r="BP50" s="92"/>
      <c r="BQ50" s="92"/>
      <c r="BR50" s="92"/>
      <c r="BS50" s="92"/>
      <c r="BT50" s="92"/>
      <c r="BU50" s="92"/>
      <c r="BV50" s="92"/>
      <c r="BW50" s="92"/>
      <c r="BX50" s="92"/>
      <c r="BY50" s="92"/>
      <c r="BZ50" s="92"/>
      <c r="CA50" s="92"/>
      <c r="CB50" s="92"/>
      <c r="CC50" s="92"/>
      <c r="CD50" s="92"/>
      <c r="CE50" s="92"/>
      <c r="CF50" s="92"/>
      <c r="CG50" s="92"/>
      <c r="CH50" s="92"/>
      <c r="CI50" s="92"/>
      <c r="CJ50" s="92"/>
      <c r="CK50" s="92"/>
      <c r="CL50" s="92"/>
      <c r="CM50" s="92"/>
      <c r="CN50" s="92"/>
      <c r="CO50" s="92"/>
      <c r="CP50" s="92"/>
      <c r="CQ50" s="92"/>
      <c r="CR50" s="92"/>
      <c r="CS50" s="92"/>
      <c r="CT50" s="92"/>
      <c r="CU50" s="92"/>
      <c r="CV50" s="92"/>
      <c r="CW50" s="92"/>
      <c r="CX50" s="92"/>
      <c r="CY50" s="92"/>
      <c r="CZ50" s="92"/>
      <c r="DA50" s="92"/>
      <c r="DB50" s="92"/>
      <c r="DC50" s="92"/>
      <c r="DD50" s="92"/>
      <c r="DE50" s="92"/>
      <c r="DF50" s="92"/>
      <c r="DG50" s="92"/>
      <c r="DH50" s="92"/>
      <c r="DI50" s="92"/>
      <c r="DJ50" s="92"/>
      <c r="DK50" s="92"/>
      <c r="DL50" s="92"/>
      <c r="DM50" s="92"/>
      <c r="DN50" s="92"/>
      <c r="DO50" s="92"/>
      <c r="DP50" s="92"/>
      <c r="DQ50" s="92"/>
      <c r="DR50" s="92"/>
      <c r="DS50" s="92"/>
      <c r="DT50" s="92"/>
      <c r="DU50" s="92"/>
      <c r="DV50" s="92"/>
      <c r="DW50" s="92"/>
      <c r="DX50" s="92"/>
      <c r="DY50" s="92"/>
      <c r="DZ50" s="92"/>
      <c r="EA50" s="92"/>
      <c r="EB50" s="92"/>
      <c r="EC50" s="92"/>
      <c r="ED50" s="92"/>
      <c r="EE50" s="92"/>
      <c r="EF50" s="92"/>
      <c r="EG50" s="92"/>
      <c r="EH50" s="92"/>
      <c r="EI50" s="92"/>
      <c r="EJ50" s="92"/>
      <c r="EK50" s="92"/>
      <c r="EL50" s="92"/>
      <c r="EM50" s="92"/>
      <c r="EN50" s="92"/>
      <c r="EO50" s="92"/>
      <c r="EP50" s="92"/>
      <c r="EQ50" s="92"/>
      <c r="ER50" s="92"/>
      <c r="ES50" s="92"/>
      <c r="ET50" s="92"/>
      <c r="EU50" s="92"/>
      <c r="EV50" s="92"/>
      <c r="EW50" s="92"/>
      <c r="EX50" s="92"/>
      <c r="EY50" s="92"/>
      <c r="EZ50" s="92"/>
      <c r="FA50" s="92"/>
      <c r="FB50" s="92"/>
      <c r="FC50" s="92"/>
      <c r="FD50" s="92"/>
      <c r="FE50" s="92"/>
      <c r="FF50" s="92"/>
      <c r="FG50" s="92"/>
      <c r="FH50" s="92"/>
      <c r="FI50" s="92"/>
      <c r="FJ50" s="92"/>
      <c r="FK50" s="92"/>
      <c r="FL50" s="92"/>
      <c r="FM50" s="92"/>
      <c r="FN50" s="92"/>
      <c r="FO50" s="92"/>
      <c r="FP50" s="92"/>
      <c r="FQ50" s="92"/>
      <c r="FR50" s="92"/>
      <c r="FS50" s="92"/>
      <c r="FT50" s="92"/>
      <c r="FU50" s="92"/>
      <c r="FV50" s="92"/>
      <c r="FW50" s="92"/>
      <c r="FX50" s="92"/>
      <c r="FY50" s="92"/>
      <c r="FZ50" s="92"/>
      <c r="GA50" s="92"/>
      <c r="GB50" s="92"/>
      <c r="GC50" s="92"/>
      <c r="GD50" s="92"/>
      <c r="GE50" s="92"/>
      <c r="GF50" s="92"/>
      <c r="GG50" s="92"/>
      <c r="GH50" s="92"/>
      <c r="GI50" s="92"/>
      <c r="GJ50" s="92"/>
      <c r="GK50" s="92"/>
      <c r="GL50" s="92"/>
      <c r="GM50" s="92"/>
      <c r="GN50" s="92"/>
      <c r="GO50" s="92"/>
      <c r="GP50" s="92"/>
      <c r="GQ50" s="92"/>
      <c r="GR50" s="92"/>
      <c r="GS50" s="92"/>
      <c r="GT50" s="92"/>
      <c r="GU50" s="92"/>
      <c r="GV50" s="92"/>
      <c r="GW50" s="92"/>
      <c r="GX50" s="92"/>
      <c r="GY50" s="92"/>
      <c r="GZ50" s="92"/>
      <c r="HA50" s="92"/>
      <c r="HB50" s="92"/>
      <c r="HC50" s="92"/>
      <c r="HD50" s="92"/>
      <c r="HE50" s="92"/>
      <c r="HF50" s="92"/>
      <c r="HG50" s="92"/>
      <c r="HH50" s="92"/>
    </row>
    <row r="51" spans="1:216" s="93" customFormat="1" ht="13.2" hidden="1" customHeight="1">
      <c r="A51" s="97" t="s">
        <v>577</v>
      </c>
      <c r="B51" s="96">
        <v>28065391</v>
      </c>
      <c r="C51" s="96" t="s">
        <v>285</v>
      </c>
      <c r="D51" s="91"/>
      <c r="E51" s="92"/>
      <c r="F51" s="92"/>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c r="BP51" s="92"/>
      <c r="BQ51" s="92"/>
      <c r="BR51" s="92"/>
      <c r="BS51" s="92"/>
      <c r="BT51" s="92"/>
      <c r="BU51" s="92"/>
      <c r="BV51" s="92"/>
      <c r="BW51" s="92"/>
      <c r="BX51" s="92"/>
      <c r="BY51" s="92"/>
      <c r="BZ51" s="92"/>
      <c r="CA51" s="92"/>
      <c r="CB51" s="92"/>
      <c r="CC51" s="92"/>
      <c r="CD51" s="92"/>
      <c r="CE51" s="92"/>
      <c r="CF51" s="92"/>
      <c r="CG51" s="92"/>
      <c r="CH51" s="92"/>
      <c r="CI51" s="92"/>
      <c r="CJ51" s="92"/>
      <c r="CK51" s="92"/>
      <c r="CL51" s="92"/>
      <c r="CM51" s="92"/>
      <c r="CN51" s="92"/>
      <c r="CO51" s="92"/>
      <c r="CP51" s="92"/>
      <c r="CQ51" s="92"/>
      <c r="CR51" s="92"/>
      <c r="CS51" s="92"/>
      <c r="CT51" s="92"/>
      <c r="CU51" s="92"/>
      <c r="CV51" s="92"/>
      <c r="CW51" s="92"/>
      <c r="CX51" s="92"/>
      <c r="CY51" s="92"/>
      <c r="CZ51" s="92"/>
      <c r="DA51" s="92"/>
      <c r="DB51" s="92"/>
      <c r="DC51" s="92"/>
      <c r="DD51" s="92"/>
      <c r="DE51" s="92"/>
      <c r="DF51" s="92"/>
      <c r="DG51" s="92"/>
      <c r="DH51" s="92"/>
      <c r="DI51" s="92"/>
      <c r="DJ51" s="92"/>
      <c r="DK51" s="92"/>
      <c r="DL51" s="92"/>
      <c r="DM51" s="92"/>
      <c r="DN51" s="92"/>
      <c r="DO51" s="92"/>
      <c r="DP51" s="92"/>
      <c r="DQ51" s="92"/>
      <c r="DR51" s="92"/>
      <c r="DS51" s="92"/>
      <c r="DT51" s="92"/>
      <c r="DU51" s="92"/>
      <c r="DV51" s="92"/>
      <c r="DW51" s="92"/>
      <c r="DX51" s="92"/>
      <c r="DY51" s="92"/>
      <c r="DZ51" s="92"/>
      <c r="EA51" s="92"/>
      <c r="EB51" s="92"/>
      <c r="EC51" s="92"/>
      <c r="ED51" s="92"/>
      <c r="EE51" s="92"/>
      <c r="EF51" s="92"/>
      <c r="EG51" s="92"/>
      <c r="EH51" s="92"/>
      <c r="EI51" s="92"/>
      <c r="EJ51" s="92"/>
      <c r="EK51" s="92"/>
      <c r="EL51" s="92"/>
      <c r="EM51" s="92"/>
      <c r="EN51" s="92"/>
      <c r="EO51" s="92"/>
      <c r="EP51" s="92"/>
      <c r="EQ51" s="92"/>
      <c r="ER51" s="92"/>
      <c r="ES51" s="92"/>
      <c r="ET51" s="92"/>
      <c r="EU51" s="92"/>
      <c r="EV51" s="92"/>
      <c r="EW51" s="92"/>
      <c r="EX51" s="92"/>
      <c r="EY51" s="92"/>
      <c r="EZ51" s="92"/>
      <c r="FA51" s="92"/>
      <c r="FB51" s="92"/>
      <c r="FC51" s="92"/>
      <c r="FD51" s="92"/>
      <c r="FE51" s="92"/>
      <c r="FF51" s="92"/>
      <c r="FG51" s="92"/>
      <c r="FH51" s="92"/>
      <c r="FI51" s="92"/>
      <c r="FJ51" s="92"/>
      <c r="FK51" s="92"/>
      <c r="FL51" s="92"/>
      <c r="FM51" s="92"/>
      <c r="FN51" s="92"/>
      <c r="FO51" s="92"/>
      <c r="FP51" s="92"/>
      <c r="FQ51" s="92"/>
      <c r="FR51" s="92"/>
      <c r="FS51" s="92"/>
      <c r="FT51" s="92"/>
      <c r="FU51" s="92"/>
      <c r="FV51" s="92"/>
      <c r="FW51" s="92"/>
      <c r="FX51" s="92"/>
      <c r="FY51" s="92"/>
      <c r="FZ51" s="92"/>
      <c r="GA51" s="92"/>
      <c r="GB51" s="92"/>
      <c r="GC51" s="92"/>
      <c r="GD51" s="92"/>
      <c r="GE51" s="92"/>
      <c r="GF51" s="92"/>
      <c r="GG51" s="92"/>
      <c r="GH51" s="92"/>
      <c r="GI51" s="92"/>
      <c r="GJ51" s="92"/>
      <c r="GK51" s="92"/>
      <c r="GL51" s="92"/>
      <c r="GM51" s="92"/>
      <c r="GN51" s="92"/>
      <c r="GO51" s="92"/>
      <c r="GP51" s="92"/>
      <c r="GQ51" s="92"/>
      <c r="GR51" s="92"/>
      <c r="GS51" s="92"/>
      <c r="GT51" s="92"/>
      <c r="GU51" s="92"/>
      <c r="GV51" s="92"/>
      <c r="GW51" s="92"/>
      <c r="GX51" s="92"/>
      <c r="GY51" s="92"/>
      <c r="GZ51" s="92"/>
      <c r="HA51" s="92"/>
      <c r="HB51" s="92"/>
      <c r="HC51" s="92"/>
      <c r="HD51" s="92"/>
      <c r="HE51" s="92"/>
      <c r="HF51" s="92"/>
      <c r="HG51" s="92"/>
      <c r="HH51" s="92"/>
    </row>
    <row r="52" spans="1:216" s="93" customFormat="1" ht="13.2" hidden="1" customHeight="1">
      <c r="A52" s="97" t="s">
        <v>579</v>
      </c>
      <c r="B52" s="96" t="s">
        <v>805</v>
      </c>
      <c r="C52" s="99"/>
      <c r="D52" s="91"/>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c r="BP52" s="92"/>
      <c r="BQ52" s="92"/>
      <c r="BR52" s="92"/>
      <c r="BS52" s="92"/>
      <c r="BT52" s="92"/>
      <c r="BU52" s="92"/>
      <c r="BV52" s="92"/>
      <c r="BW52" s="92"/>
      <c r="BX52" s="92"/>
      <c r="BY52" s="92"/>
      <c r="BZ52" s="92"/>
      <c r="CA52" s="92"/>
      <c r="CB52" s="92"/>
      <c r="CC52" s="92"/>
      <c r="CD52" s="92"/>
      <c r="CE52" s="92"/>
      <c r="CF52" s="92"/>
      <c r="CG52" s="92"/>
      <c r="CH52" s="92"/>
      <c r="CI52" s="92"/>
      <c r="CJ52" s="92"/>
      <c r="CK52" s="92"/>
      <c r="CL52" s="92"/>
      <c r="CM52" s="92"/>
      <c r="CN52" s="92"/>
      <c r="CO52" s="92"/>
      <c r="CP52" s="92"/>
      <c r="CQ52" s="92"/>
      <c r="CR52" s="92"/>
      <c r="CS52" s="92"/>
      <c r="CT52" s="92"/>
      <c r="CU52" s="92"/>
      <c r="CV52" s="92"/>
      <c r="CW52" s="92"/>
      <c r="CX52" s="92"/>
      <c r="CY52" s="92"/>
      <c r="CZ52" s="92"/>
      <c r="DA52" s="92"/>
      <c r="DB52" s="92"/>
      <c r="DC52" s="92"/>
      <c r="DD52" s="92"/>
      <c r="DE52" s="92"/>
      <c r="DF52" s="92"/>
      <c r="DG52" s="92"/>
      <c r="DH52" s="92"/>
      <c r="DI52" s="92"/>
      <c r="DJ52" s="92"/>
      <c r="DK52" s="92"/>
      <c r="DL52" s="92"/>
      <c r="DM52" s="92"/>
      <c r="DN52" s="92"/>
      <c r="DO52" s="92"/>
      <c r="DP52" s="92"/>
      <c r="DQ52" s="92"/>
      <c r="DR52" s="92"/>
      <c r="DS52" s="92"/>
      <c r="DT52" s="92"/>
      <c r="DU52" s="92"/>
      <c r="DV52" s="92"/>
      <c r="DW52" s="92"/>
      <c r="DX52" s="92"/>
      <c r="DY52" s="92"/>
      <c r="DZ52" s="92"/>
      <c r="EA52" s="92"/>
      <c r="EB52" s="92"/>
      <c r="EC52" s="92"/>
      <c r="ED52" s="92"/>
      <c r="EE52" s="92"/>
      <c r="EF52" s="92"/>
      <c r="EG52" s="92"/>
      <c r="EH52" s="92"/>
      <c r="EI52" s="92"/>
      <c r="EJ52" s="92"/>
      <c r="EK52" s="92"/>
      <c r="EL52" s="92"/>
      <c r="EM52" s="92"/>
      <c r="EN52" s="92"/>
      <c r="EO52" s="92"/>
      <c r="EP52" s="92"/>
      <c r="EQ52" s="92"/>
      <c r="ER52" s="92"/>
      <c r="ES52" s="92"/>
      <c r="ET52" s="92"/>
      <c r="EU52" s="92"/>
      <c r="EV52" s="92"/>
      <c r="EW52" s="92"/>
      <c r="EX52" s="92"/>
      <c r="EY52" s="92"/>
      <c r="EZ52" s="92"/>
      <c r="FA52" s="92"/>
      <c r="FB52" s="92"/>
      <c r="FC52" s="92"/>
      <c r="FD52" s="92"/>
      <c r="FE52" s="92"/>
      <c r="FF52" s="92"/>
      <c r="FG52" s="92"/>
      <c r="FH52" s="92"/>
      <c r="FI52" s="92"/>
      <c r="FJ52" s="92"/>
      <c r="FK52" s="92"/>
      <c r="FL52" s="92"/>
      <c r="FM52" s="92"/>
      <c r="FN52" s="92"/>
      <c r="FO52" s="92"/>
      <c r="FP52" s="92"/>
      <c r="FQ52" s="92"/>
      <c r="FR52" s="92"/>
      <c r="FS52" s="92"/>
      <c r="FT52" s="92"/>
      <c r="FU52" s="92"/>
      <c r="FV52" s="92"/>
      <c r="FW52" s="92"/>
      <c r="FX52" s="92"/>
      <c r="FY52" s="92"/>
      <c r="FZ52" s="92"/>
      <c r="GA52" s="92"/>
      <c r="GB52" s="92"/>
      <c r="GC52" s="92"/>
      <c r="GD52" s="92"/>
      <c r="GE52" s="92"/>
      <c r="GF52" s="92"/>
      <c r="GG52" s="92"/>
      <c r="GH52" s="92"/>
      <c r="GI52" s="92"/>
      <c r="GJ52" s="92"/>
      <c r="GK52" s="92"/>
      <c r="GL52" s="92"/>
      <c r="GM52" s="92"/>
      <c r="GN52" s="92"/>
      <c r="GO52" s="92"/>
      <c r="GP52" s="92"/>
      <c r="GQ52" s="92"/>
      <c r="GR52" s="92"/>
      <c r="GS52" s="92"/>
      <c r="GT52" s="92"/>
      <c r="GU52" s="92"/>
      <c r="GV52" s="92"/>
      <c r="GW52" s="92"/>
      <c r="GX52" s="92"/>
      <c r="GY52" s="92"/>
      <c r="GZ52" s="92"/>
      <c r="HA52" s="92"/>
      <c r="HB52" s="92"/>
      <c r="HC52" s="92"/>
      <c r="HD52" s="92"/>
      <c r="HE52" s="92"/>
      <c r="HF52" s="92"/>
      <c r="HG52" s="92"/>
      <c r="HH52" s="92"/>
    </row>
    <row r="53" spans="1:216" s="93" customFormat="1" ht="13.2" hidden="1" customHeight="1">
      <c r="A53" s="96" t="s">
        <v>806</v>
      </c>
      <c r="B53" s="96">
        <v>128660782</v>
      </c>
      <c r="C53" s="96" t="s">
        <v>562</v>
      </c>
      <c r="D53" s="91"/>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c r="BP53" s="92"/>
      <c r="BQ53" s="92"/>
      <c r="BR53" s="92"/>
      <c r="BS53" s="92"/>
      <c r="BT53" s="92"/>
      <c r="BU53" s="92"/>
      <c r="BV53" s="92"/>
      <c r="BW53" s="92"/>
      <c r="BX53" s="92"/>
      <c r="BY53" s="92"/>
      <c r="BZ53" s="92"/>
      <c r="CA53" s="92"/>
      <c r="CB53" s="92"/>
      <c r="CC53" s="92"/>
      <c r="CD53" s="92"/>
      <c r="CE53" s="92"/>
      <c r="CF53" s="92"/>
      <c r="CG53" s="92"/>
      <c r="CH53" s="92"/>
      <c r="CI53" s="92"/>
      <c r="CJ53" s="92"/>
      <c r="CK53" s="92"/>
      <c r="CL53" s="92"/>
      <c r="CM53" s="92"/>
      <c r="CN53" s="92"/>
      <c r="CO53" s="92"/>
      <c r="CP53" s="92"/>
      <c r="CQ53" s="92"/>
      <c r="CR53" s="92"/>
      <c r="CS53" s="92"/>
      <c r="CT53" s="92"/>
      <c r="CU53" s="92"/>
      <c r="CV53" s="92"/>
      <c r="CW53" s="92"/>
      <c r="CX53" s="92"/>
      <c r="CY53" s="92"/>
      <c r="CZ53" s="92"/>
      <c r="DA53" s="92"/>
      <c r="DB53" s="92"/>
      <c r="DC53" s="92"/>
      <c r="DD53" s="92"/>
      <c r="DE53" s="92"/>
      <c r="DF53" s="92"/>
      <c r="DG53" s="92"/>
      <c r="DH53" s="92"/>
      <c r="DI53" s="92"/>
      <c r="DJ53" s="92"/>
      <c r="DK53" s="92"/>
      <c r="DL53" s="92"/>
      <c r="DM53" s="92"/>
      <c r="DN53" s="92"/>
      <c r="DO53" s="92"/>
      <c r="DP53" s="92"/>
      <c r="DQ53" s="92"/>
      <c r="DR53" s="92"/>
      <c r="DS53" s="92"/>
      <c r="DT53" s="92"/>
      <c r="DU53" s="92"/>
      <c r="DV53" s="92"/>
      <c r="DW53" s="92"/>
      <c r="DX53" s="92"/>
      <c r="DY53" s="92"/>
      <c r="DZ53" s="92"/>
      <c r="EA53" s="92"/>
      <c r="EB53" s="92"/>
      <c r="EC53" s="92"/>
      <c r="ED53" s="92"/>
      <c r="EE53" s="92"/>
      <c r="EF53" s="92"/>
      <c r="EG53" s="92"/>
      <c r="EH53" s="92"/>
      <c r="EI53" s="92"/>
      <c r="EJ53" s="92"/>
      <c r="EK53" s="92"/>
      <c r="EL53" s="92"/>
      <c r="EM53" s="92"/>
      <c r="EN53" s="92"/>
      <c r="EO53" s="92"/>
      <c r="EP53" s="92"/>
      <c r="EQ53" s="92"/>
      <c r="ER53" s="92"/>
      <c r="ES53" s="92"/>
      <c r="ET53" s="92"/>
      <c r="EU53" s="92"/>
      <c r="EV53" s="92"/>
      <c r="EW53" s="92"/>
      <c r="EX53" s="92"/>
      <c r="EY53" s="92"/>
      <c r="EZ53" s="92"/>
      <c r="FA53" s="92"/>
      <c r="FB53" s="92"/>
      <c r="FC53" s="92"/>
      <c r="FD53" s="92"/>
      <c r="FE53" s="92"/>
      <c r="FF53" s="92"/>
      <c r="FG53" s="92"/>
      <c r="FH53" s="92"/>
      <c r="FI53" s="92"/>
      <c r="FJ53" s="92"/>
      <c r="FK53" s="92"/>
      <c r="FL53" s="92"/>
      <c r="FM53" s="92"/>
      <c r="FN53" s="92"/>
      <c r="FO53" s="92"/>
      <c r="FP53" s="92"/>
      <c r="FQ53" s="92"/>
      <c r="FR53" s="92"/>
      <c r="FS53" s="92"/>
      <c r="FT53" s="92"/>
      <c r="FU53" s="92"/>
      <c r="FV53" s="92"/>
      <c r="FW53" s="92"/>
      <c r="FX53" s="92"/>
      <c r="FY53" s="92"/>
      <c r="FZ53" s="92"/>
      <c r="GA53" s="92"/>
      <c r="GB53" s="92"/>
      <c r="GC53" s="92"/>
      <c r="GD53" s="92"/>
      <c r="GE53" s="92"/>
      <c r="GF53" s="92"/>
      <c r="GG53" s="92"/>
      <c r="GH53" s="92"/>
      <c r="GI53" s="92"/>
      <c r="GJ53" s="92"/>
      <c r="GK53" s="92"/>
      <c r="GL53" s="92"/>
      <c r="GM53" s="92"/>
      <c r="GN53" s="92"/>
      <c r="GO53" s="92"/>
      <c r="GP53" s="92"/>
      <c r="GQ53" s="92"/>
      <c r="GR53" s="92"/>
      <c r="GS53" s="92"/>
      <c r="GT53" s="92"/>
      <c r="GU53" s="92"/>
      <c r="GV53" s="92"/>
      <c r="GW53" s="92"/>
      <c r="GX53" s="92"/>
      <c r="GY53" s="92"/>
      <c r="GZ53" s="92"/>
      <c r="HA53" s="92"/>
      <c r="HB53" s="92"/>
      <c r="HC53" s="92"/>
      <c r="HD53" s="92"/>
      <c r="HE53" s="92"/>
      <c r="HF53" s="92"/>
      <c r="HG53" s="92"/>
      <c r="HH53" s="92"/>
    </row>
    <row r="54" spans="1:216" s="93" customFormat="1" ht="13.2" hidden="1" customHeight="1">
      <c r="A54" s="97" t="s">
        <v>173</v>
      </c>
      <c r="B54" s="98" t="s">
        <v>807</v>
      </c>
      <c r="C54" s="99"/>
      <c r="D54" s="91"/>
      <c r="E54" s="92"/>
      <c r="F54" s="92"/>
      <c r="G54" s="92"/>
      <c r="H54" s="92"/>
      <c r="I54" s="92"/>
      <c r="J54" s="92"/>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c r="BP54" s="92"/>
      <c r="BQ54" s="92"/>
      <c r="BR54" s="92"/>
      <c r="BS54" s="92"/>
      <c r="BT54" s="92"/>
      <c r="BU54" s="92"/>
      <c r="BV54" s="92"/>
      <c r="BW54" s="92"/>
      <c r="BX54" s="92"/>
      <c r="BY54" s="92"/>
      <c r="BZ54" s="92"/>
      <c r="CA54" s="92"/>
      <c r="CB54" s="92"/>
      <c r="CC54" s="92"/>
      <c r="CD54" s="92"/>
      <c r="CE54" s="92"/>
      <c r="CF54" s="92"/>
      <c r="CG54" s="92"/>
      <c r="CH54" s="92"/>
      <c r="CI54" s="92"/>
      <c r="CJ54" s="92"/>
      <c r="CK54" s="92"/>
      <c r="CL54" s="92"/>
      <c r="CM54" s="92"/>
      <c r="CN54" s="92"/>
      <c r="CO54" s="92"/>
      <c r="CP54" s="92"/>
      <c r="CQ54" s="92"/>
      <c r="CR54" s="92"/>
      <c r="CS54" s="92"/>
      <c r="CT54" s="92"/>
      <c r="CU54" s="92"/>
      <c r="CV54" s="92"/>
      <c r="CW54" s="92"/>
      <c r="CX54" s="92"/>
      <c r="CY54" s="92"/>
      <c r="CZ54" s="92"/>
      <c r="DA54" s="92"/>
      <c r="DB54" s="92"/>
      <c r="DC54" s="92"/>
      <c r="DD54" s="92"/>
      <c r="DE54" s="92"/>
      <c r="DF54" s="92"/>
      <c r="DG54" s="92"/>
      <c r="DH54" s="92"/>
      <c r="DI54" s="92"/>
      <c r="DJ54" s="92"/>
      <c r="DK54" s="92"/>
      <c r="DL54" s="92"/>
      <c r="DM54" s="92"/>
      <c r="DN54" s="92"/>
      <c r="DO54" s="92"/>
      <c r="DP54" s="92"/>
      <c r="DQ54" s="92"/>
      <c r="DR54" s="92"/>
      <c r="DS54" s="92"/>
      <c r="DT54" s="92"/>
      <c r="DU54" s="92"/>
      <c r="DV54" s="92"/>
      <c r="DW54" s="92"/>
      <c r="DX54" s="92"/>
      <c r="DY54" s="92"/>
      <c r="DZ54" s="92"/>
      <c r="EA54" s="92"/>
      <c r="EB54" s="92"/>
      <c r="EC54" s="92"/>
      <c r="ED54" s="92"/>
      <c r="EE54" s="92"/>
      <c r="EF54" s="92"/>
      <c r="EG54" s="92"/>
      <c r="EH54" s="92"/>
      <c r="EI54" s="92"/>
      <c r="EJ54" s="92"/>
      <c r="EK54" s="92"/>
      <c r="EL54" s="92"/>
      <c r="EM54" s="92"/>
      <c r="EN54" s="92"/>
      <c r="EO54" s="92"/>
      <c r="EP54" s="92"/>
      <c r="EQ54" s="92"/>
      <c r="ER54" s="92"/>
      <c r="ES54" s="92"/>
      <c r="ET54" s="92"/>
      <c r="EU54" s="92"/>
      <c r="EV54" s="92"/>
      <c r="EW54" s="92"/>
      <c r="EX54" s="92"/>
      <c r="EY54" s="92"/>
      <c r="EZ54" s="92"/>
      <c r="FA54" s="92"/>
      <c r="FB54" s="92"/>
      <c r="FC54" s="92"/>
      <c r="FD54" s="92"/>
      <c r="FE54" s="92"/>
      <c r="FF54" s="92"/>
      <c r="FG54" s="92"/>
      <c r="FH54" s="92"/>
      <c r="FI54" s="92"/>
      <c r="FJ54" s="92"/>
      <c r="FK54" s="92"/>
      <c r="FL54" s="92"/>
      <c r="FM54" s="92"/>
      <c r="FN54" s="92"/>
      <c r="FO54" s="92"/>
      <c r="FP54" s="92"/>
      <c r="FQ54" s="92"/>
      <c r="FR54" s="92"/>
      <c r="FS54" s="92"/>
      <c r="FT54" s="92"/>
      <c r="FU54" s="92"/>
      <c r="FV54" s="92"/>
      <c r="FW54" s="92"/>
      <c r="FX54" s="92"/>
      <c r="FY54" s="92"/>
      <c r="FZ54" s="92"/>
      <c r="GA54" s="92"/>
      <c r="GB54" s="92"/>
      <c r="GC54" s="92"/>
      <c r="GD54" s="92"/>
      <c r="GE54" s="92"/>
      <c r="GF54" s="92"/>
      <c r="GG54" s="92"/>
      <c r="GH54" s="92"/>
      <c r="GI54" s="92"/>
      <c r="GJ54" s="92"/>
      <c r="GK54" s="92"/>
      <c r="GL54" s="92"/>
      <c r="GM54" s="92"/>
      <c r="GN54" s="92"/>
      <c r="GO54" s="92"/>
      <c r="GP54" s="92"/>
      <c r="GQ54" s="92"/>
      <c r="GR54" s="92"/>
      <c r="GS54" s="92"/>
      <c r="GT54" s="92"/>
      <c r="GU54" s="92"/>
      <c r="GV54" s="92"/>
      <c r="GW54" s="92"/>
      <c r="GX54" s="92"/>
      <c r="GY54" s="92"/>
      <c r="GZ54" s="92"/>
      <c r="HA54" s="92"/>
      <c r="HB54" s="92"/>
      <c r="HC54" s="92"/>
      <c r="HD54" s="92"/>
      <c r="HE54" s="92"/>
      <c r="HF54" s="92"/>
      <c r="HG54" s="92"/>
      <c r="HH54" s="92"/>
    </row>
    <row r="55" spans="1:216" s="93" customFormat="1" ht="13.2" hidden="1" customHeight="1">
      <c r="A55" s="96" t="s">
        <v>456</v>
      </c>
      <c r="B55" s="96">
        <v>141365131</v>
      </c>
      <c r="C55" s="96" t="s">
        <v>613</v>
      </c>
      <c r="D55" s="91"/>
      <c r="E55" s="92"/>
      <c r="F55" s="92"/>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c r="CA55" s="92"/>
      <c r="CB55" s="92"/>
      <c r="CC55" s="92"/>
      <c r="CD55" s="92"/>
      <c r="CE55" s="92"/>
      <c r="CF55" s="92"/>
      <c r="CG55" s="92"/>
      <c r="CH55" s="92"/>
      <c r="CI55" s="92"/>
      <c r="CJ55" s="92"/>
      <c r="CK55" s="92"/>
      <c r="CL55" s="92"/>
      <c r="CM55" s="92"/>
      <c r="CN55" s="92"/>
      <c r="CO55" s="92"/>
      <c r="CP55" s="92"/>
      <c r="CQ55" s="92"/>
      <c r="CR55" s="92"/>
      <c r="CS55" s="92"/>
      <c r="CT55" s="92"/>
      <c r="CU55" s="92"/>
      <c r="CV55" s="92"/>
      <c r="CW55" s="92"/>
      <c r="CX55" s="92"/>
      <c r="CY55" s="92"/>
      <c r="CZ55" s="92"/>
      <c r="DA55" s="92"/>
      <c r="DB55" s="92"/>
      <c r="DC55" s="92"/>
      <c r="DD55" s="92"/>
      <c r="DE55" s="92"/>
      <c r="DF55" s="92"/>
      <c r="DG55" s="92"/>
      <c r="DH55" s="92"/>
      <c r="DI55" s="92"/>
      <c r="DJ55" s="92"/>
      <c r="DK55" s="92"/>
      <c r="DL55" s="92"/>
      <c r="DM55" s="92"/>
      <c r="DN55" s="92"/>
      <c r="DO55" s="92"/>
      <c r="DP55" s="92"/>
      <c r="DQ55" s="92"/>
      <c r="DR55" s="92"/>
      <c r="DS55" s="92"/>
      <c r="DT55" s="92"/>
      <c r="DU55" s="92"/>
      <c r="DV55" s="92"/>
      <c r="DW55" s="92"/>
      <c r="DX55" s="92"/>
      <c r="DY55" s="92"/>
      <c r="DZ55" s="92"/>
      <c r="EA55" s="92"/>
      <c r="EB55" s="92"/>
      <c r="EC55" s="92"/>
      <c r="ED55" s="92"/>
      <c r="EE55" s="92"/>
      <c r="EF55" s="92"/>
      <c r="EG55" s="92"/>
      <c r="EH55" s="92"/>
      <c r="EI55" s="92"/>
      <c r="EJ55" s="92"/>
      <c r="EK55" s="92"/>
      <c r="EL55" s="92"/>
      <c r="EM55" s="92"/>
      <c r="EN55" s="92"/>
      <c r="EO55" s="92"/>
      <c r="EP55" s="92"/>
      <c r="EQ55" s="92"/>
      <c r="ER55" s="92"/>
      <c r="ES55" s="92"/>
      <c r="ET55" s="92"/>
      <c r="EU55" s="92"/>
      <c r="EV55" s="92"/>
      <c r="EW55" s="92"/>
      <c r="EX55" s="92"/>
      <c r="EY55" s="92"/>
      <c r="EZ55" s="92"/>
      <c r="FA55" s="92"/>
      <c r="FB55" s="92"/>
      <c r="FC55" s="92"/>
      <c r="FD55" s="92"/>
      <c r="FE55" s="92"/>
      <c r="FF55" s="92"/>
      <c r="FG55" s="92"/>
      <c r="FH55" s="92"/>
      <c r="FI55" s="92"/>
      <c r="FJ55" s="92"/>
      <c r="FK55" s="92"/>
      <c r="FL55" s="92"/>
      <c r="FM55" s="92"/>
      <c r="FN55" s="92"/>
      <c r="FO55" s="92"/>
      <c r="FP55" s="92"/>
      <c r="FQ55" s="92"/>
      <c r="FR55" s="92"/>
      <c r="FS55" s="92"/>
      <c r="FT55" s="92"/>
      <c r="FU55" s="92"/>
      <c r="FV55" s="92"/>
      <c r="FW55" s="92"/>
      <c r="FX55" s="92"/>
      <c r="FY55" s="92"/>
      <c r="FZ55" s="92"/>
      <c r="GA55" s="92"/>
      <c r="GB55" s="92"/>
      <c r="GC55" s="92"/>
      <c r="GD55" s="92"/>
      <c r="GE55" s="92"/>
      <c r="GF55" s="92"/>
      <c r="GG55" s="92"/>
      <c r="GH55" s="92"/>
      <c r="GI55" s="92"/>
      <c r="GJ55" s="92"/>
      <c r="GK55" s="92"/>
      <c r="GL55" s="92"/>
      <c r="GM55" s="92"/>
      <c r="GN55" s="92"/>
      <c r="GO55" s="92"/>
      <c r="GP55" s="92"/>
      <c r="GQ55" s="92"/>
      <c r="GR55" s="92"/>
      <c r="GS55" s="92"/>
      <c r="GT55" s="92"/>
      <c r="GU55" s="92"/>
      <c r="GV55" s="92"/>
      <c r="GW55" s="92"/>
      <c r="GX55" s="92"/>
      <c r="GY55" s="92"/>
      <c r="GZ55" s="92"/>
      <c r="HA55" s="92"/>
      <c r="HB55" s="92"/>
      <c r="HC55" s="92"/>
      <c r="HD55" s="92"/>
      <c r="HE55" s="92"/>
      <c r="HF55" s="92"/>
      <c r="HG55" s="92"/>
      <c r="HH55" s="92"/>
    </row>
    <row r="56" spans="1:216" s="93" customFormat="1" ht="13.2" hidden="1" customHeight="1">
      <c r="A56" s="96" t="s">
        <v>808</v>
      </c>
      <c r="B56" s="96">
        <v>105610932</v>
      </c>
      <c r="C56" s="103" t="s">
        <v>43</v>
      </c>
      <c r="D56" s="92"/>
      <c r="E56" s="92"/>
      <c r="F56" s="92"/>
      <c r="G56" s="92"/>
      <c r="H56" s="92"/>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c r="BP56" s="92"/>
      <c r="BQ56" s="92"/>
      <c r="BR56" s="92"/>
      <c r="BS56" s="92"/>
      <c r="BT56" s="92"/>
      <c r="BU56" s="92"/>
      <c r="BV56" s="92"/>
      <c r="BW56" s="92"/>
      <c r="BX56" s="92"/>
      <c r="BY56" s="92"/>
      <c r="BZ56" s="92"/>
      <c r="CA56" s="92"/>
      <c r="CB56" s="92"/>
      <c r="CC56" s="92"/>
      <c r="CD56" s="92"/>
      <c r="CE56" s="92"/>
      <c r="CF56" s="92"/>
      <c r="CG56" s="92"/>
      <c r="CH56" s="92"/>
      <c r="CI56" s="92"/>
      <c r="CJ56" s="92"/>
      <c r="CK56" s="92"/>
      <c r="CL56" s="92"/>
      <c r="CM56" s="92"/>
      <c r="CN56" s="92"/>
      <c r="CO56" s="92"/>
      <c r="CP56" s="92"/>
      <c r="CQ56" s="92"/>
      <c r="CR56" s="92"/>
      <c r="CS56" s="92"/>
      <c r="CT56" s="92"/>
      <c r="CU56" s="92"/>
      <c r="CV56" s="92"/>
      <c r="CW56" s="92"/>
      <c r="CX56" s="92"/>
      <c r="CY56" s="92"/>
      <c r="CZ56" s="92"/>
      <c r="DA56" s="92"/>
      <c r="DB56" s="92"/>
      <c r="DC56" s="92"/>
      <c r="DD56" s="92"/>
      <c r="DE56" s="92"/>
      <c r="DF56" s="92"/>
      <c r="DG56" s="92"/>
      <c r="DH56" s="92"/>
      <c r="DI56" s="92"/>
      <c r="DJ56" s="92"/>
      <c r="DK56" s="92"/>
      <c r="DL56" s="92"/>
      <c r="DM56" s="92"/>
      <c r="DN56" s="92"/>
      <c r="DO56" s="92"/>
      <c r="DP56" s="92"/>
      <c r="DQ56" s="92"/>
      <c r="DR56" s="92"/>
      <c r="DS56" s="92"/>
      <c r="DT56" s="92"/>
      <c r="DU56" s="92"/>
      <c r="DV56" s="92"/>
      <c r="DW56" s="92"/>
      <c r="DX56" s="92"/>
      <c r="DY56" s="92"/>
      <c r="DZ56" s="92"/>
      <c r="EA56" s="92"/>
      <c r="EB56" s="92"/>
      <c r="EC56" s="92"/>
      <c r="ED56" s="92"/>
      <c r="EE56" s="92"/>
      <c r="EF56" s="92"/>
      <c r="EG56" s="92"/>
      <c r="EH56" s="92"/>
      <c r="EI56" s="92"/>
      <c r="EJ56" s="92"/>
      <c r="EK56" s="92"/>
      <c r="EL56" s="92"/>
      <c r="EM56" s="92"/>
      <c r="EN56" s="92"/>
      <c r="EO56" s="92"/>
      <c r="EP56" s="92"/>
      <c r="EQ56" s="92"/>
      <c r="ER56" s="92"/>
      <c r="ES56" s="92"/>
      <c r="ET56" s="92"/>
      <c r="EU56" s="92"/>
      <c r="EV56" s="92"/>
      <c r="EW56" s="92"/>
      <c r="EX56" s="92"/>
      <c r="EY56" s="92"/>
      <c r="EZ56" s="92"/>
      <c r="FA56" s="92"/>
      <c r="FB56" s="92"/>
      <c r="FC56" s="92"/>
      <c r="FD56" s="92"/>
      <c r="FE56" s="92"/>
      <c r="FF56" s="92"/>
      <c r="FG56" s="92"/>
      <c r="FH56" s="92"/>
      <c r="FI56" s="92"/>
      <c r="FJ56" s="92"/>
      <c r="FK56" s="92"/>
      <c r="FL56" s="92"/>
      <c r="FM56" s="92"/>
      <c r="FN56" s="92"/>
      <c r="FO56" s="92"/>
      <c r="FP56" s="92"/>
      <c r="FQ56" s="92"/>
      <c r="FR56" s="92"/>
      <c r="FS56" s="92"/>
      <c r="FT56" s="92"/>
      <c r="FU56" s="92"/>
      <c r="FV56" s="92"/>
      <c r="FW56" s="92"/>
      <c r="FX56" s="92"/>
      <c r="FY56" s="92"/>
      <c r="FZ56" s="92"/>
      <c r="GA56" s="92"/>
      <c r="GB56" s="92"/>
      <c r="GC56" s="92"/>
      <c r="GD56" s="92"/>
      <c r="GE56" s="92"/>
      <c r="GF56" s="92"/>
      <c r="GG56" s="92"/>
      <c r="GH56" s="92"/>
      <c r="GI56" s="92"/>
      <c r="GJ56" s="92"/>
      <c r="GK56" s="92"/>
      <c r="GL56" s="92"/>
      <c r="GM56" s="92"/>
      <c r="GN56" s="92"/>
      <c r="GO56" s="92"/>
      <c r="GP56" s="92"/>
      <c r="GQ56" s="92"/>
      <c r="GR56" s="92"/>
      <c r="GS56" s="92"/>
      <c r="GT56" s="92"/>
      <c r="GU56" s="92"/>
      <c r="GV56" s="92"/>
      <c r="GW56" s="92"/>
      <c r="GX56" s="92"/>
      <c r="GY56" s="92"/>
      <c r="GZ56" s="92"/>
      <c r="HA56" s="92"/>
      <c r="HB56" s="92"/>
      <c r="HC56" s="92"/>
      <c r="HD56" s="92"/>
      <c r="HE56" s="92"/>
      <c r="HF56" s="92"/>
      <c r="HG56" s="92"/>
      <c r="HH56" s="92"/>
    </row>
    <row r="57" spans="1:216" s="93" customFormat="1" ht="13.2" hidden="1" customHeight="1">
      <c r="A57" s="96" t="s">
        <v>809</v>
      </c>
      <c r="B57" s="96">
        <v>95128256</v>
      </c>
      <c r="C57" s="96" t="s">
        <v>680</v>
      </c>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92"/>
      <c r="CC57" s="92"/>
      <c r="CD57" s="92"/>
      <c r="CE57" s="92"/>
      <c r="CF57" s="92"/>
      <c r="CG57" s="92"/>
      <c r="CH57" s="92"/>
      <c r="CI57" s="92"/>
      <c r="CJ57" s="92"/>
      <c r="CK57" s="92"/>
      <c r="CL57" s="92"/>
      <c r="CM57" s="92"/>
      <c r="CN57" s="92"/>
      <c r="CO57" s="92"/>
      <c r="CP57" s="92"/>
      <c r="CQ57" s="92"/>
      <c r="CR57" s="92"/>
      <c r="CS57" s="92"/>
      <c r="CT57" s="92"/>
      <c r="CU57" s="92"/>
      <c r="CV57" s="92"/>
      <c r="CW57" s="92"/>
      <c r="CX57" s="92"/>
      <c r="CY57" s="92"/>
      <c r="CZ57" s="92"/>
      <c r="DA57" s="92"/>
      <c r="DB57" s="92"/>
      <c r="DC57" s="92"/>
      <c r="DD57" s="92"/>
      <c r="DE57" s="92"/>
      <c r="DF57" s="92"/>
      <c r="DG57" s="92"/>
      <c r="DH57" s="92"/>
      <c r="DI57" s="92"/>
      <c r="DJ57" s="92"/>
      <c r="DK57" s="92"/>
      <c r="DL57" s="92"/>
      <c r="DM57" s="92"/>
      <c r="DN57" s="92"/>
      <c r="DO57" s="92"/>
      <c r="DP57" s="92"/>
      <c r="DQ57" s="92"/>
      <c r="DR57" s="92"/>
      <c r="DS57" s="92"/>
      <c r="DT57" s="92"/>
      <c r="DU57" s="92"/>
      <c r="DV57" s="92"/>
      <c r="DW57" s="92"/>
      <c r="DX57" s="92"/>
      <c r="DY57" s="92"/>
      <c r="DZ57" s="92"/>
      <c r="EA57" s="92"/>
      <c r="EB57" s="92"/>
      <c r="EC57" s="92"/>
      <c r="ED57" s="92"/>
      <c r="EE57" s="92"/>
      <c r="EF57" s="92"/>
      <c r="EG57" s="92"/>
      <c r="EH57" s="92"/>
      <c r="EI57" s="92"/>
      <c r="EJ57" s="92"/>
      <c r="EK57" s="92"/>
      <c r="EL57" s="92"/>
      <c r="EM57" s="92"/>
      <c r="EN57" s="92"/>
      <c r="EO57" s="92"/>
      <c r="EP57" s="92"/>
      <c r="EQ57" s="92"/>
      <c r="ER57" s="92"/>
      <c r="ES57" s="92"/>
      <c r="ET57" s="92"/>
      <c r="EU57" s="92"/>
      <c r="EV57" s="92"/>
      <c r="EW57" s="92"/>
      <c r="EX57" s="92"/>
      <c r="EY57" s="92"/>
      <c r="EZ57" s="92"/>
      <c r="FA57" s="92"/>
      <c r="FB57" s="92"/>
      <c r="FC57" s="92"/>
      <c r="FD57" s="92"/>
      <c r="FE57" s="92"/>
      <c r="FF57" s="92"/>
      <c r="FG57" s="92"/>
      <c r="FH57" s="92"/>
      <c r="FI57" s="92"/>
      <c r="FJ57" s="92"/>
      <c r="FK57" s="92"/>
      <c r="FL57" s="92"/>
      <c r="FM57" s="92"/>
      <c r="FN57" s="92"/>
      <c r="FO57" s="92"/>
      <c r="FP57" s="92"/>
      <c r="FQ57" s="92"/>
      <c r="FR57" s="92"/>
      <c r="FS57" s="92"/>
      <c r="FT57" s="92"/>
      <c r="FU57" s="92"/>
      <c r="FV57" s="92"/>
      <c r="FW57" s="92"/>
      <c r="FX57" s="92"/>
      <c r="FY57" s="92"/>
      <c r="FZ57" s="92"/>
      <c r="GA57" s="92"/>
      <c r="GB57" s="92"/>
      <c r="GC57" s="92"/>
      <c r="GD57" s="92"/>
      <c r="GE57" s="92"/>
      <c r="GF57" s="92"/>
      <c r="GG57" s="92"/>
      <c r="GH57" s="92"/>
      <c r="GI57" s="92"/>
      <c r="GJ57" s="92"/>
      <c r="GK57" s="92"/>
      <c r="GL57" s="92"/>
      <c r="GM57" s="92"/>
      <c r="GN57" s="92"/>
      <c r="GO57" s="92"/>
      <c r="GP57" s="92"/>
      <c r="GQ57" s="92"/>
      <c r="GR57" s="92"/>
      <c r="GS57" s="92"/>
      <c r="GT57" s="92"/>
      <c r="GU57" s="92"/>
      <c r="GV57" s="92"/>
      <c r="GW57" s="92"/>
      <c r="GX57" s="92"/>
      <c r="GY57" s="92"/>
      <c r="GZ57" s="92"/>
      <c r="HA57" s="92"/>
      <c r="HB57" s="92"/>
      <c r="HC57" s="92"/>
      <c r="HD57" s="92"/>
      <c r="HE57" s="92"/>
      <c r="HF57" s="92"/>
      <c r="HG57" s="92"/>
      <c r="HH57" s="92"/>
    </row>
    <row r="58" spans="1:216" s="93" customFormat="1" ht="13.2" hidden="1" customHeight="1">
      <c r="A58" s="97" t="s">
        <v>581</v>
      </c>
      <c r="B58" s="96" t="s">
        <v>810</v>
      </c>
      <c r="C58" s="99"/>
      <c r="D58" s="91"/>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c r="BP58" s="92"/>
      <c r="BQ58" s="92"/>
      <c r="BR58" s="92"/>
      <c r="BS58" s="92"/>
      <c r="BT58" s="92"/>
      <c r="BU58" s="92"/>
      <c r="BV58" s="92"/>
      <c r="BW58" s="92"/>
      <c r="BX58" s="92"/>
      <c r="BY58" s="92"/>
      <c r="BZ58" s="92"/>
      <c r="CA58" s="92"/>
      <c r="CB58" s="92"/>
      <c r="CC58" s="92"/>
      <c r="CD58" s="92"/>
      <c r="CE58" s="92"/>
      <c r="CF58" s="92"/>
      <c r="CG58" s="92"/>
      <c r="CH58" s="92"/>
      <c r="CI58" s="92"/>
      <c r="CJ58" s="92"/>
      <c r="CK58" s="92"/>
      <c r="CL58" s="92"/>
      <c r="CM58" s="92"/>
      <c r="CN58" s="92"/>
      <c r="CO58" s="92"/>
      <c r="CP58" s="92"/>
      <c r="CQ58" s="92"/>
      <c r="CR58" s="92"/>
      <c r="CS58" s="92"/>
      <c r="CT58" s="92"/>
      <c r="CU58" s="92"/>
      <c r="CV58" s="92"/>
      <c r="CW58" s="92"/>
      <c r="CX58" s="92"/>
      <c r="CY58" s="92"/>
      <c r="CZ58" s="92"/>
      <c r="DA58" s="92"/>
      <c r="DB58" s="92"/>
      <c r="DC58" s="92"/>
      <c r="DD58" s="92"/>
      <c r="DE58" s="92"/>
      <c r="DF58" s="92"/>
      <c r="DG58" s="92"/>
      <c r="DH58" s="92"/>
      <c r="DI58" s="92"/>
      <c r="DJ58" s="92"/>
      <c r="DK58" s="92"/>
      <c r="DL58" s="92"/>
      <c r="DM58" s="92"/>
      <c r="DN58" s="92"/>
      <c r="DO58" s="92"/>
      <c r="DP58" s="92"/>
      <c r="DQ58" s="92"/>
      <c r="DR58" s="92"/>
      <c r="DS58" s="92"/>
      <c r="DT58" s="92"/>
      <c r="DU58" s="92"/>
      <c r="DV58" s="92"/>
      <c r="DW58" s="92"/>
      <c r="DX58" s="92"/>
      <c r="DY58" s="92"/>
      <c r="DZ58" s="92"/>
      <c r="EA58" s="92"/>
      <c r="EB58" s="92"/>
      <c r="EC58" s="92"/>
      <c r="ED58" s="92"/>
      <c r="EE58" s="92"/>
      <c r="EF58" s="92"/>
      <c r="EG58" s="92"/>
      <c r="EH58" s="92"/>
      <c r="EI58" s="92"/>
      <c r="EJ58" s="92"/>
      <c r="EK58" s="92"/>
      <c r="EL58" s="92"/>
      <c r="EM58" s="92"/>
      <c r="EN58" s="92"/>
      <c r="EO58" s="92"/>
      <c r="EP58" s="92"/>
      <c r="EQ58" s="92"/>
      <c r="ER58" s="92"/>
      <c r="ES58" s="92"/>
      <c r="ET58" s="92"/>
      <c r="EU58" s="92"/>
      <c r="EV58" s="92"/>
      <c r="EW58" s="92"/>
      <c r="EX58" s="92"/>
      <c r="EY58" s="92"/>
      <c r="EZ58" s="92"/>
      <c r="FA58" s="92"/>
      <c r="FB58" s="92"/>
      <c r="FC58" s="92"/>
      <c r="FD58" s="92"/>
      <c r="FE58" s="92"/>
      <c r="FF58" s="92"/>
      <c r="FG58" s="92"/>
      <c r="FH58" s="92"/>
      <c r="FI58" s="92"/>
      <c r="FJ58" s="92"/>
      <c r="FK58" s="92"/>
      <c r="FL58" s="92"/>
      <c r="FM58" s="92"/>
      <c r="FN58" s="92"/>
      <c r="FO58" s="92"/>
      <c r="FP58" s="92"/>
      <c r="FQ58" s="92"/>
      <c r="FR58" s="92"/>
      <c r="FS58" s="92"/>
      <c r="FT58" s="92"/>
      <c r="FU58" s="92"/>
      <c r="FV58" s="92"/>
      <c r="FW58" s="92"/>
      <c r="FX58" s="92"/>
      <c r="FY58" s="92"/>
      <c r="FZ58" s="92"/>
      <c r="GA58" s="92"/>
      <c r="GB58" s="92"/>
      <c r="GC58" s="92"/>
      <c r="GD58" s="92"/>
      <c r="GE58" s="92"/>
      <c r="GF58" s="92"/>
      <c r="GG58" s="92"/>
      <c r="GH58" s="92"/>
      <c r="GI58" s="92"/>
      <c r="GJ58" s="92"/>
      <c r="GK58" s="92"/>
      <c r="GL58" s="92"/>
      <c r="GM58" s="92"/>
      <c r="GN58" s="92"/>
      <c r="GO58" s="92"/>
      <c r="GP58" s="92"/>
      <c r="GQ58" s="92"/>
      <c r="GR58" s="92"/>
      <c r="GS58" s="92"/>
      <c r="GT58" s="92"/>
      <c r="GU58" s="92"/>
      <c r="GV58" s="92"/>
      <c r="GW58" s="92"/>
      <c r="GX58" s="92"/>
      <c r="GY58" s="92"/>
      <c r="GZ58" s="92"/>
      <c r="HA58" s="92"/>
      <c r="HB58" s="92"/>
      <c r="HC58" s="92"/>
      <c r="HD58" s="92"/>
      <c r="HE58" s="92"/>
      <c r="HF58" s="92"/>
      <c r="HG58" s="92"/>
      <c r="HH58" s="92"/>
    </row>
    <row r="59" spans="1:216" s="93" customFormat="1" ht="13.2" hidden="1" customHeight="1">
      <c r="A59" s="96" t="s">
        <v>811</v>
      </c>
      <c r="B59" s="96">
        <v>14177603</v>
      </c>
      <c r="C59" s="96" t="s">
        <v>625</v>
      </c>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c r="BP59" s="92"/>
      <c r="BQ59" s="92"/>
      <c r="BR59" s="92"/>
      <c r="BS59" s="92"/>
      <c r="BT59" s="92"/>
      <c r="BU59" s="92"/>
      <c r="BV59" s="92"/>
      <c r="BW59" s="92"/>
      <c r="BX59" s="92"/>
      <c r="BY59" s="92"/>
      <c r="BZ59" s="92"/>
      <c r="CA59" s="92"/>
      <c r="CB59" s="92"/>
      <c r="CC59" s="92"/>
      <c r="CD59" s="92"/>
      <c r="CE59" s="92"/>
      <c r="CF59" s="92"/>
      <c r="CG59" s="92"/>
      <c r="CH59" s="92"/>
      <c r="CI59" s="92"/>
      <c r="CJ59" s="92"/>
      <c r="CK59" s="92"/>
      <c r="CL59" s="92"/>
      <c r="CM59" s="92"/>
      <c r="CN59" s="92"/>
      <c r="CO59" s="92"/>
      <c r="CP59" s="92"/>
      <c r="CQ59" s="92"/>
      <c r="CR59" s="92"/>
      <c r="CS59" s="92"/>
      <c r="CT59" s="92"/>
      <c r="CU59" s="92"/>
      <c r="CV59" s="92"/>
      <c r="CW59" s="92"/>
      <c r="CX59" s="92"/>
      <c r="CY59" s="92"/>
      <c r="CZ59" s="92"/>
      <c r="DA59" s="92"/>
      <c r="DB59" s="92"/>
      <c r="DC59" s="92"/>
      <c r="DD59" s="92"/>
      <c r="DE59" s="92"/>
      <c r="DF59" s="92"/>
      <c r="DG59" s="92"/>
      <c r="DH59" s="92"/>
      <c r="DI59" s="92"/>
      <c r="DJ59" s="92"/>
      <c r="DK59" s="92"/>
      <c r="DL59" s="92"/>
      <c r="DM59" s="92"/>
      <c r="DN59" s="92"/>
      <c r="DO59" s="92"/>
      <c r="DP59" s="92"/>
      <c r="DQ59" s="92"/>
      <c r="DR59" s="92"/>
      <c r="DS59" s="92"/>
      <c r="DT59" s="92"/>
      <c r="DU59" s="92"/>
      <c r="DV59" s="92"/>
      <c r="DW59" s="92"/>
      <c r="DX59" s="92"/>
      <c r="DY59" s="92"/>
      <c r="DZ59" s="92"/>
      <c r="EA59" s="92"/>
      <c r="EB59" s="92"/>
      <c r="EC59" s="92"/>
      <c r="ED59" s="92"/>
      <c r="EE59" s="92"/>
      <c r="EF59" s="92"/>
      <c r="EG59" s="92"/>
      <c r="EH59" s="92"/>
      <c r="EI59" s="92"/>
      <c r="EJ59" s="92"/>
      <c r="EK59" s="92"/>
      <c r="EL59" s="92"/>
      <c r="EM59" s="92"/>
      <c r="EN59" s="92"/>
      <c r="EO59" s="92"/>
      <c r="EP59" s="92"/>
      <c r="EQ59" s="92"/>
      <c r="ER59" s="92"/>
      <c r="ES59" s="92"/>
      <c r="ET59" s="92"/>
      <c r="EU59" s="92"/>
      <c r="EV59" s="92"/>
      <c r="EW59" s="92"/>
      <c r="EX59" s="92"/>
      <c r="EY59" s="92"/>
      <c r="EZ59" s="92"/>
      <c r="FA59" s="92"/>
      <c r="FB59" s="92"/>
      <c r="FC59" s="92"/>
      <c r="FD59" s="92"/>
      <c r="FE59" s="92"/>
      <c r="FF59" s="92"/>
      <c r="FG59" s="92"/>
      <c r="FH59" s="92"/>
      <c r="FI59" s="92"/>
      <c r="FJ59" s="92"/>
      <c r="FK59" s="92"/>
      <c r="FL59" s="92"/>
      <c r="FM59" s="92"/>
      <c r="FN59" s="92"/>
      <c r="FO59" s="92"/>
      <c r="FP59" s="92"/>
      <c r="FQ59" s="92"/>
      <c r="FR59" s="92"/>
      <c r="FS59" s="92"/>
      <c r="FT59" s="92"/>
      <c r="FU59" s="92"/>
      <c r="FV59" s="92"/>
      <c r="FW59" s="92"/>
      <c r="FX59" s="92"/>
      <c r="FY59" s="92"/>
      <c r="FZ59" s="92"/>
      <c r="GA59" s="92"/>
      <c r="GB59" s="92"/>
      <c r="GC59" s="92"/>
      <c r="GD59" s="92"/>
      <c r="GE59" s="92"/>
      <c r="GF59" s="92"/>
      <c r="GG59" s="92"/>
      <c r="GH59" s="92"/>
      <c r="GI59" s="92"/>
      <c r="GJ59" s="92"/>
      <c r="GK59" s="92"/>
      <c r="GL59" s="92"/>
      <c r="GM59" s="92"/>
      <c r="GN59" s="92"/>
      <c r="GO59" s="92"/>
      <c r="GP59" s="92"/>
      <c r="GQ59" s="92"/>
      <c r="GR59" s="92"/>
      <c r="GS59" s="92"/>
      <c r="GT59" s="92"/>
      <c r="GU59" s="92"/>
      <c r="GV59" s="92"/>
      <c r="GW59" s="92"/>
      <c r="GX59" s="92"/>
      <c r="GY59" s="92"/>
      <c r="GZ59" s="92"/>
      <c r="HA59" s="92"/>
      <c r="HB59" s="92"/>
      <c r="HC59" s="92"/>
      <c r="HD59" s="92"/>
      <c r="HE59" s="92"/>
      <c r="HF59" s="92"/>
      <c r="HG59" s="92"/>
      <c r="HH59" s="92"/>
    </row>
    <row r="60" spans="1:216" s="93" customFormat="1" ht="13.2" hidden="1" customHeight="1">
      <c r="A60" s="96" t="s">
        <v>383</v>
      </c>
      <c r="B60" s="96">
        <v>71437827</v>
      </c>
      <c r="C60" s="96" t="s">
        <v>722</v>
      </c>
      <c r="D60" s="91"/>
      <c r="E60" s="92"/>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c r="BP60" s="92"/>
      <c r="BQ60" s="92"/>
      <c r="BR60" s="92"/>
      <c r="BS60" s="92"/>
      <c r="BT60" s="92"/>
      <c r="BU60" s="92"/>
      <c r="BV60" s="92"/>
      <c r="BW60" s="92"/>
      <c r="BX60" s="92"/>
      <c r="BY60" s="92"/>
      <c r="BZ60" s="92"/>
      <c r="CA60" s="92"/>
      <c r="CB60" s="92"/>
      <c r="CC60" s="92"/>
      <c r="CD60" s="92"/>
      <c r="CE60" s="92"/>
      <c r="CF60" s="92"/>
      <c r="CG60" s="92"/>
      <c r="CH60" s="92"/>
      <c r="CI60" s="92"/>
      <c r="CJ60" s="92"/>
      <c r="CK60" s="92"/>
      <c r="CL60" s="92"/>
      <c r="CM60" s="92"/>
      <c r="CN60" s="92"/>
      <c r="CO60" s="92"/>
      <c r="CP60" s="92"/>
      <c r="CQ60" s="92"/>
      <c r="CR60" s="92"/>
      <c r="CS60" s="92"/>
      <c r="CT60" s="92"/>
      <c r="CU60" s="92"/>
      <c r="CV60" s="92"/>
      <c r="CW60" s="92"/>
      <c r="CX60" s="92"/>
      <c r="CY60" s="92"/>
      <c r="CZ60" s="92"/>
      <c r="DA60" s="92"/>
      <c r="DB60" s="92"/>
      <c r="DC60" s="92"/>
      <c r="DD60" s="92"/>
      <c r="DE60" s="92"/>
      <c r="DF60" s="92"/>
      <c r="DG60" s="92"/>
      <c r="DH60" s="92"/>
      <c r="DI60" s="92"/>
      <c r="DJ60" s="92"/>
      <c r="DK60" s="92"/>
      <c r="DL60" s="92"/>
      <c r="DM60" s="92"/>
      <c r="DN60" s="92"/>
      <c r="DO60" s="92"/>
      <c r="DP60" s="92"/>
      <c r="DQ60" s="92"/>
      <c r="DR60" s="92"/>
      <c r="DS60" s="92"/>
      <c r="DT60" s="92"/>
      <c r="DU60" s="92"/>
      <c r="DV60" s="92"/>
      <c r="DW60" s="92"/>
      <c r="DX60" s="92"/>
      <c r="DY60" s="92"/>
      <c r="DZ60" s="92"/>
      <c r="EA60" s="92"/>
      <c r="EB60" s="92"/>
      <c r="EC60" s="92"/>
      <c r="ED60" s="92"/>
      <c r="EE60" s="92"/>
      <c r="EF60" s="92"/>
      <c r="EG60" s="92"/>
      <c r="EH60" s="92"/>
      <c r="EI60" s="92"/>
      <c r="EJ60" s="92"/>
      <c r="EK60" s="92"/>
      <c r="EL60" s="92"/>
      <c r="EM60" s="92"/>
      <c r="EN60" s="92"/>
      <c r="EO60" s="92"/>
      <c r="EP60" s="92"/>
      <c r="EQ60" s="92"/>
      <c r="ER60" s="92"/>
      <c r="ES60" s="92"/>
      <c r="ET60" s="92"/>
      <c r="EU60" s="92"/>
      <c r="EV60" s="92"/>
      <c r="EW60" s="92"/>
      <c r="EX60" s="92"/>
      <c r="EY60" s="92"/>
      <c r="EZ60" s="92"/>
      <c r="FA60" s="92"/>
      <c r="FB60" s="92"/>
      <c r="FC60" s="92"/>
      <c r="FD60" s="92"/>
      <c r="FE60" s="92"/>
      <c r="FF60" s="92"/>
      <c r="FG60" s="92"/>
      <c r="FH60" s="92"/>
      <c r="FI60" s="92"/>
      <c r="FJ60" s="92"/>
      <c r="FK60" s="92"/>
      <c r="FL60" s="92"/>
      <c r="FM60" s="92"/>
      <c r="FN60" s="92"/>
      <c r="FO60" s="92"/>
      <c r="FP60" s="92"/>
      <c r="FQ60" s="92"/>
      <c r="FR60" s="92"/>
      <c r="FS60" s="92"/>
      <c r="FT60" s="92"/>
      <c r="FU60" s="92"/>
      <c r="FV60" s="92"/>
      <c r="FW60" s="92"/>
      <c r="FX60" s="92"/>
      <c r="FY60" s="92"/>
      <c r="FZ60" s="92"/>
      <c r="GA60" s="92"/>
      <c r="GB60" s="92"/>
      <c r="GC60" s="92"/>
      <c r="GD60" s="92"/>
      <c r="GE60" s="92"/>
      <c r="GF60" s="92"/>
      <c r="GG60" s="92"/>
      <c r="GH60" s="92"/>
      <c r="GI60" s="92"/>
      <c r="GJ60" s="92"/>
      <c r="GK60" s="92"/>
      <c r="GL60" s="92"/>
      <c r="GM60" s="92"/>
      <c r="GN60" s="92"/>
      <c r="GO60" s="92"/>
      <c r="GP60" s="92"/>
      <c r="GQ60" s="92"/>
      <c r="GR60" s="92"/>
      <c r="GS60" s="92"/>
      <c r="GT60" s="92"/>
      <c r="GU60" s="92"/>
      <c r="GV60" s="92"/>
      <c r="GW60" s="92"/>
      <c r="GX60" s="92"/>
      <c r="GY60" s="92"/>
      <c r="GZ60" s="92"/>
      <c r="HA60" s="92"/>
      <c r="HB60" s="92"/>
      <c r="HC60" s="92"/>
      <c r="HD60" s="92"/>
      <c r="HE60" s="92"/>
      <c r="HF60" s="92"/>
      <c r="HG60" s="92"/>
      <c r="HH60" s="92"/>
    </row>
    <row r="61" spans="1:216" s="93" customFormat="1" ht="13.2" hidden="1" customHeight="1">
      <c r="A61" s="97" t="s">
        <v>582</v>
      </c>
      <c r="B61" s="96" t="s">
        <v>812</v>
      </c>
      <c r="C61" s="99"/>
      <c r="D61" s="91"/>
      <c r="E61" s="92"/>
      <c r="F61" s="92"/>
      <c r="G61" s="92"/>
      <c r="H61" s="92"/>
      <c r="I61" s="92"/>
      <c r="J61" s="92"/>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c r="CB61" s="92"/>
      <c r="CC61" s="92"/>
      <c r="CD61" s="92"/>
      <c r="CE61" s="92"/>
      <c r="CF61" s="92"/>
      <c r="CG61" s="92"/>
      <c r="CH61" s="92"/>
      <c r="CI61" s="92"/>
      <c r="CJ61" s="92"/>
      <c r="CK61" s="92"/>
      <c r="CL61" s="92"/>
      <c r="CM61" s="92"/>
      <c r="CN61" s="92"/>
      <c r="CO61" s="92"/>
      <c r="CP61" s="92"/>
      <c r="CQ61" s="92"/>
      <c r="CR61" s="92"/>
      <c r="CS61" s="92"/>
      <c r="CT61" s="92"/>
      <c r="CU61" s="92"/>
      <c r="CV61" s="92"/>
      <c r="CW61" s="92"/>
      <c r="CX61" s="92"/>
      <c r="CY61" s="92"/>
      <c r="CZ61" s="92"/>
      <c r="DA61" s="92"/>
      <c r="DB61" s="92"/>
      <c r="DC61" s="92"/>
      <c r="DD61" s="92"/>
      <c r="DE61" s="92"/>
      <c r="DF61" s="92"/>
      <c r="DG61" s="92"/>
      <c r="DH61" s="92"/>
      <c r="DI61" s="92"/>
      <c r="DJ61" s="92"/>
      <c r="DK61" s="92"/>
      <c r="DL61" s="92"/>
      <c r="DM61" s="92"/>
      <c r="DN61" s="92"/>
      <c r="DO61" s="92"/>
      <c r="DP61" s="92"/>
      <c r="DQ61" s="92"/>
      <c r="DR61" s="92"/>
      <c r="DS61" s="92"/>
      <c r="DT61" s="92"/>
      <c r="DU61" s="92"/>
      <c r="DV61" s="92"/>
      <c r="DW61" s="92"/>
      <c r="DX61" s="92"/>
      <c r="DY61" s="92"/>
      <c r="DZ61" s="92"/>
      <c r="EA61" s="92"/>
      <c r="EB61" s="92"/>
      <c r="EC61" s="92"/>
      <c r="ED61" s="92"/>
      <c r="EE61" s="92"/>
      <c r="EF61" s="92"/>
      <c r="EG61" s="92"/>
      <c r="EH61" s="92"/>
      <c r="EI61" s="92"/>
      <c r="EJ61" s="92"/>
      <c r="EK61" s="92"/>
      <c r="EL61" s="92"/>
      <c r="EM61" s="92"/>
      <c r="EN61" s="92"/>
      <c r="EO61" s="92"/>
      <c r="EP61" s="92"/>
      <c r="EQ61" s="92"/>
      <c r="ER61" s="92"/>
      <c r="ES61" s="92"/>
      <c r="ET61" s="92"/>
      <c r="EU61" s="92"/>
      <c r="EV61" s="92"/>
      <c r="EW61" s="92"/>
      <c r="EX61" s="92"/>
      <c r="EY61" s="92"/>
      <c r="EZ61" s="92"/>
      <c r="FA61" s="92"/>
      <c r="FB61" s="92"/>
      <c r="FC61" s="92"/>
      <c r="FD61" s="92"/>
      <c r="FE61" s="92"/>
      <c r="FF61" s="92"/>
      <c r="FG61" s="92"/>
      <c r="FH61" s="92"/>
      <c r="FI61" s="92"/>
      <c r="FJ61" s="92"/>
      <c r="FK61" s="92"/>
      <c r="FL61" s="92"/>
      <c r="FM61" s="92"/>
      <c r="FN61" s="92"/>
      <c r="FO61" s="92"/>
      <c r="FP61" s="92"/>
      <c r="FQ61" s="92"/>
      <c r="FR61" s="92"/>
      <c r="FS61" s="92"/>
      <c r="FT61" s="92"/>
      <c r="FU61" s="92"/>
      <c r="FV61" s="92"/>
      <c r="FW61" s="92"/>
      <c r="FX61" s="92"/>
      <c r="FY61" s="92"/>
      <c r="FZ61" s="92"/>
      <c r="GA61" s="92"/>
      <c r="GB61" s="92"/>
      <c r="GC61" s="92"/>
      <c r="GD61" s="92"/>
      <c r="GE61" s="92"/>
      <c r="GF61" s="92"/>
      <c r="GG61" s="92"/>
      <c r="GH61" s="92"/>
      <c r="GI61" s="92"/>
      <c r="GJ61" s="92"/>
      <c r="GK61" s="92"/>
      <c r="GL61" s="92"/>
      <c r="GM61" s="92"/>
      <c r="GN61" s="92"/>
      <c r="GO61" s="92"/>
      <c r="GP61" s="92"/>
      <c r="GQ61" s="92"/>
      <c r="GR61" s="92"/>
      <c r="GS61" s="92"/>
      <c r="GT61" s="92"/>
      <c r="GU61" s="92"/>
      <c r="GV61" s="92"/>
      <c r="GW61" s="92"/>
      <c r="GX61" s="92"/>
      <c r="GY61" s="92"/>
      <c r="GZ61" s="92"/>
      <c r="HA61" s="92"/>
      <c r="HB61" s="92"/>
      <c r="HC61" s="92"/>
      <c r="HD61" s="92"/>
      <c r="HE61" s="92"/>
      <c r="HF61" s="92"/>
      <c r="HG61" s="92"/>
      <c r="HH61" s="92"/>
    </row>
    <row r="62" spans="1:216" s="93" customFormat="1" ht="13.2" hidden="1" customHeight="1">
      <c r="A62" s="96" t="s">
        <v>813</v>
      </c>
      <c r="B62" s="96">
        <v>140741175</v>
      </c>
      <c r="C62" s="96" t="s">
        <v>814</v>
      </c>
      <c r="D62" s="91"/>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c r="BP62" s="92"/>
      <c r="BQ62" s="92"/>
      <c r="BR62" s="92"/>
      <c r="BS62" s="92"/>
      <c r="BT62" s="92"/>
      <c r="BU62" s="92"/>
      <c r="BV62" s="92"/>
      <c r="BW62" s="92"/>
      <c r="BX62" s="92"/>
      <c r="BY62" s="92"/>
      <c r="BZ62" s="92"/>
      <c r="CA62" s="92"/>
      <c r="CB62" s="92"/>
      <c r="CC62" s="92"/>
      <c r="CD62" s="92"/>
      <c r="CE62" s="92"/>
      <c r="CF62" s="92"/>
      <c r="CG62" s="92"/>
      <c r="CH62" s="92"/>
      <c r="CI62" s="92"/>
      <c r="CJ62" s="92"/>
      <c r="CK62" s="92"/>
      <c r="CL62" s="92"/>
      <c r="CM62" s="92"/>
      <c r="CN62" s="92"/>
      <c r="CO62" s="92"/>
      <c r="CP62" s="92"/>
      <c r="CQ62" s="92"/>
      <c r="CR62" s="92"/>
      <c r="CS62" s="92"/>
      <c r="CT62" s="92"/>
      <c r="CU62" s="92"/>
      <c r="CV62" s="92"/>
      <c r="CW62" s="92"/>
      <c r="CX62" s="92"/>
      <c r="CY62" s="92"/>
      <c r="CZ62" s="92"/>
      <c r="DA62" s="92"/>
      <c r="DB62" s="92"/>
      <c r="DC62" s="92"/>
      <c r="DD62" s="92"/>
      <c r="DE62" s="92"/>
      <c r="DF62" s="92"/>
      <c r="DG62" s="92"/>
      <c r="DH62" s="92"/>
      <c r="DI62" s="92"/>
      <c r="DJ62" s="92"/>
      <c r="DK62" s="92"/>
      <c r="DL62" s="92"/>
      <c r="DM62" s="92"/>
      <c r="DN62" s="92"/>
      <c r="DO62" s="92"/>
      <c r="DP62" s="92"/>
      <c r="DQ62" s="92"/>
      <c r="DR62" s="92"/>
      <c r="DS62" s="92"/>
      <c r="DT62" s="92"/>
      <c r="DU62" s="92"/>
      <c r="DV62" s="92"/>
      <c r="DW62" s="92"/>
      <c r="DX62" s="92"/>
      <c r="DY62" s="92"/>
      <c r="DZ62" s="92"/>
      <c r="EA62" s="92"/>
      <c r="EB62" s="92"/>
      <c r="EC62" s="92"/>
      <c r="ED62" s="92"/>
      <c r="EE62" s="92"/>
      <c r="EF62" s="92"/>
      <c r="EG62" s="92"/>
      <c r="EH62" s="92"/>
      <c r="EI62" s="92"/>
      <c r="EJ62" s="92"/>
      <c r="EK62" s="92"/>
      <c r="EL62" s="92"/>
      <c r="EM62" s="92"/>
      <c r="EN62" s="92"/>
      <c r="EO62" s="92"/>
      <c r="EP62" s="92"/>
      <c r="EQ62" s="92"/>
      <c r="ER62" s="92"/>
      <c r="ES62" s="92"/>
      <c r="ET62" s="92"/>
      <c r="EU62" s="92"/>
      <c r="EV62" s="92"/>
      <c r="EW62" s="92"/>
      <c r="EX62" s="92"/>
      <c r="EY62" s="92"/>
      <c r="EZ62" s="92"/>
      <c r="FA62" s="92"/>
      <c r="FB62" s="92"/>
      <c r="FC62" s="92"/>
      <c r="FD62" s="92"/>
      <c r="FE62" s="92"/>
      <c r="FF62" s="92"/>
      <c r="FG62" s="92"/>
      <c r="FH62" s="92"/>
      <c r="FI62" s="92"/>
      <c r="FJ62" s="92"/>
      <c r="FK62" s="92"/>
      <c r="FL62" s="92"/>
      <c r="FM62" s="92"/>
      <c r="FN62" s="92"/>
      <c r="FO62" s="92"/>
      <c r="FP62" s="92"/>
      <c r="FQ62" s="92"/>
      <c r="FR62" s="92"/>
      <c r="FS62" s="92"/>
      <c r="FT62" s="92"/>
      <c r="FU62" s="92"/>
      <c r="FV62" s="92"/>
      <c r="FW62" s="92"/>
      <c r="FX62" s="92"/>
      <c r="FY62" s="92"/>
      <c r="FZ62" s="92"/>
      <c r="GA62" s="92"/>
      <c r="GB62" s="92"/>
      <c r="GC62" s="92"/>
      <c r="GD62" s="92"/>
      <c r="GE62" s="92"/>
      <c r="GF62" s="92"/>
      <c r="GG62" s="92"/>
      <c r="GH62" s="92"/>
      <c r="GI62" s="92"/>
      <c r="GJ62" s="92"/>
      <c r="GK62" s="92"/>
      <c r="GL62" s="92"/>
      <c r="GM62" s="92"/>
      <c r="GN62" s="92"/>
      <c r="GO62" s="92"/>
      <c r="GP62" s="92"/>
      <c r="GQ62" s="92"/>
      <c r="GR62" s="92"/>
      <c r="GS62" s="92"/>
      <c r="GT62" s="92"/>
      <c r="GU62" s="92"/>
      <c r="GV62" s="92"/>
      <c r="GW62" s="92"/>
      <c r="GX62" s="92"/>
      <c r="GY62" s="92"/>
      <c r="GZ62" s="92"/>
      <c r="HA62" s="92"/>
      <c r="HB62" s="92"/>
      <c r="HC62" s="92"/>
      <c r="HD62" s="92"/>
      <c r="HE62" s="92"/>
      <c r="HF62" s="92"/>
      <c r="HG62" s="92"/>
      <c r="HH62" s="92"/>
    </row>
    <row r="63" spans="1:216" s="93" customFormat="1" ht="31.5" hidden="1" customHeight="1">
      <c r="A63" s="97" t="s">
        <v>695</v>
      </c>
      <c r="B63" s="96" t="s">
        <v>815</v>
      </c>
      <c r="C63" s="99"/>
      <c r="D63" s="91"/>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c r="BP63" s="92"/>
      <c r="BQ63" s="92"/>
      <c r="BR63" s="92"/>
      <c r="BS63" s="92"/>
      <c r="BT63" s="92"/>
      <c r="BU63" s="92"/>
      <c r="BV63" s="92"/>
      <c r="BW63" s="92"/>
      <c r="BX63" s="92"/>
      <c r="BY63" s="92"/>
      <c r="BZ63" s="92"/>
      <c r="CA63" s="92"/>
      <c r="CB63" s="92"/>
      <c r="CC63" s="92"/>
      <c r="CD63" s="92"/>
      <c r="CE63" s="92"/>
      <c r="CF63" s="92"/>
      <c r="CG63" s="92"/>
      <c r="CH63" s="92"/>
      <c r="CI63" s="92"/>
      <c r="CJ63" s="92"/>
      <c r="CK63" s="92"/>
      <c r="CL63" s="92"/>
      <c r="CM63" s="92"/>
      <c r="CN63" s="92"/>
      <c r="CO63" s="92"/>
      <c r="CP63" s="92"/>
      <c r="CQ63" s="92"/>
      <c r="CR63" s="92"/>
      <c r="CS63" s="92"/>
      <c r="CT63" s="92"/>
      <c r="CU63" s="92"/>
      <c r="CV63" s="92"/>
      <c r="CW63" s="92"/>
      <c r="CX63" s="92"/>
      <c r="CY63" s="92"/>
      <c r="CZ63" s="92"/>
      <c r="DA63" s="92"/>
      <c r="DB63" s="92"/>
      <c r="DC63" s="92"/>
      <c r="DD63" s="92"/>
      <c r="DE63" s="92"/>
      <c r="DF63" s="92"/>
      <c r="DG63" s="92"/>
      <c r="DH63" s="92"/>
      <c r="DI63" s="92"/>
      <c r="DJ63" s="92"/>
      <c r="DK63" s="92"/>
      <c r="DL63" s="92"/>
      <c r="DM63" s="92"/>
      <c r="DN63" s="92"/>
      <c r="DO63" s="92"/>
      <c r="DP63" s="92"/>
      <c r="DQ63" s="92"/>
      <c r="DR63" s="92"/>
      <c r="DS63" s="92"/>
      <c r="DT63" s="92"/>
      <c r="DU63" s="92"/>
      <c r="DV63" s="92"/>
      <c r="DW63" s="92"/>
      <c r="DX63" s="92"/>
      <c r="DY63" s="92"/>
      <c r="DZ63" s="92"/>
      <c r="EA63" s="92"/>
      <c r="EB63" s="92"/>
      <c r="EC63" s="92"/>
      <c r="ED63" s="92"/>
      <c r="EE63" s="92"/>
      <c r="EF63" s="92"/>
      <c r="EG63" s="92"/>
      <c r="EH63" s="92"/>
      <c r="EI63" s="92"/>
      <c r="EJ63" s="92"/>
      <c r="EK63" s="92"/>
      <c r="EL63" s="92"/>
      <c r="EM63" s="92"/>
      <c r="EN63" s="92"/>
      <c r="EO63" s="92"/>
      <c r="EP63" s="92"/>
      <c r="EQ63" s="92"/>
      <c r="ER63" s="92"/>
      <c r="ES63" s="92"/>
      <c r="ET63" s="92"/>
      <c r="EU63" s="92"/>
      <c r="EV63" s="92"/>
      <c r="EW63" s="92"/>
      <c r="EX63" s="92"/>
      <c r="EY63" s="92"/>
      <c r="EZ63" s="92"/>
      <c r="FA63" s="92"/>
      <c r="FB63" s="92"/>
      <c r="FC63" s="92"/>
      <c r="FD63" s="92"/>
      <c r="FE63" s="92"/>
      <c r="FF63" s="92"/>
      <c r="FG63" s="92"/>
      <c r="FH63" s="92"/>
      <c r="FI63" s="92"/>
      <c r="FJ63" s="92"/>
      <c r="FK63" s="92"/>
      <c r="FL63" s="92"/>
      <c r="FM63" s="92"/>
      <c r="FN63" s="92"/>
      <c r="FO63" s="92"/>
      <c r="FP63" s="92"/>
      <c r="FQ63" s="92"/>
      <c r="FR63" s="92"/>
      <c r="FS63" s="92"/>
      <c r="FT63" s="92"/>
      <c r="FU63" s="92"/>
      <c r="FV63" s="92"/>
      <c r="FW63" s="92"/>
      <c r="FX63" s="92"/>
      <c r="FY63" s="92"/>
      <c r="FZ63" s="92"/>
      <c r="GA63" s="92"/>
      <c r="GB63" s="92"/>
      <c r="GC63" s="92"/>
      <c r="GD63" s="92"/>
      <c r="GE63" s="92"/>
      <c r="GF63" s="92"/>
      <c r="GG63" s="92"/>
      <c r="GH63" s="92"/>
      <c r="GI63" s="92"/>
      <c r="GJ63" s="92"/>
      <c r="GK63" s="92"/>
      <c r="GL63" s="92"/>
      <c r="GM63" s="92"/>
      <c r="GN63" s="92"/>
      <c r="GO63" s="92"/>
      <c r="GP63" s="92"/>
      <c r="GQ63" s="92"/>
      <c r="GR63" s="92"/>
      <c r="GS63" s="92"/>
      <c r="GT63" s="92"/>
      <c r="GU63" s="92"/>
      <c r="GV63" s="92"/>
      <c r="GW63" s="92"/>
      <c r="GX63" s="92"/>
      <c r="GY63" s="92"/>
      <c r="GZ63" s="92"/>
      <c r="HA63" s="92"/>
      <c r="HB63" s="92"/>
      <c r="HC63" s="92"/>
      <c r="HD63" s="92"/>
      <c r="HE63" s="92"/>
      <c r="HF63" s="92"/>
      <c r="HG63" s="92"/>
      <c r="HH63" s="92"/>
    </row>
    <row r="64" spans="1:216" s="93" customFormat="1" ht="13.2" hidden="1" customHeight="1">
      <c r="A64" s="96" t="s">
        <v>116</v>
      </c>
      <c r="B64" s="96">
        <v>140844604</v>
      </c>
      <c r="C64" s="96" t="s">
        <v>613</v>
      </c>
      <c r="D64" s="91"/>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c r="BP64" s="92"/>
      <c r="BQ64" s="92"/>
      <c r="BR64" s="92"/>
      <c r="BS64" s="92"/>
      <c r="BT64" s="92"/>
      <c r="BU64" s="92"/>
      <c r="BV64" s="92"/>
      <c r="BW64" s="92"/>
      <c r="BX64" s="92"/>
      <c r="BY64" s="92"/>
      <c r="BZ64" s="92"/>
      <c r="CA64" s="92"/>
      <c r="CB64" s="92"/>
      <c r="CC64" s="92"/>
      <c r="CD64" s="92"/>
      <c r="CE64" s="92"/>
      <c r="CF64" s="92"/>
      <c r="CG64" s="92"/>
      <c r="CH64" s="92"/>
      <c r="CI64" s="92"/>
      <c r="CJ64" s="92"/>
      <c r="CK64" s="92"/>
      <c r="CL64" s="92"/>
      <c r="CM64" s="92"/>
      <c r="CN64" s="92"/>
      <c r="CO64" s="92"/>
      <c r="CP64" s="92"/>
      <c r="CQ64" s="92"/>
      <c r="CR64" s="92"/>
      <c r="CS64" s="92"/>
      <c r="CT64" s="92"/>
      <c r="CU64" s="92"/>
      <c r="CV64" s="92"/>
      <c r="CW64" s="92"/>
      <c r="CX64" s="92"/>
      <c r="CY64" s="92"/>
      <c r="CZ64" s="92"/>
      <c r="DA64" s="92"/>
      <c r="DB64" s="92"/>
      <c r="DC64" s="92"/>
      <c r="DD64" s="92"/>
      <c r="DE64" s="92"/>
      <c r="DF64" s="92"/>
      <c r="DG64" s="92"/>
      <c r="DH64" s="92"/>
      <c r="DI64" s="92"/>
      <c r="DJ64" s="92"/>
      <c r="DK64" s="92"/>
      <c r="DL64" s="92"/>
      <c r="DM64" s="92"/>
      <c r="DN64" s="92"/>
      <c r="DO64" s="92"/>
      <c r="DP64" s="92"/>
      <c r="DQ64" s="92"/>
      <c r="DR64" s="92"/>
      <c r="DS64" s="92"/>
      <c r="DT64" s="92"/>
      <c r="DU64" s="92"/>
      <c r="DV64" s="92"/>
      <c r="DW64" s="92"/>
      <c r="DX64" s="92"/>
      <c r="DY64" s="92"/>
      <c r="DZ64" s="92"/>
      <c r="EA64" s="92"/>
      <c r="EB64" s="92"/>
      <c r="EC64" s="92"/>
      <c r="ED64" s="92"/>
      <c r="EE64" s="92"/>
      <c r="EF64" s="92"/>
      <c r="EG64" s="92"/>
      <c r="EH64" s="92"/>
      <c r="EI64" s="92"/>
      <c r="EJ64" s="92"/>
      <c r="EK64" s="92"/>
      <c r="EL64" s="92"/>
      <c r="EM64" s="92"/>
      <c r="EN64" s="92"/>
      <c r="EO64" s="92"/>
      <c r="EP64" s="92"/>
      <c r="EQ64" s="92"/>
      <c r="ER64" s="92"/>
      <c r="ES64" s="92"/>
      <c r="ET64" s="92"/>
      <c r="EU64" s="92"/>
      <c r="EV64" s="92"/>
      <c r="EW64" s="92"/>
      <c r="EX64" s="92"/>
      <c r="EY64" s="92"/>
      <c r="EZ64" s="92"/>
      <c r="FA64" s="92"/>
      <c r="FB64" s="92"/>
      <c r="FC64" s="92"/>
      <c r="FD64" s="92"/>
      <c r="FE64" s="92"/>
      <c r="FF64" s="92"/>
      <c r="FG64" s="92"/>
      <c r="FH64" s="92"/>
      <c r="FI64" s="92"/>
      <c r="FJ64" s="92"/>
      <c r="FK64" s="92"/>
      <c r="FL64" s="92"/>
      <c r="FM64" s="92"/>
      <c r="FN64" s="92"/>
      <c r="FO64" s="92"/>
      <c r="FP64" s="92"/>
      <c r="FQ64" s="92"/>
      <c r="FR64" s="92"/>
      <c r="FS64" s="92"/>
      <c r="FT64" s="92"/>
      <c r="FU64" s="92"/>
      <c r="FV64" s="92"/>
      <c r="FW64" s="92"/>
      <c r="FX64" s="92"/>
      <c r="FY64" s="92"/>
      <c r="FZ64" s="92"/>
      <c r="GA64" s="92"/>
      <c r="GB64" s="92"/>
      <c r="GC64" s="92"/>
      <c r="GD64" s="92"/>
      <c r="GE64" s="92"/>
      <c r="GF64" s="92"/>
      <c r="GG64" s="92"/>
      <c r="GH64" s="92"/>
      <c r="GI64" s="92"/>
      <c r="GJ64" s="92"/>
      <c r="GK64" s="92"/>
      <c r="GL64" s="92"/>
      <c r="GM64" s="92"/>
      <c r="GN64" s="92"/>
      <c r="GO64" s="92"/>
      <c r="GP64" s="92"/>
      <c r="GQ64" s="92"/>
      <c r="GR64" s="92"/>
      <c r="GS64" s="92"/>
      <c r="GT64" s="92"/>
      <c r="GU64" s="92"/>
      <c r="GV64" s="92"/>
      <c r="GW64" s="92"/>
      <c r="GX64" s="92"/>
      <c r="GY64" s="92"/>
      <c r="GZ64" s="92"/>
      <c r="HA64" s="92"/>
      <c r="HB64" s="92"/>
      <c r="HC64" s="92"/>
      <c r="HD64" s="92"/>
      <c r="HE64" s="92"/>
      <c r="HF64" s="92"/>
      <c r="HG64" s="92"/>
      <c r="HH64" s="92"/>
    </row>
    <row r="65" spans="1:216" s="93" customFormat="1" ht="13.2" hidden="1" customHeight="1">
      <c r="A65" s="96" t="s">
        <v>816</v>
      </c>
      <c r="B65" s="96">
        <v>117058003</v>
      </c>
      <c r="C65" s="103" t="s">
        <v>817</v>
      </c>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c r="BP65" s="92"/>
      <c r="BQ65" s="92"/>
      <c r="BR65" s="92"/>
      <c r="BS65" s="92"/>
      <c r="BT65" s="92"/>
      <c r="BU65" s="92"/>
      <c r="BV65" s="92"/>
      <c r="BW65" s="92"/>
      <c r="BX65" s="92"/>
      <c r="BY65" s="92"/>
      <c r="BZ65" s="92"/>
      <c r="CA65" s="92"/>
      <c r="CB65" s="92"/>
      <c r="CC65" s="92"/>
      <c r="CD65" s="92"/>
      <c r="CE65" s="92"/>
      <c r="CF65" s="92"/>
      <c r="CG65" s="92"/>
      <c r="CH65" s="92"/>
      <c r="CI65" s="92"/>
      <c r="CJ65" s="92"/>
      <c r="CK65" s="92"/>
      <c r="CL65" s="92"/>
      <c r="CM65" s="92"/>
      <c r="CN65" s="92"/>
      <c r="CO65" s="92"/>
      <c r="CP65" s="92"/>
      <c r="CQ65" s="92"/>
      <c r="CR65" s="92"/>
      <c r="CS65" s="92"/>
      <c r="CT65" s="92"/>
      <c r="CU65" s="92"/>
      <c r="CV65" s="92"/>
      <c r="CW65" s="92"/>
      <c r="CX65" s="92"/>
      <c r="CY65" s="92"/>
      <c r="CZ65" s="92"/>
      <c r="DA65" s="92"/>
      <c r="DB65" s="92"/>
      <c r="DC65" s="92"/>
      <c r="DD65" s="92"/>
      <c r="DE65" s="92"/>
      <c r="DF65" s="92"/>
      <c r="DG65" s="92"/>
      <c r="DH65" s="92"/>
      <c r="DI65" s="92"/>
      <c r="DJ65" s="92"/>
      <c r="DK65" s="92"/>
      <c r="DL65" s="92"/>
      <c r="DM65" s="92"/>
      <c r="DN65" s="92"/>
      <c r="DO65" s="92"/>
      <c r="DP65" s="92"/>
      <c r="DQ65" s="92"/>
      <c r="DR65" s="92"/>
      <c r="DS65" s="92"/>
      <c r="DT65" s="92"/>
      <c r="DU65" s="92"/>
      <c r="DV65" s="92"/>
      <c r="DW65" s="92"/>
      <c r="DX65" s="92"/>
      <c r="DY65" s="92"/>
      <c r="DZ65" s="92"/>
      <c r="EA65" s="92"/>
      <c r="EB65" s="92"/>
      <c r="EC65" s="92"/>
      <c r="ED65" s="92"/>
      <c r="EE65" s="92"/>
      <c r="EF65" s="92"/>
      <c r="EG65" s="92"/>
      <c r="EH65" s="92"/>
      <c r="EI65" s="92"/>
      <c r="EJ65" s="92"/>
      <c r="EK65" s="92"/>
      <c r="EL65" s="92"/>
      <c r="EM65" s="92"/>
      <c r="EN65" s="92"/>
      <c r="EO65" s="92"/>
      <c r="EP65" s="92"/>
      <c r="EQ65" s="92"/>
      <c r="ER65" s="92"/>
      <c r="ES65" s="92"/>
      <c r="ET65" s="92"/>
      <c r="EU65" s="92"/>
      <c r="EV65" s="92"/>
      <c r="EW65" s="92"/>
      <c r="EX65" s="92"/>
      <c r="EY65" s="92"/>
      <c r="EZ65" s="92"/>
      <c r="FA65" s="92"/>
      <c r="FB65" s="92"/>
      <c r="FC65" s="92"/>
      <c r="FD65" s="92"/>
      <c r="FE65" s="92"/>
      <c r="FF65" s="92"/>
      <c r="FG65" s="92"/>
      <c r="FH65" s="92"/>
      <c r="FI65" s="92"/>
      <c r="FJ65" s="92"/>
      <c r="FK65" s="92"/>
      <c r="FL65" s="92"/>
      <c r="FM65" s="92"/>
      <c r="FN65" s="92"/>
      <c r="FO65" s="92"/>
      <c r="FP65" s="92"/>
      <c r="FQ65" s="92"/>
      <c r="FR65" s="92"/>
      <c r="FS65" s="92"/>
      <c r="FT65" s="92"/>
      <c r="FU65" s="92"/>
      <c r="FV65" s="92"/>
      <c r="FW65" s="92"/>
      <c r="FX65" s="92"/>
      <c r="FY65" s="92"/>
      <c r="FZ65" s="92"/>
      <c r="GA65" s="92"/>
      <c r="GB65" s="92"/>
      <c r="GC65" s="92"/>
      <c r="GD65" s="92"/>
      <c r="GE65" s="92"/>
      <c r="GF65" s="92"/>
      <c r="GG65" s="92"/>
      <c r="GH65" s="92"/>
      <c r="GI65" s="92"/>
      <c r="GJ65" s="92"/>
      <c r="GK65" s="92"/>
      <c r="GL65" s="92"/>
      <c r="GM65" s="92"/>
      <c r="GN65" s="92"/>
      <c r="GO65" s="92"/>
      <c r="GP65" s="92"/>
      <c r="GQ65" s="92"/>
      <c r="GR65" s="92"/>
      <c r="GS65" s="92"/>
      <c r="GT65" s="92"/>
      <c r="GU65" s="92"/>
      <c r="GV65" s="92"/>
      <c r="GW65" s="92"/>
      <c r="GX65" s="92"/>
      <c r="GY65" s="92"/>
      <c r="GZ65" s="92"/>
      <c r="HA65" s="92"/>
      <c r="HB65" s="92"/>
      <c r="HC65" s="92"/>
      <c r="HD65" s="92"/>
      <c r="HE65" s="92"/>
      <c r="HF65" s="92"/>
      <c r="HG65" s="92"/>
      <c r="HH65" s="92"/>
    </row>
    <row r="66" spans="1:216" ht="14.4" hidden="1">
      <c r="A66" s="96" t="s">
        <v>818</v>
      </c>
      <c r="B66" s="96">
        <v>129082332</v>
      </c>
      <c r="C66" s="96" t="s">
        <v>657</v>
      </c>
    </row>
    <row r="67" spans="1:216" s="93" customFormat="1" ht="13.2" hidden="1" customHeight="1">
      <c r="A67" s="97" t="s">
        <v>545</v>
      </c>
      <c r="B67" s="96">
        <v>116894252</v>
      </c>
      <c r="C67" s="96" t="s">
        <v>546</v>
      </c>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c r="CD67" s="92"/>
      <c r="CE67" s="92"/>
      <c r="CF67" s="92"/>
      <c r="CG67" s="92"/>
      <c r="CH67" s="92"/>
      <c r="CI67" s="92"/>
      <c r="CJ67" s="92"/>
      <c r="CK67" s="92"/>
      <c r="CL67" s="92"/>
      <c r="CM67" s="92"/>
      <c r="CN67" s="92"/>
      <c r="CO67" s="92"/>
      <c r="CP67" s="92"/>
      <c r="CQ67" s="92"/>
      <c r="CR67" s="92"/>
      <c r="CS67" s="92"/>
      <c r="CT67" s="92"/>
      <c r="CU67" s="92"/>
      <c r="CV67" s="92"/>
      <c r="CW67" s="92"/>
      <c r="CX67" s="92"/>
      <c r="CY67" s="92"/>
      <c r="CZ67" s="92"/>
      <c r="DA67" s="92"/>
      <c r="DB67" s="92"/>
      <c r="DC67" s="92"/>
      <c r="DD67" s="92"/>
      <c r="DE67" s="92"/>
      <c r="DF67" s="92"/>
      <c r="DG67" s="92"/>
      <c r="DH67" s="92"/>
      <c r="DI67" s="92"/>
      <c r="DJ67" s="92"/>
      <c r="DK67" s="92"/>
      <c r="DL67" s="92"/>
      <c r="DM67" s="92"/>
      <c r="DN67" s="92"/>
      <c r="DO67" s="92"/>
      <c r="DP67" s="92"/>
      <c r="DQ67" s="92"/>
      <c r="DR67" s="92"/>
      <c r="DS67" s="92"/>
      <c r="DT67" s="92"/>
      <c r="DU67" s="92"/>
      <c r="DV67" s="92"/>
      <c r="DW67" s="92"/>
      <c r="DX67" s="92"/>
      <c r="DY67" s="92"/>
      <c r="DZ67" s="92"/>
      <c r="EA67" s="92"/>
      <c r="EB67" s="92"/>
      <c r="EC67" s="92"/>
      <c r="ED67" s="92"/>
      <c r="EE67" s="92"/>
      <c r="EF67" s="92"/>
      <c r="EG67" s="92"/>
      <c r="EH67" s="92"/>
      <c r="EI67" s="92"/>
      <c r="EJ67" s="92"/>
      <c r="EK67" s="92"/>
      <c r="EL67" s="92"/>
      <c r="EM67" s="92"/>
      <c r="EN67" s="92"/>
      <c r="EO67" s="92"/>
      <c r="EP67" s="92"/>
      <c r="EQ67" s="92"/>
      <c r="ER67" s="92"/>
      <c r="ES67" s="92"/>
      <c r="ET67" s="92"/>
      <c r="EU67" s="92"/>
      <c r="EV67" s="92"/>
      <c r="EW67" s="92"/>
      <c r="EX67" s="92"/>
      <c r="EY67" s="92"/>
      <c r="EZ67" s="92"/>
      <c r="FA67" s="92"/>
      <c r="FB67" s="92"/>
      <c r="FC67" s="92"/>
      <c r="FD67" s="92"/>
      <c r="FE67" s="92"/>
      <c r="FF67" s="92"/>
      <c r="FG67" s="92"/>
      <c r="FH67" s="92"/>
      <c r="FI67" s="92"/>
      <c r="FJ67" s="92"/>
      <c r="FK67" s="92"/>
      <c r="FL67" s="92"/>
      <c r="FM67" s="92"/>
      <c r="FN67" s="92"/>
      <c r="FO67" s="92"/>
      <c r="FP67" s="92"/>
      <c r="FQ67" s="92"/>
      <c r="FR67" s="92"/>
      <c r="FS67" s="92"/>
      <c r="FT67" s="92"/>
      <c r="FU67" s="92"/>
      <c r="FV67" s="92"/>
      <c r="FW67" s="92"/>
      <c r="FX67" s="92"/>
      <c r="FY67" s="92"/>
      <c r="FZ67" s="92"/>
      <c r="GA67" s="92"/>
      <c r="GB67" s="92"/>
      <c r="GC67" s="92"/>
      <c r="GD67" s="92"/>
      <c r="GE67" s="92"/>
      <c r="GF67" s="92"/>
      <c r="GG67" s="92"/>
      <c r="GH67" s="92"/>
      <c r="GI67" s="92"/>
      <c r="GJ67" s="92"/>
      <c r="GK67" s="92"/>
      <c r="GL67" s="92"/>
      <c r="GM67" s="92"/>
      <c r="GN67" s="92"/>
      <c r="GO67" s="92"/>
      <c r="GP67" s="92"/>
      <c r="GQ67" s="92"/>
      <c r="GR67" s="92"/>
      <c r="GS67" s="92"/>
      <c r="GT67" s="92"/>
      <c r="GU67" s="92"/>
      <c r="GV67" s="92"/>
      <c r="GW67" s="92"/>
      <c r="GX67" s="92"/>
      <c r="GY67" s="92"/>
      <c r="GZ67" s="92"/>
      <c r="HA67" s="92"/>
      <c r="HB67" s="92"/>
      <c r="HC67" s="92"/>
      <c r="HD67" s="92"/>
      <c r="HE67" s="92"/>
      <c r="HF67" s="92"/>
      <c r="HG67" s="92"/>
      <c r="HH67" s="92"/>
    </row>
    <row r="68" spans="1:216" s="93" customFormat="1" ht="13.2" hidden="1" customHeight="1">
      <c r="A68" s="96" t="s">
        <v>59</v>
      </c>
      <c r="B68" s="96">
        <v>141169085</v>
      </c>
      <c r="C68" s="96" t="s">
        <v>559</v>
      </c>
      <c r="D68" s="91"/>
      <c r="E68" s="92"/>
      <c r="F68" s="92"/>
      <c r="G68" s="92"/>
      <c r="H68" s="92"/>
      <c r="I68" s="92"/>
      <c r="J68" s="92"/>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c r="BO68" s="92"/>
      <c r="BP68" s="92"/>
      <c r="BQ68" s="92"/>
      <c r="BR68" s="92"/>
      <c r="BS68" s="92"/>
      <c r="BT68" s="92"/>
      <c r="BU68" s="92"/>
      <c r="BV68" s="92"/>
      <c r="BW68" s="92"/>
      <c r="BX68" s="92"/>
      <c r="BY68" s="92"/>
      <c r="BZ68" s="92"/>
      <c r="CA68" s="92"/>
      <c r="CB68" s="92"/>
      <c r="CC68" s="92"/>
      <c r="CD68" s="92"/>
      <c r="CE68" s="92"/>
      <c r="CF68" s="92"/>
      <c r="CG68" s="92"/>
      <c r="CH68" s="92"/>
      <c r="CI68" s="92"/>
      <c r="CJ68" s="92"/>
      <c r="CK68" s="92"/>
      <c r="CL68" s="92"/>
      <c r="CM68" s="92"/>
      <c r="CN68" s="92"/>
      <c r="CO68" s="92"/>
      <c r="CP68" s="92"/>
      <c r="CQ68" s="92"/>
      <c r="CR68" s="92"/>
      <c r="CS68" s="92"/>
      <c r="CT68" s="92"/>
      <c r="CU68" s="92"/>
      <c r="CV68" s="92"/>
      <c r="CW68" s="92"/>
      <c r="CX68" s="92"/>
      <c r="CY68" s="92"/>
      <c r="CZ68" s="92"/>
      <c r="DA68" s="92"/>
      <c r="DB68" s="92"/>
      <c r="DC68" s="92"/>
      <c r="DD68" s="92"/>
      <c r="DE68" s="92"/>
      <c r="DF68" s="92"/>
      <c r="DG68" s="92"/>
      <c r="DH68" s="92"/>
      <c r="DI68" s="92"/>
      <c r="DJ68" s="92"/>
      <c r="DK68" s="92"/>
      <c r="DL68" s="92"/>
      <c r="DM68" s="92"/>
      <c r="DN68" s="92"/>
      <c r="DO68" s="92"/>
      <c r="DP68" s="92"/>
      <c r="DQ68" s="92"/>
      <c r="DR68" s="92"/>
      <c r="DS68" s="92"/>
      <c r="DT68" s="92"/>
      <c r="DU68" s="92"/>
      <c r="DV68" s="92"/>
      <c r="DW68" s="92"/>
      <c r="DX68" s="92"/>
      <c r="DY68" s="92"/>
      <c r="DZ68" s="92"/>
      <c r="EA68" s="92"/>
      <c r="EB68" s="92"/>
      <c r="EC68" s="92"/>
      <c r="ED68" s="92"/>
      <c r="EE68" s="92"/>
      <c r="EF68" s="92"/>
      <c r="EG68" s="92"/>
      <c r="EH68" s="92"/>
      <c r="EI68" s="92"/>
      <c r="EJ68" s="92"/>
      <c r="EK68" s="92"/>
      <c r="EL68" s="92"/>
      <c r="EM68" s="92"/>
      <c r="EN68" s="92"/>
      <c r="EO68" s="92"/>
      <c r="EP68" s="92"/>
      <c r="EQ68" s="92"/>
      <c r="ER68" s="92"/>
      <c r="ES68" s="92"/>
      <c r="ET68" s="92"/>
      <c r="EU68" s="92"/>
      <c r="EV68" s="92"/>
      <c r="EW68" s="92"/>
      <c r="EX68" s="92"/>
      <c r="EY68" s="92"/>
      <c r="EZ68" s="92"/>
      <c r="FA68" s="92"/>
      <c r="FB68" s="92"/>
      <c r="FC68" s="92"/>
      <c r="FD68" s="92"/>
      <c r="FE68" s="92"/>
      <c r="FF68" s="92"/>
      <c r="FG68" s="92"/>
      <c r="FH68" s="92"/>
      <c r="FI68" s="92"/>
      <c r="FJ68" s="92"/>
      <c r="FK68" s="92"/>
      <c r="FL68" s="92"/>
      <c r="FM68" s="92"/>
      <c r="FN68" s="92"/>
      <c r="FO68" s="92"/>
      <c r="FP68" s="92"/>
      <c r="FQ68" s="92"/>
      <c r="FR68" s="92"/>
      <c r="FS68" s="92"/>
      <c r="FT68" s="92"/>
      <c r="FU68" s="92"/>
      <c r="FV68" s="92"/>
      <c r="FW68" s="92"/>
      <c r="FX68" s="92"/>
      <c r="FY68" s="92"/>
      <c r="FZ68" s="92"/>
      <c r="GA68" s="92"/>
      <c r="GB68" s="92"/>
      <c r="GC68" s="92"/>
      <c r="GD68" s="92"/>
      <c r="GE68" s="92"/>
      <c r="GF68" s="92"/>
      <c r="GG68" s="92"/>
      <c r="GH68" s="92"/>
      <c r="GI68" s="92"/>
      <c r="GJ68" s="92"/>
      <c r="GK68" s="92"/>
      <c r="GL68" s="92"/>
      <c r="GM68" s="92"/>
      <c r="GN68" s="92"/>
      <c r="GO68" s="92"/>
      <c r="GP68" s="92"/>
      <c r="GQ68" s="92"/>
      <c r="GR68" s="92"/>
      <c r="GS68" s="92"/>
      <c r="GT68" s="92"/>
      <c r="GU68" s="92"/>
      <c r="GV68" s="92"/>
      <c r="GW68" s="92"/>
      <c r="GX68" s="92"/>
      <c r="GY68" s="92"/>
      <c r="GZ68" s="92"/>
      <c r="HA68" s="92"/>
      <c r="HB68" s="92"/>
      <c r="HC68" s="92"/>
      <c r="HD68" s="92"/>
      <c r="HE68" s="92"/>
      <c r="HF68" s="92"/>
      <c r="HG68" s="92"/>
      <c r="HH68" s="92"/>
    </row>
    <row r="69" spans="1:216" s="93" customFormat="1" ht="13.2" hidden="1" customHeight="1">
      <c r="A69" s="96" t="s">
        <v>819</v>
      </c>
      <c r="B69" s="96">
        <v>141169047</v>
      </c>
      <c r="C69" s="96" t="s">
        <v>559</v>
      </c>
      <c r="D69" s="91"/>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c r="BP69" s="92"/>
      <c r="BQ69" s="92"/>
      <c r="BR69" s="92"/>
      <c r="BS69" s="92"/>
      <c r="BT69" s="92"/>
      <c r="BU69" s="92"/>
      <c r="BV69" s="92"/>
      <c r="BW69" s="92"/>
      <c r="BX69" s="92"/>
      <c r="BY69" s="92"/>
      <c r="BZ69" s="92"/>
      <c r="CA69" s="92"/>
      <c r="CB69" s="92"/>
      <c r="CC69" s="92"/>
      <c r="CD69" s="92"/>
      <c r="CE69" s="92"/>
      <c r="CF69" s="92"/>
      <c r="CG69" s="92"/>
      <c r="CH69" s="92"/>
      <c r="CI69" s="92"/>
      <c r="CJ69" s="92"/>
      <c r="CK69" s="92"/>
      <c r="CL69" s="92"/>
      <c r="CM69" s="92"/>
      <c r="CN69" s="92"/>
      <c r="CO69" s="92"/>
      <c r="CP69" s="92"/>
      <c r="CQ69" s="92"/>
      <c r="CR69" s="92"/>
      <c r="CS69" s="92"/>
      <c r="CT69" s="92"/>
      <c r="CU69" s="92"/>
      <c r="CV69" s="92"/>
      <c r="CW69" s="92"/>
      <c r="CX69" s="92"/>
      <c r="CY69" s="92"/>
      <c r="CZ69" s="92"/>
      <c r="DA69" s="92"/>
      <c r="DB69" s="92"/>
      <c r="DC69" s="92"/>
      <c r="DD69" s="92"/>
      <c r="DE69" s="92"/>
      <c r="DF69" s="92"/>
      <c r="DG69" s="92"/>
      <c r="DH69" s="92"/>
      <c r="DI69" s="92"/>
      <c r="DJ69" s="92"/>
      <c r="DK69" s="92"/>
      <c r="DL69" s="92"/>
      <c r="DM69" s="92"/>
      <c r="DN69" s="92"/>
      <c r="DO69" s="92"/>
      <c r="DP69" s="92"/>
      <c r="DQ69" s="92"/>
      <c r="DR69" s="92"/>
      <c r="DS69" s="92"/>
      <c r="DT69" s="92"/>
      <c r="DU69" s="92"/>
      <c r="DV69" s="92"/>
      <c r="DW69" s="92"/>
      <c r="DX69" s="92"/>
      <c r="DY69" s="92"/>
      <c r="DZ69" s="92"/>
      <c r="EA69" s="92"/>
      <c r="EB69" s="92"/>
      <c r="EC69" s="92"/>
      <c r="ED69" s="92"/>
      <c r="EE69" s="92"/>
      <c r="EF69" s="92"/>
      <c r="EG69" s="92"/>
      <c r="EH69" s="92"/>
      <c r="EI69" s="92"/>
      <c r="EJ69" s="92"/>
      <c r="EK69" s="92"/>
      <c r="EL69" s="92"/>
      <c r="EM69" s="92"/>
      <c r="EN69" s="92"/>
      <c r="EO69" s="92"/>
      <c r="EP69" s="92"/>
      <c r="EQ69" s="92"/>
      <c r="ER69" s="92"/>
      <c r="ES69" s="92"/>
      <c r="ET69" s="92"/>
      <c r="EU69" s="92"/>
      <c r="EV69" s="92"/>
      <c r="EW69" s="92"/>
      <c r="EX69" s="92"/>
      <c r="EY69" s="92"/>
      <c r="EZ69" s="92"/>
      <c r="FA69" s="92"/>
      <c r="FB69" s="92"/>
      <c r="FC69" s="92"/>
      <c r="FD69" s="92"/>
      <c r="FE69" s="92"/>
      <c r="FF69" s="92"/>
      <c r="FG69" s="92"/>
      <c r="FH69" s="92"/>
      <c r="FI69" s="92"/>
      <c r="FJ69" s="92"/>
      <c r="FK69" s="92"/>
      <c r="FL69" s="92"/>
      <c r="FM69" s="92"/>
      <c r="FN69" s="92"/>
      <c r="FO69" s="92"/>
      <c r="FP69" s="92"/>
      <c r="FQ69" s="92"/>
      <c r="FR69" s="92"/>
      <c r="FS69" s="92"/>
      <c r="FT69" s="92"/>
      <c r="FU69" s="92"/>
      <c r="FV69" s="92"/>
      <c r="FW69" s="92"/>
      <c r="FX69" s="92"/>
      <c r="FY69" s="92"/>
      <c r="FZ69" s="92"/>
      <c r="GA69" s="92"/>
      <c r="GB69" s="92"/>
      <c r="GC69" s="92"/>
      <c r="GD69" s="92"/>
      <c r="GE69" s="92"/>
      <c r="GF69" s="92"/>
      <c r="GG69" s="92"/>
      <c r="GH69" s="92"/>
      <c r="GI69" s="92"/>
      <c r="GJ69" s="92"/>
      <c r="GK69" s="92"/>
      <c r="GL69" s="92"/>
      <c r="GM69" s="92"/>
      <c r="GN69" s="92"/>
      <c r="GO69" s="92"/>
      <c r="GP69" s="92"/>
      <c r="GQ69" s="92"/>
      <c r="GR69" s="92"/>
      <c r="GS69" s="92"/>
      <c r="GT69" s="92"/>
      <c r="GU69" s="92"/>
      <c r="GV69" s="92"/>
      <c r="GW69" s="92"/>
      <c r="GX69" s="92"/>
      <c r="GY69" s="92"/>
      <c r="GZ69" s="92"/>
      <c r="HA69" s="92"/>
      <c r="HB69" s="92"/>
      <c r="HC69" s="92"/>
      <c r="HD69" s="92"/>
      <c r="HE69" s="92"/>
      <c r="HF69" s="92"/>
      <c r="HG69" s="92"/>
      <c r="HH69" s="92"/>
    </row>
    <row r="70" spans="1:216" s="93" customFormat="1" ht="13.2" hidden="1" customHeight="1">
      <c r="A70" s="96" t="s">
        <v>175</v>
      </c>
      <c r="B70" s="96">
        <v>140742125</v>
      </c>
      <c r="C70" s="96" t="s">
        <v>680</v>
      </c>
      <c r="D70" s="91"/>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c r="BP70" s="92"/>
      <c r="BQ70" s="92"/>
      <c r="BR70" s="92"/>
      <c r="BS70" s="92"/>
      <c r="BT70" s="92"/>
      <c r="BU70" s="92"/>
      <c r="BV70" s="92"/>
      <c r="BW70" s="92"/>
      <c r="BX70" s="92"/>
      <c r="BY70" s="92"/>
      <c r="BZ70" s="92"/>
      <c r="CA70" s="92"/>
      <c r="CB70" s="92"/>
      <c r="CC70" s="92"/>
      <c r="CD70" s="92"/>
      <c r="CE70" s="92"/>
      <c r="CF70" s="92"/>
      <c r="CG70" s="92"/>
      <c r="CH70" s="92"/>
      <c r="CI70" s="92"/>
      <c r="CJ70" s="92"/>
      <c r="CK70" s="92"/>
      <c r="CL70" s="92"/>
      <c r="CM70" s="92"/>
      <c r="CN70" s="92"/>
      <c r="CO70" s="92"/>
      <c r="CP70" s="92"/>
      <c r="CQ70" s="92"/>
      <c r="CR70" s="92"/>
      <c r="CS70" s="92"/>
      <c r="CT70" s="92"/>
      <c r="CU70" s="92"/>
      <c r="CV70" s="92"/>
      <c r="CW70" s="92"/>
      <c r="CX70" s="92"/>
      <c r="CY70" s="92"/>
      <c r="CZ70" s="92"/>
      <c r="DA70" s="92"/>
      <c r="DB70" s="92"/>
      <c r="DC70" s="92"/>
      <c r="DD70" s="92"/>
      <c r="DE70" s="92"/>
      <c r="DF70" s="92"/>
      <c r="DG70" s="92"/>
      <c r="DH70" s="92"/>
      <c r="DI70" s="92"/>
      <c r="DJ70" s="92"/>
      <c r="DK70" s="92"/>
      <c r="DL70" s="92"/>
      <c r="DM70" s="92"/>
      <c r="DN70" s="92"/>
      <c r="DO70" s="92"/>
      <c r="DP70" s="92"/>
      <c r="DQ70" s="92"/>
      <c r="DR70" s="92"/>
      <c r="DS70" s="92"/>
      <c r="DT70" s="92"/>
      <c r="DU70" s="92"/>
      <c r="DV70" s="92"/>
      <c r="DW70" s="92"/>
      <c r="DX70" s="92"/>
      <c r="DY70" s="92"/>
      <c r="DZ70" s="92"/>
      <c r="EA70" s="92"/>
      <c r="EB70" s="92"/>
      <c r="EC70" s="92"/>
      <c r="ED70" s="92"/>
      <c r="EE70" s="92"/>
      <c r="EF70" s="92"/>
      <c r="EG70" s="92"/>
      <c r="EH70" s="92"/>
      <c r="EI70" s="92"/>
      <c r="EJ70" s="92"/>
      <c r="EK70" s="92"/>
      <c r="EL70" s="92"/>
      <c r="EM70" s="92"/>
      <c r="EN70" s="92"/>
      <c r="EO70" s="92"/>
      <c r="EP70" s="92"/>
      <c r="EQ70" s="92"/>
      <c r="ER70" s="92"/>
      <c r="ES70" s="92"/>
      <c r="ET70" s="92"/>
      <c r="EU70" s="92"/>
      <c r="EV70" s="92"/>
      <c r="EW70" s="92"/>
      <c r="EX70" s="92"/>
      <c r="EY70" s="92"/>
      <c r="EZ70" s="92"/>
      <c r="FA70" s="92"/>
      <c r="FB70" s="92"/>
      <c r="FC70" s="92"/>
      <c r="FD70" s="92"/>
      <c r="FE70" s="92"/>
      <c r="FF70" s="92"/>
      <c r="FG70" s="92"/>
      <c r="FH70" s="92"/>
      <c r="FI70" s="92"/>
      <c r="FJ70" s="92"/>
      <c r="FK70" s="92"/>
      <c r="FL70" s="92"/>
      <c r="FM70" s="92"/>
      <c r="FN70" s="92"/>
      <c r="FO70" s="92"/>
      <c r="FP70" s="92"/>
      <c r="FQ70" s="92"/>
      <c r="FR70" s="92"/>
      <c r="FS70" s="92"/>
      <c r="FT70" s="92"/>
      <c r="FU70" s="92"/>
      <c r="FV70" s="92"/>
      <c r="FW70" s="92"/>
      <c r="FX70" s="92"/>
      <c r="FY70" s="92"/>
      <c r="FZ70" s="92"/>
      <c r="GA70" s="92"/>
      <c r="GB70" s="92"/>
      <c r="GC70" s="92"/>
      <c r="GD70" s="92"/>
      <c r="GE70" s="92"/>
      <c r="GF70" s="92"/>
      <c r="GG70" s="92"/>
      <c r="GH70" s="92"/>
      <c r="GI70" s="92"/>
      <c r="GJ70" s="92"/>
      <c r="GK70" s="92"/>
      <c r="GL70" s="92"/>
      <c r="GM70" s="92"/>
      <c r="GN70" s="92"/>
      <c r="GO70" s="92"/>
      <c r="GP70" s="92"/>
      <c r="GQ70" s="92"/>
      <c r="GR70" s="92"/>
      <c r="GS70" s="92"/>
      <c r="GT70" s="92"/>
      <c r="GU70" s="92"/>
      <c r="GV70" s="92"/>
      <c r="GW70" s="92"/>
      <c r="GX70" s="92"/>
      <c r="GY70" s="92"/>
      <c r="GZ70" s="92"/>
      <c r="HA70" s="92"/>
      <c r="HB70" s="92"/>
      <c r="HC70" s="92"/>
      <c r="HD70" s="92"/>
      <c r="HE70" s="92"/>
      <c r="HF70" s="92"/>
      <c r="HG70" s="92"/>
      <c r="HH70" s="92"/>
    </row>
    <row r="71" spans="1:216" s="93" customFormat="1" ht="13.2" hidden="1" customHeight="1">
      <c r="A71" s="96" t="s">
        <v>433</v>
      </c>
      <c r="B71" s="96">
        <v>117871996</v>
      </c>
      <c r="C71" s="96" t="s">
        <v>722</v>
      </c>
      <c r="D71" s="92"/>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c r="BP71" s="92"/>
      <c r="BQ71" s="92"/>
      <c r="BR71" s="92"/>
      <c r="BS71" s="92"/>
      <c r="BT71" s="92"/>
      <c r="BU71" s="92"/>
      <c r="BV71" s="92"/>
      <c r="BW71" s="92"/>
      <c r="BX71" s="92"/>
      <c r="BY71" s="92"/>
      <c r="BZ71" s="92"/>
      <c r="CA71" s="92"/>
      <c r="CB71" s="92"/>
      <c r="CC71" s="92"/>
      <c r="CD71" s="92"/>
      <c r="CE71" s="92"/>
      <c r="CF71" s="92"/>
      <c r="CG71" s="92"/>
      <c r="CH71" s="92"/>
      <c r="CI71" s="92"/>
      <c r="CJ71" s="92"/>
      <c r="CK71" s="92"/>
      <c r="CL71" s="92"/>
      <c r="CM71" s="92"/>
      <c r="CN71" s="92"/>
      <c r="CO71" s="92"/>
      <c r="CP71" s="92"/>
      <c r="CQ71" s="92"/>
      <c r="CR71" s="92"/>
      <c r="CS71" s="92"/>
      <c r="CT71" s="92"/>
      <c r="CU71" s="92"/>
      <c r="CV71" s="92"/>
      <c r="CW71" s="92"/>
      <c r="CX71" s="92"/>
      <c r="CY71" s="92"/>
      <c r="CZ71" s="92"/>
      <c r="DA71" s="92"/>
      <c r="DB71" s="92"/>
      <c r="DC71" s="92"/>
      <c r="DD71" s="92"/>
      <c r="DE71" s="92"/>
      <c r="DF71" s="92"/>
      <c r="DG71" s="92"/>
      <c r="DH71" s="92"/>
      <c r="DI71" s="92"/>
      <c r="DJ71" s="92"/>
      <c r="DK71" s="92"/>
      <c r="DL71" s="92"/>
      <c r="DM71" s="92"/>
      <c r="DN71" s="92"/>
      <c r="DO71" s="92"/>
      <c r="DP71" s="92"/>
      <c r="DQ71" s="92"/>
      <c r="DR71" s="92"/>
      <c r="DS71" s="92"/>
      <c r="DT71" s="92"/>
      <c r="DU71" s="92"/>
      <c r="DV71" s="92"/>
      <c r="DW71" s="92"/>
      <c r="DX71" s="92"/>
      <c r="DY71" s="92"/>
      <c r="DZ71" s="92"/>
      <c r="EA71" s="92"/>
      <c r="EB71" s="92"/>
      <c r="EC71" s="92"/>
      <c r="ED71" s="92"/>
      <c r="EE71" s="92"/>
      <c r="EF71" s="92"/>
      <c r="EG71" s="92"/>
      <c r="EH71" s="92"/>
      <c r="EI71" s="92"/>
      <c r="EJ71" s="92"/>
      <c r="EK71" s="92"/>
      <c r="EL71" s="92"/>
      <c r="EM71" s="92"/>
      <c r="EN71" s="92"/>
      <c r="EO71" s="92"/>
      <c r="EP71" s="92"/>
      <c r="EQ71" s="92"/>
      <c r="ER71" s="92"/>
      <c r="ES71" s="92"/>
      <c r="ET71" s="92"/>
      <c r="EU71" s="92"/>
      <c r="EV71" s="92"/>
      <c r="EW71" s="92"/>
      <c r="EX71" s="92"/>
      <c r="EY71" s="92"/>
      <c r="EZ71" s="92"/>
      <c r="FA71" s="92"/>
      <c r="FB71" s="92"/>
      <c r="FC71" s="92"/>
      <c r="FD71" s="92"/>
      <c r="FE71" s="92"/>
      <c r="FF71" s="92"/>
      <c r="FG71" s="92"/>
      <c r="FH71" s="92"/>
      <c r="FI71" s="92"/>
      <c r="FJ71" s="92"/>
      <c r="FK71" s="92"/>
      <c r="FL71" s="92"/>
      <c r="FM71" s="92"/>
      <c r="FN71" s="92"/>
      <c r="FO71" s="92"/>
      <c r="FP71" s="92"/>
      <c r="FQ71" s="92"/>
      <c r="FR71" s="92"/>
      <c r="FS71" s="92"/>
      <c r="FT71" s="92"/>
      <c r="FU71" s="92"/>
      <c r="FV71" s="92"/>
      <c r="FW71" s="92"/>
      <c r="FX71" s="92"/>
      <c r="FY71" s="92"/>
      <c r="FZ71" s="92"/>
      <c r="GA71" s="92"/>
      <c r="GB71" s="92"/>
      <c r="GC71" s="92"/>
      <c r="GD71" s="92"/>
      <c r="GE71" s="92"/>
      <c r="GF71" s="92"/>
      <c r="GG71" s="92"/>
      <c r="GH71" s="92"/>
      <c r="GI71" s="92"/>
      <c r="GJ71" s="92"/>
      <c r="GK71" s="92"/>
      <c r="GL71" s="92"/>
      <c r="GM71" s="92"/>
      <c r="GN71" s="92"/>
      <c r="GO71" s="92"/>
      <c r="GP71" s="92"/>
      <c r="GQ71" s="92"/>
      <c r="GR71" s="92"/>
      <c r="GS71" s="92"/>
      <c r="GT71" s="92"/>
      <c r="GU71" s="92"/>
      <c r="GV71" s="92"/>
      <c r="GW71" s="92"/>
      <c r="GX71" s="92"/>
      <c r="GY71" s="92"/>
      <c r="GZ71" s="92"/>
      <c r="HA71" s="92"/>
      <c r="HB71" s="92"/>
      <c r="HC71" s="92"/>
      <c r="HD71" s="92"/>
      <c r="HE71" s="92"/>
      <c r="HF71" s="92"/>
      <c r="HG71" s="92"/>
      <c r="HH71" s="92"/>
    </row>
    <row r="72" spans="1:216" s="93" customFormat="1" ht="13.2" hidden="1" customHeight="1">
      <c r="A72" s="97" t="s">
        <v>228</v>
      </c>
      <c r="B72" s="96">
        <v>125199963</v>
      </c>
      <c r="C72" s="96" t="s">
        <v>571</v>
      </c>
      <c r="D72" s="92"/>
      <c r="E72" s="92"/>
      <c r="F72" s="92"/>
      <c r="G72" s="92"/>
      <c r="H72" s="92"/>
      <c r="I72" s="92"/>
      <c r="J72" s="92"/>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c r="BP72" s="92"/>
      <c r="BQ72" s="92"/>
      <c r="BR72" s="92"/>
      <c r="BS72" s="92"/>
      <c r="BT72" s="92"/>
      <c r="BU72" s="92"/>
      <c r="BV72" s="92"/>
      <c r="BW72" s="92"/>
      <c r="BX72" s="92"/>
      <c r="BY72" s="92"/>
      <c r="BZ72" s="92"/>
      <c r="CA72" s="92"/>
      <c r="CB72" s="92"/>
      <c r="CC72" s="92"/>
      <c r="CD72" s="92"/>
      <c r="CE72" s="92"/>
      <c r="CF72" s="92"/>
      <c r="CG72" s="92"/>
      <c r="CH72" s="92"/>
      <c r="CI72" s="92"/>
      <c r="CJ72" s="92"/>
      <c r="CK72" s="92"/>
      <c r="CL72" s="92"/>
      <c r="CM72" s="92"/>
      <c r="CN72" s="92"/>
      <c r="CO72" s="92"/>
      <c r="CP72" s="92"/>
      <c r="CQ72" s="92"/>
      <c r="CR72" s="92"/>
      <c r="CS72" s="92"/>
      <c r="CT72" s="92"/>
      <c r="CU72" s="92"/>
      <c r="CV72" s="92"/>
      <c r="CW72" s="92"/>
      <c r="CX72" s="92"/>
      <c r="CY72" s="92"/>
      <c r="CZ72" s="92"/>
      <c r="DA72" s="92"/>
      <c r="DB72" s="92"/>
      <c r="DC72" s="92"/>
      <c r="DD72" s="92"/>
      <c r="DE72" s="92"/>
      <c r="DF72" s="92"/>
      <c r="DG72" s="92"/>
      <c r="DH72" s="92"/>
      <c r="DI72" s="92"/>
      <c r="DJ72" s="92"/>
      <c r="DK72" s="92"/>
      <c r="DL72" s="92"/>
      <c r="DM72" s="92"/>
      <c r="DN72" s="92"/>
      <c r="DO72" s="92"/>
      <c r="DP72" s="92"/>
      <c r="DQ72" s="92"/>
      <c r="DR72" s="92"/>
      <c r="DS72" s="92"/>
      <c r="DT72" s="92"/>
      <c r="DU72" s="92"/>
      <c r="DV72" s="92"/>
      <c r="DW72" s="92"/>
      <c r="DX72" s="92"/>
      <c r="DY72" s="92"/>
      <c r="DZ72" s="92"/>
      <c r="EA72" s="92"/>
      <c r="EB72" s="92"/>
      <c r="EC72" s="92"/>
      <c r="ED72" s="92"/>
      <c r="EE72" s="92"/>
      <c r="EF72" s="92"/>
      <c r="EG72" s="92"/>
      <c r="EH72" s="92"/>
      <c r="EI72" s="92"/>
      <c r="EJ72" s="92"/>
      <c r="EK72" s="92"/>
      <c r="EL72" s="92"/>
      <c r="EM72" s="92"/>
      <c r="EN72" s="92"/>
      <c r="EO72" s="92"/>
      <c r="EP72" s="92"/>
      <c r="EQ72" s="92"/>
      <c r="ER72" s="92"/>
      <c r="ES72" s="92"/>
      <c r="ET72" s="92"/>
      <c r="EU72" s="92"/>
      <c r="EV72" s="92"/>
      <c r="EW72" s="92"/>
      <c r="EX72" s="92"/>
      <c r="EY72" s="92"/>
      <c r="EZ72" s="92"/>
      <c r="FA72" s="92"/>
      <c r="FB72" s="92"/>
      <c r="FC72" s="92"/>
      <c r="FD72" s="92"/>
      <c r="FE72" s="92"/>
      <c r="FF72" s="92"/>
      <c r="FG72" s="92"/>
      <c r="FH72" s="92"/>
      <c r="FI72" s="92"/>
      <c r="FJ72" s="92"/>
      <c r="FK72" s="92"/>
      <c r="FL72" s="92"/>
      <c r="FM72" s="92"/>
      <c r="FN72" s="92"/>
      <c r="FO72" s="92"/>
      <c r="FP72" s="92"/>
      <c r="FQ72" s="92"/>
      <c r="FR72" s="92"/>
      <c r="FS72" s="92"/>
      <c r="FT72" s="92"/>
      <c r="FU72" s="92"/>
      <c r="FV72" s="92"/>
      <c r="FW72" s="92"/>
      <c r="FX72" s="92"/>
      <c r="FY72" s="92"/>
      <c r="FZ72" s="92"/>
      <c r="GA72" s="92"/>
      <c r="GB72" s="92"/>
      <c r="GC72" s="92"/>
      <c r="GD72" s="92"/>
      <c r="GE72" s="92"/>
      <c r="GF72" s="92"/>
      <c r="GG72" s="92"/>
      <c r="GH72" s="92"/>
      <c r="GI72" s="92"/>
      <c r="GJ72" s="92"/>
      <c r="GK72" s="92"/>
      <c r="GL72" s="92"/>
      <c r="GM72" s="92"/>
      <c r="GN72" s="92"/>
      <c r="GO72" s="92"/>
      <c r="GP72" s="92"/>
      <c r="GQ72" s="92"/>
      <c r="GR72" s="92"/>
      <c r="GS72" s="92"/>
      <c r="GT72" s="92"/>
      <c r="GU72" s="92"/>
      <c r="GV72" s="92"/>
      <c r="GW72" s="92"/>
      <c r="GX72" s="92"/>
      <c r="GY72" s="92"/>
      <c r="GZ72" s="92"/>
      <c r="HA72" s="92"/>
      <c r="HB72" s="92"/>
      <c r="HC72" s="92"/>
      <c r="HD72" s="92"/>
      <c r="HE72" s="92"/>
      <c r="HF72" s="92"/>
      <c r="HG72" s="92"/>
      <c r="HH72" s="92"/>
    </row>
    <row r="73" spans="1:216" s="93" customFormat="1" ht="13.2" hidden="1" customHeight="1">
      <c r="A73" s="96" t="s">
        <v>62</v>
      </c>
      <c r="B73" s="96">
        <v>140844797</v>
      </c>
      <c r="C73" s="96" t="s">
        <v>564</v>
      </c>
      <c r="D73" s="91"/>
      <c r="E73" s="92"/>
      <c r="F73" s="92"/>
      <c r="G73" s="92"/>
      <c r="H73" s="92"/>
      <c r="I73" s="92"/>
      <c r="J73" s="92"/>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c r="CA73" s="92"/>
      <c r="CB73" s="92"/>
      <c r="CC73" s="92"/>
      <c r="CD73" s="92"/>
      <c r="CE73" s="92"/>
      <c r="CF73" s="92"/>
      <c r="CG73" s="92"/>
      <c r="CH73" s="92"/>
      <c r="CI73" s="92"/>
      <c r="CJ73" s="92"/>
      <c r="CK73" s="92"/>
      <c r="CL73" s="92"/>
      <c r="CM73" s="92"/>
      <c r="CN73" s="92"/>
      <c r="CO73" s="92"/>
      <c r="CP73" s="92"/>
      <c r="CQ73" s="92"/>
      <c r="CR73" s="92"/>
      <c r="CS73" s="92"/>
      <c r="CT73" s="92"/>
      <c r="CU73" s="92"/>
      <c r="CV73" s="92"/>
      <c r="CW73" s="92"/>
      <c r="CX73" s="92"/>
      <c r="CY73" s="92"/>
      <c r="CZ73" s="92"/>
      <c r="DA73" s="92"/>
      <c r="DB73" s="92"/>
      <c r="DC73" s="92"/>
      <c r="DD73" s="92"/>
      <c r="DE73" s="92"/>
      <c r="DF73" s="92"/>
      <c r="DG73" s="92"/>
      <c r="DH73" s="92"/>
      <c r="DI73" s="92"/>
      <c r="DJ73" s="92"/>
      <c r="DK73" s="92"/>
      <c r="DL73" s="92"/>
      <c r="DM73" s="92"/>
      <c r="DN73" s="92"/>
      <c r="DO73" s="92"/>
      <c r="DP73" s="92"/>
      <c r="DQ73" s="92"/>
      <c r="DR73" s="92"/>
      <c r="DS73" s="92"/>
      <c r="DT73" s="92"/>
      <c r="DU73" s="92"/>
      <c r="DV73" s="92"/>
      <c r="DW73" s="92"/>
      <c r="DX73" s="92"/>
      <c r="DY73" s="92"/>
      <c r="DZ73" s="92"/>
      <c r="EA73" s="92"/>
      <c r="EB73" s="92"/>
      <c r="EC73" s="92"/>
      <c r="ED73" s="92"/>
      <c r="EE73" s="92"/>
      <c r="EF73" s="92"/>
      <c r="EG73" s="92"/>
      <c r="EH73" s="92"/>
      <c r="EI73" s="92"/>
      <c r="EJ73" s="92"/>
      <c r="EK73" s="92"/>
      <c r="EL73" s="92"/>
      <c r="EM73" s="92"/>
      <c r="EN73" s="92"/>
      <c r="EO73" s="92"/>
      <c r="EP73" s="92"/>
      <c r="EQ73" s="92"/>
      <c r="ER73" s="92"/>
      <c r="ES73" s="92"/>
      <c r="ET73" s="92"/>
      <c r="EU73" s="92"/>
      <c r="EV73" s="92"/>
      <c r="EW73" s="92"/>
      <c r="EX73" s="92"/>
      <c r="EY73" s="92"/>
      <c r="EZ73" s="92"/>
      <c r="FA73" s="92"/>
      <c r="FB73" s="92"/>
      <c r="FC73" s="92"/>
      <c r="FD73" s="92"/>
      <c r="FE73" s="92"/>
      <c r="FF73" s="92"/>
      <c r="FG73" s="92"/>
      <c r="FH73" s="92"/>
      <c r="FI73" s="92"/>
      <c r="FJ73" s="92"/>
      <c r="FK73" s="92"/>
      <c r="FL73" s="92"/>
      <c r="FM73" s="92"/>
      <c r="FN73" s="92"/>
      <c r="FO73" s="92"/>
      <c r="FP73" s="92"/>
      <c r="FQ73" s="92"/>
      <c r="FR73" s="92"/>
      <c r="FS73" s="92"/>
      <c r="FT73" s="92"/>
      <c r="FU73" s="92"/>
      <c r="FV73" s="92"/>
      <c r="FW73" s="92"/>
      <c r="FX73" s="92"/>
      <c r="FY73" s="92"/>
      <c r="FZ73" s="92"/>
      <c r="GA73" s="92"/>
      <c r="GB73" s="92"/>
      <c r="GC73" s="92"/>
      <c r="GD73" s="92"/>
      <c r="GE73" s="92"/>
      <c r="GF73" s="92"/>
      <c r="GG73" s="92"/>
      <c r="GH73" s="92"/>
      <c r="GI73" s="92"/>
      <c r="GJ73" s="92"/>
      <c r="GK73" s="92"/>
      <c r="GL73" s="92"/>
      <c r="GM73" s="92"/>
      <c r="GN73" s="92"/>
      <c r="GO73" s="92"/>
      <c r="GP73" s="92"/>
      <c r="GQ73" s="92"/>
      <c r="GR73" s="92"/>
      <c r="GS73" s="92"/>
      <c r="GT73" s="92"/>
      <c r="GU73" s="92"/>
      <c r="GV73" s="92"/>
      <c r="GW73" s="92"/>
      <c r="GX73" s="92"/>
      <c r="GY73" s="92"/>
      <c r="GZ73" s="92"/>
      <c r="HA73" s="92"/>
      <c r="HB73" s="92"/>
      <c r="HC73" s="92"/>
      <c r="HD73" s="92"/>
      <c r="HE73" s="92"/>
      <c r="HF73" s="92"/>
      <c r="HG73" s="92"/>
      <c r="HH73" s="92"/>
    </row>
    <row r="74" spans="1:216" s="93" customFormat="1" ht="13.2" hidden="1" customHeight="1">
      <c r="A74" s="97" t="s">
        <v>271</v>
      </c>
      <c r="B74" s="96">
        <v>140645388</v>
      </c>
      <c r="C74" s="96" t="s">
        <v>270</v>
      </c>
      <c r="D74" s="91"/>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c r="BP74" s="92"/>
      <c r="BQ74" s="92"/>
      <c r="BR74" s="92"/>
      <c r="BS74" s="92"/>
      <c r="BT74" s="92"/>
      <c r="BU74" s="92"/>
      <c r="BV74" s="92"/>
      <c r="BW74" s="92"/>
      <c r="BX74" s="92"/>
      <c r="BY74" s="92"/>
      <c r="BZ74" s="92"/>
      <c r="CA74" s="92"/>
      <c r="CB74" s="92"/>
      <c r="CC74" s="92"/>
      <c r="CD74" s="92"/>
      <c r="CE74" s="92"/>
      <c r="CF74" s="92"/>
      <c r="CG74" s="92"/>
      <c r="CH74" s="92"/>
      <c r="CI74" s="92"/>
      <c r="CJ74" s="92"/>
      <c r="CK74" s="92"/>
      <c r="CL74" s="92"/>
      <c r="CM74" s="92"/>
      <c r="CN74" s="92"/>
      <c r="CO74" s="92"/>
      <c r="CP74" s="92"/>
      <c r="CQ74" s="92"/>
      <c r="CR74" s="92"/>
      <c r="CS74" s="92"/>
      <c r="CT74" s="92"/>
      <c r="CU74" s="92"/>
      <c r="CV74" s="92"/>
      <c r="CW74" s="92"/>
      <c r="CX74" s="92"/>
      <c r="CY74" s="92"/>
      <c r="CZ74" s="92"/>
      <c r="DA74" s="92"/>
      <c r="DB74" s="92"/>
      <c r="DC74" s="92"/>
      <c r="DD74" s="92"/>
      <c r="DE74" s="92"/>
      <c r="DF74" s="92"/>
      <c r="DG74" s="92"/>
      <c r="DH74" s="92"/>
      <c r="DI74" s="92"/>
      <c r="DJ74" s="92"/>
      <c r="DK74" s="92"/>
      <c r="DL74" s="92"/>
      <c r="DM74" s="92"/>
      <c r="DN74" s="92"/>
      <c r="DO74" s="92"/>
      <c r="DP74" s="92"/>
      <c r="DQ74" s="92"/>
      <c r="DR74" s="92"/>
      <c r="DS74" s="92"/>
      <c r="DT74" s="92"/>
      <c r="DU74" s="92"/>
      <c r="DV74" s="92"/>
      <c r="DW74" s="92"/>
      <c r="DX74" s="92"/>
      <c r="DY74" s="92"/>
      <c r="DZ74" s="92"/>
      <c r="EA74" s="92"/>
      <c r="EB74" s="92"/>
      <c r="EC74" s="92"/>
      <c r="ED74" s="92"/>
      <c r="EE74" s="92"/>
      <c r="EF74" s="92"/>
      <c r="EG74" s="92"/>
      <c r="EH74" s="92"/>
      <c r="EI74" s="92"/>
      <c r="EJ74" s="92"/>
      <c r="EK74" s="92"/>
      <c r="EL74" s="92"/>
      <c r="EM74" s="92"/>
      <c r="EN74" s="92"/>
      <c r="EO74" s="92"/>
      <c r="EP74" s="92"/>
      <c r="EQ74" s="92"/>
      <c r="ER74" s="92"/>
      <c r="ES74" s="92"/>
      <c r="ET74" s="92"/>
      <c r="EU74" s="92"/>
      <c r="EV74" s="92"/>
      <c r="EW74" s="92"/>
      <c r="EX74" s="92"/>
      <c r="EY74" s="92"/>
      <c r="EZ74" s="92"/>
      <c r="FA74" s="92"/>
      <c r="FB74" s="92"/>
      <c r="FC74" s="92"/>
      <c r="FD74" s="92"/>
      <c r="FE74" s="92"/>
      <c r="FF74" s="92"/>
      <c r="FG74" s="92"/>
      <c r="FH74" s="92"/>
      <c r="FI74" s="92"/>
      <c r="FJ74" s="92"/>
      <c r="FK74" s="92"/>
      <c r="FL74" s="92"/>
      <c r="FM74" s="92"/>
      <c r="FN74" s="92"/>
      <c r="FO74" s="92"/>
      <c r="FP74" s="92"/>
      <c r="FQ74" s="92"/>
      <c r="FR74" s="92"/>
      <c r="FS74" s="92"/>
      <c r="FT74" s="92"/>
      <c r="FU74" s="92"/>
      <c r="FV74" s="92"/>
      <c r="FW74" s="92"/>
      <c r="FX74" s="92"/>
      <c r="FY74" s="92"/>
      <c r="FZ74" s="92"/>
      <c r="GA74" s="92"/>
      <c r="GB74" s="92"/>
      <c r="GC74" s="92"/>
      <c r="GD74" s="92"/>
      <c r="GE74" s="92"/>
      <c r="GF74" s="92"/>
      <c r="GG74" s="92"/>
      <c r="GH74" s="92"/>
      <c r="GI74" s="92"/>
      <c r="GJ74" s="92"/>
      <c r="GK74" s="92"/>
      <c r="GL74" s="92"/>
      <c r="GM74" s="92"/>
      <c r="GN74" s="92"/>
      <c r="GO74" s="92"/>
      <c r="GP74" s="92"/>
      <c r="GQ74" s="92"/>
      <c r="GR74" s="92"/>
      <c r="GS74" s="92"/>
      <c r="GT74" s="92"/>
      <c r="GU74" s="92"/>
      <c r="GV74" s="92"/>
      <c r="GW74" s="92"/>
      <c r="GX74" s="92"/>
      <c r="GY74" s="92"/>
      <c r="GZ74" s="92"/>
      <c r="HA74" s="92"/>
      <c r="HB74" s="92"/>
      <c r="HC74" s="92"/>
      <c r="HD74" s="92"/>
      <c r="HE74" s="92"/>
      <c r="HF74" s="92"/>
      <c r="HG74" s="92"/>
      <c r="HH74" s="92"/>
    </row>
    <row r="75" spans="1:216" s="93" customFormat="1" ht="13.2" hidden="1" customHeight="1">
      <c r="A75" s="96" t="s">
        <v>820</v>
      </c>
      <c r="B75" s="96">
        <v>121473076</v>
      </c>
      <c r="C75" s="96" t="s">
        <v>680</v>
      </c>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c r="BP75" s="92"/>
      <c r="BQ75" s="92"/>
      <c r="BR75" s="92"/>
      <c r="BS75" s="92"/>
      <c r="BT75" s="92"/>
      <c r="BU75" s="92"/>
      <c r="BV75" s="92"/>
      <c r="BW75" s="92"/>
      <c r="BX75" s="92"/>
      <c r="BY75" s="92"/>
      <c r="BZ75" s="92"/>
      <c r="CA75" s="92"/>
      <c r="CB75" s="92"/>
      <c r="CC75" s="92"/>
      <c r="CD75" s="92"/>
      <c r="CE75" s="92"/>
      <c r="CF75" s="92"/>
      <c r="CG75" s="92"/>
      <c r="CH75" s="92"/>
      <c r="CI75" s="92"/>
      <c r="CJ75" s="92"/>
      <c r="CK75" s="92"/>
      <c r="CL75" s="92"/>
      <c r="CM75" s="92"/>
      <c r="CN75" s="92"/>
      <c r="CO75" s="92"/>
      <c r="CP75" s="92"/>
      <c r="CQ75" s="92"/>
      <c r="CR75" s="92"/>
      <c r="CS75" s="92"/>
      <c r="CT75" s="92"/>
      <c r="CU75" s="92"/>
      <c r="CV75" s="92"/>
      <c r="CW75" s="92"/>
      <c r="CX75" s="92"/>
      <c r="CY75" s="92"/>
      <c r="CZ75" s="92"/>
      <c r="DA75" s="92"/>
      <c r="DB75" s="92"/>
      <c r="DC75" s="92"/>
      <c r="DD75" s="92"/>
      <c r="DE75" s="92"/>
      <c r="DF75" s="92"/>
      <c r="DG75" s="92"/>
      <c r="DH75" s="92"/>
      <c r="DI75" s="92"/>
      <c r="DJ75" s="92"/>
      <c r="DK75" s="92"/>
      <c r="DL75" s="92"/>
      <c r="DM75" s="92"/>
      <c r="DN75" s="92"/>
      <c r="DO75" s="92"/>
      <c r="DP75" s="92"/>
      <c r="DQ75" s="92"/>
      <c r="DR75" s="92"/>
      <c r="DS75" s="92"/>
      <c r="DT75" s="92"/>
      <c r="DU75" s="92"/>
      <c r="DV75" s="92"/>
      <c r="DW75" s="92"/>
      <c r="DX75" s="92"/>
      <c r="DY75" s="92"/>
      <c r="DZ75" s="92"/>
      <c r="EA75" s="92"/>
      <c r="EB75" s="92"/>
      <c r="EC75" s="92"/>
      <c r="ED75" s="92"/>
      <c r="EE75" s="92"/>
      <c r="EF75" s="92"/>
      <c r="EG75" s="92"/>
      <c r="EH75" s="92"/>
      <c r="EI75" s="92"/>
      <c r="EJ75" s="92"/>
      <c r="EK75" s="92"/>
      <c r="EL75" s="92"/>
      <c r="EM75" s="92"/>
      <c r="EN75" s="92"/>
      <c r="EO75" s="92"/>
      <c r="EP75" s="92"/>
      <c r="EQ75" s="92"/>
      <c r="ER75" s="92"/>
      <c r="ES75" s="92"/>
      <c r="ET75" s="92"/>
      <c r="EU75" s="92"/>
      <c r="EV75" s="92"/>
      <c r="EW75" s="92"/>
      <c r="EX75" s="92"/>
      <c r="EY75" s="92"/>
      <c r="EZ75" s="92"/>
      <c r="FA75" s="92"/>
      <c r="FB75" s="92"/>
      <c r="FC75" s="92"/>
      <c r="FD75" s="92"/>
      <c r="FE75" s="92"/>
      <c r="FF75" s="92"/>
      <c r="FG75" s="92"/>
      <c r="FH75" s="92"/>
      <c r="FI75" s="92"/>
      <c r="FJ75" s="92"/>
      <c r="FK75" s="92"/>
      <c r="FL75" s="92"/>
      <c r="FM75" s="92"/>
      <c r="FN75" s="92"/>
      <c r="FO75" s="92"/>
      <c r="FP75" s="92"/>
      <c r="FQ75" s="92"/>
      <c r="FR75" s="92"/>
      <c r="FS75" s="92"/>
      <c r="FT75" s="92"/>
      <c r="FU75" s="92"/>
      <c r="FV75" s="92"/>
      <c r="FW75" s="92"/>
      <c r="FX75" s="92"/>
      <c r="FY75" s="92"/>
      <c r="FZ75" s="92"/>
      <c r="GA75" s="92"/>
      <c r="GB75" s="92"/>
      <c r="GC75" s="92"/>
      <c r="GD75" s="92"/>
      <c r="GE75" s="92"/>
      <c r="GF75" s="92"/>
      <c r="GG75" s="92"/>
      <c r="GH75" s="92"/>
      <c r="GI75" s="92"/>
      <c r="GJ75" s="92"/>
      <c r="GK75" s="92"/>
      <c r="GL75" s="92"/>
      <c r="GM75" s="92"/>
      <c r="GN75" s="92"/>
      <c r="GO75" s="92"/>
      <c r="GP75" s="92"/>
      <c r="GQ75" s="92"/>
      <c r="GR75" s="92"/>
      <c r="GS75" s="92"/>
      <c r="GT75" s="92"/>
      <c r="GU75" s="92"/>
      <c r="GV75" s="92"/>
      <c r="GW75" s="92"/>
      <c r="GX75" s="92"/>
      <c r="GY75" s="92"/>
      <c r="GZ75" s="92"/>
      <c r="HA75" s="92"/>
      <c r="HB75" s="92"/>
      <c r="HC75" s="92"/>
      <c r="HD75" s="92"/>
      <c r="HE75" s="92"/>
      <c r="HF75" s="92"/>
      <c r="HG75" s="92"/>
      <c r="HH75" s="92"/>
    </row>
    <row r="76" spans="1:216" s="93" customFormat="1" ht="13.2" hidden="1" customHeight="1">
      <c r="A76" s="97" t="s">
        <v>705</v>
      </c>
      <c r="B76" s="98" t="s">
        <v>821</v>
      </c>
      <c r="C76" s="99"/>
      <c r="D76" s="91"/>
      <c r="E76" s="92"/>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c r="BP76" s="92"/>
      <c r="BQ76" s="92"/>
      <c r="BR76" s="92"/>
      <c r="BS76" s="92"/>
      <c r="BT76" s="92"/>
      <c r="BU76" s="92"/>
      <c r="BV76" s="92"/>
      <c r="BW76" s="92"/>
      <c r="BX76" s="92"/>
      <c r="BY76" s="92"/>
      <c r="BZ76" s="92"/>
      <c r="CA76" s="92"/>
      <c r="CB76" s="92"/>
      <c r="CC76" s="92"/>
      <c r="CD76" s="92"/>
      <c r="CE76" s="92"/>
      <c r="CF76" s="92"/>
      <c r="CG76" s="92"/>
      <c r="CH76" s="92"/>
      <c r="CI76" s="92"/>
      <c r="CJ76" s="92"/>
      <c r="CK76" s="92"/>
      <c r="CL76" s="92"/>
      <c r="CM76" s="92"/>
      <c r="CN76" s="92"/>
      <c r="CO76" s="92"/>
      <c r="CP76" s="92"/>
      <c r="CQ76" s="92"/>
      <c r="CR76" s="92"/>
      <c r="CS76" s="92"/>
      <c r="CT76" s="92"/>
      <c r="CU76" s="92"/>
      <c r="CV76" s="92"/>
      <c r="CW76" s="92"/>
      <c r="CX76" s="92"/>
      <c r="CY76" s="92"/>
      <c r="CZ76" s="92"/>
      <c r="DA76" s="92"/>
      <c r="DB76" s="92"/>
      <c r="DC76" s="92"/>
      <c r="DD76" s="92"/>
      <c r="DE76" s="92"/>
      <c r="DF76" s="92"/>
      <c r="DG76" s="92"/>
      <c r="DH76" s="92"/>
      <c r="DI76" s="92"/>
      <c r="DJ76" s="92"/>
      <c r="DK76" s="92"/>
      <c r="DL76" s="92"/>
      <c r="DM76" s="92"/>
      <c r="DN76" s="92"/>
      <c r="DO76" s="92"/>
      <c r="DP76" s="92"/>
      <c r="DQ76" s="92"/>
      <c r="DR76" s="92"/>
      <c r="DS76" s="92"/>
      <c r="DT76" s="92"/>
      <c r="DU76" s="92"/>
      <c r="DV76" s="92"/>
      <c r="DW76" s="92"/>
      <c r="DX76" s="92"/>
      <c r="DY76" s="92"/>
      <c r="DZ76" s="92"/>
      <c r="EA76" s="92"/>
      <c r="EB76" s="92"/>
      <c r="EC76" s="92"/>
      <c r="ED76" s="92"/>
      <c r="EE76" s="92"/>
      <c r="EF76" s="92"/>
      <c r="EG76" s="92"/>
      <c r="EH76" s="92"/>
      <c r="EI76" s="92"/>
      <c r="EJ76" s="92"/>
      <c r="EK76" s="92"/>
      <c r="EL76" s="92"/>
      <c r="EM76" s="92"/>
      <c r="EN76" s="92"/>
      <c r="EO76" s="92"/>
      <c r="EP76" s="92"/>
      <c r="EQ76" s="92"/>
      <c r="ER76" s="92"/>
      <c r="ES76" s="92"/>
      <c r="ET76" s="92"/>
      <c r="EU76" s="92"/>
      <c r="EV76" s="92"/>
      <c r="EW76" s="92"/>
      <c r="EX76" s="92"/>
      <c r="EY76" s="92"/>
      <c r="EZ76" s="92"/>
      <c r="FA76" s="92"/>
      <c r="FB76" s="92"/>
      <c r="FC76" s="92"/>
      <c r="FD76" s="92"/>
      <c r="FE76" s="92"/>
      <c r="FF76" s="92"/>
      <c r="FG76" s="92"/>
      <c r="FH76" s="92"/>
      <c r="FI76" s="92"/>
      <c r="FJ76" s="92"/>
      <c r="FK76" s="92"/>
      <c r="FL76" s="92"/>
      <c r="FM76" s="92"/>
      <c r="FN76" s="92"/>
      <c r="FO76" s="92"/>
      <c r="FP76" s="92"/>
      <c r="FQ76" s="92"/>
      <c r="FR76" s="92"/>
      <c r="FS76" s="92"/>
      <c r="FT76" s="92"/>
      <c r="FU76" s="92"/>
      <c r="FV76" s="92"/>
      <c r="FW76" s="92"/>
      <c r="FX76" s="92"/>
      <c r="FY76" s="92"/>
      <c r="FZ76" s="92"/>
      <c r="GA76" s="92"/>
      <c r="GB76" s="92"/>
      <c r="GC76" s="92"/>
      <c r="GD76" s="92"/>
      <c r="GE76" s="92"/>
      <c r="GF76" s="92"/>
      <c r="GG76" s="92"/>
      <c r="GH76" s="92"/>
      <c r="GI76" s="92"/>
      <c r="GJ76" s="92"/>
      <c r="GK76" s="92"/>
      <c r="GL76" s="92"/>
      <c r="GM76" s="92"/>
      <c r="GN76" s="92"/>
      <c r="GO76" s="92"/>
      <c r="GP76" s="92"/>
      <c r="GQ76" s="92"/>
      <c r="GR76" s="92"/>
      <c r="GS76" s="92"/>
      <c r="GT76" s="92"/>
      <c r="GU76" s="92"/>
      <c r="GV76" s="92"/>
      <c r="GW76" s="92"/>
      <c r="GX76" s="92"/>
      <c r="GY76" s="92"/>
      <c r="GZ76" s="92"/>
      <c r="HA76" s="92"/>
      <c r="HB76" s="92"/>
      <c r="HC76" s="92"/>
      <c r="HD76" s="92"/>
      <c r="HE76" s="92"/>
      <c r="HF76" s="92"/>
      <c r="HG76" s="92"/>
      <c r="HH76" s="92"/>
    </row>
    <row r="77" spans="1:216" s="93" customFormat="1" ht="13.2" hidden="1" customHeight="1">
      <c r="A77" s="97" t="s">
        <v>293</v>
      </c>
      <c r="B77" s="96" t="s">
        <v>822</v>
      </c>
      <c r="C77" s="99"/>
      <c r="D77" s="91"/>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c r="BP77" s="92"/>
      <c r="BQ77" s="92"/>
      <c r="BR77" s="92"/>
      <c r="BS77" s="92"/>
      <c r="BT77" s="92"/>
      <c r="BU77" s="92"/>
      <c r="BV77" s="92"/>
      <c r="BW77" s="92"/>
      <c r="BX77" s="92"/>
      <c r="BY77" s="92"/>
      <c r="BZ77" s="92"/>
      <c r="CA77" s="92"/>
      <c r="CB77" s="92"/>
      <c r="CC77" s="92"/>
      <c r="CD77" s="92"/>
      <c r="CE77" s="92"/>
      <c r="CF77" s="92"/>
      <c r="CG77" s="92"/>
      <c r="CH77" s="92"/>
      <c r="CI77" s="92"/>
      <c r="CJ77" s="92"/>
      <c r="CK77" s="92"/>
      <c r="CL77" s="92"/>
      <c r="CM77" s="92"/>
      <c r="CN77" s="92"/>
      <c r="CO77" s="92"/>
      <c r="CP77" s="92"/>
      <c r="CQ77" s="92"/>
      <c r="CR77" s="92"/>
      <c r="CS77" s="92"/>
      <c r="CT77" s="92"/>
      <c r="CU77" s="92"/>
      <c r="CV77" s="92"/>
      <c r="CW77" s="92"/>
      <c r="CX77" s="92"/>
      <c r="CY77" s="92"/>
      <c r="CZ77" s="92"/>
      <c r="DA77" s="92"/>
      <c r="DB77" s="92"/>
      <c r="DC77" s="92"/>
      <c r="DD77" s="92"/>
      <c r="DE77" s="92"/>
      <c r="DF77" s="92"/>
      <c r="DG77" s="92"/>
      <c r="DH77" s="92"/>
      <c r="DI77" s="92"/>
      <c r="DJ77" s="92"/>
      <c r="DK77" s="92"/>
      <c r="DL77" s="92"/>
      <c r="DM77" s="92"/>
      <c r="DN77" s="92"/>
      <c r="DO77" s="92"/>
      <c r="DP77" s="92"/>
      <c r="DQ77" s="92"/>
      <c r="DR77" s="92"/>
      <c r="DS77" s="92"/>
      <c r="DT77" s="92"/>
      <c r="DU77" s="92"/>
      <c r="DV77" s="92"/>
      <c r="DW77" s="92"/>
      <c r="DX77" s="92"/>
      <c r="DY77" s="92"/>
      <c r="DZ77" s="92"/>
      <c r="EA77" s="92"/>
      <c r="EB77" s="92"/>
      <c r="EC77" s="92"/>
      <c r="ED77" s="92"/>
      <c r="EE77" s="92"/>
      <c r="EF77" s="92"/>
      <c r="EG77" s="92"/>
      <c r="EH77" s="92"/>
      <c r="EI77" s="92"/>
      <c r="EJ77" s="92"/>
      <c r="EK77" s="92"/>
      <c r="EL77" s="92"/>
      <c r="EM77" s="92"/>
      <c r="EN77" s="92"/>
      <c r="EO77" s="92"/>
      <c r="EP77" s="92"/>
      <c r="EQ77" s="92"/>
      <c r="ER77" s="92"/>
      <c r="ES77" s="92"/>
      <c r="ET77" s="92"/>
      <c r="EU77" s="92"/>
      <c r="EV77" s="92"/>
      <c r="EW77" s="92"/>
      <c r="EX77" s="92"/>
      <c r="EY77" s="92"/>
      <c r="EZ77" s="92"/>
      <c r="FA77" s="92"/>
      <c r="FB77" s="92"/>
      <c r="FC77" s="92"/>
      <c r="FD77" s="92"/>
      <c r="FE77" s="92"/>
      <c r="FF77" s="92"/>
      <c r="FG77" s="92"/>
      <c r="FH77" s="92"/>
      <c r="FI77" s="92"/>
      <c r="FJ77" s="92"/>
      <c r="FK77" s="92"/>
      <c r="FL77" s="92"/>
      <c r="FM77" s="92"/>
      <c r="FN77" s="92"/>
      <c r="FO77" s="92"/>
      <c r="FP77" s="92"/>
      <c r="FQ77" s="92"/>
      <c r="FR77" s="92"/>
      <c r="FS77" s="92"/>
      <c r="FT77" s="92"/>
      <c r="FU77" s="92"/>
      <c r="FV77" s="92"/>
      <c r="FW77" s="92"/>
      <c r="FX77" s="92"/>
      <c r="FY77" s="92"/>
      <c r="FZ77" s="92"/>
      <c r="GA77" s="92"/>
      <c r="GB77" s="92"/>
      <c r="GC77" s="92"/>
      <c r="GD77" s="92"/>
      <c r="GE77" s="92"/>
      <c r="GF77" s="92"/>
      <c r="GG77" s="92"/>
      <c r="GH77" s="92"/>
      <c r="GI77" s="92"/>
      <c r="GJ77" s="92"/>
      <c r="GK77" s="92"/>
      <c r="GL77" s="92"/>
      <c r="GM77" s="92"/>
      <c r="GN77" s="92"/>
      <c r="GO77" s="92"/>
      <c r="GP77" s="92"/>
      <c r="GQ77" s="92"/>
      <c r="GR77" s="92"/>
      <c r="GS77" s="92"/>
      <c r="GT77" s="92"/>
      <c r="GU77" s="92"/>
      <c r="GV77" s="92"/>
      <c r="GW77" s="92"/>
      <c r="GX77" s="92"/>
      <c r="GY77" s="92"/>
      <c r="GZ77" s="92"/>
      <c r="HA77" s="92"/>
      <c r="HB77" s="92"/>
      <c r="HC77" s="92"/>
      <c r="HD77" s="92"/>
      <c r="HE77" s="92"/>
      <c r="HF77" s="92"/>
      <c r="HG77" s="92"/>
      <c r="HH77" s="92"/>
    </row>
    <row r="78" spans="1:216" s="93" customFormat="1" ht="13.2" hidden="1" customHeight="1">
      <c r="A78" s="96" t="s">
        <v>99</v>
      </c>
      <c r="B78" s="96">
        <v>140697025</v>
      </c>
      <c r="C78" s="96" t="s">
        <v>680</v>
      </c>
      <c r="D78" s="91"/>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c r="BP78" s="92"/>
      <c r="BQ78" s="92"/>
      <c r="BR78" s="92"/>
      <c r="BS78" s="92"/>
      <c r="BT78" s="92"/>
      <c r="BU78" s="92"/>
      <c r="BV78" s="92"/>
      <c r="BW78" s="92"/>
      <c r="BX78" s="92"/>
      <c r="BY78" s="92"/>
      <c r="BZ78" s="92"/>
      <c r="CA78" s="92"/>
      <c r="CB78" s="92"/>
      <c r="CC78" s="92"/>
      <c r="CD78" s="92"/>
      <c r="CE78" s="92"/>
      <c r="CF78" s="92"/>
      <c r="CG78" s="92"/>
      <c r="CH78" s="92"/>
      <c r="CI78" s="92"/>
      <c r="CJ78" s="92"/>
      <c r="CK78" s="92"/>
      <c r="CL78" s="92"/>
      <c r="CM78" s="92"/>
      <c r="CN78" s="92"/>
      <c r="CO78" s="92"/>
      <c r="CP78" s="92"/>
      <c r="CQ78" s="92"/>
      <c r="CR78" s="92"/>
      <c r="CS78" s="92"/>
      <c r="CT78" s="92"/>
      <c r="CU78" s="92"/>
      <c r="CV78" s="92"/>
      <c r="CW78" s="92"/>
      <c r="CX78" s="92"/>
      <c r="CY78" s="92"/>
      <c r="CZ78" s="92"/>
      <c r="DA78" s="92"/>
      <c r="DB78" s="92"/>
      <c r="DC78" s="92"/>
      <c r="DD78" s="92"/>
      <c r="DE78" s="92"/>
      <c r="DF78" s="92"/>
      <c r="DG78" s="92"/>
      <c r="DH78" s="92"/>
      <c r="DI78" s="92"/>
      <c r="DJ78" s="92"/>
      <c r="DK78" s="92"/>
      <c r="DL78" s="92"/>
      <c r="DM78" s="92"/>
      <c r="DN78" s="92"/>
      <c r="DO78" s="92"/>
      <c r="DP78" s="92"/>
      <c r="DQ78" s="92"/>
      <c r="DR78" s="92"/>
      <c r="DS78" s="92"/>
      <c r="DT78" s="92"/>
      <c r="DU78" s="92"/>
      <c r="DV78" s="92"/>
      <c r="DW78" s="92"/>
      <c r="DX78" s="92"/>
      <c r="DY78" s="92"/>
      <c r="DZ78" s="92"/>
      <c r="EA78" s="92"/>
      <c r="EB78" s="92"/>
      <c r="EC78" s="92"/>
      <c r="ED78" s="92"/>
      <c r="EE78" s="92"/>
      <c r="EF78" s="92"/>
      <c r="EG78" s="92"/>
      <c r="EH78" s="92"/>
      <c r="EI78" s="92"/>
      <c r="EJ78" s="92"/>
      <c r="EK78" s="92"/>
      <c r="EL78" s="92"/>
      <c r="EM78" s="92"/>
      <c r="EN78" s="92"/>
      <c r="EO78" s="92"/>
      <c r="EP78" s="92"/>
      <c r="EQ78" s="92"/>
      <c r="ER78" s="92"/>
      <c r="ES78" s="92"/>
      <c r="ET78" s="92"/>
      <c r="EU78" s="92"/>
      <c r="EV78" s="92"/>
      <c r="EW78" s="92"/>
      <c r="EX78" s="92"/>
      <c r="EY78" s="92"/>
      <c r="EZ78" s="92"/>
      <c r="FA78" s="92"/>
      <c r="FB78" s="92"/>
      <c r="FC78" s="92"/>
      <c r="FD78" s="92"/>
      <c r="FE78" s="92"/>
      <c r="FF78" s="92"/>
      <c r="FG78" s="92"/>
      <c r="FH78" s="92"/>
      <c r="FI78" s="92"/>
      <c r="FJ78" s="92"/>
      <c r="FK78" s="92"/>
      <c r="FL78" s="92"/>
      <c r="FM78" s="92"/>
      <c r="FN78" s="92"/>
      <c r="FO78" s="92"/>
      <c r="FP78" s="92"/>
      <c r="FQ78" s="92"/>
      <c r="FR78" s="92"/>
      <c r="FS78" s="92"/>
      <c r="FT78" s="92"/>
      <c r="FU78" s="92"/>
      <c r="FV78" s="92"/>
      <c r="FW78" s="92"/>
      <c r="FX78" s="92"/>
      <c r="FY78" s="92"/>
      <c r="FZ78" s="92"/>
      <c r="GA78" s="92"/>
      <c r="GB78" s="92"/>
      <c r="GC78" s="92"/>
      <c r="GD78" s="92"/>
      <c r="GE78" s="92"/>
      <c r="GF78" s="92"/>
      <c r="GG78" s="92"/>
      <c r="GH78" s="92"/>
      <c r="GI78" s="92"/>
      <c r="GJ78" s="92"/>
      <c r="GK78" s="92"/>
      <c r="GL78" s="92"/>
      <c r="GM78" s="92"/>
      <c r="GN78" s="92"/>
      <c r="GO78" s="92"/>
      <c r="GP78" s="92"/>
      <c r="GQ78" s="92"/>
      <c r="GR78" s="92"/>
      <c r="GS78" s="92"/>
      <c r="GT78" s="92"/>
      <c r="GU78" s="92"/>
      <c r="GV78" s="92"/>
      <c r="GW78" s="92"/>
      <c r="GX78" s="92"/>
      <c r="GY78" s="92"/>
      <c r="GZ78" s="92"/>
      <c r="HA78" s="92"/>
      <c r="HB78" s="92"/>
      <c r="HC78" s="92"/>
      <c r="HD78" s="92"/>
      <c r="HE78" s="92"/>
      <c r="HF78" s="92"/>
      <c r="HG78" s="92"/>
      <c r="HH78" s="92"/>
    </row>
    <row r="79" spans="1:216" s="93" customFormat="1" ht="13.2" hidden="1" customHeight="1">
      <c r="A79" s="96" t="s">
        <v>384</v>
      </c>
      <c r="B79" s="96">
        <v>141307968</v>
      </c>
      <c r="C79" s="96" t="s">
        <v>570</v>
      </c>
      <c r="D79" s="91"/>
      <c r="E79" s="92"/>
      <c r="F79" s="92"/>
      <c r="G79" s="92"/>
      <c r="H79" s="92"/>
      <c r="I79" s="92"/>
      <c r="J79" s="92"/>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c r="CD79" s="92"/>
      <c r="CE79" s="92"/>
      <c r="CF79" s="92"/>
      <c r="CG79" s="92"/>
      <c r="CH79" s="92"/>
      <c r="CI79" s="92"/>
      <c r="CJ79" s="92"/>
      <c r="CK79" s="92"/>
      <c r="CL79" s="92"/>
      <c r="CM79" s="92"/>
      <c r="CN79" s="92"/>
      <c r="CO79" s="92"/>
      <c r="CP79" s="92"/>
      <c r="CQ79" s="92"/>
      <c r="CR79" s="92"/>
      <c r="CS79" s="92"/>
      <c r="CT79" s="92"/>
      <c r="CU79" s="92"/>
      <c r="CV79" s="92"/>
      <c r="CW79" s="92"/>
      <c r="CX79" s="92"/>
      <c r="CY79" s="92"/>
      <c r="CZ79" s="92"/>
      <c r="DA79" s="92"/>
      <c r="DB79" s="92"/>
      <c r="DC79" s="92"/>
      <c r="DD79" s="92"/>
      <c r="DE79" s="92"/>
      <c r="DF79" s="92"/>
      <c r="DG79" s="92"/>
      <c r="DH79" s="92"/>
      <c r="DI79" s="92"/>
      <c r="DJ79" s="92"/>
      <c r="DK79" s="92"/>
      <c r="DL79" s="92"/>
      <c r="DM79" s="92"/>
      <c r="DN79" s="92"/>
      <c r="DO79" s="92"/>
      <c r="DP79" s="92"/>
      <c r="DQ79" s="92"/>
      <c r="DR79" s="92"/>
      <c r="DS79" s="92"/>
      <c r="DT79" s="92"/>
      <c r="DU79" s="92"/>
      <c r="DV79" s="92"/>
      <c r="DW79" s="92"/>
      <c r="DX79" s="92"/>
      <c r="DY79" s="92"/>
      <c r="DZ79" s="92"/>
      <c r="EA79" s="92"/>
      <c r="EB79" s="92"/>
      <c r="EC79" s="92"/>
      <c r="ED79" s="92"/>
      <c r="EE79" s="92"/>
      <c r="EF79" s="92"/>
      <c r="EG79" s="92"/>
      <c r="EH79" s="92"/>
      <c r="EI79" s="92"/>
      <c r="EJ79" s="92"/>
      <c r="EK79" s="92"/>
      <c r="EL79" s="92"/>
      <c r="EM79" s="92"/>
      <c r="EN79" s="92"/>
      <c r="EO79" s="92"/>
      <c r="EP79" s="92"/>
      <c r="EQ79" s="92"/>
      <c r="ER79" s="92"/>
      <c r="ES79" s="92"/>
      <c r="ET79" s="92"/>
      <c r="EU79" s="92"/>
      <c r="EV79" s="92"/>
      <c r="EW79" s="92"/>
      <c r="EX79" s="92"/>
      <c r="EY79" s="92"/>
      <c r="EZ79" s="92"/>
      <c r="FA79" s="92"/>
      <c r="FB79" s="92"/>
      <c r="FC79" s="92"/>
      <c r="FD79" s="92"/>
      <c r="FE79" s="92"/>
      <c r="FF79" s="92"/>
      <c r="FG79" s="92"/>
      <c r="FH79" s="92"/>
      <c r="FI79" s="92"/>
      <c r="FJ79" s="92"/>
      <c r="FK79" s="92"/>
      <c r="FL79" s="92"/>
      <c r="FM79" s="92"/>
      <c r="FN79" s="92"/>
      <c r="FO79" s="92"/>
      <c r="FP79" s="92"/>
      <c r="FQ79" s="92"/>
      <c r="FR79" s="92"/>
      <c r="FS79" s="92"/>
      <c r="FT79" s="92"/>
      <c r="FU79" s="92"/>
      <c r="FV79" s="92"/>
      <c r="FW79" s="92"/>
      <c r="FX79" s="92"/>
      <c r="FY79" s="92"/>
      <c r="FZ79" s="92"/>
      <c r="GA79" s="92"/>
      <c r="GB79" s="92"/>
      <c r="GC79" s="92"/>
      <c r="GD79" s="92"/>
      <c r="GE79" s="92"/>
      <c r="GF79" s="92"/>
      <c r="GG79" s="92"/>
      <c r="GH79" s="92"/>
      <c r="GI79" s="92"/>
      <c r="GJ79" s="92"/>
      <c r="GK79" s="92"/>
      <c r="GL79" s="92"/>
      <c r="GM79" s="92"/>
      <c r="GN79" s="92"/>
      <c r="GO79" s="92"/>
      <c r="GP79" s="92"/>
      <c r="GQ79" s="92"/>
      <c r="GR79" s="92"/>
      <c r="GS79" s="92"/>
      <c r="GT79" s="92"/>
      <c r="GU79" s="92"/>
      <c r="GV79" s="92"/>
      <c r="GW79" s="92"/>
      <c r="GX79" s="92"/>
      <c r="GY79" s="92"/>
      <c r="GZ79" s="92"/>
      <c r="HA79" s="92"/>
      <c r="HB79" s="92"/>
      <c r="HC79" s="92"/>
      <c r="HD79" s="92"/>
      <c r="HE79" s="92"/>
      <c r="HF79" s="92"/>
      <c r="HG79" s="92"/>
      <c r="HH79" s="92"/>
    </row>
    <row r="80" spans="1:216" ht="14.4" hidden="1">
      <c r="A80" s="96" t="s">
        <v>823</v>
      </c>
      <c r="B80" s="96">
        <v>126131237</v>
      </c>
      <c r="C80" s="96" t="s">
        <v>657</v>
      </c>
    </row>
    <row r="81" spans="1:216" ht="14.4" hidden="1">
      <c r="A81" s="96" t="s">
        <v>30</v>
      </c>
      <c r="B81" s="96">
        <v>116589569</v>
      </c>
      <c r="C81" s="96" t="s">
        <v>635</v>
      </c>
    </row>
    <row r="82" spans="1:216" ht="14.4" hidden="1">
      <c r="A82" s="96" t="s">
        <v>716</v>
      </c>
      <c r="B82" s="96">
        <v>112952143</v>
      </c>
      <c r="C82" s="96" t="s">
        <v>717</v>
      </c>
      <c r="D82" s="92"/>
    </row>
    <row r="83" spans="1:216" ht="14.4" hidden="1">
      <c r="A83" s="96" t="s">
        <v>451</v>
      </c>
      <c r="B83" s="96">
        <v>121594839</v>
      </c>
      <c r="C83" s="96" t="s">
        <v>673</v>
      </c>
      <c r="D83" s="92"/>
    </row>
    <row r="84" spans="1:216" s="93" customFormat="1" ht="13.2" hidden="1" customHeight="1">
      <c r="A84" s="96" t="s">
        <v>824</v>
      </c>
      <c r="B84" s="96">
        <v>116836161</v>
      </c>
      <c r="C84" s="96" t="s">
        <v>657</v>
      </c>
      <c r="D84" s="91"/>
      <c r="E84" s="92"/>
      <c r="F84" s="92"/>
      <c r="G84" s="92"/>
      <c r="H84" s="92"/>
      <c r="I84" s="92"/>
      <c r="J84" s="92"/>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c r="BP84" s="92"/>
      <c r="BQ84" s="92"/>
      <c r="BR84" s="92"/>
      <c r="BS84" s="92"/>
      <c r="BT84" s="92"/>
      <c r="BU84" s="92"/>
      <c r="BV84" s="92"/>
      <c r="BW84" s="92"/>
      <c r="BX84" s="92"/>
      <c r="BY84" s="92"/>
      <c r="BZ84" s="92"/>
      <c r="CA84" s="92"/>
      <c r="CB84" s="92"/>
      <c r="CC84" s="92"/>
      <c r="CD84" s="92"/>
      <c r="CE84" s="92"/>
      <c r="CF84" s="92"/>
      <c r="CG84" s="92"/>
      <c r="CH84" s="92"/>
      <c r="CI84" s="92"/>
      <c r="CJ84" s="92"/>
      <c r="CK84" s="92"/>
      <c r="CL84" s="92"/>
      <c r="CM84" s="92"/>
      <c r="CN84" s="92"/>
      <c r="CO84" s="92"/>
      <c r="CP84" s="92"/>
      <c r="CQ84" s="92"/>
      <c r="CR84" s="92"/>
      <c r="CS84" s="92"/>
      <c r="CT84" s="92"/>
      <c r="CU84" s="92"/>
      <c r="CV84" s="92"/>
      <c r="CW84" s="92"/>
      <c r="CX84" s="92"/>
      <c r="CY84" s="92"/>
      <c r="CZ84" s="92"/>
      <c r="DA84" s="92"/>
      <c r="DB84" s="92"/>
      <c r="DC84" s="92"/>
      <c r="DD84" s="92"/>
      <c r="DE84" s="92"/>
      <c r="DF84" s="92"/>
      <c r="DG84" s="92"/>
      <c r="DH84" s="92"/>
      <c r="DI84" s="92"/>
      <c r="DJ84" s="92"/>
      <c r="DK84" s="92"/>
      <c r="DL84" s="92"/>
      <c r="DM84" s="92"/>
      <c r="DN84" s="92"/>
      <c r="DO84" s="92"/>
      <c r="DP84" s="92"/>
      <c r="DQ84" s="92"/>
      <c r="DR84" s="92"/>
      <c r="DS84" s="92"/>
      <c r="DT84" s="92"/>
      <c r="DU84" s="92"/>
      <c r="DV84" s="92"/>
      <c r="DW84" s="92"/>
      <c r="DX84" s="92"/>
      <c r="DY84" s="92"/>
      <c r="DZ84" s="92"/>
      <c r="EA84" s="92"/>
      <c r="EB84" s="92"/>
      <c r="EC84" s="92"/>
      <c r="ED84" s="92"/>
      <c r="EE84" s="92"/>
      <c r="EF84" s="92"/>
      <c r="EG84" s="92"/>
      <c r="EH84" s="92"/>
      <c r="EI84" s="92"/>
      <c r="EJ84" s="92"/>
      <c r="EK84" s="92"/>
      <c r="EL84" s="92"/>
      <c r="EM84" s="92"/>
      <c r="EN84" s="92"/>
      <c r="EO84" s="92"/>
      <c r="EP84" s="92"/>
      <c r="EQ84" s="92"/>
      <c r="ER84" s="92"/>
      <c r="ES84" s="92"/>
      <c r="ET84" s="92"/>
      <c r="EU84" s="92"/>
      <c r="EV84" s="92"/>
      <c r="EW84" s="92"/>
      <c r="EX84" s="92"/>
      <c r="EY84" s="92"/>
      <c r="EZ84" s="92"/>
      <c r="FA84" s="92"/>
      <c r="FB84" s="92"/>
      <c r="FC84" s="92"/>
      <c r="FD84" s="92"/>
      <c r="FE84" s="92"/>
      <c r="FF84" s="92"/>
      <c r="FG84" s="92"/>
      <c r="FH84" s="92"/>
      <c r="FI84" s="92"/>
      <c r="FJ84" s="92"/>
      <c r="FK84" s="92"/>
      <c r="FL84" s="92"/>
      <c r="FM84" s="92"/>
      <c r="FN84" s="92"/>
      <c r="FO84" s="92"/>
      <c r="FP84" s="92"/>
      <c r="FQ84" s="92"/>
      <c r="FR84" s="92"/>
      <c r="FS84" s="92"/>
      <c r="FT84" s="92"/>
      <c r="FU84" s="92"/>
      <c r="FV84" s="92"/>
      <c r="FW84" s="92"/>
      <c r="FX84" s="92"/>
      <c r="FY84" s="92"/>
      <c r="FZ84" s="92"/>
      <c r="GA84" s="92"/>
      <c r="GB84" s="92"/>
      <c r="GC84" s="92"/>
      <c r="GD84" s="92"/>
      <c r="GE84" s="92"/>
      <c r="GF84" s="92"/>
      <c r="GG84" s="92"/>
      <c r="GH84" s="92"/>
      <c r="GI84" s="92"/>
      <c r="GJ84" s="92"/>
      <c r="GK84" s="92"/>
      <c r="GL84" s="92"/>
      <c r="GM84" s="92"/>
      <c r="GN84" s="92"/>
      <c r="GO84" s="92"/>
      <c r="GP84" s="92"/>
      <c r="GQ84" s="92"/>
      <c r="GR84" s="92"/>
      <c r="GS84" s="92"/>
      <c r="GT84" s="92"/>
      <c r="GU84" s="92"/>
      <c r="GV84" s="92"/>
      <c r="GW84" s="92"/>
      <c r="GX84" s="92"/>
      <c r="GY84" s="92"/>
      <c r="GZ84" s="92"/>
      <c r="HA84" s="92"/>
      <c r="HB84" s="92"/>
      <c r="HC84" s="92"/>
      <c r="HD84" s="92"/>
      <c r="HE84" s="92"/>
      <c r="HF84" s="92"/>
      <c r="HG84" s="92"/>
      <c r="HH84" s="92"/>
    </row>
    <row r="85" spans="1:216" s="93" customFormat="1" ht="13.2" hidden="1" customHeight="1">
      <c r="A85" s="96" t="s">
        <v>586</v>
      </c>
      <c r="B85" s="96">
        <v>118041216</v>
      </c>
      <c r="C85" s="96" t="s">
        <v>587</v>
      </c>
      <c r="D85" s="92"/>
      <c r="E85" s="92"/>
      <c r="F85" s="92"/>
      <c r="G85" s="92"/>
      <c r="H85" s="92"/>
      <c r="I85" s="92"/>
      <c r="J85" s="92"/>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c r="BP85" s="92"/>
      <c r="BQ85" s="92"/>
      <c r="BR85" s="92"/>
      <c r="BS85" s="92"/>
      <c r="BT85" s="92"/>
      <c r="BU85" s="92"/>
      <c r="BV85" s="92"/>
      <c r="BW85" s="92"/>
      <c r="BX85" s="92"/>
      <c r="BY85" s="92"/>
      <c r="BZ85" s="92"/>
      <c r="CA85" s="92"/>
      <c r="CB85" s="92"/>
      <c r="CC85" s="92"/>
      <c r="CD85" s="92"/>
      <c r="CE85" s="92"/>
      <c r="CF85" s="92"/>
      <c r="CG85" s="92"/>
      <c r="CH85" s="92"/>
      <c r="CI85" s="92"/>
      <c r="CJ85" s="92"/>
      <c r="CK85" s="92"/>
      <c r="CL85" s="92"/>
      <c r="CM85" s="92"/>
      <c r="CN85" s="92"/>
      <c r="CO85" s="92"/>
      <c r="CP85" s="92"/>
      <c r="CQ85" s="92"/>
      <c r="CR85" s="92"/>
      <c r="CS85" s="92"/>
      <c r="CT85" s="92"/>
      <c r="CU85" s="92"/>
      <c r="CV85" s="92"/>
      <c r="CW85" s="92"/>
      <c r="CX85" s="92"/>
      <c r="CY85" s="92"/>
      <c r="CZ85" s="92"/>
      <c r="DA85" s="92"/>
      <c r="DB85" s="92"/>
      <c r="DC85" s="92"/>
      <c r="DD85" s="92"/>
      <c r="DE85" s="92"/>
      <c r="DF85" s="92"/>
      <c r="DG85" s="92"/>
      <c r="DH85" s="92"/>
      <c r="DI85" s="92"/>
      <c r="DJ85" s="92"/>
      <c r="DK85" s="92"/>
      <c r="DL85" s="92"/>
      <c r="DM85" s="92"/>
      <c r="DN85" s="92"/>
      <c r="DO85" s="92"/>
      <c r="DP85" s="92"/>
      <c r="DQ85" s="92"/>
      <c r="DR85" s="92"/>
      <c r="DS85" s="92"/>
      <c r="DT85" s="92"/>
      <c r="DU85" s="92"/>
      <c r="DV85" s="92"/>
      <c r="DW85" s="92"/>
      <c r="DX85" s="92"/>
      <c r="DY85" s="92"/>
      <c r="DZ85" s="92"/>
      <c r="EA85" s="92"/>
      <c r="EB85" s="92"/>
      <c r="EC85" s="92"/>
      <c r="ED85" s="92"/>
      <c r="EE85" s="92"/>
      <c r="EF85" s="92"/>
      <c r="EG85" s="92"/>
      <c r="EH85" s="92"/>
      <c r="EI85" s="92"/>
      <c r="EJ85" s="92"/>
      <c r="EK85" s="92"/>
      <c r="EL85" s="92"/>
      <c r="EM85" s="92"/>
      <c r="EN85" s="92"/>
      <c r="EO85" s="92"/>
      <c r="EP85" s="92"/>
      <c r="EQ85" s="92"/>
      <c r="ER85" s="92"/>
      <c r="ES85" s="92"/>
      <c r="ET85" s="92"/>
      <c r="EU85" s="92"/>
      <c r="EV85" s="92"/>
      <c r="EW85" s="92"/>
      <c r="EX85" s="92"/>
      <c r="EY85" s="92"/>
      <c r="EZ85" s="92"/>
      <c r="FA85" s="92"/>
      <c r="FB85" s="92"/>
      <c r="FC85" s="92"/>
      <c r="FD85" s="92"/>
      <c r="FE85" s="92"/>
      <c r="FF85" s="92"/>
      <c r="FG85" s="92"/>
      <c r="FH85" s="92"/>
      <c r="FI85" s="92"/>
      <c r="FJ85" s="92"/>
      <c r="FK85" s="92"/>
      <c r="FL85" s="92"/>
      <c r="FM85" s="92"/>
      <c r="FN85" s="92"/>
      <c r="FO85" s="92"/>
      <c r="FP85" s="92"/>
      <c r="FQ85" s="92"/>
      <c r="FR85" s="92"/>
      <c r="FS85" s="92"/>
      <c r="FT85" s="92"/>
      <c r="FU85" s="92"/>
      <c r="FV85" s="92"/>
      <c r="FW85" s="92"/>
      <c r="FX85" s="92"/>
      <c r="FY85" s="92"/>
      <c r="FZ85" s="92"/>
      <c r="GA85" s="92"/>
      <c r="GB85" s="92"/>
      <c r="GC85" s="92"/>
      <c r="GD85" s="92"/>
      <c r="GE85" s="92"/>
      <c r="GF85" s="92"/>
      <c r="GG85" s="92"/>
      <c r="GH85" s="92"/>
      <c r="GI85" s="92"/>
      <c r="GJ85" s="92"/>
      <c r="GK85" s="92"/>
      <c r="GL85" s="92"/>
      <c r="GM85" s="92"/>
      <c r="GN85" s="92"/>
      <c r="GO85" s="92"/>
      <c r="GP85" s="92"/>
      <c r="GQ85" s="92"/>
      <c r="GR85" s="92"/>
      <c r="GS85" s="92"/>
      <c r="GT85" s="92"/>
      <c r="GU85" s="92"/>
      <c r="GV85" s="92"/>
      <c r="GW85" s="92"/>
      <c r="GX85" s="92"/>
      <c r="GY85" s="92"/>
      <c r="GZ85" s="92"/>
      <c r="HA85" s="92"/>
      <c r="HB85" s="92"/>
      <c r="HC85" s="92"/>
      <c r="HD85" s="92"/>
      <c r="HE85" s="92"/>
      <c r="HF85" s="92"/>
      <c r="HG85" s="92"/>
      <c r="HH85" s="92"/>
    </row>
    <row r="86" spans="1:216" s="93" customFormat="1" ht="13.2" hidden="1" customHeight="1">
      <c r="A86" s="96" t="s">
        <v>101</v>
      </c>
      <c r="B86" s="96">
        <v>141169052</v>
      </c>
      <c r="C86" s="96" t="s">
        <v>559</v>
      </c>
      <c r="D86" s="91"/>
      <c r="E86" s="92"/>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c r="BU86" s="92"/>
      <c r="BV86" s="92"/>
      <c r="BW86" s="92"/>
      <c r="BX86" s="92"/>
      <c r="BY86" s="92"/>
      <c r="BZ86" s="92"/>
      <c r="CA86" s="92"/>
      <c r="CB86" s="92"/>
      <c r="CC86" s="92"/>
      <c r="CD86" s="92"/>
      <c r="CE86" s="92"/>
      <c r="CF86" s="92"/>
      <c r="CG86" s="92"/>
      <c r="CH86" s="92"/>
      <c r="CI86" s="92"/>
      <c r="CJ86" s="92"/>
      <c r="CK86" s="92"/>
      <c r="CL86" s="92"/>
      <c r="CM86" s="92"/>
      <c r="CN86" s="92"/>
      <c r="CO86" s="92"/>
      <c r="CP86" s="92"/>
      <c r="CQ86" s="92"/>
      <c r="CR86" s="92"/>
      <c r="CS86" s="92"/>
      <c r="CT86" s="92"/>
      <c r="CU86" s="92"/>
      <c r="CV86" s="92"/>
      <c r="CW86" s="92"/>
      <c r="CX86" s="92"/>
      <c r="CY86" s="92"/>
      <c r="CZ86" s="92"/>
      <c r="DA86" s="92"/>
      <c r="DB86" s="92"/>
      <c r="DC86" s="92"/>
      <c r="DD86" s="92"/>
      <c r="DE86" s="92"/>
      <c r="DF86" s="92"/>
      <c r="DG86" s="92"/>
      <c r="DH86" s="92"/>
      <c r="DI86" s="92"/>
      <c r="DJ86" s="92"/>
      <c r="DK86" s="92"/>
      <c r="DL86" s="92"/>
      <c r="DM86" s="92"/>
      <c r="DN86" s="92"/>
      <c r="DO86" s="92"/>
      <c r="DP86" s="92"/>
      <c r="DQ86" s="92"/>
      <c r="DR86" s="92"/>
      <c r="DS86" s="92"/>
      <c r="DT86" s="92"/>
      <c r="DU86" s="92"/>
      <c r="DV86" s="92"/>
      <c r="DW86" s="92"/>
      <c r="DX86" s="92"/>
      <c r="DY86" s="92"/>
      <c r="DZ86" s="92"/>
      <c r="EA86" s="92"/>
      <c r="EB86" s="92"/>
      <c r="EC86" s="92"/>
      <c r="ED86" s="92"/>
      <c r="EE86" s="92"/>
      <c r="EF86" s="92"/>
      <c r="EG86" s="92"/>
      <c r="EH86" s="92"/>
      <c r="EI86" s="92"/>
      <c r="EJ86" s="92"/>
      <c r="EK86" s="92"/>
      <c r="EL86" s="92"/>
      <c r="EM86" s="92"/>
      <c r="EN86" s="92"/>
      <c r="EO86" s="92"/>
      <c r="EP86" s="92"/>
      <c r="EQ86" s="92"/>
      <c r="ER86" s="92"/>
      <c r="ES86" s="92"/>
      <c r="ET86" s="92"/>
      <c r="EU86" s="92"/>
      <c r="EV86" s="92"/>
      <c r="EW86" s="92"/>
      <c r="EX86" s="92"/>
      <c r="EY86" s="92"/>
      <c r="EZ86" s="92"/>
      <c r="FA86" s="92"/>
      <c r="FB86" s="92"/>
      <c r="FC86" s="92"/>
      <c r="FD86" s="92"/>
      <c r="FE86" s="92"/>
      <c r="FF86" s="92"/>
      <c r="FG86" s="92"/>
      <c r="FH86" s="92"/>
      <c r="FI86" s="92"/>
      <c r="FJ86" s="92"/>
      <c r="FK86" s="92"/>
      <c r="FL86" s="92"/>
      <c r="FM86" s="92"/>
      <c r="FN86" s="92"/>
      <c r="FO86" s="92"/>
      <c r="FP86" s="92"/>
      <c r="FQ86" s="92"/>
      <c r="FR86" s="92"/>
      <c r="FS86" s="92"/>
      <c r="FT86" s="92"/>
      <c r="FU86" s="92"/>
      <c r="FV86" s="92"/>
      <c r="FW86" s="92"/>
      <c r="FX86" s="92"/>
      <c r="FY86" s="92"/>
      <c r="FZ86" s="92"/>
      <c r="GA86" s="92"/>
      <c r="GB86" s="92"/>
      <c r="GC86" s="92"/>
      <c r="GD86" s="92"/>
      <c r="GE86" s="92"/>
      <c r="GF86" s="92"/>
      <c r="GG86" s="92"/>
      <c r="GH86" s="92"/>
      <c r="GI86" s="92"/>
      <c r="GJ86" s="92"/>
      <c r="GK86" s="92"/>
      <c r="GL86" s="92"/>
      <c r="GM86" s="92"/>
      <c r="GN86" s="92"/>
      <c r="GO86" s="92"/>
      <c r="GP86" s="92"/>
      <c r="GQ86" s="92"/>
      <c r="GR86" s="92"/>
      <c r="GS86" s="92"/>
      <c r="GT86" s="92"/>
      <c r="GU86" s="92"/>
      <c r="GV86" s="92"/>
      <c r="GW86" s="92"/>
      <c r="GX86" s="92"/>
      <c r="GY86" s="92"/>
      <c r="GZ86" s="92"/>
      <c r="HA86" s="92"/>
      <c r="HB86" s="92"/>
      <c r="HC86" s="92"/>
      <c r="HD86" s="92"/>
      <c r="HE86" s="92"/>
      <c r="HF86" s="92"/>
      <c r="HG86" s="92"/>
      <c r="HH86" s="92"/>
    </row>
    <row r="87" spans="1:216" s="93" customFormat="1" ht="13.2" hidden="1" customHeight="1">
      <c r="A87" s="96" t="s">
        <v>825</v>
      </c>
      <c r="B87" s="96">
        <v>117210204</v>
      </c>
      <c r="C87" s="96" t="s">
        <v>826</v>
      </c>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c r="BP87" s="92"/>
      <c r="BQ87" s="92"/>
      <c r="BR87" s="92"/>
      <c r="BS87" s="92"/>
      <c r="BT87" s="92"/>
      <c r="BU87" s="92"/>
      <c r="BV87" s="92"/>
      <c r="BW87" s="92"/>
      <c r="BX87" s="92"/>
      <c r="BY87" s="92"/>
      <c r="BZ87" s="92"/>
      <c r="CA87" s="92"/>
      <c r="CB87" s="92"/>
      <c r="CC87" s="92"/>
      <c r="CD87" s="92"/>
      <c r="CE87" s="92"/>
      <c r="CF87" s="92"/>
      <c r="CG87" s="92"/>
      <c r="CH87" s="92"/>
      <c r="CI87" s="92"/>
      <c r="CJ87" s="92"/>
      <c r="CK87" s="92"/>
      <c r="CL87" s="92"/>
      <c r="CM87" s="92"/>
      <c r="CN87" s="92"/>
      <c r="CO87" s="92"/>
      <c r="CP87" s="92"/>
      <c r="CQ87" s="92"/>
      <c r="CR87" s="92"/>
      <c r="CS87" s="92"/>
      <c r="CT87" s="92"/>
      <c r="CU87" s="92"/>
      <c r="CV87" s="92"/>
      <c r="CW87" s="92"/>
      <c r="CX87" s="92"/>
      <c r="CY87" s="92"/>
      <c r="CZ87" s="92"/>
      <c r="DA87" s="92"/>
      <c r="DB87" s="92"/>
      <c r="DC87" s="92"/>
      <c r="DD87" s="92"/>
      <c r="DE87" s="92"/>
      <c r="DF87" s="92"/>
      <c r="DG87" s="92"/>
      <c r="DH87" s="92"/>
      <c r="DI87" s="92"/>
      <c r="DJ87" s="92"/>
      <c r="DK87" s="92"/>
      <c r="DL87" s="92"/>
      <c r="DM87" s="92"/>
      <c r="DN87" s="92"/>
      <c r="DO87" s="92"/>
      <c r="DP87" s="92"/>
      <c r="DQ87" s="92"/>
      <c r="DR87" s="92"/>
      <c r="DS87" s="92"/>
      <c r="DT87" s="92"/>
      <c r="DU87" s="92"/>
      <c r="DV87" s="92"/>
      <c r="DW87" s="92"/>
      <c r="DX87" s="92"/>
      <c r="DY87" s="92"/>
      <c r="DZ87" s="92"/>
      <c r="EA87" s="92"/>
      <c r="EB87" s="92"/>
      <c r="EC87" s="92"/>
      <c r="ED87" s="92"/>
      <c r="EE87" s="92"/>
      <c r="EF87" s="92"/>
      <c r="EG87" s="92"/>
      <c r="EH87" s="92"/>
      <c r="EI87" s="92"/>
      <c r="EJ87" s="92"/>
      <c r="EK87" s="92"/>
      <c r="EL87" s="92"/>
      <c r="EM87" s="92"/>
      <c r="EN87" s="92"/>
      <c r="EO87" s="92"/>
      <c r="EP87" s="92"/>
      <c r="EQ87" s="92"/>
      <c r="ER87" s="92"/>
      <c r="ES87" s="92"/>
      <c r="ET87" s="92"/>
      <c r="EU87" s="92"/>
      <c r="EV87" s="92"/>
      <c r="EW87" s="92"/>
      <c r="EX87" s="92"/>
      <c r="EY87" s="92"/>
      <c r="EZ87" s="92"/>
      <c r="FA87" s="92"/>
      <c r="FB87" s="92"/>
      <c r="FC87" s="92"/>
      <c r="FD87" s="92"/>
      <c r="FE87" s="92"/>
      <c r="FF87" s="92"/>
      <c r="FG87" s="92"/>
      <c r="FH87" s="92"/>
      <c r="FI87" s="92"/>
      <c r="FJ87" s="92"/>
      <c r="FK87" s="92"/>
      <c r="FL87" s="92"/>
      <c r="FM87" s="92"/>
      <c r="FN87" s="92"/>
      <c r="FO87" s="92"/>
      <c r="FP87" s="92"/>
      <c r="FQ87" s="92"/>
      <c r="FR87" s="92"/>
      <c r="FS87" s="92"/>
      <c r="FT87" s="92"/>
      <c r="FU87" s="92"/>
      <c r="FV87" s="92"/>
      <c r="FW87" s="92"/>
      <c r="FX87" s="92"/>
      <c r="FY87" s="92"/>
      <c r="FZ87" s="92"/>
      <c r="GA87" s="92"/>
      <c r="GB87" s="92"/>
      <c r="GC87" s="92"/>
      <c r="GD87" s="92"/>
      <c r="GE87" s="92"/>
      <c r="GF87" s="92"/>
      <c r="GG87" s="92"/>
      <c r="GH87" s="92"/>
      <c r="GI87" s="92"/>
      <c r="GJ87" s="92"/>
      <c r="GK87" s="92"/>
      <c r="GL87" s="92"/>
      <c r="GM87" s="92"/>
      <c r="GN87" s="92"/>
      <c r="GO87" s="92"/>
      <c r="GP87" s="92"/>
      <c r="GQ87" s="92"/>
      <c r="GR87" s="92"/>
      <c r="GS87" s="92"/>
      <c r="GT87" s="92"/>
      <c r="GU87" s="92"/>
      <c r="GV87" s="92"/>
      <c r="GW87" s="92"/>
      <c r="GX87" s="92"/>
      <c r="GY87" s="92"/>
      <c r="GZ87" s="92"/>
      <c r="HA87" s="92"/>
      <c r="HB87" s="92"/>
      <c r="HC87" s="92"/>
      <c r="HD87" s="92"/>
      <c r="HE87" s="92"/>
      <c r="HF87" s="92"/>
      <c r="HG87" s="92"/>
      <c r="HH87" s="92"/>
    </row>
    <row r="88" spans="1:216" s="93" customFormat="1" ht="13.2" hidden="1" customHeight="1">
      <c r="A88" s="96" t="s">
        <v>442</v>
      </c>
      <c r="B88" s="96">
        <v>140841472</v>
      </c>
      <c r="C88" s="96" t="s">
        <v>614</v>
      </c>
      <c r="D88" s="91"/>
      <c r="E88" s="92"/>
      <c r="F88" s="92"/>
      <c r="G88" s="92"/>
      <c r="H88" s="92"/>
      <c r="I88" s="92"/>
      <c r="J88" s="92"/>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c r="BP88" s="92"/>
      <c r="BQ88" s="92"/>
      <c r="BR88" s="92"/>
      <c r="BS88" s="92"/>
      <c r="BT88" s="92"/>
      <c r="BU88" s="92"/>
      <c r="BV88" s="92"/>
      <c r="BW88" s="92"/>
      <c r="BX88" s="92"/>
      <c r="BY88" s="92"/>
      <c r="BZ88" s="92"/>
      <c r="CA88" s="92"/>
      <c r="CB88" s="92"/>
      <c r="CC88" s="92"/>
      <c r="CD88" s="92"/>
      <c r="CE88" s="92"/>
      <c r="CF88" s="92"/>
      <c r="CG88" s="92"/>
      <c r="CH88" s="92"/>
      <c r="CI88" s="92"/>
      <c r="CJ88" s="92"/>
      <c r="CK88" s="92"/>
      <c r="CL88" s="92"/>
      <c r="CM88" s="92"/>
      <c r="CN88" s="92"/>
      <c r="CO88" s="92"/>
      <c r="CP88" s="92"/>
      <c r="CQ88" s="92"/>
      <c r="CR88" s="92"/>
      <c r="CS88" s="92"/>
      <c r="CT88" s="92"/>
      <c r="CU88" s="92"/>
      <c r="CV88" s="92"/>
      <c r="CW88" s="92"/>
      <c r="CX88" s="92"/>
      <c r="CY88" s="92"/>
      <c r="CZ88" s="92"/>
      <c r="DA88" s="92"/>
      <c r="DB88" s="92"/>
      <c r="DC88" s="92"/>
      <c r="DD88" s="92"/>
      <c r="DE88" s="92"/>
      <c r="DF88" s="92"/>
      <c r="DG88" s="92"/>
      <c r="DH88" s="92"/>
      <c r="DI88" s="92"/>
      <c r="DJ88" s="92"/>
      <c r="DK88" s="92"/>
      <c r="DL88" s="92"/>
      <c r="DM88" s="92"/>
      <c r="DN88" s="92"/>
      <c r="DO88" s="92"/>
      <c r="DP88" s="92"/>
      <c r="DQ88" s="92"/>
      <c r="DR88" s="92"/>
      <c r="DS88" s="92"/>
      <c r="DT88" s="92"/>
      <c r="DU88" s="92"/>
      <c r="DV88" s="92"/>
      <c r="DW88" s="92"/>
      <c r="DX88" s="92"/>
      <c r="DY88" s="92"/>
      <c r="DZ88" s="92"/>
      <c r="EA88" s="92"/>
      <c r="EB88" s="92"/>
      <c r="EC88" s="92"/>
      <c r="ED88" s="92"/>
      <c r="EE88" s="92"/>
      <c r="EF88" s="92"/>
      <c r="EG88" s="92"/>
      <c r="EH88" s="92"/>
      <c r="EI88" s="92"/>
      <c r="EJ88" s="92"/>
      <c r="EK88" s="92"/>
      <c r="EL88" s="92"/>
      <c r="EM88" s="92"/>
      <c r="EN88" s="92"/>
      <c r="EO88" s="92"/>
      <c r="EP88" s="92"/>
      <c r="EQ88" s="92"/>
      <c r="ER88" s="92"/>
      <c r="ES88" s="92"/>
      <c r="ET88" s="92"/>
      <c r="EU88" s="92"/>
      <c r="EV88" s="92"/>
      <c r="EW88" s="92"/>
      <c r="EX88" s="92"/>
      <c r="EY88" s="92"/>
      <c r="EZ88" s="92"/>
      <c r="FA88" s="92"/>
      <c r="FB88" s="92"/>
      <c r="FC88" s="92"/>
      <c r="FD88" s="92"/>
      <c r="FE88" s="92"/>
      <c r="FF88" s="92"/>
      <c r="FG88" s="92"/>
      <c r="FH88" s="92"/>
      <c r="FI88" s="92"/>
      <c r="FJ88" s="92"/>
      <c r="FK88" s="92"/>
      <c r="FL88" s="92"/>
      <c r="FM88" s="92"/>
      <c r="FN88" s="92"/>
      <c r="FO88" s="92"/>
      <c r="FP88" s="92"/>
      <c r="FQ88" s="92"/>
      <c r="FR88" s="92"/>
      <c r="FS88" s="92"/>
      <c r="FT88" s="92"/>
      <c r="FU88" s="92"/>
      <c r="FV88" s="92"/>
      <c r="FW88" s="92"/>
      <c r="FX88" s="92"/>
      <c r="FY88" s="92"/>
      <c r="FZ88" s="92"/>
      <c r="GA88" s="92"/>
      <c r="GB88" s="92"/>
      <c r="GC88" s="92"/>
      <c r="GD88" s="92"/>
      <c r="GE88" s="92"/>
      <c r="GF88" s="92"/>
      <c r="GG88" s="92"/>
      <c r="GH88" s="92"/>
      <c r="GI88" s="92"/>
      <c r="GJ88" s="92"/>
      <c r="GK88" s="92"/>
      <c r="GL88" s="92"/>
      <c r="GM88" s="92"/>
      <c r="GN88" s="92"/>
      <c r="GO88" s="92"/>
      <c r="GP88" s="92"/>
      <c r="GQ88" s="92"/>
      <c r="GR88" s="92"/>
      <c r="GS88" s="92"/>
      <c r="GT88" s="92"/>
      <c r="GU88" s="92"/>
      <c r="GV88" s="92"/>
      <c r="GW88" s="92"/>
      <c r="GX88" s="92"/>
      <c r="GY88" s="92"/>
      <c r="GZ88" s="92"/>
      <c r="HA88" s="92"/>
      <c r="HB88" s="92"/>
      <c r="HC88" s="92"/>
      <c r="HD88" s="92"/>
      <c r="HE88" s="92"/>
      <c r="HF88" s="92"/>
      <c r="HG88" s="92"/>
      <c r="HH88" s="92"/>
    </row>
    <row r="89" spans="1:216" s="93" customFormat="1" ht="13.2" hidden="1" customHeight="1">
      <c r="A89" s="96" t="s">
        <v>827</v>
      </c>
      <c r="B89" s="96">
        <v>15169287</v>
      </c>
      <c r="C89" s="96" t="s">
        <v>285</v>
      </c>
      <c r="D89" s="92"/>
      <c r="E89" s="92"/>
      <c r="F89" s="92"/>
      <c r="G89" s="92"/>
      <c r="H89" s="92"/>
      <c r="I89" s="92"/>
      <c r="J89" s="92"/>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c r="BP89" s="92"/>
      <c r="BQ89" s="92"/>
      <c r="BR89" s="92"/>
      <c r="BS89" s="92"/>
      <c r="BT89" s="92"/>
      <c r="BU89" s="92"/>
      <c r="BV89" s="92"/>
      <c r="BW89" s="92"/>
      <c r="BX89" s="92"/>
      <c r="BY89" s="92"/>
      <c r="BZ89" s="92"/>
      <c r="CA89" s="92"/>
      <c r="CB89" s="92"/>
      <c r="CC89" s="92"/>
      <c r="CD89" s="92"/>
      <c r="CE89" s="92"/>
      <c r="CF89" s="92"/>
      <c r="CG89" s="92"/>
      <c r="CH89" s="92"/>
      <c r="CI89" s="92"/>
      <c r="CJ89" s="92"/>
      <c r="CK89" s="92"/>
      <c r="CL89" s="92"/>
      <c r="CM89" s="92"/>
      <c r="CN89" s="92"/>
      <c r="CO89" s="92"/>
      <c r="CP89" s="92"/>
      <c r="CQ89" s="92"/>
      <c r="CR89" s="92"/>
      <c r="CS89" s="92"/>
      <c r="CT89" s="92"/>
      <c r="CU89" s="92"/>
      <c r="CV89" s="92"/>
      <c r="CW89" s="92"/>
      <c r="CX89" s="92"/>
      <c r="CY89" s="92"/>
      <c r="CZ89" s="92"/>
      <c r="DA89" s="92"/>
      <c r="DB89" s="92"/>
      <c r="DC89" s="92"/>
      <c r="DD89" s="92"/>
      <c r="DE89" s="92"/>
      <c r="DF89" s="92"/>
      <c r="DG89" s="92"/>
      <c r="DH89" s="92"/>
      <c r="DI89" s="92"/>
      <c r="DJ89" s="92"/>
      <c r="DK89" s="92"/>
      <c r="DL89" s="92"/>
      <c r="DM89" s="92"/>
      <c r="DN89" s="92"/>
      <c r="DO89" s="92"/>
      <c r="DP89" s="92"/>
      <c r="DQ89" s="92"/>
      <c r="DR89" s="92"/>
      <c r="DS89" s="92"/>
      <c r="DT89" s="92"/>
      <c r="DU89" s="92"/>
      <c r="DV89" s="92"/>
      <c r="DW89" s="92"/>
      <c r="DX89" s="92"/>
      <c r="DY89" s="92"/>
      <c r="DZ89" s="92"/>
      <c r="EA89" s="92"/>
      <c r="EB89" s="92"/>
      <c r="EC89" s="92"/>
      <c r="ED89" s="92"/>
      <c r="EE89" s="92"/>
      <c r="EF89" s="92"/>
      <c r="EG89" s="92"/>
      <c r="EH89" s="92"/>
      <c r="EI89" s="92"/>
      <c r="EJ89" s="92"/>
      <c r="EK89" s="92"/>
      <c r="EL89" s="92"/>
      <c r="EM89" s="92"/>
      <c r="EN89" s="92"/>
      <c r="EO89" s="92"/>
      <c r="EP89" s="92"/>
      <c r="EQ89" s="92"/>
      <c r="ER89" s="92"/>
      <c r="ES89" s="92"/>
      <c r="ET89" s="92"/>
      <c r="EU89" s="92"/>
      <c r="EV89" s="92"/>
      <c r="EW89" s="92"/>
      <c r="EX89" s="92"/>
      <c r="EY89" s="92"/>
      <c r="EZ89" s="92"/>
      <c r="FA89" s="92"/>
      <c r="FB89" s="92"/>
      <c r="FC89" s="92"/>
      <c r="FD89" s="92"/>
      <c r="FE89" s="92"/>
      <c r="FF89" s="92"/>
      <c r="FG89" s="92"/>
      <c r="FH89" s="92"/>
      <c r="FI89" s="92"/>
      <c r="FJ89" s="92"/>
      <c r="FK89" s="92"/>
      <c r="FL89" s="92"/>
      <c r="FM89" s="92"/>
      <c r="FN89" s="92"/>
      <c r="FO89" s="92"/>
      <c r="FP89" s="92"/>
      <c r="FQ89" s="92"/>
      <c r="FR89" s="92"/>
      <c r="FS89" s="92"/>
      <c r="FT89" s="92"/>
      <c r="FU89" s="92"/>
      <c r="FV89" s="92"/>
      <c r="FW89" s="92"/>
      <c r="FX89" s="92"/>
      <c r="FY89" s="92"/>
      <c r="FZ89" s="92"/>
      <c r="GA89" s="92"/>
      <c r="GB89" s="92"/>
      <c r="GC89" s="92"/>
      <c r="GD89" s="92"/>
      <c r="GE89" s="92"/>
      <c r="GF89" s="92"/>
      <c r="GG89" s="92"/>
      <c r="GH89" s="92"/>
      <c r="GI89" s="92"/>
      <c r="GJ89" s="92"/>
      <c r="GK89" s="92"/>
      <c r="GL89" s="92"/>
      <c r="GM89" s="92"/>
      <c r="GN89" s="92"/>
      <c r="GO89" s="92"/>
      <c r="GP89" s="92"/>
      <c r="GQ89" s="92"/>
      <c r="GR89" s="92"/>
      <c r="GS89" s="92"/>
      <c r="GT89" s="92"/>
      <c r="GU89" s="92"/>
      <c r="GV89" s="92"/>
      <c r="GW89" s="92"/>
      <c r="GX89" s="92"/>
      <c r="GY89" s="92"/>
      <c r="GZ89" s="92"/>
      <c r="HA89" s="92"/>
      <c r="HB89" s="92"/>
      <c r="HC89" s="92"/>
      <c r="HD89" s="92"/>
      <c r="HE89" s="92"/>
      <c r="HF89" s="92"/>
      <c r="HG89" s="92"/>
      <c r="HH89" s="92"/>
    </row>
    <row r="90" spans="1:216" ht="14.4" hidden="1">
      <c r="A90" s="96" t="s">
        <v>557</v>
      </c>
      <c r="B90" s="96">
        <v>12782421</v>
      </c>
      <c r="C90" s="96" t="s">
        <v>558</v>
      </c>
      <c r="D90" s="92"/>
    </row>
    <row r="91" spans="1:216" s="93" customFormat="1" ht="13.2" hidden="1" customHeight="1">
      <c r="A91" s="102" t="s">
        <v>276</v>
      </c>
      <c r="B91" s="96" t="s">
        <v>828</v>
      </c>
      <c r="C91" s="99"/>
      <c r="D91" s="91"/>
      <c r="E91" s="92"/>
      <c r="F91" s="92"/>
      <c r="G91" s="92"/>
      <c r="H91" s="92"/>
      <c r="I91" s="92"/>
      <c r="J91" s="92"/>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c r="BP91" s="92"/>
      <c r="BQ91" s="92"/>
      <c r="BR91" s="92"/>
      <c r="BS91" s="92"/>
      <c r="BT91" s="92"/>
      <c r="BU91" s="92"/>
      <c r="BV91" s="92"/>
      <c r="BW91" s="92"/>
      <c r="BX91" s="92"/>
      <c r="BY91" s="92"/>
      <c r="BZ91" s="92"/>
      <c r="CA91" s="92"/>
      <c r="CB91" s="92"/>
      <c r="CC91" s="92"/>
      <c r="CD91" s="92"/>
      <c r="CE91" s="92"/>
      <c r="CF91" s="92"/>
      <c r="CG91" s="92"/>
      <c r="CH91" s="92"/>
      <c r="CI91" s="92"/>
      <c r="CJ91" s="92"/>
      <c r="CK91" s="92"/>
      <c r="CL91" s="92"/>
      <c r="CM91" s="92"/>
      <c r="CN91" s="92"/>
      <c r="CO91" s="92"/>
      <c r="CP91" s="92"/>
      <c r="CQ91" s="92"/>
      <c r="CR91" s="92"/>
      <c r="CS91" s="92"/>
      <c r="CT91" s="92"/>
      <c r="CU91" s="92"/>
      <c r="CV91" s="92"/>
      <c r="CW91" s="92"/>
      <c r="CX91" s="92"/>
      <c r="CY91" s="92"/>
      <c r="CZ91" s="92"/>
      <c r="DA91" s="92"/>
      <c r="DB91" s="92"/>
      <c r="DC91" s="92"/>
      <c r="DD91" s="92"/>
      <c r="DE91" s="92"/>
      <c r="DF91" s="92"/>
      <c r="DG91" s="92"/>
      <c r="DH91" s="92"/>
      <c r="DI91" s="92"/>
      <c r="DJ91" s="92"/>
      <c r="DK91" s="92"/>
      <c r="DL91" s="92"/>
      <c r="DM91" s="92"/>
      <c r="DN91" s="92"/>
      <c r="DO91" s="92"/>
      <c r="DP91" s="92"/>
      <c r="DQ91" s="92"/>
      <c r="DR91" s="92"/>
      <c r="DS91" s="92"/>
      <c r="DT91" s="92"/>
      <c r="DU91" s="92"/>
      <c r="DV91" s="92"/>
      <c r="DW91" s="92"/>
      <c r="DX91" s="92"/>
      <c r="DY91" s="92"/>
      <c r="DZ91" s="92"/>
      <c r="EA91" s="92"/>
      <c r="EB91" s="92"/>
      <c r="EC91" s="92"/>
      <c r="ED91" s="92"/>
      <c r="EE91" s="92"/>
      <c r="EF91" s="92"/>
      <c r="EG91" s="92"/>
      <c r="EH91" s="92"/>
      <c r="EI91" s="92"/>
      <c r="EJ91" s="92"/>
      <c r="EK91" s="92"/>
      <c r="EL91" s="92"/>
      <c r="EM91" s="92"/>
      <c r="EN91" s="92"/>
      <c r="EO91" s="92"/>
      <c r="EP91" s="92"/>
      <c r="EQ91" s="92"/>
      <c r="ER91" s="92"/>
      <c r="ES91" s="92"/>
      <c r="ET91" s="92"/>
      <c r="EU91" s="92"/>
      <c r="EV91" s="92"/>
      <c r="EW91" s="92"/>
      <c r="EX91" s="92"/>
      <c r="EY91" s="92"/>
      <c r="EZ91" s="92"/>
      <c r="FA91" s="92"/>
      <c r="FB91" s="92"/>
      <c r="FC91" s="92"/>
      <c r="FD91" s="92"/>
      <c r="FE91" s="92"/>
      <c r="FF91" s="92"/>
      <c r="FG91" s="92"/>
      <c r="FH91" s="92"/>
      <c r="FI91" s="92"/>
      <c r="FJ91" s="92"/>
      <c r="FK91" s="92"/>
      <c r="FL91" s="92"/>
      <c r="FM91" s="92"/>
      <c r="FN91" s="92"/>
      <c r="FO91" s="92"/>
      <c r="FP91" s="92"/>
      <c r="FQ91" s="92"/>
      <c r="FR91" s="92"/>
      <c r="FS91" s="92"/>
      <c r="FT91" s="92"/>
      <c r="FU91" s="92"/>
      <c r="FV91" s="92"/>
      <c r="FW91" s="92"/>
      <c r="FX91" s="92"/>
      <c r="FY91" s="92"/>
      <c r="FZ91" s="92"/>
      <c r="GA91" s="92"/>
      <c r="GB91" s="92"/>
      <c r="GC91" s="92"/>
      <c r="GD91" s="92"/>
      <c r="GE91" s="92"/>
      <c r="GF91" s="92"/>
      <c r="GG91" s="92"/>
      <c r="GH91" s="92"/>
      <c r="GI91" s="92"/>
      <c r="GJ91" s="92"/>
      <c r="GK91" s="92"/>
      <c r="GL91" s="92"/>
      <c r="GM91" s="92"/>
      <c r="GN91" s="92"/>
      <c r="GO91" s="92"/>
      <c r="GP91" s="92"/>
      <c r="GQ91" s="92"/>
      <c r="GR91" s="92"/>
      <c r="GS91" s="92"/>
      <c r="GT91" s="92"/>
      <c r="GU91" s="92"/>
      <c r="GV91" s="92"/>
      <c r="GW91" s="92"/>
      <c r="GX91" s="92"/>
      <c r="GY91" s="92"/>
      <c r="GZ91" s="92"/>
      <c r="HA91" s="92"/>
      <c r="HB91" s="92"/>
      <c r="HC91" s="92"/>
      <c r="HD91" s="92"/>
      <c r="HE91" s="92"/>
      <c r="HF91" s="92"/>
      <c r="HG91" s="92"/>
      <c r="HH91" s="92"/>
    </row>
    <row r="92" spans="1:216" s="93" customFormat="1" ht="13.2" hidden="1" customHeight="1">
      <c r="A92" s="96" t="s">
        <v>584</v>
      </c>
      <c r="B92" s="96">
        <v>23659394</v>
      </c>
      <c r="C92" s="96" t="s">
        <v>585</v>
      </c>
      <c r="D92" s="91"/>
      <c r="E92" s="92"/>
      <c r="F92" s="92"/>
      <c r="G92" s="92"/>
      <c r="H92" s="92"/>
      <c r="I92" s="92"/>
      <c r="J92" s="92"/>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c r="BP92" s="92"/>
      <c r="BQ92" s="92"/>
      <c r="BR92" s="92"/>
      <c r="BS92" s="92"/>
      <c r="BT92" s="92"/>
      <c r="BU92" s="92"/>
      <c r="BV92" s="92"/>
      <c r="BW92" s="92"/>
      <c r="BX92" s="92"/>
      <c r="BY92" s="92"/>
      <c r="BZ92" s="92"/>
      <c r="CA92" s="92"/>
      <c r="CB92" s="92"/>
      <c r="CC92" s="92"/>
      <c r="CD92" s="92"/>
      <c r="CE92" s="92"/>
      <c r="CF92" s="92"/>
      <c r="CG92" s="92"/>
      <c r="CH92" s="92"/>
      <c r="CI92" s="92"/>
      <c r="CJ92" s="92"/>
      <c r="CK92" s="92"/>
      <c r="CL92" s="92"/>
      <c r="CM92" s="92"/>
      <c r="CN92" s="92"/>
      <c r="CO92" s="92"/>
      <c r="CP92" s="92"/>
      <c r="CQ92" s="92"/>
      <c r="CR92" s="92"/>
      <c r="CS92" s="92"/>
      <c r="CT92" s="92"/>
      <c r="CU92" s="92"/>
      <c r="CV92" s="92"/>
      <c r="CW92" s="92"/>
      <c r="CX92" s="92"/>
      <c r="CY92" s="92"/>
      <c r="CZ92" s="92"/>
      <c r="DA92" s="92"/>
      <c r="DB92" s="92"/>
      <c r="DC92" s="92"/>
      <c r="DD92" s="92"/>
      <c r="DE92" s="92"/>
      <c r="DF92" s="92"/>
      <c r="DG92" s="92"/>
      <c r="DH92" s="92"/>
      <c r="DI92" s="92"/>
      <c r="DJ92" s="92"/>
      <c r="DK92" s="92"/>
      <c r="DL92" s="92"/>
      <c r="DM92" s="92"/>
      <c r="DN92" s="92"/>
      <c r="DO92" s="92"/>
      <c r="DP92" s="92"/>
      <c r="DQ92" s="92"/>
      <c r="DR92" s="92"/>
      <c r="DS92" s="92"/>
      <c r="DT92" s="92"/>
      <c r="DU92" s="92"/>
      <c r="DV92" s="92"/>
      <c r="DW92" s="92"/>
      <c r="DX92" s="92"/>
      <c r="DY92" s="92"/>
      <c r="DZ92" s="92"/>
      <c r="EA92" s="92"/>
      <c r="EB92" s="92"/>
      <c r="EC92" s="92"/>
      <c r="ED92" s="92"/>
      <c r="EE92" s="92"/>
      <c r="EF92" s="92"/>
      <c r="EG92" s="92"/>
      <c r="EH92" s="92"/>
      <c r="EI92" s="92"/>
      <c r="EJ92" s="92"/>
      <c r="EK92" s="92"/>
      <c r="EL92" s="92"/>
      <c r="EM92" s="92"/>
      <c r="EN92" s="92"/>
      <c r="EO92" s="92"/>
      <c r="EP92" s="92"/>
      <c r="EQ92" s="92"/>
      <c r="ER92" s="92"/>
      <c r="ES92" s="92"/>
      <c r="ET92" s="92"/>
      <c r="EU92" s="92"/>
      <c r="EV92" s="92"/>
      <c r="EW92" s="92"/>
      <c r="EX92" s="92"/>
      <c r="EY92" s="92"/>
      <c r="EZ92" s="92"/>
      <c r="FA92" s="92"/>
      <c r="FB92" s="92"/>
      <c r="FC92" s="92"/>
      <c r="FD92" s="92"/>
      <c r="FE92" s="92"/>
      <c r="FF92" s="92"/>
      <c r="FG92" s="92"/>
      <c r="FH92" s="92"/>
      <c r="FI92" s="92"/>
      <c r="FJ92" s="92"/>
      <c r="FK92" s="92"/>
      <c r="FL92" s="92"/>
      <c r="FM92" s="92"/>
      <c r="FN92" s="92"/>
      <c r="FO92" s="92"/>
      <c r="FP92" s="92"/>
      <c r="FQ92" s="92"/>
      <c r="FR92" s="92"/>
      <c r="FS92" s="92"/>
      <c r="FT92" s="92"/>
      <c r="FU92" s="92"/>
      <c r="FV92" s="92"/>
      <c r="FW92" s="92"/>
      <c r="FX92" s="92"/>
      <c r="FY92" s="92"/>
      <c r="FZ92" s="92"/>
      <c r="GA92" s="92"/>
      <c r="GB92" s="92"/>
      <c r="GC92" s="92"/>
      <c r="GD92" s="92"/>
      <c r="GE92" s="92"/>
      <c r="GF92" s="92"/>
      <c r="GG92" s="92"/>
      <c r="GH92" s="92"/>
      <c r="GI92" s="92"/>
      <c r="GJ92" s="92"/>
      <c r="GK92" s="92"/>
      <c r="GL92" s="92"/>
      <c r="GM92" s="92"/>
      <c r="GN92" s="92"/>
      <c r="GO92" s="92"/>
      <c r="GP92" s="92"/>
      <c r="GQ92" s="92"/>
      <c r="GR92" s="92"/>
      <c r="GS92" s="92"/>
      <c r="GT92" s="92"/>
      <c r="GU92" s="92"/>
      <c r="GV92" s="92"/>
      <c r="GW92" s="92"/>
      <c r="GX92" s="92"/>
      <c r="GY92" s="92"/>
      <c r="GZ92" s="92"/>
      <c r="HA92" s="92"/>
      <c r="HB92" s="92"/>
      <c r="HC92" s="92"/>
      <c r="HD92" s="92"/>
      <c r="HE92" s="92"/>
      <c r="HF92" s="92"/>
      <c r="HG92" s="92"/>
      <c r="HH92" s="92"/>
    </row>
    <row r="93" spans="1:216" s="93" customFormat="1" ht="13.2" hidden="1" customHeight="1">
      <c r="A93" s="96" t="s">
        <v>829</v>
      </c>
      <c r="B93" s="96">
        <v>141809314</v>
      </c>
      <c r="C93" s="96" t="s">
        <v>830</v>
      </c>
      <c r="D93" s="91"/>
      <c r="E93" s="92"/>
      <c r="F93" s="92"/>
      <c r="G93" s="92"/>
      <c r="H93" s="92"/>
      <c r="I93" s="92"/>
      <c r="J93" s="92"/>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c r="BP93" s="92"/>
      <c r="BQ93" s="92"/>
      <c r="BR93" s="92"/>
      <c r="BS93" s="92"/>
      <c r="BT93" s="92"/>
      <c r="BU93" s="92"/>
      <c r="BV93" s="92"/>
      <c r="BW93" s="92"/>
      <c r="BX93" s="92"/>
      <c r="BY93" s="92"/>
      <c r="BZ93" s="92"/>
      <c r="CA93" s="92"/>
      <c r="CB93" s="92"/>
      <c r="CC93" s="92"/>
      <c r="CD93" s="92"/>
      <c r="CE93" s="92"/>
      <c r="CF93" s="92"/>
      <c r="CG93" s="92"/>
      <c r="CH93" s="92"/>
      <c r="CI93" s="92"/>
      <c r="CJ93" s="92"/>
      <c r="CK93" s="92"/>
      <c r="CL93" s="92"/>
      <c r="CM93" s="92"/>
      <c r="CN93" s="92"/>
      <c r="CO93" s="92"/>
      <c r="CP93" s="92"/>
      <c r="CQ93" s="92"/>
      <c r="CR93" s="92"/>
      <c r="CS93" s="92"/>
      <c r="CT93" s="92"/>
      <c r="CU93" s="92"/>
      <c r="CV93" s="92"/>
      <c r="CW93" s="92"/>
      <c r="CX93" s="92"/>
      <c r="CY93" s="92"/>
      <c r="CZ93" s="92"/>
      <c r="DA93" s="92"/>
      <c r="DB93" s="92"/>
      <c r="DC93" s="92"/>
      <c r="DD93" s="92"/>
      <c r="DE93" s="92"/>
      <c r="DF93" s="92"/>
      <c r="DG93" s="92"/>
      <c r="DH93" s="92"/>
      <c r="DI93" s="92"/>
      <c r="DJ93" s="92"/>
      <c r="DK93" s="92"/>
      <c r="DL93" s="92"/>
      <c r="DM93" s="92"/>
      <c r="DN93" s="92"/>
      <c r="DO93" s="92"/>
      <c r="DP93" s="92"/>
      <c r="DQ93" s="92"/>
      <c r="DR93" s="92"/>
      <c r="DS93" s="92"/>
      <c r="DT93" s="92"/>
      <c r="DU93" s="92"/>
      <c r="DV93" s="92"/>
      <c r="DW93" s="92"/>
      <c r="DX93" s="92"/>
      <c r="DY93" s="92"/>
      <c r="DZ93" s="92"/>
      <c r="EA93" s="92"/>
      <c r="EB93" s="92"/>
      <c r="EC93" s="92"/>
      <c r="ED93" s="92"/>
      <c r="EE93" s="92"/>
      <c r="EF93" s="92"/>
      <c r="EG93" s="92"/>
      <c r="EH93" s="92"/>
      <c r="EI93" s="92"/>
      <c r="EJ93" s="92"/>
      <c r="EK93" s="92"/>
      <c r="EL93" s="92"/>
      <c r="EM93" s="92"/>
      <c r="EN93" s="92"/>
      <c r="EO93" s="92"/>
      <c r="EP93" s="92"/>
      <c r="EQ93" s="92"/>
      <c r="ER93" s="92"/>
      <c r="ES93" s="92"/>
      <c r="ET93" s="92"/>
      <c r="EU93" s="92"/>
      <c r="EV93" s="92"/>
      <c r="EW93" s="92"/>
      <c r="EX93" s="92"/>
      <c r="EY93" s="92"/>
      <c r="EZ93" s="92"/>
      <c r="FA93" s="92"/>
      <c r="FB93" s="92"/>
      <c r="FC93" s="92"/>
      <c r="FD93" s="92"/>
      <c r="FE93" s="92"/>
      <c r="FF93" s="92"/>
      <c r="FG93" s="92"/>
      <c r="FH93" s="92"/>
      <c r="FI93" s="92"/>
      <c r="FJ93" s="92"/>
      <c r="FK93" s="92"/>
      <c r="FL93" s="92"/>
      <c r="FM93" s="92"/>
      <c r="FN93" s="92"/>
      <c r="FO93" s="92"/>
      <c r="FP93" s="92"/>
      <c r="FQ93" s="92"/>
      <c r="FR93" s="92"/>
      <c r="FS93" s="92"/>
      <c r="FT93" s="92"/>
      <c r="FU93" s="92"/>
      <c r="FV93" s="92"/>
      <c r="FW93" s="92"/>
      <c r="FX93" s="92"/>
      <c r="FY93" s="92"/>
      <c r="FZ93" s="92"/>
      <c r="GA93" s="92"/>
      <c r="GB93" s="92"/>
      <c r="GC93" s="92"/>
      <c r="GD93" s="92"/>
      <c r="GE93" s="92"/>
      <c r="GF93" s="92"/>
      <c r="GG93" s="92"/>
      <c r="GH93" s="92"/>
      <c r="GI93" s="92"/>
      <c r="GJ93" s="92"/>
      <c r="GK93" s="92"/>
      <c r="GL93" s="92"/>
      <c r="GM93" s="92"/>
      <c r="GN93" s="92"/>
      <c r="GO93" s="92"/>
      <c r="GP93" s="92"/>
      <c r="GQ93" s="92"/>
      <c r="GR93" s="92"/>
      <c r="GS93" s="92"/>
      <c r="GT93" s="92"/>
      <c r="GU93" s="92"/>
      <c r="GV93" s="92"/>
      <c r="GW93" s="92"/>
      <c r="GX93" s="92"/>
      <c r="GY93" s="92"/>
      <c r="GZ93" s="92"/>
      <c r="HA93" s="92"/>
      <c r="HB93" s="92"/>
      <c r="HC93" s="92"/>
      <c r="HD93" s="92"/>
      <c r="HE93" s="92"/>
      <c r="HF93" s="92"/>
      <c r="HG93" s="92"/>
      <c r="HH93" s="92"/>
    </row>
    <row r="94" spans="1:216" s="93" customFormat="1" ht="13.2" hidden="1" customHeight="1">
      <c r="A94" s="96" t="s">
        <v>278</v>
      </c>
      <c r="B94" s="96">
        <v>137098196</v>
      </c>
      <c r="C94" s="96" t="s">
        <v>548</v>
      </c>
      <c r="D94" s="91"/>
      <c r="E94" s="92"/>
      <c r="F94" s="92"/>
      <c r="G94" s="92"/>
      <c r="H94" s="92"/>
      <c r="I94" s="92"/>
      <c r="J94" s="92"/>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c r="BP94" s="92"/>
      <c r="BQ94" s="92"/>
      <c r="BR94" s="92"/>
      <c r="BS94" s="92"/>
      <c r="BT94" s="92"/>
      <c r="BU94" s="92"/>
      <c r="BV94" s="92"/>
      <c r="BW94" s="92"/>
      <c r="BX94" s="92"/>
      <c r="BY94" s="92"/>
      <c r="BZ94" s="92"/>
      <c r="CA94" s="92"/>
      <c r="CB94" s="92"/>
      <c r="CC94" s="92"/>
      <c r="CD94" s="92"/>
      <c r="CE94" s="92"/>
      <c r="CF94" s="92"/>
      <c r="CG94" s="92"/>
      <c r="CH94" s="92"/>
      <c r="CI94" s="92"/>
      <c r="CJ94" s="92"/>
      <c r="CK94" s="92"/>
      <c r="CL94" s="92"/>
      <c r="CM94" s="92"/>
      <c r="CN94" s="92"/>
      <c r="CO94" s="92"/>
      <c r="CP94" s="92"/>
      <c r="CQ94" s="92"/>
      <c r="CR94" s="92"/>
      <c r="CS94" s="92"/>
      <c r="CT94" s="92"/>
      <c r="CU94" s="92"/>
      <c r="CV94" s="92"/>
      <c r="CW94" s="92"/>
      <c r="CX94" s="92"/>
      <c r="CY94" s="92"/>
      <c r="CZ94" s="92"/>
      <c r="DA94" s="92"/>
      <c r="DB94" s="92"/>
      <c r="DC94" s="92"/>
      <c r="DD94" s="92"/>
      <c r="DE94" s="92"/>
      <c r="DF94" s="92"/>
      <c r="DG94" s="92"/>
      <c r="DH94" s="92"/>
      <c r="DI94" s="92"/>
      <c r="DJ94" s="92"/>
      <c r="DK94" s="92"/>
      <c r="DL94" s="92"/>
      <c r="DM94" s="92"/>
      <c r="DN94" s="92"/>
      <c r="DO94" s="92"/>
      <c r="DP94" s="92"/>
      <c r="DQ94" s="92"/>
      <c r="DR94" s="92"/>
      <c r="DS94" s="92"/>
      <c r="DT94" s="92"/>
      <c r="DU94" s="92"/>
      <c r="DV94" s="92"/>
      <c r="DW94" s="92"/>
      <c r="DX94" s="92"/>
      <c r="DY94" s="92"/>
      <c r="DZ94" s="92"/>
      <c r="EA94" s="92"/>
      <c r="EB94" s="92"/>
      <c r="EC94" s="92"/>
      <c r="ED94" s="92"/>
      <c r="EE94" s="92"/>
      <c r="EF94" s="92"/>
      <c r="EG94" s="92"/>
      <c r="EH94" s="92"/>
      <c r="EI94" s="92"/>
      <c r="EJ94" s="92"/>
      <c r="EK94" s="92"/>
      <c r="EL94" s="92"/>
      <c r="EM94" s="92"/>
      <c r="EN94" s="92"/>
      <c r="EO94" s="92"/>
      <c r="EP94" s="92"/>
      <c r="EQ94" s="92"/>
      <c r="ER94" s="92"/>
      <c r="ES94" s="92"/>
      <c r="ET94" s="92"/>
      <c r="EU94" s="92"/>
      <c r="EV94" s="92"/>
      <c r="EW94" s="92"/>
      <c r="EX94" s="92"/>
      <c r="EY94" s="92"/>
      <c r="EZ94" s="92"/>
      <c r="FA94" s="92"/>
      <c r="FB94" s="92"/>
      <c r="FC94" s="92"/>
      <c r="FD94" s="92"/>
      <c r="FE94" s="92"/>
      <c r="FF94" s="92"/>
      <c r="FG94" s="92"/>
      <c r="FH94" s="92"/>
      <c r="FI94" s="92"/>
      <c r="FJ94" s="92"/>
      <c r="FK94" s="92"/>
      <c r="FL94" s="92"/>
      <c r="FM94" s="92"/>
      <c r="FN94" s="92"/>
      <c r="FO94" s="92"/>
      <c r="FP94" s="92"/>
      <c r="FQ94" s="92"/>
      <c r="FR94" s="92"/>
      <c r="FS94" s="92"/>
      <c r="FT94" s="92"/>
      <c r="FU94" s="92"/>
      <c r="FV94" s="92"/>
      <c r="FW94" s="92"/>
      <c r="FX94" s="92"/>
      <c r="FY94" s="92"/>
      <c r="FZ94" s="92"/>
      <c r="GA94" s="92"/>
      <c r="GB94" s="92"/>
      <c r="GC94" s="92"/>
      <c r="GD94" s="92"/>
      <c r="GE94" s="92"/>
      <c r="GF94" s="92"/>
      <c r="GG94" s="92"/>
      <c r="GH94" s="92"/>
      <c r="GI94" s="92"/>
      <c r="GJ94" s="92"/>
      <c r="GK94" s="92"/>
      <c r="GL94" s="92"/>
      <c r="GM94" s="92"/>
      <c r="GN94" s="92"/>
      <c r="GO94" s="92"/>
      <c r="GP94" s="92"/>
      <c r="GQ94" s="92"/>
      <c r="GR94" s="92"/>
      <c r="GS94" s="92"/>
      <c r="GT94" s="92"/>
      <c r="GU94" s="92"/>
      <c r="GV94" s="92"/>
      <c r="GW94" s="92"/>
      <c r="GX94" s="92"/>
      <c r="GY94" s="92"/>
      <c r="GZ94" s="92"/>
      <c r="HA94" s="92"/>
      <c r="HB94" s="92"/>
      <c r="HC94" s="92"/>
      <c r="HD94" s="92"/>
      <c r="HE94" s="92"/>
      <c r="HF94" s="92"/>
      <c r="HG94" s="92"/>
      <c r="HH94" s="92"/>
    </row>
    <row r="95" spans="1:216" s="93" customFormat="1" ht="13.2" hidden="1" customHeight="1">
      <c r="A95" s="96" t="s">
        <v>831</v>
      </c>
      <c r="B95" s="96" t="s">
        <v>832</v>
      </c>
      <c r="C95" s="103" t="s">
        <v>568</v>
      </c>
      <c r="D95" s="91"/>
      <c r="E95" s="92"/>
      <c r="F95" s="92"/>
      <c r="G95" s="92"/>
      <c r="H95" s="92"/>
      <c r="I95" s="92"/>
      <c r="J95" s="92"/>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c r="BP95" s="92"/>
      <c r="BQ95" s="92"/>
      <c r="BR95" s="92"/>
      <c r="BS95" s="92"/>
      <c r="BT95" s="92"/>
      <c r="BU95" s="92"/>
      <c r="BV95" s="92"/>
      <c r="BW95" s="92"/>
      <c r="BX95" s="92"/>
      <c r="BY95" s="92"/>
      <c r="BZ95" s="92"/>
      <c r="CA95" s="92"/>
      <c r="CB95" s="92"/>
      <c r="CC95" s="92"/>
      <c r="CD95" s="92"/>
      <c r="CE95" s="92"/>
      <c r="CF95" s="92"/>
      <c r="CG95" s="92"/>
      <c r="CH95" s="92"/>
      <c r="CI95" s="92"/>
      <c r="CJ95" s="92"/>
      <c r="CK95" s="92"/>
      <c r="CL95" s="92"/>
      <c r="CM95" s="92"/>
      <c r="CN95" s="92"/>
      <c r="CO95" s="92"/>
      <c r="CP95" s="92"/>
      <c r="CQ95" s="92"/>
      <c r="CR95" s="92"/>
      <c r="CS95" s="92"/>
      <c r="CT95" s="92"/>
      <c r="CU95" s="92"/>
      <c r="CV95" s="92"/>
      <c r="CW95" s="92"/>
      <c r="CX95" s="92"/>
      <c r="CY95" s="92"/>
      <c r="CZ95" s="92"/>
      <c r="DA95" s="92"/>
      <c r="DB95" s="92"/>
      <c r="DC95" s="92"/>
      <c r="DD95" s="92"/>
      <c r="DE95" s="92"/>
      <c r="DF95" s="92"/>
      <c r="DG95" s="92"/>
      <c r="DH95" s="92"/>
      <c r="DI95" s="92"/>
      <c r="DJ95" s="92"/>
      <c r="DK95" s="92"/>
      <c r="DL95" s="92"/>
      <c r="DM95" s="92"/>
      <c r="DN95" s="92"/>
      <c r="DO95" s="92"/>
      <c r="DP95" s="92"/>
      <c r="DQ95" s="92"/>
      <c r="DR95" s="92"/>
      <c r="DS95" s="92"/>
      <c r="DT95" s="92"/>
      <c r="DU95" s="92"/>
      <c r="DV95" s="92"/>
      <c r="DW95" s="92"/>
      <c r="DX95" s="92"/>
      <c r="DY95" s="92"/>
      <c r="DZ95" s="92"/>
      <c r="EA95" s="92"/>
      <c r="EB95" s="92"/>
      <c r="EC95" s="92"/>
      <c r="ED95" s="92"/>
      <c r="EE95" s="92"/>
      <c r="EF95" s="92"/>
      <c r="EG95" s="92"/>
      <c r="EH95" s="92"/>
      <c r="EI95" s="92"/>
      <c r="EJ95" s="92"/>
      <c r="EK95" s="92"/>
      <c r="EL95" s="92"/>
      <c r="EM95" s="92"/>
      <c r="EN95" s="92"/>
      <c r="EO95" s="92"/>
      <c r="EP95" s="92"/>
      <c r="EQ95" s="92"/>
      <c r="ER95" s="92"/>
      <c r="ES95" s="92"/>
      <c r="ET95" s="92"/>
      <c r="EU95" s="92"/>
      <c r="EV95" s="92"/>
      <c r="EW95" s="92"/>
      <c r="EX95" s="92"/>
      <c r="EY95" s="92"/>
      <c r="EZ95" s="92"/>
      <c r="FA95" s="92"/>
      <c r="FB95" s="92"/>
      <c r="FC95" s="92"/>
      <c r="FD95" s="92"/>
      <c r="FE95" s="92"/>
      <c r="FF95" s="92"/>
      <c r="FG95" s="92"/>
      <c r="FH95" s="92"/>
      <c r="FI95" s="92"/>
      <c r="FJ95" s="92"/>
      <c r="FK95" s="92"/>
      <c r="FL95" s="92"/>
      <c r="FM95" s="92"/>
      <c r="FN95" s="92"/>
      <c r="FO95" s="92"/>
      <c r="FP95" s="92"/>
      <c r="FQ95" s="92"/>
      <c r="FR95" s="92"/>
      <c r="FS95" s="92"/>
      <c r="FT95" s="92"/>
      <c r="FU95" s="92"/>
      <c r="FV95" s="92"/>
      <c r="FW95" s="92"/>
      <c r="FX95" s="92"/>
      <c r="FY95" s="92"/>
      <c r="FZ95" s="92"/>
      <c r="GA95" s="92"/>
      <c r="GB95" s="92"/>
      <c r="GC95" s="92"/>
      <c r="GD95" s="92"/>
      <c r="GE95" s="92"/>
      <c r="GF95" s="92"/>
      <c r="GG95" s="92"/>
      <c r="GH95" s="92"/>
      <c r="GI95" s="92"/>
      <c r="GJ95" s="92"/>
      <c r="GK95" s="92"/>
      <c r="GL95" s="92"/>
      <c r="GM95" s="92"/>
      <c r="GN95" s="92"/>
      <c r="GO95" s="92"/>
      <c r="GP95" s="92"/>
      <c r="GQ95" s="92"/>
      <c r="GR95" s="92"/>
      <c r="GS95" s="92"/>
      <c r="GT95" s="92"/>
      <c r="GU95" s="92"/>
      <c r="GV95" s="92"/>
      <c r="GW95" s="92"/>
      <c r="GX95" s="92"/>
      <c r="GY95" s="92"/>
      <c r="GZ95" s="92"/>
      <c r="HA95" s="92"/>
      <c r="HB95" s="92"/>
      <c r="HC95" s="92"/>
      <c r="HD95" s="92"/>
      <c r="HE95" s="92"/>
      <c r="HF95" s="92"/>
      <c r="HG95" s="92"/>
      <c r="HH95" s="92"/>
    </row>
    <row r="96" spans="1:216" s="93" customFormat="1" ht="13.2" hidden="1" customHeight="1">
      <c r="A96" s="96" t="s">
        <v>530</v>
      </c>
      <c r="B96" s="96">
        <v>121598538</v>
      </c>
      <c r="C96" s="96" t="s">
        <v>532</v>
      </c>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c r="BP96" s="92"/>
      <c r="BQ96" s="92"/>
      <c r="BR96" s="92"/>
      <c r="BS96" s="92"/>
      <c r="BT96" s="92"/>
      <c r="BU96" s="92"/>
      <c r="BV96" s="92"/>
      <c r="BW96" s="92"/>
      <c r="BX96" s="92"/>
      <c r="BY96" s="92"/>
      <c r="BZ96" s="92"/>
      <c r="CA96" s="92"/>
      <c r="CB96" s="92"/>
      <c r="CC96" s="92"/>
      <c r="CD96" s="92"/>
      <c r="CE96" s="92"/>
      <c r="CF96" s="92"/>
      <c r="CG96" s="92"/>
      <c r="CH96" s="92"/>
      <c r="CI96" s="92"/>
      <c r="CJ96" s="92"/>
      <c r="CK96" s="92"/>
      <c r="CL96" s="92"/>
      <c r="CM96" s="92"/>
      <c r="CN96" s="92"/>
      <c r="CO96" s="92"/>
      <c r="CP96" s="92"/>
      <c r="CQ96" s="92"/>
      <c r="CR96" s="92"/>
      <c r="CS96" s="92"/>
      <c r="CT96" s="92"/>
      <c r="CU96" s="92"/>
      <c r="CV96" s="92"/>
      <c r="CW96" s="92"/>
      <c r="CX96" s="92"/>
      <c r="CY96" s="92"/>
      <c r="CZ96" s="92"/>
      <c r="DA96" s="92"/>
      <c r="DB96" s="92"/>
      <c r="DC96" s="92"/>
      <c r="DD96" s="92"/>
      <c r="DE96" s="92"/>
      <c r="DF96" s="92"/>
      <c r="DG96" s="92"/>
      <c r="DH96" s="92"/>
      <c r="DI96" s="92"/>
      <c r="DJ96" s="92"/>
      <c r="DK96" s="92"/>
      <c r="DL96" s="92"/>
      <c r="DM96" s="92"/>
      <c r="DN96" s="92"/>
      <c r="DO96" s="92"/>
      <c r="DP96" s="92"/>
      <c r="DQ96" s="92"/>
      <c r="DR96" s="92"/>
      <c r="DS96" s="92"/>
      <c r="DT96" s="92"/>
      <c r="DU96" s="92"/>
      <c r="DV96" s="92"/>
      <c r="DW96" s="92"/>
      <c r="DX96" s="92"/>
      <c r="DY96" s="92"/>
      <c r="DZ96" s="92"/>
      <c r="EA96" s="92"/>
      <c r="EB96" s="92"/>
      <c r="EC96" s="92"/>
      <c r="ED96" s="92"/>
      <c r="EE96" s="92"/>
      <c r="EF96" s="92"/>
      <c r="EG96" s="92"/>
      <c r="EH96" s="92"/>
      <c r="EI96" s="92"/>
      <c r="EJ96" s="92"/>
      <c r="EK96" s="92"/>
      <c r="EL96" s="92"/>
      <c r="EM96" s="92"/>
      <c r="EN96" s="92"/>
      <c r="EO96" s="92"/>
      <c r="EP96" s="92"/>
      <c r="EQ96" s="92"/>
      <c r="ER96" s="92"/>
      <c r="ES96" s="92"/>
      <c r="ET96" s="92"/>
      <c r="EU96" s="92"/>
      <c r="EV96" s="92"/>
      <c r="EW96" s="92"/>
      <c r="EX96" s="92"/>
      <c r="EY96" s="92"/>
      <c r="EZ96" s="92"/>
      <c r="FA96" s="92"/>
      <c r="FB96" s="92"/>
      <c r="FC96" s="92"/>
      <c r="FD96" s="92"/>
      <c r="FE96" s="92"/>
      <c r="FF96" s="92"/>
      <c r="FG96" s="92"/>
      <c r="FH96" s="92"/>
      <c r="FI96" s="92"/>
      <c r="FJ96" s="92"/>
      <c r="FK96" s="92"/>
      <c r="FL96" s="92"/>
      <c r="FM96" s="92"/>
      <c r="FN96" s="92"/>
      <c r="FO96" s="92"/>
      <c r="FP96" s="92"/>
      <c r="FQ96" s="92"/>
      <c r="FR96" s="92"/>
      <c r="FS96" s="92"/>
      <c r="FT96" s="92"/>
      <c r="FU96" s="92"/>
      <c r="FV96" s="92"/>
      <c r="FW96" s="92"/>
      <c r="FX96" s="92"/>
      <c r="FY96" s="92"/>
      <c r="FZ96" s="92"/>
      <c r="GA96" s="92"/>
      <c r="GB96" s="92"/>
      <c r="GC96" s="92"/>
      <c r="GD96" s="92"/>
      <c r="GE96" s="92"/>
      <c r="GF96" s="92"/>
      <c r="GG96" s="92"/>
      <c r="GH96" s="92"/>
      <c r="GI96" s="92"/>
      <c r="GJ96" s="92"/>
      <c r="GK96" s="92"/>
      <c r="GL96" s="92"/>
      <c r="GM96" s="92"/>
      <c r="GN96" s="92"/>
      <c r="GO96" s="92"/>
      <c r="GP96" s="92"/>
      <c r="GQ96" s="92"/>
      <c r="GR96" s="92"/>
      <c r="GS96" s="92"/>
      <c r="GT96" s="92"/>
      <c r="GU96" s="92"/>
      <c r="GV96" s="92"/>
      <c r="GW96" s="92"/>
      <c r="GX96" s="92"/>
      <c r="GY96" s="92"/>
      <c r="GZ96" s="92"/>
      <c r="HA96" s="92"/>
      <c r="HB96" s="92"/>
      <c r="HC96" s="92"/>
      <c r="HD96" s="92"/>
      <c r="HE96" s="92"/>
      <c r="HF96" s="92"/>
      <c r="HG96" s="92"/>
      <c r="HH96" s="92"/>
    </row>
    <row r="97" spans="1:216" s="93" customFormat="1" ht="13.2" hidden="1" customHeight="1">
      <c r="A97" s="97" t="s">
        <v>595</v>
      </c>
      <c r="B97" s="98" t="s">
        <v>833</v>
      </c>
      <c r="C97" s="99"/>
      <c r="D97" s="91"/>
      <c r="E97" s="92"/>
      <c r="F97" s="92"/>
      <c r="G97" s="92"/>
      <c r="H97" s="92"/>
      <c r="I97" s="92"/>
      <c r="J97" s="92"/>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c r="BP97" s="92"/>
      <c r="BQ97" s="92"/>
      <c r="BR97" s="92"/>
      <c r="BS97" s="92"/>
      <c r="BT97" s="92"/>
      <c r="BU97" s="92"/>
      <c r="BV97" s="92"/>
      <c r="BW97" s="92"/>
      <c r="BX97" s="92"/>
      <c r="BY97" s="92"/>
      <c r="BZ97" s="92"/>
      <c r="CA97" s="92"/>
      <c r="CB97" s="92"/>
      <c r="CC97" s="92"/>
      <c r="CD97" s="92"/>
      <c r="CE97" s="92"/>
      <c r="CF97" s="92"/>
      <c r="CG97" s="92"/>
      <c r="CH97" s="92"/>
      <c r="CI97" s="92"/>
      <c r="CJ97" s="92"/>
      <c r="CK97" s="92"/>
      <c r="CL97" s="92"/>
      <c r="CM97" s="92"/>
      <c r="CN97" s="92"/>
      <c r="CO97" s="92"/>
      <c r="CP97" s="92"/>
      <c r="CQ97" s="92"/>
      <c r="CR97" s="92"/>
      <c r="CS97" s="92"/>
      <c r="CT97" s="92"/>
      <c r="CU97" s="92"/>
      <c r="CV97" s="92"/>
      <c r="CW97" s="92"/>
      <c r="CX97" s="92"/>
      <c r="CY97" s="92"/>
      <c r="CZ97" s="92"/>
      <c r="DA97" s="92"/>
      <c r="DB97" s="92"/>
      <c r="DC97" s="92"/>
      <c r="DD97" s="92"/>
      <c r="DE97" s="92"/>
      <c r="DF97" s="92"/>
      <c r="DG97" s="92"/>
      <c r="DH97" s="92"/>
      <c r="DI97" s="92"/>
      <c r="DJ97" s="92"/>
      <c r="DK97" s="92"/>
      <c r="DL97" s="92"/>
      <c r="DM97" s="92"/>
      <c r="DN97" s="92"/>
      <c r="DO97" s="92"/>
      <c r="DP97" s="92"/>
      <c r="DQ97" s="92"/>
      <c r="DR97" s="92"/>
      <c r="DS97" s="92"/>
      <c r="DT97" s="92"/>
      <c r="DU97" s="92"/>
      <c r="DV97" s="92"/>
      <c r="DW97" s="92"/>
      <c r="DX97" s="92"/>
      <c r="DY97" s="92"/>
      <c r="DZ97" s="92"/>
      <c r="EA97" s="92"/>
      <c r="EB97" s="92"/>
      <c r="EC97" s="92"/>
      <c r="ED97" s="92"/>
      <c r="EE97" s="92"/>
      <c r="EF97" s="92"/>
      <c r="EG97" s="92"/>
      <c r="EH97" s="92"/>
      <c r="EI97" s="92"/>
      <c r="EJ97" s="92"/>
      <c r="EK97" s="92"/>
      <c r="EL97" s="92"/>
      <c r="EM97" s="92"/>
      <c r="EN97" s="92"/>
      <c r="EO97" s="92"/>
      <c r="EP97" s="92"/>
      <c r="EQ97" s="92"/>
      <c r="ER97" s="92"/>
      <c r="ES97" s="92"/>
      <c r="ET97" s="92"/>
      <c r="EU97" s="92"/>
      <c r="EV97" s="92"/>
      <c r="EW97" s="92"/>
      <c r="EX97" s="92"/>
      <c r="EY97" s="92"/>
      <c r="EZ97" s="92"/>
      <c r="FA97" s="92"/>
      <c r="FB97" s="92"/>
      <c r="FC97" s="92"/>
      <c r="FD97" s="92"/>
      <c r="FE97" s="92"/>
      <c r="FF97" s="92"/>
      <c r="FG97" s="92"/>
      <c r="FH97" s="92"/>
      <c r="FI97" s="92"/>
      <c r="FJ97" s="92"/>
      <c r="FK97" s="92"/>
      <c r="FL97" s="92"/>
      <c r="FM97" s="92"/>
      <c r="FN97" s="92"/>
      <c r="FO97" s="92"/>
      <c r="FP97" s="92"/>
      <c r="FQ97" s="92"/>
      <c r="FR97" s="92"/>
      <c r="FS97" s="92"/>
      <c r="FT97" s="92"/>
      <c r="FU97" s="92"/>
      <c r="FV97" s="92"/>
      <c r="FW97" s="92"/>
      <c r="FX97" s="92"/>
      <c r="FY97" s="92"/>
      <c r="FZ97" s="92"/>
      <c r="GA97" s="92"/>
      <c r="GB97" s="92"/>
      <c r="GC97" s="92"/>
      <c r="GD97" s="92"/>
      <c r="GE97" s="92"/>
      <c r="GF97" s="92"/>
      <c r="GG97" s="92"/>
      <c r="GH97" s="92"/>
      <c r="GI97" s="92"/>
      <c r="GJ97" s="92"/>
      <c r="GK97" s="92"/>
      <c r="GL97" s="92"/>
      <c r="GM97" s="92"/>
      <c r="GN97" s="92"/>
      <c r="GO97" s="92"/>
      <c r="GP97" s="92"/>
      <c r="GQ97" s="92"/>
      <c r="GR97" s="92"/>
      <c r="GS97" s="92"/>
      <c r="GT97" s="92"/>
      <c r="GU97" s="92"/>
      <c r="GV97" s="92"/>
      <c r="GW97" s="92"/>
      <c r="GX97" s="92"/>
      <c r="GY97" s="92"/>
      <c r="GZ97" s="92"/>
      <c r="HA97" s="92"/>
      <c r="HB97" s="92"/>
      <c r="HC97" s="92"/>
      <c r="HD97" s="92"/>
      <c r="HE97" s="92"/>
      <c r="HF97" s="92"/>
      <c r="HG97" s="92"/>
      <c r="HH97" s="92"/>
    </row>
    <row r="98" spans="1:216" s="93" customFormat="1" ht="13.2" hidden="1" customHeight="1">
      <c r="A98" s="97" t="s">
        <v>176</v>
      </c>
      <c r="B98" s="96">
        <v>124398279</v>
      </c>
      <c r="C98" s="96" t="s">
        <v>597</v>
      </c>
      <c r="D98" s="92"/>
      <c r="E98" s="92"/>
      <c r="F98" s="92"/>
      <c r="G98" s="92"/>
      <c r="H98" s="92"/>
      <c r="I98" s="92"/>
      <c r="J98" s="92"/>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c r="BP98" s="92"/>
      <c r="BQ98" s="92"/>
      <c r="BR98" s="92"/>
      <c r="BS98" s="92"/>
      <c r="BT98" s="92"/>
      <c r="BU98" s="92"/>
      <c r="BV98" s="92"/>
      <c r="BW98" s="92"/>
      <c r="BX98" s="92"/>
      <c r="BY98" s="92"/>
      <c r="BZ98" s="92"/>
      <c r="CA98" s="92"/>
      <c r="CB98" s="92"/>
      <c r="CC98" s="92"/>
      <c r="CD98" s="92"/>
      <c r="CE98" s="92"/>
      <c r="CF98" s="92"/>
      <c r="CG98" s="92"/>
      <c r="CH98" s="92"/>
      <c r="CI98" s="92"/>
      <c r="CJ98" s="92"/>
      <c r="CK98" s="92"/>
      <c r="CL98" s="92"/>
      <c r="CM98" s="92"/>
      <c r="CN98" s="92"/>
      <c r="CO98" s="92"/>
      <c r="CP98" s="92"/>
      <c r="CQ98" s="92"/>
      <c r="CR98" s="92"/>
      <c r="CS98" s="92"/>
      <c r="CT98" s="92"/>
      <c r="CU98" s="92"/>
      <c r="CV98" s="92"/>
      <c r="CW98" s="92"/>
      <c r="CX98" s="92"/>
      <c r="CY98" s="92"/>
      <c r="CZ98" s="92"/>
      <c r="DA98" s="92"/>
      <c r="DB98" s="92"/>
      <c r="DC98" s="92"/>
      <c r="DD98" s="92"/>
      <c r="DE98" s="92"/>
      <c r="DF98" s="92"/>
      <c r="DG98" s="92"/>
      <c r="DH98" s="92"/>
      <c r="DI98" s="92"/>
      <c r="DJ98" s="92"/>
      <c r="DK98" s="92"/>
      <c r="DL98" s="92"/>
      <c r="DM98" s="92"/>
      <c r="DN98" s="92"/>
      <c r="DO98" s="92"/>
      <c r="DP98" s="92"/>
      <c r="DQ98" s="92"/>
      <c r="DR98" s="92"/>
      <c r="DS98" s="92"/>
      <c r="DT98" s="92"/>
      <c r="DU98" s="92"/>
      <c r="DV98" s="92"/>
      <c r="DW98" s="92"/>
      <c r="DX98" s="92"/>
      <c r="DY98" s="92"/>
      <c r="DZ98" s="92"/>
      <c r="EA98" s="92"/>
      <c r="EB98" s="92"/>
      <c r="EC98" s="92"/>
      <c r="ED98" s="92"/>
      <c r="EE98" s="92"/>
      <c r="EF98" s="92"/>
      <c r="EG98" s="92"/>
      <c r="EH98" s="92"/>
      <c r="EI98" s="92"/>
      <c r="EJ98" s="92"/>
      <c r="EK98" s="92"/>
      <c r="EL98" s="92"/>
      <c r="EM98" s="92"/>
      <c r="EN98" s="92"/>
      <c r="EO98" s="92"/>
      <c r="EP98" s="92"/>
      <c r="EQ98" s="92"/>
      <c r="ER98" s="92"/>
      <c r="ES98" s="92"/>
      <c r="ET98" s="92"/>
      <c r="EU98" s="92"/>
      <c r="EV98" s="92"/>
      <c r="EW98" s="92"/>
      <c r="EX98" s="92"/>
      <c r="EY98" s="92"/>
      <c r="EZ98" s="92"/>
      <c r="FA98" s="92"/>
      <c r="FB98" s="92"/>
      <c r="FC98" s="92"/>
      <c r="FD98" s="92"/>
      <c r="FE98" s="92"/>
      <c r="FF98" s="92"/>
      <c r="FG98" s="92"/>
      <c r="FH98" s="92"/>
      <c r="FI98" s="92"/>
      <c r="FJ98" s="92"/>
      <c r="FK98" s="92"/>
      <c r="FL98" s="92"/>
      <c r="FM98" s="92"/>
      <c r="FN98" s="92"/>
      <c r="FO98" s="92"/>
      <c r="FP98" s="92"/>
      <c r="FQ98" s="92"/>
      <c r="FR98" s="92"/>
      <c r="FS98" s="92"/>
      <c r="FT98" s="92"/>
      <c r="FU98" s="92"/>
      <c r="FV98" s="92"/>
      <c r="FW98" s="92"/>
      <c r="FX98" s="92"/>
      <c r="FY98" s="92"/>
      <c r="FZ98" s="92"/>
      <c r="GA98" s="92"/>
      <c r="GB98" s="92"/>
      <c r="GC98" s="92"/>
      <c r="GD98" s="92"/>
      <c r="GE98" s="92"/>
      <c r="GF98" s="92"/>
      <c r="GG98" s="92"/>
      <c r="GH98" s="92"/>
      <c r="GI98" s="92"/>
      <c r="GJ98" s="92"/>
      <c r="GK98" s="92"/>
      <c r="GL98" s="92"/>
      <c r="GM98" s="92"/>
      <c r="GN98" s="92"/>
      <c r="GO98" s="92"/>
      <c r="GP98" s="92"/>
      <c r="GQ98" s="92"/>
      <c r="GR98" s="92"/>
      <c r="GS98" s="92"/>
      <c r="GT98" s="92"/>
      <c r="GU98" s="92"/>
      <c r="GV98" s="92"/>
      <c r="GW98" s="92"/>
      <c r="GX98" s="92"/>
      <c r="GY98" s="92"/>
      <c r="GZ98" s="92"/>
      <c r="HA98" s="92"/>
      <c r="HB98" s="92"/>
      <c r="HC98" s="92"/>
      <c r="HD98" s="92"/>
      <c r="HE98" s="92"/>
      <c r="HF98" s="92"/>
      <c r="HG98" s="92"/>
      <c r="HH98" s="92"/>
    </row>
    <row r="99" spans="1:216" s="93" customFormat="1" ht="13.2" hidden="1" customHeight="1">
      <c r="A99" s="96" t="s">
        <v>555</v>
      </c>
      <c r="B99" s="96">
        <v>123472431</v>
      </c>
      <c r="C99" s="96" t="s">
        <v>556</v>
      </c>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c r="BP99" s="92"/>
      <c r="BQ99" s="92"/>
      <c r="BR99" s="92"/>
      <c r="BS99" s="92"/>
      <c r="BT99" s="92"/>
      <c r="BU99" s="92"/>
      <c r="BV99" s="92"/>
      <c r="BW99" s="92"/>
      <c r="BX99" s="92"/>
      <c r="BY99" s="92"/>
      <c r="BZ99" s="92"/>
      <c r="CA99" s="92"/>
      <c r="CB99" s="92"/>
      <c r="CC99" s="92"/>
      <c r="CD99" s="92"/>
      <c r="CE99" s="92"/>
      <c r="CF99" s="92"/>
      <c r="CG99" s="92"/>
      <c r="CH99" s="92"/>
      <c r="CI99" s="92"/>
      <c r="CJ99" s="92"/>
      <c r="CK99" s="92"/>
      <c r="CL99" s="92"/>
      <c r="CM99" s="92"/>
      <c r="CN99" s="92"/>
      <c r="CO99" s="92"/>
      <c r="CP99" s="92"/>
      <c r="CQ99" s="92"/>
      <c r="CR99" s="92"/>
      <c r="CS99" s="92"/>
      <c r="CT99" s="92"/>
      <c r="CU99" s="92"/>
      <c r="CV99" s="92"/>
      <c r="CW99" s="92"/>
      <c r="CX99" s="92"/>
      <c r="CY99" s="92"/>
      <c r="CZ99" s="92"/>
      <c r="DA99" s="92"/>
      <c r="DB99" s="92"/>
      <c r="DC99" s="92"/>
      <c r="DD99" s="92"/>
      <c r="DE99" s="92"/>
      <c r="DF99" s="92"/>
      <c r="DG99" s="92"/>
      <c r="DH99" s="92"/>
      <c r="DI99" s="92"/>
      <c r="DJ99" s="92"/>
      <c r="DK99" s="92"/>
      <c r="DL99" s="92"/>
      <c r="DM99" s="92"/>
      <c r="DN99" s="92"/>
      <c r="DO99" s="92"/>
      <c r="DP99" s="92"/>
      <c r="DQ99" s="92"/>
      <c r="DR99" s="92"/>
      <c r="DS99" s="92"/>
      <c r="DT99" s="92"/>
      <c r="DU99" s="92"/>
      <c r="DV99" s="92"/>
      <c r="DW99" s="92"/>
      <c r="DX99" s="92"/>
      <c r="DY99" s="92"/>
      <c r="DZ99" s="92"/>
      <c r="EA99" s="92"/>
      <c r="EB99" s="92"/>
      <c r="EC99" s="92"/>
      <c r="ED99" s="92"/>
      <c r="EE99" s="92"/>
      <c r="EF99" s="92"/>
      <c r="EG99" s="92"/>
      <c r="EH99" s="92"/>
      <c r="EI99" s="92"/>
      <c r="EJ99" s="92"/>
      <c r="EK99" s="92"/>
      <c r="EL99" s="92"/>
      <c r="EM99" s="92"/>
      <c r="EN99" s="92"/>
      <c r="EO99" s="92"/>
      <c r="EP99" s="92"/>
      <c r="EQ99" s="92"/>
      <c r="ER99" s="92"/>
      <c r="ES99" s="92"/>
      <c r="ET99" s="92"/>
      <c r="EU99" s="92"/>
      <c r="EV99" s="92"/>
      <c r="EW99" s="92"/>
      <c r="EX99" s="92"/>
      <c r="EY99" s="92"/>
      <c r="EZ99" s="92"/>
      <c r="FA99" s="92"/>
      <c r="FB99" s="92"/>
      <c r="FC99" s="92"/>
      <c r="FD99" s="92"/>
      <c r="FE99" s="92"/>
      <c r="FF99" s="92"/>
      <c r="FG99" s="92"/>
      <c r="FH99" s="92"/>
      <c r="FI99" s="92"/>
      <c r="FJ99" s="92"/>
      <c r="FK99" s="92"/>
      <c r="FL99" s="92"/>
      <c r="FM99" s="92"/>
      <c r="FN99" s="92"/>
      <c r="FO99" s="92"/>
      <c r="FP99" s="92"/>
      <c r="FQ99" s="92"/>
      <c r="FR99" s="92"/>
      <c r="FS99" s="92"/>
      <c r="FT99" s="92"/>
      <c r="FU99" s="92"/>
      <c r="FV99" s="92"/>
      <c r="FW99" s="92"/>
      <c r="FX99" s="92"/>
      <c r="FY99" s="92"/>
      <c r="FZ99" s="92"/>
      <c r="GA99" s="92"/>
      <c r="GB99" s="92"/>
      <c r="GC99" s="92"/>
      <c r="GD99" s="92"/>
      <c r="GE99" s="92"/>
      <c r="GF99" s="92"/>
      <c r="GG99" s="92"/>
      <c r="GH99" s="92"/>
      <c r="GI99" s="92"/>
      <c r="GJ99" s="92"/>
      <c r="GK99" s="92"/>
      <c r="GL99" s="92"/>
      <c r="GM99" s="92"/>
      <c r="GN99" s="92"/>
      <c r="GO99" s="92"/>
      <c r="GP99" s="92"/>
      <c r="GQ99" s="92"/>
      <c r="GR99" s="92"/>
      <c r="GS99" s="92"/>
      <c r="GT99" s="92"/>
      <c r="GU99" s="92"/>
      <c r="GV99" s="92"/>
      <c r="GW99" s="92"/>
      <c r="GX99" s="92"/>
      <c r="GY99" s="92"/>
      <c r="GZ99" s="92"/>
      <c r="HA99" s="92"/>
      <c r="HB99" s="92"/>
      <c r="HC99" s="92"/>
      <c r="HD99" s="92"/>
      <c r="HE99" s="92"/>
      <c r="HF99" s="92"/>
      <c r="HG99" s="92"/>
      <c r="HH99" s="92"/>
    </row>
    <row r="100" spans="1:216" s="93" customFormat="1" ht="13.2" hidden="1" customHeight="1">
      <c r="A100" s="96" t="s">
        <v>834</v>
      </c>
      <c r="B100" s="96">
        <v>140844623</v>
      </c>
      <c r="C100" s="96" t="s">
        <v>613</v>
      </c>
      <c r="D100" s="91"/>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c r="CD100" s="92"/>
      <c r="CE100" s="92"/>
      <c r="CF100" s="92"/>
      <c r="CG100" s="92"/>
      <c r="CH100" s="92"/>
      <c r="CI100" s="92"/>
      <c r="CJ100" s="92"/>
      <c r="CK100" s="92"/>
      <c r="CL100" s="92"/>
      <c r="CM100" s="92"/>
      <c r="CN100" s="92"/>
      <c r="CO100" s="92"/>
      <c r="CP100" s="92"/>
      <c r="CQ100" s="92"/>
      <c r="CR100" s="92"/>
      <c r="CS100" s="92"/>
      <c r="CT100" s="92"/>
      <c r="CU100" s="92"/>
      <c r="CV100" s="92"/>
      <c r="CW100" s="92"/>
      <c r="CX100" s="92"/>
      <c r="CY100" s="92"/>
      <c r="CZ100" s="92"/>
      <c r="DA100" s="92"/>
      <c r="DB100" s="92"/>
      <c r="DC100" s="92"/>
      <c r="DD100" s="92"/>
      <c r="DE100" s="92"/>
      <c r="DF100" s="92"/>
      <c r="DG100" s="92"/>
      <c r="DH100" s="92"/>
      <c r="DI100" s="92"/>
      <c r="DJ100" s="92"/>
      <c r="DK100" s="92"/>
      <c r="DL100" s="92"/>
      <c r="DM100" s="92"/>
      <c r="DN100" s="92"/>
      <c r="DO100" s="92"/>
      <c r="DP100" s="92"/>
      <c r="DQ100" s="92"/>
      <c r="DR100" s="92"/>
      <c r="DS100" s="92"/>
      <c r="DT100" s="92"/>
      <c r="DU100" s="92"/>
      <c r="DV100" s="92"/>
      <c r="DW100" s="92"/>
      <c r="DX100" s="92"/>
      <c r="DY100" s="92"/>
      <c r="DZ100" s="92"/>
      <c r="EA100" s="92"/>
      <c r="EB100" s="92"/>
      <c r="EC100" s="92"/>
      <c r="ED100" s="92"/>
      <c r="EE100" s="92"/>
      <c r="EF100" s="92"/>
      <c r="EG100" s="92"/>
      <c r="EH100" s="92"/>
      <c r="EI100" s="92"/>
      <c r="EJ100" s="92"/>
      <c r="EK100" s="92"/>
      <c r="EL100" s="92"/>
      <c r="EM100" s="92"/>
      <c r="EN100" s="92"/>
      <c r="EO100" s="92"/>
      <c r="EP100" s="92"/>
      <c r="EQ100" s="92"/>
      <c r="ER100" s="92"/>
      <c r="ES100" s="92"/>
      <c r="ET100" s="92"/>
      <c r="EU100" s="92"/>
      <c r="EV100" s="92"/>
      <c r="EW100" s="92"/>
      <c r="EX100" s="92"/>
      <c r="EY100" s="92"/>
      <c r="EZ100" s="92"/>
      <c r="FA100" s="92"/>
      <c r="FB100" s="92"/>
      <c r="FC100" s="92"/>
      <c r="FD100" s="92"/>
      <c r="FE100" s="92"/>
      <c r="FF100" s="92"/>
      <c r="FG100" s="92"/>
      <c r="FH100" s="92"/>
      <c r="FI100" s="92"/>
      <c r="FJ100" s="92"/>
      <c r="FK100" s="92"/>
      <c r="FL100" s="92"/>
      <c r="FM100" s="92"/>
      <c r="FN100" s="92"/>
      <c r="FO100" s="92"/>
      <c r="FP100" s="92"/>
      <c r="FQ100" s="92"/>
      <c r="FR100" s="92"/>
      <c r="FS100" s="92"/>
      <c r="FT100" s="92"/>
      <c r="FU100" s="92"/>
      <c r="FV100" s="92"/>
      <c r="FW100" s="92"/>
      <c r="FX100" s="92"/>
      <c r="FY100" s="92"/>
      <c r="FZ100" s="92"/>
      <c r="GA100" s="92"/>
      <c r="GB100" s="92"/>
      <c r="GC100" s="92"/>
      <c r="GD100" s="92"/>
      <c r="GE100" s="92"/>
      <c r="GF100" s="92"/>
      <c r="GG100" s="92"/>
      <c r="GH100" s="92"/>
      <c r="GI100" s="92"/>
      <c r="GJ100" s="92"/>
      <c r="GK100" s="92"/>
      <c r="GL100" s="92"/>
      <c r="GM100" s="92"/>
      <c r="GN100" s="92"/>
      <c r="GO100" s="92"/>
      <c r="GP100" s="92"/>
      <c r="GQ100" s="92"/>
      <c r="GR100" s="92"/>
      <c r="GS100" s="92"/>
      <c r="GT100" s="92"/>
      <c r="GU100" s="92"/>
      <c r="GV100" s="92"/>
      <c r="GW100" s="92"/>
      <c r="GX100" s="92"/>
      <c r="GY100" s="92"/>
      <c r="GZ100" s="92"/>
      <c r="HA100" s="92"/>
      <c r="HB100" s="92"/>
      <c r="HC100" s="92"/>
      <c r="HD100" s="92"/>
      <c r="HE100" s="92"/>
      <c r="HF100" s="92"/>
      <c r="HG100" s="92"/>
      <c r="HH100" s="92"/>
    </row>
    <row r="101" spans="1:216" s="93" customFormat="1" ht="13.2" hidden="1" customHeight="1">
      <c r="A101" s="96" t="s">
        <v>102</v>
      </c>
      <c r="B101" s="96">
        <v>141365075</v>
      </c>
      <c r="C101" s="96" t="s">
        <v>680</v>
      </c>
      <c r="D101" s="91"/>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c r="BP101" s="92"/>
      <c r="BQ101" s="92"/>
      <c r="BR101" s="92"/>
      <c r="BS101" s="92"/>
      <c r="BT101" s="92"/>
      <c r="BU101" s="92"/>
      <c r="BV101" s="92"/>
      <c r="BW101" s="92"/>
      <c r="BX101" s="92"/>
      <c r="BY101" s="92"/>
      <c r="BZ101" s="92"/>
      <c r="CA101" s="92"/>
      <c r="CB101" s="92"/>
      <c r="CC101" s="92"/>
      <c r="CD101" s="92"/>
      <c r="CE101" s="92"/>
      <c r="CF101" s="92"/>
      <c r="CG101" s="92"/>
      <c r="CH101" s="92"/>
      <c r="CI101" s="92"/>
      <c r="CJ101" s="92"/>
      <c r="CK101" s="92"/>
      <c r="CL101" s="92"/>
      <c r="CM101" s="92"/>
      <c r="CN101" s="92"/>
      <c r="CO101" s="92"/>
      <c r="CP101" s="92"/>
      <c r="CQ101" s="92"/>
      <c r="CR101" s="92"/>
      <c r="CS101" s="92"/>
      <c r="CT101" s="92"/>
      <c r="CU101" s="92"/>
      <c r="CV101" s="92"/>
      <c r="CW101" s="92"/>
      <c r="CX101" s="92"/>
      <c r="CY101" s="92"/>
      <c r="CZ101" s="92"/>
      <c r="DA101" s="92"/>
      <c r="DB101" s="92"/>
      <c r="DC101" s="92"/>
      <c r="DD101" s="92"/>
      <c r="DE101" s="92"/>
      <c r="DF101" s="92"/>
      <c r="DG101" s="92"/>
      <c r="DH101" s="92"/>
      <c r="DI101" s="92"/>
      <c r="DJ101" s="92"/>
      <c r="DK101" s="92"/>
      <c r="DL101" s="92"/>
      <c r="DM101" s="92"/>
      <c r="DN101" s="92"/>
      <c r="DO101" s="92"/>
      <c r="DP101" s="92"/>
      <c r="DQ101" s="92"/>
      <c r="DR101" s="92"/>
      <c r="DS101" s="92"/>
      <c r="DT101" s="92"/>
      <c r="DU101" s="92"/>
      <c r="DV101" s="92"/>
      <c r="DW101" s="92"/>
      <c r="DX101" s="92"/>
      <c r="DY101" s="92"/>
      <c r="DZ101" s="92"/>
      <c r="EA101" s="92"/>
      <c r="EB101" s="92"/>
      <c r="EC101" s="92"/>
      <c r="ED101" s="92"/>
      <c r="EE101" s="92"/>
      <c r="EF101" s="92"/>
      <c r="EG101" s="92"/>
      <c r="EH101" s="92"/>
      <c r="EI101" s="92"/>
      <c r="EJ101" s="92"/>
      <c r="EK101" s="92"/>
      <c r="EL101" s="92"/>
      <c r="EM101" s="92"/>
      <c r="EN101" s="92"/>
      <c r="EO101" s="92"/>
      <c r="EP101" s="92"/>
      <c r="EQ101" s="92"/>
      <c r="ER101" s="92"/>
      <c r="ES101" s="92"/>
      <c r="ET101" s="92"/>
      <c r="EU101" s="92"/>
      <c r="EV101" s="92"/>
      <c r="EW101" s="92"/>
      <c r="EX101" s="92"/>
      <c r="EY101" s="92"/>
      <c r="EZ101" s="92"/>
      <c r="FA101" s="92"/>
      <c r="FB101" s="92"/>
      <c r="FC101" s="92"/>
      <c r="FD101" s="92"/>
      <c r="FE101" s="92"/>
      <c r="FF101" s="92"/>
      <c r="FG101" s="92"/>
      <c r="FH101" s="92"/>
      <c r="FI101" s="92"/>
      <c r="FJ101" s="92"/>
      <c r="FK101" s="92"/>
      <c r="FL101" s="92"/>
      <c r="FM101" s="92"/>
      <c r="FN101" s="92"/>
      <c r="FO101" s="92"/>
      <c r="FP101" s="92"/>
      <c r="FQ101" s="92"/>
      <c r="FR101" s="92"/>
      <c r="FS101" s="92"/>
      <c r="FT101" s="92"/>
      <c r="FU101" s="92"/>
      <c r="FV101" s="92"/>
      <c r="FW101" s="92"/>
      <c r="FX101" s="92"/>
      <c r="FY101" s="92"/>
      <c r="FZ101" s="92"/>
      <c r="GA101" s="92"/>
      <c r="GB101" s="92"/>
      <c r="GC101" s="92"/>
      <c r="GD101" s="92"/>
      <c r="GE101" s="92"/>
      <c r="GF101" s="92"/>
      <c r="GG101" s="92"/>
      <c r="GH101" s="92"/>
      <c r="GI101" s="92"/>
      <c r="GJ101" s="92"/>
      <c r="GK101" s="92"/>
      <c r="GL101" s="92"/>
      <c r="GM101" s="92"/>
      <c r="GN101" s="92"/>
      <c r="GO101" s="92"/>
      <c r="GP101" s="92"/>
      <c r="GQ101" s="92"/>
      <c r="GR101" s="92"/>
      <c r="GS101" s="92"/>
      <c r="GT101" s="92"/>
      <c r="GU101" s="92"/>
      <c r="GV101" s="92"/>
      <c r="GW101" s="92"/>
      <c r="GX101" s="92"/>
      <c r="GY101" s="92"/>
      <c r="GZ101" s="92"/>
      <c r="HA101" s="92"/>
      <c r="HB101" s="92"/>
      <c r="HC101" s="92"/>
      <c r="HD101" s="92"/>
      <c r="HE101" s="92"/>
      <c r="HF101" s="92"/>
      <c r="HG101" s="92"/>
      <c r="HH101" s="92"/>
    </row>
    <row r="102" spans="1:216" s="93" customFormat="1" ht="13.2" hidden="1" customHeight="1">
      <c r="A102" s="96" t="s">
        <v>103</v>
      </c>
      <c r="B102" s="96">
        <v>79502392</v>
      </c>
      <c r="C102" s="96" t="s">
        <v>714</v>
      </c>
      <c r="D102" s="92"/>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c r="BP102" s="92"/>
      <c r="BQ102" s="92"/>
      <c r="BR102" s="92"/>
      <c r="BS102" s="92"/>
      <c r="BT102" s="92"/>
      <c r="BU102" s="92"/>
      <c r="BV102" s="92"/>
      <c r="BW102" s="92"/>
      <c r="BX102" s="92"/>
      <c r="BY102" s="92"/>
      <c r="BZ102" s="92"/>
      <c r="CA102" s="92"/>
      <c r="CB102" s="92"/>
      <c r="CC102" s="92"/>
      <c r="CD102" s="92"/>
      <c r="CE102" s="92"/>
      <c r="CF102" s="92"/>
      <c r="CG102" s="92"/>
      <c r="CH102" s="92"/>
      <c r="CI102" s="92"/>
      <c r="CJ102" s="92"/>
      <c r="CK102" s="92"/>
      <c r="CL102" s="92"/>
      <c r="CM102" s="92"/>
      <c r="CN102" s="92"/>
      <c r="CO102" s="92"/>
      <c r="CP102" s="92"/>
      <c r="CQ102" s="92"/>
      <c r="CR102" s="92"/>
      <c r="CS102" s="92"/>
      <c r="CT102" s="92"/>
      <c r="CU102" s="92"/>
      <c r="CV102" s="92"/>
      <c r="CW102" s="92"/>
      <c r="CX102" s="92"/>
      <c r="CY102" s="92"/>
      <c r="CZ102" s="92"/>
      <c r="DA102" s="92"/>
      <c r="DB102" s="92"/>
      <c r="DC102" s="92"/>
      <c r="DD102" s="92"/>
      <c r="DE102" s="92"/>
      <c r="DF102" s="92"/>
      <c r="DG102" s="92"/>
      <c r="DH102" s="92"/>
      <c r="DI102" s="92"/>
      <c r="DJ102" s="92"/>
      <c r="DK102" s="92"/>
      <c r="DL102" s="92"/>
      <c r="DM102" s="92"/>
      <c r="DN102" s="92"/>
      <c r="DO102" s="92"/>
      <c r="DP102" s="92"/>
      <c r="DQ102" s="92"/>
      <c r="DR102" s="92"/>
      <c r="DS102" s="92"/>
      <c r="DT102" s="92"/>
      <c r="DU102" s="92"/>
      <c r="DV102" s="92"/>
      <c r="DW102" s="92"/>
      <c r="DX102" s="92"/>
      <c r="DY102" s="92"/>
      <c r="DZ102" s="92"/>
      <c r="EA102" s="92"/>
      <c r="EB102" s="92"/>
      <c r="EC102" s="92"/>
      <c r="ED102" s="92"/>
      <c r="EE102" s="92"/>
      <c r="EF102" s="92"/>
      <c r="EG102" s="92"/>
      <c r="EH102" s="92"/>
      <c r="EI102" s="92"/>
      <c r="EJ102" s="92"/>
      <c r="EK102" s="92"/>
      <c r="EL102" s="92"/>
      <c r="EM102" s="92"/>
      <c r="EN102" s="92"/>
      <c r="EO102" s="92"/>
      <c r="EP102" s="92"/>
      <c r="EQ102" s="92"/>
      <c r="ER102" s="92"/>
      <c r="ES102" s="92"/>
      <c r="ET102" s="92"/>
      <c r="EU102" s="92"/>
      <c r="EV102" s="92"/>
      <c r="EW102" s="92"/>
      <c r="EX102" s="92"/>
      <c r="EY102" s="92"/>
      <c r="EZ102" s="92"/>
      <c r="FA102" s="92"/>
      <c r="FB102" s="92"/>
      <c r="FC102" s="92"/>
      <c r="FD102" s="92"/>
      <c r="FE102" s="92"/>
      <c r="FF102" s="92"/>
      <c r="FG102" s="92"/>
      <c r="FH102" s="92"/>
      <c r="FI102" s="92"/>
      <c r="FJ102" s="92"/>
      <c r="FK102" s="92"/>
      <c r="FL102" s="92"/>
      <c r="FM102" s="92"/>
      <c r="FN102" s="92"/>
      <c r="FO102" s="92"/>
      <c r="FP102" s="92"/>
      <c r="FQ102" s="92"/>
      <c r="FR102" s="92"/>
      <c r="FS102" s="92"/>
      <c r="FT102" s="92"/>
      <c r="FU102" s="92"/>
      <c r="FV102" s="92"/>
      <c r="FW102" s="92"/>
      <c r="FX102" s="92"/>
      <c r="FY102" s="92"/>
      <c r="FZ102" s="92"/>
      <c r="GA102" s="92"/>
      <c r="GB102" s="92"/>
      <c r="GC102" s="92"/>
      <c r="GD102" s="92"/>
      <c r="GE102" s="92"/>
      <c r="GF102" s="92"/>
      <c r="GG102" s="92"/>
      <c r="GH102" s="92"/>
      <c r="GI102" s="92"/>
      <c r="GJ102" s="92"/>
      <c r="GK102" s="92"/>
      <c r="GL102" s="92"/>
      <c r="GM102" s="92"/>
      <c r="GN102" s="92"/>
      <c r="GO102" s="92"/>
      <c r="GP102" s="92"/>
      <c r="GQ102" s="92"/>
      <c r="GR102" s="92"/>
      <c r="GS102" s="92"/>
      <c r="GT102" s="92"/>
      <c r="GU102" s="92"/>
      <c r="GV102" s="92"/>
      <c r="GW102" s="92"/>
      <c r="GX102" s="92"/>
      <c r="GY102" s="92"/>
      <c r="GZ102" s="92"/>
      <c r="HA102" s="92"/>
      <c r="HB102" s="92"/>
      <c r="HC102" s="92"/>
      <c r="HD102" s="92"/>
      <c r="HE102" s="92"/>
      <c r="HF102" s="92"/>
      <c r="HG102" s="92"/>
      <c r="HH102" s="92"/>
    </row>
    <row r="103" spans="1:216" s="93" customFormat="1" ht="15" customHeight="1">
      <c r="A103" s="142" t="s">
        <v>598</v>
      </c>
      <c r="B103" s="139">
        <v>86971535</v>
      </c>
      <c r="C103" s="139" t="s">
        <v>43</v>
      </c>
      <c r="D103" s="91"/>
      <c r="E103" s="92"/>
      <c r="F103" s="92"/>
      <c r="G103" s="92" t="e">
        <f>_xlfn.XLOOKUP(A161,#REF!,#REF!)</f>
        <v>#REF!</v>
      </c>
      <c r="H103" s="92"/>
      <c r="I103" s="92"/>
      <c r="J103" s="92"/>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c r="BP103" s="92"/>
      <c r="BQ103" s="92"/>
      <c r="BR103" s="92"/>
      <c r="BS103" s="92"/>
      <c r="BT103" s="92"/>
      <c r="BU103" s="92"/>
      <c r="BV103" s="92"/>
      <c r="BW103" s="92"/>
      <c r="BX103" s="92"/>
      <c r="BY103" s="92"/>
      <c r="BZ103" s="92"/>
      <c r="CA103" s="92"/>
      <c r="CB103" s="92"/>
      <c r="CC103" s="92"/>
      <c r="CD103" s="92"/>
      <c r="CE103" s="92"/>
      <c r="CF103" s="92"/>
      <c r="CG103" s="92"/>
      <c r="CH103" s="92"/>
      <c r="CI103" s="92"/>
      <c r="CJ103" s="92"/>
      <c r="CK103" s="92"/>
      <c r="CL103" s="92"/>
      <c r="CM103" s="92"/>
      <c r="CN103" s="92"/>
      <c r="CO103" s="92"/>
      <c r="CP103" s="92"/>
      <c r="CQ103" s="92"/>
      <c r="CR103" s="92"/>
      <c r="CS103" s="92"/>
      <c r="CT103" s="92"/>
      <c r="CU103" s="92"/>
      <c r="CV103" s="92"/>
      <c r="CW103" s="92"/>
      <c r="CX103" s="92"/>
      <c r="CY103" s="92"/>
      <c r="CZ103" s="92"/>
      <c r="DA103" s="92"/>
      <c r="DB103" s="92"/>
      <c r="DC103" s="92"/>
      <c r="DD103" s="92"/>
      <c r="DE103" s="92"/>
      <c r="DF103" s="92"/>
      <c r="DG103" s="92"/>
      <c r="DH103" s="92"/>
      <c r="DI103" s="92"/>
      <c r="DJ103" s="92"/>
      <c r="DK103" s="92"/>
      <c r="DL103" s="92"/>
      <c r="DM103" s="92"/>
      <c r="DN103" s="92"/>
      <c r="DO103" s="92"/>
      <c r="DP103" s="92"/>
      <c r="DQ103" s="92"/>
      <c r="DR103" s="92"/>
      <c r="DS103" s="92"/>
      <c r="DT103" s="92"/>
      <c r="DU103" s="92"/>
      <c r="DV103" s="92"/>
      <c r="DW103" s="92"/>
      <c r="DX103" s="92"/>
      <c r="DY103" s="92"/>
      <c r="DZ103" s="92"/>
      <c r="EA103" s="92"/>
      <c r="EB103" s="92"/>
      <c r="EC103" s="92"/>
      <c r="ED103" s="92"/>
      <c r="EE103" s="92"/>
      <c r="EF103" s="92"/>
      <c r="EG103" s="92"/>
      <c r="EH103" s="92"/>
      <c r="EI103" s="92"/>
      <c r="EJ103" s="92"/>
      <c r="EK103" s="92"/>
      <c r="EL103" s="92"/>
      <c r="EM103" s="92"/>
      <c r="EN103" s="92"/>
      <c r="EO103" s="92"/>
      <c r="EP103" s="92"/>
      <c r="EQ103" s="92"/>
      <c r="ER103" s="92"/>
      <c r="ES103" s="92"/>
      <c r="ET103" s="92"/>
      <c r="EU103" s="92"/>
      <c r="EV103" s="92"/>
      <c r="EW103" s="92"/>
      <c r="EX103" s="92"/>
      <c r="EY103" s="92"/>
      <c r="EZ103" s="92"/>
      <c r="FA103" s="92"/>
      <c r="FB103" s="92"/>
      <c r="FC103" s="92"/>
      <c r="FD103" s="92"/>
      <c r="FE103" s="92"/>
      <c r="FF103" s="92"/>
      <c r="FG103" s="92"/>
      <c r="FH103" s="92"/>
      <c r="FI103" s="92"/>
      <c r="FJ103" s="92"/>
      <c r="FK103" s="92"/>
      <c r="FL103" s="92"/>
      <c r="FM103" s="92"/>
      <c r="FN103" s="92"/>
      <c r="FO103" s="92"/>
      <c r="FP103" s="92"/>
      <c r="FQ103" s="92"/>
      <c r="FR103" s="92"/>
      <c r="FS103" s="92"/>
      <c r="FT103" s="92"/>
      <c r="FU103" s="92"/>
      <c r="FV103" s="92"/>
      <c r="FW103" s="92"/>
      <c r="FX103" s="92"/>
      <c r="FY103" s="92"/>
      <c r="FZ103" s="92"/>
      <c r="GA103" s="92"/>
      <c r="GB103" s="92"/>
      <c r="GC103" s="92"/>
      <c r="GD103" s="92"/>
      <c r="GE103" s="92"/>
      <c r="GF103" s="92"/>
      <c r="GG103" s="92"/>
      <c r="GH103" s="92"/>
      <c r="GI103" s="92"/>
      <c r="GJ103" s="92"/>
      <c r="GK103" s="92"/>
      <c r="GL103" s="92"/>
      <c r="GM103" s="92"/>
      <c r="GN103" s="92"/>
      <c r="GO103" s="92"/>
      <c r="GP103" s="92"/>
      <c r="GQ103" s="92"/>
      <c r="GR103" s="92"/>
      <c r="GS103" s="92"/>
      <c r="GT103" s="92"/>
      <c r="GU103" s="92"/>
      <c r="GV103" s="92"/>
      <c r="GW103" s="92"/>
      <c r="GX103" s="92"/>
      <c r="GY103" s="92"/>
      <c r="GZ103" s="92"/>
      <c r="HA103" s="92"/>
      <c r="HB103" s="92"/>
      <c r="HC103" s="92"/>
      <c r="HD103" s="92"/>
      <c r="HE103" s="92"/>
      <c r="HF103" s="92"/>
      <c r="HG103" s="92"/>
      <c r="HH103" s="92"/>
    </row>
    <row r="104" spans="1:216" s="93" customFormat="1" ht="13.2" hidden="1" customHeight="1">
      <c r="A104" s="96" t="s">
        <v>835</v>
      </c>
      <c r="B104" s="96">
        <v>86971535</v>
      </c>
      <c r="C104" s="96" t="s">
        <v>43</v>
      </c>
      <c r="D104" s="91"/>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c r="BP104" s="92"/>
      <c r="BQ104" s="92"/>
      <c r="BR104" s="92"/>
      <c r="BS104" s="92"/>
      <c r="BT104" s="92"/>
      <c r="BU104" s="92"/>
      <c r="BV104" s="92"/>
      <c r="BW104" s="92"/>
      <c r="BX104" s="92"/>
      <c r="BY104" s="92"/>
      <c r="BZ104" s="92"/>
      <c r="CA104" s="92"/>
      <c r="CB104" s="92"/>
      <c r="CC104" s="92"/>
      <c r="CD104" s="92"/>
      <c r="CE104" s="92"/>
      <c r="CF104" s="92"/>
      <c r="CG104" s="92"/>
      <c r="CH104" s="92"/>
      <c r="CI104" s="92"/>
      <c r="CJ104" s="92"/>
      <c r="CK104" s="92"/>
      <c r="CL104" s="92"/>
      <c r="CM104" s="92"/>
      <c r="CN104" s="92"/>
      <c r="CO104" s="92"/>
      <c r="CP104" s="92"/>
      <c r="CQ104" s="92"/>
      <c r="CR104" s="92"/>
      <c r="CS104" s="92"/>
      <c r="CT104" s="92"/>
      <c r="CU104" s="92"/>
      <c r="CV104" s="92"/>
      <c r="CW104" s="92"/>
      <c r="CX104" s="92"/>
      <c r="CY104" s="92"/>
      <c r="CZ104" s="92"/>
      <c r="DA104" s="92"/>
      <c r="DB104" s="92"/>
      <c r="DC104" s="92"/>
      <c r="DD104" s="92"/>
      <c r="DE104" s="92"/>
      <c r="DF104" s="92"/>
      <c r="DG104" s="92"/>
      <c r="DH104" s="92"/>
      <c r="DI104" s="92"/>
      <c r="DJ104" s="92"/>
      <c r="DK104" s="92"/>
      <c r="DL104" s="92"/>
      <c r="DM104" s="92"/>
      <c r="DN104" s="92"/>
      <c r="DO104" s="92"/>
      <c r="DP104" s="92"/>
      <c r="DQ104" s="92"/>
      <c r="DR104" s="92"/>
      <c r="DS104" s="92"/>
      <c r="DT104" s="92"/>
      <c r="DU104" s="92"/>
      <c r="DV104" s="92"/>
      <c r="DW104" s="92"/>
      <c r="DX104" s="92"/>
      <c r="DY104" s="92"/>
      <c r="DZ104" s="92"/>
      <c r="EA104" s="92"/>
      <c r="EB104" s="92"/>
      <c r="EC104" s="92"/>
      <c r="ED104" s="92"/>
      <c r="EE104" s="92"/>
      <c r="EF104" s="92"/>
      <c r="EG104" s="92"/>
      <c r="EH104" s="92"/>
      <c r="EI104" s="92"/>
      <c r="EJ104" s="92"/>
      <c r="EK104" s="92"/>
      <c r="EL104" s="92"/>
      <c r="EM104" s="92"/>
      <c r="EN104" s="92"/>
      <c r="EO104" s="92"/>
      <c r="EP104" s="92"/>
      <c r="EQ104" s="92"/>
      <c r="ER104" s="92"/>
      <c r="ES104" s="92"/>
      <c r="ET104" s="92"/>
      <c r="EU104" s="92"/>
      <c r="EV104" s="92"/>
      <c r="EW104" s="92"/>
      <c r="EX104" s="92"/>
      <c r="EY104" s="92"/>
      <c r="EZ104" s="92"/>
      <c r="FA104" s="92"/>
      <c r="FB104" s="92"/>
      <c r="FC104" s="92"/>
      <c r="FD104" s="92"/>
      <c r="FE104" s="92"/>
      <c r="FF104" s="92"/>
      <c r="FG104" s="92"/>
      <c r="FH104" s="92"/>
      <c r="FI104" s="92"/>
      <c r="FJ104" s="92"/>
      <c r="FK104" s="92"/>
      <c r="FL104" s="92"/>
      <c r="FM104" s="92"/>
      <c r="FN104" s="92"/>
      <c r="FO104" s="92"/>
      <c r="FP104" s="92"/>
      <c r="FQ104" s="92"/>
      <c r="FR104" s="92"/>
      <c r="FS104" s="92"/>
      <c r="FT104" s="92"/>
      <c r="FU104" s="92"/>
      <c r="FV104" s="92"/>
      <c r="FW104" s="92"/>
      <c r="FX104" s="92"/>
      <c r="FY104" s="92"/>
      <c r="FZ104" s="92"/>
      <c r="GA104" s="92"/>
      <c r="GB104" s="92"/>
      <c r="GC104" s="92"/>
      <c r="GD104" s="92"/>
      <c r="GE104" s="92"/>
      <c r="GF104" s="92"/>
      <c r="GG104" s="92"/>
      <c r="GH104" s="92"/>
      <c r="GI104" s="92"/>
      <c r="GJ104" s="92"/>
      <c r="GK104" s="92"/>
      <c r="GL104" s="92"/>
      <c r="GM104" s="92"/>
      <c r="GN104" s="92"/>
      <c r="GO104" s="92"/>
      <c r="GP104" s="92"/>
      <c r="GQ104" s="92"/>
      <c r="GR104" s="92"/>
      <c r="GS104" s="92"/>
      <c r="GT104" s="92"/>
      <c r="GU104" s="92"/>
      <c r="GV104" s="92"/>
      <c r="GW104" s="92"/>
      <c r="GX104" s="92"/>
      <c r="GY104" s="92"/>
      <c r="GZ104" s="92"/>
      <c r="HA104" s="92"/>
      <c r="HB104" s="92"/>
      <c r="HC104" s="92"/>
      <c r="HD104" s="92"/>
      <c r="HE104" s="92"/>
      <c r="HF104" s="92"/>
      <c r="HG104" s="92"/>
      <c r="HH104" s="92"/>
    </row>
    <row r="105" spans="1:216" s="93" customFormat="1" ht="13.2" hidden="1" customHeight="1">
      <c r="A105" s="96" t="s">
        <v>64</v>
      </c>
      <c r="B105" s="96">
        <v>114531608</v>
      </c>
      <c r="C105" s="96" t="s">
        <v>714</v>
      </c>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c r="BP105" s="92"/>
      <c r="BQ105" s="92"/>
      <c r="BR105" s="92"/>
      <c r="BS105" s="92"/>
      <c r="BT105" s="92"/>
      <c r="BU105" s="92"/>
      <c r="BV105" s="92"/>
      <c r="BW105" s="92"/>
      <c r="BX105" s="92"/>
      <c r="BY105" s="92"/>
      <c r="BZ105" s="92"/>
      <c r="CA105" s="92"/>
      <c r="CB105" s="92"/>
      <c r="CC105" s="92"/>
      <c r="CD105" s="92"/>
      <c r="CE105" s="92"/>
      <c r="CF105" s="92"/>
      <c r="CG105" s="92"/>
      <c r="CH105" s="92"/>
      <c r="CI105" s="92"/>
      <c r="CJ105" s="92"/>
      <c r="CK105" s="92"/>
      <c r="CL105" s="92"/>
      <c r="CM105" s="92"/>
      <c r="CN105" s="92"/>
      <c r="CO105" s="92"/>
      <c r="CP105" s="92"/>
      <c r="CQ105" s="92"/>
      <c r="CR105" s="92"/>
      <c r="CS105" s="92"/>
      <c r="CT105" s="92"/>
      <c r="CU105" s="92"/>
      <c r="CV105" s="92"/>
      <c r="CW105" s="92"/>
      <c r="CX105" s="92"/>
      <c r="CY105" s="92"/>
      <c r="CZ105" s="92"/>
      <c r="DA105" s="92"/>
      <c r="DB105" s="92"/>
      <c r="DC105" s="92"/>
      <c r="DD105" s="92"/>
      <c r="DE105" s="92"/>
      <c r="DF105" s="92"/>
      <c r="DG105" s="92"/>
      <c r="DH105" s="92"/>
      <c r="DI105" s="92"/>
      <c r="DJ105" s="92"/>
      <c r="DK105" s="92"/>
      <c r="DL105" s="92"/>
      <c r="DM105" s="92"/>
      <c r="DN105" s="92"/>
      <c r="DO105" s="92"/>
      <c r="DP105" s="92"/>
      <c r="DQ105" s="92"/>
      <c r="DR105" s="92"/>
      <c r="DS105" s="92"/>
      <c r="DT105" s="92"/>
      <c r="DU105" s="92"/>
      <c r="DV105" s="92"/>
      <c r="DW105" s="92"/>
      <c r="DX105" s="92"/>
      <c r="DY105" s="92"/>
      <c r="DZ105" s="92"/>
      <c r="EA105" s="92"/>
      <c r="EB105" s="92"/>
      <c r="EC105" s="92"/>
      <c r="ED105" s="92"/>
      <c r="EE105" s="92"/>
      <c r="EF105" s="92"/>
      <c r="EG105" s="92"/>
      <c r="EH105" s="92"/>
      <c r="EI105" s="92"/>
      <c r="EJ105" s="92"/>
      <c r="EK105" s="92"/>
      <c r="EL105" s="92"/>
      <c r="EM105" s="92"/>
      <c r="EN105" s="92"/>
      <c r="EO105" s="92"/>
      <c r="EP105" s="92"/>
      <c r="EQ105" s="92"/>
      <c r="ER105" s="92"/>
      <c r="ES105" s="92"/>
      <c r="ET105" s="92"/>
      <c r="EU105" s="92"/>
      <c r="EV105" s="92"/>
      <c r="EW105" s="92"/>
      <c r="EX105" s="92"/>
      <c r="EY105" s="92"/>
      <c r="EZ105" s="92"/>
      <c r="FA105" s="92"/>
      <c r="FB105" s="92"/>
      <c r="FC105" s="92"/>
      <c r="FD105" s="92"/>
      <c r="FE105" s="92"/>
      <c r="FF105" s="92"/>
      <c r="FG105" s="92"/>
      <c r="FH105" s="92"/>
      <c r="FI105" s="92"/>
      <c r="FJ105" s="92"/>
      <c r="FK105" s="92"/>
      <c r="FL105" s="92"/>
      <c r="FM105" s="92"/>
      <c r="FN105" s="92"/>
      <c r="FO105" s="92"/>
      <c r="FP105" s="92"/>
      <c r="FQ105" s="92"/>
      <c r="FR105" s="92"/>
      <c r="FS105" s="92"/>
      <c r="FT105" s="92"/>
      <c r="FU105" s="92"/>
      <c r="FV105" s="92"/>
      <c r="FW105" s="92"/>
      <c r="FX105" s="92"/>
      <c r="FY105" s="92"/>
      <c r="FZ105" s="92"/>
      <c r="GA105" s="92"/>
      <c r="GB105" s="92"/>
      <c r="GC105" s="92"/>
      <c r="GD105" s="92"/>
      <c r="GE105" s="92"/>
      <c r="GF105" s="92"/>
      <c r="GG105" s="92"/>
      <c r="GH105" s="92"/>
      <c r="GI105" s="92"/>
      <c r="GJ105" s="92"/>
      <c r="GK105" s="92"/>
      <c r="GL105" s="92"/>
      <c r="GM105" s="92"/>
      <c r="GN105" s="92"/>
      <c r="GO105" s="92"/>
      <c r="GP105" s="92"/>
      <c r="GQ105" s="92"/>
      <c r="GR105" s="92"/>
      <c r="GS105" s="92"/>
      <c r="GT105" s="92"/>
      <c r="GU105" s="92"/>
      <c r="GV105" s="92"/>
      <c r="GW105" s="92"/>
      <c r="GX105" s="92"/>
      <c r="GY105" s="92"/>
      <c r="GZ105" s="92"/>
      <c r="HA105" s="92"/>
      <c r="HB105" s="92"/>
      <c r="HC105" s="92"/>
      <c r="HD105" s="92"/>
      <c r="HE105" s="92"/>
      <c r="HF105" s="92"/>
      <c r="HG105" s="92"/>
      <c r="HH105" s="92"/>
    </row>
    <row r="106" spans="1:216" s="93" customFormat="1" ht="13.2" hidden="1" customHeight="1">
      <c r="A106" s="96" t="s">
        <v>836</v>
      </c>
      <c r="B106" s="101">
        <v>123487228</v>
      </c>
      <c r="C106" s="103" t="s">
        <v>559</v>
      </c>
      <c r="D106" s="92"/>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c r="BP106" s="92"/>
      <c r="BQ106" s="92"/>
      <c r="BR106" s="92"/>
      <c r="BS106" s="92"/>
      <c r="BT106" s="92"/>
      <c r="BU106" s="92"/>
      <c r="BV106" s="92"/>
      <c r="BW106" s="92"/>
      <c r="BX106" s="92"/>
      <c r="BY106" s="92"/>
      <c r="BZ106" s="92"/>
      <c r="CA106" s="92"/>
      <c r="CB106" s="92"/>
      <c r="CC106" s="92"/>
      <c r="CD106" s="92"/>
      <c r="CE106" s="92"/>
      <c r="CF106" s="92"/>
      <c r="CG106" s="92"/>
      <c r="CH106" s="92"/>
      <c r="CI106" s="92"/>
      <c r="CJ106" s="92"/>
      <c r="CK106" s="92"/>
      <c r="CL106" s="92"/>
      <c r="CM106" s="92"/>
      <c r="CN106" s="92"/>
      <c r="CO106" s="92"/>
      <c r="CP106" s="92"/>
      <c r="CQ106" s="92"/>
      <c r="CR106" s="92"/>
      <c r="CS106" s="92"/>
      <c r="CT106" s="92"/>
      <c r="CU106" s="92"/>
      <c r="CV106" s="92"/>
      <c r="CW106" s="92"/>
      <c r="CX106" s="92"/>
      <c r="CY106" s="92"/>
      <c r="CZ106" s="92"/>
      <c r="DA106" s="92"/>
      <c r="DB106" s="92"/>
      <c r="DC106" s="92"/>
      <c r="DD106" s="92"/>
      <c r="DE106" s="92"/>
      <c r="DF106" s="92"/>
      <c r="DG106" s="92"/>
      <c r="DH106" s="92"/>
      <c r="DI106" s="92"/>
      <c r="DJ106" s="92"/>
      <c r="DK106" s="92"/>
      <c r="DL106" s="92"/>
      <c r="DM106" s="92"/>
      <c r="DN106" s="92"/>
      <c r="DO106" s="92"/>
      <c r="DP106" s="92"/>
      <c r="DQ106" s="92"/>
      <c r="DR106" s="92"/>
      <c r="DS106" s="92"/>
      <c r="DT106" s="92"/>
      <c r="DU106" s="92"/>
      <c r="DV106" s="92"/>
      <c r="DW106" s="92"/>
      <c r="DX106" s="92"/>
      <c r="DY106" s="92"/>
      <c r="DZ106" s="92"/>
      <c r="EA106" s="92"/>
      <c r="EB106" s="92"/>
      <c r="EC106" s="92"/>
      <c r="ED106" s="92"/>
      <c r="EE106" s="92"/>
      <c r="EF106" s="92"/>
      <c r="EG106" s="92"/>
      <c r="EH106" s="92"/>
      <c r="EI106" s="92"/>
      <c r="EJ106" s="92"/>
      <c r="EK106" s="92"/>
      <c r="EL106" s="92"/>
      <c r="EM106" s="92"/>
      <c r="EN106" s="92"/>
      <c r="EO106" s="92"/>
      <c r="EP106" s="92"/>
      <c r="EQ106" s="92"/>
      <c r="ER106" s="92"/>
      <c r="ES106" s="92"/>
      <c r="ET106" s="92"/>
      <c r="EU106" s="92"/>
      <c r="EV106" s="92"/>
      <c r="EW106" s="92"/>
      <c r="EX106" s="92"/>
      <c r="EY106" s="92"/>
      <c r="EZ106" s="92"/>
      <c r="FA106" s="92"/>
      <c r="FB106" s="92"/>
      <c r="FC106" s="92"/>
      <c r="FD106" s="92"/>
      <c r="FE106" s="92"/>
      <c r="FF106" s="92"/>
      <c r="FG106" s="92"/>
      <c r="FH106" s="92"/>
      <c r="FI106" s="92"/>
      <c r="FJ106" s="92"/>
      <c r="FK106" s="92"/>
      <c r="FL106" s="92"/>
      <c r="FM106" s="92"/>
      <c r="FN106" s="92"/>
      <c r="FO106" s="92"/>
      <c r="FP106" s="92"/>
      <c r="FQ106" s="92"/>
      <c r="FR106" s="92"/>
      <c r="FS106" s="92"/>
      <c r="FT106" s="92"/>
      <c r="FU106" s="92"/>
      <c r="FV106" s="92"/>
      <c r="FW106" s="92"/>
      <c r="FX106" s="92"/>
      <c r="FY106" s="92"/>
      <c r="FZ106" s="92"/>
      <c r="GA106" s="92"/>
      <c r="GB106" s="92"/>
      <c r="GC106" s="92"/>
      <c r="GD106" s="92"/>
      <c r="GE106" s="92"/>
      <c r="GF106" s="92"/>
      <c r="GG106" s="92"/>
      <c r="GH106" s="92"/>
      <c r="GI106" s="92"/>
      <c r="GJ106" s="92"/>
      <c r="GK106" s="92"/>
      <c r="GL106" s="92"/>
      <c r="GM106" s="92"/>
      <c r="GN106" s="92"/>
      <c r="GO106" s="92"/>
      <c r="GP106" s="92"/>
      <c r="GQ106" s="92"/>
      <c r="GR106" s="92"/>
      <c r="GS106" s="92"/>
      <c r="GT106" s="92"/>
      <c r="GU106" s="92"/>
      <c r="GV106" s="92"/>
      <c r="GW106" s="92"/>
      <c r="GX106" s="92"/>
      <c r="GY106" s="92"/>
      <c r="GZ106" s="92"/>
      <c r="HA106" s="92"/>
      <c r="HB106" s="92"/>
      <c r="HC106" s="92"/>
      <c r="HD106" s="92"/>
      <c r="HE106" s="92"/>
      <c r="HF106" s="92"/>
      <c r="HG106" s="92"/>
      <c r="HH106" s="92"/>
    </row>
    <row r="107" spans="1:216" s="93" customFormat="1" ht="13.2" hidden="1" customHeight="1">
      <c r="A107" s="97" t="s">
        <v>177</v>
      </c>
      <c r="B107" s="96">
        <v>140809004</v>
      </c>
      <c r="C107" s="96" t="s">
        <v>564</v>
      </c>
      <c r="D107" s="91"/>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c r="BP107" s="92"/>
      <c r="BQ107" s="92"/>
      <c r="BR107" s="92"/>
      <c r="BS107" s="92"/>
      <c r="BT107" s="92"/>
      <c r="BU107" s="92"/>
      <c r="BV107" s="92"/>
      <c r="BW107" s="92"/>
      <c r="BX107" s="92"/>
      <c r="BY107" s="92"/>
      <c r="BZ107" s="92"/>
      <c r="CA107" s="92"/>
      <c r="CB107" s="92"/>
      <c r="CC107" s="92"/>
      <c r="CD107" s="92"/>
      <c r="CE107" s="92"/>
      <c r="CF107" s="92"/>
      <c r="CG107" s="92"/>
      <c r="CH107" s="92"/>
      <c r="CI107" s="92"/>
      <c r="CJ107" s="92"/>
      <c r="CK107" s="92"/>
      <c r="CL107" s="92"/>
      <c r="CM107" s="92"/>
      <c r="CN107" s="92"/>
      <c r="CO107" s="92"/>
      <c r="CP107" s="92"/>
      <c r="CQ107" s="92"/>
      <c r="CR107" s="92"/>
      <c r="CS107" s="92"/>
      <c r="CT107" s="92"/>
      <c r="CU107" s="92"/>
      <c r="CV107" s="92"/>
      <c r="CW107" s="92"/>
      <c r="CX107" s="92"/>
      <c r="CY107" s="92"/>
      <c r="CZ107" s="92"/>
      <c r="DA107" s="92"/>
      <c r="DB107" s="92"/>
      <c r="DC107" s="92"/>
      <c r="DD107" s="92"/>
      <c r="DE107" s="92"/>
      <c r="DF107" s="92"/>
      <c r="DG107" s="92"/>
      <c r="DH107" s="92"/>
      <c r="DI107" s="92"/>
      <c r="DJ107" s="92"/>
      <c r="DK107" s="92"/>
      <c r="DL107" s="92"/>
      <c r="DM107" s="92"/>
      <c r="DN107" s="92"/>
      <c r="DO107" s="92"/>
      <c r="DP107" s="92"/>
      <c r="DQ107" s="92"/>
      <c r="DR107" s="92"/>
      <c r="DS107" s="92"/>
      <c r="DT107" s="92"/>
      <c r="DU107" s="92"/>
      <c r="DV107" s="92"/>
      <c r="DW107" s="92"/>
      <c r="DX107" s="92"/>
      <c r="DY107" s="92"/>
      <c r="DZ107" s="92"/>
      <c r="EA107" s="92"/>
      <c r="EB107" s="92"/>
      <c r="EC107" s="92"/>
      <c r="ED107" s="92"/>
      <c r="EE107" s="92"/>
      <c r="EF107" s="92"/>
      <c r="EG107" s="92"/>
      <c r="EH107" s="92"/>
      <c r="EI107" s="92"/>
      <c r="EJ107" s="92"/>
      <c r="EK107" s="92"/>
      <c r="EL107" s="92"/>
      <c r="EM107" s="92"/>
      <c r="EN107" s="92"/>
      <c r="EO107" s="92"/>
      <c r="EP107" s="92"/>
      <c r="EQ107" s="92"/>
      <c r="ER107" s="92"/>
      <c r="ES107" s="92"/>
      <c r="ET107" s="92"/>
      <c r="EU107" s="92"/>
      <c r="EV107" s="92"/>
      <c r="EW107" s="92"/>
      <c r="EX107" s="92"/>
      <c r="EY107" s="92"/>
      <c r="EZ107" s="92"/>
      <c r="FA107" s="92"/>
      <c r="FB107" s="92"/>
      <c r="FC107" s="92"/>
      <c r="FD107" s="92"/>
      <c r="FE107" s="92"/>
      <c r="FF107" s="92"/>
      <c r="FG107" s="92"/>
      <c r="FH107" s="92"/>
      <c r="FI107" s="92"/>
      <c r="FJ107" s="92"/>
      <c r="FK107" s="92"/>
      <c r="FL107" s="92"/>
      <c r="FM107" s="92"/>
      <c r="FN107" s="92"/>
      <c r="FO107" s="92"/>
      <c r="FP107" s="92"/>
      <c r="FQ107" s="92"/>
      <c r="FR107" s="92"/>
      <c r="FS107" s="92"/>
      <c r="FT107" s="92"/>
      <c r="FU107" s="92"/>
      <c r="FV107" s="92"/>
      <c r="FW107" s="92"/>
      <c r="FX107" s="92"/>
      <c r="FY107" s="92"/>
      <c r="FZ107" s="92"/>
      <c r="GA107" s="92"/>
      <c r="GB107" s="92"/>
      <c r="GC107" s="92"/>
      <c r="GD107" s="92"/>
      <c r="GE107" s="92"/>
      <c r="GF107" s="92"/>
      <c r="GG107" s="92"/>
      <c r="GH107" s="92"/>
      <c r="GI107" s="92"/>
      <c r="GJ107" s="92"/>
      <c r="GK107" s="92"/>
      <c r="GL107" s="92"/>
      <c r="GM107" s="92"/>
      <c r="GN107" s="92"/>
      <c r="GO107" s="92"/>
      <c r="GP107" s="92"/>
      <c r="GQ107" s="92"/>
      <c r="GR107" s="92"/>
      <c r="GS107" s="92"/>
      <c r="GT107" s="92"/>
      <c r="GU107" s="92"/>
      <c r="GV107" s="92"/>
      <c r="GW107" s="92"/>
      <c r="GX107" s="92"/>
      <c r="GY107" s="92"/>
      <c r="GZ107" s="92"/>
      <c r="HA107" s="92"/>
      <c r="HB107" s="92"/>
      <c r="HC107" s="92"/>
      <c r="HD107" s="92"/>
      <c r="HE107" s="92"/>
      <c r="HF107" s="92"/>
      <c r="HG107" s="92"/>
      <c r="HH107" s="92"/>
    </row>
    <row r="108" spans="1:216" s="93" customFormat="1" ht="13.2" hidden="1" customHeight="1">
      <c r="A108" s="96" t="s">
        <v>105</v>
      </c>
      <c r="B108" s="96">
        <v>141358993</v>
      </c>
      <c r="C108" s="96" t="s">
        <v>657</v>
      </c>
      <c r="D108" s="91"/>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c r="BP108" s="92"/>
      <c r="BQ108" s="92"/>
      <c r="BR108" s="92"/>
      <c r="BS108" s="92"/>
      <c r="BT108" s="92"/>
      <c r="BU108" s="92"/>
      <c r="BV108" s="92"/>
      <c r="BW108" s="92"/>
      <c r="BX108" s="92"/>
      <c r="BY108" s="92"/>
      <c r="BZ108" s="92"/>
      <c r="CA108" s="92"/>
      <c r="CB108" s="92"/>
      <c r="CC108" s="92"/>
      <c r="CD108" s="92"/>
      <c r="CE108" s="92"/>
      <c r="CF108" s="92"/>
      <c r="CG108" s="92"/>
      <c r="CH108" s="92"/>
      <c r="CI108" s="92"/>
      <c r="CJ108" s="92"/>
      <c r="CK108" s="92"/>
      <c r="CL108" s="92"/>
      <c r="CM108" s="92"/>
      <c r="CN108" s="92"/>
      <c r="CO108" s="92"/>
      <c r="CP108" s="92"/>
      <c r="CQ108" s="92"/>
      <c r="CR108" s="92"/>
      <c r="CS108" s="92"/>
      <c r="CT108" s="92"/>
      <c r="CU108" s="92"/>
      <c r="CV108" s="92"/>
      <c r="CW108" s="92"/>
      <c r="CX108" s="92"/>
      <c r="CY108" s="92"/>
      <c r="CZ108" s="92"/>
      <c r="DA108" s="92"/>
      <c r="DB108" s="92"/>
      <c r="DC108" s="92"/>
      <c r="DD108" s="92"/>
      <c r="DE108" s="92"/>
      <c r="DF108" s="92"/>
      <c r="DG108" s="92"/>
      <c r="DH108" s="92"/>
      <c r="DI108" s="92"/>
      <c r="DJ108" s="92"/>
      <c r="DK108" s="92"/>
      <c r="DL108" s="92"/>
      <c r="DM108" s="92"/>
      <c r="DN108" s="92"/>
      <c r="DO108" s="92"/>
      <c r="DP108" s="92"/>
      <c r="DQ108" s="92"/>
      <c r="DR108" s="92"/>
      <c r="DS108" s="92"/>
      <c r="DT108" s="92"/>
      <c r="DU108" s="92"/>
      <c r="DV108" s="92"/>
      <c r="DW108" s="92"/>
      <c r="DX108" s="92"/>
      <c r="DY108" s="92"/>
      <c r="DZ108" s="92"/>
      <c r="EA108" s="92"/>
      <c r="EB108" s="92"/>
      <c r="EC108" s="92"/>
      <c r="ED108" s="92"/>
      <c r="EE108" s="92"/>
      <c r="EF108" s="92"/>
      <c r="EG108" s="92"/>
      <c r="EH108" s="92"/>
      <c r="EI108" s="92"/>
      <c r="EJ108" s="92"/>
      <c r="EK108" s="92"/>
      <c r="EL108" s="92"/>
      <c r="EM108" s="92"/>
      <c r="EN108" s="92"/>
      <c r="EO108" s="92"/>
      <c r="EP108" s="92"/>
      <c r="EQ108" s="92"/>
      <c r="ER108" s="92"/>
      <c r="ES108" s="92"/>
      <c r="ET108" s="92"/>
      <c r="EU108" s="92"/>
      <c r="EV108" s="92"/>
      <c r="EW108" s="92"/>
      <c r="EX108" s="92"/>
      <c r="EY108" s="92"/>
      <c r="EZ108" s="92"/>
      <c r="FA108" s="92"/>
      <c r="FB108" s="92"/>
      <c r="FC108" s="92"/>
      <c r="FD108" s="92"/>
      <c r="FE108" s="92"/>
      <c r="FF108" s="92"/>
      <c r="FG108" s="92"/>
      <c r="FH108" s="92"/>
      <c r="FI108" s="92"/>
      <c r="FJ108" s="92"/>
      <c r="FK108" s="92"/>
      <c r="FL108" s="92"/>
      <c r="FM108" s="92"/>
      <c r="FN108" s="92"/>
      <c r="FO108" s="92"/>
      <c r="FP108" s="92"/>
      <c r="FQ108" s="92"/>
      <c r="FR108" s="92"/>
      <c r="FS108" s="92"/>
      <c r="FT108" s="92"/>
      <c r="FU108" s="92"/>
      <c r="FV108" s="92"/>
      <c r="FW108" s="92"/>
      <c r="FX108" s="92"/>
      <c r="FY108" s="92"/>
      <c r="FZ108" s="92"/>
      <c r="GA108" s="92"/>
      <c r="GB108" s="92"/>
      <c r="GC108" s="92"/>
      <c r="GD108" s="92"/>
      <c r="GE108" s="92"/>
      <c r="GF108" s="92"/>
      <c r="GG108" s="92"/>
      <c r="GH108" s="92"/>
      <c r="GI108" s="92"/>
      <c r="GJ108" s="92"/>
      <c r="GK108" s="92"/>
      <c r="GL108" s="92"/>
      <c r="GM108" s="92"/>
      <c r="GN108" s="92"/>
      <c r="GO108" s="92"/>
      <c r="GP108" s="92"/>
      <c r="GQ108" s="92"/>
      <c r="GR108" s="92"/>
      <c r="GS108" s="92"/>
      <c r="GT108" s="92"/>
      <c r="GU108" s="92"/>
      <c r="GV108" s="92"/>
      <c r="GW108" s="92"/>
      <c r="GX108" s="92"/>
      <c r="GY108" s="92"/>
      <c r="GZ108" s="92"/>
      <c r="HA108" s="92"/>
      <c r="HB108" s="92"/>
      <c r="HC108" s="92"/>
      <c r="HD108" s="92"/>
      <c r="HE108" s="92"/>
      <c r="HF108" s="92"/>
      <c r="HG108" s="92"/>
      <c r="HH108" s="92"/>
    </row>
    <row r="109" spans="1:216" s="93" customFormat="1" ht="13.2" hidden="1" customHeight="1">
      <c r="A109" s="96" t="s">
        <v>178</v>
      </c>
      <c r="B109" s="96">
        <v>140683436</v>
      </c>
      <c r="C109" s="96" t="s">
        <v>578</v>
      </c>
      <c r="D109" s="91"/>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c r="BP109" s="92"/>
      <c r="BQ109" s="92"/>
      <c r="BR109" s="92"/>
      <c r="BS109" s="92"/>
      <c r="BT109" s="92"/>
      <c r="BU109" s="92"/>
      <c r="BV109" s="92"/>
      <c r="BW109" s="92"/>
      <c r="BX109" s="92"/>
      <c r="BY109" s="92"/>
      <c r="BZ109" s="92"/>
      <c r="CA109" s="92"/>
      <c r="CB109" s="92"/>
      <c r="CC109" s="92"/>
      <c r="CD109" s="92"/>
      <c r="CE109" s="92"/>
      <c r="CF109" s="92"/>
      <c r="CG109" s="92"/>
      <c r="CH109" s="92"/>
      <c r="CI109" s="92"/>
      <c r="CJ109" s="92"/>
      <c r="CK109" s="92"/>
      <c r="CL109" s="92"/>
      <c r="CM109" s="92"/>
      <c r="CN109" s="92"/>
      <c r="CO109" s="92"/>
      <c r="CP109" s="92"/>
      <c r="CQ109" s="92"/>
      <c r="CR109" s="92"/>
      <c r="CS109" s="92"/>
      <c r="CT109" s="92"/>
      <c r="CU109" s="92"/>
      <c r="CV109" s="92"/>
      <c r="CW109" s="92"/>
      <c r="CX109" s="92"/>
      <c r="CY109" s="92"/>
      <c r="CZ109" s="92"/>
      <c r="DA109" s="92"/>
      <c r="DB109" s="92"/>
      <c r="DC109" s="92"/>
      <c r="DD109" s="92"/>
      <c r="DE109" s="92"/>
      <c r="DF109" s="92"/>
      <c r="DG109" s="92"/>
      <c r="DH109" s="92"/>
      <c r="DI109" s="92"/>
      <c r="DJ109" s="92"/>
      <c r="DK109" s="92"/>
      <c r="DL109" s="92"/>
      <c r="DM109" s="92"/>
      <c r="DN109" s="92"/>
      <c r="DO109" s="92"/>
      <c r="DP109" s="92"/>
      <c r="DQ109" s="92"/>
      <c r="DR109" s="92"/>
      <c r="DS109" s="92"/>
      <c r="DT109" s="92"/>
      <c r="DU109" s="92"/>
      <c r="DV109" s="92"/>
      <c r="DW109" s="92"/>
      <c r="DX109" s="92"/>
      <c r="DY109" s="92"/>
      <c r="DZ109" s="92"/>
      <c r="EA109" s="92"/>
      <c r="EB109" s="92"/>
      <c r="EC109" s="92"/>
      <c r="ED109" s="92"/>
      <c r="EE109" s="92"/>
      <c r="EF109" s="92"/>
      <c r="EG109" s="92"/>
      <c r="EH109" s="92"/>
      <c r="EI109" s="92"/>
      <c r="EJ109" s="92"/>
      <c r="EK109" s="92"/>
      <c r="EL109" s="92"/>
      <c r="EM109" s="92"/>
      <c r="EN109" s="92"/>
      <c r="EO109" s="92"/>
      <c r="EP109" s="92"/>
      <c r="EQ109" s="92"/>
      <c r="ER109" s="92"/>
      <c r="ES109" s="92"/>
      <c r="ET109" s="92"/>
      <c r="EU109" s="92"/>
      <c r="EV109" s="92"/>
      <c r="EW109" s="92"/>
      <c r="EX109" s="92"/>
      <c r="EY109" s="92"/>
      <c r="EZ109" s="92"/>
      <c r="FA109" s="92"/>
      <c r="FB109" s="92"/>
      <c r="FC109" s="92"/>
      <c r="FD109" s="92"/>
      <c r="FE109" s="92"/>
      <c r="FF109" s="92"/>
      <c r="FG109" s="92"/>
      <c r="FH109" s="92"/>
      <c r="FI109" s="92"/>
      <c r="FJ109" s="92"/>
      <c r="FK109" s="92"/>
      <c r="FL109" s="92"/>
      <c r="FM109" s="92"/>
      <c r="FN109" s="92"/>
      <c r="FO109" s="92"/>
      <c r="FP109" s="92"/>
      <c r="FQ109" s="92"/>
      <c r="FR109" s="92"/>
      <c r="FS109" s="92"/>
      <c r="FT109" s="92"/>
      <c r="FU109" s="92"/>
      <c r="FV109" s="92"/>
      <c r="FW109" s="92"/>
      <c r="FX109" s="92"/>
      <c r="FY109" s="92"/>
      <c r="FZ109" s="92"/>
      <c r="GA109" s="92"/>
      <c r="GB109" s="92"/>
      <c r="GC109" s="92"/>
      <c r="GD109" s="92"/>
      <c r="GE109" s="92"/>
      <c r="GF109" s="92"/>
      <c r="GG109" s="92"/>
      <c r="GH109" s="92"/>
      <c r="GI109" s="92"/>
      <c r="GJ109" s="92"/>
      <c r="GK109" s="92"/>
      <c r="GL109" s="92"/>
      <c r="GM109" s="92"/>
      <c r="GN109" s="92"/>
      <c r="GO109" s="92"/>
      <c r="GP109" s="92"/>
      <c r="GQ109" s="92"/>
      <c r="GR109" s="92"/>
      <c r="GS109" s="92"/>
      <c r="GT109" s="92"/>
      <c r="GU109" s="92"/>
      <c r="GV109" s="92"/>
      <c r="GW109" s="92"/>
      <c r="GX109" s="92"/>
      <c r="GY109" s="92"/>
      <c r="GZ109" s="92"/>
      <c r="HA109" s="92"/>
      <c r="HB109" s="92"/>
      <c r="HC109" s="92"/>
      <c r="HD109" s="92"/>
      <c r="HE109" s="92"/>
      <c r="HF109" s="92"/>
      <c r="HG109" s="92"/>
      <c r="HH109" s="92"/>
    </row>
    <row r="110" spans="1:216" s="93" customFormat="1" ht="13.2" hidden="1" customHeight="1">
      <c r="A110" s="96" t="s">
        <v>837</v>
      </c>
      <c r="B110" s="96">
        <v>13513098</v>
      </c>
      <c r="C110" s="96" t="s">
        <v>635</v>
      </c>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c r="BP110" s="92"/>
      <c r="BQ110" s="92"/>
      <c r="BR110" s="92"/>
      <c r="BS110" s="92"/>
      <c r="BT110" s="92"/>
      <c r="BU110" s="92"/>
      <c r="BV110" s="92"/>
      <c r="BW110" s="92"/>
      <c r="BX110" s="92"/>
      <c r="BY110" s="92"/>
      <c r="BZ110" s="92"/>
      <c r="CA110" s="92"/>
      <c r="CB110" s="92"/>
      <c r="CC110" s="92"/>
      <c r="CD110" s="92"/>
      <c r="CE110" s="92"/>
      <c r="CF110" s="92"/>
      <c r="CG110" s="92"/>
      <c r="CH110" s="92"/>
      <c r="CI110" s="92"/>
      <c r="CJ110" s="92"/>
      <c r="CK110" s="92"/>
      <c r="CL110" s="92"/>
      <c r="CM110" s="92"/>
      <c r="CN110" s="92"/>
      <c r="CO110" s="92"/>
      <c r="CP110" s="92"/>
      <c r="CQ110" s="92"/>
      <c r="CR110" s="92"/>
      <c r="CS110" s="92"/>
      <c r="CT110" s="92"/>
      <c r="CU110" s="92"/>
      <c r="CV110" s="92"/>
      <c r="CW110" s="92"/>
      <c r="CX110" s="92"/>
      <c r="CY110" s="92"/>
      <c r="CZ110" s="92"/>
      <c r="DA110" s="92"/>
      <c r="DB110" s="92"/>
      <c r="DC110" s="92"/>
      <c r="DD110" s="92"/>
      <c r="DE110" s="92"/>
      <c r="DF110" s="92"/>
      <c r="DG110" s="92"/>
      <c r="DH110" s="92"/>
      <c r="DI110" s="92"/>
      <c r="DJ110" s="92"/>
      <c r="DK110" s="92"/>
      <c r="DL110" s="92"/>
      <c r="DM110" s="92"/>
      <c r="DN110" s="92"/>
      <c r="DO110" s="92"/>
      <c r="DP110" s="92"/>
      <c r="DQ110" s="92"/>
      <c r="DR110" s="92"/>
      <c r="DS110" s="92"/>
      <c r="DT110" s="92"/>
      <c r="DU110" s="92"/>
      <c r="DV110" s="92"/>
      <c r="DW110" s="92"/>
      <c r="DX110" s="92"/>
      <c r="DY110" s="92"/>
      <c r="DZ110" s="92"/>
      <c r="EA110" s="92"/>
      <c r="EB110" s="92"/>
      <c r="EC110" s="92"/>
      <c r="ED110" s="92"/>
      <c r="EE110" s="92"/>
      <c r="EF110" s="92"/>
      <c r="EG110" s="92"/>
      <c r="EH110" s="92"/>
      <c r="EI110" s="92"/>
      <c r="EJ110" s="92"/>
      <c r="EK110" s="92"/>
      <c r="EL110" s="92"/>
      <c r="EM110" s="92"/>
      <c r="EN110" s="92"/>
      <c r="EO110" s="92"/>
      <c r="EP110" s="92"/>
      <c r="EQ110" s="92"/>
      <c r="ER110" s="92"/>
      <c r="ES110" s="92"/>
      <c r="ET110" s="92"/>
      <c r="EU110" s="92"/>
      <c r="EV110" s="92"/>
      <c r="EW110" s="92"/>
      <c r="EX110" s="92"/>
      <c r="EY110" s="92"/>
      <c r="EZ110" s="92"/>
      <c r="FA110" s="92"/>
      <c r="FB110" s="92"/>
      <c r="FC110" s="92"/>
      <c r="FD110" s="92"/>
      <c r="FE110" s="92"/>
      <c r="FF110" s="92"/>
      <c r="FG110" s="92"/>
      <c r="FH110" s="92"/>
      <c r="FI110" s="92"/>
      <c r="FJ110" s="92"/>
      <c r="FK110" s="92"/>
      <c r="FL110" s="92"/>
      <c r="FM110" s="92"/>
      <c r="FN110" s="92"/>
      <c r="FO110" s="92"/>
      <c r="FP110" s="92"/>
      <c r="FQ110" s="92"/>
      <c r="FR110" s="92"/>
      <c r="FS110" s="92"/>
      <c r="FT110" s="92"/>
      <c r="FU110" s="92"/>
      <c r="FV110" s="92"/>
      <c r="FW110" s="92"/>
      <c r="FX110" s="92"/>
      <c r="FY110" s="92"/>
      <c r="FZ110" s="92"/>
      <c r="GA110" s="92"/>
      <c r="GB110" s="92"/>
      <c r="GC110" s="92"/>
      <c r="GD110" s="92"/>
      <c r="GE110" s="92"/>
      <c r="GF110" s="92"/>
      <c r="GG110" s="92"/>
      <c r="GH110" s="92"/>
      <c r="GI110" s="92"/>
      <c r="GJ110" s="92"/>
      <c r="GK110" s="92"/>
      <c r="GL110" s="92"/>
      <c r="GM110" s="92"/>
      <c r="GN110" s="92"/>
      <c r="GO110" s="92"/>
      <c r="GP110" s="92"/>
      <c r="GQ110" s="92"/>
      <c r="GR110" s="92"/>
      <c r="GS110" s="92"/>
      <c r="GT110" s="92"/>
      <c r="GU110" s="92"/>
      <c r="GV110" s="92"/>
      <c r="GW110" s="92"/>
      <c r="GX110" s="92"/>
      <c r="GY110" s="92"/>
      <c r="GZ110" s="92"/>
      <c r="HA110" s="92"/>
      <c r="HB110" s="92"/>
      <c r="HC110" s="92"/>
      <c r="HD110" s="92"/>
      <c r="HE110" s="92"/>
      <c r="HF110" s="92"/>
      <c r="HG110" s="92"/>
      <c r="HH110" s="92"/>
    </row>
    <row r="111" spans="1:216" s="93" customFormat="1" ht="13.2" hidden="1" customHeight="1">
      <c r="A111" s="96" t="s">
        <v>838</v>
      </c>
      <c r="B111" s="96">
        <v>128926146</v>
      </c>
      <c r="C111" s="96" t="s">
        <v>544</v>
      </c>
      <c r="D111" s="91"/>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c r="BP111" s="92"/>
      <c r="BQ111" s="92"/>
      <c r="BR111" s="92"/>
      <c r="BS111" s="92"/>
      <c r="BT111" s="92"/>
      <c r="BU111" s="92"/>
      <c r="BV111" s="92"/>
      <c r="BW111" s="92"/>
      <c r="BX111" s="92"/>
      <c r="BY111" s="92"/>
      <c r="BZ111" s="92"/>
      <c r="CA111" s="92"/>
      <c r="CB111" s="92"/>
      <c r="CC111" s="92"/>
      <c r="CD111" s="92"/>
      <c r="CE111" s="92"/>
      <c r="CF111" s="92"/>
      <c r="CG111" s="92"/>
      <c r="CH111" s="92"/>
      <c r="CI111" s="92"/>
      <c r="CJ111" s="92"/>
      <c r="CK111" s="92"/>
      <c r="CL111" s="92"/>
      <c r="CM111" s="92"/>
      <c r="CN111" s="92"/>
      <c r="CO111" s="92"/>
      <c r="CP111" s="92"/>
      <c r="CQ111" s="92"/>
      <c r="CR111" s="92"/>
      <c r="CS111" s="92"/>
      <c r="CT111" s="92"/>
      <c r="CU111" s="92"/>
      <c r="CV111" s="92"/>
      <c r="CW111" s="92"/>
      <c r="CX111" s="92"/>
      <c r="CY111" s="92"/>
      <c r="CZ111" s="92"/>
      <c r="DA111" s="92"/>
      <c r="DB111" s="92"/>
      <c r="DC111" s="92"/>
      <c r="DD111" s="92"/>
      <c r="DE111" s="92"/>
      <c r="DF111" s="92"/>
      <c r="DG111" s="92"/>
      <c r="DH111" s="92"/>
      <c r="DI111" s="92"/>
      <c r="DJ111" s="92"/>
      <c r="DK111" s="92"/>
      <c r="DL111" s="92"/>
      <c r="DM111" s="92"/>
      <c r="DN111" s="92"/>
      <c r="DO111" s="92"/>
      <c r="DP111" s="92"/>
      <c r="DQ111" s="92"/>
      <c r="DR111" s="92"/>
      <c r="DS111" s="92"/>
      <c r="DT111" s="92"/>
      <c r="DU111" s="92"/>
      <c r="DV111" s="92"/>
      <c r="DW111" s="92"/>
      <c r="DX111" s="92"/>
      <c r="DY111" s="92"/>
      <c r="DZ111" s="92"/>
      <c r="EA111" s="92"/>
      <c r="EB111" s="92"/>
      <c r="EC111" s="92"/>
      <c r="ED111" s="92"/>
      <c r="EE111" s="92"/>
      <c r="EF111" s="92"/>
      <c r="EG111" s="92"/>
      <c r="EH111" s="92"/>
      <c r="EI111" s="92"/>
      <c r="EJ111" s="92"/>
      <c r="EK111" s="92"/>
      <c r="EL111" s="92"/>
      <c r="EM111" s="92"/>
      <c r="EN111" s="92"/>
      <c r="EO111" s="92"/>
      <c r="EP111" s="92"/>
      <c r="EQ111" s="92"/>
      <c r="ER111" s="92"/>
      <c r="ES111" s="92"/>
      <c r="ET111" s="92"/>
      <c r="EU111" s="92"/>
      <c r="EV111" s="92"/>
      <c r="EW111" s="92"/>
      <c r="EX111" s="92"/>
      <c r="EY111" s="92"/>
      <c r="EZ111" s="92"/>
      <c r="FA111" s="92"/>
      <c r="FB111" s="92"/>
      <c r="FC111" s="92"/>
      <c r="FD111" s="92"/>
      <c r="FE111" s="92"/>
      <c r="FF111" s="92"/>
      <c r="FG111" s="92"/>
      <c r="FH111" s="92"/>
      <c r="FI111" s="92"/>
      <c r="FJ111" s="92"/>
      <c r="FK111" s="92"/>
      <c r="FL111" s="92"/>
      <c r="FM111" s="92"/>
      <c r="FN111" s="92"/>
      <c r="FO111" s="92"/>
      <c r="FP111" s="92"/>
      <c r="FQ111" s="92"/>
      <c r="FR111" s="92"/>
      <c r="FS111" s="92"/>
      <c r="FT111" s="92"/>
      <c r="FU111" s="92"/>
      <c r="FV111" s="92"/>
      <c r="FW111" s="92"/>
      <c r="FX111" s="92"/>
      <c r="FY111" s="92"/>
      <c r="FZ111" s="92"/>
      <c r="GA111" s="92"/>
      <c r="GB111" s="92"/>
      <c r="GC111" s="92"/>
      <c r="GD111" s="92"/>
      <c r="GE111" s="92"/>
      <c r="GF111" s="92"/>
      <c r="GG111" s="92"/>
      <c r="GH111" s="92"/>
      <c r="GI111" s="92"/>
      <c r="GJ111" s="92"/>
      <c r="GK111" s="92"/>
      <c r="GL111" s="92"/>
      <c r="GM111" s="92"/>
      <c r="GN111" s="92"/>
      <c r="GO111" s="92"/>
      <c r="GP111" s="92"/>
      <c r="GQ111" s="92"/>
      <c r="GR111" s="92"/>
      <c r="GS111" s="92"/>
      <c r="GT111" s="92"/>
      <c r="GU111" s="92"/>
      <c r="GV111" s="92"/>
      <c r="GW111" s="92"/>
      <c r="GX111" s="92"/>
      <c r="GY111" s="92"/>
      <c r="GZ111" s="92"/>
      <c r="HA111" s="92"/>
      <c r="HB111" s="92"/>
      <c r="HC111" s="92"/>
      <c r="HD111" s="92"/>
      <c r="HE111" s="92"/>
      <c r="HF111" s="92"/>
      <c r="HG111" s="92"/>
      <c r="HH111" s="92"/>
    </row>
    <row r="112" spans="1:216" s="93" customFormat="1" ht="13.2" hidden="1" customHeight="1">
      <c r="A112" s="97" t="s">
        <v>599</v>
      </c>
      <c r="B112" s="98" t="s">
        <v>839</v>
      </c>
      <c r="C112" s="99"/>
      <c r="D112" s="91"/>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2"/>
      <c r="BV112" s="92"/>
      <c r="BW112" s="92"/>
      <c r="BX112" s="92"/>
      <c r="BY112" s="92"/>
      <c r="BZ112" s="92"/>
      <c r="CA112" s="92"/>
      <c r="CB112" s="92"/>
      <c r="CC112" s="92"/>
      <c r="CD112" s="92"/>
      <c r="CE112" s="92"/>
      <c r="CF112" s="92"/>
      <c r="CG112" s="92"/>
      <c r="CH112" s="92"/>
      <c r="CI112" s="92"/>
      <c r="CJ112" s="92"/>
      <c r="CK112" s="92"/>
      <c r="CL112" s="92"/>
      <c r="CM112" s="92"/>
      <c r="CN112" s="92"/>
      <c r="CO112" s="92"/>
      <c r="CP112" s="92"/>
      <c r="CQ112" s="92"/>
      <c r="CR112" s="92"/>
      <c r="CS112" s="92"/>
      <c r="CT112" s="92"/>
      <c r="CU112" s="92"/>
      <c r="CV112" s="92"/>
      <c r="CW112" s="92"/>
      <c r="CX112" s="92"/>
      <c r="CY112" s="92"/>
      <c r="CZ112" s="92"/>
      <c r="DA112" s="92"/>
      <c r="DB112" s="92"/>
      <c r="DC112" s="92"/>
      <c r="DD112" s="92"/>
      <c r="DE112" s="92"/>
      <c r="DF112" s="92"/>
      <c r="DG112" s="92"/>
      <c r="DH112" s="92"/>
      <c r="DI112" s="92"/>
      <c r="DJ112" s="92"/>
      <c r="DK112" s="92"/>
      <c r="DL112" s="92"/>
      <c r="DM112" s="92"/>
      <c r="DN112" s="92"/>
      <c r="DO112" s="92"/>
      <c r="DP112" s="92"/>
      <c r="DQ112" s="92"/>
      <c r="DR112" s="92"/>
      <c r="DS112" s="92"/>
      <c r="DT112" s="92"/>
      <c r="DU112" s="92"/>
      <c r="DV112" s="92"/>
      <c r="DW112" s="92"/>
      <c r="DX112" s="92"/>
      <c r="DY112" s="92"/>
      <c r="DZ112" s="92"/>
      <c r="EA112" s="92"/>
      <c r="EB112" s="92"/>
      <c r="EC112" s="92"/>
      <c r="ED112" s="92"/>
      <c r="EE112" s="92"/>
      <c r="EF112" s="92"/>
      <c r="EG112" s="92"/>
      <c r="EH112" s="92"/>
      <c r="EI112" s="92"/>
      <c r="EJ112" s="92"/>
      <c r="EK112" s="92"/>
      <c r="EL112" s="92"/>
      <c r="EM112" s="92"/>
      <c r="EN112" s="92"/>
      <c r="EO112" s="92"/>
      <c r="EP112" s="92"/>
      <c r="EQ112" s="92"/>
      <c r="ER112" s="92"/>
      <c r="ES112" s="92"/>
      <c r="ET112" s="92"/>
      <c r="EU112" s="92"/>
      <c r="EV112" s="92"/>
      <c r="EW112" s="92"/>
      <c r="EX112" s="92"/>
      <c r="EY112" s="92"/>
      <c r="EZ112" s="92"/>
      <c r="FA112" s="92"/>
      <c r="FB112" s="92"/>
      <c r="FC112" s="92"/>
      <c r="FD112" s="92"/>
      <c r="FE112" s="92"/>
      <c r="FF112" s="92"/>
      <c r="FG112" s="92"/>
      <c r="FH112" s="92"/>
      <c r="FI112" s="92"/>
      <c r="FJ112" s="92"/>
      <c r="FK112" s="92"/>
      <c r="FL112" s="92"/>
      <c r="FM112" s="92"/>
      <c r="FN112" s="92"/>
      <c r="FO112" s="92"/>
      <c r="FP112" s="92"/>
      <c r="FQ112" s="92"/>
      <c r="FR112" s="92"/>
      <c r="FS112" s="92"/>
      <c r="FT112" s="92"/>
      <c r="FU112" s="92"/>
      <c r="FV112" s="92"/>
      <c r="FW112" s="92"/>
      <c r="FX112" s="92"/>
      <c r="FY112" s="92"/>
      <c r="FZ112" s="92"/>
      <c r="GA112" s="92"/>
      <c r="GB112" s="92"/>
      <c r="GC112" s="92"/>
      <c r="GD112" s="92"/>
      <c r="GE112" s="92"/>
      <c r="GF112" s="92"/>
      <c r="GG112" s="92"/>
      <c r="GH112" s="92"/>
      <c r="GI112" s="92"/>
      <c r="GJ112" s="92"/>
      <c r="GK112" s="92"/>
      <c r="GL112" s="92"/>
      <c r="GM112" s="92"/>
      <c r="GN112" s="92"/>
      <c r="GO112" s="92"/>
      <c r="GP112" s="92"/>
      <c r="GQ112" s="92"/>
      <c r="GR112" s="92"/>
      <c r="GS112" s="92"/>
      <c r="GT112" s="92"/>
      <c r="GU112" s="92"/>
      <c r="GV112" s="92"/>
      <c r="GW112" s="92"/>
      <c r="GX112" s="92"/>
      <c r="GY112" s="92"/>
      <c r="GZ112" s="92"/>
      <c r="HA112" s="92"/>
      <c r="HB112" s="92"/>
      <c r="HC112" s="92"/>
      <c r="HD112" s="92"/>
      <c r="HE112" s="92"/>
      <c r="HF112" s="92"/>
      <c r="HG112" s="92"/>
      <c r="HH112" s="92"/>
    </row>
    <row r="113" spans="1:216" s="93" customFormat="1" ht="13.2" hidden="1" customHeight="1">
      <c r="A113" s="96" t="s">
        <v>162</v>
      </c>
      <c r="B113" s="96">
        <v>78753612</v>
      </c>
      <c r="C113" s="103" t="s">
        <v>840</v>
      </c>
      <c r="D113" s="91"/>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c r="CK113" s="92"/>
      <c r="CL113" s="92"/>
      <c r="CM113" s="92"/>
      <c r="CN113" s="92"/>
      <c r="CO113" s="92"/>
      <c r="CP113" s="92"/>
      <c r="CQ113" s="92"/>
      <c r="CR113" s="92"/>
      <c r="CS113" s="92"/>
      <c r="CT113" s="92"/>
      <c r="CU113" s="92"/>
      <c r="CV113" s="92"/>
      <c r="CW113" s="92"/>
      <c r="CX113" s="92"/>
      <c r="CY113" s="92"/>
      <c r="CZ113" s="92"/>
      <c r="DA113" s="92"/>
      <c r="DB113" s="92"/>
      <c r="DC113" s="92"/>
      <c r="DD113" s="92"/>
      <c r="DE113" s="92"/>
      <c r="DF113" s="92"/>
      <c r="DG113" s="92"/>
      <c r="DH113" s="92"/>
      <c r="DI113" s="92"/>
      <c r="DJ113" s="92"/>
      <c r="DK113" s="92"/>
      <c r="DL113" s="92"/>
      <c r="DM113" s="92"/>
      <c r="DN113" s="92"/>
      <c r="DO113" s="92"/>
      <c r="DP113" s="92"/>
      <c r="DQ113" s="92"/>
      <c r="DR113" s="92"/>
      <c r="DS113" s="92"/>
      <c r="DT113" s="92"/>
      <c r="DU113" s="92"/>
      <c r="DV113" s="92"/>
      <c r="DW113" s="92"/>
      <c r="DX113" s="92"/>
      <c r="DY113" s="92"/>
      <c r="DZ113" s="92"/>
      <c r="EA113" s="92"/>
      <c r="EB113" s="92"/>
      <c r="EC113" s="92"/>
      <c r="ED113" s="92"/>
      <c r="EE113" s="92"/>
      <c r="EF113" s="92"/>
      <c r="EG113" s="92"/>
      <c r="EH113" s="92"/>
      <c r="EI113" s="92"/>
      <c r="EJ113" s="92"/>
      <c r="EK113" s="92"/>
      <c r="EL113" s="92"/>
      <c r="EM113" s="92"/>
      <c r="EN113" s="92"/>
      <c r="EO113" s="92"/>
      <c r="EP113" s="92"/>
      <c r="EQ113" s="92"/>
      <c r="ER113" s="92"/>
      <c r="ES113" s="92"/>
      <c r="ET113" s="92"/>
      <c r="EU113" s="92"/>
      <c r="EV113" s="92"/>
      <c r="EW113" s="92"/>
      <c r="EX113" s="92"/>
      <c r="EY113" s="92"/>
      <c r="EZ113" s="92"/>
      <c r="FA113" s="92"/>
      <c r="FB113" s="92"/>
      <c r="FC113" s="92"/>
      <c r="FD113" s="92"/>
      <c r="FE113" s="92"/>
      <c r="FF113" s="92"/>
      <c r="FG113" s="92"/>
      <c r="FH113" s="92"/>
      <c r="FI113" s="92"/>
      <c r="FJ113" s="92"/>
      <c r="FK113" s="92"/>
      <c r="FL113" s="92"/>
      <c r="FM113" s="92"/>
      <c r="FN113" s="92"/>
      <c r="FO113" s="92"/>
      <c r="FP113" s="92"/>
      <c r="FQ113" s="92"/>
      <c r="FR113" s="92"/>
      <c r="FS113" s="92"/>
      <c r="FT113" s="92"/>
      <c r="FU113" s="92"/>
      <c r="FV113" s="92"/>
      <c r="FW113" s="92"/>
      <c r="FX113" s="92"/>
      <c r="FY113" s="92"/>
      <c r="FZ113" s="92"/>
      <c r="GA113" s="92"/>
      <c r="GB113" s="92"/>
      <c r="GC113" s="92"/>
      <c r="GD113" s="92"/>
      <c r="GE113" s="92"/>
      <c r="GF113" s="92"/>
      <c r="GG113" s="92"/>
      <c r="GH113" s="92"/>
      <c r="GI113" s="92"/>
      <c r="GJ113" s="92"/>
      <c r="GK113" s="92"/>
      <c r="GL113" s="92"/>
      <c r="GM113" s="92"/>
      <c r="GN113" s="92"/>
      <c r="GO113" s="92"/>
      <c r="GP113" s="92"/>
      <c r="GQ113" s="92"/>
      <c r="GR113" s="92"/>
      <c r="GS113" s="92"/>
      <c r="GT113" s="92"/>
      <c r="GU113" s="92"/>
      <c r="GV113" s="92"/>
      <c r="GW113" s="92"/>
      <c r="GX113" s="92"/>
      <c r="GY113" s="92"/>
      <c r="GZ113" s="92"/>
      <c r="HA113" s="92"/>
      <c r="HB113" s="92"/>
      <c r="HC113" s="92"/>
      <c r="HD113" s="92"/>
      <c r="HE113" s="92"/>
      <c r="HF113" s="92"/>
      <c r="HG113" s="92"/>
      <c r="HH113" s="92"/>
    </row>
    <row r="114" spans="1:216" s="93" customFormat="1" ht="13.2" hidden="1" customHeight="1">
      <c r="A114" s="96" t="s">
        <v>841</v>
      </c>
      <c r="B114" s="96">
        <v>125864032</v>
      </c>
      <c r="C114" s="96" t="s">
        <v>657</v>
      </c>
      <c r="D114" s="91"/>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c r="BP114" s="92"/>
      <c r="BQ114" s="92"/>
      <c r="BR114" s="92"/>
      <c r="BS114" s="92"/>
      <c r="BT114" s="92"/>
      <c r="BU114" s="92"/>
      <c r="BV114" s="92"/>
      <c r="BW114" s="92"/>
      <c r="BX114" s="92"/>
      <c r="BY114" s="92"/>
      <c r="BZ114" s="92"/>
      <c r="CA114" s="92"/>
      <c r="CB114" s="92"/>
      <c r="CC114" s="92"/>
      <c r="CD114" s="92"/>
      <c r="CE114" s="92"/>
      <c r="CF114" s="92"/>
      <c r="CG114" s="92"/>
      <c r="CH114" s="92"/>
      <c r="CI114" s="92"/>
      <c r="CJ114" s="92"/>
      <c r="CK114" s="92"/>
      <c r="CL114" s="92"/>
      <c r="CM114" s="92"/>
      <c r="CN114" s="92"/>
      <c r="CO114" s="92"/>
      <c r="CP114" s="92"/>
      <c r="CQ114" s="92"/>
      <c r="CR114" s="92"/>
      <c r="CS114" s="92"/>
      <c r="CT114" s="92"/>
      <c r="CU114" s="92"/>
      <c r="CV114" s="92"/>
      <c r="CW114" s="92"/>
      <c r="CX114" s="92"/>
      <c r="CY114" s="92"/>
      <c r="CZ114" s="92"/>
      <c r="DA114" s="92"/>
      <c r="DB114" s="92"/>
      <c r="DC114" s="92"/>
      <c r="DD114" s="92"/>
      <c r="DE114" s="92"/>
      <c r="DF114" s="92"/>
      <c r="DG114" s="92"/>
      <c r="DH114" s="92"/>
      <c r="DI114" s="92"/>
      <c r="DJ114" s="92"/>
      <c r="DK114" s="92"/>
      <c r="DL114" s="92"/>
      <c r="DM114" s="92"/>
      <c r="DN114" s="92"/>
      <c r="DO114" s="92"/>
      <c r="DP114" s="92"/>
      <c r="DQ114" s="92"/>
      <c r="DR114" s="92"/>
      <c r="DS114" s="92"/>
      <c r="DT114" s="92"/>
      <c r="DU114" s="92"/>
      <c r="DV114" s="92"/>
      <c r="DW114" s="92"/>
      <c r="DX114" s="92"/>
      <c r="DY114" s="92"/>
      <c r="DZ114" s="92"/>
      <c r="EA114" s="92"/>
      <c r="EB114" s="92"/>
      <c r="EC114" s="92"/>
      <c r="ED114" s="92"/>
      <c r="EE114" s="92"/>
      <c r="EF114" s="92"/>
      <c r="EG114" s="92"/>
      <c r="EH114" s="92"/>
      <c r="EI114" s="92"/>
      <c r="EJ114" s="92"/>
      <c r="EK114" s="92"/>
      <c r="EL114" s="92"/>
      <c r="EM114" s="92"/>
      <c r="EN114" s="92"/>
      <c r="EO114" s="92"/>
      <c r="EP114" s="92"/>
      <c r="EQ114" s="92"/>
      <c r="ER114" s="92"/>
      <c r="ES114" s="92"/>
      <c r="ET114" s="92"/>
      <c r="EU114" s="92"/>
      <c r="EV114" s="92"/>
      <c r="EW114" s="92"/>
      <c r="EX114" s="92"/>
      <c r="EY114" s="92"/>
      <c r="EZ114" s="92"/>
      <c r="FA114" s="92"/>
      <c r="FB114" s="92"/>
      <c r="FC114" s="92"/>
      <c r="FD114" s="92"/>
      <c r="FE114" s="92"/>
      <c r="FF114" s="92"/>
      <c r="FG114" s="92"/>
      <c r="FH114" s="92"/>
      <c r="FI114" s="92"/>
      <c r="FJ114" s="92"/>
      <c r="FK114" s="92"/>
      <c r="FL114" s="92"/>
      <c r="FM114" s="92"/>
      <c r="FN114" s="92"/>
      <c r="FO114" s="92"/>
      <c r="FP114" s="92"/>
      <c r="FQ114" s="92"/>
      <c r="FR114" s="92"/>
      <c r="FS114" s="92"/>
      <c r="FT114" s="92"/>
      <c r="FU114" s="92"/>
      <c r="FV114" s="92"/>
      <c r="FW114" s="92"/>
      <c r="FX114" s="92"/>
      <c r="FY114" s="92"/>
      <c r="FZ114" s="92"/>
      <c r="GA114" s="92"/>
      <c r="GB114" s="92"/>
      <c r="GC114" s="92"/>
      <c r="GD114" s="92"/>
      <c r="GE114" s="92"/>
      <c r="GF114" s="92"/>
      <c r="GG114" s="92"/>
      <c r="GH114" s="92"/>
      <c r="GI114" s="92"/>
      <c r="GJ114" s="92"/>
      <c r="GK114" s="92"/>
      <c r="GL114" s="92"/>
      <c r="GM114" s="92"/>
      <c r="GN114" s="92"/>
      <c r="GO114" s="92"/>
      <c r="GP114" s="92"/>
      <c r="GQ114" s="92"/>
      <c r="GR114" s="92"/>
      <c r="GS114" s="92"/>
      <c r="GT114" s="92"/>
      <c r="GU114" s="92"/>
      <c r="GV114" s="92"/>
      <c r="GW114" s="92"/>
      <c r="GX114" s="92"/>
      <c r="GY114" s="92"/>
      <c r="GZ114" s="92"/>
      <c r="HA114" s="92"/>
      <c r="HB114" s="92"/>
      <c r="HC114" s="92"/>
      <c r="HD114" s="92"/>
      <c r="HE114" s="92"/>
      <c r="HF114" s="92"/>
      <c r="HG114" s="92"/>
      <c r="HH114" s="92"/>
    </row>
    <row r="115" spans="1:216" s="93" customFormat="1" ht="13.2" hidden="1" customHeight="1">
      <c r="A115" s="96" t="s">
        <v>375</v>
      </c>
      <c r="B115" s="104">
        <v>130805123</v>
      </c>
      <c r="C115" s="96" t="s">
        <v>842</v>
      </c>
      <c r="D115" s="91"/>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c r="CA115" s="92"/>
      <c r="CB115" s="92"/>
      <c r="CC115" s="92"/>
      <c r="CD115" s="92"/>
      <c r="CE115" s="92"/>
      <c r="CF115" s="92"/>
      <c r="CG115" s="92"/>
      <c r="CH115" s="92"/>
      <c r="CI115" s="92"/>
      <c r="CJ115" s="92"/>
      <c r="CK115" s="92"/>
      <c r="CL115" s="92"/>
      <c r="CM115" s="92"/>
      <c r="CN115" s="92"/>
      <c r="CO115" s="92"/>
      <c r="CP115" s="92"/>
      <c r="CQ115" s="92"/>
      <c r="CR115" s="92"/>
      <c r="CS115" s="92"/>
      <c r="CT115" s="92"/>
      <c r="CU115" s="92"/>
      <c r="CV115" s="92"/>
      <c r="CW115" s="92"/>
      <c r="CX115" s="92"/>
      <c r="CY115" s="92"/>
      <c r="CZ115" s="92"/>
      <c r="DA115" s="92"/>
      <c r="DB115" s="92"/>
      <c r="DC115" s="92"/>
      <c r="DD115" s="92"/>
      <c r="DE115" s="92"/>
      <c r="DF115" s="92"/>
      <c r="DG115" s="92"/>
      <c r="DH115" s="92"/>
      <c r="DI115" s="92"/>
      <c r="DJ115" s="92"/>
      <c r="DK115" s="92"/>
      <c r="DL115" s="92"/>
      <c r="DM115" s="92"/>
      <c r="DN115" s="92"/>
      <c r="DO115" s="92"/>
      <c r="DP115" s="92"/>
      <c r="DQ115" s="92"/>
      <c r="DR115" s="92"/>
      <c r="DS115" s="92"/>
      <c r="DT115" s="92"/>
      <c r="DU115" s="92"/>
      <c r="DV115" s="92"/>
      <c r="DW115" s="92"/>
      <c r="DX115" s="92"/>
      <c r="DY115" s="92"/>
      <c r="DZ115" s="92"/>
      <c r="EA115" s="92"/>
      <c r="EB115" s="92"/>
      <c r="EC115" s="92"/>
      <c r="ED115" s="92"/>
      <c r="EE115" s="92"/>
      <c r="EF115" s="92"/>
      <c r="EG115" s="92"/>
      <c r="EH115" s="92"/>
      <c r="EI115" s="92"/>
      <c r="EJ115" s="92"/>
      <c r="EK115" s="92"/>
      <c r="EL115" s="92"/>
      <c r="EM115" s="92"/>
      <c r="EN115" s="92"/>
      <c r="EO115" s="92"/>
      <c r="EP115" s="92"/>
      <c r="EQ115" s="92"/>
      <c r="ER115" s="92"/>
      <c r="ES115" s="92"/>
      <c r="ET115" s="92"/>
      <c r="EU115" s="92"/>
      <c r="EV115" s="92"/>
      <c r="EW115" s="92"/>
      <c r="EX115" s="92"/>
      <c r="EY115" s="92"/>
      <c r="EZ115" s="92"/>
      <c r="FA115" s="92"/>
      <c r="FB115" s="92"/>
      <c r="FC115" s="92"/>
      <c r="FD115" s="92"/>
      <c r="FE115" s="92"/>
      <c r="FF115" s="92"/>
      <c r="FG115" s="92"/>
      <c r="FH115" s="92"/>
      <c r="FI115" s="92"/>
      <c r="FJ115" s="92"/>
      <c r="FK115" s="92"/>
      <c r="FL115" s="92"/>
      <c r="FM115" s="92"/>
      <c r="FN115" s="92"/>
      <c r="FO115" s="92"/>
      <c r="FP115" s="92"/>
      <c r="FQ115" s="92"/>
      <c r="FR115" s="92"/>
      <c r="FS115" s="92"/>
      <c r="FT115" s="92"/>
      <c r="FU115" s="92"/>
      <c r="FV115" s="92"/>
      <c r="FW115" s="92"/>
      <c r="FX115" s="92"/>
      <c r="FY115" s="92"/>
      <c r="FZ115" s="92"/>
      <c r="GA115" s="92"/>
      <c r="GB115" s="92"/>
      <c r="GC115" s="92"/>
      <c r="GD115" s="92"/>
      <c r="GE115" s="92"/>
      <c r="GF115" s="92"/>
      <c r="GG115" s="92"/>
      <c r="GH115" s="92"/>
      <c r="GI115" s="92"/>
      <c r="GJ115" s="92"/>
      <c r="GK115" s="92"/>
      <c r="GL115" s="92"/>
      <c r="GM115" s="92"/>
      <c r="GN115" s="92"/>
      <c r="GO115" s="92"/>
      <c r="GP115" s="92"/>
      <c r="GQ115" s="92"/>
      <c r="GR115" s="92"/>
      <c r="GS115" s="92"/>
      <c r="GT115" s="92"/>
      <c r="GU115" s="92"/>
      <c r="GV115" s="92"/>
      <c r="GW115" s="92"/>
      <c r="GX115" s="92"/>
      <c r="GY115" s="92"/>
      <c r="GZ115" s="92"/>
      <c r="HA115" s="92"/>
      <c r="HB115" s="92"/>
      <c r="HC115" s="92"/>
      <c r="HD115" s="92"/>
      <c r="HE115" s="92"/>
      <c r="HF115" s="92"/>
      <c r="HG115" s="92"/>
      <c r="HH115" s="92"/>
    </row>
    <row r="116" spans="1:216" s="93" customFormat="1" ht="13.2" hidden="1" customHeight="1">
      <c r="A116" s="96" t="s">
        <v>843</v>
      </c>
      <c r="B116" s="96">
        <v>141620935</v>
      </c>
      <c r="C116" s="96" t="s">
        <v>287</v>
      </c>
      <c r="D116" s="91"/>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c r="CA116" s="92"/>
      <c r="CB116" s="92"/>
      <c r="CC116" s="92"/>
      <c r="CD116" s="92"/>
      <c r="CE116" s="92"/>
      <c r="CF116" s="92"/>
      <c r="CG116" s="92"/>
      <c r="CH116" s="92"/>
      <c r="CI116" s="92"/>
      <c r="CJ116" s="92"/>
      <c r="CK116" s="92"/>
      <c r="CL116" s="92"/>
      <c r="CM116" s="92"/>
      <c r="CN116" s="92"/>
      <c r="CO116" s="92"/>
      <c r="CP116" s="92"/>
      <c r="CQ116" s="92"/>
      <c r="CR116" s="92"/>
      <c r="CS116" s="92"/>
      <c r="CT116" s="92"/>
      <c r="CU116" s="92"/>
      <c r="CV116" s="92"/>
      <c r="CW116" s="92"/>
      <c r="CX116" s="92"/>
      <c r="CY116" s="92"/>
      <c r="CZ116" s="92"/>
      <c r="DA116" s="92"/>
      <c r="DB116" s="92"/>
      <c r="DC116" s="92"/>
      <c r="DD116" s="92"/>
      <c r="DE116" s="92"/>
      <c r="DF116" s="92"/>
      <c r="DG116" s="92"/>
      <c r="DH116" s="92"/>
      <c r="DI116" s="92"/>
      <c r="DJ116" s="92"/>
      <c r="DK116" s="92"/>
      <c r="DL116" s="92"/>
      <c r="DM116" s="92"/>
      <c r="DN116" s="92"/>
      <c r="DO116" s="92"/>
      <c r="DP116" s="92"/>
      <c r="DQ116" s="92"/>
      <c r="DR116" s="92"/>
      <c r="DS116" s="92"/>
      <c r="DT116" s="92"/>
      <c r="DU116" s="92"/>
      <c r="DV116" s="92"/>
      <c r="DW116" s="92"/>
      <c r="DX116" s="92"/>
      <c r="DY116" s="92"/>
      <c r="DZ116" s="92"/>
      <c r="EA116" s="92"/>
      <c r="EB116" s="92"/>
      <c r="EC116" s="92"/>
      <c r="ED116" s="92"/>
      <c r="EE116" s="92"/>
      <c r="EF116" s="92"/>
      <c r="EG116" s="92"/>
      <c r="EH116" s="92"/>
      <c r="EI116" s="92"/>
      <c r="EJ116" s="92"/>
      <c r="EK116" s="92"/>
      <c r="EL116" s="92"/>
      <c r="EM116" s="92"/>
      <c r="EN116" s="92"/>
      <c r="EO116" s="92"/>
      <c r="EP116" s="92"/>
      <c r="EQ116" s="92"/>
      <c r="ER116" s="92"/>
      <c r="ES116" s="92"/>
      <c r="ET116" s="92"/>
      <c r="EU116" s="92"/>
      <c r="EV116" s="92"/>
      <c r="EW116" s="92"/>
      <c r="EX116" s="92"/>
      <c r="EY116" s="92"/>
      <c r="EZ116" s="92"/>
      <c r="FA116" s="92"/>
      <c r="FB116" s="92"/>
      <c r="FC116" s="92"/>
      <c r="FD116" s="92"/>
      <c r="FE116" s="92"/>
      <c r="FF116" s="92"/>
      <c r="FG116" s="92"/>
      <c r="FH116" s="92"/>
      <c r="FI116" s="92"/>
      <c r="FJ116" s="92"/>
      <c r="FK116" s="92"/>
      <c r="FL116" s="92"/>
      <c r="FM116" s="92"/>
      <c r="FN116" s="92"/>
      <c r="FO116" s="92"/>
      <c r="FP116" s="92"/>
      <c r="FQ116" s="92"/>
      <c r="FR116" s="92"/>
      <c r="FS116" s="92"/>
      <c r="FT116" s="92"/>
      <c r="FU116" s="92"/>
      <c r="FV116" s="92"/>
      <c r="FW116" s="92"/>
      <c r="FX116" s="92"/>
      <c r="FY116" s="92"/>
      <c r="FZ116" s="92"/>
      <c r="GA116" s="92"/>
      <c r="GB116" s="92"/>
      <c r="GC116" s="92"/>
      <c r="GD116" s="92"/>
      <c r="GE116" s="92"/>
      <c r="GF116" s="92"/>
      <c r="GG116" s="92"/>
      <c r="GH116" s="92"/>
      <c r="GI116" s="92"/>
      <c r="GJ116" s="92"/>
      <c r="GK116" s="92"/>
      <c r="GL116" s="92"/>
      <c r="GM116" s="92"/>
      <c r="GN116" s="92"/>
      <c r="GO116" s="92"/>
      <c r="GP116" s="92"/>
      <c r="GQ116" s="92"/>
      <c r="GR116" s="92"/>
      <c r="GS116" s="92"/>
      <c r="GT116" s="92"/>
      <c r="GU116" s="92"/>
      <c r="GV116" s="92"/>
      <c r="GW116" s="92"/>
      <c r="GX116" s="92"/>
      <c r="GY116" s="92"/>
      <c r="GZ116" s="92"/>
      <c r="HA116" s="92"/>
      <c r="HB116" s="92"/>
      <c r="HC116" s="92"/>
      <c r="HD116" s="92"/>
      <c r="HE116" s="92"/>
      <c r="HF116" s="92"/>
      <c r="HG116" s="92"/>
      <c r="HH116" s="92"/>
    </row>
    <row r="117" spans="1:216" s="93" customFormat="1" ht="13.2" hidden="1" customHeight="1">
      <c r="A117" s="96" t="s">
        <v>844</v>
      </c>
      <c r="B117" s="104">
        <v>128621304</v>
      </c>
      <c r="C117" s="96" t="s">
        <v>680</v>
      </c>
      <c r="D117" s="91"/>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c r="CA117" s="92"/>
      <c r="CB117" s="92"/>
      <c r="CC117" s="92"/>
      <c r="CD117" s="92"/>
      <c r="CE117" s="92"/>
      <c r="CF117" s="92"/>
      <c r="CG117" s="92"/>
      <c r="CH117" s="92"/>
      <c r="CI117" s="92"/>
      <c r="CJ117" s="92"/>
      <c r="CK117" s="92"/>
      <c r="CL117" s="92"/>
      <c r="CM117" s="92"/>
      <c r="CN117" s="92"/>
      <c r="CO117" s="92"/>
      <c r="CP117" s="92"/>
      <c r="CQ117" s="92"/>
      <c r="CR117" s="92"/>
      <c r="CS117" s="92"/>
      <c r="CT117" s="92"/>
      <c r="CU117" s="92"/>
      <c r="CV117" s="92"/>
      <c r="CW117" s="92"/>
      <c r="CX117" s="92"/>
      <c r="CY117" s="92"/>
      <c r="CZ117" s="92"/>
      <c r="DA117" s="92"/>
      <c r="DB117" s="92"/>
      <c r="DC117" s="92"/>
      <c r="DD117" s="92"/>
      <c r="DE117" s="92"/>
      <c r="DF117" s="92"/>
      <c r="DG117" s="92"/>
      <c r="DH117" s="92"/>
      <c r="DI117" s="92"/>
      <c r="DJ117" s="92"/>
      <c r="DK117" s="92"/>
      <c r="DL117" s="92"/>
      <c r="DM117" s="92"/>
      <c r="DN117" s="92"/>
      <c r="DO117" s="92"/>
      <c r="DP117" s="92"/>
      <c r="DQ117" s="92"/>
      <c r="DR117" s="92"/>
      <c r="DS117" s="92"/>
      <c r="DT117" s="92"/>
      <c r="DU117" s="92"/>
      <c r="DV117" s="92"/>
      <c r="DW117" s="92"/>
      <c r="DX117" s="92"/>
      <c r="DY117" s="92"/>
      <c r="DZ117" s="92"/>
      <c r="EA117" s="92"/>
      <c r="EB117" s="92"/>
      <c r="EC117" s="92"/>
      <c r="ED117" s="92"/>
      <c r="EE117" s="92"/>
      <c r="EF117" s="92"/>
      <c r="EG117" s="92"/>
      <c r="EH117" s="92"/>
      <c r="EI117" s="92"/>
      <c r="EJ117" s="92"/>
      <c r="EK117" s="92"/>
      <c r="EL117" s="92"/>
      <c r="EM117" s="92"/>
      <c r="EN117" s="92"/>
      <c r="EO117" s="92"/>
      <c r="EP117" s="92"/>
      <c r="EQ117" s="92"/>
      <c r="ER117" s="92"/>
      <c r="ES117" s="92"/>
      <c r="ET117" s="92"/>
      <c r="EU117" s="92"/>
      <c r="EV117" s="92"/>
      <c r="EW117" s="92"/>
      <c r="EX117" s="92"/>
      <c r="EY117" s="92"/>
      <c r="EZ117" s="92"/>
      <c r="FA117" s="92"/>
      <c r="FB117" s="92"/>
      <c r="FC117" s="92"/>
      <c r="FD117" s="92"/>
      <c r="FE117" s="92"/>
      <c r="FF117" s="92"/>
      <c r="FG117" s="92"/>
      <c r="FH117" s="92"/>
      <c r="FI117" s="92"/>
      <c r="FJ117" s="92"/>
      <c r="FK117" s="92"/>
      <c r="FL117" s="92"/>
      <c r="FM117" s="92"/>
      <c r="FN117" s="92"/>
      <c r="FO117" s="92"/>
      <c r="FP117" s="92"/>
      <c r="FQ117" s="92"/>
      <c r="FR117" s="92"/>
      <c r="FS117" s="92"/>
      <c r="FT117" s="92"/>
      <c r="FU117" s="92"/>
      <c r="FV117" s="92"/>
      <c r="FW117" s="92"/>
      <c r="FX117" s="92"/>
      <c r="FY117" s="92"/>
      <c r="FZ117" s="92"/>
      <c r="GA117" s="92"/>
      <c r="GB117" s="92"/>
      <c r="GC117" s="92"/>
      <c r="GD117" s="92"/>
      <c r="GE117" s="92"/>
      <c r="GF117" s="92"/>
      <c r="GG117" s="92"/>
      <c r="GH117" s="92"/>
      <c r="GI117" s="92"/>
      <c r="GJ117" s="92"/>
      <c r="GK117" s="92"/>
      <c r="GL117" s="92"/>
      <c r="GM117" s="92"/>
      <c r="GN117" s="92"/>
      <c r="GO117" s="92"/>
      <c r="GP117" s="92"/>
      <c r="GQ117" s="92"/>
      <c r="GR117" s="92"/>
      <c r="GS117" s="92"/>
      <c r="GT117" s="92"/>
      <c r="GU117" s="92"/>
      <c r="GV117" s="92"/>
      <c r="GW117" s="92"/>
      <c r="GX117" s="92"/>
      <c r="GY117" s="92"/>
      <c r="GZ117" s="92"/>
      <c r="HA117" s="92"/>
      <c r="HB117" s="92"/>
      <c r="HC117" s="92"/>
      <c r="HD117" s="92"/>
      <c r="HE117" s="92"/>
      <c r="HF117" s="92"/>
      <c r="HG117" s="92"/>
      <c r="HH117" s="92"/>
    </row>
    <row r="118" spans="1:216" s="93" customFormat="1" ht="13.2" hidden="1" customHeight="1">
      <c r="A118" s="96" t="s">
        <v>845</v>
      </c>
      <c r="B118" s="96">
        <v>141879726</v>
      </c>
      <c r="C118" s="96" t="s">
        <v>573</v>
      </c>
      <c r="D118" s="91"/>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c r="CA118" s="92"/>
      <c r="CB118" s="92"/>
      <c r="CC118" s="92"/>
      <c r="CD118" s="92"/>
      <c r="CE118" s="92"/>
      <c r="CF118" s="92"/>
      <c r="CG118" s="92"/>
      <c r="CH118" s="92"/>
      <c r="CI118" s="92"/>
      <c r="CJ118" s="92"/>
      <c r="CK118" s="92"/>
      <c r="CL118" s="92"/>
      <c r="CM118" s="92"/>
      <c r="CN118" s="92"/>
      <c r="CO118" s="92"/>
      <c r="CP118" s="92"/>
      <c r="CQ118" s="92"/>
      <c r="CR118" s="92"/>
      <c r="CS118" s="92"/>
      <c r="CT118" s="92"/>
      <c r="CU118" s="92"/>
      <c r="CV118" s="92"/>
      <c r="CW118" s="92"/>
      <c r="CX118" s="92"/>
      <c r="CY118" s="92"/>
      <c r="CZ118" s="92"/>
      <c r="DA118" s="92"/>
      <c r="DB118" s="92"/>
      <c r="DC118" s="92"/>
      <c r="DD118" s="92"/>
      <c r="DE118" s="92"/>
      <c r="DF118" s="92"/>
      <c r="DG118" s="92"/>
      <c r="DH118" s="92"/>
      <c r="DI118" s="92"/>
      <c r="DJ118" s="92"/>
      <c r="DK118" s="92"/>
      <c r="DL118" s="92"/>
      <c r="DM118" s="92"/>
      <c r="DN118" s="92"/>
      <c r="DO118" s="92"/>
      <c r="DP118" s="92"/>
      <c r="DQ118" s="92"/>
      <c r="DR118" s="92"/>
      <c r="DS118" s="92"/>
      <c r="DT118" s="92"/>
      <c r="DU118" s="92"/>
      <c r="DV118" s="92"/>
      <c r="DW118" s="92"/>
      <c r="DX118" s="92"/>
      <c r="DY118" s="92"/>
      <c r="DZ118" s="92"/>
      <c r="EA118" s="92"/>
      <c r="EB118" s="92"/>
      <c r="EC118" s="92"/>
      <c r="ED118" s="92"/>
      <c r="EE118" s="92"/>
      <c r="EF118" s="92"/>
      <c r="EG118" s="92"/>
      <c r="EH118" s="92"/>
      <c r="EI118" s="92"/>
      <c r="EJ118" s="92"/>
      <c r="EK118" s="92"/>
      <c r="EL118" s="92"/>
      <c r="EM118" s="92"/>
      <c r="EN118" s="92"/>
      <c r="EO118" s="92"/>
      <c r="EP118" s="92"/>
      <c r="EQ118" s="92"/>
      <c r="ER118" s="92"/>
      <c r="ES118" s="92"/>
      <c r="ET118" s="92"/>
      <c r="EU118" s="92"/>
      <c r="EV118" s="92"/>
      <c r="EW118" s="92"/>
      <c r="EX118" s="92"/>
      <c r="EY118" s="92"/>
      <c r="EZ118" s="92"/>
      <c r="FA118" s="92"/>
      <c r="FB118" s="92"/>
      <c r="FC118" s="92"/>
      <c r="FD118" s="92"/>
      <c r="FE118" s="92"/>
      <c r="FF118" s="92"/>
      <c r="FG118" s="92"/>
      <c r="FH118" s="92"/>
      <c r="FI118" s="92"/>
      <c r="FJ118" s="92"/>
      <c r="FK118" s="92"/>
      <c r="FL118" s="92"/>
      <c r="FM118" s="92"/>
      <c r="FN118" s="92"/>
      <c r="FO118" s="92"/>
      <c r="FP118" s="92"/>
      <c r="FQ118" s="92"/>
      <c r="FR118" s="92"/>
      <c r="FS118" s="92"/>
      <c r="FT118" s="92"/>
      <c r="FU118" s="92"/>
      <c r="FV118" s="92"/>
      <c r="FW118" s="92"/>
      <c r="FX118" s="92"/>
      <c r="FY118" s="92"/>
      <c r="FZ118" s="92"/>
      <c r="GA118" s="92"/>
      <c r="GB118" s="92"/>
      <c r="GC118" s="92"/>
      <c r="GD118" s="92"/>
      <c r="GE118" s="92"/>
      <c r="GF118" s="92"/>
      <c r="GG118" s="92"/>
      <c r="GH118" s="92"/>
      <c r="GI118" s="92"/>
      <c r="GJ118" s="92"/>
      <c r="GK118" s="92"/>
      <c r="GL118" s="92"/>
      <c r="GM118" s="92"/>
      <c r="GN118" s="92"/>
      <c r="GO118" s="92"/>
      <c r="GP118" s="92"/>
      <c r="GQ118" s="92"/>
      <c r="GR118" s="92"/>
      <c r="GS118" s="92"/>
      <c r="GT118" s="92"/>
      <c r="GU118" s="92"/>
      <c r="GV118" s="92"/>
      <c r="GW118" s="92"/>
      <c r="GX118" s="92"/>
      <c r="GY118" s="92"/>
      <c r="GZ118" s="92"/>
      <c r="HA118" s="92"/>
      <c r="HB118" s="92"/>
      <c r="HC118" s="92"/>
      <c r="HD118" s="92"/>
      <c r="HE118" s="92"/>
      <c r="HF118" s="92"/>
      <c r="HG118" s="92"/>
      <c r="HH118" s="92"/>
    </row>
    <row r="119" spans="1:216" s="93" customFormat="1" ht="13.2" hidden="1" customHeight="1">
      <c r="A119" s="96" t="s">
        <v>846</v>
      </c>
      <c r="B119" s="104">
        <v>15485532</v>
      </c>
      <c r="C119" s="96" t="s">
        <v>285</v>
      </c>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c r="CD119" s="92"/>
      <c r="CE119" s="92"/>
      <c r="CF119" s="92"/>
      <c r="CG119" s="92"/>
      <c r="CH119" s="92"/>
      <c r="CI119" s="92"/>
      <c r="CJ119" s="92"/>
      <c r="CK119" s="92"/>
      <c r="CL119" s="92"/>
      <c r="CM119" s="92"/>
      <c r="CN119" s="92"/>
      <c r="CO119" s="92"/>
      <c r="CP119" s="92"/>
      <c r="CQ119" s="92"/>
      <c r="CR119" s="92"/>
      <c r="CS119" s="92"/>
      <c r="CT119" s="92"/>
      <c r="CU119" s="92"/>
      <c r="CV119" s="92"/>
      <c r="CW119" s="92"/>
      <c r="CX119" s="92"/>
      <c r="CY119" s="92"/>
      <c r="CZ119" s="92"/>
      <c r="DA119" s="92"/>
      <c r="DB119" s="92"/>
      <c r="DC119" s="92"/>
      <c r="DD119" s="92"/>
      <c r="DE119" s="92"/>
      <c r="DF119" s="92"/>
      <c r="DG119" s="92"/>
      <c r="DH119" s="92"/>
      <c r="DI119" s="92"/>
      <c r="DJ119" s="92"/>
      <c r="DK119" s="92"/>
      <c r="DL119" s="92"/>
      <c r="DM119" s="92"/>
      <c r="DN119" s="92"/>
      <c r="DO119" s="92"/>
      <c r="DP119" s="92"/>
      <c r="DQ119" s="92"/>
      <c r="DR119" s="92"/>
      <c r="DS119" s="92"/>
      <c r="DT119" s="92"/>
      <c r="DU119" s="92"/>
      <c r="DV119" s="92"/>
      <c r="DW119" s="92"/>
      <c r="DX119" s="92"/>
      <c r="DY119" s="92"/>
      <c r="DZ119" s="92"/>
      <c r="EA119" s="92"/>
      <c r="EB119" s="92"/>
      <c r="EC119" s="92"/>
      <c r="ED119" s="92"/>
      <c r="EE119" s="92"/>
      <c r="EF119" s="92"/>
      <c r="EG119" s="92"/>
      <c r="EH119" s="92"/>
      <c r="EI119" s="92"/>
      <c r="EJ119" s="92"/>
      <c r="EK119" s="92"/>
      <c r="EL119" s="92"/>
      <c r="EM119" s="92"/>
      <c r="EN119" s="92"/>
      <c r="EO119" s="92"/>
      <c r="EP119" s="92"/>
      <c r="EQ119" s="92"/>
      <c r="ER119" s="92"/>
      <c r="ES119" s="92"/>
      <c r="ET119" s="92"/>
      <c r="EU119" s="92"/>
      <c r="EV119" s="92"/>
      <c r="EW119" s="92"/>
      <c r="EX119" s="92"/>
      <c r="EY119" s="92"/>
      <c r="EZ119" s="92"/>
      <c r="FA119" s="92"/>
      <c r="FB119" s="92"/>
      <c r="FC119" s="92"/>
      <c r="FD119" s="92"/>
      <c r="FE119" s="92"/>
      <c r="FF119" s="92"/>
      <c r="FG119" s="92"/>
      <c r="FH119" s="92"/>
      <c r="FI119" s="92"/>
      <c r="FJ119" s="92"/>
      <c r="FK119" s="92"/>
      <c r="FL119" s="92"/>
      <c r="FM119" s="92"/>
      <c r="FN119" s="92"/>
      <c r="FO119" s="92"/>
      <c r="FP119" s="92"/>
      <c r="FQ119" s="92"/>
      <c r="FR119" s="92"/>
      <c r="FS119" s="92"/>
      <c r="FT119" s="92"/>
      <c r="FU119" s="92"/>
      <c r="FV119" s="92"/>
      <c r="FW119" s="92"/>
      <c r="FX119" s="92"/>
      <c r="FY119" s="92"/>
      <c r="FZ119" s="92"/>
      <c r="GA119" s="92"/>
      <c r="GB119" s="92"/>
      <c r="GC119" s="92"/>
      <c r="GD119" s="92"/>
      <c r="GE119" s="92"/>
      <c r="GF119" s="92"/>
      <c r="GG119" s="92"/>
      <c r="GH119" s="92"/>
      <c r="GI119" s="92"/>
      <c r="GJ119" s="92"/>
      <c r="GK119" s="92"/>
      <c r="GL119" s="92"/>
      <c r="GM119" s="92"/>
      <c r="GN119" s="92"/>
      <c r="GO119" s="92"/>
      <c r="GP119" s="92"/>
      <c r="GQ119" s="92"/>
      <c r="GR119" s="92"/>
      <c r="GS119" s="92"/>
      <c r="GT119" s="92"/>
      <c r="GU119" s="92"/>
      <c r="GV119" s="92"/>
      <c r="GW119" s="92"/>
      <c r="GX119" s="92"/>
      <c r="GY119" s="92"/>
      <c r="GZ119" s="92"/>
      <c r="HA119" s="92"/>
      <c r="HB119" s="92"/>
      <c r="HC119" s="92"/>
      <c r="HD119" s="92"/>
      <c r="HE119" s="92"/>
      <c r="HF119" s="92"/>
      <c r="HG119" s="92"/>
      <c r="HH119" s="92"/>
    </row>
    <row r="120" spans="1:216" s="93" customFormat="1" ht="13.2" hidden="1" customHeight="1">
      <c r="A120" s="96" t="s">
        <v>668</v>
      </c>
      <c r="B120" s="96">
        <v>71257815</v>
      </c>
      <c r="C120" s="96" t="s">
        <v>847</v>
      </c>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c r="CA120" s="92"/>
      <c r="CB120" s="92"/>
      <c r="CC120" s="92"/>
      <c r="CD120" s="92"/>
      <c r="CE120" s="92"/>
      <c r="CF120" s="92"/>
      <c r="CG120" s="92"/>
      <c r="CH120" s="92"/>
      <c r="CI120" s="92"/>
      <c r="CJ120" s="92"/>
      <c r="CK120" s="92"/>
      <c r="CL120" s="92"/>
      <c r="CM120" s="92"/>
      <c r="CN120" s="92"/>
      <c r="CO120" s="92"/>
      <c r="CP120" s="92"/>
      <c r="CQ120" s="92"/>
      <c r="CR120" s="92"/>
      <c r="CS120" s="92"/>
      <c r="CT120" s="92"/>
      <c r="CU120" s="92"/>
      <c r="CV120" s="92"/>
      <c r="CW120" s="92"/>
      <c r="CX120" s="92"/>
      <c r="CY120" s="92"/>
      <c r="CZ120" s="92"/>
      <c r="DA120" s="92"/>
      <c r="DB120" s="92"/>
      <c r="DC120" s="92"/>
      <c r="DD120" s="92"/>
      <c r="DE120" s="92"/>
      <c r="DF120" s="92"/>
      <c r="DG120" s="92"/>
      <c r="DH120" s="92"/>
      <c r="DI120" s="92"/>
      <c r="DJ120" s="92"/>
      <c r="DK120" s="92"/>
      <c r="DL120" s="92"/>
      <c r="DM120" s="92"/>
      <c r="DN120" s="92"/>
      <c r="DO120" s="92"/>
      <c r="DP120" s="92"/>
      <c r="DQ120" s="92"/>
      <c r="DR120" s="92"/>
      <c r="DS120" s="92"/>
      <c r="DT120" s="92"/>
      <c r="DU120" s="92"/>
      <c r="DV120" s="92"/>
      <c r="DW120" s="92"/>
      <c r="DX120" s="92"/>
      <c r="DY120" s="92"/>
      <c r="DZ120" s="92"/>
      <c r="EA120" s="92"/>
      <c r="EB120" s="92"/>
      <c r="EC120" s="92"/>
      <c r="ED120" s="92"/>
      <c r="EE120" s="92"/>
      <c r="EF120" s="92"/>
      <c r="EG120" s="92"/>
      <c r="EH120" s="92"/>
      <c r="EI120" s="92"/>
      <c r="EJ120" s="92"/>
      <c r="EK120" s="92"/>
      <c r="EL120" s="92"/>
      <c r="EM120" s="92"/>
      <c r="EN120" s="92"/>
      <c r="EO120" s="92"/>
      <c r="EP120" s="92"/>
      <c r="EQ120" s="92"/>
      <c r="ER120" s="92"/>
      <c r="ES120" s="92"/>
      <c r="ET120" s="92"/>
      <c r="EU120" s="92"/>
      <c r="EV120" s="92"/>
      <c r="EW120" s="92"/>
      <c r="EX120" s="92"/>
      <c r="EY120" s="92"/>
      <c r="EZ120" s="92"/>
      <c r="FA120" s="92"/>
      <c r="FB120" s="92"/>
      <c r="FC120" s="92"/>
      <c r="FD120" s="92"/>
      <c r="FE120" s="92"/>
      <c r="FF120" s="92"/>
      <c r="FG120" s="92"/>
      <c r="FH120" s="92"/>
      <c r="FI120" s="92"/>
      <c r="FJ120" s="92"/>
      <c r="FK120" s="92"/>
      <c r="FL120" s="92"/>
      <c r="FM120" s="92"/>
      <c r="FN120" s="92"/>
      <c r="FO120" s="92"/>
      <c r="FP120" s="92"/>
      <c r="FQ120" s="92"/>
      <c r="FR120" s="92"/>
      <c r="FS120" s="92"/>
      <c r="FT120" s="92"/>
      <c r="FU120" s="92"/>
      <c r="FV120" s="92"/>
      <c r="FW120" s="92"/>
      <c r="FX120" s="92"/>
      <c r="FY120" s="92"/>
      <c r="FZ120" s="92"/>
      <c r="GA120" s="92"/>
      <c r="GB120" s="92"/>
      <c r="GC120" s="92"/>
      <c r="GD120" s="92"/>
      <c r="GE120" s="92"/>
      <c r="GF120" s="92"/>
      <c r="GG120" s="92"/>
      <c r="GH120" s="92"/>
      <c r="GI120" s="92"/>
      <c r="GJ120" s="92"/>
      <c r="GK120" s="92"/>
      <c r="GL120" s="92"/>
      <c r="GM120" s="92"/>
      <c r="GN120" s="92"/>
      <c r="GO120" s="92"/>
      <c r="GP120" s="92"/>
      <c r="GQ120" s="92"/>
      <c r="GR120" s="92"/>
      <c r="GS120" s="92"/>
      <c r="GT120" s="92"/>
      <c r="GU120" s="92"/>
      <c r="GV120" s="92"/>
      <c r="GW120" s="92"/>
      <c r="GX120" s="92"/>
      <c r="GY120" s="92"/>
      <c r="GZ120" s="92"/>
      <c r="HA120" s="92"/>
      <c r="HB120" s="92"/>
      <c r="HC120" s="92"/>
      <c r="HD120" s="92"/>
      <c r="HE120" s="92"/>
      <c r="HF120" s="92"/>
      <c r="HG120" s="92"/>
      <c r="HH120" s="92"/>
    </row>
    <row r="121" spans="1:216" s="93" customFormat="1" ht="13.2" hidden="1" customHeight="1">
      <c r="A121" s="97" t="s">
        <v>180</v>
      </c>
      <c r="B121" s="96">
        <v>9138415</v>
      </c>
      <c r="C121" s="96" t="s">
        <v>285</v>
      </c>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c r="CA121" s="92"/>
      <c r="CB121" s="92"/>
      <c r="CC121" s="92"/>
      <c r="CD121" s="92"/>
      <c r="CE121" s="92"/>
      <c r="CF121" s="92"/>
      <c r="CG121" s="92"/>
      <c r="CH121" s="92"/>
      <c r="CI121" s="92"/>
      <c r="CJ121" s="92"/>
      <c r="CK121" s="92"/>
      <c r="CL121" s="92"/>
      <c r="CM121" s="92"/>
      <c r="CN121" s="92"/>
      <c r="CO121" s="92"/>
      <c r="CP121" s="92"/>
      <c r="CQ121" s="92"/>
      <c r="CR121" s="92"/>
      <c r="CS121" s="92"/>
      <c r="CT121" s="92"/>
      <c r="CU121" s="92"/>
      <c r="CV121" s="92"/>
      <c r="CW121" s="92"/>
      <c r="CX121" s="92"/>
      <c r="CY121" s="92"/>
      <c r="CZ121" s="92"/>
      <c r="DA121" s="92"/>
      <c r="DB121" s="92"/>
      <c r="DC121" s="92"/>
      <c r="DD121" s="92"/>
      <c r="DE121" s="92"/>
      <c r="DF121" s="92"/>
      <c r="DG121" s="92"/>
      <c r="DH121" s="92"/>
      <c r="DI121" s="92"/>
      <c r="DJ121" s="92"/>
      <c r="DK121" s="92"/>
      <c r="DL121" s="92"/>
      <c r="DM121" s="92"/>
      <c r="DN121" s="92"/>
      <c r="DO121" s="92"/>
      <c r="DP121" s="92"/>
      <c r="DQ121" s="92"/>
      <c r="DR121" s="92"/>
      <c r="DS121" s="92"/>
      <c r="DT121" s="92"/>
      <c r="DU121" s="92"/>
      <c r="DV121" s="92"/>
      <c r="DW121" s="92"/>
      <c r="DX121" s="92"/>
      <c r="DY121" s="92"/>
      <c r="DZ121" s="92"/>
      <c r="EA121" s="92"/>
      <c r="EB121" s="92"/>
      <c r="EC121" s="92"/>
      <c r="ED121" s="92"/>
      <c r="EE121" s="92"/>
      <c r="EF121" s="92"/>
      <c r="EG121" s="92"/>
      <c r="EH121" s="92"/>
      <c r="EI121" s="92"/>
      <c r="EJ121" s="92"/>
      <c r="EK121" s="92"/>
      <c r="EL121" s="92"/>
      <c r="EM121" s="92"/>
      <c r="EN121" s="92"/>
      <c r="EO121" s="92"/>
      <c r="EP121" s="92"/>
      <c r="EQ121" s="92"/>
      <c r="ER121" s="92"/>
      <c r="ES121" s="92"/>
      <c r="ET121" s="92"/>
      <c r="EU121" s="92"/>
      <c r="EV121" s="92"/>
      <c r="EW121" s="92"/>
      <c r="EX121" s="92"/>
      <c r="EY121" s="92"/>
      <c r="EZ121" s="92"/>
      <c r="FA121" s="92"/>
      <c r="FB121" s="92"/>
      <c r="FC121" s="92"/>
      <c r="FD121" s="92"/>
      <c r="FE121" s="92"/>
      <c r="FF121" s="92"/>
      <c r="FG121" s="92"/>
      <c r="FH121" s="92"/>
      <c r="FI121" s="92"/>
      <c r="FJ121" s="92"/>
      <c r="FK121" s="92"/>
      <c r="FL121" s="92"/>
      <c r="FM121" s="92"/>
      <c r="FN121" s="92"/>
      <c r="FO121" s="92"/>
      <c r="FP121" s="92"/>
      <c r="FQ121" s="92"/>
      <c r="FR121" s="92"/>
      <c r="FS121" s="92"/>
      <c r="FT121" s="92"/>
      <c r="FU121" s="92"/>
      <c r="FV121" s="92"/>
      <c r="FW121" s="92"/>
      <c r="FX121" s="92"/>
      <c r="FY121" s="92"/>
      <c r="FZ121" s="92"/>
      <c r="GA121" s="92"/>
      <c r="GB121" s="92"/>
      <c r="GC121" s="92"/>
      <c r="GD121" s="92"/>
      <c r="GE121" s="92"/>
      <c r="GF121" s="92"/>
      <c r="GG121" s="92"/>
      <c r="GH121" s="92"/>
      <c r="GI121" s="92"/>
      <c r="GJ121" s="92"/>
      <c r="GK121" s="92"/>
      <c r="GL121" s="92"/>
      <c r="GM121" s="92"/>
      <c r="GN121" s="92"/>
      <c r="GO121" s="92"/>
      <c r="GP121" s="92"/>
      <c r="GQ121" s="92"/>
      <c r="GR121" s="92"/>
      <c r="GS121" s="92"/>
      <c r="GT121" s="92"/>
      <c r="GU121" s="92"/>
      <c r="GV121" s="92"/>
      <c r="GW121" s="92"/>
      <c r="GX121" s="92"/>
      <c r="GY121" s="92"/>
      <c r="GZ121" s="92"/>
      <c r="HA121" s="92"/>
      <c r="HB121" s="92"/>
      <c r="HC121" s="92"/>
      <c r="HD121" s="92"/>
      <c r="HE121" s="92"/>
      <c r="HF121" s="92"/>
      <c r="HG121" s="92"/>
      <c r="HH121" s="92"/>
    </row>
    <row r="122" spans="1:216" s="93" customFormat="1" ht="13.2" hidden="1" customHeight="1">
      <c r="A122" s="97" t="s">
        <v>605</v>
      </c>
      <c r="B122" s="98" t="s">
        <v>848</v>
      </c>
      <c r="C122" s="99"/>
      <c r="D122" s="91"/>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c r="CA122" s="92"/>
      <c r="CB122" s="92"/>
      <c r="CC122" s="92"/>
      <c r="CD122" s="92"/>
      <c r="CE122" s="92"/>
      <c r="CF122" s="92"/>
      <c r="CG122" s="92"/>
      <c r="CH122" s="92"/>
      <c r="CI122" s="92"/>
      <c r="CJ122" s="92"/>
      <c r="CK122" s="92"/>
      <c r="CL122" s="92"/>
      <c r="CM122" s="92"/>
      <c r="CN122" s="92"/>
      <c r="CO122" s="92"/>
      <c r="CP122" s="92"/>
      <c r="CQ122" s="92"/>
      <c r="CR122" s="92"/>
      <c r="CS122" s="92"/>
      <c r="CT122" s="92"/>
      <c r="CU122" s="92"/>
      <c r="CV122" s="92"/>
      <c r="CW122" s="92"/>
      <c r="CX122" s="92"/>
      <c r="CY122" s="92"/>
      <c r="CZ122" s="92"/>
      <c r="DA122" s="92"/>
      <c r="DB122" s="92"/>
      <c r="DC122" s="92"/>
      <c r="DD122" s="92"/>
      <c r="DE122" s="92"/>
      <c r="DF122" s="92"/>
      <c r="DG122" s="92"/>
      <c r="DH122" s="92"/>
      <c r="DI122" s="92"/>
      <c r="DJ122" s="92"/>
      <c r="DK122" s="92"/>
      <c r="DL122" s="92"/>
      <c r="DM122" s="92"/>
      <c r="DN122" s="92"/>
      <c r="DO122" s="92"/>
      <c r="DP122" s="92"/>
      <c r="DQ122" s="92"/>
      <c r="DR122" s="92"/>
      <c r="DS122" s="92"/>
      <c r="DT122" s="92"/>
      <c r="DU122" s="92"/>
      <c r="DV122" s="92"/>
      <c r="DW122" s="92"/>
      <c r="DX122" s="92"/>
      <c r="DY122" s="92"/>
      <c r="DZ122" s="92"/>
      <c r="EA122" s="92"/>
      <c r="EB122" s="92"/>
      <c r="EC122" s="92"/>
      <c r="ED122" s="92"/>
      <c r="EE122" s="92"/>
      <c r="EF122" s="92"/>
      <c r="EG122" s="92"/>
      <c r="EH122" s="92"/>
      <c r="EI122" s="92"/>
      <c r="EJ122" s="92"/>
      <c r="EK122" s="92"/>
      <c r="EL122" s="92"/>
      <c r="EM122" s="92"/>
      <c r="EN122" s="92"/>
      <c r="EO122" s="92"/>
      <c r="EP122" s="92"/>
      <c r="EQ122" s="92"/>
      <c r="ER122" s="92"/>
      <c r="ES122" s="92"/>
      <c r="ET122" s="92"/>
      <c r="EU122" s="92"/>
      <c r="EV122" s="92"/>
      <c r="EW122" s="92"/>
      <c r="EX122" s="92"/>
      <c r="EY122" s="92"/>
      <c r="EZ122" s="92"/>
      <c r="FA122" s="92"/>
      <c r="FB122" s="92"/>
      <c r="FC122" s="92"/>
      <c r="FD122" s="92"/>
      <c r="FE122" s="92"/>
      <c r="FF122" s="92"/>
      <c r="FG122" s="92"/>
      <c r="FH122" s="92"/>
      <c r="FI122" s="92"/>
      <c r="FJ122" s="92"/>
      <c r="FK122" s="92"/>
      <c r="FL122" s="92"/>
      <c r="FM122" s="92"/>
      <c r="FN122" s="92"/>
      <c r="FO122" s="92"/>
      <c r="FP122" s="92"/>
      <c r="FQ122" s="92"/>
      <c r="FR122" s="92"/>
      <c r="FS122" s="92"/>
      <c r="FT122" s="92"/>
      <c r="FU122" s="92"/>
      <c r="FV122" s="92"/>
      <c r="FW122" s="92"/>
      <c r="FX122" s="92"/>
      <c r="FY122" s="92"/>
      <c r="FZ122" s="92"/>
      <c r="GA122" s="92"/>
      <c r="GB122" s="92"/>
      <c r="GC122" s="92"/>
      <c r="GD122" s="92"/>
      <c r="GE122" s="92"/>
      <c r="GF122" s="92"/>
      <c r="GG122" s="92"/>
      <c r="GH122" s="92"/>
      <c r="GI122" s="92"/>
      <c r="GJ122" s="92"/>
      <c r="GK122" s="92"/>
      <c r="GL122" s="92"/>
      <c r="GM122" s="92"/>
      <c r="GN122" s="92"/>
      <c r="GO122" s="92"/>
      <c r="GP122" s="92"/>
      <c r="GQ122" s="92"/>
      <c r="GR122" s="92"/>
      <c r="GS122" s="92"/>
      <c r="GT122" s="92"/>
      <c r="GU122" s="92"/>
      <c r="GV122" s="92"/>
      <c r="GW122" s="92"/>
      <c r="GX122" s="92"/>
      <c r="GY122" s="92"/>
      <c r="GZ122" s="92"/>
      <c r="HA122" s="92"/>
      <c r="HB122" s="92"/>
      <c r="HC122" s="92"/>
      <c r="HD122" s="92"/>
      <c r="HE122" s="92"/>
      <c r="HF122" s="92"/>
      <c r="HG122" s="92"/>
      <c r="HH122" s="92"/>
    </row>
    <row r="123" spans="1:216" s="93" customFormat="1" ht="13.2" hidden="1" customHeight="1">
      <c r="A123" s="105" t="s">
        <v>263</v>
      </c>
      <c r="B123" s="105">
        <v>125287583</v>
      </c>
      <c r="C123" s="99"/>
      <c r="D123" s="91"/>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c r="CD123" s="92"/>
      <c r="CE123" s="92"/>
      <c r="CF123" s="92"/>
      <c r="CG123" s="92"/>
      <c r="CH123" s="92"/>
      <c r="CI123" s="92"/>
      <c r="CJ123" s="92"/>
      <c r="CK123" s="92"/>
      <c r="CL123" s="92"/>
      <c r="CM123" s="92"/>
      <c r="CN123" s="92"/>
      <c r="CO123" s="92"/>
      <c r="CP123" s="92"/>
      <c r="CQ123" s="92"/>
      <c r="CR123" s="92"/>
      <c r="CS123" s="92"/>
      <c r="CT123" s="92"/>
      <c r="CU123" s="92"/>
      <c r="CV123" s="92"/>
      <c r="CW123" s="92"/>
      <c r="CX123" s="92"/>
      <c r="CY123" s="92"/>
      <c r="CZ123" s="92"/>
      <c r="DA123" s="92"/>
      <c r="DB123" s="92"/>
      <c r="DC123" s="92"/>
      <c r="DD123" s="92"/>
      <c r="DE123" s="92"/>
      <c r="DF123" s="92"/>
      <c r="DG123" s="92"/>
      <c r="DH123" s="92"/>
      <c r="DI123" s="92"/>
      <c r="DJ123" s="92"/>
      <c r="DK123" s="92"/>
      <c r="DL123" s="92"/>
      <c r="DM123" s="92"/>
      <c r="DN123" s="92"/>
      <c r="DO123" s="92"/>
      <c r="DP123" s="92"/>
      <c r="DQ123" s="92"/>
      <c r="DR123" s="92"/>
      <c r="DS123" s="92"/>
      <c r="DT123" s="92"/>
      <c r="DU123" s="92"/>
      <c r="DV123" s="92"/>
      <c r="DW123" s="92"/>
      <c r="DX123" s="92"/>
      <c r="DY123" s="92"/>
      <c r="DZ123" s="92"/>
      <c r="EA123" s="92"/>
      <c r="EB123" s="92"/>
      <c r="EC123" s="92"/>
      <c r="ED123" s="92"/>
      <c r="EE123" s="92"/>
      <c r="EF123" s="92"/>
      <c r="EG123" s="92"/>
      <c r="EH123" s="92"/>
      <c r="EI123" s="92"/>
      <c r="EJ123" s="92"/>
      <c r="EK123" s="92"/>
      <c r="EL123" s="92"/>
      <c r="EM123" s="92"/>
      <c r="EN123" s="92"/>
      <c r="EO123" s="92"/>
      <c r="EP123" s="92"/>
      <c r="EQ123" s="92"/>
      <c r="ER123" s="92"/>
      <c r="ES123" s="92"/>
      <c r="ET123" s="92"/>
      <c r="EU123" s="92"/>
      <c r="EV123" s="92"/>
      <c r="EW123" s="92"/>
      <c r="EX123" s="92"/>
      <c r="EY123" s="92"/>
      <c r="EZ123" s="92"/>
      <c r="FA123" s="92"/>
      <c r="FB123" s="92"/>
      <c r="FC123" s="92"/>
      <c r="FD123" s="92"/>
      <c r="FE123" s="92"/>
      <c r="FF123" s="92"/>
      <c r="FG123" s="92"/>
      <c r="FH123" s="92"/>
      <c r="FI123" s="92"/>
      <c r="FJ123" s="92"/>
      <c r="FK123" s="92"/>
      <c r="FL123" s="92"/>
      <c r="FM123" s="92"/>
      <c r="FN123" s="92"/>
      <c r="FO123" s="92"/>
      <c r="FP123" s="92"/>
      <c r="FQ123" s="92"/>
      <c r="FR123" s="92"/>
      <c r="FS123" s="92"/>
      <c r="FT123" s="92"/>
      <c r="FU123" s="92"/>
      <c r="FV123" s="92"/>
      <c r="FW123" s="92"/>
      <c r="FX123" s="92"/>
      <c r="FY123" s="92"/>
      <c r="FZ123" s="92"/>
      <c r="GA123" s="92"/>
      <c r="GB123" s="92"/>
      <c r="GC123" s="92"/>
      <c r="GD123" s="92"/>
      <c r="GE123" s="92"/>
      <c r="GF123" s="92"/>
      <c r="GG123" s="92"/>
      <c r="GH123" s="92"/>
      <c r="GI123" s="92"/>
      <c r="GJ123" s="92"/>
      <c r="GK123" s="92"/>
      <c r="GL123" s="92"/>
      <c r="GM123" s="92"/>
      <c r="GN123" s="92"/>
      <c r="GO123" s="92"/>
      <c r="GP123" s="92"/>
      <c r="GQ123" s="92"/>
      <c r="GR123" s="92"/>
      <c r="GS123" s="92"/>
      <c r="GT123" s="92"/>
      <c r="GU123" s="92"/>
      <c r="GV123" s="92"/>
      <c r="GW123" s="92"/>
      <c r="GX123" s="92"/>
      <c r="GY123" s="92"/>
      <c r="GZ123" s="92"/>
      <c r="HA123" s="92"/>
      <c r="HB123" s="92"/>
      <c r="HC123" s="92"/>
      <c r="HD123" s="92"/>
      <c r="HE123" s="92"/>
      <c r="HF123" s="92"/>
      <c r="HG123" s="92"/>
      <c r="HH123" s="92"/>
    </row>
    <row r="124" spans="1:216" ht="14.4" hidden="1">
      <c r="A124" s="96" t="s">
        <v>849</v>
      </c>
      <c r="B124" s="96">
        <v>89783691</v>
      </c>
      <c r="C124" s="96" t="s">
        <v>657</v>
      </c>
      <c r="D124" s="92"/>
    </row>
    <row r="125" spans="1:216" ht="14.4" hidden="1">
      <c r="A125" s="105" t="s">
        <v>182</v>
      </c>
      <c r="B125" s="105">
        <v>78785394</v>
      </c>
      <c r="C125" s="99"/>
    </row>
    <row r="126" spans="1:216" ht="14.4" hidden="1">
      <c r="A126" s="106" t="s">
        <v>607</v>
      </c>
      <c r="B126" s="96" t="e">
        <v>#N/A</v>
      </c>
      <c r="C126" s="99"/>
    </row>
    <row r="127" spans="1:216" ht="14.4" hidden="1">
      <c r="A127" s="96" t="s">
        <v>183</v>
      </c>
      <c r="B127" s="96">
        <v>141359024</v>
      </c>
      <c r="C127" s="96" t="s">
        <v>657</v>
      </c>
    </row>
    <row r="128" spans="1:216" ht="14.4" hidden="1">
      <c r="A128" s="96" t="s">
        <v>850</v>
      </c>
      <c r="B128" s="96">
        <v>121974161</v>
      </c>
      <c r="C128" s="96" t="s">
        <v>851</v>
      </c>
      <c r="D128" s="92"/>
    </row>
    <row r="129" spans="1:4" ht="14.4" hidden="1">
      <c r="A129" s="96" t="s">
        <v>852</v>
      </c>
      <c r="B129" s="96">
        <v>91742907</v>
      </c>
      <c r="C129" s="96" t="s">
        <v>657</v>
      </c>
      <c r="D129" s="92"/>
    </row>
    <row r="130" spans="1:4" ht="14.4" hidden="1">
      <c r="A130" s="96" t="s">
        <v>575</v>
      </c>
      <c r="B130" s="96">
        <v>120892366</v>
      </c>
      <c r="C130" s="96" t="s">
        <v>576</v>
      </c>
      <c r="D130" s="92"/>
    </row>
    <row r="131" spans="1:4" ht="14.4" hidden="1">
      <c r="A131" s="97" t="s">
        <v>106</v>
      </c>
      <c r="B131" s="98" t="s">
        <v>853</v>
      </c>
      <c r="C131" s="99"/>
    </row>
    <row r="132" spans="1:4" ht="14.4" hidden="1">
      <c r="A132" s="96" t="s">
        <v>854</v>
      </c>
      <c r="B132" s="96">
        <v>141118698</v>
      </c>
      <c r="C132" s="96" t="s">
        <v>573</v>
      </c>
    </row>
    <row r="133" spans="1:4" ht="14.4" hidden="1">
      <c r="A133" s="105" t="s">
        <v>427</v>
      </c>
      <c r="B133" s="105">
        <v>103199925</v>
      </c>
      <c r="C133" s="99"/>
      <c r="D133" s="92"/>
    </row>
    <row r="134" spans="1:4" ht="14.4" hidden="1">
      <c r="A134" s="96" t="s">
        <v>237</v>
      </c>
      <c r="B134" s="101">
        <v>75199413</v>
      </c>
      <c r="C134" s="96" t="s">
        <v>287</v>
      </c>
    </row>
    <row r="135" spans="1:4" ht="14.4" hidden="1">
      <c r="A135" s="97" t="s">
        <v>609</v>
      </c>
      <c r="B135" s="101">
        <v>140694441</v>
      </c>
      <c r="C135" s="103" t="s">
        <v>855</v>
      </c>
    </row>
    <row r="136" spans="1:4" ht="14.4" hidden="1">
      <c r="A136" s="96" t="s">
        <v>856</v>
      </c>
      <c r="B136" s="96">
        <v>117066499</v>
      </c>
      <c r="C136" s="96" t="s">
        <v>635</v>
      </c>
      <c r="D136" s="92"/>
    </row>
    <row r="137" spans="1:4" ht="14.4" hidden="1">
      <c r="A137" s="97" t="s">
        <v>118</v>
      </c>
      <c r="B137" s="96" t="s">
        <v>857</v>
      </c>
      <c r="C137" s="99"/>
    </row>
    <row r="138" spans="1:4" ht="14.4" hidden="1">
      <c r="A138" s="96" t="s">
        <v>858</v>
      </c>
      <c r="B138" s="96">
        <v>125258455</v>
      </c>
      <c r="C138" s="96" t="s">
        <v>657</v>
      </c>
    </row>
    <row r="139" spans="1:4" ht="14.4" hidden="1">
      <c r="A139" s="96" t="s">
        <v>859</v>
      </c>
      <c r="B139" s="96" t="s">
        <v>860</v>
      </c>
      <c r="C139" s="96" t="s">
        <v>657</v>
      </c>
    </row>
    <row r="140" spans="1:4" ht="14.4" hidden="1">
      <c r="A140" s="96" t="s">
        <v>184</v>
      </c>
      <c r="B140" s="96">
        <v>140844759</v>
      </c>
      <c r="C140" s="96" t="s">
        <v>559</v>
      </c>
    </row>
    <row r="141" spans="1:4" ht="14.4" hidden="1">
      <c r="A141" s="96" t="s">
        <v>861</v>
      </c>
      <c r="B141" s="96">
        <v>141904019</v>
      </c>
      <c r="C141" s="96" t="s">
        <v>571</v>
      </c>
    </row>
    <row r="142" spans="1:4" ht="14.4" hidden="1">
      <c r="A142" s="97" t="s">
        <v>119</v>
      </c>
      <c r="B142" s="96">
        <v>140844778</v>
      </c>
      <c r="C142" s="96" t="s">
        <v>613</v>
      </c>
    </row>
    <row r="143" spans="1:4" ht="14.4" hidden="1">
      <c r="A143" s="96" t="s">
        <v>185</v>
      </c>
      <c r="B143" s="96">
        <v>140848828</v>
      </c>
      <c r="C143" s="96" t="s">
        <v>620</v>
      </c>
    </row>
    <row r="144" spans="1:4" ht="14.4" hidden="1">
      <c r="A144" s="96" t="s">
        <v>862</v>
      </c>
      <c r="B144" s="107">
        <v>116388526</v>
      </c>
      <c r="C144" s="96" t="s">
        <v>613</v>
      </c>
      <c r="D144" s="92"/>
    </row>
    <row r="145" spans="1:7" ht="14.4" hidden="1">
      <c r="A145" s="96" t="s">
        <v>863</v>
      </c>
      <c r="B145" s="96">
        <v>117827334</v>
      </c>
      <c r="C145" s="96" t="s">
        <v>657</v>
      </c>
      <c r="D145" s="92"/>
    </row>
    <row r="146" spans="1:7" ht="14.4" hidden="1">
      <c r="A146" s="96" t="s">
        <v>31</v>
      </c>
      <c r="B146" s="96">
        <v>99596058</v>
      </c>
      <c r="C146" s="96" t="s">
        <v>576</v>
      </c>
      <c r="D146" s="92"/>
    </row>
    <row r="147" spans="1:7" ht="14.4" hidden="1">
      <c r="A147" s="96" t="s">
        <v>32</v>
      </c>
      <c r="B147" s="96">
        <v>140697039</v>
      </c>
      <c r="C147" s="96" t="s">
        <v>564</v>
      </c>
    </row>
    <row r="148" spans="1:7" ht="14.4" hidden="1">
      <c r="A148" s="96" t="s">
        <v>715</v>
      </c>
      <c r="B148" s="96">
        <v>117207568</v>
      </c>
      <c r="C148" s="96" t="s">
        <v>571</v>
      </c>
      <c r="D148" s="92"/>
    </row>
    <row r="149" spans="1:7" ht="14.4" hidden="1">
      <c r="A149" s="97" t="s">
        <v>385</v>
      </c>
      <c r="B149" s="96">
        <v>141307921</v>
      </c>
      <c r="C149" s="96" t="s">
        <v>616</v>
      </c>
    </row>
    <row r="150" spans="1:7" ht="14.4" hidden="1">
      <c r="A150" s="96" t="s">
        <v>186</v>
      </c>
      <c r="B150" s="96">
        <v>140696961</v>
      </c>
      <c r="C150" s="96" t="s">
        <v>680</v>
      </c>
    </row>
    <row r="151" spans="1:7" ht="14.4" hidden="1">
      <c r="A151" s="96" t="s">
        <v>864</v>
      </c>
      <c r="B151" s="96">
        <v>140623599</v>
      </c>
      <c r="C151" s="96" t="s">
        <v>570</v>
      </c>
    </row>
    <row r="152" spans="1:7" s="93" customFormat="1" ht="13.8">
      <c r="A152" s="158" t="s">
        <v>865</v>
      </c>
      <c r="B152" s="158">
        <v>141914922</v>
      </c>
      <c r="C152" s="158" t="s">
        <v>866</v>
      </c>
    </row>
    <row r="153" spans="1:7" ht="15" customHeight="1">
      <c r="A153" s="142" t="s">
        <v>187</v>
      </c>
      <c r="B153" s="139">
        <v>140623599</v>
      </c>
      <c r="C153" s="148" t="s">
        <v>867</v>
      </c>
      <c r="G153" s="92" t="e">
        <f>_xlfn.XLOOKUP(A211,#REF!,#REF!)</f>
        <v>#REF!</v>
      </c>
    </row>
    <row r="154" spans="1:7" ht="14.4" hidden="1">
      <c r="A154" s="97" t="s">
        <v>107</v>
      </c>
      <c r="B154" s="96">
        <v>116858297</v>
      </c>
      <c r="C154" s="96" t="s">
        <v>617</v>
      </c>
    </row>
    <row r="155" spans="1:7" ht="14.4" hidden="1">
      <c r="A155" s="96" t="s">
        <v>678</v>
      </c>
      <c r="B155" s="96">
        <v>141358988</v>
      </c>
      <c r="C155" s="96" t="s">
        <v>657</v>
      </c>
    </row>
    <row r="156" spans="1:7" ht="14.4" hidden="1">
      <c r="A156" s="96" t="s">
        <v>676</v>
      </c>
      <c r="B156" s="96">
        <v>99112308</v>
      </c>
      <c r="C156" s="96" t="s">
        <v>677</v>
      </c>
      <c r="D156" s="92"/>
    </row>
    <row r="157" spans="1:7" ht="14.4" hidden="1">
      <c r="A157" s="96" t="s">
        <v>188</v>
      </c>
      <c r="B157" s="96">
        <v>140696975</v>
      </c>
      <c r="C157" s="96" t="s">
        <v>680</v>
      </c>
    </row>
    <row r="158" spans="1:7" ht="14.4" hidden="1">
      <c r="A158" s="96" t="s">
        <v>347</v>
      </c>
      <c r="B158" s="101">
        <v>141502853</v>
      </c>
      <c r="C158" s="96" t="s">
        <v>578</v>
      </c>
    </row>
    <row r="159" spans="1:7" ht="14.4" hidden="1">
      <c r="A159" s="96" t="s">
        <v>868</v>
      </c>
      <c r="B159" s="96" t="s">
        <v>869</v>
      </c>
      <c r="C159" s="96" t="s">
        <v>287</v>
      </c>
    </row>
    <row r="160" spans="1:7" ht="14.4" hidden="1">
      <c r="A160" s="96" t="s">
        <v>870</v>
      </c>
      <c r="B160" s="101">
        <v>91229515</v>
      </c>
      <c r="C160" s="108" t="s">
        <v>625</v>
      </c>
      <c r="D160" s="92"/>
    </row>
    <row r="161" spans="1:7" ht="14.4" hidden="1">
      <c r="A161" s="97" t="s">
        <v>543</v>
      </c>
      <c r="B161" s="96">
        <v>127387473</v>
      </c>
      <c r="C161" s="108" t="s">
        <v>544</v>
      </c>
    </row>
    <row r="162" spans="1:7" ht="14.4" hidden="1">
      <c r="A162" s="96" t="s">
        <v>588</v>
      </c>
      <c r="B162" s="96">
        <v>14246361</v>
      </c>
      <c r="C162" s="96" t="s">
        <v>589</v>
      </c>
      <c r="D162" s="92"/>
    </row>
    <row r="163" spans="1:7" ht="14.4" hidden="1">
      <c r="A163" s="96" t="s">
        <v>115</v>
      </c>
      <c r="B163" s="96">
        <v>140796986</v>
      </c>
      <c r="C163" s="96" t="s">
        <v>604</v>
      </c>
    </row>
    <row r="164" spans="1:7" ht="14.4" hidden="1">
      <c r="A164" s="96" t="s">
        <v>663</v>
      </c>
      <c r="B164" s="96">
        <v>8125926</v>
      </c>
      <c r="C164" s="96" t="s">
        <v>285</v>
      </c>
      <c r="D164" s="92"/>
    </row>
    <row r="165" spans="1:7" ht="14.4" hidden="1">
      <c r="A165" s="96" t="s">
        <v>871</v>
      </c>
      <c r="B165" s="96">
        <v>134209579</v>
      </c>
      <c r="C165" s="108" t="s">
        <v>680</v>
      </c>
    </row>
    <row r="166" spans="1:7" ht="14.4" hidden="1">
      <c r="A166" s="96" t="s">
        <v>872</v>
      </c>
      <c r="B166" s="96">
        <v>97943625</v>
      </c>
      <c r="C166" s="96" t="s">
        <v>680</v>
      </c>
      <c r="D166" s="92"/>
    </row>
    <row r="167" spans="1:7" ht="14.4" hidden="1">
      <c r="A167" s="96" t="s">
        <v>873</v>
      </c>
      <c r="B167" s="96">
        <v>127487784</v>
      </c>
      <c r="C167" s="109" t="s">
        <v>657</v>
      </c>
    </row>
    <row r="168" spans="1:7" ht="12" hidden="1" customHeight="1">
      <c r="A168" s="96" t="s">
        <v>65</v>
      </c>
      <c r="B168" s="96">
        <v>108478006</v>
      </c>
      <c r="C168" s="96" t="s">
        <v>640</v>
      </c>
      <c r="D168" s="92"/>
    </row>
    <row r="169" spans="1:7" ht="14.4" hidden="1">
      <c r="A169" s="96" t="s">
        <v>66</v>
      </c>
      <c r="B169" s="96">
        <v>115018512</v>
      </c>
      <c r="C169" s="96" t="s">
        <v>640</v>
      </c>
      <c r="D169" s="92"/>
    </row>
    <row r="170" spans="1:7" ht="15" customHeight="1">
      <c r="A170" s="142" t="s">
        <v>702</v>
      </c>
      <c r="B170" s="143">
        <v>115018512</v>
      </c>
      <c r="C170" s="148" t="s">
        <v>568</v>
      </c>
      <c r="G170" s="92" t="e">
        <f>_xlfn.XLOOKUP(A228,#REF!,#REF!)</f>
        <v>#REF!</v>
      </c>
    </row>
    <row r="171" spans="1:7" ht="14.4" hidden="1">
      <c r="A171" s="96" t="s">
        <v>874</v>
      </c>
      <c r="B171" s="96">
        <v>129416769</v>
      </c>
      <c r="C171" s="103" t="s">
        <v>680</v>
      </c>
    </row>
    <row r="172" spans="1:7" ht="14.4" hidden="1">
      <c r="A172" s="96" t="s">
        <v>875</v>
      </c>
      <c r="B172" s="96">
        <v>129670382</v>
      </c>
      <c r="C172" s="96" t="s">
        <v>680</v>
      </c>
    </row>
    <row r="173" spans="1:7" ht="14.4" hidden="1">
      <c r="A173" s="96" t="s">
        <v>876</v>
      </c>
      <c r="B173" s="96">
        <v>108510173</v>
      </c>
      <c r="C173" s="96" t="s">
        <v>680</v>
      </c>
    </row>
    <row r="174" spans="1:7" ht="14.4" hidden="1">
      <c r="A174" s="96" t="s">
        <v>877</v>
      </c>
      <c r="B174" s="96">
        <v>128800506</v>
      </c>
      <c r="C174" s="96" t="s">
        <v>680</v>
      </c>
    </row>
    <row r="175" spans="1:7" ht="14.4" hidden="1">
      <c r="A175" s="109" t="s">
        <v>878</v>
      </c>
      <c r="B175" s="96">
        <v>140663253</v>
      </c>
      <c r="C175" s="96" t="s">
        <v>618</v>
      </c>
    </row>
    <row r="176" spans="1:7" ht="15" customHeight="1">
      <c r="A176" s="142" t="s">
        <v>112</v>
      </c>
      <c r="B176" s="144">
        <v>140663253</v>
      </c>
      <c r="C176" s="139" t="s">
        <v>618</v>
      </c>
      <c r="G176" s="92" t="e">
        <f>_xlfn.XLOOKUP(A234,#REF!,#REF!)</f>
        <v>#REF!</v>
      </c>
    </row>
    <row r="177" spans="1:7" ht="14.4" hidden="1">
      <c r="A177" s="100" t="s">
        <v>318</v>
      </c>
      <c r="B177" s="96" t="e">
        <v>#N/A</v>
      </c>
      <c r="C177" s="99"/>
    </row>
    <row r="178" spans="1:7" ht="15" customHeight="1">
      <c r="A178" s="142" t="s">
        <v>699</v>
      </c>
      <c r="B178" s="144">
        <v>123805496</v>
      </c>
      <c r="C178" s="149" t="s">
        <v>564</v>
      </c>
      <c r="G178" s="92" t="e">
        <f>_xlfn.XLOOKUP(A236,#REF!,#REF!)</f>
        <v>#REF!</v>
      </c>
    </row>
    <row r="179" spans="1:7" ht="14.4" hidden="1">
      <c r="A179" s="96" t="s">
        <v>879</v>
      </c>
      <c r="B179" s="96">
        <v>132060253</v>
      </c>
      <c r="C179" s="111" t="s">
        <v>680</v>
      </c>
    </row>
    <row r="180" spans="1:7" ht="14.4" hidden="1">
      <c r="A180" s="96" t="s">
        <v>880</v>
      </c>
      <c r="B180" s="96">
        <v>132125723</v>
      </c>
      <c r="C180" s="96" t="s">
        <v>680</v>
      </c>
    </row>
    <row r="181" spans="1:7" ht="14.4" hidden="1">
      <c r="A181" s="105" t="s">
        <v>881</v>
      </c>
      <c r="B181" s="97" t="s">
        <v>882</v>
      </c>
      <c r="C181" s="112"/>
    </row>
    <row r="182" spans="1:7" ht="14.4" hidden="1">
      <c r="A182" s="96" t="s">
        <v>883</v>
      </c>
      <c r="B182" s="96">
        <v>122761027</v>
      </c>
      <c r="C182" s="96" t="s">
        <v>680</v>
      </c>
      <c r="D182" s="92"/>
    </row>
    <row r="183" spans="1:7" ht="14.4" hidden="1">
      <c r="A183" s="96" t="s">
        <v>688</v>
      </c>
      <c r="B183" s="113">
        <v>141402153</v>
      </c>
      <c r="C183" s="111" t="s">
        <v>664</v>
      </c>
    </row>
    <row r="184" spans="1:7" ht="14.4" hidden="1">
      <c r="A184" s="96" t="s">
        <v>109</v>
      </c>
      <c r="B184" s="114">
        <v>123805496</v>
      </c>
      <c r="C184" s="111" t="s">
        <v>564</v>
      </c>
      <c r="D184" s="92"/>
    </row>
    <row r="185" spans="1:7" ht="14.4" hidden="1">
      <c r="A185" s="96" t="s">
        <v>36</v>
      </c>
      <c r="B185" s="96">
        <v>114929202</v>
      </c>
      <c r="C185" s="111" t="s">
        <v>640</v>
      </c>
      <c r="D185" s="92"/>
    </row>
    <row r="186" spans="1:7" ht="14.4" hidden="1">
      <c r="A186" s="96" t="s">
        <v>221</v>
      </c>
      <c r="B186" s="96">
        <v>115122635</v>
      </c>
      <c r="C186" s="111" t="s">
        <v>578</v>
      </c>
      <c r="D186" s="92"/>
    </row>
    <row r="187" spans="1:7" ht="14.4" hidden="1">
      <c r="A187" s="111" t="s">
        <v>884</v>
      </c>
      <c r="B187" s="96">
        <v>127212203</v>
      </c>
      <c r="C187" s="115" t="s">
        <v>657</v>
      </c>
    </row>
    <row r="188" spans="1:7" ht="14.4" hidden="1">
      <c r="A188" s="111" t="s">
        <v>535</v>
      </c>
      <c r="B188" s="96">
        <v>122370101</v>
      </c>
      <c r="C188" s="115" t="s">
        <v>536</v>
      </c>
      <c r="D188" s="92"/>
    </row>
    <row r="189" spans="1:7" ht="14.4" hidden="1">
      <c r="A189" s="111" t="s">
        <v>885</v>
      </c>
      <c r="B189" s="96">
        <v>131777365</v>
      </c>
      <c r="C189" s="115" t="s">
        <v>680</v>
      </c>
    </row>
    <row r="190" spans="1:7" ht="15" customHeight="1">
      <c r="A190" s="150" t="s">
        <v>189</v>
      </c>
      <c r="B190" s="139">
        <v>121937785</v>
      </c>
      <c r="C190" s="148" t="s">
        <v>578</v>
      </c>
      <c r="G190" s="92" t="e">
        <f>_xlfn.XLOOKUP(A248,#REF!,#REF!)</f>
        <v>#REF!</v>
      </c>
    </row>
    <row r="191" spans="1:7" ht="14.4" hidden="1">
      <c r="A191" s="111" t="s">
        <v>886</v>
      </c>
      <c r="B191" s="96">
        <v>110117612</v>
      </c>
      <c r="C191" s="115" t="s">
        <v>657</v>
      </c>
      <c r="D191" s="92"/>
    </row>
    <row r="192" spans="1:7" ht="14.4" hidden="1">
      <c r="A192" s="111" t="s">
        <v>887</v>
      </c>
      <c r="B192" s="96">
        <v>103887648</v>
      </c>
      <c r="C192" s="115" t="s">
        <v>680</v>
      </c>
      <c r="D192" s="92"/>
    </row>
    <row r="193" spans="1:7" ht="14.4" hidden="1">
      <c r="A193" s="111" t="s">
        <v>888</v>
      </c>
      <c r="B193" s="96">
        <v>113921438</v>
      </c>
      <c r="C193" s="115" t="s">
        <v>680</v>
      </c>
      <c r="D193" s="92"/>
    </row>
    <row r="194" spans="1:7" ht="14.4" hidden="1">
      <c r="A194" s="116" t="s">
        <v>674</v>
      </c>
      <c r="B194" s="98" t="s">
        <v>889</v>
      </c>
      <c r="C194" s="117"/>
    </row>
    <row r="195" spans="1:7" ht="14.4" hidden="1">
      <c r="A195" s="111" t="s">
        <v>890</v>
      </c>
      <c r="B195" s="96" t="s">
        <v>891</v>
      </c>
      <c r="C195" s="96" t="s">
        <v>571</v>
      </c>
    </row>
    <row r="196" spans="1:7" ht="14.4" hidden="1">
      <c r="A196" s="118" t="s">
        <v>275</v>
      </c>
      <c r="B196" s="105">
        <v>116448869</v>
      </c>
      <c r="C196" s="117"/>
      <c r="D196" s="92"/>
    </row>
    <row r="197" spans="1:7" ht="14.4" hidden="1">
      <c r="A197" s="111" t="s">
        <v>892</v>
      </c>
      <c r="B197" s="96">
        <v>94720515</v>
      </c>
      <c r="C197" s="115" t="s">
        <v>657</v>
      </c>
      <c r="D197" s="92"/>
    </row>
    <row r="198" spans="1:7" ht="14.4" hidden="1">
      <c r="A198" s="111" t="s">
        <v>190</v>
      </c>
      <c r="B198" s="96">
        <v>85812175</v>
      </c>
      <c r="C198" s="115" t="s">
        <v>675</v>
      </c>
    </row>
    <row r="199" spans="1:7" ht="14.4" hidden="1">
      <c r="A199" s="96" t="s">
        <v>286</v>
      </c>
      <c r="B199" s="96">
        <v>1487544</v>
      </c>
      <c r="C199" s="115" t="s">
        <v>285</v>
      </c>
    </row>
    <row r="200" spans="1:7" ht="14.4" hidden="1">
      <c r="A200" s="118" t="s">
        <v>191</v>
      </c>
      <c r="B200" s="105">
        <v>95335424</v>
      </c>
      <c r="C200" s="117"/>
      <c r="D200" s="92"/>
    </row>
    <row r="201" spans="1:7" ht="14.4" hidden="1">
      <c r="A201" s="111" t="s">
        <v>110</v>
      </c>
      <c r="B201" s="96">
        <v>136277866</v>
      </c>
      <c r="C201" s="115" t="s">
        <v>597</v>
      </c>
    </row>
    <row r="202" spans="1:7" ht="14.4" hidden="1">
      <c r="A202" s="96" t="s">
        <v>893</v>
      </c>
      <c r="B202" s="96">
        <v>116109626</v>
      </c>
      <c r="C202" s="119" t="s">
        <v>43</v>
      </c>
      <c r="D202" s="92"/>
    </row>
    <row r="203" spans="1:7" ht="14.4" hidden="1">
      <c r="A203" s="111" t="s">
        <v>894</v>
      </c>
      <c r="B203" s="96">
        <v>141819561</v>
      </c>
      <c r="C203" s="108" t="s">
        <v>571</v>
      </c>
    </row>
    <row r="204" spans="1:7" ht="14.4" hidden="1">
      <c r="A204" s="118" t="s">
        <v>895</v>
      </c>
      <c r="B204" s="105">
        <v>8608865</v>
      </c>
      <c r="C204" s="117"/>
      <c r="D204" s="92"/>
    </row>
    <row r="205" spans="1:7" ht="12.75" hidden="1" customHeight="1">
      <c r="A205" s="111" t="s">
        <v>896</v>
      </c>
      <c r="B205" s="96">
        <v>116136586</v>
      </c>
      <c r="C205" s="108" t="s">
        <v>657</v>
      </c>
      <c r="D205" s="92"/>
    </row>
    <row r="206" spans="1:7" ht="15" customHeight="1">
      <c r="A206" s="151" t="s">
        <v>310</v>
      </c>
      <c r="B206" s="139">
        <v>113787454</v>
      </c>
      <c r="C206" s="152" t="s">
        <v>897</v>
      </c>
      <c r="G206" s="92" t="e">
        <f>_xlfn.XLOOKUP(A264,#REF!,#REF!)</f>
        <v>#REF!</v>
      </c>
    </row>
    <row r="207" spans="1:7" ht="12.75" hidden="1" customHeight="1">
      <c r="A207" s="120" t="s">
        <v>192</v>
      </c>
      <c r="B207" s="121">
        <v>96409155</v>
      </c>
      <c r="C207" s="115" t="s">
        <v>578</v>
      </c>
      <c r="D207" s="92"/>
    </row>
    <row r="208" spans="1:7" ht="12.75" hidden="1" customHeight="1">
      <c r="A208" s="120" t="s">
        <v>898</v>
      </c>
      <c r="B208" s="120">
        <v>121937785</v>
      </c>
      <c r="C208" s="120" t="s">
        <v>622</v>
      </c>
      <c r="D208" s="92"/>
    </row>
    <row r="209" spans="1:4" ht="12.75" hidden="1" customHeight="1">
      <c r="A209" s="108" t="s">
        <v>899</v>
      </c>
      <c r="B209" s="108">
        <v>19323128</v>
      </c>
      <c r="C209" s="108" t="s">
        <v>285</v>
      </c>
    </row>
    <row r="210" spans="1:4" ht="12.75" hidden="1" customHeight="1">
      <c r="A210" s="108" t="s">
        <v>900</v>
      </c>
      <c r="B210" s="122">
        <v>73507569</v>
      </c>
      <c r="C210" s="108" t="s">
        <v>597</v>
      </c>
    </row>
    <row r="211" spans="1:4" ht="12.75" hidden="1" customHeight="1">
      <c r="A211" s="111" t="s">
        <v>193</v>
      </c>
      <c r="B211" s="96">
        <v>105813698</v>
      </c>
      <c r="C211" s="115" t="s">
        <v>622</v>
      </c>
      <c r="D211" s="92"/>
    </row>
    <row r="212" spans="1:4" ht="12.75" hidden="1" customHeight="1">
      <c r="A212" s="111" t="s">
        <v>901</v>
      </c>
      <c r="B212" s="120" t="s">
        <v>902</v>
      </c>
      <c r="C212" s="119" t="s">
        <v>571</v>
      </c>
    </row>
    <row r="213" spans="1:4" ht="12.75" hidden="1" customHeight="1">
      <c r="A213" s="111" t="s">
        <v>903</v>
      </c>
      <c r="B213" s="108">
        <v>141904038</v>
      </c>
      <c r="C213" s="115" t="s">
        <v>571</v>
      </c>
    </row>
    <row r="214" spans="1:4" ht="12.75" hidden="1" customHeight="1">
      <c r="A214" s="111" t="s">
        <v>904</v>
      </c>
      <c r="B214" s="108">
        <v>10916249</v>
      </c>
      <c r="C214" s="96" t="s">
        <v>287</v>
      </c>
      <c r="D214" s="92"/>
    </row>
    <row r="215" spans="1:4" ht="12.75" hidden="1" customHeight="1">
      <c r="A215" s="118" t="s">
        <v>266</v>
      </c>
      <c r="B215" s="123">
        <v>14552941</v>
      </c>
      <c r="C215" s="99"/>
      <c r="D215" s="92"/>
    </row>
    <row r="216" spans="1:4" ht="12.75" hidden="1" customHeight="1">
      <c r="A216" s="120" t="s">
        <v>434</v>
      </c>
      <c r="B216" s="108">
        <v>140623552</v>
      </c>
      <c r="C216" s="96" t="s">
        <v>287</v>
      </c>
    </row>
    <row r="217" spans="1:4" ht="12.75" hidden="1" customHeight="1">
      <c r="A217" s="124" t="s">
        <v>642</v>
      </c>
      <c r="B217" s="108" t="e">
        <v>#N/A</v>
      </c>
      <c r="C217" s="99"/>
    </row>
    <row r="218" spans="1:4" ht="12.75" hidden="1" customHeight="1">
      <c r="A218" s="120" t="s">
        <v>905</v>
      </c>
      <c r="B218" s="108">
        <v>113787454</v>
      </c>
      <c r="C218" s="103" t="s">
        <v>43</v>
      </c>
      <c r="D218" s="92"/>
    </row>
    <row r="219" spans="1:4" ht="12.75" hidden="1" customHeight="1">
      <c r="A219" s="120" t="s">
        <v>111</v>
      </c>
      <c r="B219" s="108">
        <v>120653364</v>
      </c>
      <c r="C219" s="96" t="s">
        <v>594</v>
      </c>
      <c r="D219" s="92"/>
    </row>
    <row r="220" spans="1:4" ht="12.75" hidden="1" customHeight="1">
      <c r="A220" s="125" t="s">
        <v>644</v>
      </c>
      <c r="B220" s="126" t="s">
        <v>906</v>
      </c>
      <c r="C220" s="99"/>
    </row>
    <row r="221" spans="1:4" ht="12.75" hidden="1" customHeight="1">
      <c r="A221" s="120" t="s">
        <v>194</v>
      </c>
      <c r="B221" s="108">
        <v>135340657</v>
      </c>
      <c r="C221" s="96" t="s">
        <v>664</v>
      </c>
    </row>
    <row r="222" spans="1:4" ht="12.75" hidden="1" customHeight="1">
      <c r="A222" s="125" t="s">
        <v>645</v>
      </c>
      <c r="B222" s="126" t="s">
        <v>907</v>
      </c>
      <c r="C222" s="99"/>
    </row>
    <row r="223" spans="1:4" ht="12.75" hidden="1" customHeight="1">
      <c r="A223" s="120" t="s">
        <v>404</v>
      </c>
      <c r="B223" s="108">
        <v>118882687</v>
      </c>
      <c r="C223" s="96" t="s">
        <v>597</v>
      </c>
      <c r="D223" s="92"/>
    </row>
    <row r="224" spans="1:4" ht="12.75" hidden="1" customHeight="1">
      <c r="A224" s="120" t="s">
        <v>346</v>
      </c>
      <c r="B224" s="127">
        <v>117974933</v>
      </c>
      <c r="C224" s="96" t="s">
        <v>578</v>
      </c>
      <c r="D224" s="92"/>
    </row>
    <row r="225" spans="1:7" ht="12.75" hidden="1" customHeight="1">
      <c r="A225" s="120" t="s">
        <v>908</v>
      </c>
      <c r="B225" s="108">
        <v>18114443</v>
      </c>
      <c r="C225" s="96" t="s">
        <v>285</v>
      </c>
    </row>
    <row r="226" spans="1:7" ht="15" customHeight="1">
      <c r="A226" s="153" t="s">
        <v>134</v>
      </c>
      <c r="B226" s="143">
        <v>18114443</v>
      </c>
      <c r="C226" s="141" t="s">
        <v>285</v>
      </c>
      <c r="G226" s="92" t="e">
        <f>_xlfn.XLOOKUP(A284,#REF!,#REF!)</f>
        <v>#REF!</v>
      </c>
    </row>
    <row r="227" spans="1:7" ht="12.75" hidden="1" customHeight="1">
      <c r="A227" s="120" t="s">
        <v>909</v>
      </c>
      <c r="B227" s="108" t="s">
        <v>910</v>
      </c>
      <c r="C227" s="111" t="s">
        <v>602</v>
      </c>
    </row>
    <row r="228" spans="1:7" ht="12.75" hidden="1" customHeight="1">
      <c r="A228" s="120" t="s">
        <v>633</v>
      </c>
      <c r="B228" s="108">
        <v>19110768</v>
      </c>
      <c r="C228" s="111" t="s">
        <v>285</v>
      </c>
      <c r="D228" s="92"/>
    </row>
    <row r="229" spans="1:7" ht="12.75" hidden="1" customHeight="1">
      <c r="A229" s="120" t="s">
        <v>911</v>
      </c>
      <c r="B229" s="108">
        <v>131250286</v>
      </c>
      <c r="C229" s="111" t="s">
        <v>680</v>
      </c>
    </row>
    <row r="230" spans="1:7" ht="12.75" hidden="1" customHeight="1">
      <c r="A230" s="120" t="s">
        <v>912</v>
      </c>
      <c r="B230" s="108">
        <v>89847535</v>
      </c>
      <c r="C230" s="111" t="s">
        <v>657</v>
      </c>
      <c r="D230" s="92"/>
    </row>
    <row r="231" spans="1:7" ht="12.75" hidden="1" customHeight="1">
      <c r="A231" s="120" t="s">
        <v>196</v>
      </c>
      <c r="B231" s="108">
        <v>140844586</v>
      </c>
      <c r="C231" s="111" t="s">
        <v>680</v>
      </c>
    </row>
    <row r="232" spans="1:7" ht="12.75" hidden="1" customHeight="1">
      <c r="A232" s="120" t="s">
        <v>913</v>
      </c>
      <c r="B232" s="108">
        <v>117058093</v>
      </c>
      <c r="C232" s="111" t="s">
        <v>817</v>
      </c>
      <c r="D232" s="92"/>
    </row>
    <row r="233" spans="1:7" ht="12.75" hidden="1" customHeight="1">
      <c r="A233" s="125" t="s">
        <v>649</v>
      </c>
      <c r="B233" s="108">
        <v>12825038</v>
      </c>
      <c r="C233" s="111" t="s">
        <v>558</v>
      </c>
      <c r="D233" s="92"/>
    </row>
    <row r="234" spans="1:7" ht="12.75" hidden="1" customHeight="1">
      <c r="A234" s="120" t="s">
        <v>197</v>
      </c>
      <c r="B234" s="108">
        <v>106093463</v>
      </c>
      <c r="C234" s="96" t="s">
        <v>640</v>
      </c>
      <c r="D234" s="92"/>
    </row>
    <row r="235" spans="1:7" ht="12.75" hidden="1" customHeight="1">
      <c r="A235" s="124" t="s">
        <v>650</v>
      </c>
      <c r="B235" s="108" t="e">
        <v>#N/A</v>
      </c>
      <c r="C235" s="99"/>
    </row>
    <row r="236" spans="1:7" ht="12.75" hidden="1" customHeight="1">
      <c r="A236" s="125" t="s">
        <v>216</v>
      </c>
      <c r="B236" s="126" t="s">
        <v>914</v>
      </c>
      <c r="C236" s="99"/>
    </row>
    <row r="237" spans="1:7" ht="12.75" hidden="1" customHeight="1">
      <c r="A237" s="120" t="s">
        <v>67</v>
      </c>
      <c r="B237" s="108">
        <v>122082769</v>
      </c>
      <c r="C237" s="96" t="s">
        <v>562</v>
      </c>
      <c r="D237" s="92"/>
    </row>
    <row r="238" spans="1:7" ht="12.75" hidden="1" customHeight="1">
      <c r="A238" s="120" t="s">
        <v>539</v>
      </c>
      <c r="B238" s="108">
        <v>122045765</v>
      </c>
      <c r="C238" s="96" t="s">
        <v>915</v>
      </c>
      <c r="D238" s="92"/>
    </row>
    <row r="239" spans="1:7" ht="15" customHeight="1">
      <c r="A239" s="153" t="s">
        <v>235</v>
      </c>
      <c r="B239" s="143">
        <v>132423982</v>
      </c>
      <c r="C239" s="141" t="s">
        <v>652</v>
      </c>
      <c r="G239" s="92" t="e">
        <f>_xlfn.XLOOKUP(A297,#REF!,#REF!)</f>
        <v>#REF!</v>
      </c>
    </row>
    <row r="240" spans="1:7" ht="12.75" hidden="1" customHeight="1">
      <c r="A240" s="120" t="s">
        <v>916</v>
      </c>
      <c r="B240" s="108">
        <v>132423982</v>
      </c>
      <c r="C240" s="157" t="s">
        <v>652</v>
      </c>
    </row>
    <row r="241" spans="1:7" ht="12.75" hidden="1" customHeight="1">
      <c r="A241" s="125" t="s">
        <v>202</v>
      </c>
      <c r="B241" s="120">
        <v>140805592</v>
      </c>
      <c r="C241" s="120" t="s">
        <v>680</v>
      </c>
    </row>
    <row r="242" spans="1:7" ht="12.75" hidden="1" customHeight="1">
      <c r="A242" s="125" t="s">
        <v>658</v>
      </c>
      <c r="B242" s="120" t="s">
        <v>917</v>
      </c>
      <c r="C242" s="99"/>
    </row>
    <row r="243" spans="1:7" ht="12.75" hidden="1" customHeight="1">
      <c r="A243" s="108" t="s">
        <v>34</v>
      </c>
      <c r="B243" s="108">
        <v>141365023</v>
      </c>
      <c r="C243" s="96" t="s">
        <v>562</v>
      </c>
    </row>
    <row r="244" spans="1:7" ht="12.75" hidden="1" customHeight="1">
      <c r="A244" s="128" t="s">
        <v>659</v>
      </c>
      <c r="B244" s="126" t="s">
        <v>918</v>
      </c>
      <c r="C244" s="99"/>
    </row>
    <row r="245" spans="1:7" ht="12.75" hidden="1" customHeight="1">
      <c r="A245" s="108" t="s">
        <v>919</v>
      </c>
      <c r="B245" s="108">
        <v>141724889</v>
      </c>
      <c r="C245" s="103" t="s">
        <v>43</v>
      </c>
    </row>
    <row r="246" spans="1:7" ht="12.75" hidden="1" customHeight="1">
      <c r="A246" s="108" t="s">
        <v>203</v>
      </c>
      <c r="B246" s="108">
        <v>140683371</v>
      </c>
      <c r="C246" s="96" t="s">
        <v>568</v>
      </c>
    </row>
    <row r="247" spans="1:7" ht="12.75" hidden="1" customHeight="1">
      <c r="A247" s="96" t="s">
        <v>920</v>
      </c>
      <c r="B247" s="96">
        <v>83070339</v>
      </c>
      <c r="C247" s="109" t="s">
        <v>655</v>
      </c>
      <c r="D247" s="92"/>
    </row>
    <row r="248" spans="1:7" ht="12.75" hidden="1" customHeight="1">
      <c r="A248" s="96" t="s">
        <v>647</v>
      </c>
      <c r="B248" s="111">
        <v>140995321</v>
      </c>
      <c r="C248" s="109" t="s">
        <v>921</v>
      </c>
    </row>
    <row r="249" spans="1:7" s="155" customFormat="1" ht="15" customHeight="1">
      <c r="A249" s="154" t="s">
        <v>922</v>
      </c>
      <c r="B249" s="154">
        <v>116902132</v>
      </c>
      <c r="C249" s="154" t="s">
        <v>923</v>
      </c>
      <c r="G249" s="156" t="e">
        <f>_xlfn.XLOOKUP(A307,#REF!,#REF!)</f>
        <v>#REF!</v>
      </c>
    </row>
    <row r="250" spans="1:7" ht="12.75" hidden="1" customHeight="1">
      <c r="A250" s="97" t="s">
        <v>660</v>
      </c>
      <c r="B250" s="146" t="s">
        <v>924</v>
      </c>
      <c r="C250" s="129"/>
    </row>
    <row r="251" spans="1:7" ht="12.75" hidden="1" customHeight="1">
      <c r="A251" s="96" t="s">
        <v>204</v>
      </c>
      <c r="B251" s="114">
        <v>140844572</v>
      </c>
      <c r="C251" s="109" t="s">
        <v>680</v>
      </c>
    </row>
    <row r="252" spans="1:7" ht="12.75" hidden="1" customHeight="1">
      <c r="A252" s="96" t="s">
        <v>206</v>
      </c>
      <c r="B252" s="96">
        <v>140844848</v>
      </c>
      <c r="C252" s="109" t="s">
        <v>680</v>
      </c>
    </row>
    <row r="253" spans="1:7" ht="12.75" hidden="1" customHeight="1">
      <c r="A253" s="96" t="s">
        <v>537</v>
      </c>
      <c r="B253" s="96">
        <v>123541357</v>
      </c>
      <c r="C253" s="109" t="s">
        <v>538</v>
      </c>
      <c r="D253" s="92"/>
    </row>
    <row r="254" spans="1:7" ht="12.75" hidden="1" customHeight="1">
      <c r="A254" s="97" t="s">
        <v>68</v>
      </c>
      <c r="B254" s="96">
        <v>116915582</v>
      </c>
      <c r="C254" s="109" t="s">
        <v>617</v>
      </c>
      <c r="D254" s="92"/>
    </row>
    <row r="255" spans="1:7" ht="12.75" hidden="1" customHeight="1">
      <c r="A255" s="96" t="s">
        <v>683</v>
      </c>
      <c r="B255" s="96">
        <v>141377771</v>
      </c>
      <c r="C255" s="109" t="s">
        <v>613</v>
      </c>
    </row>
    <row r="256" spans="1:7" ht="12.75" hidden="1" customHeight="1">
      <c r="A256" s="96" t="s">
        <v>207</v>
      </c>
      <c r="B256" s="96">
        <v>141359216</v>
      </c>
      <c r="C256" s="109" t="s">
        <v>571</v>
      </c>
    </row>
    <row r="257" spans="1:4" ht="12.75" hidden="1" customHeight="1">
      <c r="A257" s="96" t="s">
        <v>686</v>
      </c>
      <c r="B257" s="96">
        <v>141381507</v>
      </c>
      <c r="C257" s="109" t="s">
        <v>687</v>
      </c>
    </row>
    <row r="258" spans="1:4" ht="12.75" hidden="1" customHeight="1">
      <c r="A258" s="96" t="s">
        <v>33</v>
      </c>
      <c r="B258" s="96">
        <v>124565057</v>
      </c>
      <c r="C258" s="109" t="s">
        <v>564</v>
      </c>
      <c r="D258" s="92"/>
    </row>
    <row r="259" spans="1:4" ht="12.75" hidden="1" customHeight="1">
      <c r="A259" s="96" t="s">
        <v>208</v>
      </c>
      <c r="B259" s="96">
        <v>140683399</v>
      </c>
      <c r="C259" s="109" t="s">
        <v>568</v>
      </c>
    </row>
    <row r="260" spans="1:4" ht="12.75" hidden="1" customHeight="1">
      <c r="A260" s="96" t="s">
        <v>925</v>
      </c>
      <c r="B260" s="96">
        <v>141745198</v>
      </c>
      <c r="C260" s="130" t="s">
        <v>926</v>
      </c>
    </row>
    <row r="261" spans="1:4" ht="12.75" hidden="1" customHeight="1">
      <c r="A261" s="96" t="s">
        <v>264</v>
      </c>
      <c r="B261" s="96">
        <v>141365061</v>
      </c>
      <c r="C261" s="109" t="s">
        <v>680</v>
      </c>
    </row>
    <row r="262" spans="1:4" ht="12.75" hidden="1" customHeight="1">
      <c r="A262" s="96" t="s">
        <v>681</v>
      </c>
      <c r="B262" s="96">
        <v>141365056</v>
      </c>
      <c r="C262" s="109" t="s">
        <v>657</v>
      </c>
    </row>
    <row r="263" spans="1:4" ht="12.75" hidden="1" customHeight="1">
      <c r="A263" s="97" t="s">
        <v>215</v>
      </c>
      <c r="B263" s="96" t="s">
        <v>927</v>
      </c>
      <c r="C263" s="129"/>
    </row>
    <row r="264" spans="1:4" ht="12.75" hidden="1" customHeight="1">
      <c r="A264" s="96" t="s">
        <v>37</v>
      </c>
      <c r="B264" s="96">
        <v>140742088</v>
      </c>
      <c r="C264" s="109" t="s">
        <v>564</v>
      </c>
    </row>
    <row r="265" spans="1:4" ht="12.75" hidden="1" customHeight="1">
      <c r="A265" s="100" t="s">
        <v>248</v>
      </c>
      <c r="B265" s="96" t="e">
        <v>#N/A</v>
      </c>
      <c r="C265" s="129"/>
    </row>
    <row r="266" spans="1:4" ht="12.75" hidden="1" customHeight="1">
      <c r="A266" s="96" t="s">
        <v>209</v>
      </c>
      <c r="B266" s="96">
        <v>141365164</v>
      </c>
      <c r="C266" s="109" t="s">
        <v>680</v>
      </c>
    </row>
    <row r="267" spans="1:4" ht="12.75" hidden="1" customHeight="1">
      <c r="A267" s="97" t="s">
        <v>670</v>
      </c>
      <c r="B267" s="96">
        <v>14915995</v>
      </c>
      <c r="C267" s="109" t="s">
        <v>671</v>
      </c>
      <c r="D267" s="92"/>
    </row>
    <row r="268" spans="1:4" ht="12.75" hidden="1" customHeight="1">
      <c r="A268" s="96" t="s">
        <v>122</v>
      </c>
      <c r="B268" s="96">
        <v>140805554</v>
      </c>
      <c r="C268" s="109" t="s">
        <v>680</v>
      </c>
    </row>
    <row r="269" spans="1:4" ht="12.75" hidden="1" customHeight="1">
      <c r="A269" s="96" t="s">
        <v>685</v>
      </c>
      <c r="B269" s="96">
        <v>141377752</v>
      </c>
      <c r="C269" s="109" t="s">
        <v>568</v>
      </c>
    </row>
    <row r="270" spans="1:4" ht="12.75" hidden="1" customHeight="1">
      <c r="A270" s="96" t="s">
        <v>928</v>
      </c>
      <c r="B270" s="96">
        <v>122179623</v>
      </c>
      <c r="C270" s="130" t="s">
        <v>929</v>
      </c>
      <c r="D270" s="92"/>
    </row>
    <row r="271" spans="1:4" ht="12.75" hidden="1" customHeight="1">
      <c r="A271" s="96" t="s">
        <v>124</v>
      </c>
      <c r="B271" s="104">
        <v>141169033</v>
      </c>
      <c r="C271" s="109" t="s">
        <v>559</v>
      </c>
    </row>
    <row r="272" spans="1:4" ht="12.75" hidden="1" customHeight="1">
      <c r="A272" s="97" t="s">
        <v>211</v>
      </c>
      <c r="B272" s="108">
        <v>140477664</v>
      </c>
      <c r="C272" s="109" t="s">
        <v>637</v>
      </c>
    </row>
    <row r="273" spans="1:7" ht="12.75" hidden="1" customHeight="1">
      <c r="A273" s="96" t="s">
        <v>212</v>
      </c>
      <c r="B273" s="110">
        <v>116676257</v>
      </c>
      <c r="C273" s="109" t="s">
        <v>578</v>
      </c>
    </row>
    <row r="274" spans="1:7" ht="12.75" hidden="1" customHeight="1">
      <c r="A274" s="96" t="s">
        <v>930</v>
      </c>
      <c r="B274" s="110">
        <v>121736531</v>
      </c>
      <c r="C274" s="109" t="s">
        <v>614</v>
      </c>
      <c r="D274" s="92"/>
    </row>
    <row r="275" spans="1:7" ht="12.75" hidden="1" customHeight="1">
      <c r="A275" s="96" t="s">
        <v>931</v>
      </c>
      <c r="B275" s="110">
        <v>104225357</v>
      </c>
      <c r="C275" s="109" t="s">
        <v>680</v>
      </c>
      <c r="D275" s="92"/>
    </row>
    <row r="276" spans="1:7" ht="12.75" hidden="1" customHeight="1">
      <c r="A276" s="97" t="s">
        <v>672</v>
      </c>
      <c r="B276" s="131">
        <v>141505123</v>
      </c>
      <c r="C276" s="109" t="s">
        <v>635</v>
      </c>
    </row>
    <row r="277" spans="1:7" ht="12.75" hidden="1" customHeight="1">
      <c r="A277" s="96" t="s">
        <v>932</v>
      </c>
      <c r="B277" s="110">
        <v>141169071</v>
      </c>
      <c r="C277" s="109" t="s">
        <v>646</v>
      </c>
    </row>
    <row r="278" spans="1:7" ht="12.75" hidden="1" customHeight="1">
      <c r="A278" s="96" t="s">
        <v>933</v>
      </c>
      <c r="B278" s="109">
        <v>128627083</v>
      </c>
      <c r="C278" s="109" t="s">
        <v>680</v>
      </c>
    </row>
    <row r="279" spans="1:7" ht="12.75" hidden="1" customHeight="1">
      <c r="A279" s="96" t="s">
        <v>125</v>
      </c>
      <c r="B279" s="109">
        <v>141169028</v>
      </c>
      <c r="C279" s="109" t="s">
        <v>657</v>
      </c>
    </row>
    <row r="280" spans="1:7" ht="12.75" hidden="1" customHeight="1">
      <c r="A280" s="96" t="s">
        <v>934</v>
      </c>
      <c r="B280" s="110" t="s">
        <v>935</v>
      </c>
      <c r="C280" s="109" t="s">
        <v>287</v>
      </c>
    </row>
    <row r="281" spans="1:7" ht="12.75" hidden="1" customHeight="1">
      <c r="A281" s="97" t="s">
        <v>682</v>
      </c>
      <c r="B281" s="109" t="e">
        <v>#N/A</v>
      </c>
      <c r="C281" s="129"/>
    </row>
    <row r="282" spans="1:7" ht="12.75" hidden="1" customHeight="1">
      <c r="A282" s="96" t="s">
        <v>936</v>
      </c>
      <c r="B282" s="109">
        <v>10974059</v>
      </c>
      <c r="C282" s="109" t="s">
        <v>937</v>
      </c>
      <c r="D282" s="92"/>
    </row>
    <row r="283" spans="1:7" ht="12.75" hidden="1" customHeight="1">
      <c r="A283" s="96" t="s">
        <v>938</v>
      </c>
      <c r="B283" s="109">
        <v>14793103</v>
      </c>
      <c r="C283" s="109" t="s">
        <v>673</v>
      </c>
      <c r="D283" s="92"/>
    </row>
    <row r="284" spans="1:7" ht="12.75" hidden="1" customHeight="1">
      <c r="A284" s="96" t="s">
        <v>939</v>
      </c>
      <c r="B284" s="109">
        <v>115958227</v>
      </c>
      <c r="C284" s="109" t="s">
        <v>657</v>
      </c>
      <c r="D284" s="92"/>
    </row>
    <row r="285" spans="1:7" ht="12.75" hidden="1" customHeight="1">
      <c r="A285" s="96" t="s">
        <v>601</v>
      </c>
      <c r="B285" s="109">
        <v>103717582</v>
      </c>
      <c r="C285" s="109" t="s">
        <v>602</v>
      </c>
      <c r="D285" s="92"/>
    </row>
    <row r="286" spans="1:7" ht="12.75" hidden="1" customHeight="1">
      <c r="A286" s="96" t="s">
        <v>126</v>
      </c>
      <c r="B286" s="109">
        <v>140805568</v>
      </c>
      <c r="C286" s="109" t="s">
        <v>680</v>
      </c>
    </row>
    <row r="287" spans="1:7" ht="15" customHeight="1">
      <c r="A287" s="142" t="s">
        <v>711</v>
      </c>
      <c r="B287" s="139">
        <v>76647648</v>
      </c>
      <c r="C287" s="148" t="s">
        <v>568</v>
      </c>
      <c r="G287" s="92" t="e">
        <f>_xlfn.XLOOKUP(A345,#REF!,#REF!)</f>
        <v>#REF!</v>
      </c>
    </row>
    <row r="288" spans="1:7" ht="12.75" hidden="1" customHeight="1">
      <c r="A288" s="96" t="s">
        <v>130</v>
      </c>
      <c r="B288" s="147">
        <v>76647648</v>
      </c>
      <c r="C288" s="109" t="s">
        <v>640</v>
      </c>
    </row>
    <row r="289" spans="1:7" ht="12.75" hidden="1" customHeight="1">
      <c r="A289" s="97" t="s">
        <v>213</v>
      </c>
      <c r="B289" s="109">
        <v>140846698</v>
      </c>
      <c r="C289" s="109" t="s">
        <v>680</v>
      </c>
    </row>
    <row r="290" spans="1:7" ht="12.75" hidden="1" customHeight="1">
      <c r="A290" s="96" t="s">
        <v>634</v>
      </c>
      <c r="B290" s="110">
        <v>141246094</v>
      </c>
      <c r="C290" s="109" t="s">
        <v>635</v>
      </c>
    </row>
    <row r="291" spans="1:7" ht="12.75" hidden="1" customHeight="1">
      <c r="A291" s="96" t="s">
        <v>439</v>
      </c>
      <c r="B291" s="110">
        <v>141365042</v>
      </c>
      <c r="C291" s="109" t="s">
        <v>680</v>
      </c>
    </row>
    <row r="292" spans="1:7" ht="12.75" hidden="1" customHeight="1">
      <c r="A292" s="97" t="s">
        <v>720</v>
      </c>
      <c r="B292" s="132" t="s">
        <v>940</v>
      </c>
      <c r="C292" s="129"/>
    </row>
    <row r="293" spans="1:7" ht="12.75" hidden="1" customHeight="1">
      <c r="A293" s="96" t="s">
        <v>941</v>
      </c>
      <c r="B293" s="110">
        <v>141804768</v>
      </c>
      <c r="C293" s="109" t="s">
        <v>620</v>
      </c>
    </row>
    <row r="294" spans="1:7" ht="12.75" hidden="1" customHeight="1">
      <c r="A294" s="96" t="s">
        <v>120</v>
      </c>
      <c r="B294" s="109">
        <v>141365037</v>
      </c>
      <c r="C294" s="109" t="s">
        <v>613</v>
      </c>
    </row>
    <row r="295" spans="1:7" ht="12.75" hidden="1" customHeight="1">
      <c r="A295" s="105" t="s">
        <v>942</v>
      </c>
      <c r="B295" s="133">
        <v>141804716</v>
      </c>
      <c r="C295" s="129"/>
    </row>
    <row r="296" spans="1:7" ht="12.75" hidden="1" customHeight="1">
      <c r="A296" s="96" t="s">
        <v>943</v>
      </c>
      <c r="B296" s="110">
        <v>140848814</v>
      </c>
      <c r="C296" s="109" t="s">
        <v>613</v>
      </c>
    </row>
    <row r="297" spans="1:7" ht="12.75" hidden="1" customHeight="1">
      <c r="A297" s="96" t="s">
        <v>131</v>
      </c>
      <c r="B297" s="109">
        <v>131431131</v>
      </c>
      <c r="C297" s="109" t="s">
        <v>640</v>
      </c>
    </row>
    <row r="298" spans="1:7" ht="12.75" hidden="1" customHeight="1">
      <c r="A298" s="96" t="s">
        <v>623</v>
      </c>
      <c r="B298" s="109">
        <v>140859482</v>
      </c>
      <c r="C298" s="109" t="s">
        <v>624</v>
      </c>
    </row>
    <row r="299" spans="1:7" ht="12.75" hidden="1" customHeight="1">
      <c r="A299" s="105" t="s">
        <v>165</v>
      </c>
      <c r="B299" s="133">
        <v>122771611</v>
      </c>
      <c r="C299" s="129"/>
      <c r="D299" s="92"/>
    </row>
    <row r="300" spans="1:7" ht="12.75" hidden="1" customHeight="1">
      <c r="A300" s="96" t="s">
        <v>665</v>
      </c>
      <c r="B300" s="131">
        <v>141228922</v>
      </c>
      <c r="C300" s="109" t="s">
        <v>666</v>
      </c>
    </row>
    <row r="301" spans="1:7" ht="12.75" hidden="1" customHeight="1">
      <c r="A301" s="96" t="s">
        <v>944</v>
      </c>
      <c r="B301" s="145">
        <v>102087073</v>
      </c>
      <c r="C301" s="109" t="s">
        <v>597</v>
      </c>
      <c r="D301" s="92"/>
    </row>
    <row r="302" spans="1:7" ht="15" customHeight="1">
      <c r="A302" s="148" t="s">
        <v>38</v>
      </c>
      <c r="B302" s="148">
        <v>98845403</v>
      </c>
      <c r="C302" s="148" t="s">
        <v>945</v>
      </c>
      <c r="G302" s="92" t="e">
        <f>_xlfn.XLOOKUP(A360,#REF!,#REF!)</f>
        <v>#REF!</v>
      </c>
    </row>
    <row r="303" spans="1:7" ht="12.75" hidden="1" customHeight="1">
      <c r="A303" s="96" t="s">
        <v>662</v>
      </c>
      <c r="B303" s="147">
        <v>141179467</v>
      </c>
      <c r="C303" s="109" t="s">
        <v>625</v>
      </c>
    </row>
    <row r="304" spans="1:7" ht="12.75" hidden="1" customHeight="1">
      <c r="A304" s="96" t="s">
        <v>590</v>
      </c>
      <c r="B304" s="109">
        <v>11196769</v>
      </c>
      <c r="C304" s="109" t="s">
        <v>591</v>
      </c>
      <c r="D304" s="92"/>
    </row>
    <row r="305" spans="1:7" ht="12.75" hidden="1" customHeight="1">
      <c r="A305" s="96" t="s">
        <v>946</v>
      </c>
      <c r="B305" s="109">
        <v>12637107</v>
      </c>
      <c r="C305" s="109" t="s">
        <v>589</v>
      </c>
    </row>
    <row r="306" spans="1:7" ht="15" customHeight="1">
      <c r="A306" s="142" t="s">
        <v>721</v>
      </c>
      <c r="B306" s="142">
        <v>12637107</v>
      </c>
      <c r="C306" s="139" t="s">
        <v>673</v>
      </c>
      <c r="G306" s="92" t="e">
        <f>_xlfn.XLOOKUP(A364,#REF!,#REF!)</f>
        <v>#REF!</v>
      </c>
    </row>
    <row r="307" spans="1:7" ht="12.75" hidden="1" customHeight="1">
      <c r="A307" s="96" t="s">
        <v>376</v>
      </c>
      <c r="B307" s="110">
        <v>140696356</v>
      </c>
      <c r="C307" s="109" t="s">
        <v>544</v>
      </c>
    </row>
    <row r="308" spans="1:7" ht="12.75" hidden="1" customHeight="1">
      <c r="A308" s="96" t="s">
        <v>214</v>
      </c>
      <c r="B308" s="109">
        <v>109957631</v>
      </c>
      <c r="C308" s="109" t="s">
        <v>947</v>
      </c>
      <c r="D308" s="92"/>
    </row>
    <row r="309" spans="1:7" ht="12.75" hidden="1" customHeight="1">
      <c r="A309" s="96" t="s">
        <v>70</v>
      </c>
      <c r="B309" s="109">
        <v>141365126</v>
      </c>
      <c r="C309" s="109" t="s">
        <v>680</v>
      </c>
    </row>
    <row r="310" spans="1:7" ht="12.75" hidden="1" customHeight="1">
      <c r="A310" s="96" t="s">
        <v>948</v>
      </c>
      <c r="B310" s="110">
        <v>135762195</v>
      </c>
      <c r="C310" s="109" t="s">
        <v>576</v>
      </c>
    </row>
    <row r="311" spans="1:7" ht="12.75" hidden="1" customHeight="1">
      <c r="A311" s="100" t="s">
        <v>361</v>
      </c>
      <c r="B311" s="109" t="e">
        <v>#N/A</v>
      </c>
      <c r="C311" s="129"/>
    </row>
    <row r="312" spans="1:7" ht="12.75" hidden="1" customHeight="1">
      <c r="A312" s="100" t="s">
        <v>311</v>
      </c>
      <c r="B312" s="110" t="e">
        <v>#N/A</v>
      </c>
      <c r="C312" s="129"/>
    </row>
    <row r="313" spans="1:7" ht="15" customHeight="1">
      <c r="A313" s="142" t="s">
        <v>132</v>
      </c>
      <c r="B313" s="140">
        <v>135762195</v>
      </c>
      <c r="C313" s="139" t="s">
        <v>576</v>
      </c>
      <c r="G313" s="92" t="e">
        <f>_xlfn.XLOOKUP(A371,#REF!,#REF!)</f>
        <v>#REF!</v>
      </c>
    </row>
    <row r="314" spans="1:7" ht="12.75" hidden="1" customHeight="1">
      <c r="A314" s="96" t="s">
        <v>44</v>
      </c>
      <c r="B314" s="109">
        <v>140806218</v>
      </c>
      <c r="C314" s="109" t="s">
        <v>564</v>
      </c>
    </row>
    <row r="315" spans="1:7" ht="12.75" hidden="1" customHeight="1">
      <c r="A315" s="96" t="s">
        <v>71</v>
      </c>
      <c r="B315" s="109">
        <v>81379273</v>
      </c>
      <c r="C315" s="109" t="s">
        <v>43</v>
      </c>
      <c r="D315" s="92"/>
    </row>
    <row r="316" spans="1:7" ht="12.75" hidden="1" customHeight="1">
      <c r="A316" s="96" t="s">
        <v>949</v>
      </c>
      <c r="B316" s="109">
        <v>131376633</v>
      </c>
      <c r="C316" s="109" t="s">
        <v>680</v>
      </c>
    </row>
    <row r="317" spans="1:7" ht="12.75" hidden="1" customHeight="1">
      <c r="A317" s="97" t="s">
        <v>725</v>
      </c>
      <c r="B317" s="109" t="s">
        <v>950</v>
      </c>
      <c r="C317" s="129"/>
    </row>
    <row r="318" spans="1:7" ht="12.75" hidden="1" customHeight="1">
      <c r="A318" s="96" t="s">
        <v>951</v>
      </c>
      <c r="B318" s="109">
        <v>118046382</v>
      </c>
      <c r="C318" s="109" t="s">
        <v>680</v>
      </c>
      <c r="D318" s="92"/>
    </row>
    <row r="319" spans="1:7" ht="12.75" hidden="1" customHeight="1">
      <c r="A319" s="96" t="s">
        <v>72</v>
      </c>
      <c r="B319" s="109">
        <v>140764706</v>
      </c>
      <c r="C319" s="109" t="s">
        <v>568</v>
      </c>
    </row>
    <row r="320" spans="1:7" ht="12.75" hidden="1" customHeight="1">
      <c r="A320" s="96" t="s">
        <v>952</v>
      </c>
      <c r="B320" s="109">
        <v>141809441</v>
      </c>
      <c r="C320" s="109" t="s">
        <v>953</v>
      </c>
    </row>
    <row r="321" spans="1:4" ht="12.75" hidden="1" customHeight="1">
      <c r="A321" s="96" t="s">
        <v>323</v>
      </c>
      <c r="B321" s="110">
        <v>141322471</v>
      </c>
      <c r="C321" s="109" t="s">
        <v>606</v>
      </c>
    </row>
    <row r="322" spans="1:4" ht="12.75" hidden="1" customHeight="1">
      <c r="A322" s="105" t="s">
        <v>324</v>
      </c>
      <c r="B322" s="134">
        <v>83935096</v>
      </c>
      <c r="C322" s="129"/>
      <c r="D322" s="92"/>
    </row>
    <row r="323" spans="1:4" ht="12.75" hidden="1" customHeight="1">
      <c r="A323" s="97" t="s">
        <v>726</v>
      </c>
      <c r="B323" s="135" t="s">
        <v>954</v>
      </c>
      <c r="C323" s="129"/>
    </row>
    <row r="324" spans="1:4" ht="12.75" hidden="1" customHeight="1">
      <c r="A324" s="96" t="s">
        <v>217</v>
      </c>
      <c r="B324" s="109">
        <v>140742177</v>
      </c>
      <c r="C324" s="109" t="s">
        <v>562</v>
      </c>
    </row>
    <row r="325" spans="1:4" ht="12.75" hidden="1" customHeight="1">
      <c r="A325" s="96" t="s">
        <v>955</v>
      </c>
      <c r="B325" s="109">
        <v>131137678</v>
      </c>
      <c r="C325" s="109" t="s">
        <v>680</v>
      </c>
    </row>
    <row r="326" spans="1:4" ht="12.75" hidden="1" customHeight="1">
      <c r="A326" s="108" t="s">
        <v>603</v>
      </c>
      <c r="B326" s="110">
        <v>19255078</v>
      </c>
      <c r="C326" s="109" t="s">
        <v>285</v>
      </c>
    </row>
    <row r="327" spans="1:4" ht="12.75" hidden="1" customHeight="1">
      <c r="A327" s="96" t="s">
        <v>218</v>
      </c>
      <c r="B327" s="109">
        <v>116853914</v>
      </c>
      <c r="C327" s="109" t="s">
        <v>722</v>
      </c>
    </row>
    <row r="328" spans="1:4" ht="12.75" hidden="1" customHeight="1">
      <c r="A328" s="96" t="s">
        <v>133</v>
      </c>
      <c r="B328" s="109">
        <v>140846684</v>
      </c>
      <c r="C328" s="109" t="s">
        <v>680</v>
      </c>
    </row>
    <row r="329" spans="1:4" ht="12.75" hidden="1" customHeight="1">
      <c r="A329" s="105" t="s">
        <v>121</v>
      </c>
      <c r="B329" s="134">
        <v>141377709</v>
      </c>
      <c r="C329" s="129"/>
    </row>
    <row r="330" spans="1:4" ht="12.75" hidden="1" customHeight="1">
      <c r="A330" s="96" t="s">
        <v>956</v>
      </c>
      <c r="B330" s="109">
        <v>89362471</v>
      </c>
      <c r="C330" s="109" t="s">
        <v>657</v>
      </c>
      <c r="D330" s="92"/>
    </row>
    <row r="331" spans="1:4" ht="12.75" hidden="1" customHeight="1">
      <c r="A331" s="102" t="s">
        <v>306</v>
      </c>
      <c r="B331" s="109" t="s">
        <v>792</v>
      </c>
      <c r="C331" s="129"/>
    </row>
    <row r="332" spans="1:4" ht="12.75" hidden="1" customHeight="1">
      <c r="A332" s="96" t="s">
        <v>957</v>
      </c>
      <c r="B332" s="136">
        <v>100398341</v>
      </c>
      <c r="C332" s="109" t="s">
        <v>651</v>
      </c>
      <c r="D332" s="92"/>
    </row>
    <row r="333" spans="1:4" ht="12.75" hidden="1" customHeight="1">
      <c r="A333" s="96" t="s">
        <v>958</v>
      </c>
      <c r="B333" s="109">
        <v>101712007</v>
      </c>
      <c r="C333" s="109" t="s">
        <v>651</v>
      </c>
      <c r="D333" s="92"/>
    </row>
    <row r="334" spans="1:4" ht="12.75" hidden="1" customHeight="1">
      <c r="A334" s="96" t="s">
        <v>136</v>
      </c>
      <c r="B334" s="109">
        <v>141250908</v>
      </c>
      <c r="C334" s="109" t="s">
        <v>635</v>
      </c>
    </row>
    <row r="335" spans="1:4" ht="12.75" hidden="1" customHeight="1">
      <c r="A335" s="96" t="s">
        <v>73</v>
      </c>
      <c r="B335" s="109">
        <v>135325259</v>
      </c>
      <c r="C335" s="109" t="s">
        <v>597</v>
      </c>
    </row>
    <row r="336" spans="1:4" ht="12.75" hidden="1" customHeight="1">
      <c r="A336" s="100" t="s">
        <v>418</v>
      </c>
      <c r="B336" s="109" t="e">
        <v>#N/A</v>
      </c>
      <c r="C336" s="129"/>
    </row>
    <row r="337" spans="1:4" ht="12.75" hidden="1" customHeight="1">
      <c r="A337" s="96" t="s">
        <v>74</v>
      </c>
      <c r="B337" s="131">
        <v>141365089</v>
      </c>
      <c r="C337" s="109" t="s">
        <v>657</v>
      </c>
    </row>
    <row r="338" spans="1:4" ht="12.75" hidden="1" customHeight="1">
      <c r="A338" s="96" t="s">
        <v>959</v>
      </c>
      <c r="B338" s="109">
        <v>141817533</v>
      </c>
      <c r="C338" s="109" t="s">
        <v>620</v>
      </c>
    </row>
    <row r="339" spans="1:4" ht="12.75" hidden="1" customHeight="1">
      <c r="A339" s="96" t="s">
        <v>960</v>
      </c>
      <c r="B339" s="109">
        <v>137353583</v>
      </c>
      <c r="C339" s="109" t="s">
        <v>597</v>
      </c>
    </row>
    <row r="340" spans="1:4" ht="12.75" hidden="1" customHeight="1">
      <c r="A340" s="97" t="s">
        <v>692</v>
      </c>
      <c r="B340" s="109" t="s">
        <v>961</v>
      </c>
      <c r="C340" s="129"/>
    </row>
    <row r="341" spans="1:4" ht="12.75" hidden="1" customHeight="1">
      <c r="A341" s="96" t="s">
        <v>168</v>
      </c>
      <c r="B341" s="109">
        <v>137114773</v>
      </c>
      <c r="C341" s="109" t="s">
        <v>568</v>
      </c>
    </row>
    <row r="342" spans="1:4" ht="12.75" hidden="1" customHeight="1">
      <c r="A342" s="97" t="s">
        <v>730</v>
      </c>
      <c r="B342" s="109" t="s">
        <v>962</v>
      </c>
      <c r="C342" s="129"/>
    </row>
    <row r="343" spans="1:4" ht="12.75" hidden="1" customHeight="1">
      <c r="A343" s="96" t="s">
        <v>46</v>
      </c>
      <c r="B343" s="109">
        <v>140844618</v>
      </c>
      <c r="C343" s="109" t="s">
        <v>680</v>
      </c>
    </row>
    <row r="344" spans="1:4" ht="12.75" hidden="1" customHeight="1">
      <c r="A344" s="96" t="s">
        <v>422</v>
      </c>
      <c r="B344" s="109">
        <v>121668462</v>
      </c>
      <c r="C344" s="109" t="s">
        <v>963</v>
      </c>
      <c r="D344" s="92"/>
    </row>
    <row r="345" spans="1:4" ht="12.75" hidden="1" customHeight="1">
      <c r="A345" s="97" t="s">
        <v>733</v>
      </c>
      <c r="B345" s="135" t="s">
        <v>964</v>
      </c>
      <c r="C345" s="129"/>
    </row>
    <row r="346" spans="1:4" ht="12.75" hidden="1" customHeight="1">
      <c r="A346" s="96" t="s">
        <v>684</v>
      </c>
      <c r="B346" s="131">
        <v>141377714</v>
      </c>
      <c r="C346" s="109" t="s">
        <v>613</v>
      </c>
    </row>
    <row r="347" spans="1:4" ht="12.75" hidden="1" customHeight="1">
      <c r="A347" s="96" t="s">
        <v>965</v>
      </c>
      <c r="B347" s="109">
        <v>141819542</v>
      </c>
      <c r="C347" s="109" t="s">
        <v>966</v>
      </c>
    </row>
    <row r="348" spans="1:4" ht="12.75" hidden="1" customHeight="1">
      <c r="A348" s="97" t="s">
        <v>696</v>
      </c>
      <c r="B348" s="135" t="s">
        <v>967</v>
      </c>
      <c r="C348" s="129"/>
    </row>
    <row r="349" spans="1:4" ht="12.75" hidden="1" customHeight="1">
      <c r="A349" s="96" t="s">
        <v>75</v>
      </c>
      <c r="B349" s="109">
        <v>122179604</v>
      </c>
      <c r="C349" s="109" t="s">
        <v>564</v>
      </c>
      <c r="D349" s="92"/>
    </row>
    <row r="350" spans="1:4" ht="12.75" hidden="1" customHeight="1">
      <c r="A350" s="96" t="s">
        <v>222</v>
      </c>
      <c r="B350" s="109">
        <v>122082863</v>
      </c>
      <c r="C350" s="109" t="s">
        <v>562</v>
      </c>
      <c r="D350" s="92"/>
    </row>
    <row r="351" spans="1:4" ht="12.75" hidden="1" customHeight="1">
      <c r="A351" s="96" t="s">
        <v>223</v>
      </c>
      <c r="B351" s="109">
        <v>140696989</v>
      </c>
      <c r="C351" s="109" t="s">
        <v>571</v>
      </c>
    </row>
    <row r="352" spans="1:4" ht="12.75" hidden="1" customHeight="1">
      <c r="A352" s="121" t="s">
        <v>78</v>
      </c>
      <c r="B352" s="109">
        <v>117255966</v>
      </c>
      <c r="C352" s="109" t="s">
        <v>570</v>
      </c>
    </row>
    <row r="353" spans="1:7" ht="12.75" hidden="1" customHeight="1">
      <c r="A353" s="96" t="s">
        <v>968</v>
      </c>
      <c r="B353" s="109">
        <v>131000987</v>
      </c>
      <c r="C353" s="109" t="s">
        <v>571</v>
      </c>
    </row>
    <row r="354" spans="1:7" ht="12.75" hidden="1" customHeight="1">
      <c r="A354" s="96" t="s">
        <v>224</v>
      </c>
      <c r="B354" s="109">
        <v>141365094</v>
      </c>
      <c r="C354" s="109" t="s">
        <v>680</v>
      </c>
    </row>
    <row r="355" spans="1:7" ht="12.75" hidden="1" customHeight="1">
      <c r="A355" s="96" t="s">
        <v>225</v>
      </c>
      <c r="B355" s="109">
        <v>124233837</v>
      </c>
      <c r="C355" s="109" t="s">
        <v>969</v>
      </c>
      <c r="D355" s="92"/>
    </row>
    <row r="356" spans="1:7" ht="12.75" hidden="1" customHeight="1">
      <c r="A356" s="96" t="s">
        <v>970</v>
      </c>
      <c r="B356" s="109">
        <v>131968269</v>
      </c>
      <c r="C356" s="109" t="s">
        <v>657</v>
      </c>
    </row>
    <row r="357" spans="1:7" ht="12.75" customHeight="1">
      <c r="G357" s="92" t="e">
        <f>_xlfn.XLOOKUP(A415,#REF!,#REF!)</f>
        <v>#REF!</v>
      </c>
    </row>
    <row r="358" spans="1:7" ht="12.75" customHeight="1">
      <c r="G358" s="92" t="e">
        <f>_xlfn.XLOOKUP(A416,#REF!,#REF!)</f>
        <v>#REF!</v>
      </c>
    </row>
    <row r="359" spans="1:7" ht="12.75" customHeight="1">
      <c r="G359" s="92" t="e">
        <f>_xlfn.XLOOKUP(A417,#REF!,#REF!)</f>
        <v>#REF!</v>
      </c>
    </row>
  </sheetData>
  <autoFilter ref="A1:D356" xr:uid="{AE1CCBCE-B44F-427D-B83F-DA67974F909F}">
    <filterColumn colId="1">
      <filters blank="1"/>
    </filterColumn>
    <sortState xmlns:xlrd2="http://schemas.microsoft.com/office/spreadsheetml/2017/richdata2" ref="A2:D356">
      <sortCondition ref="A1:A356"/>
    </sortState>
  </autoFilter>
  <conditionalFormatting sqref="A1:A1048576">
    <cfRule type="duplicateValues" dxfId="48" priority="53"/>
  </conditionalFormatting>
  <conditionalFormatting sqref="B103">
    <cfRule type="cellIs" dxfId="47" priority="52" operator="lessThan">
      <formula>15</formula>
    </cfRule>
  </conditionalFormatting>
  <conditionalFormatting sqref="B153">
    <cfRule type="cellIs" dxfId="46" priority="37" operator="equal">
      <formula>"TZ"</formula>
    </cfRule>
    <cfRule type="cellIs" dxfId="45" priority="36" operator="equal">
      <formula>"TZ"</formula>
    </cfRule>
    <cfRule type="cellIs" dxfId="44" priority="34" operator="equal">
      <formula>"TZ"</formula>
    </cfRule>
    <cfRule type="duplicateValues" dxfId="43" priority="33"/>
    <cfRule type="cellIs" dxfId="42" priority="35" operator="equal">
      <formula>"TZ"</formula>
    </cfRule>
  </conditionalFormatting>
  <conditionalFormatting sqref="B154:B169 B1:B44 B46:B102 B171:B175 B240:B248 B104:B152 B177 B191:B205 B227:B238 B288:B305 B307:B312 B314:B1048576 B179:B189 B207:B225 B250:B286">
    <cfRule type="duplicateValues" dxfId="41" priority="640"/>
  </conditionalFormatting>
  <conditionalFormatting sqref="B170">
    <cfRule type="cellIs" dxfId="40" priority="41" operator="equal">
      <formula>"TZ"</formula>
    </cfRule>
    <cfRule type="cellIs" dxfId="39" priority="40" operator="equal">
      <formula>"TZ"</formula>
    </cfRule>
    <cfRule type="cellIs" dxfId="38" priority="39" operator="equal">
      <formula>"TZ"</formula>
    </cfRule>
    <cfRule type="cellIs" dxfId="37" priority="38" operator="equal">
      <formula>"TZ"</formula>
    </cfRule>
  </conditionalFormatting>
  <conditionalFormatting sqref="B176">
    <cfRule type="cellIs" dxfId="36" priority="51" operator="equal">
      <formula>"TZ"</formula>
    </cfRule>
    <cfRule type="cellIs" dxfId="35" priority="50" operator="equal">
      <formula>"TZ"</formula>
    </cfRule>
    <cfRule type="cellIs" dxfId="34" priority="49" operator="equal">
      <formula>"TZ"</formula>
    </cfRule>
    <cfRule type="duplicateValues" dxfId="33" priority="46"/>
    <cfRule type="containsText" dxfId="32" priority="47" operator="containsText" text="FRI">
      <formula>NOT(ISERROR(SEARCH("FRI",B176)))</formula>
    </cfRule>
  </conditionalFormatting>
  <conditionalFormatting sqref="B178">
    <cfRule type="containsText" dxfId="31" priority="7" operator="containsText" text="FRI">
      <formula>NOT(ISERROR(SEARCH("FRI",B178)))</formula>
    </cfRule>
    <cfRule type="duplicateValues" dxfId="30" priority="6"/>
    <cfRule type="cellIs" dxfId="29" priority="8" operator="equal">
      <formula>"TZ"</formula>
    </cfRule>
    <cfRule type="cellIs" dxfId="28" priority="9" operator="equal">
      <formula>"TZ"</formula>
    </cfRule>
    <cfRule type="cellIs" dxfId="27" priority="10" operator="equal">
      <formula>"TZ"</formula>
    </cfRule>
    <cfRule type="cellIs" dxfId="26" priority="11" operator="equal">
      <formula>"TZ"</formula>
    </cfRule>
  </conditionalFormatting>
  <conditionalFormatting sqref="B206">
    <cfRule type="cellIs" dxfId="25" priority="5" operator="equal">
      <formula>"TZ"</formula>
    </cfRule>
    <cfRule type="duplicateValues" dxfId="24" priority="1"/>
    <cfRule type="cellIs" dxfId="23" priority="2" operator="equal">
      <formula>"TZ"</formula>
    </cfRule>
    <cfRule type="cellIs" dxfId="22" priority="3" operator="equal">
      <formula>"TZ"</formula>
    </cfRule>
    <cfRule type="cellIs" dxfId="21" priority="4" operator="equal">
      <formula>"TZ"</formula>
    </cfRule>
  </conditionalFormatting>
  <conditionalFormatting sqref="B226">
    <cfRule type="cellIs" dxfId="20" priority="31" operator="equal">
      <formula>"TZ"</formula>
    </cfRule>
    <cfRule type="cellIs" dxfId="19" priority="32" operator="equal">
      <formula>"TZ"</formula>
    </cfRule>
  </conditionalFormatting>
  <conditionalFormatting sqref="B239">
    <cfRule type="cellIs" dxfId="18" priority="24" operator="equal">
      <formula>"TZ"</formula>
    </cfRule>
    <cfRule type="cellIs" dxfId="17" priority="23" operator="equal">
      <formula>"TZ"</formula>
    </cfRule>
  </conditionalFormatting>
  <conditionalFormatting sqref="B306">
    <cfRule type="duplicateValues" dxfId="16" priority="16"/>
  </conditionalFormatting>
  <conditionalFormatting sqref="B176:C176">
    <cfRule type="cellIs" dxfId="15" priority="43" operator="equal">
      <formula>"TZ"</formula>
    </cfRule>
  </conditionalFormatting>
  <conditionalFormatting sqref="B226:C226">
    <cfRule type="cellIs" dxfId="14" priority="27" operator="equal">
      <formula>"TZ"</formula>
    </cfRule>
    <cfRule type="cellIs" dxfId="13" priority="28" operator="equal">
      <formula>"TZ"</formula>
    </cfRule>
  </conditionalFormatting>
  <conditionalFormatting sqref="B239:C239">
    <cfRule type="cellIs" dxfId="12" priority="19" operator="equal">
      <formula>"TZ"</formula>
    </cfRule>
    <cfRule type="cellIs" dxfId="11" priority="20" operator="equal">
      <formula>"TZ"</formula>
    </cfRule>
  </conditionalFormatting>
  <conditionalFormatting sqref="C176">
    <cfRule type="cellIs" dxfId="10" priority="42" operator="equal">
      <formula>"TZ"</formula>
    </cfRule>
    <cfRule type="cellIs" dxfId="9" priority="44" operator="equal">
      <formula>"TZ"</formula>
    </cfRule>
    <cfRule type="cellIs" dxfId="8" priority="45" operator="equal">
      <formula>"TZ"</formula>
    </cfRule>
  </conditionalFormatting>
  <conditionalFormatting sqref="C226">
    <cfRule type="cellIs" dxfId="7" priority="26" operator="equal">
      <formula>"TZ"</formula>
    </cfRule>
    <cfRule type="cellIs" dxfId="6" priority="25" operator="equal">
      <formula>"TZ"</formula>
    </cfRule>
  </conditionalFormatting>
  <conditionalFormatting sqref="C239">
    <cfRule type="cellIs" dxfId="5" priority="18" operator="equal">
      <formula>"TZ"</formula>
    </cfRule>
    <cfRule type="cellIs" dxfId="4" priority="17" operator="equal">
      <formula>"TZ"</formula>
    </cfRule>
  </conditionalFormatting>
  <conditionalFormatting sqref="C306">
    <cfRule type="cellIs" dxfId="3" priority="15" operator="equal">
      <formula>"TZ"</formula>
    </cfRule>
    <cfRule type="cellIs" dxfId="2" priority="14" operator="equal">
      <formula>"TZ"</formula>
    </cfRule>
    <cfRule type="cellIs" dxfId="1" priority="13" operator="equal">
      <formula>"TZ"</formula>
    </cfRule>
    <cfRule type="cellIs" dxfId="0" priority="12" operator="equal">
      <formula>"TZ"</formula>
    </cfRule>
  </conditionalFormatting>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1b99d7-af23-4eff-ba64-7da625885184" xsi:nil="true"/>
    <lcf76f155ced4ddcb4097134ff3c332f xmlns="d64b7084-47bc-493c-99bc-481834231f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A5078E12A58B44EB18EFB7742FB6964" ma:contentTypeVersion="12" ma:contentTypeDescription="Create a new document." ma:contentTypeScope="" ma:versionID="caa0e3c5fd7f0c37dee23fe8ed2286bd">
  <xsd:schema xmlns:xsd="http://www.w3.org/2001/XMLSchema" xmlns:xs="http://www.w3.org/2001/XMLSchema" xmlns:p="http://schemas.microsoft.com/office/2006/metadata/properties" xmlns:ns2="d64b7084-47bc-493c-99bc-481834231f89" xmlns:ns3="d31b99d7-af23-4eff-ba64-7da625885184" targetNamespace="http://schemas.microsoft.com/office/2006/metadata/properties" ma:root="true" ma:fieldsID="65931e8bb109de85823a819255107c12" ns2:_="" ns3:_="">
    <xsd:import namespace="d64b7084-47bc-493c-99bc-481834231f89"/>
    <xsd:import namespace="d31b99d7-af23-4eff-ba64-7da6258851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4b7084-47bc-493c-99bc-481834231f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2e256cc-fa4d-4765-bbe9-598295853f4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1b99d7-af23-4eff-ba64-7da62588518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54afde9-e87f-4012-b642-333eb50c6232}" ma:internalName="TaxCatchAll" ma:showField="CatchAllData" ma:web="d31b99d7-af23-4eff-ba64-7da625885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340A89-6414-44F8-9A6E-81EAD880A903}">
  <ds:schemaRefs>
    <ds:schemaRef ds:uri="http://schemas.microsoft.com/office/2006/metadata/properties"/>
    <ds:schemaRef ds:uri="http://schemas.microsoft.com/office/infopath/2007/PartnerControls"/>
    <ds:schemaRef ds:uri="d31b99d7-af23-4eff-ba64-7da625885184"/>
    <ds:schemaRef ds:uri="d64b7084-47bc-493c-99bc-481834231f89"/>
  </ds:schemaRefs>
</ds:datastoreItem>
</file>

<file path=customXml/itemProps2.xml><?xml version="1.0" encoding="utf-8"?>
<ds:datastoreItem xmlns:ds="http://schemas.openxmlformats.org/officeDocument/2006/customXml" ds:itemID="{3F728D26-02F8-44BF-8D49-1CF10A33221A}">
  <ds:schemaRefs>
    <ds:schemaRef ds:uri="http://schemas.microsoft.com/sharepoint/v3/contenttype/forms"/>
  </ds:schemaRefs>
</ds:datastoreItem>
</file>

<file path=customXml/itemProps3.xml><?xml version="1.0" encoding="utf-8"?>
<ds:datastoreItem xmlns:ds="http://schemas.openxmlformats.org/officeDocument/2006/customXml" ds:itemID="{78628C34-271C-475E-A12B-8DB8AA005A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4b7084-47bc-493c-99bc-481834231f89"/>
    <ds:schemaRef ds:uri="d31b99d7-af23-4eff-ba64-7da625885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Cumulative</vt:lpstr>
      <vt:lpstr>March 2026</vt:lpstr>
      <vt:lpstr>Tasks</vt:lpstr>
      <vt:lpstr>Manpower</vt:lpstr>
      <vt:lpstr>April 2026</vt:lpstr>
      <vt:lpstr>ElectricalWorks</vt:lpstr>
      <vt:lpstr>Finalization</vt:lpstr>
      <vt:lpstr>GroutingWorks</vt:lpstr>
      <vt:lpstr>InstrumentationWorks</vt:lpstr>
      <vt:lpstr>MaterialHandling</vt:lpstr>
      <vt:lpstr>MobilizationPreparation</vt:lpstr>
      <vt:lpstr>PaintingCoating</vt:lpstr>
      <vt:lpstr>PipingWorks</vt:lpstr>
      <vt:lpstr>SteelStructureWorks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пользователь</dc:creator>
  <cp:keywords/>
  <dc:description/>
  <cp:lastModifiedBy>Enco Group</cp:lastModifiedBy>
  <cp:revision/>
  <dcterms:created xsi:type="dcterms:W3CDTF">2021-04-14T10:02:00Z</dcterms:created>
  <dcterms:modified xsi:type="dcterms:W3CDTF">2026-04-20T06:53:40Z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0x0101004A5078E12A58B44EB18EFB7742FB6964</vt:lpwstr>
  </property>
  <property fmtid="{D5CDD505-2E9C-101B-9397-08002B2CF9AE}" pid="3" name="MediaServiceImageTags">
    <vt:lpwstr/>
  </property>
  <property fmtid="{D5CDD505-2E9C-101B-9397-08002B2CF9AE}" pid="4" name="ICV">
    <vt:lpwstr>E8F31C77688F43C6A4D7FE5C1C22CC68_13</vt:lpwstr>
  </property>
  <property fmtid="{D5CDD505-2E9C-101B-9397-08002B2CF9AE}" pid="5" name="KSOProductBuildVer">
    <vt:lpwstr>1033-12.2.0.23196</vt:lpwstr>
  </property>
</Properties>
</file>